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defaultThemeVersion="202300"/>
  <mc:AlternateContent xmlns:mc="http://schemas.openxmlformats.org/markup-compatibility/2006">
    <mc:Choice Requires="x15">
      <x15ac:absPath xmlns:x15ac="http://schemas.microsoft.com/office/spreadsheetml/2010/11/ac" url="C:\Users\beeni\Downloads\"/>
    </mc:Choice>
  </mc:AlternateContent>
  <xr:revisionPtr revIDLastSave="0" documentId="8_{D130ADA6-1437-4300-A034-E5DA61F75D60}" xr6:coauthVersionLast="47" xr6:coauthVersionMax="47" xr10:uidLastSave="{00000000-0000-0000-0000-000000000000}"/>
  <bookViews>
    <workbookView xWindow="-108" yWindow="-108" windowWidth="23256" windowHeight="12456" firstSheet="1" activeTab="4" xr2:uid="{CB46875E-ED51-465D-888E-11E2E97A0303}"/>
  </bookViews>
  <sheets>
    <sheet name="Admin" sheetId="12" r:id="rId1"/>
    <sheet name="FSE Input" sheetId="13" r:id="rId2"/>
    <sheet name="Cytek Service Quoting" sheetId="15" r:id="rId3"/>
    <sheet name="Cytek Parts Quoting" sheetId="14" r:id="rId4"/>
    <sheet name="Asset Data" sheetId="16" r:id="rId5"/>
    <sheet name="Pricing Data" sheetId="7" r:id="rId6"/>
    <sheet name="Cytek Service Quoting Old" sheetId="9" r:id="rId7"/>
    <sheet name="FSE Input Old" sheetId="8" r:id="rId8"/>
  </sheets>
  <definedNames>
    <definedName name="_xlnm._FilterDatabase" localSheetId="4" hidden="1">'Asset Data'!$A$1:$I$9636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7" i="12" l="1"/>
  <c r="F26" i="12"/>
  <c r="F25" i="12"/>
  <c r="F24" i="12"/>
  <c r="I24" i="12" s="1"/>
  <c r="J24" i="12"/>
  <c r="H8" i="14" s="1"/>
  <c r="E42" i="13"/>
  <c r="E43" i="13"/>
  <c r="G11" i="14" s="1"/>
  <c r="H24" i="12"/>
  <c r="D27" i="12"/>
  <c r="E27" i="12" s="1"/>
  <c r="D26" i="12"/>
  <c r="E26" i="12" s="1"/>
  <c r="D25" i="12"/>
  <c r="E25" i="12" s="1"/>
  <c r="D24" i="12"/>
  <c r="G19" i="12"/>
  <c r="D20" i="12"/>
  <c r="E20" i="12" s="1"/>
  <c r="F20" i="12"/>
  <c r="F19" i="12"/>
  <c r="F18" i="12"/>
  <c r="D18" i="12"/>
  <c r="E18" i="12" s="1"/>
  <c r="D19" i="12"/>
  <c r="E19" i="12" s="1"/>
  <c r="D17" i="12"/>
  <c r="E17" i="12" s="1"/>
  <c r="E24" i="12"/>
  <c r="F11" i="14"/>
  <c r="F10" i="14"/>
  <c r="D11" i="14"/>
  <c r="C11" i="14" s="1"/>
  <c r="D10" i="14"/>
  <c r="C10" i="14" s="1"/>
  <c r="D9" i="14"/>
  <c r="C9" i="14" s="1"/>
  <c r="F9" i="14"/>
  <c r="F8" i="14"/>
  <c r="E8" i="14"/>
  <c r="D8" i="14"/>
  <c r="C8" i="14" s="1"/>
  <c r="C2" i="14"/>
  <c r="F11" i="15"/>
  <c r="D11" i="15"/>
  <c r="C11" i="15" s="1"/>
  <c r="F10" i="15"/>
  <c r="F9" i="15"/>
  <c r="D10" i="15"/>
  <c r="C10" i="15" s="1"/>
  <c r="D9" i="15"/>
  <c r="C9" i="15" s="1"/>
  <c r="F8" i="15"/>
  <c r="D8" i="15"/>
  <c r="C8" i="15" s="1"/>
  <c r="E11" i="14"/>
  <c r="E35" i="13"/>
  <c r="G10" i="14" s="1"/>
  <c r="E34" i="13"/>
  <c r="E10" i="14" s="1"/>
  <c r="E27" i="13"/>
  <c r="G9" i="14" s="1"/>
  <c r="E26" i="13"/>
  <c r="E9" i="14" s="1"/>
  <c r="E19" i="13"/>
  <c r="G8" i="14" s="1"/>
  <c r="E18" i="13"/>
  <c r="E13" i="13"/>
  <c r="D23" i="12" s="1"/>
  <c r="J26" i="12" s="1"/>
  <c r="H10" i="14" s="1"/>
  <c r="E12" i="13"/>
  <c r="C4" i="14" s="1"/>
  <c r="E10" i="13"/>
  <c r="E11" i="13" s="1"/>
  <c r="F2" i="14" s="1"/>
  <c r="B43" i="13"/>
  <c r="G11" i="15" s="1"/>
  <c r="B42" i="13"/>
  <c r="E11" i="15" s="1"/>
  <c r="B34" i="13"/>
  <c r="E10" i="15" s="1"/>
  <c r="B35" i="13"/>
  <c r="B27" i="13"/>
  <c r="G9" i="15" s="1"/>
  <c r="B26" i="13"/>
  <c r="E9" i="15" s="1"/>
  <c r="B19" i="13"/>
  <c r="F17" i="12" s="1"/>
  <c r="B18" i="13"/>
  <c r="E8" i="15" s="1"/>
  <c r="B13" i="13"/>
  <c r="D16" i="12" s="1"/>
  <c r="G18" i="12" s="1"/>
  <c r="B12" i="13"/>
  <c r="C4" i="15" s="1"/>
  <c r="B10" i="13"/>
  <c r="B11" i="13" s="1"/>
  <c r="F2" i="15" s="1"/>
  <c r="C2" i="15"/>
  <c r="E36" i="8"/>
  <c r="D36" i="8"/>
  <c r="C36" i="8"/>
  <c r="B36" i="8"/>
  <c r="E35" i="8"/>
  <c r="D35" i="8"/>
  <c r="C35" i="8"/>
  <c r="B35" i="8"/>
  <c r="G19" i="8"/>
  <c r="C20" i="8"/>
  <c r="C21" i="8" s="1"/>
  <c r="G20" i="8"/>
  <c r="C22" i="8"/>
  <c r="C23" i="8"/>
  <c r="J20" i="8"/>
  <c r="I20" i="8"/>
  <c r="H20" i="8"/>
  <c r="J19" i="8"/>
  <c r="I19" i="8"/>
  <c r="H19" i="8"/>
  <c r="B7" i="8"/>
  <c r="B8" i="8"/>
  <c r="B9" i="8"/>
  <c r="C7" i="8"/>
  <c r="G11" i="9"/>
  <c r="H11" i="9" s="1"/>
  <c r="C10" i="8"/>
  <c r="C9" i="8"/>
  <c r="G10" i="9" s="1"/>
  <c r="B10" i="8"/>
  <c r="C8" i="8"/>
  <c r="H19" i="12" l="1"/>
  <c r="G17" i="12"/>
  <c r="G20" i="12"/>
  <c r="I25" i="12"/>
  <c r="H27" i="12"/>
  <c r="G25" i="12"/>
  <c r="G26" i="12"/>
  <c r="H25" i="12"/>
  <c r="H26" i="12"/>
  <c r="J25" i="12"/>
  <c r="H9" i="14" s="1"/>
  <c r="I9" i="14" s="1"/>
  <c r="G27" i="12"/>
  <c r="J27" i="12"/>
  <c r="H11" i="14" s="1"/>
  <c r="I11" i="14" s="1"/>
  <c r="I27" i="12"/>
  <c r="I26" i="12"/>
  <c r="G24" i="12"/>
  <c r="J18" i="12"/>
  <c r="H9" i="15" s="1"/>
  <c r="I9" i="15" s="1"/>
  <c r="J17" i="12"/>
  <c r="H8" i="15" s="1"/>
  <c r="J19" i="12"/>
  <c r="G10" i="15"/>
  <c r="H10" i="15"/>
  <c r="J20" i="12"/>
  <c r="H11" i="15" s="1"/>
  <c r="I11" i="15" s="1"/>
  <c r="I20" i="12"/>
  <c r="I18" i="12"/>
  <c r="I19" i="12"/>
  <c r="I17" i="12"/>
  <c r="H18" i="12"/>
  <c r="H17" i="12"/>
  <c r="H20" i="12"/>
  <c r="G8" i="15"/>
  <c r="C3" i="15"/>
  <c r="C3" i="14"/>
  <c r="I10" i="14"/>
  <c r="I8" i="14"/>
  <c r="I11" i="9"/>
  <c r="I10" i="15" l="1"/>
  <c r="I8" i="15"/>
  <c r="I14" i="14"/>
  <c r="F3" i="8"/>
  <c r="H9" i="9" s="1"/>
  <c r="C2" i="9"/>
  <c r="I14" i="15" l="1"/>
  <c r="D9" i="9"/>
  <c r="C9" i="9" s="1"/>
  <c r="D10" i="9"/>
  <c r="H10" i="9" s="1"/>
  <c r="D11" i="9"/>
  <c r="C11" i="9" s="1"/>
  <c r="D8" i="9"/>
  <c r="E10" i="9"/>
  <c r="E11" i="9"/>
  <c r="G9" i="9"/>
  <c r="G8" i="9"/>
  <c r="H8" i="9" s="1"/>
  <c r="E8" i="9"/>
  <c r="E9" i="9"/>
  <c r="F9" i="9"/>
  <c r="F10" i="9"/>
  <c r="F11" i="9"/>
  <c r="F8" i="9"/>
  <c r="C3" i="8"/>
  <c r="E3" i="8"/>
  <c r="C4" i="9" s="1"/>
  <c r="I10" i="9" l="1"/>
  <c r="I9" i="9"/>
  <c r="I8" i="9"/>
  <c r="C3" i="9"/>
  <c r="D3" i="8"/>
  <c r="C8" i="9"/>
  <c r="C10" i="9"/>
  <c r="G101" i="14" l="1"/>
  <c r="G49" i="14"/>
  <c r="G153" i="15"/>
  <c r="G101" i="15"/>
  <c r="G153" i="14"/>
  <c r="G153" i="9"/>
  <c r="G49" i="9"/>
  <c r="G101" i="9"/>
  <c r="F2" i="9"/>
  <c r="I14" i="9"/>
</calcChain>
</file>

<file path=xl/sharedStrings.xml><?xml version="1.0" encoding="utf-8"?>
<sst xmlns="http://schemas.openxmlformats.org/spreadsheetml/2006/main" count="80828" uniqueCount="26975">
  <si>
    <t>Relocation fee???</t>
  </si>
  <si>
    <t xml:space="preserve">basic/PMI Bronze has 10% discount </t>
  </si>
  <si>
    <t>Service and Parts</t>
  </si>
  <si>
    <t xml:space="preserve">TS email, contract matters for discount </t>
  </si>
  <si>
    <t>Move</t>
  </si>
  <si>
    <t xml:space="preserve">contract doesn't matter </t>
  </si>
  <si>
    <t>Parts ONLY</t>
  </si>
  <si>
    <t xml:space="preserve">orders email, contract matters for discount </t>
  </si>
  <si>
    <t>protection on cells - turn into API</t>
  </si>
  <si>
    <t>Contract pricing - service</t>
  </si>
  <si>
    <t>Contract</t>
  </si>
  <si>
    <t xml:space="preserve">labor? </t>
  </si>
  <si>
    <t xml:space="preserve">cost </t>
  </si>
  <si>
    <t xml:space="preserve">premium contract </t>
  </si>
  <si>
    <t>20% discount</t>
  </si>
  <si>
    <t xml:space="preserve">10% dicsount </t>
  </si>
  <si>
    <t xml:space="preserve">final price </t>
  </si>
  <si>
    <t xml:space="preserve">part 1 </t>
  </si>
  <si>
    <t>part 2</t>
  </si>
  <si>
    <t>part 3</t>
  </si>
  <si>
    <t>part 4</t>
  </si>
  <si>
    <t xml:space="preserve">contract pricing - parts </t>
  </si>
  <si>
    <t>contract</t>
  </si>
  <si>
    <t>cost</t>
  </si>
  <si>
    <t xml:space="preserve">premium </t>
  </si>
  <si>
    <t xml:space="preserve">10% discount </t>
  </si>
  <si>
    <t>part 1</t>
  </si>
  <si>
    <t xml:space="preserve">need to include the if not listed here </t>
  </si>
  <si>
    <t xml:space="preserve">test if all work for if not listed </t>
  </si>
  <si>
    <t>note</t>
  </si>
  <si>
    <t>add a little popup that says if the contract is value, amke sure this is not the customer's first repair if so no quote needed</t>
  </si>
  <si>
    <t xml:space="preserve">how to do pricing? which cell has numbers? or combine everything into one </t>
  </si>
  <si>
    <t xml:space="preserve">What are you quoting? </t>
  </si>
  <si>
    <t>Use "Cytek Service Quoting" Tab to print quote</t>
  </si>
  <si>
    <t>Use "Cytek Parts Quoting" Tab to print quote</t>
  </si>
  <si>
    <t>CUSTOMER INFORMATION - SERVICE QUOTE</t>
  </si>
  <si>
    <t>Customer information - Parts Quote</t>
  </si>
  <si>
    <t xml:space="preserve">Name of customer requesting service/part: </t>
  </si>
  <si>
    <t>Mike Waring</t>
  </si>
  <si>
    <t>Instrument SN:</t>
  </si>
  <si>
    <t>U1093</t>
  </si>
  <si>
    <t>U1399</t>
  </si>
  <si>
    <t>Facility name:</t>
  </si>
  <si>
    <t>Shortened Facility name</t>
  </si>
  <si>
    <t>Facility Address:</t>
  </si>
  <si>
    <t>Contract type:</t>
  </si>
  <si>
    <t>SERVICE TYPE/PART NAME - SERVICE QUOTE</t>
  </si>
  <si>
    <t>SERVICE TYPE/PART NAME - PARTS QUOTE</t>
  </si>
  <si>
    <t>PART 1</t>
  </si>
  <si>
    <t xml:space="preserve">Service Type/ Part Name </t>
  </si>
  <si>
    <t>ALMOND BULKHEAD 1/8"</t>
  </si>
  <si>
    <t>On-Site Support (2 days)</t>
  </si>
  <si>
    <t>Service Type/Part Number</t>
  </si>
  <si>
    <t>Service Type/ Part Price</t>
  </si>
  <si>
    <t>Quantity</t>
  </si>
  <si>
    <t xml:space="preserve">Service Type / Part Name (if not listed) </t>
  </si>
  <si>
    <t>Service Type Part Number (if not listed)</t>
  </si>
  <si>
    <t>Price of Service Type / Part (if not listed)</t>
  </si>
  <si>
    <t xml:space="preserve">PART 2 </t>
  </si>
  <si>
    <t>Flow Cell Body</t>
  </si>
  <si>
    <t>PART 3</t>
  </si>
  <si>
    <t>Mounting Plate</t>
  </si>
  <si>
    <t>PART 4</t>
  </si>
  <si>
    <t>generator</t>
  </si>
  <si>
    <t>u1093</t>
  </si>
  <si>
    <t>Item</t>
  </si>
  <si>
    <t>Description</t>
  </si>
  <si>
    <t>Product Number</t>
  </si>
  <si>
    <t>Qty</t>
  </si>
  <si>
    <t>List 
Price</t>
  </si>
  <si>
    <t xml:space="preserve">Net 
Price
</t>
  </si>
  <si>
    <t>Ext. Price</t>
  </si>
  <si>
    <t>Shipping &amp; Handling Estimate</t>
  </si>
  <si>
    <t>Total</t>
  </si>
  <si>
    <t>Country</t>
  </si>
  <si>
    <t>Synced Contract: Contract Number</t>
  </si>
  <si>
    <t>Synced Contract: Contract Type</t>
  </si>
  <si>
    <t>Product: Product Name</t>
  </si>
  <si>
    <t>8470060264</t>
  </si>
  <si>
    <t>SLA-EC-COMPLETE</t>
  </si>
  <si>
    <t>8470060262</t>
  </si>
  <si>
    <t>00036340</t>
  </si>
  <si>
    <t>6735148243</t>
  </si>
  <si>
    <t>1GLOBE HEALTH INSTITUTE</t>
  </si>
  <si>
    <t>Guava easyCyte 8HT</t>
  </si>
  <si>
    <t>8470050267</t>
  </si>
  <si>
    <t>23ANDME INC</t>
  </si>
  <si>
    <t>Guava easyCyte 5HT, Boxed Instrument</t>
  </si>
  <si>
    <t>EC221246C1</t>
  </si>
  <si>
    <t>3M</t>
  </si>
  <si>
    <t>EC213486C1</t>
  </si>
  <si>
    <t>6735146222</t>
  </si>
  <si>
    <t>R1329</t>
  </si>
  <si>
    <t>92Bio Inc</t>
  </si>
  <si>
    <t>00034590</t>
  </si>
  <si>
    <t>Premium</t>
  </si>
  <si>
    <t>Cytek Aurora 3 Laser V/B/R - (38 + 3 Channel)</t>
  </si>
  <si>
    <t>EC220396F1</t>
  </si>
  <si>
    <t>A M TODD</t>
  </si>
  <si>
    <t>V0792</t>
  </si>
  <si>
    <t>AAT Bioquest</t>
  </si>
  <si>
    <t>00033158</t>
  </si>
  <si>
    <t>PMI</t>
  </si>
  <si>
    <t>Cytek Aurora 4 Laser UV/V/B/R/ (54 + 3 Channel)</t>
  </si>
  <si>
    <t>R0732</t>
  </si>
  <si>
    <t>N0416</t>
  </si>
  <si>
    <t>AbboMax, Inc.</t>
  </si>
  <si>
    <t>00012556</t>
  </si>
  <si>
    <t>Warranty</t>
  </si>
  <si>
    <t>Cytek Northern Lights 3000 V/B/R - (38 + 3 channel)</t>
  </si>
  <si>
    <t>U1611</t>
  </si>
  <si>
    <t>AbbVie Inc - AbbVie Bioresearch Center</t>
  </si>
  <si>
    <t>Cytek Aurora 5 Laser UV/V/B/YG/R (64 + 3 Channel)</t>
  </si>
  <si>
    <t>U1309</t>
  </si>
  <si>
    <t>00035224</t>
  </si>
  <si>
    <t>ISX440</t>
  </si>
  <si>
    <t>00035298</t>
  </si>
  <si>
    <t>SLA-ISXMKII-COMPLETE</t>
  </si>
  <si>
    <t>ImageStreamX MkII Instrument</t>
  </si>
  <si>
    <t>XF1002</t>
  </si>
  <si>
    <t>00036967</t>
  </si>
  <si>
    <t>Cytek Aurora? Evo 5L UV/V/B/YG/R</t>
  </si>
  <si>
    <t>U1741</t>
  </si>
  <si>
    <t>00035019</t>
  </si>
  <si>
    <t>SM1012</t>
  </si>
  <si>
    <t>00036524</t>
  </si>
  <si>
    <t>NM1678</t>
  </si>
  <si>
    <t>00036242</t>
  </si>
  <si>
    <t>Y0090</t>
  </si>
  <si>
    <t>AbbVie Inc - Bay Area</t>
  </si>
  <si>
    <t>00035179</t>
  </si>
  <si>
    <t>V0350</t>
  </si>
  <si>
    <t>00035175</t>
  </si>
  <si>
    <t>Value</t>
  </si>
  <si>
    <t>V0252</t>
  </si>
  <si>
    <t>00035177</t>
  </si>
  <si>
    <t>U1148</t>
  </si>
  <si>
    <t>00035180</t>
  </si>
  <si>
    <t>U0557</t>
  </si>
  <si>
    <t>00035178</t>
  </si>
  <si>
    <t>6735145217</t>
  </si>
  <si>
    <t>U1372</t>
  </si>
  <si>
    <t>AbbVie Inc - Cambridge MA</t>
  </si>
  <si>
    <t>00036234</t>
  </si>
  <si>
    <t>U0656</t>
  </si>
  <si>
    <t>00036385</t>
  </si>
  <si>
    <t>S0103</t>
  </si>
  <si>
    <t>00036384</t>
  </si>
  <si>
    <t>ISX725</t>
  </si>
  <si>
    <t>00029470</t>
  </si>
  <si>
    <t>U1130</t>
  </si>
  <si>
    <t>AbbVie Inc - North Chicago</t>
  </si>
  <si>
    <t>00035010</t>
  </si>
  <si>
    <t>U0647</t>
  </si>
  <si>
    <t>00035238</t>
  </si>
  <si>
    <t>U0277</t>
  </si>
  <si>
    <t>00036186</t>
  </si>
  <si>
    <t>ISX433</t>
  </si>
  <si>
    <t>00035244</t>
  </si>
  <si>
    <t>N0136</t>
  </si>
  <si>
    <t>00013234</t>
  </si>
  <si>
    <t>EC213266H1</t>
  </si>
  <si>
    <t>Abcam Inc</t>
  </si>
  <si>
    <t>00026318</t>
  </si>
  <si>
    <t>SLA-EC-INTERMED</t>
  </si>
  <si>
    <t>Guava easyCyte 12HT</t>
  </si>
  <si>
    <t>EC211336C1</t>
  </si>
  <si>
    <t>8470060215</t>
  </si>
  <si>
    <t>8470060130</t>
  </si>
  <si>
    <t>MUSE CELL ANALYZER SYSTEM</t>
  </si>
  <si>
    <t>EC200775A1</t>
  </si>
  <si>
    <t>ABS GLOBAL INC</t>
  </si>
  <si>
    <t>Guava easyCyte 5SL</t>
  </si>
  <si>
    <t>8472060113</t>
  </si>
  <si>
    <t>ABZYME THERAPEUTICS LLC</t>
  </si>
  <si>
    <t>8470050327</t>
  </si>
  <si>
    <t>Accent Therapeutics, Inc</t>
  </si>
  <si>
    <t>00031447</t>
  </si>
  <si>
    <t>EC232156A2</t>
  </si>
  <si>
    <t>Access to Advanced Health Institute (AAHI)</t>
  </si>
  <si>
    <t>00031790</t>
  </si>
  <si>
    <t>Guava easyCyte 5HT</t>
  </si>
  <si>
    <t>U0552</t>
  </si>
  <si>
    <t>Acerta Pharma LLC</t>
  </si>
  <si>
    <t>00034043</t>
  </si>
  <si>
    <t>Guava EasyCyte 8HT Base System, Refurb</t>
  </si>
  <si>
    <t>U1769</t>
  </si>
  <si>
    <t>Actus Bio</t>
  </si>
  <si>
    <t>00036138</t>
  </si>
  <si>
    <t>8470110107</t>
  </si>
  <si>
    <t>Adept Therapeutics Inc</t>
  </si>
  <si>
    <t>6735145209</t>
  </si>
  <si>
    <t>8470080160</t>
  </si>
  <si>
    <t>Advanced Bioscience Laboratories Inc</t>
  </si>
  <si>
    <t>00035240</t>
  </si>
  <si>
    <t>Y0020</t>
  </si>
  <si>
    <t>Aera Therapeutics Inc</t>
  </si>
  <si>
    <t>00036111</t>
  </si>
  <si>
    <t>FS167</t>
  </si>
  <si>
    <t>Amnis FlowSight System, Obsolete</t>
  </si>
  <si>
    <t>8470050274</t>
  </si>
  <si>
    <t>AGC Biologics</t>
  </si>
  <si>
    <t>8470-R5131</t>
  </si>
  <si>
    <t>ISX346</t>
  </si>
  <si>
    <t>Albany Medical Center</t>
  </si>
  <si>
    <t>00033026</t>
  </si>
  <si>
    <t>SLA-ISXMKII-BASIC</t>
  </si>
  <si>
    <t>Amnis ImageStreamX MkII System w/ INSPIRE &amp; IDEAS Software</t>
  </si>
  <si>
    <t>NM1255</t>
  </si>
  <si>
    <t>Albany Medical College</t>
  </si>
  <si>
    <t>00030823</t>
  </si>
  <si>
    <t>8470060140</t>
  </si>
  <si>
    <t>Albert Einstein College of Medicine</t>
  </si>
  <si>
    <t>S0335</t>
  </si>
  <si>
    <t>00034130</t>
  </si>
  <si>
    <t>S0276</t>
  </si>
  <si>
    <t>00031432</t>
  </si>
  <si>
    <t>S0373SP</t>
  </si>
  <si>
    <t>00034946</t>
  </si>
  <si>
    <t>U1574</t>
  </si>
  <si>
    <t>Alexion Pharmaceuticals Inc</t>
  </si>
  <si>
    <t>00036150</t>
  </si>
  <si>
    <t>NM1239</t>
  </si>
  <si>
    <t>00034574</t>
  </si>
  <si>
    <t>FS331</t>
  </si>
  <si>
    <t>00032310</t>
  </si>
  <si>
    <t>SLA-FS-COMPLETE</t>
  </si>
  <si>
    <t>FlowSight Instrument</t>
  </si>
  <si>
    <t>EC231396C1</t>
  </si>
  <si>
    <t>00034109</t>
  </si>
  <si>
    <t>8470060257</t>
  </si>
  <si>
    <t>00024114</t>
  </si>
  <si>
    <t>U1776</t>
  </si>
  <si>
    <t>00036246</t>
  </si>
  <si>
    <t>NM1078</t>
  </si>
  <si>
    <t>Alexion Pharmaceuticals Inc - Cambridge MA</t>
  </si>
  <si>
    <t>00033700</t>
  </si>
  <si>
    <t>Guava easyCyte 8HT, Boxed Instrument</t>
  </si>
  <si>
    <t>ISX508</t>
  </si>
  <si>
    <t>Allegheny College</t>
  </si>
  <si>
    <t>00034041</t>
  </si>
  <si>
    <t>S0329</t>
  </si>
  <si>
    <t>Allergan Aesthetics - an Abbvie company</t>
  </si>
  <si>
    <t>00036630</t>
  </si>
  <si>
    <t>Cytek Aurora-CS 3L system</t>
  </si>
  <si>
    <t>NM1212</t>
  </si>
  <si>
    <t>00032833</t>
  </si>
  <si>
    <t>NM1596</t>
  </si>
  <si>
    <t>Alliance Funding Group</t>
  </si>
  <si>
    <t>00034131</t>
  </si>
  <si>
    <t>Cytek Northern Lights 1000 B - 14 channel</t>
  </si>
  <si>
    <t>U1215</t>
  </si>
  <si>
    <t>Allogene Therapeutics</t>
  </si>
  <si>
    <t>00034415</t>
  </si>
  <si>
    <t>RM1001</t>
  </si>
  <si>
    <t>Alloy Therapeutics</t>
  </si>
  <si>
    <t>00033539</t>
  </si>
  <si>
    <t>FS314</t>
  </si>
  <si>
    <t>Alpha Nano Tech LLC</t>
  </si>
  <si>
    <t>8470050205</t>
  </si>
  <si>
    <t>ALS Therapy Development Institute (ALS TDI)</t>
  </si>
  <si>
    <t>00034362</t>
  </si>
  <si>
    <t>EC211096A1</t>
  </si>
  <si>
    <t>Alta Genetics Inc</t>
  </si>
  <si>
    <t>00030360</t>
  </si>
  <si>
    <t>6735-R8176</t>
  </si>
  <si>
    <t>AMBRX INC</t>
  </si>
  <si>
    <t>8470080208</t>
  </si>
  <si>
    <t>AMENTUM SERVICES INC</t>
  </si>
  <si>
    <t>00033978</t>
  </si>
  <si>
    <t>U1587</t>
  </si>
  <si>
    <t>Amgen British Columbia</t>
  </si>
  <si>
    <t>00035142</t>
  </si>
  <si>
    <t>8470130169</t>
  </si>
  <si>
    <t>00034456</t>
  </si>
  <si>
    <t>U1413</t>
  </si>
  <si>
    <t>Amgen Inc - San Francisco CA</t>
  </si>
  <si>
    <t>00036900</t>
  </si>
  <si>
    <t>EC222246D1</t>
  </si>
  <si>
    <t>00034458</t>
  </si>
  <si>
    <t>SLA-EC-BASIC</t>
  </si>
  <si>
    <t>8470080139</t>
  </si>
  <si>
    <t>00033784</t>
  </si>
  <si>
    <t>8470060250</t>
  </si>
  <si>
    <t>6735135157</t>
  </si>
  <si>
    <t>U1586</t>
  </si>
  <si>
    <t>Amgen Inc - Thousand Oaks CA</t>
  </si>
  <si>
    <t>00035928</t>
  </si>
  <si>
    <t>8470050225</t>
  </si>
  <si>
    <t>6735115053</t>
  </si>
  <si>
    <t>AMGEN INCORPORATED (Luminex, see description)</t>
  </si>
  <si>
    <t>SM1001</t>
  </si>
  <si>
    <t>Amphastar Pharmaceuticals</t>
  </si>
  <si>
    <t>00036393</t>
  </si>
  <si>
    <t>U0956SP</t>
  </si>
  <si>
    <t>Amplify Bio, LLC</t>
  </si>
  <si>
    <t>00031717</t>
  </si>
  <si>
    <t>6735126098</t>
  </si>
  <si>
    <t>V0459</t>
  </si>
  <si>
    <t>Ann &amp; Robert H. Lurie Children's Hospital of Chicago</t>
  </si>
  <si>
    <t>00012928</t>
  </si>
  <si>
    <t>U0899</t>
  </si>
  <si>
    <t>00015079</t>
  </si>
  <si>
    <t>NM1194</t>
  </si>
  <si>
    <t>00017373</t>
  </si>
  <si>
    <t>6735-R8209</t>
  </si>
  <si>
    <t>Antibody Solutions</t>
  </si>
  <si>
    <t>6735-R8195</t>
  </si>
  <si>
    <t>6735146218</t>
  </si>
  <si>
    <t>6620146182</t>
  </si>
  <si>
    <t>APPALACHIAN COLLEGE OF PHARMACY</t>
  </si>
  <si>
    <t>8470060190</t>
  </si>
  <si>
    <t>Aprea Therapeutics</t>
  </si>
  <si>
    <t>8470050185</t>
  </si>
  <si>
    <t>APTEVO THERAPEUTICS INC</t>
  </si>
  <si>
    <t>8470050177</t>
  </si>
  <si>
    <t>Guava easyCyte 5HT HPL</t>
  </si>
  <si>
    <t>U1571SP</t>
  </si>
  <si>
    <t>Aquillius</t>
  </si>
  <si>
    <t>00032949</t>
  </si>
  <si>
    <t>U1501</t>
  </si>
  <si>
    <t>Arcellx Inc</t>
  </si>
  <si>
    <t>00033919</t>
  </si>
  <si>
    <t>NM1492</t>
  </si>
  <si>
    <t>Archon Biosciences</t>
  </si>
  <si>
    <t>00031934</t>
  </si>
  <si>
    <t>U1220</t>
  </si>
  <si>
    <t>Arcus Biosciences, Inc.</t>
  </si>
  <si>
    <t>00016759</t>
  </si>
  <si>
    <t>EC220666H1</t>
  </si>
  <si>
    <t>00032308</t>
  </si>
  <si>
    <t>U1726</t>
  </si>
  <si>
    <t>00034984</t>
  </si>
  <si>
    <t>8574140111</t>
  </si>
  <si>
    <t>Arizona State University</t>
  </si>
  <si>
    <t>8472050191</t>
  </si>
  <si>
    <t>8470080165</t>
  </si>
  <si>
    <t>Arkansas Children's Research Institute (ACRI)</t>
  </si>
  <si>
    <t>00017932</t>
  </si>
  <si>
    <t>8470060226</t>
  </si>
  <si>
    <t>ARKANSAS COLLEGE OF HEALTH EDUCATION</t>
  </si>
  <si>
    <t>U0844</t>
  </si>
  <si>
    <t>Aro Biotherapeutics Company</t>
  </si>
  <si>
    <t>00035985</t>
  </si>
  <si>
    <t>V0186</t>
  </si>
  <si>
    <t>Arsenal Biosciences Inc</t>
  </si>
  <si>
    <t>00035978</t>
  </si>
  <si>
    <t>U1266SP</t>
  </si>
  <si>
    <t>Arsenal Biosciences Inc - Hayward CA</t>
  </si>
  <si>
    <t>00034417</t>
  </si>
  <si>
    <t>6620148051</t>
  </si>
  <si>
    <t>ARTIFICIAL CELL TECHNOLOGIES INC</t>
  </si>
  <si>
    <t>U1207</t>
  </si>
  <si>
    <t>Artiva Biotherapeutics</t>
  </si>
  <si>
    <t>00034423</t>
  </si>
  <si>
    <t>R0884</t>
  </si>
  <si>
    <t>00034422</t>
  </si>
  <si>
    <t>U1534</t>
  </si>
  <si>
    <t>ARUP Laboratories Inc</t>
  </si>
  <si>
    <t>00032224</t>
  </si>
  <si>
    <t>U1523</t>
  </si>
  <si>
    <t>00032221</t>
  </si>
  <si>
    <t>NM1652SP</t>
  </si>
  <si>
    <t>00035045</t>
  </si>
  <si>
    <t>8472050142</t>
  </si>
  <si>
    <t>Ascend Advanced Therapies FL Inc</t>
  </si>
  <si>
    <t>Cytek® Muse® Micro Cell Analyzer- Blue 3 channel</t>
  </si>
  <si>
    <t>U0582</t>
  </si>
  <si>
    <t>AskBio Inc</t>
  </si>
  <si>
    <t>00031961</t>
  </si>
  <si>
    <t>S0224</t>
  </si>
  <si>
    <t>00031964</t>
  </si>
  <si>
    <t>ISX715</t>
  </si>
  <si>
    <t>00032071</t>
  </si>
  <si>
    <t>EC231706G1</t>
  </si>
  <si>
    <t>00033385</t>
  </si>
  <si>
    <t>P1016</t>
  </si>
  <si>
    <t>00036960</t>
  </si>
  <si>
    <t>Orion Package Assy</t>
  </si>
  <si>
    <t>8470080164</t>
  </si>
  <si>
    <t>ASKGENE PHARMA INC</t>
  </si>
  <si>
    <t>Astellas Engineered Small Molecules US Inc.</t>
  </si>
  <si>
    <t>EC202966A1</t>
  </si>
  <si>
    <t>R1331</t>
  </si>
  <si>
    <t>00031620</t>
  </si>
  <si>
    <t>Y0622</t>
  </si>
  <si>
    <t>Astellas Institute for Regenerative Medicine (AIRM)</t>
  </si>
  <si>
    <t>00032814</t>
  </si>
  <si>
    <t>Cytek Aurora 4 Laser V/B/YG/R (48 + 3 Channel)</t>
  </si>
  <si>
    <t>V0148</t>
  </si>
  <si>
    <t>AstraZeneca Pharmaceuticals LP - Gaithersburg MD</t>
  </si>
  <si>
    <t>U1382</t>
  </si>
  <si>
    <t>00034038</t>
  </si>
  <si>
    <t>V0775</t>
  </si>
  <si>
    <t>AstraZeneca Pharmaceuticals LP - R&amp;D Boston MA</t>
  </si>
  <si>
    <t>00036680</t>
  </si>
  <si>
    <t>U1427</t>
  </si>
  <si>
    <t>00034598</t>
  </si>
  <si>
    <t>U0863</t>
  </si>
  <si>
    <t>00034597</t>
  </si>
  <si>
    <t>N0076</t>
  </si>
  <si>
    <t>00034575</t>
  </si>
  <si>
    <t>8470120152</t>
  </si>
  <si>
    <t>XF1012</t>
  </si>
  <si>
    <t>00036852</t>
  </si>
  <si>
    <t>U1763</t>
  </si>
  <si>
    <t>00036098</t>
  </si>
  <si>
    <t>6620128023</t>
  </si>
  <si>
    <t>Y1198</t>
  </si>
  <si>
    <t>AstraZeneca Pharmaceuticals LP - Santa Monica CA</t>
  </si>
  <si>
    <t>00032466</t>
  </si>
  <si>
    <t>Y1008</t>
  </si>
  <si>
    <t>00035505</t>
  </si>
  <si>
    <t>Y1006</t>
  </si>
  <si>
    <t>00032464</t>
  </si>
  <si>
    <t>N0700</t>
  </si>
  <si>
    <t>Atara Biotherapeutics, Inc. - Aurora</t>
  </si>
  <si>
    <t>00036051</t>
  </si>
  <si>
    <t>Aurora</t>
  </si>
  <si>
    <t>R0719</t>
  </si>
  <si>
    <t>Atara Biotherapeutics, Inc. - Thousand Oaks</t>
  </si>
  <si>
    <t>00013774</t>
  </si>
  <si>
    <t>EC200874H1</t>
  </si>
  <si>
    <t>MU21254002</t>
  </si>
  <si>
    <t>ATLAS BIO INC</t>
  </si>
  <si>
    <t>ISX195</t>
  </si>
  <si>
    <t>SLA-MUSE-COMP-DEPOT</t>
  </si>
  <si>
    <t>Muse Open Module Software</t>
  </si>
  <si>
    <t>EC213006E1</t>
  </si>
  <si>
    <t>R1083</t>
  </si>
  <si>
    <t>aTyr Pharma Inc</t>
  </si>
  <si>
    <t>00036247</t>
  </si>
  <si>
    <t>U0189</t>
  </si>
  <si>
    <t>Augusta University</t>
  </si>
  <si>
    <t>00036296</t>
  </si>
  <si>
    <t>ISX721</t>
  </si>
  <si>
    <t>6735146226</t>
  </si>
  <si>
    <t>EC212366A1</t>
  </si>
  <si>
    <t>AURO VACCINES LLC</t>
  </si>
  <si>
    <t>6735145255</t>
  </si>
  <si>
    <t>8470050194</t>
  </si>
  <si>
    <t>NM1438</t>
  </si>
  <si>
    <t>Avalon BioVentures</t>
  </si>
  <si>
    <t>00036370</t>
  </si>
  <si>
    <t>NM1427</t>
  </si>
  <si>
    <t>00017551</t>
  </si>
  <si>
    <t>7200150646</t>
  </si>
  <si>
    <t>AVESPA HOLDINGS LLC</t>
  </si>
  <si>
    <t>NM1469</t>
  </si>
  <si>
    <t>Avidity Biosciences</t>
  </si>
  <si>
    <t>00031317</t>
  </si>
  <si>
    <t>NM1265</t>
  </si>
  <si>
    <t>00033773</t>
  </si>
  <si>
    <t>8470060188</t>
  </si>
  <si>
    <t>AXCELLA HEALTH</t>
  </si>
  <si>
    <t>8470080172</t>
  </si>
  <si>
    <t>BALCHEM CORPORATION</t>
  </si>
  <si>
    <t>V1144</t>
  </si>
  <si>
    <t>Barinthus Biotherapeutics North America, Inc</t>
  </si>
  <si>
    <t>00032861</t>
  </si>
  <si>
    <t>7200151187</t>
  </si>
  <si>
    <t>BARNARD COLLEGE</t>
  </si>
  <si>
    <t>7200151187-7</t>
  </si>
  <si>
    <t>7200151187-6</t>
  </si>
  <si>
    <t>MUSE CELL ANALYZER, BASE INSTRUMENT ASSY</t>
  </si>
  <si>
    <t>7200151187-5</t>
  </si>
  <si>
    <t>ASSY, PKGD FLOWCELL, MUSE</t>
  </si>
  <si>
    <t>7200151187-4</t>
  </si>
  <si>
    <t>Assy, Flowcell, Muse</t>
  </si>
  <si>
    <t>7200151187-3</t>
  </si>
  <si>
    <t>7200151187-2</t>
  </si>
  <si>
    <t>7200151187-1</t>
  </si>
  <si>
    <t>R1251</t>
  </si>
  <si>
    <t>Barrow Neurological Institute</t>
  </si>
  <si>
    <t>00031573</t>
  </si>
  <si>
    <t>EC193434J1</t>
  </si>
  <si>
    <t>Battelle Memorial Institute</t>
  </si>
  <si>
    <t>Guava easyCyte 14HT, Boxed Instrument</t>
  </si>
  <si>
    <t>8470050126</t>
  </si>
  <si>
    <t>ImageStream X one camera base system bundle, Obsolete</t>
  </si>
  <si>
    <t>ISX746</t>
  </si>
  <si>
    <t>Bayer Crop Science US</t>
  </si>
  <si>
    <t>00032090</t>
  </si>
  <si>
    <t>Y0725</t>
  </si>
  <si>
    <t>Baylor College of Medicine</t>
  </si>
  <si>
    <t>00034639</t>
  </si>
  <si>
    <t>U1272</t>
  </si>
  <si>
    <t>00035275</t>
  </si>
  <si>
    <t>NM1360</t>
  </si>
  <si>
    <t>00017196</t>
  </si>
  <si>
    <t>N0494</t>
  </si>
  <si>
    <t>00013189</t>
  </si>
  <si>
    <t>N0290</t>
  </si>
  <si>
    <t>00009020</t>
  </si>
  <si>
    <t>ISX492</t>
  </si>
  <si>
    <t>00036610</t>
  </si>
  <si>
    <t>EC220816E1</t>
  </si>
  <si>
    <t>00035882</t>
  </si>
  <si>
    <t>8470H50297</t>
  </si>
  <si>
    <t>GuavaEasyCyte 5 BaseSystem Refurbished, Obsolete</t>
  </si>
  <si>
    <t>6620146161</t>
  </si>
  <si>
    <t>S0407</t>
  </si>
  <si>
    <t>00035787</t>
  </si>
  <si>
    <t>Cytek Aurora-CS 4L YG system</t>
  </si>
  <si>
    <t>NM1455SP</t>
  </si>
  <si>
    <t>Baylor University</t>
  </si>
  <si>
    <t>00031579</t>
  </si>
  <si>
    <t>FS126</t>
  </si>
  <si>
    <t>BAYSTATE MEDICAL CENTER</t>
  </si>
  <si>
    <t>R0062</t>
  </si>
  <si>
    <t>BC Cancer Agency - Victoria</t>
  </si>
  <si>
    <t>00033858</t>
  </si>
  <si>
    <t>R0061</t>
  </si>
  <si>
    <t>00033857</t>
  </si>
  <si>
    <t>7200151195</t>
  </si>
  <si>
    <t>BC Cancer Research Center - Vancouver</t>
  </si>
  <si>
    <t>U1459</t>
  </si>
  <si>
    <t>Beam Therapeutics</t>
  </si>
  <si>
    <t>00035248</t>
  </si>
  <si>
    <t>N0677</t>
  </si>
  <si>
    <t>00035249</t>
  </si>
  <si>
    <t>ISX758</t>
  </si>
  <si>
    <t>00035852</t>
  </si>
  <si>
    <t>U0596</t>
  </si>
  <si>
    <t>Beckman Coulter</t>
  </si>
  <si>
    <t>00033734</t>
  </si>
  <si>
    <t>EC231936G1</t>
  </si>
  <si>
    <t>Beckman Research Institute of City of Hope</t>
  </si>
  <si>
    <t>00035352</t>
  </si>
  <si>
    <t>ISX370</t>
  </si>
  <si>
    <t>Becton Dickinson and Company (BD) - Milpitas CA</t>
  </si>
  <si>
    <t>U1218</t>
  </si>
  <si>
    <t>Becton Dickinson and Company (BD) - San Diego CA</t>
  </si>
  <si>
    <t>00034427</t>
  </si>
  <si>
    <t>U0368</t>
  </si>
  <si>
    <t>Benaroya Research Institute (BRI)</t>
  </si>
  <si>
    <t>00034723</t>
  </si>
  <si>
    <t>Y0285</t>
  </si>
  <si>
    <t>Beth Israel Deaconess Medical Center Inc</t>
  </si>
  <si>
    <t>00012367</t>
  </si>
  <si>
    <t>EC212186A1</t>
  </si>
  <si>
    <t>00034477</t>
  </si>
  <si>
    <t>8470050320</t>
  </si>
  <si>
    <t>00034478</t>
  </si>
  <si>
    <t>8470050108</t>
  </si>
  <si>
    <t>00035253</t>
  </si>
  <si>
    <t>6735145231</t>
  </si>
  <si>
    <t>8470050116</t>
  </si>
  <si>
    <t>Biena Inc</t>
  </si>
  <si>
    <t>N0837</t>
  </si>
  <si>
    <t>Bigelow Laboratory for Ocean Sciences</t>
  </si>
  <si>
    <t>00014956</t>
  </si>
  <si>
    <t>S0308</t>
  </si>
  <si>
    <t>BINGHAMTON UNIVERSITY, STATE UNIVERSITY OF NEW YORK (SUNY)</t>
  </si>
  <si>
    <t>00032711</t>
  </si>
  <si>
    <t>8574140108</t>
  </si>
  <si>
    <t>BioBridge Global</t>
  </si>
  <si>
    <t>EC203076A3</t>
  </si>
  <si>
    <t>Bioclinova</t>
  </si>
  <si>
    <t>Biogen Inc</t>
  </si>
  <si>
    <t>ISX386</t>
  </si>
  <si>
    <t>EC211756C1</t>
  </si>
  <si>
    <t>EC202886D1</t>
  </si>
  <si>
    <t>EC200864C1</t>
  </si>
  <si>
    <t>8470060200</t>
  </si>
  <si>
    <t>8470060199</t>
  </si>
  <si>
    <t>00035310</t>
  </si>
  <si>
    <t>8470060173</t>
  </si>
  <si>
    <t>00035618</t>
  </si>
  <si>
    <t>673515S041</t>
  </si>
  <si>
    <t>8470130173</t>
  </si>
  <si>
    <t>Guava easyCyte 12HT, Boxed Instrument</t>
  </si>
  <si>
    <t>EC220766C1</t>
  </si>
  <si>
    <t>BioIVT</t>
  </si>
  <si>
    <t>00035367</t>
  </si>
  <si>
    <t>EC212256C1</t>
  </si>
  <si>
    <t>00033345</t>
  </si>
  <si>
    <t>EC211036C1</t>
  </si>
  <si>
    <t>00036161</t>
  </si>
  <si>
    <t>8472060232</t>
  </si>
  <si>
    <t>00036145</t>
  </si>
  <si>
    <t>8470060255</t>
  </si>
  <si>
    <t>00034729</t>
  </si>
  <si>
    <t>U1193</t>
  </si>
  <si>
    <t>BioMarin Pharmaceutical Inc</t>
  </si>
  <si>
    <t>00035308</t>
  </si>
  <si>
    <t>ISX799</t>
  </si>
  <si>
    <t>00034323</t>
  </si>
  <si>
    <t>8470050284</t>
  </si>
  <si>
    <t>BIOMAT USA</t>
  </si>
  <si>
    <t>8470050252</t>
  </si>
  <si>
    <t>BioNTech US</t>
  </si>
  <si>
    <t>R0827</t>
  </si>
  <si>
    <t>Bioqual Inc</t>
  </si>
  <si>
    <t>00035854</t>
  </si>
  <si>
    <t>Germany</t>
  </si>
  <si>
    <t>U1333</t>
  </si>
  <si>
    <t>Bio-Rad</t>
  </si>
  <si>
    <t>00036800</t>
  </si>
  <si>
    <t>R1084</t>
  </si>
  <si>
    <t>Bio-Techne - R&amp;D Systems Inc</t>
  </si>
  <si>
    <t>00016208</t>
  </si>
  <si>
    <t>ISX504</t>
  </si>
  <si>
    <t>Bloodworks Northwest</t>
  </si>
  <si>
    <t>ISX496</t>
  </si>
  <si>
    <t>00036858</t>
  </si>
  <si>
    <t>FS323</t>
  </si>
  <si>
    <t>Boehringer Ingelheim Animal Health USA Inc. - St. Joseph, MO</t>
  </si>
  <si>
    <t>00030021</t>
  </si>
  <si>
    <t>8470120173</t>
  </si>
  <si>
    <t>EC221606A1</t>
  </si>
  <si>
    <t>Boehringer Ingelheim Fremont Inc.</t>
  </si>
  <si>
    <t>00032366</t>
  </si>
  <si>
    <t>EC221306A1</t>
  </si>
  <si>
    <t>00032413</t>
  </si>
  <si>
    <t>EC221256A1</t>
  </si>
  <si>
    <t>00032364</t>
  </si>
  <si>
    <t>8574140107</t>
  </si>
  <si>
    <t>00026065</t>
  </si>
  <si>
    <t>ISX315</t>
  </si>
  <si>
    <t>Boehringer Ingelheim Pharmaceuticals Inc</t>
  </si>
  <si>
    <t>00030286</t>
  </si>
  <si>
    <t>EC203026H1</t>
  </si>
  <si>
    <t>00030805</t>
  </si>
  <si>
    <t>8470050312</t>
  </si>
  <si>
    <t>7200151113-5</t>
  </si>
  <si>
    <t>7200151113-4</t>
  </si>
  <si>
    <t>7200151113-3</t>
  </si>
  <si>
    <t>7200151113-2</t>
  </si>
  <si>
    <t>7200151113-1</t>
  </si>
  <si>
    <t>R0084</t>
  </si>
  <si>
    <t>Bolt Biotherapeutics</t>
  </si>
  <si>
    <t>00036931</t>
  </si>
  <si>
    <t>Y1519</t>
  </si>
  <si>
    <t>Boston Children's Hospital</t>
  </si>
  <si>
    <t>00034717</t>
  </si>
  <si>
    <t>U1103</t>
  </si>
  <si>
    <t>00031534</t>
  </si>
  <si>
    <t>NM1607</t>
  </si>
  <si>
    <t>00034298</t>
  </si>
  <si>
    <t>ISX445</t>
  </si>
  <si>
    <t>00036317</t>
  </si>
  <si>
    <t>SLA-ISXMKII-INTERMED</t>
  </si>
  <si>
    <t>V1769</t>
  </si>
  <si>
    <t>00035734</t>
  </si>
  <si>
    <t>6735R5194</t>
  </si>
  <si>
    <t>BOSTON COLLEGE</t>
  </si>
  <si>
    <t>Guava EasyCyte 5HT Base System, Refurb, Obsolete</t>
  </si>
  <si>
    <t>673515S039</t>
  </si>
  <si>
    <t>Boston University</t>
  </si>
  <si>
    <t>U1526</t>
  </si>
  <si>
    <t>00035620</t>
  </si>
  <si>
    <t>U1235</t>
  </si>
  <si>
    <t>00014186</t>
  </si>
  <si>
    <t>S0310</t>
  </si>
  <si>
    <t>00032719</t>
  </si>
  <si>
    <t>EC231117A2</t>
  </si>
  <si>
    <t>BOW VALLEY GENETICS LTD</t>
  </si>
  <si>
    <t>00017978</t>
  </si>
  <si>
    <t>EC200084E2</t>
  </si>
  <si>
    <t>BOWLING GREEN STATE UNIVERSITY</t>
  </si>
  <si>
    <t>U1357</t>
  </si>
  <si>
    <t>BriaCell Therapeutics Corp</t>
  </si>
  <si>
    <t>00035354</t>
  </si>
  <si>
    <t>U0845</t>
  </si>
  <si>
    <t>Brigham and Women's Hospital</t>
  </si>
  <si>
    <t>00030787</t>
  </si>
  <si>
    <t>R0919</t>
  </si>
  <si>
    <t>00035080</t>
  </si>
  <si>
    <t>NM1358</t>
  </si>
  <si>
    <t>00017200</t>
  </si>
  <si>
    <t>EC201926C2</t>
  </si>
  <si>
    <t>00030691</t>
  </si>
  <si>
    <t>EC201926C1</t>
  </si>
  <si>
    <t>00030690</t>
  </si>
  <si>
    <t>8470110103</t>
  </si>
  <si>
    <t>ISX584</t>
  </si>
  <si>
    <t>BRIGHAM YOUNG UNIVERSITY</t>
  </si>
  <si>
    <t>U1426</t>
  </si>
  <si>
    <t>Bristol Myers Squibb - Brisbane CA</t>
  </si>
  <si>
    <t>00034034</t>
  </si>
  <si>
    <t>U1233</t>
  </si>
  <si>
    <t>Bristol Myers Squibb - Cambridge MA</t>
  </si>
  <si>
    <t>00035414</t>
  </si>
  <si>
    <t>U1041</t>
  </si>
  <si>
    <t>00035416</t>
  </si>
  <si>
    <t>U0484</t>
  </si>
  <si>
    <t>00035415</t>
  </si>
  <si>
    <t>ISX798</t>
  </si>
  <si>
    <t>00034054</t>
  </si>
  <si>
    <t>U1554</t>
  </si>
  <si>
    <t>Bristol Myers Squibb - Lawrenceville NJ - Route 206</t>
  </si>
  <si>
    <t>00035410</t>
  </si>
  <si>
    <t>U1530</t>
  </si>
  <si>
    <t>00035418</t>
  </si>
  <si>
    <t>U1109</t>
  </si>
  <si>
    <t>00035404</t>
  </si>
  <si>
    <t>U1077</t>
  </si>
  <si>
    <t>00035406</t>
  </si>
  <si>
    <t>U0219</t>
  </si>
  <si>
    <t>00035409</t>
  </si>
  <si>
    <t>U0180</t>
  </si>
  <si>
    <t>00035407</t>
  </si>
  <si>
    <t>U0172</t>
  </si>
  <si>
    <t>00035408</t>
  </si>
  <si>
    <t>U0607</t>
  </si>
  <si>
    <t>Bristol Myers Squibb - Redwood City CA</t>
  </si>
  <si>
    <t>00035403</t>
  </si>
  <si>
    <t>EC231396A1</t>
  </si>
  <si>
    <t>00030573</t>
  </si>
  <si>
    <t>R0824</t>
  </si>
  <si>
    <t>Bristol Myers Squibb - San Diego CA</t>
  </si>
  <si>
    <t>00035402</t>
  </si>
  <si>
    <t>U1507</t>
  </si>
  <si>
    <t>Bristol Myers Squibb - Seattle WA</t>
  </si>
  <si>
    <t>00034431</t>
  </si>
  <si>
    <t>U1470</t>
  </si>
  <si>
    <t>00032995</t>
  </si>
  <si>
    <t>U0296</t>
  </si>
  <si>
    <t>00035391</t>
  </si>
  <si>
    <t>Bristol Myers Squibb - Summit NJ</t>
  </si>
  <si>
    <t>SLA-MUSE-COMPLETE</t>
  </si>
  <si>
    <t>ISX154</t>
  </si>
  <si>
    <t>U1464</t>
  </si>
  <si>
    <t>Bristol Myers Squibb - Warren NJ</t>
  </si>
  <si>
    <t>00034831</t>
  </si>
  <si>
    <t>U0750</t>
  </si>
  <si>
    <t>00035366</t>
  </si>
  <si>
    <t>U0561</t>
  </si>
  <si>
    <t>00035816</t>
  </si>
  <si>
    <t>ISX777</t>
  </si>
  <si>
    <t>00034952</t>
  </si>
  <si>
    <t>ISX756</t>
  </si>
  <si>
    <t>BRISTOL-MYERS SQUIBB COMPANY (Luminex, see description)</t>
  </si>
  <si>
    <t>00035603</t>
  </si>
  <si>
    <t>ISX410</t>
  </si>
  <si>
    <t>00035411</t>
  </si>
  <si>
    <t>EC230876G1</t>
  </si>
  <si>
    <t>00017924</t>
  </si>
  <si>
    <t>EC212986H1</t>
  </si>
  <si>
    <t>EC211036G1</t>
  </si>
  <si>
    <t>00025388</t>
  </si>
  <si>
    <t>8470060194</t>
  </si>
  <si>
    <t>6735138188</t>
  </si>
  <si>
    <t>B53028</t>
  </si>
  <si>
    <t>Broad Institute</t>
  </si>
  <si>
    <t>B51315</t>
  </si>
  <si>
    <t>6735146213</t>
  </si>
  <si>
    <t>R0786</t>
  </si>
  <si>
    <t>Brown University</t>
  </si>
  <si>
    <t>00016095</t>
  </si>
  <si>
    <t>8470080161</t>
  </si>
  <si>
    <t>S0350</t>
  </si>
  <si>
    <t>00034766</t>
  </si>
  <si>
    <t>U0872</t>
  </si>
  <si>
    <t>Buck Institute for Research on Aging</t>
  </si>
  <si>
    <t>00034096</t>
  </si>
  <si>
    <t>S0237</t>
  </si>
  <si>
    <t>00034006</t>
  </si>
  <si>
    <t>EC212236A1</t>
  </si>
  <si>
    <t>BURRELL COLLEGE OF OSTEOPATHIC MEDICINE</t>
  </si>
  <si>
    <t>8576120109</t>
  </si>
  <si>
    <t>C4 Therapeutics</t>
  </si>
  <si>
    <t>00031319</t>
  </si>
  <si>
    <t>8470060184</t>
  </si>
  <si>
    <t>U1370</t>
  </si>
  <si>
    <t>Calico Life Sciences</t>
  </si>
  <si>
    <t>00017646</t>
  </si>
  <si>
    <t>U0913</t>
  </si>
  <si>
    <t>00030898</t>
  </si>
  <si>
    <t>6620146171</t>
  </si>
  <si>
    <t>CALIFORNIA STATE UNIVERSITY</t>
  </si>
  <si>
    <t>7200151215</t>
  </si>
  <si>
    <t>CALIFORNIA STATE UNIVERSITY LONG BEACH</t>
  </si>
  <si>
    <t>6620145194</t>
  </si>
  <si>
    <t>CALIFORNIA STATE UNIVERSITY SAN BERNARDINO</t>
  </si>
  <si>
    <t>6735126096</t>
  </si>
  <si>
    <t>CAMBRIDGE SCIENTIFIC</t>
  </si>
  <si>
    <t>8472060242</t>
  </si>
  <si>
    <t>Canadian Blood Services</t>
  </si>
  <si>
    <t>00034684</t>
  </si>
  <si>
    <t>ISX545</t>
  </si>
  <si>
    <t>Canadian Nuclear Laboratories (CNL)</t>
  </si>
  <si>
    <t>00036797</t>
  </si>
  <si>
    <t>Y1311</t>
  </si>
  <si>
    <t>CancerCare Manitoba Research Institute</t>
  </si>
  <si>
    <t>00030803</t>
  </si>
  <si>
    <t>U1745</t>
  </si>
  <si>
    <t>00035635</t>
  </si>
  <si>
    <t>U1691</t>
  </si>
  <si>
    <t>00034626</t>
  </si>
  <si>
    <t>U1335</t>
  </si>
  <si>
    <t>00033498</t>
  </si>
  <si>
    <t>NM1296</t>
  </si>
  <si>
    <t>Caribou Bio</t>
  </si>
  <si>
    <t>00034238</t>
  </si>
  <si>
    <t>EC210286C1</t>
  </si>
  <si>
    <t>00035653</t>
  </si>
  <si>
    <t>8470120126</t>
  </si>
  <si>
    <t>Cartesian Therapeutics Inc</t>
  </si>
  <si>
    <t>R1270</t>
  </si>
  <si>
    <t>Case Western Reserve University</t>
  </si>
  <si>
    <t>00016999</t>
  </si>
  <si>
    <t>ISX110</t>
  </si>
  <si>
    <t>FS269</t>
  </si>
  <si>
    <t>EC242706A1</t>
  </si>
  <si>
    <t>00034328</t>
  </si>
  <si>
    <t>7200151241</t>
  </si>
  <si>
    <t>EC200155A2</t>
  </si>
  <si>
    <t>CASTLE CREEK BIOSCIENCES</t>
  </si>
  <si>
    <t>EC200155A1</t>
  </si>
  <si>
    <t>8470050157</t>
  </si>
  <si>
    <t>00022307</t>
  </si>
  <si>
    <t>NM1338</t>
  </si>
  <si>
    <t>00032377</t>
  </si>
  <si>
    <t>NM1500</t>
  </si>
  <si>
    <t>Cedars-Sinai</t>
  </si>
  <si>
    <t>00035189</t>
  </si>
  <si>
    <t>NM1464</t>
  </si>
  <si>
    <t>00031511</t>
  </si>
  <si>
    <t>NM1457</t>
  </si>
  <si>
    <t>00031510</t>
  </si>
  <si>
    <t>N0357</t>
  </si>
  <si>
    <t>00034677</t>
  </si>
  <si>
    <t>N0292</t>
  </si>
  <si>
    <t>00035578</t>
  </si>
  <si>
    <t>Celerion Inc</t>
  </si>
  <si>
    <t>MU23318004</t>
  </si>
  <si>
    <t>00036301</t>
  </si>
  <si>
    <t>MU20342003</t>
  </si>
  <si>
    <t>00034819</t>
  </si>
  <si>
    <t>MU20342003-1</t>
  </si>
  <si>
    <t>NM1608</t>
  </si>
  <si>
    <t>Cell Ready LLC</t>
  </si>
  <si>
    <t>00034589</t>
  </si>
  <si>
    <t>NM1575</t>
  </si>
  <si>
    <t>00034024</t>
  </si>
  <si>
    <t>N0564</t>
  </si>
  <si>
    <t>00036293</t>
  </si>
  <si>
    <t>U1167</t>
  </si>
  <si>
    <t>Cellanome Inc - San Diego CA</t>
  </si>
  <si>
    <t>00016408</t>
  </si>
  <si>
    <t>S0152</t>
  </si>
  <si>
    <t>00034032</t>
  </si>
  <si>
    <t>U1562</t>
  </si>
  <si>
    <t>Cellares Corporation</t>
  </si>
  <si>
    <t>00032983</t>
  </si>
  <si>
    <t>NM1406</t>
  </si>
  <si>
    <t>00036091</t>
  </si>
  <si>
    <t>NM1321</t>
  </si>
  <si>
    <t>00036092</t>
  </si>
  <si>
    <t>N0697</t>
  </si>
  <si>
    <t>00035488</t>
  </si>
  <si>
    <t>N0400</t>
  </si>
  <si>
    <t>00035191</t>
  </si>
  <si>
    <t>NM1659</t>
  </si>
  <si>
    <t>00035737</t>
  </si>
  <si>
    <t>NM1656</t>
  </si>
  <si>
    <t>00035735</t>
  </si>
  <si>
    <t>U1397</t>
  </si>
  <si>
    <t>CellCarta Biosciences Inc</t>
  </si>
  <si>
    <t>00031840</t>
  </si>
  <si>
    <t>Lease</t>
  </si>
  <si>
    <t>U0848</t>
  </si>
  <si>
    <t>00033738</t>
  </si>
  <si>
    <t>EC211256A1</t>
  </si>
  <si>
    <t>00035694</t>
  </si>
  <si>
    <t>8470050315</t>
  </si>
  <si>
    <t>00035693</t>
  </si>
  <si>
    <t>8470050292</t>
  </si>
  <si>
    <t>00035692</t>
  </si>
  <si>
    <t>8470050254</t>
  </si>
  <si>
    <t>00035691</t>
  </si>
  <si>
    <t>8470050316</t>
  </si>
  <si>
    <t>CellCarta Fremont LLC</t>
  </si>
  <si>
    <t>00023037</t>
  </si>
  <si>
    <t>R0033</t>
  </si>
  <si>
    <t>Celleqore</t>
  </si>
  <si>
    <t>00030921</t>
  </si>
  <si>
    <t>CELLULAR TECHNOLOGY LIMITED</t>
  </si>
  <si>
    <t>6620125092</t>
  </si>
  <si>
    <t>8470060128</t>
  </si>
  <si>
    <t>Cellular Vehicles</t>
  </si>
  <si>
    <t>Y0556</t>
  </si>
  <si>
    <t>Celularity Inc</t>
  </si>
  <si>
    <t>00016606</t>
  </si>
  <si>
    <t>S0336</t>
  </si>
  <si>
    <t>Center for Microbial Oceanography Research and Education (C-MORE)</t>
  </si>
  <si>
    <t>00034163</t>
  </si>
  <si>
    <t>Centers for Disease Control and Prevention (CDC)</t>
  </si>
  <si>
    <t>SLA-FS-BASIC</t>
  </si>
  <si>
    <t>EC212036E1</t>
  </si>
  <si>
    <t>EC201434D1</t>
  </si>
  <si>
    <t>8472060161</t>
  </si>
  <si>
    <t>U1509</t>
  </si>
  <si>
    <t>Centre de recherche du CHUM</t>
  </si>
  <si>
    <t>00031732</t>
  </si>
  <si>
    <t>S0287</t>
  </si>
  <si>
    <t>00031842</t>
  </si>
  <si>
    <t>Puerto Rico</t>
  </si>
  <si>
    <t>U0841</t>
  </si>
  <si>
    <t>Century Therapeutics</t>
  </si>
  <si>
    <t>00036045</t>
  </si>
  <si>
    <t>U1098</t>
  </si>
  <si>
    <t>Cerba Research USA</t>
  </si>
  <si>
    <t>00036311</t>
  </si>
  <si>
    <t>R0483</t>
  </si>
  <si>
    <t>Certis Oncology Solutions</t>
  </si>
  <si>
    <t>00033745</t>
  </si>
  <si>
    <t>U1296SP</t>
  </si>
  <si>
    <t>Cerus Corporation</t>
  </si>
  <si>
    <t>00034432</t>
  </si>
  <si>
    <t>N0720</t>
  </si>
  <si>
    <t>Champions Oncology, Inc</t>
  </si>
  <si>
    <t>00035630</t>
  </si>
  <si>
    <t>N0699</t>
  </si>
  <si>
    <t>00035631</t>
  </si>
  <si>
    <t>EC212176A1</t>
  </si>
  <si>
    <t>00035029</t>
  </si>
  <si>
    <t>8470050322</t>
  </si>
  <si>
    <t>00036624</t>
  </si>
  <si>
    <t>U1739</t>
  </si>
  <si>
    <t>00035016</t>
  </si>
  <si>
    <t>Guava easyCyte 12</t>
  </si>
  <si>
    <t>U1705</t>
  </si>
  <si>
    <t>Charles River Laboratories Montréal ULC</t>
  </si>
  <si>
    <t>00034755</t>
  </si>
  <si>
    <t>NM1426</t>
  </si>
  <si>
    <t>CHEO Research Institute</t>
  </si>
  <si>
    <t>00031509</t>
  </si>
  <si>
    <t>8472050267</t>
  </si>
  <si>
    <t>CHILDRENS CANCER THERAPY DEVELOPMENT INSTITUTE</t>
  </si>
  <si>
    <t>U1503</t>
  </si>
  <si>
    <t>Children's Hospital of Philadelphia</t>
  </si>
  <si>
    <t>00033957</t>
  </si>
  <si>
    <t>U0790</t>
  </si>
  <si>
    <t>00032544</t>
  </si>
  <si>
    <t>U0339</t>
  </si>
  <si>
    <t>00035294</t>
  </si>
  <si>
    <t>U0271</t>
  </si>
  <si>
    <t>00032549</t>
  </si>
  <si>
    <t>S0288</t>
  </si>
  <si>
    <t>00031787</t>
  </si>
  <si>
    <t>S0214</t>
  </si>
  <si>
    <t>00036056</t>
  </si>
  <si>
    <t>S0142</t>
  </si>
  <si>
    <t>00032555</t>
  </si>
  <si>
    <t>ISX159</t>
  </si>
  <si>
    <t>7200151128</t>
  </si>
  <si>
    <t>00020907</t>
  </si>
  <si>
    <t>U1225</t>
  </si>
  <si>
    <t>Children's National Medical Center</t>
  </si>
  <si>
    <t>00035006</t>
  </si>
  <si>
    <t>ISX320</t>
  </si>
  <si>
    <t>CHILDREN'S NATIONAL MEDICAL CENTER</t>
  </si>
  <si>
    <t>U0832</t>
  </si>
  <si>
    <t>CHLA - Children's Hospital Los Angeles</t>
  </si>
  <si>
    <t>00031216</t>
  </si>
  <si>
    <t>NM1501</t>
  </si>
  <si>
    <t>CHU de Quebec - Université Laval</t>
  </si>
  <si>
    <t>00032172</t>
  </si>
  <si>
    <t>NM1543</t>
  </si>
  <si>
    <t>00033476</t>
  </si>
  <si>
    <t>NM1111</t>
  </si>
  <si>
    <t>00031371</t>
  </si>
  <si>
    <t>U1063</t>
  </si>
  <si>
    <t>Cincinnati Children's Hospital Medical Center</t>
  </si>
  <si>
    <t>00018028</t>
  </si>
  <si>
    <t>U0294</t>
  </si>
  <si>
    <t>00014493</t>
  </si>
  <si>
    <t>NM1221</t>
  </si>
  <si>
    <t>00034594</t>
  </si>
  <si>
    <t>ISX622</t>
  </si>
  <si>
    <t>00035754</t>
  </si>
  <si>
    <t>ISX131</t>
  </si>
  <si>
    <t>N0497</t>
  </si>
  <si>
    <t>Circle Pharma</t>
  </si>
  <si>
    <t>00036654</t>
  </si>
  <si>
    <t>NM1056</t>
  </si>
  <si>
    <t>City College of New York</t>
  </si>
  <si>
    <t>00016463</t>
  </si>
  <si>
    <t>Cytek Northern Lights 2000 B/R -22 channel</t>
  </si>
  <si>
    <t>NM1335</t>
  </si>
  <si>
    <t>City College of San Francisco</t>
  </si>
  <si>
    <t>00034468</t>
  </si>
  <si>
    <t>U1649</t>
  </si>
  <si>
    <t>City of Hope National Medical Center</t>
  </si>
  <si>
    <t>00033891</t>
  </si>
  <si>
    <t>U1502</t>
  </si>
  <si>
    <t>00032527</t>
  </si>
  <si>
    <t>U1223</t>
  </si>
  <si>
    <t>00030344</t>
  </si>
  <si>
    <t>U0341</t>
  </si>
  <si>
    <t>00030340</t>
  </si>
  <si>
    <t>R0124</t>
  </si>
  <si>
    <t>00033917</t>
  </si>
  <si>
    <t>MU24110001</t>
  </si>
  <si>
    <t>00036079</t>
  </si>
  <si>
    <t>MU21160001</t>
  </si>
  <si>
    <t>00020956</t>
  </si>
  <si>
    <t>MU20239001</t>
  </si>
  <si>
    <t>00018543</t>
  </si>
  <si>
    <t>8577120106</t>
  </si>
  <si>
    <t>Guava easyCyte BGR</t>
  </si>
  <si>
    <t>8576120115</t>
  </si>
  <si>
    <t>00036220</t>
  </si>
  <si>
    <t>8470130158</t>
  </si>
  <si>
    <t>8470080109</t>
  </si>
  <si>
    <t>00036095</t>
  </si>
  <si>
    <t>8470060265</t>
  </si>
  <si>
    <t>7200151169</t>
  </si>
  <si>
    <t>00034320</t>
  </si>
  <si>
    <t>7200151116</t>
  </si>
  <si>
    <t>00034280</t>
  </si>
  <si>
    <t>7200120519</t>
  </si>
  <si>
    <t>7200151169-5</t>
  </si>
  <si>
    <t>7200151169-4</t>
  </si>
  <si>
    <t>7200151169-3</t>
  </si>
  <si>
    <t>7200151169-2</t>
  </si>
  <si>
    <t>7200151169-1</t>
  </si>
  <si>
    <t>7200151116-5</t>
  </si>
  <si>
    <t>7200151116-4</t>
  </si>
  <si>
    <t>7200151116-3</t>
  </si>
  <si>
    <t>7200151116-2</t>
  </si>
  <si>
    <t>7200151116-1</t>
  </si>
  <si>
    <t>8472050115</t>
  </si>
  <si>
    <t>CLAREMONT COLLEGES</t>
  </si>
  <si>
    <t>Y1152</t>
  </si>
  <si>
    <t>Clemson University</t>
  </si>
  <si>
    <t>00016370</t>
  </si>
  <si>
    <t>EC222986D1</t>
  </si>
  <si>
    <t>00017811</t>
  </si>
  <si>
    <t>Y1442</t>
  </si>
  <si>
    <t>Cleveland Clinic</t>
  </si>
  <si>
    <t>00034632</t>
  </si>
  <si>
    <t>U0643</t>
  </si>
  <si>
    <t>00034653</t>
  </si>
  <si>
    <t>U0430SP</t>
  </si>
  <si>
    <t>00033471</t>
  </si>
  <si>
    <t>EC221656A1</t>
  </si>
  <si>
    <t>00030646</t>
  </si>
  <si>
    <t>7200151115</t>
  </si>
  <si>
    <t>00033911</t>
  </si>
  <si>
    <t>R0649</t>
  </si>
  <si>
    <t>Cleveland Clinic - Florida Research and Innovation Center</t>
  </si>
  <si>
    <t>00036932</t>
  </si>
  <si>
    <t>EC221436A1</t>
  </si>
  <si>
    <t>CODAGENIX INC</t>
  </si>
  <si>
    <t>00030916</t>
  </si>
  <si>
    <t>NM1206</t>
  </si>
  <si>
    <t>Coherus BioSciences Inc</t>
  </si>
  <si>
    <t>00036369</t>
  </si>
  <si>
    <t>EC231176E1</t>
  </si>
  <si>
    <t>Cold Spring Harbor Laboratory</t>
  </si>
  <si>
    <t>00036131</t>
  </si>
  <si>
    <t>EC212046A1</t>
  </si>
  <si>
    <t>8470050302</t>
  </si>
  <si>
    <t>8470050273</t>
  </si>
  <si>
    <t>8470050266</t>
  </si>
  <si>
    <t>00033860</t>
  </si>
  <si>
    <t>6620145176</t>
  </si>
  <si>
    <t>COLORADO COLLEGE</t>
  </si>
  <si>
    <t>N0546</t>
  </si>
  <si>
    <t>Colorado School of Mines</t>
  </si>
  <si>
    <t>00036210</t>
  </si>
  <si>
    <t>Y0013</t>
  </si>
  <si>
    <t>Colorado State University</t>
  </si>
  <si>
    <t>00035782</t>
  </si>
  <si>
    <t>R0019</t>
  </si>
  <si>
    <t>00036726</t>
  </si>
  <si>
    <t>NM1229</t>
  </si>
  <si>
    <t>00036191</t>
  </si>
  <si>
    <t>Cytek Northern Lights 2000 B/V - 30 channel</t>
  </si>
  <si>
    <t>EC221057A2</t>
  </si>
  <si>
    <t>00031009</t>
  </si>
  <si>
    <t>8472050160</t>
  </si>
  <si>
    <t>U1140SP</t>
  </si>
  <si>
    <t>Columbia University</t>
  </si>
  <si>
    <t>00033232</t>
  </si>
  <si>
    <t>U0272</t>
  </si>
  <si>
    <t>00031096</t>
  </si>
  <si>
    <t>S0348</t>
  </si>
  <si>
    <t>00034353</t>
  </si>
  <si>
    <t>R0037</t>
  </si>
  <si>
    <t>00015503</t>
  </si>
  <si>
    <t>N00B5</t>
  </si>
  <si>
    <t>00015285</t>
  </si>
  <si>
    <t>ISX640</t>
  </si>
  <si>
    <t>00033907</t>
  </si>
  <si>
    <t>ISX513</t>
  </si>
  <si>
    <t>00031604</t>
  </si>
  <si>
    <t>8470080143</t>
  </si>
  <si>
    <t>Columbia University Irving Medical Center</t>
  </si>
  <si>
    <t>8470080116</t>
  </si>
  <si>
    <t>673515S040</t>
  </si>
  <si>
    <t>6735138226</t>
  </si>
  <si>
    <t>R1052</t>
  </si>
  <si>
    <t>Comprehensive Cell Solutions</t>
  </si>
  <si>
    <t>00036330</t>
  </si>
  <si>
    <t>8470060223</t>
  </si>
  <si>
    <t>Y0130SP</t>
  </si>
  <si>
    <t>00034906</t>
  </si>
  <si>
    <t>Cytek Aurora 4 Laser V/B/YG/R (48 + 3 Channel) - REFURBISHED</t>
  </si>
  <si>
    <t>S0367SP</t>
  </si>
  <si>
    <t>00034846</t>
  </si>
  <si>
    <t>EC223187A1</t>
  </si>
  <si>
    <t>Cook MyoSite Inc</t>
  </si>
  <si>
    <t>EC222907A1</t>
  </si>
  <si>
    <t>8472050180</t>
  </si>
  <si>
    <t>00035276</t>
  </si>
  <si>
    <t>8472050174</t>
  </si>
  <si>
    <t>00035277</t>
  </si>
  <si>
    <t>8472050172</t>
  </si>
  <si>
    <t>00035278</t>
  </si>
  <si>
    <t>8472050171</t>
  </si>
  <si>
    <t>00035279</t>
  </si>
  <si>
    <t>8472050155</t>
  </si>
  <si>
    <t>00035280</t>
  </si>
  <si>
    <t>6620145181</t>
  </si>
  <si>
    <t>6620145182</t>
  </si>
  <si>
    <t>S0312</t>
  </si>
  <si>
    <t>Cornell University</t>
  </si>
  <si>
    <t>00033435</t>
  </si>
  <si>
    <t>EC213436A1</t>
  </si>
  <si>
    <t>CORTEVA AGRISCIENCE</t>
  </si>
  <si>
    <t>China</t>
  </si>
  <si>
    <t>CPQ PROD TEST ACCOUNT</t>
  </si>
  <si>
    <t>France</t>
  </si>
  <si>
    <t>NM1424</t>
  </si>
  <si>
    <t>CQIB</t>
  </si>
  <si>
    <t>00034447</t>
  </si>
  <si>
    <t>NM1215</t>
  </si>
  <si>
    <t>Crossbow Therapeutics, Inc.</t>
  </si>
  <si>
    <t>00036130</t>
  </si>
  <si>
    <t>U0785</t>
  </si>
  <si>
    <t>CSL Behring, Pasadena - CLOSED</t>
  </si>
  <si>
    <t>00032895</t>
  </si>
  <si>
    <t>P1009</t>
  </si>
  <si>
    <t>00033542</t>
  </si>
  <si>
    <t>U1169SP</t>
  </si>
  <si>
    <t>CSL Seqirus</t>
  </si>
  <si>
    <t>00033390</t>
  </si>
  <si>
    <t>N0811</t>
  </si>
  <si>
    <t>CSU San Marcos</t>
  </si>
  <si>
    <t>00033534</t>
  </si>
  <si>
    <t>N0715</t>
  </si>
  <si>
    <t>Cue Biopharma, Inc</t>
  </si>
  <si>
    <t>00036283</t>
  </si>
  <si>
    <t>N0711</t>
  </si>
  <si>
    <t>00036282</t>
  </si>
  <si>
    <t>NM1610</t>
  </si>
  <si>
    <t>CyanVac LLC</t>
  </si>
  <si>
    <t>00034644</t>
  </si>
  <si>
    <t>MU21252001</t>
  </si>
  <si>
    <t>CytoImmune Therapeutics Inc</t>
  </si>
  <si>
    <t>MU21242001</t>
  </si>
  <si>
    <t>CytoImmune Therapeutics Puerto Rico LLC</t>
  </si>
  <si>
    <t>MU21225003</t>
  </si>
  <si>
    <t>R1230</t>
  </si>
  <si>
    <t>Cytokinetics</t>
  </si>
  <si>
    <t>00034576</t>
  </si>
  <si>
    <t>R0422</t>
  </si>
  <si>
    <t>Cytomics Analytical LLC</t>
  </si>
  <si>
    <t>00014236</t>
  </si>
  <si>
    <t>6735148265</t>
  </si>
  <si>
    <t>CYTOMX THERAPEUTICS - SAN FRANCISCO</t>
  </si>
  <si>
    <t>ISX659</t>
  </si>
  <si>
    <t>Dalhousie University</t>
  </si>
  <si>
    <t>00035672</t>
  </si>
  <si>
    <t>U1316</t>
  </si>
  <si>
    <t>Dana Farber Cancer Institute</t>
  </si>
  <si>
    <t>00017161</t>
  </si>
  <si>
    <t>NM1440</t>
  </si>
  <si>
    <t>00032259</t>
  </si>
  <si>
    <t>N0617</t>
  </si>
  <si>
    <t>00017098</t>
  </si>
  <si>
    <t>8470060151</t>
  </si>
  <si>
    <t>00030818</t>
  </si>
  <si>
    <t>U1410</t>
  </si>
  <si>
    <t>Dartmouth College - Geisel School of Medicine</t>
  </si>
  <si>
    <t>00033352</t>
  </si>
  <si>
    <t>Lebanon</t>
  </si>
  <si>
    <t>U0450</t>
  </si>
  <si>
    <t>00033349</t>
  </si>
  <si>
    <t>NM1604</t>
  </si>
  <si>
    <t>00034355</t>
  </si>
  <si>
    <t>NM1677</t>
  </si>
  <si>
    <t>00036140</t>
  </si>
  <si>
    <t>U1376</t>
  </si>
  <si>
    <t>00035673</t>
  </si>
  <si>
    <t>NM1544</t>
  </si>
  <si>
    <t>00033374</t>
  </si>
  <si>
    <t>U1712</t>
  </si>
  <si>
    <t>Denali Therapeutics</t>
  </si>
  <si>
    <t>00034862</t>
  </si>
  <si>
    <t>N0278</t>
  </si>
  <si>
    <t>00011017</t>
  </si>
  <si>
    <t>EC212596B1</t>
  </si>
  <si>
    <t>DERMBIONT INC</t>
  </si>
  <si>
    <t>EC221306E1</t>
  </si>
  <si>
    <t>Dharmacon Inc</t>
  </si>
  <si>
    <t>00030654</t>
  </si>
  <si>
    <t>673514S030</t>
  </si>
  <si>
    <t>U1444</t>
  </si>
  <si>
    <t>Discovery Life Sciences</t>
  </si>
  <si>
    <t>00031053</t>
  </si>
  <si>
    <t>U1391</t>
  </si>
  <si>
    <t>00035842</t>
  </si>
  <si>
    <t>Y0891</t>
  </si>
  <si>
    <t>Dispatch Biotherapeutics Inc</t>
  </si>
  <si>
    <t>FS298</t>
  </si>
  <si>
    <t>DOI FISH AND WILDLIFE SERVICE</t>
  </si>
  <si>
    <t>U0658</t>
  </si>
  <si>
    <t>Dragonfly Therapeutics</t>
  </si>
  <si>
    <t>00034064</t>
  </si>
  <si>
    <t>U0638</t>
  </si>
  <si>
    <t>00034063</t>
  </si>
  <si>
    <t>8470130183</t>
  </si>
  <si>
    <t>6735125093</t>
  </si>
  <si>
    <t>Drew University</t>
  </si>
  <si>
    <t>8470050174</t>
  </si>
  <si>
    <t>Drexel University</t>
  </si>
  <si>
    <t>00021228</t>
  </si>
  <si>
    <t>6620145179</t>
  </si>
  <si>
    <t>N0736</t>
  </si>
  <si>
    <t>Dualitas Therapeutics</t>
  </si>
  <si>
    <t>00033686</t>
  </si>
  <si>
    <t>Y1146</t>
  </si>
  <si>
    <t>Duke University</t>
  </si>
  <si>
    <t>00030824</t>
  </si>
  <si>
    <t>V0276</t>
  </si>
  <si>
    <t>00034788</t>
  </si>
  <si>
    <t>V0169</t>
  </si>
  <si>
    <t>00031033</t>
  </si>
  <si>
    <t>U1402</t>
  </si>
  <si>
    <t>00036350</t>
  </si>
  <si>
    <t>U0937</t>
  </si>
  <si>
    <t>00031568</t>
  </si>
  <si>
    <t>R0045</t>
  </si>
  <si>
    <t>00036335</t>
  </si>
  <si>
    <t>NM1311</t>
  </si>
  <si>
    <t>00031712</t>
  </si>
  <si>
    <t>N0742</t>
  </si>
  <si>
    <t>00013929</t>
  </si>
  <si>
    <t>MU21257002</t>
  </si>
  <si>
    <t>00034015</t>
  </si>
  <si>
    <t>MU21160002</t>
  </si>
  <si>
    <t>00036436</t>
  </si>
  <si>
    <t>MU20283002</t>
  </si>
  <si>
    <t>MU20030003</t>
  </si>
  <si>
    <t>00031740</t>
  </si>
  <si>
    <t>ISX138</t>
  </si>
  <si>
    <t>EC230097D1</t>
  </si>
  <si>
    <t>00028100</t>
  </si>
  <si>
    <t>EC222237C2</t>
  </si>
  <si>
    <t>00028094</t>
  </si>
  <si>
    <t>EC222166A2</t>
  </si>
  <si>
    <t>00034363</t>
  </si>
  <si>
    <t>EC211466E1</t>
  </si>
  <si>
    <t>00035183</t>
  </si>
  <si>
    <t>7200151243</t>
  </si>
  <si>
    <t>00034044</t>
  </si>
  <si>
    <t>7200150901</t>
  </si>
  <si>
    <t>6735125123</t>
  </si>
  <si>
    <t>7200150901-5</t>
  </si>
  <si>
    <t>7200150901-4</t>
  </si>
  <si>
    <t>7200150901-3</t>
  </si>
  <si>
    <t>7200150901-2</t>
  </si>
  <si>
    <t>7200150901-1</t>
  </si>
  <si>
    <t>6620-R6046</t>
  </si>
  <si>
    <t>Duquesne University</t>
  </si>
  <si>
    <t>GuavaEasyCyte 6-2L Base System Refurbished, Obsolete</t>
  </si>
  <si>
    <t>U0527</t>
  </si>
  <si>
    <t>East Carolina University</t>
  </si>
  <si>
    <t>00035355</t>
  </si>
  <si>
    <t>ISX557</t>
  </si>
  <si>
    <t>EAST TENNESSEE STATE UNIVERSITY</t>
  </si>
  <si>
    <t>00028603</t>
  </si>
  <si>
    <t>6735-R8083</t>
  </si>
  <si>
    <t>ECHELON BIOSCIENCES INC</t>
  </si>
  <si>
    <t>ISX779</t>
  </si>
  <si>
    <t>Editas Medicine Inc</t>
  </si>
  <si>
    <t>00032867</t>
  </si>
  <si>
    <t>ISX712</t>
  </si>
  <si>
    <t>00032051</t>
  </si>
  <si>
    <t>ISX704</t>
  </si>
  <si>
    <t>00032050</t>
  </si>
  <si>
    <t>ISX697</t>
  </si>
  <si>
    <t>00036383</t>
  </si>
  <si>
    <t>8470130123</t>
  </si>
  <si>
    <t>8472120110</t>
  </si>
  <si>
    <t>Edward Via College of Osteopathic Medicine (VCOM)</t>
  </si>
  <si>
    <t>00035981</t>
  </si>
  <si>
    <t>U1046</t>
  </si>
  <si>
    <t>eGenesis Inc</t>
  </si>
  <si>
    <t>00035225</t>
  </si>
  <si>
    <t>EC202406H1</t>
  </si>
  <si>
    <t>EIKON THERAPEUTICS INC</t>
  </si>
  <si>
    <t>Eisai Inc - Exton PA</t>
  </si>
  <si>
    <t>EC222346H1</t>
  </si>
  <si>
    <t>00034741</t>
  </si>
  <si>
    <t>U1202</t>
  </si>
  <si>
    <t>Elephas Biosciences Corporation</t>
  </si>
  <si>
    <t>00034385</t>
  </si>
  <si>
    <t>U1166</t>
  </si>
  <si>
    <t>00030775</t>
  </si>
  <si>
    <t>U1417</t>
  </si>
  <si>
    <t>Eli Lilly and Company - Indianapolis IN</t>
  </si>
  <si>
    <t>00036781</t>
  </si>
  <si>
    <t>U0572</t>
  </si>
  <si>
    <t>00034583</t>
  </si>
  <si>
    <t>EC212086C1</t>
  </si>
  <si>
    <t>00033799</t>
  </si>
  <si>
    <t>8576120117</t>
  </si>
  <si>
    <t>00030773</t>
  </si>
  <si>
    <t>8470050276</t>
  </si>
  <si>
    <t>00035156</t>
  </si>
  <si>
    <t>U1750</t>
  </si>
  <si>
    <t>00035601</t>
  </si>
  <si>
    <t>EC243666A1</t>
  </si>
  <si>
    <t>00035806</t>
  </si>
  <si>
    <t>U0767</t>
  </si>
  <si>
    <t>Eli Lilly and Company - San Diego CA</t>
  </si>
  <si>
    <t>00014168</t>
  </si>
  <si>
    <t>U1780</t>
  </si>
  <si>
    <t>00036550</t>
  </si>
  <si>
    <t>8470050298</t>
  </si>
  <si>
    <t>ELO LIFE SYSTEMS</t>
  </si>
  <si>
    <t>EC221196C1</t>
  </si>
  <si>
    <t>EMD Serono Inc</t>
  </si>
  <si>
    <t>EC203306C1</t>
  </si>
  <si>
    <t>8470080170</t>
  </si>
  <si>
    <t>8470060119</t>
  </si>
  <si>
    <t>6735-R5107</t>
  </si>
  <si>
    <t>ISX301</t>
  </si>
  <si>
    <t>Emory Children's Center</t>
  </si>
  <si>
    <t>00033495</t>
  </si>
  <si>
    <t>Y0573</t>
  </si>
  <si>
    <t>Emory University</t>
  </si>
  <si>
    <t>00031182</t>
  </si>
  <si>
    <t>Y0107</t>
  </si>
  <si>
    <t>00030469</t>
  </si>
  <si>
    <t>U1457</t>
  </si>
  <si>
    <t>00034364</t>
  </si>
  <si>
    <t>U1438</t>
  </si>
  <si>
    <t>00033404</t>
  </si>
  <si>
    <t>U1273</t>
  </si>
  <si>
    <t>00035896</t>
  </si>
  <si>
    <t>U0984</t>
  </si>
  <si>
    <t>00035004</t>
  </si>
  <si>
    <t>U0983</t>
  </si>
  <si>
    <t>00033402</t>
  </si>
  <si>
    <t>U0154</t>
  </si>
  <si>
    <t>00033403</t>
  </si>
  <si>
    <t>S0262</t>
  </si>
  <si>
    <t>00035479</t>
  </si>
  <si>
    <t>S0175</t>
  </si>
  <si>
    <t>00033405</t>
  </si>
  <si>
    <t>N0877</t>
  </si>
  <si>
    <t>00031036</t>
  </si>
  <si>
    <t>N0738</t>
  </si>
  <si>
    <t>00035652</t>
  </si>
  <si>
    <t>MU21237002</t>
  </si>
  <si>
    <t>00033775</t>
  </si>
  <si>
    <t>MU20133003</t>
  </si>
  <si>
    <t>MU20133003-1</t>
  </si>
  <si>
    <t>V0757</t>
  </si>
  <si>
    <t>Empress Therapeutics</t>
  </si>
  <si>
    <t>00033640</t>
  </si>
  <si>
    <t>NM1410</t>
  </si>
  <si>
    <t>ENDOLYTIX TECHNOLOGY INC</t>
  </si>
  <si>
    <t>00030939</t>
  </si>
  <si>
    <t>NM1145</t>
  </si>
  <si>
    <t>Enqubio Inc.</t>
  </si>
  <si>
    <t>00036021</t>
  </si>
  <si>
    <t>S0401</t>
  </si>
  <si>
    <t>00035615</t>
  </si>
  <si>
    <t>662014S023</t>
  </si>
  <si>
    <t>ENVIRONMENTAL BUSINESS SPECIALISTS LLC (EBS)</t>
  </si>
  <si>
    <t>Special, guava easyCyte 6-2L with HPL, Obsolete</t>
  </si>
  <si>
    <t>NM1411</t>
  </si>
  <si>
    <t>EpiBiologics</t>
  </si>
  <si>
    <t>00031382</t>
  </si>
  <si>
    <t>NM1115</t>
  </si>
  <si>
    <t>00035710</t>
  </si>
  <si>
    <t>8472060201</t>
  </si>
  <si>
    <t>EPIBONE</t>
  </si>
  <si>
    <t>6620145164</t>
  </si>
  <si>
    <t>Eppendorf US - Enfield CT</t>
  </si>
  <si>
    <t>NM1161</t>
  </si>
  <si>
    <t>Equillium</t>
  </si>
  <si>
    <t>00033276</t>
  </si>
  <si>
    <t>N0518</t>
  </si>
  <si>
    <t>00033278</t>
  </si>
  <si>
    <t>Eurofins - St Charles MO</t>
  </si>
  <si>
    <t>6735-R8026</t>
  </si>
  <si>
    <t>U1463</t>
  </si>
  <si>
    <t>Eurofins ViraCor Inc</t>
  </si>
  <si>
    <t>00033120</t>
  </si>
  <si>
    <t>U1213</t>
  </si>
  <si>
    <t>00033118</t>
  </si>
  <si>
    <t>U0714</t>
  </si>
  <si>
    <t>00033116</t>
  </si>
  <si>
    <t>U0417</t>
  </si>
  <si>
    <t>00033114</t>
  </si>
  <si>
    <t>U1701</t>
  </si>
  <si>
    <t>00034685</t>
  </si>
  <si>
    <t>NM1538</t>
  </si>
  <si>
    <t>00035944</t>
  </si>
  <si>
    <t>NM1170</t>
  </si>
  <si>
    <t>00031908</t>
  </si>
  <si>
    <t>V1531</t>
  </si>
  <si>
    <t>EvolveImmune Therapeutics</t>
  </si>
  <si>
    <t>00032139</t>
  </si>
  <si>
    <t>N1579</t>
  </si>
  <si>
    <t>Excellos</t>
  </si>
  <si>
    <t>00036916</t>
  </si>
  <si>
    <t>U1036</t>
  </si>
  <si>
    <t>Exelixis</t>
  </si>
  <si>
    <t>00015843</t>
  </si>
  <si>
    <t>S0162</t>
  </si>
  <si>
    <t>00016081</t>
  </si>
  <si>
    <t>R0059</t>
  </si>
  <si>
    <t>00033904</t>
  </si>
  <si>
    <t>6735116066</t>
  </si>
  <si>
    <t>EXPRESSION SYSTEMS</t>
  </si>
  <si>
    <t>6735148269</t>
  </si>
  <si>
    <t>FACTOR BIOSCIENCE INC</t>
  </si>
  <si>
    <t>V0857</t>
  </si>
  <si>
    <t>Fate Therapeutics, Inc</t>
  </si>
  <si>
    <t>00034475</t>
  </si>
  <si>
    <t>V0529</t>
  </si>
  <si>
    <t>00034474</t>
  </si>
  <si>
    <t>ISX432</t>
  </si>
  <si>
    <t>Feinstein Institutes for Medical Research</t>
  </si>
  <si>
    <t>00036751</t>
  </si>
  <si>
    <t>8470060161</t>
  </si>
  <si>
    <t>FELICITEX THERAPEUTICS</t>
  </si>
  <si>
    <t>8470080119</t>
  </si>
  <si>
    <t>FERRING RESEARCH INSTITUTE INC</t>
  </si>
  <si>
    <t>NM1270</t>
  </si>
  <si>
    <t>FirstLight Bio, Inc</t>
  </si>
  <si>
    <t>00033846</t>
  </si>
  <si>
    <t>Flagship Pioneering Labs TPC, Inc</t>
  </si>
  <si>
    <t>EC212456D1</t>
  </si>
  <si>
    <t>00025346</t>
  </si>
  <si>
    <t>6735145223</t>
  </si>
  <si>
    <t>FLARE THERAPEUTICS INC</t>
  </si>
  <si>
    <t>ISX648</t>
  </si>
  <si>
    <t>Florida A&amp;M University (FAMU)</t>
  </si>
  <si>
    <t>FS226</t>
  </si>
  <si>
    <t>Florida International University (FIU)</t>
  </si>
  <si>
    <t>00032411</t>
  </si>
  <si>
    <t>U1570SP</t>
  </si>
  <si>
    <t>Florida State University</t>
  </si>
  <si>
    <t>00036544</t>
  </si>
  <si>
    <t>S0316</t>
  </si>
  <si>
    <t>00036543</t>
  </si>
  <si>
    <t>NM1462</t>
  </si>
  <si>
    <t>00032735</t>
  </si>
  <si>
    <t>ISX787</t>
  </si>
  <si>
    <t>00032894</t>
  </si>
  <si>
    <t>FS109</t>
  </si>
  <si>
    <t>FLOW CYTOMETRY ACCOUNT FOR UNASSIGNED INSTALLED PRODUCTS</t>
  </si>
  <si>
    <t>7200151139</t>
  </si>
  <si>
    <t>Guava easyCyte 6-2L, Boxed Instrument</t>
  </si>
  <si>
    <t>Brazil</t>
  </si>
  <si>
    <t>8470060178</t>
  </si>
  <si>
    <t>Fox Chase Cancer Center</t>
  </si>
  <si>
    <t>U1629</t>
  </si>
  <si>
    <t>Fred Hutchinson Cancer Center</t>
  </si>
  <si>
    <t>00036884</t>
  </si>
  <si>
    <t>U0875</t>
  </si>
  <si>
    <t>00033865</t>
  </si>
  <si>
    <t>U0640</t>
  </si>
  <si>
    <t>00030642</t>
  </si>
  <si>
    <t>N0663</t>
  </si>
  <si>
    <t>00013672</t>
  </si>
  <si>
    <t>EC222166A1</t>
  </si>
  <si>
    <t>00031311</t>
  </si>
  <si>
    <t>EC211027A1</t>
  </si>
  <si>
    <t>EC202826A1</t>
  </si>
  <si>
    <t>00023084</t>
  </si>
  <si>
    <t>8574100117</t>
  </si>
  <si>
    <t>8472050114</t>
  </si>
  <si>
    <t>00035967</t>
  </si>
  <si>
    <t>8470050275</t>
  </si>
  <si>
    <t>00031596</t>
  </si>
  <si>
    <t>R1522</t>
  </si>
  <si>
    <t>Fujifilm Diosynth Biosciences</t>
  </si>
  <si>
    <t>00032106</t>
  </si>
  <si>
    <t>R1456</t>
  </si>
  <si>
    <t>00032112</t>
  </si>
  <si>
    <t>R1455</t>
  </si>
  <si>
    <t>00032110</t>
  </si>
  <si>
    <t>8470050299</t>
  </si>
  <si>
    <t>FUJIFILM DIOSYNTH BIOTECHNOLOGIES - US</t>
  </si>
  <si>
    <t>8470050102</t>
  </si>
  <si>
    <t>Y0018</t>
  </si>
  <si>
    <t>Fulcrum Therapeutics Inc</t>
  </si>
  <si>
    <t>00034869</t>
  </si>
  <si>
    <t>RM1014</t>
  </si>
  <si>
    <t>00034104</t>
  </si>
  <si>
    <t>EC221927C1</t>
  </si>
  <si>
    <t>FULLERTON COLLEGE</t>
  </si>
  <si>
    <t>00028089</t>
  </si>
  <si>
    <t>EC221787C1</t>
  </si>
  <si>
    <t>00028088</t>
  </si>
  <si>
    <t>R1449</t>
  </si>
  <si>
    <t>Functional Fluidics</t>
  </si>
  <si>
    <t>00031415</t>
  </si>
  <si>
    <t>NM1055</t>
  </si>
  <si>
    <t>00036363</t>
  </si>
  <si>
    <t>N1635</t>
  </si>
  <si>
    <t>GenEdit Inc</t>
  </si>
  <si>
    <t>00033705</t>
  </si>
  <si>
    <t>N1630</t>
  </si>
  <si>
    <t>00033632</t>
  </si>
  <si>
    <t>V0268</t>
  </si>
  <si>
    <t>Genentech</t>
  </si>
  <si>
    <t>00035060</t>
  </si>
  <si>
    <t>U1682SP</t>
  </si>
  <si>
    <t>00034205</t>
  </si>
  <si>
    <t>U1662</t>
  </si>
  <si>
    <t>00034114</t>
  </si>
  <si>
    <t>U1466</t>
  </si>
  <si>
    <t>00035076</t>
  </si>
  <si>
    <t>U1341</t>
  </si>
  <si>
    <t>00035058</t>
  </si>
  <si>
    <t>U1334</t>
  </si>
  <si>
    <t>00035078</t>
  </si>
  <si>
    <t>U0774</t>
  </si>
  <si>
    <t>00035059</t>
  </si>
  <si>
    <t>U0041</t>
  </si>
  <si>
    <t>00035077</t>
  </si>
  <si>
    <t>ISX200</t>
  </si>
  <si>
    <t>8470060189</t>
  </si>
  <si>
    <t>U1756</t>
  </si>
  <si>
    <t>00035731</t>
  </si>
  <si>
    <t>EC210886A1</t>
  </si>
  <si>
    <t>00035990</t>
  </si>
  <si>
    <t>6735136136</t>
  </si>
  <si>
    <t>EC241436A1</t>
  </si>
  <si>
    <t>00036328</t>
  </si>
  <si>
    <t>EC231336A1</t>
  </si>
  <si>
    <t>00030332</t>
  </si>
  <si>
    <t>U1431</t>
  </si>
  <si>
    <t>Genmab US, Inc</t>
  </si>
  <si>
    <t>00035892</t>
  </si>
  <si>
    <t>U0576</t>
  </si>
  <si>
    <t>00035894</t>
  </si>
  <si>
    <t>U0443</t>
  </si>
  <si>
    <t>00035893</t>
  </si>
  <si>
    <t>8470120137</t>
  </si>
  <si>
    <t>GENOCEA BIOSCIENCES</t>
  </si>
  <si>
    <t>6735-R8085</t>
  </si>
  <si>
    <t>GENOSCO</t>
  </si>
  <si>
    <t>U0992</t>
  </si>
  <si>
    <t>00034651</t>
  </si>
  <si>
    <t>8470120129</t>
  </si>
  <si>
    <t>Genzyme Corporation, a Sanofi company</t>
  </si>
  <si>
    <t>U1305SP</t>
  </si>
  <si>
    <t>George Mason University</t>
  </si>
  <si>
    <t>00034405</t>
  </si>
  <si>
    <t>S0208</t>
  </si>
  <si>
    <t>00034406</t>
  </si>
  <si>
    <t>S0427</t>
  </si>
  <si>
    <t>00036498</t>
  </si>
  <si>
    <t>Cytek Aurora-CS 2L (B, V) system</t>
  </si>
  <si>
    <t>R0160</t>
  </si>
  <si>
    <t>George Washington University</t>
  </si>
  <si>
    <t>00036151</t>
  </si>
  <si>
    <t>Y1595</t>
  </si>
  <si>
    <t>Georgetown University</t>
  </si>
  <si>
    <t>00036154</t>
  </si>
  <si>
    <t>S0277</t>
  </si>
  <si>
    <t>00035347</t>
  </si>
  <si>
    <t>Georgia Institute Of Technology</t>
  </si>
  <si>
    <t>U1361</t>
  </si>
  <si>
    <t>00034720</t>
  </si>
  <si>
    <t>U0773</t>
  </si>
  <si>
    <t>00034719</t>
  </si>
  <si>
    <t>S0302</t>
  </si>
  <si>
    <t>00032079</t>
  </si>
  <si>
    <t>NM1220</t>
  </si>
  <si>
    <t>00017093</t>
  </si>
  <si>
    <t>ISX610</t>
  </si>
  <si>
    <t>00035226</t>
  </si>
  <si>
    <t>FS202</t>
  </si>
  <si>
    <t>CS122</t>
  </si>
  <si>
    <t>00031892</t>
  </si>
  <si>
    <t>CellStream Base Instrument, 488nm, 7 Channels, HTS</t>
  </si>
  <si>
    <t>8472060162</t>
  </si>
  <si>
    <t>6735138235</t>
  </si>
  <si>
    <t>USA</t>
  </si>
  <si>
    <t>EC211136D1</t>
  </si>
  <si>
    <t>673514S205</t>
  </si>
  <si>
    <t>ISX728</t>
  </si>
  <si>
    <t>00034464</t>
  </si>
  <si>
    <t>ISX331</t>
  </si>
  <si>
    <t>00035131</t>
  </si>
  <si>
    <t>6735138201</t>
  </si>
  <si>
    <t>Y0933</t>
  </si>
  <si>
    <t>00034818</t>
  </si>
  <si>
    <t>ISX304</t>
  </si>
  <si>
    <t>U0234</t>
  </si>
  <si>
    <t>GlaxoSmithKline (GSK) US - Cambridge Park Drive MA</t>
  </si>
  <si>
    <t>00031849</t>
  </si>
  <si>
    <t>U1774</t>
  </si>
  <si>
    <t>00036143</t>
  </si>
  <si>
    <t>U1773</t>
  </si>
  <si>
    <t>00036142</t>
  </si>
  <si>
    <t>ISX499</t>
  </si>
  <si>
    <t>GlaxoSmithKline (GSK) US - Philadelphia PA</t>
  </si>
  <si>
    <t>V0179</t>
  </si>
  <si>
    <t>GlaxoSmithKline (GSK) US - Upper Providence PA</t>
  </si>
  <si>
    <t>00034028</t>
  </si>
  <si>
    <t>U1672</t>
  </si>
  <si>
    <t>00034237</t>
  </si>
  <si>
    <t>U1671</t>
  </si>
  <si>
    <t>00034236</t>
  </si>
  <si>
    <t>U0686</t>
  </si>
  <si>
    <t>00035227</t>
  </si>
  <si>
    <t>U0669</t>
  </si>
  <si>
    <t>00035228</t>
  </si>
  <si>
    <t>U0510</t>
  </si>
  <si>
    <t>00036681</t>
  </si>
  <si>
    <t>U1783SP</t>
  </si>
  <si>
    <t>00036499</t>
  </si>
  <si>
    <t>EC203436J1</t>
  </si>
  <si>
    <t>Global Life Sciences Solutions USA LLC (Cytiva)</t>
  </si>
  <si>
    <t>00033172</t>
  </si>
  <si>
    <t>8470120121</t>
  </si>
  <si>
    <t>Glycomantra Inc</t>
  </si>
  <si>
    <t>00036506</t>
  </si>
  <si>
    <t>Guava easyCyte 12HT System, Refurbished</t>
  </si>
  <si>
    <t>6735148277</t>
  </si>
  <si>
    <t>U0886</t>
  </si>
  <si>
    <t>00034698</t>
  </si>
  <si>
    <t>U0874</t>
  </si>
  <si>
    <t>00034699</t>
  </si>
  <si>
    <t>U0588</t>
  </si>
  <si>
    <t>00017711</t>
  </si>
  <si>
    <t>U0537</t>
  </si>
  <si>
    <t>00033532</t>
  </si>
  <si>
    <t>MU19302004</t>
  </si>
  <si>
    <t>EC200594C2</t>
  </si>
  <si>
    <t>U1768SP</t>
  </si>
  <si>
    <t>00036530</t>
  </si>
  <si>
    <t>S0410</t>
  </si>
  <si>
    <t>00036555</t>
  </si>
  <si>
    <t>R0961</t>
  </si>
  <si>
    <t>00015483</t>
  </si>
  <si>
    <t>ISX344</t>
  </si>
  <si>
    <t>00030418</t>
  </si>
  <si>
    <t>ISX709</t>
  </si>
  <si>
    <t>GRAPHITE BIO INC</t>
  </si>
  <si>
    <t>00029469</t>
  </si>
  <si>
    <t>EC220066F1</t>
  </si>
  <si>
    <t>Graviton Bioscience Corp.</t>
  </si>
  <si>
    <t>00035197</t>
  </si>
  <si>
    <t>U0988</t>
  </si>
  <si>
    <t>00032307</t>
  </si>
  <si>
    <t>8470050170</t>
  </si>
  <si>
    <t>Gritstone Bio - Cambridge</t>
  </si>
  <si>
    <t>00031442</t>
  </si>
  <si>
    <t>8470060263</t>
  </si>
  <si>
    <t>GUARDIAN THERAPEUTICS INC</t>
  </si>
  <si>
    <t>R1281</t>
  </si>
  <si>
    <t>00017193</t>
  </si>
  <si>
    <t>V0541</t>
  </si>
  <si>
    <t>H. Lee Moffitt Cancer Center</t>
  </si>
  <si>
    <t>00031022</t>
  </si>
  <si>
    <t>U1142</t>
  </si>
  <si>
    <t>00017890</t>
  </si>
  <si>
    <t>00031355</t>
  </si>
  <si>
    <t>S0256</t>
  </si>
  <si>
    <t>00030974</t>
  </si>
  <si>
    <t>ISX485</t>
  </si>
  <si>
    <t>00030599</t>
  </si>
  <si>
    <t>U1362</t>
  </si>
  <si>
    <t>Hale Building for Transformative Medicines</t>
  </si>
  <si>
    <t>00017765</t>
  </si>
  <si>
    <t>S0240</t>
  </si>
  <si>
    <t>00032450</t>
  </si>
  <si>
    <t>XF1014</t>
  </si>
  <si>
    <t>00036842</t>
  </si>
  <si>
    <t>U1734</t>
  </si>
  <si>
    <t>8472050152</t>
  </si>
  <si>
    <t>HAMPTON UNIVERSITY</t>
  </si>
  <si>
    <t>Y0137</t>
  </si>
  <si>
    <t>Harvard Medical School</t>
  </si>
  <si>
    <t>00036076</t>
  </si>
  <si>
    <t>U0405</t>
  </si>
  <si>
    <t>00035856</t>
  </si>
  <si>
    <t>S0207</t>
  </si>
  <si>
    <t>00033089</t>
  </si>
  <si>
    <t>U0579</t>
  </si>
  <si>
    <t>Harvard School of Engineering</t>
  </si>
  <si>
    <t>00016827</t>
  </si>
  <si>
    <t>NM1503</t>
  </si>
  <si>
    <t>Harvard TH Chan School of Public Health</t>
  </si>
  <si>
    <t>00032240</t>
  </si>
  <si>
    <t>NM1320</t>
  </si>
  <si>
    <t>00017334</t>
  </si>
  <si>
    <t>U0199</t>
  </si>
  <si>
    <t>Harvard University</t>
  </si>
  <si>
    <t>00016176</t>
  </si>
  <si>
    <t>8574100114</t>
  </si>
  <si>
    <t>R0347</t>
  </si>
  <si>
    <t>00017209</t>
  </si>
  <si>
    <t>ISX624</t>
  </si>
  <si>
    <t>00036303</t>
  </si>
  <si>
    <t>7200151235</t>
  </si>
  <si>
    <t>Health Research Inc</t>
  </si>
  <si>
    <t>SM1011</t>
  </si>
  <si>
    <t>HealthPartners Dental Clinic</t>
  </si>
  <si>
    <t>00036487</t>
  </si>
  <si>
    <t>8472080110</t>
  </si>
  <si>
    <t>HELIAE DEVELOPMENT</t>
  </si>
  <si>
    <t>6735R8278</t>
  </si>
  <si>
    <t>Helix Biopharma - Edmonton AB</t>
  </si>
  <si>
    <t>N0594</t>
  </si>
  <si>
    <t>Henlius USA Inc.</t>
  </si>
  <si>
    <t>00034758</t>
  </si>
  <si>
    <t>ISX646</t>
  </si>
  <si>
    <t>HENRY FORD HEALTH SYSTEM</t>
  </si>
  <si>
    <t>N0655</t>
  </si>
  <si>
    <t>Henry M. Jackson Foundation</t>
  </si>
  <si>
    <t>00035152</t>
  </si>
  <si>
    <t>U0519</t>
  </si>
  <si>
    <t>HiberCell Inc</t>
  </si>
  <si>
    <t>00036100</t>
  </si>
  <si>
    <t>U0932</t>
  </si>
  <si>
    <t>00035143</t>
  </si>
  <si>
    <t>7200151261</t>
  </si>
  <si>
    <t>HILLSDALE COLLEGE</t>
  </si>
  <si>
    <t>ISX118</t>
  </si>
  <si>
    <t>HOFFMANN-LA ROCHE</t>
  </si>
  <si>
    <t>U0864</t>
  </si>
  <si>
    <t>Hopital Maisonneuve Rosemont</t>
  </si>
  <si>
    <t>00014860</t>
  </si>
  <si>
    <t>S0129</t>
  </si>
  <si>
    <t>00015499</t>
  </si>
  <si>
    <t>S0230</t>
  </si>
  <si>
    <t>Houston Methodist</t>
  </si>
  <si>
    <t>00017938</t>
  </si>
  <si>
    <t>NM1343</t>
  </si>
  <si>
    <t>00017940</t>
  </si>
  <si>
    <t>ISX170</t>
  </si>
  <si>
    <t>EC222207D2</t>
  </si>
  <si>
    <t>00028099</t>
  </si>
  <si>
    <t>6735138220</t>
  </si>
  <si>
    <t>XF1008</t>
  </si>
  <si>
    <t>00036504</t>
  </si>
  <si>
    <t>EC200164J1</t>
  </si>
  <si>
    <t>Howard Hughes Medical Institute (HHMI)</t>
  </si>
  <si>
    <t>EC193384J1</t>
  </si>
  <si>
    <t>8470080190</t>
  </si>
  <si>
    <t>662014S024</t>
  </si>
  <si>
    <t>ISX321</t>
  </si>
  <si>
    <t>Huckleberry Farms LLC</t>
  </si>
  <si>
    <t>00031039</t>
  </si>
  <si>
    <t>NM1138</t>
  </si>
  <si>
    <t>Hudson Valley Community College</t>
  </si>
  <si>
    <t>00015601</t>
  </si>
  <si>
    <t>8470060242</t>
  </si>
  <si>
    <t>6735126102</t>
  </si>
  <si>
    <t>HUNTSMAN CANCER INSTITUTE</t>
  </si>
  <si>
    <t>Y0096</t>
  </si>
  <si>
    <t>Icahn School of Medicine at Mount Sinai (ISMMS)</t>
  </si>
  <si>
    <t>00036043</t>
  </si>
  <si>
    <t>U1414</t>
  </si>
  <si>
    <t>00030591</t>
  </si>
  <si>
    <t>U1371</t>
  </si>
  <si>
    <t>00034648</t>
  </si>
  <si>
    <t>U0735</t>
  </si>
  <si>
    <t>00017435</t>
  </si>
  <si>
    <t>U0668</t>
  </si>
  <si>
    <t>00034722</t>
  </si>
  <si>
    <t>U0608</t>
  </si>
  <si>
    <t>00031618</t>
  </si>
  <si>
    <t>S0229</t>
  </si>
  <si>
    <t>00036012</t>
  </si>
  <si>
    <t>NM1413SP</t>
  </si>
  <si>
    <t>00030556</t>
  </si>
  <si>
    <t>NM1367</t>
  </si>
  <si>
    <t>00032509</t>
  </si>
  <si>
    <t>ISX158</t>
  </si>
  <si>
    <t>8576120106</t>
  </si>
  <si>
    <t>6735145216</t>
  </si>
  <si>
    <t>6735135151</t>
  </si>
  <si>
    <t>U1764</t>
  </si>
  <si>
    <t>00036725</t>
  </si>
  <si>
    <t>U1736</t>
  </si>
  <si>
    <t>00036724</t>
  </si>
  <si>
    <t>NM1166</t>
  </si>
  <si>
    <t>I-MAB Biopharma</t>
  </si>
  <si>
    <t>00030755</t>
  </si>
  <si>
    <t>U1268</t>
  </si>
  <si>
    <t>Immatics US Inc</t>
  </si>
  <si>
    <t>00034604</t>
  </si>
  <si>
    <t>U1247</t>
  </si>
  <si>
    <t>immunai</t>
  </si>
  <si>
    <t>00035446</t>
  </si>
  <si>
    <t>U0896</t>
  </si>
  <si>
    <t>00035443</t>
  </si>
  <si>
    <t>XF1010</t>
  </si>
  <si>
    <t>ImmunEdge Inc</t>
  </si>
  <si>
    <t>00036502</t>
  </si>
  <si>
    <t>NM1580</t>
  </si>
  <si>
    <t>00034208</t>
  </si>
  <si>
    <t>NM1579</t>
  </si>
  <si>
    <t>NM1578</t>
  </si>
  <si>
    <t>00034187</t>
  </si>
  <si>
    <t>NM1577</t>
  </si>
  <si>
    <t>00034185</t>
  </si>
  <si>
    <t>NM1286</t>
  </si>
  <si>
    <t>Immunomic Therapeutics</t>
  </si>
  <si>
    <t>00016267</t>
  </si>
  <si>
    <t>NM1655</t>
  </si>
  <si>
    <t>00035134</t>
  </si>
  <si>
    <t>RM1026</t>
  </si>
  <si>
    <t>Immusoft Corporation</t>
  </si>
  <si>
    <t>00035089</t>
  </si>
  <si>
    <t>South Korea</t>
  </si>
  <si>
    <t>TC102</t>
  </si>
  <si>
    <t>Incheon Academy of Science and Arts</t>
  </si>
  <si>
    <t>DxP Athena V2-B4-R2: 3-laser, 8-color</t>
  </si>
  <si>
    <t>U1564SP</t>
  </si>
  <si>
    <t>Incyte Corporation</t>
  </si>
  <si>
    <t>00035707</t>
  </si>
  <si>
    <t>U1263SP</t>
  </si>
  <si>
    <t>00016866</t>
  </si>
  <si>
    <t>ISX681</t>
  </si>
  <si>
    <t>00036214</t>
  </si>
  <si>
    <t>EC200294G1</t>
  </si>
  <si>
    <t>U1549</t>
  </si>
  <si>
    <t>Indapta Therapeutics</t>
  </si>
  <si>
    <t>00034348</t>
  </si>
  <si>
    <t>R0374</t>
  </si>
  <si>
    <t>Indiana Biosciences Research Institute Inc</t>
  </si>
  <si>
    <t>00035508</t>
  </si>
  <si>
    <t>R0411</t>
  </si>
  <si>
    <t>Indiana State University</t>
  </si>
  <si>
    <t>00036224</t>
  </si>
  <si>
    <t>EC213426D1</t>
  </si>
  <si>
    <t>00032309</t>
  </si>
  <si>
    <t>ISX318</t>
  </si>
  <si>
    <t>Indiana University</t>
  </si>
  <si>
    <t>EC220217A1</t>
  </si>
  <si>
    <t>00036055</t>
  </si>
  <si>
    <t>Y0995</t>
  </si>
  <si>
    <t>Indiana University School of Medicine</t>
  </si>
  <si>
    <t>00034365</t>
  </si>
  <si>
    <t>R0383</t>
  </si>
  <si>
    <t>00032348</t>
  </si>
  <si>
    <t>NM1383</t>
  </si>
  <si>
    <t>00036016</t>
  </si>
  <si>
    <t>NM1648</t>
  </si>
  <si>
    <t>00034975</t>
  </si>
  <si>
    <t>NM1327</t>
  </si>
  <si>
    <t>00035061</t>
  </si>
  <si>
    <t>6735148252</t>
  </si>
  <si>
    <t>Infinimmune</t>
  </si>
  <si>
    <t>6735146225</t>
  </si>
  <si>
    <t>InnoVenture Labs</t>
  </si>
  <si>
    <t>S0326SP</t>
  </si>
  <si>
    <t>INRS Armand-Frappier Santé - Microscopy and Flow Cytometry</t>
  </si>
  <si>
    <t>00034403</t>
  </si>
  <si>
    <t>NM1612SP</t>
  </si>
  <si>
    <t>00034484</t>
  </si>
  <si>
    <t>ISX395</t>
  </si>
  <si>
    <t>INRS Armand-Frappier Santé Biotechnologie Research Centre</t>
  </si>
  <si>
    <t>NM1357SP</t>
  </si>
  <si>
    <t>Insmed Incorporated</t>
  </si>
  <si>
    <t>00035949</t>
  </si>
  <si>
    <t>N0800</t>
  </si>
  <si>
    <t>00035948</t>
  </si>
  <si>
    <t>EC232086A2</t>
  </si>
  <si>
    <t>00031531</t>
  </si>
  <si>
    <t>6735146212</t>
  </si>
  <si>
    <t>6735125114</t>
  </si>
  <si>
    <t>INSTITUTE FOR IN VITRO SCIENCES INC</t>
  </si>
  <si>
    <t>ISX166</t>
  </si>
  <si>
    <t>INSTITUTE OF SURGICAL RESEARCH</t>
  </si>
  <si>
    <t>MU21056003</t>
  </si>
  <si>
    <t>INTERAMERICAN UNIVERSITY OF PUERTO RICO</t>
  </si>
  <si>
    <t>MU21056002</t>
  </si>
  <si>
    <t>8470060154</t>
  </si>
  <si>
    <t>INTERTEK PHARMACEUTICALS</t>
  </si>
  <si>
    <t>6620-R6144</t>
  </si>
  <si>
    <t>8470120142</t>
  </si>
  <si>
    <t>NM1129</t>
  </si>
  <si>
    <t>Inversion Therapeutics</t>
  </si>
  <si>
    <t>00035786</t>
  </si>
  <si>
    <t>ISX687</t>
  </si>
  <si>
    <t>IOWA STATE UNIVERSITY</t>
  </si>
  <si>
    <t>00031267</t>
  </si>
  <si>
    <t>ISX403</t>
  </si>
  <si>
    <t>00034682</t>
  </si>
  <si>
    <t>ISX165</t>
  </si>
  <si>
    <t>IOWA STATE UNIVERSITY COLLEGE OF VETERINARY MEDICINE</t>
  </si>
  <si>
    <t>6735115027</t>
  </si>
  <si>
    <t>IPSEN (PREVIOUSLY EPIZYME INC)</t>
  </si>
  <si>
    <t>6735125136</t>
  </si>
  <si>
    <t>U1097</t>
  </si>
  <si>
    <t>IQVIA Laboratories - Durham NC</t>
  </si>
  <si>
    <t>00036602</t>
  </si>
  <si>
    <t>U0854</t>
  </si>
  <si>
    <t>00036604</t>
  </si>
  <si>
    <t>U0804</t>
  </si>
  <si>
    <t>00036603</t>
  </si>
  <si>
    <t>S0130</t>
  </si>
  <si>
    <t>00036605</t>
  </si>
  <si>
    <t>U1088</t>
  </si>
  <si>
    <t>IQVIA Laboratories - Marietta GA</t>
  </si>
  <si>
    <t>00035986</t>
  </si>
  <si>
    <t>U1017</t>
  </si>
  <si>
    <t>00036374</t>
  </si>
  <si>
    <t>U1011</t>
  </si>
  <si>
    <t>00036375</t>
  </si>
  <si>
    <t>U0944</t>
  </si>
  <si>
    <t>00036376</t>
  </si>
  <si>
    <t>U0855</t>
  </si>
  <si>
    <t>00036380</t>
  </si>
  <si>
    <t>U0835</t>
  </si>
  <si>
    <t>00036379</t>
  </si>
  <si>
    <t>U0524</t>
  </si>
  <si>
    <t>00036377</t>
  </si>
  <si>
    <t>U0485</t>
  </si>
  <si>
    <t>00036378</t>
  </si>
  <si>
    <t>U0464</t>
  </si>
  <si>
    <t>00036381</t>
  </si>
  <si>
    <t>U0454</t>
  </si>
  <si>
    <t>00036382</t>
  </si>
  <si>
    <t>U0371</t>
  </si>
  <si>
    <t>00035988</t>
  </si>
  <si>
    <t>U0355</t>
  </si>
  <si>
    <t>00035987</t>
  </si>
  <si>
    <t>U0942</t>
  </si>
  <si>
    <t>IQVIA Laboratories - Valencia CA</t>
  </si>
  <si>
    <t>00034612</t>
  </si>
  <si>
    <t>U0940</t>
  </si>
  <si>
    <t>00034434</t>
  </si>
  <si>
    <t>U0348</t>
  </si>
  <si>
    <t>00035317</t>
  </si>
  <si>
    <t>U0344</t>
  </si>
  <si>
    <t>00035318</t>
  </si>
  <si>
    <t>N0164</t>
  </si>
  <si>
    <t>Ithaca College</t>
  </si>
  <si>
    <t>U0246</t>
  </si>
  <si>
    <t>Jackson Laboratory - Farmington CT</t>
  </si>
  <si>
    <t>00033805</t>
  </si>
  <si>
    <t>U1751</t>
  </si>
  <si>
    <t>00035671</t>
  </si>
  <si>
    <t>6735126074</t>
  </si>
  <si>
    <t>JACOBIO (US) PHARMACEUTICALS INC</t>
  </si>
  <si>
    <t>U1260</t>
  </si>
  <si>
    <t>00034702</t>
  </si>
  <si>
    <t>U0963</t>
  </si>
  <si>
    <t>00034701</t>
  </si>
  <si>
    <t>R0046</t>
  </si>
  <si>
    <t>00035938</t>
  </si>
  <si>
    <t>U1415</t>
  </si>
  <si>
    <t>00035413</t>
  </si>
  <si>
    <t>U1267</t>
  </si>
  <si>
    <t>00034564</t>
  </si>
  <si>
    <t>U1067</t>
  </si>
  <si>
    <t>00017473</t>
  </si>
  <si>
    <t>U0852</t>
  </si>
  <si>
    <t>00036046</t>
  </si>
  <si>
    <t>U0502</t>
  </si>
  <si>
    <t>00035162</t>
  </si>
  <si>
    <t>U0479</t>
  </si>
  <si>
    <t>00035412</t>
  </si>
  <si>
    <t>S0361</t>
  </si>
  <si>
    <t>00034785</t>
  </si>
  <si>
    <t>V0846</t>
  </si>
  <si>
    <t>00035977</t>
  </si>
  <si>
    <t>U0951</t>
  </si>
  <si>
    <t>00036147</t>
  </si>
  <si>
    <t>U0881</t>
  </si>
  <si>
    <t>00033789</t>
  </si>
  <si>
    <t>S0132</t>
  </si>
  <si>
    <t>00032768</t>
  </si>
  <si>
    <t>S0117</t>
  </si>
  <si>
    <t>00032765</t>
  </si>
  <si>
    <t>ISX631</t>
  </si>
  <si>
    <t>ISX566</t>
  </si>
  <si>
    <t>00035783</t>
  </si>
  <si>
    <t>EC220756H1</t>
  </si>
  <si>
    <t>00026169</t>
  </si>
  <si>
    <t>EC212816A1</t>
  </si>
  <si>
    <t>U1784SP</t>
  </si>
  <si>
    <t>00036743</t>
  </si>
  <si>
    <t>EC231356A1</t>
  </si>
  <si>
    <t>Jarvis Christian College</t>
  </si>
  <si>
    <t>00032950</t>
  </si>
  <si>
    <t>6735125091</t>
  </si>
  <si>
    <t>JD GENOMICS</t>
  </si>
  <si>
    <t>6620125087</t>
  </si>
  <si>
    <t>Guava easyCyte 5SL, Boxed Instrument</t>
  </si>
  <si>
    <t>U1071</t>
  </si>
  <si>
    <t>Johns Hopkins Bayview Medical Center</t>
  </si>
  <si>
    <t>00035239</t>
  </si>
  <si>
    <t>Johns Hopkins Health System Corporation</t>
  </si>
  <si>
    <t>6735-R5201</t>
  </si>
  <si>
    <t>6735-R5201-1</t>
  </si>
  <si>
    <t>Instrument, Top Level, Easycyte, 5HT</t>
  </si>
  <si>
    <t>FS295</t>
  </si>
  <si>
    <t>Johns Hopkins Medicine</t>
  </si>
  <si>
    <t>Y0386</t>
  </si>
  <si>
    <t>Johns Hopkins University</t>
  </si>
  <si>
    <t>00032439</t>
  </si>
  <si>
    <t>Y0330</t>
  </si>
  <si>
    <t>00015665</t>
  </si>
  <si>
    <t>V0865</t>
  </si>
  <si>
    <t>00035897</t>
  </si>
  <si>
    <t>R0517</t>
  </si>
  <si>
    <t>00036760</t>
  </si>
  <si>
    <t>R0373</t>
  </si>
  <si>
    <t>00017219</t>
  </si>
  <si>
    <t>NM1458</t>
  </si>
  <si>
    <t>00032881</t>
  </si>
  <si>
    <t>NM1109</t>
  </si>
  <si>
    <t>00034115</t>
  </si>
  <si>
    <t>N0630</t>
  </si>
  <si>
    <t>00034532</t>
  </si>
  <si>
    <t>N0574</t>
  </si>
  <si>
    <t>00034649</t>
  </si>
  <si>
    <t>N0567</t>
  </si>
  <si>
    <t>00031335</t>
  </si>
  <si>
    <t>MU20232001</t>
  </si>
  <si>
    <t>ISX384</t>
  </si>
  <si>
    <t>8470060103</t>
  </si>
  <si>
    <t>SM1004</t>
  </si>
  <si>
    <t>00036464</t>
  </si>
  <si>
    <t>8574100109</t>
  </si>
  <si>
    <t>8470130117</t>
  </si>
  <si>
    <t>00025612</t>
  </si>
  <si>
    <t>8470120176</t>
  </si>
  <si>
    <t>00025845</t>
  </si>
  <si>
    <t>NM1076</t>
  </si>
  <si>
    <t>Jura Bio, Inc.</t>
  </si>
  <si>
    <t>00014534</t>
  </si>
  <si>
    <t>NM1495</t>
  </si>
  <si>
    <t>00034161</t>
  </si>
  <si>
    <t>EC232086A1</t>
  </si>
  <si>
    <t>Just?Evotec Biologics, Inc - Seattle</t>
  </si>
  <si>
    <t>00031912</t>
  </si>
  <si>
    <t>EC212386A1</t>
  </si>
  <si>
    <t>00031680</t>
  </si>
  <si>
    <t>8470050195</t>
  </si>
  <si>
    <t>N1284</t>
  </si>
  <si>
    <t>Kansas State College of Veterinary Medicine</t>
  </si>
  <si>
    <t>00017118</t>
  </si>
  <si>
    <t>8470050159</t>
  </si>
  <si>
    <t>Kansas State University</t>
  </si>
  <si>
    <t>V1770</t>
  </si>
  <si>
    <t>00036062</t>
  </si>
  <si>
    <t>8470050224</t>
  </si>
  <si>
    <t>KAPIOLANI COMMUNITY COLLEGE</t>
  </si>
  <si>
    <t>FS201</t>
  </si>
  <si>
    <t>KASHIV BIOSCIENCES, LLC</t>
  </si>
  <si>
    <t>FS319</t>
  </si>
  <si>
    <t>KBI Biopharma Inc</t>
  </si>
  <si>
    <t>00036116</t>
  </si>
  <si>
    <t>8470080156</t>
  </si>
  <si>
    <t>00025238</t>
  </si>
  <si>
    <t>8472080108</t>
  </si>
  <si>
    <t>KBR Wyle Services LLC</t>
  </si>
  <si>
    <t>00035147</t>
  </si>
  <si>
    <t>U1355</t>
  </si>
  <si>
    <t>KCAS Bio - Lower Gwynedd PA</t>
  </si>
  <si>
    <t>00036787</t>
  </si>
  <si>
    <t>U1354</t>
  </si>
  <si>
    <t>00036784</t>
  </si>
  <si>
    <t>8470060125</t>
  </si>
  <si>
    <t>KECK GRADUATE INSTITUTE</t>
  </si>
  <si>
    <t>R0997SP</t>
  </si>
  <si>
    <t>Kelonia Therapeutics</t>
  </si>
  <si>
    <t>00035157</t>
  </si>
  <si>
    <t>FS164</t>
  </si>
  <si>
    <t>KENT STATE UNIVERSITY</t>
  </si>
  <si>
    <t>00035079</t>
  </si>
  <si>
    <t>Kenvue Brands LLC</t>
  </si>
  <si>
    <t>V1004</t>
  </si>
  <si>
    <t>Kezar Life Sciences</t>
  </si>
  <si>
    <t>00017216</t>
  </si>
  <si>
    <t>V0295</t>
  </si>
  <si>
    <t>00031736</t>
  </si>
  <si>
    <t>S0143</t>
  </si>
  <si>
    <t>00017752</t>
  </si>
  <si>
    <t>RM1013</t>
  </si>
  <si>
    <t>Kingston Health Sciences Centre</t>
  </si>
  <si>
    <t>00033649</t>
  </si>
  <si>
    <t>N0131</t>
  </si>
  <si>
    <t>Kiniksa Pharmaceuticals</t>
  </si>
  <si>
    <t>00035209</t>
  </si>
  <si>
    <t>U1013</t>
  </si>
  <si>
    <t>00035169</t>
  </si>
  <si>
    <t>ISX678</t>
  </si>
  <si>
    <t>00035235</t>
  </si>
  <si>
    <t>EC212516G1</t>
  </si>
  <si>
    <t>8470050219</t>
  </si>
  <si>
    <t>U1758</t>
  </si>
  <si>
    <t>00035733</t>
  </si>
  <si>
    <t>U1757</t>
  </si>
  <si>
    <t>00035732</t>
  </si>
  <si>
    <t>8470050242</t>
  </si>
  <si>
    <t>KSQ THERAPEUTICS INC</t>
  </si>
  <si>
    <t>00022375</t>
  </si>
  <si>
    <t>R0542</t>
  </si>
  <si>
    <t>Kumquat Biosciences Inc.</t>
  </si>
  <si>
    <t>00033746</t>
  </si>
  <si>
    <t>EC193394D1</t>
  </si>
  <si>
    <t>KYMERA THERAPEUTICS INC</t>
  </si>
  <si>
    <t>RM1010</t>
  </si>
  <si>
    <t>Kyverna Therapeutics</t>
  </si>
  <si>
    <t>00036302</t>
  </si>
  <si>
    <t>ISX367</t>
  </si>
  <si>
    <t>La Jolla Infectious Disease Institute</t>
  </si>
  <si>
    <t>U1177</t>
  </si>
  <si>
    <t>La Jolla Institute for Immunology</t>
  </si>
  <si>
    <t>00030656</t>
  </si>
  <si>
    <t>U0908</t>
  </si>
  <si>
    <t>00030355</t>
  </si>
  <si>
    <t>U0907</t>
  </si>
  <si>
    <t>00030520</t>
  </si>
  <si>
    <t>U0839</t>
  </si>
  <si>
    <t>00030664</t>
  </si>
  <si>
    <t>U0589</t>
  </si>
  <si>
    <t>00030518</t>
  </si>
  <si>
    <t>U0476</t>
  </si>
  <si>
    <t>00030515</t>
  </si>
  <si>
    <t>U0468</t>
  </si>
  <si>
    <t>00030353</t>
  </si>
  <si>
    <t>S0107</t>
  </si>
  <si>
    <t>00030658</t>
  </si>
  <si>
    <t>MU21159003</t>
  </si>
  <si>
    <t>00030989</t>
  </si>
  <si>
    <t>R1005</t>
  </si>
  <si>
    <t>Lab Fellows</t>
  </si>
  <si>
    <t>00015910</t>
  </si>
  <si>
    <t>U1385</t>
  </si>
  <si>
    <t>LabCorp Drug Development</t>
  </si>
  <si>
    <t>00035939</t>
  </si>
  <si>
    <t>ISX599</t>
  </si>
  <si>
    <t>LANKENAU INSTITUTE FOR MEDICAL RESEARCH</t>
  </si>
  <si>
    <t>8470130193</t>
  </si>
  <si>
    <t>LASE Innovation Inc</t>
  </si>
  <si>
    <t>U1658SP</t>
  </si>
  <si>
    <t>00034165</t>
  </si>
  <si>
    <t>EC221626C1</t>
  </si>
  <si>
    <t>00031617</t>
  </si>
  <si>
    <t>8470120105</t>
  </si>
  <si>
    <t>LAWSON HEALTH RESEARCH INSTITUTE</t>
  </si>
  <si>
    <t>00030781</t>
  </si>
  <si>
    <t>Y0231</t>
  </si>
  <si>
    <t>Legend Biotech</t>
  </si>
  <si>
    <t>00033318</t>
  </si>
  <si>
    <t>U1551</t>
  </si>
  <si>
    <t>00034916</t>
  </si>
  <si>
    <t>U0667</t>
  </si>
  <si>
    <t>00034954</t>
  </si>
  <si>
    <t>U0311</t>
  </si>
  <si>
    <t>00033317</t>
  </si>
  <si>
    <t>YM1011SP</t>
  </si>
  <si>
    <t>00036804</t>
  </si>
  <si>
    <t>U1778</t>
  </si>
  <si>
    <t>Legend Biotech - Philadelphia</t>
  </si>
  <si>
    <t>00036866</t>
  </si>
  <si>
    <t>U0514</t>
  </si>
  <si>
    <t>Leidos Biomedical Research Inc</t>
  </si>
  <si>
    <t>00034068</t>
  </si>
  <si>
    <t>ISX682</t>
  </si>
  <si>
    <t>00036366</t>
  </si>
  <si>
    <t>ISX675</t>
  </si>
  <si>
    <t>00035346</t>
  </si>
  <si>
    <t>ISX673</t>
  </si>
  <si>
    <t>00036367</t>
  </si>
  <si>
    <t>ISX549</t>
  </si>
  <si>
    <t>00034680</t>
  </si>
  <si>
    <t>ISX512</t>
  </si>
  <si>
    <t>00035345</t>
  </si>
  <si>
    <t>ISX422</t>
  </si>
  <si>
    <t>00035344</t>
  </si>
  <si>
    <t>U1786SP</t>
  </si>
  <si>
    <t>00036844</t>
  </si>
  <si>
    <t>U1785SP</t>
  </si>
  <si>
    <t>00036867</t>
  </si>
  <si>
    <t>6735145254</t>
  </si>
  <si>
    <t>LENTIGEN TECHNOLOGY INC</t>
  </si>
  <si>
    <t>R0106</t>
  </si>
  <si>
    <t>Level Up Pharmaceuticals Inc</t>
  </si>
  <si>
    <t>00033325</t>
  </si>
  <si>
    <t>N1634</t>
  </si>
  <si>
    <t>Lewis University</t>
  </si>
  <si>
    <t>00036757</t>
  </si>
  <si>
    <t>8472050213</t>
  </si>
  <si>
    <t>LIFE PRODUCTS INC</t>
  </si>
  <si>
    <t>N1289</t>
  </si>
  <si>
    <t>LifeMine Therapeutics Inc</t>
  </si>
  <si>
    <t>00034178</t>
  </si>
  <si>
    <t>NM1386</t>
  </si>
  <si>
    <t>Lifordi Immunotherapeutics (Formerly ImmuNext Inc)</t>
  </si>
  <si>
    <t>00030487</t>
  </si>
  <si>
    <t>EC201334C1</t>
  </si>
  <si>
    <t>00033832</t>
  </si>
  <si>
    <t>8472050258</t>
  </si>
  <si>
    <t>LINFIELD COLLEGE</t>
  </si>
  <si>
    <t>EC220986J1</t>
  </si>
  <si>
    <t>LIVESTOCK AND RANGE RESEARCH LABORATORY</t>
  </si>
  <si>
    <t>00032848</t>
  </si>
  <si>
    <t>MU21211002</t>
  </si>
  <si>
    <t>LIVINGSTON MED LAB</t>
  </si>
  <si>
    <t>N0365</t>
  </si>
  <si>
    <t>Long Island University</t>
  </si>
  <si>
    <t>00008060</t>
  </si>
  <si>
    <t>NM1106</t>
  </si>
  <si>
    <t>Longevity Biotech</t>
  </si>
  <si>
    <t>00015145</t>
  </si>
  <si>
    <t>ISX137</t>
  </si>
  <si>
    <t>Los Alamos National Laboratory (LANL Triad LLC)</t>
  </si>
  <si>
    <t>U0451</t>
  </si>
  <si>
    <t>Louisiana State University (LSU)</t>
  </si>
  <si>
    <t>00012633</t>
  </si>
  <si>
    <t>NM1325</t>
  </si>
  <si>
    <t>00017065</t>
  </si>
  <si>
    <t>ISX528</t>
  </si>
  <si>
    <t>00033568</t>
  </si>
  <si>
    <t>Cytek® Muse® Micro Cell Analyzer- 5 channel</t>
  </si>
  <si>
    <t>U1065</t>
  </si>
  <si>
    <t>00035164</t>
  </si>
  <si>
    <t>U1010</t>
  </si>
  <si>
    <t>Loyola University Chicago - Medical Center</t>
  </si>
  <si>
    <t>00036879</t>
  </si>
  <si>
    <t>S0339</t>
  </si>
  <si>
    <t>00034354</t>
  </si>
  <si>
    <t>ISX204</t>
  </si>
  <si>
    <t>N1580</t>
  </si>
  <si>
    <t>LSU Health (LSUHSC) - New Orleans</t>
  </si>
  <si>
    <t>00036146</t>
  </si>
  <si>
    <t>NM1681</t>
  </si>
  <si>
    <t>LSU Health (LSUHSC) - Shreveport</t>
  </si>
  <si>
    <t>00036515</t>
  </si>
  <si>
    <t>NM1211</t>
  </si>
  <si>
    <t>LTZ Therapeutics Inc.</t>
  </si>
  <si>
    <t>00016206</t>
  </si>
  <si>
    <t>LUMINEX CORPORATION</t>
  </si>
  <si>
    <t>LUMINEX OWNED EQUIPMENT</t>
  </si>
  <si>
    <t>MU21263001</t>
  </si>
  <si>
    <t>MU21231001</t>
  </si>
  <si>
    <t>ISX683</t>
  </si>
  <si>
    <t>ISX680</t>
  </si>
  <si>
    <t>ISX582</t>
  </si>
  <si>
    <t>ISX493</t>
  </si>
  <si>
    <t>FS152</t>
  </si>
  <si>
    <t>FS134</t>
  </si>
  <si>
    <t>EC211826B1</t>
  </si>
  <si>
    <t>EC201886J1</t>
  </si>
  <si>
    <t>CS044</t>
  </si>
  <si>
    <t>CS037</t>
  </si>
  <si>
    <t>CS020</t>
  </si>
  <si>
    <t>CS018</t>
  </si>
  <si>
    <t>CS016</t>
  </si>
  <si>
    <t>CS007</t>
  </si>
  <si>
    <t>CellStream Base System, Obsolete</t>
  </si>
  <si>
    <t>CS003</t>
  </si>
  <si>
    <t>8472120104</t>
  </si>
  <si>
    <t>8470130185</t>
  </si>
  <si>
    <t>8470130134</t>
  </si>
  <si>
    <t>8470050323</t>
  </si>
  <si>
    <t>7200151190</t>
  </si>
  <si>
    <t>7200151173</t>
  </si>
  <si>
    <t>7200151162</t>
  </si>
  <si>
    <t>7200151121</t>
  </si>
  <si>
    <t>7200150452</t>
  </si>
  <si>
    <t>7200121255</t>
  </si>
  <si>
    <t>7200120675</t>
  </si>
  <si>
    <t>7200120359</t>
  </si>
  <si>
    <t>7200120278</t>
  </si>
  <si>
    <t>7200120272</t>
  </si>
  <si>
    <t>Luminex GuavaSoft 4 Software for EasyCyte</t>
  </si>
  <si>
    <t>8472120104-3</t>
  </si>
  <si>
    <t>8472120104-2</t>
  </si>
  <si>
    <t>Flow Cell II Packaged Assembly, SL</t>
  </si>
  <si>
    <t>8472120104-1</t>
  </si>
  <si>
    <t>Instrument, Top Level, Easycyte, 12 SL</t>
  </si>
  <si>
    <t>8470130134-1</t>
  </si>
  <si>
    <t>Instrument, Top Level, Easycyte, 12HT</t>
  </si>
  <si>
    <t>8470120165</t>
  </si>
  <si>
    <t>8470120139-1</t>
  </si>
  <si>
    <t>7200151190-5</t>
  </si>
  <si>
    <t>7200151190-4</t>
  </si>
  <si>
    <t>7200151190-3</t>
  </si>
  <si>
    <t>7200151190-2</t>
  </si>
  <si>
    <t>7200151190-1</t>
  </si>
  <si>
    <t>7200151173-5</t>
  </si>
  <si>
    <t>7200151173-4</t>
  </si>
  <si>
    <t>7200151173-3</t>
  </si>
  <si>
    <t>7200151173-2</t>
  </si>
  <si>
    <t>7200151173-1</t>
  </si>
  <si>
    <t>7200151121-5</t>
  </si>
  <si>
    <t>7200151121-4</t>
  </si>
  <si>
    <t>7200151121-3</t>
  </si>
  <si>
    <t>7200151121-2</t>
  </si>
  <si>
    <t>7200151121-1</t>
  </si>
  <si>
    <t>7200151106-6</t>
  </si>
  <si>
    <t>7200151106-5</t>
  </si>
  <si>
    <t>7200151106-4</t>
  </si>
  <si>
    <t>7200151106-3</t>
  </si>
  <si>
    <t>7200151106-2</t>
  </si>
  <si>
    <t>7200151106-1</t>
  </si>
  <si>
    <t>7200150452-5</t>
  </si>
  <si>
    <t>7200150452-4</t>
  </si>
  <si>
    <t>7200150452-3</t>
  </si>
  <si>
    <t>7200150452-2</t>
  </si>
  <si>
    <t>7200150452-1</t>
  </si>
  <si>
    <t>7200120359-5</t>
  </si>
  <si>
    <t>7200120359-4</t>
  </si>
  <si>
    <t>7200120359-3</t>
  </si>
  <si>
    <t>7200120359-2</t>
  </si>
  <si>
    <t>7200120359-1</t>
  </si>
  <si>
    <t>7200120272-5</t>
  </si>
  <si>
    <t>7200120272-4</t>
  </si>
  <si>
    <t>7200120272-3</t>
  </si>
  <si>
    <t>7200120272-2</t>
  </si>
  <si>
    <t>7200120272-1</t>
  </si>
  <si>
    <t>7200120011-5</t>
  </si>
  <si>
    <t>7200120011-4</t>
  </si>
  <si>
    <t>7200120011-3</t>
  </si>
  <si>
    <t>7200120011-2</t>
  </si>
  <si>
    <t>7200120011-1</t>
  </si>
  <si>
    <t>6735-R6218</t>
  </si>
  <si>
    <t>8472060224</t>
  </si>
  <si>
    <t>Luna Labs</t>
  </si>
  <si>
    <t>Y1018</t>
  </si>
  <si>
    <t>Lycia Therapeutics</t>
  </si>
  <si>
    <t>00035150</t>
  </si>
  <si>
    <t>U1396</t>
  </si>
  <si>
    <t>Lyell Immunopharma Inc - Seattle WA</t>
  </si>
  <si>
    <t>00031627</t>
  </si>
  <si>
    <t>U0198</t>
  </si>
  <si>
    <t>00015974</t>
  </si>
  <si>
    <t>U1269</t>
  </si>
  <si>
    <t>Lyell Immunopharma Inc - South San Francisco CA</t>
  </si>
  <si>
    <t>00034435</t>
  </si>
  <si>
    <t>U0453</t>
  </si>
  <si>
    <t>00015982</t>
  </si>
  <si>
    <t>U0242</t>
  </si>
  <si>
    <t>00015978</t>
  </si>
  <si>
    <t>U0577</t>
  </si>
  <si>
    <t>Macrogenics Inc - Rockville MD</t>
  </si>
  <si>
    <t>00033440</t>
  </si>
  <si>
    <t>N0850</t>
  </si>
  <si>
    <t>00033441</t>
  </si>
  <si>
    <t>R1454</t>
  </si>
  <si>
    <t>MAGEE WOMENS RESEARCH INSTITUTE</t>
  </si>
  <si>
    <t>00031593</t>
  </si>
  <si>
    <t>ISX685</t>
  </si>
  <si>
    <t>MAKANA THERAPEUTICS INC</t>
  </si>
  <si>
    <t>00029484</t>
  </si>
  <si>
    <t>N0531</t>
  </si>
  <si>
    <t>Mapp Biopharmaceutical</t>
  </si>
  <si>
    <t>00033743</t>
  </si>
  <si>
    <t>U1275</t>
  </si>
  <si>
    <t>Marengo Therapeutics, Inc.</t>
  </si>
  <si>
    <t>00034414</t>
  </si>
  <si>
    <t>R0216</t>
  </si>
  <si>
    <t>00036703</t>
  </si>
  <si>
    <t>MARSHALL B KETCHUM UNIVERSITY</t>
  </si>
  <si>
    <t>7200151167-5</t>
  </si>
  <si>
    <t>7200151167-4</t>
  </si>
  <si>
    <t>7200151167-3</t>
  </si>
  <si>
    <t>7200151167-2</t>
  </si>
  <si>
    <t>7200151167-1</t>
  </si>
  <si>
    <t>U1681</t>
  </si>
  <si>
    <t>Mass General Brigham (MGB)</t>
  </si>
  <si>
    <t>00034335</t>
  </si>
  <si>
    <t>00036218</t>
  </si>
  <si>
    <t>U0504</t>
  </si>
  <si>
    <t>00033988</t>
  </si>
  <si>
    <t>U0460</t>
  </si>
  <si>
    <t>00035379</t>
  </si>
  <si>
    <t>NM1407</t>
  </si>
  <si>
    <t>00033922</t>
  </si>
  <si>
    <t>NM1253</t>
  </si>
  <si>
    <t>00036196</t>
  </si>
  <si>
    <t>NM1243</t>
  </si>
  <si>
    <t>00036195</t>
  </si>
  <si>
    <t>6620135113</t>
  </si>
  <si>
    <t>Massachusetts College of Pharmacy and Health Sciences (MCPHS)</t>
  </si>
  <si>
    <t>U1404</t>
  </si>
  <si>
    <t>Massachusetts General Hospital - Cancer Center Immune Monitoring Lab</t>
  </si>
  <si>
    <t>00035984</t>
  </si>
  <si>
    <t>ISX342</t>
  </si>
  <si>
    <t>Massachusetts General Hospital (MGH)</t>
  </si>
  <si>
    <t>00035256</t>
  </si>
  <si>
    <t>ISX305</t>
  </si>
  <si>
    <t>00017969</t>
  </si>
  <si>
    <t>8470130108</t>
  </si>
  <si>
    <t>8470060228</t>
  </si>
  <si>
    <t>ISX727</t>
  </si>
  <si>
    <t>Massachusetts Institute of Technology (MIT)</t>
  </si>
  <si>
    <t>EC220827C1</t>
  </si>
  <si>
    <t>00034573</t>
  </si>
  <si>
    <t>8576120108</t>
  </si>
  <si>
    <t>8470130172</t>
  </si>
  <si>
    <t>00036216</t>
  </si>
  <si>
    <t>8470120153</t>
  </si>
  <si>
    <t>00036215</t>
  </si>
  <si>
    <t>6735118079</t>
  </si>
  <si>
    <t>8470060106</t>
  </si>
  <si>
    <t>MASSBIOLOGICS</t>
  </si>
  <si>
    <t>EC212426B1</t>
  </si>
  <si>
    <t>U1584</t>
  </si>
  <si>
    <t>Mayo Clinic - Arizona</t>
  </si>
  <si>
    <t>00036298</t>
  </si>
  <si>
    <t>U1572</t>
  </si>
  <si>
    <t>00036299</t>
  </si>
  <si>
    <t>U1121</t>
  </si>
  <si>
    <t>00035144</t>
  </si>
  <si>
    <t>Y1227SP</t>
  </si>
  <si>
    <t>Mayo Clinic - Florida</t>
  </si>
  <si>
    <t>00034368</t>
  </si>
  <si>
    <t>MU23191003</t>
  </si>
  <si>
    <t>00031177</t>
  </si>
  <si>
    <t>ISX621</t>
  </si>
  <si>
    <t>Y1285</t>
  </si>
  <si>
    <t>Mayo Clinic - Rochester</t>
  </si>
  <si>
    <t>00035968</t>
  </si>
  <si>
    <t>Y1171</t>
  </si>
  <si>
    <t>00016641</t>
  </si>
  <si>
    <t>Y0322</t>
  </si>
  <si>
    <t>00032301</t>
  </si>
  <si>
    <t>U1512</t>
  </si>
  <si>
    <t>00035960</t>
  </si>
  <si>
    <t>NM1609</t>
  </si>
  <si>
    <t>00034192</t>
  </si>
  <si>
    <t>NM1493</t>
  </si>
  <si>
    <t>00035955</t>
  </si>
  <si>
    <t>NM1107</t>
  </si>
  <si>
    <t>00034436</t>
  </si>
  <si>
    <t>N0152</t>
  </si>
  <si>
    <t>00035950</t>
  </si>
  <si>
    <t>ISX488</t>
  </si>
  <si>
    <t>FS151</t>
  </si>
  <si>
    <t>00034459</t>
  </si>
  <si>
    <t>8472050185</t>
  </si>
  <si>
    <t>8470060193</t>
  </si>
  <si>
    <t>8470080141</t>
  </si>
  <si>
    <t>Mayo Foundation for Medical Education and Research</t>
  </si>
  <si>
    <t>7200151264</t>
  </si>
  <si>
    <t>00031174</t>
  </si>
  <si>
    <t>7200151245</t>
  </si>
  <si>
    <t>00031171</t>
  </si>
  <si>
    <t>7200151244</t>
  </si>
  <si>
    <t>00031168</t>
  </si>
  <si>
    <t>Y0609</t>
  </si>
  <si>
    <t>McGill University</t>
  </si>
  <si>
    <t>00033853</t>
  </si>
  <si>
    <t>8470120177</t>
  </si>
  <si>
    <t>India</t>
  </si>
  <si>
    <t>R1274SP</t>
  </si>
  <si>
    <t>00035145</t>
  </si>
  <si>
    <t>6735145205</t>
  </si>
  <si>
    <t>S0377</t>
  </si>
  <si>
    <t>00035132</t>
  </si>
  <si>
    <t>673513S020</t>
  </si>
  <si>
    <t>U1282</t>
  </si>
  <si>
    <t>McMaster University</t>
  </si>
  <si>
    <t>00017050</t>
  </si>
  <si>
    <t>Y0758</t>
  </si>
  <si>
    <t>MD Anderson Cancer Center</t>
  </si>
  <si>
    <t>00036770</t>
  </si>
  <si>
    <t>Y0309</t>
  </si>
  <si>
    <t>00035122</t>
  </si>
  <si>
    <t>U1214SP</t>
  </si>
  <si>
    <t>00031409</t>
  </si>
  <si>
    <t>U0842</t>
  </si>
  <si>
    <t>00017084</t>
  </si>
  <si>
    <t>U0424</t>
  </si>
  <si>
    <t>00016387</t>
  </si>
  <si>
    <t>U0326</t>
  </si>
  <si>
    <t>00036132</t>
  </si>
  <si>
    <t>U0324</t>
  </si>
  <si>
    <t>00034513</t>
  </si>
  <si>
    <t>S0244</t>
  </si>
  <si>
    <t>00036261</t>
  </si>
  <si>
    <t>S0181SP</t>
  </si>
  <si>
    <t>00031406</t>
  </si>
  <si>
    <t>R0525</t>
  </si>
  <si>
    <t>00035757</t>
  </si>
  <si>
    <t>NM1381</t>
  </si>
  <si>
    <t>00017608</t>
  </si>
  <si>
    <t>NM1079</t>
  </si>
  <si>
    <t>00036642</t>
  </si>
  <si>
    <t>MU21086001</t>
  </si>
  <si>
    <t>ISX692</t>
  </si>
  <si>
    <t>00030437</t>
  </si>
  <si>
    <t>ISX325</t>
  </si>
  <si>
    <t>U1766</t>
  </si>
  <si>
    <t>00035698</t>
  </si>
  <si>
    <t>S0374</t>
  </si>
  <si>
    <t>00035043</t>
  </si>
  <si>
    <t>P1015</t>
  </si>
  <si>
    <t>00036513</t>
  </si>
  <si>
    <t>Panama</t>
  </si>
  <si>
    <t>EC230887D1</t>
  </si>
  <si>
    <t>MDX LABS LLC</t>
  </si>
  <si>
    <t>00017803</t>
  </si>
  <si>
    <t>8470060132</t>
  </si>
  <si>
    <t>MEDIC LIFE SCIENCES</t>
  </si>
  <si>
    <t>U1261SP</t>
  </si>
  <si>
    <t>Medical College of Wisconsin</t>
  </si>
  <si>
    <t>00036612</t>
  </si>
  <si>
    <t>U0853</t>
  </si>
  <si>
    <t>00030743</t>
  </si>
  <si>
    <t>U0843R</t>
  </si>
  <si>
    <t>00034962</t>
  </si>
  <si>
    <t>S0221</t>
  </si>
  <si>
    <t>00036613</t>
  </si>
  <si>
    <t>8470060121</t>
  </si>
  <si>
    <t>00030419</t>
  </si>
  <si>
    <t>U1777</t>
  </si>
  <si>
    <t>00036579</t>
  </si>
  <si>
    <t>N0814</t>
  </si>
  <si>
    <t>Medical University of South Carolina</t>
  </si>
  <si>
    <t>00035695</t>
  </si>
  <si>
    <t>6735-R8211</t>
  </si>
  <si>
    <t>6735148255</t>
  </si>
  <si>
    <t>6735138206</t>
  </si>
  <si>
    <t>6735128118</t>
  </si>
  <si>
    <t>ISX173</t>
  </si>
  <si>
    <t>MedImmune LLC - Gaithersburg MD (AstraZeneca)</t>
  </si>
  <si>
    <t>U1462</t>
  </si>
  <si>
    <t>Medpace - Ohio</t>
  </si>
  <si>
    <t>00034448</t>
  </si>
  <si>
    <t>7200151181</t>
  </si>
  <si>
    <t>00035421</t>
  </si>
  <si>
    <t>7200151117</t>
  </si>
  <si>
    <t>00036148</t>
  </si>
  <si>
    <t>EC210556D2</t>
  </si>
  <si>
    <t>Meharry Medical College</t>
  </si>
  <si>
    <t>00023208</t>
  </si>
  <si>
    <t>8470060247</t>
  </si>
  <si>
    <t>00024086</t>
  </si>
  <si>
    <t>8470080192</t>
  </si>
  <si>
    <t>MEIRAGTX</t>
  </si>
  <si>
    <t>V0193</t>
  </si>
  <si>
    <t>Memorial Sloan Kettering Cancer Center</t>
  </si>
  <si>
    <t>00008141</t>
  </si>
  <si>
    <t>U0910</t>
  </si>
  <si>
    <t>00015170</t>
  </si>
  <si>
    <t>U0903</t>
  </si>
  <si>
    <t>00015150</t>
  </si>
  <si>
    <t>U0685</t>
  </si>
  <si>
    <t>00013625</t>
  </si>
  <si>
    <t>U0534</t>
  </si>
  <si>
    <t>00013201</t>
  </si>
  <si>
    <t>U0482</t>
  </si>
  <si>
    <t>00015796</t>
  </si>
  <si>
    <t>U0471</t>
  </si>
  <si>
    <t>00016428</t>
  </si>
  <si>
    <t>U0415</t>
  </si>
  <si>
    <t>00012570</t>
  </si>
  <si>
    <t>U0306</t>
  </si>
  <si>
    <t>00015863</t>
  </si>
  <si>
    <t>U0197</t>
  </si>
  <si>
    <t>00032085</t>
  </si>
  <si>
    <t>S0164</t>
  </si>
  <si>
    <t>00016392</t>
  </si>
  <si>
    <t>R0063</t>
  </si>
  <si>
    <t>00015820</t>
  </si>
  <si>
    <t>R0009</t>
  </si>
  <si>
    <t>N0798</t>
  </si>
  <si>
    <t>00014163</t>
  </si>
  <si>
    <t>8576120113</t>
  </si>
  <si>
    <t>8576120110</t>
  </si>
  <si>
    <t>8576120103</t>
  </si>
  <si>
    <t>8574140119</t>
  </si>
  <si>
    <t>8574140109</t>
  </si>
  <si>
    <t>8470130192</t>
  </si>
  <si>
    <t>8470060243</t>
  </si>
  <si>
    <t>8470060115</t>
  </si>
  <si>
    <t>6735138197</t>
  </si>
  <si>
    <t>6735128135</t>
  </si>
  <si>
    <t>6735146219</t>
  </si>
  <si>
    <t>U0455</t>
  </si>
  <si>
    <t>Merck &amp; Co Inc - Boston MA</t>
  </si>
  <si>
    <t>00016990</t>
  </si>
  <si>
    <t>U0438</t>
  </si>
  <si>
    <t>00016987</t>
  </si>
  <si>
    <t>S0186</t>
  </si>
  <si>
    <t>00034508</t>
  </si>
  <si>
    <t>U1322</t>
  </si>
  <si>
    <t>Merck &amp; Co Inc - Cambridge Exploratory Science Center</t>
  </si>
  <si>
    <t>00035426</t>
  </si>
  <si>
    <t>Y0135</t>
  </si>
  <si>
    <t>Merck &amp; Co Inc - Kenilworth NJ</t>
  </si>
  <si>
    <t>00036902</t>
  </si>
  <si>
    <t>U0521</t>
  </si>
  <si>
    <t>00016613</t>
  </si>
  <si>
    <t>U1552</t>
  </si>
  <si>
    <t>Merck &amp; Co Inc - San Diego CA</t>
  </si>
  <si>
    <t>00035604</t>
  </si>
  <si>
    <t>U1500</t>
  </si>
  <si>
    <t>Merck &amp; Co Inc - San Francisco CA</t>
  </si>
  <si>
    <t>00034441</t>
  </si>
  <si>
    <t>U0270</t>
  </si>
  <si>
    <t>00016993</t>
  </si>
  <si>
    <t>ISX392</t>
  </si>
  <si>
    <t>S0421</t>
  </si>
  <si>
    <t>00036766</t>
  </si>
  <si>
    <t>Merck &amp; Co Inc - West Point PA</t>
  </si>
  <si>
    <t>EC240986A1</t>
  </si>
  <si>
    <t>00033143</t>
  </si>
  <si>
    <t>EC240596A1</t>
  </si>
  <si>
    <t>00032771</t>
  </si>
  <si>
    <t>FS230</t>
  </si>
  <si>
    <t>Merck &amp; Co Inc (Luminex, see description)</t>
  </si>
  <si>
    <t>Guava easyCyte 5HPL</t>
  </si>
  <si>
    <t>EC211326A1</t>
  </si>
  <si>
    <t>EC211186A1</t>
  </si>
  <si>
    <t>00036059</t>
  </si>
  <si>
    <t>EC211176A1</t>
  </si>
  <si>
    <t>00036058</t>
  </si>
  <si>
    <t>EC211126A1</t>
  </si>
  <si>
    <t>00036060</t>
  </si>
  <si>
    <t>EC210296A1</t>
  </si>
  <si>
    <t>00036061</t>
  </si>
  <si>
    <t>EC203076A2</t>
  </si>
  <si>
    <t>EC201214A3</t>
  </si>
  <si>
    <t>8470120156</t>
  </si>
  <si>
    <t>8470120104</t>
  </si>
  <si>
    <t>8470110110</t>
  </si>
  <si>
    <t>8470060236</t>
  </si>
  <si>
    <t>8470060174</t>
  </si>
  <si>
    <t>8470050300</t>
  </si>
  <si>
    <t>8470050259</t>
  </si>
  <si>
    <t>8470050118</t>
  </si>
  <si>
    <t>6735125139</t>
  </si>
  <si>
    <t>6735125121</t>
  </si>
  <si>
    <t>6735125094</t>
  </si>
  <si>
    <t>6735125092</t>
  </si>
  <si>
    <t>6735115033</t>
  </si>
  <si>
    <t>FS147</t>
  </si>
  <si>
    <t>8470050259-1</t>
  </si>
  <si>
    <t>8470060170</t>
  </si>
  <si>
    <t>Merck Animal Health - Elkhorn NE</t>
  </si>
  <si>
    <t>ISX405</t>
  </si>
  <si>
    <t>00032933</t>
  </si>
  <si>
    <t>U0286</t>
  </si>
  <si>
    <t>Michigan State University</t>
  </si>
  <si>
    <t>00035005</t>
  </si>
  <si>
    <t>N0726</t>
  </si>
  <si>
    <t>00014269</t>
  </si>
  <si>
    <t>EC203397C2</t>
  </si>
  <si>
    <t>MIDDLE TENNESSEE STATE UNIVERSITY</t>
  </si>
  <si>
    <t>FS242</t>
  </si>
  <si>
    <t>8470130109</t>
  </si>
  <si>
    <t>FS285</t>
  </si>
  <si>
    <t>MilliporeSigma</t>
  </si>
  <si>
    <t>8576120101</t>
  </si>
  <si>
    <t>8574140102</t>
  </si>
  <si>
    <t>8470120167</t>
  </si>
  <si>
    <t>ISX133</t>
  </si>
  <si>
    <t>FS197</t>
  </si>
  <si>
    <t>8576120104</t>
  </si>
  <si>
    <t>6735145247</t>
  </si>
  <si>
    <t>8576120111</t>
  </si>
  <si>
    <t>MilliporeSigma - Carlsbad</t>
  </si>
  <si>
    <t>NM1140</t>
  </si>
  <si>
    <t>MiMedx</t>
  </si>
  <si>
    <t>00017355</t>
  </si>
  <si>
    <t>EC220366A1</t>
  </si>
  <si>
    <t>EC202866A1</t>
  </si>
  <si>
    <t>8470110111</t>
  </si>
  <si>
    <t>8470080137</t>
  </si>
  <si>
    <t>MIRNA THERAPEUTICS, INC.</t>
  </si>
  <si>
    <t>8470050314</t>
  </si>
  <si>
    <t>6735125120</t>
  </si>
  <si>
    <t>8472050202</t>
  </si>
  <si>
    <t>MISSION BIO INC</t>
  </si>
  <si>
    <t>8470060164</t>
  </si>
  <si>
    <t>MITOSCIENCES INC</t>
  </si>
  <si>
    <t>00018056</t>
  </si>
  <si>
    <t>8470060124</t>
  </si>
  <si>
    <t>N0116</t>
  </si>
  <si>
    <t>MLM Medical Labs Memphis</t>
  </si>
  <si>
    <t>00012667</t>
  </si>
  <si>
    <t>V1421</t>
  </si>
  <si>
    <t>ModernaTX Inc - Cambridge MA</t>
  </si>
  <si>
    <t>00035589</t>
  </si>
  <si>
    <t>V1420</t>
  </si>
  <si>
    <t>00035590</t>
  </si>
  <si>
    <t>U1504</t>
  </si>
  <si>
    <t>00034730</t>
  </si>
  <si>
    <t>U1407</t>
  </si>
  <si>
    <t>00035584</t>
  </si>
  <si>
    <t>U1401</t>
  </si>
  <si>
    <t>00035583</t>
  </si>
  <si>
    <t>U1340</t>
  </si>
  <si>
    <t>00035591</t>
  </si>
  <si>
    <t>U1301</t>
  </si>
  <si>
    <t>00035593</t>
  </si>
  <si>
    <t>U1135</t>
  </si>
  <si>
    <t>00035594</t>
  </si>
  <si>
    <t>U1124</t>
  </si>
  <si>
    <t>00035585</t>
  </si>
  <si>
    <t>U0930</t>
  </si>
  <si>
    <t>00033695</t>
  </si>
  <si>
    <t>U0752</t>
  </si>
  <si>
    <t>00035582</t>
  </si>
  <si>
    <t>S0227</t>
  </si>
  <si>
    <t>00035587</t>
  </si>
  <si>
    <t>S0121</t>
  </si>
  <si>
    <t>00035588</t>
  </si>
  <si>
    <t>R1327</t>
  </si>
  <si>
    <t>00034731</t>
  </si>
  <si>
    <t>8470050213</t>
  </si>
  <si>
    <t>8470050186</t>
  </si>
  <si>
    <t>U1652</t>
  </si>
  <si>
    <t>ModernaTX Inc - Norwood MA</t>
  </si>
  <si>
    <t>00033996</t>
  </si>
  <si>
    <t>U1245</t>
  </si>
  <si>
    <t>00031004</t>
  </si>
  <si>
    <t>U1234</t>
  </si>
  <si>
    <t>00031000</t>
  </si>
  <si>
    <t>U1000</t>
  </si>
  <si>
    <t>00036123</t>
  </si>
  <si>
    <t>U0991</t>
  </si>
  <si>
    <t>00036122</t>
  </si>
  <si>
    <t>8472060255</t>
  </si>
  <si>
    <t>MOLECULAR TEMPLATES (MTEM)</t>
  </si>
  <si>
    <t>EC201886G1</t>
  </si>
  <si>
    <t>Monod Bio</t>
  </si>
  <si>
    <t>ISX539</t>
  </si>
  <si>
    <t>MONTANA STATE UNIVERSITY</t>
  </si>
  <si>
    <t>NM1537</t>
  </si>
  <si>
    <t>Moonwalk Biosciences Inc</t>
  </si>
  <si>
    <t>00036672</t>
  </si>
  <si>
    <t>EC211166H1</t>
  </si>
  <si>
    <t>00036854</t>
  </si>
  <si>
    <t>8470060251</t>
  </si>
  <si>
    <t>6735128170</t>
  </si>
  <si>
    <t>ISX319</t>
  </si>
  <si>
    <t>Mount Sinai Hospital - Toronto ON</t>
  </si>
  <si>
    <t>00035541</t>
  </si>
  <si>
    <t>YM1016SP</t>
  </si>
  <si>
    <t>00035847</t>
  </si>
  <si>
    <t>Machine Learning Module for IDEAS Software</t>
  </si>
  <si>
    <t>N0513</t>
  </si>
  <si>
    <t>00036386</t>
  </si>
  <si>
    <t>8470130133</t>
  </si>
  <si>
    <t>8470130128</t>
  </si>
  <si>
    <t>N0928</t>
  </si>
  <si>
    <t>NASA</t>
  </si>
  <si>
    <t>00017041</t>
  </si>
  <si>
    <t>U1650</t>
  </si>
  <si>
    <t>National Cancer Institute (NCI) - Bethesda</t>
  </si>
  <si>
    <t>00034204</t>
  </si>
  <si>
    <t>U1217</t>
  </si>
  <si>
    <t>00017716</t>
  </si>
  <si>
    <t>U1191</t>
  </si>
  <si>
    <t>00017722</t>
  </si>
  <si>
    <t>U0922</t>
  </si>
  <si>
    <t>00017707</t>
  </si>
  <si>
    <t>U0708</t>
  </si>
  <si>
    <t>00034387</t>
  </si>
  <si>
    <t>U0260</t>
  </si>
  <si>
    <t>00015559</t>
  </si>
  <si>
    <t>U0178</t>
  </si>
  <si>
    <t>00034388</t>
  </si>
  <si>
    <t>S0219</t>
  </si>
  <si>
    <t>00017726</t>
  </si>
  <si>
    <t>S0125</t>
  </si>
  <si>
    <t>00032489</t>
  </si>
  <si>
    <t>R1623</t>
  </si>
  <si>
    <t>00036599</t>
  </si>
  <si>
    <t>U0954</t>
  </si>
  <si>
    <t>National Cancer Institute (NCI) - Frederick</t>
  </si>
  <si>
    <t>00034389</t>
  </si>
  <si>
    <t>ISX720</t>
  </si>
  <si>
    <t>00034386</t>
  </si>
  <si>
    <t>8470060135</t>
  </si>
  <si>
    <t>00033297</t>
  </si>
  <si>
    <t>U1422SP</t>
  </si>
  <si>
    <t>National Heart, Lung, and Blood Institute (NHLBI)</t>
  </si>
  <si>
    <t>00031452</t>
  </si>
  <si>
    <t>ISX111</t>
  </si>
  <si>
    <t>00035258</t>
  </si>
  <si>
    <t>Y1631</t>
  </si>
  <si>
    <t>National Institute of Allergy and Infectious Diseases (NIAID)</t>
  </si>
  <si>
    <t>00033886</t>
  </si>
  <si>
    <t>Y1440</t>
  </si>
  <si>
    <t>00034529</t>
  </si>
  <si>
    <t>Y1430</t>
  </si>
  <si>
    <t>00035163</t>
  </si>
  <si>
    <t>U1232</t>
  </si>
  <si>
    <t>00034721</t>
  </si>
  <si>
    <t>U1094</t>
  </si>
  <si>
    <t>00035259</t>
  </si>
  <si>
    <t>U1078</t>
  </si>
  <si>
    <t>00035817</t>
  </si>
  <si>
    <t>U0923</t>
  </si>
  <si>
    <t>00015203</t>
  </si>
  <si>
    <t>U0916</t>
  </si>
  <si>
    <t>00017834</t>
  </si>
  <si>
    <t>U0391</t>
  </si>
  <si>
    <t>00014709</t>
  </si>
  <si>
    <t>U0267</t>
  </si>
  <si>
    <t>00036415</t>
  </si>
  <si>
    <t>U0254</t>
  </si>
  <si>
    <t>00017837</t>
  </si>
  <si>
    <t>S0341</t>
  </si>
  <si>
    <t>00034571</t>
  </si>
  <si>
    <t>S0105</t>
  </si>
  <si>
    <t>00033307</t>
  </si>
  <si>
    <t>R0151</t>
  </si>
  <si>
    <t>00033387</t>
  </si>
  <si>
    <t>ISX503</t>
  </si>
  <si>
    <t>00036244</t>
  </si>
  <si>
    <t>U0888</t>
  </si>
  <si>
    <t>National Institute of Arthritis and Musculoskeletal and Skin Diseases (NIAMS)</t>
  </si>
  <si>
    <t>00036762</t>
  </si>
  <si>
    <t>U0334</t>
  </si>
  <si>
    <t>00036763</t>
  </si>
  <si>
    <t>S0147</t>
  </si>
  <si>
    <t>00036036</t>
  </si>
  <si>
    <t>ISX770</t>
  </si>
  <si>
    <t>National Institute of Biomedical Imaging and Bioengineering (NIBIB)</t>
  </si>
  <si>
    <t>00033877</t>
  </si>
  <si>
    <t>U1412</t>
  </si>
  <si>
    <t>National Institute of Child Health and Human Development (NICHD)</t>
  </si>
  <si>
    <t>00030552</t>
  </si>
  <si>
    <t>U0329</t>
  </si>
  <si>
    <t>National Institute of Dental and Craniofacial Research (NIDCR)</t>
  </si>
  <si>
    <t>00013849</t>
  </si>
  <si>
    <t>ISX153</t>
  </si>
  <si>
    <t>National Institute of Environmental Health Sciences (NIEHS)</t>
  </si>
  <si>
    <t>Y1212</t>
  </si>
  <si>
    <t>National Institute of Neurological Disorders and Stroke (NINDS)</t>
  </si>
  <si>
    <t>00034027</t>
  </si>
  <si>
    <t>NM1150</t>
  </si>
  <si>
    <t>00033864</t>
  </si>
  <si>
    <t>V0149</t>
  </si>
  <si>
    <t>00032313</t>
  </si>
  <si>
    <t>ISX706</t>
  </si>
  <si>
    <t>00036119</t>
  </si>
  <si>
    <t>Y0275SP</t>
  </si>
  <si>
    <t>National Institutes of Health (NIH) - Parent</t>
  </si>
  <si>
    <t>00017719</t>
  </si>
  <si>
    <t>U1423</t>
  </si>
  <si>
    <t>00033586</t>
  </si>
  <si>
    <t>U1157SP</t>
  </si>
  <si>
    <t>00016292</t>
  </si>
  <si>
    <t>U0562</t>
  </si>
  <si>
    <t>00036090</t>
  </si>
  <si>
    <t>N0777</t>
  </si>
  <si>
    <t>00035777</t>
  </si>
  <si>
    <t>MU21246001</t>
  </si>
  <si>
    <t>00021001</t>
  </si>
  <si>
    <t>MU20062001</t>
  </si>
  <si>
    <t>ISX571</t>
  </si>
  <si>
    <t>00035677</t>
  </si>
  <si>
    <t>ISX510</t>
  </si>
  <si>
    <t>00033670</t>
  </si>
  <si>
    <t>ISX317</t>
  </si>
  <si>
    <t>00033205</t>
  </si>
  <si>
    <t>ISX106</t>
  </si>
  <si>
    <t>EC222276D1</t>
  </si>
  <si>
    <t>00033533</t>
  </si>
  <si>
    <t>EC213006H1</t>
  </si>
  <si>
    <t>00030816</t>
  </si>
  <si>
    <t>EC212657A1</t>
  </si>
  <si>
    <t>CS103</t>
  </si>
  <si>
    <t>00035708</t>
  </si>
  <si>
    <t>SLA-CS-COMPLETE</t>
  </si>
  <si>
    <t>CellStream?</t>
  </si>
  <si>
    <t>8472050233</t>
  </si>
  <si>
    <t>00033771</t>
  </si>
  <si>
    <t>7200151262</t>
  </si>
  <si>
    <t>U0704</t>
  </si>
  <si>
    <t>National Jewish Health</t>
  </si>
  <si>
    <t>00035875</t>
  </si>
  <si>
    <t>U0931</t>
  </si>
  <si>
    <t>National Resilience, Inc. - Waltham, MA</t>
  </si>
  <si>
    <t>00015219</t>
  </si>
  <si>
    <t>N0593</t>
  </si>
  <si>
    <t>National Wetlands Research Center</t>
  </si>
  <si>
    <t>00031130</t>
  </si>
  <si>
    <t>U1298</t>
  </si>
  <si>
    <t>Nationwide Childrens Hospital</t>
  </si>
  <si>
    <t>00017306</t>
  </si>
  <si>
    <t>8472060214</t>
  </si>
  <si>
    <t>00036081</t>
  </si>
  <si>
    <t>EC221526J1</t>
  </si>
  <si>
    <t>NAVAJO TECHNICAL UNIVERSITY</t>
  </si>
  <si>
    <t>00026335</t>
  </si>
  <si>
    <t>N0624</t>
  </si>
  <si>
    <t>00016811</t>
  </si>
  <si>
    <t>N0452</t>
  </si>
  <si>
    <t>Nebraska Medicine, Biologics Production</t>
  </si>
  <si>
    <t>00034783</t>
  </si>
  <si>
    <t>V1141</t>
  </si>
  <si>
    <t>00033709</t>
  </si>
  <si>
    <t>V0946</t>
  </si>
  <si>
    <t>00031831</t>
  </si>
  <si>
    <t>Y0749</t>
  </si>
  <si>
    <t>Neomorph, Inc.</t>
  </si>
  <si>
    <t>00031941</t>
  </si>
  <si>
    <t>Y0741</t>
  </si>
  <si>
    <t>00031938</t>
  </si>
  <si>
    <t>Y1733</t>
  </si>
  <si>
    <t>Nestlé USA Quality Assurance Center - Dublin OH</t>
  </si>
  <si>
    <t>00035386</t>
  </si>
  <si>
    <t>NM1391</t>
  </si>
  <si>
    <t>00036183</t>
  </si>
  <si>
    <t>NM1390</t>
  </si>
  <si>
    <t>00036182</t>
  </si>
  <si>
    <t>N0147</t>
  </si>
  <si>
    <t>New Mexico State University</t>
  </si>
  <si>
    <t>00036637</t>
  </si>
  <si>
    <t>FS179</t>
  </si>
  <si>
    <t>New World Laboratories (NWL)</t>
  </si>
  <si>
    <t>ISX474</t>
  </si>
  <si>
    <t>New York Blood Center Enterprises (NYBCe)</t>
  </si>
  <si>
    <t>00034655</t>
  </si>
  <si>
    <t>8470060269</t>
  </si>
  <si>
    <t>NEXTGEN JANE</t>
  </si>
  <si>
    <t>U0418</t>
  </si>
  <si>
    <t>00016215</t>
  </si>
  <si>
    <t>MU23171002</t>
  </si>
  <si>
    <t>NHR Holdings, Inc.</t>
  </si>
  <si>
    <t>00030622</t>
  </si>
  <si>
    <t>U1026</t>
  </si>
  <si>
    <t>NIAID - Integrated Research Facility at Fort Detrick (IRF-Frederick)</t>
  </si>
  <si>
    <t>00034694</t>
  </si>
  <si>
    <t>U1009</t>
  </si>
  <si>
    <t>00034695</t>
  </si>
  <si>
    <t>U1138</t>
  </si>
  <si>
    <t>00032205</t>
  </si>
  <si>
    <t>VM1004</t>
  </si>
  <si>
    <t>Nilogen Oncosystems LLC</t>
  </si>
  <si>
    <t>00035040</t>
  </si>
  <si>
    <t>8470080130</t>
  </si>
  <si>
    <t>NJ Sharing Network</t>
  </si>
  <si>
    <t>00024928</t>
  </si>
  <si>
    <t>ISX452</t>
  </si>
  <si>
    <t>North Carolina Agricultural and Technical State University</t>
  </si>
  <si>
    <t>North Carolina Central University</t>
  </si>
  <si>
    <t>6620148052</t>
  </si>
  <si>
    <t>S0321</t>
  </si>
  <si>
    <t>North Carolina State University</t>
  </si>
  <si>
    <t>00033490</t>
  </si>
  <si>
    <t>8470120139Refurb</t>
  </si>
  <si>
    <t>00032624</t>
  </si>
  <si>
    <t>8470080177</t>
  </si>
  <si>
    <t>6735128112</t>
  </si>
  <si>
    <t>North Shore Scientific LLC</t>
  </si>
  <si>
    <t>NM1463</t>
  </si>
  <si>
    <t>Northeastern University</t>
  </si>
  <si>
    <t>00031305</t>
  </si>
  <si>
    <t>V1520</t>
  </si>
  <si>
    <t>Northwestern University</t>
  </si>
  <si>
    <t>00035245</t>
  </si>
  <si>
    <t>R0384</t>
  </si>
  <si>
    <t>00009267</t>
  </si>
  <si>
    <t>NM1141</t>
  </si>
  <si>
    <t>00035247</t>
  </si>
  <si>
    <t>N0448</t>
  </si>
  <si>
    <t>00012629</t>
  </si>
  <si>
    <t>8472130101</t>
  </si>
  <si>
    <t>6735146227</t>
  </si>
  <si>
    <t>8470080127</t>
  </si>
  <si>
    <t>6735136133</t>
  </si>
  <si>
    <t>V1123</t>
  </si>
  <si>
    <t>00033359</t>
  </si>
  <si>
    <t>EC221646C1</t>
  </si>
  <si>
    <t>NOVA SOUTHEASTERN UNIVERSITY (NSU)</t>
  </si>
  <si>
    <t>00024316</t>
  </si>
  <si>
    <t>U1675</t>
  </si>
  <si>
    <t>00034324</t>
  </si>
  <si>
    <t>U1560</t>
  </si>
  <si>
    <t>00036229</t>
  </si>
  <si>
    <t>U1315</t>
  </si>
  <si>
    <t>00017159</t>
  </si>
  <si>
    <t>U1101</t>
  </si>
  <si>
    <t>00035343</t>
  </si>
  <si>
    <t>ISX495</t>
  </si>
  <si>
    <t>8470050158</t>
  </si>
  <si>
    <t>6735145213</t>
  </si>
  <si>
    <t>U1680SP</t>
  </si>
  <si>
    <t>00034334</t>
  </si>
  <si>
    <t>S0261</t>
  </si>
  <si>
    <t>00035242</t>
  </si>
  <si>
    <t>V0300</t>
  </si>
  <si>
    <t>Novartis Pharmaceuticals USA</t>
  </si>
  <si>
    <t>00035983</t>
  </si>
  <si>
    <t>EC220846A1</t>
  </si>
  <si>
    <t>00035709</t>
  </si>
  <si>
    <t>EC211336A1</t>
  </si>
  <si>
    <t>00036316</t>
  </si>
  <si>
    <t>EC202966A2</t>
  </si>
  <si>
    <t>00034955</t>
  </si>
  <si>
    <t>U0340</t>
  </si>
  <si>
    <t>Novo Nordisk Inc - Lexington MA</t>
  </si>
  <si>
    <t>00036675</t>
  </si>
  <si>
    <t>U0331</t>
  </si>
  <si>
    <t>00036674</t>
  </si>
  <si>
    <t>NM1581</t>
  </si>
  <si>
    <t>Novo Nordisk Inc - Watertown MA</t>
  </si>
  <si>
    <t>00034206</t>
  </si>
  <si>
    <t>ISX156</t>
  </si>
  <si>
    <t>8470080173</t>
  </si>
  <si>
    <t>NUCLEUS BIOLOGICS</t>
  </si>
  <si>
    <t>V0895</t>
  </si>
  <si>
    <t>U0791</t>
  </si>
  <si>
    <t>R0057</t>
  </si>
  <si>
    <t>R0010</t>
  </si>
  <si>
    <t>Y1060</t>
  </si>
  <si>
    <t>Nutcracker Therapeutics</t>
  </si>
  <si>
    <t>00035934</t>
  </si>
  <si>
    <t>N0399</t>
  </si>
  <si>
    <t>00035933</t>
  </si>
  <si>
    <t>Y0356</t>
  </si>
  <si>
    <t>NYU Genomics and Systems Biology</t>
  </si>
  <si>
    <t>00011809</t>
  </si>
  <si>
    <t>Netherlands</t>
  </si>
  <si>
    <t>U1312</t>
  </si>
  <si>
    <t>NYU Grossman School of Medicine</t>
  </si>
  <si>
    <t>00036139</t>
  </si>
  <si>
    <t>U1161</t>
  </si>
  <si>
    <t>00031943</t>
  </si>
  <si>
    <t>U0981</t>
  </si>
  <si>
    <t>00036611</t>
  </si>
  <si>
    <t>U0831</t>
  </si>
  <si>
    <t>00034094</t>
  </si>
  <si>
    <t>NM1315</t>
  </si>
  <si>
    <t>00032306</t>
  </si>
  <si>
    <t>U1425</t>
  </si>
  <si>
    <t>NYU Langone Health</t>
  </si>
  <si>
    <t>00034153</t>
  </si>
  <si>
    <t>U0490</t>
  </si>
  <si>
    <t>00036948</t>
  </si>
  <si>
    <t>MU21225004</t>
  </si>
  <si>
    <t>8577120105</t>
  </si>
  <si>
    <t>00031762</t>
  </si>
  <si>
    <t>6620106007</t>
  </si>
  <si>
    <t>R1428</t>
  </si>
  <si>
    <t>Oddity Labs</t>
  </si>
  <si>
    <t>00031050</t>
  </si>
  <si>
    <t>Y0245</t>
  </si>
  <si>
    <t>Ohio State University</t>
  </si>
  <si>
    <t>00034040</t>
  </si>
  <si>
    <t>V0392</t>
  </si>
  <si>
    <t>00036115</t>
  </si>
  <si>
    <t>U1590</t>
  </si>
  <si>
    <t>00036304</t>
  </si>
  <si>
    <t>U1437</t>
  </si>
  <si>
    <t>00034065</t>
  </si>
  <si>
    <t>U0426</t>
  </si>
  <si>
    <t>00035436</t>
  </si>
  <si>
    <t>S0192</t>
  </si>
  <si>
    <t>00017882</t>
  </si>
  <si>
    <t>S0151</t>
  </si>
  <si>
    <t>00036337</t>
  </si>
  <si>
    <t>S0119</t>
  </si>
  <si>
    <t>00036044</t>
  </si>
  <si>
    <t>S0108</t>
  </si>
  <si>
    <t>00034042</t>
  </si>
  <si>
    <t>R1262</t>
  </si>
  <si>
    <t>00034640</t>
  </si>
  <si>
    <t>R0889</t>
  </si>
  <si>
    <t>00036600</t>
  </si>
  <si>
    <t>R0006</t>
  </si>
  <si>
    <t>00017490</t>
  </si>
  <si>
    <t>N0764</t>
  </si>
  <si>
    <t>00036057</t>
  </si>
  <si>
    <t>N0550</t>
  </si>
  <si>
    <t>00034039</t>
  </si>
  <si>
    <t>N0545</t>
  </si>
  <si>
    <t>00035349</t>
  </si>
  <si>
    <t>N0200</t>
  </si>
  <si>
    <t>00033816</t>
  </si>
  <si>
    <t>U1761</t>
  </si>
  <si>
    <t>00036008</t>
  </si>
  <si>
    <t>SM1015</t>
  </si>
  <si>
    <t>00036814</t>
  </si>
  <si>
    <t>NM1520</t>
  </si>
  <si>
    <t>Ohio State University - CFAES, Wooster</t>
  </si>
  <si>
    <t>00032600</t>
  </si>
  <si>
    <t>ISX560</t>
  </si>
  <si>
    <t>Ohio State University Wexner Medical Center (OSUWMC)</t>
  </si>
  <si>
    <t>00034392</t>
  </si>
  <si>
    <t>FS154</t>
  </si>
  <si>
    <t>FS140</t>
  </si>
  <si>
    <t>8574140110</t>
  </si>
  <si>
    <t>8472080123</t>
  </si>
  <si>
    <t>8472050275</t>
  </si>
  <si>
    <t>U1224</t>
  </si>
  <si>
    <t>OHSU - Knight Cancer Research Building (KCRB)</t>
  </si>
  <si>
    <t>00017874</t>
  </si>
  <si>
    <t>U0388</t>
  </si>
  <si>
    <t>00017870</t>
  </si>
  <si>
    <t>CS120</t>
  </si>
  <si>
    <t>OHSU - OHSU Hospital</t>
  </si>
  <si>
    <t>00036730</t>
  </si>
  <si>
    <t>8472050165</t>
  </si>
  <si>
    <t>00034704</t>
  </si>
  <si>
    <t>8470050234</t>
  </si>
  <si>
    <t>00034703</t>
  </si>
  <si>
    <t>N0713</t>
  </si>
  <si>
    <t>OHSU - West Campus</t>
  </si>
  <si>
    <t>00035193</t>
  </si>
  <si>
    <t>U1188</t>
  </si>
  <si>
    <t>Oklahoma Medical Research Foundation (OMRF)</t>
  </si>
  <si>
    <t>00030729</t>
  </si>
  <si>
    <t>U0488</t>
  </si>
  <si>
    <t>00014968</t>
  </si>
  <si>
    <t>S0378</t>
  </si>
  <si>
    <t>00035207</t>
  </si>
  <si>
    <t>EC220817C1</t>
  </si>
  <si>
    <t>Oklahoma State University</t>
  </si>
  <si>
    <t>Y0389</t>
  </si>
  <si>
    <t>Old Dominion University</t>
  </si>
  <si>
    <t>00035818</t>
  </si>
  <si>
    <t>ISX601</t>
  </si>
  <si>
    <t>00034595</t>
  </si>
  <si>
    <t>N0144</t>
  </si>
  <si>
    <t>Omeros Corporation</t>
  </si>
  <si>
    <t>00034325</t>
  </si>
  <si>
    <t>8472050268</t>
  </si>
  <si>
    <t>OMNIOME INC</t>
  </si>
  <si>
    <t>N0770</t>
  </si>
  <si>
    <t>OncoC4</t>
  </si>
  <si>
    <t>00036014</t>
  </si>
  <si>
    <t>NM1452</t>
  </si>
  <si>
    <t>OncoNex</t>
  </si>
  <si>
    <t>00033479</t>
  </si>
  <si>
    <t>8470120138</t>
  </si>
  <si>
    <t>8472050137</t>
  </si>
  <si>
    <t>One Lambda</t>
  </si>
  <si>
    <t>EC220136C1</t>
  </si>
  <si>
    <t>OPANS LLC</t>
  </si>
  <si>
    <t>6735138230</t>
  </si>
  <si>
    <t>ORANO MED LLC</t>
  </si>
  <si>
    <t>EC243236D1</t>
  </si>
  <si>
    <t>Orbital Therapeutics Inc</t>
  </si>
  <si>
    <t>00034769</t>
  </si>
  <si>
    <t>FS342</t>
  </si>
  <si>
    <t>Ossium Health</t>
  </si>
  <si>
    <t>00033156</t>
  </si>
  <si>
    <t>Amnis FlowSight System w/ INSPIRE &amp; IDEAS Software</t>
  </si>
  <si>
    <t>U1358</t>
  </si>
  <si>
    <t>Ottawa Hospital Research Institute</t>
  </si>
  <si>
    <t>00017544</t>
  </si>
  <si>
    <t>ISX194</t>
  </si>
  <si>
    <t>RM1003</t>
  </si>
  <si>
    <t>Overland Therapeutics (US) Inc.</t>
  </si>
  <si>
    <t>00035965</t>
  </si>
  <si>
    <t>NM1314</t>
  </si>
  <si>
    <t>00016783</t>
  </si>
  <si>
    <t>U1155</t>
  </si>
  <si>
    <t>Ozette Technologies</t>
  </si>
  <si>
    <t>00033728</t>
  </si>
  <si>
    <t>U1149</t>
  </si>
  <si>
    <t>Palo Alto Veteran's Institute for Research (PAVIR)</t>
  </si>
  <si>
    <t>00033795</t>
  </si>
  <si>
    <t>6735128097</t>
  </si>
  <si>
    <t>PANORAMA RESEARCH</t>
  </si>
  <si>
    <t>8470080162</t>
  </si>
  <si>
    <t>R0762</t>
  </si>
  <si>
    <t>PATHNOSTICS</t>
  </si>
  <si>
    <t>00014043</t>
  </si>
  <si>
    <t>EC201214A1</t>
  </si>
  <si>
    <t>PCL ALVERNO</t>
  </si>
  <si>
    <t>00036013</t>
  </si>
  <si>
    <t>Y1238</t>
  </si>
  <si>
    <t>Pennsylvania State University (Penn State)</t>
  </si>
  <si>
    <t>00017887</t>
  </si>
  <si>
    <t>ISX572</t>
  </si>
  <si>
    <t>00028557</t>
  </si>
  <si>
    <t>FS190</t>
  </si>
  <si>
    <t>8470060254</t>
  </si>
  <si>
    <t>6620135149</t>
  </si>
  <si>
    <t>U1760SP</t>
  </si>
  <si>
    <t>00036222</t>
  </si>
  <si>
    <t>ISX358</t>
  </si>
  <si>
    <t>PERKIN ELMER GENETICS</t>
  </si>
  <si>
    <t>U1239</t>
  </si>
  <si>
    <t>Pfizer Inc - Bothell WA</t>
  </si>
  <si>
    <t>00034992</t>
  </si>
  <si>
    <t>ISX775</t>
  </si>
  <si>
    <t>00035941</t>
  </si>
  <si>
    <t>U1057</t>
  </si>
  <si>
    <t>Pfizer Inc R&amp;D - Cambridge MA</t>
  </si>
  <si>
    <t>00015895</t>
  </si>
  <si>
    <t>ISX310</t>
  </si>
  <si>
    <t>00036462</t>
  </si>
  <si>
    <t>EC230676C1</t>
  </si>
  <si>
    <t>00030847</t>
  </si>
  <si>
    <t>ISX597</t>
  </si>
  <si>
    <t>Pfizer Inc R&amp;D - Chesterfield MO</t>
  </si>
  <si>
    <t>00028637</t>
  </si>
  <si>
    <t>EC210296A2</t>
  </si>
  <si>
    <t>U1684</t>
  </si>
  <si>
    <t>Pfizer Inc R&amp;D - Pearl River NY</t>
  </si>
  <si>
    <t>00034314</t>
  </si>
  <si>
    <t>U1394</t>
  </si>
  <si>
    <t>00035368</t>
  </si>
  <si>
    <t>U0816</t>
  </si>
  <si>
    <t>00035369</t>
  </si>
  <si>
    <t>U1743</t>
  </si>
  <si>
    <t>00035606</t>
  </si>
  <si>
    <t>Y0023</t>
  </si>
  <si>
    <t>Pfizer Inc R&amp;D - San Diego CA</t>
  </si>
  <si>
    <t>00036314</t>
  </si>
  <si>
    <t>U1116</t>
  </si>
  <si>
    <t>00036313</t>
  </si>
  <si>
    <t>U0319</t>
  </si>
  <si>
    <t>00036312</t>
  </si>
  <si>
    <t>P1013</t>
  </si>
  <si>
    <t>00034179</t>
  </si>
  <si>
    <t>ISX184</t>
  </si>
  <si>
    <t>Pfizer Inc R&amp;D (Luminex, see description)</t>
  </si>
  <si>
    <t>FS176</t>
  </si>
  <si>
    <t>8470060208</t>
  </si>
  <si>
    <t>6735125134</t>
  </si>
  <si>
    <t>8470080205</t>
  </si>
  <si>
    <t>PH PHARMA - SILICON VALLEY</t>
  </si>
  <si>
    <t>673513S025</t>
  </si>
  <si>
    <t>PIVOT BIO</t>
  </si>
  <si>
    <t>8470080135</t>
  </si>
  <si>
    <t>00025289</t>
  </si>
  <si>
    <t>PMV Pharma</t>
  </si>
  <si>
    <t>6735145243</t>
  </si>
  <si>
    <t>6620136143</t>
  </si>
  <si>
    <t>Ponce Health Sciences University (PHSU)</t>
  </si>
  <si>
    <t>8472050206</t>
  </si>
  <si>
    <t>Portland VA Medical Center</t>
  </si>
  <si>
    <t>U1314</t>
  </si>
  <si>
    <t>00034904</t>
  </si>
  <si>
    <t>N1647</t>
  </si>
  <si>
    <t>00036693</t>
  </si>
  <si>
    <t>6735136149</t>
  </si>
  <si>
    <t>U1598</t>
  </si>
  <si>
    <t>Powered Research</t>
  </si>
  <si>
    <t>00033418</t>
  </si>
  <si>
    <t>U1673</t>
  </si>
  <si>
    <t>PPD Inc - Richmond VA</t>
  </si>
  <si>
    <t>00034256</t>
  </si>
  <si>
    <t>U1667</t>
  </si>
  <si>
    <t>00034254</t>
  </si>
  <si>
    <t>U1676</t>
  </si>
  <si>
    <t>00034921</t>
  </si>
  <si>
    <t>Y0132</t>
  </si>
  <si>
    <t>00032607</t>
  </si>
  <si>
    <t>PRECIGEN INC</t>
  </si>
  <si>
    <t>Israel</t>
  </si>
  <si>
    <t>Precise Bio</t>
  </si>
  <si>
    <t>Precision BioSciences, Inc</t>
  </si>
  <si>
    <t>8470050119</t>
  </si>
  <si>
    <t>8470050117</t>
  </si>
  <si>
    <t>R1244</t>
  </si>
  <si>
    <t>00034440</t>
  </si>
  <si>
    <t>R1231</t>
  </si>
  <si>
    <t>00034439</t>
  </si>
  <si>
    <t>8470060268</t>
  </si>
  <si>
    <t>PRELLIS BIOLOGICS INC</t>
  </si>
  <si>
    <t>NM1121</t>
  </si>
  <si>
    <t>00031527</t>
  </si>
  <si>
    <t>EC241516J1</t>
  </si>
  <si>
    <t>Prime Medicine Inc</t>
  </si>
  <si>
    <t>00035740</t>
  </si>
  <si>
    <t>U1585</t>
  </si>
  <si>
    <t>PRIMERA ANALYTICAL SOLUTIONS CORPORATION</t>
  </si>
  <si>
    <t>00032985</t>
  </si>
  <si>
    <t>6735116033</t>
  </si>
  <si>
    <t>PRIMORIGEN BIOSCIENCES</t>
  </si>
  <si>
    <t>U1469SP</t>
  </si>
  <si>
    <t>Princeton University</t>
  </si>
  <si>
    <t>00032020</t>
  </si>
  <si>
    <t>8472060175</t>
  </si>
  <si>
    <t>00035382</t>
  </si>
  <si>
    <t>U1715SP</t>
  </si>
  <si>
    <t>00034860</t>
  </si>
  <si>
    <t>EC241386H1</t>
  </si>
  <si>
    <t>PROMEGA CORPORATION</t>
  </si>
  <si>
    <t>00036162</t>
  </si>
  <si>
    <t>NM1548</t>
  </si>
  <si>
    <t>PROTAGONIST THERAPEUTICS INC</t>
  </si>
  <si>
    <t>00033615</t>
  </si>
  <si>
    <t>EC221556D1</t>
  </si>
  <si>
    <t>PROTEGO BIOPHARMA INC</t>
  </si>
  <si>
    <t>00033228</t>
  </si>
  <si>
    <t>EC210906A1</t>
  </si>
  <si>
    <t>00035898</t>
  </si>
  <si>
    <t>6735-R6133</t>
  </si>
  <si>
    <t>Y0939</t>
  </si>
  <si>
    <t>Prothena Biosciences, Inc</t>
  </si>
  <si>
    <t>00034438</t>
  </si>
  <si>
    <t>U1241</t>
  </si>
  <si>
    <t>Providence Earle A Chiles Research Institute</t>
  </si>
  <si>
    <t>00017173</t>
  </si>
  <si>
    <t>EC213416A1</t>
  </si>
  <si>
    <t>00035309</t>
  </si>
  <si>
    <t>6735-R5214</t>
  </si>
  <si>
    <t>8470H50281</t>
  </si>
  <si>
    <t>Providence Health &amp; Services</t>
  </si>
  <si>
    <t>8470050149</t>
  </si>
  <si>
    <t>Provincial Health Services Authority (PHSA)</t>
  </si>
  <si>
    <t>SLA-MUSE-BASIC</t>
  </si>
  <si>
    <t>ISX804</t>
  </si>
  <si>
    <t>Puerto Rico Science, Technology and Research Trust</t>
  </si>
  <si>
    <t>00035092</t>
  </si>
  <si>
    <t>EC232547A2</t>
  </si>
  <si>
    <t>00032695</t>
  </si>
  <si>
    <t>R0022</t>
  </si>
  <si>
    <t>Purinomia Biotech</t>
  </si>
  <si>
    <t>00016528</t>
  </si>
  <si>
    <t>U0955</t>
  </si>
  <si>
    <t>Pyxis Oncology</t>
  </si>
  <si>
    <t>00035937</t>
  </si>
  <si>
    <t>Y1023</t>
  </si>
  <si>
    <t>00036121</t>
  </si>
  <si>
    <t>U1588</t>
  </si>
  <si>
    <t>QPS LLC</t>
  </si>
  <si>
    <t>00035853</t>
  </si>
  <si>
    <t>U1379</t>
  </si>
  <si>
    <t>Quanterix Corporation</t>
  </si>
  <si>
    <t>00035827</t>
  </si>
  <si>
    <t>SM1009</t>
  </si>
  <si>
    <t>00036537</t>
  </si>
  <si>
    <t>SM1007</t>
  </si>
  <si>
    <t>00036536</t>
  </si>
  <si>
    <t>SM1006</t>
  </si>
  <si>
    <t>00036287</t>
  </si>
  <si>
    <t>SM1005</t>
  </si>
  <si>
    <t>00036286</t>
  </si>
  <si>
    <t>Y0101</t>
  </si>
  <si>
    <t>Quantigen</t>
  </si>
  <si>
    <t>00010257</t>
  </si>
  <si>
    <t>NM1521</t>
  </si>
  <si>
    <t>Radionetics Oncology, Inc.</t>
  </si>
  <si>
    <t>00035257</t>
  </si>
  <si>
    <t>Ragon Institute of MGH MIT and Harvard</t>
  </si>
  <si>
    <t>00036695</t>
  </si>
  <si>
    <t>ISX327</t>
  </si>
  <si>
    <t>00036080</t>
  </si>
  <si>
    <t>NM1250</t>
  </si>
  <si>
    <t>Rakuten Medical</t>
  </si>
  <si>
    <t>00035921</t>
  </si>
  <si>
    <t>YM1008</t>
  </si>
  <si>
    <t>00035034</t>
  </si>
  <si>
    <t>NM1653</t>
  </si>
  <si>
    <t>00035035</t>
  </si>
  <si>
    <t>EC210556D1</t>
  </si>
  <si>
    <t>00030280</t>
  </si>
  <si>
    <t>EC211067A1</t>
  </si>
  <si>
    <t>U1360</t>
  </si>
  <si>
    <t>00031778</t>
  </si>
  <si>
    <t>U1352</t>
  </si>
  <si>
    <t>00031777</t>
  </si>
  <si>
    <t>U1351</t>
  </si>
  <si>
    <t>00031776</t>
  </si>
  <si>
    <t>U1133</t>
  </si>
  <si>
    <t>00017574</t>
  </si>
  <si>
    <t>U0979</t>
  </si>
  <si>
    <t>00016700</t>
  </si>
  <si>
    <t>U0794</t>
  </si>
  <si>
    <t>00016698</t>
  </si>
  <si>
    <t>U0560</t>
  </si>
  <si>
    <t>R0463</t>
  </si>
  <si>
    <t>00016688</t>
  </si>
  <si>
    <t>N0146</t>
  </si>
  <si>
    <t>00016685</t>
  </si>
  <si>
    <t>N0145</t>
  </si>
  <si>
    <t>00016682</t>
  </si>
  <si>
    <t>ISX385</t>
  </si>
  <si>
    <t>00017918</t>
  </si>
  <si>
    <t>IR750</t>
  </si>
  <si>
    <t>00031779</t>
  </si>
  <si>
    <t>EC231857A1</t>
  </si>
  <si>
    <t>00032829</t>
  </si>
  <si>
    <t>EC231666J1</t>
  </si>
  <si>
    <t>00034486</t>
  </si>
  <si>
    <t>EC220956A1</t>
  </si>
  <si>
    <t>00031142</t>
  </si>
  <si>
    <t>EC220817A1</t>
  </si>
  <si>
    <t>00031139</t>
  </si>
  <si>
    <t>EC220466A2</t>
  </si>
  <si>
    <t>00030363</t>
  </si>
  <si>
    <t>EC212386G1</t>
  </si>
  <si>
    <t>00031136</t>
  </si>
  <si>
    <t>EC211096A3</t>
  </si>
  <si>
    <t>00031725</t>
  </si>
  <si>
    <t>EC201214A2</t>
  </si>
  <si>
    <t>00033840</t>
  </si>
  <si>
    <t>8470060244</t>
  </si>
  <si>
    <t>8470050295</t>
  </si>
  <si>
    <t>00030370</t>
  </si>
  <si>
    <t>8470050121</t>
  </si>
  <si>
    <t>00033841</t>
  </si>
  <si>
    <t>6620115044</t>
  </si>
  <si>
    <t>6620115038</t>
  </si>
  <si>
    <t>U1742</t>
  </si>
  <si>
    <t>00035015</t>
  </si>
  <si>
    <t>8470050208</t>
  </si>
  <si>
    <t>3630090414</t>
  </si>
  <si>
    <t>REIN TX (PREV. AILERON THERAPEUTICS)</t>
  </si>
  <si>
    <t>8576120114</t>
  </si>
  <si>
    <t>RELAY THERAPEUTICS</t>
  </si>
  <si>
    <t>00026044</t>
  </si>
  <si>
    <t>EC222366C1</t>
  </si>
  <si>
    <t>00032692</t>
  </si>
  <si>
    <t>6735-R8101</t>
  </si>
  <si>
    <t>Remix Therapeutics</t>
  </si>
  <si>
    <t>8470060233</t>
  </si>
  <si>
    <t>RENAL RESEARCH INSTITUTE LLC</t>
  </si>
  <si>
    <t>8470050184</t>
  </si>
  <si>
    <t>RENASCENT DIAGNOSTICS</t>
  </si>
  <si>
    <t>S0351</t>
  </si>
  <si>
    <t>00034806</t>
  </si>
  <si>
    <t>Repertoire Immune Medicines, Inc</t>
  </si>
  <si>
    <t>S0425</t>
  </si>
  <si>
    <t>00036554</t>
  </si>
  <si>
    <t>Y0996</t>
  </si>
  <si>
    <t>Replicate Biosciences</t>
  </si>
  <si>
    <t>00035365</t>
  </si>
  <si>
    <t>Y1226</t>
  </si>
  <si>
    <t>Research Institute of the McGill University Health Centre (RI-MUHC)</t>
  </si>
  <si>
    <t>00016918</t>
  </si>
  <si>
    <t>ISX423</t>
  </si>
  <si>
    <t>00029892</t>
  </si>
  <si>
    <t>U0789</t>
  </si>
  <si>
    <t>Resilience Texas LLC (CTMC)</t>
  </si>
  <si>
    <t>00033009</t>
  </si>
  <si>
    <t>Y0403SP</t>
  </si>
  <si>
    <t>Retro Biosciences</t>
  </si>
  <si>
    <t>V0312</t>
  </si>
  <si>
    <t>Revolution Medicines</t>
  </si>
  <si>
    <t>00017324</t>
  </si>
  <si>
    <t>U1545</t>
  </si>
  <si>
    <t>00035194</t>
  </si>
  <si>
    <t>U1478</t>
  </si>
  <si>
    <t>Revvity (BioLegend)</t>
  </si>
  <si>
    <t>00034451</t>
  </si>
  <si>
    <t>U1477</t>
  </si>
  <si>
    <t>00034450</t>
  </si>
  <si>
    <t>R0008</t>
  </si>
  <si>
    <t>00034452</t>
  </si>
  <si>
    <t>S0375</t>
  </si>
  <si>
    <t>00034961</t>
  </si>
  <si>
    <t>EC211446K1</t>
  </si>
  <si>
    <t>Revvity US (Oxford Immunotec USA)</t>
  </si>
  <si>
    <t>EC203466A1</t>
  </si>
  <si>
    <t>8470110109</t>
  </si>
  <si>
    <t>00035358</t>
  </si>
  <si>
    <t>8470050321</t>
  </si>
  <si>
    <t>00034718</t>
  </si>
  <si>
    <t>8470080201</t>
  </si>
  <si>
    <t>RHEOS MEDICINES INC (CLOSED)</t>
  </si>
  <si>
    <t>Rhode Island Hospital</t>
  </si>
  <si>
    <t>EC193174E1</t>
  </si>
  <si>
    <t>Rice University</t>
  </si>
  <si>
    <t>EC220126E1</t>
  </si>
  <si>
    <t>Ring Therapeutics, Inc</t>
  </si>
  <si>
    <t>00026320</t>
  </si>
  <si>
    <t>U1074</t>
  </si>
  <si>
    <t>Rockefeller University</t>
  </si>
  <si>
    <t>00035579</t>
  </si>
  <si>
    <t>U0682</t>
  </si>
  <si>
    <t>00034391</t>
  </si>
  <si>
    <t>U0394</t>
  </si>
  <si>
    <t>00035580</t>
  </si>
  <si>
    <t>S0419SP</t>
  </si>
  <si>
    <t>00036539</t>
  </si>
  <si>
    <t>S0413SP</t>
  </si>
  <si>
    <t>00036538</t>
  </si>
  <si>
    <t>ROME therapeutics</t>
  </si>
  <si>
    <t>Y0870</t>
  </si>
  <si>
    <t>00034011</t>
  </si>
  <si>
    <t>S0303</t>
  </si>
  <si>
    <t>00035159</t>
  </si>
  <si>
    <t>NM1153</t>
  </si>
  <si>
    <t>00036748</t>
  </si>
  <si>
    <t>NM1642</t>
  </si>
  <si>
    <t>00034915</t>
  </si>
  <si>
    <t>V0359</t>
  </si>
  <si>
    <t>Roswell Park Comprehensive Cancer Center (RPCCC)</t>
  </si>
  <si>
    <t>00035480</t>
  </si>
  <si>
    <t>U1465</t>
  </si>
  <si>
    <t>00031329</t>
  </si>
  <si>
    <t>U0893</t>
  </si>
  <si>
    <t>00015045</t>
  </si>
  <si>
    <t>ISX401</t>
  </si>
  <si>
    <t>00030540</t>
  </si>
  <si>
    <t>ISX205</t>
  </si>
  <si>
    <t>00030544</t>
  </si>
  <si>
    <t>NM1624</t>
  </si>
  <si>
    <t>Rowan University</t>
  </si>
  <si>
    <t>00034665</t>
  </si>
  <si>
    <t>Rutgers New Jersey Medical School</t>
  </si>
  <si>
    <t>8470120159</t>
  </si>
  <si>
    <t>R0064</t>
  </si>
  <si>
    <t>Rutgers University New Brunswick - Busch Campus</t>
  </si>
  <si>
    <t>00034118</t>
  </si>
  <si>
    <t>V0364</t>
  </si>
  <si>
    <t>Rutgers University New Brunswick - College Avenue Campus</t>
  </si>
  <si>
    <t>00034601</t>
  </si>
  <si>
    <t>S0150</t>
  </si>
  <si>
    <t>00034602</t>
  </si>
  <si>
    <t>S0145</t>
  </si>
  <si>
    <t>00035855</t>
  </si>
  <si>
    <t>R0369</t>
  </si>
  <si>
    <t>00035295</t>
  </si>
  <si>
    <t>8470130110</t>
  </si>
  <si>
    <t>U1257</t>
  </si>
  <si>
    <t>Sail Biomedicines</t>
  </si>
  <si>
    <t>00035419</t>
  </si>
  <si>
    <t>U1139</t>
  </si>
  <si>
    <t>00036617</t>
  </si>
  <si>
    <t>U1107</t>
  </si>
  <si>
    <t>00035940</t>
  </si>
  <si>
    <t>EC213516A1</t>
  </si>
  <si>
    <t>00023183</t>
  </si>
  <si>
    <t>Y1143</t>
  </si>
  <si>
    <t>Saint Louis University</t>
  </si>
  <si>
    <t>00036636</t>
  </si>
  <si>
    <t>EC202456A1</t>
  </si>
  <si>
    <t>8470050296</t>
  </si>
  <si>
    <t>Saint Mary's University of Minnesota</t>
  </si>
  <si>
    <t>00036829</t>
  </si>
  <si>
    <t>ISX587</t>
  </si>
  <si>
    <t>San Diego State University</t>
  </si>
  <si>
    <t>U1568</t>
  </si>
  <si>
    <t>Sana Biotechnology Inc - Cambridge MA</t>
  </si>
  <si>
    <t>00032884</t>
  </si>
  <si>
    <t>R1079</t>
  </si>
  <si>
    <t>Sana Biotechnology, Inc.</t>
  </si>
  <si>
    <t>00030645</t>
  </si>
  <si>
    <t>NM1522</t>
  </si>
  <si>
    <t>SandiGene Inc</t>
  </si>
  <si>
    <t>00032707</t>
  </si>
  <si>
    <t>U1409</t>
  </si>
  <si>
    <t>Sanford Burnham Prebys Medical Discovery Institute</t>
  </si>
  <si>
    <t>00030441</t>
  </si>
  <si>
    <t>ISX388</t>
  </si>
  <si>
    <t>00036078</t>
  </si>
  <si>
    <t>ISX733</t>
  </si>
  <si>
    <t>00033787</t>
  </si>
  <si>
    <t>SANGAMO BIOSCIENCES INC</t>
  </si>
  <si>
    <t>U1499</t>
  </si>
  <si>
    <t>00035642</t>
  </si>
  <si>
    <t>U1771</t>
  </si>
  <si>
    <t>00036137</t>
  </si>
  <si>
    <t>ISX617</t>
  </si>
  <si>
    <t>00029311</t>
  </si>
  <si>
    <t>U1145</t>
  </si>
  <si>
    <t>00036050</t>
  </si>
  <si>
    <t>R0543</t>
  </si>
  <si>
    <t>00033584</t>
  </si>
  <si>
    <t>U1591</t>
  </si>
  <si>
    <t>00036041</t>
  </si>
  <si>
    <t>U1441</t>
  </si>
  <si>
    <t>00035979</t>
  </si>
  <si>
    <t>U1085</t>
  </si>
  <si>
    <t>00016004</t>
  </si>
  <si>
    <t>U0765SP</t>
  </si>
  <si>
    <t>00035980</t>
  </si>
  <si>
    <t>U0435</t>
  </si>
  <si>
    <t>00036023</t>
  </si>
  <si>
    <t>ISX554</t>
  </si>
  <si>
    <t>00036024</t>
  </si>
  <si>
    <t>ISX521</t>
  </si>
  <si>
    <t>EC202956D1</t>
  </si>
  <si>
    <t>8470120145</t>
  </si>
  <si>
    <t>8470060101</t>
  </si>
  <si>
    <t>00036031</t>
  </si>
  <si>
    <t>6735138202</t>
  </si>
  <si>
    <t>U1782</t>
  </si>
  <si>
    <t>00036965</t>
  </si>
  <si>
    <t>U1390</t>
  </si>
  <si>
    <t>Sanofi US - 200 West Street, Waltham</t>
  </si>
  <si>
    <t>00036035</t>
  </si>
  <si>
    <t>U1374</t>
  </si>
  <si>
    <t>00036034</t>
  </si>
  <si>
    <t>U0948</t>
  </si>
  <si>
    <t>00036033</t>
  </si>
  <si>
    <t>U1716</t>
  </si>
  <si>
    <t>00034861</t>
  </si>
  <si>
    <t>EC243656A1</t>
  </si>
  <si>
    <t>00036953</t>
  </si>
  <si>
    <t>NM1465</t>
  </si>
  <si>
    <t>00032089</t>
  </si>
  <si>
    <t>NM1570</t>
  </si>
  <si>
    <t>Santa Ana Bio</t>
  </si>
  <si>
    <t>00033815</t>
  </si>
  <si>
    <t>U1203</t>
  </si>
  <si>
    <t>Sarepta Therapeutics Inc - Cambridge MA</t>
  </si>
  <si>
    <t>00034833</t>
  </si>
  <si>
    <t>MU20280002</t>
  </si>
  <si>
    <t>S0178</t>
  </si>
  <si>
    <t>Sarepta Therapeutics Inc - Columbus OH</t>
  </si>
  <si>
    <t>00033785</t>
  </si>
  <si>
    <t>NM1603</t>
  </si>
  <si>
    <t>00034301</t>
  </si>
  <si>
    <t>S0286</t>
  </si>
  <si>
    <t>Sarepta Therapeutics Inc - Durham NC</t>
  </si>
  <si>
    <t>00034036</t>
  </si>
  <si>
    <t>NM1572</t>
  </si>
  <si>
    <t>Sastra Cell Therapy</t>
  </si>
  <si>
    <t>00033882</t>
  </si>
  <si>
    <t>U0739</t>
  </si>
  <si>
    <t>00034449</t>
  </si>
  <si>
    <t>Y0112</t>
  </si>
  <si>
    <t>Scripps Research Institute</t>
  </si>
  <si>
    <t>00033043</t>
  </si>
  <si>
    <t>U1447</t>
  </si>
  <si>
    <t>00031075</t>
  </si>
  <si>
    <t>U1446</t>
  </si>
  <si>
    <t>00033058</t>
  </si>
  <si>
    <t>U1132</t>
  </si>
  <si>
    <t>00033053</t>
  </si>
  <si>
    <t>U0251</t>
  </si>
  <si>
    <t>00033048</t>
  </si>
  <si>
    <t>U0860</t>
  </si>
  <si>
    <t>Seattle Children's</t>
  </si>
  <si>
    <t>00014685</t>
  </si>
  <si>
    <t>8470060216</t>
  </si>
  <si>
    <t>SERAXIS INC</t>
  </si>
  <si>
    <t>8470060216-1</t>
  </si>
  <si>
    <t>6735-R8245</t>
  </si>
  <si>
    <t>SERPIN PHARMA</t>
  </si>
  <si>
    <t>EC211046C1</t>
  </si>
  <si>
    <t>SHATTUCK LABS INC</t>
  </si>
  <si>
    <t>00032786</t>
  </si>
  <si>
    <t>S0236</t>
  </si>
  <si>
    <t>Shennon Bio</t>
  </si>
  <si>
    <t>00030450</t>
  </si>
  <si>
    <t>R1286</t>
  </si>
  <si>
    <t>00030452</t>
  </si>
  <si>
    <t>8472060156</t>
  </si>
  <si>
    <t>SHEPHERD UNIVERSITY</t>
  </si>
  <si>
    <t>00026428</t>
  </si>
  <si>
    <t>SHIRE</t>
  </si>
  <si>
    <t>Y1292</t>
  </si>
  <si>
    <t>Shoreline Biosciences Inc</t>
  </si>
  <si>
    <t>00036868</t>
  </si>
  <si>
    <t>Y0840</t>
  </si>
  <si>
    <t>00031390</t>
  </si>
  <si>
    <t>EC210426D1</t>
  </si>
  <si>
    <t>U1377</t>
  </si>
  <si>
    <t>Slingshot Biosciences</t>
  </si>
  <si>
    <t>00036419</t>
  </si>
  <si>
    <t>U1001</t>
  </si>
  <si>
    <t>00036420</t>
  </si>
  <si>
    <t>N0354</t>
  </si>
  <si>
    <t>00016958</t>
  </si>
  <si>
    <t>6735-R8113</t>
  </si>
  <si>
    <t>SLIPPERY ROCK UNIVERSITY OF PENNSYLVANIA</t>
  </si>
  <si>
    <t>6620125109</t>
  </si>
  <si>
    <t>SMITH COLLEGE</t>
  </si>
  <si>
    <t>EC202326A1</t>
  </si>
  <si>
    <t>SOLANO COMMUNITY COLLEGE DISTRICT</t>
  </si>
  <si>
    <t>U1127</t>
  </si>
  <si>
    <t>Sonoma Bio Therapeutics SSF</t>
  </si>
  <si>
    <t>00017638</t>
  </si>
  <si>
    <t>EC203376A2</t>
  </si>
  <si>
    <t>SOUND BIOLOGICS</t>
  </si>
  <si>
    <t>N1575</t>
  </si>
  <si>
    <t>00035861</t>
  </si>
  <si>
    <t>NM1378</t>
  </si>
  <si>
    <t>Southern Research Institute</t>
  </si>
  <si>
    <t>00036160</t>
  </si>
  <si>
    <t>8472050273</t>
  </si>
  <si>
    <t>SPRINGACTIVE INC</t>
  </si>
  <si>
    <t>FS248</t>
  </si>
  <si>
    <t>St. John's University</t>
  </si>
  <si>
    <t>00032787</t>
  </si>
  <si>
    <t>8472050150</t>
  </si>
  <si>
    <t>00027071</t>
  </si>
  <si>
    <t>Y1165</t>
  </si>
  <si>
    <t>St. Jude Children's Research Hospital</t>
  </si>
  <si>
    <t>00033834</t>
  </si>
  <si>
    <t>U1688</t>
  </si>
  <si>
    <t>00034302</t>
  </si>
  <si>
    <t>U1392</t>
  </si>
  <si>
    <t>00035356</t>
  </si>
  <si>
    <t>U1303</t>
  </si>
  <si>
    <t>00034419</t>
  </si>
  <si>
    <t>U1300</t>
  </si>
  <si>
    <t>00034421</t>
  </si>
  <si>
    <t>U1250</t>
  </si>
  <si>
    <t>00034418</t>
  </si>
  <si>
    <t>U0587</t>
  </si>
  <si>
    <t>00033836</t>
  </si>
  <si>
    <t>U0184</t>
  </si>
  <si>
    <t>00034420</t>
  </si>
  <si>
    <t>R0177</t>
  </si>
  <si>
    <t>00033835</t>
  </si>
  <si>
    <t>NM1389</t>
  </si>
  <si>
    <t>00036669</t>
  </si>
  <si>
    <t>N0119</t>
  </si>
  <si>
    <t>00035899</t>
  </si>
  <si>
    <t>S0330</t>
  </si>
  <si>
    <t>Stanford Blood Center, LLC</t>
  </si>
  <si>
    <t>00036771</t>
  </si>
  <si>
    <t>MU20240002</t>
  </si>
  <si>
    <t>Stanford Healthcare</t>
  </si>
  <si>
    <t>00018536</t>
  </si>
  <si>
    <t>7200151145</t>
  </si>
  <si>
    <t>8470130107</t>
  </si>
  <si>
    <t>Stanford University</t>
  </si>
  <si>
    <t>8470120154</t>
  </si>
  <si>
    <t>MUSE CELL ANALYZER BOXED SYSTEM</t>
  </si>
  <si>
    <t>U1066</t>
  </si>
  <si>
    <t>Stanford University - Cancer Institute</t>
  </si>
  <si>
    <t>00036022</t>
  </si>
  <si>
    <t>U1403</t>
  </si>
  <si>
    <t>Stanford University - Institute for Stem Cell Biology and Regenerative Medicine</t>
  </si>
  <si>
    <t>00036710</t>
  </si>
  <si>
    <t>U1190</t>
  </si>
  <si>
    <t>Stanford University - School of Medicine</t>
  </si>
  <si>
    <t>00035763</t>
  </si>
  <si>
    <t>Y0756</t>
  </si>
  <si>
    <t>00035290</t>
  </si>
  <si>
    <t>U0551</t>
  </si>
  <si>
    <t>00034453</t>
  </si>
  <si>
    <t>Y1024</t>
  </si>
  <si>
    <t>Stanford University - Shared FACS Facility</t>
  </si>
  <si>
    <t>00035623</t>
  </si>
  <si>
    <t>V1283</t>
  </si>
  <si>
    <t>00034971</t>
  </si>
  <si>
    <t>U1460</t>
  </si>
  <si>
    <t>00036673</t>
  </si>
  <si>
    <t>N0139</t>
  </si>
  <si>
    <t>00033755</t>
  </si>
  <si>
    <t>8472050105</t>
  </si>
  <si>
    <t>STATE UNIVERSITY OF NEW YORK AT FREDONIA</t>
  </si>
  <si>
    <t>8470120169</t>
  </si>
  <si>
    <t>STCUBE PHARMACEUTICALS INC</t>
  </si>
  <si>
    <t>N0487</t>
  </si>
  <si>
    <t>Steadman Philippon Research Institute</t>
  </si>
  <si>
    <t>EC220476C1</t>
  </si>
  <si>
    <t>00024245</t>
  </si>
  <si>
    <t>8470060176</t>
  </si>
  <si>
    <t>00022567</t>
  </si>
  <si>
    <t>8470130136</t>
  </si>
  <si>
    <t>00030414</t>
  </si>
  <si>
    <t>8470130102</t>
  </si>
  <si>
    <t>00030411</t>
  </si>
  <si>
    <t>8470080123</t>
  </si>
  <si>
    <t>8470080101</t>
  </si>
  <si>
    <t>00030408</t>
  </si>
  <si>
    <t>NM1706</t>
  </si>
  <si>
    <t>00036424</t>
  </si>
  <si>
    <t>8470130140</t>
  </si>
  <si>
    <t>6620125096</t>
  </si>
  <si>
    <t>STEVENSON UNIVERSITY</t>
  </si>
  <si>
    <t>8470130141</t>
  </si>
  <si>
    <t>STOKE THERAPEUTICS</t>
  </si>
  <si>
    <t>00036905</t>
  </si>
  <si>
    <t>S0110</t>
  </si>
  <si>
    <t>Stowell Lab at Harvard New Research Building</t>
  </si>
  <si>
    <t>00033837</t>
  </si>
  <si>
    <t>N0419</t>
  </si>
  <si>
    <t>00033838</t>
  </si>
  <si>
    <t>U0819</t>
  </si>
  <si>
    <t>Stowers Institute for Medical Research</t>
  </si>
  <si>
    <t>00036798</t>
  </si>
  <si>
    <t>ISX470</t>
  </si>
  <si>
    <t>U0987</t>
  </si>
  <si>
    <t>Strand Therapeutics Inc</t>
  </si>
  <si>
    <t>00035184</t>
  </si>
  <si>
    <t>ISX732</t>
  </si>
  <si>
    <t>00029494</t>
  </si>
  <si>
    <t>ISX183</t>
  </si>
  <si>
    <t>SUNY Albany - Dept. of Nanotechnology, Science and Engineering</t>
  </si>
  <si>
    <t>Y0718</t>
  </si>
  <si>
    <t>SUNY Stony Brook University</t>
  </si>
  <si>
    <t>00030894</t>
  </si>
  <si>
    <t>MU23248007</t>
  </si>
  <si>
    <t>00032902</t>
  </si>
  <si>
    <t>FS135</t>
  </si>
  <si>
    <t>U0434</t>
  </si>
  <si>
    <t>SUNY Upstate Medical University</t>
  </si>
  <si>
    <t>00036184</t>
  </si>
  <si>
    <t>ISX551</t>
  </si>
  <si>
    <t>U1216</t>
  </si>
  <si>
    <t>Sutro Biopharma</t>
  </si>
  <si>
    <t>00034763</t>
  </si>
  <si>
    <t>S0209</t>
  </si>
  <si>
    <t>Swedish Medical Center</t>
  </si>
  <si>
    <t>00017012</t>
  </si>
  <si>
    <t>8470130147</t>
  </si>
  <si>
    <t>SYNNOVATION THERAPEUTICS</t>
  </si>
  <si>
    <t>U1436</t>
  </si>
  <si>
    <t>Synthekine</t>
  </si>
  <si>
    <t>00036649</t>
  </si>
  <si>
    <t>U0217</t>
  </si>
  <si>
    <t>00036648</t>
  </si>
  <si>
    <t>U0167</t>
  </si>
  <si>
    <t>00036647</t>
  </si>
  <si>
    <t>R0083</t>
  </si>
  <si>
    <t>00036650</t>
  </si>
  <si>
    <t>MI108</t>
  </si>
  <si>
    <t>SYSMEX AMERICA INC</t>
  </si>
  <si>
    <t>MI-1000 Instrument, INACTIVE</t>
  </si>
  <si>
    <t>U0905</t>
  </si>
  <si>
    <t>Taconic Biosciences</t>
  </si>
  <si>
    <t>00015152</t>
  </si>
  <si>
    <t>U1475</t>
  </si>
  <si>
    <t>Takeda Pharmaceuticals - Cambridge MA</t>
  </si>
  <si>
    <t>00035841</t>
  </si>
  <si>
    <t>U1472</t>
  </si>
  <si>
    <t>00034832</t>
  </si>
  <si>
    <t>ISX544</t>
  </si>
  <si>
    <t>00030374</t>
  </si>
  <si>
    <t>EC211256G1</t>
  </si>
  <si>
    <t>00026255</t>
  </si>
  <si>
    <t>6735145244</t>
  </si>
  <si>
    <t>XF1009</t>
  </si>
  <si>
    <t>00036505</t>
  </si>
  <si>
    <t>MU21235001</t>
  </si>
  <si>
    <t>TAMPA BAY RESEARCH INSTITUTE</t>
  </si>
  <si>
    <t>Y0437</t>
  </si>
  <si>
    <t>TCG Labs Soleil</t>
  </si>
  <si>
    <t>00036200</t>
  </si>
  <si>
    <t>NM1273</t>
  </si>
  <si>
    <t>00031444</t>
  </si>
  <si>
    <t>U1419</t>
  </si>
  <si>
    <t>Teiko Bio Inc</t>
  </si>
  <si>
    <t>00030679</t>
  </si>
  <si>
    <t>R0501</t>
  </si>
  <si>
    <t>Temple University</t>
  </si>
  <si>
    <t>00033496</t>
  </si>
  <si>
    <t>8472080122</t>
  </si>
  <si>
    <t>8470080191</t>
  </si>
  <si>
    <t>00030953</t>
  </si>
  <si>
    <t>NM1461</t>
  </si>
  <si>
    <t>TerumoBCT</t>
  </si>
  <si>
    <t>00035640</t>
  </si>
  <si>
    <t>R0890</t>
  </si>
  <si>
    <t>Tessera Therapeutics</t>
  </si>
  <si>
    <t>00034629</t>
  </si>
  <si>
    <t>NM1349</t>
  </si>
  <si>
    <t>00017153</t>
  </si>
  <si>
    <t>8470-R6122</t>
  </si>
  <si>
    <t>TETRAGENETICS</t>
  </si>
  <si>
    <t>6735146246</t>
  </si>
  <si>
    <t>Teva Pharmaceuticals - West Chester PA</t>
  </si>
  <si>
    <t>Texas A&amp;M University</t>
  </si>
  <si>
    <t>Y1302</t>
  </si>
  <si>
    <t>00036331</t>
  </si>
  <si>
    <t>Y0506</t>
  </si>
  <si>
    <t>00036332</t>
  </si>
  <si>
    <t>U0602</t>
  </si>
  <si>
    <t>00014298</t>
  </si>
  <si>
    <t>S0215</t>
  </si>
  <si>
    <t>00033066</t>
  </si>
  <si>
    <t>R0406</t>
  </si>
  <si>
    <t>00033971</t>
  </si>
  <si>
    <t>ISX686</t>
  </si>
  <si>
    <t>FS255</t>
  </si>
  <si>
    <t>S0426SP</t>
  </si>
  <si>
    <t>00036401</t>
  </si>
  <si>
    <t>EC243096A1</t>
  </si>
  <si>
    <t>00034670</t>
  </si>
  <si>
    <t>FS328</t>
  </si>
  <si>
    <t>Texas A&amp;M University - AgriLife Research</t>
  </si>
  <si>
    <t>00035236</t>
  </si>
  <si>
    <t>SLA-FS-INTERMED</t>
  </si>
  <si>
    <t>S0299</t>
  </si>
  <si>
    <t>Texas Biomedical Research Institute</t>
  </si>
  <si>
    <t>00035223</t>
  </si>
  <si>
    <t>R0580</t>
  </si>
  <si>
    <t>00035850</t>
  </si>
  <si>
    <t>8472120101</t>
  </si>
  <si>
    <t>ISX311</t>
  </si>
  <si>
    <t>Texas Children's Hospital</t>
  </si>
  <si>
    <t>00035182</t>
  </si>
  <si>
    <t>NM1219SP</t>
  </si>
  <si>
    <t>00016288</t>
  </si>
  <si>
    <t>FS335</t>
  </si>
  <si>
    <t>TEXAS SOUTHERN UNIVERSITY</t>
  </si>
  <si>
    <t>00030231</t>
  </si>
  <si>
    <t>NM1260</t>
  </si>
  <si>
    <t>Texas Tech University Health Sciences Center (TTUHSC)</t>
  </si>
  <si>
    <t>00036633</t>
  </si>
  <si>
    <t>U1494</t>
  </si>
  <si>
    <t>The Allen Institute</t>
  </si>
  <si>
    <t>00033763</t>
  </si>
  <si>
    <t>U0500</t>
  </si>
  <si>
    <t>00036809</t>
  </si>
  <si>
    <t>U0274</t>
  </si>
  <si>
    <t>00036806</t>
  </si>
  <si>
    <t>S0283</t>
  </si>
  <si>
    <t>00033764</t>
  </si>
  <si>
    <t>U1546</t>
  </si>
  <si>
    <t>The Hughston Foundation</t>
  </si>
  <si>
    <t>00033470</t>
  </si>
  <si>
    <t>S0306</t>
  </si>
  <si>
    <t>00033469</t>
  </si>
  <si>
    <t>U0653</t>
  </si>
  <si>
    <t>Thermo Fisher Scientific - Carlsbad CA</t>
  </si>
  <si>
    <t>00036831</t>
  </si>
  <si>
    <t>R0898</t>
  </si>
  <si>
    <t>U0897</t>
  </si>
  <si>
    <t>00015081</t>
  </si>
  <si>
    <t>U0601</t>
  </si>
  <si>
    <t>Thermo Fisher Scientific - Eugene OR</t>
  </si>
  <si>
    <t>00013831</t>
  </si>
  <si>
    <t>EC243537C1</t>
  </si>
  <si>
    <t>00035039</t>
  </si>
  <si>
    <t>EC230036C1</t>
  </si>
  <si>
    <t>00035027</t>
  </si>
  <si>
    <t>EC222137C1</t>
  </si>
  <si>
    <t>Thermo Fisher Scientific - Guilford CT</t>
  </si>
  <si>
    <t>00033782</t>
  </si>
  <si>
    <t>EC221767D1</t>
  </si>
  <si>
    <t>00033206</t>
  </si>
  <si>
    <t>EC221226C1</t>
  </si>
  <si>
    <t>00031166</t>
  </si>
  <si>
    <t>EC220277A1</t>
  </si>
  <si>
    <t>00034912</t>
  </si>
  <si>
    <t>EC213127A2</t>
  </si>
  <si>
    <t>00034911</t>
  </si>
  <si>
    <t>EC213127A1</t>
  </si>
  <si>
    <t>00034910</t>
  </si>
  <si>
    <t>EC212386A2</t>
  </si>
  <si>
    <t>00036152</t>
  </si>
  <si>
    <t>EC202547A3</t>
  </si>
  <si>
    <t>00034460</t>
  </si>
  <si>
    <t>6735116035</t>
  </si>
  <si>
    <t>EC232547A1</t>
  </si>
  <si>
    <t>Thermo Fisher Scientific - Life Technologies Corporation</t>
  </si>
  <si>
    <t>00035759</t>
  </si>
  <si>
    <t>8472050177</t>
  </si>
  <si>
    <t>00034565</t>
  </si>
  <si>
    <t>8472050120</t>
  </si>
  <si>
    <t>6735146235</t>
  </si>
  <si>
    <t>U0911</t>
  </si>
  <si>
    <t>Thermo Fisher Scientific - Pittsburgh PA</t>
  </si>
  <si>
    <t>00015178</t>
  </si>
  <si>
    <t>U0737</t>
  </si>
  <si>
    <t>00014795</t>
  </si>
  <si>
    <t>U0298</t>
  </si>
  <si>
    <t>00016385</t>
  </si>
  <si>
    <t>Thomas Jefferson University</t>
  </si>
  <si>
    <t>EC202726H1</t>
  </si>
  <si>
    <t>8472050113</t>
  </si>
  <si>
    <t>8472050107</t>
  </si>
  <si>
    <t>6620145152</t>
  </si>
  <si>
    <t>U1727</t>
  </si>
  <si>
    <t>00034929</t>
  </si>
  <si>
    <t>S0365</t>
  </si>
  <si>
    <t>00034928</t>
  </si>
  <si>
    <t>NM1545</t>
  </si>
  <si>
    <t>Tmunity Therapeutics Inc</t>
  </si>
  <si>
    <t>00033570</t>
  </si>
  <si>
    <t>Hong Kong</t>
  </si>
  <si>
    <t>Y0037</t>
  </si>
  <si>
    <t>Tonbo Biosciences</t>
  </si>
  <si>
    <t>00035784</t>
  </si>
  <si>
    <t>V0170</t>
  </si>
  <si>
    <t>00017538</t>
  </si>
  <si>
    <t>U0165</t>
  </si>
  <si>
    <t>NM1084</t>
  </si>
  <si>
    <t>00031262</t>
  </si>
  <si>
    <t>Y0128</t>
  </si>
  <si>
    <t>Torch Therapeutics, Inc.</t>
  </si>
  <si>
    <t>00034231</t>
  </si>
  <si>
    <t>8472080125</t>
  </si>
  <si>
    <t>TOWSON UNIVERSITY</t>
  </si>
  <si>
    <t>U1306</t>
  </si>
  <si>
    <t>Tr1x Bio</t>
  </si>
  <si>
    <t>00036235</t>
  </si>
  <si>
    <t>MU21014001</t>
  </si>
  <si>
    <t>TRACERLAB EQUIPMENT LLC</t>
  </si>
  <si>
    <t>MU20342002</t>
  </si>
  <si>
    <t>Y0401</t>
  </si>
  <si>
    <t>Translational Drug Development (TD2) - Bothell Site (Formerly FCSL)</t>
  </si>
  <si>
    <t>00036641</t>
  </si>
  <si>
    <t>Y0103</t>
  </si>
  <si>
    <t>00036638</t>
  </si>
  <si>
    <t>U1732</t>
  </si>
  <si>
    <t>Translational Genomics Research Institute (TGen)</t>
  </si>
  <si>
    <t>00034960</t>
  </si>
  <si>
    <t>NM1417</t>
  </si>
  <si>
    <t>Trinity University</t>
  </si>
  <si>
    <t>00034289</t>
  </si>
  <si>
    <t>8470130154</t>
  </si>
  <si>
    <t>Tufts University</t>
  </si>
  <si>
    <t>6735146217</t>
  </si>
  <si>
    <t>U0185</t>
  </si>
  <si>
    <t>Tufts University - Jaharis Family Center for Biomedical and Nutrition Sciences</t>
  </si>
  <si>
    <t>00015142</t>
  </si>
  <si>
    <t>U0133SP</t>
  </si>
  <si>
    <t>00034222</t>
  </si>
  <si>
    <t>Y0428</t>
  </si>
  <si>
    <t>Tulane University</t>
  </si>
  <si>
    <t>00033521</t>
  </si>
  <si>
    <t>R0073</t>
  </si>
  <si>
    <t>00017800</t>
  </si>
  <si>
    <t>8470050135</t>
  </si>
  <si>
    <t>NM1245</t>
  </si>
  <si>
    <t>Tuskegee University</t>
  </si>
  <si>
    <t>00016028</t>
  </si>
  <si>
    <t>MU21263002</t>
  </si>
  <si>
    <t>U.S. Department of Agriculture (USDA) Agricultural Research Service (ARS)</t>
  </si>
  <si>
    <t>00035161</t>
  </si>
  <si>
    <t>EC212846B1</t>
  </si>
  <si>
    <t>8472080111</t>
  </si>
  <si>
    <t>7200151124-5</t>
  </si>
  <si>
    <t>Y0349</t>
  </si>
  <si>
    <t>00033415</t>
  </si>
  <si>
    <t>ISX407</t>
  </si>
  <si>
    <t>ISX404</t>
  </si>
  <si>
    <t>U0566</t>
  </si>
  <si>
    <t>00033032</t>
  </si>
  <si>
    <t>U0247</t>
  </si>
  <si>
    <t>00015011</t>
  </si>
  <si>
    <t>U0235</t>
  </si>
  <si>
    <t>00033372</t>
  </si>
  <si>
    <t>R1219SP</t>
  </si>
  <si>
    <t>00033580</t>
  </si>
  <si>
    <t>NM1285</t>
  </si>
  <si>
    <t>00016538</t>
  </si>
  <si>
    <t>NM1104</t>
  </si>
  <si>
    <t>00031462</t>
  </si>
  <si>
    <t>FS315</t>
  </si>
  <si>
    <t>00030264</t>
  </si>
  <si>
    <t>S0203</t>
  </si>
  <si>
    <t>UC Davis Health Department of Orthopedic Surgery</t>
  </si>
  <si>
    <t>00017788</t>
  </si>
  <si>
    <t>EC211536G1</t>
  </si>
  <si>
    <t>00026269</t>
  </si>
  <si>
    <t>8574140120</t>
  </si>
  <si>
    <t>6620-R5134</t>
  </si>
  <si>
    <t>U1628</t>
  </si>
  <si>
    <t>UCLA BSCRC Flow Cytometry Core</t>
  </si>
  <si>
    <t>00033645</t>
  </si>
  <si>
    <t>U1625</t>
  </si>
  <si>
    <t>00033644</t>
  </si>
  <si>
    <t>U1781</t>
  </si>
  <si>
    <t>UCSD - Ananda Goldrath Lab</t>
  </si>
  <si>
    <t>00036964</t>
  </si>
  <si>
    <t>U0993</t>
  </si>
  <si>
    <t>UCSD - Moores Cancer Center</t>
  </si>
  <si>
    <t>SM1002</t>
  </si>
  <si>
    <t>UCSD - Saran Raju Lab</t>
  </si>
  <si>
    <t>00036388</t>
  </si>
  <si>
    <t>U1618</t>
  </si>
  <si>
    <t>UCSF Core Immunology Laboratory</t>
  </si>
  <si>
    <t>00033491</t>
  </si>
  <si>
    <t>Y1293</t>
  </si>
  <si>
    <t>UCSF Medical Center at Mission Bay</t>
  </si>
  <si>
    <t>00017649</t>
  </si>
  <si>
    <t>RM1004</t>
  </si>
  <si>
    <t>UCSF Medical Center at Mission Bay - Wenqi Shen/Shokat lab</t>
  </si>
  <si>
    <t>00036653</t>
  </si>
  <si>
    <t>U0862</t>
  </si>
  <si>
    <t>UF Scripps Institute for Biomedical Innovation &amp; Technology</t>
  </si>
  <si>
    <t>00034739</t>
  </si>
  <si>
    <t>8470120161</t>
  </si>
  <si>
    <t>U0784</t>
  </si>
  <si>
    <t>Ultragenyx Pharmaceutical Inc - Somerville MA</t>
  </si>
  <si>
    <t>00036315</t>
  </si>
  <si>
    <t>Y0035</t>
  </si>
  <si>
    <t>UMass Chan Medical School</t>
  </si>
  <si>
    <t>00016018</t>
  </si>
  <si>
    <t>U1307</t>
  </si>
  <si>
    <t>00017155</t>
  </si>
  <si>
    <t>R0024</t>
  </si>
  <si>
    <t>00016022</t>
  </si>
  <si>
    <t>ISX790</t>
  </si>
  <si>
    <t>00036813</t>
  </si>
  <si>
    <t>FS141</t>
  </si>
  <si>
    <t>00031445</t>
  </si>
  <si>
    <t>EC222386H1</t>
  </si>
  <si>
    <t>00032001</t>
  </si>
  <si>
    <t>8470050239</t>
  </si>
  <si>
    <t>6735-R8121</t>
  </si>
  <si>
    <t>6735136125</t>
  </si>
  <si>
    <t>S0384</t>
  </si>
  <si>
    <t>00035607</t>
  </si>
  <si>
    <t>V1521</t>
  </si>
  <si>
    <t>Umoja BioPharma</t>
  </si>
  <si>
    <t>00031904</t>
  </si>
  <si>
    <t>V0980</t>
  </si>
  <si>
    <t>Umoja Biopharma - Boulder</t>
  </si>
  <si>
    <t>00031956</t>
  </si>
  <si>
    <t>U0293</t>
  </si>
  <si>
    <t>Uniformed Services University of the Health Sciences</t>
  </si>
  <si>
    <t>00035437</t>
  </si>
  <si>
    <t>ISX462</t>
  </si>
  <si>
    <t>U1692</t>
  </si>
  <si>
    <t>00034786</t>
  </si>
  <si>
    <t>6620146178</t>
  </si>
  <si>
    <t>UNION COLLEGE</t>
  </si>
  <si>
    <t>EC220186B1</t>
  </si>
  <si>
    <t>UNIVERSAL CELLS INC</t>
  </si>
  <si>
    <t>00031914</t>
  </si>
  <si>
    <t>8472060258</t>
  </si>
  <si>
    <t>UNIVERSIDAD CENTRAL DEL CARIBE</t>
  </si>
  <si>
    <t>00035057</t>
  </si>
  <si>
    <t>NM1568SP</t>
  </si>
  <si>
    <t>Université de Moncton</t>
  </si>
  <si>
    <t>00034215</t>
  </si>
  <si>
    <t>EC241636A1</t>
  </si>
  <si>
    <t>Université de Sherbrooke</t>
  </si>
  <si>
    <t>00033553</t>
  </si>
  <si>
    <t>R0858</t>
  </si>
  <si>
    <t>00036577</t>
  </si>
  <si>
    <t>U1755SP</t>
  </si>
  <si>
    <t>00035739</t>
  </si>
  <si>
    <t>8574140101</t>
  </si>
  <si>
    <t>Université Laval</t>
  </si>
  <si>
    <t>YM1010</t>
  </si>
  <si>
    <t>University at Buffalo</t>
  </si>
  <si>
    <t>00035514</t>
  </si>
  <si>
    <t>ISX694</t>
  </si>
  <si>
    <t>University Health Network</t>
  </si>
  <si>
    <t>00029403</t>
  </si>
  <si>
    <t>N0815</t>
  </si>
  <si>
    <t>University of Alabama at Birmingham</t>
  </si>
  <si>
    <t>00036756</t>
  </si>
  <si>
    <t>ISX350</t>
  </si>
  <si>
    <t>00035947</t>
  </si>
  <si>
    <t>EC210286B1</t>
  </si>
  <si>
    <t>8576120116</t>
  </si>
  <si>
    <t>00034424</t>
  </si>
  <si>
    <t>8472060203</t>
  </si>
  <si>
    <t>8470050115</t>
  </si>
  <si>
    <t>8472050274</t>
  </si>
  <si>
    <t>UNIVERSITY OF ALASKA FAIRBANKS</t>
  </si>
  <si>
    <t>U0882</t>
  </si>
  <si>
    <t>University of Alberta</t>
  </si>
  <si>
    <t>00014879</t>
  </si>
  <si>
    <t>NM1445</t>
  </si>
  <si>
    <t>00034479</t>
  </si>
  <si>
    <t>ISX768</t>
  </si>
  <si>
    <t>00030617</t>
  </si>
  <si>
    <t>ISX378</t>
  </si>
  <si>
    <t>ISX324</t>
  </si>
  <si>
    <t>U0442</t>
  </si>
  <si>
    <t>University of Arizona</t>
  </si>
  <si>
    <t>00017960</t>
  </si>
  <si>
    <t>U0396</t>
  </si>
  <si>
    <t>00017955</t>
  </si>
  <si>
    <t>ISX652</t>
  </si>
  <si>
    <t>00030694</t>
  </si>
  <si>
    <t>8472060263</t>
  </si>
  <si>
    <t>8470050235</t>
  </si>
  <si>
    <t>NM1650SP</t>
  </si>
  <si>
    <t>00034983</t>
  </si>
  <si>
    <t>8470120139-2</t>
  </si>
  <si>
    <t>Instrument, Top Level, Easycyte, 14HT</t>
  </si>
  <si>
    <t>NM1442</t>
  </si>
  <si>
    <t>University of Arizona Cancer Center - Human Immune Monitoring Facility</t>
  </si>
  <si>
    <t>00035699</t>
  </si>
  <si>
    <t>U1747</t>
  </si>
  <si>
    <t>00035701</t>
  </si>
  <si>
    <t>S0398</t>
  </si>
  <si>
    <t>00035700</t>
  </si>
  <si>
    <t>S0396</t>
  </si>
  <si>
    <t>00035743</t>
  </si>
  <si>
    <t>NM1654</t>
  </si>
  <si>
    <t>00035741</t>
  </si>
  <si>
    <t>S0318</t>
  </si>
  <si>
    <t>University of Arkansas for Medical Sciences (UAMS)</t>
  </si>
  <si>
    <t>00035943</t>
  </si>
  <si>
    <t>NM1602</t>
  </si>
  <si>
    <t>00034476</t>
  </si>
  <si>
    <t>N0813</t>
  </si>
  <si>
    <t>00034150</t>
  </si>
  <si>
    <t>ISX591</t>
  </si>
  <si>
    <t>University of British Columbia</t>
  </si>
  <si>
    <t>S0305</t>
  </si>
  <si>
    <t>00034765</t>
  </si>
  <si>
    <t>NM1287</t>
  </si>
  <si>
    <t>00032576</t>
  </si>
  <si>
    <t>N0679</t>
  </si>
  <si>
    <t>00035350</t>
  </si>
  <si>
    <t>8575100103</t>
  </si>
  <si>
    <t>Guava easyCyte BG</t>
  </si>
  <si>
    <t>8470050238</t>
  </si>
  <si>
    <t>U1728</t>
  </si>
  <si>
    <t>00034942</t>
  </si>
  <si>
    <t>NM1158</t>
  </si>
  <si>
    <t>University of British Columbia - BC Children's Hospital Research Institute</t>
  </si>
  <si>
    <t>00015580</t>
  </si>
  <si>
    <t>U1749</t>
  </si>
  <si>
    <t>00035809</t>
  </si>
  <si>
    <t>S0399</t>
  </si>
  <si>
    <t>00035788</t>
  </si>
  <si>
    <t>U1612</t>
  </si>
  <si>
    <t>University of Buffalo - Jacobs School of Medicine</t>
  </si>
  <si>
    <t>00033375</t>
  </si>
  <si>
    <t>U1737SP</t>
  </si>
  <si>
    <t>00034909</t>
  </si>
  <si>
    <t>U1432</t>
  </si>
  <si>
    <t>University of Calgary</t>
  </si>
  <si>
    <t>00030993</t>
  </si>
  <si>
    <t>U1406</t>
  </si>
  <si>
    <t>00030609</t>
  </si>
  <si>
    <t>U1070SP</t>
  </si>
  <si>
    <t>00016041</t>
  </si>
  <si>
    <t>U0407</t>
  </si>
  <si>
    <t>00011354</t>
  </si>
  <si>
    <t>S0251</t>
  </si>
  <si>
    <t>00030611</t>
  </si>
  <si>
    <t>8470050244</t>
  </si>
  <si>
    <t>00022382</t>
  </si>
  <si>
    <t>ISX806</t>
  </si>
  <si>
    <t>00035069</t>
  </si>
  <si>
    <t>U1636</t>
  </si>
  <si>
    <t>University of Calgary - International Microbiome Centre</t>
  </si>
  <si>
    <t>00033801</t>
  </si>
  <si>
    <t>U1599</t>
  </si>
  <si>
    <t>00033226</t>
  </si>
  <si>
    <t>S0294</t>
  </si>
  <si>
    <t>00032929</t>
  </si>
  <si>
    <t>U0915</t>
  </si>
  <si>
    <t>University of California, Berkeley</t>
  </si>
  <si>
    <t>00034430</t>
  </si>
  <si>
    <t>S0157</t>
  </si>
  <si>
    <t>00034258</t>
  </si>
  <si>
    <t>6735145236</t>
  </si>
  <si>
    <t>673512S013</t>
  </si>
  <si>
    <t>U0338</t>
  </si>
  <si>
    <t>University of California, Davis (UC Davis)</t>
  </si>
  <si>
    <t>00031895</t>
  </si>
  <si>
    <t>ISX409</t>
  </si>
  <si>
    <t>00035911</t>
  </si>
  <si>
    <t>8472050241</t>
  </si>
  <si>
    <t>Y1695</t>
  </si>
  <si>
    <t>University of California, Irvine</t>
  </si>
  <si>
    <t>00034352</t>
  </si>
  <si>
    <t>U0825</t>
  </si>
  <si>
    <t>00036011</t>
  </si>
  <si>
    <t>NM1077</t>
  </si>
  <si>
    <t>00014960</t>
  </si>
  <si>
    <t>ISX451</t>
  </si>
  <si>
    <t>8470080104</t>
  </si>
  <si>
    <t>N0532</t>
  </si>
  <si>
    <t>University of California, Los Angeles (UCLA)</t>
  </si>
  <si>
    <t>00013259</t>
  </si>
  <si>
    <t>ISX461</t>
  </si>
  <si>
    <t>00036819</t>
  </si>
  <si>
    <t>8472050203</t>
  </si>
  <si>
    <t>00034127</t>
  </si>
  <si>
    <t>YM1009</t>
  </si>
  <si>
    <t>University of California, Merced</t>
  </si>
  <si>
    <t>00035801</t>
  </si>
  <si>
    <t>University of California, San Diego (UCSD)</t>
  </si>
  <si>
    <t>MU20133001</t>
  </si>
  <si>
    <t>ISX113</t>
  </si>
  <si>
    <t>8472060243</t>
  </si>
  <si>
    <t>8472050139</t>
  </si>
  <si>
    <t>8470H50310</t>
  </si>
  <si>
    <t>00026180</t>
  </si>
  <si>
    <t>8470110112</t>
  </si>
  <si>
    <t>00026196</t>
  </si>
  <si>
    <t>8470050190</t>
  </si>
  <si>
    <t>6735128108</t>
  </si>
  <si>
    <t>S0382</t>
  </si>
  <si>
    <t>00035109</t>
  </si>
  <si>
    <t>8470H50310-1</t>
  </si>
  <si>
    <t>Guava easyCyte 5HT HPL, Chassis Assembly, INACTIVE</t>
  </si>
  <si>
    <t>Y0140</t>
  </si>
  <si>
    <t>University of California, San Francisco (UCSF)</t>
  </si>
  <si>
    <t>00015290</t>
  </si>
  <si>
    <t>Y0138</t>
  </si>
  <si>
    <t>00016132</t>
  </si>
  <si>
    <t>U1678</t>
  </si>
  <si>
    <t>00034284</t>
  </si>
  <si>
    <t>U1654</t>
  </si>
  <si>
    <t>00034285</t>
  </si>
  <si>
    <t>U1323SP</t>
  </si>
  <si>
    <t>00017191</t>
  </si>
  <si>
    <t>U0986SP</t>
  </si>
  <si>
    <t>00015578</t>
  </si>
  <si>
    <t>U0921</t>
  </si>
  <si>
    <t>00034535</t>
  </si>
  <si>
    <t>U0904SP</t>
  </si>
  <si>
    <t>00031113</t>
  </si>
  <si>
    <t>U0323</t>
  </si>
  <si>
    <t>00016118</t>
  </si>
  <si>
    <t>S0188</t>
  </si>
  <si>
    <t>00030463</t>
  </si>
  <si>
    <t>N0730</t>
  </si>
  <si>
    <t>00014115</t>
  </si>
  <si>
    <t>Cytek Northern Lights 1000 B</t>
  </si>
  <si>
    <t>N0676</t>
  </si>
  <si>
    <t>00035243</t>
  </si>
  <si>
    <t>ISX731</t>
  </si>
  <si>
    <t>00034426</t>
  </si>
  <si>
    <t>US</t>
  </si>
  <si>
    <t>S200220001 at 40 mW</t>
  </si>
  <si>
    <t>Cube</t>
  </si>
  <si>
    <t>8470060207</t>
  </si>
  <si>
    <t>University of California, Santa Barbara</t>
  </si>
  <si>
    <t>8470050236</t>
  </si>
  <si>
    <t>8470050188</t>
  </si>
  <si>
    <t>6735126116</t>
  </si>
  <si>
    <t>FS291</t>
  </si>
  <si>
    <t>University of California, Santa Cruz</t>
  </si>
  <si>
    <t>R1453</t>
  </si>
  <si>
    <t>University of Central Florida</t>
  </si>
  <si>
    <t>00034791</t>
  </si>
  <si>
    <t>N0378</t>
  </si>
  <si>
    <t>00012654</t>
  </si>
  <si>
    <t>Y1179</t>
  </si>
  <si>
    <t>University of Chicago</t>
  </si>
  <si>
    <t>00034003</t>
  </si>
  <si>
    <t>U1670</t>
  </si>
  <si>
    <t>00034247</t>
  </si>
  <si>
    <t>U0900</t>
  </si>
  <si>
    <t>00015133</t>
  </si>
  <si>
    <t>U0446</t>
  </si>
  <si>
    <t>00012531</t>
  </si>
  <si>
    <t>U0335</t>
  </si>
  <si>
    <t>00011433</t>
  </si>
  <si>
    <t>U0287</t>
  </si>
  <si>
    <t>00008495</t>
  </si>
  <si>
    <t>U0126</t>
  </si>
  <si>
    <t>00036166</t>
  </si>
  <si>
    <t>FS181</t>
  </si>
  <si>
    <t>ISX123</t>
  </si>
  <si>
    <t>University of Chicago - Medical Center</t>
  </si>
  <si>
    <t>Y1563</t>
  </si>
  <si>
    <t>University of Cincinnati</t>
  </si>
  <si>
    <t>00032636</t>
  </si>
  <si>
    <t>U0887</t>
  </si>
  <si>
    <t>00034069</t>
  </si>
  <si>
    <t>8470120135</t>
  </si>
  <si>
    <t>Y0081</t>
  </si>
  <si>
    <t>University of Colorado Anschutz Medical Campus</t>
  </si>
  <si>
    <t>00016447</t>
  </si>
  <si>
    <t>V0458</t>
  </si>
  <si>
    <t>00036923</t>
  </si>
  <si>
    <t>U1627</t>
  </si>
  <si>
    <t>00033642</t>
  </si>
  <si>
    <t>U1308</t>
  </si>
  <si>
    <t>00017300</t>
  </si>
  <si>
    <t>U0315</t>
  </si>
  <si>
    <t>00015416</t>
  </si>
  <si>
    <t>U0230</t>
  </si>
  <si>
    <t>00015230</t>
  </si>
  <si>
    <t>R0125</t>
  </si>
  <si>
    <t>00032564</t>
  </si>
  <si>
    <t>R0027</t>
  </si>
  <si>
    <t>00016451</t>
  </si>
  <si>
    <t>N0208</t>
  </si>
  <si>
    <t>00015235</t>
  </si>
  <si>
    <t>FS220</t>
  </si>
  <si>
    <t>8470060122</t>
  </si>
  <si>
    <t>6735-R8253</t>
  </si>
  <si>
    <t>EC220456A1</t>
  </si>
  <si>
    <t>University of Colorado, Denver</t>
  </si>
  <si>
    <t>00035600</t>
  </si>
  <si>
    <t>8470080176</t>
  </si>
  <si>
    <t>00024977</t>
  </si>
  <si>
    <t>8470060274</t>
  </si>
  <si>
    <t>8470060274-3</t>
  </si>
  <si>
    <t>8470060274-1</t>
  </si>
  <si>
    <t>Guava easyCyte 6-2L HT, Chassis Assembly, INACTIVE</t>
  </si>
  <si>
    <t>S0311</t>
  </si>
  <si>
    <t>University of Connecticut (UConn)</t>
  </si>
  <si>
    <t>00032842</t>
  </si>
  <si>
    <t>NM1541</t>
  </si>
  <si>
    <t>00033185</t>
  </si>
  <si>
    <t>SM1014</t>
  </si>
  <si>
    <t>00036546</t>
  </si>
  <si>
    <t>ISX552</t>
  </si>
  <si>
    <t>University of Connecticut Health Center (UConn Health)</t>
  </si>
  <si>
    <t>00036601</t>
  </si>
  <si>
    <t>8470060179</t>
  </si>
  <si>
    <t>UNIVERSITY OF DAYTON</t>
  </si>
  <si>
    <t>EC201334B1</t>
  </si>
  <si>
    <t>00033910</t>
  </si>
  <si>
    <t>EC200444B1</t>
  </si>
  <si>
    <t>00033909</t>
  </si>
  <si>
    <t>U1389</t>
  </si>
  <si>
    <t>University of Florida (UF)</t>
  </si>
  <si>
    <t>00017851</t>
  </si>
  <si>
    <t>U0805</t>
  </si>
  <si>
    <t>00014408</t>
  </si>
  <si>
    <t>R0212</t>
  </si>
  <si>
    <t>00030912</t>
  </si>
  <si>
    <t>R0052</t>
  </si>
  <si>
    <t>00033549</t>
  </si>
  <si>
    <t>R0042</t>
  </si>
  <si>
    <t>00017894</t>
  </si>
  <si>
    <t>R0032</t>
  </si>
  <si>
    <t>00032874</t>
  </si>
  <si>
    <t>N0466</t>
  </si>
  <si>
    <t>00033091</t>
  </si>
  <si>
    <t>ISX651</t>
  </si>
  <si>
    <t>ISX107</t>
  </si>
  <si>
    <t>EC221736A1</t>
  </si>
  <si>
    <t>00023192</t>
  </si>
  <si>
    <t>EC212156F1</t>
  </si>
  <si>
    <t>00033819</t>
  </si>
  <si>
    <t>EC200794E1</t>
  </si>
  <si>
    <t>8472050236</t>
  </si>
  <si>
    <t>NM1583</t>
  </si>
  <si>
    <t>University of Florida Research and Academic Center (Orlando)</t>
  </si>
  <si>
    <t>00034057</t>
  </si>
  <si>
    <t>U0909</t>
  </si>
  <si>
    <t>University of Georgia</t>
  </si>
  <si>
    <t>00034487</t>
  </si>
  <si>
    <t>S0293</t>
  </si>
  <si>
    <t>00032173</t>
  </si>
  <si>
    <t>MU21237001</t>
  </si>
  <si>
    <t>ISX558</t>
  </si>
  <si>
    <t>00034012</t>
  </si>
  <si>
    <t>8574100110</t>
  </si>
  <si>
    <t>00030315</t>
  </si>
  <si>
    <t>6620145165</t>
  </si>
  <si>
    <t>NM1249</t>
  </si>
  <si>
    <t>University of Guelph</t>
  </si>
  <si>
    <t>00030863</t>
  </si>
  <si>
    <t>6735-R8039</t>
  </si>
  <si>
    <t>FS250</t>
  </si>
  <si>
    <t>University of Houston</t>
  </si>
  <si>
    <t>6735128085</t>
  </si>
  <si>
    <t>U0920</t>
  </si>
  <si>
    <t>University of Illinois Chicago</t>
  </si>
  <si>
    <t>00034533</t>
  </si>
  <si>
    <t>NM1192</t>
  </si>
  <si>
    <t>00035170</t>
  </si>
  <si>
    <t>8472060227</t>
  </si>
  <si>
    <t>00035417</t>
  </si>
  <si>
    <t>NM1628</t>
  </si>
  <si>
    <t>00034914</t>
  </si>
  <si>
    <t>R0023</t>
  </si>
  <si>
    <t>University of Illinois Urbana-Champaign</t>
  </si>
  <si>
    <t>00013934</t>
  </si>
  <si>
    <t>ISX740</t>
  </si>
  <si>
    <t>00031520</t>
  </si>
  <si>
    <t>Y0014</t>
  </si>
  <si>
    <t>University of Iowa</t>
  </si>
  <si>
    <t>00035353</t>
  </si>
  <si>
    <t>U0639</t>
  </si>
  <si>
    <t>00036333</t>
  </si>
  <si>
    <t>U0447</t>
  </si>
  <si>
    <t>00013827</t>
  </si>
  <si>
    <t>U0214</t>
  </si>
  <si>
    <t>00032665</t>
  </si>
  <si>
    <t>S0211</t>
  </si>
  <si>
    <t>00017748</t>
  </si>
  <si>
    <t>R1150</t>
  </si>
  <si>
    <t>00035966</t>
  </si>
  <si>
    <t>NM1502</t>
  </si>
  <si>
    <t>00032234</t>
  </si>
  <si>
    <t>N0346</t>
  </si>
  <si>
    <t>00032535</t>
  </si>
  <si>
    <t>8470130160</t>
  </si>
  <si>
    <t>8470060105</t>
  </si>
  <si>
    <t>ISX800</t>
  </si>
  <si>
    <t>University of Iowa - State Hygienic Lab</t>
  </si>
  <si>
    <t>00034311</t>
  </si>
  <si>
    <t>U1125</t>
  </si>
  <si>
    <t>University of Kansas</t>
  </si>
  <si>
    <t>00016331</t>
  </si>
  <si>
    <t>MU23175002</t>
  </si>
  <si>
    <t>00030623</t>
  </si>
  <si>
    <t>8472120118</t>
  </si>
  <si>
    <t>Y1431</t>
  </si>
  <si>
    <t>University of Kansas Medical Center (KU Medical Center)</t>
  </si>
  <si>
    <t>00031151</t>
  </si>
  <si>
    <t>U1002SP</t>
  </si>
  <si>
    <t>00035291</t>
  </si>
  <si>
    <t>S0187</t>
  </si>
  <si>
    <t>00016757</t>
  </si>
  <si>
    <t>R1276</t>
  </si>
  <si>
    <t>00035351</t>
  </si>
  <si>
    <t>MU20036001</t>
  </si>
  <si>
    <t>U1112</t>
  </si>
  <si>
    <t>University of Kentucky</t>
  </si>
  <si>
    <t>00016126</t>
  </si>
  <si>
    <t>8470080183</t>
  </si>
  <si>
    <t>EC201364D1</t>
  </si>
  <si>
    <t>University of Louisiana at Lafayette</t>
  </si>
  <si>
    <t>UNIVERSITY OF LOUISIANA MONROE</t>
  </si>
  <si>
    <t>ISX534</t>
  </si>
  <si>
    <t>7200150850</t>
  </si>
  <si>
    <t>UNIVERSITY OF LOUISIANA SYSTEM</t>
  </si>
  <si>
    <t>7200150850-5</t>
  </si>
  <si>
    <t>7200150850-4</t>
  </si>
  <si>
    <t>7200150850-3</t>
  </si>
  <si>
    <t>7200150850-2</t>
  </si>
  <si>
    <t>7200150850-1</t>
  </si>
  <si>
    <t>R0759</t>
  </si>
  <si>
    <t>University of Louisville</t>
  </si>
  <si>
    <t>00035840</t>
  </si>
  <si>
    <t>NM1576</t>
  </si>
  <si>
    <t>00034030</t>
  </si>
  <si>
    <t>N0665</t>
  </si>
  <si>
    <t>N0536</t>
  </si>
  <si>
    <t>00034025</t>
  </si>
  <si>
    <t>ISX363</t>
  </si>
  <si>
    <t>YM1015SP</t>
  </si>
  <si>
    <t>University of Manitoba</t>
  </si>
  <si>
    <t>00035683</t>
  </si>
  <si>
    <t>UM1015</t>
  </si>
  <si>
    <t>00035792</t>
  </si>
  <si>
    <t>V0333</t>
  </si>
  <si>
    <t>University of Maryland Baltimore (UMB)</t>
  </si>
  <si>
    <t>00031226</t>
  </si>
  <si>
    <t>U1368</t>
  </si>
  <si>
    <t>00035405</t>
  </si>
  <si>
    <t>S0205</t>
  </si>
  <si>
    <t>00036863</t>
  </si>
  <si>
    <t>R0026</t>
  </si>
  <si>
    <t>00031221</t>
  </si>
  <si>
    <t>FS184</t>
  </si>
  <si>
    <t>00032270</t>
  </si>
  <si>
    <t>EC222226E1</t>
  </si>
  <si>
    <t>00026349</t>
  </si>
  <si>
    <t>8470130145</t>
  </si>
  <si>
    <t>8470120136</t>
  </si>
  <si>
    <t>ISX734</t>
  </si>
  <si>
    <t>University of Maryland Baltimore (UMB) - School of Medicine</t>
  </si>
  <si>
    <t>00036230</t>
  </si>
  <si>
    <t>6735128147</t>
  </si>
  <si>
    <t>NM1444</t>
  </si>
  <si>
    <t>University of Maryland College Park (UMD)</t>
  </si>
  <si>
    <t>00032386</t>
  </si>
  <si>
    <t>ISX579</t>
  </si>
  <si>
    <t>U0776</t>
  </si>
  <si>
    <t>University of Massachusetts Amherst (UMass Amherst)</t>
  </si>
  <si>
    <t>00014245</t>
  </si>
  <si>
    <t>MU20237002</t>
  </si>
  <si>
    <t>ISX438</t>
  </si>
  <si>
    <t>00030482</t>
  </si>
  <si>
    <t>FS227</t>
  </si>
  <si>
    <t>University of Massachusetts Lowell (UMass Lowell)</t>
  </si>
  <si>
    <t>U0660</t>
  </si>
  <si>
    <t>University of Miami</t>
  </si>
  <si>
    <t>00016425</t>
  </si>
  <si>
    <t>U0427</t>
  </si>
  <si>
    <t>00016422</t>
  </si>
  <si>
    <t>U0284</t>
  </si>
  <si>
    <t>00016419</t>
  </si>
  <si>
    <t>S0309</t>
  </si>
  <si>
    <t>00033269</t>
  </si>
  <si>
    <t>EC222376H1</t>
  </si>
  <si>
    <t>00026356</t>
  </si>
  <si>
    <t>U1772</t>
  </si>
  <si>
    <t>00036217</t>
  </si>
  <si>
    <t>Y1197</t>
  </si>
  <si>
    <t>University of Michigan</t>
  </si>
  <si>
    <t>00034654</t>
  </si>
  <si>
    <t>Y0473</t>
  </si>
  <si>
    <t>Y0272</t>
  </si>
  <si>
    <t>00034372</t>
  </si>
  <si>
    <t>U1359SP</t>
  </si>
  <si>
    <t>00036432</t>
  </si>
  <si>
    <t>S0322</t>
  </si>
  <si>
    <t>00033658</t>
  </si>
  <si>
    <t>NM1377</t>
  </si>
  <si>
    <t>00035299</t>
  </si>
  <si>
    <t>NM1337</t>
  </si>
  <si>
    <t>00017151</t>
  </si>
  <si>
    <t>ISX366</t>
  </si>
  <si>
    <t>6620136102</t>
  </si>
  <si>
    <t>XF1007</t>
  </si>
  <si>
    <t>00036562</t>
  </si>
  <si>
    <t>University of Minnesota</t>
  </si>
  <si>
    <t>U1532</t>
  </si>
  <si>
    <t>00035311</t>
  </si>
  <si>
    <t>U1405</t>
  </si>
  <si>
    <t>00036339</t>
  </si>
  <si>
    <t>U1373</t>
  </si>
  <si>
    <t>00036338</t>
  </si>
  <si>
    <t>R0021</t>
  </si>
  <si>
    <t>00032035</t>
  </si>
  <si>
    <t>MU23228003</t>
  </si>
  <si>
    <t>00031067</t>
  </si>
  <si>
    <t>EC210546A1</t>
  </si>
  <si>
    <t>S0372SP</t>
  </si>
  <si>
    <t>00034927</t>
  </si>
  <si>
    <t>S0366SP</t>
  </si>
  <si>
    <t>00034919</t>
  </si>
  <si>
    <t>MU20280001</t>
  </si>
  <si>
    <t>University of Mississippi Medical Center (UMMC)</t>
  </si>
  <si>
    <t>ISX788</t>
  </si>
  <si>
    <t>00036295</t>
  </si>
  <si>
    <t>Y1602</t>
  </si>
  <si>
    <t>University of Missouri</t>
  </si>
  <si>
    <t>00033456</t>
  </si>
  <si>
    <t>Y0674</t>
  </si>
  <si>
    <t>00017312</t>
  </si>
  <si>
    <t>U0547</t>
  </si>
  <si>
    <t>00015668</t>
  </si>
  <si>
    <t>S0180</t>
  </si>
  <si>
    <t>00034361</t>
  </si>
  <si>
    <t>FS221</t>
  </si>
  <si>
    <t>00035901</t>
  </si>
  <si>
    <t>U1517</t>
  </si>
  <si>
    <t>University of Montana</t>
  </si>
  <si>
    <t>00032418</t>
  </si>
  <si>
    <t>8470060196</t>
  </si>
  <si>
    <t>University of Montreal</t>
  </si>
  <si>
    <t>ISX708</t>
  </si>
  <si>
    <t>University of Nebraska</t>
  </si>
  <si>
    <t>00029418</t>
  </si>
  <si>
    <t>NM1116</t>
  </si>
  <si>
    <t>University of Nebraska Medical Center</t>
  </si>
  <si>
    <t>00017346</t>
  </si>
  <si>
    <t>FS325</t>
  </si>
  <si>
    <t>00034393</t>
  </si>
  <si>
    <t>8470060169</t>
  </si>
  <si>
    <t>University of Nevada, Las Vegas</t>
  </si>
  <si>
    <t>U1381</t>
  </si>
  <si>
    <t>University of Nevada, Reno - School of Medicine</t>
  </si>
  <si>
    <t>00033034</t>
  </si>
  <si>
    <t>6735-R8210</t>
  </si>
  <si>
    <t>UNIVERSITY OF NEW ENGLAND</t>
  </si>
  <si>
    <t>MU21232001</t>
  </si>
  <si>
    <t>University of New Hampshire</t>
  </si>
  <si>
    <t>8470H50303</t>
  </si>
  <si>
    <t>Y0675</t>
  </si>
  <si>
    <t>University of New Mexico</t>
  </si>
  <si>
    <t>00017315</t>
  </si>
  <si>
    <t>ISX578</t>
  </si>
  <si>
    <t>00018068</t>
  </si>
  <si>
    <t>8470130148</t>
  </si>
  <si>
    <t>8470110108</t>
  </si>
  <si>
    <t>U0363</t>
  </si>
  <si>
    <t>University of North Carolina at Chapel Hill (UNC Chapel Hill)</t>
  </si>
  <si>
    <t>00013999</t>
  </si>
  <si>
    <t>U0362</t>
  </si>
  <si>
    <t>00013989</t>
  </si>
  <si>
    <t>NM1123</t>
  </si>
  <si>
    <t>00035003</t>
  </si>
  <si>
    <t>MU20314002</t>
  </si>
  <si>
    <t>00017916</t>
  </si>
  <si>
    <t>ISX447</t>
  </si>
  <si>
    <t>EC211906J1</t>
  </si>
  <si>
    <t>00026282</t>
  </si>
  <si>
    <t>EC211176G1</t>
  </si>
  <si>
    <t>EC203356H1</t>
  </si>
  <si>
    <t>8470060114</t>
  </si>
  <si>
    <t>8470050132</t>
  </si>
  <si>
    <t>8470050113</t>
  </si>
  <si>
    <t>8470050104</t>
  </si>
  <si>
    <t>6735115042</t>
  </si>
  <si>
    <t>ISX713</t>
  </si>
  <si>
    <t>University of North Carolina at Charlotte (UNC Charlotte)</t>
  </si>
  <si>
    <t>00030405</t>
  </si>
  <si>
    <t>FS326</t>
  </si>
  <si>
    <t>00036348</t>
  </si>
  <si>
    <t>University of North Carolina at Greensboro (UNC Greensboro)</t>
  </si>
  <si>
    <t>6735135175</t>
  </si>
  <si>
    <t>University of North Carolina at Wilmington (UNCW)</t>
  </si>
  <si>
    <t>ISX606</t>
  </si>
  <si>
    <t>00034605</t>
  </si>
  <si>
    <t>FS142</t>
  </si>
  <si>
    <t>NM1644</t>
  </si>
  <si>
    <t>University of North Texas</t>
  </si>
  <si>
    <t>00034804</t>
  </si>
  <si>
    <t>Y0938</t>
  </si>
  <si>
    <t>University of North Texas Health Science Center</t>
  </si>
  <si>
    <t>00015422</t>
  </si>
  <si>
    <t>N0716</t>
  </si>
  <si>
    <t>University of Notre Dame</t>
  </si>
  <si>
    <t>00016889</t>
  </si>
  <si>
    <t>8470060248</t>
  </si>
  <si>
    <t>Y1601SP</t>
  </si>
  <si>
    <t>University of Oklahoma</t>
  </si>
  <si>
    <t>00033883</t>
  </si>
  <si>
    <t>Y0345</t>
  </si>
  <si>
    <t>00032122</t>
  </si>
  <si>
    <t>NM1171</t>
  </si>
  <si>
    <t>00034567</t>
  </si>
  <si>
    <t>Y0509</t>
  </si>
  <si>
    <t>University of Oklahoma Health Sciences Center</t>
  </si>
  <si>
    <t>00034290</t>
  </si>
  <si>
    <t>NM1471</t>
  </si>
  <si>
    <t>00031378</t>
  </si>
  <si>
    <t>ISX635</t>
  </si>
  <si>
    <t>EC203226G1</t>
  </si>
  <si>
    <t>U1467</t>
  </si>
  <si>
    <t>00031347</t>
  </si>
  <si>
    <t>S0280</t>
  </si>
  <si>
    <t>00031352</t>
  </si>
  <si>
    <t>U0883SP</t>
  </si>
  <si>
    <t>University of Ottawa</t>
  </si>
  <si>
    <t>00014864</t>
  </si>
  <si>
    <t>6735-R8190</t>
  </si>
  <si>
    <t>6735-R8022</t>
  </si>
  <si>
    <t>University of Ottawa Heart Institute</t>
  </si>
  <si>
    <t>U0470</t>
  </si>
  <si>
    <t>University of Pennsylvania</t>
  </si>
  <si>
    <t>00030978</t>
  </si>
  <si>
    <t>U0236</t>
  </si>
  <si>
    <t>00033497</t>
  </si>
  <si>
    <t>MU23171001</t>
  </si>
  <si>
    <t>00030612</t>
  </si>
  <si>
    <t>ISX150</t>
  </si>
  <si>
    <t>EC231926E1</t>
  </si>
  <si>
    <t>00031066</t>
  </si>
  <si>
    <t>EC230736G1</t>
  </si>
  <si>
    <t>00017675</t>
  </si>
  <si>
    <t>EC220846G1</t>
  </si>
  <si>
    <t>00026174</t>
  </si>
  <si>
    <t>EC212236A2</t>
  </si>
  <si>
    <t>EC202656A1</t>
  </si>
  <si>
    <t>8574100115</t>
  </si>
  <si>
    <t>8574100111</t>
  </si>
  <si>
    <t>8470080178</t>
  </si>
  <si>
    <t>8470050168</t>
  </si>
  <si>
    <t>8470050162</t>
  </si>
  <si>
    <t>8470050137</t>
  </si>
  <si>
    <t>6735138217</t>
  </si>
  <si>
    <t>U1767</t>
  </si>
  <si>
    <t>00035813</t>
  </si>
  <si>
    <t>U1765</t>
  </si>
  <si>
    <t>00036097</t>
  </si>
  <si>
    <t>U1724</t>
  </si>
  <si>
    <t>00035811</t>
  </si>
  <si>
    <t>6735138231</t>
  </si>
  <si>
    <t>Y0105</t>
  </si>
  <si>
    <t>University of Pittsburgh</t>
  </si>
  <si>
    <t>00034809</t>
  </si>
  <si>
    <t>Y0029</t>
  </si>
  <si>
    <t>00035153</t>
  </si>
  <si>
    <t>U1386</t>
  </si>
  <si>
    <t>00034156</t>
  </si>
  <si>
    <t>U1320</t>
  </si>
  <si>
    <t>00032784</t>
  </si>
  <si>
    <t>U1096</t>
  </si>
  <si>
    <t>00031516</t>
  </si>
  <si>
    <t>U0310</t>
  </si>
  <si>
    <t>00035185</t>
  </si>
  <si>
    <t>S0226</t>
  </si>
  <si>
    <t>00033678</t>
  </si>
  <si>
    <t>NM1264</t>
  </si>
  <si>
    <t>00030979</t>
  </si>
  <si>
    <t>ISX444</t>
  </si>
  <si>
    <t>00036071</t>
  </si>
  <si>
    <t>6735-R8114</t>
  </si>
  <si>
    <t>6735126076</t>
  </si>
  <si>
    <t>6735125108</t>
  </si>
  <si>
    <t>8470050237</t>
  </si>
  <si>
    <t>UNIVERSITY OF RHODE ISLAND</t>
  </si>
  <si>
    <t>00025443</t>
  </si>
  <si>
    <t>ISX753</t>
  </si>
  <si>
    <t>University of Rochester</t>
  </si>
  <si>
    <t>00036666</t>
  </si>
  <si>
    <t>ISX114</t>
  </si>
  <si>
    <t>8472080112</t>
  </si>
  <si>
    <t>00027748</t>
  </si>
  <si>
    <t>V0299</t>
  </si>
  <si>
    <t>University of Rochester Medical Center</t>
  </si>
  <si>
    <t>00036943</t>
  </si>
  <si>
    <t>U0989</t>
  </si>
  <si>
    <t>00036938</t>
  </si>
  <si>
    <t>S0218</t>
  </si>
  <si>
    <t>00036933</t>
  </si>
  <si>
    <t>6735125126</t>
  </si>
  <si>
    <t>NM1547</t>
  </si>
  <si>
    <t>00033667</t>
  </si>
  <si>
    <t>SM1003</t>
  </si>
  <si>
    <t>University of South Carolina (USC Columbia)</t>
  </si>
  <si>
    <t>00036474</t>
  </si>
  <si>
    <t>RM1002</t>
  </si>
  <si>
    <t>University of South Florida</t>
  </si>
  <si>
    <t>00036167</t>
  </si>
  <si>
    <t>NM1379</t>
  </si>
  <si>
    <t>00034874</t>
  </si>
  <si>
    <t>N0772</t>
  </si>
  <si>
    <t>00017698</t>
  </si>
  <si>
    <t>6735-R8226</t>
  </si>
  <si>
    <t>6735145224</t>
  </si>
  <si>
    <t>University of South Florida - USF Health</t>
  </si>
  <si>
    <t>Y1537</t>
  </si>
  <si>
    <t>University of Southern California (USC)</t>
  </si>
  <si>
    <t>00035922</t>
  </si>
  <si>
    <t>U1565SP</t>
  </si>
  <si>
    <t>00035719</t>
  </si>
  <si>
    <t>EC222137A1</t>
  </si>
  <si>
    <t>00027314</t>
  </si>
  <si>
    <t>673513S186</t>
  </si>
  <si>
    <t>S0428</t>
  </si>
  <si>
    <t>00036583</t>
  </si>
  <si>
    <t>NM1168</t>
  </si>
  <si>
    <t>University of Tennessee (UT Knoxville)</t>
  </si>
  <si>
    <t>00017998</t>
  </si>
  <si>
    <t>N0404</t>
  </si>
  <si>
    <t>00012671</t>
  </si>
  <si>
    <t>FS246</t>
  </si>
  <si>
    <t>EC221367H1</t>
  </si>
  <si>
    <t>00028080</t>
  </si>
  <si>
    <t>8470060210</t>
  </si>
  <si>
    <t>S0292</t>
  </si>
  <si>
    <t>University of Tennessee Health Science Center (UTHSC)</t>
  </si>
  <si>
    <t>00033833</t>
  </si>
  <si>
    <t>R0960</t>
  </si>
  <si>
    <t>00034445</t>
  </si>
  <si>
    <t>N0876</t>
  </si>
  <si>
    <t>University of Tennessee Medical Center (UTMC)</t>
  </si>
  <si>
    <t>00034371</t>
  </si>
  <si>
    <t>U1173</t>
  </si>
  <si>
    <t>University of Texas at Arlington</t>
  </si>
  <si>
    <t>00016666</t>
  </si>
  <si>
    <t>N0549</t>
  </si>
  <si>
    <t>00031024</t>
  </si>
  <si>
    <t>U0282</t>
  </si>
  <si>
    <t>University of Texas at Austin</t>
  </si>
  <si>
    <t>00031078</t>
  </si>
  <si>
    <t>N1347SP</t>
  </si>
  <si>
    <t>00017591</t>
  </si>
  <si>
    <t>8575140101</t>
  </si>
  <si>
    <t>8470080175</t>
  </si>
  <si>
    <t>6735128167</t>
  </si>
  <si>
    <t>EC210186C2</t>
  </si>
  <si>
    <t>University of Texas at El Paso</t>
  </si>
  <si>
    <t>EC210086C1</t>
  </si>
  <si>
    <t>U1679</t>
  </si>
  <si>
    <t>University of Texas at San Antonio (UTSA)</t>
  </si>
  <si>
    <t>00034303</t>
  </si>
  <si>
    <t>ISX394</t>
  </si>
  <si>
    <t>00029049</t>
  </si>
  <si>
    <t>EC201364B1</t>
  </si>
  <si>
    <t>U1550</t>
  </si>
  <si>
    <t>University of Texas Health Science Center at Houston (UT Health Houston)</t>
  </si>
  <si>
    <t>00032930</t>
  </si>
  <si>
    <t>NM1234</t>
  </si>
  <si>
    <t>00032387</t>
  </si>
  <si>
    <t>U0228</t>
  </si>
  <si>
    <t>University of Texas Health Science Center at San Antonio</t>
  </si>
  <si>
    <t>00015380</t>
  </si>
  <si>
    <t>NM1134</t>
  </si>
  <si>
    <t>00016033</t>
  </si>
  <si>
    <t>EC211186A2</t>
  </si>
  <si>
    <t>U1131</t>
  </si>
  <si>
    <t>University of Texas Medical Branch (UTMB)</t>
  </si>
  <si>
    <t>00032992</t>
  </si>
  <si>
    <t>S0289</t>
  </si>
  <si>
    <t>00032528</t>
  </si>
  <si>
    <t>FS276</t>
  </si>
  <si>
    <t>8470060153</t>
  </si>
  <si>
    <t>6620148049</t>
  </si>
  <si>
    <t>ISX744</t>
  </si>
  <si>
    <t>University of Texas Rio Grande Valley - School of medicine</t>
  </si>
  <si>
    <t>00029206</t>
  </si>
  <si>
    <t>Y1583</t>
  </si>
  <si>
    <t>University of Texas Southwestern</t>
  </si>
  <si>
    <t>00033255</t>
  </si>
  <si>
    <t>U1483</t>
  </si>
  <si>
    <t>00031540</t>
  </si>
  <si>
    <t>U1221</t>
  </si>
  <si>
    <t>00034876</t>
  </si>
  <si>
    <t>U1069</t>
  </si>
  <si>
    <t>00036002</t>
  </si>
  <si>
    <t>U0912</t>
  </si>
  <si>
    <t>00034652</t>
  </si>
  <si>
    <t>NM1374</t>
  </si>
  <si>
    <t>00017303</t>
  </si>
  <si>
    <t>NM1272</t>
  </si>
  <si>
    <t>00031330</t>
  </si>
  <si>
    <t>NM1244</t>
  </si>
  <si>
    <t>00015946</t>
  </si>
  <si>
    <t>ISX397</t>
  </si>
  <si>
    <t>FS225</t>
  </si>
  <si>
    <t>00030584</t>
  </si>
  <si>
    <t>EC230686E1</t>
  </si>
  <si>
    <t>00017774</t>
  </si>
  <si>
    <t>8574100107</t>
  </si>
  <si>
    <t>S0376</t>
  </si>
  <si>
    <t>00035107</t>
  </si>
  <si>
    <t>S0371</t>
  </si>
  <si>
    <t>00034947</t>
  </si>
  <si>
    <t>S0338</t>
  </si>
  <si>
    <t>00035108</t>
  </si>
  <si>
    <t>673512S016</t>
  </si>
  <si>
    <t>UNIVERSITY OF THE PACIFIC</t>
  </si>
  <si>
    <t>UNIVERSITY OF TOLEDO</t>
  </si>
  <si>
    <t>R0999</t>
  </si>
  <si>
    <t>University of Toronto</t>
  </si>
  <si>
    <t>00015738</t>
  </si>
  <si>
    <t>6735115020</t>
  </si>
  <si>
    <t>NM1671</t>
  </si>
  <si>
    <t>00035485</t>
  </si>
  <si>
    <t>RM1009</t>
  </si>
  <si>
    <t>University of Toronto Mississauga</t>
  </si>
  <si>
    <t>00033202</t>
  </si>
  <si>
    <t>U1317</t>
  </si>
  <si>
    <t>University of Utah</t>
  </si>
  <si>
    <t>00036887</t>
  </si>
  <si>
    <t>U1184</t>
  </si>
  <si>
    <t>00034001</t>
  </si>
  <si>
    <t>U0395</t>
  </si>
  <si>
    <t>00031242</t>
  </si>
  <si>
    <t>U0225</t>
  </si>
  <si>
    <t>00017739</t>
  </si>
  <si>
    <t>S0170</t>
  </si>
  <si>
    <t>00016505</t>
  </si>
  <si>
    <t>N1581</t>
  </si>
  <si>
    <t>00036731</t>
  </si>
  <si>
    <t>ISX679</t>
  </si>
  <si>
    <t>00031372</t>
  </si>
  <si>
    <t>U1754SP</t>
  </si>
  <si>
    <t>00034930</t>
  </si>
  <si>
    <t>V0192</t>
  </si>
  <si>
    <t>University of Vermont</t>
  </si>
  <si>
    <t>00031293</t>
  </si>
  <si>
    <t>8470060155</t>
  </si>
  <si>
    <t>00033942</t>
  </si>
  <si>
    <t>YM1003</t>
  </si>
  <si>
    <t>University of Virginia</t>
  </si>
  <si>
    <t>00034283</t>
  </si>
  <si>
    <t>Y0283SP</t>
  </si>
  <si>
    <t>00036219</t>
  </si>
  <si>
    <t>S0255</t>
  </si>
  <si>
    <t>S0250SP</t>
  </si>
  <si>
    <t>00034370</t>
  </si>
  <si>
    <t>R1120</t>
  </si>
  <si>
    <t>00016225</t>
  </si>
  <si>
    <t>R0013</t>
  </si>
  <si>
    <t>00034539</t>
  </si>
  <si>
    <t>QBert</t>
  </si>
  <si>
    <t>00017508</t>
  </si>
  <si>
    <t>NM1454</t>
  </si>
  <si>
    <t>00031454</t>
  </si>
  <si>
    <t>NM1197</t>
  </si>
  <si>
    <t>00034678</t>
  </si>
  <si>
    <t>8470050271</t>
  </si>
  <si>
    <t>00034794</t>
  </si>
  <si>
    <t>6735148249</t>
  </si>
  <si>
    <t>6735138225</t>
  </si>
  <si>
    <t>6735128146</t>
  </si>
  <si>
    <t>ISX177</t>
  </si>
  <si>
    <t>University of Virginia Health System</t>
  </si>
  <si>
    <t>00029274</t>
  </si>
  <si>
    <t>8470060137</t>
  </si>
  <si>
    <t>U0182</t>
  </si>
  <si>
    <t>University of Washington (UW)</t>
  </si>
  <si>
    <t>00035100</t>
  </si>
  <si>
    <t>ISX333</t>
  </si>
  <si>
    <t>EC221746A1</t>
  </si>
  <si>
    <t>00023188</t>
  </si>
  <si>
    <t>8470060134</t>
  </si>
  <si>
    <t>ISX469</t>
  </si>
  <si>
    <t>University of Waterloo</t>
  </si>
  <si>
    <t>ISX396</t>
  </si>
  <si>
    <t>NM1701</t>
  </si>
  <si>
    <t>00036575</t>
  </si>
  <si>
    <t>University of Western Ontario (Western University)</t>
  </si>
  <si>
    <t>U1744SP</t>
  </si>
  <si>
    <t>00035025</t>
  </si>
  <si>
    <t>U1264</t>
  </si>
  <si>
    <t>00034875</t>
  </si>
  <si>
    <t>U0337</t>
  </si>
  <si>
    <t>00010876</t>
  </si>
  <si>
    <t>N0381</t>
  </si>
  <si>
    <t>University of Wisconsin?Madison</t>
  </si>
  <si>
    <t>00032194</t>
  </si>
  <si>
    <t>ISX431</t>
  </si>
  <si>
    <t>00035424</t>
  </si>
  <si>
    <t>NM1664</t>
  </si>
  <si>
    <t>00035187</t>
  </si>
  <si>
    <t>NM1486</t>
  </si>
  <si>
    <t>University of Wyoming</t>
  </si>
  <si>
    <t>00031936</t>
  </si>
  <si>
    <t>NM1459</t>
  </si>
  <si>
    <t>00032395</t>
  </si>
  <si>
    <t>8470120112</t>
  </si>
  <si>
    <t>ISX620</t>
  </si>
  <si>
    <t>US Army Institute of Surgical Research (USAISR)</t>
  </si>
  <si>
    <t>EC212716H1</t>
  </si>
  <si>
    <t>MU20237001</t>
  </si>
  <si>
    <t>USC - Keck School of Medicine of USC</t>
  </si>
  <si>
    <t>8470130137</t>
  </si>
  <si>
    <t>USDA ARS - Beltsville Agricultural Research Center</t>
  </si>
  <si>
    <t>8470060260</t>
  </si>
  <si>
    <t>00034071</t>
  </si>
  <si>
    <t>N0583</t>
  </si>
  <si>
    <t>USDA ARS - Pacific Shellfish Research Unit</t>
  </si>
  <si>
    <t>00035323</t>
  </si>
  <si>
    <t>N0820</t>
  </si>
  <si>
    <t>USGS - Western Fisheries Research Center</t>
  </si>
  <si>
    <t>00034859</t>
  </si>
  <si>
    <t>ISX507</t>
  </si>
  <si>
    <t>00028194</t>
  </si>
  <si>
    <t>ISX594</t>
  </si>
  <si>
    <t>ISX542</t>
  </si>
  <si>
    <t>00036541</t>
  </si>
  <si>
    <t>FS310</t>
  </si>
  <si>
    <t>8472050264</t>
  </si>
  <si>
    <t>U0633</t>
  </si>
  <si>
    <t>VA Medical Center Memphis</t>
  </si>
  <si>
    <t>00013400</t>
  </si>
  <si>
    <t>Y0917</t>
  </si>
  <si>
    <t>VA Nashville</t>
  </si>
  <si>
    <t>00015181</t>
  </si>
  <si>
    <t>S0127</t>
  </si>
  <si>
    <t>00034817</t>
  </si>
  <si>
    <t>RM1008</t>
  </si>
  <si>
    <t>Vaccine Company Inc</t>
  </si>
  <si>
    <t>00035428</t>
  </si>
  <si>
    <t>NM1539</t>
  </si>
  <si>
    <t>Valora Therapeutics Inc</t>
  </si>
  <si>
    <t>00033253</t>
  </si>
  <si>
    <t>U0289</t>
  </si>
  <si>
    <t>Van Andel Research Institute</t>
  </si>
  <si>
    <t>00030750</t>
  </si>
  <si>
    <t>Y0195</t>
  </si>
  <si>
    <t>Vanderbilt University</t>
  </si>
  <si>
    <t>00035380</t>
  </si>
  <si>
    <t>Y0143</t>
  </si>
  <si>
    <t>00036192</t>
  </si>
  <si>
    <t>NM1382</t>
  </si>
  <si>
    <t>00035654</t>
  </si>
  <si>
    <t>FS334R</t>
  </si>
  <si>
    <t>00033445</t>
  </si>
  <si>
    <t>8470130119</t>
  </si>
  <si>
    <t>8470080136</t>
  </si>
  <si>
    <t>NM1627</t>
  </si>
  <si>
    <t>00034913</t>
  </si>
  <si>
    <t>Vedanta Biosciences Inc</t>
  </si>
  <si>
    <t>8472060128</t>
  </si>
  <si>
    <t>VEDANTA BIOSCIENCES INC</t>
  </si>
  <si>
    <t>Ventus Therapeutics</t>
  </si>
  <si>
    <t>NM1348</t>
  </si>
  <si>
    <t>00017839</t>
  </si>
  <si>
    <t>ISX736</t>
  </si>
  <si>
    <t>00034390</t>
  </si>
  <si>
    <t>ISX748</t>
  </si>
  <si>
    <t>00035442</t>
  </si>
  <si>
    <t>ISX745</t>
  </si>
  <si>
    <t>00029439</t>
  </si>
  <si>
    <t>ISX684</t>
  </si>
  <si>
    <t>00035305</t>
  </si>
  <si>
    <t>ISX306</t>
  </si>
  <si>
    <t>00035196</t>
  </si>
  <si>
    <t>U0861</t>
  </si>
  <si>
    <t>Veterans Affairs Pittsburgh Healthcare System</t>
  </si>
  <si>
    <t>00014815</t>
  </si>
  <si>
    <t>8574100113</t>
  </si>
  <si>
    <t>VILLANOVA UNIVERSITY</t>
  </si>
  <si>
    <t>U1474</t>
  </si>
  <si>
    <t>Vir Biotechnology Inc</t>
  </si>
  <si>
    <t>00031919</t>
  </si>
  <si>
    <t>U1045</t>
  </si>
  <si>
    <t>00035605</t>
  </si>
  <si>
    <t>U0696</t>
  </si>
  <si>
    <t>Virginia Commonwealth University (VCU)</t>
  </si>
  <si>
    <t>00013722</t>
  </si>
  <si>
    <t>S0304</t>
  </si>
  <si>
    <t>00015955</t>
  </si>
  <si>
    <t>ISX336</t>
  </si>
  <si>
    <t>FS132</t>
  </si>
  <si>
    <t>8472060115</t>
  </si>
  <si>
    <t>8472050159</t>
  </si>
  <si>
    <t>6620135129-1</t>
  </si>
  <si>
    <t>U1738SP</t>
  </si>
  <si>
    <t>00034948</t>
  </si>
  <si>
    <t>EC251777C1</t>
  </si>
  <si>
    <t>00036551</t>
  </si>
  <si>
    <t>LXSD09099002</t>
  </si>
  <si>
    <t>VIRGINIA DIVISION OF CONSOLIDATED LABORATORY SERVICES</t>
  </si>
  <si>
    <t>LX10012354403-9</t>
  </si>
  <si>
    <t>Assy,Syringe_Pump,Mounting,LX_1</t>
  </si>
  <si>
    <t>LX10012354403-8</t>
  </si>
  <si>
    <t>LX10012354403-7</t>
  </si>
  <si>
    <t>LX10012354403-6</t>
  </si>
  <si>
    <t>LX10012354403-5</t>
  </si>
  <si>
    <t>LX10012354403-4</t>
  </si>
  <si>
    <t>LX10012354403-3</t>
  </si>
  <si>
    <t>LX10012354403-20</t>
  </si>
  <si>
    <t>LX10012354403-2</t>
  </si>
  <si>
    <t>LX10012354403-18</t>
  </si>
  <si>
    <t>LX10012354403-17</t>
  </si>
  <si>
    <t>LX10012354403-16</t>
  </si>
  <si>
    <t>LX10012354403-15</t>
  </si>
  <si>
    <t>LX10012354403-14</t>
  </si>
  <si>
    <t>LX10012354403-13</t>
  </si>
  <si>
    <t>LX10012354403-12</t>
  </si>
  <si>
    <t>LX10012354403-11</t>
  </si>
  <si>
    <t>LX10012354403-10</t>
  </si>
  <si>
    <t>LX10012354403-1</t>
  </si>
  <si>
    <t>Assy, Red Laser,Terminated, INACTIVE, Replaced by 69-10049-00-006</t>
  </si>
  <si>
    <t>LX10012354403</t>
  </si>
  <si>
    <t>Y1211</t>
  </si>
  <si>
    <t>Virginia Tech</t>
  </si>
  <si>
    <t>00016873</t>
  </si>
  <si>
    <t>8470130132</t>
  </si>
  <si>
    <t>00031743</t>
  </si>
  <si>
    <t>ISX434</t>
  </si>
  <si>
    <t>Virginia?Maryland College of Veterinary Medicine</t>
  </si>
  <si>
    <t>00035843</t>
  </si>
  <si>
    <t>NM1156</t>
  </si>
  <si>
    <t>Virongy</t>
  </si>
  <si>
    <t>00017024</t>
  </si>
  <si>
    <t>R1054</t>
  </si>
  <si>
    <t>Virovek</t>
  </si>
  <si>
    <t>00036698</t>
  </si>
  <si>
    <t>8470130143</t>
  </si>
  <si>
    <t>U0671</t>
  </si>
  <si>
    <t>Vitalant Research Institute</t>
  </si>
  <si>
    <t>00035160</t>
  </si>
  <si>
    <t>NM1443</t>
  </si>
  <si>
    <t>Vitrivax</t>
  </si>
  <si>
    <t>00031524</t>
  </si>
  <si>
    <t>NM1344</t>
  </si>
  <si>
    <t>VLP3, LLC</t>
  </si>
  <si>
    <t>00036040</t>
  </si>
  <si>
    <t>N0636</t>
  </si>
  <si>
    <t>Volastra Therapeutics</t>
  </si>
  <si>
    <t>00034870</t>
  </si>
  <si>
    <t>U0480</t>
  </si>
  <si>
    <t>00017635</t>
  </si>
  <si>
    <t>8470130146</t>
  </si>
  <si>
    <t>Voyager Therapeutics, Inc.</t>
  </si>
  <si>
    <t>VWR International (US)</t>
  </si>
  <si>
    <t>6620145158</t>
  </si>
  <si>
    <t>VYTOKINE THERAPEUTICS</t>
  </si>
  <si>
    <t>8470120108</t>
  </si>
  <si>
    <t>6735125125</t>
  </si>
  <si>
    <t>FS136</t>
  </si>
  <si>
    <t>EC231756F1</t>
  </si>
  <si>
    <t>Walter Reed Army Institute of Research</t>
  </si>
  <si>
    <t>00030756</t>
  </si>
  <si>
    <t>EC211687A1</t>
  </si>
  <si>
    <t>WASHINGTON STATE UNIVERSITY</t>
  </si>
  <si>
    <t>00030434</t>
  </si>
  <si>
    <t>Y0421</t>
  </si>
  <si>
    <t>Washington State University WSU</t>
  </si>
  <si>
    <t>00013817</t>
  </si>
  <si>
    <t>N0461</t>
  </si>
  <si>
    <t>00036068</t>
  </si>
  <si>
    <t>NM1645</t>
  </si>
  <si>
    <t>00034857</t>
  </si>
  <si>
    <t>Y1330</t>
  </si>
  <si>
    <t>Washington University in St. Louis</t>
  </si>
  <si>
    <t>00030770</t>
  </si>
  <si>
    <t>Y1180</t>
  </si>
  <si>
    <t>00016581</t>
  </si>
  <si>
    <t>Y1048</t>
  </si>
  <si>
    <t>00016077</t>
  </si>
  <si>
    <t>Y0760</t>
  </si>
  <si>
    <t>00014120</t>
  </si>
  <si>
    <t>Y0698</t>
  </si>
  <si>
    <t>00035211</t>
  </si>
  <si>
    <t>Y0325</t>
  </si>
  <si>
    <t>00012697</t>
  </si>
  <si>
    <t>V0528</t>
  </si>
  <si>
    <t>00035195</t>
  </si>
  <si>
    <t>U1608</t>
  </si>
  <si>
    <t>00036772</t>
  </si>
  <si>
    <t>U1458</t>
  </si>
  <si>
    <t>00031284</t>
  </si>
  <si>
    <t>U1452</t>
  </si>
  <si>
    <t>00031282</t>
  </si>
  <si>
    <t>U1400</t>
  </si>
  <si>
    <t>00036664</t>
  </si>
  <si>
    <t>U1304</t>
  </si>
  <si>
    <t>00017157</t>
  </si>
  <si>
    <t>U1249</t>
  </si>
  <si>
    <t>00016950</t>
  </si>
  <si>
    <t>U1187</t>
  </si>
  <si>
    <t>00032039</t>
  </si>
  <si>
    <t>U1134</t>
  </si>
  <si>
    <t>00030500</t>
  </si>
  <si>
    <t>U0978</t>
  </si>
  <si>
    <t>00016633</t>
  </si>
  <si>
    <t>U0821</t>
  </si>
  <si>
    <t>00032022</t>
  </si>
  <si>
    <t>U0783</t>
  </si>
  <si>
    <t>00014265</t>
  </si>
  <si>
    <t>U0740SP</t>
  </si>
  <si>
    <t>00036463</t>
  </si>
  <si>
    <t>U0492</t>
  </si>
  <si>
    <t>00036702</t>
  </si>
  <si>
    <t>U0351</t>
  </si>
  <si>
    <t>00012694</t>
  </si>
  <si>
    <t>U0336</t>
  </si>
  <si>
    <t>00013492</t>
  </si>
  <si>
    <t>U0226</t>
  </si>
  <si>
    <t>00015239</t>
  </si>
  <si>
    <t>S0220</t>
  </si>
  <si>
    <t>00032407</t>
  </si>
  <si>
    <t>R1153</t>
  </si>
  <si>
    <t>00033812</t>
  </si>
  <si>
    <t>R0914</t>
  </si>
  <si>
    <t>00015172</t>
  </si>
  <si>
    <t>R0423</t>
  </si>
  <si>
    <t>00036253</t>
  </si>
  <si>
    <t>NM1422SP</t>
  </si>
  <si>
    <t>00031429</t>
  </si>
  <si>
    <t>NM1404</t>
  </si>
  <si>
    <t>00036711</t>
  </si>
  <si>
    <t>NM1305</t>
  </si>
  <si>
    <t>00034428</t>
  </si>
  <si>
    <t>NM1238</t>
  </si>
  <si>
    <t>00030510</t>
  </si>
  <si>
    <t>NM1233</t>
  </si>
  <si>
    <t>00030505</t>
  </si>
  <si>
    <t>NM1175</t>
  </si>
  <si>
    <t>00033736</t>
  </si>
  <si>
    <t>NM1127</t>
  </si>
  <si>
    <t>00034560</t>
  </si>
  <si>
    <t>N0635</t>
  </si>
  <si>
    <t>00035012</t>
  </si>
  <si>
    <t>ISX655</t>
  </si>
  <si>
    <t>7200151265</t>
  </si>
  <si>
    <t>7200151119</t>
  </si>
  <si>
    <t>NM1130</t>
  </si>
  <si>
    <t>Wayne State University</t>
  </si>
  <si>
    <t>00016754</t>
  </si>
  <si>
    <t>N0803</t>
  </si>
  <si>
    <t>00034095</t>
  </si>
  <si>
    <t>ISX345</t>
  </si>
  <si>
    <t>8470080145</t>
  </si>
  <si>
    <t>WEBSTER UNIVERSITY</t>
  </si>
  <si>
    <t>Y1043</t>
  </si>
  <si>
    <t>Weill Cornell Medicine</t>
  </si>
  <si>
    <t>00036812</t>
  </si>
  <si>
    <t>Y0032</t>
  </si>
  <si>
    <t>00032690</t>
  </si>
  <si>
    <t>U1205</t>
  </si>
  <si>
    <t>00034366</t>
  </si>
  <si>
    <t>U1031</t>
  </si>
  <si>
    <t>00034367</t>
  </si>
  <si>
    <t>U0606</t>
  </si>
  <si>
    <t>00014296</t>
  </si>
  <si>
    <t>U0250</t>
  </si>
  <si>
    <t>00033974</t>
  </si>
  <si>
    <t>S0216</t>
  </si>
  <si>
    <t>00017761</t>
  </si>
  <si>
    <t>8470060217</t>
  </si>
  <si>
    <t>EC210577B1</t>
  </si>
  <si>
    <t>Werfen - Bedford MA</t>
  </si>
  <si>
    <t>00027360</t>
  </si>
  <si>
    <t>EC222796D1</t>
  </si>
  <si>
    <t>00034425</t>
  </si>
  <si>
    <t>R0810</t>
  </si>
  <si>
    <t>West Virginia University</t>
  </si>
  <si>
    <t>00035357</t>
  </si>
  <si>
    <t>EC210766H1</t>
  </si>
  <si>
    <t>8470050198</t>
  </si>
  <si>
    <t>NM1261</t>
  </si>
  <si>
    <t>Western University- ImPaKT Facility</t>
  </si>
  <si>
    <t>00033159</t>
  </si>
  <si>
    <t>EC211246H1</t>
  </si>
  <si>
    <t>WESTERN UNIVERSITY OF HEALTH SCIENCES</t>
  </si>
  <si>
    <t>00035422</t>
  </si>
  <si>
    <t>EC200574F1</t>
  </si>
  <si>
    <t>WESTERN WASHINGTON UNIVERSITY</t>
  </si>
  <si>
    <t>MU21211001</t>
  </si>
  <si>
    <t>Westfield State University</t>
  </si>
  <si>
    <t>00020841</t>
  </si>
  <si>
    <t>8472050129</t>
  </si>
  <si>
    <t>WILMER EYE INSTITUTE AT JOHNS HOPKINS</t>
  </si>
  <si>
    <t>Singapore</t>
  </si>
  <si>
    <t>U0906</t>
  </si>
  <si>
    <t>WMU Homer Stryker MD School of Medicine (WMed)</t>
  </si>
  <si>
    <t>00036461</t>
  </si>
  <si>
    <t>S0349</t>
  </si>
  <si>
    <t>00034631</t>
  </si>
  <si>
    <t>8470050105</t>
  </si>
  <si>
    <t>WOODS HOLE OCEANOGRAPHIC INSTITUTION</t>
  </si>
  <si>
    <t>SM1013SP</t>
  </si>
  <si>
    <t>00036569</t>
  </si>
  <si>
    <t>8574140116</t>
  </si>
  <si>
    <t>WRIGHT-PATTERSON AIR FORCE BASE - 88TH MEDICAL GROUP</t>
  </si>
  <si>
    <t>8574100118</t>
  </si>
  <si>
    <t>8574100118-1</t>
  </si>
  <si>
    <t>Guava easyCyte 10HT, Chassis Assembly, INACTIVE</t>
  </si>
  <si>
    <t>U1702</t>
  </si>
  <si>
    <t>Xaira Therapeutics</t>
  </si>
  <si>
    <t>00034689</t>
  </si>
  <si>
    <t>EC221266A1</t>
  </si>
  <si>
    <t>XIBUS SYSTEMS INC</t>
  </si>
  <si>
    <t>NM1094</t>
  </si>
  <si>
    <t>Xsphera Biosciences Inc</t>
  </si>
  <si>
    <t>00035067</t>
  </si>
  <si>
    <t>Yale University</t>
  </si>
  <si>
    <t>U1648</t>
  </si>
  <si>
    <t>00033884</t>
  </si>
  <si>
    <t>U1156</t>
  </si>
  <si>
    <t>00017826</t>
  </si>
  <si>
    <t>NM1460</t>
  </si>
  <si>
    <t>00031235</t>
  </si>
  <si>
    <t>ISX129</t>
  </si>
  <si>
    <t>8472060177</t>
  </si>
  <si>
    <t>U1424</t>
  </si>
  <si>
    <t>Yale University - School of Medicine</t>
  </si>
  <si>
    <t>00033912</t>
  </si>
  <si>
    <t>Yarrow Biotechnology</t>
  </si>
  <si>
    <t>U1099</t>
  </si>
  <si>
    <t>York University</t>
  </si>
  <si>
    <t>00033162</t>
  </si>
  <si>
    <t>NM1174</t>
  </si>
  <si>
    <t>00018012</t>
  </si>
  <si>
    <t>N0849</t>
  </si>
  <si>
    <t>Zai Laboratory</t>
  </si>
  <si>
    <t>00034013</t>
  </si>
  <si>
    <t>U0894</t>
  </si>
  <si>
    <t>Zoetis - Ft Collins</t>
  </si>
  <si>
    <t>00033813</t>
  </si>
  <si>
    <t>U1367</t>
  </si>
  <si>
    <t>00034138</t>
  </si>
  <si>
    <t>EC243466A1</t>
  </si>
  <si>
    <t>00035639</t>
  </si>
  <si>
    <t>ISX765</t>
  </si>
  <si>
    <t>00034140</t>
  </si>
  <si>
    <t>6735125142</t>
  </si>
  <si>
    <t>Display Name</t>
  </si>
  <si>
    <t>Last Purchase Price</t>
  </si>
  <si>
    <t>Sale Unit</t>
  </si>
  <si>
    <t>Unit Price</t>
  </si>
  <si>
    <t>Price Level</t>
  </si>
  <si>
    <t>Currency</t>
  </si>
  <si>
    <t>Part Number</t>
  </si>
  <si>
    <t>Item Internal ID</t>
  </si>
  <si>
    <t>Value contract deductible</t>
  </si>
  <si>
    <t>US Dollar</t>
  </si>
  <si>
    <t>Basic contract deductible</t>
  </si>
  <si>
    <t>Vacuum Manifold</t>
  </si>
  <si>
    <t>Each</t>
  </si>
  <si>
    <t>List Price</t>
  </si>
  <si>
    <t>N0-00001</t>
  </si>
  <si>
    <t>N0-00002</t>
  </si>
  <si>
    <t>Valve Guide</t>
  </si>
  <si>
    <t>N0-00003</t>
  </si>
  <si>
    <t>Pinch Hammer</t>
  </si>
  <si>
    <t>N0-00004</t>
  </si>
  <si>
    <t>Pinch Head</t>
  </si>
  <si>
    <t>N0-00005</t>
  </si>
  <si>
    <t>DeGasser Bracket</t>
  </si>
  <si>
    <t>N0-00006</t>
  </si>
  <si>
    <t>Lens Retaining Cover</t>
  </si>
  <si>
    <t>N0-00009</t>
  </si>
  <si>
    <t>Lens Barrel</t>
  </si>
  <si>
    <t>N0-00010</t>
  </si>
  <si>
    <t>N0-00011</t>
  </si>
  <si>
    <t>Flow Cell Exit</t>
  </si>
  <si>
    <t>N0-00012</t>
  </si>
  <si>
    <t>SIT Base</t>
  </si>
  <si>
    <t>N0-00013</t>
  </si>
  <si>
    <t>Red Prism Block</t>
  </si>
  <si>
    <t>N0-00014</t>
  </si>
  <si>
    <t>Blue Prism Block</t>
  </si>
  <si>
    <t>N0-00015</t>
  </si>
  <si>
    <t>Violet Prism Block</t>
  </si>
  <si>
    <t>N0-00016</t>
  </si>
  <si>
    <t>Laser Shield Support</t>
  </si>
  <si>
    <t>N0-00017</t>
  </si>
  <si>
    <t>Laser Base</t>
  </si>
  <si>
    <t>N0-00018</t>
  </si>
  <si>
    <t>Lens Mount Plate</t>
  </si>
  <si>
    <t>N0-00019-0A</t>
  </si>
  <si>
    <t>N0-00019-0B</t>
  </si>
  <si>
    <t>N0-00019-0C</t>
  </si>
  <si>
    <t>N0-00019-0D</t>
  </si>
  <si>
    <t>Final Focus Tube</t>
  </si>
  <si>
    <t>N0-00020-0C</t>
  </si>
  <si>
    <t>N0-00020-0D</t>
  </si>
  <si>
    <t>Obscuration Level</t>
  </si>
  <si>
    <t>N0-00021-0A</t>
  </si>
  <si>
    <t>Obscuration Lever</t>
  </si>
  <si>
    <t>N0-00021-0B</t>
  </si>
  <si>
    <t>Obscuration Shaft</t>
  </si>
  <si>
    <t>N0-00022</t>
  </si>
  <si>
    <t>Obscuration Bar</t>
  </si>
  <si>
    <t>N0-00023</t>
  </si>
  <si>
    <t>FSC Mount</t>
  </si>
  <si>
    <t>N0-00024</t>
  </si>
  <si>
    <t>Fiber Plate 1</t>
  </si>
  <si>
    <t>N0-00025</t>
  </si>
  <si>
    <t>Fiber Plate 2</t>
  </si>
  <si>
    <t>N0-00026</t>
  </si>
  <si>
    <t>Fiber Plate 4</t>
  </si>
  <si>
    <t>N0-00027</t>
  </si>
  <si>
    <t>Thrust Plate</t>
  </si>
  <si>
    <t>N0-00028</t>
  </si>
  <si>
    <t>SOVM Adapter</t>
  </si>
  <si>
    <t>N0-00029-0A</t>
  </si>
  <si>
    <t>N0-00029-0B</t>
  </si>
  <si>
    <t>N0-00029-0D</t>
  </si>
  <si>
    <t>Laser Shield</t>
  </si>
  <si>
    <t>N0-00030</t>
  </si>
  <si>
    <t>Optical Plate</t>
  </si>
  <si>
    <t>N0-00031</t>
  </si>
  <si>
    <t>Optical Module Shield Cover</t>
  </si>
  <si>
    <t>N0-00032</t>
  </si>
  <si>
    <t>YG Prism Block</t>
  </si>
  <si>
    <t>N0-00034</t>
  </si>
  <si>
    <t>Top Hat Mount UV</t>
  </si>
  <si>
    <t>N0-00038</t>
  </si>
  <si>
    <t>Top Hat Swivel UV</t>
  </si>
  <si>
    <t>N0-00039</t>
  </si>
  <si>
    <t>Telescope Lens</t>
  </si>
  <si>
    <t>N0-00042</t>
  </si>
  <si>
    <t>Telescope Mount</t>
  </si>
  <si>
    <t>N0-00043</t>
  </si>
  <si>
    <t>Top Hat Swivel</t>
  </si>
  <si>
    <t>N0-00044</t>
  </si>
  <si>
    <t>DeGasser Elbow</t>
  </si>
  <si>
    <t>N0-00045</t>
  </si>
  <si>
    <t>Fluidics Bucket</t>
  </si>
  <si>
    <t>N0-00046</t>
  </si>
  <si>
    <t>Filter Bracket</t>
  </si>
  <si>
    <t>N0-00047</t>
  </si>
  <si>
    <t>Manifold Bracket</t>
  </si>
  <si>
    <t>N0-00048</t>
  </si>
  <si>
    <t>Pump Bracket</t>
  </si>
  <si>
    <t>N0-00049</t>
  </si>
  <si>
    <t>Plenum Bracket</t>
  </si>
  <si>
    <t>N0-00050</t>
  </si>
  <si>
    <t>Plenum Cap</t>
  </si>
  <si>
    <t>N0-00051</t>
  </si>
  <si>
    <t>LINEAR-VALVE-BRACKET</t>
  </si>
  <si>
    <t>N0-00052</t>
  </si>
  <si>
    <t>SIT Shell</t>
  </si>
  <si>
    <t>N0-00053</t>
  </si>
  <si>
    <t>Probe Base</t>
  </si>
  <si>
    <t>N0-00054</t>
  </si>
  <si>
    <t>SIT Arm</t>
  </si>
  <si>
    <t>N0-00055</t>
  </si>
  <si>
    <t>SIT Z Drive Base</t>
  </si>
  <si>
    <t>N0-00056</t>
  </si>
  <si>
    <t>SIT Rail</t>
  </si>
  <si>
    <t>N0-00057</t>
  </si>
  <si>
    <t>Probe</t>
  </si>
  <si>
    <t>N0-00058</t>
  </si>
  <si>
    <t>SIT Sleeve Base</t>
  </si>
  <si>
    <t>N0-00059</t>
  </si>
  <si>
    <t>SIT Sleeve</t>
  </si>
  <si>
    <t>N0-00060</t>
  </si>
  <si>
    <t>SIT Sensor Rail</t>
  </si>
  <si>
    <t>N0-00061</t>
  </si>
  <si>
    <t>Guide Seal</t>
  </si>
  <si>
    <t>N0-00062</t>
  </si>
  <si>
    <t>Tube Sensor Flag</t>
  </si>
  <si>
    <t>N0-00063</t>
  </si>
  <si>
    <t>Tube Sensor Spacer</t>
  </si>
  <si>
    <t>N0-00064</t>
  </si>
  <si>
    <t>Nut Plate</t>
  </si>
  <si>
    <t>N0-00065</t>
  </si>
  <si>
    <t>Rainbow Frame Triangle Support</t>
  </si>
  <si>
    <t>N0-00080</t>
  </si>
  <si>
    <t>Rainbow Frame Square Support</t>
  </si>
  <si>
    <t>N0-00081</t>
  </si>
  <si>
    <t>Aurora Frame Bottom Plate</t>
  </si>
  <si>
    <t>N0-00082</t>
  </si>
  <si>
    <t>Rainbow Frame SIT Plate</t>
  </si>
  <si>
    <t>N0-00083</t>
  </si>
  <si>
    <t>Aurora Frame Optics Plate</t>
  </si>
  <si>
    <t>N0-00084</t>
  </si>
  <si>
    <t>Rainbow Frame X1</t>
  </si>
  <si>
    <t>N0-00085</t>
  </si>
  <si>
    <t>Rainbow Frame X2</t>
  </si>
  <si>
    <t>N0-00086</t>
  </si>
  <si>
    <t>Rainbow Frame X4</t>
  </si>
  <si>
    <t>N0-00088</t>
  </si>
  <si>
    <t>Rainbow Frame X5</t>
  </si>
  <si>
    <t>N0-00089</t>
  </si>
  <si>
    <t>Rainbow Frame X6</t>
  </si>
  <si>
    <t>N0-00090</t>
  </si>
  <si>
    <t>Rainbow Frame X7</t>
  </si>
  <si>
    <t>N0-00091</t>
  </si>
  <si>
    <t>Rainbow Frame X8</t>
  </si>
  <si>
    <t>N0-00092</t>
  </si>
  <si>
    <t>Rainbow Frame X9</t>
  </si>
  <si>
    <t>N0-00093</t>
  </si>
  <si>
    <t>Rainbow Frame Y1</t>
  </si>
  <si>
    <t>N0-00094</t>
  </si>
  <si>
    <t>Rainbow Frame Y2</t>
  </si>
  <si>
    <t>N0-00095</t>
  </si>
  <si>
    <t>Rainbow Frame Y3</t>
  </si>
  <si>
    <t>N0-00096</t>
  </si>
  <si>
    <t>Rainbow Frame Y4</t>
  </si>
  <si>
    <t>N0-00097</t>
  </si>
  <si>
    <t>Rainbow Frame Y5</t>
  </si>
  <si>
    <t>N0-00098</t>
  </si>
  <si>
    <t>Rainbow Frame Y6</t>
  </si>
  <si>
    <t>N0-00099</t>
  </si>
  <si>
    <t>Rainbow Frame Y7</t>
  </si>
  <si>
    <t>N0-00100</t>
  </si>
  <si>
    <t>Rainbow Frame Z1</t>
  </si>
  <si>
    <t>N0-00101</t>
  </si>
  <si>
    <t>Rainbow Frame Z2</t>
  </si>
  <si>
    <t>N0-00102</t>
  </si>
  <si>
    <t>Aurora Frame Z3</t>
  </si>
  <si>
    <t>N0-00103</t>
  </si>
  <si>
    <t>Rainbow Frame Z4</t>
  </si>
  <si>
    <t>N0-00104</t>
  </si>
  <si>
    <t>Rainbow Frame Z5</t>
  </si>
  <si>
    <t>N0-00105</t>
  </si>
  <si>
    <t>Aurora Frame Z6</t>
  </si>
  <si>
    <t>N0-00106</t>
  </si>
  <si>
    <t>Rainbow Frame Z7</t>
  </si>
  <si>
    <t>N0-00107</t>
  </si>
  <si>
    <t>Rainbow Frame Z8</t>
  </si>
  <si>
    <t>N0-00108</t>
  </si>
  <si>
    <t>Aurora Frame Z9</t>
  </si>
  <si>
    <t>N0-00109</t>
  </si>
  <si>
    <t>Aurora Frame Z10</t>
  </si>
  <si>
    <t>N0-00110</t>
  </si>
  <si>
    <t>Rainbow Frame Z11</t>
  </si>
  <si>
    <t>N0-00111</t>
  </si>
  <si>
    <t>Rainbow Frame Optics Cover Support</t>
  </si>
  <si>
    <t>N0-00112</t>
  </si>
  <si>
    <t>Aurora Frame X10</t>
  </si>
  <si>
    <t>N0-00113</t>
  </si>
  <si>
    <t>Rainbow Frame Y8</t>
  </si>
  <si>
    <t>N0-00114</t>
  </si>
  <si>
    <t>Fluidics Wall Plate</t>
  </si>
  <si>
    <t>N0-00115</t>
  </si>
  <si>
    <t>SIT Wall Plate</t>
  </si>
  <si>
    <t>N0-00116</t>
  </si>
  <si>
    <t>PUSH-SWITCH-MOUNT-PLATE</t>
  </si>
  <si>
    <t>N0-00117</t>
  </si>
  <si>
    <t>Power Base</t>
  </si>
  <si>
    <t>N0-00118</t>
  </si>
  <si>
    <t>Power Board Bracket</t>
  </si>
  <si>
    <t>N0-00119</t>
  </si>
  <si>
    <t>MB Backplane Base</t>
  </si>
  <si>
    <t>N0-00120</t>
  </si>
  <si>
    <t>MB Side Plate</t>
  </si>
  <si>
    <t>N0-00121</t>
  </si>
  <si>
    <t>MB Back Plate</t>
  </si>
  <si>
    <t>N0-00122</t>
  </si>
  <si>
    <t>MB Bottom Plate</t>
  </si>
  <si>
    <t>N0-00123</t>
  </si>
  <si>
    <t>MB Fans Mount</t>
  </si>
  <si>
    <t>N0-00124</t>
  </si>
  <si>
    <t>MB Support Plate</t>
  </si>
  <si>
    <t>N0-00125</t>
  </si>
  <si>
    <t>Fan Plate 70mm</t>
  </si>
  <si>
    <t>N0-00126-0A</t>
  </si>
  <si>
    <t>N0-00126-0B</t>
  </si>
  <si>
    <t>Rainbow Frame Z12</t>
  </si>
  <si>
    <t>N0-00127</t>
  </si>
  <si>
    <t>Rainbow Frame Y9</t>
  </si>
  <si>
    <t>N0-00128</t>
  </si>
  <si>
    <t>Rainbow Rod</t>
  </si>
  <si>
    <t>N0-00129</t>
  </si>
  <si>
    <t>Aurora Frame Middle Plate</t>
  </si>
  <si>
    <t>N0-00130</t>
  </si>
  <si>
    <t>Aurora Hinge Mount Block</t>
  </si>
  <si>
    <t>N0-00131</t>
  </si>
  <si>
    <t>Rainbow Frame Optics Hinge Nut</t>
  </si>
  <si>
    <t>N0-00132</t>
  </si>
  <si>
    <t>Rainbow Frame SIT Plate Rib</t>
  </si>
  <si>
    <t>N0-00133</t>
  </si>
  <si>
    <t>Rainbow Frame Cover Mount 3</t>
  </si>
  <si>
    <t>N0-00134</t>
  </si>
  <si>
    <t>Rainbow Frame Cover Mount 1</t>
  </si>
  <si>
    <t>N0-00135</t>
  </si>
  <si>
    <t>Rainbow Frame Cover Mount 2</t>
  </si>
  <si>
    <t>N0-00136</t>
  </si>
  <si>
    <t>APD SMA Adapter</t>
  </si>
  <si>
    <t>N0-00137</t>
  </si>
  <si>
    <t>Fiber Y PLate</t>
  </si>
  <si>
    <t>N0-00138</t>
  </si>
  <si>
    <t>SSC Board Plate</t>
  </si>
  <si>
    <t>N0-00139</t>
  </si>
  <si>
    <t>Socket Bracket</t>
  </si>
  <si>
    <t>N0-00140</t>
  </si>
  <si>
    <t>Aurora Back Panel</t>
  </si>
  <si>
    <t>N0-00141</t>
  </si>
  <si>
    <t>Rainbow Right Bottom Panel</t>
  </si>
  <si>
    <t>N0-00142</t>
  </si>
  <si>
    <t>Rainbow Left Panel</t>
  </si>
  <si>
    <t>N0-00143</t>
  </si>
  <si>
    <t>Rainbow Right Panel</t>
  </si>
  <si>
    <t>N0-00144</t>
  </si>
  <si>
    <t>Rainbow Fluidics Panel</t>
  </si>
  <si>
    <t>N0-00145</t>
  </si>
  <si>
    <t>Fluidic Connector Panel</t>
  </si>
  <si>
    <t>N0-00146</t>
  </si>
  <si>
    <t>NL Optics Panel-Painted</t>
  </si>
  <si>
    <t>N0-00147</t>
  </si>
  <si>
    <t>Rainbow SIT Panel</t>
  </si>
  <si>
    <t>N0-00148</t>
  </si>
  <si>
    <t>Rainbow Top Hinge Plate</t>
  </si>
  <si>
    <t>N0-00149</t>
  </si>
  <si>
    <t>Rainbow SIT Panel Rib Bottom</t>
  </si>
  <si>
    <t>N0-00150</t>
  </si>
  <si>
    <t>Rainbow SIT Panel Rib Top</t>
  </si>
  <si>
    <t>N0-00151</t>
  </si>
  <si>
    <t>Rainbow SIT Panel Hinge Base</t>
  </si>
  <si>
    <t>N0-00152</t>
  </si>
  <si>
    <t>Rainbow SIT Panel  Magnetic Base</t>
  </si>
  <si>
    <t>N0-00153</t>
  </si>
  <si>
    <t>Rainbow Optics Panel Nut</t>
  </si>
  <si>
    <t>N0-00154</t>
  </si>
  <si>
    <t>Rainbow Optics Panel Brushed</t>
  </si>
  <si>
    <t>N0-00155</t>
  </si>
  <si>
    <t>FLUIDIC-CONNECTOR-PANEL-BRUSHED</t>
  </si>
  <si>
    <t>N0-00156</t>
  </si>
  <si>
    <t>Optics Panel Magnetic Block</t>
  </si>
  <si>
    <t>N0-00157</t>
  </si>
  <si>
    <t>Rainbow Fluidics Panel Adapter</t>
  </si>
  <si>
    <t>N0-00158</t>
  </si>
  <si>
    <t>SSC 16 TEC Cover</t>
  </si>
  <si>
    <t>N0-00160</t>
  </si>
  <si>
    <t>APD 16 Block</t>
  </si>
  <si>
    <t>N0-00161</t>
  </si>
  <si>
    <t>APD 16 Block Plate</t>
  </si>
  <si>
    <t>N0-00162</t>
  </si>
  <si>
    <t>Laser 16 X Plate</t>
  </si>
  <si>
    <t>N0-00163</t>
  </si>
  <si>
    <t>SSC 16 Copper Block</t>
  </si>
  <si>
    <t>N0-00164</t>
  </si>
  <si>
    <t>APD 16 Glass Cover</t>
  </si>
  <si>
    <t>N0-00165</t>
  </si>
  <si>
    <t>Filter 16 Bracket</t>
  </si>
  <si>
    <t>N0-00166</t>
  </si>
  <si>
    <t>APD 16 Base</t>
  </si>
  <si>
    <t>N0-00167</t>
  </si>
  <si>
    <t>APD Board Bracket</t>
  </si>
  <si>
    <t>N0-00168</t>
  </si>
  <si>
    <t>APD-16 COPPER BLOCK</t>
  </si>
  <si>
    <t>N0-00169</t>
  </si>
  <si>
    <t>APD 16 Glass Bracket</t>
  </si>
  <si>
    <t>N0-00170</t>
  </si>
  <si>
    <t>SSC 16 Copper Block Pin</t>
  </si>
  <si>
    <t>N0-00171</t>
  </si>
  <si>
    <t>APD 16 Cover</t>
  </si>
  <si>
    <t>N0-00172</t>
  </si>
  <si>
    <t>APD Assy Baseplate</t>
  </si>
  <si>
    <t>N0-00173</t>
  </si>
  <si>
    <t>APD-16 HEATSINK</t>
  </si>
  <si>
    <t>N0-00174</t>
  </si>
  <si>
    <t>Duct Brace</t>
  </si>
  <si>
    <t>N0-00176</t>
  </si>
  <si>
    <t>M4 X 83.5 Standoff</t>
  </si>
  <si>
    <t>N0-00177</t>
  </si>
  <si>
    <t>M3 Shim</t>
  </si>
  <si>
    <t>N0-00178</t>
  </si>
  <si>
    <t>Light Baffle</t>
  </si>
  <si>
    <t>N0-00179</t>
  </si>
  <si>
    <t>Air Manifold</t>
  </si>
  <si>
    <t>N0-00180</t>
  </si>
  <si>
    <t>Air Coupler</t>
  </si>
  <si>
    <t>N0-00181</t>
  </si>
  <si>
    <t>Fan Duct</t>
  </si>
  <si>
    <t>N0-00182</t>
  </si>
  <si>
    <t>SIT Shell Probe</t>
  </si>
  <si>
    <t>N0-00184</t>
  </si>
  <si>
    <t>SIT Base LG16</t>
  </si>
  <si>
    <t>N0-00185</t>
  </si>
  <si>
    <t>Sheath DIP</t>
  </si>
  <si>
    <t>N0-00186</t>
  </si>
  <si>
    <t>Linear Valve Body</t>
  </si>
  <si>
    <t>N0-00187</t>
  </si>
  <si>
    <t>SHIELD-COVER-SSC</t>
  </si>
  <si>
    <t>N0-00189</t>
  </si>
  <si>
    <t>SHIPPING-CONTAINER</t>
  </si>
  <si>
    <t>N0-00190</t>
  </si>
  <si>
    <t>LEFT-EPE-CUSHION</t>
  </si>
  <si>
    <t>N0-00191</t>
  </si>
  <si>
    <t>RIGHT-EPE-CUSHION</t>
  </si>
  <si>
    <t>N0-00192</t>
  </si>
  <si>
    <t>TOP-LEFT-EPE-CUSHION</t>
  </si>
  <si>
    <t>N0-00193</t>
  </si>
  <si>
    <t>TOP-RIGHT-EPE-CUSHION</t>
  </si>
  <si>
    <t>N0-00194</t>
  </si>
  <si>
    <t>SHIELD-COVER-FSC</t>
  </si>
  <si>
    <t>N0-00195</t>
  </si>
  <si>
    <t>Switch Power 12 Support</t>
  </si>
  <si>
    <t>N0-00196</t>
  </si>
  <si>
    <t>Push Switch Mount</t>
  </si>
  <si>
    <t>N0-00200</t>
  </si>
  <si>
    <t>TEC Board Adapter</t>
  </si>
  <si>
    <t>N0-00201</t>
  </si>
  <si>
    <t>Transducer Spacer</t>
  </si>
  <si>
    <t>N0-00203</t>
  </si>
  <si>
    <t>Motor-Driver-Adapter</t>
  </si>
  <si>
    <t>N0-00204</t>
  </si>
  <si>
    <t>Double Thread Profile T-Nut</t>
  </si>
  <si>
    <t>N0-00205</t>
  </si>
  <si>
    <t>Waveplate Holder</t>
  </si>
  <si>
    <t>N0-00206</t>
  </si>
  <si>
    <t>Waveplate Retaining Ring</t>
  </si>
  <si>
    <t>N0-00207</t>
  </si>
  <si>
    <t>Shipping Container Fastener</t>
  </si>
  <si>
    <t>N0-00208</t>
  </si>
  <si>
    <t>APD Lens Cover</t>
  </si>
  <si>
    <t>N0-00210</t>
  </si>
  <si>
    <t>PINHOLE PLATE</t>
  </si>
  <si>
    <t>N0-00211</t>
  </si>
  <si>
    <t>Bottom Flex Clamp</t>
  </si>
  <si>
    <t>N0-00212</t>
  </si>
  <si>
    <t>Top Flex Clamp</t>
  </si>
  <si>
    <t>N0-00213</t>
  </si>
  <si>
    <t>NO SSC APD 16 Block</t>
  </si>
  <si>
    <t>N0-00214</t>
  </si>
  <si>
    <t>Laser Shutter</t>
  </si>
  <si>
    <t>N0-00215</t>
  </si>
  <si>
    <t>Shutter Mount</t>
  </si>
  <si>
    <t>N0-00216</t>
  </si>
  <si>
    <t>Fiber Support Mount</t>
  </si>
  <si>
    <t>N0-00217</t>
  </si>
  <si>
    <t>OM 4/5 Laser Shield Cover</t>
  </si>
  <si>
    <t>N0-00218</t>
  </si>
  <si>
    <t>Shield Cover For UV Laser</t>
  </si>
  <si>
    <t>N0-00219</t>
  </si>
  <si>
    <t>UV Laser Heatsink Bottom Plate</t>
  </si>
  <si>
    <t>N0-00222</t>
  </si>
  <si>
    <t>UV Laser Heatsink Top Plate</t>
  </si>
  <si>
    <t>N0-00223</t>
  </si>
  <si>
    <t>Final Focus Tube f40 OD12</t>
  </si>
  <si>
    <t>N0-00225</t>
  </si>
  <si>
    <t>HVM Mount Base</t>
  </si>
  <si>
    <t>N0-00226</t>
  </si>
  <si>
    <t>Pavillion Laser Base</t>
  </si>
  <si>
    <t>N0-00227</t>
  </si>
  <si>
    <t>UV Laser Positioning Mount 2</t>
  </si>
  <si>
    <t>N0-00229</t>
  </si>
  <si>
    <t>UV Laser Post</t>
  </si>
  <si>
    <t>N0-00230</t>
  </si>
  <si>
    <t>YG Laser Base</t>
  </si>
  <si>
    <t>N0-00234</t>
  </si>
  <si>
    <t>Microscope Objective Housing Lens Front Mount</t>
  </si>
  <si>
    <t>N0-00235</t>
  </si>
  <si>
    <t>NL-CLC Back Panel</t>
  </si>
  <si>
    <t>N0-00238</t>
  </si>
  <si>
    <t>NL-CLC Socket Panel</t>
  </si>
  <si>
    <t>N0-00239</t>
  </si>
  <si>
    <t>Backplane EMI Shield</t>
  </si>
  <si>
    <t>N0-00240</t>
  </si>
  <si>
    <t>ARCTIC Thermal Pad</t>
  </si>
  <si>
    <t>N0-00241</t>
  </si>
  <si>
    <t>APD Packaging Carton</t>
  </si>
  <si>
    <t>N0-00244</t>
  </si>
  <si>
    <t>Card Cage Guide</t>
  </si>
  <si>
    <t>N0-00250</t>
  </si>
  <si>
    <t>Reservoir Holder Feet</t>
  </si>
  <si>
    <t>N0-00251</t>
  </si>
  <si>
    <t>Spring, Athena and New Instrument</t>
  </si>
  <si>
    <t>N0-00252</t>
  </si>
  <si>
    <t>M1.6 X 5.5 DOWEL PIN</t>
  </si>
  <si>
    <t>N0-00253</t>
  </si>
  <si>
    <t>Metric 18-8 Stainless Steel Dowel Pin M3 Diameter, 8 mm Long</t>
  </si>
  <si>
    <t>N0-00254</t>
  </si>
  <si>
    <t>Metric Type 316 Stainless Steel Dowel Pin M3 Diameter, 10 mm</t>
  </si>
  <si>
    <t>N0-00255</t>
  </si>
  <si>
    <t>Stainless Steel Tool Holder Type 302, 5/8" to 7/8" Tool Dia,</t>
  </si>
  <si>
    <t>N0-00256</t>
  </si>
  <si>
    <t>Thumb Screw Head, Knurled, Fits M3 Screw, Red</t>
  </si>
  <si>
    <t>N0-00257</t>
  </si>
  <si>
    <t>M4 KEP NUT</t>
  </si>
  <si>
    <t>N0-00258</t>
  </si>
  <si>
    <t>1/4-28 Stainless</t>
  </si>
  <si>
    <t>N0-00259</t>
  </si>
  <si>
    <t>#8 LOCK WASHER</t>
  </si>
  <si>
    <t>N0-00260</t>
  </si>
  <si>
    <t>M3 FLAT WASHER</t>
  </si>
  <si>
    <t>N0-00261-0A</t>
  </si>
  <si>
    <t>M2.5 Flat Washer</t>
  </si>
  <si>
    <t>N0-00262</t>
  </si>
  <si>
    <t>18-8 Stainless Steel Socket Head Cap Screw 8-32 Thread, 3/4"</t>
  </si>
  <si>
    <t>N0-00263</t>
  </si>
  <si>
    <t>SS Socket Head Cap Screw 3/8"-16 x 1/2" Vented</t>
  </si>
  <si>
    <t>N0-00264</t>
  </si>
  <si>
    <t>Nylon-Tip Set Screw, M2 x 0.4 Thread, 3mm long</t>
  </si>
  <si>
    <t>N0-00265</t>
  </si>
  <si>
    <t>M2x5 FH,PH (90')</t>
  </si>
  <si>
    <t>N0-00266</t>
  </si>
  <si>
    <t>M2x6 SHCS, BLACK</t>
  </si>
  <si>
    <t>N0-00267</t>
  </si>
  <si>
    <t>M2 x 10 SHCS</t>
  </si>
  <si>
    <t>N0-00268</t>
  </si>
  <si>
    <t>M3 x 0.5 mm Thread, 6 mm Long SHCS</t>
  </si>
  <si>
    <t>N0-00269</t>
  </si>
  <si>
    <t>SS M3 x 6mm Flat Head Screw</t>
  </si>
  <si>
    <t>N0-00270</t>
  </si>
  <si>
    <t>M3 x 6 Nylon Tipped Set Screw</t>
  </si>
  <si>
    <t>N0-00271</t>
  </si>
  <si>
    <t>SS Socket Head Cap Screw, M3 Thread, 8mm Length, 0.5mm Pitch</t>
  </si>
  <si>
    <t>N0-00272</t>
  </si>
  <si>
    <t>SS Socket Head Cap Screw, M3 Thread, 10mm Length, 0.5mm</t>
  </si>
  <si>
    <t>N0-00273-0A</t>
  </si>
  <si>
    <t>M3 x 10 Ball End Set Screw</t>
  </si>
  <si>
    <t>N0-00274</t>
  </si>
  <si>
    <t>SS  Head Cap Screw, M3 Thread, 12mm Length, 0.5mm</t>
  </si>
  <si>
    <t>N0-00275-0A</t>
  </si>
  <si>
    <t>M3 x 20 Nylon PH Phillips Screw</t>
  </si>
  <si>
    <t>N0-00276</t>
  </si>
  <si>
    <t>M3 x 30 SHCS</t>
  </si>
  <si>
    <t>N0-00277</t>
  </si>
  <si>
    <t>SS M4 x 0.7 mm Thread, 6 mm Long SHCS</t>
  </si>
  <si>
    <t>N0-00278</t>
  </si>
  <si>
    <t>SS Socket Head Cap Screw, M4 Thread, 8MM Length</t>
  </si>
  <si>
    <t>N0-00279</t>
  </si>
  <si>
    <t>M4x35 SHCS</t>
  </si>
  <si>
    <t>N0-00282</t>
  </si>
  <si>
    <t>M5x20 SHCS</t>
  </si>
  <si>
    <t>N0-00283</t>
  </si>
  <si>
    <t>M2 5x6 SHCS</t>
  </si>
  <si>
    <t>N0-00284</t>
  </si>
  <si>
    <t>M2 5x8 SHCS</t>
  </si>
  <si>
    <t>N0-00285</t>
  </si>
  <si>
    <t>Loader Bottom Plate</t>
  </si>
  <si>
    <t>N0-00501</t>
  </si>
  <si>
    <t>Loader Support Pillar</t>
  </si>
  <si>
    <t>N0-00502</t>
  </si>
  <si>
    <t>Loader Base</t>
  </si>
  <si>
    <t>N0-00503</t>
  </si>
  <si>
    <t>Loader Frame Left Plate</t>
  </si>
  <si>
    <t>N0-00504</t>
  </si>
  <si>
    <t>Loader Frame Right Plate</t>
  </si>
  <si>
    <t>N0-00505</t>
  </si>
  <si>
    <t>Loader Frame Top Plate</t>
  </si>
  <si>
    <t>N0-00506</t>
  </si>
  <si>
    <t>Loader Frame Connector</t>
  </si>
  <si>
    <t>N0-00507</t>
  </si>
  <si>
    <t>Loader X Base</t>
  </si>
  <si>
    <t>N0-00509</t>
  </si>
  <si>
    <t>Loader X Motor Bracket</t>
  </si>
  <si>
    <t>N0-00510</t>
  </si>
  <si>
    <t>Loader Y Belt Fix Plate</t>
  </si>
  <si>
    <t>N0-00511</t>
  </si>
  <si>
    <t>Loader Belt Clamp Plate</t>
  </si>
  <si>
    <t>N0-00512</t>
  </si>
  <si>
    <t>Loader X Shield Top</t>
  </si>
  <si>
    <t>N0-00513</t>
  </si>
  <si>
    <t>Loader X Shield Ribbon</t>
  </si>
  <si>
    <t>N0-00514</t>
  </si>
  <si>
    <t>Loader X Pulley Adapter</t>
  </si>
  <si>
    <t>N0-00515</t>
  </si>
  <si>
    <t>Loader X Shield Bracket</t>
  </si>
  <si>
    <t>N0-00516</t>
  </si>
  <si>
    <t>Loader Y Sensor Baffle</t>
  </si>
  <si>
    <t>N0-00517</t>
  </si>
  <si>
    <t>Loader X Adapter</t>
  </si>
  <si>
    <t>N0-00518</t>
  </si>
  <si>
    <t>Loader X Sensor Baffle</t>
  </si>
  <si>
    <t>N0-00519</t>
  </si>
  <si>
    <t>Loader Wellplate Bracket</t>
  </si>
  <si>
    <t>N0-00520</t>
  </si>
  <si>
    <t>Loader Wellplate Base</t>
  </si>
  <si>
    <t>N0-00521</t>
  </si>
  <si>
    <t>Loader Cleaning Tank Base</t>
  </si>
  <si>
    <t>N0-00522</t>
  </si>
  <si>
    <t>Loader TEC Heatsink</t>
  </si>
  <si>
    <t>N0-00523</t>
  </si>
  <si>
    <t>Loader Z Base</t>
  </si>
  <si>
    <t>N0-00525</t>
  </si>
  <si>
    <t>Loader Z Guide Support</t>
  </si>
  <si>
    <t>N0-00526</t>
  </si>
  <si>
    <t>Loader Z Guide</t>
  </si>
  <si>
    <t>N0-00527</t>
  </si>
  <si>
    <t>Loader Z Sensor Baffle</t>
  </si>
  <si>
    <t>N0-00529</t>
  </si>
  <si>
    <t>Loader Theta Base</t>
  </si>
  <si>
    <t>N0-00530</t>
  </si>
  <si>
    <t>Loader Mixing Stick</t>
  </si>
  <si>
    <t>N0-00531</t>
  </si>
  <si>
    <t>Loader Mix Stick Bush</t>
  </si>
  <si>
    <t>N0-00532</t>
  </si>
  <si>
    <t>Loader Mix Stick Sensor Trigger</t>
  </si>
  <si>
    <t>N0-00533</t>
  </si>
  <si>
    <t>Loader Mix Stick Sensor Baffle</t>
  </si>
  <si>
    <t>N0-00534</t>
  </si>
  <si>
    <t>Loader Hit Sensor Plate</t>
  </si>
  <si>
    <t>N0-00535</t>
  </si>
  <si>
    <t>Loader Side Panel</t>
  </si>
  <si>
    <t>N0-00536</t>
  </si>
  <si>
    <t>Loader Front Panel</t>
  </si>
  <si>
    <t>N0-00537</t>
  </si>
  <si>
    <t>Loader Hinge Base</t>
  </si>
  <si>
    <t>N0-00538</t>
  </si>
  <si>
    <t>Loader Front Bottom Panel</t>
  </si>
  <si>
    <t>N0-00539</t>
  </si>
  <si>
    <t>Loader Panel Studdle</t>
  </si>
  <si>
    <t>N0-00540</t>
  </si>
  <si>
    <t>Loader Hinge Mount Plate</t>
  </si>
  <si>
    <t>N0-00541</t>
  </si>
  <si>
    <t>Loader Left Panel</t>
  </si>
  <si>
    <t>N0-00542</t>
  </si>
  <si>
    <t>Loader Right Panel</t>
  </si>
  <si>
    <t>N0-00543</t>
  </si>
  <si>
    <t>Loader Y0 Limit</t>
  </si>
  <si>
    <t>N0-00544</t>
  </si>
  <si>
    <t>Loader Y1 Limit</t>
  </si>
  <si>
    <t>N0-00545</t>
  </si>
  <si>
    <t>Loader Y Rail Shield</t>
  </si>
  <si>
    <t>N0-00546</t>
  </si>
  <si>
    <t>Loader Wellplate Spring Nut</t>
  </si>
  <si>
    <t>N0-00547</t>
  </si>
  <si>
    <t>Loader Manual Stopper</t>
  </si>
  <si>
    <t>N0-00548</t>
  </si>
  <si>
    <t>Loader Manual Level</t>
  </si>
  <si>
    <t>N0-00549</t>
  </si>
  <si>
    <t>Loader Manual Handle</t>
  </si>
  <si>
    <t>N0-00550</t>
  </si>
  <si>
    <t>Loader Front Cover Baffle</t>
  </si>
  <si>
    <t>N0-00551</t>
  </si>
  <si>
    <t>Loader Cover Sensor Bracket</t>
  </si>
  <si>
    <t>N0-00552</t>
  </si>
  <si>
    <t>Loader X Chain Mount</t>
  </si>
  <si>
    <t>N0-00553</t>
  </si>
  <si>
    <t>Loader Manual Chain Mount</t>
  </si>
  <si>
    <t>N0-00554</t>
  </si>
  <si>
    <t>Loader Right Panel Support</t>
  </si>
  <si>
    <t>N0-00555</t>
  </si>
  <si>
    <t>Loader Cleaning SS Tubing</t>
  </si>
  <si>
    <t>N0-00556</t>
  </si>
  <si>
    <t>LMB Pump Bracket</t>
  </si>
  <si>
    <t>N0-00557</t>
  </si>
  <si>
    <t>N0-00558</t>
  </si>
  <si>
    <t>Rainbow Right Panel (4 and 5 Lasers)</t>
  </si>
  <si>
    <t>N0-00559</t>
  </si>
  <si>
    <t>APD-2 Module Base</t>
  </si>
  <si>
    <t>N0-00560</t>
  </si>
  <si>
    <t>APD-2 Heatsink Side Plate</t>
  </si>
  <si>
    <t>N0-00561</t>
  </si>
  <si>
    <t>APD-2 Heatsink Middle Plate</t>
  </si>
  <si>
    <t>N0-00562</t>
  </si>
  <si>
    <t>APD-2 Heatsink Bottom Plate</t>
  </si>
  <si>
    <t>N0-00563</t>
  </si>
  <si>
    <t>APD-2 Baseplate</t>
  </si>
  <si>
    <t>N0-00564</t>
  </si>
  <si>
    <t>APD-2 Support-Long</t>
  </si>
  <si>
    <t>N0-00565-0A</t>
  </si>
  <si>
    <t>APD-2 Support-Short</t>
  </si>
  <si>
    <t>N0-00566-0A</t>
  </si>
  <si>
    <t>APD-2 Fan Duct</t>
  </si>
  <si>
    <t>N0-00567</t>
  </si>
  <si>
    <t>APD-2 Mount Wedge</t>
  </si>
  <si>
    <t>N0-00568</t>
  </si>
  <si>
    <t>APD-2 Mount Baffle</t>
  </si>
  <si>
    <t>N0-00569</t>
  </si>
  <si>
    <t>APD-2 Fan Bracket</t>
  </si>
  <si>
    <t>N0-00570</t>
  </si>
  <si>
    <t>BL Prism Block</t>
  </si>
  <si>
    <t>N0-00572</t>
  </si>
  <si>
    <t>Telescope Mount Spacer</t>
  </si>
  <si>
    <t>N0-00573-0A</t>
  </si>
  <si>
    <t>Loader TEC Sensor Shield</t>
  </si>
  <si>
    <t>N0-00574</t>
  </si>
  <si>
    <t>Loader Wellplate Spring</t>
  </si>
  <si>
    <t>N0-00575</t>
  </si>
  <si>
    <t>Loader Manual Block Adapter</t>
  </si>
  <si>
    <t>N0-00576</t>
  </si>
  <si>
    <t>Loader Y Block Fastener</t>
  </si>
  <si>
    <t>N0-00577</t>
  </si>
  <si>
    <t>Loader TEC Cable Bracket</t>
  </si>
  <si>
    <t>N0-00578</t>
  </si>
  <si>
    <t>Loader Belt Fastener Adapter</t>
  </si>
  <si>
    <t>N0-00579</t>
  </si>
  <si>
    <t>Loader X Motor Spacer</t>
  </si>
  <si>
    <t>N0-00580</t>
  </si>
  <si>
    <t>Loader Idler Rod</t>
  </si>
  <si>
    <t>N0-00581</t>
  </si>
  <si>
    <t>Loader Chain Nut</t>
  </si>
  <si>
    <t>N0-00582</t>
  </si>
  <si>
    <t>Loader Top Cover</t>
  </si>
  <si>
    <t>N0-00583</t>
  </si>
  <si>
    <t>Loader Connector Cover</t>
  </si>
  <si>
    <t>N0-00584</t>
  </si>
  <si>
    <t>Loader TEC Board Fan Bracket</t>
  </si>
  <si>
    <t>N0-00585</t>
  </si>
  <si>
    <t>Loader Y Rail Wedge</t>
  </si>
  <si>
    <t>N0-00586</t>
  </si>
  <si>
    <t>Loader Theta Timing Pulleys</t>
  </si>
  <si>
    <t>N0-00587</t>
  </si>
  <si>
    <t>Loader Timing Pulleys Idler</t>
  </si>
  <si>
    <t>N0-00588</t>
  </si>
  <si>
    <t>Loader Y Timing Belt</t>
  </si>
  <si>
    <t>N0-00589</t>
  </si>
  <si>
    <t>Loader X Timing Belt</t>
  </si>
  <si>
    <t>N0-00590</t>
  </si>
  <si>
    <t>SIT Detector Fitting</t>
  </si>
  <si>
    <t>N0-00591</t>
  </si>
  <si>
    <t>SIT Detector Base</t>
  </si>
  <si>
    <t>N0-00592</t>
  </si>
  <si>
    <t>Final Focus Tube - NL</t>
  </si>
  <si>
    <t>N0-00593</t>
  </si>
  <si>
    <t>N0-00594</t>
  </si>
  <si>
    <t>N0-00595</t>
  </si>
  <si>
    <t>OBIS Core Laser Base Shim</t>
  </si>
  <si>
    <t>N0-00596</t>
  </si>
  <si>
    <t>YG Telescope Shim</t>
  </si>
  <si>
    <t>N0-00597</t>
  </si>
  <si>
    <t>Prism Cover</t>
  </si>
  <si>
    <t>N0-00598-0A</t>
  </si>
  <si>
    <t>Loader Front Bracing</t>
  </si>
  <si>
    <t>N0-00600</t>
  </si>
  <si>
    <t>Loader Back Bracing</t>
  </si>
  <si>
    <t>N0-00601</t>
  </si>
  <si>
    <t>PCBA Base</t>
  </si>
  <si>
    <t>N0-00602</t>
  </si>
  <si>
    <t>MB Shielding Cover</t>
  </si>
  <si>
    <t>N0-00603</t>
  </si>
  <si>
    <t>LD Vacuum Manifold</t>
  </si>
  <si>
    <t>N0-00604-0A</t>
  </si>
  <si>
    <t>Mirror Mount Laser Shield</t>
  </si>
  <si>
    <t>N0-00605</t>
  </si>
  <si>
    <t>Switch Power 12 Support, MSP-300 12&amp;24V</t>
  </si>
  <si>
    <t>N0-00607</t>
  </si>
  <si>
    <t>Switch Power 24 Support-2</t>
  </si>
  <si>
    <t>N0-00608</t>
  </si>
  <si>
    <t>N0-00612</t>
  </si>
  <si>
    <t>40 Tube Rack</t>
  </si>
  <si>
    <t>N0-00613</t>
  </si>
  <si>
    <t>Loader Package Case</t>
  </si>
  <si>
    <t>N0-00614-0A</t>
  </si>
  <si>
    <t>Loader Shipping Inner Support</t>
  </si>
  <si>
    <t>N0-00615-0A</t>
  </si>
  <si>
    <t>NL-1000 Fluidics Panel</t>
  </si>
  <si>
    <t>N0-00616</t>
  </si>
  <si>
    <t>NL-2000 Fluidics Panel</t>
  </si>
  <si>
    <t>N0-00617</t>
  </si>
  <si>
    <t>NL-3000 Fluidics Panel</t>
  </si>
  <si>
    <t>N0-00618</t>
  </si>
  <si>
    <t>Laser Shield Side Cover</t>
  </si>
  <si>
    <t>N0-00619</t>
  </si>
  <si>
    <t>Loader Panel Sensor Rod</t>
  </si>
  <si>
    <t>N0-00620</t>
  </si>
  <si>
    <t>UV 2 Prisms Block</t>
  </si>
  <si>
    <t>N0-00621</t>
  </si>
  <si>
    <t>Loader NF25 Standoff</t>
  </si>
  <si>
    <t>N0-00622</t>
  </si>
  <si>
    <t>Fluidics NF25 Standoff</t>
  </si>
  <si>
    <t>N0-00623</t>
  </si>
  <si>
    <t>MB Back Plate 5 Laser</t>
  </si>
  <si>
    <t>N0-00624</t>
  </si>
  <si>
    <t>Optical Plate NL</t>
  </si>
  <si>
    <t>N0-00625</t>
  </si>
  <si>
    <t>Prism L-Bracket Cover</t>
  </si>
  <si>
    <t>N0-00626</t>
  </si>
  <si>
    <t>L-Bracket OMS Cover</t>
  </si>
  <si>
    <t>N0-00627</t>
  </si>
  <si>
    <t>Cytek Shielding Laser Cover</t>
  </si>
  <si>
    <t>N0-00629</t>
  </si>
  <si>
    <t>Cytek Laser Base Plate</t>
  </si>
  <si>
    <t>N0-00630</t>
  </si>
  <si>
    <t>Laser Module Cover Aurora</t>
  </si>
  <si>
    <t>N0-00631</t>
  </si>
  <si>
    <t>Laser Lens Mount</t>
  </si>
  <si>
    <t>N0-00632</t>
  </si>
  <si>
    <t>Cytek Laser Driver Mount</t>
  </si>
  <si>
    <t>N0-00633</t>
  </si>
  <si>
    <t>Windows Mirror Mount</t>
  </si>
  <si>
    <t>N0-00634</t>
  </si>
  <si>
    <t>UV Laser Telescope Mount</t>
  </si>
  <si>
    <t>N0-00635</t>
  </si>
  <si>
    <t>UV Cylindrical Lens Housing</t>
  </si>
  <si>
    <t>N0-00636</t>
  </si>
  <si>
    <t>Air Duct Pipe</t>
  </si>
  <si>
    <t>N0-00637</t>
  </si>
  <si>
    <t>Four Prism L-Bracket Cover</t>
  </si>
  <si>
    <t>N0-00638</t>
  </si>
  <si>
    <t>UV Light Shield</t>
  </si>
  <si>
    <t>N0-00639</t>
  </si>
  <si>
    <t>Dichroic Mirror Mount</t>
  </si>
  <si>
    <t>N0-00640</t>
  </si>
  <si>
    <t>TEC Board Shield</t>
  </si>
  <si>
    <t>N0-00682</t>
  </si>
  <si>
    <t>SIT Shell, Sorter</t>
  </si>
  <si>
    <t>N0-00700-0C</t>
  </si>
  <si>
    <t>SIT HUB</t>
  </si>
  <si>
    <t>N0-00706-0A</t>
  </si>
  <si>
    <t>Spacer, Insulating</t>
  </si>
  <si>
    <t>N0-00707-0A</t>
  </si>
  <si>
    <t>Aperture, 1.5mm, S Mount</t>
  </si>
  <si>
    <t>N0-00711-0A</t>
  </si>
  <si>
    <t>Apertu8re, 2mm, S Mount</t>
  </si>
  <si>
    <t>N0-00712-0A</t>
  </si>
  <si>
    <t>Aperture, 3mm, S Mount</t>
  </si>
  <si>
    <t>N0-00713-0A</t>
  </si>
  <si>
    <t>Base, Piezo Cell</t>
  </si>
  <si>
    <t>N0-00714-0A</t>
  </si>
  <si>
    <t>Bar, Obscuration, Stainless Steel</t>
  </si>
  <si>
    <t>N0-00715</t>
  </si>
  <si>
    <t>Barrel, Collection Lens</t>
  </si>
  <si>
    <t>N0-00716-0B</t>
  </si>
  <si>
    <t>Holder, Drop Imaging LED</t>
  </si>
  <si>
    <t>N0-00717-0A</t>
  </si>
  <si>
    <t>Mount, Drop Imaging LED</t>
  </si>
  <si>
    <t>N0-00718-0B</t>
  </si>
  <si>
    <t>Mounting Brkt, Camera</t>
  </si>
  <si>
    <t>N0-00719-0B</t>
  </si>
  <si>
    <t>Carriage Plate, Orifice Holder</t>
  </si>
  <si>
    <t>N0-00720-0A</t>
  </si>
  <si>
    <t>Mount, Orifice Holder</t>
  </si>
  <si>
    <t>N0-00721-0A</t>
  </si>
  <si>
    <t>Mount, Latch Hinge</t>
  </si>
  <si>
    <t>N0-00722-0A</t>
  </si>
  <si>
    <t>Handle, Latch</t>
  </si>
  <si>
    <t>N0-00723-0A</t>
  </si>
  <si>
    <t>Link Arm, Lower</t>
  </si>
  <si>
    <t>N0-00724-0A</t>
  </si>
  <si>
    <t>Link Arm, Upper</t>
  </si>
  <si>
    <t>N0-00725-0A</t>
  </si>
  <si>
    <t>Holder, Orifice</t>
  </si>
  <si>
    <t>N0-00726-0A</t>
  </si>
  <si>
    <t>Hinge Pin, Short</t>
  </si>
  <si>
    <t>N0-00728-0A</t>
  </si>
  <si>
    <t>Hinge Pin, Long</t>
  </si>
  <si>
    <t>N0-00729-0A</t>
  </si>
  <si>
    <t>Sorter Manifold</t>
  </si>
  <si>
    <t>N0-00731-0l</t>
  </si>
  <si>
    <t>Plate, Lens Mount</t>
  </si>
  <si>
    <t>N0-00732-0A</t>
  </si>
  <si>
    <t>Lever, Beam Blocker</t>
  </si>
  <si>
    <t>N0-00733-0A</t>
  </si>
  <si>
    <t>BEAM BLOCKER</t>
  </si>
  <si>
    <t>N0-00734-01</t>
  </si>
  <si>
    <t>PCBA Mount, FSC</t>
  </si>
  <si>
    <t>N0-00735-0A</t>
  </si>
  <si>
    <t>Mount, Shutter</t>
  </si>
  <si>
    <t>N0-00736-0A</t>
  </si>
  <si>
    <t>Arm, Shutter</t>
  </si>
  <si>
    <t>N0-00737-0A</t>
  </si>
  <si>
    <t>Sorter Fluidics Bucket</t>
  </si>
  <si>
    <t>N0-00741-0A</t>
  </si>
  <si>
    <t>N0-00742-0A</t>
  </si>
  <si>
    <t>Sorter Fluidics Connector Panel</t>
  </si>
  <si>
    <t>N0-00743-0A</t>
  </si>
  <si>
    <t>CHAMBER, DROP DEFLECTION</t>
  </si>
  <si>
    <t>N0-00769-01</t>
  </si>
  <si>
    <t>DOOR, DROP DEFLECTION CHAMBER</t>
  </si>
  <si>
    <t>N0-00770-01</t>
  </si>
  <si>
    <t>HINGE HALF, LEFT SIDE, NO PIN</t>
  </si>
  <si>
    <t>N0-00771-01</t>
  </si>
  <si>
    <t>HINGE HALF, LEFT SIDE, W/ PIN</t>
  </si>
  <si>
    <t>N0-00772-01</t>
  </si>
  <si>
    <t>HINGE HALF, RIGHT SIDE, NO PIN</t>
  </si>
  <si>
    <t>N0-00773-01</t>
  </si>
  <si>
    <t>HINGE HALF, RIGHT SIDE, W/ PIN</t>
  </si>
  <si>
    <t>N0-00774-01</t>
  </si>
  <si>
    <t>CARRIER, CONTACT</t>
  </si>
  <si>
    <t>N0-00775-01</t>
  </si>
  <si>
    <t>BRACKET, ELECTRODE ALIGNMENT</t>
  </si>
  <si>
    <t>N0-00776-01</t>
  </si>
  <si>
    <t>DEFLECTION PLATE, LEFT</t>
  </si>
  <si>
    <t>N0-00777-01</t>
  </si>
  <si>
    <t>DEFLECTION PLATE, RIGHT</t>
  </si>
  <si>
    <t>N0-00778-01</t>
  </si>
  <si>
    <t>BEAM DUMP</t>
  </si>
  <si>
    <t>N0-00779-01</t>
  </si>
  <si>
    <t>BRACKET, DOOR LATCH</t>
  </si>
  <si>
    <t>N0-00781-01</t>
  </si>
  <si>
    <t>ADAPTER PLATE, X AXIS</t>
  </si>
  <si>
    <t>N0-00782-01</t>
  </si>
  <si>
    <t>MT, DROP DELAY LASER</t>
  </si>
  <si>
    <t>N0-00783-01</t>
  </si>
  <si>
    <t>BAR, BEAM BLOCKER</t>
  </si>
  <si>
    <t>N0-00784-01</t>
  </si>
  <si>
    <t>BRACKET, SORT BLOCK MOTOR</t>
  </si>
  <si>
    <t>N0-00785-01</t>
  </si>
  <si>
    <t>ASPIRATOR, CENTER</t>
  </si>
  <si>
    <t>N0-00786-01</t>
  </si>
  <si>
    <t>ASPIRATOR, SIDE STREAM</t>
  </si>
  <si>
    <t>N0-00787-01</t>
  </si>
  <si>
    <t>MANIFOLD, SIDE STREAM</t>
  </si>
  <si>
    <t>N0-00788-01</t>
  </si>
  <si>
    <t>TUBE, MANIFOLD</t>
  </si>
  <si>
    <t>N0-00789-01</t>
  </si>
  <si>
    <t>ADAPTER, ASPIRATOR MANIFOLD</t>
  </si>
  <si>
    <t>N0-00790-01</t>
  </si>
  <si>
    <t>LEFT CLAMP, TUBE HOLDER</t>
  </si>
  <si>
    <t>N0-00791-01</t>
  </si>
  <si>
    <t>RIGHT CLAMP, TUBE HOLDER</t>
  </si>
  <si>
    <t>N0-00792-01</t>
  </si>
  <si>
    <t>LATCH, TUBE HOLDER</t>
  </si>
  <si>
    <t>N0-00793-01</t>
  </si>
  <si>
    <t>LEVER ARM, TUBE HOLDER</t>
  </si>
  <si>
    <t>N0-00794-01</t>
  </si>
  <si>
    <t>Tube Holder, 12 x 75</t>
  </si>
  <si>
    <t>N0-00795</t>
  </si>
  <si>
    <t>HOLDER, 12 x 75 TUBES</t>
  </si>
  <si>
    <t>N0-00795-01</t>
  </si>
  <si>
    <t>BUSHING, MODIFIED</t>
  </si>
  <si>
    <t>N0-00796-01</t>
  </si>
  <si>
    <t>BRACKET, DROP DELAY FILTER</t>
  </si>
  <si>
    <t>N0-00797-01</t>
  </si>
  <si>
    <t>BRACKET, STOP PIN</t>
  </si>
  <si>
    <t>N0-00798-01</t>
  </si>
  <si>
    <t>DOWEL PIN, MODIFIED</t>
  </si>
  <si>
    <t>N0-00799-01</t>
  </si>
  <si>
    <t>BLOCK, PIN HOLDER</t>
  </si>
  <si>
    <t>N0-00800-01</t>
  </si>
  <si>
    <t>HOLDER, FILTER</t>
  </si>
  <si>
    <t>N0-00801-01</t>
  </si>
  <si>
    <t>TIP, ACTUATOR</t>
  </si>
  <si>
    <t>N0-00802-01</t>
  </si>
  <si>
    <t>MT, ACTUATOR NUT</t>
  </si>
  <si>
    <t>N0-00803-01</t>
  </si>
  <si>
    <t>CAP, GLAND</t>
  </si>
  <si>
    <t>N0-00805-01</t>
  </si>
  <si>
    <t>TUBE, CENTER ASPIRATOR</t>
  </si>
  <si>
    <t>N0-00806-01</t>
  </si>
  <si>
    <t>ELBOW, ASPIRATOR</t>
  </si>
  <si>
    <t>N0-00807-01</t>
  </si>
  <si>
    <t>BASEPLATE, DEFLECTION ASSEMBLY</t>
  </si>
  <si>
    <t>N0-00808-01</t>
  </si>
  <si>
    <t>MT, CENTERING ACTUATOR</t>
  </si>
  <si>
    <t>N0-00809-01</t>
  </si>
  <si>
    <t>BLOCK, BUSHING</t>
  </si>
  <si>
    <t>N0-00810-01</t>
  </si>
  <si>
    <t>MT, FILTER ACTUATOR</t>
  </si>
  <si>
    <t>N0-00811-01</t>
  </si>
  <si>
    <t>HINGE PIN, PLAIN</t>
  </si>
  <si>
    <t>N0-00812-01</t>
  </si>
  <si>
    <t>HINGE PIN, 12mm</t>
  </si>
  <si>
    <t>N0-00813-01</t>
  </si>
  <si>
    <t>HINGE PIN, 16mm</t>
  </si>
  <si>
    <t>N0-00814-01</t>
  </si>
  <si>
    <t>HINGE PLATE, TUBE HOLDER</t>
  </si>
  <si>
    <t>N0-00815-01</t>
  </si>
  <si>
    <t>LATCH KEY, TUBE HOLDER</t>
  </si>
  <si>
    <t>N0-00816-01</t>
  </si>
  <si>
    <t>ELECTRODE, DEFLECTION PLATE</t>
  </si>
  <si>
    <t>N0-00817-01</t>
  </si>
  <si>
    <t>MB Bottom Plate - NL</t>
  </si>
  <si>
    <t>N0-00828</t>
  </si>
  <si>
    <t>MB Fan Mount - NL</t>
  </si>
  <si>
    <t>N0-00829</t>
  </si>
  <si>
    <t>EFT Filter</t>
  </si>
  <si>
    <t>N0-00830</t>
  </si>
  <si>
    <t>Slide Switch Shield</t>
  </si>
  <si>
    <t>N0-00832</t>
  </si>
  <si>
    <t>NL-CLC Fluidics Panel</t>
  </si>
  <si>
    <t>N0-00833</t>
  </si>
  <si>
    <t>Optics Panel Baffle</t>
  </si>
  <si>
    <t>N0-00834</t>
  </si>
  <si>
    <t>Finger Guard 8mm</t>
  </si>
  <si>
    <t>N0-00835</t>
  </si>
  <si>
    <t>Finger Guard 12mm</t>
  </si>
  <si>
    <t>N0-00836</t>
  </si>
  <si>
    <t>APD EMI Shield</t>
  </si>
  <si>
    <t>N0-00837</t>
  </si>
  <si>
    <t>N0-00838</t>
  </si>
  <si>
    <t>MB Backplane Base - NL</t>
  </si>
  <si>
    <t>N0-00839</t>
  </si>
  <si>
    <t>TEC 2CH Shield Cover Top</t>
  </si>
  <si>
    <t>N0-00840</t>
  </si>
  <si>
    <t>TEC 2CH Shield Cover Bottom</t>
  </si>
  <si>
    <t>N0-00841</t>
  </si>
  <si>
    <t>Loader Mixing Stick (PEEK)</t>
  </si>
  <si>
    <t>N0-00842</t>
  </si>
  <si>
    <t>Stainless Steel Lens Mount Plate</t>
  </si>
  <si>
    <t>N0-00844</t>
  </si>
  <si>
    <t>Blue Laser Focus Lens</t>
  </si>
  <si>
    <t>N0-00845</t>
  </si>
  <si>
    <t>HOLDER, 15ml SAMPLE TUBE</t>
  </si>
  <si>
    <t>N0-00864</t>
  </si>
  <si>
    <t>HOLDER, 12 x 75 SAMPLE TUBE</t>
  </si>
  <si>
    <t>N0-00865</t>
  </si>
  <si>
    <t>Vacuum Sealed Bag</t>
  </si>
  <si>
    <t>N0-00998</t>
  </si>
  <si>
    <t>SSC Adjust Vert</t>
  </si>
  <si>
    <t>N0-00XX1-0A</t>
  </si>
  <si>
    <t>SSC Adjust Base</t>
  </si>
  <si>
    <t>N0-00XX2-0A</t>
  </si>
  <si>
    <t>Z-Sens Bracket</t>
  </si>
  <si>
    <t>N0-00XX3-0A</t>
  </si>
  <si>
    <t>GUIDE, TUBE HOLDER</t>
  </si>
  <si>
    <t>N0-01022</t>
  </si>
  <si>
    <t>SIT Cylinder Bottom</t>
  </si>
  <si>
    <t>N0-01132</t>
  </si>
  <si>
    <t>Sorter Top Back Panel</t>
  </si>
  <si>
    <t>N0-01186</t>
  </si>
  <si>
    <t>Sorter Top Panel Open Tool</t>
  </si>
  <si>
    <t>N0-01196</t>
  </si>
  <si>
    <t>FP Right Magnet Bracket</t>
  </si>
  <si>
    <t>N0-01247</t>
  </si>
  <si>
    <t>Tube holder, 1.5ML</t>
  </si>
  <si>
    <t>N0-01254</t>
  </si>
  <si>
    <t>40 Tube Rack 2.0</t>
  </si>
  <si>
    <t>N0-01305</t>
  </si>
  <si>
    <t>SIT Sensor Rail 2.0</t>
  </si>
  <si>
    <t>N0-01306</t>
  </si>
  <si>
    <t>Telescope Lock Ring</t>
  </si>
  <si>
    <t>N0-01311</t>
  </si>
  <si>
    <t>Aurora VC+Zipper Fin Air Duct Outlet Connector</t>
  </si>
  <si>
    <t>N0-01327</t>
  </si>
  <si>
    <t>Driver Board Mount, Service</t>
  </si>
  <si>
    <t>N0-01414</t>
  </si>
  <si>
    <t>EPDM O-Ring AS568A Dash Number 008</t>
  </si>
  <si>
    <t>N0-01451</t>
  </si>
  <si>
    <t>Microscope Objective Lens Piece</t>
  </si>
  <si>
    <t>N0-01550</t>
  </si>
  <si>
    <t>Microscope Mount Head</t>
  </si>
  <si>
    <t>N0-01551</t>
  </si>
  <si>
    <t>Microscope Mount Base</t>
  </si>
  <si>
    <t>N0-01552</t>
  </si>
  <si>
    <t>Microscope Eye Piece</t>
  </si>
  <si>
    <t>N0-01553</t>
  </si>
  <si>
    <t>Microscope Body</t>
  </si>
  <si>
    <t>N0-01554</t>
  </si>
  <si>
    <t>5mL Cocktail Tube Holder</t>
  </si>
  <si>
    <t>N0-01850</t>
  </si>
  <si>
    <t>15mL Cocktail Tube Holder</t>
  </si>
  <si>
    <t>N0-01851</t>
  </si>
  <si>
    <t>Buffer Block</t>
  </si>
  <si>
    <t>N0-01853</t>
  </si>
  <si>
    <t>Antibody Reagent Block CoolerCover</t>
  </si>
  <si>
    <t>N0-01958</t>
  </si>
  <si>
    <t>Buffer Block Cooler Cover</t>
  </si>
  <si>
    <t>N0-01961</t>
  </si>
  <si>
    <t>Antibody Reagent Block Blue</t>
  </si>
  <si>
    <t>N0-01965</t>
  </si>
  <si>
    <t>Antibody Reagent Block Green</t>
  </si>
  <si>
    <t>N0-01966</t>
  </si>
  <si>
    <t>Antibody Reagent Block Red</t>
  </si>
  <si>
    <t>N0-01967</t>
  </si>
  <si>
    <t>Antibody Reagent Block White</t>
  </si>
  <si>
    <t>N0-01968</t>
  </si>
  <si>
    <t>easyCyte EMI Gasket</t>
  </si>
  <si>
    <t>N0-02734</t>
  </si>
  <si>
    <t>Adjustable Foot</t>
  </si>
  <si>
    <t>N0-10001</t>
  </si>
  <si>
    <t>Linear Stepper Motor - Pinch Valve</t>
  </si>
  <si>
    <t>N0-10002-0A</t>
  </si>
  <si>
    <t>Linear Stepper Motor - SIT</t>
  </si>
  <si>
    <t>N0-10003</t>
  </si>
  <si>
    <t>Microstepping Driver (SR2-Plus)</t>
  </si>
  <si>
    <t>N0-10004</t>
  </si>
  <si>
    <t>Ultra-small U-shaped Micro Photoelectric Sensor</t>
  </si>
  <si>
    <t>N0-10005</t>
  </si>
  <si>
    <t>SS Detachable Hinge</t>
  </si>
  <si>
    <t>N0-10006</t>
  </si>
  <si>
    <t>M4 Long Lok Plungers</t>
  </si>
  <si>
    <t>N0-10007</t>
  </si>
  <si>
    <t>Small Deep Groove Ball Bearing</t>
  </si>
  <si>
    <t>N0-10008</t>
  </si>
  <si>
    <t>Precision Aluminum Shaft</t>
  </si>
  <si>
    <t>N0-10009</t>
  </si>
  <si>
    <t>Platform Mount</t>
  </si>
  <si>
    <t>N0-10010</t>
  </si>
  <si>
    <t>N0-10011</t>
  </si>
  <si>
    <t>M3 -0.25mm X Î¦0.18" 0.20" Threaded Bushing</t>
  </si>
  <si>
    <t>N0-10012</t>
  </si>
  <si>
    <t>M3 -0.25mm X  15mm  Hex Adjustment Screw</t>
  </si>
  <si>
    <t>N0-10013</t>
  </si>
  <si>
    <t>Dichroic Spring</t>
  </si>
  <si>
    <t>N0-10014</t>
  </si>
  <si>
    <t>Rainbow Final Focus Spring</t>
  </si>
  <si>
    <t>N0-10015</t>
  </si>
  <si>
    <t>Southco Control Hinge 440F, Rainbow</t>
  </si>
  <si>
    <t>N0-10016</t>
  </si>
  <si>
    <t>Southco Control Hinge 430F, Rainbow</t>
  </si>
  <si>
    <t>N0-10017</t>
  </si>
  <si>
    <t>Fan 70mm x 70mm</t>
  </si>
  <si>
    <t>N0-10018</t>
  </si>
  <si>
    <t>Fan 80mm x 80mm</t>
  </si>
  <si>
    <t>N0-10019</t>
  </si>
  <si>
    <t>Blower 80mm x 80mm</t>
  </si>
  <si>
    <t>N0-10020</t>
  </si>
  <si>
    <t>Fan Finger Guard</t>
  </si>
  <si>
    <t>N0-10021</t>
  </si>
  <si>
    <t>0.010 SHIM WASHER</t>
  </si>
  <si>
    <t>N0-10022</t>
  </si>
  <si>
    <t>Cir Clip 19mm</t>
  </si>
  <si>
    <t>N0-10023</t>
  </si>
  <si>
    <t>APD Filter Spring</t>
  </si>
  <si>
    <t>N0-10024</t>
  </si>
  <si>
    <t>Kinematic Mirror Mount - Newport</t>
  </si>
  <si>
    <t>N0-10025</t>
  </si>
  <si>
    <t>Concealed Hinges</t>
  </si>
  <si>
    <t>N0-10026</t>
  </si>
  <si>
    <t>Round Magnetic Block</t>
  </si>
  <si>
    <t>N0-10027</t>
  </si>
  <si>
    <t>Profile Sliding Nut</t>
  </si>
  <si>
    <t>N0-10028</t>
  </si>
  <si>
    <t>Profile Sliding T Nut</t>
  </si>
  <si>
    <t>N0-10029</t>
  </si>
  <si>
    <t>Profile Cap 2020</t>
  </si>
  <si>
    <t>N0-10030</t>
  </si>
  <si>
    <t>Profile Cap 2040</t>
  </si>
  <si>
    <t>N0-10031</t>
  </si>
  <si>
    <t>Fan 120mm X 120mm, 24vdc, 75 CFM, 34dBA</t>
  </si>
  <si>
    <t>N0-10034</t>
  </si>
  <si>
    <t>Dowel Pin-?1.5 x 5mm(m6)</t>
  </si>
  <si>
    <t>N0-10035-0A</t>
  </si>
  <si>
    <t>Dowel Pin-?3 x 6mm (m6)</t>
  </si>
  <si>
    <t>N0-10036-0A</t>
  </si>
  <si>
    <t>ADHESIVE BACKED SILICONE RUBBER PAD</t>
  </si>
  <si>
    <t>N0-10037</t>
  </si>
  <si>
    <t>Indium Foil 99.99% 100mm x 10mm x 100 Micron Thick</t>
  </si>
  <si>
    <t>N0-10038</t>
  </si>
  <si>
    <t>PET Shim Stock 0.02x5x20</t>
  </si>
  <si>
    <t>N0-10039-0A</t>
  </si>
  <si>
    <t>AURORA MODIFIED FINAL FOCUS SCREW</t>
  </si>
  <si>
    <t>N0-10040</t>
  </si>
  <si>
    <t>Shutter Servo Motor</t>
  </si>
  <si>
    <t>N0-10041</t>
  </si>
  <si>
    <t>Servo Arm Horn Metal Aluminum 25t</t>
  </si>
  <si>
    <t>N0-10042</t>
  </si>
  <si>
    <t>Mirror mount, 0.5in, Newport SN050-R3</t>
  </si>
  <si>
    <t>N0-10043</t>
  </si>
  <si>
    <t>Plastic Plain Bearing</t>
  </si>
  <si>
    <t>N0-10044</t>
  </si>
  <si>
    <t>M2.5x10 SHCS</t>
  </si>
  <si>
    <t>N0-10048</t>
  </si>
  <si>
    <t>M4x8 hexagon socket cap screw</t>
  </si>
  <si>
    <t>N0-10050</t>
  </si>
  <si>
    <t>N0-10060</t>
  </si>
  <si>
    <t>M5x16 SHCS</t>
  </si>
  <si>
    <t>N0-10061</t>
  </si>
  <si>
    <t>M3x16 SHCS</t>
  </si>
  <si>
    <t>N0-10062</t>
  </si>
  <si>
    <t>M5 Internal Serrated Lock Washer</t>
  </si>
  <si>
    <t>N0-10132</t>
  </si>
  <si>
    <t>Pipette Tips</t>
  </si>
  <si>
    <t>N0-10172</t>
  </si>
  <si>
    <t>CASE</t>
  </si>
  <si>
    <t>N0-10212</t>
  </si>
  <si>
    <t>N0-10213</t>
  </si>
  <si>
    <t>N0-10214</t>
  </si>
  <si>
    <t>Loader Linear 31 Stepper Motor 1A</t>
  </si>
  <si>
    <t>N0-10501</t>
  </si>
  <si>
    <t>Loader Y Linear Guide</t>
  </si>
  <si>
    <t>N0-10502</t>
  </si>
  <si>
    <t>Loader Manual Linear Guide</t>
  </si>
  <si>
    <t>N0-10503</t>
  </si>
  <si>
    <t>Loader X Linear Guide (see notes)</t>
  </si>
  <si>
    <t>N0-10504</t>
  </si>
  <si>
    <t>Loader Idler Ball Bearing</t>
  </si>
  <si>
    <t>N0-10505</t>
  </si>
  <si>
    <t>Loader Mix Stick Spring</t>
  </si>
  <si>
    <t>N0-10506</t>
  </si>
  <si>
    <t>Loader Motor Timing Pulleys</t>
  </si>
  <si>
    <t>N0-10507</t>
  </si>
  <si>
    <t>Loader Y Timing Pulley Idler</t>
  </si>
  <si>
    <t>N0-10508</t>
  </si>
  <si>
    <t>Loader X Timing Pulley Idler</t>
  </si>
  <si>
    <t>N0-10509</t>
  </si>
  <si>
    <t>Loader Theta Timing Pulleys (Raw Material)</t>
  </si>
  <si>
    <t>N0-10510</t>
  </si>
  <si>
    <t>Loader Y Timing Belt (Raw Material)</t>
  </si>
  <si>
    <t>N0-10511</t>
  </si>
  <si>
    <t>Loader X Timing Belt (Raw Material)</t>
  </si>
  <si>
    <t>N0-10512</t>
  </si>
  <si>
    <t>Loader Theta Timing Belt</t>
  </si>
  <si>
    <t>N0-10513</t>
  </si>
  <si>
    <t>Loader TEC Fan</t>
  </si>
  <si>
    <t>N0-10514</t>
  </si>
  <si>
    <t>E Ring-4mm</t>
  </si>
  <si>
    <t>N0-10515</t>
  </si>
  <si>
    <t>Retaining Ring 10mm</t>
  </si>
  <si>
    <t>N0-10516</t>
  </si>
  <si>
    <t>E Ring-6mm</t>
  </si>
  <si>
    <t>N0-10518</t>
  </si>
  <si>
    <t>Chain X</t>
  </si>
  <si>
    <t>N0-10521</t>
  </si>
  <si>
    <t>Chain Y</t>
  </si>
  <si>
    <t>N0-10522</t>
  </si>
  <si>
    <t>Chain Manual</t>
  </si>
  <si>
    <t>N0-10523</t>
  </si>
  <si>
    <t>N0-10524 OEM Spec Sheet</t>
  </si>
  <si>
    <t>N0-10524</t>
  </si>
  <si>
    <t>Parallel Pin-Ã˜3m6x20</t>
  </si>
  <si>
    <t>N0-10525</t>
  </si>
  <si>
    <t>Hexagon Female-Female Spacer</t>
  </si>
  <si>
    <t>N0-10526</t>
  </si>
  <si>
    <t>PEEK Cross Recessed Countersunk Head Screw</t>
  </si>
  <si>
    <t>N0-10527</t>
  </si>
  <si>
    <t>Retaining Ring DIA 9mm</t>
  </si>
  <si>
    <t>N0-10529-0A</t>
  </si>
  <si>
    <t>SIT Detector Spring</t>
  </si>
  <si>
    <t>N0-10530</t>
  </si>
  <si>
    <t>SIT Detector Set-screw M2.5x0.45 x 4L</t>
  </si>
  <si>
    <t>N0-10531</t>
  </si>
  <si>
    <t>Nylon Cable Clamp-R type</t>
  </si>
  <si>
    <t>N0-10532</t>
  </si>
  <si>
    <t>Hexagon Male-Female Spacer</t>
  </si>
  <si>
    <t>N0-10533</t>
  </si>
  <si>
    <t>Loader Round Magnetic</t>
  </si>
  <si>
    <t>N0-10534</t>
  </si>
  <si>
    <t>Loader Panel Spring</t>
  </si>
  <si>
    <t>N0-10535</t>
  </si>
  <si>
    <t>Fans Filter Kit</t>
  </si>
  <si>
    <t>N0-10536</t>
  </si>
  <si>
    <t>Fan 12VDC</t>
  </si>
  <si>
    <t>N0-10539</t>
  </si>
  <si>
    <t>SIT Detector Set-screw M2.5x0.45 x 3L</t>
  </si>
  <si>
    <t>N0-10540</t>
  </si>
  <si>
    <t>PANEL NUT (MC, POLYPROPYLENE)</t>
  </si>
  <si>
    <t>N0-10541</t>
  </si>
  <si>
    <t>Sunon DC Fan, 120mm*25mm,  120cfm</t>
  </si>
  <si>
    <t>N0-10542</t>
  </si>
  <si>
    <t>316 SS Thin Hex Nut, 1/4-28 Thread</t>
  </si>
  <si>
    <t>N0-10548</t>
  </si>
  <si>
    <t>Wave Washer, 6mm ID x 8mm OD x 0.05 Thk.</t>
  </si>
  <si>
    <t>N0-10550</t>
  </si>
  <si>
    <t>Stepped Screw, 5mm Dia x 4mm HT, M3 x 0.5 x 4mm Long</t>
  </si>
  <si>
    <t>N0-10551</t>
  </si>
  <si>
    <t>Shim Ring, 5mm ID x 8mm OD x 0.2 mm Thk.</t>
  </si>
  <si>
    <t>N0-10552</t>
  </si>
  <si>
    <t>M4 SS Shoulder Bolt (5mm shoulder)</t>
  </si>
  <si>
    <t>N0-10554</t>
  </si>
  <si>
    <t>Stainless Steel Flat-Tip Set Screw 18-8, M3 x 0.5 mm Thread, 4 mm Long</t>
  </si>
  <si>
    <t>N0-10555</t>
  </si>
  <si>
    <t>Threadlocker, Loctite® 242, 0.02 oz. Capsule</t>
  </si>
  <si>
    <t>N0-10556</t>
  </si>
  <si>
    <t>1/4" SIT Base Washer, 316SS</t>
  </si>
  <si>
    <t>N0-10558</t>
  </si>
  <si>
    <t>SIT Clocking Shims (0.010 Thick)</t>
  </si>
  <si>
    <t>N0-10559</t>
  </si>
  <si>
    <t>HEPA FILTER</t>
  </si>
  <si>
    <t>2 Pack</t>
  </si>
  <si>
    <t>N0-10566</t>
  </si>
  <si>
    <t>Loader Guide Tube Seal</t>
  </si>
  <si>
    <t>N0-10568</t>
  </si>
  <si>
    <t>SIT Cylinder Upper Seal O-ring</t>
  </si>
  <si>
    <t>N0-10657</t>
  </si>
  <si>
    <t>SIT Cylinder Low Seal O-ring</t>
  </si>
  <si>
    <t>N0-10659</t>
  </si>
  <si>
    <t>Injection Bottom Seal O-ring</t>
  </si>
  <si>
    <t>N0-10661</t>
  </si>
  <si>
    <t>Sample Agitator Seal</t>
  </si>
  <si>
    <t>N0-10666</t>
  </si>
  <si>
    <t>EMO Button</t>
  </si>
  <si>
    <t>N0-10693</t>
  </si>
  <si>
    <t>Pump Vibration Isolator</t>
  </si>
  <si>
    <t>N0-10701</t>
  </si>
  <si>
    <t>Square Plastic Magnet Block</t>
  </si>
  <si>
    <t>N0-10722</t>
  </si>
  <si>
    <t>Fluidics Panel USB Connector</t>
  </si>
  <si>
    <t>N0-10773</t>
  </si>
  <si>
    <t>Black Thermal Pad</t>
  </si>
  <si>
    <t>N0-10832</t>
  </si>
  <si>
    <t>SS Split Lock Washer for M3 Screw Size, 3.4 mm ID, 6.2 mm OD</t>
  </si>
  <si>
    <t>N0-10841</t>
  </si>
  <si>
    <t>4" CABLE TIES WHITE</t>
  </si>
  <si>
    <t>N0-10842</t>
  </si>
  <si>
    <t>Split Lock Washer for M4 Socket Head Screws, 4.4 mm ID, 7 mm</t>
  </si>
  <si>
    <t>N0-10843</t>
  </si>
  <si>
    <t>Black Oxide M2.5 x 0.45 mm Thread, 25 mm Long SHCS</t>
  </si>
  <si>
    <t>N0-10854</t>
  </si>
  <si>
    <t>18-8 Stainless Steel Socket Head Cap Screw, 4-40 x 3/16</t>
  </si>
  <si>
    <t>N0-10855</t>
  </si>
  <si>
    <t>8-32 x, 1/4"  FH</t>
  </si>
  <si>
    <t>N0-10856</t>
  </si>
  <si>
    <t>Female Luer Lug Style Panel Mount 1/4-28 UNF to 200 Series Barb, 1/16</t>
  </si>
  <si>
    <t>N0-11013</t>
  </si>
  <si>
    <t>4" CABLE TIES  BLACK</t>
  </si>
  <si>
    <t>N0-19685</t>
  </si>
  <si>
    <t>Optocast 3410</t>
  </si>
  <si>
    <t>N0-19687</t>
  </si>
  <si>
    <t>Poly  Barbed Fitting Straight, 1/8"  ID x 1/4 Female Pipe</t>
  </si>
  <si>
    <t>N0-19689</t>
  </si>
  <si>
    <t>1/4 MALE COLDER R/A Orange</t>
  </si>
  <si>
    <t>N0-19690</t>
  </si>
  <si>
    <t>Nickel plated brass fitting for Aria Sheath Filter</t>
  </si>
  <si>
    <t>N0-19691</t>
  </si>
  <si>
    <t>0-100 PRESSURE GAUGE</t>
  </si>
  <si>
    <t>N0-19692</t>
  </si>
  <si>
    <t>SS Socket Head Cap Screw, M3 Thread, 40mm Long</t>
  </si>
  <si>
    <t>N0-19694</t>
  </si>
  <si>
    <t>Blk Oxide M1.6 x 0.35 mm Thread, 4 mm Long SHCS</t>
  </si>
  <si>
    <t>N0-19695</t>
  </si>
  <si>
    <t>1/16 SILASTIC TUBING(SOFT)</t>
  </si>
  <si>
    <t>Foot</t>
  </si>
  <si>
    <t>N0-19696</t>
  </si>
  <si>
    <t>1/2 CABLE WRAP BLACK</t>
  </si>
  <si>
    <t>N0-19697</t>
  </si>
  <si>
    <t>Optical Lens Gel (3CC)</t>
  </si>
  <si>
    <t>N0-19700</t>
  </si>
  <si>
    <t>Optocast 3553 Epoxy, 3cc size, Electronic Materials Inc</t>
  </si>
  <si>
    <t>N0-19701</t>
  </si>
  <si>
    <t>3M Scotch Brand Electrical Tape 3/4" Wd X 66' Lg, Black, Sup</t>
  </si>
  <si>
    <t>N0-19702</t>
  </si>
  <si>
    <t>Empty Wheeled Tool Case</t>
  </si>
  <si>
    <t>N0-19703</t>
  </si>
  <si>
    <t>Epoxy Structural Sealant for Electronics, Fast-Harden Epoxy,</t>
  </si>
  <si>
    <t>N0-19704</t>
  </si>
  <si>
    <t>1/8' COLDER NO SHUTOFF</t>
  </si>
  <si>
    <t>N0-19708</t>
  </si>
  <si>
    <t>Aurora Instrument Demo Crate</t>
  </si>
  <si>
    <t>N0-90000-0A</t>
  </si>
  <si>
    <t>QB Sure Beads</t>
  </si>
  <si>
    <t>N1-00001</t>
  </si>
  <si>
    <t>SpectroFlo Cytometer QC Beads, 2 mL</t>
  </si>
  <si>
    <t>Milliliter</t>
  </si>
  <si>
    <t>N1-00002</t>
  </si>
  <si>
    <t>2400W 120V Power Conditioner</t>
  </si>
  <si>
    <t>N1-00004</t>
  </si>
  <si>
    <t>PCBA Packaging Carton (335x254)</t>
  </si>
  <si>
    <t>N1-00005</t>
  </si>
  <si>
    <t>Nanuk 910 Case with Foam (Black)</t>
  </si>
  <si>
    <t>N1-00008</t>
  </si>
  <si>
    <t>Baker Biosafety Cabinet - US - CY401 120VAC 20A</t>
  </si>
  <si>
    <t>N1-00030</t>
  </si>
  <si>
    <t>N1-00030-INA</t>
  </si>
  <si>
    <t>Baker Biosafety Cabinet - EU - CY401-INT 230VAC 16A with Schuko plug and outlets</t>
  </si>
  <si>
    <t>N1-00031</t>
  </si>
  <si>
    <t>N1-00031-INA</t>
  </si>
  <si>
    <t>Baker Biosafety Cabinet - Japan - CY401-J 100VAC 20A</t>
  </si>
  <si>
    <t>N1-00032</t>
  </si>
  <si>
    <t>N1-00032-INA</t>
  </si>
  <si>
    <t>Baker Biosafety Cabinet - Australia - CY401-AUS 230VAC 13A</t>
  </si>
  <si>
    <t>N1-00033</t>
  </si>
  <si>
    <t>N1-00033-INA</t>
  </si>
  <si>
    <t>Compressor, Jun-Air</t>
  </si>
  <si>
    <t>N1-00034</t>
  </si>
  <si>
    <t>Oil Free Compressor with Jun-Air-230V</t>
  </si>
  <si>
    <t>N1-00037</t>
  </si>
  <si>
    <t>N1-00037-INA</t>
  </si>
  <si>
    <t>Ergotron - with Built-In Arm w/ Biosafety Cabinet</t>
  </si>
  <si>
    <t>N1-00038</t>
  </si>
  <si>
    <t>MOUNT PRO Dual Monitor Mount for 13-32</t>
  </si>
  <si>
    <t>N1-00039</t>
  </si>
  <si>
    <t>Rainbow Tri-Laser</t>
  </si>
  <si>
    <t>N2-00000</t>
  </si>
  <si>
    <t>Pavilion Blue Laser</t>
  </si>
  <si>
    <t>N2-00001</t>
  </si>
  <si>
    <t>Fiber Bundle 600um fiber core 1.5mm spacing 680mm length</t>
  </si>
  <si>
    <t>N2-00002</t>
  </si>
  <si>
    <t>fiber-bundle 800um 1.5mm</t>
  </si>
  <si>
    <t>N2-00003-0A</t>
  </si>
  <si>
    <t>Pavilion Red Laser</t>
  </si>
  <si>
    <t>N2-00005</t>
  </si>
  <si>
    <t>Pavilion Violet Laser</t>
  </si>
  <si>
    <t>N2-00006</t>
  </si>
  <si>
    <t>NE06A-DIA 25mm Absorphic ND Filter, SM1 Threaded Mount</t>
  </si>
  <si>
    <t>N2-00007-0A</t>
  </si>
  <si>
    <t>AC254-050-A, f=50mm,Ø1" Achromatic  Doublet ARC 400-700nm</t>
  </si>
  <si>
    <t>N2-00008</t>
  </si>
  <si>
    <t>NE10A DIA 25mm Absorptive ND Filter, SM1 Threaded Mount</t>
  </si>
  <si>
    <t>N2-00009</t>
  </si>
  <si>
    <t>Aurora Cuvette</t>
  </si>
  <si>
    <t>N2-00010</t>
  </si>
  <si>
    <t>Photo Diode 1226-8BK</t>
  </si>
  <si>
    <t>N2-00013</t>
  </si>
  <si>
    <t>Violet True Zero Order Half Waveplate</t>
  </si>
  <si>
    <t>N2-00041</t>
  </si>
  <si>
    <t>Blue True Zero Order Half Waveplate</t>
  </si>
  <si>
    <t>N2-00042</t>
  </si>
  <si>
    <t>Red True Zero Order Half Waveplate</t>
  </si>
  <si>
    <t>N2-00043</t>
  </si>
  <si>
    <t>Half Wave Plate Yellow Green</t>
  </si>
  <si>
    <t>N2-00044</t>
  </si>
  <si>
    <t>Bi-Crystal 2.0 degree</t>
  </si>
  <si>
    <t>N2-00050</t>
  </si>
  <si>
    <t>BI-Crystal 2.2 degree</t>
  </si>
  <si>
    <t>N2-00051</t>
  </si>
  <si>
    <t>Bi-Crystal 2.7 degree</t>
  </si>
  <si>
    <t>N2-00052</t>
  </si>
  <si>
    <t>Bi-Crystal 3.7 degree</t>
  </si>
  <si>
    <t>N2-00054</t>
  </si>
  <si>
    <t>Bi-Crystal 3.15 degree</t>
  </si>
  <si>
    <t>N2-00055</t>
  </si>
  <si>
    <t>Bi-Crystal 2.4 degree</t>
  </si>
  <si>
    <t>N2-00056</t>
  </si>
  <si>
    <t>Bi-Crystal 3.4 degree</t>
  </si>
  <si>
    <t>N2-00058</t>
  </si>
  <si>
    <t>Beam waist adjustor Neg Len -100mm</t>
  </si>
  <si>
    <t>N2-00061-0A</t>
  </si>
  <si>
    <t>Beam waist adjustor Pos Len +125mm</t>
  </si>
  <si>
    <t>N2-00062-0A</t>
  </si>
  <si>
    <t>Beam waist adjustor Neg Len -80mm</t>
  </si>
  <si>
    <t>N2-00063-0A</t>
  </si>
  <si>
    <t>Beam waist adjustor Pos Len +100mm</t>
  </si>
  <si>
    <t>N2-00064</t>
  </si>
  <si>
    <t>Beam waist adjustor Neg Len -200mm</t>
  </si>
  <si>
    <t>N2-00065</t>
  </si>
  <si>
    <t>Beam waist adjustor Pos Len +225mm</t>
  </si>
  <si>
    <t>N2-00066</t>
  </si>
  <si>
    <t>Beam Waist Adjustor Neg Len -75mm</t>
  </si>
  <si>
    <t>N2-00067</t>
  </si>
  <si>
    <t>Beam Waist Adjustor Neg Len +85mm</t>
  </si>
  <si>
    <t>N2-00068</t>
  </si>
  <si>
    <t>OBIS Core 561nm 50mW Laser</t>
  </si>
  <si>
    <t>N2-00071</t>
  </si>
  <si>
    <t>OBIS Core 561nm 100mW Laser</t>
  </si>
  <si>
    <t>N2-00072-0A</t>
  </si>
  <si>
    <t>OBIS Core LS Controller Kit</t>
  </si>
  <si>
    <t>N2-00073</t>
  </si>
  <si>
    <t>PCB, OBIS Core LS Flexboard, 300mm</t>
  </si>
  <si>
    <t>N2-00074</t>
  </si>
  <si>
    <t>Focusing Lens ACH 18x35</t>
  </si>
  <si>
    <t>N2-00075</t>
  </si>
  <si>
    <t>30-Degree UV Prism</t>
  </si>
  <si>
    <t>N2-00076</t>
  </si>
  <si>
    <t>OBIS Core 488nm 60mW Laser</t>
  </si>
  <si>
    <t>N2-00077</t>
  </si>
  <si>
    <t>Bi-Crystal 1.3 degree</t>
  </si>
  <si>
    <t>N2-00078</t>
  </si>
  <si>
    <t>Bi-Crystal 1.5 degree</t>
  </si>
  <si>
    <t>N2-00079</t>
  </si>
  <si>
    <t>Bi-Crystal 1.7 degree</t>
  </si>
  <si>
    <t>N2-00080</t>
  </si>
  <si>
    <t>Half Wave Plate UV 355</t>
  </si>
  <si>
    <t>N2-00081</t>
  </si>
  <si>
    <t>OBIS Core 488nm LS 100mW Laser</t>
  </si>
  <si>
    <t>N2-00082</t>
  </si>
  <si>
    <t>OBIS Core 488nm LS 150mW Laser</t>
  </si>
  <si>
    <t>N2-00083</t>
  </si>
  <si>
    <t>LENS PCV F-133.3 D25.4</t>
  </si>
  <si>
    <t>N2-00085</t>
  </si>
  <si>
    <t>LENS PCX F150 D25.4</t>
  </si>
  <si>
    <t>N2-00086</t>
  </si>
  <si>
    <t>Cytek Violet Laser</t>
  </si>
  <si>
    <t>N2-00087</t>
  </si>
  <si>
    <t>Cytek Red Laser</t>
  </si>
  <si>
    <t>N2-00088</t>
  </si>
  <si>
    <t>Bi-Crystal 2.9 degree UV</t>
  </si>
  <si>
    <t>N2-00089</t>
  </si>
  <si>
    <t>Cytek Laser Set (Violet &amp; Red)</t>
  </si>
  <si>
    <t>N2-00090</t>
  </si>
  <si>
    <t>45° Polarization Mirror Red</t>
  </si>
  <si>
    <t>N2-00091</t>
  </si>
  <si>
    <t>Cytek Blue Laser</t>
  </si>
  <si>
    <t>N2-00092</t>
  </si>
  <si>
    <t>Cytek Laser Set (V/B/R)</t>
  </si>
  <si>
    <t>N2-00094</t>
  </si>
  <si>
    <t>Focusing Lens ACH 18x30</t>
  </si>
  <si>
    <t>N2-00095</t>
  </si>
  <si>
    <t>APD S12053-05 Blue</t>
  </si>
  <si>
    <t>N2-00097</t>
  </si>
  <si>
    <t>Si APD S12053-10</t>
  </si>
  <si>
    <t>N2-00098</t>
  </si>
  <si>
    <t>Si APD S12023-05</t>
  </si>
  <si>
    <t>N2-00099</t>
  </si>
  <si>
    <t>LG355NM 20MW OBIS UV LASER</t>
  </si>
  <si>
    <t>N2-00100</t>
  </si>
  <si>
    <t>355nm Dichroic Mirror</t>
  </si>
  <si>
    <t>N2-00101</t>
  </si>
  <si>
    <t>405nm Dichroic Mirror</t>
  </si>
  <si>
    <t>N2-00102</t>
  </si>
  <si>
    <t>BI-Crystal 1.15 degree</t>
  </si>
  <si>
    <t>N2-00106</t>
  </si>
  <si>
    <t>Lens Plano-Convex f75 Dia25</t>
  </si>
  <si>
    <t>N2-00107</t>
  </si>
  <si>
    <t>Lens Plano-Concave f-50 Dia25</t>
  </si>
  <si>
    <t>N2-00108</t>
  </si>
  <si>
    <t>Coherent Obis Core 561LS Laser, 150mW</t>
  </si>
  <si>
    <t>N2-00109-01</t>
  </si>
  <si>
    <t>Coherent Obis Core 488LS Laser, 150mW</t>
  </si>
  <si>
    <t>N2-00110-01</t>
  </si>
  <si>
    <t>10x7x2mm Uncoated Glass</t>
  </si>
  <si>
    <t>N2-00116</t>
  </si>
  <si>
    <t>FILTER LINE 20A STUDS</t>
  </si>
  <si>
    <t>N2-00131</t>
  </si>
  <si>
    <t>30 Degree Equilateral Prism for DxP SF and New Instrument</t>
  </si>
  <si>
    <t>N2-00132</t>
  </si>
  <si>
    <t>488/10 BP FS 12.5MM DIA FILTER</t>
  </si>
  <si>
    <t>N2-00133</t>
  </si>
  <si>
    <t>Objective Lens, DxP SF and New Instrument</t>
  </si>
  <si>
    <t>N2-00134</t>
  </si>
  <si>
    <t>Violet laser, service</t>
  </si>
  <si>
    <t>N2-00143</t>
  </si>
  <si>
    <t>Blue laser, service</t>
  </si>
  <si>
    <t>N2-00144</t>
  </si>
  <si>
    <t>Red laser, service</t>
  </si>
  <si>
    <t>N2-00145</t>
  </si>
  <si>
    <t>Blue Laser 2nm</t>
  </si>
  <si>
    <t>N2-00156</t>
  </si>
  <si>
    <t>NL 1L Optics Hardware</t>
  </si>
  <si>
    <t>N2-00200</t>
  </si>
  <si>
    <t>NL 2L Optics Hardware</t>
  </si>
  <si>
    <t>N2-00201</t>
  </si>
  <si>
    <t>NL 3L Optics Hardware</t>
  </si>
  <si>
    <t>N2-00202</t>
  </si>
  <si>
    <t>Aurora 3L Optics Hardware</t>
  </si>
  <si>
    <t>N2-00203</t>
  </si>
  <si>
    <t>Aurora 4L YG Optics Hardware</t>
  </si>
  <si>
    <t>N2-00204</t>
  </si>
  <si>
    <t>Aurora 4L UV Optics Hardware</t>
  </si>
  <si>
    <t>N2-00205</t>
  </si>
  <si>
    <t>Aurora 5L Optics Hardware</t>
  </si>
  <si>
    <t>N2-00206</t>
  </si>
  <si>
    <t>Cytek Blue Bundle</t>
  </si>
  <si>
    <t>N2-00210</t>
  </si>
  <si>
    <t>Cytek Violet Bundle</t>
  </si>
  <si>
    <t>N2-00211</t>
  </si>
  <si>
    <t>Cytek Red Bundle</t>
  </si>
  <si>
    <t>N2-00212</t>
  </si>
  <si>
    <t>Coherent Blue Bundle</t>
  </si>
  <si>
    <t>N2-00213</t>
  </si>
  <si>
    <t>Coherent YG Bundle</t>
  </si>
  <si>
    <t>N2-00214</t>
  </si>
  <si>
    <t>Coherent UV Bundle</t>
  </si>
  <si>
    <t>N2-00215</t>
  </si>
  <si>
    <t>Cytek Blue Bundle (without beam adjusters)</t>
  </si>
  <si>
    <t>N2-00216</t>
  </si>
  <si>
    <t>Coherent Blue Bundle (without beam adjusters)</t>
  </si>
  <si>
    <t>N2-00217</t>
  </si>
  <si>
    <t>Coherent UV Bundle (without UV laser)</t>
  </si>
  <si>
    <t>N2-00218</t>
  </si>
  <si>
    <t>Aurora 3L- 4L YG Optics Hardware- Upgrade Kit</t>
  </si>
  <si>
    <t>N2-00219</t>
  </si>
  <si>
    <t>418 LP Filter New Instrument</t>
  </si>
  <si>
    <t>N2-00301</t>
  </si>
  <si>
    <t>418 LP Filter, 1"</t>
  </si>
  <si>
    <t>N2-00302</t>
  </si>
  <si>
    <t>427 Bandpass Filter</t>
  </si>
  <si>
    <t>N2-00303</t>
  </si>
  <si>
    <t>443 BP Filter New Instrument</t>
  </si>
  <si>
    <t>N2-00304</t>
  </si>
  <si>
    <t>458 Bandpass Filter</t>
  </si>
  <si>
    <t>N2-00305</t>
  </si>
  <si>
    <t>473 Bandpass Filter</t>
  </si>
  <si>
    <t>N2-00306</t>
  </si>
  <si>
    <t>503 LP Filter New Instrument</t>
  </si>
  <si>
    <t>N2-00308</t>
  </si>
  <si>
    <t>503 LP Filter 1"</t>
  </si>
  <si>
    <t>N2-00309</t>
  </si>
  <si>
    <t>508 Bandpass Filter</t>
  </si>
  <si>
    <t>N2-00310</t>
  </si>
  <si>
    <t>528 BP Filter New Instrument</t>
  </si>
  <si>
    <t>N2-00311</t>
  </si>
  <si>
    <t>548 BP Filter New Instrument</t>
  </si>
  <si>
    <t>N2-00312</t>
  </si>
  <si>
    <t>571 BP Filter New Instrument</t>
  </si>
  <si>
    <t>N2-00313</t>
  </si>
  <si>
    <t>582 Dichroic Filter New Instrument</t>
  </si>
  <si>
    <t>N2-00314</t>
  </si>
  <si>
    <t>594 BP Filter New Instrument</t>
  </si>
  <si>
    <t>N2-00315</t>
  </si>
  <si>
    <t>617 BP Filter New Instrument</t>
  </si>
  <si>
    <t>N2-00316</t>
  </si>
  <si>
    <t>653 LP Filter New Instrument</t>
  </si>
  <si>
    <t>N2-00317</t>
  </si>
  <si>
    <t>653 LP Filter 1"</t>
  </si>
  <si>
    <t>N2-00318</t>
  </si>
  <si>
    <t>664 BP Filter New Instrument</t>
  </si>
  <si>
    <t>N2-00319</t>
  </si>
  <si>
    <t>691 BP Filter New Instrument</t>
  </si>
  <si>
    <t>N2-00320</t>
  </si>
  <si>
    <t>720 BP Filter New Instrument</t>
  </si>
  <si>
    <t>N2-00321</t>
  </si>
  <si>
    <t>749 Bandpass Filter</t>
  </si>
  <si>
    <t>N2-00322</t>
  </si>
  <si>
    <t>779 Bandpass Filter</t>
  </si>
  <si>
    <t>N2-00323</t>
  </si>
  <si>
    <t>811 Bandpass Filter</t>
  </si>
  <si>
    <t>N2-00324</t>
  </si>
  <si>
    <t>UV Filter, CWL 372.5, BW 15</t>
  </si>
  <si>
    <t>N2-00401</t>
  </si>
  <si>
    <t>UV Filter, CWL 387.5, BW 15</t>
  </si>
  <si>
    <t>N2-00402</t>
  </si>
  <si>
    <t>UV Filter, CWL 514, BW 28</t>
  </si>
  <si>
    <t>N2-00403</t>
  </si>
  <si>
    <t>UV Filter, CWL 542, BW 28</t>
  </si>
  <si>
    <t>N2-00404</t>
  </si>
  <si>
    <t>UV Filter, CWL 581.5, BW 31</t>
  </si>
  <si>
    <t>N2-00405</t>
  </si>
  <si>
    <t>UV Filter, CWL 612.5, BW 31</t>
  </si>
  <si>
    <t>N2-00406</t>
  </si>
  <si>
    <t>615 Bandpass Filter</t>
  </si>
  <si>
    <t>N2-00407</t>
  </si>
  <si>
    <t>660nm 20nm Bandpass Filter</t>
  </si>
  <si>
    <t>N2-00408</t>
  </si>
  <si>
    <t>661 Bandpass Filter</t>
  </si>
  <si>
    <t>N2-00409</t>
  </si>
  <si>
    <t>678nm 21nm Bandpass Filter</t>
  </si>
  <si>
    <t>N2-00411</t>
  </si>
  <si>
    <t>679 Bandpass Filter</t>
  </si>
  <si>
    <t>N2-00412</t>
  </si>
  <si>
    <t>697nm 22nm Bandpass Filter</t>
  </si>
  <si>
    <t>N2-00413</t>
  </si>
  <si>
    <t>717 Bandpass Filter</t>
  </si>
  <si>
    <t>N2-00414</t>
  </si>
  <si>
    <t>738 Bandpass Filter</t>
  </si>
  <si>
    <t>N2-00415</t>
  </si>
  <si>
    <t>760 Bandpass Filter</t>
  </si>
  <si>
    <t>N2-00416</t>
  </si>
  <si>
    <t>783 Bandpass Filter</t>
  </si>
  <si>
    <t>N2-00417</t>
  </si>
  <si>
    <t>CW 577nm, BW 20nm</t>
  </si>
  <si>
    <t>N2-00418</t>
  </si>
  <si>
    <t>Semrock 561 Notch Filter, 0.5 inch</t>
  </si>
  <si>
    <t>N2-00501</t>
  </si>
  <si>
    <t>Fiber Bundle 600- 4 Laser</t>
  </si>
  <si>
    <t>N2-00502</t>
  </si>
  <si>
    <t>Objective Lens for Microscope Tool</t>
  </si>
  <si>
    <t>N2-00503-0A</t>
  </si>
  <si>
    <t>APD 561 nm Long Pass Filter, 12.5 mm</t>
  </si>
  <si>
    <t>N2-00504</t>
  </si>
  <si>
    <t>Polyester Pad Filter</t>
  </si>
  <si>
    <t>N2-00505-0A</t>
  </si>
  <si>
    <t>UV mirror 355nm 12.5mm</t>
  </si>
  <si>
    <t>N2-00506</t>
  </si>
  <si>
    <t>Optical Filter BP 541.5-17</t>
  </si>
  <si>
    <t>N2-00507</t>
  </si>
  <si>
    <t>Optical Filter BP 580.5-19</t>
  </si>
  <si>
    <t>N2-00508</t>
  </si>
  <si>
    <t>Optical Filter BP 598-20</t>
  </si>
  <si>
    <t>N2-00509</t>
  </si>
  <si>
    <t>Cylindrical Lens F66 12X12</t>
  </si>
  <si>
    <t>N2-00510</t>
  </si>
  <si>
    <t>Cylindrical Lens F-33 12X12</t>
  </si>
  <si>
    <t>N2-00511</t>
  </si>
  <si>
    <t>Fiber Bundle 600um 1000mm- 5 Laser</t>
  </si>
  <si>
    <t>N2-00512</t>
  </si>
  <si>
    <t>Optical Filter BP 524.5-17</t>
  </si>
  <si>
    <t>N2-00513</t>
  </si>
  <si>
    <t>638/14 BANDPASS FILTER</t>
  </si>
  <si>
    <t>N2-00514</t>
  </si>
  <si>
    <t>Optical filter UV 355nm long pass 12.5mm</t>
  </si>
  <si>
    <t>N2-00515</t>
  </si>
  <si>
    <t>Polarization Mirror Blue</t>
  </si>
  <si>
    <t>N2-00516</t>
  </si>
  <si>
    <t>Polarization Mirror Red</t>
  </si>
  <si>
    <t>N2-00517</t>
  </si>
  <si>
    <t>Polarization Mirror Violet</t>
  </si>
  <si>
    <t>N2-00518</t>
  </si>
  <si>
    <t>Si Photodiode</t>
  </si>
  <si>
    <t>N2-00519</t>
  </si>
  <si>
    <t>Windows Mirror</t>
  </si>
  <si>
    <t>N2-00520</t>
  </si>
  <si>
    <t>TOSA-488nm with TEC (Inactive)</t>
  </si>
  <si>
    <t>N2-00522-INA</t>
  </si>
  <si>
    <t>TOSA-405nm with TEC (Inactive)</t>
  </si>
  <si>
    <t>N2-00523-INA</t>
  </si>
  <si>
    <t>TOSA-638nm with TEC (Inactive)</t>
  </si>
  <si>
    <t>N2-00524-INA</t>
  </si>
  <si>
    <t>Blue Laser Diode</t>
  </si>
  <si>
    <t>N2-00525</t>
  </si>
  <si>
    <t>Violet Laser Diode</t>
  </si>
  <si>
    <t>N2-00526</t>
  </si>
  <si>
    <t>UV Focus lens</t>
  </si>
  <si>
    <t>N2-00527</t>
  </si>
  <si>
    <t>Optical Filter BP 488/10 8D 10x8x2</t>
  </si>
  <si>
    <t>N2-00528</t>
  </si>
  <si>
    <t>Red Laser Diode 638nm 110mW</t>
  </si>
  <si>
    <t>N2-00543</t>
  </si>
  <si>
    <t>Fiber Collimation Lens 6.25 Dia x 7.5mm FL</t>
  </si>
  <si>
    <t>N2-01000</t>
  </si>
  <si>
    <t>Focusing Lens 10 Dia x 15mm FL</t>
  </si>
  <si>
    <t>N2-01001</t>
  </si>
  <si>
    <t>SSC 1 Side AR 12mm dia x 1mm Window</t>
  </si>
  <si>
    <t>N2-01002</t>
  </si>
  <si>
    <t>Fused Silica Plate, Single AR, D=12mm</t>
  </si>
  <si>
    <t>N2-01002-00</t>
  </si>
  <si>
    <t>SSC 1 Side AR 2mm Window (Inactive)</t>
  </si>
  <si>
    <t>N2-01002-0A</t>
  </si>
  <si>
    <t>12 degree wedge 1side AR</t>
  </si>
  <si>
    <t>N2-01005</t>
  </si>
  <si>
    <t>F28mm Mirror</t>
  </si>
  <si>
    <t>N2-01006</t>
  </si>
  <si>
    <t>4mm Half Ball Lens N=2.0</t>
  </si>
  <si>
    <t>N2-01010</t>
  </si>
  <si>
    <t>Fused Silica Block, 100x20x11.4mm</t>
  </si>
  <si>
    <t>N2-01030</t>
  </si>
  <si>
    <t>NUV Fiber Collimator Lens 6.25 Dia x 7.5mm FL</t>
  </si>
  <si>
    <t>N2-05000</t>
  </si>
  <si>
    <t>NUV Focusing Lens 10 Dia x 15mm FL</t>
  </si>
  <si>
    <t>N2-05001</t>
  </si>
  <si>
    <t>NUV Wedge 12D</t>
  </si>
  <si>
    <t>N2-05005</t>
  </si>
  <si>
    <t>NUV Glass Block</t>
  </si>
  <si>
    <t>N2-05030</t>
  </si>
  <si>
    <t>Microscope Objective Lens 4X Achromatic with Black Finish</t>
  </si>
  <si>
    <t>N2-10001</t>
  </si>
  <si>
    <t>Absorptive ND Filter OD: 3.0 Ø25 mm SM1-Threaded Mount NE30A</t>
  </si>
  <si>
    <t>N2-10002</t>
  </si>
  <si>
    <t>APD S12023-05 Red</t>
  </si>
  <si>
    <t>N2-12001-01</t>
  </si>
  <si>
    <t>Hamamatsu PMT</t>
  </si>
  <si>
    <t>N2-12005-0A</t>
  </si>
  <si>
    <t>N2-12006-0A</t>
  </si>
  <si>
    <t>N2-56355-45</t>
  </si>
  <si>
    <t>488nm Dichroic Mirror</t>
  </si>
  <si>
    <t>N2-56488-45</t>
  </si>
  <si>
    <t>561nm Dichroic Mirror</t>
  </si>
  <si>
    <t>N2-56561-45</t>
  </si>
  <si>
    <t>640nm Dichroic Mirror</t>
  </si>
  <si>
    <t>N2-56640-0A</t>
  </si>
  <si>
    <t>N2-56640-45</t>
  </si>
  <si>
    <t>Ø1" Round Protected Aluminum Mirror, 3.2 mm Thick</t>
  </si>
  <si>
    <t>N2-56691</t>
  </si>
  <si>
    <t>427 BP Filter New Instrument</t>
  </si>
  <si>
    <t>N256-56427-15</t>
  </si>
  <si>
    <t>N256-56443-15</t>
  </si>
  <si>
    <t>458 BP Filter New Instrument</t>
  </si>
  <si>
    <t>N256-56458-15</t>
  </si>
  <si>
    <t>473 BP Filter New Instrument</t>
  </si>
  <si>
    <t>N256-56473-15</t>
  </si>
  <si>
    <t>482 Dichroic Filter New Instrument(OBS)</t>
  </si>
  <si>
    <t>N256-56482-00</t>
  </si>
  <si>
    <t>N256-56617-15</t>
  </si>
  <si>
    <t>N256-56664-15</t>
  </si>
  <si>
    <t>N256-56720-15</t>
  </si>
  <si>
    <t>Cuvette Tool</t>
  </si>
  <si>
    <t>N3-00001-0A</t>
  </si>
  <si>
    <t>SIT Plunger Tool</t>
  </si>
  <si>
    <t>N3-00002-0A</t>
  </si>
  <si>
    <t>Optics Cam Tool</t>
  </si>
  <si>
    <t>N3-00003</t>
  </si>
  <si>
    <t>Aurora Pinhole Slit</t>
  </si>
  <si>
    <t>N3-00004</t>
  </si>
  <si>
    <t>Tube Bending Fixture Transparent</t>
  </si>
  <si>
    <t>N3-00005-0B</t>
  </si>
  <si>
    <t>Tube Bending Fixture Orange</t>
  </si>
  <si>
    <t>N3-00006-0A</t>
  </si>
  <si>
    <t>Fiber Focus Tool</t>
  </si>
  <si>
    <t>N3-00007</t>
  </si>
  <si>
    <t>APD Fluorescent Calibration Bead</t>
  </si>
  <si>
    <t>N3-00008</t>
  </si>
  <si>
    <t>APD SSC Calibration Bead</t>
  </si>
  <si>
    <t>N3-00009</t>
  </si>
  <si>
    <t>wrench, 6-point, 5/16-in</t>
  </si>
  <si>
    <t>N3-00010</t>
  </si>
  <si>
    <t>JTAG EMULATOR TOOL</t>
  </si>
  <si>
    <t>N3-00014</t>
  </si>
  <si>
    <t>1/4-28 Union Bypass Tool</t>
  </si>
  <si>
    <t>N3-00015</t>
  </si>
  <si>
    <t>APD Fixture Block</t>
  </si>
  <si>
    <t>N3-00016-0A</t>
  </si>
  <si>
    <t>N3-00016-0B</t>
  </si>
  <si>
    <t>APD Fixture Block Cover</t>
  </si>
  <si>
    <t>N3-00017-0A</t>
  </si>
  <si>
    <t>16-Channel Teflon Block</t>
  </si>
  <si>
    <t>N3-00018-0A</t>
  </si>
  <si>
    <t>Fluoresbrite YG Microspheres Bead (concentrate), 1mL bottle</t>
  </si>
  <si>
    <t>N3-00019</t>
  </si>
  <si>
    <t>BP209-VIS Dual Scanning Slit Beam Profiler</t>
  </si>
  <si>
    <t>N3-00020-0A</t>
  </si>
  <si>
    <t>SM1L05 Lens Tube 0.05" Thread Depth</t>
  </si>
  <si>
    <t>N3-00021</t>
  </si>
  <si>
    <t>M-MT-X Compact Dovetail Linear Stage, M-MT-X</t>
  </si>
  <si>
    <t>N3-00022</t>
  </si>
  <si>
    <t>SMR1/M-01” Lens Mount with SM1 Internal Threads, SMR1/M</t>
  </si>
  <si>
    <t>N3-00023</t>
  </si>
  <si>
    <t>TR1-Ø 1/2 " Optical Post SS 8-32 Setscrew 1/4"-20, L=1"</t>
  </si>
  <si>
    <t>N3-00024</t>
  </si>
  <si>
    <t>Flat Top Tool Base</t>
  </si>
  <si>
    <t>N3-00025</t>
  </si>
  <si>
    <t>N3-00025-0A</t>
  </si>
  <si>
    <t>Flat Top Tool Mount</t>
  </si>
  <si>
    <t>N3-00026</t>
  </si>
  <si>
    <t>N3-00026-0B</t>
  </si>
  <si>
    <t>Lens Mount Adapter</t>
  </si>
  <si>
    <t>N3-00027</t>
  </si>
  <si>
    <t>Aurora Pinhole Slit Off Centered</t>
  </si>
  <si>
    <t>N3-00030</t>
  </si>
  <si>
    <t>PRISM TOP SHIELD COVER</t>
  </si>
  <si>
    <t>N3-00031-0A</t>
  </si>
  <si>
    <t>LOADER ALIGNMENT BASE TOOL</t>
  </si>
  <si>
    <t>N3-00032</t>
  </si>
  <si>
    <t>UV Laser Alignment Tool</t>
  </si>
  <si>
    <t>N3-00033</t>
  </si>
  <si>
    <t>Sheath Tubing Fixture</t>
  </si>
  <si>
    <t>N3-00034-0A</t>
  </si>
  <si>
    <t>2 mL Vial 6 Peak Rainbow Beads (1,3,4,5,6,8)</t>
  </si>
  <si>
    <t>N3-00041</t>
  </si>
  <si>
    <t>Rainbow Calibration Particules Label</t>
  </si>
  <si>
    <t>N3-00043</t>
  </si>
  <si>
    <t>SpectroFlo Cytometer QC Beads, 500mL</t>
  </si>
  <si>
    <t>N3-00044</t>
  </si>
  <si>
    <t>Lens Mount Bracket</t>
  </si>
  <si>
    <t>N3-00046</t>
  </si>
  <si>
    <t>Bottom Adjuster</t>
  </si>
  <si>
    <t>N3-00047</t>
  </si>
  <si>
    <t>SM1 Lens Tube, 0.30" Thread Depth, SM1L03</t>
  </si>
  <si>
    <t>N3-00048</t>
  </si>
  <si>
    <t>USB 2.0 CMOS Camera, 1280 x 1024, Color Sensor, DCC1645C</t>
  </si>
  <si>
    <t>N3-00049</t>
  </si>
  <si>
    <t>Adapter w/ External C-Mount Threads &amp; Internal SM05 Threads</t>
  </si>
  <si>
    <t>N3-00050</t>
  </si>
  <si>
    <t>SM05 Lens Tube, 1" Thread Depth, SM05L10</t>
  </si>
  <si>
    <t>N3-00051</t>
  </si>
  <si>
    <t>SM05 Lens Tube, 1.5" Thread Depth, SM05L15</t>
  </si>
  <si>
    <t>N3-00052</t>
  </si>
  <si>
    <t>SM05 Lens Tube, 3" Thread Depth, SM05L30</t>
  </si>
  <si>
    <t>N3-00053</t>
  </si>
  <si>
    <t>Adapter with External SM05 Threads &amp; Internal SM1 Threads</t>
  </si>
  <si>
    <t>N3-00054</t>
  </si>
  <si>
    <t>Adapter w/ External SM1 Threads &amp; Internal RMS Threads SM1A3</t>
  </si>
  <si>
    <t>N3-00055</t>
  </si>
  <si>
    <t>Ø0.70" Clamp for SM05 Lens Tubes, SM05TC</t>
  </si>
  <si>
    <t>N3-00056</t>
  </si>
  <si>
    <t>SM1 Quick-Release Adapter (Female Half), SM1QAF</t>
  </si>
  <si>
    <t>N3-00057</t>
  </si>
  <si>
    <t>SM1 Quick-Release Adapter (Male Half), SM1QAM</t>
  </si>
  <si>
    <t>N3-00058</t>
  </si>
  <si>
    <t>Post, 1", Dia 0.5"</t>
  </si>
  <si>
    <t>N3-00059</t>
  </si>
  <si>
    <t>Plastic-Head Thumb Screw Knurled 1/4"-20 Thread Size 1" Long</t>
  </si>
  <si>
    <t>N3-00060</t>
  </si>
  <si>
    <t>Spring-Loaded 3/16" Hex-Locking Thumbscrew, 1/4"-20 Thread</t>
  </si>
  <si>
    <t>N3-00061</t>
  </si>
  <si>
    <t>NI Vision Development Module Run-Time License, 778044-35</t>
  </si>
  <si>
    <t>N3-00062</t>
  </si>
  <si>
    <t>Service Camera</t>
  </si>
  <si>
    <t>N3-00065</t>
  </si>
  <si>
    <t>Service Microscope Adapter</t>
  </si>
  <si>
    <t>N3-00066</t>
  </si>
  <si>
    <t>FALCON 12X75 TUBE</t>
  </si>
  <si>
    <t>N3-00067</t>
  </si>
  <si>
    <t>U-Bottom Microtiter Plate</t>
  </si>
  <si>
    <t>N3-00068</t>
  </si>
  <si>
    <t>Flow Meter Installation Tool</t>
  </si>
  <si>
    <t>N3-00069</t>
  </si>
  <si>
    <t>Ball-End Hex Screwdriver, 1.5 mm Size, 5-15/16" Overall Length</t>
  </si>
  <si>
    <t>N3-00070</t>
  </si>
  <si>
    <t>Ball-End Hex Screwdriver, 2 mm Size, 6-1/4" Overall Length</t>
  </si>
  <si>
    <t>N3-00071</t>
  </si>
  <si>
    <t>Ball-End Hex Screwdriver, 2.5 mm Size, 6-3/4" Overall Length</t>
  </si>
  <si>
    <t>N3-00072</t>
  </si>
  <si>
    <t>Ball-End Hex Screwdriver, 3 mm Size, 9-3/4" Overall Length</t>
  </si>
  <si>
    <t>N3-00073</t>
  </si>
  <si>
    <t>Ball-End Hex Screwdriver, 4 mm Size, 11-1/2" Overall Length</t>
  </si>
  <si>
    <t>N3-00074</t>
  </si>
  <si>
    <t>O-ring Lubricant</t>
  </si>
  <si>
    <t>N3-00075</t>
  </si>
  <si>
    <t>Sorter Microscope Tool</t>
  </si>
  <si>
    <t>N3-00113</t>
  </si>
  <si>
    <t>N3-00113R</t>
  </si>
  <si>
    <t>N3-00113R.1</t>
  </si>
  <si>
    <t>N3-00113R.1 (old)</t>
  </si>
  <si>
    <t>SIT Sensor Rail Upgrade Kit</t>
  </si>
  <si>
    <t>N3-00122</t>
  </si>
  <si>
    <t>Cytek Laser Service Kit</t>
  </si>
  <si>
    <t>N3-00124</t>
  </si>
  <si>
    <t>Red laser(service) with 6 to 5 cable</t>
  </si>
  <si>
    <t>N3-00127</t>
  </si>
  <si>
    <t>Flat Top Viewing Tool</t>
  </si>
  <si>
    <t>N3-10000-0A</t>
  </si>
  <si>
    <t>Flat Top Viewing Camera Tool</t>
  </si>
  <si>
    <t>N3-10001</t>
  </si>
  <si>
    <t>N3-10001-0A</t>
  </si>
  <si>
    <t>N3-10001R</t>
  </si>
  <si>
    <t>N3-10001R.1</t>
  </si>
  <si>
    <t>N3-10001R.1 (old)</t>
  </si>
  <si>
    <t>Aurora Demo Kit in 96 Well Plate Format</t>
  </si>
  <si>
    <t>N3-10007-INV</t>
  </si>
  <si>
    <t>AURORA DEMO KIT IN 96 WELL PLATE FORMAT FOR UV LASER SYSTEMS</t>
  </si>
  <si>
    <t>N3-10008-INV</t>
  </si>
  <si>
    <t>Cross Check Fast-Dry Torque Seal</t>
  </si>
  <si>
    <t>N3-10022</t>
  </si>
  <si>
    <t>Cleanroom Swab Mini Head</t>
  </si>
  <si>
    <t>N3-10027</t>
  </si>
  <si>
    <t>Cleanroom Swab Small</t>
  </si>
  <si>
    <t>N3-10028</t>
  </si>
  <si>
    <t>Cleanroom Swap Mini Pointed Head</t>
  </si>
  <si>
    <t>N3-10029</t>
  </si>
  <si>
    <t>Cleanroom Swab Pointed Foam Tip</t>
  </si>
  <si>
    <t>N3-10030</t>
  </si>
  <si>
    <t>Cleanroom ESD safe stick</t>
  </si>
  <si>
    <t>N3-10031</t>
  </si>
  <si>
    <t>Cleanroom Small Dry Wipe</t>
  </si>
  <si>
    <t>Box of 280</t>
  </si>
  <si>
    <t>N3-10032</t>
  </si>
  <si>
    <t>Cleanroom Presaturated Wipes</t>
  </si>
  <si>
    <t>N3-10033</t>
  </si>
  <si>
    <t>ALIGNMENT TOOL, LASER FOCUS SLIT</t>
  </si>
  <si>
    <t>N3-10040</t>
  </si>
  <si>
    <t>Loader 2.0 Stage Calibration Device</t>
  </si>
  <si>
    <t>N3-10049</t>
  </si>
  <si>
    <t>High Pressure Digital Pressure Gauge</t>
  </si>
  <si>
    <t>N3-10058</t>
  </si>
  <si>
    <t>Laser Safety Glasses (355nm ONLY, size: Large adjustable)</t>
  </si>
  <si>
    <t>N3-10059</t>
  </si>
  <si>
    <t>Laser Safety Glasses (355nm and 561nm), size: Large adjustable)</t>
  </si>
  <si>
    <t>N3-10060</t>
  </si>
  <si>
    <t>Laser Safety Glasses (355nm, 405nm, 488nm, 532nm, size: Large adjustable)</t>
  </si>
  <si>
    <t>N3-10061</t>
  </si>
  <si>
    <t>Laser Safety Glasses (355nm, 638nm, size: Large adjustable)</t>
  </si>
  <si>
    <t>N3-10062</t>
  </si>
  <si>
    <t>High Voltage Probe</t>
  </si>
  <si>
    <t>N3-10063</t>
  </si>
  <si>
    <t>Oscilloscope</t>
  </si>
  <si>
    <t>N3-10064</t>
  </si>
  <si>
    <t>N3-10064R</t>
  </si>
  <si>
    <t>N3-10064R.1</t>
  </si>
  <si>
    <t>J-LINK PLUS COMPACT</t>
  </si>
  <si>
    <t>N3-10065</t>
  </si>
  <si>
    <t>Cleaning Swab, Micro Absorbent</t>
  </si>
  <si>
    <t>N3-10066</t>
  </si>
  <si>
    <t>Hex Key Thumbscrew 6-Piece Kit</t>
  </si>
  <si>
    <t>N3-10067</t>
  </si>
  <si>
    <t>Set of 7 Balldriver Stubby L-wrenches</t>
  </si>
  <si>
    <t>N3-10080</t>
  </si>
  <si>
    <t>Metric Hex Bit Set</t>
  </si>
  <si>
    <t>N3-10081</t>
  </si>
  <si>
    <t>Cotton Swabs, 1/8" Diameter x 7/16" Long Tip</t>
  </si>
  <si>
    <t>N3-10082</t>
  </si>
  <si>
    <t>cutting pliers, mini, steel, ESD safe</t>
  </si>
  <si>
    <t>N3-10083</t>
  </si>
  <si>
    <t>Lens Paper</t>
  </si>
  <si>
    <t>N3-10084</t>
  </si>
  <si>
    <t>O-ring Picker</t>
  </si>
  <si>
    <t>N3-10085</t>
  </si>
  <si>
    <t>TOHNICHI TORQUE SCREWDRIVER, 2-10 LBF*IN</t>
  </si>
  <si>
    <t>N3-10086</t>
  </si>
  <si>
    <t>Torx Bit Set</t>
  </si>
  <si>
    <t>N3-10087</t>
  </si>
  <si>
    <t>Tweezer, ESD safe</t>
  </si>
  <si>
    <t>N3-10088</t>
  </si>
  <si>
    <t>Thorlabs Laser Power Meter</t>
  </si>
  <si>
    <t>N3-10089</t>
  </si>
  <si>
    <t>N3-10089R</t>
  </si>
  <si>
    <t>N3-10089R.1</t>
  </si>
  <si>
    <t>Graduated cylinder, 25mL</t>
  </si>
  <si>
    <t>N3-10091</t>
  </si>
  <si>
    <t>Fluke 117 Electricians True RMS Multimeter Certified</t>
  </si>
  <si>
    <t>N3-10094</t>
  </si>
  <si>
    <t>N3-10094R</t>
  </si>
  <si>
    <t>N3-10094R.1</t>
  </si>
  <si>
    <t>CORD MINIGRABBER PATCH 8" RED</t>
  </si>
  <si>
    <t>N3-10095</t>
  </si>
  <si>
    <t>CORD MINIGRABBER PATCH 8" BLACK</t>
  </si>
  <si>
    <t>N3-10096</t>
  </si>
  <si>
    <t>Tohnichi Torque Screwdriver 0.4-3 kgfcm</t>
  </si>
  <si>
    <t>N3-10097</t>
  </si>
  <si>
    <t>N3-10097R</t>
  </si>
  <si>
    <t>N3-10097R.1</t>
  </si>
  <si>
    <t>Tohnichi Torque Screwdriver, 6-26 kgfcm</t>
  </si>
  <si>
    <t>N3-10098</t>
  </si>
  <si>
    <t>N3-10098R</t>
  </si>
  <si>
    <t>N3-10098R.1</t>
  </si>
  <si>
    <t>Contrad 70, liquid detergent, Decon Labs, 1 Liter.</t>
  </si>
  <si>
    <t>N3-10103</t>
  </si>
  <si>
    <t>ULINE Air in a Can</t>
  </si>
  <si>
    <t>N3-10104</t>
  </si>
  <si>
    <t>TORQUE WRENCH TBIH PRESET BREAK-OVER (BLUE)</t>
  </si>
  <si>
    <t>N3-10106</t>
  </si>
  <si>
    <t>N3-10106R</t>
  </si>
  <si>
    <t>N3-10106R.1</t>
  </si>
  <si>
    <t>Dual Temp Thermometer</t>
  </si>
  <si>
    <t>N3-10108</t>
  </si>
  <si>
    <t>N3-10108R</t>
  </si>
  <si>
    <t>N3-10108R.1</t>
  </si>
  <si>
    <t>Portable Handheld Variable DC Power Supply</t>
  </si>
  <si>
    <t>N3-10109</t>
  </si>
  <si>
    <t>12mm/13mm Open End Wrench</t>
  </si>
  <si>
    <t>N3-10115</t>
  </si>
  <si>
    <t>0.9mm L Wrench</t>
  </si>
  <si>
    <t>N3-10116</t>
  </si>
  <si>
    <t>Metric Allen Wrench Set</t>
  </si>
  <si>
    <t>N3-10131</t>
  </si>
  <si>
    <t>Bondhus 15554 2.5mm Loop T-Handle</t>
  </si>
  <si>
    <t>N3-10132</t>
  </si>
  <si>
    <t>#0 Phillips Screwdriver</t>
  </si>
  <si>
    <t>N3-10133</t>
  </si>
  <si>
    <t>Adjustable Wrench, Chrome, Standard, Plain Handle, 4" Long,</t>
  </si>
  <si>
    <t>N3-10134</t>
  </si>
  <si>
    <t>RTV 162 Epoxy</t>
  </si>
  <si>
    <t>N3-10135</t>
  </si>
  <si>
    <t>20L Cube Clear Flow Sheath Fluid</t>
  </si>
  <si>
    <t>N3-10136</t>
  </si>
  <si>
    <t>Flashlight for p/n 19-21695-00</t>
  </si>
  <si>
    <t>N3-10139</t>
  </si>
  <si>
    <t>.005 Cleaning Wire Kit</t>
  </si>
  <si>
    <t>N3-10140</t>
  </si>
  <si>
    <t>Thermo-Hygrometer</t>
  </si>
  <si>
    <t>N3-10147</t>
  </si>
  <si>
    <t>Torque Wrench for 5/16" Hex Fluidic Barb 0.17 N.m</t>
  </si>
  <si>
    <t>N3-10172</t>
  </si>
  <si>
    <t>Solder-Wick Lead-Free 10' 0.06"</t>
  </si>
  <si>
    <t>N3-10186</t>
  </si>
  <si>
    <t>99% IPA</t>
  </si>
  <si>
    <t>N3-10187</t>
  </si>
  <si>
    <t>O-Ring Super Lube</t>
  </si>
  <si>
    <t>N3-10188</t>
  </si>
  <si>
    <t>Aurora Demo Kit 1</t>
  </si>
  <si>
    <t>N3-90000-0A</t>
  </si>
  <si>
    <t>Vacuum Pump</t>
  </si>
  <si>
    <t>N4-00001</t>
  </si>
  <si>
    <t>Pressure Pump</t>
  </si>
  <si>
    <t>N4-00002</t>
  </si>
  <si>
    <t>Plenum Float Sensor</t>
  </si>
  <si>
    <t>N4-00003</t>
  </si>
  <si>
    <t>DeGasser G591</t>
  </si>
  <si>
    <t>N4-00004</t>
  </si>
  <si>
    <t>Tubing, PEEK 178um ID [mm] (0.007") 25 FT.</t>
  </si>
  <si>
    <t>N4-00009-0A</t>
  </si>
  <si>
    <t>Tubing, Pinch 0.063 ID x 0.031W [mm]</t>
  </si>
  <si>
    <t>100 FT Roll</t>
  </si>
  <si>
    <t>N4-00010</t>
  </si>
  <si>
    <t>.0625 ID x .250 Pinch Tubing</t>
  </si>
  <si>
    <t>N4-00011-0A</t>
  </si>
  <si>
    <t>Tubing, Tygon 0.050 ID [mm]</t>
  </si>
  <si>
    <t>N4-00012</t>
  </si>
  <si>
    <t>Manifold Valve, Aurora</t>
  </si>
  <si>
    <t>N4-00013</t>
  </si>
  <si>
    <t>Pinch Valve</t>
  </si>
  <si>
    <t>N4-00014</t>
  </si>
  <si>
    <t>Vacuum Switch (Preset to 9-PSIV)</t>
  </si>
  <si>
    <t>N4-00016</t>
  </si>
  <si>
    <t>Orange PMCD Fitting</t>
  </si>
  <si>
    <t>N4-00018</t>
  </si>
  <si>
    <t>1/4-48 Flangeless nut, PEEK</t>
  </si>
  <si>
    <t>N4-00022</t>
  </si>
  <si>
    <t>Flangeless Ferrule Fitting</t>
  </si>
  <si>
    <t>N4-00023</t>
  </si>
  <si>
    <t>1/4-28 to 1/8 barb fitting, PEEK</t>
  </si>
  <si>
    <t>N4-00024</t>
  </si>
  <si>
    <t>Sheath Filter, Rainbow</t>
  </si>
  <si>
    <t>N4-00025</t>
  </si>
  <si>
    <t>Sheath/Waste Tank</t>
  </si>
  <si>
    <t>N4-00028-0A</t>
  </si>
  <si>
    <t>Sorter cuvette O-ring</t>
  </si>
  <si>
    <t>N4-00031</t>
  </si>
  <si>
    <t>Accumulator O-Ring, 3”ID X 0.067”CS 70EP Black</t>
  </si>
  <si>
    <t>N4-00032</t>
  </si>
  <si>
    <t>O-Ring UV Fan</t>
  </si>
  <si>
    <t>N4-00033-0A</t>
  </si>
  <si>
    <t>Sensirion Flowmeter</t>
  </si>
  <si>
    <t>N4-00036</t>
  </si>
  <si>
    <t>5-Pin Molex to Pigtail Cable</t>
  </si>
  <si>
    <t>N4-00036-01</t>
  </si>
  <si>
    <t>Peek Fitting, Aurora</t>
  </si>
  <si>
    <t>N4-00037</t>
  </si>
  <si>
    <t>Tubing, PEEK, .005 ID</t>
  </si>
  <si>
    <t>N4-00038</t>
  </si>
  <si>
    <t>Tubing, PEEK, .010 ID</t>
  </si>
  <si>
    <t>N4-00039-INA</t>
  </si>
  <si>
    <t>Male Luer 1/16 ID Barb PP</t>
  </si>
  <si>
    <t>N4-00040</t>
  </si>
  <si>
    <t>SIT O-Ring, 0.093 x 0.028 70SLR</t>
  </si>
  <si>
    <t>N4-00041</t>
  </si>
  <si>
    <t>250-ml Plenum Bottle</t>
  </si>
  <si>
    <t>N4-00042</t>
  </si>
  <si>
    <t>PISTON PUMP</t>
  </si>
  <si>
    <t>N4-00043</t>
  </si>
  <si>
    <t>0.05  x 1.60 mm PTFE Tube natural 20m</t>
  </si>
  <si>
    <t>Meter</t>
  </si>
  <si>
    <t>N4-00044</t>
  </si>
  <si>
    <t>LG16 Sample Line</t>
  </si>
  <si>
    <t>N4-00045-0B</t>
  </si>
  <si>
    <t>Silicone-011 O-Ring</t>
  </si>
  <si>
    <t>N4-00046</t>
  </si>
  <si>
    <t>25mm Dia., 20-micron Disk Filter with Lure fittings</t>
  </si>
  <si>
    <t>N4-00047</t>
  </si>
  <si>
    <t>254 um Dia LG16 Sample Line</t>
  </si>
  <si>
    <t>N4-00048-0B</t>
  </si>
  <si>
    <t>Flexelene Tubing 1/16 ID x 1/8 OD</t>
  </si>
  <si>
    <t>N4-00049</t>
  </si>
  <si>
    <t>Compression Flexelene Tubing, 1/8 ID x 1/4 OD</t>
  </si>
  <si>
    <t>N4-00050</t>
  </si>
  <si>
    <t>CLR 1/16 Tubing, E-3603 Tygon</t>
  </si>
  <si>
    <t>Centimeter</t>
  </si>
  <si>
    <t>N4-00051</t>
  </si>
  <si>
    <t>Clear Plastic Tube</t>
  </si>
  <si>
    <t>N4-00052</t>
  </si>
  <si>
    <t>Barbed 1/16" Check Valve</t>
  </si>
  <si>
    <t>N4-00054</t>
  </si>
  <si>
    <t>Manifold Improvement Vacuum Pump</t>
  </si>
  <si>
    <t>N4-00055</t>
  </si>
  <si>
    <t>Manifold Improvement Pressure Pump</t>
  </si>
  <si>
    <t>N4-00056</t>
  </si>
  <si>
    <t>Nozzle O-ring, 17-65 EPDM 80 Duro</t>
  </si>
  <si>
    <t>N4-00058</t>
  </si>
  <si>
    <t>O-ring, AS568A-003 EPDM 70 Duro</t>
  </si>
  <si>
    <t>25 Pack</t>
  </si>
  <si>
    <t>N4-00064</t>
  </si>
  <si>
    <t>Sorter Aspirator Pump</t>
  </si>
  <si>
    <t>N4-00086</t>
  </si>
  <si>
    <t>0.07" EPDM O-ring Cord Stock</t>
  </si>
  <si>
    <t>N4-00095</t>
  </si>
  <si>
    <t>MMC 9616K11</t>
  </si>
  <si>
    <t>O-RING, AS568A-159, EPDM 70 DURO</t>
  </si>
  <si>
    <t>N4-00100</t>
  </si>
  <si>
    <t>1/4-28 x 1/8 FEMALE Luer BARB PANEL MT</t>
  </si>
  <si>
    <t>N4-00104</t>
  </si>
  <si>
    <t>Tee Tube Fitting with Classic Series Barbs, 1/8" (3.2</t>
  </si>
  <si>
    <t>N4-00105</t>
  </si>
  <si>
    <t>Aria 1/32" Ferrule for PEEK Tubing in PMI Kit</t>
  </si>
  <si>
    <t>N4-00106</t>
  </si>
  <si>
    <t>N4-00107</t>
  </si>
  <si>
    <t>FEMALE 1/4 NPT COLDER</t>
  </si>
  <si>
    <t>N4-00112</t>
  </si>
  <si>
    <t>ALMOND MALE COLDER 1/8"</t>
  </si>
  <si>
    <t>N4-00114</t>
  </si>
  <si>
    <t>ORG MALE COLDER 1/8"</t>
  </si>
  <si>
    <t>N4-00116</t>
  </si>
  <si>
    <t>SHEATH LEVEL SENSOR CAP</t>
  </si>
  <si>
    <t>N4-00118</t>
  </si>
  <si>
    <t>NC FLOAT SWITCH Brown Wires</t>
  </si>
  <si>
    <t>N4-00120</t>
  </si>
  <si>
    <t>Pressure Transducer Athena/Rainbow</t>
  </si>
  <si>
    <t>N4-00122</t>
  </si>
  <si>
    <t>4L Tank</t>
  </si>
  <si>
    <t>N4-00124</t>
  </si>
  <si>
    <t>Accumulator Plenum, SF</t>
  </si>
  <si>
    <t>N4-00126</t>
  </si>
  <si>
    <t>Reservoir Holder, Athena, Aurora</t>
  </si>
  <si>
    <t>N4-00128</t>
  </si>
  <si>
    <t>Mount, Float Switch, Waste, Aurora</t>
  </si>
  <si>
    <t>N4-00130</t>
  </si>
  <si>
    <t>1.0um steam trap</t>
  </si>
  <si>
    <t>N4-00132</t>
  </si>
  <si>
    <t>Check Valve, Waste</t>
  </si>
  <si>
    <t>N4-00134</t>
  </si>
  <si>
    <t>CLR 1/8"ID x 1/4"OD TUBING TYGON</t>
  </si>
  <si>
    <t>N4-00136</t>
  </si>
  <si>
    <t>1/8" SILASTIC TUBING SOFT (ROLL 25 FT.)</t>
  </si>
  <si>
    <t>N4-00138</t>
  </si>
  <si>
    <t>Compression Flexelene 1/8 ID x 1/4 OD, Blue</t>
  </si>
  <si>
    <t>N4-00140</t>
  </si>
  <si>
    <t>Orange Compression Flexelene Tubing 1/8 ID x 1/4 OD</t>
  </si>
  <si>
    <t>N4-00142</t>
  </si>
  <si>
    <t>1/8" ID, 1/4" OD Tygon 2735 Tubing</t>
  </si>
  <si>
    <t>N4-00146</t>
  </si>
  <si>
    <t>O-RING (2-010)  .25ID x .070W /MOLY</t>
  </si>
  <si>
    <t>N4-00148</t>
  </si>
  <si>
    <t>Buna-N O-Ring, AS568A Dash Number 022</t>
  </si>
  <si>
    <t>N4-00150</t>
  </si>
  <si>
    <t>UL Recognized Buna-N O-Ring AS568A Dash Number 110</t>
  </si>
  <si>
    <t>N4-00152</t>
  </si>
  <si>
    <t>1/8 X 1/16 BARB FITTING</t>
  </si>
  <si>
    <t>N4-00154</t>
  </si>
  <si>
    <t>1/4 NPT Valved Coupling Insert</t>
  </si>
  <si>
    <t>N4-00158</t>
  </si>
  <si>
    <t>1/4 NPT Valved CPC Coupling Body</t>
  </si>
  <si>
    <t>N4-00159</t>
  </si>
  <si>
    <t>Relief Valve for Steel Tank</t>
  </si>
  <si>
    <t>N4-00160</t>
  </si>
  <si>
    <t>Hex Head Plug, Pipe 1/4", HEX 9/16 Stainless Steel</t>
  </si>
  <si>
    <t>N4-00171</t>
  </si>
  <si>
    <t>Colder Quick Disconnect Male to 1/16 in barb; color Almond</t>
  </si>
  <si>
    <t>N4-00173</t>
  </si>
  <si>
    <t>Aurora Sample Line</t>
  </si>
  <si>
    <t>N4-00174-0A</t>
  </si>
  <si>
    <t>Sorter Fluidics Line 1</t>
  </si>
  <si>
    <t>N4-00181</t>
  </si>
  <si>
    <t>Sorter Fluidics Line 2</t>
  </si>
  <si>
    <t>N4-00182</t>
  </si>
  <si>
    <t>Sorter Fluidics Line 3</t>
  </si>
  <si>
    <t>N4-00183</t>
  </si>
  <si>
    <t>Sorter Fluidics Line 6</t>
  </si>
  <si>
    <t>N4-00184</t>
  </si>
  <si>
    <t>Sorter Fluidics Line 8</t>
  </si>
  <si>
    <t>N4-00185</t>
  </si>
  <si>
    <t>Sorter Fluidics Line 11</t>
  </si>
  <si>
    <t>N4-00186</t>
  </si>
  <si>
    <t>Sorter Fluidics Line 12</t>
  </si>
  <si>
    <t>N4-00187</t>
  </si>
  <si>
    <t>Sorter Fluidics Line 13</t>
  </si>
  <si>
    <t>N4-00188</t>
  </si>
  <si>
    <t>Sorter Fluidics Line 15</t>
  </si>
  <si>
    <t>N4-00189</t>
  </si>
  <si>
    <t>Sorter Fluidics Line 16</t>
  </si>
  <si>
    <t>N4-00190</t>
  </si>
  <si>
    <t>Sorter Fluidics Line 18</t>
  </si>
  <si>
    <t>N4-00191</t>
  </si>
  <si>
    <t>Sorter Fluidics Line 19-21</t>
  </si>
  <si>
    <t>N4-00192</t>
  </si>
  <si>
    <t>Sorter Fluidics Line 20</t>
  </si>
  <si>
    <t>N4-00193</t>
  </si>
  <si>
    <t>1/8 Male SS colder R/A</t>
  </si>
  <si>
    <t>N4-00195</t>
  </si>
  <si>
    <t>1/8 Male SS Colder Straight</t>
  </si>
  <si>
    <t>N4-00196</t>
  </si>
  <si>
    <t>96 U-Bottom Well-plate</t>
  </si>
  <si>
    <t>N4-00198</t>
  </si>
  <si>
    <t>In-Line Air Filter, Sorter</t>
  </si>
  <si>
    <t>N4-00212</t>
  </si>
  <si>
    <t>O-ring, 4ID*7.2OD</t>
  </si>
  <si>
    <t>N4-00213</t>
  </si>
  <si>
    <t>Forming Tube, Plenum To SF</t>
  </si>
  <si>
    <t>N4-00216</t>
  </si>
  <si>
    <t>Aurora PMI Kit</t>
  </si>
  <si>
    <t>N4-10000</t>
  </si>
  <si>
    <t>Flow Cell Barb Threaded Nut Sleeve</t>
  </si>
  <si>
    <t>N4-40100</t>
  </si>
  <si>
    <t>Flow Cell Barb Nipple Core for 0.125in ID Tubing</t>
  </si>
  <si>
    <t>N4-40101</t>
  </si>
  <si>
    <t>Flow Cell Barb Nipple Core for 0.0625in ID Tubing</t>
  </si>
  <si>
    <t>N4-40102</t>
  </si>
  <si>
    <t>Rubber Washer Seal 0.110in ID</t>
  </si>
  <si>
    <t>N4-40104</t>
  </si>
  <si>
    <t>Rubber Washer Seal 0.090in ID</t>
  </si>
  <si>
    <t>N4-40105</t>
  </si>
  <si>
    <t>Fluidic Barb O-ring .118 x .030 70SLR</t>
  </si>
  <si>
    <t>N4-40154</t>
  </si>
  <si>
    <t>Tee 1/16x1/16x1/16 POLY.</t>
  </si>
  <si>
    <t>N4-40156</t>
  </si>
  <si>
    <t>Kinesis KX Syringe Filter, Nylon, 25 mm dia., 10 µm</t>
  </si>
  <si>
    <t>N4-40159</t>
  </si>
  <si>
    <t>Extruded Aurora Sample Line</t>
  </si>
  <si>
    <t>N4-40248</t>
  </si>
  <si>
    <t>1/4" Tube OD White Polypropylene Union Tee</t>
  </si>
  <si>
    <t>N4-40264</t>
  </si>
  <si>
    <t>Tank fitting for air-line (Swagelok)</t>
  </si>
  <si>
    <t>N4-40270</t>
  </si>
  <si>
    <t>Tank fitting for liquid line (Swagelok)</t>
  </si>
  <si>
    <t>N4-40272</t>
  </si>
  <si>
    <t>Dig-Acq-Board</t>
  </si>
  <si>
    <t>N5-00001</t>
  </si>
  <si>
    <t>Fluidic Mother Board</t>
  </si>
  <si>
    <t>N5-00002</t>
  </si>
  <si>
    <t>DC-Power Board, Rainbow</t>
  </si>
  <si>
    <t>N5-00003</t>
  </si>
  <si>
    <t>Pressure Amp Board</t>
  </si>
  <si>
    <t>N5-00004</t>
  </si>
  <si>
    <t>N5-00004R</t>
  </si>
  <si>
    <t>N5-00004R.1</t>
  </si>
  <si>
    <t>PMt Converter Board, Rainbow</t>
  </si>
  <si>
    <t>N5-00005-0C</t>
  </si>
  <si>
    <t>SSC Board</t>
  </si>
  <si>
    <t>N5-00006</t>
  </si>
  <si>
    <t>FSC Board, Aurora</t>
  </si>
  <si>
    <t>N5-00007</t>
  </si>
  <si>
    <t>N5-00007R</t>
  </si>
  <si>
    <t>N5-00007R.1</t>
  </si>
  <si>
    <t>TEC 2CH Board</t>
  </si>
  <si>
    <t>N5-00008</t>
  </si>
  <si>
    <t>APD 8ch Power Board, Rainbow</t>
  </si>
  <si>
    <t>N5-00009-0C</t>
  </si>
  <si>
    <t>RS232 Board, Rainbow</t>
  </si>
  <si>
    <t>N5-00010-0A</t>
  </si>
  <si>
    <t>Back Plane - 6BRD, Rainbow</t>
  </si>
  <si>
    <t>N5-00011</t>
  </si>
  <si>
    <t>16 Channel pre-AMP Board, Rainbow</t>
  </si>
  <si>
    <t>N5-00015-0B</t>
  </si>
  <si>
    <t>16 Channel Pre-Amp Board</t>
  </si>
  <si>
    <t>N5-00015-0D</t>
  </si>
  <si>
    <t>N5-00015-0E</t>
  </si>
  <si>
    <t>16 Channel Pre-amp Board</t>
  </si>
  <si>
    <t>N5-00015-0F</t>
  </si>
  <si>
    <t>N5-00015-0G</t>
  </si>
  <si>
    <t>16 Channel HV Board</t>
  </si>
  <si>
    <t>N5-00017</t>
  </si>
  <si>
    <t>DAQ-adapter board</t>
  </si>
  <si>
    <t>N5-00018</t>
  </si>
  <si>
    <t>DAQ-adaptor board</t>
  </si>
  <si>
    <t>N5-00018-0B</t>
  </si>
  <si>
    <t>N5-00018R</t>
  </si>
  <si>
    <t>N5-00018R.1</t>
  </si>
  <si>
    <t>Pre-Amp Adaptor Board</t>
  </si>
  <si>
    <t>N5-00019</t>
  </si>
  <si>
    <t>N5-00019-0A</t>
  </si>
  <si>
    <t>Dummy Board</t>
  </si>
  <si>
    <t>N5-00020</t>
  </si>
  <si>
    <t>N5-00020R</t>
  </si>
  <si>
    <t>N5-00020R.1</t>
  </si>
  <si>
    <t>Socket Extension Board-1</t>
  </si>
  <si>
    <t>N5-00021</t>
  </si>
  <si>
    <t>Socket Extension Board-2</t>
  </si>
  <si>
    <t>N5-00022</t>
  </si>
  <si>
    <t>Laser Power Board</t>
  </si>
  <si>
    <t>N5-00023</t>
  </si>
  <si>
    <t>Blue Laser ??RF Board - PCB</t>
  </si>
  <si>
    <t>N5-00024-0D-B</t>
  </si>
  <si>
    <t>Red RF Board</t>
  </si>
  <si>
    <t>N5-00024-0D_R</t>
  </si>
  <si>
    <t>N5-00024-0D_R.1</t>
  </si>
  <si>
    <t>Violet RF Board</t>
  </si>
  <si>
    <t>N5-00024-0D_V</t>
  </si>
  <si>
    <t>Loader Mother Board</t>
  </si>
  <si>
    <t>N5-00025</t>
  </si>
  <si>
    <t>N5-00025-0B</t>
  </si>
  <si>
    <t>Laser Power Transfer Board</t>
  </si>
  <si>
    <t>N5-00026</t>
  </si>
  <si>
    <t>Loader TEC control Board</t>
  </si>
  <si>
    <t>N5-00027</t>
  </si>
  <si>
    <t>N5-00027R</t>
  </si>
  <si>
    <t>N5-00027R.1</t>
  </si>
  <si>
    <t>4-Laser DAQ Adapter Board</t>
  </si>
  <si>
    <t>N5-00028</t>
  </si>
  <si>
    <t>5-Laser DAQ Adapter</t>
  </si>
  <si>
    <t>N5-00029</t>
  </si>
  <si>
    <t>5-Laser Backplane</t>
  </si>
  <si>
    <t>N5-00031</t>
  </si>
  <si>
    <t>SIT DETECTOR PCBA</t>
  </si>
  <si>
    <t>N5-00032</t>
  </si>
  <si>
    <t>Laser Switchboard</t>
  </si>
  <si>
    <t>N5-00033</t>
  </si>
  <si>
    <t>5 Laser DAQ Adapter, Ribbon</t>
  </si>
  <si>
    <t>N5-00034</t>
  </si>
  <si>
    <t>Pre-AMP Board Adapter - Ribbon Cable</t>
  </si>
  <si>
    <t>N5-00035</t>
  </si>
  <si>
    <t>3 Laser DAQ Adapter, Ribbon</t>
  </si>
  <si>
    <t>N5-00038</t>
  </si>
  <si>
    <t>Northern Lights DAQ Adapter Board</t>
  </si>
  <si>
    <t>N5-00039</t>
  </si>
  <si>
    <t>N5-00039R</t>
  </si>
  <si>
    <t>N5-00039R.1</t>
  </si>
  <si>
    <t>TEC Adapter Board</t>
  </si>
  <si>
    <t>N5-00040</t>
  </si>
  <si>
    <t>N5-00040R</t>
  </si>
  <si>
    <t>N5-00040R.1</t>
  </si>
  <si>
    <t>N5-00043</t>
  </si>
  <si>
    <t>10 Channel Pre-amp Board</t>
  </si>
  <si>
    <t>N5-00044</t>
  </si>
  <si>
    <t>Laser Driver Board-Blue</t>
  </si>
  <si>
    <t>N5-00046</t>
  </si>
  <si>
    <t>Laser Driver Board-Violet</t>
  </si>
  <si>
    <t>N5-00047</t>
  </si>
  <si>
    <t>Laser Driver Board-Red</t>
  </si>
  <si>
    <t>N5-00048</t>
  </si>
  <si>
    <t>Pre-AMP Board Adapter- Ribbon Cable</t>
  </si>
  <si>
    <t>N5-00059</t>
  </si>
  <si>
    <t>Aurora DAQ Adapter Board</t>
  </si>
  <si>
    <t>N5-00060</t>
  </si>
  <si>
    <t>N5-00063</t>
  </si>
  <si>
    <t>Sorter HV Deflection Plate Power Supply</t>
  </si>
  <si>
    <t>N5-00065</t>
  </si>
  <si>
    <t>APD Power Board(HV Board, Flex)</t>
  </si>
  <si>
    <t>N5-00080</t>
  </si>
  <si>
    <t>DDU X Interconnect PCB</t>
  </si>
  <si>
    <t>N5-00081</t>
  </si>
  <si>
    <t>Sorter Slot 0 DAQ PCBA</t>
  </si>
  <si>
    <t>N5-00086</t>
  </si>
  <si>
    <t>Sorter Fluidic Mother Board</t>
  </si>
  <si>
    <t>N5-00091</t>
  </si>
  <si>
    <t>DDU TEC Adaptor Board</t>
  </si>
  <si>
    <t>N5-00093</t>
  </si>
  <si>
    <t>45° Fused Silica Glass</t>
  </si>
  <si>
    <t>N5-00093-0A</t>
  </si>
  <si>
    <t>Heater Control Board</t>
  </si>
  <si>
    <t>N5-00096</t>
  </si>
  <si>
    <t>EMO isolator board</t>
  </si>
  <si>
    <t>N5-00097</t>
  </si>
  <si>
    <t>DDU LMB board</t>
  </si>
  <si>
    <t>N5-00099</t>
  </si>
  <si>
    <t>24 AWG BLACK</t>
  </si>
  <si>
    <t>N5-00100</t>
  </si>
  <si>
    <t>24 AWG RED</t>
  </si>
  <si>
    <t>N5-00101</t>
  </si>
  <si>
    <t>24 AWG WHITE</t>
  </si>
  <si>
    <t>N5-00102</t>
  </si>
  <si>
    <t>Blue Wires /26 AWG</t>
  </si>
  <si>
    <t>Millimeter</t>
  </si>
  <si>
    <t>N5-00104</t>
  </si>
  <si>
    <t>Receptacle Housing 2 Pin</t>
  </si>
  <si>
    <t>N5-00107</t>
  </si>
  <si>
    <t>Conn Plug 2 Pos. Panel Mount</t>
  </si>
  <si>
    <t>N5-00108</t>
  </si>
  <si>
    <t>4 PIN MALE REDEL (PAGM04GLAC39G)</t>
  </si>
  <si>
    <t>N5-00109</t>
  </si>
  <si>
    <t>4 Pin Female R BLK HD</t>
  </si>
  <si>
    <t>N5-00110</t>
  </si>
  <si>
    <t>CONN RECEPT 6POS DUAL</t>
  </si>
  <si>
    <t>N5-00111</t>
  </si>
  <si>
    <t>CONN RECEPT 3POS 3MM SINGLE ROW</t>
  </si>
  <si>
    <t>N5-00112</t>
  </si>
  <si>
    <t>Term con FM</t>
  </si>
  <si>
    <t>N5-00113</t>
  </si>
  <si>
    <t>CONN TERM MALE 18-24AWG TIN</t>
  </si>
  <si>
    <t>N5-00114</t>
  </si>
  <si>
    <t>CONN CONTACT 22-26AWG GOLD</t>
  </si>
  <si>
    <t>N5-00115</t>
  </si>
  <si>
    <t>DDU TEC Board</t>
  </si>
  <si>
    <t>N5-00116</t>
  </si>
  <si>
    <t>Sorter SA Board</t>
  </si>
  <si>
    <t>N5-00117</t>
  </si>
  <si>
    <t>N5-00117R</t>
  </si>
  <si>
    <t>N5-00117R.1</t>
  </si>
  <si>
    <t>Sorter DAQ Isolator PCB</t>
  </si>
  <si>
    <t>N5-00118</t>
  </si>
  <si>
    <t>TEC 1CH Board</t>
  </si>
  <si>
    <t>N5-00137</t>
  </si>
  <si>
    <t>DC-DC Power Input Cable</t>
  </si>
  <si>
    <t>N5-10001</t>
  </si>
  <si>
    <t>DC Power Output and Fluidics Input Cable</t>
  </si>
  <si>
    <t>N5-10002</t>
  </si>
  <si>
    <t>Filter Out Switch Power In Cable</t>
  </si>
  <si>
    <t>N5-10003</t>
  </si>
  <si>
    <t>Backplane Board Out DAQ Conn Adapter In Cable</t>
  </si>
  <si>
    <t>N5-10004-03 (Inactive)</t>
  </si>
  <si>
    <t>Backplane Board Out DAQ Conn Adapter In Cable (Inactive)</t>
  </si>
  <si>
    <t>N5-10004-INA</t>
  </si>
  <si>
    <t>Backplane Board &amp; DC Power Board</t>
  </si>
  <si>
    <t>N5-10005-0A</t>
  </si>
  <si>
    <t>Switch Power Out Backplane Board In Cable</t>
  </si>
  <si>
    <t>N5-10005-0D</t>
  </si>
  <si>
    <t>Switch Power Out Backplane Board in Cable</t>
  </si>
  <si>
    <t>N5-10005-0E</t>
  </si>
  <si>
    <t>Analog Power Board &amp; Backplane Board</t>
  </si>
  <si>
    <t>N5-10006-0A</t>
  </si>
  <si>
    <t>Linear Power Out &amp; PMT Power Board In Cable</t>
  </si>
  <si>
    <t>N5-10007-0A</t>
  </si>
  <si>
    <t>APD Power Board Out-SSC Board In Cable</t>
  </si>
  <si>
    <t>N5-10008</t>
  </si>
  <si>
    <t>Power Socket Out &amp; Power Socket Switch</t>
  </si>
  <si>
    <t>N5-10009</t>
  </si>
  <si>
    <t>Backplane Board Out PMT Power Cable In</t>
  </si>
  <si>
    <t>N5-10010-0A</t>
  </si>
  <si>
    <t>FSC Board Out-Main Board In Cable</t>
  </si>
  <si>
    <t>N5-10011</t>
  </si>
  <si>
    <t>PreAMP Board or PMT Board Out -Mainboard In Cable</t>
  </si>
  <si>
    <t>N5-10012-0A</t>
  </si>
  <si>
    <t>PMT Power Board Out-FSC Board In Cable</t>
  </si>
  <si>
    <t>N5-10013-0A</t>
  </si>
  <si>
    <t>APD preAMP Board Out-FSC Board In Cable</t>
  </si>
  <si>
    <t>N5-10014</t>
  </si>
  <si>
    <t>APD Power Board Out-preAMP Board In Cable</t>
  </si>
  <si>
    <t>N5-10015-0A</t>
  </si>
  <si>
    <t>Power Out-Panel Switch LED In Cable</t>
  </si>
  <si>
    <t>N5-10016-0A</t>
  </si>
  <si>
    <t>Power Socket Switch Out-Panel Switch In &amp; Panel Switch Out-Filter In Cable</t>
  </si>
  <si>
    <t>N5-10017</t>
  </si>
  <si>
    <t>SSC board Out-APD In Cable</t>
  </si>
  <si>
    <t>N5-10018</t>
  </si>
  <si>
    <t>Backplane Board Out DAQ Connection Adapter Cable</t>
  </si>
  <si>
    <t>N5-10022</t>
  </si>
  <si>
    <t>DAQ Adapter board Out - DAQ board In cable</t>
  </si>
  <si>
    <t>N5-10023</t>
  </si>
  <si>
    <t>Linear Power Out DAQ Connection Adapter In Cable</t>
  </si>
  <si>
    <t>N5-10024</t>
  </si>
  <si>
    <t>Fan Combination Power Cable</t>
  </si>
  <si>
    <t>N5-10027</t>
  </si>
  <si>
    <t>FLAT FLEX RIBBON CABLE #1</t>
  </si>
  <si>
    <t>N5-10030</t>
  </si>
  <si>
    <t>N5-10030-0A</t>
  </si>
  <si>
    <t>FLAT FLEX RIBBON CABLE #2</t>
  </si>
  <si>
    <t>N5-10031</t>
  </si>
  <si>
    <t>N5-10031-0A</t>
  </si>
  <si>
    <t>FLAT FLEX RIBBON CABLE #3</t>
  </si>
  <si>
    <t>N5-10032</t>
  </si>
  <si>
    <t>N5-10032-0A</t>
  </si>
  <si>
    <t>FLAT FLEX RIBBON CABLE #4</t>
  </si>
  <si>
    <t>N5-10033</t>
  </si>
  <si>
    <t>N5-10033-0A</t>
  </si>
  <si>
    <t>FLAT FLEX RIBBON CABLE #5</t>
  </si>
  <si>
    <t>N5-10034</t>
  </si>
  <si>
    <t>N5-10034-0A</t>
  </si>
  <si>
    <t>FLAT FLEX RIBBON CABLE #6</t>
  </si>
  <si>
    <t>N5-10035</t>
  </si>
  <si>
    <t>N5-10035-0A</t>
  </si>
  <si>
    <t>1m USB 2.0 A to Left Angle B Cable Cord, Black</t>
  </si>
  <si>
    <t>N5-10036</t>
  </si>
  <si>
    <t>1m USB 2.0 A to B Cable Cord, Black</t>
  </si>
  <si>
    <t>N5-10037</t>
  </si>
  <si>
    <t>1m USB 2.0 A to B Cable Cord, Black with integrated Ferrite</t>
  </si>
  <si>
    <t>N5-10038</t>
  </si>
  <si>
    <t>TEC connection cable #1 Violet</t>
  </si>
  <si>
    <t>N5-10039</t>
  </si>
  <si>
    <t>TEC connection cable #2 Blue</t>
  </si>
  <si>
    <t>N5-10040</t>
  </si>
  <si>
    <t>TEC connection cable #3</t>
  </si>
  <si>
    <t>N5-10041</t>
  </si>
  <si>
    <t>CHASSIS GROUND CABLE SET</t>
  </si>
  <si>
    <t>N5-10042</t>
  </si>
  <si>
    <t>250V 2.5A CARTRIDGE FUSE</t>
  </si>
  <si>
    <t>N5-10043</t>
  </si>
  <si>
    <t>Inline Fuse Holder</t>
  </si>
  <si>
    <t>N5-10044</t>
  </si>
  <si>
    <t>Loader PUMP Cable</t>
  </si>
  <si>
    <t>N5-10045</t>
  </si>
  <si>
    <t>Vacuum switch cable</t>
  </si>
  <si>
    <t>N5-10046</t>
  </si>
  <si>
    <t>TEC connection cable #4 YG</t>
  </si>
  <si>
    <t>N5-10047</t>
  </si>
  <si>
    <t>Stepper Driver Module to Fluidics Cable</t>
  </si>
  <si>
    <t>N5-10048</t>
  </si>
  <si>
    <t>Stepper Driver Module to Stepper Motor Cable</t>
  </si>
  <si>
    <t>N5-10049</t>
  </si>
  <si>
    <t>Yellow Green Flat Flex Ribbon Cable #6  L=975mm</t>
  </si>
  <si>
    <t>N5-10050</t>
  </si>
  <si>
    <t>YELLOW GREEN FLAT FLEX RIBBON CABLE #6</t>
  </si>
  <si>
    <t>N5-10050-0A</t>
  </si>
  <si>
    <t>Yellow Green Flat Ribbon Cable #7 L=1060mm</t>
  </si>
  <si>
    <t>N5-10051</t>
  </si>
  <si>
    <t>YELLOW GREEN FLAT FLEX RIBBON CABLE #7</t>
  </si>
  <si>
    <t>N5-10051-0A</t>
  </si>
  <si>
    <t>5 LASER FLAT FLEX RIBBON CABLE #4, L=466mm</t>
  </si>
  <si>
    <t>N5-10055-0B</t>
  </si>
  <si>
    <t>5 LASER FLAT FLEX RIBBON CABLE #5, L=637mm</t>
  </si>
  <si>
    <t>N5-10056-0B</t>
  </si>
  <si>
    <t>5 LASER FLAT FLEX RIBBON CABLE #7, L=1100mm</t>
  </si>
  <si>
    <t>N5-10057-0B</t>
  </si>
  <si>
    <t>5 LASER FLAT FLEX RIBBON CABLE #7, L=1190mm</t>
  </si>
  <si>
    <t>N5-10058-0B</t>
  </si>
  <si>
    <t>5 LASER FLAT FLEX RIBBON CABLE #8, L=1230mm</t>
  </si>
  <si>
    <t>N5-10059-0B</t>
  </si>
  <si>
    <t>5 LASER FLAT FLEX RIBBON CABLE #9, L=1350mm</t>
  </si>
  <si>
    <t>N5-10060-0B</t>
  </si>
  <si>
    <t>FLAT FLEX RIBBON #6</t>
  </si>
  <si>
    <t>N5-10061</t>
  </si>
  <si>
    <t>Cable, Laser Power Board-to-4 Laser Driver Board</t>
  </si>
  <si>
    <t>N5-10062</t>
  </si>
  <si>
    <t>Cable, DC-DC Power Board-to-Laser Power Board and Fluidics</t>
  </si>
  <si>
    <t>N5-10063</t>
  </si>
  <si>
    <t>Cable, 4 Laser Enable</t>
  </si>
  <si>
    <t>N5-10064</t>
  </si>
  <si>
    <t>Cable, 4-Laser Enable</t>
  </si>
  <si>
    <t>N5-10064-0A</t>
  </si>
  <si>
    <t>SIT Detector Cable Assy</t>
  </si>
  <si>
    <t>N5-10065</t>
  </si>
  <si>
    <t>Flow Meter Cable</t>
  </si>
  <si>
    <t>N5-10068</t>
  </si>
  <si>
    <t>JTAG-HS1 Programming Cable</t>
  </si>
  <si>
    <t>N5-10074</t>
  </si>
  <si>
    <t>Motor Driver To LMB Cable</t>
  </si>
  <si>
    <t>N5-10501</t>
  </si>
  <si>
    <t>Loader Motor Driver Extension Cable</t>
  </si>
  <si>
    <t>N5-10502</t>
  </si>
  <si>
    <t>DC Power Cable, From LMB to TEC Control Board</t>
  </si>
  <si>
    <t>N5-10503</t>
  </si>
  <si>
    <t>Loader LMB to TEC Control Board Communication Cable</t>
  </si>
  <si>
    <t>N5-10504</t>
  </si>
  <si>
    <t>Type-A to Left Angle B USB Cable, 30cm</t>
  </si>
  <si>
    <t>N5-10505-0A</t>
  </si>
  <si>
    <t>Type-A to Type-A  USB Cable, Panel to PC Station, 100cm</t>
  </si>
  <si>
    <t>N5-10506</t>
  </si>
  <si>
    <t>Loader TEC control cable</t>
  </si>
  <si>
    <t>N5-10507</t>
  </si>
  <si>
    <t>Loader Motor Driver to Motor Cable</t>
  </si>
  <si>
    <t>N5-10508</t>
  </si>
  <si>
    <t>Loader TEC FAN cable</t>
  </si>
  <si>
    <t>N5-10509</t>
  </si>
  <si>
    <t>AC Adaptor Power's AC Side Cable, 150 cm length (IEC320-C8)</t>
  </si>
  <si>
    <t>N5-10510-0A</t>
  </si>
  <si>
    <t>Loader Motor Driver to LMB Cable</t>
  </si>
  <si>
    <t>N5-10512</t>
  </si>
  <si>
    <t>Loader Motor Driver to motor Cable 2</t>
  </si>
  <si>
    <t>N5-10513</t>
  </si>
  <si>
    <t>Loader Motor Driver to motor Cable 3</t>
  </si>
  <si>
    <t>N5-10514</t>
  </si>
  <si>
    <t>Loader Motor Driver to motor Cable 4</t>
  </si>
  <si>
    <t>N5-10515</t>
  </si>
  <si>
    <t>Power Supply Cord 1.5m, AC Cable, China Standard</t>
  </si>
  <si>
    <t>N5-10516</t>
  </si>
  <si>
    <t>Power Supply Cord, 1.5m AC cable, US Standard</t>
  </si>
  <si>
    <t>N5-10517</t>
  </si>
  <si>
    <t>Power Supply Cord 1.5m, AC cable, European Standard</t>
  </si>
  <si>
    <t>N5-10518</t>
  </si>
  <si>
    <t>5 Laser I2C control cable of DAQ Adapter board to BP board</t>
  </si>
  <si>
    <t>N5-10519</t>
  </si>
  <si>
    <t>RF Board Cable</t>
  </si>
  <si>
    <t>N5-10520</t>
  </si>
  <si>
    <t>CYTEK Laser Power Cable</t>
  </si>
  <si>
    <t>N5-10521</t>
  </si>
  <si>
    <t>TEC Adapter Cable 1x2</t>
  </si>
  <si>
    <t>N5-10522</t>
  </si>
  <si>
    <t>Blue &amp;YG laser power cable - 5 laser Aurora Obis Core</t>
  </si>
  <si>
    <t>N5-10523</t>
  </si>
  <si>
    <t>UV Laser Power Cable - 5 Laser Aurora Obis</t>
  </si>
  <si>
    <t>N5-10524</t>
  </si>
  <si>
    <t>TEC 6 Position Cable</t>
  </si>
  <si>
    <t>N5-10525</t>
  </si>
  <si>
    <t>5 Laser TEC Power Cable</t>
  </si>
  <si>
    <t>N5-10526</t>
  </si>
  <si>
    <t>UV Fan Assembly</t>
  </si>
  <si>
    <t>N5-10527</t>
  </si>
  <si>
    <t>TEC 4 Position Cable for SSC</t>
  </si>
  <si>
    <t>N5-10528</t>
  </si>
  <si>
    <t>5 Laser Switch Power Out Backplane Board in Cable</t>
  </si>
  <si>
    <t>N5-10529</t>
  </si>
  <si>
    <t>LASER POWER CABLE ADAPTER (R,B,V)</t>
  </si>
  <si>
    <t>N5-10530</t>
  </si>
  <si>
    <t>UV Power Cable for 4 Laser to 5 Laser Kit</t>
  </si>
  <si>
    <t>N5-10532</t>
  </si>
  <si>
    <t>Vention 2.0 USB Cable, Male A to Male B, 1m</t>
  </si>
  <si>
    <t>N5-10533</t>
  </si>
  <si>
    <t>12V Fan Combination Power Cable 1 foot</t>
  </si>
  <si>
    <t>N5-10535</t>
  </si>
  <si>
    <t>12V Fan Combination Power Cable 4 inches</t>
  </si>
  <si>
    <t>N5-10536</t>
  </si>
  <si>
    <t>N5-10537</t>
  </si>
  <si>
    <t>Obis Core Adapter Cable</t>
  </si>
  <si>
    <t>N5-10538</t>
  </si>
  <si>
    <t>3L Ribbon Cable Violet 1 400mm</t>
  </si>
  <si>
    <t>N5-10539</t>
  </si>
  <si>
    <t>5 Laser Violet 1 Ribbon Cable 455mm</t>
  </si>
  <si>
    <t>N5-10540</t>
  </si>
  <si>
    <t>5 Laser Violet 2 Ribbon Cable 505mm</t>
  </si>
  <si>
    <t>N5-10541</t>
  </si>
  <si>
    <t>5 Laser Blue 1 Ribbon Cable 570mm</t>
  </si>
  <si>
    <t>N5-10542</t>
  </si>
  <si>
    <t>5 Laser Blue2 Ribbon Cable 625mm</t>
  </si>
  <si>
    <t>N5-10543</t>
  </si>
  <si>
    <t>5 Laser Red 1 Ribbon Cable 685mm</t>
  </si>
  <si>
    <t>N5-10544</t>
  </si>
  <si>
    <t>5 Laser Red 2 Ribbon Cable 735mm</t>
  </si>
  <si>
    <t>N5-10545</t>
  </si>
  <si>
    <t>5 Laser Yellow Green 1 Ribbon Cable 1005mm</t>
  </si>
  <si>
    <t>N5-10546</t>
  </si>
  <si>
    <t>5 Laser Yellow Green 2 Ribbon Cable 1085mm</t>
  </si>
  <si>
    <t>N5-10547</t>
  </si>
  <si>
    <t>5 Laser UV 1 Ribbon Cable 930mm</t>
  </si>
  <si>
    <t>N5-10548</t>
  </si>
  <si>
    <t>5 Laser UV 2 Ribbon Cable 965mm</t>
  </si>
  <si>
    <t>N5-10549</t>
  </si>
  <si>
    <t>TEC Adapter Cable for Field Upgrade Kit</t>
  </si>
  <si>
    <t>N5-10553</t>
  </si>
  <si>
    <t>Laser Power Adapter Cable 6 to 5</t>
  </si>
  <si>
    <t>N5-10555</t>
  </si>
  <si>
    <t>PCB, OBIS Core LS Flexboard, 500mm</t>
  </si>
  <si>
    <t>N5-10558</t>
  </si>
  <si>
    <t>NL V1 Ribbon Cable 400mm</t>
  </si>
  <si>
    <t>N5-10559</t>
  </si>
  <si>
    <t>Aurora V1 &amp; NL V2 Ribbon Cable 455mm</t>
  </si>
  <si>
    <t>N5-10560</t>
  </si>
  <si>
    <t>Aurora V2 &amp; NL B1 Ribbon Cable 505mm</t>
  </si>
  <si>
    <t>N5-10561</t>
  </si>
  <si>
    <t>Aurora B1 &amp; NL B2 Ribbon Cable 570mm</t>
  </si>
  <si>
    <t>N5-10562</t>
  </si>
  <si>
    <t>Aurora B2 &amp; NL R1 Ribbon Cable 625mm</t>
  </si>
  <si>
    <t>N5-10563</t>
  </si>
  <si>
    <t>Aurora R1 &amp; NL R2 Ribbon Cable 685mm</t>
  </si>
  <si>
    <t>N5-10564</t>
  </si>
  <si>
    <t>Aurora R2 Ribbon Cable 735mm</t>
  </si>
  <si>
    <t>N5-10565</t>
  </si>
  <si>
    <t>Aurora UV1 Ribbon Cable 930mm</t>
  </si>
  <si>
    <t>N5-10566</t>
  </si>
  <si>
    <t>Aurora UV2 Ribbon Cable 965mm</t>
  </si>
  <si>
    <t>N5-10567</t>
  </si>
  <si>
    <t>Aurora YG1 Ribbon Cable 1005mm</t>
  </si>
  <si>
    <t>N5-10568</t>
  </si>
  <si>
    <t>Aurora YG2 Ribbon Cable 1065mm</t>
  </si>
  <si>
    <t>N5-10569</t>
  </si>
  <si>
    <t>4L Waste Tank Adapter</t>
  </si>
  <si>
    <t>N5-10570</t>
  </si>
  <si>
    <t>SA board to isolation board cable</t>
  </si>
  <si>
    <t>N5-10571</t>
  </si>
  <si>
    <t>Sorter SA PCB 24Vdc Power Cable</t>
  </si>
  <si>
    <t>N5-10572</t>
  </si>
  <si>
    <t>Sorter SA Deflection Plate HV Cable</t>
  </si>
  <si>
    <t>N5-10573</t>
  </si>
  <si>
    <t>Sorter SA Sort Voltage Cable</t>
  </si>
  <si>
    <t>N5-10574</t>
  </si>
  <si>
    <t>Sorter SA Piezo Drive Cable</t>
  </si>
  <si>
    <t>N5-10575</t>
  </si>
  <si>
    <t>Sorter Strobe LED light cable</t>
  </si>
  <si>
    <t>N5-10576</t>
  </si>
  <si>
    <t>YG Ribbon cable  1150mm</t>
  </si>
  <si>
    <t>N5-10581</t>
  </si>
  <si>
    <t>YG Ribbon cable  1200mm</t>
  </si>
  <si>
    <t>N5-10582</t>
  </si>
  <si>
    <t>SIT DETECTOR CABLE</t>
  </si>
  <si>
    <t>N5-10584</t>
  </si>
  <si>
    <t>Extension cable to the existing Aurora Shutter Assy</t>
  </si>
  <si>
    <t>N5-10586</t>
  </si>
  <si>
    <t>TEC Power Cable</t>
  </si>
  <si>
    <t>N5-10587</t>
  </si>
  <si>
    <t>LMB/TEC Power Cable</t>
  </si>
  <si>
    <t>N5-10599</t>
  </si>
  <si>
    <t>X Stepper Motor Interconnect Cable</t>
  </si>
  <si>
    <t>N5-10600</t>
  </si>
  <si>
    <t>X Stepper Motor Cable</t>
  </si>
  <si>
    <t>N5-10601</t>
  </si>
  <si>
    <t>DDU X Encoder / X Limit Flag Interconnect Cable</t>
  </si>
  <si>
    <t>N5-10602</t>
  </si>
  <si>
    <t>X Encoder Cable</t>
  </si>
  <si>
    <t>N5-10603</t>
  </si>
  <si>
    <t>X Limit Flag Cable</t>
  </si>
  <si>
    <t>N5-10604</t>
  </si>
  <si>
    <t>Y Stepper Motor Cable</t>
  </si>
  <si>
    <t>N5-10605</t>
  </si>
  <si>
    <t>Y Encoder Signal Cable</t>
  </si>
  <si>
    <t>N5-10606</t>
  </si>
  <si>
    <t>Y Limit Flag Cable</t>
  </si>
  <si>
    <t>N5-10607</t>
  </si>
  <si>
    <t>Mixer Stepper Motor Cable</t>
  </si>
  <si>
    <t>N5-10608</t>
  </si>
  <si>
    <t>Puck Drive Plate Interconnect Cable</t>
  </si>
  <si>
    <t>N5-10609</t>
  </si>
  <si>
    <t>Puck Drive Plate Cable</t>
  </si>
  <si>
    <t>N5-10610</t>
  </si>
  <si>
    <t>Sorter SA Block Stepper Motor cable</t>
  </si>
  <si>
    <t>N5-10613</t>
  </si>
  <si>
    <t>Sorter Sort Block/Filter Stepper Cable</t>
  </si>
  <si>
    <t>N5-10614</t>
  </si>
  <si>
    <t>USB Right Angle Cable</t>
  </si>
  <si>
    <t>N5-10617</t>
  </si>
  <si>
    <t>Sorter Internal USB Hub</t>
  </si>
  <si>
    <t>N5-10619</t>
  </si>
  <si>
    <t>Sorter Sort Block Limit Sensor Cable</t>
  </si>
  <si>
    <t>N5-10620</t>
  </si>
  <si>
    <t>Sorter FMB EMO Cable</t>
  </si>
  <si>
    <t>N5-10630</t>
  </si>
  <si>
    <t>Sensirion cable</t>
  </si>
  <si>
    <t>N5-10638</t>
  </si>
  <si>
    <t>PC-Camera USB3.0 cable 1.0m</t>
  </si>
  <si>
    <t>N5-10639</t>
  </si>
  <si>
    <t>Sorter AC Power Cable - American</t>
  </si>
  <si>
    <t>N5-10644</t>
  </si>
  <si>
    <t>Sorter DAQ Isolation to DAQ0 Cable</t>
  </si>
  <si>
    <t>N5-10651</t>
  </si>
  <si>
    <t>DDU TEC 36V Power Cable</t>
  </si>
  <si>
    <t>N5-10652</t>
  </si>
  <si>
    <t>DDU TEC Adaptor Cable</t>
  </si>
  <si>
    <t>N5-10653</t>
  </si>
  <si>
    <t>DDU TEC Reed Sensor Cable</t>
  </si>
  <si>
    <t>N5-10656</t>
  </si>
  <si>
    <t>Sorter Sheath Scale USB Cable</t>
  </si>
  <si>
    <t>N5-10658</t>
  </si>
  <si>
    <t>DDU to FMB Isolator Cable</t>
  </si>
  <si>
    <t>N5-10659</t>
  </si>
  <si>
    <t>Sort Motor Driver to motor Cable 1</t>
  </si>
  <si>
    <t>N5-10660</t>
  </si>
  <si>
    <t>Sort Motor Driver to motor Cable 2</t>
  </si>
  <si>
    <t>N5-10661</t>
  </si>
  <si>
    <t>Sorter 12V FAN cable</t>
  </si>
  <si>
    <t>N5-10662</t>
  </si>
  <si>
    <t>Sorter Switch power out to Backplane and TEC Cable</t>
  </si>
  <si>
    <t>N5-10665</t>
  </si>
  <si>
    <t>DDU to TEC Communication Cable</t>
  </si>
  <si>
    <t>N5-10668</t>
  </si>
  <si>
    <t>Sorter Vacuum Switch Cable</t>
  </si>
  <si>
    <t>N5-10670</t>
  </si>
  <si>
    <t>Sort Air Regulator Cable</t>
  </si>
  <si>
    <t>N5-10673</t>
  </si>
  <si>
    <t>Sorter SIT Sensor Adaptor Cable</t>
  </si>
  <si>
    <t>N5-10674</t>
  </si>
  <si>
    <t>Sorter Pinch Valve Adaptor Cable</t>
  </si>
  <si>
    <t>N5-10675</t>
  </si>
  <si>
    <t>USB Cable Type A - A, 3.0m</t>
  </si>
  <si>
    <t>N5-10679</t>
  </si>
  <si>
    <t>USB Cable Type A - B, 3.0m</t>
  </si>
  <si>
    <t>N5-10681</t>
  </si>
  <si>
    <t>Heater board 24V power cable 1-to-2 splitter</t>
  </si>
  <si>
    <t>N5-10682</t>
  </si>
  <si>
    <t>Optical plate heatpad and thermistor cable</t>
  </si>
  <si>
    <t>N5-10683</t>
  </si>
  <si>
    <t>POWER STRIPS</t>
  </si>
  <si>
    <t>N5-10690</t>
  </si>
  <si>
    <t>Computer to Monitor Displayport Cable</t>
  </si>
  <si>
    <t>N5-10691</t>
  </si>
  <si>
    <t>Instrument Power Cable - NA/Japan</t>
  </si>
  <si>
    <t>N5-10699</t>
  </si>
  <si>
    <t>Switch Power (24V-300W)</t>
  </si>
  <si>
    <t>N5-20001</t>
  </si>
  <si>
    <t>Linear Power</t>
  </si>
  <si>
    <t>N5-20002</t>
  </si>
  <si>
    <t>N5-20002-0A</t>
  </si>
  <si>
    <t>Power Socket</t>
  </si>
  <si>
    <t>N5-20003</t>
  </si>
  <si>
    <t>Power Slide Switch</t>
  </si>
  <si>
    <t>N5-20004</t>
  </si>
  <si>
    <t>Power Rocker Switch</t>
  </si>
  <si>
    <t>N5-20005</t>
  </si>
  <si>
    <t>Plate Switch</t>
  </si>
  <si>
    <t>N5-20006</t>
  </si>
  <si>
    <t>Switch Power (12V-200W)</t>
  </si>
  <si>
    <t>N5-20007</t>
  </si>
  <si>
    <t>APD TEC</t>
  </si>
  <si>
    <t>N5-20008</t>
  </si>
  <si>
    <t>APD Thermistor</t>
  </si>
  <si>
    <t>N5-20009</t>
  </si>
  <si>
    <t>CONN SOCKET 18-24AWG CRIMP TIN</t>
  </si>
  <si>
    <t>N5-20010</t>
  </si>
  <si>
    <t>MICRO FIT 3.0 CONN TERM FEMALE 20-24AWG TIN</t>
  </si>
  <si>
    <t>N5-20011</t>
  </si>
  <si>
    <t>CONN RECEPT 4POS 3MM SINGLE ROW</t>
  </si>
  <si>
    <t>N5-20012</t>
  </si>
  <si>
    <t>MICRO FIT 3.0 CONN TERM FEMALE 26-30AWG TIN</t>
  </si>
  <si>
    <t>N5-20013</t>
  </si>
  <si>
    <t>CONN RECEPT 10POS 3MM SINGLE ROW</t>
  </si>
  <si>
    <t>N5-20014</t>
  </si>
  <si>
    <t>CONN HOUSING PH 4POS 2MM WHITE</t>
  </si>
  <si>
    <t>N5-20015</t>
  </si>
  <si>
    <t>CONN TERMINAL 28-24AWG TIN</t>
  </si>
  <si>
    <t>N5-20016</t>
  </si>
  <si>
    <t>CONN TERM MALE 20-24AWG TIN</t>
  </si>
  <si>
    <t>N5-20017</t>
  </si>
  <si>
    <t>CONN PLUG 4POS 3MM SINGLE ROW</t>
  </si>
  <si>
    <t>N5-20018</t>
  </si>
  <si>
    <t>NTC THERMISTOR 10K OHM 2% BEAD</t>
  </si>
  <si>
    <t>N5-20019</t>
  </si>
  <si>
    <t>CONN USB B-A 2.0 BLKHD THREADED</t>
  </si>
  <si>
    <t>N5-20020</t>
  </si>
  <si>
    <t>CONN RECEPT 14POS 2MM IDT GOLD</t>
  </si>
  <si>
    <t>N5-20021-0A</t>
  </si>
  <si>
    <t>HV Power Module</t>
  </si>
  <si>
    <t>N5-20024</t>
  </si>
  <si>
    <t>TSC 5A 250V Fuse</t>
  </si>
  <si>
    <t>N5-20026</t>
  </si>
  <si>
    <t>SVT 18/3C 1.8M PHP-301/PHS-301</t>
  </si>
  <si>
    <t>N5-20027</t>
  </si>
  <si>
    <t>UFR-16-16-8</t>
  </si>
  <si>
    <t>N5-20030</t>
  </si>
  <si>
    <t>M3 X 6MM Nylon Standoff</t>
  </si>
  <si>
    <t>N5-20031-0A</t>
  </si>
  <si>
    <t>Ground Coupling Capacitor</t>
  </si>
  <si>
    <t>N5-20032</t>
  </si>
  <si>
    <t>ConnTerm Female 24-30AWG Tin</t>
  </si>
  <si>
    <t>N5-20034-0A</t>
  </si>
  <si>
    <t>EMI Suppression Ferrite Bearing</t>
  </si>
  <si>
    <t>N5-20035</t>
  </si>
  <si>
    <t>EMI Suppression Ferrite Ring</t>
  </si>
  <si>
    <t>N5-20036</t>
  </si>
  <si>
    <t>1/8" fitting 1/4-28 UNF Bottom Sealing Rotating Thread</t>
  </si>
  <si>
    <t>N5-20040</t>
  </si>
  <si>
    <t>1/4-28 Bottom Seal Rotating Thread w 5/16" Hex to 1/16 barb</t>
  </si>
  <si>
    <t>N5-20041</t>
  </si>
  <si>
    <t>WHITE MALE COLDER 1/8"</t>
  </si>
  <si>
    <t>N5-20042</t>
  </si>
  <si>
    <t>1/8 MALE COLDER R/A</t>
  </si>
  <si>
    <t>N5-20043</t>
  </si>
  <si>
    <t>1/8 X 1/8 X 1/16 TEE NATURAL POLY</t>
  </si>
  <si>
    <t>N5-20046</t>
  </si>
  <si>
    <t>COLDER QUICK DISCONNECT no shutoff 1/16 in</t>
  </si>
  <si>
    <t>N5-20047</t>
  </si>
  <si>
    <t>MINIFIT JR RECEPTACLE HOUSING DUAL ROW 2-24 CKT</t>
  </si>
  <si>
    <t>N5-20052</t>
  </si>
  <si>
    <t>MICRO-FIT (3.0) RECEPTACLE, SINGLE ROW 2 THRU 12 CIRCUIT</t>
  </si>
  <si>
    <t>N5-20053</t>
  </si>
  <si>
    <t>Loader power supply CHN CLC</t>
  </si>
  <si>
    <t>N5-20055</t>
  </si>
  <si>
    <t>DELTA N-3K 3000VA/2400W</t>
  </si>
  <si>
    <t>N5-20062</t>
  </si>
  <si>
    <t>3.00mm 2PIN Female single row receptacle WR-MPC3</t>
  </si>
  <si>
    <t>N5-20501</t>
  </si>
  <si>
    <t>3.00mm 3PIN Female single row receptacle WR-MPC3</t>
  </si>
  <si>
    <t>N5-20502</t>
  </si>
  <si>
    <t>3.00mm 4PIN Female Single Row Receptacle WR-MPC3</t>
  </si>
  <si>
    <t>N5-20503-0A</t>
  </si>
  <si>
    <t>3.00mm Female Crimp Terminal AWG 20-24 WR-MPC3</t>
  </si>
  <si>
    <t>N5-20504</t>
  </si>
  <si>
    <t>4.20mm 2PIN Female Dual Row Plug WR-MPC4</t>
  </si>
  <si>
    <t>N5-20505</t>
  </si>
  <si>
    <t>4.20mm 6PIN Female Dual Row Plug WR-MPC4</t>
  </si>
  <si>
    <t>N5-20506-0A</t>
  </si>
  <si>
    <t>4.20mm 12PIN Female Dual Row Plug WR-MPC4</t>
  </si>
  <si>
    <t>N5-20507-0A</t>
  </si>
  <si>
    <t>4.20mm Female Crimp Terminal WR-MPC4</t>
  </si>
  <si>
    <t>N5-20508</t>
  </si>
  <si>
    <t>Stepping Motor</t>
  </si>
  <si>
    <t>N5-20509</t>
  </si>
  <si>
    <t>Loader 42 Stepper Motor</t>
  </si>
  <si>
    <t>N5-20510</t>
  </si>
  <si>
    <t>Loader 31 Stepper Motor</t>
  </si>
  <si>
    <t>N5-20511</t>
  </si>
  <si>
    <t>Thermoelectric Module</t>
  </si>
  <si>
    <t>N5-20512</t>
  </si>
  <si>
    <t>Thermistor, Probe Length =15mm, Diameter = 2mm</t>
  </si>
  <si>
    <t>N5-20513</t>
  </si>
  <si>
    <t>AC-DC Adaptor Power 160W</t>
  </si>
  <si>
    <t>N5-20514</t>
  </si>
  <si>
    <t>USB Panel Mount</t>
  </si>
  <si>
    <t>N5-20515</t>
  </si>
  <si>
    <t>19.2 x12.9 mm Panel Terminal Rocker Swtich</t>
  </si>
  <si>
    <t>N5-20516</t>
  </si>
  <si>
    <t>WE-FLAT Flat Ferrite Core</t>
  </si>
  <si>
    <t>N5-20517-0A</t>
  </si>
  <si>
    <t>STAR-TEC Snap Ferrite</t>
  </si>
  <si>
    <t>N5-20518</t>
  </si>
  <si>
    <t>3.00mm 4PIN Male single row receptacle WR-MPC3</t>
  </si>
  <si>
    <t>N5-20519-0A</t>
  </si>
  <si>
    <t>Power Connector</t>
  </si>
  <si>
    <t>N5-20520-0A</t>
  </si>
  <si>
    <t>DC Fan, 40*40mm 12VDC 720mw, 8000 RPM, Plastic, 9.5CFM</t>
  </si>
  <si>
    <t>N5-20521</t>
  </si>
  <si>
    <t>14PIN 2mm  Flat Cable Use</t>
  </si>
  <si>
    <t>N5-20522-0A</t>
  </si>
  <si>
    <t>2 Position Rectangular Housing Connector Receptacle White 2mm</t>
  </si>
  <si>
    <t>N5-20523</t>
  </si>
  <si>
    <t>Socket Contact Tin 24-30 AWG Crimp Stamped</t>
  </si>
  <si>
    <t>N5-20524</t>
  </si>
  <si>
    <t>Switch Power (24V-600W)</t>
  </si>
  <si>
    <t>N5-20525</t>
  </si>
  <si>
    <t>Switch Power (12V-300W)</t>
  </si>
  <si>
    <t>N5-20526</t>
  </si>
  <si>
    <t>Miniature cable holder self-adhesive 1</t>
  </si>
  <si>
    <t>N5-20527</t>
  </si>
  <si>
    <t>Miniature cable holder self-adhesive 2</t>
  </si>
  <si>
    <t>N5-20528</t>
  </si>
  <si>
    <t>Miniature cable holder self-adhesive 3</t>
  </si>
  <si>
    <t>N5-20529</t>
  </si>
  <si>
    <t>Flat Cable Clamp with Arrow-Head, Self-Adhesive</t>
  </si>
  <si>
    <t>N5-20530</t>
  </si>
  <si>
    <t>Removable Flat Cable Clamp Self-Adhesive WA-CHFCHAD</t>
  </si>
  <si>
    <t>N5-20531</t>
  </si>
  <si>
    <t>3.00mm 4Pin Male Single Row Plug with Mounting Ears</t>
  </si>
  <si>
    <t>N5-20532</t>
  </si>
  <si>
    <t>3.00mm Male Crimp Terminal</t>
  </si>
  <si>
    <t>N5-20533</t>
  </si>
  <si>
    <t>Cable Clip</t>
  </si>
  <si>
    <t>N5-20534</t>
  </si>
  <si>
    <t>Ferrite Core</t>
  </si>
  <si>
    <t>N5-20535</t>
  </si>
  <si>
    <t>4-Pin Diode Socket</t>
  </si>
  <si>
    <t>N5-20536</t>
  </si>
  <si>
    <t>Thermal Sensor</t>
  </si>
  <si>
    <t>N5-20537</t>
  </si>
  <si>
    <t>Black Aluminum Foil Tape</t>
  </si>
  <si>
    <t>N5-20552</t>
  </si>
  <si>
    <t>Switch Power (36V-600W)</t>
  </si>
  <si>
    <t>N5-20672</t>
  </si>
  <si>
    <t>USB 3 TYPE A TO A F/F Panel Adapter</t>
  </si>
  <si>
    <t>N5-20674</t>
  </si>
  <si>
    <t>.007 ORIFICE (Yellow) air line restrictor</t>
  </si>
  <si>
    <t>N5-20700</t>
  </si>
  <si>
    <t>Aurora Model Label RUO</t>
  </si>
  <si>
    <t>N5-50000-00</t>
  </si>
  <si>
    <t>Class 3B Visible Laser Warning Label</t>
  </si>
  <si>
    <t>N5-50007-01</t>
  </si>
  <si>
    <t>CW 524nm, BW 20nm</t>
  </si>
  <si>
    <t>N56-56524-20-18</t>
  </si>
  <si>
    <t>CW 543nm, BW 21nm</t>
  </si>
  <si>
    <t>N56-56543-21-18</t>
  </si>
  <si>
    <t>N56-56577-20-18</t>
  </si>
  <si>
    <t>CW 595nm, BW 22nm</t>
  </si>
  <si>
    <t>N56-56595-22-18</t>
  </si>
  <si>
    <t>N56-56660-20</t>
  </si>
  <si>
    <t>N56-56678-21</t>
  </si>
  <si>
    <t>N56-56697-22</t>
  </si>
  <si>
    <t>Aurora 41 Channel System</t>
  </si>
  <si>
    <t>N7-00000</t>
  </si>
  <si>
    <t>Aurora 41 Channel</t>
  </si>
  <si>
    <t>N7-00000-0A (Inactive)</t>
  </si>
  <si>
    <t>N7-00000-NOSN</t>
  </si>
  <si>
    <t>Aurora 41 Channel System (Refurbished)</t>
  </si>
  <si>
    <t>N7-00000R</t>
  </si>
  <si>
    <t>N7-00000R-NOSN</t>
  </si>
  <si>
    <t>Aurora 8 Channel Blue</t>
  </si>
  <si>
    <t>N7-00001</t>
  </si>
  <si>
    <t>N7-00001-NOSN</t>
  </si>
  <si>
    <t>Aurora 51 Channel System</t>
  </si>
  <si>
    <t>N7-00002</t>
  </si>
  <si>
    <t>Aurora 51 Channel</t>
  </si>
  <si>
    <t>N7-00002-0A (Inactive)</t>
  </si>
  <si>
    <t>N7-00002-NOSN</t>
  </si>
  <si>
    <t>Aurora 51 Channel System (Refurbished)</t>
  </si>
  <si>
    <t>N7-00002R</t>
  </si>
  <si>
    <t>N7-00002R-NOSN</t>
  </si>
  <si>
    <t>Aurora 43 Channel System [3L YG Special Build (SB)]</t>
  </si>
  <si>
    <t>N7-00002SB</t>
  </si>
  <si>
    <t>N7-00002SB-NOSN</t>
  </si>
  <si>
    <t>Aurora 43 Channel System [3L YG Special Build (SB)] - Refurbished</t>
  </si>
  <si>
    <t>N7-00002SBR</t>
  </si>
  <si>
    <t>N7-00002SBR-NOSN</t>
  </si>
  <si>
    <t>Aurora 67 Channel System</t>
  </si>
  <si>
    <t>N7-00003</t>
  </si>
  <si>
    <t>Aurora 67 Channel</t>
  </si>
  <si>
    <t>N7-00003-0A (Inactive)</t>
  </si>
  <si>
    <t>N7-00003-NOSN</t>
  </si>
  <si>
    <t>Aurora 67 Channel System (Refurbished)</t>
  </si>
  <si>
    <t>N7-00003R</t>
  </si>
  <si>
    <t>N7-00003R-NOSN</t>
  </si>
  <si>
    <t>Northern Lights - Wuxi</t>
  </si>
  <si>
    <t>N7-00004</t>
  </si>
  <si>
    <t>N7-00004-NOSN</t>
  </si>
  <si>
    <t>Aurora 41 Channel - Fremont</t>
  </si>
  <si>
    <t>N7-00005</t>
  </si>
  <si>
    <t>N7-00005-NOSN</t>
  </si>
  <si>
    <t>Northern Lights 1000 System</t>
  </si>
  <si>
    <t>N7-00006</t>
  </si>
  <si>
    <t>N7-00006-NOSN</t>
  </si>
  <si>
    <t>Northern Lights 1000 System (Refurbished)</t>
  </si>
  <si>
    <t>N7-00006R</t>
  </si>
  <si>
    <t>N7-00006R-NOSN</t>
  </si>
  <si>
    <t>Northern Lights 2000 (B &amp; R) System</t>
  </si>
  <si>
    <t>N7-00007</t>
  </si>
  <si>
    <t>NL-2000 24 Channel</t>
  </si>
  <si>
    <t>N7-00007-0A (Inactive)</t>
  </si>
  <si>
    <t>N7-00007-NOSN</t>
  </si>
  <si>
    <t>Northern Lights 2000 (Blue &amp; Red) System (Refurbished)</t>
  </si>
  <si>
    <t>N7-00007R</t>
  </si>
  <si>
    <t>N7-00007R-NOSN</t>
  </si>
  <si>
    <t>Northern Lights 3000 (B, V, &amp; R) System</t>
  </si>
  <si>
    <t>N7-00008</t>
  </si>
  <si>
    <t>NL-3000 41 Channel</t>
  </si>
  <si>
    <t>N7-00008-0A (Inactive)</t>
  </si>
  <si>
    <t>N7-00008-NOSN</t>
  </si>
  <si>
    <t>Northern Lights 3000 System (Refurbished)</t>
  </si>
  <si>
    <t>N7-00008R</t>
  </si>
  <si>
    <t>N7-00008R-NOSN</t>
  </si>
  <si>
    <t>Aurora 51 Channel - Wuxi</t>
  </si>
  <si>
    <t>N7-00009</t>
  </si>
  <si>
    <t>N7-00009-NOSN</t>
  </si>
  <si>
    <t>Aurora 67 Channels, Wuxi</t>
  </si>
  <si>
    <t>N7-00010</t>
  </si>
  <si>
    <t>N7-00010-NOSN</t>
  </si>
  <si>
    <t>Aurora 57 Channel System</t>
  </si>
  <si>
    <t>N7-00011</t>
  </si>
  <si>
    <t>N7-00011-NOSN</t>
  </si>
  <si>
    <t>Aurora 57 Channel System (Refurbished)</t>
  </si>
  <si>
    <t>N7-00011R</t>
  </si>
  <si>
    <t>N7-00011R-NOSN</t>
  </si>
  <si>
    <t>Northern Lights 2000 (B &amp; V) System</t>
  </si>
  <si>
    <t>N7-00017</t>
  </si>
  <si>
    <t>N7-00017-NOSN</t>
  </si>
  <si>
    <t>Northern Lights 2000 (Blue &amp; Violet) System (Refurbished)</t>
  </si>
  <si>
    <t>N7-00017R</t>
  </si>
  <si>
    <t>N7-00017R-NOSN</t>
  </si>
  <si>
    <t>Aurora Plate Loader</t>
  </si>
  <si>
    <t>N7-00020</t>
  </si>
  <si>
    <t>N7-00020-NOSN</t>
  </si>
  <si>
    <t>Plate Loader (AMS) - Refurbished</t>
  </si>
  <si>
    <t>N7-00020R</t>
  </si>
  <si>
    <t>N7-00020R-NOSN</t>
  </si>
  <si>
    <t>N7-00020R.1</t>
  </si>
  <si>
    <t>Cytek Automated Sample Loader (ASL)</t>
  </si>
  <si>
    <t>N7-00021</t>
  </si>
  <si>
    <t>N7-00021-NOSN</t>
  </si>
  <si>
    <t>Cytek Automated Sample Loader (ASL) - Refurbished</t>
  </si>
  <si>
    <t>N7-00021R</t>
  </si>
  <si>
    <t>Cytek Automated Sample Loader (ASL) - CFDA</t>
  </si>
  <si>
    <t>N7-00022-NOSN</t>
  </si>
  <si>
    <t>3L to 4L Field Upgrade Kit BOM</t>
  </si>
  <si>
    <t>N7-00030</t>
  </si>
  <si>
    <t>355nm Aurora Field Upgrade Kit</t>
  </si>
  <si>
    <t>N7-00031</t>
  </si>
  <si>
    <t>N7-00031R</t>
  </si>
  <si>
    <t>N7-00031R.1</t>
  </si>
  <si>
    <t>N7-00031R.1 (old)</t>
  </si>
  <si>
    <t>3L to 4L Field Upgrade Kit - Wuxi</t>
  </si>
  <si>
    <t>N7-00032</t>
  </si>
  <si>
    <t>355nm Aurora Field Upgrade Kit - Wuxi</t>
  </si>
  <si>
    <t>N7-00033</t>
  </si>
  <si>
    <t>405nm Field Upgrade Kit</t>
  </si>
  <si>
    <t>N7-00034</t>
  </si>
  <si>
    <t>638nm Field Upgrade Kit</t>
  </si>
  <si>
    <t>N7-00035</t>
  </si>
  <si>
    <t>Loader 1.5 Upgrade Kit</t>
  </si>
  <si>
    <t>N7-00036</t>
  </si>
  <si>
    <t>3L to 4L Field Upgrade Kit BOM-Wuxi</t>
  </si>
  <si>
    <t>N7-00037</t>
  </si>
  <si>
    <t>SIT Base and Flag Field Upgrade Kit</t>
  </si>
  <si>
    <t>N7-00040</t>
  </si>
  <si>
    <t>Cytek Automated Sample Loader (ASL) – CE</t>
  </si>
  <si>
    <t>N7-00044</t>
  </si>
  <si>
    <t>N7-00044-NOSN</t>
  </si>
  <si>
    <t>355nm Aurora CS Field Upgrade Kit</t>
  </si>
  <si>
    <t>N7-00046</t>
  </si>
  <si>
    <t>Aurora 51 Channel with Fluidics Bucket- Wuxi</t>
  </si>
  <si>
    <t>N7-00050</t>
  </si>
  <si>
    <t>Northern Lights 41 Channel with Fluidics Bucket- Wuxi</t>
  </si>
  <si>
    <t>N7-00051</t>
  </si>
  <si>
    <t>Northern Lights with Fluidics Bucket - Wuxi</t>
  </si>
  <si>
    <t>N7-00052</t>
  </si>
  <si>
    <t>Aurora Evo 25 Channel System (2L B/R)</t>
  </si>
  <si>
    <t>N7-00053</t>
  </si>
  <si>
    <t>Aurora Evo 33 Channel System (2L B/V)</t>
  </si>
  <si>
    <t>N7-00054</t>
  </si>
  <si>
    <t>Aurora Evo 35 Channel System (3L B/R/YG)</t>
  </si>
  <si>
    <t>N7-00055</t>
  </si>
  <si>
    <t>Aurora Evo 43 Channel System (3L B/V/YG)</t>
  </si>
  <si>
    <t>N7-00056</t>
  </si>
  <si>
    <t>Aurora Evo 41 Channel System (3L B/R/V)</t>
  </si>
  <si>
    <t>N7-00057</t>
  </si>
  <si>
    <t>Aurora Evo 51 Channel System</t>
  </si>
  <si>
    <t>N7-00058</t>
  </si>
  <si>
    <t>Aurora Evo 67 Channel System</t>
  </si>
  <si>
    <t>N7-00059</t>
  </si>
  <si>
    <t>Northern Lights 1000 Complete - Wuxi System</t>
  </si>
  <si>
    <t>N7-00060</t>
  </si>
  <si>
    <t>N7-00060-NOSN</t>
  </si>
  <si>
    <t>Northern Lights 2000 (B &amp; V) Complete - Wuxi System</t>
  </si>
  <si>
    <t>N7-00061</t>
  </si>
  <si>
    <t>N7-00061-NOSN</t>
  </si>
  <si>
    <t>Northern Lights 2000 (B &amp; R) Complete - Wuxi System</t>
  </si>
  <si>
    <t>N7-00062</t>
  </si>
  <si>
    <t>N7-00062-NOSN</t>
  </si>
  <si>
    <t>Northern Lights 3000 (B, V, &amp; R) Complete - Wuxi System</t>
  </si>
  <si>
    <t>N7-00063</t>
  </si>
  <si>
    <t>N7-00063-NOSN</t>
  </si>
  <si>
    <t>Aurora 41 Channel Complete - Wuxi System</t>
  </si>
  <si>
    <t>N7-00064</t>
  </si>
  <si>
    <t>N7-00064-NOSN</t>
  </si>
  <si>
    <t>Aurora 51 Channel Complete - Wuxi System</t>
  </si>
  <si>
    <t>N7-00065</t>
  </si>
  <si>
    <t>N7-00065-NOSN</t>
  </si>
  <si>
    <t>Aurora 57 Channel Complete - Wuxi System</t>
  </si>
  <si>
    <t>N7-00066</t>
  </si>
  <si>
    <t>N7-00066-NOSN</t>
  </si>
  <si>
    <t>Aurora 67 Channel Complete - Wuxi System</t>
  </si>
  <si>
    <t>N7-00067</t>
  </si>
  <si>
    <t>N7-00067-NOSN</t>
  </si>
  <si>
    <t>Northern Lights 3000 (B, V, &amp; YG) Complete - Wuxi System</t>
  </si>
  <si>
    <t>N7-00068</t>
  </si>
  <si>
    <t>NL-CLC 1000 System - EU (CE-IVD)</t>
  </si>
  <si>
    <t>N7-00071</t>
  </si>
  <si>
    <t>NL-CLC 1000 System - EU</t>
  </si>
  <si>
    <t>N7-00071-NOSN</t>
  </si>
  <si>
    <t>NL-CLC 1000 System - EU (CE-IVD) - Refurbished</t>
  </si>
  <si>
    <t>N7-00071R</t>
  </si>
  <si>
    <t>NL-CLC 2000 (B &amp; V) System - EU  (CE-IVD)</t>
  </si>
  <si>
    <t>N7-00072</t>
  </si>
  <si>
    <t>NL-CLC 2000 (B &amp; V) System - EU</t>
  </si>
  <si>
    <t>N7-00072-NOSN</t>
  </si>
  <si>
    <t>NL-CLC 2000 (B &amp; V) System - EU (CE-IVD) - Refurbished</t>
  </si>
  <si>
    <t>N7-00072R</t>
  </si>
  <si>
    <t>NL-CLC 2000 (B &amp; R) System - EU (CE-IVD)</t>
  </si>
  <si>
    <t>N7-00073</t>
  </si>
  <si>
    <t>NL-CLC 2000 (B &amp; R) System - EU</t>
  </si>
  <si>
    <t>N7-00073-NOSN</t>
  </si>
  <si>
    <t>NL-CLC 2000 (B &amp; R) System - EU (CE-IVD) - Refurbished</t>
  </si>
  <si>
    <t>N7-00073R</t>
  </si>
  <si>
    <t>NL-CLC 3000 (B, V, &amp; R) System - EU (CE-IVD)</t>
  </si>
  <si>
    <t>N7-00074</t>
  </si>
  <si>
    <t>NL-CLC 3000 (B, V, &amp; R) System - EU</t>
  </si>
  <si>
    <t>N7-00074-NOSN</t>
  </si>
  <si>
    <t>NL-CLC 3000 (B, V, &amp; R) System - EU (CE-IVD) (Refurbished)</t>
  </si>
  <si>
    <t>N7-00074R</t>
  </si>
  <si>
    <t>NL-CLC 1000 System - CHN</t>
  </si>
  <si>
    <t>N7-00081-NOSN</t>
  </si>
  <si>
    <t>NL-CLC 2000 (B &amp; V) System - CHN</t>
  </si>
  <si>
    <t>N7-00082-NOSN</t>
  </si>
  <si>
    <t>NL-CLC 2000 (B &amp; R) System - CHN</t>
  </si>
  <si>
    <t>N7-00083-NOSN</t>
  </si>
  <si>
    <t>NL-CLC 3000 (B, V, &amp; R) System - CHN</t>
  </si>
  <si>
    <t>N7-00084-NOSN</t>
  </si>
  <si>
    <t>3 laser Cytek® Aurora CS</t>
  </si>
  <si>
    <t>N7-00090</t>
  </si>
  <si>
    <t>N7-00090-NOSN</t>
  </si>
  <si>
    <t>3 laser Cytek® Aurora CS - Refurbished</t>
  </si>
  <si>
    <t>N7-00090R</t>
  </si>
  <si>
    <t>4 laser Cytek® Aurora CS (YG)</t>
  </si>
  <si>
    <t>N7-00092</t>
  </si>
  <si>
    <t>N7-00092-NOSN</t>
  </si>
  <si>
    <t>4 laser Cytek® Aurora CS (YG) - Refurbished</t>
  </si>
  <si>
    <t>N7-00092R</t>
  </si>
  <si>
    <t>4 laser Cytek® Aurora CS (UV)</t>
  </si>
  <si>
    <t>N7-00093</t>
  </si>
  <si>
    <t>N7-00093-NOSN</t>
  </si>
  <si>
    <t>4 laser Cytek® Aurora CS (UV) - Refurbished</t>
  </si>
  <si>
    <t>N7-00093R</t>
  </si>
  <si>
    <t>5 laser Cytek® Aurora CS</t>
  </si>
  <si>
    <t>N7-00094</t>
  </si>
  <si>
    <t>N7-00094-NOSN</t>
  </si>
  <si>
    <t>5 laser Cytek® Aurora CS - Refurbished</t>
  </si>
  <si>
    <t>N7-00094R</t>
  </si>
  <si>
    <t>Northern Lights 3000 (B, V, &amp; R) Instrument Bundle RUO</t>
  </si>
  <si>
    <t>N7-00108</t>
  </si>
  <si>
    <t>N7-00108-NOSN</t>
  </si>
  <si>
    <t>N7-00120</t>
  </si>
  <si>
    <t>N7-00120-NOSN</t>
  </si>
  <si>
    <t>1 laser (B) Cytek® Aurora CS</t>
  </si>
  <si>
    <t>N7-00121</t>
  </si>
  <si>
    <t>2 laser (B, R) Cytek® Aurora CS</t>
  </si>
  <si>
    <t>N7-00122</t>
  </si>
  <si>
    <t>2 laser (B, V) Cytek® Aurora CS</t>
  </si>
  <si>
    <t>N7-00123</t>
  </si>
  <si>
    <t>Cytek® Muse® Micro- Blue 3 Channel​</t>
  </si>
  <si>
    <t>N7-00141</t>
  </si>
  <si>
    <t>Cytek® Muse® Micro- Blue 5 Channel​</t>
  </si>
  <si>
    <t>N7-00142</t>
  </si>
  <si>
    <t>Loader Bottom Plate Assy</t>
  </si>
  <si>
    <t>N7-00501</t>
  </si>
  <si>
    <t>Loader Y Assy</t>
  </si>
  <si>
    <t>N7-00502</t>
  </si>
  <si>
    <t>Loader X Assy</t>
  </si>
  <si>
    <t>N7-00503</t>
  </si>
  <si>
    <t>Loader Wellplate Assy</t>
  </si>
  <si>
    <t>N7-00504</t>
  </si>
  <si>
    <t>Loader Z Assy</t>
  </si>
  <si>
    <t>N7-00505</t>
  </si>
  <si>
    <t>Loader Theta Assy</t>
  </si>
  <si>
    <t>N7-00506</t>
  </si>
  <si>
    <t>Loader Front Panel Assy</t>
  </si>
  <si>
    <t>N7-00507</t>
  </si>
  <si>
    <t>Loader Right Panel Assy</t>
  </si>
  <si>
    <t>N7-00508</t>
  </si>
  <si>
    <t>Loader Assy</t>
  </si>
  <si>
    <t>N7-00509</t>
  </si>
  <si>
    <t>Loader Package Assy</t>
  </si>
  <si>
    <t>N7-00510</t>
  </si>
  <si>
    <t>APD-2 Module Chassis Assy</t>
  </si>
  <si>
    <t>N7-00511</t>
  </si>
  <si>
    <t>N7-00511-01 (Inactive)</t>
  </si>
  <si>
    <t>Loader Cable Assy</t>
  </si>
  <si>
    <t>N7-00512</t>
  </si>
  <si>
    <t>Loader Mainboard</t>
  </si>
  <si>
    <t>N7-00513</t>
  </si>
  <si>
    <t>Loader Mixer Service Assembly</t>
  </si>
  <si>
    <t>N7-00514</t>
  </si>
  <si>
    <t>Field Service Loader Latch Replacement Kit</t>
  </si>
  <si>
    <t>N7-00524</t>
  </si>
  <si>
    <t>Aurora Sample Line 2.0 Assy w/ Packaging</t>
  </si>
  <si>
    <t>N7-00530</t>
  </si>
  <si>
    <t>Sorter Sample Line Assy w/ Packaging</t>
  </si>
  <si>
    <t>N7-00540</t>
  </si>
  <si>
    <t>Aurora 41 Channel Instrument</t>
  </si>
  <si>
    <t>N7-01000</t>
  </si>
  <si>
    <t>N7-01000-NOSN</t>
  </si>
  <si>
    <t>Aurora 51 Channel Instrument</t>
  </si>
  <si>
    <t>N7-01002</t>
  </si>
  <si>
    <t>N7-01002-NOSN</t>
  </si>
  <si>
    <t>Aurora 67 Channel Instrument</t>
  </si>
  <si>
    <t>N7-01003</t>
  </si>
  <si>
    <t>N7-01003-NOSN</t>
  </si>
  <si>
    <t>Northern Lights 1000 Instrument</t>
  </si>
  <si>
    <t>N7-01006</t>
  </si>
  <si>
    <t>N7-01006-NOSN</t>
  </si>
  <si>
    <t>Northern Lights 2000 (B &amp; R) Instrument</t>
  </si>
  <si>
    <t>N7-01007</t>
  </si>
  <si>
    <t>N7-01007-NOSN</t>
  </si>
  <si>
    <t>Northern Lights 3000 (B, V, &amp; R) Instrument</t>
  </si>
  <si>
    <t>N7-01008</t>
  </si>
  <si>
    <t>N7-01008-NOSN</t>
  </si>
  <si>
    <t>Aurora 57 Channel Instrument</t>
  </si>
  <si>
    <t>N7-01011</t>
  </si>
  <si>
    <t>N7-01011-NOSN</t>
  </si>
  <si>
    <t>Shaker (FUXING Motor)</t>
  </si>
  <si>
    <t>N7-01012</t>
  </si>
  <si>
    <t>Northern Lights 2000 (B &amp; V) Instrument</t>
  </si>
  <si>
    <t>N7-01017</t>
  </si>
  <si>
    <t>N7-01017-NOSN</t>
  </si>
  <si>
    <t>Northern Lights 3000 (B, V, &amp; YG) Instrument</t>
  </si>
  <si>
    <t>N7-01018</t>
  </si>
  <si>
    <t>N7-01018-NOSN</t>
  </si>
  <si>
    <t>Northern Lights 3000 (B, V, &amp; YG) Instrument - Refurbished</t>
  </si>
  <si>
    <t>N7-01018R</t>
  </si>
  <si>
    <t>N7-01018R-NOSN</t>
  </si>
  <si>
    <t>Northern Lights 1000 Complete - Wuxi Instrument</t>
  </si>
  <si>
    <t>N7-01060</t>
  </si>
  <si>
    <t>N7-01060-NOSN</t>
  </si>
  <si>
    <t>Northern Lights 2000 (B &amp; V) Complete - Wuxi Instrument</t>
  </si>
  <si>
    <t>N7-01061</t>
  </si>
  <si>
    <t>N7-01061-NOSN</t>
  </si>
  <si>
    <t>Northern Lights 2000 (B &amp; R) Complete - Wuxi Instrument</t>
  </si>
  <si>
    <t>N7-01062</t>
  </si>
  <si>
    <t>N7-01062-NOSN</t>
  </si>
  <si>
    <t>Northern Lights 3000 (B, V, R) Complete - Wuxi Instrument</t>
  </si>
  <si>
    <t>N7-01063</t>
  </si>
  <si>
    <t>N7-01063-NOSN</t>
  </si>
  <si>
    <t>Aurora 41 Channel Complete - Wuxi Instrument</t>
  </si>
  <si>
    <t>N7-01064</t>
  </si>
  <si>
    <t>N7-01064-NOSN</t>
  </si>
  <si>
    <t>Aurora 51 Channel Complete - Wuxi Instrument</t>
  </si>
  <si>
    <t>N7-01065</t>
  </si>
  <si>
    <t>N7-01065-NOSN</t>
  </si>
  <si>
    <t>Aurora 57 Channel Complete - Wuxi Instrument</t>
  </si>
  <si>
    <t>N7-01066</t>
  </si>
  <si>
    <t>N7-01066-NOSN</t>
  </si>
  <si>
    <t>Aurora 67 Channel Complete - Wuxi Instrument</t>
  </si>
  <si>
    <t>N7-01067</t>
  </si>
  <si>
    <t>N7-01067-NOSN</t>
  </si>
  <si>
    <t>NL-CLC 1000 Instrument - EU (CE-IVD)</t>
  </si>
  <si>
    <t>N7-01071</t>
  </si>
  <si>
    <t>NL-CLC 1000 Instrument - EU</t>
  </si>
  <si>
    <t>N7-01071-NOSN</t>
  </si>
  <si>
    <t>NL-CLC 2000 (B &amp; V) Instrument - EU (CE-IVD)</t>
  </si>
  <si>
    <t>N7-01072</t>
  </si>
  <si>
    <t>NL-CLC 2000 (B &amp; V) Instrument - EU</t>
  </si>
  <si>
    <t>N7-01072-NOSN</t>
  </si>
  <si>
    <t>NL-CLC 2000 (B &amp; R) Instrument - EU  (CE-IVD)</t>
  </si>
  <si>
    <t>N7-01073</t>
  </si>
  <si>
    <t>NL-CLC 2000 (B &amp; R) Instrument - EU</t>
  </si>
  <si>
    <t>N7-01073-NOSN</t>
  </si>
  <si>
    <t>NL-CLC 3000 (B, V, &amp; R) Instrument - EU (CE-IVD)</t>
  </si>
  <si>
    <t>N7-01074</t>
  </si>
  <si>
    <t>NL-CLC 3000 (B, V, &amp; R) Instrument - EU</t>
  </si>
  <si>
    <t>N7-01074-NOSN</t>
  </si>
  <si>
    <t>NL 1000 Instrument</t>
  </si>
  <si>
    <t>N7-01081</t>
  </si>
  <si>
    <t>N7-01081-NOSN</t>
  </si>
  <si>
    <t>NL 2000 (B &amp; V) Instrument</t>
  </si>
  <si>
    <t>N7-01082</t>
  </si>
  <si>
    <t>N7-01082-NOSN</t>
  </si>
  <si>
    <t>NL 2000 (B &amp; R) Instrument</t>
  </si>
  <si>
    <t>N7-01083</t>
  </si>
  <si>
    <t>N7-01083-NOSN</t>
  </si>
  <si>
    <t>NL 3000 (B, V, &amp; R) Instrument</t>
  </si>
  <si>
    <t>N7-01084</t>
  </si>
  <si>
    <t>N7-01084-NOSN</t>
  </si>
  <si>
    <t>Computer Assy - Northern Lights</t>
  </si>
  <si>
    <t>N7-10000</t>
  </si>
  <si>
    <t>Computer Assy</t>
  </si>
  <si>
    <t>N7-10000-0A</t>
  </si>
  <si>
    <t>Chassis Assy</t>
  </si>
  <si>
    <t>N7-10001</t>
  </si>
  <si>
    <t>Fluidics Assy</t>
  </si>
  <si>
    <t>N7-10002</t>
  </si>
  <si>
    <t>N7-10002-01 (Inactive)</t>
  </si>
  <si>
    <t>Optics Module Assy NL 3000 (B, V &amp; R)</t>
  </si>
  <si>
    <t>N7-10003</t>
  </si>
  <si>
    <t>Optics Module Assy</t>
  </si>
  <si>
    <t>N7-10003-0A</t>
  </si>
  <si>
    <t>APD Assy B-R-V</t>
  </si>
  <si>
    <t>N7-10004</t>
  </si>
  <si>
    <t>NL Main Board Assy</t>
  </si>
  <si>
    <t>N7-10005</t>
  </si>
  <si>
    <t>Main Board Assy</t>
  </si>
  <si>
    <t>N7-10005-01 (Inactive)</t>
  </si>
  <si>
    <t>NL Power Assy</t>
  </si>
  <si>
    <t>N7-10006</t>
  </si>
  <si>
    <t>Power Assy</t>
  </si>
  <si>
    <t>N7-10006-0A</t>
  </si>
  <si>
    <t>8 Color Optics Module - Blue</t>
  </si>
  <si>
    <t>N7-10007</t>
  </si>
  <si>
    <t>APD Assy 8 Color Blue</t>
  </si>
  <si>
    <t>N7-10008</t>
  </si>
  <si>
    <t>Main Board Assy 8 Color Blue</t>
  </si>
  <si>
    <t>N7-10009</t>
  </si>
  <si>
    <t>Fluidics Assy - Wuxi</t>
  </si>
  <si>
    <t>N7-10010</t>
  </si>
  <si>
    <t>N7-10010-0A</t>
  </si>
  <si>
    <t>N7-10010-0B</t>
  </si>
  <si>
    <t>N7-10010-0C</t>
  </si>
  <si>
    <t>Optics Module Assy - NL, Wuxi</t>
  </si>
  <si>
    <t>N7-10011</t>
  </si>
  <si>
    <t>Optics Module Assy - Wuxi</t>
  </si>
  <si>
    <t>N7-10011-0A</t>
  </si>
  <si>
    <t>APD Assy - Wuxi</t>
  </si>
  <si>
    <t>N7-10012-0A</t>
  </si>
  <si>
    <t>Optics Module Assy 3L</t>
  </si>
  <si>
    <t>N7-10013</t>
  </si>
  <si>
    <t>NL Chassis Assy</t>
  </si>
  <si>
    <t>N7-10014</t>
  </si>
  <si>
    <t>Optics Module Assy 4L YG</t>
  </si>
  <si>
    <t>N7-10015</t>
  </si>
  <si>
    <t>4 Laser Optics Module Assembly</t>
  </si>
  <si>
    <t>N7-10015-0A</t>
  </si>
  <si>
    <t>APD Assy B-R-V-Y</t>
  </si>
  <si>
    <t>N7-10016-0A</t>
  </si>
  <si>
    <t>4 Laser Chassis Assy</t>
  </si>
  <si>
    <t>N7-10017</t>
  </si>
  <si>
    <t>Frame Assy</t>
  </si>
  <si>
    <t>N7-10018</t>
  </si>
  <si>
    <t>4 Laser Frame Assy</t>
  </si>
  <si>
    <t>N7-10018-02 (Inactive)</t>
  </si>
  <si>
    <t>4 Laser Main Board Assy</t>
  </si>
  <si>
    <t>N7-10019</t>
  </si>
  <si>
    <t>4 Laser DAQ Adapter Assy</t>
  </si>
  <si>
    <t>N7-10020</t>
  </si>
  <si>
    <t>4 Laser Cable Assy Complete</t>
  </si>
  <si>
    <t>N7-10021-0A</t>
  </si>
  <si>
    <t>Aurora Power Assy</t>
  </si>
  <si>
    <t>N7-10022</t>
  </si>
  <si>
    <t>4 Laser Power Assy</t>
  </si>
  <si>
    <t>N7-10022-0A</t>
  </si>
  <si>
    <t>Power Supply Assy - Aurora</t>
  </si>
  <si>
    <t>N7-10023</t>
  </si>
  <si>
    <t>4 Laser Power Supply Assy</t>
  </si>
  <si>
    <t>N7-10023-0A</t>
  </si>
  <si>
    <t>4 Laser Telescope Assy, Blue</t>
  </si>
  <si>
    <t>N7-10025</t>
  </si>
  <si>
    <t>N7-10026-0A</t>
  </si>
  <si>
    <t>Main Board Assy 5L</t>
  </si>
  <si>
    <t>N7-10027</t>
  </si>
  <si>
    <t>Optics Module Assy 5L</t>
  </si>
  <si>
    <t>N7-10028</t>
  </si>
  <si>
    <t>N7-10028-0A</t>
  </si>
  <si>
    <t>APD Assy B-R-V-Y-UV</t>
  </si>
  <si>
    <t>N7-10029-0A</t>
  </si>
  <si>
    <t>Aurora Chassis Assy</t>
  </si>
  <si>
    <t>N7-10030</t>
  </si>
  <si>
    <t>5 Laser Chassis Assy</t>
  </si>
  <si>
    <t>N7-10030-0A</t>
  </si>
  <si>
    <t>Cable Assy Complete - Aurora</t>
  </si>
  <si>
    <t>N7-10031</t>
  </si>
  <si>
    <t>5 Laser Cable Assy Complete</t>
  </si>
  <si>
    <t>N7-10031-02 (Inactive)</t>
  </si>
  <si>
    <t>N7-10031-03 (Inactive)</t>
  </si>
  <si>
    <t>Fluidics Assy - 4L UV &amp; 5L</t>
  </si>
  <si>
    <t>N7-10032</t>
  </si>
  <si>
    <t>5 Laser Fluidics Assy</t>
  </si>
  <si>
    <t>N7-10032-0A</t>
  </si>
  <si>
    <t>Aurora Platform 4 Laser</t>
  </si>
  <si>
    <t>N7-10033</t>
  </si>
  <si>
    <t>Optics Module Assy - 5L, Wuxi</t>
  </si>
  <si>
    <t>N7-10035</t>
  </si>
  <si>
    <t>Optics Module Assy - Aurora 5 Lasers, Wuxi</t>
  </si>
  <si>
    <t>N7-10035-0A</t>
  </si>
  <si>
    <t>N7-10035-0C</t>
  </si>
  <si>
    <t>Optics Module Assy - 4L YG, Wuxi</t>
  </si>
  <si>
    <t>N7-10038</t>
  </si>
  <si>
    <t>N7-10038-0A</t>
  </si>
  <si>
    <t>Packaging Carton for the Aurora Loader</t>
  </si>
  <si>
    <t>N7-10040</t>
  </si>
  <si>
    <t>Aurora Packaging Carton</t>
  </si>
  <si>
    <t>N7-10041</t>
  </si>
  <si>
    <t>N7-10043</t>
  </si>
  <si>
    <t>N7-10043R</t>
  </si>
  <si>
    <t>N7-10043R.1</t>
  </si>
  <si>
    <t>N7-10043R.1 (old)</t>
  </si>
  <si>
    <t>Optics Module Assy 4L UV</t>
  </si>
  <si>
    <t>N7-10044</t>
  </si>
  <si>
    <t>Computer Assy - Aurora 1L, 3L, &amp; 4L YG</t>
  </si>
  <si>
    <t>N7-10045</t>
  </si>
  <si>
    <t>Computer Assy - Aurora</t>
  </si>
  <si>
    <t>N7-10046</t>
  </si>
  <si>
    <t>Main Board Assy-Upgrade Kit</t>
  </si>
  <si>
    <t>N7-10047</t>
  </si>
  <si>
    <t>Cable Assy Complete - NL</t>
  </si>
  <si>
    <t>N7-10049</t>
  </si>
  <si>
    <t>Main Board Additional Kit - 4L UV</t>
  </si>
  <si>
    <t>N7-10050</t>
  </si>
  <si>
    <t>Main Board Additional Kit - 4L YG</t>
  </si>
  <si>
    <t>N7-10051</t>
  </si>
  <si>
    <t>Main Board Additional Kit - 3L</t>
  </si>
  <si>
    <t>N7-10052</t>
  </si>
  <si>
    <t>Main Board Additional Kit - 5L</t>
  </si>
  <si>
    <t>N7-10053</t>
  </si>
  <si>
    <t>N7-10053-00 (Inactive)</t>
  </si>
  <si>
    <t>Optics Module Assy NL 1000</t>
  </si>
  <si>
    <t>N7-10055</t>
  </si>
  <si>
    <t>Optics Module Assy NL 2000 (B &amp; V)</t>
  </si>
  <si>
    <t>N7-10056</t>
  </si>
  <si>
    <t>Optics Module Assy NL 2000 (B &amp; R)</t>
  </si>
  <si>
    <t>N7-10057</t>
  </si>
  <si>
    <t>NL Platform</t>
  </si>
  <si>
    <t>N7-10059</t>
  </si>
  <si>
    <t>Aurora Platform</t>
  </si>
  <si>
    <t>N7-10060</t>
  </si>
  <si>
    <t>Northern Lights Platform</t>
  </si>
  <si>
    <t>N7-10061</t>
  </si>
  <si>
    <t>Optics Module Assy NL 1000 - Wuxi (Complete)</t>
  </si>
  <si>
    <t>N7-10062</t>
  </si>
  <si>
    <t>Optics Module Assy NL 3000 (B, V, &amp; R) - Wuxi (Complete)</t>
  </si>
  <si>
    <t>N7-10063</t>
  </si>
  <si>
    <t>Optics Module Assy 3L - Wuxi (Complete)</t>
  </si>
  <si>
    <t>N7-10064</t>
  </si>
  <si>
    <t>Optics Module Assy 4L YG - Wuxi (Complete)</t>
  </si>
  <si>
    <t>N7-10065</t>
  </si>
  <si>
    <t>Optics Module Assy 4L UV - Wuxi (Complete)</t>
  </si>
  <si>
    <t>N7-10066</t>
  </si>
  <si>
    <t>Optics Module Assy 5L - Wuxi (Complete)</t>
  </si>
  <si>
    <t>N7-10067</t>
  </si>
  <si>
    <t>Optics Module Assy NL 2000 (B &amp; V) - Wuxi (Complete)</t>
  </si>
  <si>
    <t>N7-10068</t>
  </si>
  <si>
    <t>Optics Module Assy NL 2000 (B &amp; R) - Wuxi (Complete)</t>
  </si>
  <si>
    <t>N7-10069</t>
  </si>
  <si>
    <t>NLCLC Main Board Assy -CHN</t>
  </si>
  <si>
    <t>N7-10071</t>
  </si>
  <si>
    <t>N7-10072</t>
  </si>
  <si>
    <t>NL-CLC Chassis Assy - EU</t>
  </si>
  <si>
    <t>N7-10073</t>
  </si>
  <si>
    <t>Wooden System Crate</t>
  </si>
  <si>
    <t>N7-10075</t>
  </si>
  <si>
    <t>NL-CLC Platform - EU</t>
  </si>
  <si>
    <t>N7-10078</t>
  </si>
  <si>
    <t>NL-CLC Power Assy - EU</t>
  </si>
  <si>
    <t>N7-10079</t>
  </si>
  <si>
    <t>Deflection Chamber Assy</t>
  </si>
  <si>
    <t>N7-10080</t>
  </si>
  <si>
    <t>N7-10080R</t>
  </si>
  <si>
    <t>N7-10080R.1</t>
  </si>
  <si>
    <t>N7-10080R.1 (old)</t>
  </si>
  <si>
    <t>Computer Assy - NL</t>
  </si>
  <si>
    <t>N7-10081</t>
  </si>
  <si>
    <t>Main Board Additional Kit - NL 1000</t>
  </si>
  <si>
    <t>N7-10082</t>
  </si>
  <si>
    <t>Main Board Additional Kit - NL 2000 (B &amp; R)</t>
  </si>
  <si>
    <t>N7-10083</t>
  </si>
  <si>
    <t>Main Board Additional Kit - NL 2000 (B &amp; V)</t>
  </si>
  <si>
    <t>N7-10084</t>
  </si>
  <si>
    <t>Main Board Additional Kit - NL 3000 (B, V, &amp; R)</t>
  </si>
  <si>
    <t>N7-10085</t>
  </si>
  <si>
    <t>Main Board Additional Kit - NL 3000 (B, V, &amp; YG)</t>
  </si>
  <si>
    <t>N7-10086</t>
  </si>
  <si>
    <t>Flow Meter Removal Kit</t>
  </si>
  <si>
    <t>N7-10100</t>
  </si>
  <si>
    <t>Data Logger and Mounting Bracket</t>
  </si>
  <si>
    <t>N7-10101</t>
  </si>
  <si>
    <t>Loader Calibration Kit</t>
  </si>
  <si>
    <t>N7-10102</t>
  </si>
  <si>
    <t>DDU Cooling Assy</t>
  </si>
  <si>
    <t>N7-10114</t>
  </si>
  <si>
    <t>Aspiration Cleaning Assy</t>
  </si>
  <si>
    <t>N7-10115</t>
  </si>
  <si>
    <t>Microplate Handler Assy</t>
  </si>
  <si>
    <t>N7-10116</t>
  </si>
  <si>
    <t>Sample Injection Chamber Assy</t>
  </si>
  <si>
    <t>N7-10117</t>
  </si>
  <si>
    <t>NL CLC Shell for Trade Shows</t>
  </si>
  <si>
    <t>N7-10123</t>
  </si>
  <si>
    <t>AURORA Shell for trade show</t>
  </si>
  <si>
    <t>N7-10176</t>
  </si>
  <si>
    <t>Computer Assembly - Northern Lights</t>
  </si>
  <si>
    <t>N7-11000</t>
  </si>
  <si>
    <t>N7-21000</t>
  </si>
  <si>
    <t>Covers Assy</t>
  </si>
  <si>
    <t>N7-21001</t>
  </si>
  <si>
    <t>N7-21001-0A</t>
  </si>
  <si>
    <t>Cable Assembly Complete</t>
  </si>
  <si>
    <t>N7-21002</t>
  </si>
  <si>
    <t>Covers Assy - NL</t>
  </si>
  <si>
    <t>N7-21003</t>
  </si>
  <si>
    <t>NL Covers Assy</t>
  </si>
  <si>
    <t>N7-21004</t>
  </si>
  <si>
    <t>Sorter Right Panel Assy</t>
  </si>
  <si>
    <t>N7-21013</t>
  </si>
  <si>
    <t>Sorter Left Panel Assy</t>
  </si>
  <si>
    <t>N7-21014</t>
  </si>
  <si>
    <t>Sorter Back DDU Panel Assy</t>
  </si>
  <si>
    <t>N7-21015</t>
  </si>
  <si>
    <t>Sorter Top Panel Assy</t>
  </si>
  <si>
    <t>N7-21016</t>
  </si>
  <si>
    <t>Sorter Front Top Panel Assy</t>
  </si>
  <si>
    <t>N7-21017</t>
  </si>
  <si>
    <t>Sorter Fluidics Panel Assy</t>
  </si>
  <si>
    <t>N7-21018</t>
  </si>
  <si>
    <t>Sorter Flowcell Panel Assy</t>
  </si>
  <si>
    <t>N7-21019</t>
  </si>
  <si>
    <t>Sorter Sample Panel Assy</t>
  </si>
  <si>
    <t>N7-21020</t>
  </si>
  <si>
    <t>Sorter Wellplate Panel Assy</t>
  </si>
  <si>
    <t>N7-21021</t>
  </si>
  <si>
    <t>Sorter Front DDU Panel Assy</t>
  </si>
  <si>
    <t>N7-21022</t>
  </si>
  <si>
    <t>Sorter Back Fans Panel Assy</t>
  </si>
  <si>
    <t>N7-21023</t>
  </si>
  <si>
    <t>Sorter Back USB Panel Assy</t>
  </si>
  <si>
    <t>N7-21024</t>
  </si>
  <si>
    <t>Manifold Assy</t>
  </si>
  <si>
    <t>N7-22000</t>
  </si>
  <si>
    <t>DeGasser Assy</t>
  </si>
  <si>
    <t>N7-22001</t>
  </si>
  <si>
    <t>Tube Set Assy</t>
  </si>
  <si>
    <t>N7-22002</t>
  </si>
  <si>
    <t>N7-22002-00 (Inactive)</t>
  </si>
  <si>
    <t>Fluidics Bucket Assy</t>
  </si>
  <si>
    <t>N7-22003</t>
  </si>
  <si>
    <t>SIT Assy</t>
  </si>
  <si>
    <t>N7-22004</t>
  </si>
  <si>
    <t>Linear Valve Assy</t>
  </si>
  <si>
    <t>N7-22005</t>
  </si>
  <si>
    <t>Sheath Filter Assy, 0.2 micron</t>
  </si>
  <si>
    <t>N7-22006</t>
  </si>
  <si>
    <t>Aurora Sample Line Assy (OBSOLETE)</t>
  </si>
  <si>
    <t>N7-22007-0A</t>
  </si>
  <si>
    <t>Sheath Filter Assy, 0.20Âµm</t>
  </si>
  <si>
    <t>N7-22008-0A</t>
  </si>
  <si>
    <t>SIT Z-Probe Assy (OBSOLETE)</t>
  </si>
  <si>
    <t>N7-22009-0A</t>
  </si>
  <si>
    <t>Sheath Filter Bypass Assembly</t>
  </si>
  <si>
    <t>N7-22010</t>
  </si>
  <si>
    <t>Manifold Assy - Wuxi</t>
  </si>
  <si>
    <t>N7-22011</t>
  </si>
  <si>
    <t>N7-22011-0A</t>
  </si>
  <si>
    <t>Linear Valve Assy - Wuxi</t>
  </si>
  <si>
    <t>N7-22012</t>
  </si>
  <si>
    <t>N7-22012-0A</t>
  </si>
  <si>
    <t>Sample Line Assy - Wuxi</t>
  </si>
  <si>
    <t>N7-22013-0A</t>
  </si>
  <si>
    <t>Sample Line Assembly</t>
  </si>
  <si>
    <t>N7-22014</t>
  </si>
  <si>
    <t>254 um Dia Sample Line Assy (OBS)</t>
  </si>
  <si>
    <t>N7-22014-0A (Inactive)</t>
  </si>
  <si>
    <t>SIT Probe Base Assy</t>
  </si>
  <si>
    <t>N7-22015</t>
  </si>
  <si>
    <t>SIT PROBE ASSEMBLY</t>
  </si>
  <si>
    <t>N7-22015-01 (Inactive)</t>
  </si>
  <si>
    <t>Sheath Filter Assy, 0.04 micron</t>
  </si>
  <si>
    <t>N7-22016</t>
  </si>
  <si>
    <t>SIT DET SLEEVE ASSY</t>
  </si>
  <si>
    <t>N7-22017</t>
  </si>
  <si>
    <t>5 Laser Fluidics Bucket Assy</t>
  </si>
  <si>
    <t>N7-22018</t>
  </si>
  <si>
    <t>Degasser Assy - Wuxi</t>
  </si>
  <si>
    <t>N7-22021-0A</t>
  </si>
  <si>
    <t>Fluidics Bucket Assy - Wuxi</t>
  </si>
  <si>
    <t>N7-22023-0A</t>
  </si>
  <si>
    <t>N7-22023-0B</t>
  </si>
  <si>
    <t>Plenum Sensor and Bottle Assy</t>
  </si>
  <si>
    <t>N7-22024</t>
  </si>
  <si>
    <t>Sorter 3-Way Valve Assembly</t>
  </si>
  <si>
    <t>N7-22025</t>
  </si>
  <si>
    <t>Pressure Transducer Assy, Sorter</t>
  </si>
  <si>
    <t>N7-22026</t>
  </si>
  <si>
    <t>Sorter Manifold Assy</t>
  </si>
  <si>
    <t>N7-22031</t>
  </si>
  <si>
    <t>Sorter Vacuum Pump Assy</t>
  </si>
  <si>
    <t>N7-22034</t>
  </si>
  <si>
    <t>Sample Regulator Assy</t>
  </si>
  <si>
    <t>N7-22035</t>
  </si>
  <si>
    <t>Sheath Regulator Assy</t>
  </si>
  <si>
    <t>N7-22036</t>
  </si>
  <si>
    <t>Cleaning Tank Assy</t>
  </si>
  <si>
    <t>N7-22037</t>
  </si>
  <si>
    <t>Sheath Tank Assy</t>
  </si>
  <si>
    <t>N7-22038</t>
  </si>
  <si>
    <t>Sorter Sample Line Assy</t>
  </si>
  <si>
    <t>N7-22040</t>
  </si>
  <si>
    <t>Sorter Sample Chamber Clean Line Assy</t>
  </si>
  <si>
    <t>N7-22042</t>
  </si>
  <si>
    <t>Waste Pinch Valve Assy</t>
  </si>
  <si>
    <t>N7-22043</t>
  </si>
  <si>
    <t>Sample Pinch Valve Assy</t>
  </si>
  <si>
    <t>N7-22044</t>
  </si>
  <si>
    <t>Sorter Umbilical Assembly</t>
  </si>
  <si>
    <t>N7-22046</t>
  </si>
  <si>
    <t>Sorter Waste Cap Assy</t>
  </si>
  <si>
    <t>N7-22047</t>
  </si>
  <si>
    <t>Bypass Nozzle Assy</t>
  </si>
  <si>
    <t>N7-22049</t>
  </si>
  <si>
    <t>Sorter Umbilical Assembly BSC</t>
  </si>
  <si>
    <t>N7-22050</t>
  </si>
  <si>
    <t>Waste Tank Assy (Aurora CS)</t>
  </si>
  <si>
    <t>N7-22051</t>
  </si>
  <si>
    <t>Sorter Air Regulator Assy</t>
  </si>
  <si>
    <t>N7-22052</t>
  </si>
  <si>
    <t>N7-22052R.1</t>
  </si>
  <si>
    <t>Sorter Compressor Assy-120V</t>
  </si>
  <si>
    <t>N7-22053</t>
  </si>
  <si>
    <t>N7-22053-INA</t>
  </si>
  <si>
    <t>Sorter Compressor Assy-230V</t>
  </si>
  <si>
    <t>N7-22054</t>
  </si>
  <si>
    <t>N7-22054-INA</t>
  </si>
  <si>
    <t>Large ID Fluidic Barb Assy</t>
  </si>
  <si>
    <t>N7-22056</t>
  </si>
  <si>
    <t>Small ID Fluidic Barb Assy</t>
  </si>
  <si>
    <t>N7-22057</t>
  </si>
  <si>
    <t>Aurora Sample Line Assembly 2.0</t>
  </si>
  <si>
    <t>N7-22058</t>
  </si>
  <si>
    <t>SIT Cylinder Top Assy</t>
  </si>
  <si>
    <t>N7-22060</t>
  </si>
  <si>
    <t>Self-Locking Bypass Nozzle Assy</t>
  </si>
  <si>
    <t>N7-22063</t>
  </si>
  <si>
    <t>DeGasser Replacement Kit</t>
  </si>
  <si>
    <t>N7-22100</t>
  </si>
  <si>
    <t>Cleaning Tank Assy (Swagelok)</t>
  </si>
  <si>
    <t>N7-22137</t>
  </si>
  <si>
    <t>Aurora Flow Cell Assy</t>
  </si>
  <si>
    <t>N7-23000</t>
  </si>
  <si>
    <t>N7-23000-0A</t>
  </si>
  <si>
    <t>Telescope Assy, Blue (without beam adjusters)</t>
  </si>
  <si>
    <t>N7-23001</t>
  </si>
  <si>
    <t>Telescope Assy, Red</t>
  </si>
  <si>
    <t>N7-23002</t>
  </si>
  <si>
    <t>Telescope Assy, Violet</t>
  </si>
  <si>
    <t>N7-23003</t>
  </si>
  <si>
    <t>Dichroic Adjuster Assy, Blue</t>
  </si>
  <si>
    <t>N7-23004</t>
  </si>
  <si>
    <t>Dichroic Adjuster Assy, Red</t>
  </si>
  <si>
    <t>N7-23005</t>
  </si>
  <si>
    <t>N7-23005-0 (Inactive)</t>
  </si>
  <si>
    <t>N7-23005R</t>
  </si>
  <si>
    <t>N7-23005R.1</t>
  </si>
  <si>
    <t>N7-23005R.1 (old)</t>
  </si>
  <si>
    <t>Dichroic Adjuster Assy, Violet</t>
  </si>
  <si>
    <t>N7-23006</t>
  </si>
  <si>
    <t>N7-23006-0 (Inactive)</t>
  </si>
  <si>
    <t>N7-23006R</t>
  </si>
  <si>
    <t>N7-23006R.1</t>
  </si>
  <si>
    <t>N7-23006R.1 (old)</t>
  </si>
  <si>
    <t>Prism Assy, Blue</t>
  </si>
  <si>
    <t>N7-23007</t>
  </si>
  <si>
    <t>N7-23007-0 (Inactive)</t>
  </si>
  <si>
    <t>Prism Assy, Red</t>
  </si>
  <si>
    <t>N7-23008</t>
  </si>
  <si>
    <t>N7-23008-0 (Inactive)</t>
  </si>
  <si>
    <t>Prism Assy, Violet</t>
  </si>
  <si>
    <t>N7-23009</t>
  </si>
  <si>
    <t>N7-23009-0 (Inactive)</t>
  </si>
  <si>
    <t>Objective Lens Assy</t>
  </si>
  <si>
    <t>N7-23010</t>
  </si>
  <si>
    <t>Final Focus Assy</t>
  </si>
  <si>
    <t>N7-23011</t>
  </si>
  <si>
    <t>FSC Obscuration Bar Assy</t>
  </si>
  <si>
    <t>N7-23012</t>
  </si>
  <si>
    <t>FSC Assy</t>
  </si>
  <si>
    <t>N7-23013</t>
  </si>
  <si>
    <t>Fiber Mount Assy</t>
  </si>
  <si>
    <t>N7-23014</t>
  </si>
  <si>
    <t>Flow Cell Assy - Wuxi</t>
  </si>
  <si>
    <t>N7-23015-0A</t>
  </si>
  <si>
    <t>N7-23015-0B</t>
  </si>
  <si>
    <t>Shutter Assembly</t>
  </si>
  <si>
    <t>N7-23016</t>
  </si>
  <si>
    <t>Flow Meter Assembly</t>
  </si>
  <si>
    <t>N7-23017</t>
  </si>
  <si>
    <t>Dichroic Adjuster Assy, Blue For Aurora</t>
  </si>
  <si>
    <t>N7-23018</t>
  </si>
  <si>
    <t>Dichroic Adjuster Assy, Blue For Four Laser</t>
  </si>
  <si>
    <t>N7-23018-0 (Inactive)</t>
  </si>
  <si>
    <t>Dichroic Adjuster Assy, Violet For Aurora</t>
  </si>
  <si>
    <t>N7-23019</t>
  </si>
  <si>
    <t>Dichroic Adjuster Assy, Violet For Four Laser</t>
  </si>
  <si>
    <t>N7-23019-0 (Inactive)</t>
  </si>
  <si>
    <t>Dichroic Adjuster Assy, Red For Aurora</t>
  </si>
  <si>
    <t>N7-23020</t>
  </si>
  <si>
    <t>Dichroic Adjuster Assy, Red For Four Laser</t>
  </si>
  <si>
    <t>N7-23020-0 (Inactive)</t>
  </si>
  <si>
    <t>Dichroic Adjuster Assy, YellowGreen For Aurora</t>
  </si>
  <si>
    <t>N7-23021</t>
  </si>
  <si>
    <t>Dichroic Adjuster Assy, YellowGreen For Four Laser</t>
  </si>
  <si>
    <t>N7-23021-0 (Inactive)</t>
  </si>
  <si>
    <t>Telescope Assy, YG</t>
  </si>
  <si>
    <t>N7-23022</t>
  </si>
  <si>
    <t>Telescope Assy YellowGreen For Four Laser</t>
  </si>
  <si>
    <t>N7-23022-0 (Inactive)</t>
  </si>
  <si>
    <t>Prism Assy, YellowGreen</t>
  </si>
  <si>
    <t>N7-23023</t>
  </si>
  <si>
    <t>N7-23023-0 (Inactive)</t>
  </si>
  <si>
    <t>Final Focus Assy - NL</t>
  </si>
  <si>
    <t>N7-23024</t>
  </si>
  <si>
    <t>N7-23025</t>
  </si>
  <si>
    <t>Thermal Stability Upgrade Kit #2</t>
  </si>
  <si>
    <t>N7-23026-0A</t>
  </si>
  <si>
    <t>Thermal Stability Upgrade Kit #3</t>
  </si>
  <si>
    <t>N7-23027-0A</t>
  </si>
  <si>
    <t>UV thermal stability upgrade kit Hardware</t>
  </si>
  <si>
    <t>N7-23028</t>
  </si>
  <si>
    <t>Waveplate Upgrade Kit</t>
  </si>
  <si>
    <t>N7-23028-0A</t>
  </si>
  <si>
    <t>N7-23028R</t>
  </si>
  <si>
    <t>N7-23028R.1</t>
  </si>
  <si>
    <t>N7-23028R.1 (old)</t>
  </si>
  <si>
    <t>3 Laser System to 4 Laser System Depot Upgrade</t>
  </si>
  <si>
    <t>N7-23029-0A</t>
  </si>
  <si>
    <t>3 Laser System to 4 Laser System Depot Upgrade-Wuxi</t>
  </si>
  <si>
    <t>N7-23031-0A</t>
  </si>
  <si>
    <t>Final Focus Assy - Aurora</t>
  </si>
  <si>
    <t>N7-23032</t>
  </si>
  <si>
    <t>Final Focus Assy Five Laser</t>
  </si>
  <si>
    <t>N7-23032-0 (Inactive)</t>
  </si>
  <si>
    <t>Prism Assy, Blue OBIS Core</t>
  </si>
  <si>
    <t>N7-23033</t>
  </si>
  <si>
    <t>N7-23033-0 (Inactive)</t>
  </si>
  <si>
    <t>N7-23033R</t>
  </si>
  <si>
    <t>N7-23033R.1</t>
  </si>
  <si>
    <t>N7-23033R.1 (old)</t>
  </si>
  <si>
    <t>Telescope Assy, UV</t>
  </si>
  <si>
    <t>N7-23034</t>
  </si>
  <si>
    <t>Dichroic Adjuster Assy, UV For Aurora</t>
  </si>
  <si>
    <t>N7-23035</t>
  </si>
  <si>
    <t>Prism Assy, UV</t>
  </si>
  <si>
    <t>N7-23036</t>
  </si>
  <si>
    <t>N7-23036-01 (Inactive)</t>
  </si>
  <si>
    <t>Telescope Assy, Cytek Violet</t>
  </si>
  <si>
    <t>N7-23037</t>
  </si>
  <si>
    <t>Telescope Assy. Cytek Violet</t>
  </si>
  <si>
    <t>N7-23037-0 (Inactive)</t>
  </si>
  <si>
    <t>Telescope Assy, Cytek Red</t>
  </si>
  <si>
    <t>N7-23038</t>
  </si>
  <si>
    <t>Telescope Assy. Cytek Red</t>
  </si>
  <si>
    <t>N7-23038-0 (Inactive)</t>
  </si>
  <si>
    <t>Telescope Assy, OBIS Blue</t>
  </si>
  <si>
    <t>N7-23039</t>
  </si>
  <si>
    <t>Telescope Assy. OBIS Blue</t>
  </si>
  <si>
    <t>N7-23039-0 (Inactive)</t>
  </si>
  <si>
    <t>N7-23040</t>
  </si>
  <si>
    <t>Shutter Assembly - Wuxi</t>
  </si>
  <si>
    <t>N7-23041</t>
  </si>
  <si>
    <t>Shutter Assembly - Fremont</t>
  </si>
  <si>
    <t>N7-23042</t>
  </si>
  <si>
    <t>Telescope Assy, Blue</t>
  </si>
  <si>
    <t>N7-23043</t>
  </si>
  <si>
    <t>Telescope Assy, OBIS Blue (without beam adjusters)</t>
  </si>
  <si>
    <t>N7-23044</t>
  </si>
  <si>
    <t>Telescope Assy, Cytek Blue</t>
  </si>
  <si>
    <t>N7-23049</t>
  </si>
  <si>
    <t>Sorter Flow Cell Assy</t>
  </si>
  <si>
    <t>N7-23050</t>
  </si>
  <si>
    <t>N7-23050R</t>
  </si>
  <si>
    <t>N7-23050R.1</t>
  </si>
  <si>
    <t>N7-23050R.1 (old)</t>
  </si>
  <si>
    <t>Violet Laser Pairing Set</t>
  </si>
  <si>
    <t>N7-23051</t>
  </si>
  <si>
    <t>Blue Laser Pairing Set (Obis Core)</t>
  </si>
  <si>
    <t>N7-23052</t>
  </si>
  <si>
    <t>Yellow-Green Laser Pairing Set</t>
  </si>
  <si>
    <t>N7-23053</t>
  </si>
  <si>
    <t>Red Laser Pairing Set</t>
  </si>
  <si>
    <t>N7-23054</t>
  </si>
  <si>
    <t>UV Laser Pairing Set</t>
  </si>
  <si>
    <t>N7-23055</t>
  </si>
  <si>
    <t>Flow Cell Body Assembly</t>
  </si>
  <si>
    <t>N7-23056</t>
  </si>
  <si>
    <t>Blue Laser Pairing Set</t>
  </si>
  <si>
    <t>N7-23057</t>
  </si>
  <si>
    <t>Piezo Transducer Assy</t>
  </si>
  <si>
    <t>N7-23058</t>
  </si>
  <si>
    <t>N7-23058R</t>
  </si>
  <si>
    <t>N7-23058R.1</t>
  </si>
  <si>
    <t>N7-23058R.1 (old)</t>
  </si>
  <si>
    <t>Fiber Mount Assy Axial and Rotation Adjustable</t>
  </si>
  <si>
    <t>N7-23064</t>
  </si>
  <si>
    <t>Cytek Blue Laser Pairing Set</t>
  </si>
  <si>
    <t>N7-23069</t>
  </si>
  <si>
    <t>N7-23069R</t>
  </si>
  <si>
    <t>N7-23069R.1</t>
  </si>
  <si>
    <t>N7-23069R.1 (old)</t>
  </si>
  <si>
    <t>Dichroic Adjuster Assy, Blue - Sorter</t>
  </si>
  <si>
    <t>N7-23071</t>
  </si>
  <si>
    <t>Dichroic Adjuster Assy, Violet - Sorter</t>
  </si>
  <si>
    <t>N7-23073</t>
  </si>
  <si>
    <t>Dichroic Adjuster Assy, Red - Sorter</t>
  </si>
  <si>
    <t>N7-23075</t>
  </si>
  <si>
    <t>Dichroic Adjuster Assy, YG - Sorter</t>
  </si>
  <si>
    <t>N7-23077</t>
  </si>
  <si>
    <t>Dichroic Adjuster Assy, UV - Sorter</t>
  </si>
  <si>
    <t>N7-23080</t>
  </si>
  <si>
    <t>Sorter Shutter Assy</t>
  </si>
  <si>
    <t>N7-23081</t>
  </si>
  <si>
    <t>Sorter Upright Camera Assy</t>
  </si>
  <si>
    <t>N7-23083</t>
  </si>
  <si>
    <t>Sorter FSC Assy</t>
  </si>
  <si>
    <t>N7-23084</t>
  </si>
  <si>
    <t>Sorter Upright LED Assy</t>
  </si>
  <si>
    <t>N7-23085</t>
  </si>
  <si>
    <t>Sorter Focus Assy</t>
  </si>
  <si>
    <t>N7-23087</t>
  </si>
  <si>
    <t>N7-23087R</t>
  </si>
  <si>
    <t>N7-23087R.1</t>
  </si>
  <si>
    <t>N7-23087R.1 (old)</t>
  </si>
  <si>
    <t>Laser 660nm Viewing Laser</t>
  </si>
  <si>
    <t>N7-23088</t>
  </si>
  <si>
    <t>Sorter Wellplate Camera Assy</t>
  </si>
  <si>
    <t>N7-23089</t>
  </si>
  <si>
    <t>ASSY, PKGD FLOWCELL, MUSE MICRO</t>
  </si>
  <si>
    <t>N7-23149</t>
  </si>
  <si>
    <t>Obis 561 Core Assy.</t>
  </si>
  <si>
    <t>N7-23500</t>
  </si>
  <si>
    <t>SIT Detector Assy</t>
  </si>
  <si>
    <t>N7-23501</t>
  </si>
  <si>
    <t>Obis 488 Core Assy.</t>
  </si>
  <si>
    <t>N7-23502</t>
  </si>
  <si>
    <t>Filter Bracket Assy, Blue</t>
  </si>
  <si>
    <t>N7-24000</t>
  </si>
  <si>
    <t>Filter Bracket Assy, Red</t>
  </si>
  <si>
    <t>N7-24001</t>
  </si>
  <si>
    <t>Filter Bracket Assy, Violet</t>
  </si>
  <si>
    <t>N7-24002</t>
  </si>
  <si>
    <t>Mirror Block Optical Assy, Violet and Blue</t>
  </si>
  <si>
    <t>N7-24003</t>
  </si>
  <si>
    <t>APD Lens Assy, Red 0.5</t>
  </si>
  <si>
    <t>N7-24004</t>
  </si>
  <si>
    <t>N7-24004-0 (Inactive)</t>
  </si>
  <si>
    <t>APD Lens Assy, Red 1.0</t>
  </si>
  <si>
    <t>N7-24005</t>
  </si>
  <si>
    <t>APD Lens Assy, Blue 0.5</t>
  </si>
  <si>
    <t>N7-24006</t>
  </si>
  <si>
    <t>N7-24006-0 (Inactive)</t>
  </si>
  <si>
    <t>APD Lens Assy, Blue 1.0</t>
  </si>
  <si>
    <t>N7-24007</t>
  </si>
  <si>
    <t>N7-24007-0 (Inactive)</t>
  </si>
  <si>
    <t>APD Bracket Assy, Blue</t>
  </si>
  <si>
    <t>N7-24008</t>
  </si>
  <si>
    <t>APD Bracket Assy, Red</t>
  </si>
  <si>
    <t>N7-24009</t>
  </si>
  <si>
    <t>APD Bracket Assy, Violet</t>
  </si>
  <si>
    <t>N7-24010</t>
  </si>
  <si>
    <t>SSC APD Assy</t>
  </si>
  <si>
    <t>N7-24011</t>
  </si>
  <si>
    <t>APD TEC Thermistor Cable Assy</t>
  </si>
  <si>
    <t>N7-24012-0A</t>
  </si>
  <si>
    <t>N7-24012-0B</t>
  </si>
  <si>
    <t>Filter Bracket Assy 8 Color Blue</t>
  </si>
  <si>
    <t>N7-24013</t>
  </si>
  <si>
    <t>Mirror Block Assy 8 Color Blue</t>
  </si>
  <si>
    <t>N7-24014</t>
  </si>
  <si>
    <t>APD Assy Blue - Wuxi</t>
  </si>
  <si>
    <t>N7-24015</t>
  </si>
  <si>
    <t>APD Assy Red - Wuxi</t>
  </si>
  <si>
    <t>N7-24016</t>
  </si>
  <si>
    <t>APD Assy Violet - Wuxi</t>
  </si>
  <si>
    <t>N7-24017</t>
  </si>
  <si>
    <t>SSC APD Assy - Wuxi</t>
  </si>
  <si>
    <t>N7-24018</t>
  </si>
  <si>
    <t>APD Assy, Blue 14 Channel (w/out TEC Assy)</t>
  </si>
  <si>
    <t>N7-24019</t>
  </si>
  <si>
    <t>APD Assy, Red 8 Channel (w/out TEC Assy)</t>
  </si>
  <si>
    <t>N7-24020</t>
  </si>
  <si>
    <t>APD Assy, Violet 16 Channel (w/out TEC Assy)</t>
  </si>
  <si>
    <t>N7-24021</t>
  </si>
  <si>
    <t>APD Assy YG - Wuxi</t>
  </si>
  <si>
    <t>N7-24023</t>
  </si>
  <si>
    <t>APD Assy, Yellow-Green 10 channel (w/out TEC Assy)</t>
  </si>
  <si>
    <t>N7-24024</t>
  </si>
  <si>
    <t>Filter Bracket Assy, YG</t>
  </si>
  <si>
    <t>N7-24025</t>
  </si>
  <si>
    <t>APD Bracket Assy, YG</t>
  </si>
  <si>
    <t>N7-24026</t>
  </si>
  <si>
    <t>4 Laser Optics Module Assembly-Wuxi</t>
  </si>
  <si>
    <t>N7-24027</t>
  </si>
  <si>
    <t>APD Assy B-R-V-Y-wuxi</t>
  </si>
  <si>
    <t>N7-24028-0A</t>
  </si>
  <si>
    <t>Dichroic Adjuster Assy - Wuxi</t>
  </si>
  <si>
    <t>N7-24029</t>
  </si>
  <si>
    <t>Dichroic Adjuster Assy, YG For Four Laser-Wuxi</t>
  </si>
  <si>
    <t>N7-24029-0 (Inactive)</t>
  </si>
  <si>
    <t>Telescope Assy, B, R, V, &amp; YG - Wuxi (without telescope lens)</t>
  </si>
  <si>
    <t>N7-24030</t>
  </si>
  <si>
    <t>Filter Bracket Assy, UV</t>
  </si>
  <si>
    <t>N7-24031</t>
  </si>
  <si>
    <t>Mirror Block Assy, UV</t>
  </si>
  <si>
    <t>N7-24032</t>
  </si>
  <si>
    <t>APD Bracket Assy, UV</t>
  </si>
  <si>
    <t>N7-24033-0A</t>
  </si>
  <si>
    <t>APD Assy, UV 16 Channel</t>
  </si>
  <si>
    <t>N7-24034</t>
  </si>
  <si>
    <t>N7-24034-01 (Inactive)</t>
  </si>
  <si>
    <t>APD Assy, Blue 14 Channel</t>
  </si>
  <si>
    <t>N7-24035</t>
  </si>
  <si>
    <t>APD Assy, Blue 14 Channel, 5 Laser</t>
  </si>
  <si>
    <t>N7-24035-0A (Inactive)</t>
  </si>
  <si>
    <t>N7-24035-0B (Inactive)</t>
  </si>
  <si>
    <t>APD Assy, Red 8 Channel</t>
  </si>
  <si>
    <t>N7-24036</t>
  </si>
  <si>
    <t>APD Assy, Red 8 Channel, 5 Laser</t>
  </si>
  <si>
    <t>N7-24036-02 (Inactive)</t>
  </si>
  <si>
    <t>APD Assy, Violet 16 Channel</t>
  </si>
  <si>
    <t>N7-24037</t>
  </si>
  <si>
    <t>APD ASSY, Violet 16 CH, 5 Laser</t>
  </si>
  <si>
    <t>N7-24037-02 (Inactive)</t>
  </si>
  <si>
    <t>APD Assy, Violet 16 Channel - R&amp;D Tested</t>
  </si>
  <si>
    <t>N7-24037Q</t>
  </si>
  <si>
    <t>APD Assy, Yellow-Green 10 Channel</t>
  </si>
  <si>
    <t>N7-24038</t>
  </si>
  <si>
    <t>APD Assy, Yellow-Green 10 channel, 5 Laser</t>
  </si>
  <si>
    <t>N7-24038-0A (Inactive)</t>
  </si>
  <si>
    <t>N7-24038-0B (Inactive)</t>
  </si>
  <si>
    <t>APD Assy, Violet 16 Channel with Small Particle Enhanced Performance (V-SPE)</t>
  </si>
  <si>
    <t>N7-24039</t>
  </si>
  <si>
    <t>N7-24039R</t>
  </si>
  <si>
    <t>N7-24039R.1</t>
  </si>
  <si>
    <t>N7-24039R.1 (old)</t>
  </si>
  <si>
    <t>APD Assy, Red &amp; YG - Wuxi</t>
  </si>
  <si>
    <t>N7-24040</t>
  </si>
  <si>
    <t>APD Assy, Blue &amp; Violet - Wuxi</t>
  </si>
  <si>
    <t>N7-24041</t>
  </si>
  <si>
    <t>Telescope Assy, UV - Wuxi</t>
  </si>
  <si>
    <t>N7-24042</t>
  </si>
  <si>
    <t>Dichroic Adjuster Assy, UV - Wuxi</t>
  </si>
  <si>
    <t>N7-24043-0A</t>
  </si>
  <si>
    <t>Prism Assy, UV - Wuxi</t>
  </si>
  <si>
    <t>N7-24044</t>
  </si>
  <si>
    <t>Telescope Assy, B, R, V, &amp; YG - Wuxi</t>
  </si>
  <si>
    <t>N7-24045</t>
  </si>
  <si>
    <t>APD Assy, UV - Wuxi</t>
  </si>
  <si>
    <t>N7-24048</t>
  </si>
  <si>
    <t>Filter Bracket Assy - Wuxi</t>
  </si>
  <si>
    <t>N7-24060</t>
  </si>
  <si>
    <t>APD Bracket 16 CH - Wuxi</t>
  </si>
  <si>
    <t>N7-24061</t>
  </si>
  <si>
    <t>APD Bracket 10 CH - Wuxi</t>
  </si>
  <si>
    <t>N7-24062</t>
  </si>
  <si>
    <t>Filter Bracket Assy, Blue - Fremont</t>
  </si>
  <si>
    <t>N7-24065</t>
  </si>
  <si>
    <t>Filter Bracket Assy, Red - Fremont</t>
  </si>
  <si>
    <t>N7-24066</t>
  </si>
  <si>
    <t>Filter Bracket Assy, Violet - Fremont</t>
  </si>
  <si>
    <t>N7-24067</t>
  </si>
  <si>
    <t>Filter Bracket Assy, YG - Fremont</t>
  </si>
  <si>
    <t>N7-24068</t>
  </si>
  <si>
    <t>Filter Bracket Assy, UV, Fremont</t>
  </si>
  <si>
    <t>N7-24069</t>
  </si>
  <si>
    <t>APD Assy, Blue - Fremont</t>
  </si>
  <si>
    <t>N7-24071</t>
  </si>
  <si>
    <t>APD Assy, Red - Fremont</t>
  </si>
  <si>
    <t>N7-24072</t>
  </si>
  <si>
    <t>APD Assy, Violet - Fremont</t>
  </si>
  <si>
    <t>N7-24073</t>
  </si>
  <si>
    <t>APD Assy, YG - Fremont</t>
  </si>
  <si>
    <t>N7-24074</t>
  </si>
  <si>
    <t>APD Assy, UV - Fremont</t>
  </si>
  <si>
    <t>N7-24075</t>
  </si>
  <si>
    <t>3L DAQ ADAPTER ASSY.</t>
  </si>
  <si>
    <t>N7-25001</t>
  </si>
  <si>
    <t>INACTIVE, DAQ Adapter Assy. 5L</t>
  </si>
  <si>
    <t>N7-25002</t>
  </si>
  <si>
    <t>16Chn Violet  APD Module Kit</t>
  </si>
  <si>
    <t>N7-25004</t>
  </si>
  <si>
    <t>14Chn Blue APD Module Kit</t>
  </si>
  <si>
    <t>N7-25005</t>
  </si>
  <si>
    <t>8Chn Red APD Module Kit</t>
  </si>
  <si>
    <t>N7-25006</t>
  </si>
  <si>
    <t>10 Chn YG APD Module Kit</t>
  </si>
  <si>
    <t>N7-25007</t>
  </si>
  <si>
    <t>16 Chn UV APD Module Kit</t>
  </si>
  <si>
    <t>N7-25008</t>
  </si>
  <si>
    <t>NL DAQ Adapter Assy - 1L B</t>
  </si>
  <si>
    <t>N7-25009</t>
  </si>
  <si>
    <t>Sorter YG Field Upgrade Kit</t>
  </si>
  <si>
    <t>N7-25027</t>
  </si>
  <si>
    <t>N7-25027-INA</t>
  </si>
  <si>
    <t>Deflection Plate Left Assy</t>
  </si>
  <si>
    <t>N7-25033</t>
  </si>
  <si>
    <t>Deflection Plate Right Assy</t>
  </si>
  <si>
    <t>N7-25034</t>
  </si>
  <si>
    <t>Beam Dump Assy</t>
  </si>
  <si>
    <t>N7-25035</t>
  </si>
  <si>
    <t>Side Stream Camera Assy</t>
  </si>
  <si>
    <t>N7-25045</t>
  </si>
  <si>
    <t>N7-25045R</t>
  </si>
  <si>
    <t>N7-25045R.1</t>
  </si>
  <si>
    <t>N7-25045R.1 (old)</t>
  </si>
  <si>
    <t>Fan Panel Assy</t>
  </si>
  <si>
    <t>N7-26001</t>
  </si>
  <si>
    <t>N7-26001-01 (Inactive)</t>
  </si>
  <si>
    <t>Power Entry Assy - Aurora</t>
  </si>
  <si>
    <t>N7-26002</t>
  </si>
  <si>
    <t>Power Supply Assy</t>
  </si>
  <si>
    <t>N7-26003-0A</t>
  </si>
  <si>
    <t>N7-26003-0B</t>
  </si>
  <si>
    <t>N7-26003-0C</t>
  </si>
  <si>
    <t>Fan Panel Assy - NL</t>
  </si>
  <si>
    <t>N7-26005</t>
  </si>
  <si>
    <t>Power Supply Assy - NL</t>
  </si>
  <si>
    <t>N7-26006</t>
  </si>
  <si>
    <t>Power Entry Assy - NL</t>
  </si>
  <si>
    <t>N7-26007</t>
  </si>
  <si>
    <t>Fan Panel Assy - NL-CLC EU</t>
  </si>
  <si>
    <t>N7-26008</t>
  </si>
  <si>
    <t>Power Supply Assy - NL-CLC EU</t>
  </si>
  <si>
    <t>N7-26009</t>
  </si>
  <si>
    <t>Power Entry Assy - NL-CLC EU</t>
  </si>
  <si>
    <t>N7-26010</t>
  </si>
  <si>
    <t>MB Fan Assy</t>
  </si>
  <si>
    <t>N7-26017</t>
  </si>
  <si>
    <t>Warning LED Assy</t>
  </si>
  <si>
    <t>N7-26031</t>
  </si>
  <si>
    <t>Sorter APD Blower Assy</t>
  </si>
  <si>
    <t>N7-26032</t>
  </si>
  <si>
    <t>Sample Mixing Motor Assy</t>
  </si>
  <si>
    <t>N7-26034</t>
  </si>
  <si>
    <t>Welplate Door Sensor Assy</t>
  </si>
  <si>
    <t>N7-26037</t>
  </si>
  <si>
    <t>Sample Door Sensor Assy</t>
  </si>
  <si>
    <t>N7-26038</t>
  </si>
  <si>
    <t>Fluidics Fan Assy</t>
  </si>
  <si>
    <t>N7-26039</t>
  </si>
  <si>
    <t>Back Fan Assy</t>
  </si>
  <si>
    <t>N7-26040</t>
  </si>
  <si>
    <t>DDU LED Cable Assy</t>
  </si>
  <si>
    <t>N7-26042</t>
  </si>
  <si>
    <t>SORTER Cable BUNDLE</t>
  </si>
  <si>
    <t>N7-26044</t>
  </si>
  <si>
    <t>Sorter Pressure Tank Weight Scale</t>
  </si>
  <si>
    <t>N7-26047</t>
  </si>
  <si>
    <t>DROP STREAM LED ASSEMBLY, 20 DEG</t>
  </si>
  <si>
    <t>N7-26050</t>
  </si>
  <si>
    <t>SA Board with fans Assy</t>
  </si>
  <si>
    <t>N7-26051</t>
  </si>
  <si>
    <t>N7-26051R</t>
  </si>
  <si>
    <t>N7-26051R.1</t>
  </si>
  <si>
    <t>N7-26051R.1 (old)</t>
  </si>
  <si>
    <t>JTAG Program Adapter Assembly For DAQ Board</t>
  </si>
  <si>
    <t>N7-26067</t>
  </si>
  <si>
    <t>NL-CLC - EU - Documents &amp; Labels</t>
  </si>
  <si>
    <t>N7-27003</t>
  </si>
  <si>
    <t>ASSEMBLY, 70 MICRON NOZZLE</t>
  </si>
  <si>
    <t>N7-28002</t>
  </si>
  <si>
    <t>N7-28002R</t>
  </si>
  <si>
    <t>N7-28002R.1</t>
  </si>
  <si>
    <t>N7-28002R.1 (old)</t>
  </si>
  <si>
    <t>ASSEMBLY, 85 MICRON NOZZLE</t>
  </si>
  <si>
    <t>N7-28003</t>
  </si>
  <si>
    <t>ASSEMBLY, 100 MICRON NOZZLE</t>
  </si>
  <si>
    <t>N7-28004</t>
  </si>
  <si>
    <t>N7-28004R</t>
  </si>
  <si>
    <t>N7-28004R.1</t>
  </si>
  <si>
    <t>N7-28004R.1 (old)</t>
  </si>
  <si>
    <t>ASSEMBLY, 130 MICRON NOZZLE</t>
  </si>
  <si>
    <t>N7-28005</t>
  </si>
  <si>
    <t>N7-28005R</t>
  </si>
  <si>
    <t>N7-28005R.1</t>
  </si>
  <si>
    <t>N7-28005R.1 (old)</t>
  </si>
  <si>
    <t>Magnet Drive Plate Assy</t>
  </si>
  <si>
    <t>N7-29002</t>
  </si>
  <si>
    <t>Separate Plate Assy</t>
  </si>
  <si>
    <t>N7-29003</t>
  </si>
  <si>
    <t>Microplate Puck Assy</t>
  </si>
  <si>
    <t>N7-29004</t>
  </si>
  <si>
    <t>Electric Magnet Assy</t>
  </si>
  <si>
    <t>N7-29006</t>
  </si>
  <si>
    <t>SIT Detector Assembly 2.0</t>
  </si>
  <si>
    <t>N7-29008</t>
  </si>
  <si>
    <t>Pressure Transducer Assy, Aurora</t>
  </si>
  <si>
    <t>N7-32001</t>
  </si>
  <si>
    <t>N7-32001R</t>
  </si>
  <si>
    <t>N7-32001R.1</t>
  </si>
  <si>
    <t>N7-32001R.1 (old)</t>
  </si>
  <si>
    <t>Vacuum Pump Assy</t>
  </si>
  <si>
    <t>N7-32002</t>
  </si>
  <si>
    <t>Pressure Pump Assy</t>
  </si>
  <si>
    <t>N7-32003</t>
  </si>
  <si>
    <t>Aurora 2-way Valve Assy</t>
  </si>
  <si>
    <t>N7-32004</t>
  </si>
  <si>
    <t>Pinch Valve Assy</t>
  </si>
  <si>
    <t>N7-32005</t>
  </si>
  <si>
    <t>Optical Switch Assy</t>
  </si>
  <si>
    <t>N7-32006</t>
  </si>
  <si>
    <t>Stepper Driver Assy</t>
  </si>
  <si>
    <t>N7-32007</t>
  </si>
  <si>
    <t>Pinch Valve Stepper Assy</t>
  </si>
  <si>
    <t>N7-32008-0A</t>
  </si>
  <si>
    <t>SIT Stepper Assy</t>
  </si>
  <si>
    <t>N7-32009</t>
  </si>
  <si>
    <t>Fluidics Thermistor Assy</t>
  </si>
  <si>
    <t>N7-32010</t>
  </si>
  <si>
    <t>LED Cable Assy</t>
  </si>
  <si>
    <t>N7-32011</t>
  </si>
  <si>
    <t>N7-32011-0 (Inactive)</t>
  </si>
  <si>
    <t>Flow Meter Cable Assy</t>
  </si>
  <si>
    <t>N7-32012</t>
  </si>
  <si>
    <t>Vacuum Switch Cable Assy</t>
  </si>
  <si>
    <t>N7-32013</t>
  </si>
  <si>
    <t>4L Waste Cap Assembly</t>
  </si>
  <si>
    <t>N7-32014</t>
  </si>
  <si>
    <t>4L Supply Cap Assembly</t>
  </si>
  <si>
    <t>N7-32015</t>
  </si>
  <si>
    <t>20L Cubitainer Adapter Assembly</t>
  </si>
  <si>
    <t>N7-32016</t>
  </si>
  <si>
    <t>Linear Valve Sub-Assembly</t>
  </si>
  <si>
    <t>N7-32017</t>
  </si>
  <si>
    <t>Stepper Driver Assy - Wuxi</t>
  </si>
  <si>
    <t>N7-32018</t>
  </si>
  <si>
    <t>N7-32018-0A</t>
  </si>
  <si>
    <t>Reservoir Holder Assy</t>
  </si>
  <si>
    <t>N7-32019</t>
  </si>
  <si>
    <t>SIT Body Assy</t>
  </si>
  <si>
    <t>N7-32020</t>
  </si>
  <si>
    <t>FSC Board Assembly</t>
  </si>
  <si>
    <t>N7-32021</t>
  </si>
  <si>
    <t>Pressure Switch Assy</t>
  </si>
  <si>
    <t>N7-32022</t>
  </si>
  <si>
    <t>Sorter Vacuum Switch Assy</t>
  </si>
  <si>
    <t>N7-32023</t>
  </si>
  <si>
    <t>Sorter 2-way Valve Assy</t>
  </si>
  <si>
    <t>N7-32024</t>
  </si>
  <si>
    <t>Sorter Fluidics Thermistor Assy</t>
  </si>
  <si>
    <t>N7-32026</t>
  </si>
  <si>
    <t>SIT flush rinse tubing assembly</t>
  </si>
  <si>
    <t>N7-32027</t>
  </si>
  <si>
    <t>Tube assembly ，from LV to P1</t>
  </si>
  <si>
    <t>N7-32039</t>
  </si>
  <si>
    <t>Tube assembly ，from flow cell waste-out port to P4</t>
  </si>
  <si>
    <t>N7-32041</t>
  </si>
  <si>
    <t>Tube assembly ,  from flow cell sense port to P3</t>
  </si>
  <si>
    <t>N7-32042</t>
  </si>
  <si>
    <t>Tube assembly, from sheath filter air bubble removing port to P5</t>
  </si>
  <si>
    <t>N7-32043</t>
  </si>
  <si>
    <t>Tube assembly ，from degasser to vacuum switch</t>
  </si>
  <si>
    <t>N7-32044</t>
  </si>
  <si>
    <t>Tube Assembly ，From Sheath Tank To P1 Inlet</t>
  </si>
  <si>
    <t>N7-32045</t>
  </si>
  <si>
    <t>Tube Assembly ，From P1 Outlet To Plenum</t>
  </si>
  <si>
    <t>N7-32046</t>
  </si>
  <si>
    <t>Tube Assembly, between SF And DG</t>
  </si>
  <si>
    <t>N7-32047</t>
  </si>
  <si>
    <t>Tube Assembly, DG To P2 Port</t>
  </si>
  <si>
    <t>N7-32048</t>
  </si>
  <si>
    <t>Tube Assembly ，From P9 To VAC Inlet</t>
  </si>
  <si>
    <t>N7-32049</t>
  </si>
  <si>
    <t>Tube Assembly ，From 2 Pumps To Waste Tank</t>
  </si>
  <si>
    <t>N7-32050</t>
  </si>
  <si>
    <t>Tube Assembly ，Degasser/Pinch Valve Waste To 2 Pumps</t>
  </si>
  <si>
    <t>N7-32051</t>
  </si>
  <si>
    <t>Air Restrictor Assembly</t>
  </si>
  <si>
    <t>N7-32052</t>
  </si>
  <si>
    <t>1/8”ID Waste-Out Tube，Inside the Accumulator</t>
  </si>
  <si>
    <t>N7-32053</t>
  </si>
  <si>
    <t>1/16”ID Waste-In Tube，Inside the Accumulator</t>
  </si>
  <si>
    <t>N7-32054</t>
  </si>
  <si>
    <t>Field Service Upgrade Kit, Mounting Hardware - 638/405nm</t>
  </si>
  <si>
    <t>N7-32088</t>
  </si>
  <si>
    <t>355nm Laser Upgrade Kit Screw Sets</t>
  </si>
  <si>
    <t>N7-40001</t>
  </si>
  <si>
    <t>Aurora/NL Shipping Assembly</t>
  </si>
  <si>
    <t>N7-90000</t>
  </si>
  <si>
    <t>Aurora/NL Start-up Kit</t>
  </si>
  <si>
    <t>N7-90001</t>
  </si>
  <si>
    <t>Aurora Start-Up Kit</t>
  </si>
  <si>
    <t>N7-90001-0A</t>
  </si>
  <si>
    <t>Aurora Service Tool Set</t>
  </si>
  <si>
    <t>N7-90002-0A</t>
  </si>
  <si>
    <t>N7-90002-0A (Inactive)</t>
  </si>
  <si>
    <t>Aurora Service Tool Set (Complete, for new hires)</t>
  </si>
  <si>
    <t>N7-90002-1A</t>
  </si>
  <si>
    <t>N7-90002-1A (Inactive)</t>
  </si>
  <si>
    <t>Aurora Loader Service Tool Set</t>
  </si>
  <si>
    <t>N7-90002-2A</t>
  </si>
  <si>
    <t>Aurora Service Tool Set (for remote customers)</t>
  </si>
  <si>
    <t>N7-90002-3A</t>
  </si>
  <si>
    <t>Aurora Thermal Stability Upgrade Kit</t>
  </si>
  <si>
    <t>N7-90003-0A</t>
  </si>
  <si>
    <t>Aurora Service Specialty Tools (for distributors)</t>
  </si>
  <si>
    <t>N7-90004-0A</t>
  </si>
  <si>
    <t>N7-90004-0A (Inactive)</t>
  </si>
  <si>
    <t>5 Laser Aurora Final Test Kit</t>
  </si>
  <si>
    <t>N7-90005</t>
  </si>
  <si>
    <t>4L Aurora Wuxi Labor and OH (OEM Cost Assumption)</t>
  </si>
  <si>
    <t>N7-90009-0A</t>
  </si>
  <si>
    <t>Pavilion Red Laser Service Kit</t>
  </si>
  <si>
    <t>N7-90010</t>
  </si>
  <si>
    <t>Pavilion Violet Laser Service Kit</t>
  </si>
  <si>
    <t>N7-90011</t>
  </si>
  <si>
    <t>Pavilion Blue Laser Service Kit</t>
  </si>
  <si>
    <t>N7-90012</t>
  </si>
  <si>
    <t>Fluidics Mother Board Service Upgrade Kit</t>
  </si>
  <si>
    <t>N7-90013</t>
  </si>
  <si>
    <t>Aurora/NL Start-up Kit (Stocked)</t>
  </si>
  <si>
    <t>N7-90019</t>
  </si>
  <si>
    <t>Service Microscope Camera Assembly</t>
  </si>
  <si>
    <t>N7-90020</t>
  </si>
  <si>
    <t>N7-90020R</t>
  </si>
  <si>
    <t>N7-90020R.1</t>
  </si>
  <si>
    <t>N7-90020R.1 (old)</t>
  </si>
  <si>
    <t>Field Service Flow Cell Barb Fittings Kit</t>
  </si>
  <si>
    <t>N7-90021</t>
  </si>
  <si>
    <t>Aurora Start-Up Kit (4L UV &amp; 5L)</t>
  </si>
  <si>
    <t>N7-90030</t>
  </si>
  <si>
    <t>Aurora Start-Up Kit UV</t>
  </si>
  <si>
    <t>N7-90030-0A</t>
  </si>
  <si>
    <t>Start-up Kit (NL-CLC) - CHN</t>
  </si>
  <si>
    <t>N7-90040</t>
  </si>
  <si>
    <t>Start-up Kit (NL-CLC) - EU</t>
  </si>
  <si>
    <t>N7-90041</t>
  </si>
  <si>
    <t>High Voltage Board Kit</t>
  </si>
  <si>
    <t>N7-90043</t>
  </si>
  <si>
    <t>Float Sensor Replacement Kit</t>
  </si>
  <si>
    <t>N7-90050</t>
  </si>
  <si>
    <t>High Pressure Digital Pressure Gauge Assy</t>
  </si>
  <si>
    <t>N7-90051</t>
  </si>
  <si>
    <t>N7-90051R</t>
  </si>
  <si>
    <t>N7-90051R.1</t>
  </si>
  <si>
    <t>N7-90051R.1 (old)</t>
  </si>
  <si>
    <t>Sorter Sample Flow Calibration Tool Assy</t>
  </si>
  <si>
    <t>N7-90052</t>
  </si>
  <si>
    <t>Aurora Flow Cell Fluidic Barb Kit 2.0</t>
  </si>
  <si>
    <t>N7-90055</t>
  </si>
  <si>
    <t>Aurora Sample Line 2.0 Replacement Kit</t>
  </si>
  <si>
    <t>N7-90058</t>
  </si>
  <si>
    <t>Bulk Injection Chamber Top and Sample Line Ferrule Replacement Kit</t>
  </si>
  <si>
    <t>N7-90060</t>
  </si>
  <si>
    <t>Aurora CS Flow Cell Service Upgrade Kit</t>
  </si>
  <si>
    <t>N7-90061</t>
  </si>
  <si>
    <t>SS Bucket Deflection Chamber Replacement Kit</t>
  </si>
  <si>
    <t>N7-90063</t>
  </si>
  <si>
    <t>Aurora CS PMI Kit</t>
  </si>
  <si>
    <t>N7-90064</t>
  </si>
  <si>
    <t>Aurora to CS Service Microscope Adaptor Kit</t>
  </si>
  <si>
    <t>N7-90066</t>
  </si>
  <si>
    <t>Audible noise reduction kit for Aurora</t>
  </si>
  <si>
    <t>N7-90070</t>
  </si>
  <si>
    <t>Certified tool kits for Service</t>
  </si>
  <si>
    <t>N7-90078</t>
  </si>
  <si>
    <t>THREE STAGE AIR DRYING SYSTEM FILTER, MIST SEPARATOR, &amp; REGULATOR ASSY</t>
  </si>
  <si>
    <t>N7-90087</t>
  </si>
  <si>
    <t>FIELD SERVICE TOOL KIT (AURORA/NL)</t>
  </si>
  <si>
    <t>N7-90089</t>
  </si>
  <si>
    <t>Tank Fitting (Swagelock), Waste Fitting, and Umbilical Service Kit</t>
  </si>
  <si>
    <t>N7-90091</t>
  </si>
  <si>
    <t>Antibody Reagent Vial CapMount</t>
  </si>
  <si>
    <t>N7-90101</t>
  </si>
  <si>
    <t>Antibody Vials Cap</t>
  </si>
  <si>
    <t>N7-90102</t>
  </si>
  <si>
    <t>Buffer Bottle</t>
  </si>
  <si>
    <t>N7-90103</t>
  </si>
  <si>
    <t>5ml tube</t>
  </si>
  <si>
    <t>N7-90104</t>
  </si>
  <si>
    <t>15ml tube</t>
  </si>
  <si>
    <t>N7-90105</t>
  </si>
  <si>
    <t>Antibody 0.5ml Vial</t>
  </si>
  <si>
    <t>N7-90106</t>
  </si>
  <si>
    <t>Antibody 2ml Vial</t>
  </si>
  <si>
    <t>N7-90107</t>
  </si>
  <si>
    <t>Temp. Control Module Upgrade KIT</t>
  </si>
  <si>
    <t>N7-90113</t>
  </si>
  <si>
    <t>Auto Start up/Shut down Upgrade Kit</t>
  </si>
  <si>
    <t>N7-90115</t>
  </si>
  <si>
    <t>SpectroFlo® QC Beads 2000 Series, 2ml</t>
  </si>
  <si>
    <t>N7-97355</t>
  </si>
  <si>
    <t>Flow Cell Barb 0.125in ID Assy</t>
  </si>
  <si>
    <t>N7-97418</t>
  </si>
  <si>
    <t>Flow Cell Barb 0.0625in ID Assy</t>
  </si>
  <si>
    <t>N7-97419</t>
  </si>
  <si>
    <t>Aurora Test Transducer Assembly (Service Test Kit)</t>
  </si>
  <si>
    <t>N7-97549</t>
  </si>
  <si>
    <t>Pressure Transducer Assy</t>
  </si>
  <si>
    <t>N7-97549-INA</t>
  </si>
  <si>
    <t>UV Thermal Stability Upgrade Kit (Field Service Orderable)</t>
  </si>
  <si>
    <t>N7-97553</t>
  </si>
  <si>
    <t>Service Microscope (complete)</t>
  </si>
  <si>
    <t>N7-97560</t>
  </si>
  <si>
    <t>N7-97560R</t>
  </si>
  <si>
    <t>N7-97560R.1</t>
  </si>
  <si>
    <t>N7-97560R.1 (old)</t>
  </si>
  <si>
    <t>Aurora Flow Meter Assembly (for service bypass ONLY)</t>
  </si>
  <si>
    <t>N7-97563</t>
  </si>
  <si>
    <t>Digital Pressure Gauge Assembly</t>
  </si>
  <si>
    <t>N7-97564</t>
  </si>
  <si>
    <t>Ergotron Sit-Stand Mobile Desk with MountPro Dual Monitor Mount</t>
  </si>
  <si>
    <t>N7-97568</t>
  </si>
  <si>
    <t>Aurora CS Shell for trade show</t>
  </si>
  <si>
    <t>N7-97571</t>
  </si>
  <si>
    <t>Service Telescope Assy with 8 wedge, Violet</t>
  </si>
  <si>
    <t>N7-97597</t>
  </si>
  <si>
    <t>SpectroFlo Software Dongle v1.0</t>
  </si>
  <si>
    <t>N8-00002</t>
  </si>
  <si>
    <t>Cytek Software USB (Blank)</t>
  </si>
  <si>
    <t>N8-00003</t>
  </si>
  <si>
    <t>FCS Express 7 Flow Cytometry RUO Professional Software</t>
  </si>
  <si>
    <t>N8-00005</t>
  </si>
  <si>
    <t>SpectroFlo Software v1.3.2</t>
  </si>
  <si>
    <t>N8-00006</t>
  </si>
  <si>
    <t>NL Compact Desktop, 16GB RAM/1+1TB SSD</t>
  </si>
  <si>
    <t>N8-10000</t>
  </si>
  <si>
    <t>28" UHD Monitor (Northern Lights)</t>
  </si>
  <si>
    <t>N8-10001</t>
  </si>
  <si>
    <t>Aurora Tower PC, 64GB RAM/3TB SSD，13th Gen i7</t>
  </si>
  <si>
    <t>N8-10002</t>
  </si>
  <si>
    <t>32" 4K UHD Monitor</t>
  </si>
  <si>
    <t>N8-10003</t>
  </si>
  <si>
    <t>Cytek Software USB with SpectroFlo Software</t>
  </si>
  <si>
    <t>N8-10008</t>
  </si>
  <si>
    <t>34 Inch 5K2K Aurora Monitor</t>
  </si>
  <si>
    <t>N8-10009</t>
  </si>
  <si>
    <t>USB with Spectroflo Software v1.3.2</t>
  </si>
  <si>
    <t>N8-10011</t>
  </si>
  <si>
    <t>USB with Spectroflo Software v2.2.3</t>
  </si>
  <si>
    <t>N8-10012</t>
  </si>
  <si>
    <t>Dell OptiPlex 3070 PC</t>
  </si>
  <si>
    <t>N8-10013</t>
  </si>
  <si>
    <t>LG 27" Resolution 3840x2160</t>
  </si>
  <si>
    <t>N8-10014</t>
  </si>
  <si>
    <t>USB with Spectroflo Software v1.3.3</t>
  </si>
  <si>
    <t>N8-10017</t>
  </si>
  <si>
    <t>Aurora Sever PC, Precision 7960, Xeon w5, 256GB, 8TB</t>
  </si>
  <si>
    <t>N8-10058</t>
  </si>
  <si>
    <t>Muse Micro Monitor</t>
  </si>
  <si>
    <t>N8-10092</t>
  </si>
  <si>
    <t>Clip Cord Adhesive Natural .38"</t>
  </si>
  <si>
    <t>N9-20070</t>
  </si>
  <si>
    <t>FAN DC AXIAL 24V 60X15 4600 RPM</t>
  </si>
  <si>
    <t>N9-20071</t>
  </si>
  <si>
    <t>Aurora Quick Reference Guide</t>
  </si>
  <si>
    <t>N9-20072</t>
  </si>
  <si>
    <t>High Voltage Warning Label</t>
  </si>
  <si>
    <t>N9-50000-01</t>
  </si>
  <si>
    <t>Pinch Hazard Label</t>
  </si>
  <si>
    <t>N9-50000-02</t>
  </si>
  <si>
    <t>Laser Aperture Label</t>
  </si>
  <si>
    <t>N9-50000-03</t>
  </si>
  <si>
    <t>Caution Label</t>
  </si>
  <si>
    <t>N9-50000-04</t>
  </si>
  <si>
    <t>Biohazard Label</t>
  </si>
  <si>
    <t>N9-50000-05</t>
  </si>
  <si>
    <t>Hot Label</t>
  </si>
  <si>
    <t>N9-50000-06</t>
  </si>
  <si>
    <t>Class 3B Laser Warning Label ENG</t>
  </si>
  <si>
    <t>N9-50000-07</t>
  </si>
  <si>
    <t>Class 3B Laser Warning Label FR</t>
  </si>
  <si>
    <t>N9-50000-08</t>
  </si>
  <si>
    <t>VOID IF BROKEN Security Label</t>
  </si>
  <si>
    <t>N9-50000-09</t>
  </si>
  <si>
    <t>WARNING Label-Warranty voided</t>
  </si>
  <si>
    <t>N9-50000-10</t>
  </si>
  <si>
    <t>WARNING- D0 NOT OPERATE WHILE RUNNING</t>
  </si>
  <si>
    <t>N9-50000-11</t>
  </si>
  <si>
    <t>LOADER CE LABEL</t>
  </si>
  <si>
    <t>N9-50000-12</t>
  </si>
  <si>
    <t>Northern Lights Model Plate Label UL CE</t>
  </si>
  <si>
    <t>N9-50000-13</t>
  </si>
  <si>
    <t>Warning Label, Hand Injury</t>
  </si>
  <si>
    <t>N9-50002</t>
  </si>
  <si>
    <t>Warning Label, Laser Beam Hazard</t>
  </si>
  <si>
    <t>N9-50003</t>
  </si>
  <si>
    <t>Warning Label, Danger</t>
  </si>
  <si>
    <t>N9-50004</t>
  </si>
  <si>
    <t>Warning Label, Biohazard</t>
  </si>
  <si>
    <t>N9-50005</t>
  </si>
  <si>
    <t>Warning Label, Hot Surface</t>
  </si>
  <si>
    <t>N9-50006</t>
  </si>
  <si>
    <t>Label, SpectroFlo TM</t>
  </si>
  <si>
    <t>N9-50008</t>
  </si>
  <si>
    <t>NL-CLC Certificate</t>
  </si>
  <si>
    <t>N9-50010</t>
  </si>
  <si>
    <t>NL-CLC Operation Manual</t>
  </si>
  <si>
    <t>N9-50011</t>
  </si>
  <si>
    <t>NL-CLC Fuse Spec</t>
  </si>
  <si>
    <t>N9-50012</t>
  </si>
  <si>
    <t>NL-CLC USB Sign Label</t>
  </si>
  <si>
    <t>N9-50013</t>
  </si>
  <si>
    <t>NL-CLC Do Not Open Label</t>
  </si>
  <si>
    <t>N9-50014</t>
  </si>
  <si>
    <t>NL-CLC Laser Variety Label</t>
  </si>
  <si>
    <t>N9-50015</t>
  </si>
  <si>
    <t>NL-CLC Laser Radiation Warning Label</t>
  </si>
  <si>
    <t>N9-50016</t>
  </si>
  <si>
    <t>NL-CLC Power Button Label</t>
  </si>
  <si>
    <t>N9-50017</t>
  </si>
  <si>
    <t>NL-CLC Grounding Label</t>
  </si>
  <si>
    <t>N9-50018</t>
  </si>
  <si>
    <t>NL-CLC Hand Harm Label</t>
  </si>
  <si>
    <t>N9-50019</t>
  </si>
  <si>
    <t>NL-CLC Nameplate Label</t>
  </si>
  <si>
    <t>N9-50020</t>
  </si>
  <si>
    <t>Laser Spec Label</t>
  </si>
  <si>
    <t>N9-50021</t>
  </si>
  <si>
    <t>ESD Label</t>
  </si>
  <si>
    <t>N9-50022</t>
  </si>
  <si>
    <t>Caution Laser Radiation Label</t>
  </si>
  <si>
    <t>N9-50023</t>
  </si>
  <si>
    <t>Warning Label, Class 3B Visible and Invisible Laser, French</t>
  </si>
  <si>
    <t>N9-50026</t>
  </si>
  <si>
    <t>Tech Support Magnet</t>
  </si>
  <si>
    <t>N9-50027</t>
  </si>
  <si>
    <t>NL-CLC Waste Label</t>
  </si>
  <si>
    <t>N9-50028</t>
  </si>
  <si>
    <t>NL-CLC Supply Label</t>
  </si>
  <si>
    <t>N9-50029</t>
  </si>
  <si>
    <t>EU CE-IVD Model Plate</t>
  </si>
  <si>
    <t>N9-50030</t>
  </si>
  <si>
    <t>Do Not Open Label</t>
  </si>
  <si>
    <t>N9-50032</t>
  </si>
  <si>
    <t>USB Label</t>
  </si>
  <si>
    <t>N9-50033</t>
  </si>
  <si>
    <t>Grounding Label</t>
  </si>
  <si>
    <t>N9-50034</t>
  </si>
  <si>
    <t>Power Button Label</t>
  </si>
  <si>
    <t>N9-50035</t>
  </si>
  <si>
    <t>Laser Radiation Warning Label</t>
  </si>
  <si>
    <t>N9-50036</t>
  </si>
  <si>
    <t>Warning Label, High Voltage</t>
  </si>
  <si>
    <t>N9-50037</t>
  </si>
  <si>
    <t>Warning Label, Class 3B Visible and Invisible Laser, English</t>
  </si>
  <si>
    <t>N9-50038</t>
  </si>
  <si>
    <t>Warning Label, Class 3B Visible Laser, English</t>
  </si>
  <si>
    <t>N9-50039</t>
  </si>
  <si>
    <t>N9-50040</t>
  </si>
  <si>
    <t>N9-50041</t>
  </si>
  <si>
    <t>Waste Bottle Label</t>
  </si>
  <si>
    <t>N9-50042</t>
  </si>
  <si>
    <t>Sheath Fluid Supply Bottle Label</t>
  </si>
  <si>
    <t>N9-50043</t>
  </si>
  <si>
    <t>Warranty Void Label</t>
  </si>
  <si>
    <t>N9-50044</t>
  </si>
  <si>
    <t>Cytek Name Label</t>
  </si>
  <si>
    <t>N9-50045</t>
  </si>
  <si>
    <t>N9-50046</t>
  </si>
  <si>
    <t>WASTE LABEL</t>
  </si>
  <si>
    <t>N9-50065</t>
  </si>
  <si>
    <t>SUPPLY LABEL</t>
  </si>
  <si>
    <t>N9-50066</t>
  </si>
  <si>
    <t>Cytek Spectral Cytometry Training</t>
  </si>
  <si>
    <t>N9-90000</t>
  </si>
  <si>
    <t>Aurora Base Model and NL3000 - Premium</t>
  </si>
  <si>
    <t>Year</t>
  </si>
  <si>
    <t>N9-90001</t>
  </si>
  <si>
    <t>N9-90001-INA</t>
  </si>
  <si>
    <t>Aurora Base Model and NL3000 - Value</t>
  </si>
  <si>
    <t>N9-90002</t>
  </si>
  <si>
    <t>N9-90002-INA</t>
  </si>
  <si>
    <t>Aurora/NL Base Model - PMI</t>
  </si>
  <si>
    <t>N9-90003</t>
  </si>
  <si>
    <t>N9-90003-INA</t>
  </si>
  <si>
    <t>Aurora/NL Base Model - T&amp;M PMI</t>
  </si>
  <si>
    <t>N9-90004</t>
  </si>
  <si>
    <t>Aurora 4 Laser - V/B/YG/R - Premium</t>
  </si>
  <si>
    <t>N9-90005</t>
  </si>
  <si>
    <t>N9-90005-INA</t>
  </si>
  <si>
    <t>Aurora 4 Laser - V/B/YG/R - Value</t>
  </si>
  <si>
    <t>N9-90006</t>
  </si>
  <si>
    <t>N9-90006-INA</t>
  </si>
  <si>
    <t>Aurora 5 Laser - UV/V/B/YG/R - Premium</t>
  </si>
  <si>
    <t>N9-90007</t>
  </si>
  <si>
    <t>N9-90007-INA</t>
  </si>
  <si>
    <t>Aurora 5 Laser - UV/V/B/YG/R - Value</t>
  </si>
  <si>
    <t>N9-90008</t>
  </si>
  <si>
    <t>N9-90008-INA</t>
  </si>
  <si>
    <t>NL 1000 - Premium</t>
  </si>
  <si>
    <t>N9-90009</t>
  </si>
  <si>
    <t>N9-90009-INA</t>
  </si>
  <si>
    <t>NL 1000 - Value</t>
  </si>
  <si>
    <t>N9-90010</t>
  </si>
  <si>
    <t>N9-90010-INA</t>
  </si>
  <si>
    <t>NL 2000 - Premium</t>
  </si>
  <si>
    <t>N9-90011</t>
  </si>
  <si>
    <t>N9-90011-INA</t>
  </si>
  <si>
    <t>NL 2000 - Value</t>
  </si>
  <si>
    <t>N9-90012</t>
  </si>
  <si>
    <t>N9-90012-INA</t>
  </si>
  <si>
    <t>Aurora Loader - Premium</t>
  </si>
  <si>
    <t>N9-90013</t>
  </si>
  <si>
    <t>N9-90013-INA</t>
  </si>
  <si>
    <t>Aurora Loader - PMI</t>
  </si>
  <si>
    <t>N9-90014</t>
  </si>
  <si>
    <t>N9-90014-INA</t>
  </si>
  <si>
    <t>Aurora Loader - T&amp;M PMI</t>
  </si>
  <si>
    <t>N9-90015</t>
  </si>
  <si>
    <t>Aurora Loader - Value</t>
  </si>
  <si>
    <t>N9-90016</t>
  </si>
  <si>
    <t>N9-90016-INA</t>
  </si>
  <si>
    <t>NL 1000 - PMI</t>
  </si>
  <si>
    <t>N9-90017</t>
  </si>
  <si>
    <t>N9-90017-INA</t>
  </si>
  <si>
    <t>NL 1000 - T&amp;M PMI</t>
  </si>
  <si>
    <t>N9-90018</t>
  </si>
  <si>
    <t>N9-90018-INA</t>
  </si>
  <si>
    <t>NL 2000 - PMI</t>
  </si>
  <si>
    <t>N9-90019</t>
  </si>
  <si>
    <t>N9-90019-INA</t>
  </si>
  <si>
    <t>NL 2000 - T&amp;M PMI</t>
  </si>
  <si>
    <t>N9-90020</t>
  </si>
  <si>
    <t>N9-90020-INA</t>
  </si>
  <si>
    <t>Aurora 4 Laser - V/B/YG/R - PMI</t>
  </si>
  <si>
    <t>N9-90021</t>
  </si>
  <si>
    <t>N9-90021-INA</t>
  </si>
  <si>
    <t>Aurora 4 Laser - V/B/YG/R - T&amp;M PMI</t>
  </si>
  <si>
    <t>N9-90022</t>
  </si>
  <si>
    <t>N9-90022-INA</t>
  </si>
  <si>
    <t>Aurora 5 Laser - UV/V/B/YG/ R - PMI</t>
  </si>
  <si>
    <t>N9-90023</t>
  </si>
  <si>
    <t>N9-90023-INA</t>
  </si>
  <si>
    <t>Aurora 5 Laser - UV/V/B/YG/R - T&amp;M PMI</t>
  </si>
  <si>
    <t>N9-90024</t>
  </si>
  <si>
    <t>N9-90024-INA</t>
  </si>
  <si>
    <t>Aurora 4 Laser - UV/V/B/R - Premium</t>
  </si>
  <si>
    <t>N9-90025</t>
  </si>
  <si>
    <t>N9-90025-INA</t>
  </si>
  <si>
    <t>Aurora 4 Laser - UV/V/B/R - Value</t>
  </si>
  <si>
    <t>N9-90026</t>
  </si>
  <si>
    <t>N9-90026-INA</t>
  </si>
  <si>
    <t>Aurora 4 Laser - UV/V/B/R - PMI</t>
  </si>
  <si>
    <t>N9-90027</t>
  </si>
  <si>
    <t>N9-90027-INA</t>
  </si>
  <si>
    <t>Aurora 4 Laser - UV/V/B/R - T&amp;M PMI</t>
  </si>
  <si>
    <t>N9-90028</t>
  </si>
  <si>
    <t>N9-90028-INA</t>
  </si>
  <si>
    <t>NL 1000 - 2 Year Extended Warranty</t>
  </si>
  <si>
    <t>2 Years</t>
  </si>
  <si>
    <t>N9-90029</t>
  </si>
  <si>
    <t>N9-90029-INA</t>
  </si>
  <si>
    <t>NL 1000 - 3 Year Extended Warranty</t>
  </si>
  <si>
    <t>3 Years</t>
  </si>
  <si>
    <t>N9-90030</t>
  </si>
  <si>
    <t>N9-90030-INA</t>
  </si>
  <si>
    <t>NL 1000 - 4 Year Extended Warranty</t>
  </si>
  <si>
    <t>N9-90031</t>
  </si>
  <si>
    <t>N9-90031-INA</t>
  </si>
  <si>
    <t>NL 1000 - 5 Year Extended Warranty</t>
  </si>
  <si>
    <t>N9-90032</t>
  </si>
  <si>
    <t>N9-90032-INA</t>
  </si>
  <si>
    <t>NL 2000 - 2 Year Extended Warranty</t>
  </si>
  <si>
    <t>N9-90033</t>
  </si>
  <si>
    <t>N9-90033-INA</t>
  </si>
  <si>
    <t>NL 2000 - 3 Year Extended Warranty</t>
  </si>
  <si>
    <t>N9-90034</t>
  </si>
  <si>
    <t>N9-90034-INA</t>
  </si>
  <si>
    <t>NL 2000 - 4 Year Extended Warranty</t>
  </si>
  <si>
    <t>N9-90035</t>
  </si>
  <si>
    <t>N9-90035-INA</t>
  </si>
  <si>
    <t>NL 2000 - 5 Year Extended Warranty</t>
  </si>
  <si>
    <t>N9-90036</t>
  </si>
  <si>
    <t>N9-90036-INA</t>
  </si>
  <si>
    <t>NL 3000 - 2 Year Extended Warranty</t>
  </si>
  <si>
    <t>N9-90037</t>
  </si>
  <si>
    <t>N9-90037-INA</t>
  </si>
  <si>
    <t>NL 3000 - 3 Year Extended Warranty</t>
  </si>
  <si>
    <t>N9-90038</t>
  </si>
  <si>
    <t>N9-90038-INA</t>
  </si>
  <si>
    <t>NL 3000 - 4 Year Extended Warranty</t>
  </si>
  <si>
    <t>N9-90039</t>
  </si>
  <si>
    <t>N9-90039-INA</t>
  </si>
  <si>
    <t>NL 3000 - 5 Year Extended Warranty</t>
  </si>
  <si>
    <t>N9-90040</t>
  </si>
  <si>
    <t>N9-90040-INA</t>
  </si>
  <si>
    <t>Aurora 3 Laser - 2 Year Warranty</t>
  </si>
  <si>
    <t>N9-90041</t>
  </si>
  <si>
    <t>N9-90041-INA</t>
  </si>
  <si>
    <t>Aurora 3 Laser - 3 Year Warranty</t>
  </si>
  <si>
    <t>N9-90042</t>
  </si>
  <si>
    <t>N9-90042-INA</t>
  </si>
  <si>
    <t>Aurora 3 Laser - 4 Year Warranty</t>
  </si>
  <si>
    <t>N9-90043</t>
  </si>
  <si>
    <t>N9-90043-INA</t>
  </si>
  <si>
    <t>Aurora 3 Laser - 5 Year Warranty</t>
  </si>
  <si>
    <t>N9-90044</t>
  </si>
  <si>
    <t>N9-90044-INA</t>
  </si>
  <si>
    <t>Aurora 4 Laser - V/B/YG/R - 2 Year Extended Warranty</t>
  </si>
  <si>
    <t>N9-90045</t>
  </si>
  <si>
    <t>N9-90045-INA</t>
  </si>
  <si>
    <t>Aurora 4 Laser - V/B/YG/R - 3 Year Extended Warranty</t>
  </si>
  <si>
    <t>N9-90046</t>
  </si>
  <si>
    <t>N9-90046-INA</t>
  </si>
  <si>
    <t>Aurora 4 Laser - V/B/YG/R - 4 Year Extended Warranty</t>
  </si>
  <si>
    <t>N9-90047</t>
  </si>
  <si>
    <t>N9-90047-INA</t>
  </si>
  <si>
    <t>Aurora 4 Laser - V/B/YG/R - 5 Year Extended Warranty</t>
  </si>
  <si>
    <t>N9-90048</t>
  </si>
  <si>
    <t>N9-90048-INA</t>
  </si>
  <si>
    <t>Aurora 4 Laser - UV/V/B/R - 2 Year Extended Warranty</t>
  </si>
  <si>
    <t>N9-90049</t>
  </si>
  <si>
    <t>N9-90049-INA</t>
  </si>
  <si>
    <t>Aurora 4 Laser - UV/V/B/R - 3 Year Extended Warranty</t>
  </si>
  <si>
    <t>N9-90050</t>
  </si>
  <si>
    <t>N9-90050-INA</t>
  </si>
  <si>
    <t>Aurora 4 Laser - UV/V/B/R - 4 Year Extended Warranty</t>
  </si>
  <si>
    <t>N9-90051</t>
  </si>
  <si>
    <t>N9-90051-INA</t>
  </si>
  <si>
    <t>Aurora 4 Laser - UV/V/B/R - 5 Year Extended Warranty</t>
  </si>
  <si>
    <t>N9-90052</t>
  </si>
  <si>
    <t>N9-90052-INA</t>
  </si>
  <si>
    <t>Aurora 5 Laser - UV/V/B/YG/R - 2 Year Extended Warranty</t>
  </si>
  <si>
    <t>N9-90053</t>
  </si>
  <si>
    <t>N9-90053-INA</t>
  </si>
  <si>
    <t>Aurora 5 Laser - UV/V/B/YG/R - 3 Year Extended Warranty</t>
  </si>
  <si>
    <t>N9-90054</t>
  </si>
  <si>
    <t>N9-90054-INA</t>
  </si>
  <si>
    <t>Aurora 5 Laser - UV/V/B/YG/R - 4 Year Extended Warranty</t>
  </si>
  <si>
    <t>N9-90055</t>
  </si>
  <si>
    <t>N9-90055-INA</t>
  </si>
  <si>
    <t>Aurora 5 Laser - UV/V/B/YG/R - 5 Year Extended Warranty</t>
  </si>
  <si>
    <t>N9-90056</t>
  </si>
  <si>
    <t>N9-90056-INA</t>
  </si>
  <si>
    <t>Loader - 2 Year Extended Warranty</t>
  </si>
  <si>
    <t>N9-90057</t>
  </si>
  <si>
    <t>N9-90057-INA</t>
  </si>
  <si>
    <t>Loader - 3 Year Extended Warranty</t>
  </si>
  <si>
    <t>N9-90058</t>
  </si>
  <si>
    <t>N9-90058-INA</t>
  </si>
  <si>
    <t>Loader - 4 Year Extended Warranty</t>
  </si>
  <si>
    <t>N9-90059</t>
  </si>
  <si>
    <t>N9-90059-INA</t>
  </si>
  <si>
    <t>Loader - 5 Year Extended Warranty</t>
  </si>
  <si>
    <t>N9-90060</t>
  </si>
  <si>
    <t>N9-90060-INA</t>
  </si>
  <si>
    <t>Aurora Base Model and NL3000 - Parts Only</t>
  </si>
  <si>
    <t>N9-90061</t>
  </si>
  <si>
    <t>N9-90061-INA</t>
  </si>
  <si>
    <t>Aurora 4 Laser - V/B /YG/R - Parts Only</t>
  </si>
  <si>
    <t>N9-90062</t>
  </si>
  <si>
    <t>N9-90062-INA</t>
  </si>
  <si>
    <t>Aurora 5 Laser - UV/V/B/YG/R - Parts Only</t>
  </si>
  <si>
    <t>N9-90063</t>
  </si>
  <si>
    <t>N9-90063-INA</t>
  </si>
  <si>
    <t>NL 1000 - Parts Only</t>
  </si>
  <si>
    <t>N9-90064</t>
  </si>
  <si>
    <t>N9-90064-INA</t>
  </si>
  <si>
    <t>NL 2000 - Parts Only</t>
  </si>
  <si>
    <t>N9-90065</t>
  </si>
  <si>
    <t>N9-90065-INA</t>
  </si>
  <si>
    <t>Aurora Loader - Parts Only</t>
  </si>
  <si>
    <t>N9-90066</t>
  </si>
  <si>
    <t>N9-90066-INA</t>
  </si>
  <si>
    <t>Aurora 4 laser - UV - Parts Only</t>
  </si>
  <si>
    <t>N9-90067</t>
  </si>
  <si>
    <t>N9-90067-INA</t>
  </si>
  <si>
    <t>Sorter 3L - Premium</t>
  </si>
  <si>
    <t>N9-90068</t>
  </si>
  <si>
    <t>N9-90068-INA</t>
  </si>
  <si>
    <t>Sorter 4L YG - Premium</t>
  </si>
  <si>
    <t>N9-90069</t>
  </si>
  <si>
    <t>N9-90069-INA</t>
  </si>
  <si>
    <t>Sorter 4L UV - Premium</t>
  </si>
  <si>
    <t>N9-90070</t>
  </si>
  <si>
    <t>N9-90070-INA</t>
  </si>
  <si>
    <t>Sorter 5L - Premium</t>
  </si>
  <si>
    <t>N9-90071</t>
  </si>
  <si>
    <t>N9-90071-INA</t>
  </si>
  <si>
    <t>Aurora 4 Laser - V/B /YG/R - Premium</t>
  </si>
  <si>
    <t>N9-90072</t>
  </si>
  <si>
    <t>N9-90072-INA</t>
  </si>
  <si>
    <t>Aurora 4 Laser - V/B /YG/R - Value</t>
  </si>
  <si>
    <t>N9-90073</t>
  </si>
  <si>
    <t>N9-90073-INA</t>
  </si>
  <si>
    <t>N9-90074</t>
  </si>
  <si>
    <t>N9-90074-INA</t>
  </si>
  <si>
    <t>N9-90075</t>
  </si>
  <si>
    <t>N9-90075-INA</t>
  </si>
  <si>
    <t>N9-90076</t>
  </si>
  <si>
    <t>N9-90076-INA</t>
  </si>
  <si>
    <t>Aurora-CS 3 Laser - 2 Year Additional Warranty</t>
  </si>
  <si>
    <t>N9-90080</t>
  </si>
  <si>
    <t>N9-90080-INA</t>
  </si>
  <si>
    <t>Aurora-CS 3 Laser - 3 Year Additional Warranty</t>
  </si>
  <si>
    <t>N9-90081</t>
  </si>
  <si>
    <t>N9-90081-INA</t>
  </si>
  <si>
    <t>Aurora-CS 3 Laser - 4 Year Additional  Warranty</t>
  </si>
  <si>
    <t>N9-90082</t>
  </si>
  <si>
    <t>N9-90082-INA</t>
  </si>
  <si>
    <t>Aurora-CS 3 Laser - 5 Year Additional Warranty</t>
  </si>
  <si>
    <t>N9-90083</t>
  </si>
  <si>
    <t>N9-90083-INA</t>
  </si>
  <si>
    <t>Aurora-CS 4-Laser (B/R/V/YG)  - 2 Year Additional Warranty</t>
  </si>
  <si>
    <t>N9-90084</t>
  </si>
  <si>
    <t>N9-90084-INA</t>
  </si>
  <si>
    <t>Aurora-CS 4-Laser (B/R/V/YG)  - 3 Year Additional Warranty</t>
  </si>
  <si>
    <t>N9-90085</t>
  </si>
  <si>
    <t>N9-90085-INA</t>
  </si>
  <si>
    <t>Aurora-CS 4-Laser (B/R/V/YG)  - 4 Year Additional  Warranty</t>
  </si>
  <si>
    <t>N9-90086</t>
  </si>
  <si>
    <t>N9-90086-INA</t>
  </si>
  <si>
    <t>Aurora-CS 4-Laser (B/R/V/YG)  - 5 Year Additional Warranty</t>
  </si>
  <si>
    <t>N9-90087</t>
  </si>
  <si>
    <t>N9-90087-INA</t>
  </si>
  <si>
    <t>Aurora-CS 4-Laser (B/R/V/UV)  - 2 Year Additional Warranty</t>
  </si>
  <si>
    <t>N9-90088</t>
  </si>
  <si>
    <t>N9-90088-INA</t>
  </si>
  <si>
    <t>Aurora-CS 4-Laser (B/R/V/UV)  - 3 Year Additional Warranty</t>
  </si>
  <si>
    <t>N9-90089</t>
  </si>
  <si>
    <t>N9-90089-INA</t>
  </si>
  <si>
    <t>Aurora-CS 4-Laser (B/R/V/UV)  - 4 Year Additional  Warranty</t>
  </si>
  <si>
    <t>N9-90090</t>
  </si>
  <si>
    <t>N9-90090-INA</t>
  </si>
  <si>
    <t>Aurora-CS 4-Laser (B/R/V/UV)  - 5 Year Additional Warranty</t>
  </si>
  <si>
    <t>N9-90091</t>
  </si>
  <si>
    <t>N9-90091-INA</t>
  </si>
  <si>
    <t>Aurora-CS 5- Laser (B/R/V/YG/UV)  - 2 Year Additional Warranty</t>
  </si>
  <si>
    <t>N9-90092</t>
  </si>
  <si>
    <t>N9-90092-INA</t>
  </si>
  <si>
    <t>Aurora-CS 5- Laser (B/R/V/YG/UV)  - 3 Year Additional Warranty</t>
  </si>
  <si>
    <t>N9-90093</t>
  </si>
  <si>
    <t>N9-90093-INA</t>
  </si>
  <si>
    <t>Aurora-CS 5- Laser (B/R/V/YG/UV)  - 4 Year Additional  Warranty</t>
  </si>
  <si>
    <t>N9-90094</t>
  </si>
  <si>
    <t>N9-90094-INA</t>
  </si>
  <si>
    <t>Aurora-CS 5- Laser (B/R/V/YG/UV)  - 5 Year Additional Warranty</t>
  </si>
  <si>
    <t>N9-90095</t>
  </si>
  <si>
    <t>N9-90095-INA</t>
  </si>
  <si>
    <t>UV Upgrade SVC Contract (Monthly)</t>
  </si>
  <si>
    <t>N9-90096</t>
  </si>
  <si>
    <t>RYV Upgrade (Monthly)</t>
  </si>
  <si>
    <t>N9-90097</t>
  </si>
  <si>
    <t>OQ Package (2PM visits)</t>
  </si>
  <si>
    <t>N9-90099</t>
  </si>
  <si>
    <t>OQ Package (All service visits)</t>
  </si>
  <si>
    <t>N9-90100</t>
  </si>
  <si>
    <t>IQ/OQ</t>
  </si>
  <si>
    <t>N9-90101</t>
  </si>
  <si>
    <t>Annual Surcharge</t>
  </si>
  <si>
    <t>N9-90102</t>
  </si>
  <si>
    <t>Quarterly Surcharge</t>
  </si>
  <si>
    <t>N9-90103</t>
  </si>
  <si>
    <t>BSL3/4 Surcharge</t>
  </si>
  <si>
    <t>N9-90104</t>
  </si>
  <si>
    <t>N9-90104-INA</t>
  </si>
  <si>
    <t>Priority Response</t>
  </si>
  <si>
    <t>N9-90105</t>
  </si>
  <si>
    <t>Cytek Spectral Cytometry Additional Training Provisions</t>
  </si>
  <si>
    <t>N9-90106</t>
  </si>
  <si>
    <t>Cytek Spectral Cytometry Online Lecture Series</t>
  </si>
  <si>
    <t>N9-90107</t>
  </si>
  <si>
    <t>Cytek Spectral Cytometry On-site Instrument Training</t>
  </si>
  <si>
    <t>N9-90108</t>
  </si>
  <si>
    <t>Cytek Spectral Cytometry Remote Instrument Training</t>
  </si>
  <si>
    <t>N9-90109</t>
  </si>
  <si>
    <t>Aurora-CS 3- Laser (B/R/V) - Value</t>
  </si>
  <si>
    <t>N9-90110</t>
  </si>
  <si>
    <t>N9-90110-INA</t>
  </si>
  <si>
    <t>Aurora-CS 4- Laser (B/R/V/YG) - Value</t>
  </si>
  <si>
    <t>N9-90112</t>
  </si>
  <si>
    <t>N9-90112-INA</t>
  </si>
  <si>
    <t>Aurora-CS 4- Laser (B/R/V/UV) - Value</t>
  </si>
  <si>
    <t>N9-90113</t>
  </si>
  <si>
    <t>N9-90113-INA</t>
  </si>
  <si>
    <t>Cytek Aurora-CS 5L - Value</t>
  </si>
  <si>
    <t>N9-90114</t>
  </si>
  <si>
    <t>N9-90114-INA</t>
  </si>
  <si>
    <t>Aurora-CS 3- Laser (B/R/V) - PMI</t>
  </si>
  <si>
    <t>N9-90115</t>
  </si>
  <si>
    <t>N9-90115-INA</t>
  </si>
  <si>
    <t>Cytek Aurora-CS 3L YG  - PMI</t>
  </si>
  <si>
    <t>N9-90116</t>
  </si>
  <si>
    <t>N9-90116-INA</t>
  </si>
  <si>
    <t>Aurora-CS 4- Laser (B/R/V/YG) - PMI</t>
  </si>
  <si>
    <t>N9-90117</t>
  </si>
  <si>
    <t>N9-90117-INA</t>
  </si>
  <si>
    <t>Aurora-CS 4- Laser (B/R/V/UV) - PMI</t>
  </si>
  <si>
    <t>N9-90118</t>
  </si>
  <si>
    <t>N9-90118-INA</t>
  </si>
  <si>
    <t>Aurora-CS 5- Laser (B/R/V/YG/UV) - PMI</t>
  </si>
  <si>
    <t>N9-90119</t>
  </si>
  <si>
    <t>N9-90119-INA</t>
  </si>
  <si>
    <t>Blue &amp; Periscope laser Pairing Set replacement</t>
  </si>
  <si>
    <t>N9-90120</t>
  </si>
  <si>
    <t>Red &amp; Periscope laser Pairing Set replacement</t>
  </si>
  <si>
    <t>N9-90121</t>
  </si>
  <si>
    <t>Violet &amp; Periscope laser Pairing Set replacement</t>
  </si>
  <si>
    <t>N9-90122</t>
  </si>
  <si>
    <t>YG &amp; Periscope laser Pairing Set replacement</t>
  </si>
  <si>
    <t>N9-90123</t>
  </si>
  <si>
    <t>UV &amp; Periscope laser Pairing Set replacement</t>
  </si>
  <si>
    <t>N9-90124</t>
  </si>
  <si>
    <t>APD Assy, Violet 16 Channel replacement</t>
  </si>
  <si>
    <t>N9-90125</t>
  </si>
  <si>
    <t>APD Assy, Blue 14 Channel replacement</t>
  </si>
  <si>
    <t>N9-90126</t>
  </si>
  <si>
    <t>APD Assy, Yellow-Green 10 Channel replacement</t>
  </si>
  <si>
    <t>N9-90127</t>
  </si>
  <si>
    <t>APD Assy, Red 14 Channel replacement</t>
  </si>
  <si>
    <t>N9-90128</t>
  </si>
  <si>
    <t>APD Assy, UV 16 Channel replacement</t>
  </si>
  <si>
    <t>N9-90129</t>
  </si>
  <si>
    <t>Aurora 3 Laser with loader - Premium  (RUO and CLC)</t>
  </si>
  <si>
    <t>N9-90130</t>
  </si>
  <si>
    <t>N9-90130-INA</t>
  </si>
  <si>
    <t>Aurora 3 Laser with loader - Value</t>
  </si>
  <si>
    <t>N9-90131</t>
  </si>
  <si>
    <t>N9-90131-INA</t>
  </si>
  <si>
    <t>Aurora 4 Laser with loader - V/B/YG/R - Premium</t>
  </si>
  <si>
    <t>N9-90132</t>
  </si>
  <si>
    <t>N9-90132-INA</t>
  </si>
  <si>
    <t>Aurora 4 Laser with loader - V/B/YG/R - Value</t>
  </si>
  <si>
    <t>N9-90133</t>
  </si>
  <si>
    <t>N9-90133-INA</t>
  </si>
  <si>
    <t>Aurora 4 Laser with loader - UV/V/B/R  - Premium</t>
  </si>
  <si>
    <t>N9-90134</t>
  </si>
  <si>
    <t>N9-90134-INA</t>
  </si>
  <si>
    <t>Aurora 4 Laser with loader - UV/V/B/R  - Value</t>
  </si>
  <si>
    <t>N9-90135</t>
  </si>
  <si>
    <t>N9-90135-INA</t>
  </si>
  <si>
    <t>Aurora 5 Laser with loader - UV/V/B/YG/R  - Premium</t>
  </si>
  <si>
    <t>N9-90136</t>
  </si>
  <si>
    <t>N9-90136-INA</t>
  </si>
  <si>
    <t>Aurora 5 Laser with loader - UV/V/B/YG/R  - Value</t>
  </si>
  <si>
    <t>N9-90137</t>
  </si>
  <si>
    <t>N9-90137-INA</t>
  </si>
  <si>
    <t>NL-1000 with loader - Premium (RUO and CLC)</t>
  </si>
  <si>
    <t>N9-90138</t>
  </si>
  <si>
    <t>N9-90138-INA</t>
  </si>
  <si>
    <t>NL-1000 with loader - Value (RUO and CLC)</t>
  </si>
  <si>
    <t>N9-90139</t>
  </si>
  <si>
    <t>N9-90139-INA</t>
  </si>
  <si>
    <t>NL 2000 with loader - Premium  (RUO and CLC)</t>
  </si>
  <si>
    <t>N9-90140</t>
  </si>
  <si>
    <t>N9-90140-INA</t>
  </si>
  <si>
    <t>NL 2000 with loader - Value  (RUO and CLC)</t>
  </si>
  <si>
    <t>N9-90141</t>
  </si>
  <si>
    <t>N9-90141-INA</t>
  </si>
  <si>
    <t>NL 3000 V/B/R with Loader - Premium (RUO and CLC)</t>
  </si>
  <si>
    <t>N9-90142</t>
  </si>
  <si>
    <t>N9-90142-INA</t>
  </si>
  <si>
    <t>NL 3000 V/B/R - Premium (RUO and CLC)</t>
  </si>
  <si>
    <t>N9-90143</t>
  </si>
  <si>
    <t>N9-90143-INA</t>
  </si>
  <si>
    <t>NL 3000 V/B/R with Loader - Value (RUO and CLC)</t>
  </si>
  <si>
    <t>N9-90144</t>
  </si>
  <si>
    <t>N9-90144-INA</t>
  </si>
  <si>
    <t>NL 3000 V/B/R - Value (RUO and CLC) (RUO and CLC)</t>
  </si>
  <si>
    <t>N9-90145</t>
  </si>
  <si>
    <t>N9-90145-INA</t>
  </si>
  <si>
    <t>NL 3000 V/B/R - Parts Only (RUO and CLC)</t>
  </si>
  <si>
    <t>N9-90146</t>
  </si>
  <si>
    <t>N9-90146-INA</t>
  </si>
  <si>
    <t>NL 3000 V/B/R -  1 PMI (RUO and CLC)</t>
  </si>
  <si>
    <t>N9-90147</t>
  </si>
  <si>
    <t>N9-90147-INA</t>
  </si>
  <si>
    <t>NL 3000 V/B/YG with Loader - Premium</t>
  </si>
  <si>
    <t>N9-90148</t>
  </si>
  <si>
    <t>N9-90148-INA</t>
  </si>
  <si>
    <t>NL 3000 V/B/YG - Premium</t>
  </si>
  <si>
    <t>N9-90149</t>
  </si>
  <si>
    <t>N9-90149-INA</t>
  </si>
  <si>
    <t>NL 3000 V/B/YG with Loader - Value</t>
  </si>
  <si>
    <t>N9-90150</t>
  </si>
  <si>
    <t>N9-90150-INA</t>
  </si>
  <si>
    <t>NL 3000 V/B/YG - Value</t>
  </si>
  <si>
    <t>N9-90151</t>
  </si>
  <si>
    <t>N9-90151-INA</t>
  </si>
  <si>
    <t>NL 3000 V/B/YG - Parts Only</t>
  </si>
  <si>
    <t>N9-90152</t>
  </si>
  <si>
    <t>N9-90152-INA</t>
  </si>
  <si>
    <t>NL 3000 V/B/YG -  1 PMI</t>
  </si>
  <si>
    <t>N9-90153</t>
  </si>
  <si>
    <t>N9-90153-INA</t>
  </si>
  <si>
    <t>Northern Lights- CLC IVDD 1000 with Loader Premium</t>
  </si>
  <si>
    <t>N9-90154</t>
  </si>
  <si>
    <t>N9-90154-INA</t>
  </si>
  <si>
    <t>Northern Lights- CLC IVDD 1000 - Premium</t>
  </si>
  <si>
    <t>N9-90155</t>
  </si>
  <si>
    <t>N9-90155-INA</t>
  </si>
  <si>
    <t>Northern Lights- CLC IVDD 1000 - with Value loader</t>
  </si>
  <si>
    <t>N9-90156</t>
  </si>
  <si>
    <t>N9-90156-INA</t>
  </si>
  <si>
    <t>Northern Lights- CLC IVDD 1000 - Value</t>
  </si>
  <si>
    <t>N9-90157</t>
  </si>
  <si>
    <t>N9-90157-INA</t>
  </si>
  <si>
    <t>Northern Lights- CLC IVDD - Parts Only</t>
  </si>
  <si>
    <t>N9-90158</t>
  </si>
  <si>
    <t>N9-90158-INA</t>
  </si>
  <si>
    <t>Northern Lights- CLC IVDD 1000 - PMI</t>
  </si>
  <si>
    <t>N9-90159</t>
  </si>
  <si>
    <t>N9-90159-INA</t>
  </si>
  <si>
    <t>Northern Lights- CLC IVDD 2000 B&amp;R with Loader Premium</t>
  </si>
  <si>
    <t>N9-90160</t>
  </si>
  <si>
    <t>N9-90160-INA</t>
  </si>
  <si>
    <t>Northern Lights- CLC IVDD 2000 B&amp;R - Premium</t>
  </si>
  <si>
    <t>N9-90161</t>
  </si>
  <si>
    <t>N9-90161-INA</t>
  </si>
  <si>
    <t>Northern Lights- CLC IVDD 2000 B&amp;R - with Value loader</t>
  </si>
  <si>
    <t>N9-90162</t>
  </si>
  <si>
    <t>N9-90162-INA</t>
  </si>
  <si>
    <t>Northern Lights- CLC IVDD 2000 B&amp;R - Value</t>
  </si>
  <si>
    <t>N9-90163</t>
  </si>
  <si>
    <t>N9-90163-INA</t>
  </si>
  <si>
    <t>Northern Lights- CLC IVDD 2000 B&amp;R - Parts Only</t>
  </si>
  <si>
    <t>N9-90164</t>
  </si>
  <si>
    <t>N9-90164-INA</t>
  </si>
  <si>
    <t>Northern Lights- CLC IVDD 2000 B&amp;R - PMI</t>
  </si>
  <si>
    <t>N9-90165</t>
  </si>
  <si>
    <t>N9-90165-INA</t>
  </si>
  <si>
    <t>Northern Lights- CLC IVDD 2000 B&amp;V with Loader Premium</t>
  </si>
  <si>
    <t>N9-90166</t>
  </si>
  <si>
    <t>N9-90166-INA</t>
  </si>
  <si>
    <t>Northern Lights- CLC IVDD 2000 B&amp;V - Premium</t>
  </si>
  <si>
    <t>N9-90167</t>
  </si>
  <si>
    <t>N9-90167-INA</t>
  </si>
  <si>
    <t>Northern Lights- CLC IVDD 2000 B&amp;V - with Value loader</t>
  </si>
  <si>
    <t>N9-90168</t>
  </si>
  <si>
    <t>N9-90168-INA</t>
  </si>
  <si>
    <t>N9-90169</t>
  </si>
  <si>
    <t>N9-90169-INA</t>
  </si>
  <si>
    <t>N9-90170</t>
  </si>
  <si>
    <t>N9-90170-INA</t>
  </si>
  <si>
    <t>N9-90171</t>
  </si>
  <si>
    <t>N9-90171-INA</t>
  </si>
  <si>
    <t>Northern Lights- CLC IVDD 3000 B&amp;V with Loader Premium</t>
  </si>
  <si>
    <t>N9-90172</t>
  </si>
  <si>
    <t>N9-90172-INA</t>
  </si>
  <si>
    <t>Northern Lights- CLC IVDD 3000 B&amp;V - Premium</t>
  </si>
  <si>
    <t>N9-90173</t>
  </si>
  <si>
    <t>N9-90173-INA</t>
  </si>
  <si>
    <t>Northern Lights- CLC IVDD 3000 B&amp;V - with Value loader</t>
  </si>
  <si>
    <t>N9-90174</t>
  </si>
  <si>
    <t>N9-90174-INA</t>
  </si>
  <si>
    <t>Northern Lights- CLC IVDD 3000 B&amp;R - Value</t>
  </si>
  <si>
    <t>N9-90175</t>
  </si>
  <si>
    <t>N9-90175-INA</t>
  </si>
  <si>
    <t>Northern Lights- CLC IVDD 3000 B&amp;R - Parts Only</t>
  </si>
  <si>
    <t>N9-90176</t>
  </si>
  <si>
    <t>N9-90176-INA</t>
  </si>
  <si>
    <t>Northern Lights- CLC IVDD 3000 B&amp;R – PMI</t>
  </si>
  <si>
    <t>N9-90177</t>
  </si>
  <si>
    <t>N9-90177-INA</t>
  </si>
  <si>
    <t>Cytek Spectral Cytometry &amp; Aurora CS Training</t>
  </si>
  <si>
    <t>N9-90178</t>
  </si>
  <si>
    <t>Cytek Spectral Cytometry &amp; Aurora CS Additional Training Provisions</t>
  </si>
  <si>
    <t>N9-90179</t>
  </si>
  <si>
    <t>Cytek Cell Sorting Theory Online Lecture</t>
  </si>
  <si>
    <t>N9-90180</t>
  </si>
  <si>
    <t>Cytek Aurora CS On-Site Instrument Training</t>
  </si>
  <si>
    <t>N9-90181</t>
  </si>
  <si>
    <t>Cytek Aurora CS Remote Instrument Training</t>
  </si>
  <si>
    <t>N9-90182</t>
  </si>
  <si>
    <t>Data Analysis Service</t>
  </si>
  <si>
    <t>Hour</t>
  </si>
  <si>
    <t>N9-90183</t>
  </si>
  <si>
    <t>Cytek Spectral Cytometry Online Lecture Series (CS)</t>
  </si>
  <si>
    <t>N9-90185</t>
  </si>
  <si>
    <t>Sample Loader (1.5 and 2.0) - Value</t>
  </si>
  <si>
    <t>N9-90186</t>
  </si>
  <si>
    <t>Cytek Northern Lights 3000  V/B/YG 2-year warranty</t>
  </si>
  <si>
    <t>N9-90187</t>
  </si>
  <si>
    <t>Cytek Northern Lights 3000  V/B/YG 3-year warranty</t>
  </si>
  <si>
    <t>N9-90188</t>
  </si>
  <si>
    <t>Cytek Northern Lights 3000  V/B/YG 4-year warranty</t>
  </si>
  <si>
    <t>N9-90189</t>
  </si>
  <si>
    <t>Cytek Northern Lights 3000  V/B/YG 5-year warranty</t>
  </si>
  <si>
    <t>N9-90190</t>
  </si>
  <si>
    <t>Northern Lights- CLC IVDD 1000 2-year warranty</t>
  </si>
  <si>
    <t>N9-90191</t>
  </si>
  <si>
    <t>Northern Lights- CLC IVDD 1000 3-year warranty</t>
  </si>
  <si>
    <t>N9-90192</t>
  </si>
  <si>
    <t>Northern Lights- CLC IVDD 1000 4-year warranty</t>
  </si>
  <si>
    <t>N9-90193</t>
  </si>
  <si>
    <t>Northern Lights- CLC IVDD 1000 5-year warranty</t>
  </si>
  <si>
    <t>N9-90194</t>
  </si>
  <si>
    <t>Northern Lights- CLC IVDD 2000 B&amp;R 2-year warranty</t>
  </si>
  <si>
    <t>N9-90195</t>
  </si>
  <si>
    <t>Northern Lights- CLC IVDD 2000 B&amp;R 3-year warranty</t>
  </si>
  <si>
    <t>N9-90196</t>
  </si>
  <si>
    <t>Northern Lights- CLC IVDD 2000 B&amp;R 4-year warranty</t>
  </si>
  <si>
    <t>N9-90197</t>
  </si>
  <si>
    <t>Northern Lights- CLC IVDD 2000 B&amp;R 5-year warranty</t>
  </si>
  <si>
    <t>N9-90198</t>
  </si>
  <si>
    <t>Northern Lights- CLC IVDD 2000 B&amp;V 2-year warranty</t>
  </si>
  <si>
    <t>N9-90199</t>
  </si>
  <si>
    <t>Northern Lights- CLC IVDD 2000 B&amp;V 3-year warranty</t>
  </si>
  <si>
    <t>N9-90244</t>
  </si>
  <si>
    <t>Northern Lights- CLC IVDD 2000 B&amp;V 4-year warranty</t>
  </si>
  <si>
    <t>N9-90245</t>
  </si>
  <si>
    <t>Northern Lights- CLC IVDD 2000 B&amp;V 5-year warranty</t>
  </si>
  <si>
    <t>N9-90246</t>
  </si>
  <si>
    <t>Northern Lights- CLC IVDD 3000 BRV 2-year warranty</t>
  </si>
  <si>
    <t>N9-90247</t>
  </si>
  <si>
    <t>Northern Lights- CLC IVDD 3000 BRV 3-year warranty</t>
  </si>
  <si>
    <t>N9-90248</t>
  </si>
  <si>
    <t>Northern Lights- CLC IVDD 3000 BRV 4-year warranty</t>
  </si>
  <si>
    <t>N9-90249</t>
  </si>
  <si>
    <t>Northern Lights- CLC IVDD 3000 BRV 5-year warranty</t>
  </si>
  <si>
    <t>N9-90250</t>
  </si>
  <si>
    <t>New Instrument Reagent Start-up Credit $2,000</t>
  </si>
  <si>
    <t>N9-90332</t>
  </si>
  <si>
    <t>New Instrument Reagent Start-up Credit $5,000</t>
  </si>
  <si>
    <t>N9-90333</t>
  </si>
  <si>
    <t>New Instrument Reagent Start-up Credit $7,000</t>
  </si>
  <si>
    <t>N9-90334</t>
  </si>
  <si>
    <t>New Instrument Reagent Start-up Credit $10,000</t>
  </si>
  <si>
    <t>N9-90335</t>
  </si>
  <si>
    <t>New Instrument Reagent Start-up Credit $12,500</t>
  </si>
  <si>
    <t>N9-90336</t>
  </si>
  <si>
    <t>New Instrument Reagent Start-up Credit $15,000</t>
  </si>
  <si>
    <t>N9-90337</t>
  </si>
  <si>
    <t>Aurora-CS 3- Laser (B/R/V) - Parts Only</t>
  </si>
  <si>
    <t>N9-90338</t>
  </si>
  <si>
    <t>Aurora-CS 4- Laser (B/R/V/YG) - Parts Only</t>
  </si>
  <si>
    <t>N9-90339</t>
  </si>
  <si>
    <t>Aurora-CS 4- Laser (B/R/V/UV) - Parts Only</t>
  </si>
  <si>
    <t>N9-90340</t>
  </si>
  <si>
    <t>Aurora-CS 5- Laser (B/R/V/YG/UV) - Parts Only</t>
  </si>
  <si>
    <t>N9-90341</t>
  </si>
  <si>
    <t>NL 24 hours Response Time add-on</t>
  </si>
  <si>
    <t>N9-90342</t>
  </si>
  <si>
    <t>Cytek Spectral Cytometry Training for Analyzers</t>
  </si>
  <si>
    <t>N9-90343</t>
  </si>
  <si>
    <t>Cytek Spectral Cytometry Training (onsite only)</t>
  </si>
  <si>
    <t>N9-90344</t>
  </si>
  <si>
    <t>Install / Deinstall / 30-day Crate Rental</t>
  </si>
  <si>
    <t>N9-90350</t>
  </si>
  <si>
    <t>Weekly Crate Rental</t>
  </si>
  <si>
    <t>N9-90351</t>
  </si>
  <si>
    <t>Cytek Aurora/Northern Lights Instrument Training</t>
  </si>
  <si>
    <t>N9-90352</t>
  </si>
  <si>
    <t>Cytek Aurora/Northern Lights Instrument Training (1 Student)</t>
  </si>
  <si>
    <t>N9-90353</t>
  </si>
  <si>
    <t>1-Day Service Training</t>
  </si>
  <si>
    <t>N9-90354</t>
  </si>
  <si>
    <t>Install Fee - Aurora/NL</t>
  </si>
  <si>
    <t>N9-90355</t>
  </si>
  <si>
    <t>Install Fee - CS</t>
  </si>
  <si>
    <t>N9-90356</t>
  </si>
  <si>
    <t>Install Fee - Loader</t>
  </si>
  <si>
    <t>N9-90357</t>
  </si>
  <si>
    <t>Cytek® Orion™ Installation</t>
  </si>
  <si>
    <t>N9-90388</t>
  </si>
  <si>
    <t>Cytek® Orion™ service contract (1 year after warranty)</t>
  </si>
  <si>
    <t>N9-90389</t>
  </si>
  <si>
    <t>Cytek® Orion™ IQ/OQ</t>
  </si>
  <si>
    <t>N9-90390</t>
  </si>
  <si>
    <t>Harmonization Qualification (HQ)</t>
  </si>
  <si>
    <t>N9-90497</t>
  </si>
  <si>
    <t>Aurora 5 Laser - UV/V/B/YG/R - HQ PLATINUM</t>
  </si>
  <si>
    <t>N9-90498</t>
  </si>
  <si>
    <t>Cytek Aurora-CS 1L (B) system - Premium</t>
  </si>
  <si>
    <t>N9-90499</t>
  </si>
  <si>
    <t>Cytek Aurora-CS 2L (B, R) system - Premium</t>
  </si>
  <si>
    <t>N9-90500</t>
  </si>
  <si>
    <t>Cytek Aurora-CS 2L (B, V) system - Premium</t>
  </si>
  <si>
    <t>N9-90501</t>
  </si>
  <si>
    <t>SVC Platinum Contract</t>
  </si>
  <si>
    <t>N9-90502</t>
  </si>
  <si>
    <t>SVC Gold Contract</t>
  </si>
  <si>
    <t>N9-90503</t>
  </si>
  <si>
    <t>SVC Silver Contract</t>
  </si>
  <si>
    <t>N9-90504</t>
  </si>
  <si>
    <t>SVC Bronze Contract</t>
  </si>
  <si>
    <t>N9-90505</t>
  </si>
  <si>
    <t>Aurora Evo 3L B/YG/R - Value Maintenance &amp; Service Plan</t>
  </si>
  <si>
    <t>N9-90509</t>
  </si>
  <si>
    <t>Aurora Evo 3L V/B/YG - Value Maintenance &amp; Service Plan</t>
  </si>
  <si>
    <t>N9-90510</t>
  </si>
  <si>
    <t>Aurora Evo 3L V/B/R - Value Maintenance &amp; Service Plan</t>
  </si>
  <si>
    <t>N9-90511</t>
  </si>
  <si>
    <t>Aurora Evo 4L V/B/YG/R - Value Maintenance &amp; Service Plan</t>
  </si>
  <si>
    <t>N9-90512</t>
  </si>
  <si>
    <t>Aurora Evo 5L UV/V/B/YG/R - Value Maintenance &amp; Service Plan</t>
  </si>
  <si>
    <t>N9-90513</t>
  </si>
  <si>
    <t>Aurora Evo 2L B/R - PMI Maintenance &amp; Service Plan</t>
  </si>
  <si>
    <t>N9-90514</t>
  </si>
  <si>
    <t>Aurora Evo 2L V/B - PMI Maintenance &amp; Service Plan</t>
  </si>
  <si>
    <t>N9-90515</t>
  </si>
  <si>
    <t>Aurora Evo 3L B/YG/R - PMI Maintenance &amp; Service Plan</t>
  </si>
  <si>
    <t>N9-90516</t>
  </si>
  <si>
    <t>Aurora Evo 3L V/B/YG - PMI Maintenance &amp; Service Plan</t>
  </si>
  <si>
    <t>N9-90517</t>
  </si>
  <si>
    <t>Aurora Evo 3L V/B/R - PMI Maintenance &amp; Service Plan</t>
  </si>
  <si>
    <t>N9-90518</t>
  </si>
  <si>
    <t>Aurora Evo 4L V/B/YG/R - PMI Maintenance &amp; Service Plan</t>
  </si>
  <si>
    <t>N9-90519</t>
  </si>
  <si>
    <t>Aurora Evo 5L UV/V/B/YG/R - PMI Maintenance &amp; Service Plan</t>
  </si>
  <si>
    <t>N9-90520</t>
  </si>
  <si>
    <t>Aurora Evo 2L B/R - Parts Only Service Plan</t>
  </si>
  <si>
    <t>N9-90521</t>
  </si>
  <si>
    <t>Aurora Evo 2L V/B - Parts Only Service Plan</t>
  </si>
  <si>
    <t>N9-90522</t>
  </si>
  <si>
    <t>Aurora Evo 3L B/YG/R - Parts Only Service Plan</t>
  </si>
  <si>
    <t>N9-90523</t>
  </si>
  <si>
    <t>Aurora Evo 3L V/B/YG - Parts Only Service Plan</t>
  </si>
  <si>
    <t>N9-90524</t>
  </si>
  <si>
    <t>Aurora Evo 3L V/B/R - Parts Only Service Plan</t>
  </si>
  <si>
    <t>N9-90525</t>
  </si>
  <si>
    <t>Aurora Evo 4L V/B/YG/R - Parts Only Service Plan</t>
  </si>
  <si>
    <t>N9-90526</t>
  </si>
  <si>
    <t>Aurora Evo 5L UV/V/B/YG/R - Parts Only Service Plan</t>
  </si>
  <si>
    <t>N9-90527</t>
  </si>
  <si>
    <t>Aurora Evo 2L B/R - Premium Maintenance &amp; Service Plan</t>
  </si>
  <si>
    <t>N9-90528</t>
  </si>
  <si>
    <t>Aurora Evo 2L V/B - Premium Maintenance &amp; Service Plan</t>
  </si>
  <si>
    <t>N9-90529</t>
  </si>
  <si>
    <t>Aurora Evo 3L B/YG/R - Premium Maintenance &amp; Service Plan</t>
  </si>
  <si>
    <t>N9-90530</t>
  </si>
  <si>
    <t>Aurora Evo 3L V/B/YG - Premium Maintenance &amp; Service Plan</t>
  </si>
  <si>
    <t>N9-90531</t>
  </si>
  <si>
    <t>Aurora Evo 3L V/B/R - Premium Maintenance &amp; Service Plan</t>
  </si>
  <si>
    <t>N9-90532</t>
  </si>
  <si>
    <t>Aurora Evo 4L V/B/YG/R - Premium Maintenance &amp; Service Plan</t>
  </si>
  <si>
    <t>N9-90533</t>
  </si>
  <si>
    <t>Aurora Evo 5L UV/V/B/YG/R - Premium Maintenance &amp; Service Plan</t>
  </si>
  <si>
    <t>N9-90534</t>
  </si>
  <si>
    <t>Aurora Evo 2L B/R - Value Maintenance &amp; Service Plan</t>
  </si>
  <si>
    <t>N9-90535</t>
  </si>
  <si>
    <t>Aurora Evo 2L V/B - Value Maintenance &amp; Service Plan</t>
  </si>
  <si>
    <t>N9-90536</t>
  </si>
  <si>
    <t>Muse Micro, 3-Channel, Installation and Application Review Service</t>
  </si>
  <si>
    <t>N9-90537</t>
  </si>
  <si>
    <t>Muse Micro, 3-Channel, Annual Preventative Maintenance, Depot Service</t>
  </si>
  <si>
    <t>N9-90538</t>
  </si>
  <si>
    <t>Muse Micro, 3-Channel, Annual Preventative Maintenance, On-Site Service</t>
  </si>
  <si>
    <t>N9-90539</t>
  </si>
  <si>
    <t>Muse Micro, 5-Channel, Installation and Application Review Service</t>
  </si>
  <si>
    <t>N9-90540</t>
  </si>
  <si>
    <t>Muse Micro, 5-Channel, Annual Preventative Maintenance, Depot Service</t>
  </si>
  <si>
    <t>N9-90541</t>
  </si>
  <si>
    <t>Muse Micro, 5-Channel, Annual Preventative Maintenance, On-Site Service</t>
  </si>
  <si>
    <t>N9-90542</t>
  </si>
  <si>
    <t>Muse Micro (3 and 5 Channel) Installation Qualification and Operational Qualification Service Visit</t>
  </si>
  <si>
    <t>N9-90543</t>
  </si>
  <si>
    <t>guava eacyCyte HT Preventative Maintenance</t>
  </si>
  <si>
    <t>PM-EASYCYTE-HT</t>
  </si>
  <si>
    <t>guava eacyCyte SL Preventative Maintenance</t>
  </si>
  <si>
    <t>PM-EASYCYTE-SL</t>
  </si>
  <si>
    <t>FlowSight Preventative Maintenance</t>
  </si>
  <si>
    <t>PM-FLOWSIGHT</t>
  </si>
  <si>
    <t>ImageStream Preventative Maintenance Service</t>
  </si>
  <si>
    <t>PM-IMAGESTREAM</t>
  </si>
  <si>
    <t>Pre-amp Board Test Station</t>
  </si>
  <si>
    <t>cFluor®R720 anti-Mouse/Human CD44 (IM7), 25 tests (Kit Only)</t>
  </si>
  <si>
    <t>R6-20030</t>
  </si>
  <si>
    <t>cFluor™ B520 Anti-Human CD3 (SK7)</t>
  </si>
  <si>
    <t>R7-11001</t>
  </si>
  <si>
    <t>Fluorochrome: cFluor™ B520</t>
  </si>
  <si>
    <t>Clone: SK7</t>
  </si>
  <si>
    <t>Isotype: IgG1, kappa</t>
  </si>
  <si>
    <t>Host: Mouse</t>
  </si>
  <si>
    <t>Size: 100 Tests</t>
  </si>
  <si>
    <t>R7-11002</t>
  </si>
  <si>
    <t>Size: 25 Tests</t>
  </si>
  <si>
    <t>cFluor BYG781 Anti-Human CD4 (SK3)</t>
  </si>
  <si>
    <t>R7-11003</t>
  </si>
  <si>
    <t>Fluorochrome: cFluor BYG781</t>
  </si>
  <si>
    <t>Clone: SK3</t>
  </si>
  <si>
    <t>R7-11004</t>
  </si>
  <si>
    <t>cFluor R780 Anti-Human CD8 (SK1)</t>
  </si>
  <si>
    <t>R7-11005</t>
  </si>
  <si>
    <t>Fluorochrome: cFluor R780</t>
  </si>
  <si>
    <t>Clone: SK1</t>
  </si>
  <si>
    <t>R7-11006</t>
  </si>
  <si>
    <t>cFluor™ BYG575 Anti-Human CD16 (3G8)</t>
  </si>
  <si>
    <t>R7-11007</t>
  </si>
  <si>
    <t>Fluorochrome: cFluor™ BYG575</t>
  </si>
  <si>
    <t>Clone: 3G8</t>
  </si>
  <si>
    <t>R7-11008</t>
  </si>
  <si>
    <t>cFluor™ B690 Anti-Human CD45 (2D1)</t>
  </si>
  <si>
    <t>R7-11009</t>
  </si>
  <si>
    <t>Fluorochrome: cFluor™ B690</t>
  </si>
  <si>
    <t>Clone: 2D1</t>
  </si>
  <si>
    <t>R7-11010</t>
  </si>
  <si>
    <t>cFluor™ V547 Anti-Human CD45 (HI30)</t>
  </si>
  <si>
    <t>R7-11011</t>
  </si>
  <si>
    <t>Fluorochrome: cFluor™ V547</t>
  </si>
  <si>
    <t>Clone: HI30</t>
  </si>
  <si>
    <t>Size 100 Tests</t>
  </si>
  <si>
    <t>R7-11012</t>
  </si>
  <si>
    <t>Size 25 Tests</t>
  </si>
  <si>
    <t>cFluor BYG610 Anti-Human CD8 (SK1)</t>
  </si>
  <si>
    <t>R7-11013</t>
  </si>
  <si>
    <t>Fluorochrome: cFluor BYG610</t>
  </si>
  <si>
    <t>R7-11014</t>
  </si>
  <si>
    <t>cFluor™ BYG575 Anti-Human CD56 (5.1H11)</t>
  </si>
  <si>
    <t>R7-11015</t>
  </si>
  <si>
    <t>Clone: 5.1H11</t>
  </si>
  <si>
    <t>R7-11016</t>
  </si>
  <si>
    <t>cFluor® BYG610 Anti-Human CD33 (WM53) Format: cFluor® BYG610 Clone: WM53 Isotype: Mouse IgG1, kappa Size: 100Tests</t>
  </si>
  <si>
    <t>R7-11021</t>
  </si>
  <si>
    <t>cFluor® BYG610 Anti-Human CD33 (WM53) Format: cFluor® BYG610 Clone: WM53 Isotype: Mouse IgG1, kappa Size: 25 Tests</t>
  </si>
  <si>
    <t>R7-11022</t>
  </si>
  <si>
    <t>cFluor® BYG610 Anti-Human CD117 (104D2)</t>
  </si>
  <si>
    <t>R7-11023</t>
  </si>
  <si>
    <t>Fluorochrome: cFluor® BYG610</t>
  </si>
  <si>
    <t>Clone: 104D2</t>
  </si>
  <si>
    <t>Isotype: Mouse IgG1, kappa</t>
  </si>
  <si>
    <t>R7-11024</t>
  </si>
  <si>
    <t>cFluor™ B548 Anti-Human CD15 (HI98)</t>
  </si>
  <si>
    <t>R7-11025</t>
  </si>
  <si>
    <t>Fluorochrome: cFluor™ B548</t>
  </si>
  <si>
    <t>Clone: HI98</t>
  </si>
  <si>
    <t>Isotype: IgM, κ</t>
  </si>
  <si>
    <t>R7-11026</t>
  </si>
  <si>
    <t>cFluor B515 Anti-Human CD4 (SK3)</t>
  </si>
  <si>
    <t>R7-11027</t>
  </si>
  <si>
    <t>Fluorochrome: cFluor B515</t>
  </si>
  <si>
    <t>Isotype: IgG1, κ</t>
  </si>
  <si>
    <t>R7-11028</t>
  </si>
  <si>
    <t>cFluor™ R668 Anti-Human CD7 (CD7-6B7)</t>
  </si>
  <si>
    <t>R7-11029</t>
  </si>
  <si>
    <t>Fluorochrome: cFluor™ R668</t>
  </si>
  <si>
    <t>Clone: CD7-6B7</t>
  </si>
  <si>
    <t>Isotype: IgG2a, kappa</t>
  </si>
  <si>
    <t>R7-11030</t>
  </si>
  <si>
    <t>cFluor™ V420 Anti-Human CD7 (CD7-6B7)</t>
  </si>
  <si>
    <t>R7-11033</t>
  </si>
  <si>
    <t>Fluorochrome: cFluor™ V420</t>
  </si>
  <si>
    <t>R7-11034</t>
  </si>
  <si>
    <t>cFluor B515 Anti-Human CD8 (SK1) Fluorochrome: cFluor B515 Clone: SK1 Isotype: IgG1, kappa Host: Mouse Size: 100 Tests</t>
  </si>
  <si>
    <t>R7-11035</t>
  </si>
  <si>
    <t>cFluor B515 Anti-Human CD8 (SK1)</t>
  </si>
  <si>
    <t>R7-11036</t>
  </si>
  <si>
    <t>cFluor B532 Anti-Human CD4 (SK3)</t>
  </si>
  <si>
    <t>R7-11037</t>
  </si>
  <si>
    <t>Fluorochrome: cFluor B532</t>
  </si>
  <si>
    <t>R7-11038</t>
  </si>
  <si>
    <t>cFluor B548 Anti-Human CD4 (SK3)</t>
  </si>
  <si>
    <t>R7-11043</t>
  </si>
  <si>
    <t>Fluorochrome: cFluor B548</t>
  </si>
  <si>
    <t>R7-11044</t>
  </si>
  <si>
    <t>cFluor R720 Anti-Human CD4 (SK3)</t>
  </si>
  <si>
    <t>R7-11045</t>
  </si>
  <si>
    <t>Fluorochrome: cFluor R720</t>
  </si>
  <si>
    <t>R7-11046</t>
  </si>
  <si>
    <t>cFluor R668 Anti-Human CD4 (SK3)</t>
  </si>
  <si>
    <t>R7-11049</t>
  </si>
  <si>
    <t>Fluorochrome: cFluor R668</t>
  </si>
  <si>
    <t>R7-11050</t>
  </si>
  <si>
    <t>cFluor™ V420 Anti-Human CD3 (SK7)</t>
  </si>
  <si>
    <t>R7-11053</t>
  </si>
  <si>
    <t>R7-11054</t>
  </si>
  <si>
    <t>cFluor V450 Anti-Human CD4 (SK3)</t>
  </si>
  <si>
    <t>R7-11057</t>
  </si>
  <si>
    <t>Fluorochrome: cFluor V450</t>
  </si>
  <si>
    <t>R7-11058</t>
  </si>
  <si>
    <t>cFluor V547 Anti-Human CD8 (SK1)</t>
  </si>
  <si>
    <t>R7-11063</t>
  </si>
  <si>
    <t>Fluorochrome: cFluor V547</t>
  </si>
  <si>
    <t>Size:100 Tests</t>
  </si>
  <si>
    <t>cFluor V547 Anti-Human CD8 (SK1) Fluorochrome: cFluor V547 Clone: SK1 Isotype: IgG1, kappa Host: Mouse Size:25 Tests</t>
  </si>
  <si>
    <t>R7-11064</t>
  </si>
  <si>
    <t>cFluor™ R668 Anti-Human CD16 (3G8)</t>
  </si>
  <si>
    <t>R7-11069</t>
  </si>
  <si>
    <t>R7-11070</t>
  </si>
  <si>
    <t>cFluor™ R720 Anti-Human CD16 (3G8)</t>
  </si>
  <si>
    <t>R7-11075</t>
  </si>
  <si>
    <t>Fluorochrome: cFluor™ R720</t>
  </si>
  <si>
    <t>R7-11076</t>
  </si>
  <si>
    <t>cFluor™ V450 Anti-Human CD14 (M5E2)</t>
  </si>
  <si>
    <t>R7-11077</t>
  </si>
  <si>
    <t>Fluorochrome: cFluor™ V450</t>
  </si>
  <si>
    <t>Clone: M5E2</t>
  </si>
  <si>
    <t>R7-11078</t>
  </si>
  <si>
    <t>cFluor® R720 Anti-Human CD5 (L17F12)</t>
  </si>
  <si>
    <t>R7-11095</t>
  </si>
  <si>
    <t>Format: cFluor® R720</t>
  </si>
  <si>
    <t>Clone: L17F12</t>
  </si>
  <si>
    <t>Isotype: Mouse IgG2a, kappa</t>
  </si>
  <si>
    <t>R7-11096</t>
  </si>
  <si>
    <t>cFluor® B515 Anti-Human HLA-DR (L243)</t>
  </si>
  <si>
    <t>R7-11101</t>
  </si>
  <si>
    <t>Format: cFluor® B515</t>
  </si>
  <si>
    <t>Clone: L243</t>
  </si>
  <si>
    <t>R7-11102</t>
  </si>
  <si>
    <t>cFluor® B515 Anti-Human CD5 (L17F12)</t>
  </si>
  <si>
    <t>R7-11141</t>
  </si>
  <si>
    <t>Size: 100Tests</t>
  </si>
  <si>
    <t>R7-11142</t>
  </si>
  <si>
    <t>cFluor R720 Anti-Human CD2 (RPA-2.10)</t>
  </si>
  <si>
    <t>R7-11143</t>
  </si>
  <si>
    <t>Format: cFluor R720</t>
  </si>
  <si>
    <t>Clone: RPA-2.10</t>
  </si>
  <si>
    <t>R7-11144</t>
  </si>
  <si>
    <t>Size: 25Tests</t>
  </si>
  <si>
    <t>cFluor® V450 Anti-Human CD14 (M5E2)</t>
  </si>
  <si>
    <t>R7-20003</t>
  </si>
  <si>
    <t>cFluor™ V450 Anti-Human CD14 (M5E2) Size: 100 tests</t>
  </si>
  <si>
    <t>R7-20003-NOLOT</t>
  </si>
  <si>
    <t>cFluor® V450 Anti-Human CD14,</t>
  </si>
  <si>
    <t>R7-20004</t>
  </si>
  <si>
    <t>cFluor™ V450 Anti-Human CD14 (M5E2) - 25 Tests</t>
  </si>
  <si>
    <t>R7-20004-NOLOT</t>
  </si>
  <si>
    <t>cFluor® R720 Anti-Human CD16,</t>
  </si>
  <si>
    <t>R7-20005</t>
  </si>
  <si>
    <t>cFluor™ R720 Anti-Human CD16 Size: 100 tests</t>
  </si>
  <si>
    <t>R7-20005-NOLOT</t>
  </si>
  <si>
    <t>R7-20006</t>
  </si>
  <si>
    <t>cFluor™ R720 Anti-Human CD16 Size: 25 tests</t>
  </si>
  <si>
    <t>R7-20006-NOLOT</t>
  </si>
  <si>
    <t>cFluor® BYG710 anti-Human CD19 (HIB19), 100 Tests</t>
  </si>
  <si>
    <t>R7-20009</t>
  </si>
  <si>
    <t>cFluor™ BYG710 Anti-Human CD19 Size: 100 tests</t>
  </si>
  <si>
    <t>R7-20009-NOLOT</t>
  </si>
  <si>
    <t>cFluor® BYG710 anti-Human CD19 (HIB19), 25 Tests</t>
  </si>
  <si>
    <t>R7-20010</t>
  </si>
  <si>
    <t>cFluor™ BYG710 Anti-Human CD19 Size: 25 tests</t>
  </si>
  <si>
    <t>R7-20010-NOLOT</t>
  </si>
  <si>
    <t>cFluor® V547 Anti-Human CD45</t>
  </si>
  <si>
    <t>R7-20011</t>
  </si>
  <si>
    <t>cFluor™ V547 Anti-Human CD45 ize: 100 tests</t>
  </si>
  <si>
    <t>R7-20011-NOLOT</t>
  </si>
  <si>
    <t>R7-20012</t>
  </si>
  <si>
    <t>cFluor™ V547 Anti-Human CD45 Size: 25 tests</t>
  </si>
  <si>
    <t>R7-20012-NOLOT</t>
  </si>
  <si>
    <t>cFluor® R720 Anti-Human CD123</t>
  </si>
  <si>
    <t>R7-20013</t>
  </si>
  <si>
    <t>Clone: 6H6</t>
  </si>
  <si>
    <t>cFluor™ R720 Anti-Human CD123 Size: 100 tests</t>
  </si>
  <si>
    <t>R7-20013-NOLOT</t>
  </si>
  <si>
    <t>R7-20014</t>
  </si>
  <si>
    <t>cFluor™ R720 Anti-Human CD123 Size: 25 tests</t>
  </si>
  <si>
    <t>R7-20014-NOLOT</t>
  </si>
  <si>
    <t>cFluor® V450 Anti-Human CD20</t>
  </si>
  <si>
    <t>R7-20015</t>
  </si>
  <si>
    <t>Clone: 2H7</t>
  </si>
  <si>
    <t>Isotype: IgG2b, kappa</t>
  </si>
  <si>
    <t>cFluor™ V450 Anti-Human CD20 Size: 100 tests</t>
  </si>
  <si>
    <t>R7-20015-NOLOT</t>
  </si>
  <si>
    <t>R7-20016</t>
  </si>
  <si>
    <t>cFluor™ V450 Anti-Human CD20 Size: 25 tests</t>
  </si>
  <si>
    <t>R7-20016-NOLOT</t>
  </si>
  <si>
    <t>cFluor® B532 Anti-Human CD73</t>
  </si>
  <si>
    <t>R7-20017</t>
  </si>
  <si>
    <t>Clone: AD2</t>
  </si>
  <si>
    <t>cFluor™ B532 Anti-Human CD73 Size: 100 tests</t>
  </si>
  <si>
    <t>R7-20017-NOLOT</t>
  </si>
  <si>
    <t>R7-20018</t>
  </si>
  <si>
    <t>cFluor™ B532 Anti-Human CD73 Size: 25 tests</t>
  </si>
  <si>
    <t>R7-20018-NOLOT</t>
  </si>
  <si>
    <t>cFluor® BYG610 Anti-Human CD33 (WM53)</t>
  </si>
  <si>
    <t>R7-20021</t>
  </si>
  <si>
    <t>Clone: WM53</t>
  </si>
  <si>
    <t>100 Tests</t>
  </si>
  <si>
    <t>R7-20022</t>
  </si>
  <si>
    <t>25 Tests</t>
  </si>
  <si>
    <t>cFluor® B548 Anti-Human CD15</t>
  </si>
  <si>
    <t>R7-20025</t>
  </si>
  <si>
    <t>Isotype: IgM, kappa</t>
  </si>
  <si>
    <t>cFluor™ B548 Anti-Human CD15 Size: 100 tests</t>
  </si>
  <si>
    <t>R7-20025-NOLOT</t>
  </si>
  <si>
    <t>R7-20026</t>
  </si>
  <si>
    <t>cFluor™ B548 Anti-Human CD15 Size: 25 tests</t>
  </si>
  <si>
    <t>R7-20026-NOLOT</t>
  </si>
  <si>
    <t>cFluor® B515 Anti-Human CD4</t>
  </si>
  <si>
    <t>R7-20027</t>
  </si>
  <si>
    <t>cFluor™ B515 Anti-Human CD4  Size: 100 tests</t>
  </si>
  <si>
    <t>R7-20027-NOLOT</t>
  </si>
  <si>
    <t>R7-20028</t>
  </si>
  <si>
    <t>cFluor™ B515 Anti-Human CD4 Size: 25 tests</t>
  </si>
  <si>
    <t>R7-20028-NOLOT</t>
  </si>
  <si>
    <t>cFluor® R668 Anti-Human CD7</t>
  </si>
  <si>
    <t>R7-20029</t>
  </si>
  <si>
    <t>cFluor™ R668 Anti-Human CD7 Size: 100 tests</t>
  </si>
  <si>
    <t>R7-20029-NOLOT</t>
  </si>
  <si>
    <t>R7-20030</t>
  </si>
  <si>
    <t>cFluor™ R668 Anti-Human CD7 Size: 25 tests</t>
  </si>
  <si>
    <t>R7-20030-NOLOT</t>
  </si>
  <si>
    <t>cFluor® V420 Anti-Human CD52</t>
  </si>
  <si>
    <t>R7-20031</t>
  </si>
  <si>
    <t>Clone: HI168</t>
  </si>
  <si>
    <t>cFluor™ V420 Anti-Human CD52 Size: 100 tests</t>
  </si>
  <si>
    <t>R7-20031-NOLOT</t>
  </si>
  <si>
    <t>R7-20032</t>
  </si>
  <si>
    <t>cFluor™ V420 Anti-Human CD52 Size: 25 tests</t>
  </si>
  <si>
    <t>R7-20032-NOLOT</t>
  </si>
  <si>
    <t>cFluor® V420 Anti-Human CD7</t>
  </si>
  <si>
    <t>R7-20033</t>
  </si>
  <si>
    <t>cFluor™ V420 Anti-Human CD7 Size: 100 tests</t>
  </si>
  <si>
    <t>R7-20033-NOLOT</t>
  </si>
  <si>
    <t>R7-20034</t>
  </si>
  <si>
    <t>cFluor™ V420 Anti-Human CD7 Size: 25 tests</t>
  </si>
  <si>
    <t>R7-20034-NOLOT</t>
  </si>
  <si>
    <t>cFluor® B515 Anti-Human CD8</t>
  </si>
  <si>
    <t>R7-20035</t>
  </si>
  <si>
    <t>cFluor™ B515 Anti-Human CD8 Size: 100 tests</t>
  </si>
  <si>
    <t>R7-20035-NOLOT</t>
  </si>
  <si>
    <t>R7-20036</t>
  </si>
  <si>
    <t>cFluor™ B515 Anti-Human CD8 Size: 25 tests</t>
  </si>
  <si>
    <t>R7-20036-NOLOT</t>
  </si>
  <si>
    <t>cFluor® B532 Anti-Human CD4</t>
  </si>
  <si>
    <t>R7-20037</t>
  </si>
  <si>
    <t>cFluor™ B532 Anti-Human CD4 Size: 100 tests</t>
  </si>
  <si>
    <t>R7-20037-NOLOT</t>
  </si>
  <si>
    <t>R7-20038</t>
  </si>
  <si>
    <t>cFluor™ B532 Anti-Human CD4 Size: 25 tests</t>
  </si>
  <si>
    <t>R7-20038-NOLOT</t>
  </si>
  <si>
    <t>cFluor™ BYG610 Anti-Human CD4 (SK3), 100 tests</t>
  </si>
  <si>
    <t>R7-20039</t>
  </si>
  <si>
    <t>cFluor™ BYG610 Anti-Human CD4 (SK3), 25 tests</t>
  </si>
  <si>
    <t>R7-20040</t>
  </si>
  <si>
    <t>cFluor® YG584 Anti-Human CD4 (SK3)</t>
  </si>
  <si>
    <t>R7-20041</t>
  </si>
  <si>
    <t>cFluor YG584 Anti-Human CD4 (SK3) – 100 tests</t>
  </si>
  <si>
    <t>R7-20041-NOLOT</t>
  </si>
  <si>
    <t>R7-20042</t>
  </si>
  <si>
    <t>cFluor YG584 Anti-Human CD4 (SK3) – 25 tests</t>
  </si>
  <si>
    <t>R7-20042-NOLOT</t>
  </si>
  <si>
    <t>cFluor® B548 Anti-Human CD4 (SK3)</t>
  </si>
  <si>
    <t>R7-20043</t>
  </si>
  <si>
    <t>cFluor B548 Anti-Human CD4 (SK3) – 100 tests</t>
  </si>
  <si>
    <t>R7-20043-NOLOT</t>
  </si>
  <si>
    <t>R7-20044</t>
  </si>
  <si>
    <t>cFluor B548 Anti-Human CD4 (SK3) – 25 tests</t>
  </si>
  <si>
    <t>R7-20044-NOLOT</t>
  </si>
  <si>
    <t>cFluor® R720 Anti-Human CD4 (SK3)</t>
  </si>
  <si>
    <t>R7-20045</t>
  </si>
  <si>
    <t>cFluor R720 Anti-Human CD4 (SK3) – 100 tests</t>
  </si>
  <si>
    <t>R7-20045-NOLOT</t>
  </si>
  <si>
    <t>R7-20046</t>
  </si>
  <si>
    <t>cFluor R720 Anti-Human CD4 (SK3) – 25 tests</t>
  </si>
  <si>
    <t>R7-20046-NOLOT</t>
  </si>
  <si>
    <t>cFluor® BYG710 anti-Human CD4 (SK3), 100 Tests</t>
  </si>
  <si>
    <t>R7-20047</t>
  </si>
  <si>
    <t>cFluor® BYG710 anti-Human CD4 (SK3), 25 Tests</t>
  </si>
  <si>
    <t>R7-20048</t>
  </si>
  <si>
    <t>cFluor® R668 Anti-Human CD4</t>
  </si>
  <si>
    <t>R7-20049</t>
  </si>
  <si>
    <t>cFluor™ R668 Anti-Human CD4 Size: 100 tests</t>
  </si>
  <si>
    <t>R7-20049-NOLOT</t>
  </si>
  <si>
    <t>R7-20050</t>
  </si>
  <si>
    <t>cFluor™ R668 Anti-Human CD4 Size: 25 tests</t>
  </si>
  <si>
    <t>R7-20050-NOLOT</t>
  </si>
  <si>
    <t>cFluor® R685 Anti-Human CD4</t>
  </si>
  <si>
    <t>R7-20051</t>
  </si>
  <si>
    <t>cFluor™ R685 Anti-Human CD4 Size: 100 tests</t>
  </si>
  <si>
    <t>R7-20051-NOLOT</t>
  </si>
  <si>
    <t>R7-20052</t>
  </si>
  <si>
    <t>cFluor™ R685 Anti-Human CD4 Size: 25 tests</t>
  </si>
  <si>
    <t>R7-20052-NOLOT</t>
  </si>
  <si>
    <t>cFluor® V420 Anti-Human CD3</t>
  </si>
  <si>
    <t>R7-20053</t>
  </si>
  <si>
    <t>cFluor™ V420 Anti-Human CD3 Size: 100 tests</t>
  </si>
  <si>
    <t>R7-20053-NOLOT</t>
  </si>
  <si>
    <t>R7-20054</t>
  </si>
  <si>
    <t>cFluor™ V420 Anti-Human CD3 Size: 25 tests</t>
  </si>
  <si>
    <t>R7-20054-NOLOT</t>
  </si>
  <si>
    <t>cFluor® V420 Anti-Human CD4</t>
  </si>
  <si>
    <t>R7-20055</t>
  </si>
  <si>
    <t>cFluor™ V420 Anti-Human CD4 Size: 100 tests</t>
  </si>
  <si>
    <t>R7-20055-NOLOT</t>
  </si>
  <si>
    <t>cFluor® V420 Anti-Human CD4 Clone: SK3 Isotype: IgG1, kappa Host: Mouse Size: 25 Tests</t>
  </si>
  <si>
    <t>R7-20056</t>
  </si>
  <si>
    <t>cFluor™ V420 Anti-Human CD4 Size: 25 Tests</t>
  </si>
  <si>
    <t>R7-20056-NOLOT</t>
  </si>
  <si>
    <t>cFluor® V450 Anti-Human CD4</t>
  </si>
  <si>
    <t>R7-20057</t>
  </si>
  <si>
    <t>cFluor™ V450 Anti-Human CD4 Size: 100 tests</t>
  </si>
  <si>
    <t>R7-20057-NOLOT</t>
  </si>
  <si>
    <t>R7-20058</t>
  </si>
  <si>
    <t>cFluor™ V450 Anti-Human CD4 Size: 25 tests</t>
  </si>
  <si>
    <t>R7-20058-NOLOT</t>
  </si>
  <si>
    <t>cFluor® R720 Anti-Human CD38 (HIT2)</t>
  </si>
  <si>
    <t>R7-20061</t>
  </si>
  <si>
    <t>Clone: HIT2</t>
  </si>
  <si>
    <t>cFluor™ R720 Anti-Human CD38 (HIT2) Size: 100 tests</t>
  </si>
  <si>
    <t>R7-20061-NOLOT</t>
  </si>
  <si>
    <t>R7-20062</t>
  </si>
  <si>
    <t>cFluor™ R720 Anti-Human CD38 (HIT2) Size: 25 tests</t>
  </si>
  <si>
    <t>R7-20062-NOLOT</t>
  </si>
  <si>
    <t>cFluor® V547 Anti-Human CD8 (SK1)</t>
  </si>
  <si>
    <t>R7-20063</t>
  </si>
  <si>
    <t>cFluor™ V547 Anti-Human CD8 (SK1) Size: 100 tests</t>
  </si>
  <si>
    <t>R7-20063-NOLOT</t>
  </si>
  <si>
    <t>R7-20064</t>
  </si>
  <si>
    <t>cFluor™ V547 Anti-Human CD8 (SK1) Size: 25 tests</t>
  </si>
  <si>
    <t>R7-20064-NOLOT</t>
  </si>
  <si>
    <t>cFluor® R668 Anti-Human CD16 (3G8)</t>
  </si>
  <si>
    <t>R7-20069</t>
  </si>
  <si>
    <t>cFluor™ R668 Anti-Human CD16 (3G8) Size: 100 tests</t>
  </si>
  <si>
    <t>R7-20069-NOLOT</t>
  </si>
  <si>
    <t>R7-20070</t>
  </si>
  <si>
    <t>cFluor™ R668 Anti-Human CD16 (3G8) Size: 25 tests</t>
  </si>
  <si>
    <t>R7-20070-NOLOT</t>
  </si>
  <si>
    <t>cFluor® B532 Anti-Human CD19 (HIB19)</t>
  </si>
  <si>
    <t>R7-20071</t>
  </si>
  <si>
    <t>Clone: HIB19</t>
  </si>
  <si>
    <t>cFluor™ B532 Anti-Human CD19 (HIB19) Size: 100 tests</t>
  </si>
  <si>
    <t>R7-20071-NOLOT</t>
  </si>
  <si>
    <t>R7-20072</t>
  </si>
  <si>
    <t>cFluor™ B532 Anti-Human CD19 (HIB19) Size: 25 tests</t>
  </si>
  <si>
    <t>R7-20072-NOLOT</t>
  </si>
  <si>
    <t>cFluor® V610 Anti-Human CD4 (SK3)</t>
  </si>
  <si>
    <t>R7-20073</t>
  </si>
  <si>
    <t>cFluor™ V610 Anti-Human CD4 (SK3) Size: 100 tests</t>
  </si>
  <si>
    <t>R7-20073-NOLOT</t>
  </si>
  <si>
    <t>R7-20074</t>
  </si>
  <si>
    <t>cFluor™ V610 Anti-Human CD4 (SK3) Size: 25 tests</t>
  </si>
  <si>
    <t>R7-20074-NOLOT</t>
  </si>
  <si>
    <t>cFluor® R780 anti-Human CD4 (SK3), 100 Tests</t>
  </si>
  <si>
    <t>R7-20083</t>
  </si>
  <si>
    <t>cFluor® R780 anti-Human CD4 (SK3), 25 Tests</t>
  </si>
  <si>
    <t>R7-20084</t>
  </si>
  <si>
    <t>cFluor® R720 Anti-Human 56 (5.1H11)</t>
  </si>
  <si>
    <t>R7-20089</t>
  </si>
  <si>
    <t>cFluor™ R720 Anti-Human 56 (5.1H11) Size: 100 tests</t>
  </si>
  <si>
    <t>R7-20089-NOLOT</t>
  </si>
  <si>
    <t>R7-20090</t>
  </si>
  <si>
    <t>cFluor™ R720 Anti-Human 56 (5.1H11) - 25 Tests</t>
  </si>
  <si>
    <t>R7-20090-NOLOT</t>
  </si>
  <si>
    <t>cFluor® R668 Anti-Human CD38 (HIT2)</t>
  </si>
  <si>
    <t>R7-20093</t>
  </si>
  <si>
    <t>R7-20094</t>
  </si>
  <si>
    <t>R7-20095</t>
  </si>
  <si>
    <t>R7-20096</t>
  </si>
  <si>
    <t>cFluor® B548 Anti-Human CD8 (SK1)</t>
  </si>
  <si>
    <t>R7-20097</t>
  </si>
  <si>
    <t>R7-20098</t>
  </si>
  <si>
    <t>cFluor® V420 Anti-Human CD9 (HI9a)</t>
  </si>
  <si>
    <t>R7-20099</t>
  </si>
  <si>
    <t>Clone: HI9a</t>
  </si>
  <si>
    <t>R7-20100</t>
  </si>
  <si>
    <t>R7-20101</t>
  </si>
  <si>
    <t>R7-20102</t>
  </si>
  <si>
    <t>cFluor® R720 Anti-Human Perforin (dG9)</t>
  </si>
  <si>
    <t>R7-20103</t>
  </si>
  <si>
    <t>Clone: dG9</t>
  </si>
  <si>
    <t>R7-20104</t>
  </si>
  <si>
    <t>cFluor® R668 Anti-Human CD3 (SK7)</t>
  </si>
  <si>
    <t>R7-20107</t>
  </si>
  <si>
    <t>R7-20108</t>
  </si>
  <si>
    <t>cFluor® V547 Anti-Human CD20 (2H7)</t>
  </si>
  <si>
    <t>R7-20111</t>
  </si>
  <si>
    <t>R7-20112</t>
  </si>
  <si>
    <t>cFluor® B515 Anti-Human CD141 (M80)</t>
  </si>
  <si>
    <t>R7-20113</t>
  </si>
  <si>
    <t>Clone: M80</t>
  </si>
  <si>
    <t>R7-20114</t>
  </si>
  <si>
    <t>cFluor® B548 Anti-Human CD14 (63D3)</t>
  </si>
  <si>
    <t>R7-20115</t>
  </si>
  <si>
    <t>Clone: 63D3</t>
  </si>
  <si>
    <t>R7-20116</t>
  </si>
  <si>
    <t>cFluor® R685 Anti-Human CD19 (HIB19)</t>
  </si>
  <si>
    <t>R7-20117</t>
  </si>
  <si>
    <t>R7-20118</t>
  </si>
  <si>
    <t>cFluor® R668 Anti-Human CD1c</t>
  </si>
  <si>
    <t>R7-20119</t>
  </si>
  <si>
    <t>Clone: L161</t>
  </si>
  <si>
    <t>R7-20120</t>
  </si>
  <si>
    <t>cFluor® V450 Anti-Human CD45RA (HI100)</t>
  </si>
  <si>
    <t>R7-20121</t>
  </si>
  <si>
    <t>Clone: HI100</t>
  </si>
  <si>
    <t>R7-20122</t>
  </si>
  <si>
    <t>cFluor® B532 Anti-Human CD8 (SK1)</t>
  </si>
  <si>
    <t>R7-20123</t>
  </si>
  <si>
    <t>R7-20124</t>
  </si>
  <si>
    <t>cFluor® B690 anti-Human HLA-DR (L243), 100 Tests</t>
  </si>
  <si>
    <t>R7-20125</t>
  </si>
  <si>
    <t>cFluor® B690 anti-Human HLA-DR (L243), 25 Tests</t>
  </si>
  <si>
    <t>R7-20126</t>
  </si>
  <si>
    <t>cFluor® BYG610 anti-Human CD16 (3G8), 25 Tests</t>
  </si>
  <si>
    <t>R7-20130</t>
  </si>
  <si>
    <t>cFluor® R780 anti-Human CD45 (2D1), 100 Tests</t>
  </si>
  <si>
    <t>R7-20133</t>
  </si>
  <si>
    <t>cFluor® R780 anti-Human CD45 (2D1), 25 Tests</t>
  </si>
  <si>
    <t>R7-20134</t>
  </si>
  <si>
    <t>cFluor® BYG710 anti-Human TCRgamma/delta (B1), 100 Tests</t>
  </si>
  <si>
    <t>R7-20135</t>
  </si>
  <si>
    <t>cFluor® BYG710 anti-Human TCRgamma/delta (B1), 25 Tests</t>
  </si>
  <si>
    <t>R7-20136</t>
  </si>
  <si>
    <t>cFluor® R668 Anti-Human CD3 (UCHT1)</t>
  </si>
  <si>
    <t>R7-20139</t>
  </si>
  <si>
    <t>Clone: UCHT1</t>
  </si>
  <si>
    <t>R7-20140</t>
  </si>
  <si>
    <t>R7-20141</t>
  </si>
  <si>
    <t>R7-20142</t>
  </si>
  <si>
    <t>cFluor® R720 Anti-Human CD2 (RPA-2.10)</t>
  </si>
  <si>
    <t>R7-20143</t>
  </si>
  <si>
    <t>R7-20144</t>
  </si>
  <si>
    <t>cFluor® B520 anti-Human CD4 (SK3), 100 Tests</t>
  </si>
  <si>
    <t>R7-20149</t>
  </si>
  <si>
    <t>cFluor® B520 anti-Human CD4 (SK3), 25 Tests</t>
  </si>
  <si>
    <t>R7-20150</t>
  </si>
  <si>
    <t>cFluor® B675 anti-Human CD4 (SK3), 100 Tests</t>
  </si>
  <si>
    <t>R7-20151</t>
  </si>
  <si>
    <t>cFluor® B675 anti-Human CD4 (SK3), 25 Tests</t>
  </si>
  <si>
    <t>R7-20152</t>
  </si>
  <si>
    <t>cFluor® B690 anti-Human CD4 (SK3), 100 Tests</t>
  </si>
  <si>
    <t>R7-20153</t>
  </si>
  <si>
    <t>cFluor® B690 anti-Human CD4 (SK3), 25 Tests</t>
  </si>
  <si>
    <t>R7-20154</t>
  </si>
  <si>
    <t>cFluor® BYG575 Anti-Human CD4 (SK3)</t>
  </si>
  <si>
    <t>R7-20155</t>
  </si>
  <si>
    <t>R7-20156</t>
  </si>
  <si>
    <t>cFluor® BYG667 anti-Human CD4 (SK3), 100 Tests</t>
  </si>
  <si>
    <t>R7-20157</t>
  </si>
  <si>
    <t>cFluor® BYG667 anti-Human CD4 (SK3), 25 Tests</t>
  </si>
  <si>
    <t>R7-20158</t>
  </si>
  <si>
    <t>cFluor® BYG750 anti-Human CD4 (SK3), 100 Tests</t>
  </si>
  <si>
    <t>R7-20159</t>
  </si>
  <si>
    <t>cFluor® BYG750 anti-Human CD4 (SK3), 25 Tests</t>
  </si>
  <si>
    <t>R7-20160</t>
  </si>
  <si>
    <t>cFluor® BYG781 anti-Human CD4 (SK3), 100 Tests</t>
  </si>
  <si>
    <t>R7-20161</t>
  </si>
  <si>
    <t>cFluor® BYG781 anti-Human CD4 (SK3), 25 Tests</t>
  </si>
  <si>
    <t>R7-20162</t>
  </si>
  <si>
    <t>cFluor® R659 anti-Human CD4 (SK3), 100 Tests</t>
  </si>
  <si>
    <t>R7-20163</t>
  </si>
  <si>
    <t>cFluor® R659 anti-Human CD4 (SK3), 25 Tests</t>
  </si>
  <si>
    <t>R7-20164</t>
  </si>
  <si>
    <t>cFluor®R840 Anti-Human CD4 (SK3)</t>
  </si>
  <si>
    <t>R7-20165</t>
  </si>
  <si>
    <t>cFluor® R840 Anti-Human CD4 (SK3)</t>
  </si>
  <si>
    <t>R7-20166</t>
  </si>
  <si>
    <t>cFluor® V547 Anti-Human CD4 (SK3)</t>
  </si>
  <si>
    <t>R7-20167</t>
  </si>
  <si>
    <t>R7-20168</t>
  </si>
  <si>
    <t>cFluor® YG610 Anti-Human CD4 (SK3)</t>
  </si>
  <si>
    <t>R7-20169</t>
  </si>
  <si>
    <t>R7-20170</t>
  </si>
  <si>
    <t>cFluor® R668 Anti-Human CD57(HNK-1)</t>
  </si>
  <si>
    <t>R7-20171</t>
  </si>
  <si>
    <t>Clone: HNK-1</t>
  </si>
  <si>
    <t>cFluor™ R668 Anti-Human CD57(HNK-1) Clone: HNK-1 Isotype: IgM, kappa Host: Mouse Size: 100 Tests</t>
  </si>
  <si>
    <t>Milligram</t>
  </si>
  <si>
    <t>R7-20171-INA</t>
  </si>
  <si>
    <t>R7-20172</t>
  </si>
  <si>
    <t>cFluor™ R668 Anti-Human CD57(HNK-1) Clone: HNK-1 Isotype: IgM, kappa Host: Mouse Size: 25 Tests</t>
  </si>
  <si>
    <t>R7-20172-INA</t>
  </si>
  <si>
    <t>cFluor® V450 Anti-Human CD16 (3G8)</t>
  </si>
  <si>
    <t>R7-20183</t>
  </si>
  <si>
    <t>R7-20184</t>
  </si>
  <si>
    <t>cFluor® V450 anti-Human CD123 (6H6)</t>
  </si>
  <si>
    <t>R7-20191</t>
  </si>
  <si>
    <t>R7-20192</t>
  </si>
  <si>
    <t>cFluor® B675 anti-Human CD20 (2H7), 100 Tests</t>
  </si>
  <si>
    <t>R7-20195</t>
  </si>
  <si>
    <t>cFluor® B675 anti-Human CD20 (2H7), 25 Tests</t>
  </si>
  <si>
    <t>R7-20196</t>
  </si>
  <si>
    <t>cFluor® B548 anti-Human CD20 (2H7)</t>
  </si>
  <si>
    <t>R7-20201</t>
  </si>
  <si>
    <t>R7-20202</t>
  </si>
  <si>
    <t>cFluor® BYG710 Anti-Human CD8 (SK1)</t>
  </si>
  <si>
    <t>R7-20219</t>
  </si>
  <si>
    <t>R7-20220</t>
  </si>
  <si>
    <t>cFluor® BYG781 anti-Human CD8 (SK1), 100 Tests</t>
  </si>
  <si>
    <t>R7-20223</t>
  </si>
  <si>
    <t>cFluor® BYG781 anti-Human CD8 (SK1), 25 Tests</t>
  </si>
  <si>
    <t>R7-20224</t>
  </si>
  <si>
    <t>cFluor® R668 Anti-Human CD8 (SK1)</t>
  </si>
  <si>
    <t>R7-20227</t>
  </si>
  <si>
    <t>R7-20228</t>
  </si>
  <si>
    <t>cFluor® R685 Anti-Human CD8 (SK1)</t>
  </si>
  <si>
    <t>R7-20229</t>
  </si>
  <si>
    <t>R7-20230</t>
  </si>
  <si>
    <t>cFluor® R720 Anti-Human CD8 (SK1)</t>
  </si>
  <si>
    <t>R7-20231</t>
  </si>
  <si>
    <t>R7-20232</t>
  </si>
  <si>
    <t>cFluor® R840 Anti-Human CD8 (SK1)</t>
  </si>
  <si>
    <t>R7-20235</t>
  </si>
  <si>
    <t>R7-20236</t>
  </si>
  <si>
    <t>cFluor® V420 Anti-Human CD8 (SK1)</t>
  </si>
  <si>
    <t>R7-20237</t>
  </si>
  <si>
    <t>R7-20238</t>
  </si>
  <si>
    <t>cFluor® V450 Anti-Human CD8 (SK1)</t>
  </si>
  <si>
    <t>R7-20239</t>
  </si>
  <si>
    <t>R7-20240</t>
  </si>
  <si>
    <t>cFluor® V610 Anti-Human CD8 (SK1)</t>
  </si>
  <si>
    <t>R7-20241</t>
  </si>
  <si>
    <t>cFluor® 610 Anti-Human CD8 (SK1)</t>
  </si>
  <si>
    <t>R7-20242</t>
  </si>
  <si>
    <t>cFluor® YG584 anti-Human CD8 (SK1)</t>
  </si>
  <si>
    <t>R7-20243</t>
  </si>
  <si>
    <t>R7-20244</t>
  </si>
  <si>
    <t>cFluor® YG610 anti-Human CD8 (SK1)</t>
  </si>
  <si>
    <t>R7-20245</t>
  </si>
  <si>
    <t>R7-20246</t>
  </si>
  <si>
    <t>cFluor® V505 anti-Human CD4 (SK3)</t>
  </si>
  <si>
    <t>R7-20247</t>
  </si>
  <si>
    <t>R7-20248</t>
  </si>
  <si>
    <t>Vial cFluor® V505 anti-Human CD16 (3G8)</t>
  </si>
  <si>
    <t>R7-20249</t>
  </si>
  <si>
    <t>R7-20250</t>
  </si>
  <si>
    <t>cFluor® V505 anti-Human HLA-DR (L243)</t>
  </si>
  <si>
    <t>R7-20253</t>
  </si>
  <si>
    <t>R7-20254</t>
  </si>
  <si>
    <t>cFluor® V505 anti-Human CD8 (SK1)</t>
  </si>
  <si>
    <t>R7-20255</t>
  </si>
  <si>
    <t>R7-20256</t>
  </si>
  <si>
    <t>cFluor® B690 anti-Human lambda (1-555-2), 100 Tests</t>
  </si>
  <si>
    <t>R7-20259</t>
  </si>
  <si>
    <t>cFluor® B690 anti-Human lambda (1-555-2), 25 Tests</t>
  </si>
  <si>
    <t>R7-20260</t>
  </si>
  <si>
    <t>cFluor® V610 Anti-Mouse CD4</t>
  </si>
  <si>
    <t>R7-20269</t>
  </si>
  <si>
    <t>Clone: RM4-5</t>
  </si>
  <si>
    <t>Host: Rat</t>
  </si>
  <si>
    <t>R7-20270</t>
  </si>
  <si>
    <t>cFluor® BYG667 Anti-Human CD19 (SJ25C1), 100 Tests</t>
  </si>
  <si>
    <t>R7-20271</t>
  </si>
  <si>
    <t>cFluor® BYG667 Anti-Human CD19 (SJ25C1), 25 Tests</t>
  </si>
  <si>
    <t>R7-20272</t>
  </si>
  <si>
    <t>cFluor® BYG781 anti-Human CD19 (SJ25C1), 100 Tests</t>
  </si>
  <si>
    <t>R7-20273</t>
  </si>
  <si>
    <t>cFluor® BYG781 anti-Human CD19 (SJ25C1), 25 Tests</t>
  </si>
  <si>
    <t>R7-20274</t>
  </si>
  <si>
    <t>cFluor® R659 anti-Human CD3 (SK7)</t>
  </si>
  <si>
    <t>R7-20275</t>
  </si>
  <si>
    <t>R7-20276</t>
  </si>
  <si>
    <t>cFluor® R720 anti-Human CD20 (2H7)</t>
  </si>
  <si>
    <t>R7-20277</t>
  </si>
  <si>
    <t>Isotype: IgG2b, k</t>
  </si>
  <si>
    <t>R7-20278</t>
  </si>
  <si>
    <t>cFluor® BYG575 anti-Human CD34 (4H11)</t>
  </si>
  <si>
    <t>R7-20279</t>
  </si>
  <si>
    <t>Clone: 4H11</t>
  </si>
  <si>
    <t>R7-20280</t>
  </si>
  <si>
    <t>cFluor® BYG750 Anti-Human CD56 (TULY56)</t>
  </si>
  <si>
    <t>R7-20283</t>
  </si>
  <si>
    <t>Clone: TULY56</t>
  </si>
  <si>
    <t>Isotype: IgG1</t>
  </si>
  <si>
    <t>R7-20284</t>
  </si>
  <si>
    <t>cFluor® R780 anti-Human CD3 (SK7)</t>
  </si>
  <si>
    <t>R7-20285</t>
  </si>
  <si>
    <t>Isotype: IgG1, ?</t>
  </si>
  <si>
    <t>R7-20286</t>
  </si>
  <si>
    <t>cFluor® B515 anti-Human IgM (CH2)</t>
  </si>
  <si>
    <t>R7-20287</t>
  </si>
  <si>
    <t>Clone: CH2</t>
  </si>
  <si>
    <t>R7-20288</t>
  </si>
  <si>
    <t>cFluor® V610 anti-Human CD11b (ICRF44)</t>
  </si>
  <si>
    <t>R7-20289</t>
  </si>
  <si>
    <t>Clone: ICRF44</t>
  </si>
  <si>
    <t>R7-20290</t>
  </si>
  <si>
    <t>cFluor B548 Anti-Human CD45 (HI30)</t>
  </si>
  <si>
    <t>R7-20291</t>
  </si>
  <si>
    <t>R7-20292</t>
  </si>
  <si>
    <t>cFluor® R840 anti-Human HLA-DR (L243)</t>
  </si>
  <si>
    <t>R7-20293</t>
  </si>
  <si>
    <t>Isotype: IgG2a</t>
  </si>
  <si>
    <t>R7-20294</t>
  </si>
  <si>
    <t>cFluor® B515 anti-Human CD7 (CD7-6B7)</t>
  </si>
  <si>
    <t>R7-20295</t>
  </si>
  <si>
    <t>R7-20296</t>
  </si>
  <si>
    <t>cFluor® B548 anti-Human CD15 (W6D3)</t>
  </si>
  <si>
    <t>R7-20297</t>
  </si>
  <si>
    <t>Clone: W6D3</t>
  </si>
  <si>
    <t>R7-20298</t>
  </si>
  <si>
    <t>cFluor® B690 anti-Human CD38 (HB-7), 100 Tests</t>
  </si>
  <si>
    <t>R7-20299</t>
  </si>
  <si>
    <t>cFluor® B690 anti-Human CD38 (HB-7), 25 Tests</t>
  </si>
  <si>
    <t>R7-20300</t>
  </si>
  <si>
    <t>cFluor® BYG710 anti-Human CD117 (104D2)</t>
  </si>
  <si>
    <t>R7-20301</t>
  </si>
  <si>
    <t>R7-20302</t>
  </si>
  <si>
    <t>cFluor® BYG781 anti-Human CD10 (HI10a), 100 Tests</t>
  </si>
  <si>
    <t>R7-20303</t>
  </si>
  <si>
    <t>cFluor® BYG781 anti-Human CD10 (HI10a), 25 Tests</t>
  </si>
  <si>
    <t>R7-20304</t>
  </si>
  <si>
    <t>cFluor® R659 anti-Human CD13 (WM15)</t>
  </si>
  <si>
    <t>R7-20305</t>
  </si>
  <si>
    <t>Clone: WM15</t>
  </si>
  <si>
    <t>R7-20306</t>
  </si>
  <si>
    <t>cFluor® R685 anti-Human CD5 (L17F12)</t>
  </si>
  <si>
    <t>R7-20309</t>
  </si>
  <si>
    <t>R7-20310</t>
  </si>
  <si>
    <t>cFluor® V420 anti-Human CD16 (3G8)</t>
  </si>
  <si>
    <t>R7-20311</t>
  </si>
  <si>
    <t>R7-20312</t>
  </si>
  <si>
    <t>cFluor® BYG667 anti-Human CD71 (OKT9), 100 Tests</t>
  </si>
  <si>
    <t>R7-20313</t>
  </si>
  <si>
    <t>cFluor® BYG667 anti-Human CD71 (OKT9), 25 Tests</t>
  </si>
  <si>
    <t>R7-20314</t>
  </si>
  <si>
    <t>cFluor® B515 anti-Human CD16 (3G8)</t>
  </si>
  <si>
    <t>R7-20315</t>
  </si>
  <si>
    <t>R7-20316</t>
  </si>
  <si>
    <t>cFluor® BYG610 anti-Human CD123 (6H6)</t>
  </si>
  <si>
    <t>R7-20317</t>
  </si>
  <si>
    <t>R7-20318</t>
  </si>
  <si>
    <t>cFluor® BYG710 anti-Human CD56 (LT56)</t>
  </si>
  <si>
    <t>R7-20321</t>
  </si>
  <si>
    <t>Clone: LT56</t>
  </si>
  <si>
    <t>R7-20322</t>
  </si>
  <si>
    <t>cFluor® BYG750 anti-Human CD19 (HIB19)</t>
  </si>
  <si>
    <t>R7-20323</t>
  </si>
  <si>
    <t>R7-20324</t>
  </si>
  <si>
    <t>cFluor® BYG781 anti-Human CD14 (MEM-15)</t>
  </si>
  <si>
    <t>R7-20325</t>
  </si>
  <si>
    <t>Clone: MEM-15</t>
  </si>
  <si>
    <t>R7-20326</t>
  </si>
  <si>
    <t>cFluor® R659 anti-Human CD7 (CD7-6B7)</t>
  </si>
  <si>
    <t>R7-20327</t>
  </si>
  <si>
    <t>R7-20328</t>
  </si>
  <si>
    <t>cFluor® R685 anti-Human CD20 (2H7)</t>
  </si>
  <si>
    <t>R7-20329</t>
  </si>
  <si>
    <t>R7-20330</t>
  </si>
  <si>
    <t>cFluor R720 anti-Human CD66b (G10F5)</t>
  </si>
  <si>
    <t>R7-20331</t>
  </si>
  <si>
    <t>Clone: G10F5</t>
  </si>
  <si>
    <t>R7-20332</t>
  </si>
  <si>
    <t>cFluor® B515 anti-Human CD14 (MEM-18), 100 Tests</t>
  </si>
  <si>
    <t>R7-20333</t>
  </si>
  <si>
    <t>cFluor® B515 anti-Human CD14 (MEM-18), 25 Tests</t>
  </si>
  <si>
    <t>R7-20334</t>
  </si>
  <si>
    <t>cFluor® BYG610 anti-Human CD11b (ICRF44)</t>
  </si>
  <si>
    <t>R7-20335</t>
  </si>
  <si>
    <t>R7-20336</t>
  </si>
  <si>
    <t>cFluor® BYG710 anti-Human CD181 (CXCR1) (8F1-1-4)</t>
  </si>
  <si>
    <t>R7-20337</t>
  </si>
  <si>
    <t>Clone: 8F1-1-4</t>
  </si>
  <si>
    <t>R7-20338</t>
  </si>
  <si>
    <t>cFluor® BYG781 anti-Human CD33 (WM53)</t>
  </si>
  <si>
    <t>R7-20341</t>
  </si>
  <si>
    <t xml:space="preserve"> Size: 100 Tests</t>
  </si>
  <si>
    <t>R7-20342</t>
  </si>
  <si>
    <t xml:space="preserve"> Size: 25 Tests</t>
  </si>
  <si>
    <t>cFluor® R685 anti-Human CD56 (TULY56)</t>
  </si>
  <si>
    <t>R7-20343</t>
  </si>
  <si>
    <t>R7-20344</t>
  </si>
  <si>
    <t>cFluor® R685 anti-Human CD3 (SK7)</t>
  </si>
  <si>
    <t>R7-20345</t>
  </si>
  <si>
    <t>R7-20346</t>
  </si>
  <si>
    <t>cFluor® V505 anti-Human CD15 (W6D3)</t>
  </si>
  <si>
    <t>R7-20347</t>
  </si>
  <si>
    <t>R7-20348</t>
  </si>
  <si>
    <t>cFluor BYG575 anti-Human CD16 (3G8)</t>
  </si>
  <si>
    <t>R7-20349</t>
  </si>
  <si>
    <t>cFluor® BYG575 anti-Human CD16 (3G8)</t>
  </si>
  <si>
    <t>R7-20350</t>
  </si>
  <si>
    <t>cFluor® BYG575 Anti-Human CD38 (HB-7)</t>
  </si>
  <si>
    <t>R7-20353</t>
  </si>
  <si>
    <t>Clone: HB-7</t>
  </si>
  <si>
    <t>R7-20354</t>
  </si>
  <si>
    <t>cFluor® B532 anti-Human CD28 (CD28.2), 100 Tests</t>
  </si>
  <si>
    <t>R7-20359</t>
  </si>
  <si>
    <t>cFluor® B532 anti-Human CD28 (CD28.2), 25 Tests</t>
  </si>
  <si>
    <t>R7-20360</t>
  </si>
  <si>
    <t>cFluor® R685 anti-Human CD2 (RPA-2.10), 100 Tests</t>
  </si>
  <si>
    <t>R7-20365</t>
  </si>
  <si>
    <t>cFluor® R685 anti-Human CD2 (RPA-2.10), 25 tests</t>
  </si>
  <si>
    <t>R7-20366</t>
  </si>
  <si>
    <t>cFluor® R720 anti-Human CD161 (HP-3G10)</t>
  </si>
  <si>
    <t>R7-20385</t>
  </si>
  <si>
    <t>Clone: HP-3G10</t>
  </si>
  <si>
    <t>R7-20386</t>
  </si>
  <si>
    <t>cFluor® R668 Anti-Human IgG (4A11)</t>
  </si>
  <si>
    <t>R7-20389</t>
  </si>
  <si>
    <t>Clone: 4A11</t>
  </si>
  <si>
    <t>Isotype: IgG2b</t>
  </si>
  <si>
    <t>R7-20390</t>
  </si>
  <si>
    <t>cFluor® BYG710 Anti-Human IgD (IgD26)</t>
  </si>
  <si>
    <t>R7-20391</t>
  </si>
  <si>
    <t>Clone: IgD26</t>
  </si>
  <si>
    <t>R7-20392</t>
  </si>
  <si>
    <t>cFluor® BYG667 Anti-Human CD14 (MEM-15)</t>
  </si>
  <si>
    <t>R7-20393</t>
  </si>
  <si>
    <t>R7-20394</t>
  </si>
  <si>
    <t>cFluor® V450 Anti-Human CD14 (MEM-18)</t>
  </si>
  <si>
    <t>R7-20395</t>
  </si>
  <si>
    <t>Clone: MEM-18</t>
  </si>
  <si>
    <t>R7-20396</t>
  </si>
  <si>
    <t>cFluor® BYG610 Anti-Human CD27 (O323)</t>
  </si>
  <si>
    <t>R7-20399</t>
  </si>
  <si>
    <t>Clone: O323</t>
  </si>
  <si>
    <t>R7-20400</t>
  </si>
  <si>
    <t>cFluor® R840 Anti-Human CD45 (HI30)</t>
  </si>
  <si>
    <t>R7-20403</t>
  </si>
  <si>
    <t>R7-20404</t>
  </si>
  <si>
    <t>cFluor® R780 Anti-Human CD64 (10.1), 100 Tests</t>
  </si>
  <si>
    <t>R7-20405</t>
  </si>
  <si>
    <t>cFluor® R780 Anti-Human CD64 (10.1), 25 Tests</t>
  </si>
  <si>
    <t>R7-20406</t>
  </si>
  <si>
    <t>cFluor® BYG667 anti-Human CD193 (5E8), 100 Tests</t>
  </si>
  <si>
    <t>R7-20455</t>
  </si>
  <si>
    <t>cFluor® BYG667 anti-Human CD193 (5E8), 25 Tests</t>
  </si>
  <si>
    <t>R7-20456</t>
  </si>
  <si>
    <t>cFluor® BYG575 anti-Human CD84 (CD84.1.21)</t>
  </si>
  <si>
    <t>R7-20459</t>
  </si>
  <si>
    <t>Clone: CD84.1.21</t>
  </si>
  <si>
    <t>cFluor® BYG575 anti-Human CD84 (CD84.1.121)</t>
  </si>
  <si>
    <t>R7-20459-0A</t>
  </si>
  <si>
    <t>Clone: CD84.1.121</t>
  </si>
  <si>
    <t>R7-20460</t>
  </si>
  <si>
    <t>R7-20460-0A</t>
  </si>
  <si>
    <t>cFluor® R659 anti-Human LOX-1 (15C4)</t>
  </si>
  <si>
    <t>R7-20461</t>
  </si>
  <si>
    <t>Clone: 15C4</t>
  </si>
  <si>
    <t>Size: 100 test</t>
  </si>
  <si>
    <t>R7-20461-0A</t>
  </si>
  <si>
    <t>cFluor® R659  anti-Human LOX-1 (15C4)</t>
  </si>
  <si>
    <t>R7-20462</t>
  </si>
  <si>
    <t>Size 25 test</t>
  </si>
  <si>
    <t>R7-20462-0A</t>
  </si>
  <si>
    <t>cFluor® R659 anti-Human CD127 (eBioRDR5), 100 test</t>
  </si>
  <si>
    <t>R7-20465</t>
  </si>
  <si>
    <t>cFluor® R659 anti-Human CD127 (eBioRDR5), 25 test</t>
  </si>
  <si>
    <t>R7-20466</t>
  </si>
  <si>
    <t>cFluor® R668 anti-Human CD314 (NKG2D) (1D11), 100 test</t>
  </si>
  <si>
    <t>R7-20471</t>
  </si>
  <si>
    <t>cFluor® R668 anti-Human CD314 (NKG2D) (1D11), 25 test</t>
  </si>
  <si>
    <t>R7-20472</t>
  </si>
  <si>
    <t>cFluor® BYG667 anti-Human CD335-NKp46 (9E2), 100 test</t>
  </si>
  <si>
    <t>R7-20473</t>
  </si>
  <si>
    <t>cFluor® BYG667 anti-Human CD335-NKp46 (9E2), 25 test</t>
  </si>
  <si>
    <t>R7-20474</t>
  </si>
  <si>
    <t>cFluor® B515 anti-Human CD226 (DNAM-1) (DX11), 100 test</t>
  </si>
  <si>
    <t>R7-20477</t>
  </si>
  <si>
    <t>cFluor® B515 anti-Human CD226 (DNAM-1) (DX11), 25 test</t>
  </si>
  <si>
    <t>R7-20478</t>
  </si>
  <si>
    <t>cFluor® BYG610 anti-Human CD337-NKp30 (p30-15), 100 test</t>
  </si>
  <si>
    <t>R7-20479</t>
  </si>
  <si>
    <t>cFluor® BYG610 anti-Human CD337-NKp30 (P30-15), 25 test</t>
  </si>
  <si>
    <t>R7-20480</t>
  </si>
  <si>
    <t>cFluor® BYG750 anti-Human CD195 (CCR5) (HEK/1/85a), 100 test</t>
  </si>
  <si>
    <t>R7-20481</t>
  </si>
  <si>
    <t>cFluor® BYG750 anti-Human CD195 (CCR5) (HEK/1/85a), 25 test</t>
  </si>
  <si>
    <t>R7-20482</t>
  </si>
  <si>
    <t>cFluor® V450 anti-Human CD19 (HIB19), 100 test</t>
  </si>
  <si>
    <t>R7-20483</t>
  </si>
  <si>
    <t>cFluor® V450 anti-Human CD19 (HIB19), 25 test</t>
  </si>
  <si>
    <t>R7-20484</t>
  </si>
  <si>
    <t>cFluor® B548 anti-Human CD57 (NK-1), 100 test</t>
  </si>
  <si>
    <t>R7-20485</t>
  </si>
  <si>
    <t>cFluor® B548 anti-Human CD57 (NK-1), 25 test</t>
  </si>
  <si>
    <t>R7-20486</t>
  </si>
  <si>
    <t>cFluor® B548 anti-Mouse Ly-6G (1A8), 100 test</t>
  </si>
  <si>
    <t>R7-20543</t>
  </si>
  <si>
    <t>cFluor® B548 anti-Mouse Ly-6G (1A8), 25 test</t>
  </si>
  <si>
    <t>R7-20544</t>
  </si>
  <si>
    <t>cFluor® B515 anti-Mouse CD8a (53-6.7), 100 test</t>
  </si>
  <si>
    <t>R7-20545</t>
  </si>
  <si>
    <t>cFluor® B515 anti-Mouse CD8a (53-6.7), 25 test</t>
  </si>
  <si>
    <t>R7-20546</t>
  </si>
  <si>
    <t>cFluor® R685 anti-Human/Mouse CD11b (M1/70), 100 test</t>
  </si>
  <si>
    <t>R7-20547</t>
  </si>
  <si>
    <t>cFluor® R685 anti-Human/Mouse CD11b (M1/70), 25 test</t>
  </si>
  <si>
    <t>R7-20548</t>
  </si>
  <si>
    <t>cFluor® V450 anti-Mouse CD11c (N418), 100 test</t>
  </si>
  <si>
    <t>R7-20549</t>
  </si>
  <si>
    <t>cFluor® V450 anti-Mouse CD11c (N418), 25 test</t>
  </si>
  <si>
    <t>R7-20550</t>
  </si>
  <si>
    <t>cFluor® B532 anti-Mouse CD19 (1D3), 100 test</t>
  </si>
  <si>
    <t>R7-20551</t>
  </si>
  <si>
    <t>cFluor® B532 anti-Mouse CD19 (1D3), 25 test</t>
  </si>
  <si>
    <t>R7-20552</t>
  </si>
  <si>
    <t>cFluor® BYG667 anti-Mouse CD317 (927), 100 test</t>
  </si>
  <si>
    <t>R7-20553</t>
  </si>
  <si>
    <t>cFluor® BYG667 anti-Mouse CD317 (927), 25 test</t>
  </si>
  <si>
    <t>R7-20554</t>
  </si>
  <si>
    <t>cFluor® BYG610 anti-Mouse F4/80 (BM8.1), 100 test</t>
  </si>
  <si>
    <t>R7-20555</t>
  </si>
  <si>
    <t>cFluor® BYG610 anti-Mouse F4/80 (BM8.1), 25 test</t>
  </si>
  <si>
    <t>R7-20556</t>
  </si>
  <si>
    <t>cFluor® R780 anti-Mouse TCR g/d (eBio GL3), 100 test</t>
  </si>
  <si>
    <t>R7-20557</t>
  </si>
  <si>
    <t>cFluor® R780 anti-Mouse TCR g/d (eBio GL3), 25 test</t>
  </si>
  <si>
    <t>R7-20558</t>
  </si>
  <si>
    <t>cFluor® R720 anti-Mouse/Human CD44 (IM7), 100 test</t>
  </si>
  <si>
    <t>R7-20561</t>
  </si>
  <si>
    <t>cFluor® R720 anti-Mouse/Human CD44 (IM7), 25 test</t>
  </si>
  <si>
    <t>R7-20562</t>
  </si>
  <si>
    <t>cFluor® BYG750 anti-Mouse I-A/I-E (M5/114.15.2), 100 test</t>
  </si>
  <si>
    <t>R7-20563</t>
  </si>
  <si>
    <t>cFluor® BYG750 anti-Mouse I-A/I-E (M5/114.15.2), 25 test</t>
  </si>
  <si>
    <t>R7-20564</t>
  </si>
  <si>
    <t>cFluor® BYG781 anti-Mouse CD62L (MEL-14), 100 test</t>
  </si>
  <si>
    <t>R7-20565</t>
  </si>
  <si>
    <t>cFluor® BYG781 anti-Mouse CD62L (MEL-14), 25 test</t>
  </si>
  <si>
    <t>R7-20566</t>
  </si>
  <si>
    <t>cFluor® V505 anti-Mouse CD161/NK-1.1 (PK136), 100 test</t>
  </si>
  <si>
    <t>R7-20567</t>
  </si>
  <si>
    <t>cFluor® V505 anti-Mouse CD161/NK-1.1 (PK136), 25 test</t>
  </si>
  <si>
    <t>R7-20568</t>
  </si>
  <si>
    <t>cFluor® BYG575 anti-Mouse CD64 (X54-5/7.1), 100 test</t>
  </si>
  <si>
    <t>R7-20569</t>
  </si>
  <si>
    <t>cFluor® BYG575 anti-Mouse CD64 (X54-5/7.1), 25 test</t>
  </si>
  <si>
    <t>R7-20570</t>
  </si>
  <si>
    <t>cFluor® V547 anti-Mouse CD45 (30-F11), 100 test</t>
  </si>
  <si>
    <t>R7-20571</t>
  </si>
  <si>
    <t>cFluor® V547 anti-Mouse CD45 (30-F11), 25 test</t>
  </si>
  <si>
    <t>R7-20572</t>
  </si>
  <si>
    <t>cFluor® R840 anti-Mouse Ly-6C (HK1.4), 100 test</t>
  </si>
  <si>
    <t>R7-20573</t>
  </si>
  <si>
    <t>cFluor® R840 anti-Mouse Ly-6C (HK1.4), 25 test</t>
  </si>
  <si>
    <t>R7-20574</t>
  </si>
  <si>
    <t>cFluor® R659 anti-Mouse CD25 (PC61.5), 100 test</t>
  </si>
  <si>
    <t>R7-20575</t>
  </si>
  <si>
    <t>cFluor® R659 anti-Mouse CD25 (PC61.5), 25 test</t>
  </si>
  <si>
    <t>R7-20576</t>
  </si>
  <si>
    <t>cFluor® BYG710 anti-Mouse CD49b (HMa2), 100 test</t>
  </si>
  <si>
    <t>R7-20577</t>
  </si>
  <si>
    <t>cFluor® BYG710 anti-Mouse CD49b (HMa2), 25 test</t>
  </si>
  <si>
    <t>R7-20578</t>
  </si>
  <si>
    <t>cFluor V670 (SBV 670) anti-mouse CD45R/B220 (RA3-6B2), 100 test</t>
  </si>
  <si>
    <t>R7-20581</t>
  </si>
  <si>
    <t>cFluor V670 (SBV 670) anti-mouse CD45R/B220 (RA3-6B2), 25 test</t>
  </si>
  <si>
    <t>R7-20582</t>
  </si>
  <si>
    <t>cFluor® BYG710 Anti-Human CD25 (BC96)</t>
  </si>
  <si>
    <t>R7-20585</t>
  </si>
  <si>
    <t>Clone: BC96</t>
  </si>
  <si>
    <t>R7-20586</t>
  </si>
  <si>
    <t>cFluor® R685 anti-Human CD11c (S-HCL-3), 100 Tests</t>
  </si>
  <si>
    <t>R7-20587</t>
  </si>
  <si>
    <t>R685 anti-Human CD11c (S-HCL-3) 25 test</t>
  </si>
  <si>
    <t>R7-20588</t>
  </si>
  <si>
    <t>cFluor® B690 anti-Human CD3 (UCHT1), 100 Tests</t>
  </si>
  <si>
    <t>R7-20589</t>
  </si>
  <si>
    <t>cFluor® B690 anti-Human CD3 (UCHT1), 25 Tests</t>
  </si>
  <si>
    <t>R7-20590</t>
  </si>
  <si>
    <t>cFluor® BYG750 anti-Human CD300e (UP-H2), 100 Tests</t>
  </si>
  <si>
    <t>R7-20591</t>
  </si>
  <si>
    <t>cFluor® BYG750 anti-Human CD300e (UP-H2), 25 Tests</t>
  </si>
  <si>
    <t>R7-20592</t>
  </si>
  <si>
    <t>cFluor® B548 anti-Human HLA-DR (L243), 100 Tests</t>
  </si>
  <si>
    <t>R7-20593</t>
  </si>
  <si>
    <t>cFluor® B548 anti-Human HLA-DR (L243), 25 Tests</t>
  </si>
  <si>
    <t>R7-20594</t>
  </si>
  <si>
    <t>cFluor® BYG667 anti-Human CD56 (B-A19), 100 Tests</t>
  </si>
  <si>
    <t>R7-20595</t>
  </si>
  <si>
    <t>cFluor® BYG667 anti-Human CD56 (B-A19), 25 Tests</t>
  </si>
  <si>
    <t>R7-20596</t>
  </si>
  <si>
    <t>cFluor® B515 anti-Human CD20 (2H7), 100 Tests</t>
  </si>
  <si>
    <t>R7-20597</t>
  </si>
  <si>
    <t>cFluor® B515 anti-Human CD20 (2H7), 25 Tests</t>
  </si>
  <si>
    <t>R7-20598</t>
  </si>
  <si>
    <t>cFluor® V610 anti-Human CD7 (CD7-6B7), 100 Tests</t>
  </si>
  <si>
    <t>R7-20599</t>
  </si>
  <si>
    <t>cFluor® V610 anti-Human CD7 (CD7-6B7), 25 Tests</t>
  </si>
  <si>
    <t>R7-20600</t>
  </si>
  <si>
    <t>cFluor® V547 anti-Human CD71 (OKT9), 100 Tests</t>
  </si>
  <si>
    <t>R7-20601</t>
  </si>
  <si>
    <t>cFluor® V547 anti-Human CD71 (OKT9), 25 Tests</t>
  </si>
  <si>
    <t>R7-20602</t>
  </si>
  <si>
    <t>cFluor® R780 anti-Human CD10 (HI10a), 100 Tests</t>
  </si>
  <si>
    <t>R7-20603</t>
  </si>
  <si>
    <t>cFluor® R780 anti-Human CD10 (HI10a), 25 Tests</t>
  </si>
  <si>
    <t>R7-20604</t>
  </si>
  <si>
    <t>cFluor® BYG750 anti-Human CD5 (L17F12), 100 Tests</t>
  </si>
  <si>
    <t>R7-20605</t>
  </si>
  <si>
    <t>BYG750 anti-Human CD5 (L17F12) 25 test</t>
  </si>
  <si>
    <t>R7-20606</t>
  </si>
  <si>
    <t>cFluor® BYG710 anti-Human Lambda (1-155-2), 100 Tests</t>
  </si>
  <si>
    <t>R7-20607</t>
  </si>
  <si>
    <t>cFluor® BYG710 anti-Human Lambda (1-155-2), 25 Tests</t>
  </si>
  <si>
    <t>R7-20608</t>
  </si>
  <si>
    <t>cFluor® BYG610 anti-Human CD25 (BC96), 100 Tests</t>
  </si>
  <si>
    <t>R7-20609</t>
  </si>
  <si>
    <t>cFluor® BYG610 anti-Human CD25 (BC96), 25 Tests</t>
  </si>
  <si>
    <t>R7-20610</t>
  </si>
  <si>
    <t>cFluor® BYG781 anti-Human CD19 (HIB19), 100 Tests</t>
  </si>
  <si>
    <t>R7-20611</t>
  </si>
  <si>
    <t>cFluor® BYG781 anti-Human CD19 (HIB19), 25 Tests</t>
  </si>
  <si>
    <t>R7-20612</t>
  </si>
  <si>
    <t>cFluor® BYG710 anti-Human CD274 (PDL1) (29E.2A3) 100 test</t>
  </si>
  <si>
    <t>R7-20613</t>
  </si>
  <si>
    <t>cFluor® BYG710 anti-Human CD274 (PDL1) (29E.2A3) 25 test</t>
  </si>
  <si>
    <t>R7-20614</t>
  </si>
  <si>
    <t>RedFluor™ 710 anti-Mouse CD45 (30-F11), 25 Tests</t>
  </si>
  <si>
    <t>R7-20642</t>
  </si>
  <si>
    <t>RedFluor® 710 anti-Mouse CD45 (30-F11), 100 Tests</t>
  </si>
  <si>
    <t>R7-20643</t>
  </si>
  <si>
    <t>cFluor® R780 Anti-Mouse CD3 (17A2) 25 tests</t>
  </si>
  <si>
    <t>R7-20644</t>
  </si>
  <si>
    <t>cFluor® R780 Anti-Mouse CD3 (17A2), 100 tests</t>
  </si>
  <si>
    <t>R7-20645</t>
  </si>
  <si>
    <t>cFluor® B690 Anti-Mouse CD8a (53-6.7), 25 tests</t>
  </si>
  <si>
    <t>R7-20646</t>
  </si>
  <si>
    <t>cFluor® B690 Anti-Mouse CD8a (53-6.7), 100 tests</t>
  </si>
  <si>
    <t>R7-20647</t>
  </si>
  <si>
    <t>cFluor® BYG667 Anti-Mouse CD19 (1D3) 25 tests</t>
  </si>
  <si>
    <t>R7-20648</t>
  </si>
  <si>
    <t>cFluor® BYG667 Anti-Mouse CD19 (1D3) 100 tests</t>
  </si>
  <si>
    <t>R7-20649</t>
  </si>
  <si>
    <t>VioletFluor™ 450 anti-Mouse F4-80 (BM8.1), 25 Tests</t>
  </si>
  <si>
    <t>R7-20650</t>
  </si>
  <si>
    <t>VioletFluor® 450 anti-Mouse F4-80 (BM8.1), 100 Tests</t>
  </si>
  <si>
    <t>R7-20651</t>
  </si>
  <si>
    <t>cFluor® BYG750 Anti-Mouse CD11c (N418), 25 tests</t>
  </si>
  <si>
    <t>R7-20652</t>
  </si>
  <si>
    <t>cFluor® BYG750 Anti-Mouse CD11c (N418), 100 tests</t>
  </si>
  <si>
    <t>R7-20653</t>
  </si>
  <si>
    <t>cFluor® V547 Anti-Mouse CD11b (M1/70), 25 tests</t>
  </si>
  <si>
    <t>R7-20654</t>
  </si>
  <si>
    <t>cFluor® V547 Anti-Mouse CD11b (M1/70), 100 tests</t>
  </si>
  <si>
    <t>R7-20655</t>
  </si>
  <si>
    <t>cFluor B532 Anti-Human CD57 (HNK-1) 25 tests</t>
  </si>
  <si>
    <t>R7-20656</t>
  </si>
  <si>
    <t>cFluor® B532 anti-Human CD57 (HNK-1), 100 Tests</t>
  </si>
  <si>
    <t>R7-20657</t>
  </si>
  <si>
    <t>cFluor® YG610 anti-Human CD24 (SN3), 25 Tests</t>
  </si>
  <si>
    <t>R7-20658</t>
  </si>
  <si>
    <t>cFluor® YG610 anti-Human CD24 (SN3), 100 Tests</t>
  </si>
  <si>
    <t>R7-20659</t>
  </si>
  <si>
    <t>cFluor® BYG710 Anti-Human CD25 (4E3), 25 tests</t>
  </si>
  <si>
    <t>R7-20660</t>
  </si>
  <si>
    <t>cFluor® BYG710 Anti-Human CD25 (4E3), 100 tests</t>
  </si>
  <si>
    <t>R7-20661</t>
  </si>
  <si>
    <t>cFluor® BYG750 anti-Human IgD (IgD26), 25 Tests</t>
  </si>
  <si>
    <t>R7-20662</t>
  </si>
  <si>
    <t>cFluor® BYG750 anti-Human IgD (IgD26), 100 Tests</t>
  </si>
  <si>
    <t>R7-20663</t>
  </si>
  <si>
    <t>cFluor® V610 anti-Human CD20 (2H7), 100 Tests</t>
  </si>
  <si>
    <t>R7-20669</t>
  </si>
  <si>
    <t>cFluor® V610 anti-Human CD20 (2H7), 25 Tests</t>
  </si>
  <si>
    <t>R7-20670</t>
  </si>
  <si>
    <t>cFluor® V610 anti-Human CD99 (3B2/TA8), 100 Tests</t>
  </si>
  <si>
    <t>R7-20671</t>
  </si>
  <si>
    <t>cFluor® V610 anti-Human CD99 (3B2/TA8), 25 Tests</t>
  </si>
  <si>
    <t>R7-20672</t>
  </si>
  <si>
    <t>cFluor® R685 anti-Human CD16 (3G8), 100 Tests</t>
  </si>
  <si>
    <t>R7-20673</t>
  </si>
  <si>
    <t>cFluor® R685 anti-Human CD16 (3G8), 25 Tests</t>
  </si>
  <si>
    <t>R7-20674</t>
  </si>
  <si>
    <t>cFluor®R659 anti-Human CD34 (4H11) 100 test</t>
  </si>
  <si>
    <t>R7-20675</t>
  </si>
  <si>
    <t>cFluor®R659 anti-Human CD34 (4H11) 25 test</t>
  </si>
  <si>
    <t>R7-20676</t>
  </si>
  <si>
    <t>cFluor® BYG667 anti-Human CD24 (SN3) 100 test</t>
  </si>
  <si>
    <t>R7-20679</t>
  </si>
  <si>
    <t>cFluor® BYG667 anti-Human CD24 (SN3), 25 Tests</t>
  </si>
  <si>
    <t>R7-20680</t>
  </si>
  <si>
    <t>cFluor® V450 anti-Human CD9 (HI9a), 100 Tests</t>
  </si>
  <si>
    <t>R7-20681</t>
  </si>
  <si>
    <t>cFluor® V450 anti-Human CD9 (HI9a), 25 tests</t>
  </si>
  <si>
    <t>R7-20682</t>
  </si>
  <si>
    <t>cFluor® R685 anti-Human CD38 (HB7), 100 Tests</t>
  </si>
  <si>
    <t>R7-20683</t>
  </si>
  <si>
    <t>cFluor® R685 anti-Human CD38 (HB7), 25 Tests</t>
  </si>
  <si>
    <t>R7-20684</t>
  </si>
  <si>
    <t>cFluor® BYG710 anti-Human CD22 (HIB22), 100 Tests</t>
  </si>
  <si>
    <t>R7-20685</t>
  </si>
  <si>
    <t>cFluor® BYG710 anti-Human CD22 (HIB22), 25 Tests</t>
  </si>
  <si>
    <t>R7-20686</t>
  </si>
  <si>
    <t>cFluor® B515 anti-Human CD11b (ICRF44), 100 Tests</t>
  </si>
  <si>
    <t>R7-20687</t>
  </si>
  <si>
    <t>cFluor® B515 anti-Human CD11b (ICRF44), 25 Tests</t>
  </si>
  <si>
    <t>R7-20688</t>
  </si>
  <si>
    <t>cFluor® BYG750 anti-Human CD81 (M38), 100 Tests</t>
  </si>
  <si>
    <t>R7-20689</t>
  </si>
  <si>
    <t>cFluor® BYG750 anti-Human CD81 (M38), 25 Tests</t>
  </si>
  <si>
    <t>R7-20690</t>
  </si>
  <si>
    <t>cFluor® B548 anti-Human CD41 (MEM-06), 100 Tests</t>
  </si>
  <si>
    <t>R7-20691</t>
  </si>
  <si>
    <t>cFluor® B548 anti-Human CD41 (MEM-06), 25 Tests</t>
  </si>
  <si>
    <t>R7-20692</t>
  </si>
  <si>
    <t>cFluor® B532 anti-Human CD14 (MEM-18), 100 Tests</t>
  </si>
  <si>
    <t>R7-20693</t>
  </si>
  <si>
    <t>cFluor® B532 anti-Human CD14 (MEM-18), 25 Tests</t>
  </si>
  <si>
    <t>R7-20694</t>
  </si>
  <si>
    <t>cFluor® R685 anti-Human HLA-DR (L243), 100 Tests</t>
  </si>
  <si>
    <t>R7-20695</t>
  </si>
  <si>
    <t>cFluor® R685 anti-Human HLA-DR (L243), 25 Tests</t>
  </si>
  <si>
    <t>R7-20696</t>
  </si>
  <si>
    <t>cFluor® BYG750 anti-Human CD19 (SJ25C1), 100 Tests</t>
  </si>
  <si>
    <t>R7-20697</t>
  </si>
  <si>
    <t>cFluor® BYG750 anti-Human CD19 (SJ25C1), 25 Tests</t>
  </si>
  <si>
    <t>R7-20698</t>
  </si>
  <si>
    <t>cFluor® B515 anti-Human CD3 (SK7), 100 Tests</t>
  </si>
  <si>
    <t>R7-20699</t>
  </si>
  <si>
    <t>cFluor® B515 anti-Human CD3 (SK7), 25 Tests</t>
  </si>
  <si>
    <t>R7-20700</t>
  </si>
  <si>
    <t>cFluor® R720 anti-Human CD58 (MEM-63), 100 Tests</t>
  </si>
  <si>
    <t>R7-20701</t>
  </si>
  <si>
    <t>cFluor® R720 anti-Human CD58 (MEM-63), 25 Tests</t>
  </si>
  <si>
    <t>R7-20702</t>
  </si>
  <si>
    <t>cFluor® R840 anti-Human CD3 (SK7), 100 Tests</t>
  </si>
  <si>
    <t>R7-20707</t>
  </si>
  <si>
    <t>cFluor® R840 anti-Human CD3 (SK7), 25 Tests</t>
  </si>
  <si>
    <t>R7-20708</t>
  </si>
  <si>
    <t>cFluor® R780 anti-Human CD56 (5.1H11), 100 Tests</t>
  </si>
  <si>
    <t>R7-20709</t>
  </si>
  <si>
    <t>cFluor® R780 anti-Human CD56 (5.1H11), 25 Tests</t>
  </si>
  <si>
    <t>R7-20710</t>
  </si>
  <si>
    <t>cFluor® V780 anti-Mouse CD4 (RM4-5), 100 Tests</t>
  </si>
  <si>
    <t>R7-20711</t>
  </si>
  <si>
    <t>cFluor® V780 anti-Mouse CD4 (RM4-5), 25 Tests</t>
  </si>
  <si>
    <t>R7-20712</t>
  </si>
  <si>
    <t>cFluor® BYG645 anti-Mouse TCR beta (H57-597), 100 Tests</t>
  </si>
  <si>
    <t>R7-20713</t>
  </si>
  <si>
    <t>cFluor® BYG645 anti-Mouse TCR beta (H57-597), 25 Tests</t>
  </si>
  <si>
    <t>R7-20714</t>
  </si>
  <si>
    <t>cFluor® V435 anti-Mouse XCR1 (ZET), 25 Tests</t>
  </si>
  <si>
    <t>R7-20716</t>
  </si>
  <si>
    <t>cFluor® B515 anti-Mouse CD3 (17A2), 100 Tests</t>
  </si>
  <si>
    <t>R7-20717</t>
  </si>
  <si>
    <t>cFluor® B515 anti-Mouse CD3 (17A2), 25 Tests</t>
  </si>
  <si>
    <t>R7-20718</t>
  </si>
  <si>
    <t>cFluor® V505 anti-Human CD3 (SK7), 100 Tests</t>
  </si>
  <si>
    <t>R7-20721</t>
  </si>
  <si>
    <t>cFluor® V505 anti-Human CD3 (SK7), 25 Tests</t>
  </si>
  <si>
    <t>R7-20722</t>
  </si>
  <si>
    <t>cFluor® V547 anti-Human HLA-DR (L243), 100 Tests</t>
  </si>
  <si>
    <t>R7-20723</t>
  </si>
  <si>
    <t>cFluor® V547 anti-Human HLA-DR (L243), 25 Tests</t>
  </si>
  <si>
    <t>R7-20724</t>
  </si>
  <si>
    <t>cFluor® BYG575 anti-Human TCRcB1 (JOVI.1), 100 Tests</t>
  </si>
  <si>
    <t>R7-20725</t>
  </si>
  <si>
    <t>cFluor® BYG575 anti-Human TCRcB1 (JOVI.1), 25 Tests</t>
  </si>
  <si>
    <t>R7-20726</t>
  </si>
  <si>
    <t>cFluor® YG600 anti-Human CD71 (OKT9), 100 Tests</t>
  </si>
  <si>
    <t>R7-20729</t>
  </si>
  <si>
    <t>cFluor® YG600 anti-Human CD71 (OKT9), 25 Tests</t>
  </si>
  <si>
    <t>R7-20730</t>
  </si>
  <si>
    <t>cFluor® BYG750 anti-Human CD13 (WM15), 100 Tests</t>
  </si>
  <si>
    <t>R7-20733</t>
  </si>
  <si>
    <t>cFluor® BYG750 anti-Human CD13 (WM15), 25 Tests</t>
  </si>
  <si>
    <t>R7-20734</t>
  </si>
  <si>
    <t>cFluor® R685 anti-Human Ig Kappa (Poly), 100 Tests</t>
  </si>
  <si>
    <t>R7-20735</t>
  </si>
  <si>
    <t>cFluor® R685 anti-Human Ig Kappa (Poly), 25 Tests</t>
  </si>
  <si>
    <t>R7-20736</t>
  </si>
  <si>
    <t>cFluor® R780 anti-Human CD123 (6H6), 100 Tests</t>
  </si>
  <si>
    <t>R7-20737</t>
  </si>
  <si>
    <t>cFluor® R780 anti-Human CD123 (6H6), 25 Tests</t>
  </si>
  <si>
    <t>R7-20738</t>
  </si>
  <si>
    <t>cFluor® R668 anti-Human TCRgd (B1), 100 Tests</t>
  </si>
  <si>
    <t>R7-20739</t>
  </si>
  <si>
    <t>cFluor® R668 anti-Human TCRgd (B1), 25 Tests</t>
  </si>
  <si>
    <t>R7-20740</t>
  </si>
  <si>
    <t>cFluor® BYG645 anti-Human CD25 (CD25-4E3), 100 Tests</t>
  </si>
  <si>
    <t>R7-20753</t>
  </si>
  <si>
    <t>cFluor® BYG645 anti-Human CD25 (CD25-4E3), 25 Tests</t>
  </si>
  <si>
    <t>R7-20754</t>
  </si>
  <si>
    <t>cFluor® V435 anti-Human CD200 (OX-104), 100 Tests</t>
  </si>
  <si>
    <t>R7-20755</t>
  </si>
  <si>
    <t>cFluor® V435 anti-Human CD200 (OX-104), 25 Tests</t>
  </si>
  <si>
    <t>R7-20756</t>
  </si>
  <si>
    <t>cFluor® V475 anti-Human CD10 (HI10a), 100 Tests</t>
  </si>
  <si>
    <t>R7-20757</t>
  </si>
  <si>
    <t>cFluor® V475 anti-Human CD10 (HI10a), 25 Tests</t>
  </si>
  <si>
    <t>R7-20758</t>
  </si>
  <si>
    <t>cFluor® V670 anti-Human Ig Lambda (Polyclonal), 100 Tests</t>
  </si>
  <si>
    <t>R7-20759</t>
  </si>
  <si>
    <t>cFluor® V670 anti-Human Ig Lambda (Polyclonal), 25 Tests</t>
  </si>
  <si>
    <t>R7-20760</t>
  </si>
  <si>
    <t>cFluor® cFV450 anti-Human CD48 (MEM-102), 100 Tests</t>
  </si>
  <si>
    <t>R7-20771</t>
  </si>
  <si>
    <t>cFluor® cFV450 anti-Human CD48 (MEM-102), 25 Tests</t>
  </si>
  <si>
    <t>R7-20772</t>
  </si>
  <si>
    <t>cFluor® cFV780 anti-Human CD3 (SK7), 100 Tests</t>
  </si>
  <si>
    <t>R7-20773</t>
  </si>
  <si>
    <t>cFluor® cFV780 anti-Human CD3 (SK7), 25 Tests</t>
  </si>
  <si>
    <t>R7-20774</t>
  </si>
  <si>
    <t>cFluor® R720 anti-Human Ig Kappa (TB28.2), 100 Tests</t>
  </si>
  <si>
    <t>R7-20775</t>
  </si>
  <si>
    <t>cFluor® R720 anti-Human Ig Kappa (TB28.2), 25 Tests</t>
  </si>
  <si>
    <t>R7-20776</t>
  </si>
  <si>
    <t>cFluor® BYG750 anti-Human CD183 (CEW33D), 100 Tests</t>
  </si>
  <si>
    <t>R7-20777</t>
  </si>
  <si>
    <t>cFluor® BYG750 anti-Human CD183 (CEW33D), 25 Tests</t>
  </si>
  <si>
    <t>R7-20778</t>
  </si>
  <si>
    <t>cFluor® YG584 anti-Human CD56 (5.1H11), 100 Tests</t>
  </si>
  <si>
    <t>R7-20785</t>
  </si>
  <si>
    <t>cFluor® YG584 anti-Human CD56 (5.1H11), 25 Tests</t>
  </si>
  <si>
    <t>R7-20786</t>
  </si>
  <si>
    <t>cFluor® UV395 anti-Human CD14 (TUK4), 100 Tests</t>
  </si>
  <si>
    <t>R7-20787</t>
  </si>
  <si>
    <t>cFluor® UV395 anti-Human CD20 (2H7), 100 Tests</t>
  </si>
  <si>
    <t>R7-20789</t>
  </si>
  <si>
    <t>cFluor® UV395 anti-Human CD3 (UCHT1), 100 Tests</t>
  </si>
  <si>
    <t>R7-20791</t>
  </si>
  <si>
    <t>cFluor® UV395 anti-Human CD31 (PECAM-1) (WM59), 100 Tests</t>
  </si>
  <si>
    <t>R7-20793</t>
  </si>
  <si>
    <t>cFluor® UV395 anti-Human CD33 (WM53), 100 Tests</t>
  </si>
  <si>
    <t>R7-20795</t>
  </si>
  <si>
    <t>cFluor® UV395 anti-Human CD4 (RPA-T4), 100 Tests</t>
  </si>
  <si>
    <t>R7-20797</t>
  </si>
  <si>
    <t>R7-20797-INV</t>
  </si>
  <si>
    <t>cFluor® UV395 anti-Human CD4 (RPA-T4), 25 Tests</t>
  </si>
  <si>
    <t>R7-20798</t>
  </si>
  <si>
    <t>cFluor® UV395 anti-Human CD45RO (UCHL1), 100 Tests</t>
  </si>
  <si>
    <t>R7-20799</t>
  </si>
  <si>
    <t>cFluor® UV395 anti-Human CD69 (FN50), 100 Tests</t>
  </si>
  <si>
    <t>R7-20801</t>
  </si>
  <si>
    <t>cFluor® UV395 anti-Human MHC Class I (HLA-ABC) (W6/32), 100 Tests</t>
  </si>
  <si>
    <t>R7-20803</t>
  </si>
  <si>
    <t>cFluor® UV395 anti-Mouse CD161 (NK1.1) (PK136), 100 Tests</t>
  </si>
  <si>
    <t>R7-20805</t>
  </si>
  <si>
    <t>cFluor® UV395 anti-Mouse CD19 (6D5), 100 Tests</t>
  </si>
  <si>
    <t>R7-20807</t>
  </si>
  <si>
    <t>cFluor® UV395 anti-Mouse CD25 (PC61.5.3), 100 Tests</t>
  </si>
  <si>
    <t>R7-20809</t>
  </si>
  <si>
    <t>cFluor® UV395 anti-Mouse CD4 (RM4-5), 100 Tests</t>
  </si>
  <si>
    <t>R7-20811</t>
  </si>
  <si>
    <t>cFluor® UV395 anti-Mouse CD45R (B220) (RA3-6B2), 100 Tests</t>
  </si>
  <si>
    <t>R7-20813</t>
  </si>
  <si>
    <t>cFluor® UV440 anti-Human CD14 (TUK4), 100 Tests</t>
  </si>
  <si>
    <t>R7-20815</t>
  </si>
  <si>
    <t>cFluor® UV440 anti-Human CD20 (2H7), 100 Tests</t>
  </si>
  <si>
    <t>R7-20817</t>
  </si>
  <si>
    <t>cFluor® UV440 anti-Human CD3 (UCHT1), 100 Tests</t>
  </si>
  <si>
    <t>R7-20819</t>
  </si>
  <si>
    <t>cFluor® UV440 anti-Human CD31 (PECAM-1) (WM59), 100 Tests</t>
  </si>
  <si>
    <t>R7-20821</t>
  </si>
  <si>
    <t>cFluor® UV440 anti-Human CD33 (WM53), 100 Tests</t>
  </si>
  <si>
    <t>R7-20823</t>
  </si>
  <si>
    <t>cFluor® UV440 anti-Human CD4 (RPA-T4), 100 Tests</t>
  </si>
  <si>
    <t>R7-20825-INV</t>
  </si>
  <si>
    <t>cFluor® UV440 anti-Human CD45RO (UCHL1), 100 Tests</t>
  </si>
  <si>
    <t>R7-20827</t>
  </si>
  <si>
    <t>cFluor® UV440 anti-Human CD69 (FN50), 100 Tests</t>
  </si>
  <si>
    <t>R7-20829</t>
  </si>
  <si>
    <t>cFluor® UV440 anti-Human MHC Class I (HLA-ABC) (W6/32), 100 Tests</t>
  </si>
  <si>
    <t>R7-20831</t>
  </si>
  <si>
    <t>cFluor® UV440 anti-Mouse CD161 (NK1.1) (PK136), 100 Tests</t>
  </si>
  <si>
    <t>R7-20833</t>
  </si>
  <si>
    <t>cFluor® UV440 anti-Mouse CD19 (6D5), 100 Tests</t>
  </si>
  <si>
    <t>R7-20835</t>
  </si>
  <si>
    <t>cFluor® UV440 anti-Mouse CD25 (PC61.5.3), 100 Tests</t>
  </si>
  <si>
    <t>R7-20837</t>
  </si>
  <si>
    <t>cFluor® UV440 anti-Mouse CD4 (RM4-5), 100 Tests</t>
  </si>
  <si>
    <t>R7-20839</t>
  </si>
  <si>
    <t>cFluor® UV440 anti-Mouse CD45R (B220) (RA3-6B2), 100 Tests</t>
  </si>
  <si>
    <t>R7-20841</t>
  </si>
  <si>
    <t>cFluor® UV515 anti-Human CD14 (TUK4), 100 Tests</t>
  </si>
  <si>
    <t>R7-20843</t>
  </si>
  <si>
    <t>cFluor® UV515 anti-Human CD20 (2H7), 100 Tests</t>
  </si>
  <si>
    <t>R7-20845</t>
  </si>
  <si>
    <t>cFluor® UV515 anti-Human CD3 (UCHT1), 100 Tests</t>
  </si>
  <si>
    <t>R7-20847</t>
  </si>
  <si>
    <t>cFluor® UV515 anti-Human CD31 (PECAM-1) (WM59), 100 Tests</t>
  </si>
  <si>
    <t>R7-20849</t>
  </si>
  <si>
    <t>cFluor® UV515 anti-Human CD33 (WM53), 100 Tests</t>
  </si>
  <si>
    <t>R7-20851</t>
  </si>
  <si>
    <t>cFluor® UV515 anti-Human CD4 (RPA-T4), 100 Tests</t>
  </si>
  <si>
    <t>R7-20853</t>
  </si>
  <si>
    <t>cFluor® UV515 anti-Human CD45RO (UCHL1), 100 Tests</t>
  </si>
  <si>
    <t>R7-20855</t>
  </si>
  <si>
    <t>cFluor® UV515 anti-Human CD69 (FN50), 100 Tests</t>
  </si>
  <si>
    <t>R7-20857</t>
  </si>
  <si>
    <t>cFluor® UV515 anti-Human MHC Class I (HLA-ABC) (W6/32), 100 Tests</t>
  </si>
  <si>
    <t>R7-20859</t>
  </si>
  <si>
    <t>cFluor® UV515 anti-Mouse CD161 (NK1.1) (PK136), 100 Tests</t>
  </si>
  <si>
    <t>R7-20861</t>
  </si>
  <si>
    <t>cFluor® UV515 anti-Mouse CD19 (6D5), 100 Tests</t>
  </si>
  <si>
    <t>R7-20863</t>
  </si>
  <si>
    <t>cFluor® UV515 anti-Mouse CD25 (PC61.5.3), 100 Tests</t>
  </si>
  <si>
    <t>R7-20865</t>
  </si>
  <si>
    <t>cFluor® UV515 anti-Mouse CD4 (RM4-5), 100 Tests</t>
  </si>
  <si>
    <t>R7-20867</t>
  </si>
  <si>
    <t>cFluor® UV515 anti-Mouse CD45R (B220) (RA3-6B2), 100 Tests</t>
  </si>
  <si>
    <t>R7-20869</t>
  </si>
  <si>
    <t>cFluor® UV570 anti-Human CD14 (TUK4), 100 Tests</t>
  </si>
  <si>
    <t>R7-20871</t>
  </si>
  <si>
    <t>cFluor® UV570 anti-Human CD20 (2H7), 100 Tests</t>
  </si>
  <si>
    <t>R7-20873</t>
  </si>
  <si>
    <t>cFluor® UV570 anti-Human CD3 (UCHT1), 100 Tests</t>
  </si>
  <si>
    <t>R7-20875</t>
  </si>
  <si>
    <t>cFluor® UV570 anti-Human CD31 (PECAM-1) (WM59), 100 Tests</t>
  </si>
  <si>
    <t>R7-20877</t>
  </si>
  <si>
    <t>cFluor® UV570 anti-Human CD33 (WM53), 100 Tests</t>
  </si>
  <si>
    <t>R7-20879</t>
  </si>
  <si>
    <t>cFluor® UV570 anti-Human CD4 (RPA-T4), 100 Tests</t>
  </si>
  <si>
    <t>R7-20881</t>
  </si>
  <si>
    <t>cFluor® UV570 anti-Human CD45RO (UCHL1), 100 Tests</t>
  </si>
  <si>
    <t>R7-20883</t>
  </si>
  <si>
    <t>cFluor® UV570 anti-Human CD69 (FN50), 100 Tests</t>
  </si>
  <si>
    <t>R7-20885</t>
  </si>
  <si>
    <t>cFluor® UV570 anti-Human MHC Class I (HLA-ABC) (W6/32), 100 Tests</t>
  </si>
  <si>
    <t>R7-20887</t>
  </si>
  <si>
    <t>cFluor® UV570 anti-Mouse CD161 (NK1.1) (PK136), 100 Tests</t>
  </si>
  <si>
    <t>R7-20889</t>
  </si>
  <si>
    <t>cFluor® UV570 anti-Mouse CD19 (6D5), 100 Tests</t>
  </si>
  <si>
    <t>R7-20891</t>
  </si>
  <si>
    <t>cFluor® UV570 anti-Mouse CD25 (PC61.5.3), 100 Tests</t>
  </si>
  <si>
    <t>R7-20893</t>
  </si>
  <si>
    <t>cFluor® UV570 anti-Mouse CD4 (RM4-5), 100 Tests</t>
  </si>
  <si>
    <t>R7-20895</t>
  </si>
  <si>
    <t>cFluor® UV570 anti-Mouse CD45R (B220) (RA3-6B2), 100 Tests</t>
  </si>
  <si>
    <t>R7-20897</t>
  </si>
  <si>
    <t>cFluor® UV610 anti-Human CD14 (TUK4), 100 Tests</t>
  </si>
  <si>
    <t>R7-20899</t>
  </si>
  <si>
    <t>cFluor® UV610 anti-Human CD20 (2H7), 100 Tests</t>
  </si>
  <si>
    <t>R7-20901</t>
  </si>
  <si>
    <t>cFluor® UV610 anti-Human CD3 (UCHT1), 100 Tests</t>
  </si>
  <si>
    <t>R7-20903</t>
  </si>
  <si>
    <t>cFluor® UV610 anti-Human CD31 (PECAM-1) (WM59), 100 Tests</t>
  </si>
  <si>
    <t>R7-20905</t>
  </si>
  <si>
    <t>cFluor® UV610 anti-Human CD33 (WM53), 100 Tests</t>
  </si>
  <si>
    <t>R7-20907</t>
  </si>
  <si>
    <t>cFluor® UV610 anti-Human CD4 (RPA-T4), 100 Tests</t>
  </si>
  <si>
    <t>R7-20909</t>
  </si>
  <si>
    <t>cFluor® UV610 anti-Human CD45RO (UCHL1), 100 Tests</t>
  </si>
  <si>
    <t>R7-20911</t>
  </si>
  <si>
    <t>cFluor® UV610 anti-Human CD69 (FN50), 100 Tests</t>
  </si>
  <si>
    <t>R7-20913</t>
  </si>
  <si>
    <t>cFluor® UV610 anti-Human MHC Class I (HLA-ABC) (W6/32), 100 Tests</t>
  </si>
  <si>
    <t>R7-20915</t>
  </si>
  <si>
    <t>cFluor® UV610 anti-Mouse CD161 (NK1.1) (PK136), 100 Tests</t>
  </si>
  <si>
    <t>R7-20917</t>
  </si>
  <si>
    <t>cFluor® UV610 anti-Mouse CD19 (6D5), 100 Tests</t>
  </si>
  <si>
    <t>R7-20919</t>
  </si>
  <si>
    <t>cFluor® UV610 anti-Mouse CD25 (PC61.5.3), 100 Tests</t>
  </si>
  <si>
    <t>R7-20921</t>
  </si>
  <si>
    <t>cFluor® UV610 anti-Mouse CD4 (RM4-5), 100 Tests</t>
  </si>
  <si>
    <t>R7-20923</t>
  </si>
  <si>
    <t>cFluor® UV610 anti-Mouse CD45R (B220) (RA3-6B2), 100 Tests</t>
  </si>
  <si>
    <t>R7-20925</t>
  </si>
  <si>
    <t>cFluor® UV670 anti-Human CD14 (TUK4), 100 Tests</t>
  </si>
  <si>
    <t>R7-20927</t>
  </si>
  <si>
    <t>cFluor® UV670 anti-Human CD20 (2H7), 100 Tests</t>
  </si>
  <si>
    <t>R7-20929</t>
  </si>
  <si>
    <t>cFluor® UV670 anti-Human CD3 (UCHT1), 100 Tests</t>
  </si>
  <si>
    <t>R7-20931</t>
  </si>
  <si>
    <t>cFluor® UV670 anti-Human CD31 (PECAM-1) (WM59), 100 Tests</t>
  </si>
  <si>
    <t>R7-20933</t>
  </si>
  <si>
    <t>cFluor® UV670 anti-Human CD33 (WM53), 100 Tests</t>
  </si>
  <si>
    <t>R7-20935</t>
  </si>
  <si>
    <t>cFluor® UV670 anti-Human CD4 (RPA-T4), 100 Tests</t>
  </si>
  <si>
    <t>R7-20937</t>
  </si>
  <si>
    <t>cFluor® UV670 anti-Human CD45RO (UCHL1), 100 Tests</t>
  </si>
  <si>
    <t>R7-20939</t>
  </si>
  <si>
    <t>cFluor® UV670 anti-Human CD69 (FN50), 100 Tests</t>
  </si>
  <si>
    <t>R7-20941</t>
  </si>
  <si>
    <t>cFluor® UV670 anti-Human MHC Class I (HLA-ABC) (W6/32), 100 Tests</t>
  </si>
  <si>
    <t>R7-20943</t>
  </si>
  <si>
    <t>cFluor® UV670 anti-Mouse CD161 (NK1.1) (PK136), 100 Tests</t>
  </si>
  <si>
    <t>R7-20945</t>
  </si>
  <si>
    <t>cFluor® UV670 anti-Mouse CD19 (6D5), 100 Tests</t>
  </si>
  <si>
    <t>R7-20947</t>
  </si>
  <si>
    <t>cFluor® UV670 anti-Mouse CD25 (PC61.5.3), 100 Tests</t>
  </si>
  <si>
    <t>R7-20949</t>
  </si>
  <si>
    <t>cFluor® UV670 anti-Mouse CD4 (RM4-5), 100 Tests</t>
  </si>
  <si>
    <t>R7-20951</t>
  </si>
  <si>
    <t>cFluor® UV670 anti-Mouse CD45R (B220) (RA3-6B2), 100 Tests</t>
  </si>
  <si>
    <t>R7-20953</t>
  </si>
  <si>
    <t>cFluor® UV745 anti-Human CD14 (TUK4), 100 Tests</t>
  </si>
  <si>
    <t>R7-20955</t>
  </si>
  <si>
    <t>cFluor® UV745 anti-Human CD20 (2H7), 100 Tests</t>
  </si>
  <si>
    <t>R7-20957</t>
  </si>
  <si>
    <t>cFluor® UV745 anti-Human CD3 (UCHT1), 100 Tests</t>
  </si>
  <si>
    <t>R7-20959</t>
  </si>
  <si>
    <t>cFluor® UV745 anti-Human CD31 (PECAM-1) (WM59), 100 Tests</t>
  </si>
  <si>
    <t>R7-20961</t>
  </si>
  <si>
    <t>cFluor® UV745 anti-Human CD33 (WM53), 100 Tests</t>
  </si>
  <si>
    <t>R7-20963</t>
  </si>
  <si>
    <t>cFluor® UV745 anti-Human CD4 (RPA-T4), 100 Tests</t>
  </si>
  <si>
    <t>R7-20965</t>
  </si>
  <si>
    <t>cFluor® UV745 anti-Human CD45RO (UCHL1), 100 Tests</t>
  </si>
  <si>
    <t>R7-20967</t>
  </si>
  <si>
    <t>cFluor® UV745 anti-Human CD69 (FN50), 100 Tests</t>
  </si>
  <si>
    <t>R7-20969</t>
  </si>
  <si>
    <t>cFluor® UV745 anti-Human MHC Class I (HLA-ABC) (W6/32), 100 Tests</t>
  </si>
  <si>
    <t>R7-20971</t>
  </si>
  <si>
    <t>cFluor® UV745 anti-Mouse CD161 (NK1.1) (PK136), 100 Tests</t>
  </si>
  <si>
    <t>R7-20973</t>
  </si>
  <si>
    <t>cFluor® UV745 anti-Mouse CD19 (6D5), 100 Tests</t>
  </si>
  <si>
    <t>R7-20975</t>
  </si>
  <si>
    <t>cFluor® UV745 anti-Mouse CD25 (PC61.5.3), 100 Tests</t>
  </si>
  <si>
    <t>R7-20977</t>
  </si>
  <si>
    <t>cFluor® UV745 anti-Mouse CD4 (RM4-5), 100 Tests</t>
  </si>
  <si>
    <t>R7-20979</t>
  </si>
  <si>
    <t>cFluor® UV745 anti-Mouse CD45R (B220) (RA3-6B2), 100 Tests</t>
  </si>
  <si>
    <t>R7-20981</t>
  </si>
  <si>
    <t>cFluor® UV790 anti-Human CD14 (TUK4), 100 Tests</t>
  </si>
  <si>
    <t>R7-20983</t>
  </si>
  <si>
    <t>cFluor® UV790 anti-Human CD20 (2H7), 100 Tests</t>
  </si>
  <si>
    <t>R7-20985</t>
  </si>
  <si>
    <t>cFluor® UV790 anti-Human CD3 (UCHT1), 100 Tests</t>
  </si>
  <si>
    <t>R7-20987</t>
  </si>
  <si>
    <t>cFluor® UV790 anti-Human CD31 (PECAM-1) (WM59), 100 Tests</t>
  </si>
  <si>
    <t>R7-20989</t>
  </si>
  <si>
    <t>cFluor® UV790 anti-Human CD33 (WM53), 100 Tests</t>
  </si>
  <si>
    <t>R7-20991</t>
  </si>
  <si>
    <t>cFluor® UV790 anti-Human CD4 (RPA-T4), 100 Tests</t>
  </si>
  <si>
    <t>R7-20993</t>
  </si>
  <si>
    <t>cFluor® UV790 anti-Human CD45RO (UCHL1), 100 Tests</t>
  </si>
  <si>
    <t>R7-20995</t>
  </si>
  <si>
    <t>cFluor® UV790 anti-Human CD69 (FN50), 100 Tests</t>
  </si>
  <si>
    <t>R7-20997</t>
  </si>
  <si>
    <t>cFluor® UV790 anti-Human MHC Class I (HLA-ABC) (W6/32), 100 Tests</t>
  </si>
  <si>
    <t>R7-20999</t>
  </si>
  <si>
    <t>cFluor® UV790 anti-Mouse CD161 (NK1.1) (PK136), 100 Tests</t>
  </si>
  <si>
    <t>R7-21001</t>
  </si>
  <si>
    <t>cFluor® UV790 anti-Mouse CD19 (6D5), 100 Tests</t>
  </si>
  <si>
    <t>R7-21003</t>
  </si>
  <si>
    <t>cFluor® UV790 anti-Mouse CD25 (PC61.5.3), 100 Tests</t>
  </si>
  <si>
    <t>R7-21005</t>
  </si>
  <si>
    <t>cFluor® UV790 anti-Mouse CD4 (RM4-5), 100 Tests</t>
  </si>
  <si>
    <t>R7-21007</t>
  </si>
  <si>
    <t>cFluor® UV790 anti-Mouse CD45R (B220) (RA3-6B2), 100 Tests</t>
  </si>
  <si>
    <t>R7-21009</t>
  </si>
  <si>
    <t>cFluor® V435 anti-Human CD14 (TUK4), 100 Tests</t>
  </si>
  <si>
    <t>R7-21011</t>
  </si>
  <si>
    <t>cFluor® V435 anti-Human CD20 (2H7), 100 Tests</t>
  </si>
  <si>
    <t>R7-21013</t>
  </si>
  <si>
    <t>cFluor® V435 anti-Human CD3 (UCHT1), 100 Tests</t>
  </si>
  <si>
    <t>R7-21015</t>
  </si>
  <si>
    <t>cFluor® V435 anti-Human CD31 (PECAM-1) (WM59), 100 Tests</t>
  </si>
  <si>
    <t>R7-21017</t>
  </si>
  <si>
    <t>cFluor® V435 anti-Human CD33 (WM53), 100 Tests</t>
  </si>
  <si>
    <t>R7-21019</t>
  </si>
  <si>
    <t>cFluor® V435 anti-Human CD4 (RPA-T4), 100 Tests</t>
  </si>
  <si>
    <t>R7-21021</t>
  </si>
  <si>
    <t>cFluor® V435 anti-Human CD45RO (UCHL1), 100 Tests</t>
  </si>
  <si>
    <t>R7-21023</t>
  </si>
  <si>
    <t>cFluor® V435 anti-Human CD69 (FN50), 100 Tests</t>
  </si>
  <si>
    <t>R7-21025</t>
  </si>
  <si>
    <t>cFluor® V435 anti-Human MHC Class I (HLA-ABC) (W6/32), 100 Tests</t>
  </si>
  <si>
    <t>R7-21027</t>
  </si>
  <si>
    <t>cFluor® V435 anti-Mouse CD161 (NK1.1) (PK136), 100 Tests</t>
  </si>
  <si>
    <t>R7-21029</t>
  </si>
  <si>
    <t>cFluor® V435 anti-Mouse CD19 (6D5), 100 Tests</t>
  </si>
  <si>
    <t>R7-21031</t>
  </si>
  <si>
    <t>cFluor® V435 anti-Mouse CD25 (PC61.5.3), 100 Tests</t>
  </si>
  <si>
    <t>R7-21033</t>
  </si>
  <si>
    <t>cFluor® V435 anti-Mouse CD4 (RM4-5), 100 Tests</t>
  </si>
  <si>
    <t>R7-21035</t>
  </si>
  <si>
    <t>cFluor® V435 anti-Mouse CD45R (B220) (RA3-6B2), 100 Tests</t>
  </si>
  <si>
    <t>R7-21037</t>
  </si>
  <si>
    <t>cFluor® V475 anti-Human CD14 (TUK4), 100 Tests</t>
  </si>
  <si>
    <t>R7-21039</t>
  </si>
  <si>
    <t>cFluor® V475 anti-Human CD20 (2H7), 100 Tests</t>
  </si>
  <si>
    <t>R7-21041</t>
  </si>
  <si>
    <t>cFluor® V475 anti-Human CD3 (UCHT1), 100 Tests</t>
  </si>
  <si>
    <t>R7-21043</t>
  </si>
  <si>
    <t>cFluor® V475 anti-Human CD31 (PECAM-1) (WM59), 100 Tests</t>
  </si>
  <si>
    <t>R7-21045</t>
  </si>
  <si>
    <t>cFluor® V475 anti-Human CD33 (WM53), 100 Tests</t>
  </si>
  <si>
    <t>R7-21047</t>
  </si>
  <si>
    <t>cFluor® V475 anti-Human CD4 (RPA-T4), 100 Tests</t>
  </si>
  <si>
    <t>R7-21049</t>
  </si>
  <si>
    <t>cFluor® V475 anti-Human CD45RO (UCHL1), 100 Tests</t>
  </si>
  <si>
    <t>R7-21051</t>
  </si>
  <si>
    <t>cFluor® V475 anti-Human CD69 (FN50), 100 Tests</t>
  </si>
  <si>
    <t>R7-21053</t>
  </si>
  <si>
    <t>cFluor® V475 anti-Human MHC Class I (HLA-ABC) (W6/32), 100 Tests</t>
  </si>
  <si>
    <t>R7-21055</t>
  </si>
  <si>
    <t>cFluor® V475 anti-Mouse CD161 (NK1.1) (PK136), 100 Tests</t>
  </si>
  <si>
    <t>R7-21057</t>
  </si>
  <si>
    <t>cFluor® V475 anti-Mouse CD19 (6D5), 100 Tests</t>
  </si>
  <si>
    <t>R7-21059</t>
  </si>
  <si>
    <t>cFluor® V475 anti-Mouse CD25 (PC61.5.3), 100 Tests</t>
  </si>
  <si>
    <t>R7-21061</t>
  </si>
  <si>
    <t>cFluor® V475 anti-Mouse CD4 (RM4-5), 100 Tests</t>
  </si>
  <si>
    <t>R7-21063</t>
  </si>
  <si>
    <t>cFluor® V475 anti-Mouse CD45R (B220) (RA3-6B2), 100 Tests</t>
  </si>
  <si>
    <t>R7-21065</t>
  </si>
  <si>
    <t>cFluor® V515 anti-Human CD14 (TUK4), 100 Tests</t>
  </si>
  <si>
    <t>R7-21067</t>
  </si>
  <si>
    <t>cFluor® V515 anti-Human CD20 (2H7), 100 Tests</t>
  </si>
  <si>
    <t>R7-21069</t>
  </si>
  <si>
    <t>cFluor® V515 anti-Human CD3 (UCHT1), 100 Tests</t>
  </si>
  <si>
    <t>R7-21071</t>
  </si>
  <si>
    <t>cFluor® V515 anti-Human CD31 (PECAM-1) (WM59), 100 Tests</t>
  </si>
  <si>
    <t>R7-21073</t>
  </si>
  <si>
    <t>cFluor® V515 anti-Human CD33 (WM53), 100 Tests</t>
  </si>
  <si>
    <t>R7-21075</t>
  </si>
  <si>
    <t>cFluor® V515 anti-Human CD4 (RPA-T4), 100 Tests</t>
  </si>
  <si>
    <t>R7-21077</t>
  </si>
  <si>
    <t>cFluor® V515 anti-Human CD45RO (UCHL1), 100 Tests</t>
  </si>
  <si>
    <t>R7-21079</t>
  </si>
  <si>
    <t>cFluor® V515 anti-Human CD69 (FN50), 100 Tests</t>
  </si>
  <si>
    <t>R7-21081</t>
  </si>
  <si>
    <t>cFluor® V515 anti-Human MHC Class I (HLA-ABC) (W6/32), 100 Tests</t>
  </si>
  <si>
    <t>R7-21083</t>
  </si>
  <si>
    <t>cFluor® V515 anti-Mouse CD161 (NK1.1) (PK136), 100 Tests</t>
  </si>
  <si>
    <t>R7-21085</t>
  </si>
  <si>
    <t>cFluor® V515 anti-Mouse CD19 (6D5), 100 Tests</t>
  </si>
  <si>
    <t>R7-21087</t>
  </si>
  <si>
    <t>cFluor® V515 anti-Mouse CD25 (PC61.5.3), 100 Tests</t>
  </si>
  <si>
    <t>R7-21089</t>
  </si>
  <si>
    <t>cFluor® V515 anti-Mouse CD4 (RM4-5), 100 Tests</t>
  </si>
  <si>
    <t>R7-21091</t>
  </si>
  <si>
    <t>cFluor® V515 anti-Mouse CD45R (B220) (RA3-6B2), 100 Tests</t>
  </si>
  <si>
    <t>R7-21093</t>
  </si>
  <si>
    <t>cFluor® V570 anti-Human CD14 (TUK4), 100 Tests</t>
  </si>
  <si>
    <t>R7-21095</t>
  </si>
  <si>
    <t>cFluor® V570 anti-Human CD20 (2H7), 100 Tests</t>
  </si>
  <si>
    <t>R7-21097</t>
  </si>
  <si>
    <t>cFluor® V570 anti-Human CD3 (UCHT1), 100 Tests</t>
  </si>
  <si>
    <t>R7-21099</t>
  </si>
  <si>
    <t>cFluor® V570 anti-Human CD31 (PECAM-1) (WM59), 100 Tests</t>
  </si>
  <si>
    <t>R7-21101</t>
  </si>
  <si>
    <t>cFluor® V570 anti-Human CD33 (WM53), 100 Tests</t>
  </si>
  <si>
    <t>R7-21103</t>
  </si>
  <si>
    <t>cFluor® V570 anti-Human CD4 (RPA-T4), 100 Tests</t>
  </si>
  <si>
    <t>R7-21105-INV</t>
  </si>
  <si>
    <t>cFluor® V570 anti-Human CD45RO (UCHL1), 100 Tests</t>
  </si>
  <si>
    <t>R7-21107</t>
  </si>
  <si>
    <t>cFluor® V570 anti-Human CD69 (FN50), 100 Tests</t>
  </si>
  <si>
    <t>R7-21109</t>
  </si>
  <si>
    <t>cFluor® V570 anti-Human MHC Class I (HLA-ABC) (W6/32), 100 Tests</t>
  </si>
  <si>
    <t>R7-21111</t>
  </si>
  <si>
    <t>cFluor® V570 anti-Mouse CD161 (NK1.1) (PK136), 100 Tests</t>
  </si>
  <si>
    <t>R7-21113</t>
  </si>
  <si>
    <t>cFluor® V570 anti-Mouse CD19 (6D5), 100 Tests</t>
  </si>
  <si>
    <t>R7-21115</t>
  </si>
  <si>
    <t>cFluor® V570 anti-Mouse CD25 (PC61.5.3), 100 Tests</t>
  </si>
  <si>
    <t>R7-21117</t>
  </si>
  <si>
    <t>cFluor® V570 anti-Mouse CD4 (RM4-5), 100 Tests</t>
  </si>
  <si>
    <t>R7-21119</t>
  </si>
  <si>
    <t>cFluor® V570 anti-Mouse CD45R (B220) (RA3-6B2), 100 Tests</t>
  </si>
  <si>
    <t>R7-21121</t>
  </si>
  <si>
    <t>cFluor® V605 anti-Human CD14 (TUK4), 100 Tests</t>
  </si>
  <si>
    <t>R7-21123</t>
  </si>
  <si>
    <t>cFluor® V605 anti-Human CD20 (2H7), 100 Tests</t>
  </si>
  <si>
    <t>R7-21125</t>
  </si>
  <si>
    <t>cFluor® V605 anti-Human CD3 (UCHT1), 100 Tests</t>
  </si>
  <si>
    <t>R7-21127</t>
  </si>
  <si>
    <t>cFluor® V605 anti-Human CD31 (PECAM-1) (WM59), 100 Tests</t>
  </si>
  <si>
    <t>R7-21129</t>
  </si>
  <si>
    <t>cFluor® V605 anti-Human CD33 (WM53), 100 Tests</t>
  </si>
  <si>
    <t>R7-21131</t>
  </si>
  <si>
    <t>cFluor® V605 anti-Human CD4 (RPA-T4), 100 Tests</t>
  </si>
  <si>
    <t>R7-21133</t>
  </si>
  <si>
    <t>cFluor® V605 anti-Human CD45RO (UCHL1), 100 Tests</t>
  </si>
  <si>
    <t>R7-21135</t>
  </si>
  <si>
    <t>cFluor® V605 anti-Human CD69 (FN50), 100 Tests</t>
  </si>
  <si>
    <t>R7-21137</t>
  </si>
  <si>
    <t>cFluor® V605 anti-Human MHC Class I (HLA-ABC) (W6/32), 100 Tests</t>
  </si>
  <si>
    <t>R7-21139</t>
  </si>
  <si>
    <t>cFluor® V605 anti-Mouse CD161 (NK1.1) (PK136), 100 Tests</t>
  </si>
  <si>
    <t>R7-21141</t>
  </si>
  <si>
    <t>cFluor® V605 anti-Mouse CD19 (6D5), 100 Tests</t>
  </si>
  <si>
    <t>R7-21143</t>
  </si>
  <si>
    <t>cFluor® V605 anti-Mouse CD25 (PC61.5.3), 100 Tests</t>
  </si>
  <si>
    <t>R7-21145</t>
  </si>
  <si>
    <t>cFluor® V605 anti-Mouse CD4 (RM4-5), 100 Tests</t>
  </si>
  <si>
    <t>R7-21147</t>
  </si>
  <si>
    <t>cFluor® V605 anti-Mouse CD45R (B220) (RA3-6B2), 100 Tests</t>
  </si>
  <si>
    <t>R7-21149</t>
  </si>
  <si>
    <t>cFluor® V670 anti-Human CD14 (TUK4), 100 Tests</t>
  </si>
  <si>
    <t>R7-21151</t>
  </si>
  <si>
    <t>cFluor® V670 anti-Human CD20 (2H7), 100 Tests</t>
  </si>
  <si>
    <t>R7-21153</t>
  </si>
  <si>
    <t>cFluor® V670 anti-Human CD3 (UCHT1), 100 Tests</t>
  </si>
  <si>
    <t>R7-21155</t>
  </si>
  <si>
    <t>cFluor® V670 anti-Human CD31 (PECAM-1) (WM59), 100 Tests</t>
  </si>
  <si>
    <t>R7-21157</t>
  </si>
  <si>
    <t>cFluor® V670 anti-Human CD33 (WM53), 100 Tests</t>
  </si>
  <si>
    <t>R7-21159</t>
  </si>
  <si>
    <t>R7-21159-INV</t>
  </si>
  <si>
    <t>cFluor® V670 anti-Human CD33 (WM53), 25 Tests</t>
  </si>
  <si>
    <t>R7-21160</t>
  </si>
  <si>
    <t>cFluor® V670 anti-Human CD4 (RPA-T4), 100 Tests</t>
  </si>
  <si>
    <t>R7-21161</t>
  </si>
  <si>
    <t>cFluor® V670 anti-Human CD45RO (UCHL1), 100 Tests</t>
  </si>
  <si>
    <t>R7-21163</t>
  </si>
  <si>
    <t>cFluor® V670 anti-Human CD69 (FN50), 100 Tests</t>
  </si>
  <si>
    <t>R7-21165</t>
  </si>
  <si>
    <t>cFluor® V670 anti-Human MHC Class I (HLA-ABC) (W6/32), 100 Tests</t>
  </si>
  <si>
    <t>R7-21167</t>
  </si>
  <si>
    <t>cFluor® V670 anti-Mouse CD161 (NK1.1) (PK136), 100 Tests</t>
  </si>
  <si>
    <t>R7-21169</t>
  </si>
  <si>
    <t>cFluor® V670 anti-Mouse CD19 (6D5), 100 Tests</t>
  </si>
  <si>
    <t>R7-21171</t>
  </si>
  <si>
    <t>cFluor® V670 anti-Mouse CD25 (PC61.5.3), 100 Tests</t>
  </si>
  <si>
    <t>R7-21173</t>
  </si>
  <si>
    <t>cFluor® V670 anti-Mouse CD4 (RM4-5), 100 Tests</t>
  </si>
  <si>
    <t>R7-21175</t>
  </si>
  <si>
    <t>cFluor® V670 anti-Mouse CD45R (B220) (RA3-6B2), 100 Tests</t>
  </si>
  <si>
    <t>R7-21177</t>
  </si>
  <si>
    <t>cFluor® V715 anti-Human CD14 (TUK4), 100 Tests</t>
  </si>
  <si>
    <t>R7-21179</t>
  </si>
  <si>
    <t>cFluor® V715 anti-Human CD3 (UCHT1), 100 Tests</t>
  </si>
  <si>
    <t>R7-21183</t>
  </si>
  <si>
    <t>cFluor® V715 anti-Human CD31 (PECAM-1) (WM59), 100 Tests</t>
  </si>
  <si>
    <t>R7-21185</t>
  </si>
  <si>
    <t>cFluor® V715 anti-Human CD33 (WM53), 100 Tests</t>
  </si>
  <si>
    <t>R7-21187</t>
  </si>
  <si>
    <t>cFluor® V715 anti-Human CD45RO (UCHL1), 100 Tests</t>
  </si>
  <si>
    <t>R7-21191</t>
  </si>
  <si>
    <t>cFluor® V715 anti-Human CD69 (FN50), 100 Tests</t>
  </si>
  <si>
    <t>R7-21193</t>
  </si>
  <si>
    <t>cFluor® V715 anti-Human MHC Class I (HLA-ABC) (W6/32), 100 Tests</t>
  </si>
  <si>
    <t>R7-21195</t>
  </si>
  <si>
    <t>cFluor® V715 anti-Mouse CD161 (NK1.1) (PK136), 100 Tests</t>
  </si>
  <si>
    <t>R7-21197</t>
  </si>
  <si>
    <t>cFluor® V715 anti-Mouse CD19 (6D5), 100 Tests</t>
  </si>
  <si>
    <t>R7-21199</t>
  </si>
  <si>
    <t>cFluor® V715 anti-Mouse CD25 (PC61.5.3), 100 Tests</t>
  </si>
  <si>
    <t>R7-21201</t>
  </si>
  <si>
    <t>cFluor® V715 anti-Mouse CD4 (RM4-5), 100 Tests</t>
  </si>
  <si>
    <t>R7-21203</t>
  </si>
  <si>
    <t>cFluor® V715 anti-Mouse CD45R (B220) (RA3-6B2), 100 Tests</t>
  </si>
  <si>
    <t>R7-21205</t>
  </si>
  <si>
    <t>cFluor® V755 anti-Human CD14 (TUK4), 100 Tests</t>
  </si>
  <si>
    <t>R7-21207</t>
  </si>
  <si>
    <t>cFluor® V755 anti-Human CD20 (2H7), 100 Tests</t>
  </si>
  <si>
    <t>R7-21209</t>
  </si>
  <si>
    <t>cFluor® V755 anti-Human CD3 (UCHT1), 100 Tests</t>
  </si>
  <si>
    <t>R7-21211</t>
  </si>
  <si>
    <t>cFluor® V755 anti-Human CD31 (PECAM-1) (WM59), 100 Tests</t>
  </si>
  <si>
    <t>R7-21213</t>
  </si>
  <si>
    <t>cFluor® V755 anti-Human CD33 (WM53), 100 Tests</t>
  </si>
  <si>
    <t>R7-21215</t>
  </si>
  <si>
    <t>cFluor® V755 anti-Human CD4 (RPA-T4), 100 Tests</t>
  </si>
  <si>
    <t>R7-21217</t>
  </si>
  <si>
    <t>cFluor® V755 anti-Human CD45RO (UCHL1), 100 Tests</t>
  </si>
  <si>
    <t>R7-21219</t>
  </si>
  <si>
    <t>cFluor® V755 anti-Human CD69 (FN50), 100 Tests</t>
  </si>
  <si>
    <t>R7-21221</t>
  </si>
  <si>
    <t>cFluor® V755 anti-Human MHC Class I (HLA-ABC) (W6/32), 100 Tests</t>
  </si>
  <si>
    <t>R7-21223</t>
  </si>
  <si>
    <t>cFluor® V755 anti-Mouse CD161 (NK1.1) (PK136), 100 Tests</t>
  </si>
  <si>
    <t>R7-21225</t>
  </si>
  <si>
    <t>cFluor® V755 anti-Mouse CD19 (6D5), 100 Tests</t>
  </si>
  <si>
    <t>R7-21227</t>
  </si>
  <si>
    <t>cFluor® V755 anti-Mouse CD25 (PC61.5.3), 100 Tests</t>
  </si>
  <si>
    <t>R7-21229</t>
  </si>
  <si>
    <t>cFluor® V755 anti-Mouse CD4 (RM4-5), 100 Tests</t>
  </si>
  <si>
    <t>R7-21231</t>
  </si>
  <si>
    <t>cFluor® V755 anti-Mouse CD45R (B220) (RA3-6B2), 100 Tests</t>
  </si>
  <si>
    <t>R7-21233</t>
  </si>
  <si>
    <t>cFluor® V780 anti-Human CD20 (2H7), 100 Tests</t>
  </si>
  <si>
    <t>R7-21237</t>
  </si>
  <si>
    <t>cFluor® V780 anti-Human CD3 (UCHT1), 100 Tests</t>
  </si>
  <si>
    <t>R7-21239</t>
  </si>
  <si>
    <t>cFluor® V780 anti-Human CD31 (PECAM-1) (WM59), 100 Tests</t>
  </si>
  <si>
    <t>R7-21241</t>
  </si>
  <si>
    <t>cFluor® V780 anti-Human CD33 (WM53), 100 Tests</t>
  </si>
  <si>
    <t>R7-21243</t>
  </si>
  <si>
    <t>cFluor® V780 anti-Human CD4 (RPA-T4), 100 Tests</t>
  </si>
  <si>
    <t>R7-21245</t>
  </si>
  <si>
    <t>cFluor® V780 anti-Human CD45RO (UCHL1), 100 Tests</t>
  </si>
  <si>
    <t>R7-21247</t>
  </si>
  <si>
    <t>cFluor® V780 anti-Human CD69 (FN50), 100 Tests</t>
  </si>
  <si>
    <t>R7-21249</t>
  </si>
  <si>
    <t>cFluor® V780 anti-Human MHC Class I (HLA-ABC) (W6/32), 100 Tests</t>
  </si>
  <si>
    <t>R7-21251</t>
  </si>
  <si>
    <t>cFluor® V780 anti-Mouse CD161 (NK1.1) (PK136), 100 Tests</t>
  </si>
  <si>
    <t>R7-21253</t>
  </si>
  <si>
    <t>cFluor® V780 anti-Mouse CD19 (6D5), 100 Tests</t>
  </si>
  <si>
    <t>R7-21255</t>
  </si>
  <si>
    <t>cFluor® V780 anti-Mouse CD25 (PC61.5.3), 100 Tests</t>
  </si>
  <si>
    <t>R7-21257</t>
  </si>
  <si>
    <t>R7-21259</t>
  </si>
  <si>
    <t>cFluor® V780 anti-Mouse CD45R (B220) (RA3-6B2), 100 Tests</t>
  </si>
  <si>
    <t>R7-21261</t>
  </si>
  <si>
    <t>cFluor® V605 anti-Mouse CD8a (53-6.7), 100 Tests</t>
  </si>
  <si>
    <t>R7-21263</t>
  </si>
  <si>
    <t>cFluor® V605 anti-Mouse CD8a (53-6.7), 25 Tests</t>
  </si>
  <si>
    <t>R7-21264</t>
  </si>
  <si>
    <t>cFluor® BYG781 anti-Human CD23 (EBVCS-5), 100 Tests</t>
  </si>
  <si>
    <t>R7-21271</t>
  </si>
  <si>
    <t>cFluor® BYG781 anti-Human CD23 (EBVCS-5), 25 Tests</t>
  </si>
  <si>
    <t>R7-21272</t>
  </si>
  <si>
    <t>cFluor® V605 anti-Human CD64 (10.1), 100 Tests</t>
  </si>
  <si>
    <t>R7-21285</t>
  </si>
  <si>
    <t>cFluor® V605 anti-Human CD64 (10.1), 25 Tests</t>
  </si>
  <si>
    <t>R7-21286</t>
  </si>
  <si>
    <t>cFluor® R840 anti-Human CD15 (W6D3), 100 Tests</t>
  </si>
  <si>
    <t>R7-21289</t>
  </si>
  <si>
    <t>cFluor® R840 anti-Human CD15 (W6D3), 25 Tests</t>
  </si>
  <si>
    <t>R7-21290</t>
  </si>
  <si>
    <t>cFluor® B532 anti-Human CD4 (RPA-T4), 100 Tests</t>
  </si>
  <si>
    <t>R7-21343</t>
  </si>
  <si>
    <t>cFluor® B532 anti-Human CD4 (RPA-T4), 25 Tests</t>
  </si>
  <si>
    <t>R7-21344</t>
  </si>
  <si>
    <t>cFluor® B532 anti-Human CD3 (UCHT1), 100 Tests</t>
  </si>
  <si>
    <t>R7-21345</t>
  </si>
  <si>
    <t>cFluor® B532 anti-Human CD3 (UCHT1), 25 Tests</t>
  </si>
  <si>
    <t>R7-21346</t>
  </si>
  <si>
    <t>cFluor® V435 anti-Human CD28 (CD28.2), 100 Tests</t>
  </si>
  <si>
    <t>R7-21349</t>
  </si>
  <si>
    <t>cFluor® V435 anti-Human CD28 (CD28.2), 25 Tests</t>
  </si>
  <si>
    <t>R7-21350</t>
  </si>
  <si>
    <t>cFluor® B532 anti-Human CD8a (RPA-T8), 100 Tests</t>
  </si>
  <si>
    <t>R7-21351</t>
  </si>
  <si>
    <t>cFluor® B532 anti-Human CD8a (RPA-T8), 25 Tests</t>
  </si>
  <si>
    <t>R7-21352</t>
  </si>
  <si>
    <t>cFluor® B532 anti-Human CD3 (SK7), 100 Tests</t>
  </si>
  <si>
    <t>R7-21359</t>
  </si>
  <si>
    <t>cFluor® B532 anti-Human CD3 (SK7), 25 Tests</t>
  </si>
  <si>
    <t>R7-21360</t>
  </si>
  <si>
    <t>cFluor® V435 anti-Human CD4 (SK3), 100 Tests</t>
  </si>
  <si>
    <t>R7-21367</t>
  </si>
  <si>
    <t>cFluor® V435 anti-Human CD4 (SK3), 25 Tests</t>
  </si>
  <si>
    <t>R7-21368</t>
  </si>
  <si>
    <t>cFluor® V435 anti-Human CD3 (SK7), 100 Tests</t>
  </si>
  <si>
    <t>R7-21369</t>
  </si>
  <si>
    <t>cFluor® V435 anti-Human CD3 (SK7), 25 Tests</t>
  </si>
  <si>
    <t>R7-21370</t>
  </si>
  <si>
    <t>cFluor® V435 anti-Human HLA-DR (L243), 100 Tests</t>
  </si>
  <si>
    <t>R7-21371</t>
  </si>
  <si>
    <t>cFluor® V435 anti-Human HLA-DR (L243), 25 Tests</t>
  </si>
  <si>
    <t>R7-21372</t>
  </si>
  <si>
    <t>cFluor® V435 anti-Human CD14 (MEM-18), 100 Tests</t>
  </si>
  <si>
    <t>R7-21373</t>
  </si>
  <si>
    <t>cFluor® V435 anti-Human CD14 (MEM-18), 25 Tests</t>
  </si>
  <si>
    <t>R7-21374</t>
  </si>
  <si>
    <t>cFluor® V435 anti-Human CD19 (SJ25C1), 100 Tests</t>
  </si>
  <si>
    <t>R7-21375</t>
  </si>
  <si>
    <t>cFluor® V435 anti-Human CD19 (SJ25C1), 25 Tests</t>
  </si>
  <si>
    <t>R7-21376</t>
  </si>
  <si>
    <t>cFluor® V435 anti-Human CD56 (B-A19), 100 Tests</t>
  </si>
  <si>
    <t>R7-21395</t>
  </si>
  <si>
    <t>cFluor® V435 anti-Human CD56 (B-A19), 25 Tests</t>
  </si>
  <si>
    <t>R7-21396</t>
  </si>
  <si>
    <t>cFluor® V515 anti-Human CD38 (HB7), 100 Tests</t>
  </si>
  <si>
    <t>R7-21415</t>
  </si>
  <si>
    <t>cFluor® V515 anti-Human CD38 (HB7), 25 Tests</t>
  </si>
  <si>
    <t>R7-21416</t>
  </si>
  <si>
    <t>cFluor® V450 anti-Human HLA-DR (L243), 100 Tests</t>
  </si>
  <si>
    <t>R7-21417</t>
  </si>
  <si>
    <t>cFluor® V450 anti-Human HLA-DR (L243), 25 Tests</t>
  </si>
  <si>
    <t>R7-21418</t>
  </si>
  <si>
    <t>cFluor® V605 anti-Human CD19 (SJ25C1), 100 Tests</t>
  </si>
  <si>
    <t>R7-21421</t>
  </si>
  <si>
    <t>cFluor® V605 anti-Human CD19 (SJ25C1), 25 Tests</t>
  </si>
  <si>
    <t>R7-21422</t>
  </si>
  <si>
    <t>cFluor® V670 anti-Human CD36 (CB38), 100 Tests</t>
  </si>
  <si>
    <t>R7-21423</t>
  </si>
  <si>
    <t>cFluor® V670 anti-Human CD36 (CB38), 25 Tests</t>
  </si>
  <si>
    <t>R7-21424</t>
  </si>
  <si>
    <t>cFluor® B532 anti-Human CD11b (ICRF44), 100 Tests</t>
  </si>
  <si>
    <t>R7-21425</t>
  </si>
  <si>
    <t>cFluor® B532 anti-Human CD11b (ICRF44), 25 Tests</t>
  </si>
  <si>
    <t>R7-21426</t>
  </si>
  <si>
    <t>cFluor® BYG610 anti-Human CD14 (M5E2), 100 Tests</t>
  </si>
  <si>
    <t>R7-21427</t>
  </si>
  <si>
    <t>cFluor® BYG610 anti-Human CD14 (M5E2), 25 Tests</t>
  </si>
  <si>
    <t>R7-21428</t>
  </si>
  <si>
    <t>cFluor® BYG667 anti-Human CD117 (104D2), 100 Tests</t>
  </si>
  <si>
    <t>R7-21429</t>
  </si>
  <si>
    <t>cFluor® BYG667 anti-Human CD117 (104D2), 25 Tests</t>
  </si>
  <si>
    <t>R7-21430</t>
  </si>
  <si>
    <t>cFluor® BYG710 anti-Human CD123 (6H6), 100 Tests</t>
  </si>
  <si>
    <t>R7-21431</t>
  </si>
  <si>
    <t>cFluor® BYG710 anti-Human CD123 (6H6), 25 Tests</t>
  </si>
  <si>
    <t>R7-21432</t>
  </si>
  <si>
    <t>cFluor® BYG781 anti-Human CD64 (10.1), 100 Tests</t>
  </si>
  <si>
    <t>R7-21433</t>
  </si>
  <si>
    <t>cFluor® BYG781 anti-Human CD64 (10.1), 25 Tests</t>
  </si>
  <si>
    <t>R7-21434</t>
  </si>
  <si>
    <t>cFluor® R659 anti-Human CD33 (P67.6), 100 Tests</t>
  </si>
  <si>
    <t>R7-21435</t>
  </si>
  <si>
    <t>cFluor® R659 anti-Human CD33 (P67.6), 25 Tests</t>
  </si>
  <si>
    <t>R7-21436</t>
  </si>
  <si>
    <t>cFluor® R720 anti-Human CD45RA (HI100), 100 Tests</t>
  </si>
  <si>
    <t>R7-21439</t>
  </si>
  <si>
    <t>cFluor® R720 anti-Human CD45RA (HI100), 25 Tests</t>
  </si>
  <si>
    <t>R7-21440</t>
  </si>
  <si>
    <t>cFluor® R840 anti-Human CD45 (2D1), 100 Tests</t>
  </si>
  <si>
    <t>R7-21441</t>
  </si>
  <si>
    <t>cFluor® R840 anti-Human CD45 (2D1), 25 Tests</t>
  </si>
  <si>
    <t>R7-21442</t>
  </si>
  <si>
    <t>cFluor® BYG610 anti-Human CD13 (WM15), 100 Tests</t>
  </si>
  <si>
    <t>R7-21499</t>
  </si>
  <si>
    <t>cFluor® BYG610 anti-Human CD13 (WM15), 25 Tests</t>
  </si>
  <si>
    <t>R7-21500</t>
  </si>
  <si>
    <t>cFluor 6-Color TBNK-SL</t>
  </si>
  <si>
    <t>R7-31001</t>
  </si>
  <si>
    <t>Cytek cFluorTM Immunoprofiling Kit</t>
  </si>
  <si>
    <t>R7-40000</t>
  </si>
  <si>
    <t>14 Color RUO kit</t>
  </si>
  <si>
    <t>Cytek cFluor™ Immunoprofiling Kit 14 Color RUO kit</t>
  </si>
  <si>
    <t>R7-40000-NOLOT</t>
  </si>
  <si>
    <t>Cytek cFluor™ 8C TBMNK Kit</t>
  </si>
  <si>
    <t>R7-40001</t>
  </si>
  <si>
    <t>Cytek 25-Color Immunoprofiling Assay, cFluor® Reagent Kit (18C)</t>
  </si>
  <si>
    <t>R7-40002</t>
  </si>
  <si>
    <t>cFluor®  CD4 Kit for V, B, YG, R Lasers</t>
  </si>
  <si>
    <t>R7-40003</t>
  </si>
  <si>
    <t>R7-40003-INA</t>
  </si>
  <si>
    <t>cFluor® CD4 Kit for B, R Lasers</t>
  </si>
  <si>
    <t>R7-40004</t>
  </si>
  <si>
    <t>R7-40004-INA</t>
  </si>
  <si>
    <t>cFluor® CD4 Kit for V, B, R Lasers</t>
  </si>
  <si>
    <t>R7-40005</t>
  </si>
  <si>
    <t>R7-40005-INA</t>
  </si>
  <si>
    <t>cFluor® CD4 Kit for V, B Lasers</t>
  </si>
  <si>
    <t>R7-40006</t>
  </si>
  <si>
    <t>R7-40006-INA</t>
  </si>
  <si>
    <t>cFluor® Human Pan Leukocyte Kit, LNW​</t>
  </si>
  <si>
    <t>R7-40007</t>
  </si>
  <si>
    <t>Cytek® B Cell Monitoring Kit</t>
  </si>
  <si>
    <t>R7-40008</t>
  </si>
  <si>
    <t>Cytek® AML Panel</t>
  </si>
  <si>
    <t>R7-40009</t>
  </si>
  <si>
    <t>Cytek® cFluor® MDSC Kit</t>
  </si>
  <si>
    <t>R7-40010</t>
  </si>
  <si>
    <t>R7-40010-0A</t>
  </si>
  <si>
    <t>Cytek® 16-Color NK Cell Immunoprofiling Panel, cFluor® Reagent Kit (15C)</t>
  </si>
  <si>
    <t>R7-40011</t>
  </si>
  <si>
    <t>Cytek® 24-Color Mouse Immunoprofiling Panel, cFluor® Reagent Kit (22C)</t>
  </si>
  <si>
    <t>R7-40014</t>
  </si>
  <si>
    <t>Basic Start-up Consumables Kit (Beads only)</t>
  </si>
  <si>
    <t>R7-40091</t>
  </si>
  <si>
    <t>Basic Start-up Training Kit (Beads and 14 C kit)</t>
  </si>
  <si>
    <t>R7-40092</t>
  </si>
  <si>
    <t>6 cFluor® Reagent Bundle for Cytek-1 OMIP, 25 Tests</t>
  </si>
  <si>
    <t>R7-49000</t>
  </si>
  <si>
    <t>6 cFluor® Reagent Bundle for Cytek-1 OMIP, 100 tests</t>
  </si>
  <si>
    <t>R7-49001</t>
  </si>
  <si>
    <t>ViaDye™ Red Fixable Viability Dye kit Size: 100 Tests</t>
  </si>
  <si>
    <t>R7-60008</t>
  </si>
  <si>
    <t>ViaDye™ Violet Fixable Viability Dye kit Size: 100 Tests</t>
  </si>
  <si>
    <t>R7-60009</t>
  </si>
  <si>
    <t>Cytek® RBC Lyse/Fix Solution 10X</t>
  </si>
  <si>
    <t>R7-60010</t>
  </si>
  <si>
    <t>cFluor™ R720 Anti-Human CD127</t>
  </si>
  <si>
    <t>RC-00004</t>
  </si>
  <si>
    <t>Clone: A019D5</t>
  </si>
  <si>
    <t>Size: 25T</t>
  </si>
  <si>
    <t>cFluor™ R720 Anti-Human CD127 (Clone: A019D5, Isotype: IgG1, κ, Host: Mouse, Size: 25T)</t>
  </si>
  <si>
    <t>RC-00004-NOLOT</t>
  </si>
  <si>
    <t>cFluor™ BYG710 Anti-Human CD16, Clone: 3G8, Isotype: IgG1, Host: Mouse, Size: 100T</t>
  </si>
  <si>
    <t>RC-00005</t>
  </si>
  <si>
    <t>Custom Reagent Panel Design</t>
  </si>
  <si>
    <t>RC-00006</t>
  </si>
  <si>
    <t>Custom Reagent Assay Development</t>
  </si>
  <si>
    <t>RC-00007</t>
  </si>
  <si>
    <t>cFluor™ YG584  Anti-Human CD27, Clone: O323, Isotype: IgG1, Host: Mouse, Size: 100T</t>
  </si>
  <si>
    <t>RC-00008</t>
  </si>
  <si>
    <t>cFluor™ R720 Anti-Human CD127, Clone: A019D5, Isotype: IgG1, Host: Mouse, Size: 100T</t>
  </si>
  <si>
    <t>RC-00009</t>
  </si>
  <si>
    <t>cFluor™ V450 Anti-Ms CD11c, Clone: N418, Isotype: IgG1, Host: Hamster, Size: 100T</t>
  </si>
  <si>
    <t>RC-00034</t>
  </si>
  <si>
    <t>cFluor™ B515 Anti-Ms CD8a, Clone: 53-6.7, Isotype: IgG2a, k, Host: Rat, Size: 100T</t>
  </si>
  <si>
    <t>RC-00036</t>
  </si>
  <si>
    <t>cFluor™ V420 Anti-Ms Ly6C, Clone: HK1.4, Isotype: IgG2C, k, Host: Rat, Size: 100T</t>
  </si>
  <si>
    <t>RC-00037</t>
  </si>
  <si>
    <t>cFluor™ B548 Anti-Ms Ly6G,Clone: 1A8, Isotype: IgG2a, k, Host: Rat, Size: 100T</t>
  </si>
  <si>
    <t>RC-00038</t>
  </si>
  <si>
    <t>cFluor™ BYG667 Anti- Ms CD25, Clone: PC61, Isotype: IgG1, ?, Host: Rat, Size: 100T</t>
  </si>
  <si>
    <t>RC-00062</t>
  </si>
  <si>
    <t>cFluor™ R685 Anti-Ms CD11b, Clone: M1/70, Isotype: IgG2b, k, Host: Rat, Size: 100T</t>
  </si>
  <si>
    <t>RC-00063</t>
  </si>
  <si>
    <t>cFluor™ V547 Anti-Ms CD45, Clone: 30-F11, Isotype: IgG2b, ?, Host: Rat, Size: 100T</t>
  </si>
  <si>
    <t>RC-00065</t>
  </si>
  <si>
    <t>cFluor™ BYG575 Anti-iNOS, Clone: W16030C, Isotype: IgG2b, k, Host: Rat, Size: 100T</t>
  </si>
  <si>
    <t>RC-00070</t>
  </si>
  <si>
    <t>cFluor™ BYG610 Anti-Ms TNF-a, Clone: MP6-XT22, Isotype: IgG1, k, Host: Rat, Size: 100T</t>
  </si>
  <si>
    <t>RC-00071</t>
  </si>
  <si>
    <t>cFluor™ BYG781 Anti-Ms Arginase, Clone: A1exF5, Isotype: IgG2a, k, Host: Rat, Size: 100T</t>
  </si>
  <si>
    <t>RC-00073</t>
  </si>
  <si>
    <t>cFluor™ R720 Anti-Ms CD3, Clone: 500A2, Isotype: IgG, Host: Hamster, Size: 100T</t>
  </si>
  <si>
    <t>RC-00074</t>
  </si>
  <si>
    <t>cFluor™  B690 Ms IgG1, Clone: MOPC-21, Isotype: IgG1, k, Host: Mouse, Size: 100T</t>
  </si>
  <si>
    <t>RC-00076</t>
  </si>
  <si>
    <t>cFluor™ BYG610 Rat IgG1</t>
  </si>
  <si>
    <t>RC-00078</t>
  </si>
  <si>
    <t>Clone: HRPN</t>
  </si>
  <si>
    <t>Isotype: IgG1, k</t>
  </si>
  <si>
    <t>Size: 100T</t>
  </si>
  <si>
    <t>cFluor™ BYG710 IgG1</t>
  </si>
  <si>
    <t>RC-00079</t>
  </si>
  <si>
    <t>cFluor™ BYG781 Rat IgG2a, Clone: eBR2a, Isotype: IgG2a, k, Host: Rat, Size: 100T</t>
  </si>
  <si>
    <t>RC-00080</t>
  </si>
  <si>
    <t>cFluor™ R840 Anti-Human CD3 Clone: SK7 Isotype: IgG1, κ Host: Mouse Size: 100 Tests</t>
  </si>
  <si>
    <t>RC-00100</t>
  </si>
  <si>
    <t>cFluor™ BYG710 Anti-Human CD25, Clone: BC96, Isotype: IgG1, ?, Host: Mouse, Size: 100 Tests</t>
  </si>
  <si>
    <t>RC-00103</t>
  </si>
  <si>
    <t>cFluor™ V450 Anti-Human CD15</t>
  </si>
  <si>
    <t>RC-00105</t>
  </si>
  <si>
    <t>cFluor™ B548 Anti-Human CD45, Clone: HI30, Isotype: IgG1, k, Host: Mouse, Size: 100 Tests</t>
  </si>
  <si>
    <t>RC-00113</t>
  </si>
  <si>
    <t>cFluor™ R840 Anti-Human CD38</t>
  </si>
  <si>
    <t>RC-00119</t>
  </si>
  <si>
    <t>cFluor™ YG584 Anti-Mouse CD4</t>
  </si>
  <si>
    <t>RC-00120</t>
  </si>
  <si>
    <t>Isotype: IgG2a, κ</t>
  </si>
  <si>
    <t>cFluor™ BYG667Anti-Hu CD16, Clone: 3G8, Isotype: IgG1, ? , Host: Mouse, Size: 100 Tests</t>
  </si>
  <si>
    <t>RC-00124</t>
  </si>
  <si>
    <t>cFluor™ B548 Anti-Hu CD14</t>
  </si>
  <si>
    <t>RC-00128</t>
  </si>
  <si>
    <t>Isotype: Mouse IgG2a, κ</t>
  </si>
  <si>
    <t>cFluor™ BYG667 Anti-Hu CD95</t>
  </si>
  <si>
    <t>RC-00131</t>
  </si>
  <si>
    <t>Clone: DX2</t>
  </si>
  <si>
    <t>Isotype: Mouse IgG1, κ</t>
  </si>
  <si>
    <t>cFluor™ V450 Anti-Hu CD11c, Clone: 3.9, Isotype: IgG1, k , Host: Mouse, Size: 100 Tests</t>
  </si>
  <si>
    <t>RC-00136</t>
  </si>
  <si>
    <t>cFluor™ R720 Anti-Hu TNF-?, Clone: MAb11, Isotype: IgG1, k , Host: Mouse, Size: 100 Tests</t>
  </si>
  <si>
    <t>RC-00137</t>
  </si>
  <si>
    <t>cFluor™ B515 Ms IgG1, k, Clone: MOPC-21, Isotype: IgG1, k , Host: Mouse, Size: 100 Tests</t>
  </si>
  <si>
    <t>RC-00138</t>
  </si>
  <si>
    <t>cFluor™ B515 Anti-Human IFN-γ</t>
  </si>
  <si>
    <t>RC-00139</t>
  </si>
  <si>
    <t>Clone: 4S.B3</t>
  </si>
  <si>
    <t>cFluor™ B690 Anti-Hu CD45RA</t>
  </si>
  <si>
    <t>RC-00141</t>
  </si>
  <si>
    <t>Isotype: IgG2b, κ</t>
  </si>
  <si>
    <t>cFluor™ BYG610 Anti-Hu CD134</t>
  </si>
  <si>
    <t>RC-00143</t>
  </si>
  <si>
    <t>Clone: BER-ACT35</t>
  </si>
  <si>
    <t>cFluor™ BYG710 Anti-Hu IL-4</t>
  </si>
  <si>
    <t>RC-00144</t>
  </si>
  <si>
    <t>Clone: MP4-25D2</t>
  </si>
  <si>
    <t>cFluor™ BYG750 Anti-Hu TNF-α</t>
  </si>
  <si>
    <t>RC-00146</t>
  </si>
  <si>
    <t>Clone: MAb11</t>
  </si>
  <si>
    <t>cFluor™ BYG781 Anti-Hu IL-2</t>
  </si>
  <si>
    <t>RC-00148</t>
  </si>
  <si>
    <t>Clone: MQ1-17H12</t>
  </si>
  <si>
    <t>cFluor™ V450 Anti- Hu CD8</t>
  </si>
  <si>
    <t>RC-00149</t>
  </si>
  <si>
    <t>Functional Intracellular Mouse Kit (17C)</t>
  </si>
  <si>
    <t>RC-00152</t>
  </si>
  <si>
    <t>(25 Tests)</t>
  </si>
  <si>
    <t>cFluor® B515 Anti-Human CD62L</t>
  </si>
  <si>
    <t>RC-00180</t>
  </si>
  <si>
    <t>Clone: DREG-56</t>
  </si>
  <si>
    <t>cFluor® BYG710 Anti-Hu CD11c</t>
  </si>
  <si>
    <t>RC-00181</t>
  </si>
  <si>
    <t>Clone: Bu15</t>
  </si>
  <si>
    <t>cFluor® R720 Anti-Hu CD314</t>
  </si>
  <si>
    <t>RC-00183</t>
  </si>
  <si>
    <t>Clone: 1D11</t>
  </si>
  <si>
    <t>cFluor® R840 Anti-Hu HLA-DR</t>
  </si>
  <si>
    <t>RC-00186</t>
  </si>
  <si>
    <t>cFluor® B548 Anti-Hu CD16</t>
  </si>
  <si>
    <t>RC-00188</t>
  </si>
  <si>
    <t>cFluor® R720 Mouse IgG2b</t>
  </si>
  <si>
    <t>RC-00192</t>
  </si>
  <si>
    <t>Clone: 27-35</t>
  </si>
  <si>
    <t>cFluor® B532 Anti-Hu CD28</t>
  </si>
  <si>
    <t>RC-00193</t>
  </si>
  <si>
    <t>Clone: CD28.2</t>
  </si>
  <si>
    <t>cFluor® BYG750 Anti-Hu CD137</t>
  </si>
  <si>
    <t>RC-00196</t>
  </si>
  <si>
    <t>Clone: 4B4-1</t>
  </si>
  <si>
    <t>cFluor™ BYG710 Anti-Hu CD117</t>
  </si>
  <si>
    <t>RC-00214</t>
  </si>
  <si>
    <t>cFluor™ BYG667 Anti-Hu CD56</t>
  </si>
  <si>
    <t>RC-00240</t>
  </si>
  <si>
    <t>Clone: B-A19</t>
  </si>
  <si>
    <t>cFluor® B532 Anti-Human CD36</t>
  </si>
  <si>
    <t>RC-00259</t>
  </si>
  <si>
    <t>Clone: CB38</t>
  </si>
  <si>
    <t>Isotype: IgM</t>
  </si>
  <si>
    <t>cFluor® BYG610 Anti-Hu CD33</t>
  </si>
  <si>
    <t>RC-00262</t>
  </si>
  <si>
    <t>cFluor® BYG710 Anti-Hu CD314 Clone: 1D11 Isotype: IgG1, κ Host: Mouse Size: 100 tests</t>
  </si>
  <si>
    <t>RC-00295</t>
  </si>
  <si>
    <t>cFluor® BYG750 TIGIT</t>
  </si>
  <si>
    <t>RC-00296</t>
  </si>
  <si>
    <t>Clone: MBSA43</t>
  </si>
  <si>
    <t>cFluor® R685 Anti-Hu Perforin</t>
  </si>
  <si>
    <t>RC-00297</t>
  </si>
  <si>
    <t>cFluor® R720 Anti-Human CD38</t>
  </si>
  <si>
    <t>RC-00299</t>
  </si>
  <si>
    <t>cFluor® R720 Anti-Hu CD7</t>
  </si>
  <si>
    <t>RC-00300</t>
  </si>
  <si>
    <t>cFluor™ V547 Anti-Human CD16</t>
  </si>
  <si>
    <t>RC-00317</t>
  </si>
  <si>
    <t>cFluor® BYG667 Anti-Hu CD25</t>
  </si>
  <si>
    <t>RC-00326</t>
  </si>
  <si>
    <t>cFluor® BYG750 Anti-Human CD38</t>
  </si>
  <si>
    <t>RC-00327</t>
  </si>
  <si>
    <t>cFluor® V610 Anti-Hu CD11b Clone: ICRF44 Isotype: IgG1, κ Host: Mouse Size: 100 tests</t>
  </si>
  <si>
    <t>RC-00333</t>
  </si>
  <si>
    <t>cFluor® BYG710 Anti-Human CD90</t>
  </si>
  <si>
    <t>RC-00336</t>
  </si>
  <si>
    <t>Clone: 5E10</t>
  </si>
  <si>
    <t>Isotype: IgG1,  κ</t>
  </si>
  <si>
    <t>cFluor® V547 Anti-Hu CD62L</t>
  </si>
  <si>
    <t>RC-00338</t>
  </si>
  <si>
    <t>Clone: DREG56</t>
  </si>
  <si>
    <t>cFluor™ B532 Anti-Hu CD57</t>
  </si>
  <si>
    <t>RC-00340</t>
  </si>
  <si>
    <t>cFluor™ R668 Anti-Hu FoxP3</t>
  </si>
  <si>
    <t>RC-00347</t>
  </si>
  <si>
    <t>Clone: PCH101</t>
  </si>
  <si>
    <t>cFluor® YG584 Anti-Hu CD25</t>
  </si>
  <si>
    <t>RC-00350</t>
  </si>
  <si>
    <t>cFluor™ V547 Anti-Hu CD44</t>
  </si>
  <si>
    <t>RC-00373</t>
  </si>
  <si>
    <t>Clone: IM7</t>
  </si>
  <si>
    <t>cFluor™ BYG667 Anti-Hu CD69</t>
  </si>
  <si>
    <t>RC-00378</t>
  </si>
  <si>
    <t>Clone: FN50</t>
  </si>
  <si>
    <t>cFluor™ BYG750 Anti-Hu CD25 Clone: BC96 Isotype: IgG1, κ Host: Mouse Size: 100 Tests</t>
  </si>
  <si>
    <t>RC-00380</t>
  </si>
  <si>
    <t>cFluor™ R720 Anti-Ms CD38</t>
  </si>
  <si>
    <t>RC-00382</t>
  </si>
  <si>
    <t>Clone: 90</t>
  </si>
  <si>
    <t>cFluor™ R840 Anti-Hu CD27 Clone: O323 Isotype: IgG1, κ Host: Mouse Size: 100 Tests</t>
  </si>
  <si>
    <t>RC-00385</t>
  </si>
  <si>
    <t>cFluor™ B548 Anti-Hu CD41</t>
  </si>
  <si>
    <t>RC-00390</t>
  </si>
  <si>
    <t>Clone: HIP8</t>
  </si>
  <si>
    <t>cFluor™ R685 Anti-Hu CD42a</t>
  </si>
  <si>
    <t>RC-00391</t>
  </si>
  <si>
    <t>Clone: GR-P</t>
  </si>
  <si>
    <t>cFluor™ R720 Anti-Hu CD11b</t>
  </si>
  <si>
    <t>RC-00394</t>
  </si>
  <si>
    <t>cFluor™ BYG710 Anti-Hu CD11b</t>
  </si>
  <si>
    <t>RC-00396</t>
  </si>
  <si>
    <t>cFluor™ BYG750 Anti-Hu CD5</t>
  </si>
  <si>
    <t>RC-00397</t>
  </si>
  <si>
    <t>Clone: UCHT2</t>
  </si>
  <si>
    <t>cFluor™ B532 Anti-Hu CD2</t>
  </si>
  <si>
    <t>RC-00398</t>
  </si>
  <si>
    <t>cFluor™ Custom Kit cFluor™ R720 CD38 (HIT2) and cFluor™B690 HLA-DR (L243)</t>
  </si>
  <si>
    <t>RC-00439</t>
  </si>
  <si>
    <t>cFluor™ R720 Anti-Ms TCR β</t>
  </si>
  <si>
    <t>RC-00443</t>
  </si>
  <si>
    <t>Clone: H57-597</t>
  </si>
  <si>
    <t>Isotype: IgG</t>
  </si>
  <si>
    <t>Host: Hamster</t>
  </si>
  <si>
    <t>RC-00443-NOLOT</t>
  </si>
  <si>
    <t>cFluor™ BYG750 Anti-Hu CD27</t>
  </si>
  <si>
    <t>RC-00455</t>
  </si>
  <si>
    <t>cFluor™ BYG750 Anti-Hu CD27 Clone: O323 Isotype: IgG1, κ Host: Mouse Size: 100 Tests</t>
  </si>
  <si>
    <t>RC-00455-NOLOT</t>
  </si>
  <si>
    <t>cFluor™ R685 Anti-Hu CD16</t>
  </si>
  <si>
    <t>RC-00456</t>
  </si>
  <si>
    <t>cFluor™ R685 Anti-Hu CD16 Clone: 3G8 Isotype: IgG1, κ Host: Mouse Size: 100 Tests</t>
  </si>
  <si>
    <t>RC-00456-NOLOT</t>
  </si>
  <si>
    <t>cFluor™ R720 Anti-Hu CD161</t>
  </si>
  <si>
    <t>RC-00457</t>
  </si>
  <si>
    <t>cFluor™ R720 Anti-Hu CD161 Clone: HP-3G10 Isotype: IgG1, κ Host: Mouse Size: 100 Tests</t>
  </si>
  <si>
    <t>RC-00457-NOLOT</t>
  </si>
  <si>
    <t>cFluor™ BYG781 Anti-Ms Arginase</t>
  </si>
  <si>
    <t>RC-00461</t>
  </si>
  <si>
    <t>Clone: A1exF5</t>
  </si>
  <si>
    <t>Isotype: IgG2a, k</t>
  </si>
  <si>
    <t>cFluor™ R840 Anti-Ms Ly6C</t>
  </si>
  <si>
    <t>RC-00489</t>
  </si>
  <si>
    <t>Clone: HK1.4</t>
  </si>
  <si>
    <t>Isotype: IgG2c, κ</t>
  </si>
  <si>
    <t>RC-00489-NOLOT</t>
  </si>
  <si>
    <t>Custom Kit (20C)</t>
  </si>
  <si>
    <t>RC-00490</t>
  </si>
  <si>
    <t>cFluor™ B548 Anti-Human CD3</t>
  </si>
  <si>
    <t>RC-00501</t>
  </si>
  <si>
    <t>cFluor™ R780 Anti-Hu CD3</t>
  </si>
  <si>
    <t>RC-00505</t>
  </si>
  <si>
    <t>cFluor™ BYG750 Anti-Hu IgD Clone: IgD26 Isotype: IgG1, κ Host: Mouse Size: 100 tests</t>
  </si>
  <si>
    <t>RC-00521</t>
  </si>
  <si>
    <t>cFluor™ V450 Anti-Hu CD57</t>
  </si>
  <si>
    <t>RC-00529</t>
  </si>
  <si>
    <t>Clone: TB01</t>
  </si>
  <si>
    <t>Isotype: Mouse IgM, κ</t>
  </si>
  <si>
    <t>cFluor™ BYG710 Anti-Hu CD103</t>
  </si>
  <si>
    <t>RC-00531</t>
  </si>
  <si>
    <t>Clone: Ber-ACT8</t>
  </si>
  <si>
    <t>cFluor® BYG750 Anti-Human CD69</t>
  </si>
  <si>
    <t>RC-00532</t>
  </si>
  <si>
    <t>cFluor™ V610 Anti-Hu CD20</t>
  </si>
  <si>
    <t>RC-00553</t>
  </si>
  <si>
    <t>Isotype: Mouse IgG2b, κ</t>
  </si>
  <si>
    <t>cFluor™ BYG575 Anti-Hu CD152</t>
  </si>
  <si>
    <t>RC-00554</t>
  </si>
  <si>
    <t>Clone: BNI3</t>
  </si>
  <si>
    <t>cFluor™ BYG610 Anti-Hu CD28</t>
  </si>
  <si>
    <t>RC-00555</t>
  </si>
  <si>
    <t>cFluor™ BYG750 Anti-Hu CD274</t>
  </si>
  <si>
    <t>RC-00556</t>
  </si>
  <si>
    <t>Clone: 29E.2A3</t>
  </si>
  <si>
    <t>cFluor™ R720 Anti-Hu CD11c</t>
  </si>
  <si>
    <t>RC-00557</t>
  </si>
  <si>
    <t>cFluor™ YG610 CD298-CPM</t>
  </si>
  <si>
    <t>RC-00565</t>
  </si>
  <si>
    <t>Clone: LNH-94</t>
  </si>
  <si>
    <t>Isotype: CPM</t>
  </si>
  <si>
    <t>Host: CPM</t>
  </si>
  <si>
    <t>cFluor™ B675 CD298-CPM</t>
  </si>
  <si>
    <t>RC-00566</t>
  </si>
  <si>
    <t>cFluor™ V547 CD298-CPM</t>
  </si>
  <si>
    <t>RC-00567</t>
  </si>
  <si>
    <t>cFluor™ R720 CD298-CPM</t>
  </si>
  <si>
    <t>RC-00568</t>
  </si>
  <si>
    <t>cFluor® BYG610 Anti-Hu CD195 (CCR5)</t>
  </si>
  <si>
    <t>RC-00569</t>
  </si>
  <si>
    <t>Clone: NP-6G4</t>
  </si>
  <si>
    <t>cFluor™ B675 Anti-Hu CD15</t>
  </si>
  <si>
    <t>RC-00591</t>
  </si>
  <si>
    <t>cFluor™ BYG750 Anti-Human CD5 Clone: L17F12 Isotype: IgG2a, κ Host: Mouse Size: 100 Tests</t>
  </si>
  <si>
    <t>RC-00595</t>
  </si>
  <si>
    <t>cFluor™ V610 Anti-Hu CD19</t>
  </si>
  <si>
    <t>RC-00606</t>
  </si>
  <si>
    <t>RC-00606-NOLOT</t>
  </si>
  <si>
    <t>cFluor™ BYG710 Anti-Human CD25</t>
  </si>
  <si>
    <t>RC-00612</t>
  </si>
  <si>
    <t>Clone: CD25-4E3</t>
  </si>
  <si>
    <t>cFluor™ BYG710 Anti-Human CD25 Clone: CD25-4E3 Isotype: IgG2b, κ Host: Mouse Size: 100 Tests</t>
  </si>
  <si>
    <t>RC-00612-NOLOT</t>
  </si>
  <si>
    <t>cFluor™ R685 Anti-Human CD5</t>
  </si>
  <si>
    <t>RC-00615</t>
  </si>
  <si>
    <t>RC-00615-NOLOT</t>
  </si>
  <si>
    <t>cFluor™ R745 Anti-Human CD69</t>
  </si>
  <si>
    <t>RC-00630</t>
  </si>
  <si>
    <t>RC-00630-NOLOT</t>
  </si>
  <si>
    <t>cFluor™ B675 Anti-Human CD45</t>
  </si>
  <si>
    <t>RC-00631</t>
  </si>
  <si>
    <t>RC-00631-NOLOT</t>
  </si>
  <si>
    <t>RC-00632</t>
  </si>
  <si>
    <t>Clone: eBioRDR5</t>
  </si>
  <si>
    <t>RC-00632-NOLOT</t>
  </si>
  <si>
    <t>cFluor™ B515 Anti-Human CD161</t>
  </si>
  <si>
    <t>RC-00633</t>
  </si>
  <si>
    <t>RC-00633-NOLOT</t>
  </si>
  <si>
    <t>cFluor™ R685 Anti-Human CD56</t>
  </si>
  <si>
    <t>RC-00634</t>
  </si>
  <si>
    <t>RC-00634-NOLOT</t>
  </si>
  <si>
    <t>cFluor™ B532 Anti-Human CD57</t>
  </si>
  <si>
    <t>RC-00635</t>
  </si>
  <si>
    <t>RC-00635-NOLOT</t>
  </si>
  <si>
    <t>cFluor™ BYG781 Anti-Human CD294 (CRTH2)</t>
  </si>
  <si>
    <t>RC-00636</t>
  </si>
  <si>
    <t>Clone: BM16</t>
  </si>
  <si>
    <t>Isotype: Rat IgG2a, κ</t>
  </si>
  <si>
    <t>RC-00636-NOLOT</t>
  </si>
  <si>
    <t>cFluor™ R668 Anti-Human CD152 (CTLA-4)</t>
  </si>
  <si>
    <t>RC-00637</t>
  </si>
  <si>
    <t>RC-00637-NOLOT</t>
  </si>
  <si>
    <t>cFluor™ V547 Anti-Human HLA-DR</t>
  </si>
  <si>
    <t>RC-00638</t>
  </si>
  <si>
    <t>RC-00638-NOLOT</t>
  </si>
  <si>
    <t>cFluor™ V610 Anti-Human TCR V Delta2</t>
  </si>
  <si>
    <t>RC-00639</t>
  </si>
  <si>
    <t>Clone: B6</t>
  </si>
  <si>
    <t>RC-00639-NOLOT</t>
  </si>
  <si>
    <t>cFluor™ B690 Anti-Human CD11b</t>
  </si>
  <si>
    <t>RC-00640</t>
  </si>
  <si>
    <t>RC-00640-NOLOT</t>
  </si>
  <si>
    <t>cFluor™ YG610 Anti-Human CD20</t>
  </si>
  <si>
    <t>RC-00641</t>
  </si>
  <si>
    <t>RC-00641-NOLOT</t>
  </si>
  <si>
    <t>cFluor™ V610 Anti-Human IgG</t>
  </si>
  <si>
    <t>RC-00642</t>
  </si>
  <si>
    <t>Clone: 8A4</t>
  </si>
  <si>
    <t>RC-00642-NOLOT</t>
  </si>
  <si>
    <t>cFluor™ V547 Anti-Human IgM</t>
  </si>
  <si>
    <t>RC-00643</t>
  </si>
  <si>
    <t>Clone: M15/8</t>
  </si>
  <si>
    <t>RC-00643-NOLOT</t>
  </si>
  <si>
    <t>cFluor™ V505 Anti-Human Ki-67</t>
  </si>
  <si>
    <t>RC-00644</t>
  </si>
  <si>
    <t>Clone: Ki-67</t>
  </si>
  <si>
    <t>RC-00644-NOLOT</t>
  </si>
  <si>
    <t>cFluor™ BYG610 Anti-Human CD274 (PD-L1)</t>
  </si>
  <si>
    <t>RC-00645</t>
  </si>
  <si>
    <t>RC-00645-NOLOT</t>
  </si>
  <si>
    <t>cFluor® BYG710 Anti-Hu CD69</t>
  </si>
  <si>
    <t>RC-00646</t>
  </si>
  <si>
    <t>RC-00646-NOLOT</t>
  </si>
  <si>
    <t>cFluor® R668 Anti-Hu CD314 (NKG2D)</t>
  </si>
  <si>
    <t>RC-00647</t>
  </si>
  <si>
    <t>RC-00647-NOLOT</t>
  </si>
  <si>
    <t>cFluor® R780 Anti-Hu CD56</t>
  </si>
  <si>
    <t>RC-00648</t>
  </si>
  <si>
    <t>RC-00648-NOLOT</t>
  </si>
  <si>
    <t>cFluor™ V610 Anti-Hu Ki67</t>
  </si>
  <si>
    <t>RC-00662</t>
  </si>
  <si>
    <t>Clone: Ki67</t>
  </si>
  <si>
    <t>RC-00662-NOLOT</t>
  </si>
  <si>
    <t>cFluor™ B532 Anti-Hu CD66b</t>
  </si>
  <si>
    <t>RC-00675</t>
  </si>
  <si>
    <t>RC-00675-NOLOT</t>
  </si>
  <si>
    <t>cFluor™ R720 Anti-Hu CD39</t>
  </si>
  <si>
    <t>RC-00677</t>
  </si>
  <si>
    <t>Clone: A1</t>
  </si>
  <si>
    <t>RC-00677-NOLOT</t>
  </si>
  <si>
    <t>cFluor™ R780 Anti-Hu CD11b</t>
  </si>
  <si>
    <t>RC-00678</t>
  </si>
  <si>
    <t>RC-00678-NOLOT</t>
  </si>
  <si>
    <t>cFluor™ R840 Anti-Hu CD340 (CPM)</t>
  </si>
  <si>
    <t>RC-00679</t>
  </si>
  <si>
    <t>Clone: 24D2</t>
  </si>
  <si>
    <t>RC-00679-NOLOT</t>
  </si>
  <si>
    <t>Cytek® 22-Color Immunoprofiling Assay ICS, cFluor® Reagent Kit (14C)</t>
  </si>
  <si>
    <t>RC-00685</t>
  </si>
  <si>
    <t>cFluor® V547 Anti-Hu CD71</t>
  </si>
  <si>
    <t>RC-00692</t>
  </si>
  <si>
    <t>Clone: OKT9</t>
  </si>
  <si>
    <t>RC-00692-NOLOT</t>
  </si>
  <si>
    <t>cFluor® BYG575 Anti-Hu CD34</t>
  </si>
  <si>
    <t>RC-00694</t>
  </si>
  <si>
    <t>RC-00694-NOLOT</t>
  </si>
  <si>
    <t>cFluor™ R668 Anti-Hu Folate Receptor β (CPM)</t>
  </si>
  <si>
    <t>RC-00696</t>
  </si>
  <si>
    <t>Clone: 94b</t>
  </si>
  <si>
    <t>RC-00696-NOLOT</t>
  </si>
  <si>
    <t>cFluor® BYG750 Anti-Hu CD300e</t>
  </si>
  <si>
    <t>RC-00697</t>
  </si>
  <si>
    <t>Clone: UP-H2</t>
  </si>
  <si>
    <t>RC-00697-NOLOT</t>
  </si>
  <si>
    <t>cFluor® R659 Anti-Hu CD13</t>
  </si>
  <si>
    <t>RC-00698</t>
  </si>
  <si>
    <t>RC-00698-NOLOT</t>
  </si>
  <si>
    <t>cFluor® R685 Anti-Hu CD235a</t>
  </si>
  <si>
    <t>RC-00700</t>
  </si>
  <si>
    <t>Clone: JC159</t>
  </si>
  <si>
    <t>RC-00700-NOLOT</t>
  </si>
  <si>
    <t>cFluor™ R668 Claudin 18.2 (CPM)</t>
  </si>
  <si>
    <t>RC-00702</t>
  </si>
  <si>
    <t>Clone: 9C2</t>
  </si>
  <si>
    <t>RC-00702-NOLOT</t>
  </si>
  <si>
    <t>cFluor® BYG781 Anti-Hu CD95 Clone: DX2 Isotype: IgG1, κ Host: Mouse Size: 100 tests</t>
  </si>
  <si>
    <t>RC-00703</t>
  </si>
  <si>
    <t>cFluor™ BYG667 Anti-Hu CD39</t>
  </si>
  <si>
    <t>RC-00704</t>
  </si>
  <si>
    <t>RC-00704-NOLOT</t>
  </si>
  <si>
    <t>cFluor™ B515 Anti-Hu CD38</t>
  </si>
  <si>
    <t>RC-00705</t>
  </si>
  <si>
    <t>RC-00705-NOLOT</t>
  </si>
  <si>
    <t>cFluor™ YG584 Anti-Hu CD141</t>
  </si>
  <si>
    <t>RC-00706</t>
  </si>
  <si>
    <t>RC-00706-NOLOT</t>
  </si>
  <si>
    <t>cFluor™ V610 Anti-Hu CD123</t>
  </si>
  <si>
    <t>RC-00707</t>
  </si>
  <si>
    <t>RC-00707-NOLOT</t>
  </si>
  <si>
    <t>cFluor™ R720 Anti-Hu CD56</t>
  </si>
  <si>
    <t>RC-00716</t>
  </si>
  <si>
    <t>RC-00716-NOLOT</t>
  </si>
  <si>
    <t>cFluor® V450 Anti-Hu CD14</t>
  </si>
  <si>
    <t>RC-00721</t>
  </si>
  <si>
    <t>RC-00721-NOLOT</t>
  </si>
  <si>
    <t>cFluor® B515 Anti-Hu CD11b</t>
  </si>
  <si>
    <t>RC-00722</t>
  </si>
  <si>
    <t>RC-00722-NOLOT</t>
  </si>
  <si>
    <t>cFluor™ B548 Anti-Human HLA-DR (L243)</t>
  </si>
  <si>
    <t>RC-00729</t>
  </si>
  <si>
    <t>cFluor™ B675 Anti-Hu β2-microglobulin (CPM)</t>
  </si>
  <si>
    <t>RC-00730</t>
  </si>
  <si>
    <t>Clone: A017082A</t>
  </si>
  <si>
    <t>RC-00730-NOLOT</t>
  </si>
  <si>
    <t>cFluor™ V547 Anti-Hu β2-microglobulin (CPM)</t>
  </si>
  <si>
    <t>RC-00731</t>
  </si>
  <si>
    <t>RC-00731-NOLOT</t>
  </si>
  <si>
    <t>cFluor™ R720 Anti-Hu β2-microglobulin (CPM)</t>
  </si>
  <si>
    <t>RC-00732</t>
  </si>
  <si>
    <t>RC-00732-NOLOT</t>
  </si>
  <si>
    <t>cFluor™ BYG710 CD198 (CPM)</t>
  </si>
  <si>
    <t>RC-00738</t>
  </si>
  <si>
    <t>Clone: L263G8</t>
  </si>
  <si>
    <t>cFluor™ BYG710 CD198 (CPM) Clone: L263G8 Isotype: CPM Host: CPM Size: 100T</t>
  </si>
  <si>
    <t>RC-00738-NOLOT</t>
  </si>
  <si>
    <t>cFluor® B690 anti-Human CD8 (SK1), 100 Tests</t>
  </si>
  <si>
    <t>RC-00748</t>
  </si>
  <si>
    <t>cFluor® V610 Anti-Ms CD134</t>
  </si>
  <si>
    <t>RC-00757</t>
  </si>
  <si>
    <t>Clone: OX-86</t>
  </si>
  <si>
    <t>Isotype: Rat IgG1, κ</t>
  </si>
  <si>
    <t>cFluor® B548 Anti-Ms CD49d</t>
  </si>
  <si>
    <t>RC-00758</t>
  </si>
  <si>
    <t>Clone: PS-2</t>
  </si>
  <si>
    <t>RC-00758-NOLOT</t>
  </si>
  <si>
    <t>cFluor® BYG750 Anti-Ms CTLA4</t>
  </si>
  <si>
    <t>RC-00759</t>
  </si>
  <si>
    <t>Clone: UC10-4F10-11</t>
  </si>
  <si>
    <t>RC-00759-NOLOT</t>
  </si>
  <si>
    <t>cFluor® B532 Anti-Ms CD357 (GITR)</t>
  </si>
  <si>
    <t>RC-00760</t>
  </si>
  <si>
    <t>Clone: DTA-1</t>
  </si>
  <si>
    <t>Isotype: Rat IgG2b, κ</t>
  </si>
  <si>
    <t>RC-00760-NOLOT</t>
  </si>
  <si>
    <t>cFluor® BYG575 Anti-Hu HLA-DR</t>
  </si>
  <si>
    <t>RC-00761</t>
  </si>
  <si>
    <t>RC-00761-NOLOT</t>
  </si>
  <si>
    <t>cFluor® BYG750 Anti-Hu CD1c</t>
  </si>
  <si>
    <t>RC-00762</t>
  </si>
  <si>
    <t>RC-00762-NOLOT</t>
  </si>
  <si>
    <t>cFluor™ BYG750 Anti-Hu CD183</t>
  </si>
  <si>
    <t>RC-00776</t>
  </si>
  <si>
    <t>Clone: CEW33D</t>
  </si>
  <si>
    <t>cFluor™ BYG750 Anti-Hu CD183 Clone: CEW33D Isotype: IgG1, k Host: Mouse Size: 100T</t>
  </si>
  <si>
    <t>RC-00776-NOLOT</t>
  </si>
  <si>
    <t>cFluor™ BYG710 Anti-Hu CD22</t>
  </si>
  <si>
    <t>RC-00777</t>
  </si>
  <si>
    <t>Clone: HIB22</t>
  </si>
  <si>
    <t>cFluor™ BYG710 Anti-Hu CD22 Clone: HIB22 Isotype: IgG1, k Host: Mouse Size: 100T</t>
  </si>
  <si>
    <t>RC-00777-NOLOT</t>
  </si>
  <si>
    <t>cFluor™ R668 Anti-Hu CD138</t>
  </si>
  <si>
    <t>RC-00778</t>
  </si>
  <si>
    <t>Clone: MI15</t>
  </si>
  <si>
    <t>cFluor™ R668 Anti-Hu CD138 Clone: MI15 Isotype: IgG1, k Host: Mouse Size: 100T</t>
  </si>
  <si>
    <t>RC-00778-NOLOT</t>
  </si>
  <si>
    <t>cFluor™ R685 Anti-Human HLA-DR</t>
  </si>
  <si>
    <t>RC-00779</t>
  </si>
  <si>
    <t>cFluor™ R685 Anti-Human HLA-DR Clone: L243 Isotype: IgG2a, k Host: Mouse Size: 100T</t>
  </si>
  <si>
    <t>RC-00779-NOLOT</t>
  </si>
  <si>
    <t>cFluor® B532 Anti-Ms Ly6G</t>
  </si>
  <si>
    <t>RC-00786</t>
  </si>
  <si>
    <t>Clone: IA8</t>
  </si>
  <si>
    <t>RC-00786-NOLOT</t>
  </si>
  <si>
    <t>cFluor™ B548 Anti-Mouse CD45</t>
  </si>
  <si>
    <t>RC-00789</t>
  </si>
  <si>
    <t>Clone: 30-F11</t>
  </si>
  <si>
    <t>cFluor™ B548 Anti-Mouse CD45 Clone: 30-F11 Isotype: IgG2b, k Host: Mouse Size: 100T</t>
  </si>
  <si>
    <t>RC-00789-NOLOT</t>
  </si>
  <si>
    <t>cFluor™ R840 Anti-Human CD27 (QA17A18) Clone: QA17A18 Isotype: IgG1, kappa Host: Mouse Size: 100T</t>
  </si>
  <si>
    <t>RC-00800</t>
  </si>
  <si>
    <t>cFluor™ R659 Anti-Human CD127 (A019D5) Clone: A019D5 Isotype: IgG1, κ Host: Mouse Size: 100T</t>
  </si>
  <si>
    <t>RC-00801</t>
  </si>
  <si>
    <t>cFluor® BYG750 TIGIT Clone: 4E1.2H Isotype: IgG3, κ Host: Mouse Size: 100 tests</t>
  </si>
  <si>
    <t>RC-00802</t>
  </si>
  <si>
    <t>cFluor® Target #1 BYG750 mouse IgG2a K</t>
  </si>
  <si>
    <t>RC-00803</t>
  </si>
  <si>
    <t>For Merck Only (BULK MATERIAL) (CPM)</t>
  </si>
  <si>
    <t>cFluor® Target #1 IC Control BYG750 mouse IgG2a, k</t>
  </si>
  <si>
    <t>RC-00804</t>
  </si>
  <si>
    <t>cFluor® Target #2 V610 Human IgG1, k</t>
  </si>
  <si>
    <t>RC-00805</t>
  </si>
  <si>
    <t>cFluor® IC Control #2 V610 Human IgG1, k</t>
  </si>
  <si>
    <t>RC-00806</t>
  </si>
  <si>
    <t>for Merck Only (BULK CONJUGATE) (CPM)</t>
  </si>
  <si>
    <t>cFluor® Target #3, YG584 mouse IgG1, k</t>
  </si>
  <si>
    <t>RC-00807</t>
  </si>
  <si>
    <t>cFluor® IC Control #3, YG584 mouse IgG1, k</t>
  </si>
  <si>
    <t>RC-00808</t>
  </si>
  <si>
    <t>cFluor® R840 Anti-Human CD314 (1D11) (100T) Mouse IgG1, k</t>
  </si>
  <si>
    <t>RC-00809</t>
  </si>
  <si>
    <t>Cytek® 25-Color Immunoprofiling Assay, cFluor® Reagent Kit (18C) at 100 tests/kit size</t>
  </si>
  <si>
    <t>RC-00810</t>
  </si>
  <si>
    <t>Custom</t>
  </si>
  <si>
    <t>Cytek Functional Intracellular Mouse Kit (100 Tests)</t>
  </si>
  <si>
    <t>RC-00811</t>
  </si>
  <si>
    <t>cFluor® R685 Anti-Human CD38 Clone: HB7 Isotype: IgG1, κ Host: Mouse Size: 100 Tests</t>
  </si>
  <si>
    <t>RC-00813</t>
  </si>
  <si>
    <t>cFluor® BYG667 Anti-Hu IgD Clone: IA6-2 Isotype: IgG2a, κ Host: Mouse Size: 100 tests</t>
  </si>
  <si>
    <t>RC-00815</t>
  </si>
  <si>
    <t>cFluor® V610 Anti-Human CD203c</t>
  </si>
  <si>
    <t>RC-00816</t>
  </si>
  <si>
    <t>Clone: NP4D6</t>
  </si>
  <si>
    <t>cFluor® V610 Anti-Mouse CD200R3</t>
  </si>
  <si>
    <t>RC-00817</t>
  </si>
  <si>
    <t>Clone: Ba13</t>
  </si>
  <si>
    <t>cFluor® B532 Anti-Mouse/Pig CD117</t>
  </si>
  <si>
    <t>RC-00818</t>
  </si>
  <si>
    <t>Clone: 2B8</t>
  </si>
  <si>
    <t>cFluor® B532 Anti-Human CD161</t>
  </si>
  <si>
    <t>RC-00819</t>
  </si>
  <si>
    <t>cFluor®BYG750 Anti-Human/mouse KI-67</t>
  </si>
  <si>
    <t>RC-00820</t>
  </si>
  <si>
    <t>Clone: B56</t>
  </si>
  <si>
    <t>Biotin anti-human CD28 (CD28.2) BULK</t>
  </si>
  <si>
    <t>RC-00826</t>
  </si>
  <si>
    <t>cFluor® BYG610 Anti Human TCRgd (11F2)  Size 100 tests</t>
  </si>
  <si>
    <t>RC-00880</t>
  </si>
  <si>
    <t>cFluor® R840 Anti Human CD4 (RPA-T4)  Size 100 tests</t>
  </si>
  <si>
    <t>RC-00883</t>
  </si>
  <si>
    <t>RC-00904</t>
  </si>
  <si>
    <t>RC-00909</t>
  </si>
  <si>
    <t>cFluor® YG584 anti-Human CD22 (HIB22), 100 Tests</t>
  </si>
  <si>
    <t>RC-00919</t>
  </si>
  <si>
    <t>RC-00926</t>
  </si>
  <si>
    <t>RC-00928</t>
  </si>
  <si>
    <t>RC-00929</t>
  </si>
  <si>
    <t>RC-00930</t>
  </si>
  <si>
    <t>cFluor® UV395 Anti-Human CD13 (WM15), 100 Tests</t>
  </si>
  <si>
    <t>RC-00931</t>
  </si>
  <si>
    <t>cFluor® V715 Anti-Human CD2 (RPA-2.10), 100 Tests</t>
  </si>
  <si>
    <t>RC-00932</t>
  </si>
  <si>
    <t>cFluor® BYG710 Anti-Human CD22 (HIB22), 100 Tests</t>
  </si>
  <si>
    <t>RC-00933</t>
  </si>
  <si>
    <t>RC-00934</t>
  </si>
  <si>
    <t>RC-00935</t>
  </si>
  <si>
    <t>cFluor® B690 Anti-Human CD44 (IM7), 100 Tests</t>
  </si>
  <si>
    <t>RC-00936</t>
  </si>
  <si>
    <t>cFluor® BYG575 Anti-Human CD58 (MEM-63), 100 Tests</t>
  </si>
  <si>
    <t>RC-00937</t>
  </si>
  <si>
    <t>cFluor® V610 Anti-Human CD66b (G10F5), 100 Tests</t>
  </si>
  <si>
    <t>RC-00938</t>
  </si>
  <si>
    <t>cFluor® V515 Anti-Human CD72 (3F3), 100 Tests</t>
  </si>
  <si>
    <t>RC-00939</t>
  </si>
  <si>
    <t>cFluor® R685 Anti-Human CD73 (AD2), 100 Tests</t>
  </si>
  <si>
    <t>RC-00940</t>
  </si>
  <si>
    <t>cFluor® V670 Anti-Human CD86 (IT2.2), 100 Tests</t>
  </si>
  <si>
    <t>RC-00941</t>
  </si>
  <si>
    <t>cFluor® B548 Anti-Human CD9 (HI9a), 100 Tests</t>
  </si>
  <si>
    <t>RC-00942</t>
  </si>
  <si>
    <t>cFluor® V605 Anti-Human CD123 Clone: 6H6 Isotype: IgG1, Kappa Host: Mouse Size: 100 Tests</t>
  </si>
  <si>
    <t>RC-00944</t>
  </si>
  <si>
    <t>cFluor® V475 Anti-Human CD14 (MEM-18)</t>
  </si>
  <si>
    <t>RC-00945</t>
  </si>
  <si>
    <t>cFluor® V670 Anti-Human CD25 (CD25-4E3)</t>
  </si>
  <si>
    <t>RC-00946</t>
  </si>
  <si>
    <t>Isotype: IgG2b, ĸ</t>
  </si>
  <si>
    <t>RC-00947</t>
  </si>
  <si>
    <t>RC-00948</t>
  </si>
  <si>
    <t>cFluor™ B532 Anti-Human CD4</t>
  </si>
  <si>
    <t>RC-00949</t>
  </si>
  <si>
    <t>RC-00950</t>
  </si>
  <si>
    <t>RC-00951</t>
  </si>
  <si>
    <t>cFluor® BYG781 anti-Human CD19 (SJ25C1)</t>
  </si>
  <si>
    <t>RC-00952</t>
  </si>
  <si>
    <t>Clone: SJ25C1</t>
  </si>
  <si>
    <t>cFluor® R659 anti-Human CD34 (4H11), 100 Tests</t>
  </si>
  <si>
    <t>RC-00953</t>
  </si>
  <si>
    <t>RC-00954</t>
  </si>
  <si>
    <t>RC-00955</t>
  </si>
  <si>
    <t>cFluor® V547 Anti-Human CD61 (VI-PL2), 100 Tests</t>
  </si>
  <si>
    <t>RC-00956</t>
  </si>
  <si>
    <t>cFluor® R780 Anti-Human CD38 (HIT2)</t>
  </si>
  <si>
    <t>RC-00957</t>
  </si>
  <si>
    <t>cFluor®BYG750 anti-Human CD294 (CRTH2) (BM16)</t>
  </si>
  <si>
    <t>RC-00958</t>
  </si>
  <si>
    <t>cFluor® BYG781 iNOS (SP126)</t>
  </si>
  <si>
    <t>RC-00959</t>
  </si>
  <si>
    <t>cFluor® R745 Anti-Human CCR10 (CAR3001), 100 Tests</t>
  </si>
  <si>
    <t>RC-00960</t>
  </si>
  <si>
    <t>cFluor® UV515 Anti-Human CD15 (HI98), 100 Tests</t>
  </si>
  <si>
    <t>RC-00961</t>
  </si>
  <si>
    <t>cFluor® UV570 Anti-Human CD25 (CD25-4E3), 100 Tests</t>
  </si>
  <si>
    <t>RC-00962</t>
  </si>
  <si>
    <t>cFLuor UV670 Anti-Hu CD117 (104D2), 100 Tests</t>
  </si>
  <si>
    <t>RC-00963</t>
  </si>
  <si>
    <t>cFluor  UV790 Anti-Human CD14 Clone: MEM-18, 100 Tests</t>
  </si>
  <si>
    <t>RC-00964</t>
  </si>
  <si>
    <t>cFluor V515 Anti-Human HLA-DR  Clone: L243, 100 Tests</t>
  </si>
  <si>
    <t>RC-00965</t>
  </si>
  <si>
    <t>cFluor V570 Anti-Human CD45RA  Clone: HI100, 100 Tests</t>
  </si>
  <si>
    <t>RC-00966</t>
  </si>
  <si>
    <t>cFluor V670 Anti-Human CD123  Clone: 6H6, 100 Tests</t>
  </si>
  <si>
    <t>RC-00967</t>
  </si>
  <si>
    <t>cFluor V755 Anti-Human CD33 Clone: WM53, 100 Tests</t>
  </si>
  <si>
    <t>RC-00968</t>
  </si>
  <si>
    <t>cFluor V780 Anti-Human CD56  Clone: TULY56 , 100 Tests</t>
  </si>
  <si>
    <t>RC-00969</t>
  </si>
  <si>
    <t>cFluor B548 Anti-Human CCR3 (CD193) Clone: 5E8, 100 Tests</t>
  </si>
  <si>
    <t>RC-00970</t>
  </si>
  <si>
    <t>cFluor BYG610 Anti-Human CD64 Clone: 10.1, 100 Tests</t>
  </si>
  <si>
    <t>RC-00972</t>
  </si>
  <si>
    <t>cFluor BYG645 Anti-Human CD66b Clone: G10F5,  100 Tests</t>
  </si>
  <si>
    <t>RC-00973</t>
  </si>
  <si>
    <t>cFluor BYG667 Anti-Human CXCR3 (CD183) Clone: CEW33D, 100 Tests</t>
  </si>
  <si>
    <t>RC-00974</t>
  </si>
  <si>
    <t>cFluor R780 Anti-Human CD11b Clone: ICRF44,  100 Tests</t>
  </si>
  <si>
    <t>RC-00976</t>
  </si>
  <si>
    <t>cFluor® R668 Anti-hCT3-8 monoclonal idiotypic antibody (mIgG1) (CPM)  for NIH</t>
  </si>
  <si>
    <t>RC-00977</t>
  </si>
  <si>
    <t>Amgen Custom Kit (Sub 25C Kit Bundle)</t>
  </si>
  <si>
    <t>RC-00978</t>
  </si>
  <si>
    <t>cFluor UV610 TCR d (polyclonal) - CPM</t>
  </si>
  <si>
    <t>RC-00979</t>
  </si>
  <si>
    <t>cFluor UV570 SWC5 (b37c10) - CPM</t>
  </si>
  <si>
    <t>RC-00980</t>
  </si>
  <si>
    <t>cFluor V450 HLA-DR (L243), 100 Tests</t>
  </si>
  <si>
    <t>RC-00981</t>
  </si>
  <si>
    <t>cFluor V515 CD38 (HB7), 100 Tests</t>
  </si>
  <si>
    <t>RC-00982</t>
  </si>
  <si>
    <t>cFluor V570 Anti-Human CD4 (RPA-T4), 100 Tests</t>
  </si>
  <si>
    <t>RC-00983</t>
  </si>
  <si>
    <t>cFluor V605 Anti-Human CD19 (SJ25C1), 100 Tests</t>
  </si>
  <si>
    <t>RC-00984</t>
  </si>
  <si>
    <t>cFluor V670 Anti-Human CD36 (CB38), 100 Tests</t>
  </si>
  <si>
    <t>RC-00985</t>
  </si>
  <si>
    <t>cFluor B532 Anti-Human CD11b (ICRF44), 100 Tests</t>
  </si>
  <si>
    <t>RC-00986</t>
  </si>
  <si>
    <t>cFluor BYG610 Anti-Human CD14 (M5E2), 100 Tests</t>
  </si>
  <si>
    <t>RC-00987</t>
  </si>
  <si>
    <t>cFluor BYG667 Anti-Human CD117 (104D2), 100 Tests</t>
  </si>
  <si>
    <t>RC-00988</t>
  </si>
  <si>
    <t>cFluor BYG710 Anti-Human CD123 (6H6), 100 Tests</t>
  </si>
  <si>
    <t>RC-00989</t>
  </si>
  <si>
    <t>cFluor BYG750 Anti-Human CD13 (WM15), 100 Tests</t>
  </si>
  <si>
    <t>RC-00990</t>
  </si>
  <si>
    <t>cFluor BYG781 Anti-Human CD64 (10.1), 100 Tests</t>
  </si>
  <si>
    <t>RC-00991</t>
  </si>
  <si>
    <t>cFluor R659 Anti-Human CD33 (P67.6), 100 Tests</t>
  </si>
  <si>
    <t>RC-00992</t>
  </si>
  <si>
    <t>cFluor R685 Anti-Human CD15 (W6D3), 100 Tests</t>
  </si>
  <si>
    <t>RC-00993</t>
  </si>
  <si>
    <t>cFluor R720 Anti-Human CD45RA (HI100), 100 Tests</t>
  </si>
  <si>
    <t>RC-00994</t>
  </si>
  <si>
    <t>cFluor R840 Anti-Human CD45 (2D1), 100 Tests</t>
  </si>
  <si>
    <t>RC-00995</t>
  </si>
  <si>
    <t>Sub 25C kit-4 Color for Univ of Buffalo Size: 100 Tests each</t>
  </si>
  <si>
    <t>RC-00996</t>
  </si>
  <si>
    <t>Anti-CD278, clone ISA-3, cfluor UV790</t>
  </si>
  <si>
    <t>RC-00997</t>
  </si>
  <si>
    <t>Anti-CD267, clone 1A1, cfluor V435</t>
  </si>
  <si>
    <t>RC-00998</t>
  </si>
  <si>
    <t>anti-CD154, clone 24-31, cfluor V605</t>
  </si>
  <si>
    <t>RC-00999</t>
  </si>
  <si>
    <t>anti-CD195, clone NP-6G4, cfluor V670</t>
  </si>
  <si>
    <t>RC-01000</t>
  </si>
  <si>
    <t>Anti-IgD, clone IA6-2, cfluor B532</t>
  </si>
  <si>
    <t>RC-01001</t>
  </si>
  <si>
    <t>Anti-CD161, clone HP-3G10, cfluor B580</t>
  </si>
  <si>
    <t>RC-01002</t>
  </si>
  <si>
    <t>Anti-CD16, clone 3G8, cfluor B690</t>
  </si>
  <si>
    <t>RC-01003</t>
  </si>
  <si>
    <t>Anti-CD38, clone HB-7, cfluor BYG750</t>
  </si>
  <si>
    <t>RC-01004</t>
  </si>
  <si>
    <t>Anti-CD49d, clone 9F10, cfluor R720</t>
  </si>
  <si>
    <t>RC-01005</t>
  </si>
  <si>
    <t>Anti-CD370, clone 8F9, cfluor BYG750</t>
  </si>
  <si>
    <t>RC-01006</t>
  </si>
  <si>
    <t>Anti-CD169, clone 7-239, cfluor R720</t>
  </si>
  <si>
    <t>RC-01007</t>
  </si>
  <si>
    <t>Anti-CD56, clone LT56, cfluor B515</t>
  </si>
  <si>
    <t>RC-01008</t>
  </si>
  <si>
    <t>Anti-CD123, clone 6H6, cfluor R840</t>
  </si>
  <si>
    <t>RC-01009</t>
  </si>
  <si>
    <t>Anti-CD36, clone CB38, cfluor B532</t>
  </si>
  <si>
    <t>RC-01010</t>
  </si>
  <si>
    <t>Anti-CD45RA, clone HI100, cfluor R685</t>
  </si>
  <si>
    <t>RC-01011</t>
  </si>
  <si>
    <t>Anti-CD49d, clone 9F10, cfluor BYG710</t>
  </si>
  <si>
    <t>RC-01012</t>
  </si>
  <si>
    <t>Anti-CD272, clone MIH26, cfluor R745</t>
  </si>
  <si>
    <t>RC-01013</t>
  </si>
  <si>
    <t>Anti-CD26, clone M-A261, cfluor V610</t>
  </si>
  <si>
    <t>RC-01014</t>
  </si>
  <si>
    <t>Anti-CD14, clone Tuk4, cfluor YG584</t>
  </si>
  <si>
    <t>RC-01015</t>
  </si>
  <si>
    <t>anti-CD28, clone 28.2, cFluor UV440</t>
  </si>
  <si>
    <t>RC-01016</t>
  </si>
  <si>
    <t>anti-CD335, clone 9E2, cFluor UV670</t>
  </si>
  <si>
    <t>RC-01017</t>
  </si>
  <si>
    <t>Mini-sub 25C Kit- CD11c BYG781, CD19 R685 and IgD BYG667 Size: 100T</t>
  </si>
  <si>
    <t>RC-01018</t>
  </si>
  <si>
    <t>cFluor BYG610 Anti-Human CD7 (124-1D1), 100 Tests</t>
  </si>
  <si>
    <t>RC-01038</t>
  </si>
  <si>
    <t>cFluor BYG781 CD79a (HM47), 100 Tests</t>
  </si>
  <si>
    <t>RC-01039</t>
  </si>
  <si>
    <t>cFluor R685 Anti-Human CD3 (UCHT1), 100 Tests</t>
  </si>
  <si>
    <t>RC-01040</t>
  </si>
  <si>
    <t>cFluor® V450 Anti-Human CD14 (M5E2), 200T</t>
  </si>
  <si>
    <t>RC-01041</t>
  </si>
  <si>
    <t>equivalent to R7-20003</t>
  </si>
  <si>
    <t>cFluor® V505 anti-Human HLA-DR (L243), 200T</t>
  </si>
  <si>
    <t>RC-01042</t>
  </si>
  <si>
    <t>equivalent to R7-20253</t>
  </si>
  <si>
    <t>cFluor® V547 Anti-Human CD45 (HI30), 200T</t>
  </si>
  <si>
    <t>RC-01043</t>
  </si>
  <si>
    <t>equivalent to R7-20011</t>
  </si>
  <si>
    <t>cFluor® B515 Anti-Human CD8 (SK1), 200T</t>
  </si>
  <si>
    <t>RC-01044</t>
  </si>
  <si>
    <t>equivalent to R7-00035</t>
  </si>
  <si>
    <t>cFluor® B690 anti-Human CD45RA (HI100), 200T</t>
  </si>
  <si>
    <t>RC-01045</t>
  </si>
  <si>
    <t>equivalent to R7-20085</t>
  </si>
  <si>
    <t>cFluor® BYG575 anti-Human CD197 (G043H7), 200T</t>
  </si>
  <si>
    <t>RC-01046</t>
  </si>
  <si>
    <t>equivalent to R7-20075</t>
  </si>
  <si>
    <t>cFluor® BYG710 anti-Human CD19 (HIB19), 200 Tests</t>
  </si>
  <si>
    <t>RC-01047</t>
  </si>
  <si>
    <t>equivalent to R7-20009</t>
  </si>
  <si>
    <t>cFluor® BYG781 anti-Human CD25 (BC96), 200 Tests</t>
  </si>
  <si>
    <t>RC-01048</t>
  </si>
  <si>
    <t>equivalent to R7-20079</t>
  </si>
  <si>
    <t>cFluor® R720 Anti-Human 56 (5.1H11), 200T</t>
  </si>
  <si>
    <t>RC-01049</t>
  </si>
  <si>
    <t>equivalent to R7-20089</t>
  </si>
  <si>
    <t>cFluor® R780 anti-Human CD4 (SK3), 200 Tests</t>
  </si>
  <si>
    <t>RC-01050</t>
  </si>
  <si>
    <t>equivalent to R7-20083</t>
  </si>
  <si>
    <t>Cytek cFluor Custom Immuno Profiling Kit 10 Color RUO Kit, 200T</t>
  </si>
  <si>
    <t>RC-01051</t>
  </si>
  <si>
    <t>VRMA Offset</t>
  </si>
  <si>
    <t>Returned Goods Value Offset</t>
  </si>
  <si>
    <t>F(ab')2-Goat anti-Mouse IgG (H+L) Secondary Antibody, NovaFluor™ Red 685, eBioscience™ (100 µg)</t>
  </si>
  <si>
    <t>S001T03R02</t>
  </si>
  <si>
    <t>F(ab')2-Goat anti-Mouse IgG (H+L) Secondary Antibody, NovaFluor™ Red 700, eBioscience™ (100 µg)</t>
  </si>
  <si>
    <t>S001T03R03</t>
  </si>
  <si>
    <t>F(ab')2-Goat anti-Mouse IgG (H+L) Secondary Antibody, NovaFluor™ Yellow 590, eBioscience™ (100 µg)</t>
  </si>
  <si>
    <t>S001T03Y02</t>
  </si>
  <si>
    <t>F(ab')2-Goat anti-Mouse IgG (H+L) Secondary Antibody, NovaFluor™ Yellow 610, eBioscience™ (100 µg)</t>
  </si>
  <si>
    <t>S001T03Y03</t>
  </si>
  <si>
    <t>F(ab')2-Goat anti-Mouse IgG (H+L) Secondary Antibody, NovaFluor™ Yellow 660, eBioscience™ (100 µg)</t>
  </si>
  <si>
    <t>S001T03Y04</t>
  </si>
  <si>
    <t>Goat anti-Rat IgG (H+L) Secondary Antibody, NovaFluor™ Blue 510, eBioscience™ (100 µg)</t>
  </si>
  <si>
    <t>S002T03B01</t>
  </si>
  <si>
    <t>Goat anti-Rat IgG (H+L) Secondary Antibody, NovaFluor™ Blue 555, eBioscience™ (100 µg)</t>
  </si>
  <si>
    <t>S002T03B03</t>
  </si>
  <si>
    <t>Goat anti-Rat IgG (H+L) Secondary Antibody, NovaFluor™ Blue 585, eBioscience™ (100 µg)</t>
  </si>
  <si>
    <t>S002T03B04</t>
  </si>
  <si>
    <t>Goat anti-Rat IgG (H+L) Secondary Antibody, NovaFluor™ Blue 610-70S, eBioscience™ (100 µg)</t>
  </si>
  <si>
    <t>S002T03B06</t>
  </si>
  <si>
    <t>Goat anti-Rat IgG (H+L) Secondary Antibody, NovaFluor™ Blue 660-120S, eBioscience™ (100 µg)</t>
  </si>
  <si>
    <t>S002T03B08</t>
  </si>
  <si>
    <t>Goat anti-Rat IgG (H+L) Secondary Antibody, NovaFluor™ Yellow 590, eBioscience™ (100 µg)</t>
  </si>
  <si>
    <t>S002T03Y02</t>
  </si>
  <si>
    <t>Goat anti-Rat IgG (H+L) Secondary Antibody, NovaFluor™ Yellow 610, eBioscience™ (100 µg)</t>
  </si>
  <si>
    <t>S002T03Y03</t>
  </si>
  <si>
    <t>Goat anti-Rat IgG (H+L) Secondary Antibody, NovaFluor™ Yellow 660, eBioscience™ (100 µg)</t>
  </si>
  <si>
    <t>S002T03Y04</t>
  </si>
  <si>
    <t>Synthetic SARS-CoV-2 RNA Controls</t>
  </si>
  <si>
    <t>SC2-RNAC-0100</t>
  </si>
  <si>
    <t>Synthetic SARS-CoV-2 RNA Controls Overlapping</t>
  </si>
  <si>
    <t>SC2-RNAC-1100</t>
  </si>
  <si>
    <t>Shipping Allowance Discount (25%)</t>
  </si>
  <si>
    <t>Muse Micro 3-Channel Basic Depot Maintenance &amp; Service Plan</t>
  </si>
  <si>
    <t>SLA-Muse-Micro-3-Basic-Depot</t>
  </si>
  <si>
    <t>Muse Micro 3-Channel Basic On-Site Maintenance &amp; Service Plan</t>
  </si>
  <si>
    <t>SLA-Muse-Micro-3-Basic-OnSite</t>
  </si>
  <si>
    <t>Muse Micro 3-Channel Complete Depot Maintenance &amp; Service Plan</t>
  </si>
  <si>
    <t>SLA-Muse-Micro-3-Complete-Depot</t>
  </si>
  <si>
    <t>Muse Micro 3-Channel Complete On-Site Maintenance &amp; Service Plan</t>
  </si>
  <si>
    <t>SLA-Muse-Micro-3-Complete-OnSite</t>
  </si>
  <si>
    <t>Muse Micro 3-Channel Intermediate Depot Maintenance &amp; Service Plan</t>
  </si>
  <si>
    <t>SLA-Muse-Micro-3-Intermediate-Depot</t>
  </si>
  <si>
    <t>Muse Micro 3-Channel Intermediate On-Site Maintenance &amp; Service Plan</t>
  </si>
  <si>
    <t>SLA-Muse-Micro-3-Intermediate-OnSite</t>
  </si>
  <si>
    <t>Muse Micro 3-Channel Parts Only Service Plan</t>
  </si>
  <si>
    <t>SLA-Muse-Micro-3-Parts-Only-Service-Plan</t>
  </si>
  <si>
    <t>Muse Micro 5-Channel Basic Depot Maintenance &amp; Service Plan</t>
  </si>
  <si>
    <t>SLA-Muse-Micro-5-Basic-Depot</t>
  </si>
  <si>
    <t>Muse Micro 5-Channel Basic On-Site Maintenance &amp; Service Plan</t>
  </si>
  <si>
    <t>SLA-Muse-Micro-5-Basic-OnSite</t>
  </si>
  <si>
    <t>Muse Micro 5-Channel Complete Depot Maintenance &amp; Service Plan</t>
  </si>
  <si>
    <t>SLA-Muse-Micro-5-Complete-Depot</t>
  </si>
  <si>
    <t>Muse Micro 5-Channel Complete On-Site Maintenance &amp; Service Plan</t>
  </si>
  <si>
    <t>SLA-Muse-Micro-5-Complete-OnSite</t>
  </si>
  <si>
    <t>Muse Micro 5-Channel Intermediate Depot Maintenance &amp; Service Plan</t>
  </si>
  <si>
    <t>SLA-Muse-Micro-5-Intermediate-Depot</t>
  </si>
  <si>
    <t>Muse Micro 5-Channel Intermediate On-Site Maintenance &amp; Service Plan</t>
  </si>
  <si>
    <t>SLA-Muse-Micro-5-Intermediate-OnSite</t>
  </si>
  <si>
    <t>Muse Micro 5-Channel Parts Only Service Plan</t>
  </si>
  <si>
    <t>SLA-Muse-Micro-5-Parts-Only-Service-Plan</t>
  </si>
  <si>
    <t>Tariff Surcharge - Instrument</t>
  </si>
  <si>
    <t>Tariff Surcharge - Service</t>
  </si>
  <si>
    <t>Trade-In Discount</t>
  </si>
  <si>
    <t>Trade-In Discount INACTIVE</t>
  </si>
  <si>
    <t>On-site Training</t>
  </si>
  <si>
    <t>Training</t>
  </si>
  <si>
    <t>Travel</t>
  </si>
  <si>
    <t>Travel (BD)</t>
  </si>
  <si>
    <t>Travel Expense - Zone 2</t>
  </si>
  <si>
    <t>MkII Linux Computer</t>
  </si>
  <si>
    <t>UG-000201</t>
  </si>
  <si>
    <t>UG-000201-SHELL</t>
  </si>
  <si>
    <t>Computer Assy, Mk2 Win 10 UI Computer</t>
  </si>
  <si>
    <t>UG-000301</t>
  </si>
  <si>
    <t>UG-000301-SHELL</t>
  </si>
  <si>
    <t>Kit, Hamamatsu Replacement Single Camera Upgrade</t>
  </si>
  <si>
    <t>UG-017801</t>
  </si>
  <si>
    <t>UG-017801-SHELL</t>
  </si>
  <si>
    <t>Kit, Hamamatsu Replacement Dual Camera Upgrade</t>
  </si>
  <si>
    <t>UG-017901</t>
  </si>
  <si>
    <t>UG-017901-SHELL</t>
  </si>
  <si>
    <t>Amnis Imaging Data Analysis Workstation (Upgrade AFTER Instrument Purchase, Onsite Installation)</t>
  </si>
  <si>
    <t>UG-200101</t>
  </si>
  <si>
    <t>UG-200101-SHELL</t>
  </si>
  <si>
    <t>High Power Blue Excitation Laser Upgrade - 488 nm, 400 mW, Amnis ImageStreamX Mk II Flow Cytometer, (Upgrade AFTER Instrument Purchase, Onsite Installation)</t>
  </si>
  <si>
    <t>UG-200111</t>
  </si>
  <si>
    <t>UG-200111-SHELL</t>
  </si>
  <si>
    <t>UV Excitation Laser - 375 nm, 70 mW, Amnis ImageStreamX Mk II Flow Cytometer (Upgrade AFTER Instrument Purchase, Onsite Installation)</t>
  </si>
  <si>
    <t>UG-200119</t>
  </si>
  <si>
    <t>UG-200119-SHELL</t>
  </si>
  <si>
    <t>Violet Excitation Laser - 405nm, 120mW, Amnis ImageStreamX Mk II Flow Cytometer, (Upgrade AFTER Instrument Purchase, Onsite Installation)</t>
  </si>
  <si>
    <t>UG-200121</t>
  </si>
  <si>
    <t>UG-200121-SHELL</t>
  </si>
  <si>
    <t>UV+Violet Dual Beam Excitation Laser - 375 nm, 70 mW + 405 nm, 175 mW, Amnis ImageStreamX Mk II Flow Cytometer (Upgrade AFTER Instrument Purchase, Onsite Installation)</t>
  </si>
  <si>
    <t>UG-200129</t>
  </si>
  <si>
    <t>UG-200129-SHELL</t>
  </si>
  <si>
    <t>Red Excitation Laser - 642 nm, 150 mW Amnis ImageStreamX Mk II Flow Cytometer (Upgrade, AFTER Instrument Purchase, Onsite Installation)</t>
  </si>
  <si>
    <t>UG-200136</t>
  </si>
  <si>
    <t>UG-200136-SHELL</t>
  </si>
  <si>
    <t>Green Excitation Laser - 561 nm, 200 mW, Amnis ImageStreamX Mk II Flow Cytometer (Upgrade, AFTER Instrument Purchase, Onsite Installation)</t>
  </si>
  <si>
    <t>UG-200141</t>
  </si>
  <si>
    <t>UG-200141-SHELL</t>
  </si>
  <si>
    <t>Yellow Excitation Laser - 592nm, 300 mW, Amnis ImageStreamX Mk II Flow Cytometer (Upgrade, AFTER Instrument Purchase, Onsite Installation)</t>
  </si>
  <si>
    <t>UG-200151</t>
  </si>
  <si>
    <t>UG-200151-SHELL</t>
  </si>
  <si>
    <t>AutoSampler Option, Amnis ImageStreamX Mk II Flow Cytometer (Upgrade, AFTER Instrument Purchase, Onsite Installation)</t>
  </si>
  <si>
    <t>UG-200161</t>
  </si>
  <si>
    <t>UG-200161-SHELL</t>
  </si>
  <si>
    <t>12 Imaging Channels Option, Amnis ImageStreamX Mk II Flow Cytometer (Upgrade, AFTER Instrument Purchase, Onsite Installation)</t>
  </si>
  <si>
    <t>UG-200181</t>
  </si>
  <si>
    <t>UG-200181-SHELL</t>
  </si>
  <si>
    <t>12 Imaging Channels and Extended Depth of Field (EDF) Options, Amnis ImageStreamX Mk II Flow Cytometer (Upgrade, AFTER Instrument Purchase, Onsite Installation)</t>
  </si>
  <si>
    <t>UG-200182</t>
  </si>
  <si>
    <t>UG-200182-SHELL</t>
  </si>
  <si>
    <t>MultiMag - 60X, 40X, and 20X Option, Amnis ImageStreamX Mk II Imaging Flow Cytometer (Upgrade AFTER Instrument Purchase, May Require Factory Return)</t>
  </si>
  <si>
    <t>UG-200191</t>
  </si>
  <si>
    <t>UG-200191-SHELL</t>
  </si>
  <si>
    <t>First Extended Depth of Field (EDF) Option for One Camera/6-Channel Amnis ImageStreamX Mk II Flow Cytometer (Upgrade, AFTER Instrument Purchase)</t>
  </si>
  <si>
    <t>UG-200201</t>
  </si>
  <si>
    <t>UG-200201-SHELL</t>
  </si>
  <si>
    <t>Second Extended Depth of Field (EDF) Option Two Camera/12 Channel, Amnis ImageStreamX Mk II Flow Cytometer (Upgrade, AFTER Instrument Purchase)</t>
  </si>
  <si>
    <t>UG-200202</t>
  </si>
  <si>
    <t>UG-200202-SHELL</t>
  </si>
  <si>
    <t>Violet Excitation Laser - 405 nm, 100 mW, Amnis FlowSight Flow Cytometer (Upgrade AFTER Instrument Purchase, Onsite Installation)</t>
  </si>
  <si>
    <t>UG-200320</t>
  </si>
  <si>
    <t>UG-200320-SHELL</t>
  </si>
  <si>
    <t>Red Excitation Laser - 642 nm, 100 mW, Amnis FlowSight Imaging Flow Cytometer (Upgrade AFTER Instrument Purchase, Onsite Installation)</t>
  </si>
  <si>
    <t>UG-200330</t>
  </si>
  <si>
    <t>UG-200330-SHELL</t>
  </si>
  <si>
    <t>Green Excitation Laser - 561 nm, 50 mW, Amnis FlowSight Imaging Flow Cytometer</t>
  </si>
  <si>
    <t>UG-200340</t>
  </si>
  <si>
    <t>UG-200340-SHELL</t>
  </si>
  <si>
    <t>Autosampler, Amnis FlowSight Imaging Flow Cytometer (Upgrade AFTER Instrument Purchase, Onsite Installation)</t>
  </si>
  <si>
    <t>UG-200360</t>
  </si>
  <si>
    <t>UG-200360-SHELL</t>
  </si>
  <si>
    <t>Amnis CellStream Flow Cytometer 375nm Laser Option, 70mW (Upgrade AFTER Instrument Purchase, Onsite Installation)</t>
  </si>
  <si>
    <t>UG-CS-200375</t>
  </si>
  <si>
    <t>UG-CS-200375-SHELL</t>
  </si>
  <si>
    <t>Amnis CellStream Flow Cytometer 405nm Laser Option, 175mW (Upgrade AFTER Instrument Purchase, Onsite Installation)</t>
  </si>
  <si>
    <t>UG-CS-200405</t>
  </si>
  <si>
    <t>UG-CS-200405-SHELL</t>
  </si>
  <si>
    <t>Amnis CellStream Flow Cytometer 532nm Laser Option, 150mW (Upgrade AFTER Instrument Purchase, Onsite Installation)</t>
  </si>
  <si>
    <t>UG-CS-200532</t>
  </si>
  <si>
    <t>UG-CS-200532-SHELL</t>
  </si>
  <si>
    <t>Amnis CellStream Flow Cytometer 561nm Laser Option, 150mW (Upgrade AFTER Instrument Purchase, Onsite Installation)</t>
  </si>
  <si>
    <t>UG-CS-200561</t>
  </si>
  <si>
    <t>UG-CS-200561-SHELL</t>
  </si>
  <si>
    <t>Amnis CellStream Flow Cytometer 642nm Laser Option, 150mW (Upgrade AFTER Instrument Purchase, Onsite Installation)</t>
  </si>
  <si>
    <t>UG-CS-200642</t>
  </si>
  <si>
    <t>UG-CS-200642-SHELL</t>
  </si>
  <si>
    <t>Amnis CellStream Flow Cytometer 730nm Laser Option, 40mW (Upgrade AFTER Instrument Purchase, Onsite Installation)</t>
  </si>
  <si>
    <t>UG-CS-200730</t>
  </si>
  <si>
    <t>UG-CS-200730-SHELL</t>
  </si>
  <si>
    <t>Warranty Discount</t>
  </si>
  <si>
    <t>Warranty Discount INACTIVE</t>
  </si>
  <si>
    <t>Website Discount</t>
  </si>
  <si>
    <t>Website Discount (10%)</t>
  </si>
  <si>
    <t>Website Discount (10%) INACTIVE</t>
  </si>
  <si>
    <t>Website Discount (10%)-INA</t>
  </si>
  <si>
    <t>Website Discount (5%)</t>
  </si>
  <si>
    <t>Website Discount (5%) INACTIVE</t>
  </si>
  <si>
    <t>Website Discount INACTIVE</t>
  </si>
  <si>
    <t>Computer Monitor, MF100207</t>
  </si>
  <si>
    <t>FC-0001-01</t>
  </si>
  <si>
    <t>FC-0001-01-SHELL</t>
  </si>
  <si>
    <t>MkII Linux Computer, MK100211</t>
  </si>
  <si>
    <t>FC-0002-01</t>
  </si>
  <si>
    <t>FC-0002-01-SHELL</t>
  </si>
  <si>
    <t>Computer Assy, Mk2 Win 10 UI Computer, MK100213</t>
  </si>
  <si>
    <t>FC-0003-01</t>
  </si>
  <si>
    <t>FC-0003-01-SHELL</t>
  </si>
  <si>
    <t>FS Linux Computer, FS100302</t>
  </si>
  <si>
    <t>FC-0004-01</t>
  </si>
  <si>
    <t>FC-0004-01-SHELL</t>
  </si>
  <si>
    <t>Computer Assy, FS Win 10 UI Computer, FS100303</t>
  </si>
  <si>
    <t>FC-0005-01</t>
  </si>
  <si>
    <t>FC-0005-01-SHELL</t>
  </si>
  <si>
    <t>QCH Cells, 1mL, MF401000</t>
  </si>
  <si>
    <t>FC-0008-01</t>
  </si>
  <si>
    <t>FC-0008-01-SHELL</t>
  </si>
  <si>
    <t>Kit, Preventative Maintenance, ImageStreamX mkII, MK700901</t>
  </si>
  <si>
    <t>FC-0009-01</t>
  </si>
  <si>
    <t>FC-0009-01-SHELL</t>
  </si>
  <si>
    <t>Kit, Service Spares, ImageStreamX mkII, MK700911</t>
  </si>
  <si>
    <t>FC-0010-01</t>
  </si>
  <si>
    <t>FC-0010-01-SHELL</t>
  </si>
  <si>
    <t>Kit, Preventative Maintenance, FlowSight, FS700920</t>
  </si>
  <si>
    <t>FC-0011-01</t>
  </si>
  <si>
    <t>FC-0011-01-SHELL</t>
  </si>
  <si>
    <t>Kit, Service Spares, FlowSight, FS700930</t>
  </si>
  <si>
    <t>FC-0012-01</t>
  </si>
  <si>
    <t>FC-0012-01-SHELL</t>
  </si>
  <si>
    <t>MkII PMT Amplifier PCB, MK251-01317-06</t>
  </si>
  <si>
    <t>FC-0013-01</t>
  </si>
  <si>
    <t>FC-0013-01-SHELL</t>
  </si>
  <si>
    <t>A-D PCB, MF251-01320-02A</t>
  </si>
  <si>
    <t>FC-0014-01</t>
  </si>
  <si>
    <t>A-D PCB, MF251-01320-03</t>
  </si>
  <si>
    <t>FC-0014-01-SHELL</t>
  </si>
  <si>
    <t>Stepper PCB, R=.75,MF251-01401-01B</t>
  </si>
  <si>
    <t>FC-0015-01</t>
  </si>
  <si>
    <t>FC-0015-01-SHELL</t>
  </si>
  <si>
    <t>Stepper PCB, R=.33,MK251-01401-02A</t>
  </si>
  <si>
    <t>FC-0016-01</t>
  </si>
  <si>
    <t>FC-0016-01-SHELL</t>
  </si>
  <si>
    <t>(ISX/FS) Stepper PCB, R=.18,MF251-01401-03A</t>
  </si>
  <si>
    <t>FC-0017-01</t>
  </si>
  <si>
    <t>Stepper PCB, R=.18,MF251-01401-03A</t>
  </si>
  <si>
    <t>FC-0017-01-SHELL</t>
  </si>
  <si>
    <t>(ISX/FS) High End Stepper PCB, Rc2,MF251-01401-04A</t>
  </si>
  <si>
    <t>FC-0018-01</t>
  </si>
  <si>
    <t>High End Stepper PCB, Rc2,MF251-01401-04A</t>
  </si>
  <si>
    <t>FC-0018-01-SHELL</t>
  </si>
  <si>
    <t>Stepper PCB, Rt Angle, R=.18,FS251-01401-06B</t>
  </si>
  <si>
    <t>FC-0019-01</t>
  </si>
  <si>
    <t>FC-0019-01-SHELL</t>
  </si>
  <si>
    <t>Bead Agitator PCB, MK251-01407-01B</t>
  </si>
  <si>
    <t>FC-0020-01</t>
  </si>
  <si>
    <t>FC-0020-01-SHELL</t>
  </si>
  <si>
    <t>(ISX/FS) PCBA, Bubble Sensor, MF251-01408-02A</t>
  </si>
  <si>
    <t>FC-0021-01</t>
  </si>
  <si>
    <t>PCBA, Bubble Sensor, MF251-01408-02A</t>
  </si>
  <si>
    <t>FC-0021-01-SHELL</t>
  </si>
  <si>
    <t>Solenoid Driver PCB, MF251-02451-03</t>
  </si>
  <si>
    <t>FC-0022-01</t>
  </si>
  <si>
    <t>FC-0022-01-SHELL</t>
  </si>
  <si>
    <t>Brightfield PCB, MF251-02457-05D</t>
  </si>
  <si>
    <t>FC-0023-01</t>
  </si>
  <si>
    <t>Brightfield PCB, MF251-02457-05D (legacy)</t>
  </si>
  <si>
    <t>FC-0023-01-SHELL</t>
  </si>
  <si>
    <t>Servo Driver PCB (w/ Locking Connector), MF251-02460-03A</t>
  </si>
  <si>
    <t>FC-0024-01</t>
  </si>
  <si>
    <t>FC-0024-01-SHELL</t>
  </si>
  <si>
    <t>(ISX/FS) Servo Driver PCB (3 Pin), MF251-02460-04</t>
  </si>
  <si>
    <t>FC-0025-01</t>
  </si>
  <si>
    <t>Servo Driver PCB (3 Pin), MF251-02460-04</t>
  </si>
  <si>
    <t>FC-0025-01-SHELL</t>
  </si>
  <si>
    <t>Reservoir Sensor PCB, MK251-02470-02A</t>
  </si>
  <si>
    <t>FC-0026-01</t>
  </si>
  <si>
    <t>FC-0026-01-SHELL</t>
  </si>
  <si>
    <t>(FS) Reservoir Sensor PCB, FS251-02470-03A</t>
  </si>
  <si>
    <t>FC-0027-01</t>
  </si>
  <si>
    <t>Reservoir Sensor PCB, FS251-02470-03A</t>
  </si>
  <si>
    <t>FC-0027-01-SHELL</t>
  </si>
  <si>
    <t>Power Input PCB, MK251-02749-01A</t>
  </si>
  <si>
    <t>FC-0028-01</t>
  </si>
  <si>
    <t>FC-0028-01-SHELL</t>
  </si>
  <si>
    <t>(ISX) 12 Way Distribution PCB, MK251-03074-01A</t>
  </si>
  <si>
    <t>FC-0029-01</t>
  </si>
  <si>
    <t>12 Way Distribution PCB, MK251-03074-01A</t>
  </si>
  <si>
    <t>FC-0029-01-SHELL</t>
  </si>
  <si>
    <t>Camlink Frame Grabber (Matrox), MF251-03371-02</t>
  </si>
  <si>
    <t>FC-0030-01</t>
  </si>
  <si>
    <t>FC-0030-01-SHELL</t>
  </si>
  <si>
    <t>Front Panel LEDs, MkII Icons PCB, MK251-03378-02</t>
  </si>
  <si>
    <t>FC-0031-01</t>
  </si>
  <si>
    <t>FC-0031-01-SHELL</t>
  </si>
  <si>
    <t>Power Input PCB, FS251-03822-01B, FS251-03822-01B</t>
  </si>
  <si>
    <t>FC-0032-01</t>
  </si>
  <si>
    <t>FC-0032-01-SHELL</t>
  </si>
  <si>
    <t>(ISX/FS) Camera Clock PCB, Hamamatsu, MF251-03824-03</t>
  </si>
  <si>
    <t>FC-0034-01</t>
  </si>
  <si>
    <t>Camera Clock PCB, Hamamatsu, MF251-03824-03</t>
  </si>
  <si>
    <t>FC-0034-01-SHELL</t>
  </si>
  <si>
    <t>(ISX/FS) Reflective Liquid Sensor PCB, MF251-03839-02</t>
  </si>
  <si>
    <t>FC-0035-01</t>
  </si>
  <si>
    <t>Reflective Liquid Sensor PCB, MF251-03839-02</t>
  </si>
  <si>
    <t>FC-0035-01-SHELL</t>
  </si>
  <si>
    <t>PCBA, FS Right Angle Distribution, FS251-03884-01</t>
  </si>
  <si>
    <t>FC-0036-01</t>
  </si>
  <si>
    <t>FC-0036-01-SHELL</t>
  </si>
  <si>
    <t>Modbus Rs422 PCB (2 smaller connectors), MF251-04149-01</t>
  </si>
  <si>
    <t>FC-0037-01</t>
  </si>
  <si>
    <t>Modbus Rs422 PCB (2 smaller connectors), MF251-04149-02</t>
  </si>
  <si>
    <t>FC-0037-01-SHELL</t>
  </si>
  <si>
    <t>Lateral Axis Motor (With Leadscrew), MK300-02535-22</t>
  </si>
  <si>
    <t>FC-0038-01</t>
  </si>
  <si>
    <t>FC-0038-01-SHELL</t>
  </si>
  <si>
    <t>CAMERA, TDI, 3RD GEN, HAMAMATSU, MF300-04080-02</t>
  </si>
  <si>
    <t>FC-0042-01</t>
  </si>
  <si>
    <t>FC-0042-01-SHELL</t>
  </si>
  <si>
    <t>Blue Servo, Filter Flipper, MF300-04330-00</t>
  </si>
  <si>
    <t>FC-0043-01</t>
  </si>
  <si>
    <t>FC-0043-01-SHELL</t>
  </si>
  <si>
    <t>Sensor, Bubble Detector, 1/16'' (Bead Line), MK303-02959-19</t>
  </si>
  <si>
    <t>FC-0044-01</t>
  </si>
  <si>
    <t>FC-0044-01-SHELL</t>
  </si>
  <si>
    <t>Sensor, Bubble Detector, 1/16   (Sample Line), MF303-02959-36</t>
  </si>
  <si>
    <t>FC-0045-01</t>
  </si>
  <si>
    <t>Sensor, Bubble Detector, 1/16" (Sample Line), MF303-02959-36</t>
  </si>
  <si>
    <t>FC-0045-01-SHELL</t>
  </si>
  <si>
    <t>Camera Cable, 3M length (mini connector), MF528-01101-06</t>
  </si>
  <si>
    <t>FC-0046-01</t>
  </si>
  <si>
    <t>FC-0046-01-SHELL</t>
  </si>
  <si>
    <t>Camera Cable, 3M length (mini connector) for FlowSight, FS528-01101-07</t>
  </si>
  <si>
    <t>FC-0047-01</t>
  </si>
  <si>
    <t>FC-0047-01-SHELL</t>
  </si>
  <si>
    <t>PMT Module, MK528-02490-05</t>
  </si>
  <si>
    <t>FC-0048-01</t>
  </si>
  <si>
    <t>FC-0048-01-SHELL</t>
  </si>
  <si>
    <t>Cable, Power 8", MF528-03030-08</t>
  </si>
  <si>
    <t>FC-0049-01</t>
  </si>
  <si>
    <t>FC-0049-01-SHELL</t>
  </si>
  <si>
    <t>Cable, Power 18", MF528-03030-18</t>
  </si>
  <si>
    <t>FC-0050-01</t>
  </si>
  <si>
    <t>FC-0050-01-SHELL</t>
  </si>
  <si>
    <t>Cable, Power 35", MF528-03030-35</t>
  </si>
  <si>
    <t>FC-0051-01</t>
  </si>
  <si>
    <t>FC-0051-01-SHELL</t>
  </si>
  <si>
    <t>Cable, Signal 8", MF528-03031-08</t>
  </si>
  <si>
    <t>FC-0052-01</t>
  </si>
  <si>
    <t>FC-0052-01-SHELL</t>
  </si>
  <si>
    <t>Cable, Signal 18", MF528-03031-18</t>
  </si>
  <si>
    <t>FC-0053-01</t>
  </si>
  <si>
    <t>FC-0053-01-SHELL</t>
  </si>
  <si>
    <t>Cable, Signal 35", MF528-03031-35</t>
  </si>
  <si>
    <t>FC-0054-01</t>
  </si>
  <si>
    <t>FC-0054-01-SHELL</t>
  </si>
  <si>
    <t>Cable, Signal 53  , MF528-03031-53</t>
  </si>
  <si>
    <t>FC-0055-01</t>
  </si>
  <si>
    <t>FC-0055-01-SHELL</t>
  </si>
  <si>
    <t>Cable Dual, Rs422, Internal, MK528-03143-02</t>
  </si>
  <si>
    <t>FC-0056-01</t>
  </si>
  <si>
    <t>FC-0056-01-SHELL</t>
  </si>
  <si>
    <t>Cable Dual, Rs422, External (10pin round to 2x Db9), MK528-03832-02</t>
  </si>
  <si>
    <t>FC-0057-01</t>
  </si>
  <si>
    <t>FC-0057-01-SHELL</t>
  </si>
  <si>
    <t>Cable, Internal Dual Modbus &amp; Power Entry Bracket, FS528-03833-02</t>
  </si>
  <si>
    <t>FC-0058-01</t>
  </si>
  <si>
    <t>FC-0058-01-SHELL</t>
  </si>
  <si>
    <t>Cable, Hama Camera Sync, 36  , MK528-03919-03</t>
  </si>
  <si>
    <t>FC-0059-01</t>
  </si>
  <si>
    <t>FC-0059-01-SHELL</t>
  </si>
  <si>
    <t>Cable, Hama Camera Sync, 6  , MF528-03919-04</t>
  </si>
  <si>
    <t>FC-0060-01</t>
  </si>
  <si>
    <t>FC-0060-01-SHELL</t>
  </si>
  <si>
    <t>Matrox Camlink PCB Plug, MF528-04079-01</t>
  </si>
  <si>
    <t>FC-0061-01</t>
  </si>
  <si>
    <t>FC-0061-01-SHELL</t>
  </si>
  <si>
    <t>40 PSI Pressure Relief Valve, MF540-00621-03</t>
  </si>
  <si>
    <t>FC-0063-01</t>
  </si>
  <si>
    <t>FC-0063-01-SHELL</t>
  </si>
  <si>
    <t>75 PSI Pressure Relief Valve, MF540-00621-04</t>
  </si>
  <si>
    <t>FC-0064-01</t>
  </si>
  <si>
    <t>FC-0064-01-SHELL</t>
  </si>
  <si>
    <t>Fittings, Brown/Red Headless (Each), MF540-00902-01</t>
  </si>
  <si>
    <t>FC-0065-01</t>
  </si>
  <si>
    <t>FC-0065-01-SHELL</t>
  </si>
  <si>
    <t>Solenoid Valve, 5", MF540-02007-05</t>
  </si>
  <si>
    <t>FC-0066-01</t>
  </si>
  <si>
    <t>FC-0066-01-SHELL</t>
  </si>
  <si>
    <t>Solenoid Valve, 18", MF540-02007-18</t>
  </si>
  <si>
    <t>FC-0067-01</t>
  </si>
  <si>
    <t>FC-0067-01-SHELL</t>
  </si>
  <si>
    <t>Solenoid Valve, 36", MF540-02007-36</t>
  </si>
  <si>
    <t>FC-0068-01</t>
  </si>
  <si>
    <t>FC-0068-01-SHELL</t>
  </si>
  <si>
    <t>Air Filter, MK540-02732-01</t>
  </si>
  <si>
    <t>FC-0069-01</t>
  </si>
  <si>
    <t>FC-0069-01-SHELL</t>
  </si>
  <si>
    <t>Door Latch (Single Latch), MF540-03422-01</t>
  </si>
  <si>
    <t>FC-0070-01</t>
  </si>
  <si>
    <t>FC-0070-01-SHELL</t>
  </si>
  <si>
    <t>Air Filter, FS540-03728-01</t>
  </si>
  <si>
    <t>FC-0071-01</t>
  </si>
  <si>
    <t>FC-0071-01-SHELL</t>
  </si>
  <si>
    <t>488nm Notch Filter, MF550-02473-02</t>
  </si>
  <si>
    <t>FC-0072-01</t>
  </si>
  <si>
    <t>FC-0072-01-SHELL</t>
  </si>
  <si>
    <t>561nm Notch Filter, MF550-02474-02</t>
  </si>
  <si>
    <t>FC-0073-01</t>
  </si>
  <si>
    <t>FC-0073-01-SHELL</t>
  </si>
  <si>
    <t>592nm Notch Filter, MF550-02475-02</t>
  </si>
  <si>
    <t>FC-0074-01</t>
  </si>
  <si>
    <t>FC-0074-01-SHELL</t>
  </si>
  <si>
    <t>Bonded, Petzval, AFFS, MK550-02493-01</t>
  </si>
  <si>
    <t>FC-0075-01</t>
  </si>
  <si>
    <t>FC-0075-01-SHELL</t>
  </si>
  <si>
    <t>Field Lens (MkII Dual Camera), MK550-02583-01</t>
  </si>
  <si>
    <t>FC-0076-01</t>
  </si>
  <si>
    <t>FC-0076-01-SHELL</t>
  </si>
  <si>
    <t>Field Lens (MkII Single Camera), MK550-02583-02</t>
  </si>
  <si>
    <t>FC-0077-01</t>
  </si>
  <si>
    <t>FC-0077-01-SHELL</t>
  </si>
  <si>
    <t>Field Lens (FS 2Mark), FS550-02583-03A</t>
  </si>
  <si>
    <t>FC-0078-01</t>
  </si>
  <si>
    <t>FC-0078-01-SHELL</t>
  </si>
  <si>
    <t>Field Lens (FS 3Mark), FS550-02583-04A</t>
  </si>
  <si>
    <t>FC-0079-01</t>
  </si>
  <si>
    <t>FC-0079-01-SHELL</t>
  </si>
  <si>
    <t>Petzval Lens Assy, MF550-02690-01A</t>
  </si>
  <si>
    <t>FC-0080-01</t>
  </si>
  <si>
    <t>FC-0080-01-SHELL</t>
  </si>
  <si>
    <t>Manifold, Bonded Flow Cell with Cannula (FS), FS550-02951-03A</t>
  </si>
  <si>
    <t>FC-0081-01</t>
  </si>
  <si>
    <t>FC-0081-01-SHELL</t>
  </si>
  <si>
    <t>Camera Lens (MkII), MK550-03057-01A</t>
  </si>
  <si>
    <t>FC-0082-01</t>
  </si>
  <si>
    <t>FC-0082-01-SHELL</t>
  </si>
  <si>
    <t>Camera Lens (FS), FS550-03057-02A</t>
  </si>
  <si>
    <t>FC-0083-01</t>
  </si>
  <si>
    <t>FC-0083-01-SHELL</t>
  </si>
  <si>
    <t>Laser Focus Lens (Pre-Mirror Focus Lens), MF550-03299-01A</t>
  </si>
  <si>
    <t>FC-0084-01</t>
  </si>
  <si>
    <t>FC-0084-01-SHELL</t>
  </si>
  <si>
    <t>Laser Focus Doublet (Post Mirror/Final Focus Lens), MF550-03313-01A</t>
  </si>
  <si>
    <t>FC-0085-01</t>
  </si>
  <si>
    <t>FC-0085-01-SHELL</t>
  </si>
  <si>
    <t>Retro Focus Lens (ISX/MkII), MK550-03314-03</t>
  </si>
  <si>
    <t>FC-0086-01</t>
  </si>
  <si>
    <t>FC-0086-01-SHELL</t>
  </si>
  <si>
    <t>Retro Focus Lens (FS), FS550-03314-04</t>
  </si>
  <si>
    <t>FC-0087-01</t>
  </si>
  <si>
    <t>FC-0087-01-SHELL</t>
  </si>
  <si>
    <t>Waste Manifold Assembly, FS550-03715-01</t>
  </si>
  <si>
    <t>FC-0088-01</t>
  </si>
  <si>
    <t>FC-0088-01-SHELL</t>
  </si>
  <si>
    <t>642nm Notch Filter, MF550-03867-03</t>
  </si>
  <si>
    <t>FC-0089-01</t>
  </si>
  <si>
    <t>FC-0089-01-SHELL</t>
  </si>
  <si>
    <t>Bonded Waste Port, FS ASH, FS550-04034-01</t>
  </si>
  <si>
    <t>FC-0091-01</t>
  </si>
  <si>
    <t>FC-0091-01-SHELL</t>
  </si>
  <si>
    <t>Bonded Waste Port, MkII ASH, MK550-04034-02</t>
  </si>
  <si>
    <t>FC-0092-01</t>
  </si>
  <si>
    <t>FC-0092-01-SHELL</t>
  </si>
  <si>
    <t>405nm Notch Filter, MF550-04307-03</t>
  </si>
  <si>
    <t>FC-0093-01</t>
  </si>
  <si>
    <t>405nm Notch Filter, MF550-04307-02</t>
  </si>
  <si>
    <t>FC-0093-01-SHELL</t>
  </si>
  <si>
    <t>BONDED, FLOW CELL MANIFOLD, ISX MK2, MK550-02951-02A</t>
  </si>
  <si>
    <t>FC-0094-01</t>
  </si>
  <si>
    <t>FC-0094-01-SHELL</t>
  </si>
  <si>
    <t>EDF Calibration Beads, MK600-02660-01</t>
  </si>
  <si>
    <t>FC-0095-01</t>
  </si>
  <si>
    <t>FC-0095-01-SHELL</t>
  </si>
  <si>
    <t>LAF Calibration beads, MK600-02660-02</t>
  </si>
  <si>
    <t>FC-0096-01</t>
  </si>
  <si>
    <t>FC-0096-01-SHELL</t>
  </si>
  <si>
    <t>Sipper Tube (FS/MkII ASH &amp; MkII Portal), MF652-02228-03</t>
  </si>
  <si>
    <t>FC-0097-01</t>
  </si>
  <si>
    <t>FC-0097-01-SHELL</t>
  </si>
  <si>
    <t>Petzval Base, FS652-03282-01</t>
  </si>
  <si>
    <t>FC-0098-01</t>
  </si>
  <si>
    <t>FC-0098-01-SHELL</t>
  </si>
  <si>
    <t>Sipper Tube (Flowsight Portal), FS652-03666-01</t>
  </si>
  <si>
    <t>FC-0099-01</t>
  </si>
  <si>
    <t>FC-0099-01-SHELL</t>
  </si>
  <si>
    <t>Waste Manifold Assy MkII, MK653-03793-01</t>
  </si>
  <si>
    <t>FC-0100-01</t>
  </si>
  <si>
    <t>FC-0100-01-SHELL</t>
  </si>
  <si>
    <t>Sample Column Adaptor, MF653-03902-01</t>
  </si>
  <si>
    <t>FC-0101-01</t>
  </si>
  <si>
    <t>FC-0101-01-SHELL</t>
  </si>
  <si>
    <t>Hard Drive, Configured for Linux T7810, Win10 Compatible, MF750-01321-08</t>
  </si>
  <si>
    <t>FC-0102-01</t>
  </si>
  <si>
    <t>FC-0102-01-SHELL</t>
  </si>
  <si>
    <t>Hard Drive, Configured for Window UI, FS/Mk2/CS Win10 Compatible, MF750-01321-09</t>
  </si>
  <si>
    <t>FC-0103-01</t>
  </si>
  <si>
    <t>Bead Mixer Assy, MK750-02220-02E</t>
  </si>
  <si>
    <t>FC-0104-01</t>
  </si>
  <si>
    <t>FC-0104-01-SHELL</t>
  </si>
  <si>
    <t>Computer ASSY, 7810, Analysis, MF700-02468-17</t>
  </si>
  <si>
    <t>FC-0105-01</t>
  </si>
  <si>
    <t>FC-0105-01-SHELL</t>
  </si>
  <si>
    <t>Precision Adjustor Assy, 21'' (Retro/Focus OK), MK750-02506-01D</t>
  </si>
  <si>
    <t>FC-0108-01</t>
  </si>
  <si>
    <t>Precision Adjustor Assy, 21   (Retro/Focus OK), MK750-02506-01D</t>
  </si>
  <si>
    <t>FC-0108-01-SHELL</t>
  </si>
  <si>
    <t>Flow Cell Assy, MK750-02564-03A</t>
  </si>
  <si>
    <t>FC-0109-01</t>
  </si>
  <si>
    <t>FC-0109-01-SHELL</t>
  </si>
  <si>
    <t>Flow Cell Assembly (FS), FS750-02564-04A</t>
  </si>
  <si>
    <t>FC-0110-01</t>
  </si>
  <si>
    <t>FC-0110-01-SHELL</t>
  </si>
  <si>
    <t>Field Lens/Path Splitter (12 CH), MK750-02585-01C</t>
  </si>
  <si>
    <t>FC-0111-01</t>
  </si>
  <si>
    <t>FC-0111-01-SHELL</t>
  </si>
  <si>
    <t>Field Lens/Path Splitter (6 CH), MK750-02585-02C</t>
  </si>
  <si>
    <t>FC-0112-01</t>
  </si>
  <si>
    <t>FC-0112-01-SHELL</t>
  </si>
  <si>
    <t>Filter Wheel (no optics), MF750-02596-04</t>
  </si>
  <si>
    <t>FC-0113-01</t>
  </si>
  <si>
    <t>FC-0113-01-SHELL</t>
  </si>
  <si>
    <t>Filter Flipper Assy (no optics), MF750-02609-04</t>
  </si>
  <si>
    <t>FC-0114-01</t>
  </si>
  <si>
    <t>FC-0114-01-SHELL</t>
  </si>
  <si>
    <t>ASSY, BOTTLE, SHEATH, MF750-03001-02</t>
  </si>
  <si>
    <t>FC-0115-01</t>
  </si>
  <si>
    <t>FC-0115-01-SHELL</t>
  </si>
  <si>
    <t>ASSY, BOTTLE, RINSE, MF750-03001-03</t>
  </si>
  <si>
    <t>FC-0116-01</t>
  </si>
  <si>
    <t>FC-0116-01-SHELL</t>
  </si>
  <si>
    <t>ASSY, BOTTLE, STERILIZER, MF750-03002-04</t>
  </si>
  <si>
    <t>FC-0117-01</t>
  </si>
  <si>
    <t>FC-0117-01-SHELL</t>
  </si>
  <si>
    <t>ASSY, BOTTLE, CLEANSER, MF750-03002-05</t>
  </si>
  <si>
    <t>FC-0118-01</t>
  </si>
  <si>
    <t>FC-0118-01-SHELL</t>
  </si>
  <si>
    <t>ASSY, BOTTLE, DEBUBBLER, MF750-03002-06</t>
  </si>
  <si>
    <t>FC-0119-01</t>
  </si>
  <si>
    <t>FC-0119-01-SHELL</t>
  </si>
  <si>
    <t>Assy, Portal, MkII, MK750-03102-04</t>
  </si>
  <si>
    <t>FC-0120-01</t>
  </si>
  <si>
    <t>FC-0120-01-SHELL</t>
  </si>
  <si>
    <t>Power Supply (5-15-15-12V), MK750-03134-05</t>
  </si>
  <si>
    <t>FC-0121-01</t>
  </si>
  <si>
    <t>FC-0121-01-SHELL</t>
  </si>
  <si>
    <t>Power Supply (5-12-24V), MK750-03134-06</t>
  </si>
  <si>
    <t>FC-0122-01</t>
  </si>
  <si>
    <t>FC-0122-01-SHELL</t>
  </si>
  <si>
    <t>Laser Retro Assembly (W/ Arm, w/o optics), MK750-03183-02E</t>
  </si>
  <si>
    <t>FC-0123-01</t>
  </si>
  <si>
    <t>FC-0123-01-SHELL</t>
  </si>
  <si>
    <t>Filter Stack (MkII single camera, FS), MF750-03219-04</t>
  </si>
  <si>
    <t>FC-0124-01</t>
  </si>
  <si>
    <t>FC-0124-01-SHELL</t>
  </si>
  <si>
    <t>Filter Stack (12 CH, Primary), MK750-03219-05</t>
  </si>
  <si>
    <t>FC-0125-01</t>
  </si>
  <si>
    <t>FC-0125-01-SHELL</t>
  </si>
  <si>
    <t>Filter Stack (12 CH, Secondary), MK750-03219-06</t>
  </si>
  <si>
    <t>FC-0126-01</t>
  </si>
  <si>
    <t>FC-0126-01-SHELL</t>
  </si>
  <si>
    <t>Laser Module, 561nm 200mW, MK750-03267-01</t>
  </si>
  <si>
    <t>FC-0127-01</t>
  </si>
  <si>
    <t>FC-0127-01-SHELL</t>
  </si>
  <si>
    <t>Laser Module, 561nm 50mW, FS750-03267-04B</t>
  </si>
  <si>
    <t>FC-0128-01</t>
  </si>
  <si>
    <t>FC-0128-01-SHELL</t>
  </si>
  <si>
    <t>Laser Tower (830nm), MK750-03296-01C</t>
  </si>
  <si>
    <t>FC-0129-01</t>
  </si>
  <si>
    <t>FC-0129-01-SHELL</t>
  </si>
  <si>
    <t>Bubble Trap, MF750-03354-05A</t>
  </si>
  <si>
    <t>FC-0130-01</t>
  </si>
  <si>
    <t>FC-0130-01-SHELL</t>
  </si>
  <si>
    <t>ASSY, LASER, MPB, 592nm, 300mW, MK750-03455-01</t>
  </si>
  <si>
    <t>FC-0131-01</t>
  </si>
  <si>
    <t>FC-0131-01-SHELL</t>
  </si>
  <si>
    <t>ASSY, LASER DIODE MODULE, 405nm 175, MF750-03525-02</t>
  </si>
  <si>
    <t>FC-0132-01</t>
  </si>
  <si>
    <t>FC-0132-01-SHELL</t>
  </si>
  <si>
    <t>Laser Module, 785nm 70mW (6Channel ISX, Or FS), MF750-03527-02</t>
  </si>
  <si>
    <t>FC-0133-01</t>
  </si>
  <si>
    <t>FC-0133-01-SHELL</t>
  </si>
  <si>
    <t>830 Laser Module (Tec), MK750-03528-03</t>
  </si>
  <si>
    <t>FC-0134-01</t>
  </si>
  <si>
    <t>FC-0134-01-SHELL</t>
  </si>
  <si>
    <t>Sample/Bead Syringe, MF750-03577-01D</t>
  </si>
  <si>
    <t>FC-0135-01</t>
  </si>
  <si>
    <t>FC-0135-01-SHELL</t>
  </si>
  <si>
    <t>Sheath/Flush Syringe, MF750-03578-01D</t>
  </si>
  <si>
    <t>FC-0136-01</t>
  </si>
  <si>
    <t>FC-0136-01-SHELL</t>
  </si>
  <si>
    <t>Sample/Bead Pump, MF750-03586-02</t>
  </si>
  <si>
    <t>FC-0137-01</t>
  </si>
  <si>
    <t>FC-0137-01-SHELL</t>
  </si>
  <si>
    <t>Sheath/Flush Pump, MF750-03587-01D</t>
  </si>
  <si>
    <t>FC-0138-01</t>
  </si>
  <si>
    <t>FC-0138-01-SHELL</t>
  </si>
  <si>
    <t>Focus Actuator, Objective Stage, FS750-03631-02</t>
  </si>
  <si>
    <t>FC-0139-01</t>
  </si>
  <si>
    <t>FC-0139-01-SHELL</t>
  </si>
  <si>
    <t>Laser Retro Assy (W/ Arm, w/ block, w/o retro optics), FS750-03635-02</t>
  </si>
  <si>
    <t>FC-0140-01</t>
  </si>
  <si>
    <t>FC-0140-01-SHELL</t>
  </si>
  <si>
    <t>Valve Actuator, 6 Way Distribution, Generic (Amnis), MF750-03636-05</t>
  </si>
  <si>
    <t>FC-0141-01</t>
  </si>
  <si>
    <t>FC-0141-01-SHELL</t>
  </si>
  <si>
    <t>Power Supply, Assy (5-12-15-24V), FS750-03661-02</t>
  </si>
  <si>
    <t>FC-0142-01</t>
  </si>
  <si>
    <t>FC-0142-01-SHELL</t>
  </si>
  <si>
    <t>FS Portal Assembly, FS750-03675-01A</t>
  </si>
  <si>
    <t>FC-0143-01</t>
  </si>
  <si>
    <t>FC-0143-01-SHELL</t>
  </si>
  <si>
    <t>Waste Bottle (FS), FS750-03680-03</t>
  </si>
  <si>
    <t>FC-0144-01</t>
  </si>
  <si>
    <t>FC-0144-01-SHELL</t>
  </si>
  <si>
    <t>ASSY, WASTE BOTTLE, ISX, MK750-03680-02C</t>
  </si>
  <si>
    <t>FC-0145-01</t>
  </si>
  <si>
    <t>ASSY, WASTE BOTTLE, ISX, MK750-03680-02</t>
  </si>
  <si>
    <t>FC-0145-01-SHELL</t>
  </si>
  <si>
    <t>Laser Module, 375nm 70mW &amp; 405nm 120mW, MK750-03739-06</t>
  </si>
  <si>
    <t>FC-0146-01</t>
  </si>
  <si>
    <t>FC-0146-01-SHELL</t>
  </si>
  <si>
    <t>Laser Module, 488nm 400mW, MK750-03739-07</t>
  </si>
  <si>
    <t>FC-0147-01</t>
  </si>
  <si>
    <t>FC-0147-01-SHELL</t>
  </si>
  <si>
    <t>Laser Module, 785nm 70mW (12Channel), MK750-03739-09</t>
  </si>
  <si>
    <t>FC-0148-01</t>
  </si>
  <si>
    <t>FC-0148-01-SHELL</t>
  </si>
  <si>
    <t>Laser Module, 488nm 60mW, FS750-03783-02</t>
  </si>
  <si>
    <t>FC-0149-01</t>
  </si>
  <si>
    <t>FC-0149-01-SHELL</t>
  </si>
  <si>
    <t>ASSY, LED-APERTURE, BLUE, CH 1, MF750-03840-01, INACTIVE</t>
  </si>
  <si>
    <t>FC-0150-01-SHELL</t>
  </si>
  <si>
    <t>ASSY, LED-APERTURE, AMBER, CH9, MF750-03840-03, INACTIVE</t>
  </si>
  <si>
    <t>FC-0152-01-SHELL</t>
  </si>
  <si>
    <t>ASSY, LED-APERTURE, WHITE, CH2-8, MK750-03840-08, INACTIVE</t>
  </si>
  <si>
    <t>FC-0157-01-SHELL</t>
  </si>
  <si>
    <t>ASSY, LED-APERTURE, RED, CH4-10, MK750-03840-09, INACTIVE</t>
  </si>
  <si>
    <t>FC-0158-01-SHELL</t>
  </si>
  <si>
    <t>ASSY, LED-APERTURE, DEEP RED, CH5-11, MK750-03840-10, INACTIVE</t>
  </si>
  <si>
    <t>FC-0159-01-SHELL</t>
  </si>
  <si>
    <t>ASSY, LED-APERTURE, IR, CH6-12, MK750-03840-11, INACTIVE</t>
  </si>
  <si>
    <t>FC-0160-01-SHELL</t>
  </si>
  <si>
    <t>ASSY, LED-APERTURE, CH ALL, MK750-03840-12, INACTIVE</t>
  </si>
  <si>
    <t>FC-0161-01-SHELL</t>
  </si>
  <si>
    <t>Brightfield Assembly: 7 Led (QI), FS750-03849-07</t>
  </si>
  <si>
    <t>FC-0163-01</t>
  </si>
  <si>
    <t>FC-0163-01-SHELL</t>
  </si>
  <si>
    <t>Brightfield Assembly (7 LED MkII), MK750-03849-08</t>
  </si>
  <si>
    <t>FC-0164-01</t>
  </si>
  <si>
    <t>FC-0164-01-SHELL</t>
  </si>
  <si>
    <t>Laser Module, 642nm 100mW (FS), FS750-03869-03</t>
  </si>
  <si>
    <t>FC-0165-01</t>
  </si>
  <si>
    <t>FC-0165-01-SHELL</t>
  </si>
  <si>
    <t>Laser Module, 642nm 150mW, MK750-03869-04</t>
  </si>
  <si>
    <t>FC-0166-01</t>
  </si>
  <si>
    <t>FC-0166-01-SHELL</t>
  </si>
  <si>
    <t>Autosampler (Without Front Panel), FS750-03954-01</t>
  </si>
  <si>
    <t>FC-0167-01</t>
  </si>
  <si>
    <t>FC-0167-01-SHELL</t>
  </si>
  <si>
    <t>Laser Module, 375nm 70mW, MK750-03991-03</t>
  </si>
  <si>
    <t>FC-0168-01</t>
  </si>
  <si>
    <t>FC-0168-01-SHELL</t>
  </si>
  <si>
    <t>AutoSampler (w/o Door Kit), MK750-04038-01A</t>
  </si>
  <si>
    <t>FC-0169-01</t>
  </si>
  <si>
    <t>FC-0169-01-SHELL</t>
  </si>
  <si>
    <t>Laser Module, 488nm 200mW, MK750-04045-02</t>
  </si>
  <si>
    <t>FC-0170-01</t>
  </si>
  <si>
    <t>FC-0170-01-SHELL</t>
  </si>
  <si>
    <t>Bead Vial Clamp, Spring Loaded, MK750-04206-02</t>
  </si>
  <si>
    <t>FC-0171-01</t>
  </si>
  <si>
    <t>FC-0171-01-SHELL</t>
  </si>
  <si>
    <t>Motomag Assy, MkII, MK750-04270-01</t>
  </si>
  <si>
    <t>FC-0172-01</t>
  </si>
  <si>
    <t>FC-0172-01-SHELL</t>
  </si>
  <si>
    <t>ASSY, Laser Tower Servo Update, CLEAR TO BLUE, MK750-04468-01</t>
  </si>
  <si>
    <t>FC-0173-01</t>
  </si>
  <si>
    <t>FC-0173-01-SHELL</t>
  </si>
  <si>
    <t>ASSY, Laser Tower Servo Update, BLACK TO BLUE, ND 0.9, MK750-04468-02</t>
  </si>
  <si>
    <t>FC-0174-01</t>
  </si>
  <si>
    <t>FC-0174-01-SHELL</t>
  </si>
  <si>
    <t>ASSY, Laser Tower Servo Update, BLACK TO BLUE, ND 1.0, MK750-04468-03</t>
  </si>
  <si>
    <t>FC-0175-01</t>
  </si>
  <si>
    <t>FC-0175-01-SHELL</t>
  </si>
  <si>
    <t>Tooling Kit, Laser Apertures, Set Of 7, MF751-02665-01A</t>
  </si>
  <si>
    <t>FC-0176-01</t>
  </si>
  <si>
    <t>FC-0176-01-SHELL</t>
  </si>
  <si>
    <t>Tooling Kit, Beam Profiler, Nanoscan USB, MF751-03436-04</t>
  </si>
  <si>
    <t>FC-0177-01</t>
  </si>
  <si>
    <t>FC-0177-01-SHELL</t>
  </si>
  <si>
    <t>Kit, Hamamatsu Replacement Single Camera Upgrade, MK751-04080-01</t>
  </si>
  <si>
    <t>FC-0178-01</t>
  </si>
  <si>
    <t>FC-0178-01-SHELL</t>
  </si>
  <si>
    <t>Kit, Hamamatsu Replacement Dual Camera Upgrade, MK751-04080-02</t>
  </si>
  <si>
    <t>FC-0179-01</t>
  </si>
  <si>
    <t>FC-0179-01-SHELL</t>
  </si>
  <si>
    <t>Kit, Hamamatsu Replacement FlowSight Camera Upgrade, FS751-04080-03</t>
  </si>
  <si>
    <t>FC-0180-01</t>
  </si>
  <si>
    <t>FC-0180-01-SHELL</t>
  </si>
  <si>
    <t>KIT, TYGON TUBING, SERVICE REPLACEMENT, ISX, MK751-07519-01</t>
  </si>
  <si>
    <t>FC-0181-01</t>
  </si>
  <si>
    <t>FC-0181-01-SHELL</t>
  </si>
  <si>
    <t>KIT, TYGON TUBING, SERVICE REPLACEMENT, FS, FS751-07519-02</t>
  </si>
  <si>
    <t>FC-0182-01</t>
  </si>
  <si>
    <t>FC-0182-01-SHELL</t>
  </si>
  <si>
    <t>KIT, TYGON TUBING, SERVICE REPLACEMENT, CS, CS751-07519-03</t>
  </si>
  <si>
    <t>FC-0183-01</t>
  </si>
  <si>
    <t>FC-0183-01-SHELL</t>
  </si>
  <si>
    <t>Repair and Remount of Nanoscan (Beam profiler), MF910-03436-04</t>
  </si>
  <si>
    <t>FC-0184-01</t>
  </si>
  <si>
    <t>FC-0184-01-SHELL</t>
  </si>
  <si>
    <t>CellStream Shipping Box, CS-600001</t>
  </si>
  <si>
    <t>FC-0185-01</t>
  </si>
  <si>
    <t>FC-0185-01-SHELL</t>
  </si>
  <si>
    <t>PCBA, Brightfield LED Driver (CS), CS-600002</t>
  </si>
  <si>
    <t>FC-0186-01</t>
  </si>
  <si>
    <t>FC-0186-01-SHELL</t>
  </si>
  <si>
    <t>ASSY, LED MODULE, BLUE, CS, CS-600003</t>
  </si>
  <si>
    <t>FC-0187-01</t>
  </si>
  <si>
    <t>FC-0187-01-SHELL</t>
  </si>
  <si>
    <t>ASSY, LED MODULE, WHITE, CS, CS-600004</t>
  </si>
  <si>
    <t>FC-0188-01</t>
  </si>
  <si>
    <t>FC-0188-01-SHELL</t>
  </si>
  <si>
    <t>ASSY, LED MODULE, IR, CS, CS-600005</t>
  </si>
  <si>
    <t>FC-0189-01</t>
  </si>
  <si>
    <t>FC-0189-01-SHELL</t>
  </si>
  <si>
    <t>Brightfield Assembly: 3 LED (CS), CS-600006</t>
  </si>
  <si>
    <t>FC-0190-01</t>
  </si>
  <si>
    <t>FC-0190-01-SHELL</t>
  </si>
  <si>
    <t>CellStream Stabilization Kit_Rev 1</t>
  </si>
  <si>
    <t>FC-0191-01</t>
  </si>
  <si>
    <t>FC-0191-01-SHELL</t>
  </si>
  <si>
    <t>Manifold Valve, CS-600009</t>
  </si>
  <si>
    <t>FC-0193-01</t>
  </si>
  <si>
    <t>FC-0193-01-SHELL</t>
  </si>
  <si>
    <t>Plastic Bubble Sensor Insert, CS-600010</t>
  </si>
  <si>
    <t>FC-0194-01-SHELL</t>
  </si>
  <si>
    <t>Sample Load Line (CS), CS-600011</t>
  </si>
  <si>
    <t>FC-0195-01</t>
  </si>
  <si>
    <t>FC-0195-01-SHELL</t>
  </si>
  <si>
    <t>Flow Cell Manifold (CS), CS-600012</t>
  </si>
  <si>
    <t>FC-0196-01</t>
  </si>
  <si>
    <t>FC-0196-01-SHELL</t>
  </si>
  <si>
    <t>Sipper Tube (CS), CS-600013</t>
  </si>
  <si>
    <t>FC-0197-01</t>
  </si>
  <si>
    <t>FC-0197-01-SHELL</t>
  </si>
  <si>
    <t>Flow Cell Assembly (CS), CS-600014</t>
  </si>
  <si>
    <t>FC-0198-01</t>
  </si>
  <si>
    <t>FC-0198-01-SHELL</t>
  </si>
  <si>
    <t>7 Valve Manifold, CS-600015</t>
  </si>
  <si>
    <t>FC-0199-01</t>
  </si>
  <si>
    <t>FC-0199-01-SHELL</t>
  </si>
  <si>
    <t>Sheath Pump, CS-600016 INACTIVE</t>
  </si>
  <si>
    <t>FC-0200-01</t>
  </si>
  <si>
    <t>Waste Manifold (CS), CS-600017</t>
  </si>
  <si>
    <t>FC-0201-01</t>
  </si>
  <si>
    <t>FC-0201-01-SHELL</t>
  </si>
  <si>
    <t>AutoSampler (CS), CS-600018</t>
  </si>
  <si>
    <t>FC-0202-01</t>
  </si>
  <si>
    <t>FC-0202-01-SHELL</t>
  </si>
  <si>
    <t>Laser Module, 375nm 70mW, CS, CS-600019</t>
  </si>
  <si>
    <t>FC-0203-01</t>
  </si>
  <si>
    <t>FC-0203-01-SHELL</t>
  </si>
  <si>
    <t>Laser Module, 405nm 175mW, CS, CS-600020</t>
  </si>
  <si>
    <t>FC-0204-01</t>
  </si>
  <si>
    <t>FC-0204-01-SHELL</t>
  </si>
  <si>
    <t>Laser Module, 488nm 200mW, CS, CS-600021</t>
  </si>
  <si>
    <t>FC-0205-01</t>
  </si>
  <si>
    <t>FC-0205-01-SHELL</t>
  </si>
  <si>
    <t>Laser Module, 532nm 150mW, CS, CS-600022</t>
  </si>
  <si>
    <t>FC-0206-01</t>
  </si>
  <si>
    <t>FC-0206-01-SHELL</t>
  </si>
  <si>
    <t>Laser Module, 561nm 150mW, CS, CS-600023</t>
  </si>
  <si>
    <t>FC-0207-01</t>
  </si>
  <si>
    <t>FC-0207-01-SHELL</t>
  </si>
  <si>
    <t>Laser Module, 642nm 150mW, CS, CS-600024</t>
  </si>
  <si>
    <t>FC-0208-01</t>
  </si>
  <si>
    <t>FC-0208-01-SHELL</t>
  </si>
  <si>
    <t>Laser Module, 730nm 40mW, CS, CS-600025</t>
  </si>
  <si>
    <t>FC-0209-01</t>
  </si>
  <si>
    <t>FC-0209-01-SHELL</t>
  </si>
  <si>
    <t>Laser Module, 785nm 70mW, CS, CS-600026</t>
  </si>
  <si>
    <t>FC-0210-01</t>
  </si>
  <si>
    <t>FC-0210-01-SHELL</t>
  </si>
  <si>
    <t>Power Supply Assembly, CS, CS-600027</t>
  </si>
  <si>
    <t>FC-0211-01</t>
  </si>
  <si>
    <t>FC-0211-01-SHELL</t>
  </si>
  <si>
    <t>PCBA, Power Input, CS, CS-600028</t>
  </si>
  <si>
    <t>FC-0212-01</t>
  </si>
  <si>
    <t>FC-0212-01-SHELL</t>
  </si>
  <si>
    <t>PCBA, Small CS Distribution, CS-600029</t>
  </si>
  <si>
    <t>FC-0213-01</t>
  </si>
  <si>
    <t>FC-0213-01-SHELL</t>
  </si>
  <si>
    <t>USB B Bulkhead, CS-600031</t>
  </si>
  <si>
    <t>FC-0215-01</t>
  </si>
  <si>
    <t>FC-0215-01-SHELL</t>
  </si>
  <si>
    <t>Cooling Fans / Filtration Assembly, CS, CS-600032</t>
  </si>
  <si>
    <t>FC-0216-01</t>
  </si>
  <si>
    <t>FC-0216-01-SHELL</t>
  </si>
  <si>
    <t>Low Resolution Four Zone TDI Camera, CS-600033</t>
  </si>
  <si>
    <t>FC-0217-01</t>
  </si>
  <si>
    <t>FC-0217-01-SHELL</t>
  </si>
  <si>
    <t>Field Lens Assembly (CS), CS-600034</t>
  </si>
  <si>
    <t>FC-0218-01</t>
  </si>
  <si>
    <t>FC-0218-01-SHELL</t>
  </si>
  <si>
    <t>Petzval Assembly (CS), CS-600035</t>
  </si>
  <si>
    <t>FC-0219-01</t>
  </si>
  <si>
    <t>FC-0219-01-SHELL</t>
  </si>
  <si>
    <t>Camera Lens (CS), CS-600036</t>
  </si>
  <si>
    <t>FC-0220-01</t>
  </si>
  <si>
    <t>FC-0220-01-SHELL</t>
  </si>
  <si>
    <t>Filter Stack Assembly (CS), CS-600037</t>
  </si>
  <si>
    <t>FC-0221-01</t>
  </si>
  <si>
    <t>FC-0221-01-SHELL</t>
  </si>
  <si>
    <t>Laser Focus Lens (CS), CS-600038</t>
  </si>
  <si>
    <t>FC-0222-01</t>
  </si>
  <si>
    <t>FC-0222-01-SHELL</t>
  </si>
  <si>
    <t>PCBA, Solenoid Driver (8 Pos), CS-600039</t>
  </si>
  <si>
    <t>FC-0223-01</t>
  </si>
  <si>
    <t>FC-0223-01-SHELL</t>
  </si>
  <si>
    <t>Optical Switch, Liquid Tube 0.125, CS-600040</t>
  </si>
  <si>
    <t>FC-0224-01</t>
  </si>
  <si>
    <t>FC-0224-01-SHELL</t>
  </si>
  <si>
    <t>Hard Disk Drive 3.5IN, CS-600041</t>
  </si>
  <si>
    <t>FC-0225-01</t>
  </si>
  <si>
    <t>FC-0225-01-SHELL</t>
  </si>
  <si>
    <t>Waste Bottle (CS), CS-600042</t>
  </si>
  <si>
    <t>FC-0226-01</t>
  </si>
  <si>
    <t>FC-0226-01-SHELL</t>
  </si>
  <si>
    <t>Sheath Syringe (CS), CS-600043</t>
  </si>
  <si>
    <t>FC-0227-01</t>
  </si>
  <si>
    <t>FC-0227-01-SHELL</t>
  </si>
  <si>
    <t>Rinse Bottle (CS), CS-600044</t>
  </si>
  <si>
    <t>FC-0228-01</t>
  </si>
  <si>
    <t>FC-0228-01-SHELL</t>
  </si>
  <si>
    <t>Sterilizer Bottle (CS), CS-600045</t>
  </si>
  <si>
    <t>FC-0229-01</t>
  </si>
  <si>
    <t>FC-0229-01-SHELL</t>
  </si>
  <si>
    <t>Cleanser (CS), CS-600046</t>
  </si>
  <si>
    <t>FC-0230-01</t>
  </si>
  <si>
    <t>FC-0230-01-SHELL</t>
  </si>
  <si>
    <t>Debubbler (CS), CS-600047</t>
  </si>
  <si>
    <t>FC-0231-01</t>
  </si>
  <si>
    <t>FC-0231-01-SHELL</t>
  </si>
  <si>
    <t>Sheath Bottle (CS), CS-600048</t>
  </si>
  <si>
    <t>FC-0232-01</t>
  </si>
  <si>
    <t>FC-0232-01-SHELL</t>
  </si>
  <si>
    <t>Air Filter (CS), CS-600049</t>
  </si>
  <si>
    <t>FC-0233-01</t>
  </si>
  <si>
    <t>FC-0233-01-SHELL</t>
  </si>
  <si>
    <t>Objective, 40X , CS-600052</t>
  </si>
  <si>
    <t>FC-0235-01</t>
  </si>
  <si>
    <t>FC-0235-01-SHELL</t>
  </si>
  <si>
    <t>Objective And Focus Stage, No Objective Lens, CS-600054</t>
  </si>
  <si>
    <t>FC-0236-01</t>
  </si>
  <si>
    <t>FC-0236-01-SHELL</t>
  </si>
  <si>
    <t>Camera Cable (Large Connector), CS-600064</t>
  </si>
  <si>
    <t>FC-0237-01</t>
  </si>
  <si>
    <t>FC-0237-01-SHELL</t>
  </si>
  <si>
    <t>Computer (Windows Imaging Computer), CS-600081</t>
  </si>
  <si>
    <t>FC-0238-01</t>
  </si>
  <si>
    <t>Computer (Windows Imaging Computer), CS-100213</t>
  </si>
  <si>
    <t>FC-0238-01-SHELL</t>
  </si>
  <si>
    <t>CellStream Vibration Isolator Pad, CS-600082</t>
  </si>
  <si>
    <t>FC-0239-01</t>
  </si>
  <si>
    <t>FC-0239-01-SHELL</t>
  </si>
  <si>
    <t>TOOL, BEAM PROFILER, NANOSCAN, USB, CS, CS-600083</t>
  </si>
  <si>
    <t>FC-0240-01</t>
  </si>
  <si>
    <t>FC-0240-01-SHELL</t>
  </si>
  <si>
    <t>ST link programable tool, CS-600085</t>
  </si>
  <si>
    <t>FC-0242-01</t>
  </si>
  <si>
    <t>FC-0242-01-SHELL</t>
  </si>
  <si>
    <t>LASER TARGET, CS, CS-600086</t>
  </si>
  <si>
    <t>FC-0243-01</t>
  </si>
  <si>
    <t>Silver Vial Holder, PCA0100-2180, ECSL0100-2180</t>
  </si>
  <si>
    <t>FC-0244-01</t>
  </si>
  <si>
    <t>FC-0244-01-SHELL</t>
  </si>
  <si>
    <t>Red Vial Holder, PCA0100-0060, ECSL0100-0060</t>
  </si>
  <si>
    <t>FC-0245-01</t>
  </si>
  <si>
    <t>Photodiode Assy, PCA0100-2580, PCA960100-2580, ECM0100-2580, ECP0100-2580</t>
  </si>
  <si>
    <t>FC-0246-01</t>
  </si>
  <si>
    <t>FC-0246-01-SHELL</t>
  </si>
  <si>
    <t>Ministac Bulk Head, PCA1000-0500, PCA96, ECM, ECP, ECSL, ECHT</t>
  </si>
  <si>
    <t>FC-0247-01</t>
  </si>
  <si>
    <t>FC-0247-01-SHELL</t>
  </si>
  <si>
    <t>Ministac Tubing 3.75 , PCA1000-0680, PCA96, ECM, ECP, ECSL, ECHT</t>
  </si>
  <si>
    <t>FC-0248-01</t>
  </si>
  <si>
    <t>FC-0248-01-SHELL</t>
  </si>
  <si>
    <t>Pic Laser, PCA1000-4740, PCA961000-4740</t>
  </si>
  <si>
    <t>FC-0249-01</t>
  </si>
  <si>
    <t>FC-0249-01-SHELL</t>
  </si>
  <si>
    <t>Waste Bottle Assy, PCA0100-2260</t>
  </si>
  <si>
    <t>FC-0250-01</t>
  </si>
  <si>
    <t>Waste Tubing, PCA2500-0010, PCA96, ECP</t>
  </si>
  <si>
    <t>FC-0251-01</t>
  </si>
  <si>
    <t>FC-0251-01-SHELL</t>
  </si>
  <si>
    <t>Waste Feed Through, PCA1000-0450</t>
  </si>
  <si>
    <t>FC-0252-01</t>
  </si>
  <si>
    <t>Pump, PCA0100-2940</t>
  </si>
  <si>
    <t>FC-0253-01</t>
  </si>
  <si>
    <t>FC-0253-01-SHELL</t>
  </si>
  <si>
    <t>PCB For New System - GTI-0800773, PCA0400-0560</t>
  </si>
  <si>
    <t>FC-0255-01</t>
  </si>
  <si>
    <t>Legacy PCA Yearly PM Kit, PCA0110-5340</t>
  </si>
  <si>
    <t>FC-0256-01</t>
  </si>
  <si>
    <t>FC-0256-01-SHELL</t>
  </si>
  <si>
    <t>Shipping Container, EasyCyte and PCA-96, PCA960110-1540, ECP0110-1540</t>
  </si>
  <si>
    <t>FC-0257-01</t>
  </si>
  <si>
    <t>Motion PCB, PCA960400-0520, ECP0400-0520</t>
  </si>
  <si>
    <t>FC-0258-01</t>
  </si>
  <si>
    <t>FC-0258-01-SHELL</t>
  </si>
  <si>
    <t>Automation Assy, PCA960100-4400, ECP0100-4400</t>
  </si>
  <si>
    <t>FC-0259-01</t>
  </si>
  <si>
    <t>FC-0259-01-SHELL</t>
  </si>
  <si>
    <t>Interlock Switch, PCA963000-3100, ECP3000-3100</t>
  </si>
  <si>
    <t>FC-0261-01</t>
  </si>
  <si>
    <t>FC-0261-01-SHELL</t>
  </si>
  <si>
    <t>Y Sensor for Automation Assy, PCA963000-1840, ECP3000-1840</t>
  </si>
  <si>
    <t>FC-0262-01</t>
  </si>
  <si>
    <t>X/Z Sensor for Automation Assy, PCA960100-5580, ECP0100-5580</t>
  </si>
  <si>
    <t>FC-0263-01</t>
  </si>
  <si>
    <t>Pump, PCA960110-4020, ECP, ECSL, ECHT</t>
  </si>
  <si>
    <t>FC-0264-01</t>
  </si>
  <si>
    <t>FC-0264-01-SHELL</t>
  </si>
  <si>
    <t>Tubing To Pump, PCA961000-2630, ECM, ECP. ECSL, ECHT</t>
  </si>
  <si>
    <t>FC-0265-01</t>
  </si>
  <si>
    <t>FC-0265-01-SHELL</t>
  </si>
  <si>
    <t>Pump Fitting, PCA961000-1570</t>
  </si>
  <si>
    <t>FC-0266-01</t>
  </si>
  <si>
    <t>Waste Bottle Assy, PCA960100-8900</t>
  </si>
  <si>
    <t>FC-0267-01</t>
  </si>
  <si>
    <t>Digital Power Supply, PCA963600-0230, ECSL, ECHT</t>
  </si>
  <si>
    <t>FC-0268-01</t>
  </si>
  <si>
    <t>FC-0268-01-SHELL</t>
  </si>
  <si>
    <t>Laser Power Supply, PCA963600-0200</t>
  </si>
  <si>
    <t>FC-0269-01</t>
  </si>
  <si>
    <t>FC-0269-01-SHELL</t>
  </si>
  <si>
    <t>Legacy PCA-96 Yearly PM Kit, PCA960110-3230</t>
  </si>
  <si>
    <t>FC-0270-01</t>
  </si>
  <si>
    <t>FC-0270-01-SHELL</t>
  </si>
  <si>
    <t>Mixer Paddle Only, PCA960100-7340</t>
  </si>
  <si>
    <t>FC-0271-01</t>
  </si>
  <si>
    <t>FC-0271-01-SHELL</t>
  </si>
  <si>
    <t>Laser Replacement Kit, PCA960110-4890</t>
  </si>
  <si>
    <t>FC-0272-01</t>
  </si>
  <si>
    <t>Mixer Motor, PCA960100-5080</t>
  </si>
  <si>
    <t>FC-0273-01</t>
  </si>
  <si>
    <t>PMT1, PMT2, PMT3, ECM3000-3840, ECP, ECSL</t>
  </si>
  <si>
    <t>FC-0274-01</t>
  </si>
  <si>
    <t>FC-0274-01-SHELL</t>
  </si>
  <si>
    <t>PMT5 NIR, ECM3000-3940, ECP, ECSL</t>
  </si>
  <si>
    <t>FC-0275-01</t>
  </si>
  <si>
    <t>FC-0275-01-SHELL</t>
  </si>
  <si>
    <t>Blue Laser, ECM1000-3200, ECP, ECSL</t>
  </si>
  <si>
    <t>FC-0276-01</t>
  </si>
  <si>
    <t>FC-0276-01-SHELL</t>
  </si>
  <si>
    <t>Optical Tower, ECM0100-9870</t>
  </si>
  <si>
    <t>FC-0277-01</t>
  </si>
  <si>
    <t>FC-0277-01-SHELL</t>
  </si>
  <si>
    <t>Cleaning Tubing, ECM2500-0060, ECHT</t>
  </si>
  <si>
    <t>FC-0278-01</t>
  </si>
  <si>
    <t>FC-0278-01-SHELL</t>
  </si>
  <si>
    <t>E-Chasis Assembly, ECM0110-3190</t>
  </si>
  <si>
    <t>FC-0279-01</t>
  </si>
  <si>
    <t>Legacy easyCyte Mini Yearly PM Kit, ECM0110-5350</t>
  </si>
  <si>
    <t>FC-0280-01</t>
  </si>
  <si>
    <t>FC-0280-01-SHELL</t>
  </si>
  <si>
    <t>Mixer Motor,ECP0110-4710, ECHT</t>
  </si>
  <si>
    <t>FC-0281-01</t>
  </si>
  <si>
    <t>FC-0281-01-SHELL</t>
  </si>
  <si>
    <t>Legacy easyCyte Yearly PM Kit, for SNs &lt; 522, ECP0110-3240</t>
  </si>
  <si>
    <t>FC-0282-01</t>
  </si>
  <si>
    <t>FC-0282-01-SHELL</t>
  </si>
  <si>
    <t>Legacy easyCyte Plus Yearly PM Kit, for SNs &gt; 522, ECP0110-3720</t>
  </si>
  <si>
    <t>FC-0283-01</t>
  </si>
  <si>
    <t>FC-0283-01-SHELL</t>
  </si>
  <si>
    <t>Mixer Paddle Only, ECP0110-3220, ECHT</t>
  </si>
  <si>
    <t>FC-0284-01</t>
  </si>
  <si>
    <t>FC-0284-01-SHELL</t>
  </si>
  <si>
    <t>Loader Arm Assembly, ECSL0110-6705</t>
  </si>
  <si>
    <t>FC-0285-01</t>
  </si>
  <si>
    <t>FC-0285-01-SHELL</t>
  </si>
  <si>
    <t>FSC Photodiode, ECSL3000-4200, ECHT</t>
  </si>
  <si>
    <t>FC-0286-01</t>
  </si>
  <si>
    <t>FC-0286-01-SHELL</t>
  </si>
  <si>
    <t>NIR, RED-R, RED-B, PMT, ECSL3000-4000</t>
  </si>
  <si>
    <t>FC-0287-01</t>
  </si>
  <si>
    <t>FC-0287-01-SHELL</t>
  </si>
  <si>
    <t>CABLE, USB B-FEMALE TO B-MALE, PNL MNT</t>
  </si>
  <si>
    <t>FC-0288-01</t>
  </si>
  <si>
    <t>AC Module, ECSL1000-5350</t>
  </si>
  <si>
    <t>FC-0289-01</t>
  </si>
  <si>
    <t>FC-0289-01-SHELL</t>
  </si>
  <si>
    <t>USB Cable, ECSL1000-5490, ECHT</t>
  </si>
  <si>
    <t>FC-0290-01</t>
  </si>
  <si>
    <t>FC-0290-01-SHELL</t>
  </si>
  <si>
    <t>Laser Power Supply, ECSL3600-0250, ECHT</t>
  </si>
  <si>
    <t>FC-0291-01</t>
  </si>
  <si>
    <t>FC-0291-01-SHELL</t>
  </si>
  <si>
    <t>New SSC Photodiode Detection, ECSL0110-8382, ECHT</t>
  </si>
  <si>
    <t>FC-0292-01</t>
  </si>
  <si>
    <t>FC-0292-01-SHELL</t>
  </si>
  <si>
    <t>Damper Plate With Magnet, ECSL0110-6590</t>
  </si>
  <si>
    <t>FC-0293-01</t>
  </si>
  <si>
    <t>FC-0293-01-SHELL</t>
  </si>
  <si>
    <t>Manifold Tubing To Basket, ECSL2500-0430</t>
  </si>
  <si>
    <t>FC-0294-01</t>
  </si>
  <si>
    <t>FC-0294-01-SHELL</t>
  </si>
  <si>
    <t>Two Solenoid Valve Manifold, ECSL0110-8235, ECHT, M0110-8235</t>
  </si>
  <si>
    <t>FC-0295-01</t>
  </si>
  <si>
    <t>FC-0295-01-SHELL</t>
  </si>
  <si>
    <t>Pump Waste Tubing To Manifold, ECSL2500-0330, ECHT, M2500-0330</t>
  </si>
  <si>
    <t>FC-0296-01</t>
  </si>
  <si>
    <t>FC-0296-01-SHELL</t>
  </si>
  <si>
    <t>Lee Pump, ECSL0110-8240, ECHT, M0110-8240</t>
  </si>
  <si>
    <t>FC-0297-01</t>
  </si>
  <si>
    <t>FC-0297-01-SHELL</t>
  </si>
  <si>
    <t>Pump Clean Tubing To Manifold, ECSL2500-0340, ECHT2500-0340</t>
  </si>
  <si>
    <t>FC-0298-01</t>
  </si>
  <si>
    <t>FC-0298-01-SHELL</t>
  </si>
  <si>
    <t>Manifold Waste to Bulkhead Fitting, ECSL2500-0410</t>
  </si>
  <si>
    <t>FC-0299-01</t>
  </si>
  <si>
    <t>FC-0299-01-SHELL</t>
  </si>
  <si>
    <t>Manifold Clean to Bulkhead Fitting, ECSL2500-0420</t>
  </si>
  <si>
    <t>FC-0300-01</t>
  </si>
  <si>
    <t>FC-0300-01-SHELL</t>
  </si>
  <si>
    <t>Access Hatch Cover, ECSL0110-6640</t>
  </si>
  <si>
    <t>FC-0301-01</t>
  </si>
  <si>
    <t>CABLE, USB A-MALE TO 1X5 HEADER</t>
  </si>
  <si>
    <t>FC-0302-01</t>
  </si>
  <si>
    <t>Yearly PM Kit, ECSL0110-6745</t>
  </si>
  <si>
    <t>FC-0303-01</t>
  </si>
  <si>
    <t>FC-0303-01-SHELL</t>
  </si>
  <si>
    <t>SSC PMT, ECSL3000-4240, ECHT3000-4240</t>
  </si>
  <si>
    <t>FC-0304-01</t>
  </si>
  <si>
    <t>Red Laser, ECSL1000-5342, ECHT1000-5342</t>
  </si>
  <si>
    <t>FC-0305-01</t>
  </si>
  <si>
    <t>FC-0305-01-SHELL</t>
  </si>
  <si>
    <t>Blue Laser, 40mW, ECSL1000-5480</t>
  </si>
  <si>
    <t>FC-0306-01</t>
  </si>
  <si>
    <t>FC-0306-01-SHELL</t>
  </si>
  <si>
    <t>Blue Laser, 75mW, ECSL1000-4970</t>
  </si>
  <si>
    <t>FC-0307-01</t>
  </si>
  <si>
    <t>FC-0307-01-SHELL</t>
  </si>
  <si>
    <t>AOM, ECSL1000-5330, ECHT1000-5330</t>
  </si>
  <si>
    <t>FC-0308-01</t>
  </si>
  <si>
    <t>FC-0308-01-SHELL</t>
  </si>
  <si>
    <t>Optical Tower, ECSL0110-5900, ECHT0110-5900</t>
  </si>
  <si>
    <t>FC-0309-01</t>
  </si>
  <si>
    <t>Optical Tower (9430-0111)</t>
  </si>
  <si>
    <t>FC-0309-01-SHELL</t>
  </si>
  <si>
    <t>Tubing, Internal Waste, ECSL2500-0310</t>
  </si>
  <si>
    <t>FC-0310-01</t>
  </si>
  <si>
    <t>FC-0310-01-SHELL</t>
  </si>
  <si>
    <t>Tubing, Internal  Clean, ECSL2500-0320</t>
  </si>
  <si>
    <t>FC-0311-01</t>
  </si>
  <si>
    <t>FC-0311-01-SHELL</t>
  </si>
  <si>
    <t>Ministac Bulk Head, System Built after March 2013, ECSL1000-5850, M1000-5850</t>
  </si>
  <si>
    <t>FC-0312-01</t>
  </si>
  <si>
    <t>FC-0312-01-SHELL</t>
  </si>
  <si>
    <t>Waste Tubing, System Built after 2013, ECSL2500-0290, M2500-0290</t>
  </si>
  <si>
    <t>FC-0313-01</t>
  </si>
  <si>
    <t>FC-0313-01-SHELL</t>
  </si>
  <si>
    <t>Clean Tubing, System Built after 2013, ECSL2500-0280, M2500-0280</t>
  </si>
  <si>
    <t>FC-0314-01</t>
  </si>
  <si>
    <t>FC-0314-01-SHELL</t>
  </si>
  <si>
    <t>Waste Bottle ASSY, ECSL0110-3020</t>
  </si>
  <si>
    <t>FC-0315-01</t>
  </si>
  <si>
    <t>Cleaning Bottle ASSY, ECSL0110-3030</t>
  </si>
  <si>
    <t>FC-0316-01</t>
  </si>
  <si>
    <t>PCBA, EASYCYTE ACQUISITION GEN3, ECSL0400-0873, ECHT0400-0873</t>
  </si>
  <si>
    <t>FC-0317-01</t>
  </si>
  <si>
    <t>FC-0317-01-SHELL</t>
  </si>
  <si>
    <t>PCBA, EASYCYTE ACQUISITIOM GEN3 KIT, ECSL0110-8475</t>
  </si>
  <si>
    <t>FC-0318-01</t>
  </si>
  <si>
    <t>FC-0318-01-SHELL</t>
  </si>
  <si>
    <t>USB ISOLATION MODULE</t>
  </si>
  <si>
    <t>FC-0319-01</t>
  </si>
  <si>
    <t>FC-0319-01-SHELL</t>
  </si>
  <si>
    <t>Cable ASSY LED, ECSL3000-4427</t>
  </si>
  <si>
    <t>FC-0321-01</t>
  </si>
  <si>
    <t>Violet Laser, 100mW, ECSL0110-8471, ECHT0110-8471</t>
  </si>
  <si>
    <t>FC-0322-01</t>
  </si>
  <si>
    <t>FC-0322-01-SHELL</t>
  </si>
  <si>
    <t>Blue Laser, 150mW, ECSL0110-8468, ECHT0110-8468</t>
  </si>
  <si>
    <t>FC-0323-01</t>
  </si>
  <si>
    <t>FC-0323-01-SHELL</t>
  </si>
  <si>
    <t>Green Laser, 100mW, ECSL1000-6180, ECHT1000-6180</t>
  </si>
  <si>
    <t>FC-0324-01</t>
  </si>
  <si>
    <t>Blue Laser, 50mW, ECSL0110-8514, ECHT0110-8514</t>
  </si>
  <si>
    <t>FC-0325-01</t>
  </si>
  <si>
    <t>FC-0325-01-SHELL</t>
  </si>
  <si>
    <t>Red Laser, 100mW, ECSL0110-8469, ECHT0110-8469</t>
  </si>
  <si>
    <t>FC-0326-01</t>
  </si>
  <si>
    <t>FC-0326-01-SHELL</t>
  </si>
  <si>
    <t>Clean BulkHead, ECSL1000-5865</t>
  </si>
  <si>
    <t>FC-0327-01</t>
  </si>
  <si>
    <t>FC-0327-01-SHELL</t>
  </si>
  <si>
    <t>Waste Bulkhead, ECSL1000-5860</t>
  </si>
  <si>
    <t>FC-0328-01</t>
  </si>
  <si>
    <t>FC-0328-01-SHELL</t>
  </si>
  <si>
    <t>SSC Photodiode PCB, ECSL0400-0710, ECHT0400-0710</t>
  </si>
  <si>
    <t>FC-0329-01</t>
  </si>
  <si>
    <t>FC-0329-01-SHELL</t>
  </si>
  <si>
    <t>Optical Tower, ECSL0110-3410</t>
  </si>
  <si>
    <t>FC-0330-01</t>
  </si>
  <si>
    <t>Enclosure ASSY Kit For SL Three Laser System, ECSL0110-8420</t>
  </si>
  <si>
    <t>FC-0331-01</t>
  </si>
  <si>
    <t>Enclosure ASSY Kit For SL Two Laser System, ECSL0110-8424</t>
  </si>
  <si>
    <t>FC-0332-01</t>
  </si>
  <si>
    <t>Enclosure ASSY Kit For SL Single Laser System, ECSL0110-8422</t>
  </si>
  <si>
    <t>FC-0333-01</t>
  </si>
  <si>
    <t>SSC Detection Module, ECSL0110-8483, ECHT0110-8483</t>
  </si>
  <si>
    <t>FC-0334-01</t>
  </si>
  <si>
    <t>FC-0334-01-SHELL</t>
  </si>
  <si>
    <t>PCBA 12CH Board, ECSL0400-1000</t>
  </si>
  <si>
    <t>FC-0335-01</t>
  </si>
  <si>
    <t>FC-0335-01-SHELL</t>
  </si>
  <si>
    <t>Motion PCB, ECHT0400-0590</t>
  </si>
  <si>
    <t>FC-0336-01</t>
  </si>
  <si>
    <t>FC-0336-01-SHELL</t>
  </si>
  <si>
    <t>Mixer Assy w/Paddle, Shielded, ECHT0110-8463</t>
  </si>
  <si>
    <t>FC-0337-01</t>
  </si>
  <si>
    <t>FC-0337-01-SHELL</t>
  </si>
  <si>
    <t>Manifold Waste to Bulkhead Panel, ECHT2500-0360</t>
  </si>
  <si>
    <t>FC-0338-01</t>
  </si>
  <si>
    <t>FC-0338-01-SHELL</t>
  </si>
  <si>
    <t>Manifold Clean to Bulkhead Panel, ECHT2500-0350</t>
  </si>
  <si>
    <t>FC-0339-01</t>
  </si>
  <si>
    <t>FC-0339-01-SHELL</t>
  </si>
  <si>
    <t>Automation Power Supply, ECHT3600-0280</t>
  </si>
  <si>
    <t>FC-0340-01</t>
  </si>
  <si>
    <t>FC-0340-01-SHELL</t>
  </si>
  <si>
    <t>Manifold To Basket Bulkhead Tubing, ECHT2500-0370</t>
  </si>
  <si>
    <t>FC-0341-01</t>
  </si>
  <si>
    <t>FC-0341-01-SHELL</t>
  </si>
  <si>
    <t>Automation ASSY, ECHT0110-5460</t>
  </si>
  <si>
    <t>FC-0342-01</t>
  </si>
  <si>
    <t>FC-0342-01-SHELL</t>
  </si>
  <si>
    <t>easyCyte Yearly HT PM Kit, ECHT0110-5890</t>
  </si>
  <si>
    <t>FC-0344-01</t>
  </si>
  <si>
    <t>FC-0344-01-SHELL</t>
  </si>
  <si>
    <t>Door Spring, ECHT1000-2660</t>
  </si>
  <si>
    <t>FC-0345-01</t>
  </si>
  <si>
    <t>FC-0345-01-SHELL</t>
  </si>
  <si>
    <t>IC For Motion PCB, ECHT3000-4360</t>
  </si>
  <si>
    <t>FC-0346-01</t>
  </si>
  <si>
    <t>FC-0346-01-SHELL</t>
  </si>
  <si>
    <t>X/Y/Z Sensor, ECHT3000-4220</t>
  </si>
  <si>
    <t>FC-0347-01</t>
  </si>
  <si>
    <t>FC-0347-01-SHELL</t>
  </si>
  <si>
    <t>Hatch Cover, ECHT0110-5660</t>
  </si>
  <si>
    <t>FC-0349-01</t>
  </si>
  <si>
    <t>Interlock Switch, ECHT0110-5180</t>
  </si>
  <si>
    <t>FC-0350-01</t>
  </si>
  <si>
    <t>FC-0350-01-SHELL</t>
  </si>
  <si>
    <t>LED For Front Door, ECHT3000-4428</t>
  </si>
  <si>
    <t>FC-0351-01</t>
  </si>
  <si>
    <t>FC-0351-01-SHELL</t>
  </si>
  <si>
    <t>Enclosure and Front Door Kit for EC HT Three Laser, ECHT0110-8421</t>
  </si>
  <si>
    <t>FC-0352-01</t>
  </si>
  <si>
    <t>Enclosure and Front Door Kit for EC HT One Laser, ECHT0110-8423</t>
  </si>
  <si>
    <t>FC-0353-01</t>
  </si>
  <si>
    <t>Enclosure and Front Door Kit for EC HT Two Laser, ECHT0110-8425</t>
  </si>
  <si>
    <t>FC-0354-01</t>
  </si>
  <si>
    <t>FC-0354-01-SHELL</t>
  </si>
  <si>
    <t>System Fan 60mm, ECHT3000-4080</t>
  </si>
  <si>
    <t>FC-0355-01</t>
  </si>
  <si>
    <t>FC-0355-01-SHELL</t>
  </si>
  <si>
    <t>VALVE, PRESSURE REGULATING, 90PSI</t>
  </si>
  <si>
    <t>FC-0356-01</t>
  </si>
  <si>
    <t>VALVE, PRESSURE REGULATING, 30PSI</t>
  </si>
  <si>
    <t>FC-0357-01</t>
  </si>
  <si>
    <t>Clean and Waste Bottle Tubing Only, ECHT2500-0080</t>
  </si>
  <si>
    <t>FC-0358-01</t>
  </si>
  <si>
    <t>FC-0358-01-SHELL</t>
  </si>
  <si>
    <t>Automation Power Supply Kit, ECHT0110-8567</t>
  </si>
  <si>
    <t>FC-0359-01</t>
  </si>
  <si>
    <t>FC-0359-01-SHELL</t>
  </si>
  <si>
    <t>Red Laser, ECHT1000-5340</t>
  </si>
  <si>
    <t>FC-0360-01</t>
  </si>
  <si>
    <t>FC-0360-01-SHELL</t>
  </si>
  <si>
    <t>E-Box Assy, M0110-8411</t>
  </si>
  <si>
    <t>FC-0361-01</t>
  </si>
  <si>
    <t>FC-0361-01-SHELL</t>
  </si>
  <si>
    <t>Touch Screen Assy, M0110-7945</t>
  </si>
  <si>
    <t>FC-0362-01</t>
  </si>
  <si>
    <t>Touch Screen Assy, for System Serial &gt; 7200120552, M0110-8245</t>
  </si>
  <si>
    <t>FC-0363-01</t>
  </si>
  <si>
    <t>FC-0363-01-SHELL</t>
  </si>
  <si>
    <t>Bulkhead To Waste Bottle Tubing, M2500-0390</t>
  </si>
  <si>
    <t>FC-0364-01</t>
  </si>
  <si>
    <t>FC-0364-01-SHELL</t>
  </si>
  <si>
    <t>Manifold Clean to Bulkhead Tubing, M2500-0400</t>
  </si>
  <si>
    <t>FC-0365-01</t>
  </si>
  <si>
    <t>FC-0365-01-SHELL</t>
  </si>
  <si>
    <t>Top Cover Assembly, M0110-8005</t>
  </si>
  <si>
    <t>FC-0368-01</t>
  </si>
  <si>
    <t>FC-0368-01-SHELL</t>
  </si>
  <si>
    <t>Pump To Clean Bulkhead Tubing, M2500-0270</t>
  </si>
  <si>
    <t>FC-0369-01</t>
  </si>
  <si>
    <t>FC-0369-01-SHELL</t>
  </si>
  <si>
    <t>Fluidic Manifold, M0110-7265</t>
  </si>
  <si>
    <t>FC-0370-01</t>
  </si>
  <si>
    <t>FC-0370-01-SHELL</t>
  </si>
  <si>
    <t>Lee Pump, M0110-6150</t>
  </si>
  <si>
    <t>FC-0371-01</t>
  </si>
  <si>
    <t>FC-0371-01-SHELL</t>
  </si>
  <si>
    <t>Optical Engine Assy, M0110-8540</t>
  </si>
  <si>
    <t>FC-0372-01</t>
  </si>
  <si>
    <t>FC-0372-01-SHELL</t>
  </si>
  <si>
    <t>Solenoid Cable Sensor, M3000-4404</t>
  </si>
  <si>
    <t>FC-0374-01</t>
  </si>
  <si>
    <t>FC-0374-01-SHELL</t>
  </si>
  <si>
    <t>Loader Assy, M0110-7235</t>
  </si>
  <si>
    <t>FC-0375-01</t>
  </si>
  <si>
    <t>FC-0375-01-SHELL</t>
  </si>
  <si>
    <t>Damper Cog, M1000-5705</t>
  </si>
  <si>
    <t>FC-0376-01</t>
  </si>
  <si>
    <t>FC-0376-01-SHELL</t>
  </si>
  <si>
    <t>Muse PCB Front Panel, M0400-0830</t>
  </si>
  <si>
    <t>FC-0377-01</t>
  </si>
  <si>
    <t>FC-0377-01-SHELL</t>
  </si>
  <si>
    <t>Muse PCB Interface Display, M0400-0810</t>
  </si>
  <si>
    <t>FC-0378-01</t>
  </si>
  <si>
    <t>FC-0378-01-SHELL</t>
  </si>
  <si>
    <t>Solenoid Clean Valve to Pump Tubing, M2500-0380</t>
  </si>
  <si>
    <t>FC-0379-01</t>
  </si>
  <si>
    <t>FC-0379-01-SHELL</t>
  </si>
  <si>
    <t>Muse Extension Cable, M3000-4417</t>
  </si>
  <si>
    <t>FC-0380-01</t>
  </si>
  <si>
    <t>FC-0380-01-SHELL</t>
  </si>
  <si>
    <t>Power Cord, M3600-0270</t>
  </si>
  <si>
    <t>FC-0381-01</t>
  </si>
  <si>
    <t>FC-0381-01-SHELL</t>
  </si>
  <si>
    <t>Data Acquisition PCB, M0400-0760</t>
  </si>
  <si>
    <t>FC-0382-01</t>
  </si>
  <si>
    <t>FC-0382-01-SHELL</t>
  </si>
  <si>
    <t>Shipping Box, Muse, M0110-7690</t>
  </si>
  <si>
    <t>FC-0384-01</t>
  </si>
  <si>
    <t>Loader Switch, ECSL3000-4330</t>
  </si>
  <si>
    <t>FC-0385-01</t>
  </si>
  <si>
    <t>Bottle Clip Holder, ECHT2000-0170</t>
  </si>
  <si>
    <t>FC-0387-01</t>
  </si>
  <si>
    <t>FC-0387-01-SHELL</t>
  </si>
  <si>
    <t>Muse Yearly PM Kit, 0110-8569</t>
  </si>
  <si>
    <t>FC-0390-01</t>
  </si>
  <si>
    <t>FC-0390-01-SHELL</t>
  </si>
  <si>
    <t>URF Beads</t>
  </si>
  <si>
    <t>FC-0391-01</t>
  </si>
  <si>
    <t>T-Cell Monitoring Start-up Accessory Kit, M0500-2400</t>
  </si>
  <si>
    <t>FC-0393-01</t>
  </si>
  <si>
    <t>UPS System, TrippLite Model SUINT2000XL, M1000-6270</t>
  </si>
  <si>
    <t>FC-0394-01</t>
  </si>
  <si>
    <t>1.5 mL Eppendorf Tube O-Ring Caps (500 per pkg), M1000-3675</t>
  </si>
  <si>
    <t>FC-0396-01</t>
  </si>
  <si>
    <t>Power Conditioner, US</t>
  </si>
  <si>
    <t>FC-0580-01</t>
  </si>
  <si>
    <t>FC-0580-01-SHELL</t>
  </si>
  <si>
    <t>Alignment Pin</t>
  </si>
  <si>
    <t>FC-0586-01</t>
  </si>
  <si>
    <t>FC-0586-01-SHELL</t>
  </si>
  <si>
    <t>Mixer spacer block</t>
  </si>
  <si>
    <t>FC-0589-01</t>
  </si>
  <si>
    <t>FC-0589-01-SHELL</t>
  </si>
  <si>
    <t>Power Conditioner, International</t>
  </si>
  <si>
    <t>FC-0617-01</t>
  </si>
  <si>
    <t>FC-0617-01-SHELL</t>
  </si>
  <si>
    <t>VALVE, SOLENOID, PINCH</t>
  </si>
  <si>
    <t>FC-0653-01</t>
  </si>
  <si>
    <t>EasyCyte Basic Field Service Classroom Training</t>
  </si>
  <si>
    <t>FC-0655-01</t>
  </si>
  <si>
    <t>Optical Sensor, Straight (Specify Length: 5  )</t>
  </si>
  <si>
    <t>FC-0656-01</t>
  </si>
  <si>
    <t>FC-0656-01-SHELL</t>
  </si>
  <si>
    <t>Optical Sensor, Straight (Specify Length: 15")</t>
  </si>
  <si>
    <t>FC-0658-01</t>
  </si>
  <si>
    <t>Optical Sensor, Straight (Specify Length: 22")</t>
  </si>
  <si>
    <t>FC-0659-01</t>
  </si>
  <si>
    <t>FC-0659-01-SHELL</t>
  </si>
  <si>
    <t>Sensor, Rt-Angle (Specify Length: 5")</t>
  </si>
  <si>
    <t>FC-0660-01</t>
  </si>
  <si>
    <t>Sensor, Rt-Angle (Specify Length: 27")</t>
  </si>
  <si>
    <t>FC-0665-01</t>
  </si>
  <si>
    <t>FC-0665-01-SHELL</t>
  </si>
  <si>
    <t>easyCyte Laser Safety Glasses, 6000-2180</t>
  </si>
  <si>
    <t>FC-0669-01</t>
  </si>
  <si>
    <t>FC-0669-01-SHELL</t>
  </si>
  <si>
    <t>GAS SPRING, 30LB, MK2</t>
  </si>
  <si>
    <t>FC-0670-01</t>
  </si>
  <si>
    <t>GNG Cover, Top, SL</t>
  </si>
  <si>
    <t>FC-0674-01</t>
  </si>
  <si>
    <t>GNG Cover, Bottom, SL</t>
  </si>
  <si>
    <t>FC-0675-01</t>
  </si>
  <si>
    <t>GNG Panel, Right Side, HT</t>
  </si>
  <si>
    <t>FC-0676-01</t>
  </si>
  <si>
    <t>FC-0676-01-SHELL</t>
  </si>
  <si>
    <t>GNG Panel, Left Side, HT</t>
  </si>
  <si>
    <t>FC-0677-01</t>
  </si>
  <si>
    <t>GNG Panel, Center, HT</t>
  </si>
  <si>
    <t>FC-0678-01</t>
  </si>
  <si>
    <t>FC-0678-01-SHELL</t>
  </si>
  <si>
    <t>GNG Door Assy, Front, HT</t>
  </si>
  <si>
    <t>FC-0679-01</t>
  </si>
  <si>
    <t>FC-0679-01-SHELL</t>
  </si>
  <si>
    <t>GNG Hatch, Access, easyCyte SL</t>
  </si>
  <si>
    <t>FC-0680-01</t>
  </si>
  <si>
    <t>GNG Hatch, Access, easyCyte HT</t>
  </si>
  <si>
    <t>FC-0681-01</t>
  </si>
  <si>
    <t>FC-0681-01-SHELL</t>
  </si>
  <si>
    <t>TOOL, LED FIXTURE, CS</t>
  </si>
  <si>
    <t>FC-0684-01</t>
  </si>
  <si>
    <t>Optical switch slotted holes, 22 inch</t>
  </si>
  <si>
    <t>FC-0686-01</t>
  </si>
  <si>
    <t>Optical switch round holes, 15 inch</t>
  </si>
  <si>
    <t>FC-0687-01</t>
  </si>
  <si>
    <t>Optical switch round holes, 29 inch</t>
  </si>
  <si>
    <t>FC-0688-01</t>
  </si>
  <si>
    <t>NOZZLE, SILICONE TUBING, CS</t>
  </si>
  <si>
    <t>FC-0689-01</t>
  </si>
  <si>
    <t>Stability Consumables</t>
  </si>
  <si>
    <t>FC-0690-01</t>
  </si>
  <si>
    <t>FC-0690-01-SHELL</t>
  </si>
  <si>
    <t>Optical switch slotted holes, 12 inch</t>
  </si>
  <si>
    <t>FC-0691-01</t>
  </si>
  <si>
    <t>White Plug (540-00608-01)</t>
  </si>
  <si>
    <t>FC-0692-01</t>
  </si>
  <si>
    <t>3/4 in. Adhesive Backed Mounting pads</t>
  </si>
  <si>
    <t>FC-0694-01</t>
  </si>
  <si>
    <t>6 in. Black Zip Ties</t>
  </si>
  <si>
    <t>FC-0696-01</t>
  </si>
  <si>
    <t>5/8 in. Cable Loop</t>
  </si>
  <si>
    <t>FC-0697-01</t>
  </si>
  <si>
    <t>1/2 in. Cable loop</t>
  </si>
  <si>
    <t>FC-0698-01</t>
  </si>
  <si>
    <t>3/8 in. Cable Loop</t>
  </si>
  <si>
    <t>FC-0699-01</t>
  </si>
  <si>
    <t>1/4 in. Cable Loop</t>
  </si>
  <si>
    <t>FC-0700-01</t>
  </si>
  <si>
    <t>Optical Swabs</t>
  </si>
  <si>
    <t>FC-0701-01</t>
  </si>
  <si>
    <t>TUBING, TEFZEL .062 OD X .010 ID, Blue (200cm)</t>
  </si>
  <si>
    <t>FC-0702-01</t>
  </si>
  <si>
    <t>0.020 Clear Tefzel 200cm (600-00062-02)</t>
  </si>
  <si>
    <t>FC-0706-01</t>
  </si>
  <si>
    <t>FC-0706-01-SHELL</t>
  </si>
  <si>
    <t>0.030 Tefzel 200cm (600-00062-30)</t>
  </si>
  <si>
    <t>FC-0708-01</t>
  </si>
  <si>
    <t>FC-0708-01-SHELL</t>
  </si>
  <si>
    <t>0.062 Tefzel 200cm (600-00125-62)</t>
  </si>
  <si>
    <t>FC-0709-01</t>
  </si>
  <si>
    <t>0.1875 Tygon 200cm (600-00625-03)</t>
  </si>
  <si>
    <t>FC-0710-01</t>
  </si>
  <si>
    <t>0.250 Tygon 200cm (600-00625-02)</t>
  </si>
  <si>
    <t>FC-0711-01</t>
  </si>
  <si>
    <t>Black Fluidic Fitting Spares, (540-00615-02)</t>
  </si>
  <si>
    <t>FC-0712-01</t>
  </si>
  <si>
    <t>FC-0712-01-SHELL</t>
  </si>
  <si>
    <t>Red Fluidic Fitting Spares, (540-00902-01)</t>
  </si>
  <si>
    <t>FC-0713-01</t>
  </si>
  <si>
    <t>FC-0713-01-SHELL</t>
  </si>
  <si>
    <t>Red Ferrule Spares, (540-00602-01)</t>
  </si>
  <si>
    <t>FC-0714-01</t>
  </si>
  <si>
    <t>FC-0714-01-SHELL</t>
  </si>
  <si>
    <t>Union Fluidic Fitting Spares, (540-02319-02)</t>
  </si>
  <si>
    <t>FC-0715-01</t>
  </si>
  <si>
    <t>FC-0715-01-SHELL</t>
  </si>
  <si>
    <t>Sipper Tube Spare, Nozzle, Silicone Tubing, CS (652-05482-01)</t>
  </si>
  <si>
    <t>FC-0716-01</t>
  </si>
  <si>
    <t>Automation Shipping Harness, 0110-0320</t>
  </si>
  <si>
    <t>FC-0717-01</t>
  </si>
  <si>
    <t>Tube Starter Kit, PCA-96</t>
  </si>
  <si>
    <t>FC-0725-01</t>
  </si>
  <si>
    <t>COMPUTER ASSY, PROCESSING, CS</t>
  </si>
  <si>
    <t>FC-0728-01</t>
  </si>
  <si>
    <t>FC-0728-01-SHELL</t>
  </si>
  <si>
    <t>FRAMEGRABBER MATROX, CS</t>
  </si>
  <si>
    <t>FC-0729-01</t>
  </si>
  <si>
    <t>CS Sample Pump (Coated Barrel)</t>
  </si>
  <si>
    <t>FC-0730-01</t>
  </si>
  <si>
    <t>Bonded, Mirror, BroadBand Dielec, 350-1100nm, 25.4mm DIA</t>
  </si>
  <si>
    <t>FC-0731-01</t>
  </si>
  <si>
    <t>Sheath Pump (Coated), CS-600016</t>
  </si>
  <si>
    <t>FC-0732-01</t>
  </si>
  <si>
    <t>Cable, COAX, BNC, 72</t>
  </si>
  <si>
    <t>FC-0737-01</t>
  </si>
  <si>
    <t>KIT, ISX SHIPPING CLAMPS</t>
  </si>
  <si>
    <t>FC-0741-01</t>
  </si>
  <si>
    <t>Cellstream Preventative Maintenance Kit</t>
  </si>
  <si>
    <t>FC-0742-01</t>
  </si>
  <si>
    <t>PCBA, LASER CONTROL, SAPPHIRE, ROHS</t>
  </si>
  <si>
    <t>FC-0743-01</t>
  </si>
  <si>
    <t>KIT, CLOSED-LOOP CONTROL, CS</t>
  </si>
  <si>
    <t>FC-0744-01</t>
  </si>
  <si>
    <t>OPTICAL SWITCH OPB350, LIQUID TUBE .09375 (Bubble Detector)</t>
  </si>
  <si>
    <t>FC-0746-01</t>
  </si>
  <si>
    <t>CABLE, POWER DISTRIBUTION, (528-03485-02)</t>
  </si>
  <si>
    <t>FC-0747-01</t>
  </si>
  <si>
    <t>CABLE, POWER DISTRIBUTION, (528-03484-49)</t>
  </si>
  <si>
    <t>FC-0748-01</t>
  </si>
  <si>
    <t>CABLE, POWER DISTRIBUTION, (528-03486-02)</t>
  </si>
  <si>
    <t>FC-0749-01</t>
  </si>
  <si>
    <t>CABLE, AC INPUT, (528-03507-11)</t>
  </si>
  <si>
    <t>FC-0750-01</t>
  </si>
  <si>
    <t>CABLE, POWER DISTRIBUTION, (528-03483-13)</t>
  </si>
  <si>
    <t>FC-0751-01</t>
  </si>
  <si>
    <t>CABLE, CAMERA POWER, 8 PIN, PRIMARY, (528-04322-02)</t>
  </si>
  <si>
    <t>FC-0752-01</t>
  </si>
  <si>
    <t>CABLE, CAMERA POWER, 8 PIN, SECONDARY, (528-04322-01)</t>
  </si>
  <si>
    <t>FC-0753-01</t>
  </si>
  <si>
    <t>CABLE, POWER SWITCH, (528-03505-50)</t>
  </si>
  <si>
    <t>FC-0754-01</t>
  </si>
  <si>
    <t>CABLE, INTERLOCK, ISX POWER SUPPLY, (528-03761-01)</t>
  </si>
  <si>
    <t>FC-0755-01</t>
  </si>
  <si>
    <t>CALE INTERLOCK, MK2, (528-03576-02)</t>
  </si>
  <si>
    <t>FC-0756-01</t>
  </si>
  <si>
    <t>CAVLE SIGNAL 18", (528-03031-18)</t>
  </si>
  <si>
    <t>FC-0757-01</t>
  </si>
  <si>
    <t>KIT, TUBING, FLAT PACK, MK2 (751-02113-03)</t>
  </si>
  <si>
    <t>FC-0758-01</t>
  </si>
  <si>
    <t>KIT, TUBING, INTEGRATION, MK2, (751-02113-01)</t>
  </si>
  <si>
    <t>FC-0759-01</t>
  </si>
  <si>
    <t>KIT, TUBING, FLAT PACK, FS, (751-02113-05)</t>
  </si>
  <si>
    <t>FC-0760-01</t>
  </si>
  <si>
    <t>KIT, TUBING, INTEGRATION, FS, (751-02113-06)</t>
  </si>
  <si>
    <t>FC-0761-01</t>
  </si>
  <si>
    <t>KIT, TUBING, AUTOSAMPLER, MK2, (751-02113-07)</t>
  </si>
  <si>
    <t>FC-0762-01</t>
  </si>
  <si>
    <t>PCBA, LASER CONTROL, SERIAL, MPB FIBER, ROHS, (251-02449-01B)</t>
  </si>
  <si>
    <t>FC-0763-01</t>
  </si>
  <si>
    <t>COUPLING SOCKET, QUICK DISCONNECT, .125 FLOW, .25 NPT, (540-03210-07)</t>
  </si>
  <si>
    <t>FC-0764-01</t>
  </si>
  <si>
    <t>COUPLING PLUG, QUICK DISCONNECT, .125 FLOW, .25 BARB, (540-03210-09)</t>
  </si>
  <si>
    <t>FC-0765-01</t>
  </si>
  <si>
    <t>Pinhole Tool, easyCyte</t>
  </si>
  <si>
    <t>FC-0771-01</t>
  </si>
  <si>
    <t>CellStream Reflective Liquid Sensor PCB, MF251-03839-02 (CS)</t>
  </si>
  <si>
    <t>FC-0780-01</t>
  </si>
  <si>
    <t>ISX MkII Solenoid Upgrade Kit</t>
  </si>
  <si>
    <t>FC-0785-01</t>
  </si>
  <si>
    <t>Parker Solenoid Manifold, ISX MkII, MF653-08243-01</t>
  </si>
  <si>
    <t>FC-0787-01</t>
  </si>
  <si>
    <t>Parker Solenoid Valve Cable 12", MF528-05325-12</t>
  </si>
  <si>
    <t>FC-0788-01</t>
  </si>
  <si>
    <t>Parker Solenoid Valve Cable 36", MF528-05325-36</t>
  </si>
  <si>
    <t>FC-0789-01</t>
  </si>
  <si>
    <t>ASSY, Parker Solenoid Waste Valve, MF750-08411-01</t>
  </si>
  <si>
    <t>FC-0790-01</t>
  </si>
  <si>
    <t>Parker Solenoid Valve, MF540-05014-01</t>
  </si>
  <si>
    <t>FC-0791-01</t>
  </si>
  <si>
    <t>Guava MitoDamage Kit</t>
  </si>
  <si>
    <t>FCCH100106</t>
  </si>
  <si>
    <t>FCCH100106-SHELL</t>
  </si>
  <si>
    <t>Guava Annexin Red Kit</t>
  </si>
  <si>
    <t>FCCH100108</t>
  </si>
  <si>
    <t>FCCH100108-SHELL</t>
  </si>
  <si>
    <t>Bacterial Count and Viability Kit</t>
  </si>
  <si>
    <t>FCCH100111</t>
  </si>
  <si>
    <t>Bacterial Gram Typing Kit</t>
  </si>
  <si>
    <t>FCCH100112</t>
  </si>
  <si>
    <t>Guava Autophagy LC3 antibody based assay kit (100 Tests)</t>
  </si>
  <si>
    <t>FCCH100171</t>
  </si>
  <si>
    <t>FCCH100171-SHELL</t>
  </si>
  <si>
    <t>Guava DNA Damage Histone H2A.X Dual Detection Kit</t>
  </si>
  <si>
    <t>FCCS025153</t>
  </si>
  <si>
    <t>FCCS025153-SHELL</t>
  </si>
  <si>
    <t>Guava Histone H2A.X Phosphorylation Assay Kit</t>
  </si>
  <si>
    <t>FCCS100182</t>
  </si>
  <si>
    <t>FCCS100182-SHELL</t>
  </si>
  <si>
    <t>Guava SARS-CoV-2 Multi-Antigen Antibody Assay</t>
  </si>
  <si>
    <t>FCPA100101</t>
  </si>
  <si>
    <t>FCPA100101-SHELL</t>
  </si>
  <si>
    <t>Speedbeads, 16 Tubes x 10mL,MK400041</t>
  </si>
  <si>
    <t>CN-0440-01</t>
  </si>
  <si>
    <t>Speedbeads, 16 Tubes x 10mL,MK400041 (INACTIVE - REPLACED BY ASSEMBLY)</t>
  </si>
  <si>
    <t>CN-0440-01-INA</t>
  </si>
  <si>
    <t>Calibration Reagent for Flowsight,FS400300</t>
  </si>
  <si>
    <t>CN-0441-01</t>
  </si>
  <si>
    <t>CN-0441-01-SHELL</t>
  </si>
  <si>
    <t>Flow Cell,PCA0500-0070, ECM0500-0070</t>
  </si>
  <si>
    <t>CN-0442-01</t>
  </si>
  <si>
    <t>CN-0442-01-ASSY</t>
  </si>
  <si>
    <t>Flow Cell,PCA960500-0290, ECP0500-0290</t>
  </si>
  <si>
    <t>CN-0443-01</t>
  </si>
  <si>
    <t>CN-0443-01-SHELL</t>
  </si>
  <si>
    <t>Flow Cell,ECSL0500-2270</t>
  </si>
  <si>
    <t>CN-0444-01</t>
  </si>
  <si>
    <t>CN-0444-01-SHELL</t>
  </si>
  <si>
    <t>Shipping Box,ECSL0110-6690</t>
  </si>
  <si>
    <t>CN-0445-01</t>
  </si>
  <si>
    <t>CN-0445-01-SHELL</t>
  </si>
  <si>
    <t>Clean Bottle ASSY,ECSL0110-8125</t>
  </si>
  <si>
    <t>CN-0446-01</t>
  </si>
  <si>
    <t>CN-0446-01-SHELL</t>
  </si>
  <si>
    <t>Waste Bottle ASSY,ECSL0110-8120</t>
  </si>
  <si>
    <t>CN-0447-01</t>
  </si>
  <si>
    <t>CN-0447-01-SHELL</t>
  </si>
  <si>
    <t>Flow Cell,ECHT0500-2260</t>
  </si>
  <si>
    <t>CN-0448-01</t>
  </si>
  <si>
    <t>CN-0448-01-SHELL</t>
  </si>
  <si>
    <t>Shipping Box,easyCyte HT,ECHT0110-5690</t>
  </si>
  <si>
    <t>CN-0449-01</t>
  </si>
  <si>
    <t>Cleaning Bottle ASSY,ECHT0110-5780</t>
  </si>
  <si>
    <t>CN-0450-01</t>
  </si>
  <si>
    <t>CN-0450-01-SHELL</t>
  </si>
  <si>
    <t>Waste Bottle ASSY,ECHT0110-5790</t>
  </si>
  <si>
    <t>CN-0451-01</t>
  </si>
  <si>
    <t>CN-0451-01-SHELL</t>
  </si>
  <si>
    <t>Cleaning Bottle Assy,M0110-7245</t>
  </si>
  <si>
    <t>CN-0452-01</t>
  </si>
  <si>
    <t>CN-0452-01-SHELL</t>
  </si>
  <si>
    <t>Waste Bottle Assy,M0110-7250</t>
  </si>
  <si>
    <t>CN-0453-01</t>
  </si>
  <si>
    <t>CN-0453-01-SHELL</t>
  </si>
  <si>
    <t>Flow Cell,M0500-3120</t>
  </si>
  <si>
    <t>CN-0454-01</t>
  </si>
  <si>
    <t>CN-0454-01-SHELL</t>
  </si>
  <si>
    <t>Cleaning Tool ( Syringe),M6000-2820</t>
  </si>
  <si>
    <t>CN-0455-01</t>
  </si>
  <si>
    <t>Tubes, Eppendorf, 1.5ml Bag of 500</t>
  </si>
  <si>
    <t>CN-0457-01</t>
  </si>
  <si>
    <t>Introductory On-site Guava Training (Half Day - Up to 3 trainees) (0500-1690)</t>
  </si>
  <si>
    <t>CN-0466-01</t>
  </si>
  <si>
    <t>Advanced On-site Guava Training (Full Day - Up to 3 trainees) (0500-1680)</t>
  </si>
  <si>
    <t>CN-0467-01</t>
  </si>
  <si>
    <t>Cost for Each Additional Trainee Beyond First (3) (0500-0430)</t>
  </si>
  <si>
    <t>CN-0468-01</t>
  </si>
  <si>
    <t>Guava Product Relocation &amp; Installation (0500-1710)</t>
  </si>
  <si>
    <t>CN-0469-01</t>
  </si>
  <si>
    <t>GuavaLink Integration Consulting - per hour (0500-2190)</t>
  </si>
  <si>
    <t>CN-0470-01</t>
  </si>
  <si>
    <t>Muse Onsite instrument installation &amp; application review (0600-0450)</t>
  </si>
  <si>
    <t>CN-0472-01</t>
  </si>
  <si>
    <t>Guava Systems Installation (0500-0450)</t>
  </si>
  <si>
    <t>CN-0473-01</t>
  </si>
  <si>
    <t>Guava Muse IQ/OQ, On Site (8000-2007)</t>
  </si>
  <si>
    <t>CN-0474-01</t>
  </si>
  <si>
    <t>CN-0474-01-SHELL</t>
  </si>
  <si>
    <t>Fuse 110 V (2.5 A, 250 V), EC3000-0860</t>
  </si>
  <si>
    <t>CN-0476-01</t>
  </si>
  <si>
    <t>Fuse 220-240 V (1.6 A, 250 V) X2, EC3000-0990</t>
  </si>
  <si>
    <t>CN-0477-01</t>
  </si>
  <si>
    <t>Guava easyCyte Flow Cell Tightening Tool, EC6000-2410</t>
  </si>
  <si>
    <t>CN-0478-01</t>
  </si>
  <si>
    <t>Guava easyCyte Flow Cell Removal Tool, EC6000-3020</t>
  </si>
  <si>
    <t>CN-0479-01</t>
  </si>
  <si>
    <t>Optical Filter, 655/40 BANDPASS (For IMV Option), two (2) Pack</t>
  </si>
  <si>
    <t>CN-0500-01</t>
  </si>
  <si>
    <t>CN-0500-01-SHELL</t>
  </si>
  <si>
    <t>GNG Laptop computer, Guava easyCyte, EC 64-10138-00-001</t>
  </si>
  <si>
    <t>CN-0503-01</t>
  </si>
  <si>
    <t>GNG Laptop computer, Guava easyCyte, EC64-10090-00-004</t>
  </si>
  <si>
    <t>CN-0503-01-SHELL</t>
  </si>
  <si>
    <t>ImageStream End-User Advanced, Classroom</t>
  </si>
  <si>
    <t>CN-0535-03</t>
  </si>
  <si>
    <t>Guava easyCyte IQ/OQ (GLU), On Site (89-00002-00-778)</t>
  </si>
  <si>
    <t>CN-0542-01</t>
  </si>
  <si>
    <t>CONNECTOR ATTACHED CABLE 2M</t>
  </si>
  <si>
    <t>CN-14A-C2</t>
  </si>
  <si>
    <t>CN-SW45-01</t>
  </si>
  <si>
    <t>CN-SW45-01-SHELL</t>
  </si>
  <si>
    <t>Machine Learning Software Module- Additional seat license</t>
  </si>
  <si>
    <t>CN-SW45-05</t>
  </si>
  <si>
    <t>CN-SW45-05-SHELL</t>
  </si>
  <si>
    <t>IDEAS Image Analysis Software SW x64</t>
  </si>
  <si>
    <t>CN-SW69-01</t>
  </si>
  <si>
    <t>IDEAS 6.3 SW x64</t>
  </si>
  <si>
    <t>CN-SW69-01-SHELL</t>
  </si>
  <si>
    <t>Amnis IDEAS Image Analysis Software - Additional Seat license</t>
  </si>
  <si>
    <t>CN-SW69-05</t>
  </si>
  <si>
    <t>Amnis IDEAS 6.3 Software - Additional Seat license</t>
  </si>
  <si>
    <t>CN-SW69-05-SHELL</t>
  </si>
  <si>
    <t>IDEAS Image Analysis Software - 12 Seat License</t>
  </si>
  <si>
    <t>CN-SW69-12</t>
  </si>
  <si>
    <t>IDEAS 6.3 - 12 Seat License</t>
  </si>
  <si>
    <t>CN-SW69-12-SHELL</t>
  </si>
  <si>
    <t>IDEAS Image Analysis Software - Site License</t>
  </si>
  <si>
    <t>CN-SW69-20</t>
  </si>
  <si>
    <t>IDEAS 6.3 - Site License</t>
  </si>
  <si>
    <t>CN-SW69-20-SHELL</t>
  </si>
  <si>
    <t>Amnis AI - One Year Introductory, Single Seat License</t>
  </si>
  <si>
    <t>CN-SW70-01</t>
  </si>
  <si>
    <t>CN-SW70-01-SHELL</t>
  </si>
  <si>
    <t>Amnis AI - Three Year Subscription</t>
  </si>
  <si>
    <t>CN-SW70-03</t>
  </si>
  <si>
    <t>CN-SW70-03-SHELL</t>
  </si>
  <si>
    <t>Amnis AI - Three Year Subscription, Additional Seat</t>
  </si>
  <si>
    <t>CN-SW70-04</t>
  </si>
  <si>
    <t>CN-SW70-04-SHELL</t>
  </si>
  <si>
    <t>Amnis AI   One Year Subscription, Additional Seat License</t>
  </si>
  <si>
    <t>CN-SW70-05</t>
  </si>
  <si>
    <t>CN-SW70-05-SHELL</t>
  </si>
  <si>
    <t>Amnis AI - One Year Renewal</t>
  </si>
  <si>
    <t>CN-SW70-10</t>
  </si>
  <si>
    <t>CN-SW70-10-SHELL</t>
  </si>
  <si>
    <t>Amnis AI - One Year Renewal, Additional Seat</t>
  </si>
  <si>
    <t>CN-SW70-11</t>
  </si>
  <si>
    <t>CN-SW70-11-SHELL</t>
  </si>
  <si>
    <t>CN-SW78-01</t>
  </si>
  <si>
    <t>GuavaLink API, additional system</t>
  </si>
  <si>
    <t>CN-SW80-01</t>
  </si>
  <si>
    <t>GuavaLink API, Per System</t>
  </si>
  <si>
    <t>CN-SW80-01-ASSY</t>
  </si>
  <si>
    <t>CS-100196</t>
  </si>
  <si>
    <t>Amnis CellStream System w/ Acquistion and Analysis Software</t>
  </si>
  <si>
    <t>CS-100196-375</t>
  </si>
  <si>
    <t>CS-100196-375-405</t>
  </si>
  <si>
    <t>CS-100196-375-405-532</t>
  </si>
  <si>
    <t>CS-100196-375-405-561</t>
  </si>
  <si>
    <t>CS-100196-375-405-561-532</t>
  </si>
  <si>
    <t>CS-100196-375-405-642</t>
  </si>
  <si>
    <t>CS-100196-375-405-642-532</t>
  </si>
  <si>
    <t>CS-100196-375-405-642-561</t>
  </si>
  <si>
    <t>CS-100196-375-405-642-561-532</t>
  </si>
  <si>
    <t>CS-100196-375-405-642-730</t>
  </si>
  <si>
    <t>CS-100196-375-405-642-730-532</t>
  </si>
  <si>
    <t>CS-100196-375-405-642-730-561</t>
  </si>
  <si>
    <t>CS-100196-375-405-642-730-561-532</t>
  </si>
  <si>
    <t>CS-100196-375-405-730</t>
  </si>
  <si>
    <t>CS-100196-375-405-730-532</t>
  </si>
  <si>
    <t>CS-100196-375-405-730-561</t>
  </si>
  <si>
    <t>CS-100196-375-405-730-561-532</t>
  </si>
  <si>
    <t>CS-100196-375-532</t>
  </si>
  <si>
    <t>CS-100196-375-561</t>
  </si>
  <si>
    <t>CS-100196-375-561-532</t>
  </si>
  <si>
    <t>CS-100196-375-642</t>
  </si>
  <si>
    <t>CS-100196-375-642-532</t>
  </si>
  <si>
    <t>CS-100196-375-642-561</t>
  </si>
  <si>
    <t>CS-100196-375-642-561-532</t>
  </si>
  <si>
    <t>CS-100196-375-642-730</t>
  </si>
  <si>
    <t>CS-100196-375-642-730-532</t>
  </si>
  <si>
    <t>CS-100196-375-642-730-561</t>
  </si>
  <si>
    <t>CS-100196-375-642-730-561-532</t>
  </si>
  <si>
    <t>CS-100196-375-730</t>
  </si>
  <si>
    <t>CS-100196-375-730-532</t>
  </si>
  <si>
    <t>CS-100196-375-730-561</t>
  </si>
  <si>
    <t>CS-100196-375-730-561-532</t>
  </si>
  <si>
    <t>CS-100196-405</t>
  </si>
  <si>
    <t>CS-100196-405-532</t>
  </si>
  <si>
    <t>CS-100196-405-561</t>
  </si>
  <si>
    <t>CS-100196-405-561-532</t>
  </si>
  <si>
    <t>CS-100196-405-642</t>
  </si>
  <si>
    <t>CS-100196-405-642-532</t>
  </si>
  <si>
    <t>CS-100196-405-642-561</t>
  </si>
  <si>
    <t>CS-100196-405-642-561-532</t>
  </si>
  <si>
    <t>CS-100196-405-642-730</t>
  </si>
  <si>
    <t>CS-100196-405-642-730-532</t>
  </si>
  <si>
    <t>CS-100196-405-642-730-561</t>
  </si>
  <si>
    <t>CS-100196-405-642-730-561-532</t>
  </si>
  <si>
    <t>CS-100196-405-730</t>
  </si>
  <si>
    <t>CS-100196-405-730-532</t>
  </si>
  <si>
    <t>CS-100196-405-730-561</t>
  </si>
  <si>
    <t>CS-100196-405-730-561-532</t>
  </si>
  <si>
    <t>CS-100196-532</t>
  </si>
  <si>
    <t>CS-100196-561</t>
  </si>
  <si>
    <t>CS-100196-561-532</t>
  </si>
  <si>
    <t>CS-100196-642</t>
  </si>
  <si>
    <t>CS-100196-642-532</t>
  </si>
  <si>
    <t>CS-100196-642-561</t>
  </si>
  <si>
    <t>CS-100196-642-561-532</t>
  </si>
  <si>
    <t>CS-100196-642-730</t>
  </si>
  <si>
    <t>CS-100196-642-730-532</t>
  </si>
  <si>
    <t>CS-100196-642-730-561</t>
  </si>
  <si>
    <t>CS-100196-642-730-561-532</t>
  </si>
  <si>
    <t>CS-100196-730</t>
  </si>
  <si>
    <t>CS-100196-730-532</t>
  </si>
  <si>
    <t>CS-100196-730-561</t>
  </si>
  <si>
    <t>CS-100196-730-561-532</t>
  </si>
  <si>
    <t>CS-100196-Base</t>
  </si>
  <si>
    <t>CS-100196-SHELL</t>
  </si>
  <si>
    <t>Instrument Processing Computer, CellStream</t>
  </si>
  <si>
    <t>CS-100211</t>
  </si>
  <si>
    <t>CS-100211-SHELL</t>
  </si>
  <si>
    <t>CellStream 375nm Laser Option</t>
  </si>
  <si>
    <t>CS-200375</t>
  </si>
  <si>
    <t>CS-200375-SHELL</t>
  </si>
  <si>
    <t>CellStream 405nm Laser Option</t>
  </si>
  <si>
    <t>CS-200405</t>
  </si>
  <si>
    <t>CS-200405-SHELL</t>
  </si>
  <si>
    <t>CellStream 532nm Laser Option</t>
  </si>
  <si>
    <t>CS-200532</t>
  </si>
  <si>
    <t>CS-200532-SHELL</t>
  </si>
  <si>
    <t>CellStream 561nm Laser Option</t>
  </si>
  <si>
    <t>CS-200561</t>
  </si>
  <si>
    <t>CS-200561-SHELL</t>
  </si>
  <si>
    <t>CellStream 642nm Laser Option</t>
  </si>
  <si>
    <t>CS-200642</t>
  </si>
  <si>
    <t>CS-200642-SHELL</t>
  </si>
  <si>
    <t>CellStream 730nm Laser Option</t>
  </si>
  <si>
    <t>CS-200730</t>
  </si>
  <si>
    <t>CS-200730-SHELL</t>
  </si>
  <si>
    <t>CELLSTREAM SOFTWARE MULTI ACCESS</t>
  </si>
  <si>
    <t>CS-300300</t>
  </si>
  <si>
    <t>CS-300300-SHELL</t>
  </si>
  <si>
    <t>CellStream Calibration Reagent</t>
  </si>
  <si>
    <t>CS-400104</t>
  </si>
  <si>
    <t>CS-400104-INA</t>
  </si>
  <si>
    <t>CS-400104-SHELL</t>
  </si>
  <si>
    <t>CellStream On-Site Training</t>
  </si>
  <si>
    <t>CS-500200</t>
  </si>
  <si>
    <t>CELLSTREAM INSTALLATION</t>
  </si>
  <si>
    <t>CS-600200</t>
  </si>
  <si>
    <t>CellStream IQ/OQ</t>
  </si>
  <si>
    <t>CS-600250</t>
  </si>
  <si>
    <t>CellStream Preventative Maintenance Kit</t>
  </si>
  <si>
    <t>CS-600600</t>
  </si>
  <si>
    <t>CS-600600-SHELL</t>
  </si>
  <si>
    <t>QB Sure beads</t>
  </si>
  <si>
    <t>B7-10005</t>
  </si>
  <si>
    <t>Formulated 100nm YG Beads</t>
  </si>
  <si>
    <t>B7-10012</t>
  </si>
  <si>
    <t>Aurora CS Beads Start-Up Kit</t>
  </si>
  <si>
    <t>B7-20001</t>
  </si>
  <si>
    <t>SpectroFlo® QC Beads (IVD)</t>
  </si>
  <si>
    <t>B7-20002</t>
  </si>
  <si>
    <t>Mixed FSC Beads part number  (finished part)</t>
  </si>
  <si>
    <t>B7-20003</t>
  </si>
  <si>
    <t>APD SSC Enhanced Calibration Beads</t>
  </si>
  <si>
    <t>B7-10007</t>
  </si>
  <si>
    <t>Formulated 70 nm Beads (2mL)</t>
  </si>
  <si>
    <t>B7-10008</t>
  </si>
  <si>
    <t>Formulated 80 nm Beads (2mL)</t>
  </si>
  <si>
    <t>B7-10009</t>
  </si>
  <si>
    <t>Cytek® Spectrum CompBeads</t>
  </si>
  <si>
    <t>B7-10011</t>
  </si>
  <si>
    <t>B7-10011-0A</t>
  </si>
  <si>
    <t>SpectroSort Bead and Buffer Bundle</t>
  </si>
  <si>
    <t>B7-20006</t>
  </si>
  <si>
    <t>3cc Black Cylinder Bottle with Dropper Cap</t>
  </si>
  <si>
    <t>B9-20001</t>
  </si>
  <si>
    <t>QB Sure Label</t>
  </si>
  <si>
    <t>B9-30001</t>
  </si>
  <si>
    <t>QC Beads label</t>
  </si>
  <si>
    <t>B9-30002</t>
  </si>
  <si>
    <t>CUSTOMER INFORMATION</t>
  </si>
  <si>
    <t>Shortened Facility name (ex. BCH):</t>
  </si>
  <si>
    <t>Brad Ballard</t>
  </si>
  <si>
    <t>SERVICE TYPE / PART NAME</t>
  </si>
  <si>
    <t>Part 1</t>
  </si>
  <si>
    <t>Part 2</t>
  </si>
  <si>
    <t>Part 3</t>
  </si>
  <si>
    <t>Part 4</t>
  </si>
  <si>
    <t>Alyssa Sanfillipo</t>
  </si>
  <si>
    <t>Pre-Inspection/Recertification</t>
  </si>
  <si>
    <t>Serial Number</t>
  </si>
  <si>
    <t>Install Date</t>
  </si>
  <si>
    <t>Status</t>
  </si>
  <si>
    <t>Account Name</t>
  </si>
  <si>
    <t>Synced Contract: Contract End Date</t>
  </si>
  <si>
    <t>10000006001</t>
  </si>
  <si>
    <t>Installed</t>
  </si>
  <si>
    <t>Institut Universitaire de Technologie (IUT) Louis Pasteur</t>
  </si>
  <si>
    <t>Guava PCA Base System, with software, Obsolete</t>
  </si>
  <si>
    <t>1000880</t>
  </si>
  <si>
    <t>Shanxi Medical University????????</t>
  </si>
  <si>
    <t>100220</t>
  </si>
  <si>
    <t>Deinstalled</t>
  </si>
  <si>
    <t>FUWAI HOSPITAL</t>
  </si>
  <si>
    <t>xP4 Upgrade</t>
  </si>
  <si>
    <t>1040</t>
  </si>
  <si>
    <t>11</t>
  </si>
  <si>
    <t>QUALITY ASSISTANCE</t>
  </si>
  <si>
    <t>1100900</t>
  </si>
  <si>
    <t>FIBROCELL SCIENCE INC</t>
  </si>
  <si>
    <t>11111-018838</t>
  </si>
  <si>
    <t>LPU GMBH</t>
  </si>
  <si>
    <t>1151</t>
  </si>
  <si>
    <t>Automatic Micro-Sampler CE</t>
  </si>
  <si>
    <t>1314</t>
  </si>
  <si>
    <t>TU Delft_microbiology</t>
  </si>
  <si>
    <t>1316</t>
  </si>
  <si>
    <t>Seattle Pacific University</t>
  </si>
  <si>
    <t>xP5 Upgrade</t>
  </si>
  <si>
    <t>1343</t>
  </si>
  <si>
    <t>Aptevo Research and Development LLC</t>
  </si>
  <si>
    <t>1345</t>
  </si>
  <si>
    <t>Affymetrix</t>
  </si>
  <si>
    <t>1358</t>
  </si>
  <si>
    <t>Boston Industries, Inc</t>
  </si>
  <si>
    <t>Automatic Micro-Sampler</t>
  </si>
  <si>
    <t>1384</t>
  </si>
  <si>
    <t>Not In Use</t>
  </si>
  <si>
    <t>Aragen</t>
  </si>
  <si>
    <t>1385</t>
  </si>
  <si>
    <t>1403</t>
  </si>
  <si>
    <t>Cellerant Therapeutics</t>
  </si>
  <si>
    <t>1410</t>
  </si>
  <si>
    <t>1413</t>
  </si>
  <si>
    <t>1416</t>
  </si>
  <si>
    <t>Onyx Pharmaceuticals</t>
  </si>
  <si>
    <t>1422</t>
  </si>
  <si>
    <t>1429</t>
  </si>
  <si>
    <t>Bioagilytix</t>
  </si>
  <si>
    <t>1455</t>
  </si>
  <si>
    <t>STEMCELL Technologies Canada Inc</t>
  </si>
  <si>
    <t>1456</t>
  </si>
  <si>
    <t>1462</t>
  </si>
  <si>
    <t>SystImmune, Inc.</t>
  </si>
  <si>
    <t>1469</t>
  </si>
  <si>
    <t>XBioTech</t>
  </si>
  <si>
    <t>1470</t>
  </si>
  <si>
    <t>Cidara Therapeutics Inc</t>
  </si>
  <si>
    <t>1473562</t>
  </si>
  <si>
    <t>GRUPO TAPER - SPAIN</t>
  </si>
  <si>
    <t>1474</t>
  </si>
  <si>
    <t>1481</t>
  </si>
  <si>
    <t>Hygieia Biological Laboratories</t>
  </si>
  <si>
    <t>FlowKart</t>
  </si>
  <si>
    <t>1492</t>
  </si>
  <si>
    <t>Precision for Medicine - Frederick</t>
  </si>
  <si>
    <t>1493</t>
  </si>
  <si>
    <t>1497</t>
  </si>
  <si>
    <t>1498</t>
  </si>
  <si>
    <t>1500</t>
  </si>
  <si>
    <t>1502</t>
  </si>
  <si>
    <t>1509</t>
  </si>
  <si>
    <t>1516</t>
  </si>
  <si>
    <t>Regeneron Pharmaceuticals Inc</t>
  </si>
  <si>
    <t>2800060146R</t>
  </si>
  <si>
    <t>ExcellGene SA</t>
  </si>
  <si>
    <t>6620126046</t>
  </si>
  <si>
    <t>Eberhard Karls Universität Tübingen</t>
  </si>
  <si>
    <t>6620126092</t>
  </si>
  <si>
    <t>Merck KGaA - Merck Biodevelopment SAS</t>
  </si>
  <si>
    <t>Guava easyCyte 8SL, Boxed Instrument</t>
  </si>
  <si>
    <t>662012S008</t>
  </si>
  <si>
    <t>FRAUNHOFER-INSTITUT FUR ZELLTHERAPIE UND IMMUNOLOGIE IZI</t>
  </si>
  <si>
    <t>662012S015</t>
  </si>
  <si>
    <t>UK Health Security Agency</t>
  </si>
  <si>
    <t>6620136106</t>
  </si>
  <si>
    <t>Karlsruher Institut für Technologie</t>
  </si>
  <si>
    <t>662013S017</t>
  </si>
  <si>
    <t>MRC Laboratory of Medical Sciences (LMS)</t>
  </si>
  <si>
    <t>662013S020</t>
  </si>
  <si>
    <t>Hôpitaux Universitaires - Pitié Salpêtrière</t>
  </si>
  <si>
    <t>Guava easyCyte 6HT-2L, Boxed Instrument</t>
  </si>
  <si>
    <t>Millipore Sigma (formerly Mirius Bio LLC)</t>
  </si>
  <si>
    <t>6735125124A</t>
  </si>
  <si>
    <t>BEIJING WANTAI BIOLOGICAL PHARMACY ENTERPRISE CO LTD</t>
  </si>
  <si>
    <t>6735126101</t>
  </si>
  <si>
    <t>MEDIAGNOST GMBH</t>
  </si>
  <si>
    <t>6735128160</t>
  </si>
  <si>
    <t>XIANGYA HOSPITAL CENTRAL SOUTH UNIVERSITY</t>
  </si>
  <si>
    <t>673512S017</t>
  </si>
  <si>
    <t>Forschungsinstitut für Molekulare Pathologie GmbH (IMP)</t>
  </si>
  <si>
    <t>673512S018</t>
  </si>
  <si>
    <t>GlaxoSmithKline (GSK) Belgium - Wavre</t>
  </si>
  <si>
    <t>6735135159</t>
  </si>
  <si>
    <t>6735138187</t>
  </si>
  <si>
    <t>PASPA PHARMACEUTICALS</t>
  </si>
  <si>
    <t>6735138195</t>
  </si>
  <si>
    <t>Boehringer Ingelheim Pharma GmbH &amp; Co. KG</t>
  </si>
  <si>
    <t>6735138233</t>
  </si>
  <si>
    <t>673513S024</t>
  </si>
  <si>
    <t>Deutsche Krebsforschungszentrum (DKFZ)</t>
  </si>
  <si>
    <t>6735145222</t>
  </si>
  <si>
    <t>6735145232</t>
  </si>
  <si>
    <t>Sanofi R&amp;D Vaccins - Marcy l'etoile</t>
  </si>
  <si>
    <t>6735145241</t>
  </si>
  <si>
    <t>NEXTCELL PHARMA AB</t>
  </si>
  <si>
    <t>6735146183</t>
  </si>
  <si>
    <t>Shanghai Tech University (???????</t>
  </si>
  <si>
    <t>6735146190</t>
  </si>
  <si>
    <t>6735146241</t>
  </si>
  <si>
    <t>Xinxiang Medical University (??????</t>
  </si>
  <si>
    <t>6735146244</t>
  </si>
  <si>
    <t>NORDIC NANOVECTOR ASA</t>
  </si>
  <si>
    <t>6735148248</t>
  </si>
  <si>
    <t>Customer Owned Equipment Not in Use</t>
  </si>
  <si>
    <t>6735148253</t>
  </si>
  <si>
    <t>Revvity UK (Oxford Immunotec Limited)</t>
  </si>
  <si>
    <t>6735148261</t>
  </si>
  <si>
    <t>673514S031</t>
  </si>
  <si>
    <t>Thermo Fisher Scientific (Schweiz) AG</t>
  </si>
  <si>
    <t>673514S034</t>
  </si>
  <si>
    <t>University of Cambridge</t>
  </si>
  <si>
    <t>673514S194</t>
  </si>
  <si>
    <t>Inter Scientific Limited</t>
  </si>
  <si>
    <t>673514S211</t>
  </si>
  <si>
    <t>MAX VON PETTENKOFER INSTITUT</t>
  </si>
  <si>
    <t>673514S216</t>
  </si>
  <si>
    <t>Christian-Albrechts-Universität zu Kiel (CAU Kiel)</t>
  </si>
  <si>
    <t>673515S037</t>
  </si>
  <si>
    <t>École Polytechnique Fédérale de Lausanne (EPFL)</t>
  </si>
  <si>
    <t>67351S027</t>
  </si>
  <si>
    <t>6735-R5194</t>
  </si>
  <si>
    <t>University of Edinburgh</t>
  </si>
  <si>
    <t>6735-R6072</t>
  </si>
  <si>
    <t>MEDIGENE AG</t>
  </si>
  <si>
    <t>Proteos Inc</t>
  </si>
  <si>
    <t>6735-R8041</t>
  </si>
  <si>
    <t>SERVICEMAX GENERIC ACCOUNT</t>
  </si>
  <si>
    <t>6735-R8193B</t>
  </si>
  <si>
    <t>Universitätsklinikum Magdeburg</t>
  </si>
  <si>
    <t>7200120477</t>
  </si>
  <si>
    <t>Cancer Research UK Manchester Institute (CRUK MI)</t>
  </si>
  <si>
    <t>7200120700</t>
  </si>
  <si>
    <t>ST BREAHMANAS COLLEGE</t>
  </si>
  <si>
    <t>7200121446</t>
  </si>
  <si>
    <t>Etablissement Francais du Sang (EFS) - Occitanie</t>
  </si>
  <si>
    <t>7200121496-1</t>
  </si>
  <si>
    <t>INSTITUT DE RECHERCHE BIOMEDICALE DES ARMEES (IRBA)</t>
  </si>
  <si>
    <t>7200121532</t>
  </si>
  <si>
    <t>NIHON UNIVERSITY ITABASHI HOSPITAL</t>
  </si>
  <si>
    <t>720015001</t>
  </si>
  <si>
    <t>BIOTEC SYSTEMS</t>
  </si>
  <si>
    <t>7200150430-1</t>
  </si>
  <si>
    <t>KOMA BIOTECH INC</t>
  </si>
  <si>
    <t>7200150688</t>
  </si>
  <si>
    <t>Cytek Biosciences, Inc HQ</t>
  </si>
  <si>
    <t>7200150709</t>
  </si>
  <si>
    <t>MABTECH AB</t>
  </si>
  <si>
    <t>7200150841-1</t>
  </si>
  <si>
    <t>7200150982-1</t>
  </si>
  <si>
    <t>IRCCS S DE BELLIS</t>
  </si>
  <si>
    <t>7200151014-1</t>
  </si>
  <si>
    <t>UNIVERSITY OF ALMERIA</t>
  </si>
  <si>
    <t>7200151014-2</t>
  </si>
  <si>
    <t>7200151014-3</t>
  </si>
  <si>
    <t>7200151014-4</t>
  </si>
  <si>
    <t>7200151014-5</t>
  </si>
  <si>
    <t>7200151108-1</t>
  </si>
  <si>
    <t>Abacus dx Limited (NZ)</t>
  </si>
  <si>
    <t>7200151108-2</t>
  </si>
  <si>
    <t>7200151108-3</t>
  </si>
  <si>
    <t>7200151108-4</t>
  </si>
  <si>
    <t>7200151108-5</t>
  </si>
  <si>
    <t>7200151112-1</t>
  </si>
  <si>
    <t>AIN SHAMS UNIVERSITY</t>
  </si>
  <si>
    <t>7200151112-2</t>
  </si>
  <si>
    <t>7200151112-3</t>
  </si>
  <si>
    <t>7200151112-4</t>
  </si>
  <si>
    <t>7200151112-5</t>
  </si>
  <si>
    <t>7200151118-1</t>
  </si>
  <si>
    <t>GUANGZHOU JINAN UNIVERSITY SCIENCE PARK OF MANAGEMENT CO., LTD.</t>
  </si>
  <si>
    <t>7200151118-2</t>
  </si>
  <si>
    <t>7200151118-3</t>
  </si>
  <si>
    <t>7200151118-4</t>
  </si>
  <si>
    <t>7200151118-5</t>
  </si>
  <si>
    <t>7200151141-1</t>
  </si>
  <si>
    <t>MAHOU SAN MIGUEL</t>
  </si>
  <si>
    <t>7200151141-2</t>
  </si>
  <si>
    <t>7200151141-3</t>
  </si>
  <si>
    <t>7200151141-4</t>
  </si>
  <si>
    <t>7200151141-5</t>
  </si>
  <si>
    <t>7200151143-1</t>
  </si>
  <si>
    <t>CAPRISA</t>
  </si>
  <si>
    <t>7200151143-2</t>
  </si>
  <si>
    <t>7200151143-3</t>
  </si>
  <si>
    <t>7200151143-4</t>
  </si>
  <si>
    <t>7200151143-5</t>
  </si>
  <si>
    <t>7200151148-1</t>
  </si>
  <si>
    <t>HUTCHINSON CENTRE RESEARCH INSTITUTE OF SOUTH AFRICA</t>
  </si>
  <si>
    <t>7200151148-2</t>
  </si>
  <si>
    <t>7200151148-3</t>
  </si>
  <si>
    <t>7200151148-4</t>
  </si>
  <si>
    <t>7200151148-5</t>
  </si>
  <si>
    <t>7200151160-1</t>
  </si>
  <si>
    <t>Merck KGaA - Merck Sp zoo</t>
  </si>
  <si>
    <t>7200151160-2</t>
  </si>
  <si>
    <t>7200151160-3</t>
  </si>
  <si>
    <t>7200151160-4</t>
  </si>
  <si>
    <t>7200151160-5</t>
  </si>
  <si>
    <t>7200151166-1</t>
  </si>
  <si>
    <t>7200151166-2</t>
  </si>
  <si>
    <t>7200151166-3</t>
  </si>
  <si>
    <t>7200151166-4</t>
  </si>
  <si>
    <t>7200151166-5</t>
  </si>
  <si>
    <t>7200151166-6</t>
  </si>
  <si>
    <t>7200151184-1</t>
  </si>
  <si>
    <t>7200151184-2</t>
  </si>
  <si>
    <t>7200151184-3</t>
  </si>
  <si>
    <t>7200151184-4</t>
  </si>
  <si>
    <t>7200151184-5</t>
  </si>
  <si>
    <t>7200151205-1</t>
  </si>
  <si>
    <t>7200151205-2</t>
  </si>
  <si>
    <t>7200151205-3</t>
  </si>
  <si>
    <t>7200151205-4</t>
  </si>
  <si>
    <t>7200151205-5</t>
  </si>
  <si>
    <t>7200151206-1</t>
  </si>
  <si>
    <t>TEIJIN PHARMA LIMITED</t>
  </si>
  <si>
    <t>7200151206-2</t>
  </si>
  <si>
    <t>7200151206-3</t>
  </si>
  <si>
    <t>7200151206-4</t>
  </si>
  <si>
    <t>7200151206-5</t>
  </si>
  <si>
    <t>7200151208-1</t>
  </si>
  <si>
    <t>7200151208-2</t>
  </si>
  <si>
    <t>7200151208-3</t>
  </si>
  <si>
    <t>7200151208-4</t>
  </si>
  <si>
    <t>7200151208-5</t>
  </si>
  <si>
    <t>7200151209-1</t>
  </si>
  <si>
    <t>F. Hoffmann-La Roche AG</t>
  </si>
  <si>
    <t>7200151209-2</t>
  </si>
  <si>
    <t>7200151209-3</t>
  </si>
  <si>
    <t>7200151209-4</t>
  </si>
  <si>
    <t>7200151209-5</t>
  </si>
  <si>
    <t>7200151211-1</t>
  </si>
  <si>
    <t>ALAMED LLC</t>
  </si>
  <si>
    <t>7200151211-2</t>
  </si>
  <si>
    <t>7200151211-3</t>
  </si>
  <si>
    <t>7200151211-4</t>
  </si>
  <si>
    <t>7200151211-5</t>
  </si>
  <si>
    <t>7200151216-1</t>
  </si>
  <si>
    <t>CHANGCHUN CITY TIANGUO TRADING CO., LTD.</t>
  </si>
  <si>
    <t>7200151216-2</t>
  </si>
  <si>
    <t>7200151216-3</t>
  </si>
  <si>
    <t>7200151216-4</t>
  </si>
  <si>
    <t>7200151216-5</t>
  </si>
  <si>
    <t>7200151217-1</t>
  </si>
  <si>
    <t>BM Equipment Co Ltd</t>
  </si>
  <si>
    <t>7200151217-2</t>
  </si>
  <si>
    <t>7200151217-3</t>
  </si>
  <si>
    <t>7200151217-4</t>
  </si>
  <si>
    <t>7200151217-5</t>
  </si>
  <si>
    <t>MUSE CELL ANALYZER, AUTOCD4/CD4, Boxed Instrument</t>
  </si>
  <si>
    <t>7200151252-1</t>
  </si>
  <si>
    <t>Universitätsklinikum Carl Gustav Carus an der Technischen Universität Dresden</t>
  </si>
  <si>
    <t>783</t>
  </si>
  <si>
    <t>799-03300/ISX 482</t>
  </si>
  <si>
    <t>CENTRO UNIVERSITARIO DE CIENCIAS BIOLOGICAS Y AGROPECUARIAS - CUCBA</t>
  </si>
  <si>
    <t>799-03606/FS 283</t>
  </si>
  <si>
    <t>RESEARCH INSTITUTE FOR CARDIOLOGY</t>
  </si>
  <si>
    <t>799-03606/FS 284</t>
  </si>
  <si>
    <t>VEKTOR BEST NOVOSIBIRSK</t>
  </si>
  <si>
    <t>FACScan</t>
  </si>
  <si>
    <t>80342</t>
  </si>
  <si>
    <t>Queen's Medical Research Institute (QMRI)</t>
  </si>
  <si>
    <t>80444</t>
  </si>
  <si>
    <t>81212</t>
  </si>
  <si>
    <t>81270</t>
  </si>
  <si>
    <t>OncoImmunin, Inc.</t>
  </si>
  <si>
    <t>81668</t>
  </si>
  <si>
    <t>81873</t>
  </si>
  <si>
    <t>VCU Medical Center (VCU Health)</t>
  </si>
  <si>
    <t>82046J</t>
  </si>
  <si>
    <t>Anvil Biosciences</t>
  </si>
  <si>
    <t>82163</t>
  </si>
  <si>
    <t>82227</t>
  </si>
  <si>
    <t>82715</t>
  </si>
  <si>
    <t>82726</t>
  </si>
  <si>
    <t>83115</t>
  </si>
  <si>
    <t>8345</t>
  </si>
  <si>
    <t>8470050127</t>
  </si>
  <si>
    <t>8470050131</t>
  </si>
  <si>
    <t>8470050248</t>
  </si>
  <si>
    <t>MSD Animal Health Nederland (Intervet International BV)</t>
  </si>
  <si>
    <t>8470052124</t>
  </si>
  <si>
    <t>COVAGEN AG</t>
  </si>
  <si>
    <t>8470060142</t>
  </si>
  <si>
    <t>University of Sheffield</t>
  </si>
  <si>
    <t>8470060185</t>
  </si>
  <si>
    <t>CELYAD ONCOLOGY</t>
  </si>
  <si>
    <t>8470080126</t>
  </si>
  <si>
    <t>Pfizer Danmark</t>
  </si>
  <si>
    <t>8470080185</t>
  </si>
  <si>
    <t>Bayer Wuppertal</t>
  </si>
  <si>
    <t>8470130164-1</t>
  </si>
  <si>
    <t>AVACTA LIFE SCIENCE</t>
  </si>
  <si>
    <t>8472050157</t>
  </si>
  <si>
    <t>Université de Bretagne Occidentale (UBO)</t>
  </si>
  <si>
    <t>8472050182decom</t>
  </si>
  <si>
    <t>IMV TECHNOLOGIES</t>
  </si>
  <si>
    <t>8472050221SN1-1</t>
  </si>
  <si>
    <t>ABSOLUT COMPANY AB</t>
  </si>
  <si>
    <t>8472060111-1</t>
  </si>
  <si>
    <t>CENTEXBEL</t>
  </si>
  <si>
    <t>Hektoen Institute</t>
  </si>
  <si>
    <t>8472120113</t>
  </si>
  <si>
    <t>APOGENIX AG</t>
  </si>
  <si>
    <t>8472120114</t>
  </si>
  <si>
    <t>Universität Münster</t>
  </si>
  <si>
    <t>84784700</t>
  </si>
  <si>
    <t>NOVADIP BIOSCIENCES SA</t>
  </si>
  <si>
    <t>Guava easyCyte 10HT, Boxed Instrument</t>
  </si>
  <si>
    <t>Guava easyCyte 12HT BGR, Boxed Instrument</t>
  </si>
  <si>
    <t>885</t>
  </si>
  <si>
    <t>897</t>
  </si>
  <si>
    <t>91000019750</t>
  </si>
  <si>
    <t>LMS CONSULT GMBH &amp; CO KG</t>
  </si>
  <si>
    <t>91000037157</t>
  </si>
  <si>
    <t>Medizinische Universität Wien</t>
  </si>
  <si>
    <t>91000049321</t>
  </si>
  <si>
    <t>DxP Athena 13 Color</t>
  </si>
  <si>
    <t>AT1735</t>
  </si>
  <si>
    <t>Yunnan University of Chinese Medicine ?????????</t>
  </si>
  <si>
    <t>AT1773</t>
  </si>
  <si>
    <t>Inner Mongolia Saihe Leading Biotechnology ?????????????</t>
  </si>
  <si>
    <t>FACSort</t>
  </si>
  <si>
    <t>B0177</t>
  </si>
  <si>
    <t>University of the Sciences in Philadelphia</t>
  </si>
  <si>
    <t>FACSVantage</t>
  </si>
  <si>
    <t>C0306</t>
  </si>
  <si>
    <t>Sorrento Therapeutics</t>
  </si>
  <si>
    <t>C0432</t>
  </si>
  <si>
    <t>C1005</t>
  </si>
  <si>
    <t>Cytek Auto Micro-Sampling System (AMS) 1.5</t>
  </si>
  <si>
    <t>CG009</t>
  </si>
  <si>
    <t>CG011</t>
  </si>
  <si>
    <t>DKSH Technology Co Ltd (Vietnam)</t>
  </si>
  <si>
    <t>CG012</t>
  </si>
  <si>
    <t>CG013</t>
  </si>
  <si>
    <t>Argenx</t>
  </si>
  <si>
    <t>CG014</t>
  </si>
  <si>
    <t>chen she jun</t>
  </si>
  <si>
    <t>Zhejiang Chinese Medical University ?????????</t>
  </si>
  <si>
    <t>CI001</t>
  </si>
  <si>
    <t>Aurora-CLC 67 Channel System</t>
  </si>
  <si>
    <t>CLC1001</t>
  </si>
  <si>
    <t>Aurora-CLC 51 Channel System</t>
  </si>
  <si>
    <t>CLC1003</t>
  </si>
  <si>
    <t>Aurora-CLC 41 Channel System</t>
  </si>
  <si>
    <t>CLC1004</t>
  </si>
  <si>
    <t>CLC1008</t>
  </si>
  <si>
    <t>CLC1009</t>
  </si>
  <si>
    <t>comm46b</t>
  </si>
  <si>
    <t>INSTITUTE OF BIOPHYSICS, CHINESE ACADEMY OF SCIENCES</t>
  </si>
  <si>
    <t>Compressor 1 SS1020</t>
  </si>
  <si>
    <t>University of Science and Technology of China ??????????</t>
  </si>
  <si>
    <t>DE1202946540_000002</t>
  </si>
  <si>
    <t>Bernhard-Nocht-Institut für Tropenmedizin (BNITM)</t>
  </si>
  <si>
    <t>DE1204182124_000001</t>
  </si>
  <si>
    <t>BAYER AS</t>
  </si>
  <si>
    <t>duplicate</t>
  </si>
  <si>
    <t>FACSCalibur</t>
  </si>
  <si>
    <t>E0003</t>
  </si>
  <si>
    <t>ApoImmune</t>
  </si>
  <si>
    <t>E0104</t>
  </si>
  <si>
    <t>E0147</t>
  </si>
  <si>
    <t>Dept. Veterans Affairs Medical Ctr</t>
  </si>
  <si>
    <t>E0691</t>
  </si>
  <si>
    <t>E0861</t>
  </si>
  <si>
    <t>E1409</t>
  </si>
  <si>
    <t>E1581</t>
  </si>
  <si>
    <t>Northport VA Medical Center</t>
  </si>
  <si>
    <t>E20200167</t>
  </si>
  <si>
    <t>Certified Genetool</t>
  </si>
  <si>
    <t>E20200229</t>
  </si>
  <si>
    <t>Teva Pharmaceuticals - Redwood City CA (CLOSED)</t>
  </si>
  <si>
    <t>E2067</t>
  </si>
  <si>
    <t>Animal Cell Therapies</t>
  </si>
  <si>
    <t>E2217</t>
  </si>
  <si>
    <t>E2450</t>
  </si>
  <si>
    <t>E2583</t>
  </si>
  <si>
    <t>E2602</t>
  </si>
  <si>
    <t>E2817</t>
  </si>
  <si>
    <t>International Equipment Trading</t>
  </si>
  <si>
    <t>E3017</t>
  </si>
  <si>
    <t>Macquarie University</t>
  </si>
  <si>
    <t>E3415</t>
  </si>
  <si>
    <t>E3578</t>
  </si>
  <si>
    <t>Advaxis, Inc.</t>
  </si>
  <si>
    <t>E3594</t>
  </si>
  <si>
    <t>E3605</t>
  </si>
  <si>
    <t>Sunnybrook Research Institute</t>
  </si>
  <si>
    <t>E3955</t>
  </si>
  <si>
    <t>E4367</t>
  </si>
  <si>
    <t>E4751</t>
  </si>
  <si>
    <t>E4813</t>
  </si>
  <si>
    <t>E5011</t>
  </si>
  <si>
    <t>Case Western Reserve School of Medicine</t>
  </si>
  <si>
    <t>E97501591</t>
  </si>
  <si>
    <t>EC211126J1-1</t>
  </si>
  <si>
    <t>ETH Zurich - BSSE</t>
  </si>
  <si>
    <t>EC222286H2</t>
  </si>
  <si>
    <t>EC243666A2</t>
  </si>
  <si>
    <t>EC243666A3</t>
  </si>
  <si>
    <t>Zoetis LLC - Kalamazoo MI</t>
  </si>
  <si>
    <t>EC250026A2</t>
  </si>
  <si>
    <t>Q-Wine Bureau S.L</t>
  </si>
  <si>
    <t>EC250026A3</t>
  </si>
  <si>
    <t>Neovii Biotech GmbH</t>
  </si>
  <si>
    <t>EC250026D2</t>
  </si>
  <si>
    <t>Servier Symphogen AS</t>
  </si>
  <si>
    <t>EC250036H2</t>
  </si>
  <si>
    <t>CEA SACLAY</t>
  </si>
  <si>
    <t>EC251506C2</t>
  </si>
  <si>
    <t>Merck KGaA - Merck Life Science Sp zoo</t>
  </si>
  <si>
    <t>EC251586E1</t>
  </si>
  <si>
    <t>EC252407A1</t>
  </si>
  <si>
    <t>Alabama A&amp;M University</t>
  </si>
  <si>
    <t>EC252476D1</t>
  </si>
  <si>
    <t>NATIONAL INSTITUTE OF ADVANCED INDUSTRIAL SCIENCE AND TECHNOLOGY</t>
  </si>
  <si>
    <t>EC252477D1</t>
  </si>
  <si>
    <t>The Frist Affiliated Hospital of Soochow University ????????????</t>
  </si>
  <si>
    <t>EC252487C1</t>
  </si>
  <si>
    <t>ANOVA Institute for Regenerative Medicine GmbH</t>
  </si>
  <si>
    <t>EC252626H1</t>
  </si>
  <si>
    <t>Biotecha Latvia SIA</t>
  </si>
  <si>
    <t>Guava easyCyte 11HT, Boxed Instrument</t>
  </si>
  <si>
    <t>EC253126F1</t>
  </si>
  <si>
    <t>Syddansk Universitet (SDU, University of Southern Denmark)</t>
  </si>
  <si>
    <t>EC253206A1</t>
  </si>
  <si>
    <t>EC253237D1</t>
  </si>
  <si>
    <t>The First People's Hospital of LIANYUNGANG (?????????)</t>
  </si>
  <si>
    <t>EC253276D1</t>
  </si>
  <si>
    <t>EC253296D1</t>
  </si>
  <si>
    <t>Fisher Scientific SAS</t>
  </si>
  <si>
    <t>EC253326F1</t>
  </si>
  <si>
    <t>Kuster Research and Consulting Inc</t>
  </si>
  <si>
    <t>EC253406H1</t>
  </si>
  <si>
    <t>VIB KU Leuven</t>
  </si>
  <si>
    <t>EC253427C1</t>
  </si>
  <si>
    <t>Bemidji State University</t>
  </si>
  <si>
    <t>EC253446A1</t>
  </si>
  <si>
    <t>EC253546A1</t>
  </si>
  <si>
    <t>EC260786H1</t>
  </si>
  <si>
    <t>Universitätsklinikum Heidelberg</t>
  </si>
  <si>
    <t>EC261326D1</t>
  </si>
  <si>
    <t>University of Wisconsin?Oshkosh</t>
  </si>
  <si>
    <t>EC261496C1</t>
  </si>
  <si>
    <t>Premas Life Sciences Pvt Ltd</t>
  </si>
  <si>
    <t>EC261547C1</t>
  </si>
  <si>
    <t>Kenyon College</t>
  </si>
  <si>
    <t>EC261616G1</t>
  </si>
  <si>
    <t>Biotecha Eesti OÜ</t>
  </si>
  <si>
    <t>EC262236A1</t>
  </si>
  <si>
    <t>Byondis BV</t>
  </si>
  <si>
    <t>ED203376A3</t>
  </si>
  <si>
    <t>ED203376A3-1</t>
  </si>
  <si>
    <t>FE259</t>
  </si>
  <si>
    <t>Cytek Automated Sample Loader (ASL) 2.0</t>
  </si>
  <si>
    <t>FE265</t>
  </si>
  <si>
    <t>Institute of Life Sciences (ILS)</t>
  </si>
  <si>
    <t>FH216</t>
  </si>
  <si>
    <t>INSTITUT DE RECHERCHE POUR LE DEVELOPPEMENT (IRD)</t>
  </si>
  <si>
    <t>FH218</t>
  </si>
  <si>
    <t>FH223</t>
  </si>
  <si>
    <t>Centre Hospitalier Universitaire Vaudois (CHUV) Lausanne</t>
  </si>
  <si>
    <t>FH224</t>
  </si>
  <si>
    <t>Montpellier Ressources Imagerie MRI-IRMB</t>
  </si>
  <si>
    <t>FH225</t>
  </si>
  <si>
    <t>Institut Pasteur Paris</t>
  </si>
  <si>
    <t>FH227</t>
  </si>
  <si>
    <t>FH245</t>
  </si>
  <si>
    <t>FH247</t>
  </si>
  <si>
    <t>FH248</t>
  </si>
  <si>
    <t>FH249</t>
  </si>
  <si>
    <t>FH250</t>
  </si>
  <si>
    <t>FH251</t>
  </si>
  <si>
    <t>FH252</t>
  </si>
  <si>
    <t>FH253</t>
  </si>
  <si>
    <t>FH254</t>
  </si>
  <si>
    <t>DKSH Singapore Pte Ltd</t>
  </si>
  <si>
    <t>FH255</t>
  </si>
  <si>
    <t>Adelaide University</t>
  </si>
  <si>
    <t>FH256</t>
  </si>
  <si>
    <t>FH257</t>
  </si>
  <si>
    <t>FH258</t>
  </si>
  <si>
    <t>ProKidney LLC</t>
  </si>
  <si>
    <t>FH259</t>
  </si>
  <si>
    <t>FH262</t>
  </si>
  <si>
    <t>Concordia University</t>
  </si>
  <si>
    <t>FH265</t>
  </si>
  <si>
    <t>FH267</t>
  </si>
  <si>
    <t>FH268</t>
  </si>
  <si>
    <t>FH269</t>
  </si>
  <si>
    <t>FH270</t>
  </si>
  <si>
    <t>FH271</t>
  </si>
  <si>
    <t>FH272</t>
  </si>
  <si>
    <t>FH273</t>
  </si>
  <si>
    <t>FH274</t>
  </si>
  <si>
    <t>FH276</t>
  </si>
  <si>
    <t>Technische Universität Dortmund</t>
  </si>
  <si>
    <t>FH277</t>
  </si>
  <si>
    <t>Etablissement Francais du Sang (EFS) - Auvergne-Rhone-Alpes</t>
  </si>
  <si>
    <t>FH278</t>
  </si>
  <si>
    <t>TU DELFT</t>
  </si>
  <si>
    <t>FH279</t>
  </si>
  <si>
    <t>FH281</t>
  </si>
  <si>
    <t>Olivia Newton-John Cancer Research Institute</t>
  </si>
  <si>
    <t>FH283</t>
  </si>
  <si>
    <t>FH284</t>
  </si>
  <si>
    <t>FH285</t>
  </si>
  <si>
    <t>FH287</t>
  </si>
  <si>
    <t>FH288</t>
  </si>
  <si>
    <t>FH289</t>
  </si>
  <si>
    <t>FH290</t>
  </si>
  <si>
    <t>Royal Melbourne Institute of Technology</t>
  </si>
  <si>
    <t>FH292</t>
  </si>
  <si>
    <t>ImmunoPrecise Antibodies (Canada) Ltd</t>
  </si>
  <si>
    <t>FH293</t>
  </si>
  <si>
    <t>FH297</t>
  </si>
  <si>
    <t>Cytek Biosciences B.V. - European Training Center</t>
  </si>
  <si>
    <t>FH298</t>
  </si>
  <si>
    <t>FH299</t>
  </si>
  <si>
    <t>Palex Medical SAU</t>
  </si>
  <si>
    <t>FH301</t>
  </si>
  <si>
    <t>Universitätsmedizin der Johannes Gutenberg-Universität Mainz</t>
  </si>
  <si>
    <t>FH302</t>
  </si>
  <si>
    <t>Institute of Systems Medicine,CAMS (??????????????)</t>
  </si>
  <si>
    <t>FH303</t>
  </si>
  <si>
    <t>Charité ? Universitätsmedizin Berlin</t>
  </si>
  <si>
    <t>FH305</t>
  </si>
  <si>
    <t>FH306</t>
  </si>
  <si>
    <t>CureVac Netherlands B.V.</t>
  </si>
  <si>
    <t>FH308</t>
  </si>
  <si>
    <t>ICON Bioanalytical Laboratories (PRAHS) - Assen NL</t>
  </si>
  <si>
    <t>FH309</t>
  </si>
  <si>
    <t>FH310</t>
  </si>
  <si>
    <t>FH311</t>
  </si>
  <si>
    <t>GlaxoSmithKline (GSK) UK - Stevenage</t>
  </si>
  <si>
    <t>FH312</t>
  </si>
  <si>
    <t>University of Exeter</t>
  </si>
  <si>
    <t>FH313</t>
  </si>
  <si>
    <t>University of Oxford</t>
  </si>
  <si>
    <t>FH317</t>
  </si>
  <si>
    <t>RayzeBio Inc - BMS</t>
  </si>
  <si>
    <t>FH318</t>
  </si>
  <si>
    <t>FH319</t>
  </si>
  <si>
    <t>FH320</t>
  </si>
  <si>
    <t>FH323</t>
  </si>
  <si>
    <t>FH326</t>
  </si>
  <si>
    <t>Sir Run Run Shaw Hospital (??????????????)</t>
  </si>
  <si>
    <t>FH327</t>
  </si>
  <si>
    <t>Hainan Medical University (???????</t>
  </si>
  <si>
    <t>FH328</t>
  </si>
  <si>
    <t>FH329</t>
  </si>
  <si>
    <t>Tsinghua University ??????</t>
  </si>
  <si>
    <t>FH330</t>
  </si>
  <si>
    <t>FH334</t>
  </si>
  <si>
    <t>Nuffield Orthopaedic Centre</t>
  </si>
  <si>
    <t>FH336</t>
  </si>
  <si>
    <t>FH337</t>
  </si>
  <si>
    <t>FI001</t>
  </si>
  <si>
    <t>FI002</t>
  </si>
  <si>
    <t>FI003</t>
  </si>
  <si>
    <t>FI004</t>
  </si>
  <si>
    <t>FI005</t>
  </si>
  <si>
    <t>FI006</t>
  </si>
  <si>
    <t>AbbVie Inc - San Diego</t>
  </si>
  <si>
    <t>FI008</t>
  </si>
  <si>
    <t>FI009</t>
  </si>
  <si>
    <t>FI010</t>
  </si>
  <si>
    <t>FI011</t>
  </si>
  <si>
    <t>FI012</t>
  </si>
  <si>
    <t>FI013</t>
  </si>
  <si>
    <t>FI014</t>
  </si>
  <si>
    <t>FI015</t>
  </si>
  <si>
    <t>Gilead - Kite Pharma Inc - Santa Monica CA</t>
  </si>
  <si>
    <t>FI016</t>
  </si>
  <si>
    <t>FI017</t>
  </si>
  <si>
    <t>FI018</t>
  </si>
  <si>
    <t>Oerebro Universitet</t>
  </si>
  <si>
    <t>FI019</t>
  </si>
  <si>
    <t>Laboratoire SITI</t>
  </si>
  <si>
    <t>FI020</t>
  </si>
  <si>
    <t>Université de Montpellier</t>
  </si>
  <si>
    <t>FI022</t>
  </si>
  <si>
    <t>CatalYm GmbH</t>
  </si>
  <si>
    <t>FI023</t>
  </si>
  <si>
    <t>Göteborgs Universitet - Sahlgrenska Centrum för Cancerforskning (SCCR)</t>
  </si>
  <si>
    <t>FI024</t>
  </si>
  <si>
    <t>Universitätsklinikum Würzburg</t>
  </si>
  <si>
    <t>FI025</t>
  </si>
  <si>
    <t>FI027</t>
  </si>
  <si>
    <t>FI029</t>
  </si>
  <si>
    <t>FI030</t>
  </si>
  <si>
    <t>FI032</t>
  </si>
  <si>
    <t>FI033</t>
  </si>
  <si>
    <t>FI034</t>
  </si>
  <si>
    <t>FI035</t>
  </si>
  <si>
    <t>FI036</t>
  </si>
  <si>
    <t>FI037</t>
  </si>
  <si>
    <t>FI038</t>
  </si>
  <si>
    <t>FI039</t>
  </si>
  <si>
    <t>Universitätsspital Basel</t>
  </si>
  <si>
    <t>FI040</t>
  </si>
  <si>
    <t>FI041</t>
  </si>
  <si>
    <t>Anhui Medical University (???????</t>
  </si>
  <si>
    <t>FI042</t>
  </si>
  <si>
    <t>The Second Affiliated Hospital of Zhejiang U School of Medicine ?????????????</t>
  </si>
  <si>
    <t>FI043</t>
  </si>
  <si>
    <t>Jinzhou Medical University ????????</t>
  </si>
  <si>
    <t>FI045</t>
  </si>
  <si>
    <t>FI050</t>
  </si>
  <si>
    <t>FI051</t>
  </si>
  <si>
    <t>National Center for Protein Sciences (??????????</t>
  </si>
  <si>
    <t>FI055</t>
  </si>
  <si>
    <t>FI056</t>
  </si>
  <si>
    <t>FI060</t>
  </si>
  <si>
    <t>FI061</t>
  </si>
  <si>
    <t>FI062</t>
  </si>
  <si>
    <t>FI064</t>
  </si>
  <si>
    <t>FI065</t>
  </si>
  <si>
    <t>FI066</t>
  </si>
  <si>
    <t>FI067</t>
  </si>
  <si>
    <t>FI068</t>
  </si>
  <si>
    <t>FI069</t>
  </si>
  <si>
    <t>Government Scientific Source Inc</t>
  </si>
  <si>
    <t>FI070</t>
  </si>
  <si>
    <t>FI072</t>
  </si>
  <si>
    <t>Novartis Pharma AG</t>
  </si>
  <si>
    <t>FI073</t>
  </si>
  <si>
    <t>CNRS UMR7355 INEM</t>
  </si>
  <si>
    <t>FI074</t>
  </si>
  <si>
    <t>FI075</t>
  </si>
  <si>
    <t>Sanofi Vaccines US Inc - Swiftwater PA</t>
  </si>
  <si>
    <t>FI076</t>
  </si>
  <si>
    <t>FI077</t>
  </si>
  <si>
    <t>FI078</t>
  </si>
  <si>
    <t>ICON Bioanalytical Laboratories (PRAHS) - Lenexa KS</t>
  </si>
  <si>
    <t>FI080</t>
  </si>
  <si>
    <t>Hangzhou Institute of Medical Chinese Academy of Sciences (????????????</t>
  </si>
  <si>
    <t>FI081</t>
  </si>
  <si>
    <t>Crown Bioscience UK Ltd</t>
  </si>
  <si>
    <t>FI082</t>
  </si>
  <si>
    <t>Lusopalex LDA</t>
  </si>
  <si>
    <t>FI083</t>
  </si>
  <si>
    <t>FI084</t>
  </si>
  <si>
    <t>FI085</t>
  </si>
  <si>
    <t>Sartorius BIA Separations</t>
  </si>
  <si>
    <t>FI086</t>
  </si>
  <si>
    <t>Forschungszentrum Jülich GmbH</t>
  </si>
  <si>
    <t>FI087</t>
  </si>
  <si>
    <t>Sycamore Research Institute of Life Sciences Shanghai (????????????)</t>
  </si>
  <si>
    <t>FI088</t>
  </si>
  <si>
    <t>FI089</t>
  </si>
  <si>
    <t>FI090</t>
  </si>
  <si>
    <t>FI091</t>
  </si>
  <si>
    <t>FI092</t>
  </si>
  <si>
    <t>Shipped</t>
  </si>
  <si>
    <t>DKSH Market Expansion Services Philippines Inc</t>
  </si>
  <si>
    <t>FI093</t>
  </si>
  <si>
    <t>FI094</t>
  </si>
  <si>
    <t>FI095</t>
  </si>
  <si>
    <t>Westmead Institute for Medical Research</t>
  </si>
  <si>
    <t>FI096</t>
  </si>
  <si>
    <t>FI097</t>
  </si>
  <si>
    <t>FI098</t>
  </si>
  <si>
    <t>Janssen Research &amp; Development LLC - Spring House PA</t>
  </si>
  <si>
    <t>FI099</t>
  </si>
  <si>
    <t>FI100</t>
  </si>
  <si>
    <t>Jiangsu Province Hospital ?????????</t>
  </si>
  <si>
    <t>FI104</t>
  </si>
  <si>
    <t>FI105</t>
  </si>
  <si>
    <t>Malaghan Institute of Medical Research</t>
  </si>
  <si>
    <t>FI107</t>
  </si>
  <si>
    <t>FI110</t>
  </si>
  <si>
    <t>FI111</t>
  </si>
  <si>
    <t>FI112</t>
  </si>
  <si>
    <t>Walter &amp; Eliza Hall Institute of Medical Research (WEHI)</t>
  </si>
  <si>
    <t>FI113</t>
  </si>
  <si>
    <t>Dalian Medical University (???????</t>
  </si>
  <si>
    <t>FI114</t>
  </si>
  <si>
    <t>Shenzhen Medical Academy of Research and Translation (???????)</t>
  </si>
  <si>
    <t>FI115</t>
  </si>
  <si>
    <t>FI116</t>
  </si>
  <si>
    <t>FI117</t>
  </si>
  <si>
    <t>Sanofi US - Cambridge MA</t>
  </si>
  <si>
    <t>FI118</t>
  </si>
  <si>
    <t>FI119</t>
  </si>
  <si>
    <t>FI122</t>
  </si>
  <si>
    <t>Jiangsu Province Hospital of Chinese Medicine (??????)</t>
  </si>
  <si>
    <t>FI123</t>
  </si>
  <si>
    <t>FI124</t>
  </si>
  <si>
    <t>JOINN Laboratories (China) Co., Ltd????????????????</t>
  </si>
  <si>
    <t>FI125</t>
  </si>
  <si>
    <t>FI126</t>
  </si>
  <si>
    <t>FI127</t>
  </si>
  <si>
    <t>FI129</t>
  </si>
  <si>
    <t>FI130</t>
  </si>
  <si>
    <t>FI132</t>
  </si>
  <si>
    <t>FI133</t>
  </si>
  <si>
    <t>Union Hospital, Tongji Medical College ???????????????????</t>
  </si>
  <si>
    <t>FI135</t>
  </si>
  <si>
    <t>Bundesanstalt für Landwirtschaft und Ernährung</t>
  </si>
  <si>
    <t>FI136</t>
  </si>
  <si>
    <t>FI137</t>
  </si>
  <si>
    <t>Universitätsklinikum Hamburg-Eppendorf (UKE)</t>
  </si>
  <si>
    <t>FI138</t>
  </si>
  <si>
    <t>Royal Veterinary College (RVC)</t>
  </si>
  <si>
    <t>FI139</t>
  </si>
  <si>
    <t>Zoetis UK</t>
  </si>
  <si>
    <t>FI140</t>
  </si>
  <si>
    <t>LMU Klinikum - Campus Großhadern</t>
  </si>
  <si>
    <t>FI141</t>
  </si>
  <si>
    <t>IGR Institut Gustave Roussy</t>
  </si>
  <si>
    <t>FI144</t>
  </si>
  <si>
    <t>NecstGen - Netherlands Center for the Clinical Advancement of Stem Cell &amp; Gene</t>
  </si>
  <si>
    <t>FI145</t>
  </si>
  <si>
    <t>Zunyi Medical University (???????</t>
  </si>
  <si>
    <t>FI146</t>
  </si>
  <si>
    <t>FI148</t>
  </si>
  <si>
    <t>Shanghai Jiaotong University School of Medicine (??????????</t>
  </si>
  <si>
    <t>FI150</t>
  </si>
  <si>
    <t>FI151</t>
  </si>
  <si>
    <t>FI152</t>
  </si>
  <si>
    <t>FI153</t>
  </si>
  <si>
    <t>FI155</t>
  </si>
  <si>
    <t>JINFENG Laboratory (??????</t>
  </si>
  <si>
    <t>FI156</t>
  </si>
  <si>
    <t>FI158</t>
  </si>
  <si>
    <t>Huahai Tianheng (Shanghai) Pharmaceutical Research Co., Ltd.????????????????????</t>
  </si>
  <si>
    <t>FI159</t>
  </si>
  <si>
    <t>Université de Limoges</t>
  </si>
  <si>
    <t>FI160</t>
  </si>
  <si>
    <t>FI166</t>
  </si>
  <si>
    <t>Maynooth University</t>
  </si>
  <si>
    <t>FI171</t>
  </si>
  <si>
    <t>FI173</t>
  </si>
  <si>
    <t>New College of Florida</t>
  </si>
  <si>
    <t>FI176</t>
  </si>
  <si>
    <t>Precision for Medicine GmbH - Berlin</t>
  </si>
  <si>
    <t>FI178</t>
  </si>
  <si>
    <t>biovis Diagnostik MVZ GmbH</t>
  </si>
  <si>
    <t>FI179</t>
  </si>
  <si>
    <t>FI180</t>
  </si>
  <si>
    <t>Monash - ARA FlowCore</t>
  </si>
  <si>
    <t>FI181</t>
  </si>
  <si>
    <t>FI182</t>
  </si>
  <si>
    <t>Nanjing Legend Biotech (????????????)</t>
  </si>
  <si>
    <t>FI183</t>
  </si>
  <si>
    <t>Australian National University (ANU)</t>
  </si>
  <si>
    <t>FI184</t>
  </si>
  <si>
    <t>Shanghai Medical College Fudan University???????????</t>
  </si>
  <si>
    <t>FI187</t>
  </si>
  <si>
    <t>FI188</t>
  </si>
  <si>
    <t>FI189</t>
  </si>
  <si>
    <t>FI190</t>
  </si>
  <si>
    <t>FI191</t>
  </si>
  <si>
    <t>Oslo Universitetssykehus HF - Radiumhospitalet</t>
  </si>
  <si>
    <t>FI192</t>
  </si>
  <si>
    <t>Paris-Centre de Recherche Cardiovasculaire (PARCC)</t>
  </si>
  <si>
    <t>FI193</t>
  </si>
  <si>
    <t>FI194</t>
  </si>
  <si>
    <t>FI195</t>
  </si>
  <si>
    <t>Universitätsklinikum Köln (AöR)</t>
  </si>
  <si>
    <t>FI196</t>
  </si>
  <si>
    <t>FI197</t>
  </si>
  <si>
    <t>Julius-Maximilians-Universität Würzburg</t>
  </si>
  <si>
    <t>FI198</t>
  </si>
  <si>
    <t>Johannes Kepler Universität Linz</t>
  </si>
  <si>
    <t>FI199</t>
  </si>
  <si>
    <t>Trinity College Dublin</t>
  </si>
  <si>
    <t>FI201</t>
  </si>
  <si>
    <t>PPD Laboratories Sweden AB</t>
  </si>
  <si>
    <t>FI203</t>
  </si>
  <si>
    <t>TregSherpa Inc</t>
  </si>
  <si>
    <t>FI206</t>
  </si>
  <si>
    <t>FI207</t>
  </si>
  <si>
    <t>FI208</t>
  </si>
  <si>
    <t>FI212</t>
  </si>
  <si>
    <t>Minda Hospital of Hubei Minzu University (????????????)</t>
  </si>
  <si>
    <t>FJ005</t>
  </si>
  <si>
    <t>Beijing R&amp;D Center of CSPC Pharmaceutical Group Co., Ltd.????????????</t>
  </si>
  <si>
    <t>FJ006</t>
  </si>
  <si>
    <t>FJ007</t>
  </si>
  <si>
    <t>FJ008</t>
  </si>
  <si>
    <t>Universitätsklinikum Duesseldorf</t>
  </si>
  <si>
    <t>FJ009</t>
  </si>
  <si>
    <t>AstraZeneca UK Ltd</t>
  </si>
  <si>
    <t>FJ010</t>
  </si>
  <si>
    <t>Universitätsklinikum Tübingen</t>
  </si>
  <si>
    <t>FJ012</t>
  </si>
  <si>
    <t>FJ013</t>
  </si>
  <si>
    <t>Shanghai Model Organisms Center Inc.??????????????????</t>
  </si>
  <si>
    <t>FJ014</t>
  </si>
  <si>
    <t>Max Rubner-Institut</t>
  </si>
  <si>
    <t>FJ015</t>
  </si>
  <si>
    <t>The Gba National Institute For Nanotechnology Innovation (???)</t>
  </si>
  <si>
    <t>FJ017</t>
  </si>
  <si>
    <t>Neta Scientific</t>
  </si>
  <si>
    <t>FJ018</t>
  </si>
  <si>
    <t>FJ019</t>
  </si>
  <si>
    <t>Fosun Kairos Biotechnology Co., Ltd ??????????????</t>
  </si>
  <si>
    <t>FJ020</t>
  </si>
  <si>
    <t>Institut de Cardiologie de Montréal</t>
  </si>
  <si>
    <t>FJ022</t>
  </si>
  <si>
    <t>Jiangsu Simcere Pharmaceutical Co., Ltd (??????????)</t>
  </si>
  <si>
    <t>FJ023</t>
  </si>
  <si>
    <t>FJ024</t>
  </si>
  <si>
    <t>FJ025</t>
  </si>
  <si>
    <t>Tongji University (?????</t>
  </si>
  <si>
    <t>FJ030</t>
  </si>
  <si>
    <t>FJ032</t>
  </si>
  <si>
    <t>FJ033</t>
  </si>
  <si>
    <t>Nanjing Drum Tower Hospital (???????</t>
  </si>
  <si>
    <t>FJ035</t>
  </si>
  <si>
    <t>S-Biomedic NV</t>
  </si>
  <si>
    <t>FJ038</t>
  </si>
  <si>
    <t>FJ040</t>
  </si>
  <si>
    <t>Wuhan Hongren Biopharmaceutical Inc ????????????????</t>
  </si>
  <si>
    <t>FJ041</t>
  </si>
  <si>
    <t>FJ042</t>
  </si>
  <si>
    <t>Columbia Biosciences Corp</t>
  </si>
  <si>
    <t>FJ043</t>
  </si>
  <si>
    <t>FJ044</t>
  </si>
  <si>
    <t>FJ045</t>
  </si>
  <si>
    <t>FJ047</t>
  </si>
  <si>
    <t>Propeller Bio Inc</t>
  </si>
  <si>
    <t>FJ048</t>
  </si>
  <si>
    <t>Gemini Diagnostics Inc</t>
  </si>
  <si>
    <t>FJ051</t>
  </si>
  <si>
    <t>Encina One LLC</t>
  </si>
  <si>
    <t>FJ052</t>
  </si>
  <si>
    <t>SPH Research Institute (??????????</t>
  </si>
  <si>
    <t>FJ053</t>
  </si>
  <si>
    <t>FJ054</t>
  </si>
  <si>
    <t>FJ057</t>
  </si>
  <si>
    <t>FJ059</t>
  </si>
  <si>
    <t>FJ060</t>
  </si>
  <si>
    <t>FJ061</t>
  </si>
  <si>
    <t>FJ063</t>
  </si>
  <si>
    <t>FJ066</t>
  </si>
  <si>
    <t>Shanghai ChemPartner Pharmaceutical Research Group Co., Ltd.????????????????</t>
  </si>
  <si>
    <t>FJ070</t>
  </si>
  <si>
    <t>Pharmaron(Ningbo)Biologics Limited (????(??)????????)</t>
  </si>
  <si>
    <t>FJ071</t>
  </si>
  <si>
    <t>Universität Konstanz</t>
  </si>
  <si>
    <t>FS---</t>
  </si>
  <si>
    <t>CHINA PHARMACEUTICAL UNIVERSITY</t>
  </si>
  <si>
    <t>FS118</t>
  </si>
  <si>
    <t>Merck KGaA - Merck Chemicals (Shanghai) Co Ltd</t>
  </si>
  <si>
    <t>FS173-1</t>
  </si>
  <si>
    <t>FS178D</t>
  </si>
  <si>
    <t>Uppsala Universitet (UU)</t>
  </si>
  <si>
    <t>FS18800000</t>
  </si>
  <si>
    <t>JILIN PROVINCIAL ENVIRONMENTAL MONITORING CENTER</t>
  </si>
  <si>
    <t>FS308</t>
  </si>
  <si>
    <t>Henan University of Traditional Chinese Medicine</t>
  </si>
  <si>
    <t>FS36400000</t>
  </si>
  <si>
    <t>Shandong University ?????)</t>
  </si>
  <si>
    <t>G6620125099</t>
  </si>
  <si>
    <t>Cytek Auto-Sampler Loader system (ASL) 2.0-CLC China-Only</t>
  </si>
  <si>
    <t>GH009</t>
  </si>
  <si>
    <t>Ruijin Hospital, Shanghai Jiaotong University School of Medicine ?????????????????</t>
  </si>
  <si>
    <t>GH010</t>
  </si>
  <si>
    <t>Beijing Chest Hospital, Capital Medical University???????????????)</t>
  </si>
  <si>
    <t>GH011</t>
  </si>
  <si>
    <t>The Children?s Hospital of Fudan University ????????????</t>
  </si>
  <si>
    <t>GH012</t>
  </si>
  <si>
    <t>Peking University Third Hospital ??????????</t>
  </si>
  <si>
    <t>GH013</t>
  </si>
  <si>
    <t>West China Hospital of Sichuan University ??????????</t>
  </si>
  <si>
    <t>GI001</t>
  </si>
  <si>
    <t>Cytek (Wuxi) Bioscience Co.,Ltd (?????????????</t>
  </si>
  <si>
    <t>GI002</t>
  </si>
  <si>
    <t>GI003</t>
  </si>
  <si>
    <t>GI004</t>
  </si>
  <si>
    <t>The Second Affiliated Hospital of Chongqing Medical U (?????????????</t>
  </si>
  <si>
    <t>GI005</t>
  </si>
  <si>
    <t>Wuxi People's Hospital (???????)</t>
  </si>
  <si>
    <t>GI006</t>
  </si>
  <si>
    <t>SAIFU Laboratories Co ., Ltd???????????????</t>
  </si>
  <si>
    <t>GI007</t>
  </si>
  <si>
    <t>Shanghai Proton and Heavy Ion Center (???????????</t>
  </si>
  <si>
    <t>GI008</t>
  </si>
  <si>
    <t>Shanghai Epizyme Biomedical Technology Co.,Ltd????????????????</t>
  </si>
  <si>
    <t>GI009</t>
  </si>
  <si>
    <t>GI010</t>
  </si>
  <si>
    <t>The First Affiliated Hospital of Jinzhou Medical University??????????????</t>
  </si>
  <si>
    <t>GJ002</t>
  </si>
  <si>
    <t>Huaian Hospital of TCM ????????</t>
  </si>
  <si>
    <t>GJ003</t>
  </si>
  <si>
    <t>Tongji Hospital Affiliated to Tongji Medical College HUST ???????????????????</t>
  </si>
  <si>
    <t>GJ004</t>
  </si>
  <si>
    <t>GTI-0100056</t>
  </si>
  <si>
    <t>XENOGEN CORPORATION</t>
  </si>
  <si>
    <t>GTI-0100098R</t>
  </si>
  <si>
    <t>GTI-0100133</t>
  </si>
  <si>
    <t>OXFORD BIOMEDICA UK LIMITED</t>
  </si>
  <si>
    <t>GTI-0200152R</t>
  </si>
  <si>
    <t>MAKOTO LIFE SCIENCES</t>
  </si>
  <si>
    <t>GTI-0200264R</t>
  </si>
  <si>
    <t>GTI-0200287R</t>
  </si>
  <si>
    <t>ZACHARON PHARMACEUTICALS</t>
  </si>
  <si>
    <t>GTI-0300361</t>
  </si>
  <si>
    <t>GlaxoSmithKline (GSK) UK - Beckenham (Closed)</t>
  </si>
  <si>
    <t>GTI-0300387</t>
  </si>
  <si>
    <t>GTI-0300416R</t>
  </si>
  <si>
    <t>GTI-0400462R</t>
  </si>
  <si>
    <t>IN VITRO TECHNOLOGIES</t>
  </si>
  <si>
    <t>GTI-0400479</t>
  </si>
  <si>
    <t>AIDS Healthcare Foundation (AHF)</t>
  </si>
  <si>
    <t>GTI-0400486</t>
  </si>
  <si>
    <t>John L McClellan Memorial Veterans' Hospital</t>
  </si>
  <si>
    <t>GTI-0400492</t>
  </si>
  <si>
    <t>Janssen Vaccines and Prevention BV</t>
  </si>
  <si>
    <t>GTI-0400499R</t>
  </si>
  <si>
    <t>GTI-0400528</t>
  </si>
  <si>
    <t>US Food and Drug Administration (FDA)</t>
  </si>
  <si>
    <t>GTI-0400536</t>
  </si>
  <si>
    <t>ADERANS RESEARCH INSTITUTE</t>
  </si>
  <si>
    <t>GTI-0400543R</t>
  </si>
  <si>
    <t>GTI-0500557</t>
  </si>
  <si>
    <t>BAVARIAN-NORDIC AS</t>
  </si>
  <si>
    <t>GTI-0500566</t>
  </si>
  <si>
    <t>GTI-0500595</t>
  </si>
  <si>
    <t>COMMAND HOSPITAL AIR FORCE</t>
  </si>
  <si>
    <t>GTI-0500603</t>
  </si>
  <si>
    <t>GTI-0500605</t>
  </si>
  <si>
    <t>SANBIO INC</t>
  </si>
  <si>
    <t>GTI-0500610</t>
  </si>
  <si>
    <t>GTI-0500611</t>
  </si>
  <si>
    <t>GTI-0600630</t>
  </si>
  <si>
    <t>GTI0600649</t>
  </si>
  <si>
    <t>ACC LIMITED</t>
  </si>
  <si>
    <t>GTI-0800772R</t>
  </si>
  <si>
    <t>GTI-0800779</t>
  </si>
  <si>
    <t>Regeneron Pharmaceuticals Inc - Rensselaer NY</t>
  </si>
  <si>
    <t>GTI-0800794</t>
  </si>
  <si>
    <t>GTI-0900823</t>
  </si>
  <si>
    <t>GTI-0900827</t>
  </si>
  <si>
    <t>GTI-2800050108</t>
  </si>
  <si>
    <t>Pomona College</t>
  </si>
  <si>
    <t>GTI-2800060112</t>
  </si>
  <si>
    <t>GTI-2800060129</t>
  </si>
  <si>
    <t>PDL BIOPHARMA</t>
  </si>
  <si>
    <t>GTI-2800060141</t>
  </si>
  <si>
    <t>NASA AMES RESEARCH CENTER</t>
  </si>
  <si>
    <t>GTI-2800060142</t>
  </si>
  <si>
    <t>MOLECULAR GENETICS</t>
  </si>
  <si>
    <t>GTI-2800060145</t>
  </si>
  <si>
    <t>GTI-2800060169</t>
  </si>
  <si>
    <t>CENTER FOR IMPROVEMENT OF HUMAN FUNCTIONING INTERNATIONAL</t>
  </si>
  <si>
    <t>GTI-2800070197</t>
  </si>
  <si>
    <t>BIOSURPLUS INC</t>
  </si>
  <si>
    <t>GTI-2800070198</t>
  </si>
  <si>
    <t>RWTH Aachen University</t>
  </si>
  <si>
    <t>GTI-2800070201</t>
  </si>
  <si>
    <t>CAMBRIAN GENOMICS</t>
  </si>
  <si>
    <t>GTI-2800070215</t>
  </si>
  <si>
    <t>Università di Bologna</t>
  </si>
  <si>
    <t>GTI-2800080234</t>
  </si>
  <si>
    <t>GTI-2800090260</t>
  </si>
  <si>
    <t>GTI-2800090261</t>
  </si>
  <si>
    <t>GTI-2800090277</t>
  </si>
  <si>
    <t>GTI-2800100289</t>
  </si>
  <si>
    <t>SODEXO BELGIUM SA / GENZYME</t>
  </si>
  <si>
    <t>GTI-2800100305</t>
  </si>
  <si>
    <t>University of the District of Columbia</t>
  </si>
  <si>
    <t>GTI-3630060128</t>
  </si>
  <si>
    <t>GOVERNMENT OF CANADA</t>
  </si>
  <si>
    <t>GTI-3630070150</t>
  </si>
  <si>
    <t>UCB Biopharma UK</t>
  </si>
  <si>
    <t>GTI-3630080275</t>
  </si>
  <si>
    <t>PARFUMS CHRISTIAN DIOR</t>
  </si>
  <si>
    <t>GTI-3630080284</t>
  </si>
  <si>
    <t>SCIED SOLUTIONS STOCKHOLM</t>
  </si>
  <si>
    <t>GTI-3630080286</t>
  </si>
  <si>
    <t>GTI-3630080305</t>
  </si>
  <si>
    <t>GALDERMA R&amp;D</t>
  </si>
  <si>
    <t>GTI-3630080332</t>
  </si>
  <si>
    <t>GTI-3630080348</t>
  </si>
  <si>
    <t>GTI-3630090390</t>
  </si>
  <si>
    <t>GTI-3630090401</t>
  </si>
  <si>
    <t>GTI-3630090404</t>
  </si>
  <si>
    <t>LIFEARC</t>
  </si>
  <si>
    <t>GTI-3630090419</t>
  </si>
  <si>
    <t>GTI-3630090423</t>
  </si>
  <si>
    <t>British Columbia Institute of Technology</t>
  </si>
  <si>
    <t>GTI-3630090431</t>
  </si>
  <si>
    <t>GTI-3630090438</t>
  </si>
  <si>
    <t>St Bartholomew's Hospital</t>
  </si>
  <si>
    <t>GTI-4950080103</t>
  </si>
  <si>
    <t>STRATEGIC DIAGNOSTICS, INC</t>
  </si>
  <si>
    <t>GTI-4950100110</t>
  </si>
  <si>
    <t>GTI-5430090005</t>
  </si>
  <si>
    <t>GTI-5430090116</t>
  </si>
  <si>
    <t>AENITIS TECHNOLOGIES</t>
  </si>
  <si>
    <t>GTI-5430090127</t>
  </si>
  <si>
    <t>GTI-5430090136</t>
  </si>
  <si>
    <t>GTI-5430100162</t>
  </si>
  <si>
    <t>GTI-5430100167R</t>
  </si>
  <si>
    <t>Marinomed Biotech AG</t>
  </si>
  <si>
    <t>GTI-5430100169</t>
  </si>
  <si>
    <t>GlaxoSmithKline (GSK) Belgium - Rixensart</t>
  </si>
  <si>
    <t>GTI-5430100171</t>
  </si>
  <si>
    <t>GTI-5430100176</t>
  </si>
  <si>
    <t>GTI-5430100188</t>
  </si>
  <si>
    <t>Alnylam Pharmaceuticals Inc</t>
  </si>
  <si>
    <t>GTI-5430100193</t>
  </si>
  <si>
    <t>GTI-5430100204</t>
  </si>
  <si>
    <t>GTI-5430100214</t>
  </si>
  <si>
    <t>GTI-5430100222</t>
  </si>
  <si>
    <t>GTI-5430100227</t>
  </si>
  <si>
    <t>GTI-5430100228</t>
  </si>
  <si>
    <t>GTI-5430100237</t>
  </si>
  <si>
    <t>GTI-5430100238</t>
  </si>
  <si>
    <t>GTI-5430100242</t>
  </si>
  <si>
    <t>GTI-5580096102</t>
  </si>
  <si>
    <t>TECHNISCHE UNIVERSITEIT EINDHOVEN</t>
  </si>
  <si>
    <t>GTI-5580100108-1</t>
  </si>
  <si>
    <t>GTI-5580100115</t>
  </si>
  <si>
    <t>GTI-5580100117</t>
  </si>
  <si>
    <t>Novo Nordisk A/S</t>
  </si>
  <si>
    <t>GTI-5580100137</t>
  </si>
  <si>
    <t>Pieris Pharmaceuticals GmbH_obsolete</t>
  </si>
  <si>
    <t>GTI-5580100147</t>
  </si>
  <si>
    <t>GTI-5580100148</t>
  </si>
  <si>
    <t>TAKARA BIO Europe Swedish Filial</t>
  </si>
  <si>
    <t>GTI-5580100153</t>
  </si>
  <si>
    <t>GTI-5580106105</t>
  </si>
  <si>
    <t>Immuni T</t>
  </si>
  <si>
    <t>GTI-5580106132</t>
  </si>
  <si>
    <t>GTI-6620105014</t>
  </si>
  <si>
    <t>GTI-6620106010</t>
  </si>
  <si>
    <t>UNIVERSITY MEDICAL CENTER NIJMEGEN</t>
  </si>
  <si>
    <t>GTI-6620106014</t>
  </si>
  <si>
    <t>NANJING CENTER FOR DISEASE CONTROL AND PREVENTION</t>
  </si>
  <si>
    <t>GTI-6620115042</t>
  </si>
  <si>
    <t>GTI-6620115046</t>
  </si>
  <si>
    <t>GTI-6620115051</t>
  </si>
  <si>
    <t>AllCells</t>
  </si>
  <si>
    <t>GTI-6620125069</t>
  </si>
  <si>
    <t>Fudan University - Dongan Campus</t>
  </si>
  <si>
    <t>GTI6620125099</t>
  </si>
  <si>
    <t>GTI-6620125099</t>
  </si>
  <si>
    <t>GTI-6620126055</t>
  </si>
  <si>
    <t>SUZHOU ALPHAMAB CO LTD</t>
  </si>
  <si>
    <t>GTI6620126083</t>
  </si>
  <si>
    <t>SHANGHAI ZHONGKE KANGTAI BIOTECHNOLOGY CO., LTD. (SHANGHAI YU RESEARCH BIOLOGY)</t>
  </si>
  <si>
    <t>GTI-662012S013</t>
  </si>
  <si>
    <t>University of Cambridge - Department of Chemical Engineering and Biotechnology</t>
  </si>
  <si>
    <t>GTI-6735106005</t>
  </si>
  <si>
    <t>PARAGON BIOSERVICES INC</t>
  </si>
  <si>
    <t>GTI-6735115015X</t>
  </si>
  <si>
    <t>ARIAD Pharmaceuticals Inc (Takeda)</t>
  </si>
  <si>
    <t>GTI-6735115065</t>
  </si>
  <si>
    <t>GTI-6735115069</t>
  </si>
  <si>
    <t>GTI-6735116017</t>
  </si>
  <si>
    <t>DONALD DANFORTH PLANT SCIENCE CENTER</t>
  </si>
  <si>
    <t>GTI-6735116035</t>
  </si>
  <si>
    <t>GTI-6735116057</t>
  </si>
  <si>
    <t>ALERE TECHNOLOGIES GMBH</t>
  </si>
  <si>
    <t>GTI-6735116067</t>
  </si>
  <si>
    <t>HUABO BIPHARM CO LTD</t>
  </si>
  <si>
    <t>GTI-6735118057</t>
  </si>
  <si>
    <t>GTI-673511S007</t>
  </si>
  <si>
    <t>GTI-6735126081</t>
  </si>
  <si>
    <t>NANJING CHINESE MEDICINE RESEARCH INSTITUTE</t>
  </si>
  <si>
    <t>GTI-6735126087</t>
  </si>
  <si>
    <t>Shanghai Sixth People's Hospital Affiliated to Shanghai Jiaotong U (?????????)</t>
  </si>
  <si>
    <t>GTI-6735126108</t>
  </si>
  <si>
    <t>SHANGHAI UNIVERSITY OF TRADITIONAL CHINESE MEDICINE</t>
  </si>
  <si>
    <t>GTI-6735126111</t>
  </si>
  <si>
    <t>JIANGSU HUACHUANG PHARMACEUTICAL R AND D PLATFORM MANAGEMENT CO., LTD.</t>
  </si>
  <si>
    <t>GTI-6735136135</t>
  </si>
  <si>
    <t>GTI-6735136139</t>
  </si>
  <si>
    <t>NanJing University of Chinese Medicine ?????????</t>
  </si>
  <si>
    <t>GTI-6735136150</t>
  </si>
  <si>
    <t>East China Normal University (???????</t>
  </si>
  <si>
    <t>GTI-6735-R5133</t>
  </si>
  <si>
    <t>GTI-96-050219</t>
  </si>
  <si>
    <t>GTI-96-050219R</t>
  </si>
  <si>
    <t>GTI-96-070120R</t>
  </si>
  <si>
    <t>Guava EasyCyte, Refurbished System (Instrument only), Obsolete</t>
  </si>
  <si>
    <t>GTI-96-3-010300R</t>
  </si>
  <si>
    <t>GTI-96-3-030334</t>
  </si>
  <si>
    <t>GENITOPE CORPORATION</t>
  </si>
  <si>
    <t>Guava Easycyte Base, Obsolete</t>
  </si>
  <si>
    <t>GTI-96-3-030335</t>
  </si>
  <si>
    <t>GTI-96-3-030337</t>
  </si>
  <si>
    <t>GTI-96-3-040343</t>
  </si>
  <si>
    <t>GTI-96-3-050349</t>
  </si>
  <si>
    <t>University of Calgary - Health Sciences Centre (HSC)</t>
  </si>
  <si>
    <t>GTI-96-3-050353</t>
  </si>
  <si>
    <t>Bayer - Berkeley</t>
  </si>
  <si>
    <t>GTI-96-3-060361</t>
  </si>
  <si>
    <t>BIOREP Srl</t>
  </si>
  <si>
    <t>GTI-96-3-060367R</t>
  </si>
  <si>
    <t>GTI-96-3-060368</t>
  </si>
  <si>
    <t>GTI-96-3-060368R</t>
  </si>
  <si>
    <t>GTI-96-3-070375R</t>
  </si>
  <si>
    <t>Scripps Health</t>
  </si>
  <si>
    <t>GTI-96-3-100260R</t>
  </si>
  <si>
    <t>RESODYN</t>
  </si>
  <si>
    <t>GTI-96-3-100262</t>
  </si>
  <si>
    <t>GTI-96-3-110148R</t>
  </si>
  <si>
    <t>GTI-963120289</t>
  </si>
  <si>
    <t>GTI-96-3-120294R</t>
  </si>
  <si>
    <t>Jackson Laboratory - Sacramento CA</t>
  </si>
  <si>
    <t>GTI-96-3-120295R</t>
  </si>
  <si>
    <t>GTI-96-4-010305R</t>
  </si>
  <si>
    <t>Morehouse School of Medicine</t>
  </si>
  <si>
    <t>GTI-96-4-010429</t>
  </si>
  <si>
    <t>Sanofi SA - Vitry</t>
  </si>
  <si>
    <t>GTI-96-4-030438</t>
  </si>
  <si>
    <t>GTI-96-4-030441R</t>
  </si>
  <si>
    <t>GTI-96-4-030442</t>
  </si>
  <si>
    <t>GTI-96-4-050356</t>
  </si>
  <si>
    <t>GTI-96-4-050457</t>
  </si>
  <si>
    <t>GTI-96-4-050461</t>
  </si>
  <si>
    <t>GTI-96-4-060468R</t>
  </si>
  <si>
    <t>GTI-96-4-060477</t>
  </si>
  <si>
    <t>DIADEXUS LLC</t>
  </si>
  <si>
    <t>GTI-96-4-070494</t>
  </si>
  <si>
    <t>GTI-96-4-080505R</t>
  </si>
  <si>
    <t>CELLECTIS</t>
  </si>
  <si>
    <t>GTI-96-4-080507</t>
  </si>
  <si>
    <t>GTI-96-4-080508</t>
  </si>
  <si>
    <t>MEMORIAL HEALTH UNIVERSITY MEDICAL CENTER</t>
  </si>
  <si>
    <t>GTI-96-4-090392R</t>
  </si>
  <si>
    <t>Novartis Institutes for Biomedical Research, Inc. (NIBR) - Emeryville</t>
  </si>
  <si>
    <t>GTI-96-4-090517</t>
  </si>
  <si>
    <t>GTI-96-4-090518</t>
  </si>
  <si>
    <t>GTI-96-4-100532</t>
  </si>
  <si>
    <t>GTI-96-4-110535</t>
  </si>
  <si>
    <t>GTI-96-4-110537</t>
  </si>
  <si>
    <t>GTI-96-4-110538R</t>
  </si>
  <si>
    <t>Your Bio Health</t>
  </si>
  <si>
    <t>LSR II</t>
  </si>
  <si>
    <t>H55100038</t>
  </si>
  <si>
    <t>University of Maine</t>
  </si>
  <si>
    <t>Cytek Automated Sample Loader (ASL IVD) ? CE</t>
  </si>
  <si>
    <t>HH0011</t>
  </si>
  <si>
    <t>Cytek Biosciences B.V. Amsterdam Office</t>
  </si>
  <si>
    <t>HH008</t>
  </si>
  <si>
    <t>Sanofi-Aventis Deutschland GmbH</t>
  </si>
  <si>
    <t>HH009</t>
  </si>
  <si>
    <t>Sysmex Europe</t>
  </si>
  <si>
    <t>HI0009</t>
  </si>
  <si>
    <t>Sysmex France SAS</t>
  </si>
  <si>
    <t>HI001</t>
  </si>
  <si>
    <t>HI0010</t>
  </si>
  <si>
    <t>HI0011</t>
  </si>
  <si>
    <t>HI004</t>
  </si>
  <si>
    <t>Universitätsklinikum Schleswig-Holstein (UKSH) Campus Kiel</t>
  </si>
  <si>
    <t>HI058</t>
  </si>
  <si>
    <t>ISX1001</t>
  </si>
  <si>
    <t>Westlake University ??????</t>
  </si>
  <si>
    <t>ISX1002</t>
  </si>
  <si>
    <t>ISX1003</t>
  </si>
  <si>
    <t>Beijing Institute of Otolaryngology ?????????????</t>
  </si>
  <si>
    <t>ISX1004</t>
  </si>
  <si>
    <t>Enveda Bio</t>
  </si>
  <si>
    <t>ISX1006</t>
  </si>
  <si>
    <t>ISX1007</t>
  </si>
  <si>
    <t>Leibniz Universität Hannover</t>
  </si>
  <si>
    <t>ISX104</t>
  </si>
  <si>
    <t>Insititute of Pathogen Biology, CAS (???????????????)</t>
  </si>
  <si>
    <t>ISX119</t>
  </si>
  <si>
    <t>ISX124</t>
  </si>
  <si>
    <t>Brunel University</t>
  </si>
  <si>
    <t>ISX126</t>
  </si>
  <si>
    <t>UNIVERSITY HOSPITAL OF NANCY</t>
  </si>
  <si>
    <t>ISX147</t>
  </si>
  <si>
    <t>TIANJIN MEDICAL UNIVERSITY CANCER INSTITUTE AND HOSPITAL</t>
  </si>
  <si>
    <t>ATOMIC ENERGY OF CANADA LIMITED</t>
  </si>
  <si>
    <t>ISX359</t>
  </si>
  <si>
    <t>Universität Innsbruck - Institut für Biomedizinische Alternsforschung</t>
  </si>
  <si>
    <t>ISX 506B</t>
  </si>
  <si>
    <t>Universität Leipzig</t>
  </si>
  <si>
    <t>ISX677</t>
  </si>
  <si>
    <t>Manipal Academy of Higher Education</t>
  </si>
  <si>
    <t>ISX767-UG-200136</t>
  </si>
  <si>
    <t>SCIENSANO</t>
  </si>
  <si>
    <t>ISX767-UG-200181</t>
  </si>
  <si>
    <t>ISX807</t>
  </si>
  <si>
    <t>ISX810</t>
  </si>
  <si>
    <t>ISX813</t>
  </si>
  <si>
    <t>Universitätsklinikum Essen</t>
  </si>
  <si>
    <t>ISX814</t>
  </si>
  <si>
    <t>Renji Hospital (??????)</t>
  </si>
  <si>
    <t>ISX817</t>
  </si>
  <si>
    <t>Children's Cancer Institute</t>
  </si>
  <si>
    <t>ISX818</t>
  </si>
  <si>
    <t>OTSUKA PHARMACEUTICAL CO., LTD.</t>
  </si>
  <si>
    <t>ISX821</t>
  </si>
  <si>
    <t>ISX822</t>
  </si>
  <si>
    <t>Procter &amp; Gamble Company</t>
  </si>
  <si>
    <t>ISX824</t>
  </si>
  <si>
    <t>Prinses Maxima Centrum_Kinderoncologie</t>
  </si>
  <si>
    <t>ISXMKII362D</t>
  </si>
  <si>
    <t>Biomedizinisches Centrum München - Core Facility Flow Cytometry</t>
  </si>
  <si>
    <t>DO NOT USE - Cytek Biosafety cabinet -US</t>
  </si>
  <si>
    <t>JT2025120222FT</t>
  </si>
  <si>
    <t>CREATED</t>
  </si>
  <si>
    <t>MU20030001-1</t>
  </si>
  <si>
    <t>ACCELA S.R.O.</t>
  </si>
  <si>
    <t>MU20030001-2</t>
  </si>
  <si>
    <t>MU20269001-1</t>
  </si>
  <si>
    <t>I.T.A. SPOL. S R.O.</t>
  </si>
  <si>
    <t>MU20269001-2</t>
  </si>
  <si>
    <t>MU20272001-1</t>
  </si>
  <si>
    <t>MU20272001-2</t>
  </si>
  <si>
    <t>MU21035001-1</t>
  </si>
  <si>
    <t>JCR PHARMACEUTICALS CO., LTD.</t>
  </si>
  <si>
    <t>MU21035001-2</t>
  </si>
  <si>
    <t>MU21144002-2</t>
  </si>
  <si>
    <t>Cytek® Muse® Micro- Blue 5 Channel?</t>
  </si>
  <si>
    <t>MU25200502</t>
  </si>
  <si>
    <t>MU25215501</t>
  </si>
  <si>
    <t>Medizinische Hochschule Brandenburg GmbH (MHB)</t>
  </si>
  <si>
    <t>Cytek® Muse® Micro- Blue 3 Channel?</t>
  </si>
  <si>
    <t>MU25237301</t>
  </si>
  <si>
    <t>MU25284301</t>
  </si>
  <si>
    <t>Oy Lux Ab</t>
  </si>
  <si>
    <t>MU25288301</t>
  </si>
  <si>
    <t>MU25295301</t>
  </si>
  <si>
    <t>Skyline Dx BV</t>
  </si>
  <si>
    <t>MU25303501</t>
  </si>
  <si>
    <t>Istituti Fisioterapici Ospitalieri</t>
  </si>
  <si>
    <t>MU25324301</t>
  </si>
  <si>
    <t>UCB PHARMA SA</t>
  </si>
  <si>
    <t>MU25331501</t>
  </si>
  <si>
    <t>Università degli Studi di Ferrara</t>
  </si>
  <si>
    <t>MU25342501</t>
  </si>
  <si>
    <t>MU26086501</t>
  </si>
  <si>
    <t>Harbin Medical University ?????????</t>
  </si>
  <si>
    <t>MU26102501</t>
  </si>
  <si>
    <t>Fondazione Tettamanti</t>
  </si>
  <si>
    <t>MU26102503</t>
  </si>
  <si>
    <t>Università degli Studi di Cagliari</t>
  </si>
  <si>
    <t>Northern Lights CLC IVD 3000 (CE-IVD)</t>
  </si>
  <si>
    <t>NE0030</t>
  </si>
  <si>
    <t>NE0079</t>
  </si>
  <si>
    <t>NE0083</t>
  </si>
  <si>
    <t>NE0088</t>
  </si>
  <si>
    <t>NE0090</t>
  </si>
  <si>
    <t>NE0091</t>
  </si>
  <si>
    <t>NE0097</t>
  </si>
  <si>
    <t>CyberFreight Amsterdam B.V.</t>
  </si>
  <si>
    <t>NE0099</t>
  </si>
  <si>
    <t>Cytek Northern Lights- CLC 3000 (CFDA)</t>
  </si>
  <si>
    <t>NL1715</t>
  </si>
  <si>
    <t>Shanghai Tenth People's Hospital ??????????</t>
  </si>
  <si>
    <t>NL1732</t>
  </si>
  <si>
    <t>NL1749</t>
  </si>
  <si>
    <t>NL1750</t>
  </si>
  <si>
    <t>NL1756</t>
  </si>
  <si>
    <t>NL1757</t>
  </si>
  <si>
    <t>NL1759</t>
  </si>
  <si>
    <t>Guangxi Zhuang Autonomous Region Chest Hospital (????????????</t>
  </si>
  <si>
    <t>NL1771</t>
  </si>
  <si>
    <t>The First People?s Hospital of Changzhou (?????????)</t>
  </si>
  <si>
    <t>NL1772</t>
  </si>
  <si>
    <t>NL1778</t>
  </si>
  <si>
    <t>NL1783</t>
  </si>
  <si>
    <t>NL1794</t>
  </si>
  <si>
    <t>Beijing Quantobio Biotechnology Co.,Ltd????????????????</t>
  </si>
  <si>
    <t>NM1555</t>
  </si>
  <si>
    <t>Cytek Japan</t>
  </si>
  <si>
    <t>NM1683</t>
  </si>
  <si>
    <t>NM1684</t>
  </si>
  <si>
    <t>NM1685</t>
  </si>
  <si>
    <t>NM1691SP</t>
  </si>
  <si>
    <t>NM1702SP</t>
  </si>
  <si>
    <t>NM1708</t>
  </si>
  <si>
    <t>Peking University Hospital of Stomatology ??????????</t>
  </si>
  <si>
    <t>NM1710</t>
  </si>
  <si>
    <t>NM1711</t>
  </si>
  <si>
    <t>NM1718</t>
  </si>
  <si>
    <t>DKSH Technology Limited (Thailand)</t>
  </si>
  <si>
    <t>NM1721</t>
  </si>
  <si>
    <t>Medizinische Universität Innsbruck</t>
  </si>
  <si>
    <t>NM1723</t>
  </si>
  <si>
    <t>NM1724SP</t>
  </si>
  <si>
    <t>NM1728</t>
  </si>
  <si>
    <t>Chinese Academy of Medical Sciences II ?????? II?</t>
  </si>
  <si>
    <t>NM1729</t>
  </si>
  <si>
    <t>NM1730SP</t>
  </si>
  <si>
    <t>NM1731</t>
  </si>
  <si>
    <t>NM1733</t>
  </si>
  <si>
    <t>Roche R&amp;D Center Shanghai (????????)</t>
  </si>
  <si>
    <t>NM1736</t>
  </si>
  <si>
    <t>NM1737</t>
  </si>
  <si>
    <t>PLA Rocket Force Characteristic Medical Center (??????????</t>
  </si>
  <si>
    <t>NM1738</t>
  </si>
  <si>
    <t>NM1739</t>
  </si>
  <si>
    <t>NM1740</t>
  </si>
  <si>
    <t>University of New South Wales</t>
  </si>
  <si>
    <t>NM1745</t>
  </si>
  <si>
    <t>SACEM Life sciences</t>
  </si>
  <si>
    <t>NM1746</t>
  </si>
  <si>
    <t>DKSH Technology Sdn Bhd (Malaysia)</t>
  </si>
  <si>
    <t>NM1748</t>
  </si>
  <si>
    <t>SPH-RD Co., Ltd (????????????)</t>
  </si>
  <si>
    <t>NM1751</t>
  </si>
  <si>
    <t>NM1752SP</t>
  </si>
  <si>
    <t>Université Laval - CRIUCPQ</t>
  </si>
  <si>
    <t>NM1753</t>
  </si>
  <si>
    <t>NM1754</t>
  </si>
  <si>
    <t>Shanghai Ninth People's Hospital (?????????????????)</t>
  </si>
  <si>
    <t>NM1755</t>
  </si>
  <si>
    <t>The General Hospital of the Eastern (??????</t>
  </si>
  <si>
    <t>NM1760</t>
  </si>
  <si>
    <t>Cytek Northern Lights? 4L V/B/YG/R</t>
  </si>
  <si>
    <t>NM1762</t>
  </si>
  <si>
    <t>Binzhou Medical University (??????</t>
  </si>
  <si>
    <t>NM1763</t>
  </si>
  <si>
    <t>NM1764</t>
  </si>
  <si>
    <t>NM1766</t>
  </si>
  <si>
    <t>NM1768</t>
  </si>
  <si>
    <t>NM1773SP</t>
  </si>
  <si>
    <t>NM1774</t>
  </si>
  <si>
    <t>NM1775SP</t>
  </si>
  <si>
    <t>Waken Btech Co Ltd</t>
  </si>
  <si>
    <t>NM1777</t>
  </si>
  <si>
    <t>NL 67 Channel System</t>
  </si>
  <si>
    <t>NM1779</t>
  </si>
  <si>
    <t>NM1784</t>
  </si>
  <si>
    <t>NM1785</t>
  </si>
  <si>
    <t>NM1787</t>
  </si>
  <si>
    <t>Beijing Ditan Hospital, Capital Medical University ????????????????</t>
  </si>
  <si>
    <t>NM1788SP</t>
  </si>
  <si>
    <t>NM1795</t>
  </si>
  <si>
    <t>NM1797</t>
  </si>
  <si>
    <t>NM1803</t>
  </si>
  <si>
    <t>NM1804</t>
  </si>
  <si>
    <t>Nanjing University ??????</t>
  </si>
  <si>
    <t>NO SERIAL-JP-BI-GU0213</t>
  </si>
  <si>
    <t>UNIVERSITY OF TSUKUBA GRADUATE SCHOOL OF COMPREHENSIVE HUMAN SCIENCES</t>
  </si>
  <si>
    <t>NO-Series</t>
  </si>
  <si>
    <t>Polpharma Biologics SA (Rezon Bio)</t>
  </si>
  <si>
    <t>O#25704084 L#1.1.1 UID#394905</t>
  </si>
  <si>
    <t>FACSAria I</t>
  </si>
  <si>
    <t>P0179</t>
  </si>
  <si>
    <t>P1008</t>
  </si>
  <si>
    <t>Garvan Institute of Medical Research</t>
  </si>
  <si>
    <t>Orion Package Assy -Demo</t>
  </si>
  <si>
    <t>P1017</t>
  </si>
  <si>
    <t>P1020</t>
  </si>
  <si>
    <t>UW Clinical</t>
  </si>
  <si>
    <t>P1021</t>
  </si>
  <si>
    <t>P1022</t>
  </si>
  <si>
    <t>P1023</t>
  </si>
  <si>
    <t>P1024</t>
  </si>
  <si>
    <t>P1025</t>
  </si>
  <si>
    <t>P1028</t>
  </si>
  <si>
    <t>CNR-IRGB</t>
  </si>
  <si>
    <t>FACSAria III</t>
  </si>
  <si>
    <t>p28200188</t>
  </si>
  <si>
    <t>Tizona Therapeutics</t>
  </si>
  <si>
    <t>RM1027</t>
  </si>
  <si>
    <t>Morgan State University</t>
  </si>
  <si>
    <t>RM1029</t>
  </si>
  <si>
    <t>RM1036SP</t>
  </si>
  <si>
    <t>LK Bioscience</t>
  </si>
  <si>
    <t>RM1037</t>
  </si>
  <si>
    <t>RM1038</t>
  </si>
  <si>
    <t>RM1039SP</t>
  </si>
  <si>
    <t>Leids Universitair Medisch Centrum (LUMC)</t>
  </si>
  <si>
    <t>RS1001</t>
  </si>
  <si>
    <t>LKST Biosciences Inc</t>
  </si>
  <si>
    <t>Cytek Aurora CS 5L UV/V/B/YG/R</t>
  </si>
  <si>
    <t>S0379</t>
  </si>
  <si>
    <t>Cytek Biosciences, APAC Group</t>
  </si>
  <si>
    <t>S0386</t>
  </si>
  <si>
    <t>S0406</t>
  </si>
  <si>
    <t>S0416</t>
  </si>
  <si>
    <t>Cytek Biosciences, Maryland Office</t>
  </si>
  <si>
    <t>S0418</t>
  </si>
  <si>
    <t>Leibniz-Institut für Naturstoff-Forschung und Infektionsbiologie HKI</t>
  </si>
  <si>
    <t>S0422</t>
  </si>
  <si>
    <t>Sanofi US - 225 Second Ave, Waltham</t>
  </si>
  <si>
    <t>S0424</t>
  </si>
  <si>
    <t>S0429</t>
  </si>
  <si>
    <t>S0430</t>
  </si>
  <si>
    <t>University of Saskatchewan - College of Medicine</t>
  </si>
  <si>
    <t>S0431</t>
  </si>
  <si>
    <t>S0433</t>
  </si>
  <si>
    <t>S0434</t>
  </si>
  <si>
    <t>S0435</t>
  </si>
  <si>
    <t>S0436</t>
  </si>
  <si>
    <t>S0438SP</t>
  </si>
  <si>
    <t>S0439SP</t>
  </si>
  <si>
    <t>S0440</t>
  </si>
  <si>
    <t>S0441</t>
  </si>
  <si>
    <t>S0442</t>
  </si>
  <si>
    <t>S0443SP</t>
  </si>
  <si>
    <t>S0444</t>
  </si>
  <si>
    <t>S0448</t>
  </si>
  <si>
    <t>S0449</t>
  </si>
  <si>
    <t>S0450</t>
  </si>
  <si>
    <t>S0451</t>
  </si>
  <si>
    <t>S0452</t>
  </si>
  <si>
    <t>S0454</t>
  </si>
  <si>
    <t>S0455</t>
  </si>
  <si>
    <t>S0456</t>
  </si>
  <si>
    <t>S0457</t>
  </si>
  <si>
    <t>S0458</t>
  </si>
  <si>
    <t>S0460</t>
  </si>
  <si>
    <t>S0461</t>
  </si>
  <si>
    <t>S0462</t>
  </si>
  <si>
    <t>S0464</t>
  </si>
  <si>
    <t>S0467</t>
  </si>
  <si>
    <t>S0469</t>
  </si>
  <si>
    <t>7L Borealis System - B/R/V/YG/UV/DUV/IR</t>
  </si>
  <si>
    <t>SA-005</t>
  </si>
  <si>
    <t>Novartis Institutes for Biomedical Research (NIBR) - Basel</t>
  </si>
  <si>
    <t>SE0183</t>
  </si>
  <si>
    <t>Cytek Northern Lights? 3L B/YG/R (Quanterix Custom)</t>
  </si>
  <si>
    <t>SM1008</t>
  </si>
  <si>
    <t>SM1016</t>
  </si>
  <si>
    <t>301 Hospital (301???</t>
  </si>
  <si>
    <t>SM1017</t>
  </si>
  <si>
    <t>SM1018</t>
  </si>
  <si>
    <t>SM1019</t>
  </si>
  <si>
    <t>SM1020</t>
  </si>
  <si>
    <t>Central Drug Research Institute (CDRI)</t>
  </si>
  <si>
    <t>SM1021</t>
  </si>
  <si>
    <t>SM1022</t>
  </si>
  <si>
    <t>Henan Agricultural University ????????</t>
  </si>
  <si>
    <t>SM1025</t>
  </si>
  <si>
    <t>SM1026SP</t>
  </si>
  <si>
    <t>Genmall Biotechnology Co Ltd</t>
  </si>
  <si>
    <t>SM1028</t>
  </si>
  <si>
    <t>SM1029</t>
  </si>
  <si>
    <t>SM1031</t>
  </si>
  <si>
    <t>Liberate Bio Inc</t>
  </si>
  <si>
    <t>SM1032SP</t>
  </si>
  <si>
    <t>SM1033</t>
  </si>
  <si>
    <t>University of Macau ??????</t>
  </si>
  <si>
    <t>SM1034</t>
  </si>
  <si>
    <t>SM1035</t>
  </si>
  <si>
    <t>GINGER SCIENCE PVT. LTD.</t>
  </si>
  <si>
    <t>SM1038</t>
  </si>
  <si>
    <t>SM1039</t>
  </si>
  <si>
    <t>SM1041</t>
  </si>
  <si>
    <t>Texas A&amp;M University-Corpus Christi</t>
  </si>
  <si>
    <t>SM1044</t>
  </si>
  <si>
    <t>SM1056</t>
  </si>
  <si>
    <t>SS1005</t>
  </si>
  <si>
    <t>SS1008</t>
  </si>
  <si>
    <t>SS1009SP</t>
  </si>
  <si>
    <t>SS1010</t>
  </si>
  <si>
    <t>SS1011</t>
  </si>
  <si>
    <t>SS1012</t>
  </si>
  <si>
    <t>SS1013</t>
  </si>
  <si>
    <t>SS1014</t>
  </si>
  <si>
    <t>SS1015</t>
  </si>
  <si>
    <t>SS1016</t>
  </si>
  <si>
    <t>SS1017</t>
  </si>
  <si>
    <t>SS1018</t>
  </si>
  <si>
    <t>National Institute of Pharmaceutical Education and Research, Raebareli</t>
  </si>
  <si>
    <t>SS1020</t>
  </si>
  <si>
    <t>SS1021</t>
  </si>
  <si>
    <t>Bengbu Medical University (???????</t>
  </si>
  <si>
    <t>SS1022</t>
  </si>
  <si>
    <t>Macau University of Science and Technology ????????</t>
  </si>
  <si>
    <t>SW1003</t>
  </si>
  <si>
    <t>Cytek Biosciences Pte. Ltd.</t>
  </si>
  <si>
    <t>SW1004</t>
  </si>
  <si>
    <t>Universitätsklinikum Münster</t>
  </si>
  <si>
    <t>SW1005SP</t>
  </si>
  <si>
    <t>SW1007</t>
  </si>
  <si>
    <t>Institute for Regeneration and Repair (IRR)</t>
  </si>
  <si>
    <t>SW1008</t>
  </si>
  <si>
    <t>SW1009</t>
  </si>
  <si>
    <t>SW1010</t>
  </si>
  <si>
    <t>Tianjin University of Traditional Chinese Medicine?????????</t>
  </si>
  <si>
    <t>SW1011</t>
  </si>
  <si>
    <t>SW1012</t>
  </si>
  <si>
    <t>Cytek (Shanghai) BioSciences Co.Ltd (?????????????</t>
  </si>
  <si>
    <t>SW1015</t>
  </si>
  <si>
    <t>SW1017</t>
  </si>
  <si>
    <t>SW1018</t>
  </si>
  <si>
    <t>Koninklijk Nederlands Instituut voor Onderzoek der Zee (NIOZ)</t>
  </si>
  <si>
    <t>SW1020</t>
  </si>
  <si>
    <t>KYOTO UNIVERSITY HOSPITAL</t>
  </si>
  <si>
    <t>SW1021</t>
  </si>
  <si>
    <t>Kunming University of Science and Technology ????????</t>
  </si>
  <si>
    <t>SW1023SP</t>
  </si>
  <si>
    <t>SW1025</t>
  </si>
  <si>
    <t>SW1026</t>
  </si>
  <si>
    <t>SW1027</t>
  </si>
  <si>
    <t>SHANGHAI PHARMA. SPH Research Institute (?????)</t>
  </si>
  <si>
    <t>SW1028</t>
  </si>
  <si>
    <t>Almog diagnostic &amp; medical equipment Ltd</t>
  </si>
  <si>
    <t>SW1031</t>
  </si>
  <si>
    <t>Xiamen Childres?s Hospital?????????</t>
  </si>
  <si>
    <t>SW1032SP</t>
  </si>
  <si>
    <t>Tianjin Institute of Industrial Biotechnology, CAS (????????????????)</t>
  </si>
  <si>
    <t>SW1033</t>
  </si>
  <si>
    <t>SW1034SP</t>
  </si>
  <si>
    <t>Distributor Installed</t>
  </si>
  <si>
    <t>SW1035SP</t>
  </si>
  <si>
    <t>Jiangnan University ??????</t>
  </si>
  <si>
    <t>SW1037SP</t>
  </si>
  <si>
    <t>SW1039</t>
  </si>
  <si>
    <t>The First Affiliated Hospital, Zhejiang U School of Medicine???????????????</t>
  </si>
  <si>
    <t>SW1040</t>
  </si>
  <si>
    <t>The Shanghai Institute of Nutrition and Health?CAS ?????????????????</t>
  </si>
  <si>
    <t>SW1042</t>
  </si>
  <si>
    <t>The First People's Hospital of Yunnan Province ???????????</t>
  </si>
  <si>
    <t>3 laser Cytek® Aurora CS (YG)</t>
  </si>
  <si>
    <t>SW1044</t>
  </si>
  <si>
    <t>ClonOrgan Biotechnology Co., Ltd ??????????????</t>
  </si>
  <si>
    <t>SW1045</t>
  </si>
  <si>
    <t>Chongqing Traditional Chinese Medicine Hospital (???????</t>
  </si>
  <si>
    <t>SW1048SP</t>
  </si>
  <si>
    <t>Queen Mary University of London (QMUL)</t>
  </si>
  <si>
    <t>SW1052SP</t>
  </si>
  <si>
    <t>SW1054SP</t>
  </si>
  <si>
    <t>Antisel Greece</t>
  </si>
  <si>
    <t>SW1055</t>
  </si>
  <si>
    <t>Capital Medical University ????????</t>
  </si>
  <si>
    <t>SW1058</t>
  </si>
  <si>
    <t>SW1059</t>
  </si>
  <si>
    <t>SW1061</t>
  </si>
  <si>
    <t>Shandong First Medical University &amp; Academy of Medical Sciences (?????????</t>
  </si>
  <si>
    <t>SW1066</t>
  </si>
  <si>
    <t>TI6620125099</t>
  </si>
  <si>
    <t>Cytek Aurora 5 Laser UV/V/B/YG/R (64 + 3 Channel) - Refurbished</t>
  </si>
  <si>
    <t>U0264</t>
  </si>
  <si>
    <t>Cytek Aurora? 5L UV/V/B/YG/R</t>
  </si>
  <si>
    <t>U1722</t>
  </si>
  <si>
    <t>U1729</t>
  </si>
  <si>
    <t>U1775</t>
  </si>
  <si>
    <t>U1787</t>
  </si>
  <si>
    <t>U1788</t>
  </si>
  <si>
    <t>U1790</t>
  </si>
  <si>
    <t>U1792</t>
  </si>
  <si>
    <t>U1793</t>
  </si>
  <si>
    <t>U1795SP</t>
  </si>
  <si>
    <t>U1796</t>
  </si>
  <si>
    <t>U1797</t>
  </si>
  <si>
    <t>U1798</t>
  </si>
  <si>
    <t>U1799</t>
  </si>
  <si>
    <t>High Throughput Sampler</t>
  </si>
  <si>
    <t>U19900135</t>
  </si>
  <si>
    <t>UM1011SP</t>
  </si>
  <si>
    <t>UM1012SP</t>
  </si>
  <si>
    <t>Universität Zürich - Institut fur Experimentelle Immuologie</t>
  </si>
  <si>
    <t>UM1013</t>
  </si>
  <si>
    <t>UM1020</t>
  </si>
  <si>
    <t>UM1021SP</t>
  </si>
  <si>
    <t>UM1022</t>
  </si>
  <si>
    <t>UM1023SP</t>
  </si>
  <si>
    <t>UM1024</t>
  </si>
  <si>
    <t>UM1027</t>
  </si>
  <si>
    <t>Agilex Biolabs</t>
  </si>
  <si>
    <t>UM1028</t>
  </si>
  <si>
    <t>UM1029SP</t>
  </si>
  <si>
    <t>UM1031</t>
  </si>
  <si>
    <t>UM1032</t>
  </si>
  <si>
    <t>UM1035</t>
  </si>
  <si>
    <t>UM1037</t>
  </si>
  <si>
    <t>UM1038</t>
  </si>
  <si>
    <t>UM1040</t>
  </si>
  <si>
    <t>UM1043</t>
  </si>
  <si>
    <t>UM1046</t>
  </si>
  <si>
    <t>Crux Biolabs Pty Ltd</t>
  </si>
  <si>
    <t>DxP10 Upgrade</t>
  </si>
  <si>
    <t>Update180585</t>
  </si>
  <si>
    <t>US1007SP</t>
  </si>
  <si>
    <t>US1008</t>
  </si>
  <si>
    <t>US1009</t>
  </si>
  <si>
    <t>US1010</t>
  </si>
  <si>
    <t>US-24579762-EUR</t>
  </si>
  <si>
    <t>ESCUELA UNIVERSITARIA DE ENFERMERIA Y TERAPIA OCUPACIONAL</t>
  </si>
  <si>
    <t>FACSCanto I</t>
  </si>
  <si>
    <t>V07300442</t>
  </si>
  <si>
    <t>V1794</t>
  </si>
  <si>
    <t>FACSCanto II</t>
  </si>
  <si>
    <t>V96100486</t>
  </si>
  <si>
    <t>VM1008</t>
  </si>
  <si>
    <t>VM1009</t>
  </si>
  <si>
    <t>VS1002SP</t>
  </si>
  <si>
    <t>WX001</t>
  </si>
  <si>
    <t>VU University Medical Center</t>
  </si>
  <si>
    <t>WX003</t>
  </si>
  <si>
    <t>XF1004</t>
  </si>
  <si>
    <t>XF1005</t>
  </si>
  <si>
    <t>XF1006</t>
  </si>
  <si>
    <t>Sanofi Pasteur VaxDesign Corp - Florida</t>
  </si>
  <si>
    <t>XF1013</t>
  </si>
  <si>
    <t>UCB Biosciences Inc - North Carolina</t>
  </si>
  <si>
    <t>Cytek Aurora? Evo 5L UV/V/B/YG/R</t>
  </si>
  <si>
    <t>XF1015</t>
  </si>
  <si>
    <t>XF1016</t>
  </si>
  <si>
    <t>XF1017</t>
  </si>
  <si>
    <t>XF1018</t>
  </si>
  <si>
    <t>Charles River Laboratories Inc - Reno NV</t>
  </si>
  <si>
    <t>XF1019</t>
  </si>
  <si>
    <t>Cytek Aurora? Evo 4L V/B/YG/R</t>
  </si>
  <si>
    <t>XF1020</t>
  </si>
  <si>
    <t>XF1021</t>
  </si>
  <si>
    <t>Cytek Aurora? Evo 3L V/B/R</t>
  </si>
  <si>
    <t>XF1022</t>
  </si>
  <si>
    <t>BeOne Medicines USA Inc</t>
  </si>
  <si>
    <t>XF1023</t>
  </si>
  <si>
    <t>Charles River Laboratories Inc - Mattawan MI</t>
  </si>
  <si>
    <t>XF1024</t>
  </si>
  <si>
    <t>XF1025</t>
  </si>
  <si>
    <t>XF1026</t>
  </si>
  <si>
    <t>Pfizer Inc - Pfizer Clinical Research Unit (PCRU)</t>
  </si>
  <si>
    <t>XF1027</t>
  </si>
  <si>
    <t>United Therapeutics - Manchester NH</t>
  </si>
  <si>
    <t>XF1028</t>
  </si>
  <si>
    <t>Kyowa Kirin Pharmaceuticals</t>
  </si>
  <si>
    <t>Aurora Evo 67 Channel System-Demo</t>
  </si>
  <si>
    <t>XF1029</t>
  </si>
  <si>
    <t>XF1030</t>
  </si>
  <si>
    <t>XF1031</t>
  </si>
  <si>
    <t>XF1032</t>
  </si>
  <si>
    <t>XF1033</t>
  </si>
  <si>
    <t>XF1034</t>
  </si>
  <si>
    <t>XF1035</t>
  </si>
  <si>
    <t>XF1036</t>
  </si>
  <si>
    <t>XF1038</t>
  </si>
  <si>
    <t>XF1039</t>
  </si>
  <si>
    <t>XF1040</t>
  </si>
  <si>
    <t>Novartis Institutes for Biomedical Research Inc (NIBR)</t>
  </si>
  <si>
    <t>XF1041</t>
  </si>
  <si>
    <t>Pirbright Institute</t>
  </si>
  <si>
    <t>XF1042</t>
  </si>
  <si>
    <t>XF1043</t>
  </si>
  <si>
    <t>XF1044</t>
  </si>
  <si>
    <t>XF1045</t>
  </si>
  <si>
    <t>XF1046</t>
  </si>
  <si>
    <t>XF1047</t>
  </si>
  <si>
    <t>XF1048</t>
  </si>
  <si>
    <t>XF1049</t>
  </si>
  <si>
    <t>XF1050</t>
  </si>
  <si>
    <t>Takeda Manufacturing</t>
  </si>
  <si>
    <t>XF1051</t>
  </si>
  <si>
    <t>XF1052</t>
  </si>
  <si>
    <t>XF1053</t>
  </si>
  <si>
    <t>XF1054</t>
  </si>
  <si>
    <t>XF1055</t>
  </si>
  <si>
    <t>XF1057</t>
  </si>
  <si>
    <t>Crown Bioscience</t>
  </si>
  <si>
    <t>XF1058</t>
  </si>
  <si>
    <t>XF1059</t>
  </si>
  <si>
    <t>XF1060</t>
  </si>
  <si>
    <t>XF1061</t>
  </si>
  <si>
    <t>XF1062</t>
  </si>
  <si>
    <t>XF1063</t>
  </si>
  <si>
    <t>XF1064</t>
  </si>
  <si>
    <t>XF1065</t>
  </si>
  <si>
    <t>Cytek Aurora? Evo 2L V/B</t>
  </si>
  <si>
    <t>XF1066</t>
  </si>
  <si>
    <t>Aldevron LLC - Waltham Innovation Center</t>
  </si>
  <si>
    <t>XF1067</t>
  </si>
  <si>
    <t>XF1068</t>
  </si>
  <si>
    <t>XF1069</t>
  </si>
  <si>
    <t>XF1071</t>
  </si>
  <si>
    <t>XF1073</t>
  </si>
  <si>
    <t>XF1074</t>
  </si>
  <si>
    <t>XF1075</t>
  </si>
  <si>
    <t>XF1076</t>
  </si>
  <si>
    <t>Volnay Therapeutics</t>
  </si>
  <si>
    <t>XF1077</t>
  </si>
  <si>
    <t>XF1079</t>
  </si>
  <si>
    <t>XF1080</t>
  </si>
  <si>
    <t>XF1081</t>
  </si>
  <si>
    <t>XF1082</t>
  </si>
  <si>
    <t>XF1083</t>
  </si>
  <si>
    <t>XF1084</t>
  </si>
  <si>
    <t>XF1085</t>
  </si>
  <si>
    <t>XF1086</t>
  </si>
  <si>
    <t>XF1087</t>
  </si>
  <si>
    <t>XF1088</t>
  </si>
  <si>
    <t>Biocytogen - Waltham MA</t>
  </si>
  <si>
    <t>XF1089</t>
  </si>
  <si>
    <t>XF1090</t>
  </si>
  <si>
    <t>XF1091</t>
  </si>
  <si>
    <t>XF1093</t>
  </si>
  <si>
    <t>XF1095</t>
  </si>
  <si>
    <t>Pathos AI Inc</t>
  </si>
  <si>
    <t>XF1097</t>
  </si>
  <si>
    <t>Beyond Therapeutics</t>
  </si>
  <si>
    <t>XF1098</t>
  </si>
  <si>
    <t>XF1099</t>
  </si>
  <si>
    <t>XF1100</t>
  </si>
  <si>
    <t>Fulgent Lab Services - Alpharetta</t>
  </si>
  <si>
    <t>XF1101</t>
  </si>
  <si>
    <t>XF1105</t>
  </si>
  <si>
    <t>XF1106</t>
  </si>
  <si>
    <t>XF1107</t>
  </si>
  <si>
    <t>Cerba HealthCare Belgium BV</t>
  </si>
  <si>
    <t>XF1108</t>
  </si>
  <si>
    <t>XF1110</t>
  </si>
  <si>
    <t>XF1112</t>
  </si>
  <si>
    <t>XF1117</t>
  </si>
  <si>
    <t>Lahey Hospital &amp; Medical Center</t>
  </si>
  <si>
    <t>XF1120</t>
  </si>
  <si>
    <t>XS1001</t>
  </si>
  <si>
    <t>PharmaEssentia Innovation Research Center (PIRC)</t>
  </si>
  <si>
    <t>XS1002</t>
  </si>
  <si>
    <t>XS1003</t>
  </si>
  <si>
    <t>The University of Hong Kong (?????</t>
  </si>
  <si>
    <t>XS1004</t>
  </si>
  <si>
    <t>XS1005</t>
  </si>
  <si>
    <t>XS1006</t>
  </si>
  <si>
    <t>XS1008</t>
  </si>
  <si>
    <t>Crosstalk Bio Inc</t>
  </si>
  <si>
    <t>XS1009</t>
  </si>
  <si>
    <t>XW1006</t>
  </si>
  <si>
    <t>XW1014</t>
  </si>
  <si>
    <t>XW1015</t>
  </si>
  <si>
    <t>XW1016</t>
  </si>
  <si>
    <t>XW1018</t>
  </si>
  <si>
    <t>XW1019</t>
  </si>
  <si>
    <t>XW1020</t>
  </si>
  <si>
    <t>Charles River Laboratories Edinburgh Ltd</t>
  </si>
  <si>
    <t>XW1021</t>
  </si>
  <si>
    <t>XW1023</t>
  </si>
  <si>
    <t>University of Leeds</t>
  </si>
  <si>
    <t>XW1024</t>
  </si>
  <si>
    <t>XW1026</t>
  </si>
  <si>
    <t>XW1027</t>
  </si>
  <si>
    <t>XW1028</t>
  </si>
  <si>
    <t>IEO Research</t>
  </si>
  <si>
    <t>XW1033</t>
  </si>
  <si>
    <t>XW1035</t>
  </si>
  <si>
    <t>Labcorp Central Laboratory Services Sàrl</t>
  </si>
  <si>
    <t>XW1036</t>
  </si>
  <si>
    <t>XW1038</t>
  </si>
  <si>
    <t>XW1039</t>
  </si>
  <si>
    <t>AbCellera Biologics Inc</t>
  </si>
  <si>
    <t>XW1041</t>
  </si>
  <si>
    <t>360biolabs Pty Ltd</t>
  </si>
  <si>
    <t>XW1042</t>
  </si>
  <si>
    <t>University of Sydney</t>
  </si>
  <si>
    <t>XW1043</t>
  </si>
  <si>
    <t>XW1044</t>
  </si>
  <si>
    <t>Universita degli Studi di Trento</t>
  </si>
  <si>
    <t>XW1045</t>
  </si>
  <si>
    <t>XW1046</t>
  </si>
  <si>
    <t>US53 UAR2030 Plateforme Technologique Saint-Louis</t>
  </si>
  <si>
    <t>XW1049</t>
  </si>
  <si>
    <t>XW1050</t>
  </si>
  <si>
    <t>XW1053</t>
  </si>
  <si>
    <t>XW1055</t>
  </si>
  <si>
    <t>Charles River Discovery Research Services UK Limited - Portishead</t>
  </si>
  <si>
    <t>XW1059</t>
  </si>
  <si>
    <t>Klinikum der Technischen Universität München (TUM Klinikum)</t>
  </si>
  <si>
    <t>XW1061</t>
  </si>
  <si>
    <t>XW1062</t>
  </si>
  <si>
    <t>XW1068</t>
  </si>
  <si>
    <t>XW1071</t>
  </si>
  <si>
    <t>XW1072</t>
  </si>
  <si>
    <t>XW1074</t>
  </si>
  <si>
    <t>XW1075</t>
  </si>
  <si>
    <t>IGInnovate</t>
  </si>
  <si>
    <t>XW1079</t>
  </si>
  <si>
    <t>XW1084</t>
  </si>
  <si>
    <t>McGill University - The Neuro</t>
  </si>
  <si>
    <t>XW1090</t>
  </si>
  <si>
    <t>Teddy Clinical Research Laboratory Limited (?????????????? )</t>
  </si>
  <si>
    <t>XW1091</t>
  </si>
  <si>
    <t>China Pharmaceutical University ????????</t>
  </si>
  <si>
    <t>Y1748SP</t>
  </si>
  <si>
    <t>YM1014</t>
  </si>
  <si>
    <t>YM1017</t>
  </si>
  <si>
    <t>YM1019</t>
  </si>
  <si>
    <t>YM1020</t>
  </si>
  <si>
    <t>James Cook University</t>
  </si>
  <si>
    <t>YM1021</t>
  </si>
  <si>
    <t>YS1003</t>
  </si>
  <si>
    <t>YS1005</t>
  </si>
  <si>
    <t>80552</t>
  </si>
  <si>
    <t>00010566</t>
  </si>
  <si>
    <t>NE0064</t>
  </si>
  <si>
    <t>00036622</t>
  </si>
  <si>
    <t>P1007</t>
  </si>
  <si>
    <t>00036897</t>
  </si>
  <si>
    <t>S0388</t>
  </si>
  <si>
    <t>00035650</t>
  </si>
  <si>
    <t>The Babraham Institute</t>
  </si>
  <si>
    <t>S0397</t>
  </si>
  <si>
    <t>00036431</t>
  </si>
  <si>
    <t>Institut Curie</t>
  </si>
  <si>
    <t>S0405</t>
  </si>
  <si>
    <t>00036114</t>
  </si>
  <si>
    <t>ISX339</t>
  </si>
  <si>
    <t>00033453</t>
  </si>
  <si>
    <t>ISX805</t>
  </si>
  <si>
    <t>00035670</t>
  </si>
  <si>
    <t>Guangzhou Institutes of Biomedicine and Health,CAS (?????????????????)</t>
  </si>
  <si>
    <t>AT1713</t>
  </si>
  <si>
    <t>00036394</t>
  </si>
  <si>
    <t>Zhuahai Hengqin Yuanzhen Life Science Co.,Ltd (???????????????)</t>
  </si>
  <si>
    <t>DxP Athena 6 Color</t>
  </si>
  <si>
    <t>AT1717</t>
  </si>
  <si>
    <t>00036696</t>
  </si>
  <si>
    <t>Hunan University (?????</t>
  </si>
  <si>
    <t>Thermo Fisher Scientific - Frederick</t>
  </si>
  <si>
    <t>EC242647C1</t>
  </si>
  <si>
    <t>00034957</t>
  </si>
  <si>
    <t>Shanghai Institute of Materia Medica?CAS ??????????????</t>
  </si>
  <si>
    <t>EC243256H1</t>
  </si>
  <si>
    <t>00035540</t>
  </si>
  <si>
    <t>EC243337A1</t>
  </si>
  <si>
    <t>00035033</t>
  </si>
  <si>
    <t>Heinrich-Heine-Universität Düsseldorf</t>
  </si>
  <si>
    <t>EC243356G1</t>
  </si>
  <si>
    <t>00035262</t>
  </si>
  <si>
    <t>IRCCS San Camillo</t>
  </si>
  <si>
    <t>EC243436C1</t>
  </si>
  <si>
    <t>00035125</t>
  </si>
  <si>
    <t>WuXi Biologics Cayman Inc (???????????</t>
  </si>
  <si>
    <t>EC243527A1</t>
  </si>
  <si>
    <t>00035064</t>
  </si>
  <si>
    <t>EC250026A1</t>
  </si>
  <si>
    <t>00036951</t>
  </si>
  <si>
    <t>Université de Corse Pasquale Paoli</t>
  </si>
  <si>
    <t>EC250026D1</t>
  </si>
  <si>
    <t>00035697</t>
  </si>
  <si>
    <t>Rentschler Biopharma SE</t>
  </si>
  <si>
    <t>EC250527A1</t>
  </si>
  <si>
    <t>00035674</t>
  </si>
  <si>
    <t>EC250557C1</t>
  </si>
  <si>
    <t>00035678</t>
  </si>
  <si>
    <t>EC250657C1</t>
  </si>
  <si>
    <t>00035770</t>
  </si>
  <si>
    <t>RUDJER BOSKOVIC INSTITUTE</t>
  </si>
  <si>
    <t>EC250706D1</t>
  </si>
  <si>
    <t>00035766</t>
  </si>
  <si>
    <t>GuangZhou Customs District?P.P.China ?????????????</t>
  </si>
  <si>
    <t>EC250756D1</t>
  </si>
  <si>
    <t>00036749</t>
  </si>
  <si>
    <t>Jiangsu Green Chemtech Co., Ltd (???????????</t>
  </si>
  <si>
    <t>EC251506C1</t>
  </si>
  <si>
    <t>00036576</t>
  </si>
  <si>
    <t>IUT de Bobigny</t>
  </si>
  <si>
    <t>EC251757D1</t>
  </si>
  <si>
    <t>00036662</t>
  </si>
  <si>
    <t>Freshwater Fisheries Research Center,CAFS (?????????????????)</t>
  </si>
  <si>
    <t>FH219</t>
  </si>
  <si>
    <t>00034673</t>
  </si>
  <si>
    <t>Centre d'Immunologie de Marseille-Luminy (CIML)</t>
  </si>
  <si>
    <t>FH324</t>
  </si>
  <si>
    <t>00034908</t>
  </si>
  <si>
    <t>FI026</t>
  </si>
  <si>
    <t>00035764</t>
  </si>
  <si>
    <t>FJ004</t>
  </si>
  <si>
    <t>ISX793</t>
  </si>
  <si>
    <t>00034826</t>
  </si>
  <si>
    <t>ISX796</t>
  </si>
  <si>
    <t>00034945</t>
  </si>
  <si>
    <t>Università degli Studi di Milano-Bicocca</t>
  </si>
  <si>
    <t>ISX801</t>
  </si>
  <si>
    <t>00035686</t>
  </si>
  <si>
    <t>China Agricultural University ????????</t>
  </si>
  <si>
    <t>ISX802</t>
  </si>
  <si>
    <t>00035373</t>
  </si>
  <si>
    <t>ISX809</t>
  </si>
  <si>
    <t>00036085</t>
  </si>
  <si>
    <t>ISX811</t>
  </si>
  <si>
    <t>00035751</t>
  </si>
  <si>
    <t>KOREA BASIC SCIENCE INSTITUTE</t>
  </si>
  <si>
    <t>MU24334001</t>
  </si>
  <si>
    <t>00035200</t>
  </si>
  <si>
    <t>MU25045001</t>
  </si>
  <si>
    <t>00035636</t>
  </si>
  <si>
    <t>Sai Tirupati University</t>
  </si>
  <si>
    <t>MU25128501</t>
  </si>
  <si>
    <t>00036494</t>
  </si>
  <si>
    <t>JUSTUS LIEBIG UNIVERSITAET GIESSEN</t>
  </si>
  <si>
    <t>MU25175301</t>
  </si>
  <si>
    <t>00036955</t>
  </si>
  <si>
    <t>MU25179501</t>
  </si>
  <si>
    <t>00036625</t>
  </si>
  <si>
    <t>South China Agricultural University ????????</t>
  </si>
  <si>
    <t>NE0074</t>
  </si>
  <si>
    <t>00034840</t>
  </si>
  <si>
    <t>NE0075</t>
  </si>
  <si>
    <t>00035119</t>
  </si>
  <si>
    <t>NE0077</t>
  </si>
  <si>
    <t>00035577</t>
  </si>
  <si>
    <t>NE0078</t>
  </si>
  <si>
    <t>00035823</t>
  </si>
  <si>
    <t>NL1625</t>
  </si>
  <si>
    <t>00034707</t>
  </si>
  <si>
    <t>Tianjin Institute of Pharmaceutical Research (TIPR) ????????????)</t>
  </si>
  <si>
    <t>NL1626</t>
  </si>
  <si>
    <t>00034924</t>
  </si>
  <si>
    <t>Nantong Third People's Hospital (??????????</t>
  </si>
  <si>
    <t>NL1638</t>
  </si>
  <si>
    <t>00034922</t>
  </si>
  <si>
    <t>NL1639</t>
  </si>
  <si>
    <t>00034939</t>
  </si>
  <si>
    <t>Cytek Northern Lights- CLC 2000 B&amp;R (CFDA)</t>
  </si>
  <si>
    <t>NL1640</t>
  </si>
  <si>
    <t>00035087</t>
  </si>
  <si>
    <t>306 Hospital?306???</t>
  </si>
  <si>
    <t>NL1672</t>
  </si>
  <si>
    <t>00036477</t>
  </si>
  <si>
    <t>NL1673</t>
  </si>
  <si>
    <t>00035330</t>
  </si>
  <si>
    <t>NL1674</t>
  </si>
  <si>
    <t>00035287</t>
  </si>
  <si>
    <t>Zhongnan Hospital of Wuhan Univerisy ??????????</t>
  </si>
  <si>
    <t>NL1675</t>
  </si>
  <si>
    <t>00036408</t>
  </si>
  <si>
    <t>NL1682</t>
  </si>
  <si>
    <t>00035727</t>
  </si>
  <si>
    <t>Shanghai Skin Disease Hospital ??????????</t>
  </si>
  <si>
    <t>NL1687</t>
  </si>
  <si>
    <t>00035883</t>
  </si>
  <si>
    <t>NL1688</t>
  </si>
  <si>
    <t>00036476</t>
  </si>
  <si>
    <t>NL1689</t>
  </si>
  <si>
    <t>00036479</t>
  </si>
  <si>
    <t>NL1697</t>
  </si>
  <si>
    <t>00036066</t>
  </si>
  <si>
    <t>NL1712</t>
  </si>
  <si>
    <t>00036441</t>
  </si>
  <si>
    <t>Shuguang Hospital SHUTCM ???????????????</t>
  </si>
  <si>
    <t>NL1714</t>
  </si>
  <si>
    <t>00036714</t>
  </si>
  <si>
    <t>The Second Xiangya Hospital of Central South University (?????????)</t>
  </si>
  <si>
    <t>NM1516</t>
  </si>
  <si>
    <t>00034671</t>
  </si>
  <si>
    <t>NM1614</t>
  </si>
  <si>
    <t>00034773</t>
  </si>
  <si>
    <t>NM1616</t>
  </si>
  <si>
    <t>00034950</t>
  </si>
  <si>
    <t>NM1617</t>
  </si>
  <si>
    <t>00034858</t>
  </si>
  <si>
    <t>Max-Ruber-Institut Bundesforschungsinstitut für Ernährung und Lebensmittel</t>
  </si>
  <si>
    <t>NM1618</t>
  </si>
  <si>
    <t>00034956</t>
  </si>
  <si>
    <t>NM1619</t>
  </si>
  <si>
    <t>00034805</t>
  </si>
  <si>
    <t>NM1620</t>
  </si>
  <si>
    <t>00034706</t>
  </si>
  <si>
    <t>NM1621</t>
  </si>
  <si>
    <t>00035320</t>
  </si>
  <si>
    <t>NM1622</t>
  </si>
  <si>
    <t>00034917</t>
  </si>
  <si>
    <t>SRM UNIVERSITY</t>
  </si>
  <si>
    <t>NM1623</t>
  </si>
  <si>
    <t>00034807</t>
  </si>
  <si>
    <t>Yili Innovation Center Shanghai (???????????</t>
  </si>
  <si>
    <t>NM1629</t>
  </si>
  <si>
    <t>00034977</t>
  </si>
  <si>
    <t>Università degli Studi di Siena</t>
  </si>
  <si>
    <t>NM1630</t>
  </si>
  <si>
    <t>00034979</t>
  </si>
  <si>
    <t>NM1631</t>
  </si>
  <si>
    <t>00035471</t>
  </si>
  <si>
    <t>IRIB-CNR</t>
  </si>
  <si>
    <t>NM1632</t>
  </si>
  <si>
    <t>00035017</t>
  </si>
  <si>
    <t>NM1636</t>
  </si>
  <si>
    <t>00036525</t>
  </si>
  <si>
    <t>NM1641</t>
  </si>
  <si>
    <t>00035105</t>
  </si>
  <si>
    <t>ChengDu University of Traditional Chinese Medicine (???????)</t>
  </si>
  <si>
    <t>Rosalind Franklin University</t>
  </si>
  <si>
    <t>NM1646</t>
  </si>
  <si>
    <t>00035201</t>
  </si>
  <si>
    <t>Beijing Forestry University ????????</t>
  </si>
  <si>
    <t>NM1649</t>
  </si>
  <si>
    <t>00035085</t>
  </si>
  <si>
    <t>Shanghai Unicar-Therapy Bio-medicine Technology Co.,Ltd?????????????????</t>
  </si>
  <si>
    <t>NM1657</t>
  </si>
  <si>
    <t>00035065</t>
  </si>
  <si>
    <t>NM1658</t>
  </si>
  <si>
    <t>00035128</t>
  </si>
  <si>
    <t>NM1665</t>
  </si>
  <si>
    <t>00035780</t>
  </si>
  <si>
    <t>AMU</t>
  </si>
  <si>
    <t>NM1668SP</t>
  </si>
  <si>
    <t>00035104</t>
  </si>
  <si>
    <t>NM1676</t>
  </si>
  <si>
    <t>00035516</t>
  </si>
  <si>
    <t>Nanjing Agricultural University ????????</t>
  </si>
  <si>
    <t>NM1680SP</t>
  </si>
  <si>
    <t>00035518</t>
  </si>
  <si>
    <t>Nanjing Medical University (???????</t>
  </si>
  <si>
    <t>NM1692</t>
  </si>
  <si>
    <t>00035755</t>
  </si>
  <si>
    <t>Shanghai Institute of Organic Chemistry?CAS ????????????????</t>
  </si>
  <si>
    <t>NM1693</t>
  </si>
  <si>
    <t>00036480</t>
  </si>
  <si>
    <t>NM1694</t>
  </si>
  <si>
    <t>00036481</t>
  </si>
  <si>
    <t>NM1695</t>
  </si>
  <si>
    <t>00036475</t>
  </si>
  <si>
    <t>NM1696</t>
  </si>
  <si>
    <t>00035799</t>
  </si>
  <si>
    <t>Augustine Therapeutics NV</t>
  </si>
  <si>
    <t>NM1698</t>
  </si>
  <si>
    <t>00036482</t>
  </si>
  <si>
    <t>NM1703</t>
  </si>
  <si>
    <t>00036677</t>
  </si>
  <si>
    <t>NM1704</t>
  </si>
  <si>
    <t>00036406</t>
  </si>
  <si>
    <t>NM1709</t>
  </si>
  <si>
    <t>00036837</t>
  </si>
  <si>
    <t>NM1716SP</t>
  </si>
  <si>
    <t>00036411</t>
  </si>
  <si>
    <t>NM1720SP</t>
  </si>
  <si>
    <t>00036850</t>
  </si>
  <si>
    <t>NM1727SP</t>
  </si>
  <si>
    <t>00036990</t>
  </si>
  <si>
    <t>RM1021</t>
  </si>
  <si>
    <t>00036251</t>
  </si>
  <si>
    <t>Universitätsklinikum Freiburg</t>
  </si>
  <si>
    <t>RM1022</t>
  </si>
  <si>
    <t>00034933</t>
  </si>
  <si>
    <t>RM1023SP</t>
  </si>
  <si>
    <t>00034824</t>
  </si>
  <si>
    <t>Istituto Nazionale per lo Studio e la Cura dei Tumori</t>
  </si>
  <si>
    <t>RM1024</t>
  </si>
  <si>
    <t>00034934</t>
  </si>
  <si>
    <t>RM1025</t>
  </si>
  <si>
    <t>00034932</t>
  </si>
  <si>
    <t>RM1030</t>
  </si>
  <si>
    <t>00036003</t>
  </si>
  <si>
    <t>RM1031</t>
  </si>
  <si>
    <t>00036767</t>
  </si>
  <si>
    <t>RM1032</t>
  </si>
  <si>
    <t>00036574</t>
  </si>
  <si>
    <t>S0345</t>
  </si>
  <si>
    <t>00035011</t>
  </si>
  <si>
    <t>S0346SP</t>
  </si>
  <si>
    <t>00034775</t>
  </si>
  <si>
    <t>NIHR Cambridge BRC Cell Phenotyping Hub</t>
  </si>
  <si>
    <t>S0347</t>
  </si>
  <si>
    <t>00034770</t>
  </si>
  <si>
    <t>Rensselaer Polytechnic Institute</t>
  </si>
  <si>
    <t>S0352</t>
  </si>
  <si>
    <t>00034772</t>
  </si>
  <si>
    <t>Université de Poitiers</t>
  </si>
  <si>
    <t>S0354</t>
  </si>
  <si>
    <t>00036323</t>
  </si>
  <si>
    <t>Universitätsklinikum Marburg - Inst. fuer Med. Mikrobio</t>
  </si>
  <si>
    <t>S0355</t>
  </si>
  <si>
    <t>00034712</t>
  </si>
  <si>
    <t>S0356</t>
  </si>
  <si>
    <t>00035819</t>
  </si>
  <si>
    <t>Institut Méditerranéen d?Océanologie (MIO)</t>
  </si>
  <si>
    <t>Janssen Research &amp; Development LLC - Malvern PA</t>
  </si>
  <si>
    <t>S0362</t>
  </si>
  <si>
    <t>00035095</t>
  </si>
  <si>
    <t>University of Warwick</t>
  </si>
  <si>
    <t>S0363</t>
  </si>
  <si>
    <t>00034931</t>
  </si>
  <si>
    <t>SBSL LLC</t>
  </si>
  <si>
    <t>S0364</t>
  </si>
  <si>
    <t>00035250</t>
  </si>
  <si>
    <t>S0368SP</t>
  </si>
  <si>
    <t>00036396</t>
  </si>
  <si>
    <t>Universitätsklinikum Aachen</t>
  </si>
  <si>
    <t>S0370</t>
  </si>
  <si>
    <t>00035129</t>
  </si>
  <si>
    <t>S0380</t>
  </si>
  <si>
    <t>00036108</t>
  </si>
  <si>
    <t>Xiamen University (?????</t>
  </si>
  <si>
    <t>S0381</t>
  </si>
  <si>
    <t>00035598</t>
  </si>
  <si>
    <t>S0385</t>
  </si>
  <si>
    <t>00035749</t>
  </si>
  <si>
    <t>Nanoenzyme Laboratory in ZHONGYUAN (?????????</t>
  </si>
  <si>
    <t>S0390</t>
  </si>
  <si>
    <t>00035826</t>
  </si>
  <si>
    <t>Quotient Therapeutics Limited</t>
  </si>
  <si>
    <t>S0400</t>
  </si>
  <si>
    <t>00035834</t>
  </si>
  <si>
    <t>S0402</t>
  </si>
  <si>
    <t>00035833</t>
  </si>
  <si>
    <t>S0403</t>
  </si>
  <si>
    <t>00036325</t>
  </si>
  <si>
    <t>S0404</t>
  </si>
  <si>
    <t>00035824</t>
  </si>
  <si>
    <t>S0408</t>
  </si>
  <si>
    <t>00035746</t>
  </si>
  <si>
    <t>S0409</t>
  </si>
  <si>
    <t>00036361</t>
  </si>
  <si>
    <t>University of Otago, Dunedin</t>
  </si>
  <si>
    <t>S0412</t>
  </si>
  <si>
    <t>00036571</t>
  </si>
  <si>
    <t>Indiana University: Bloomington</t>
  </si>
  <si>
    <t>S0414SP</t>
  </si>
  <si>
    <t>00036991</t>
  </si>
  <si>
    <t>S0415</t>
  </si>
  <si>
    <t>00036528</t>
  </si>
  <si>
    <t>SS1001</t>
  </si>
  <si>
    <t>00036072</t>
  </si>
  <si>
    <t>SS1002</t>
  </si>
  <si>
    <t>00036425</t>
  </si>
  <si>
    <t>Fudan University ??????</t>
  </si>
  <si>
    <t>SS1003</t>
  </si>
  <si>
    <t>00036427</t>
  </si>
  <si>
    <t>SS1006</t>
  </si>
  <si>
    <t>00036460</t>
  </si>
  <si>
    <t>SW1001</t>
  </si>
  <si>
    <t>00036359</t>
  </si>
  <si>
    <t>Suzhou CDC (????????????</t>
  </si>
  <si>
    <t>U1661</t>
  </si>
  <si>
    <t>00034709</t>
  </si>
  <si>
    <t>U1668</t>
  </si>
  <si>
    <t>00034978</t>
  </si>
  <si>
    <t>U1683</t>
  </si>
  <si>
    <t>00034836</t>
  </si>
  <si>
    <t>U1689SP</t>
  </si>
  <si>
    <t>00034837</t>
  </si>
  <si>
    <t>U1690</t>
  </si>
  <si>
    <t>00035468</t>
  </si>
  <si>
    <t>Wageningen University and Research - Cell Biology and Immunology group (CBI)</t>
  </si>
  <si>
    <t>U1693</t>
  </si>
  <si>
    <t>00034825</t>
  </si>
  <si>
    <t>U1697</t>
  </si>
  <si>
    <t>00034711</t>
  </si>
  <si>
    <t>U1699</t>
  </si>
  <si>
    <t>00034690</t>
  </si>
  <si>
    <t>U1700</t>
  </si>
  <si>
    <t>00034666</t>
  </si>
  <si>
    <t>U1703</t>
  </si>
  <si>
    <t>00034800</t>
  </si>
  <si>
    <t>U1704</t>
  </si>
  <si>
    <t>00035130</t>
  </si>
  <si>
    <t>U1706</t>
  </si>
  <si>
    <t>00035285</t>
  </si>
  <si>
    <t>U1707</t>
  </si>
  <si>
    <t>00035204</t>
  </si>
  <si>
    <t>IQVIA Laboratories Asia Pte Ltd</t>
  </si>
  <si>
    <t>U1708</t>
  </si>
  <si>
    <t>00034827</t>
  </si>
  <si>
    <t>U1709</t>
  </si>
  <si>
    <t>00036290</t>
  </si>
  <si>
    <t>U1710</t>
  </si>
  <si>
    <t>00035093</t>
  </si>
  <si>
    <t>AskBio UK Ltd</t>
  </si>
  <si>
    <t>U1711</t>
  </si>
  <si>
    <t>00036483</t>
  </si>
  <si>
    <t>U1714</t>
  </si>
  <si>
    <t>00034980</t>
  </si>
  <si>
    <t>Istituto Superiore di Sanità</t>
  </si>
  <si>
    <t>U1718</t>
  </si>
  <si>
    <t>U1720SP</t>
  </si>
  <si>
    <t>00034710</t>
  </si>
  <si>
    <t>U1723</t>
  </si>
  <si>
    <t>00035885</t>
  </si>
  <si>
    <t>U1725</t>
  </si>
  <si>
    <t>00035832</t>
  </si>
  <si>
    <t>U1730</t>
  </si>
  <si>
    <t>00035611</t>
  </si>
  <si>
    <t>U1731</t>
  </si>
  <si>
    <t>00035283</t>
  </si>
  <si>
    <t>Shanghai General Hospital (?????????)</t>
  </si>
  <si>
    <t>U1735</t>
  </si>
  <si>
    <t>00036005</t>
  </si>
  <si>
    <t>U1740SP</t>
  </si>
  <si>
    <t>00035613</t>
  </si>
  <si>
    <t>U1746</t>
  </si>
  <si>
    <t>00036700</t>
  </si>
  <si>
    <t>U1762</t>
  </si>
  <si>
    <t>00036701</t>
  </si>
  <si>
    <t>UM1001</t>
  </si>
  <si>
    <t>00035820</t>
  </si>
  <si>
    <t>UM1005</t>
  </si>
  <si>
    <t>00035750</t>
  </si>
  <si>
    <t>UM1006</t>
  </si>
  <si>
    <t>00035795</t>
  </si>
  <si>
    <t>UM1007</t>
  </si>
  <si>
    <t>00036206</t>
  </si>
  <si>
    <t>UM1008</t>
  </si>
  <si>
    <t>00036082</t>
  </si>
  <si>
    <t>UM1009</t>
  </si>
  <si>
    <t>00036307</t>
  </si>
  <si>
    <t>Nederlands Kanker Instituut (NKI) - Flow facility</t>
  </si>
  <si>
    <t>UM1016</t>
  </si>
  <si>
    <t>00036096</t>
  </si>
  <si>
    <t>UM1018</t>
  </si>
  <si>
    <t>00036112</t>
  </si>
  <si>
    <t>UM1019</t>
  </si>
  <si>
    <t>00036225</t>
  </si>
  <si>
    <t>UM1025</t>
  </si>
  <si>
    <t>00036468</t>
  </si>
  <si>
    <t>UM1026</t>
  </si>
  <si>
    <t>00036553</t>
  </si>
  <si>
    <t>UM1033SP</t>
  </si>
  <si>
    <t>00036840</t>
  </si>
  <si>
    <t>US1001</t>
  </si>
  <si>
    <t>00035873</t>
  </si>
  <si>
    <t>US1002</t>
  </si>
  <si>
    <t>00035887</t>
  </si>
  <si>
    <t>US1003</t>
  </si>
  <si>
    <t>00036105</t>
  </si>
  <si>
    <t>US1004</t>
  </si>
  <si>
    <t>00036606</t>
  </si>
  <si>
    <t>US1006</t>
  </si>
  <si>
    <t>00036399</t>
  </si>
  <si>
    <t>VM1005</t>
  </si>
  <si>
    <t>00036284</t>
  </si>
  <si>
    <t>Laboratoire de PhysioMédecine Moléculaire (LP2M)</t>
  </si>
  <si>
    <t>VS1001</t>
  </si>
  <si>
    <t>00036443</t>
  </si>
  <si>
    <t>Ningxia Medical University (???????</t>
  </si>
  <si>
    <t>XF1001</t>
  </si>
  <si>
    <t>00036534</t>
  </si>
  <si>
    <t>XF1003</t>
  </si>
  <si>
    <t>00036535</t>
  </si>
  <si>
    <t>XW1002</t>
  </si>
  <si>
    <t>00036531</t>
  </si>
  <si>
    <t>XW1003</t>
  </si>
  <si>
    <t>00036472</t>
  </si>
  <si>
    <t>XW1004</t>
  </si>
  <si>
    <t>00036587</t>
  </si>
  <si>
    <t>XW1005</t>
  </si>
  <si>
    <t>00036533</t>
  </si>
  <si>
    <t>XW1007</t>
  </si>
  <si>
    <t>00036592</t>
  </si>
  <si>
    <t>XW1008</t>
  </si>
  <si>
    <t>00036589</t>
  </si>
  <si>
    <t>Y1752SP</t>
  </si>
  <si>
    <t>00035296</t>
  </si>
  <si>
    <t>First Affiliated Hospital of Kunming Medical University(????????????)</t>
  </si>
  <si>
    <t>YM1005</t>
  </si>
  <si>
    <t>00034777</t>
  </si>
  <si>
    <t>YM1006</t>
  </si>
  <si>
    <t>00035845</t>
  </si>
  <si>
    <t>YS1002</t>
  </si>
  <si>
    <t>00036913</t>
  </si>
  <si>
    <t>5430100223</t>
  </si>
  <si>
    <t>Australia</t>
  </si>
  <si>
    <t>6620135137</t>
  </si>
  <si>
    <t>Children's Hospital at Westmead</t>
  </si>
  <si>
    <t>6735118050</t>
  </si>
  <si>
    <t>6735135148</t>
  </si>
  <si>
    <t>6735138191</t>
  </si>
  <si>
    <t>7200120313</t>
  </si>
  <si>
    <t>MONASH UNIVERSITY - CLAYTON</t>
  </si>
  <si>
    <t>7200121070</t>
  </si>
  <si>
    <t>CONCEPT FERTILITY CENTRE</t>
  </si>
  <si>
    <t>7200121126</t>
  </si>
  <si>
    <t>7200121281</t>
  </si>
  <si>
    <t>7200121454</t>
  </si>
  <si>
    <t>7200121456</t>
  </si>
  <si>
    <t>7200150272</t>
  </si>
  <si>
    <t>GRIFFITH UNIVERSITY - GOLD COAST CAMPUS</t>
  </si>
  <si>
    <t>7200150606</t>
  </si>
  <si>
    <t>Abacus dx Pty Ltd</t>
  </si>
  <si>
    <t>7200150861</t>
  </si>
  <si>
    <t>LIONCO - TOOHEYS BREWERY</t>
  </si>
  <si>
    <t>7200150863</t>
  </si>
  <si>
    <t>7200150937</t>
  </si>
  <si>
    <t>7200151226</t>
  </si>
  <si>
    <t>8470050196</t>
  </si>
  <si>
    <t>8470050245</t>
  </si>
  <si>
    <t>CSL LIMITED</t>
  </si>
  <si>
    <t>8470080113</t>
  </si>
  <si>
    <t>8470120103</t>
  </si>
  <si>
    <t>UNI-AUGENKLINIK</t>
  </si>
  <si>
    <t>8470120133</t>
  </si>
  <si>
    <t>Merck KGaA - Merck Healthcare Pty Ltd</t>
  </si>
  <si>
    <t>8472050208</t>
  </si>
  <si>
    <t>University of Melbourne</t>
  </si>
  <si>
    <t>8472060103</t>
  </si>
  <si>
    <t>8472060179</t>
  </si>
  <si>
    <t>CLINICAL STEM CELLS PTY LTD</t>
  </si>
  <si>
    <t>870060231</t>
  </si>
  <si>
    <t>BETA 01</t>
  </si>
  <si>
    <t>CB163</t>
  </si>
  <si>
    <t>CF016</t>
  </si>
  <si>
    <t>Translational Research Institute Pty Ltd</t>
  </si>
  <si>
    <t>FE227</t>
  </si>
  <si>
    <t>Monash - Flowcore</t>
  </si>
  <si>
    <t>FE293</t>
  </si>
  <si>
    <t>CSL Innovation</t>
  </si>
  <si>
    <t>FE347</t>
  </si>
  <si>
    <t>Murdoch Children's Research Institute</t>
  </si>
  <si>
    <t>FF137</t>
  </si>
  <si>
    <t>FG033</t>
  </si>
  <si>
    <t>Harry Perkins Institute of Medical Research</t>
  </si>
  <si>
    <t>FG110</t>
  </si>
  <si>
    <t>Hudson Institute of Medical Research</t>
  </si>
  <si>
    <t>FG179</t>
  </si>
  <si>
    <t>FG185</t>
  </si>
  <si>
    <t>FG235</t>
  </si>
  <si>
    <t>Monash University</t>
  </si>
  <si>
    <t>FG279</t>
  </si>
  <si>
    <t>FG320</t>
  </si>
  <si>
    <t>Peter Maccallum Cancer Centre</t>
  </si>
  <si>
    <t>FG384</t>
  </si>
  <si>
    <t>University of Sydney - Perdomo</t>
  </si>
  <si>
    <t>FG397</t>
  </si>
  <si>
    <t>Burnet Institute for Medical Research</t>
  </si>
  <si>
    <t>FH027</t>
  </si>
  <si>
    <t>CellCarta Biosciences Inc - Australia</t>
  </si>
  <si>
    <t>FH028</t>
  </si>
  <si>
    <t>FH102</t>
  </si>
  <si>
    <t>FH103</t>
  </si>
  <si>
    <t>FH177</t>
  </si>
  <si>
    <t>University of Sunshine Coast</t>
  </si>
  <si>
    <t>FH204</t>
  </si>
  <si>
    <t>FH238</t>
  </si>
  <si>
    <t>FS104</t>
  </si>
  <si>
    <t>University of New England (UNE) Australia</t>
  </si>
  <si>
    <t>Guava EasyCyte Plus, Refurbished System, Obsolete</t>
  </si>
  <si>
    <t>GTI-3630070160R</t>
  </si>
  <si>
    <t>SIR CHARLES GAIRDNER HOSPITAL</t>
  </si>
  <si>
    <t>Guava Easycyte Plus Base System</t>
  </si>
  <si>
    <t>GTI3630090429</t>
  </si>
  <si>
    <t>GTI-6735115050</t>
  </si>
  <si>
    <t>BIONOMICS LIMITED</t>
  </si>
  <si>
    <t>HG005</t>
  </si>
  <si>
    <t>ISX122</t>
  </si>
  <si>
    <t>MILLENNIUM SCIENCE</t>
  </si>
  <si>
    <t>ISX191</t>
  </si>
  <si>
    <t>AIMS</t>
  </si>
  <si>
    <t>ISX193</t>
  </si>
  <si>
    <t>Flinders University</t>
  </si>
  <si>
    <t>ISX574</t>
  </si>
  <si>
    <t>University of Western Australia</t>
  </si>
  <si>
    <t>MU21035002</t>
  </si>
  <si>
    <t>NM1096</t>
  </si>
  <si>
    <t>00033079</t>
  </si>
  <si>
    <t>The Royal Melbourne Hospital - VIDRL</t>
  </si>
  <si>
    <t>R0969</t>
  </si>
  <si>
    <t>00035627</t>
  </si>
  <si>
    <t>U0809</t>
  </si>
  <si>
    <t>00034141</t>
  </si>
  <si>
    <t>U1605</t>
  </si>
  <si>
    <t>00036968</t>
  </si>
  <si>
    <t>U1609</t>
  </si>
  <si>
    <t>00036969</t>
  </si>
  <si>
    <t>ANZ_DEMO2</t>
  </si>
  <si>
    <t>00031602</t>
  </si>
  <si>
    <t>CC265</t>
  </si>
  <si>
    <t>00013475</t>
  </si>
  <si>
    <t>University of Tasmania</t>
  </si>
  <si>
    <t>CC273</t>
  </si>
  <si>
    <t>00017411</t>
  </si>
  <si>
    <t>CC300</t>
  </si>
  <si>
    <t>00014792</t>
  </si>
  <si>
    <t>Australian Red Cross Lifeblood</t>
  </si>
  <si>
    <t>CC365</t>
  </si>
  <si>
    <t>00015245</t>
  </si>
  <si>
    <t>Murdoch Children's Research Institute - Elefanty group</t>
  </si>
  <si>
    <t>CC424</t>
  </si>
  <si>
    <t>00014477</t>
  </si>
  <si>
    <t>CC438</t>
  </si>
  <si>
    <t>00014465</t>
  </si>
  <si>
    <t>QIMR Berghofer Medical Research Institute</t>
  </si>
  <si>
    <t>CE068</t>
  </si>
  <si>
    <t>00030857</t>
  </si>
  <si>
    <t>AUSTRALIA</t>
  </si>
  <si>
    <t>FF109</t>
  </si>
  <si>
    <t>00030917</t>
  </si>
  <si>
    <t>Teva Pharmaceuticals Australia Pty Ltd</t>
  </si>
  <si>
    <t>FH088</t>
  </si>
  <si>
    <t>00033703</t>
  </si>
  <si>
    <t>Cytek Northern Lights- CLC IVD 3000</t>
  </si>
  <si>
    <t>NE0003</t>
  </si>
  <si>
    <t>00031274</t>
  </si>
  <si>
    <t>University of South Australia</t>
  </si>
  <si>
    <t>NE0044</t>
  </si>
  <si>
    <t>00031722</t>
  </si>
  <si>
    <t>NM1274</t>
  </si>
  <si>
    <t>00030675</t>
  </si>
  <si>
    <t>NM1291</t>
  </si>
  <si>
    <t>00016536</t>
  </si>
  <si>
    <t>NM1403</t>
  </si>
  <si>
    <t>00036977</t>
  </si>
  <si>
    <t>NM1441</t>
  </si>
  <si>
    <t>00032943</t>
  </si>
  <si>
    <t>University of Sydney - Teaching</t>
  </si>
  <si>
    <t>NM1456</t>
  </si>
  <si>
    <t>00034046</t>
  </si>
  <si>
    <t>Peter Maccallum Cancer Centre - Clinical</t>
  </si>
  <si>
    <t>NM1556SP</t>
  </si>
  <si>
    <t>00034180</t>
  </si>
  <si>
    <t>R0028SP</t>
  </si>
  <si>
    <t>00014473</t>
  </si>
  <si>
    <t>R0141SP</t>
  </si>
  <si>
    <t>00014460</t>
  </si>
  <si>
    <t>R0150SP</t>
  </si>
  <si>
    <t>00032520</t>
  </si>
  <si>
    <t>R0220</t>
  </si>
  <si>
    <t>00035261</t>
  </si>
  <si>
    <t>R0597</t>
  </si>
  <si>
    <t>00034871</t>
  </si>
  <si>
    <t>St Vincent's Institute of Medical Research</t>
  </si>
  <si>
    <t>S0131</t>
  </si>
  <si>
    <t>00017225</t>
  </si>
  <si>
    <t>S0173</t>
  </si>
  <si>
    <t>00016624</t>
  </si>
  <si>
    <t>S0183</t>
  </si>
  <si>
    <t>00035260</t>
  </si>
  <si>
    <t>S0269</t>
  </si>
  <si>
    <t>00032031</t>
  </si>
  <si>
    <t>Queensland University of Technology</t>
  </si>
  <si>
    <t>S0274</t>
  </si>
  <si>
    <t>00032502</t>
  </si>
  <si>
    <t>S0313</t>
  </si>
  <si>
    <t>00033478</t>
  </si>
  <si>
    <t>S0320</t>
  </si>
  <si>
    <t>00033493</t>
  </si>
  <si>
    <t>U0249</t>
  </si>
  <si>
    <t>00034119</t>
  </si>
  <si>
    <t>U0321SP</t>
  </si>
  <si>
    <t>00014469</t>
  </si>
  <si>
    <t>U0367</t>
  </si>
  <si>
    <t>00014457</t>
  </si>
  <si>
    <t>U0673</t>
  </si>
  <si>
    <t>00017604</t>
  </si>
  <si>
    <t>U0901</t>
  </si>
  <si>
    <t>00034855</t>
  </si>
  <si>
    <t>U0902</t>
  </si>
  <si>
    <t>00033952</t>
  </si>
  <si>
    <t>Monash - Flowcore MHTP</t>
  </si>
  <si>
    <t>U0964</t>
  </si>
  <si>
    <t>00032513</t>
  </si>
  <si>
    <t>U1080SP</t>
  </si>
  <si>
    <t>00016279</t>
  </si>
  <si>
    <t>U1110</t>
  </si>
  <si>
    <t>U1313SP</t>
  </si>
  <si>
    <t>00035643</t>
  </si>
  <si>
    <t>Baker Heart and Diabetes Institute</t>
  </si>
  <si>
    <t>U1363SP</t>
  </si>
  <si>
    <t>00017662</t>
  </si>
  <si>
    <t>SAHMRI</t>
  </si>
  <si>
    <t>U1393</t>
  </si>
  <si>
    <t>00033953</t>
  </si>
  <si>
    <t>U1450</t>
  </si>
  <si>
    <t>00031145</t>
  </si>
  <si>
    <t>U1496</t>
  </si>
  <si>
    <t>00032739</t>
  </si>
  <si>
    <t>Centre for Microscopy, Characterisation and Analysis</t>
  </si>
  <si>
    <t>U1508</t>
  </si>
  <si>
    <t>00031987</t>
  </si>
  <si>
    <t>U1540</t>
  </si>
  <si>
    <t>00032685</t>
  </si>
  <si>
    <t>U1542</t>
  </si>
  <si>
    <t>00032392</t>
  </si>
  <si>
    <t>U1544</t>
  </si>
  <si>
    <t>00032683</t>
  </si>
  <si>
    <t>U1621</t>
  </si>
  <si>
    <t>00033492</t>
  </si>
  <si>
    <t>Y0021</t>
  </si>
  <si>
    <t>00036971</t>
  </si>
  <si>
    <t>Y0027</t>
  </si>
  <si>
    <t>00017413</t>
  </si>
  <si>
    <t>Y0034SP</t>
  </si>
  <si>
    <t>00017410</t>
  </si>
  <si>
    <t>Y0079</t>
  </si>
  <si>
    <t>00017412</t>
  </si>
  <si>
    <t>Y0094</t>
  </si>
  <si>
    <t>00017414</t>
  </si>
  <si>
    <t>Y0095</t>
  </si>
  <si>
    <t>00035499</t>
  </si>
  <si>
    <t>Y0098</t>
  </si>
  <si>
    <t>00036974</t>
  </si>
  <si>
    <t>Y0115</t>
  </si>
  <si>
    <t>00013474</t>
  </si>
  <si>
    <t>ISX570</t>
  </si>
  <si>
    <t>00035282</t>
  </si>
  <si>
    <t>NM1515</t>
  </si>
  <si>
    <t>00035500</t>
  </si>
  <si>
    <t>FE224</t>
  </si>
  <si>
    <t>00015146</t>
  </si>
  <si>
    <t>FF136</t>
  </si>
  <si>
    <t>00016275</t>
  </si>
  <si>
    <t>FG091</t>
  </si>
  <si>
    <t>00017661</t>
  </si>
  <si>
    <t>FG162</t>
  </si>
  <si>
    <t>00017396</t>
  </si>
  <si>
    <t>FG301</t>
  </si>
  <si>
    <t>00031584</t>
  </si>
  <si>
    <t>MU23069004</t>
  </si>
  <si>
    <t>00017632</t>
  </si>
  <si>
    <t>MU23076004</t>
  </si>
  <si>
    <t>00017771</t>
  </si>
  <si>
    <t>NM1488</t>
  </si>
  <si>
    <t>00032028</t>
  </si>
  <si>
    <t>U1277SP</t>
  </si>
  <si>
    <t>00034313</t>
  </si>
  <si>
    <t>U1660</t>
  </si>
  <si>
    <t>00034232</t>
  </si>
  <si>
    <t>6620126076</t>
  </si>
  <si>
    <t>Universität Salzburg</t>
  </si>
  <si>
    <t>Austria</t>
  </si>
  <si>
    <t>6620-R8005</t>
  </si>
  <si>
    <t>Medizinische Universität Graz - Molekularbiologie und Biochemie</t>
  </si>
  <si>
    <t>6735126078</t>
  </si>
  <si>
    <t>INNOVACELL GmbH</t>
  </si>
  <si>
    <t>6735128143</t>
  </si>
  <si>
    <t>INSTITUT FUER ANALYTISCHE CHEMIE UND RADIOCHEMIE</t>
  </si>
  <si>
    <t>6735-R8152</t>
  </si>
  <si>
    <t>7200120234</t>
  </si>
  <si>
    <t>Institut für Molekulare Biotechnologie (IMBA)</t>
  </si>
  <si>
    <t>7200120595</t>
  </si>
  <si>
    <t>7200683</t>
  </si>
  <si>
    <t>EVER NEURO PHARMA GMBH</t>
  </si>
  <si>
    <t>8470080174</t>
  </si>
  <si>
    <t>Universität für Bodenkultur Wien (BOKU)</t>
  </si>
  <si>
    <t>Cellstream Base 7 Ch Autosampler Instrument</t>
  </si>
  <si>
    <t>CS068</t>
  </si>
  <si>
    <t>Universität Wien</t>
  </si>
  <si>
    <t>FF334</t>
  </si>
  <si>
    <t>Veterinärmedizinische Universität Wien</t>
  </si>
  <si>
    <t>FG056</t>
  </si>
  <si>
    <t>Mobius Biotechnology GmbH</t>
  </si>
  <si>
    <t>FG061</t>
  </si>
  <si>
    <t>Paracelsus Medical University</t>
  </si>
  <si>
    <t>FG064</t>
  </si>
  <si>
    <t>Zentrum fuer Pathophysiologie, Infektiologie und Immunologie</t>
  </si>
  <si>
    <t>FG069</t>
  </si>
  <si>
    <t>FG070</t>
  </si>
  <si>
    <t>MedUni Wien Institute of Specific Prophylaxis and Tropical Medicine</t>
  </si>
  <si>
    <t>FH078</t>
  </si>
  <si>
    <t>CBMed Biomarker Research</t>
  </si>
  <si>
    <t>GTI-0200246</t>
  </si>
  <si>
    <t>GTI-3630070215</t>
  </si>
  <si>
    <t>GTI-3630080349</t>
  </si>
  <si>
    <t>GTI-3630090403</t>
  </si>
  <si>
    <t>SANDOZ GMBH</t>
  </si>
  <si>
    <t>GTI-6620115040</t>
  </si>
  <si>
    <t>GTI-96-3-020313</t>
  </si>
  <si>
    <t>ISX466</t>
  </si>
  <si>
    <t>ISX669</t>
  </si>
  <si>
    <t>MU22007001</t>
  </si>
  <si>
    <t>U0469</t>
  </si>
  <si>
    <t>NM1254</t>
  </si>
  <si>
    <t>00033969</t>
  </si>
  <si>
    <t>CC251</t>
  </si>
  <si>
    <t>00013697</t>
  </si>
  <si>
    <t>NM1414</t>
  </si>
  <si>
    <t>00035644</t>
  </si>
  <si>
    <t>R0929</t>
  </si>
  <si>
    <t>00017110</t>
  </si>
  <si>
    <t>S0137</t>
  </si>
  <si>
    <t>00016309</t>
  </si>
  <si>
    <t>S0290</t>
  </si>
  <si>
    <t>00034239</t>
  </si>
  <si>
    <t>Max Perutz Labs Support GmbH</t>
  </si>
  <si>
    <t>U1168</t>
  </si>
  <si>
    <t>00035512</t>
  </si>
  <si>
    <t>V1007</t>
  </si>
  <si>
    <t>00016513</t>
  </si>
  <si>
    <t>Medizinische Universität Graz</t>
  </si>
  <si>
    <t>Y0087</t>
  </si>
  <si>
    <t>00013696</t>
  </si>
  <si>
    <t>Y0474</t>
  </si>
  <si>
    <t>00014373</t>
  </si>
  <si>
    <t>VAMED-KMB Krankenhausmanagement und Betriebsfuehrungsges.m.b.H.</t>
  </si>
  <si>
    <t>Y0744</t>
  </si>
  <si>
    <t>00014548</t>
  </si>
  <si>
    <t>Karl-Franzens-Universität Graz</t>
  </si>
  <si>
    <t>8470060270</t>
  </si>
  <si>
    <t>00034467</t>
  </si>
  <si>
    <t>FS189</t>
  </si>
  <si>
    <t>00033524</t>
  </si>
  <si>
    <t>NM1435</t>
  </si>
  <si>
    <t>00036110</t>
  </si>
  <si>
    <t>U0227</t>
  </si>
  <si>
    <t>00034035</t>
  </si>
  <si>
    <t>Boehringer Ingelheim RCV GmbH &amp; Co KG</t>
  </si>
  <si>
    <t>U1610</t>
  </si>
  <si>
    <t>00033433</t>
  </si>
  <si>
    <t>CC364</t>
  </si>
  <si>
    <t>00012601</t>
  </si>
  <si>
    <t>CE043</t>
  </si>
  <si>
    <t>00014549</t>
  </si>
  <si>
    <t>NM1157</t>
  </si>
  <si>
    <t>00015115</t>
  </si>
  <si>
    <t>NM1412</t>
  </si>
  <si>
    <t>00017855</t>
  </si>
  <si>
    <t>R0604</t>
  </si>
  <si>
    <t>00013493</t>
  </si>
  <si>
    <t>S0199</t>
  </si>
  <si>
    <t>00017123</t>
  </si>
  <si>
    <t>S0259</t>
  </si>
  <si>
    <t>00031257</t>
  </si>
  <si>
    <t>S0328</t>
  </si>
  <si>
    <t>00034190</t>
  </si>
  <si>
    <t>U0317</t>
  </si>
  <si>
    <t>00012960</t>
  </si>
  <si>
    <t>Tirol Kliniken GmbH</t>
  </si>
  <si>
    <t>U0851</t>
  </si>
  <si>
    <t>00017008</t>
  </si>
  <si>
    <t>Medizinische Universität Wien - Zentrum für Krebsforschung</t>
  </si>
  <si>
    <t>ISX785</t>
  </si>
  <si>
    <t>00032977</t>
  </si>
  <si>
    <t>Azerbaijan</t>
  </si>
  <si>
    <t>EC202876A1</t>
  </si>
  <si>
    <t>Ministry of Agriculture and Food of the Republic of Belarus</t>
  </si>
  <si>
    <t>Belarus</t>
  </si>
  <si>
    <t>FS329</t>
  </si>
  <si>
    <t>APLITEC</t>
  </si>
  <si>
    <t>Guava EasyCyte Plus HPL Base System, Refurbished, Obsolete</t>
  </si>
  <si>
    <t>4500-R0106</t>
  </si>
  <si>
    <t>Belgium</t>
  </si>
  <si>
    <t>6620126057</t>
  </si>
  <si>
    <t>Université catholique de Louvain (UCLouvain)</t>
  </si>
  <si>
    <t>6735115078</t>
  </si>
  <si>
    <t>6735125144</t>
  </si>
  <si>
    <t>6735125145</t>
  </si>
  <si>
    <t>6735126083</t>
  </si>
  <si>
    <t>Janssen Pharmaceutica NV</t>
  </si>
  <si>
    <t>6735126084</t>
  </si>
  <si>
    <t>6735148239</t>
  </si>
  <si>
    <t>6735156248</t>
  </si>
  <si>
    <t>6735158278</t>
  </si>
  <si>
    <t>6735158279</t>
  </si>
  <si>
    <t>6735-R5065</t>
  </si>
  <si>
    <t>KU Leuven</t>
  </si>
  <si>
    <t>6735-R5162</t>
  </si>
  <si>
    <t>6735-R8132</t>
  </si>
  <si>
    <t>UNIVERSITY HOSPITAL LEUVEN</t>
  </si>
  <si>
    <t>6735-R8151</t>
  </si>
  <si>
    <t>RAYEN PROJECTS NV</t>
  </si>
  <si>
    <t>7200120996</t>
  </si>
  <si>
    <t>UNIVERSITE LIBRE DE BRUXELLES (ULB) - GOSSELIES</t>
  </si>
  <si>
    <t>7200121523</t>
  </si>
  <si>
    <t>7200150671</t>
  </si>
  <si>
    <t>PRODIGEST BVBA</t>
  </si>
  <si>
    <t>7200150899</t>
  </si>
  <si>
    <t>CULTURE IN VIVO ASBL</t>
  </si>
  <si>
    <t>820826</t>
  </si>
  <si>
    <t>8470060113</t>
  </si>
  <si>
    <t>Puratos</t>
  </si>
  <si>
    <t>8470060192</t>
  </si>
  <si>
    <t>84701630105</t>
  </si>
  <si>
    <t>AB INBEV</t>
  </si>
  <si>
    <t>8472050249SN</t>
  </si>
  <si>
    <t>UCLL Hogeschool - Campus Gasthuisberg</t>
  </si>
  <si>
    <t>8472060111</t>
  </si>
  <si>
    <t>BE1202217079_000002</t>
  </si>
  <si>
    <t>CG008</t>
  </si>
  <si>
    <t>Universiteit Antwerpen - Parasitology</t>
  </si>
  <si>
    <t>EC202136A1</t>
  </si>
  <si>
    <t>FF207</t>
  </si>
  <si>
    <t>de Duve Institute (UCLouvain)</t>
  </si>
  <si>
    <t>FF220</t>
  </si>
  <si>
    <t>FF280</t>
  </si>
  <si>
    <t>Vlaams Instituut voor Biotechnologie (VIB) vzw</t>
  </si>
  <si>
    <t>FG014</t>
  </si>
  <si>
    <t>iTeos Therapeutics_Gosselies</t>
  </si>
  <si>
    <t>FG065</t>
  </si>
  <si>
    <t>FG207</t>
  </si>
  <si>
    <t>Medpace - Belgium</t>
  </si>
  <si>
    <t>FG248</t>
  </si>
  <si>
    <t>European Plotkin Institute for Vaccinology (ULB EPIV)</t>
  </si>
  <si>
    <t>FG361</t>
  </si>
  <si>
    <t>KU Leuven - FCF</t>
  </si>
  <si>
    <t>FG363</t>
  </si>
  <si>
    <t>FG364</t>
  </si>
  <si>
    <t>VIB-UAntwerp Center for Molecular Neurology</t>
  </si>
  <si>
    <t>FG377</t>
  </si>
  <si>
    <t>CellCarta Biosciences SA</t>
  </si>
  <si>
    <t>FG378</t>
  </si>
  <si>
    <t>FH146</t>
  </si>
  <si>
    <t>Universiteit Antwerpen - IRiS Research Group</t>
  </si>
  <si>
    <t>FH196</t>
  </si>
  <si>
    <t>PPD Inc - Zaventem BE</t>
  </si>
  <si>
    <t>FS148</t>
  </si>
  <si>
    <t>GTI-3630080340</t>
  </si>
  <si>
    <t>GTI-3630080356</t>
  </si>
  <si>
    <t>GTI-3630090392</t>
  </si>
  <si>
    <t>GTI-673510S001</t>
  </si>
  <si>
    <t>INOVEO SCRLFS</t>
  </si>
  <si>
    <t>GTI-6735116012</t>
  </si>
  <si>
    <t>GTI-6735116014</t>
  </si>
  <si>
    <t>THROMBOGENICS NV</t>
  </si>
  <si>
    <t>GTI-6735118051</t>
  </si>
  <si>
    <t>GTI-6735128111</t>
  </si>
  <si>
    <t>GTI-96-3-110274</t>
  </si>
  <si>
    <t>ISX563</t>
  </si>
  <si>
    <t>ISX586</t>
  </si>
  <si>
    <t>Universiteit Gent</t>
  </si>
  <si>
    <t>U0664</t>
  </si>
  <si>
    <t>00017441</t>
  </si>
  <si>
    <t>U1061</t>
  </si>
  <si>
    <t>00036124</t>
  </si>
  <si>
    <t>V1154</t>
  </si>
  <si>
    <t>00036412</t>
  </si>
  <si>
    <t>V1176</t>
  </si>
  <si>
    <t>00036413</t>
  </si>
  <si>
    <t>Y1034SP</t>
  </si>
  <si>
    <t>00034004</t>
  </si>
  <si>
    <t>UHasselt</t>
  </si>
  <si>
    <t>NE0013</t>
  </si>
  <si>
    <t>00017058</t>
  </si>
  <si>
    <t>Universitair Ziekenhuis Gent (UZ Gent)</t>
  </si>
  <si>
    <t>NM1083</t>
  </si>
  <si>
    <t>00036697</t>
  </si>
  <si>
    <t>S0196</t>
  </si>
  <si>
    <t>00017176</t>
  </si>
  <si>
    <t>VUB_Vrij University of Brussels_Jette</t>
  </si>
  <si>
    <t>S0234</t>
  </si>
  <si>
    <t>00017802</t>
  </si>
  <si>
    <t>U1380</t>
  </si>
  <si>
    <t>00034461</t>
  </si>
  <si>
    <t>U1448</t>
  </si>
  <si>
    <t>00031666</t>
  </si>
  <si>
    <t>U1479</t>
  </si>
  <si>
    <t>00032825</t>
  </si>
  <si>
    <t>U1498</t>
  </si>
  <si>
    <t>00033446</t>
  </si>
  <si>
    <t>U1538</t>
  </si>
  <si>
    <t>00032827</t>
  </si>
  <si>
    <t>Y0491</t>
  </si>
  <si>
    <t>00034292</t>
  </si>
  <si>
    <t>Y1037</t>
  </si>
  <si>
    <t>00016373</t>
  </si>
  <si>
    <t>CS099</t>
  </si>
  <si>
    <t>00032083</t>
  </si>
  <si>
    <t>SLA-CS-BASIC</t>
  </si>
  <si>
    <t>8470050280SN</t>
  </si>
  <si>
    <t>00033288</t>
  </si>
  <si>
    <t>8470080148</t>
  </si>
  <si>
    <t>00034380</t>
  </si>
  <si>
    <t>8470080163</t>
  </si>
  <si>
    <t>00034157</t>
  </si>
  <si>
    <t>UNIVERSITY OF NAMUR</t>
  </si>
  <si>
    <t>8470130142</t>
  </si>
  <si>
    <t>00033286</t>
  </si>
  <si>
    <t>8472050179</t>
  </si>
  <si>
    <t>00035190</t>
  </si>
  <si>
    <t>Genzyme Flanders BV, a Sanofi Company</t>
  </si>
  <si>
    <t>EC202476A1</t>
  </si>
  <si>
    <t>00035464</t>
  </si>
  <si>
    <t>EC202606A1</t>
  </si>
  <si>
    <t>00035466</t>
  </si>
  <si>
    <t>EC201434A1</t>
  </si>
  <si>
    <t>00021151</t>
  </si>
  <si>
    <t>ETHERNA IMMUNOTHERAPIES NV</t>
  </si>
  <si>
    <t>ISX585</t>
  </si>
  <si>
    <t>00034969</t>
  </si>
  <si>
    <t>ISX616</t>
  </si>
  <si>
    <t>00033039</t>
  </si>
  <si>
    <t>ISX636</t>
  </si>
  <si>
    <t>00034008</t>
  </si>
  <si>
    <t>VIB Flow Core Ghent</t>
  </si>
  <si>
    <t>MU23075001</t>
  </si>
  <si>
    <t>00036982</t>
  </si>
  <si>
    <t>7200151200</t>
  </si>
  <si>
    <t>00035647</t>
  </si>
  <si>
    <t>7200151214</t>
  </si>
  <si>
    <t>00035649</t>
  </si>
  <si>
    <t>7200151225</t>
  </si>
  <si>
    <t>00035648</t>
  </si>
  <si>
    <t>S0177</t>
  </si>
  <si>
    <t>00031658</t>
  </si>
  <si>
    <t>VUB_Vrij University of Brussels_Etterbeek</t>
  </si>
  <si>
    <t>S0260</t>
  </si>
  <si>
    <t>00032104</t>
  </si>
  <si>
    <t>U0666</t>
  </si>
  <si>
    <t>00017878</t>
  </si>
  <si>
    <t>U1489</t>
  </si>
  <si>
    <t>00032102</t>
  </si>
  <si>
    <t>CE024</t>
  </si>
  <si>
    <t>00014752</t>
  </si>
  <si>
    <t>ISX767</t>
  </si>
  <si>
    <t>00031213</t>
  </si>
  <si>
    <t>NM1297</t>
  </si>
  <si>
    <t>00017120</t>
  </si>
  <si>
    <t>KU Leuven - Rega Institute - Molecular Immunology</t>
  </si>
  <si>
    <t>S0174</t>
  </si>
  <si>
    <t>00016741</t>
  </si>
  <si>
    <t>S0323</t>
  </si>
  <si>
    <t>00033935</t>
  </si>
  <si>
    <t>U1639</t>
  </si>
  <si>
    <t>00033936</t>
  </si>
  <si>
    <t>U1665</t>
  </si>
  <si>
    <t>00034351</t>
  </si>
  <si>
    <t>6620135139</t>
  </si>
  <si>
    <t>USP-ESCDE ARTES C E HUM-EACH</t>
  </si>
  <si>
    <t>6620136105</t>
  </si>
  <si>
    <t>UNIVERSIDADE FEDERAL DO RIO GRANDE DO SUL</t>
  </si>
  <si>
    <t>6620146175</t>
  </si>
  <si>
    <t>UEL - UNIV ESTADUAL DE LONDRINA</t>
  </si>
  <si>
    <t>6735128110</t>
  </si>
  <si>
    <t>Universidade Federal de São Paulo (UNIFESP)</t>
  </si>
  <si>
    <t>6735145240</t>
  </si>
  <si>
    <t>EMBRAPA-CENARGEN (EMBRAPA)</t>
  </si>
  <si>
    <t>6735148254</t>
  </si>
  <si>
    <t>UNIVERSIDADE FEDERAL DE ALFENAS (UNIFAL)</t>
  </si>
  <si>
    <t>8470060166</t>
  </si>
  <si>
    <t>UNIVERSIDADE FEDERAL RURAL DE PERNAMBUCO (UFPE)</t>
  </si>
  <si>
    <t>8470080108</t>
  </si>
  <si>
    <t>UNIVERSIDADE FEDERAL DO MARANHAO</t>
  </si>
  <si>
    <t>FS196</t>
  </si>
  <si>
    <t>FS224</t>
  </si>
  <si>
    <t>Universidade de São Paulo - Instituto de Biociências (IB-USP)</t>
  </si>
  <si>
    <t>GTI-6620106011</t>
  </si>
  <si>
    <t>UNIVERSIDADE FEDERAL DO CEARA</t>
  </si>
  <si>
    <t>GTI-6735115008</t>
  </si>
  <si>
    <t>GTI-6735118077</t>
  </si>
  <si>
    <t>Universidade de São Paulo - Instituto de Química de São Carlos (IQSC)</t>
  </si>
  <si>
    <t>ISX382</t>
  </si>
  <si>
    <t>FADURPE-FUNDACAO APOLONIO</t>
  </si>
  <si>
    <t>ISX387</t>
  </si>
  <si>
    <t>FIOCRUZ - CT PESQ RENNER RACHOU</t>
  </si>
  <si>
    <t>ISX456</t>
  </si>
  <si>
    <t>HEMOCENTRO - UNICAMP</t>
  </si>
  <si>
    <t>ISX501</t>
  </si>
  <si>
    <t>FUNDACAO BUTANTAN</t>
  </si>
  <si>
    <t>ISX689</t>
  </si>
  <si>
    <t>00029458</t>
  </si>
  <si>
    <t>FIOCRUZ - INSTITUTO DE TECNOLOGIA EM IMUNOBIOLOGICOS</t>
  </si>
  <si>
    <t>ISX716</t>
  </si>
  <si>
    <t>00029428</t>
  </si>
  <si>
    <t>7200151138</t>
  </si>
  <si>
    <t>FOT LTD</t>
  </si>
  <si>
    <t>Bulgaria</t>
  </si>
  <si>
    <t>EC200775A2</t>
  </si>
  <si>
    <t>EC232216G1</t>
  </si>
  <si>
    <t>00034193</t>
  </si>
  <si>
    <t>Medical University of Sofia</t>
  </si>
  <si>
    <t>EC232597C1</t>
  </si>
  <si>
    <t>00032433</t>
  </si>
  <si>
    <t>MUSE CELL ANALYZER, AUTOCD4/CD4</t>
  </si>
  <si>
    <t>MU21004101</t>
  </si>
  <si>
    <t>POLYPHARMA SARL</t>
  </si>
  <si>
    <t>Cameroon</t>
  </si>
  <si>
    <t>Canada</t>
  </si>
  <si>
    <t>AquaBounty Canada Inc</t>
  </si>
  <si>
    <t>Vital Biosciences Inc (VitalBio)</t>
  </si>
  <si>
    <t>CE118</t>
  </si>
  <si>
    <t>FE316</t>
  </si>
  <si>
    <t>FF060</t>
  </si>
  <si>
    <t>FF064</t>
  </si>
  <si>
    <t>FF187</t>
  </si>
  <si>
    <t>FF254</t>
  </si>
  <si>
    <t>FF295</t>
  </si>
  <si>
    <t>FG019</t>
  </si>
  <si>
    <t>FG030</t>
  </si>
  <si>
    <t>FG035</t>
  </si>
  <si>
    <t>FG104</t>
  </si>
  <si>
    <t>Ventus Therapeutics - Canada Site</t>
  </si>
  <si>
    <t>FG161</t>
  </si>
  <si>
    <t>FG184</t>
  </si>
  <si>
    <t>FG260</t>
  </si>
  <si>
    <t>FG275</t>
  </si>
  <si>
    <t>FG282</t>
  </si>
  <si>
    <t>FH018</t>
  </si>
  <si>
    <t>FH031</t>
  </si>
  <si>
    <t>FH060</t>
  </si>
  <si>
    <t>FH063</t>
  </si>
  <si>
    <t>FH094</t>
  </si>
  <si>
    <t>FH122</t>
  </si>
  <si>
    <t>FH186</t>
  </si>
  <si>
    <t>FH240</t>
  </si>
  <si>
    <t>GTI-0900826</t>
  </si>
  <si>
    <t>GTI-5430090140</t>
  </si>
  <si>
    <t>SIMON FRASER UNIVERSITY</t>
  </si>
  <si>
    <t>GTI-5430090156</t>
  </si>
  <si>
    <t>GTI-5430100207</t>
  </si>
  <si>
    <t>ADISAVE</t>
  </si>
  <si>
    <t>GTI-6735118008</t>
  </si>
  <si>
    <t>GTI-6735128088</t>
  </si>
  <si>
    <t>GTI-96-4-090392</t>
  </si>
  <si>
    <t>Allumiqs</t>
  </si>
  <si>
    <t>E2478</t>
  </si>
  <si>
    <t>00009372</t>
  </si>
  <si>
    <t>Cedarlane</t>
  </si>
  <si>
    <t>FE169</t>
  </si>
  <si>
    <t>00014809</t>
  </si>
  <si>
    <t>FE173</t>
  </si>
  <si>
    <t>00014866</t>
  </si>
  <si>
    <t>U1548</t>
  </si>
  <si>
    <t>00035729</t>
  </si>
  <si>
    <t>GENEX Cooperative Inc</t>
  </si>
  <si>
    <t>Sanofi Vaccines Canada Ltd</t>
  </si>
  <si>
    <t>Health Canada</t>
  </si>
  <si>
    <t>Sunnybrook Health Sciences Centre (SHSC)</t>
  </si>
  <si>
    <t>2800060164</t>
  </si>
  <si>
    <t>Biotech Pharmaceutical Co., Ltd ????????????</t>
  </si>
  <si>
    <t>363008304</t>
  </si>
  <si>
    <t>3630090394</t>
  </si>
  <si>
    <t>INSTITUTE OF BIOCHEMISTRY AND CELL BIOLOGY, SIBS, CAS</t>
  </si>
  <si>
    <t>3630090440</t>
  </si>
  <si>
    <t>Peking University (?????</t>
  </si>
  <si>
    <t>5430090124</t>
  </si>
  <si>
    <t>HUAZHONG UNIVERSITY SCIENCE AND TECHNOLOGY</t>
  </si>
  <si>
    <t>5430090132</t>
  </si>
  <si>
    <t>5430090144</t>
  </si>
  <si>
    <t>BEIJING ORIGENE TECHNOLOGIES</t>
  </si>
  <si>
    <t>5430090146</t>
  </si>
  <si>
    <t>SHAANXI NORMAL UNIVERSITY</t>
  </si>
  <si>
    <t>5430090149</t>
  </si>
  <si>
    <t>YANDA INTERNATIONAL MEDICAL RESEARCH INSTITUTE</t>
  </si>
  <si>
    <t>5430100161</t>
  </si>
  <si>
    <t>CHINA NOVARTIS INSTITUTES FOR BIOMEDICAL RESEARCH (CNIBR)</t>
  </si>
  <si>
    <t>5430100195</t>
  </si>
  <si>
    <t>5430100224</t>
  </si>
  <si>
    <t>Hangzhou Normal University (???????</t>
  </si>
  <si>
    <t>5430100241</t>
  </si>
  <si>
    <t>5580100125</t>
  </si>
  <si>
    <t>WEST CHINA SECOND UNIVERSITY HOSPITAL</t>
  </si>
  <si>
    <t>6620106014</t>
  </si>
  <si>
    <t>6620108001</t>
  </si>
  <si>
    <t>Nanjing Medical University (??????)</t>
  </si>
  <si>
    <t>6620111503</t>
  </si>
  <si>
    <t>Guava easyCyte 5 to 6 option. NIR upgrade at time of purchase, Obsolete</t>
  </si>
  <si>
    <t>6620115033</t>
  </si>
  <si>
    <t>SHANDONG MEDICINE TECHNICIAN</t>
  </si>
  <si>
    <t>6620116031</t>
  </si>
  <si>
    <t>6620125069</t>
  </si>
  <si>
    <t>6620125078</t>
  </si>
  <si>
    <t>SHENZHEN YISHIKANGNING BIOTECHNOLOGY COMPANY LTD</t>
  </si>
  <si>
    <t>6620125079</t>
  </si>
  <si>
    <t>BEIJING FRIENDSHIP HOSPITAL</t>
  </si>
  <si>
    <t>6620125080</t>
  </si>
  <si>
    <t>6620125099</t>
  </si>
  <si>
    <t>6620125100</t>
  </si>
  <si>
    <t>DALIAN UNIVERSITY</t>
  </si>
  <si>
    <t>6620125103</t>
  </si>
  <si>
    <t>SHENZHEN UNIVERSITY HEALTH SCIENCE CENTER</t>
  </si>
  <si>
    <t>6620125106</t>
  </si>
  <si>
    <t>AFFILIATED HOSPITAL OF XIANGNAN UNIVERSITY</t>
  </si>
  <si>
    <t>6620126051</t>
  </si>
  <si>
    <t>6620126052</t>
  </si>
  <si>
    <t>LUMINEX TRADING (SHANGHAI) COMPANY LTD</t>
  </si>
  <si>
    <t>6620126053</t>
  </si>
  <si>
    <t>6620126055</t>
  </si>
  <si>
    <t>6620126060</t>
  </si>
  <si>
    <t>ZHANGZHOU MUNICIPAL HOSPITAL OF FUJIAN PROVINCE, CHAOYANG BRANCH</t>
  </si>
  <si>
    <t>6620126061</t>
  </si>
  <si>
    <t>SHENZHEN YUANXING BIO-PHARM SCIENCE AND TECHNOLOGY CO LTD</t>
  </si>
  <si>
    <t>6620126065</t>
  </si>
  <si>
    <t>Chinese Academy of Medical Sciences &amp; Peking Union Medical College (???????)</t>
  </si>
  <si>
    <t>6620126068</t>
  </si>
  <si>
    <t>JINGMEN NO.1 PEOPLES HOSPITAL</t>
  </si>
  <si>
    <t>6620126070</t>
  </si>
  <si>
    <t>HARBIN MEDICAL UNIVERSITY</t>
  </si>
  <si>
    <t>6620126072</t>
  </si>
  <si>
    <t>6620126073</t>
  </si>
  <si>
    <t>SHANGHAI NINTH PEOPLE'S HOSPITAL</t>
  </si>
  <si>
    <t>6620126079</t>
  </si>
  <si>
    <t>COLLEGE OF PHARMACY, JINAN UNIVERSITY</t>
  </si>
  <si>
    <t>6620126080</t>
  </si>
  <si>
    <t>HEILONGJIANG UNIVERSITY OF CHINESE MEDICINE</t>
  </si>
  <si>
    <t>6620126081</t>
  </si>
  <si>
    <t>6620126083</t>
  </si>
  <si>
    <t>Shanghai Yuyan Biotechnology Co.,Ltd (?????????????</t>
  </si>
  <si>
    <t>6620126084</t>
  </si>
  <si>
    <t>ZHONGSHAN OPHTHALMIC CENTER, SUN YAT-SEN UNIVERSITY</t>
  </si>
  <si>
    <t>6620126087</t>
  </si>
  <si>
    <t>CHILDRENS HOSPITAL OF CHONGQING MEDICAL UNIVERSITY</t>
  </si>
  <si>
    <t>6620126089</t>
  </si>
  <si>
    <t>WUHAN POLYTECHNIC ACADEMY</t>
  </si>
  <si>
    <t>6620135141</t>
  </si>
  <si>
    <t>HAINAN UNIVERSITY HAIKOU</t>
  </si>
  <si>
    <t>6620135143</t>
  </si>
  <si>
    <t>6620136099</t>
  </si>
  <si>
    <t>6620136104</t>
  </si>
  <si>
    <t>6620136107</t>
  </si>
  <si>
    <t>6620136117</t>
  </si>
  <si>
    <t>HUASHAN HOSPITAL</t>
  </si>
  <si>
    <t>6620136119</t>
  </si>
  <si>
    <t>6620136120</t>
  </si>
  <si>
    <t>SHANGHAI UNIVERSITY OF MEDICINE AND HEALTH SCIENCES</t>
  </si>
  <si>
    <t>6620136121</t>
  </si>
  <si>
    <t>Jinan University (????)</t>
  </si>
  <si>
    <t>6620136122</t>
  </si>
  <si>
    <t>HENAN UNIVERSITY OF URBAN CONSTRUCTION</t>
  </si>
  <si>
    <t>6620136124</t>
  </si>
  <si>
    <t>6620136125</t>
  </si>
  <si>
    <t>CHENGDU BIO-ATOM BIOTECHNOLOGY CO., LTD.</t>
  </si>
  <si>
    <t>6620136134</t>
  </si>
  <si>
    <t>SHANGHAI PROTON HEAVY ION CENTER, FUDAN UNIVERSITY</t>
  </si>
  <si>
    <t>6620136135</t>
  </si>
  <si>
    <t>SHENZHEN YEACELL BIOTECH CO., LTD</t>
  </si>
  <si>
    <t>6620136137</t>
  </si>
  <si>
    <t>GUANGZHOU RUNSHENG CELL MEDICINE TECHNOLOGY CO., LTD</t>
  </si>
  <si>
    <t>6620136138</t>
  </si>
  <si>
    <t>6620136139</t>
  </si>
  <si>
    <t>BEIJING UNIVERSITY OF AERONAUTICS AND ASTRONAUTICS</t>
  </si>
  <si>
    <t>662013614</t>
  </si>
  <si>
    <t>XIAN JIAOTONG UNIVERSITY, SUZHOU ACADEMY</t>
  </si>
  <si>
    <t>6620136140</t>
  </si>
  <si>
    <t>6620136141</t>
  </si>
  <si>
    <t>6620138033</t>
  </si>
  <si>
    <t>WUHAN KINDSTAR DIAGNOSTICS CO., LTD</t>
  </si>
  <si>
    <t>6620138034</t>
  </si>
  <si>
    <t>FIRST AFFILIATED HOSPITAL OF SOOCHOW UNIVERSITY</t>
  </si>
  <si>
    <t>6620145161</t>
  </si>
  <si>
    <t>BEIJING RED BOYU BIOLOGICAL GENE TECHNOLOGY CO., LTD.</t>
  </si>
  <si>
    <t>6620145166</t>
  </si>
  <si>
    <t>NORTHEAST AGRICULTURAL UNIVERSITY</t>
  </si>
  <si>
    <t>6620145167</t>
  </si>
  <si>
    <t>GUANGZHOU JINKANG BIOTECH CO LTD</t>
  </si>
  <si>
    <t>6620145184</t>
  </si>
  <si>
    <t>6620145185</t>
  </si>
  <si>
    <t>UNIVERSITY OF APPLIED TECHNOLOGY OF SHANGHAI</t>
  </si>
  <si>
    <t>6620145188</t>
  </si>
  <si>
    <t>GUANGDONG TENGFEI GENE TECHNOLOGY CO., LTD</t>
  </si>
  <si>
    <t>6620146060</t>
  </si>
  <si>
    <t>NANJING ABINGEN BIOTECH INC.</t>
  </si>
  <si>
    <t>6620146147</t>
  </si>
  <si>
    <t>COLLEGE OF PHARMACY, XINXIANG MEDICAL UNIVERSITY</t>
  </si>
  <si>
    <t>6620146149</t>
  </si>
  <si>
    <t>6620146150</t>
  </si>
  <si>
    <t>Tianjin University of Traditional Chinese ?????????</t>
  </si>
  <si>
    <t>6620146152</t>
  </si>
  <si>
    <t>JIANGSU SIDIER BIOLOGICAL TECHNOLOGY CO., LTD.</t>
  </si>
  <si>
    <t>6620146153</t>
  </si>
  <si>
    <t>SHANTOU UNIVERSITY MEDICAL COLLEGE</t>
  </si>
  <si>
    <t>6620146157</t>
  </si>
  <si>
    <t>GUANGXI MEDICINAL BOTANICAL GARDEN</t>
  </si>
  <si>
    <t>6620146158</t>
  </si>
  <si>
    <t>DAAN GENE CO., LTD</t>
  </si>
  <si>
    <t>6620146162</t>
  </si>
  <si>
    <t>JIANGSU INSTITUTE OF TRADITIONAL CHINESE MEDICINE</t>
  </si>
  <si>
    <t>6620146164</t>
  </si>
  <si>
    <t>Harbin Institue of Technology?????????</t>
  </si>
  <si>
    <t>6620146165</t>
  </si>
  <si>
    <t>6620146166</t>
  </si>
  <si>
    <t>6620146167</t>
  </si>
  <si>
    <t>CHANGCHUN INSTITUTE OF APPLIED CHEMISTRY, CHINESE ACADEMY OF SCIENCES</t>
  </si>
  <si>
    <t>6620146168</t>
  </si>
  <si>
    <t>LANGFANG KANGBAO BIO TECHNOLOGY CO., LTD.</t>
  </si>
  <si>
    <t>6620146169</t>
  </si>
  <si>
    <t>HUACHEN FUTURE (BEIJING) BIOMEDICAL TECHNOLOGY CO., LTD.</t>
  </si>
  <si>
    <t>6620148050</t>
  </si>
  <si>
    <t>Huazhong Agricultural University ????????</t>
  </si>
  <si>
    <t>6620148055</t>
  </si>
  <si>
    <t>BEIJING CHILDREN'S HOSPITAL</t>
  </si>
  <si>
    <t>662014S025</t>
  </si>
  <si>
    <t>INSTITUTE OF URBAN ENVIRONMENTCHINESE ACADEMY OF SCIENCES</t>
  </si>
  <si>
    <t>6735106006</t>
  </si>
  <si>
    <t>Air Force Medical University ????????</t>
  </si>
  <si>
    <t>6735115048</t>
  </si>
  <si>
    <t>NANCHANG UNIVERSITY</t>
  </si>
  <si>
    <t>6735116034</t>
  </si>
  <si>
    <t>Institute of Medicinal Biotechnology (IMB)</t>
  </si>
  <si>
    <t>6735116044</t>
  </si>
  <si>
    <t>6735116055</t>
  </si>
  <si>
    <t>GMAX BIOPHARM</t>
  </si>
  <si>
    <t>6735116067</t>
  </si>
  <si>
    <t>6735118033</t>
  </si>
  <si>
    <t>6735118062</t>
  </si>
  <si>
    <t>Beigene (Beijing) Co., Ltd (????????????????)</t>
  </si>
  <si>
    <t>6735125096</t>
  </si>
  <si>
    <t>AMMS</t>
  </si>
  <si>
    <t>6735125101</t>
  </si>
  <si>
    <t>SHANGHAI ACADEMY OF AGRICULTURAL SCIENCES</t>
  </si>
  <si>
    <t>6735125124</t>
  </si>
  <si>
    <t>SHANGHAI VIVA BIOTECH LTD</t>
  </si>
  <si>
    <t>6735125129</t>
  </si>
  <si>
    <t>YANGZHOU VAX BIOSCIENCES LTD</t>
  </si>
  <si>
    <t>6735126073</t>
  </si>
  <si>
    <t>6735126075</t>
  </si>
  <si>
    <t>FIRST AFFILIATED HOSPITAL OF NANCHANG UNIVERSITY</t>
  </si>
  <si>
    <t>6735126081</t>
  </si>
  <si>
    <t>6735126085</t>
  </si>
  <si>
    <t>6735126087</t>
  </si>
  <si>
    <t>6735126089</t>
  </si>
  <si>
    <t>BEIJING CENTAURUSBIO COMPANY</t>
  </si>
  <si>
    <t>6735126090</t>
  </si>
  <si>
    <t>Cancer Hospital Chinese Academy of Medical Sciences ?????????????</t>
  </si>
  <si>
    <t>6735126091</t>
  </si>
  <si>
    <t>FIFTH INSTITUTE THE ACADEMY OF MILITARY MEDICAL SCIENCES (AMMS)</t>
  </si>
  <si>
    <t>6735126105</t>
  </si>
  <si>
    <t>6735126106</t>
  </si>
  <si>
    <t>ZHONGSHI (TIANJIN) INSPECTION AND TESTING CO., LTD</t>
  </si>
  <si>
    <t>6735126108</t>
  </si>
  <si>
    <t>6735126109</t>
  </si>
  <si>
    <t>6735126110</t>
  </si>
  <si>
    <t>INSTITUTE OF PROCESS ENGINEERING, CHINESE ACADEMY OF SCIENCES</t>
  </si>
  <si>
    <t>6735126111</t>
  </si>
  <si>
    <t>6735126112</t>
  </si>
  <si>
    <t>National Vaccine &amp; Serum Institute (???????????????)</t>
  </si>
  <si>
    <t>6735126113</t>
  </si>
  <si>
    <t>TIANJIN MEDICAL UNIVERSITY CANCER HOSPITAL</t>
  </si>
  <si>
    <t>6735126114</t>
  </si>
  <si>
    <t>6735128095</t>
  </si>
  <si>
    <t>NATIONAL INSTITUTES FOR FOOD AND DRUG CONTROL</t>
  </si>
  <si>
    <t>6735128116</t>
  </si>
  <si>
    <t>SHANGHAI INSTITUTE OF ORGANIC CHEMISTRY CHINESE ACADEMY OF SCIENCES</t>
  </si>
  <si>
    <t>6735128117</t>
  </si>
  <si>
    <t>CARSGEN THERAPEUTICS BIOMEDICAL (SHANGHAI) CO., LTD.</t>
  </si>
  <si>
    <t>6735128119</t>
  </si>
  <si>
    <t>6735128125</t>
  </si>
  <si>
    <t>KYinno Biotechnology Co., Ltd ??????????????????</t>
  </si>
  <si>
    <t>6735128138</t>
  </si>
  <si>
    <t>LIAOCHENG UNIVERSITY</t>
  </si>
  <si>
    <t>6735128157</t>
  </si>
  <si>
    <t>BEIJING UNIVERSITY OF TECHNOLOGY</t>
  </si>
  <si>
    <t>6735128158</t>
  </si>
  <si>
    <t>6735135169</t>
  </si>
  <si>
    <t>INSTITUTE OF HYDROBIOLOGY CHINESE ACADEMY OF SCIENCES</t>
  </si>
  <si>
    <t>6735135170</t>
  </si>
  <si>
    <t>CHINESE ACADEMY OF INSPECTION AND QUARANTINE</t>
  </si>
  <si>
    <t>6735135178</t>
  </si>
  <si>
    <t>Wuxi Apptec (Shanghai) Co., Ltd (???????????????</t>
  </si>
  <si>
    <t>6735135179</t>
  </si>
  <si>
    <t>SPAIN HIPRA BIOPHARMACEUTICAL CO., LTD. BEIJING REPRESENTATIVE OFFICE</t>
  </si>
  <si>
    <t>6735135184</t>
  </si>
  <si>
    <t>Guangxi University (?????</t>
  </si>
  <si>
    <t>6735135187</t>
  </si>
  <si>
    <t>GUANGZHOU FIRST PEOPLES HOSPITAL</t>
  </si>
  <si>
    <t>6735135193</t>
  </si>
  <si>
    <t>DRAGONBOAT BIOPHAMARCEUTICAL (SHANGHAI) CO LTD</t>
  </si>
  <si>
    <t>6735135195</t>
  </si>
  <si>
    <t>6735136132</t>
  </si>
  <si>
    <t>S-EVANS BIOSCIENCES</t>
  </si>
  <si>
    <t>6735136138</t>
  </si>
  <si>
    <t>QILU HOSPITAL OF SHANDONG UNIVERSITY</t>
  </si>
  <si>
    <t>6735136139</t>
  </si>
  <si>
    <t>6735136140</t>
  </si>
  <si>
    <t>TIANJIN INTERNATIONAL JOINT ACADEMY OF BIOMEDICINE</t>
  </si>
  <si>
    <t>6735136142</t>
  </si>
  <si>
    <t>JIANGSU KANION PHARMACEUTICAL CO LTD</t>
  </si>
  <si>
    <t>6735136143</t>
  </si>
  <si>
    <t>TIANJIN MEDICAL UNIVERSITY</t>
  </si>
  <si>
    <t>6735136144</t>
  </si>
  <si>
    <t>NORTHEAST FORESTRY UNIVERSITY</t>
  </si>
  <si>
    <t>6735136145</t>
  </si>
  <si>
    <t>6735136150</t>
  </si>
  <si>
    <t>6735136151</t>
  </si>
  <si>
    <t>6735136152</t>
  </si>
  <si>
    <t>JIANGSU OCEAN UNIVERSITY</t>
  </si>
  <si>
    <t>6735136156</t>
  </si>
  <si>
    <t>ZHEJIANG OCEAN UNIVERSITY</t>
  </si>
  <si>
    <t>6735136157</t>
  </si>
  <si>
    <t>SHENZHEN CHIPSCREEN BIOLOGICAL TECHNOLOGY CO., LTD.</t>
  </si>
  <si>
    <t>6735136158</t>
  </si>
  <si>
    <t>6735136170</t>
  </si>
  <si>
    <t>South China University of Technology (???????</t>
  </si>
  <si>
    <t>6735136171</t>
  </si>
  <si>
    <t>BEIJING MUNICIPAL CENTER FOR DISEASE CONTROL AND PREVENTION</t>
  </si>
  <si>
    <t>6735136172</t>
  </si>
  <si>
    <t>MBL HANGZHOU BIOTECHNOLOGY CO., LTD.</t>
  </si>
  <si>
    <t>6735136174</t>
  </si>
  <si>
    <t>XINJIANG ACADEMY OF FORESTRY</t>
  </si>
  <si>
    <t>6735136175</t>
  </si>
  <si>
    <t>GUANGXI UNIVERSITY OF CHINESE MEDICINE</t>
  </si>
  <si>
    <t>6735136177</t>
  </si>
  <si>
    <t>INSTITUTE OF CHINESE MATERIA MEDICA</t>
  </si>
  <si>
    <t>6735136178</t>
  </si>
  <si>
    <t>HISUN PHARMACEUTICAL (HANGZHOU) CO., LTD.</t>
  </si>
  <si>
    <t>6735138180</t>
  </si>
  <si>
    <t>BEIJING TECHNOLOGY AND BUSINESS UNIVERSITY</t>
  </si>
  <si>
    <t>6735138199</t>
  </si>
  <si>
    <t>SHANGHAI ENGINEERING RESEARCH CENTER FOR BIOLOGICAL TREATMENT OF CELLS LTD</t>
  </si>
  <si>
    <t>6735145219</t>
  </si>
  <si>
    <t>NATIONAL CENTER FOR AIDS/STD CONTROL AND PREVENTION, CHINA CDC</t>
  </si>
  <si>
    <t>6735145220</t>
  </si>
  <si>
    <t>GUANGZHOU YUN-YUAN BIOENGINEERING CO., LTD.</t>
  </si>
  <si>
    <t>6735145221</t>
  </si>
  <si>
    <t>Shenzhen Xinpeng Bioengineering Co., Ltd (???????????????</t>
  </si>
  <si>
    <t>6735145225</t>
  </si>
  <si>
    <t>JOHNSON &amp; JOHNSON MEDICAL CHINA LTD</t>
  </si>
  <si>
    <t>6735145238</t>
  </si>
  <si>
    <t>6735145242</t>
  </si>
  <si>
    <t>FEED RESEARCH INSTITUTE CHINESE ACADEMY OF AGRICULTURAL SCIENCES</t>
  </si>
  <si>
    <t>6735145246</t>
  </si>
  <si>
    <t>SHANGHAI MAB-VENTURE BIOPHARM CO., LTD</t>
  </si>
  <si>
    <t>6735146180</t>
  </si>
  <si>
    <t>Boyalife STEM Cell Co., Ltd (???????????)</t>
  </si>
  <si>
    <t>6735146181</t>
  </si>
  <si>
    <t>6735146182</t>
  </si>
  <si>
    <t>QILU CELL THERAPY TECHNOLOGY CO., LTD.</t>
  </si>
  <si>
    <t>6735146188</t>
  </si>
  <si>
    <t>ZAI LAB LIMITED</t>
  </si>
  <si>
    <t>6735146189</t>
  </si>
  <si>
    <t>SUN YAT-SEN UNIVERSITY (SOUTH CAMPUS)</t>
  </si>
  <si>
    <t>6735146193</t>
  </si>
  <si>
    <t>BEIJING HOSPITAL OF TRADITIONAL CHINESE MEDICINE</t>
  </si>
  <si>
    <t>6735146195</t>
  </si>
  <si>
    <t>Nankai University (?????</t>
  </si>
  <si>
    <t>6735146196</t>
  </si>
  <si>
    <t>GUANGDONG YINFENG CELL TECHNOLOGY CO., LTD</t>
  </si>
  <si>
    <t>6735146198</t>
  </si>
  <si>
    <t>SHANGHAI GENECHEM CO., LTD.</t>
  </si>
  <si>
    <t>6735146199</t>
  </si>
  <si>
    <t>SHANGHAI BENSHENG PHARMACEUTICAL CO., LTD.</t>
  </si>
  <si>
    <t>6735146200</t>
  </si>
  <si>
    <t>GUANGXI SERICULTURE TECHNICAL EXTENSION STATION</t>
  </si>
  <si>
    <t>6735146201</t>
  </si>
  <si>
    <t>SHANGHAI SINO BIO-TECH CO., LTD.</t>
  </si>
  <si>
    <t>6735146202</t>
  </si>
  <si>
    <t>SHANGHAI YIBEIRUI BIOMEDICAL SCIENCE AND TECHNOLOGY CO., LTD.</t>
  </si>
  <si>
    <t>6735146203</t>
  </si>
  <si>
    <t>BOAO YILING LIFE CARE CENTER</t>
  </si>
  <si>
    <t>6735146204</t>
  </si>
  <si>
    <t>6735146206</t>
  </si>
  <si>
    <t>6735146215</t>
  </si>
  <si>
    <t>6735146232</t>
  </si>
  <si>
    <t>SHANGHAI GENERAL HOSPITAL</t>
  </si>
  <si>
    <t>6735146234</t>
  </si>
  <si>
    <t>FIRST PEOPLES HOSPITAL OF CHANGZHOU</t>
  </si>
  <si>
    <t>6735146242</t>
  </si>
  <si>
    <t>6735146243</t>
  </si>
  <si>
    <t>Zhengzhou University (?????</t>
  </si>
  <si>
    <t>6735148238</t>
  </si>
  <si>
    <t>SHANGHAI NEWBIO THERAPEUTICS INC</t>
  </si>
  <si>
    <t>6735148266</t>
  </si>
  <si>
    <t>GUANGZHOU XIANGXUE PHARMACEUTICAL CO., LTD.</t>
  </si>
  <si>
    <t>6735148272</t>
  </si>
  <si>
    <t>7200120236</t>
  </si>
  <si>
    <t>7200120237</t>
  </si>
  <si>
    <t>7200120239</t>
  </si>
  <si>
    <t>7200120245</t>
  </si>
  <si>
    <t>7200120299</t>
  </si>
  <si>
    <t>7200120343</t>
  </si>
  <si>
    <t>BEIJING 304 HOSPITAL</t>
  </si>
  <si>
    <t>7200120351</t>
  </si>
  <si>
    <t>7200120384</t>
  </si>
  <si>
    <t>FIRST AFFILIATED HOSPITAL OF BENGBU MEDICAL COLLEGE</t>
  </si>
  <si>
    <t>7200120405</t>
  </si>
  <si>
    <t>7200120406</t>
  </si>
  <si>
    <t>TONGJI UNIVERSITY</t>
  </si>
  <si>
    <t>7200120424</t>
  </si>
  <si>
    <t>7200120435</t>
  </si>
  <si>
    <t>INTERDISCIPLINARY RESEARCH CENTER ON BIOLOGY AND CHEMISTRY</t>
  </si>
  <si>
    <t>7200120442</t>
  </si>
  <si>
    <t>7200120550</t>
  </si>
  <si>
    <t>7200120626</t>
  </si>
  <si>
    <t>7200120635</t>
  </si>
  <si>
    <t>7200120725</t>
  </si>
  <si>
    <t>7200120857</t>
  </si>
  <si>
    <t>7200120858</t>
  </si>
  <si>
    <t>7200120940</t>
  </si>
  <si>
    <t>Beijing Ditan Hospital Capital Medical U (??????????????)</t>
  </si>
  <si>
    <t>7200120941</t>
  </si>
  <si>
    <t>7200120942</t>
  </si>
  <si>
    <t>XUANWU HOSPITAL</t>
  </si>
  <si>
    <t>7200120944</t>
  </si>
  <si>
    <t>HEBEI UNITED UNIVERSITY</t>
  </si>
  <si>
    <t>7200120947</t>
  </si>
  <si>
    <t>7200120948</t>
  </si>
  <si>
    <t>7200121012</t>
  </si>
  <si>
    <t>7200121019</t>
  </si>
  <si>
    <t>7200121021</t>
  </si>
  <si>
    <t>7200121022</t>
  </si>
  <si>
    <t>7200121092</t>
  </si>
  <si>
    <t>CHANGHAI HOSPITAL(FIRST AFFILIATED HOSPITAL OF NAVA MEDICAL UNIVERSITY</t>
  </si>
  <si>
    <t>7200121094</t>
  </si>
  <si>
    <t>WEST BEAMAN BIOTECHNOLOGY (SHANGHAI) CO., LTD</t>
  </si>
  <si>
    <t>7200121097</t>
  </si>
  <si>
    <t>7200121100</t>
  </si>
  <si>
    <t>7200121105</t>
  </si>
  <si>
    <t>7200121116</t>
  </si>
  <si>
    <t>7200121121</t>
  </si>
  <si>
    <t>PEKING UNIVERSITY FIRST HOSPITAL</t>
  </si>
  <si>
    <t>7200121143</t>
  </si>
  <si>
    <t>7200121162</t>
  </si>
  <si>
    <t>7200121193</t>
  </si>
  <si>
    <t>FUWAI HOSPITAL, CAMS &amp; PUMC</t>
  </si>
  <si>
    <t>7200121219</t>
  </si>
  <si>
    <t>7200121253</t>
  </si>
  <si>
    <t>CHINESE ACADEMY OF MEDICAL SCIENCES DRUG RESEARCH INSTITUTE</t>
  </si>
  <si>
    <t>7200121254</t>
  </si>
  <si>
    <t>7200121266</t>
  </si>
  <si>
    <t>7200121270</t>
  </si>
  <si>
    <t>7200121272</t>
  </si>
  <si>
    <t>7200121273</t>
  </si>
  <si>
    <t>7200121299</t>
  </si>
  <si>
    <t>XINJIN CENTER FOR DISEASE PREVENTION AND CONTROL</t>
  </si>
  <si>
    <t>7200121439</t>
  </si>
  <si>
    <t>QINGDAO MARINE BIOMEDICAL RESEARCH INSTITUTE</t>
  </si>
  <si>
    <t>7200121623</t>
  </si>
  <si>
    <t>7200121624</t>
  </si>
  <si>
    <t>7200150254</t>
  </si>
  <si>
    <t>TIANJIN FIRST CENTRAL HOSPITAL</t>
  </si>
  <si>
    <t>7200150275</t>
  </si>
  <si>
    <t>SHANGDONG PROVINCIAL HOSPITAL</t>
  </si>
  <si>
    <t>7200150697</t>
  </si>
  <si>
    <t>FIRST AFFILIATED HOSPITAL OF HAINAN MEDICAL COLLEGE</t>
  </si>
  <si>
    <t>7200150702</t>
  </si>
  <si>
    <t>FIRST AFFILIATED HOSPITAL OF SHANXI MEDICAL UNIVERSITY</t>
  </si>
  <si>
    <t>7200150818</t>
  </si>
  <si>
    <t>7200150832</t>
  </si>
  <si>
    <t>INSTITUTE OF MEDICINAL BIOTECHNOLOGY CHINESE ACADEMY OF MEDICAL SCIENCES</t>
  </si>
  <si>
    <t>7200150837</t>
  </si>
  <si>
    <t>SHENZHEN THIRD PEOPLES HOSPITAL</t>
  </si>
  <si>
    <t>7200150844</t>
  </si>
  <si>
    <t>CHANGCHUN CHANGSHENG LIFE SCIENCES LIMITED</t>
  </si>
  <si>
    <t>7200150851</t>
  </si>
  <si>
    <t>7200150857</t>
  </si>
  <si>
    <t>7200150859</t>
  </si>
  <si>
    <t>The Institute of Materia Medica?CAMS ??????????????</t>
  </si>
  <si>
    <t>7200150874</t>
  </si>
  <si>
    <t>ORAL SUBSIDIARY SUN YAT-SEN UNIVERSITY HOSPITAL</t>
  </si>
  <si>
    <t>7200150887</t>
  </si>
  <si>
    <t>7200150888</t>
  </si>
  <si>
    <t>BAOTOU MEDICAL COLLEGE</t>
  </si>
  <si>
    <t>7200150997</t>
  </si>
  <si>
    <t>7200151118</t>
  </si>
  <si>
    <t>7200151126</t>
  </si>
  <si>
    <t>Guangzhou Medical Univeristy (??????)</t>
  </si>
  <si>
    <t>7200151216</t>
  </si>
  <si>
    <t>7200151255</t>
  </si>
  <si>
    <t>FUJIAN UNIVERSITY OF TRADITIONAL CHINESE MEDICINE</t>
  </si>
  <si>
    <t>800778</t>
  </si>
  <si>
    <t>ROCHE R&amp;D CENTER (CHINA) LTD</t>
  </si>
  <si>
    <t>8470000000</t>
  </si>
  <si>
    <t>84700120102</t>
  </si>
  <si>
    <t>8470050145</t>
  </si>
  <si>
    <t>ImmuneOnco Biopharmaceuticals (Shanghai) Inc ??????????????????????</t>
  </si>
  <si>
    <t>8470050156</t>
  </si>
  <si>
    <t>GUANGXI YANGXIANG CO., LTD</t>
  </si>
  <si>
    <t>8470050160</t>
  </si>
  <si>
    <t>Hangzhou DAC Biotechnology Co .,Ltd ??????????????</t>
  </si>
  <si>
    <t>8470050183</t>
  </si>
  <si>
    <t>Fujian Agriculture and Forestry University ????????</t>
  </si>
  <si>
    <t>8470050214</t>
  </si>
  <si>
    <t>8470050218</t>
  </si>
  <si>
    <t>ARDENT BIOMED LLC</t>
  </si>
  <si>
    <t>8470050222</t>
  </si>
  <si>
    <t>Akeso Biopharma Co., Ltd ??????????????</t>
  </si>
  <si>
    <t>8470050232</t>
  </si>
  <si>
    <t>HEFEI INSTITUTES OF PHYSICAL SCIENCE CHINESE ACADEMY OF SCIENCES</t>
  </si>
  <si>
    <t>8470050250</t>
  </si>
  <si>
    <t>8470050325</t>
  </si>
  <si>
    <t>INSTITUTE OF LABORATORY ANIMAL SCIENCES, CHINESE ACADEMY OF MEDICAL SCIENCES</t>
  </si>
  <si>
    <t>8470060109</t>
  </si>
  <si>
    <t>8470060110</t>
  </si>
  <si>
    <t>8470060111</t>
  </si>
  <si>
    <t>SHANGHAI BIOMISSILE BIOTECH CO LTD</t>
  </si>
  <si>
    <t>8470060112</t>
  </si>
  <si>
    <t>8470060126</t>
  </si>
  <si>
    <t>8470060127</t>
  </si>
  <si>
    <t>8470060138</t>
  </si>
  <si>
    <t>TIANJIN SUNGENE BIOTECH LTD</t>
  </si>
  <si>
    <t>8470060139</t>
  </si>
  <si>
    <t>JILIN PULUOSHENG BIOMEDICAL ENGINEERING CO., LTD.</t>
  </si>
  <si>
    <t>8470060159</t>
  </si>
  <si>
    <t>8470060165</t>
  </si>
  <si>
    <t>YZY BIOPHARMA CO LTD</t>
  </si>
  <si>
    <t>8470060167</t>
  </si>
  <si>
    <t>Allife Medicine (Beijing) Co., Ltd (????????????)</t>
  </si>
  <si>
    <t>8470060168</t>
  </si>
  <si>
    <t>8470060171</t>
  </si>
  <si>
    <t>QINGDAO BINHAI UNIVERSITY</t>
  </si>
  <si>
    <t>8470060172</t>
  </si>
  <si>
    <t>LIPOGEN BIOTECHNOLOGY LLC</t>
  </si>
  <si>
    <t>8470060180</t>
  </si>
  <si>
    <t>SHENZHEN YI YUAN HEALTH LIFE SCIENCE CO., LTD.</t>
  </si>
  <si>
    <t>8470060181</t>
  </si>
  <si>
    <t>SHANGHAI JAHWA UNITED CO., LTD</t>
  </si>
  <si>
    <t>8470060182</t>
  </si>
  <si>
    <t>GUANGXI INSTITUTE OF CHINESE MEDICINE AND PHARMACEUTICAL SCIENCE</t>
  </si>
  <si>
    <t>8470060197</t>
  </si>
  <si>
    <t>ZHEJIANG UNIVERSITY</t>
  </si>
  <si>
    <t>8470060198</t>
  </si>
  <si>
    <t>8470060203</t>
  </si>
  <si>
    <t>Shenzhen University ??????</t>
  </si>
  <si>
    <t>8470060219</t>
  </si>
  <si>
    <t>SHANGHAI TENTH PEOPLES HOSPITAL</t>
  </si>
  <si>
    <t>8470060224</t>
  </si>
  <si>
    <t>Beigene (Suzhou) Biotechnology Co., Ltd (????(??)????????)</t>
  </si>
  <si>
    <t>8470060225</t>
  </si>
  <si>
    <t>HANGZHOU KEXING BIOLOGICAL TECHNOLOGY CO., LTD.</t>
  </si>
  <si>
    <t>8470060234</t>
  </si>
  <si>
    <t>SHANGHAI JOHNSON &amp; JOHNSON PHARMACEUTICAL CO., LTD.</t>
  </si>
  <si>
    <t>8470060237</t>
  </si>
  <si>
    <t>8470060241</t>
  </si>
  <si>
    <t>OCEAN UNIVERSITY OF CHINA</t>
  </si>
  <si>
    <t>8470060245</t>
  </si>
  <si>
    <t>8470060246</t>
  </si>
  <si>
    <t>8470060253</t>
  </si>
  <si>
    <t>Jemincare Pharmaceutical Technology Co., Ltd (?????????????</t>
  </si>
  <si>
    <t>8470080115</t>
  </si>
  <si>
    <t>8470080204</t>
  </si>
  <si>
    <t>8470080206</t>
  </si>
  <si>
    <t>NANJING BIOHENG BIOTECH CO., LTD.</t>
  </si>
  <si>
    <t>8470080213</t>
  </si>
  <si>
    <t>Shanghai University of Traditional Chinese Medcine ?????????</t>
  </si>
  <si>
    <t>8470120113</t>
  </si>
  <si>
    <t>INSTITUTE FOR NUTRITIONAL SCIENCES SIBS CHINESE ACADEMY OF SCIENCES</t>
  </si>
  <si>
    <t>8470120117</t>
  </si>
  <si>
    <t>8470120158</t>
  </si>
  <si>
    <t>8470130114</t>
  </si>
  <si>
    <t>HRYZ (Shanghai) Bio Tech Co. ??????????????????</t>
  </si>
  <si>
    <t>8470130153</t>
  </si>
  <si>
    <t>CANCER INSTITUTE, XUZHOU MEDICAL UNIVERSITY</t>
  </si>
  <si>
    <t>8470130163</t>
  </si>
  <si>
    <t>8470130168</t>
  </si>
  <si>
    <t>8470130175</t>
  </si>
  <si>
    <t>QILU PHARMACEUTICAL SEISHANGHAI RESEARCH CENTER CO., LTD.</t>
  </si>
  <si>
    <t>8470130176</t>
  </si>
  <si>
    <t>WUHAN INSTITUTE OF VIROLOGY, CHINESE ACADEMY OF SCIENCES</t>
  </si>
  <si>
    <t>8470130190</t>
  </si>
  <si>
    <t>8472050103</t>
  </si>
  <si>
    <t>SHANGHAI CLEARING BIOMEDICAL TECHNOLOGY CO LTD</t>
  </si>
  <si>
    <t>8472050109</t>
  </si>
  <si>
    <t>JINAN VECTRA - BIOTECHNOLOGY CO., LTD.</t>
  </si>
  <si>
    <t>8472050111</t>
  </si>
  <si>
    <t>8472050130</t>
  </si>
  <si>
    <t>8472050131</t>
  </si>
  <si>
    <t>TONGJIA INTERNATIONAL HEALTH MANAGEMENT (GUANGZHOU CENTER)</t>
  </si>
  <si>
    <t>8472050132</t>
  </si>
  <si>
    <t>8472050133</t>
  </si>
  <si>
    <t>HARBIN UNIVERSITY OF COMMERCE</t>
  </si>
  <si>
    <t>Guava easyCyte 5SL HPL, Boxed Instrument</t>
  </si>
  <si>
    <t>8472050143</t>
  </si>
  <si>
    <t>8472050145</t>
  </si>
  <si>
    <t>8472050146</t>
  </si>
  <si>
    <t>SOUTH CHINA SEA INSTITUTE OF OCEANOLOGY CHINESE ACADEMY OF SCIENCES</t>
  </si>
  <si>
    <t>8472050147</t>
  </si>
  <si>
    <t>Beikeway (Tianjin) Biological Technology Co.,Ltd ?????????????????</t>
  </si>
  <si>
    <t>8472050148</t>
  </si>
  <si>
    <t>8472050188</t>
  </si>
  <si>
    <t>8472050207</t>
  </si>
  <si>
    <t>8472050209</t>
  </si>
  <si>
    <t>Henan Provincial People's Hospital (????????</t>
  </si>
  <si>
    <t>8472050210</t>
  </si>
  <si>
    <t>8472050217</t>
  </si>
  <si>
    <t>SOUTH-CENTRAL MINZU UNIVERSITY</t>
  </si>
  <si>
    <t>8472050220</t>
  </si>
  <si>
    <t>Zhongke Cell (Guangzhou)., Ltd (???????????????</t>
  </si>
  <si>
    <t>8472050225</t>
  </si>
  <si>
    <t>Zhejiang Sanyu Biotechnology Co., Ltd (????????????)</t>
  </si>
  <si>
    <t>8472050231</t>
  </si>
  <si>
    <t>NANJING LVYE PHARMACEUTICAL CO., LTD.</t>
  </si>
  <si>
    <t>8472050238</t>
  </si>
  <si>
    <t>Medical School of Southeast University ?????????</t>
  </si>
  <si>
    <t>8472050239</t>
  </si>
  <si>
    <t>XIAMEN HYDROLOGICAL AND WATER RESOURCES SURVEY BUREAU, FUJIAN PROVINCE</t>
  </si>
  <si>
    <t>8472050240</t>
  </si>
  <si>
    <t>KA KANG BIOLOGY</t>
  </si>
  <si>
    <t>8472050256</t>
  </si>
  <si>
    <t>8472050262</t>
  </si>
  <si>
    <t>8472060106</t>
  </si>
  <si>
    <t>KINGMED DIAGNOSTICS</t>
  </si>
  <si>
    <t>8472060107</t>
  </si>
  <si>
    <t>8472060108</t>
  </si>
  <si>
    <t>JILIN AGRICULTURAL UNIVERSITY</t>
  </si>
  <si>
    <t>8472060118</t>
  </si>
  <si>
    <t>8472060120</t>
  </si>
  <si>
    <t>BEIJING GINKGO DE REPAIR BIOTECHNOLOGY CO., LTD.</t>
  </si>
  <si>
    <t>8472060129</t>
  </si>
  <si>
    <t>Tongji Medical College</t>
  </si>
  <si>
    <t>8472060130</t>
  </si>
  <si>
    <t>JIMEI UNIVERSITY</t>
  </si>
  <si>
    <t>8472060131</t>
  </si>
  <si>
    <t>QINGDAO AGRICULTURAL UNIVERSITY</t>
  </si>
  <si>
    <t>8472060137</t>
  </si>
  <si>
    <t>Guangxi Medical University (???????</t>
  </si>
  <si>
    <t>8472060138</t>
  </si>
  <si>
    <t>LIAONING BAI HAO BIOLOGICAL TECHNOLOGY CO., LTD.</t>
  </si>
  <si>
    <t>8472060139</t>
  </si>
  <si>
    <t>XUZHOU MEDICAL UNIVERSITY</t>
  </si>
  <si>
    <t>8472060140</t>
  </si>
  <si>
    <t>SHENZHEN GUANGMING PEOPLES HOSPITAL</t>
  </si>
  <si>
    <t>8472060141</t>
  </si>
  <si>
    <t>8472060142</t>
  </si>
  <si>
    <t>SHANGHAI JIADING ADVANCED TECHNOLOGY INNOVATION AND BUSINESS INCUBATOR</t>
  </si>
  <si>
    <t>8472060143</t>
  </si>
  <si>
    <t>GUANGZHOU DARUI BIOTECH CO., LTD.</t>
  </si>
  <si>
    <t>8472060145</t>
  </si>
  <si>
    <t>8472060146</t>
  </si>
  <si>
    <t>NANLING INSTITUTE OF MEDICAL RESEARCH</t>
  </si>
  <si>
    <t>8472060151</t>
  </si>
  <si>
    <t>HIGH-TECH RESEARCH INSTITUTE OF NANJING UNIVERSITY - CHANGZHOU</t>
  </si>
  <si>
    <t>8472060152</t>
  </si>
  <si>
    <t>Jiangsu Normal University (???????</t>
  </si>
  <si>
    <t>8472060153</t>
  </si>
  <si>
    <t>HEBEI MEDICAL UNIVERSITY</t>
  </si>
  <si>
    <t>8472060154</t>
  </si>
  <si>
    <t>LANZHOU VETERINARY RESEARCH INSTITUTE OF CHINESE ACADEMY OF AGRICULTURAL SCIENCES</t>
  </si>
  <si>
    <t>8472060159</t>
  </si>
  <si>
    <t>YOUJIANG MEDICAL UNIVERSITY FOR NATIONALITIES</t>
  </si>
  <si>
    <t>8472060166</t>
  </si>
  <si>
    <t>ACADEME OF GRASSLAND AND ANIMAL SCIENCE,YUNNAN, CHINA</t>
  </si>
  <si>
    <t>8472060167</t>
  </si>
  <si>
    <t>8472060168</t>
  </si>
  <si>
    <t>FIRST AFFILIATED HOSPITAL OF GUANGXI MEDICAL UNIVERSITY</t>
  </si>
  <si>
    <t>8472060178</t>
  </si>
  <si>
    <t>THIRD INSTITUTE OF OCEANOGRAPHY STATE OCEANIC ADMINISTRATION</t>
  </si>
  <si>
    <t>8472060185</t>
  </si>
  <si>
    <t>8472060191</t>
  </si>
  <si>
    <t>SHANGHAI BLOOD CENTER</t>
  </si>
  <si>
    <t>8472060192</t>
  </si>
  <si>
    <t>QINGHAI UNIVERSITY</t>
  </si>
  <si>
    <t>8472060193</t>
  </si>
  <si>
    <t>8472060197</t>
  </si>
  <si>
    <t>Zhejiang Normal University (???????</t>
  </si>
  <si>
    <t>8472060210</t>
  </si>
  <si>
    <t>CHONGQING SIDEMU BIOLOGICAL TECHNOLOGY CO., LTD.</t>
  </si>
  <si>
    <t>8472060215</t>
  </si>
  <si>
    <t>Shanghai Wanfu Medical Technology Co., Ltd. ??????????????</t>
  </si>
  <si>
    <t>8472060216</t>
  </si>
  <si>
    <t>CangZhou Medical College ????????????</t>
  </si>
  <si>
    <t>8472060218</t>
  </si>
  <si>
    <t>FUWAI CENTRAL CHINA CARDIOVASCULAR HOSPITAL</t>
  </si>
  <si>
    <t>8472060220</t>
  </si>
  <si>
    <t>Southern Medical University ????????</t>
  </si>
  <si>
    <t>8472060222</t>
  </si>
  <si>
    <t>8472060223</t>
  </si>
  <si>
    <t>Zhe Jiang Wanli University ????????</t>
  </si>
  <si>
    <t>8472060225</t>
  </si>
  <si>
    <t>Guangzhou Univeristy (?????</t>
  </si>
  <si>
    <t>8472060226</t>
  </si>
  <si>
    <t>8472060231</t>
  </si>
  <si>
    <t>HUNAN UNIVERSITY OF SCIENCE AND ENGINEERING</t>
  </si>
  <si>
    <t>8472060234</t>
  </si>
  <si>
    <t>Jilin University (?????</t>
  </si>
  <si>
    <t>8472060235</t>
  </si>
  <si>
    <t>8472060240</t>
  </si>
  <si>
    <t>SHANGHAI SOFT XIN BIOLOGICAL TECHNOLOGY CO., LTD.</t>
  </si>
  <si>
    <t>8472060248</t>
  </si>
  <si>
    <t>8472060250</t>
  </si>
  <si>
    <t>INSTITUTE OF PHYSICAL AND LIGHT, FUJIAN NORMAL UNIVERSITY</t>
  </si>
  <si>
    <t>8472060256</t>
  </si>
  <si>
    <t>HIGH SCHOOL AFFILIATED TO RENMIN UNIVERSITY OF CHINA</t>
  </si>
  <si>
    <t>8472060262</t>
  </si>
  <si>
    <t>Hunan Techland Biotech Co.,Ltd (????????????????</t>
  </si>
  <si>
    <t>8472060264</t>
  </si>
  <si>
    <t>FIFTH HOSPITAL OF XIAMEN</t>
  </si>
  <si>
    <t>8472080103</t>
  </si>
  <si>
    <t>8472080127</t>
  </si>
  <si>
    <t>BOPIN (SHANGHAI) BIOLOGICAL MEDICINE TECHNOLOGY CO., LTD.</t>
  </si>
  <si>
    <t>Guava easyCyte 11</t>
  </si>
  <si>
    <t>8472110101</t>
  </si>
  <si>
    <t>8472110102</t>
  </si>
  <si>
    <t>8472120112</t>
  </si>
  <si>
    <t>8472120116</t>
  </si>
  <si>
    <t>SHENZHEN LONGHUA DISTRICT CENTRAL HOSPITAL</t>
  </si>
  <si>
    <t>Guava easyCyte 12SL, Boxed Instrument</t>
  </si>
  <si>
    <t>8472120117</t>
  </si>
  <si>
    <t>8472H50269</t>
  </si>
  <si>
    <t>FUJIAN NORMAL UNIVERSITY</t>
  </si>
  <si>
    <t>8574140117</t>
  </si>
  <si>
    <t>Chengdu Institute for Drug Control (???????????</t>
  </si>
  <si>
    <t>8576120120</t>
  </si>
  <si>
    <t>Shanghai Jiao Tong University (???????</t>
  </si>
  <si>
    <t>870120117</t>
  </si>
  <si>
    <t>900840</t>
  </si>
  <si>
    <t>AstraZeneca Investment (China) Co Ltd (??????????????)</t>
  </si>
  <si>
    <t>ASL001</t>
  </si>
  <si>
    <t>AT1177</t>
  </si>
  <si>
    <t>Hangzhou Cellgene Biotech Co..Ltd ??????????????</t>
  </si>
  <si>
    <t>BC386</t>
  </si>
  <si>
    <t>Shanghai DeliNova Biotechnology Co., Ltd. (?????????????</t>
  </si>
  <si>
    <t>BIDEMO1</t>
  </si>
  <si>
    <t>CD014</t>
  </si>
  <si>
    <t>CS059</t>
  </si>
  <si>
    <t>CS063</t>
  </si>
  <si>
    <t>CS087</t>
  </si>
  <si>
    <t>Cheerland Biotechnology (????????????)</t>
  </si>
  <si>
    <t>EC193025C1</t>
  </si>
  <si>
    <t>VectorBuilder China ??????????????????</t>
  </si>
  <si>
    <t>EC200524A1</t>
  </si>
  <si>
    <t>GUANGZHOU EIGHTH PEOPLE'S HOSPITAL</t>
  </si>
  <si>
    <t>EC201394A1</t>
  </si>
  <si>
    <t>EC201775B1</t>
  </si>
  <si>
    <t>EC201827C1</t>
  </si>
  <si>
    <t>EC201926H1</t>
  </si>
  <si>
    <t>EC202026C1</t>
  </si>
  <si>
    <t>Guava easyCyte 14SL, Boxed Instrument</t>
  </si>
  <si>
    <t>EC202337J1</t>
  </si>
  <si>
    <t>EC202406A2</t>
  </si>
  <si>
    <t>EC202896C1</t>
  </si>
  <si>
    <t>SHENZHEN ZHIYIN CELL BIOLOGY CO. LTD</t>
  </si>
  <si>
    <t>EC210326H1</t>
  </si>
  <si>
    <t>HENGRUI YUANZHENG (BEIJING) BIOLOGICAL TECHNOLOGY CO., LTD</t>
  </si>
  <si>
    <t>EC210357E1</t>
  </si>
  <si>
    <t>NATIONAL TSING HUA UNIVERSITY</t>
  </si>
  <si>
    <t>EC210366A1</t>
  </si>
  <si>
    <t>EC210406A1</t>
  </si>
  <si>
    <t>EC210426H1</t>
  </si>
  <si>
    <t>HENGRUI YUANZHENG (GUANGZHOU) BIOLOGICAL TECHNOLOGY CO., LTD</t>
  </si>
  <si>
    <t>EC210566H1</t>
  </si>
  <si>
    <t>Anxin Center for Center for Disease Control and Prevention (???????????)</t>
  </si>
  <si>
    <t>EC211207H1</t>
  </si>
  <si>
    <t>Zhejiang Hailiang Biotechnology Co.,Ltd (????????????)</t>
  </si>
  <si>
    <t>EC211456C1</t>
  </si>
  <si>
    <t>EC211726C1</t>
  </si>
  <si>
    <t>EC211816H1</t>
  </si>
  <si>
    <t>Xinhua Hospital (???????????????)</t>
  </si>
  <si>
    <t>EC211936H1</t>
  </si>
  <si>
    <t>EC212087C1</t>
  </si>
  <si>
    <t>SHANGHAI XUNYUAN BIOTECHNOLOGY CO., LTD</t>
  </si>
  <si>
    <t>EC212226H1</t>
  </si>
  <si>
    <t>Beijing CAS Micro Needle Technology (??????????????)</t>
  </si>
  <si>
    <t>EC212227C1</t>
  </si>
  <si>
    <t>EC212436H1</t>
  </si>
  <si>
    <t>EC212436H2</t>
  </si>
  <si>
    <t>EC220767C1</t>
  </si>
  <si>
    <t>Research Center for Deepsea Bioresurcess (Sanya) (???????????)</t>
  </si>
  <si>
    <t>EC220957C1</t>
  </si>
  <si>
    <t>Watson Click (Beijing) Biotechnology Co., LTD ??????(??)?????????</t>
  </si>
  <si>
    <t>EC220967H1</t>
  </si>
  <si>
    <t>EC223147C1</t>
  </si>
  <si>
    <t>Jingzhou Kangzhuo Biotech Company ??????????????</t>
  </si>
  <si>
    <t>EC230036H2</t>
  </si>
  <si>
    <t>EC240226H1</t>
  </si>
  <si>
    <t>T-MAXIMUM Pharmaceutical (Suzhou) Co., Ltd (????????????)</t>
  </si>
  <si>
    <t>FE112</t>
  </si>
  <si>
    <t>Gracell Biotechnologies Inc (???????????????</t>
  </si>
  <si>
    <t>FE279</t>
  </si>
  <si>
    <t>Sanofi Institute for Biomedical Research, SIBR ??????????</t>
  </si>
  <si>
    <t>FE286</t>
  </si>
  <si>
    <t>The First Hospital of China Medical University (?????????????</t>
  </si>
  <si>
    <t>FE324</t>
  </si>
  <si>
    <t>Shanghai Cell Therapy Group Co., Ltd ??????????</t>
  </si>
  <si>
    <t>FF175</t>
  </si>
  <si>
    <t>Shanghai Innostar Bio-tech Co., Ltd (???????????????)</t>
  </si>
  <si>
    <t>FF206</t>
  </si>
  <si>
    <t>FF303</t>
  </si>
  <si>
    <t>BARIDD (????????????????)</t>
  </si>
  <si>
    <t>FG032</t>
  </si>
  <si>
    <t>Shanghai Lin Gang Lab ?????????</t>
  </si>
  <si>
    <t>FG076</t>
  </si>
  <si>
    <t>CHINA</t>
  </si>
  <si>
    <t>FG084</t>
  </si>
  <si>
    <t>Shenzhen Bay Laboratory (??????)</t>
  </si>
  <si>
    <t>FG086</t>
  </si>
  <si>
    <t>Life Sciences Institute Zhejiang University ?????????????</t>
  </si>
  <si>
    <t>FG087</t>
  </si>
  <si>
    <t>FG088</t>
  </si>
  <si>
    <t>FG114</t>
  </si>
  <si>
    <t>Shanghai RNACure Biopharm Co.,Ltd (????????????)</t>
  </si>
  <si>
    <t>FG120</t>
  </si>
  <si>
    <t>FG126</t>
  </si>
  <si>
    <t>Peking University Health Science Center ?????????</t>
  </si>
  <si>
    <t>FG164</t>
  </si>
  <si>
    <t>FG177</t>
  </si>
  <si>
    <t>Beijing Maoyang Biotech Co. Ltd ??????????????</t>
  </si>
  <si>
    <t>FG188</t>
  </si>
  <si>
    <t>FG204</t>
  </si>
  <si>
    <t>National Institute of Biological Sciences, Beijing (NIBS) (?????????)</t>
  </si>
  <si>
    <t>FG359</t>
  </si>
  <si>
    <t>Shanghai TCM-Integrated Hospital (??????????)</t>
  </si>
  <si>
    <t>FG380</t>
  </si>
  <si>
    <t>IQVIA Beijing (????????????????)</t>
  </si>
  <si>
    <t>FG381</t>
  </si>
  <si>
    <t>ShanghaiTech University ????????</t>
  </si>
  <si>
    <t>FG382</t>
  </si>
  <si>
    <t>FG383</t>
  </si>
  <si>
    <t>Peking University ??????</t>
  </si>
  <si>
    <t>FG396</t>
  </si>
  <si>
    <t>FG399</t>
  </si>
  <si>
    <t>FG400</t>
  </si>
  <si>
    <t>Jiangsu Provincial Center for Disease Control and Prevention (????????????)</t>
  </si>
  <si>
    <t>FH058</t>
  </si>
  <si>
    <t>GemPharmatech Co. Ltd ??????????????????</t>
  </si>
  <si>
    <t>FH059</t>
  </si>
  <si>
    <t>FH132</t>
  </si>
  <si>
    <t>FH142</t>
  </si>
  <si>
    <t>FH143</t>
  </si>
  <si>
    <t>JOINN Laboratories (Suzhou) Co., Ltd ????????????????</t>
  </si>
  <si>
    <t>FH174</t>
  </si>
  <si>
    <t>FH194</t>
  </si>
  <si>
    <t>FH226</t>
  </si>
  <si>
    <t>FH237</t>
  </si>
  <si>
    <t>FS107</t>
  </si>
  <si>
    <t>FS124</t>
  </si>
  <si>
    <t>FS156</t>
  </si>
  <si>
    <t>The National Institute of Parasitic Diseases, China CDC (???????????????????)</t>
  </si>
  <si>
    <t>FS162</t>
  </si>
  <si>
    <t>FS163</t>
  </si>
  <si>
    <t>FS166</t>
  </si>
  <si>
    <t>FS168</t>
  </si>
  <si>
    <t>FS169</t>
  </si>
  <si>
    <t>FS172</t>
  </si>
  <si>
    <t>FS173</t>
  </si>
  <si>
    <t>FS188</t>
  </si>
  <si>
    <t>FS195</t>
  </si>
  <si>
    <t>FS204</t>
  </si>
  <si>
    <t>THE FIFTH PEOPLES HOSPITAL OF SHANGHAI, FUDAN UNIVERSITY</t>
  </si>
  <si>
    <t>FS205</t>
  </si>
  <si>
    <t>FS207</t>
  </si>
  <si>
    <t>FS211</t>
  </si>
  <si>
    <t>Nanjing University of Posts and Telecommunicaitons (???????</t>
  </si>
  <si>
    <t>FS217</t>
  </si>
  <si>
    <t>FS219</t>
  </si>
  <si>
    <t>FS223</t>
  </si>
  <si>
    <t>JIANGSU UNIVERSITY</t>
  </si>
  <si>
    <t>FS233</t>
  </si>
  <si>
    <t>FS235</t>
  </si>
  <si>
    <t>TIANJIN NORMAL UNIVERSITY</t>
  </si>
  <si>
    <t>FS236</t>
  </si>
  <si>
    <t>FS238</t>
  </si>
  <si>
    <t>MINNAN NORMAL UNIVERSITY</t>
  </si>
  <si>
    <t>FS239</t>
  </si>
  <si>
    <t>SICHUAN INSTITUTE OF ANIMAL HUSBANDRY SCIENCE</t>
  </si>
  <si>
    <t>FS243</t>
  </si>
  <si>
    <t>Changchun University of Chinese Medicine (????????</t>
  </si>
  <si>
    <t>FS249</t>
  </si>
  <si>
    <t>FS252</t>
  </si>
  <si>
    <t>HENAN UNIVERSITY</t>
  </si>
  <si>
    <t>FS254</t>
  </si>
  <si>
    <t>FS258</t>
  </si>
  <si>
    <t>JIANGSU HUATAI VACCINE ENGINEERING TECHNOLOGY RESEARCH CO LTD</t>
  </si>
  <si>
    <t>FS259</t>
  </si>
  <si>
    <t>Hebei University (?????</t>
  </si>
  <si>
    <t>FS261</t>
  </si>
  <si>
    <t>CHINESE RESEARCH INSTITUTE OF CROP SCIENCE CHINESE ACADEMY OF AGRICULTURAL SCIENCES</t>
  </si>
  <si>
    <t>FS264</t>
  </si>
  <si>
    <t>FS267</t>
  </si>
  <si>
    <t>FS268</t>
  </si>
  <si>
    <t>Northwest Minzu University ????????</t>
  </si>
  <si>
    <t>FS270</t>
  </si>
  <si>
    <t>NANJING UNIVERSITY XIANLIN CAMPUS</t>
  </si>
  <si>
    <t>FS277</t>
  </si>
  <si>
    <t>FS278</t>
  </si>
  <si>
    <t>Guangdong University of Technology (???????</t>
  </si>
  <si>
    <t>FS281</t>
  </si>
  <si>
    <t>Minzu University of China (???????</t>
  </si>
  <si>
    <t>FS282</t>
  </si>
  <si>
    <t>FIFTH HOSPITAL AFFILIATED TO GUANGZHOU MEDICAL UNIVERSITY</t>
  </si>
  <si>
    <t>FS286</t>
  </si>
  <si>
    <t>Weihai Marine Enviromental Monitoring Center (????????????</t>
  </si>
  <si>
    <t>FS288</t>
  </si>
  <si>
    <t>FS290</t>
  </si>
  <si>
    <t>FS292</t>
  </si>
  <si>
    <t>FS297</t>
  </si>
  <si>
    <t>INSTITUTE OF ANIMAL SCIENCES OF CAAS</t>
  </si>
  <si>
    <t>FS300</t>
  </si>
  <si>
    <t>Enlife Institute of Stem Cell Biotechnology ?????????????????</t>
  </si>
  <si>
    <t>FS305</t>
  </si>
  <si>
    <t>Yunnan Research Academy of Eco-enviromental Sciences (????????????)</t>
  </si>
  <si>
    <t>FS311</t>
  </si>
  <si>
    <t>West China School/Hospital of Stomatology Sichuan Univeisity (???????</t>
  </si>
  <si>
    <t>FS313</t>
  </si>
  <si>
    <t>FS316</t>
  </si>
  <si>
    <t>Yunnan Agriculture University (???????</t>
  </si>
  <si>
    <t>FS317</t>
  </si>
  <si>
    <t>FS324</t>
  </si>
  <si>
    <t>THE AFFILIATED HOSPITAL OF QINGDAO UNIVERSITY</t>
  </si>
  <si>
    <t>GF006</t>
  </si>
  <si>
    <t>GF008</t>
  </si>
  <si>
    <t>Lu Daopei hospital???????</t>
  </si>
  <si>
    <t>GF009</t>
  </si>
  <si>
    <t>Shanghai Shengdi Pharmceutical Co., Ltd (??????????)</t>
  </si>
  <si>
    <t>GF010</t>
  </si>
  <si>
    <t>Tangdu Hospital ??????</t>
  </si>
  <si>
    <t>GF012</t>
  </si>
  <si>
    <t>Hebei Bio-High Technology Development CO.,LTD????????????????</t>
  </si>
  <si>
    <t>GF013</t>
  </si>
  <si>
    <t>GG001</t>
  </si>
  <si>
    <t>Peking Union Medical college hospital????????</t>
  </si>
  <si>
    <t>GG003</t>
  </si>
  <si>
    <t>Zhujiang Hospital of Southern Medical University (???????????</t>
  </si>
  <si>
    <t>GG004</t>
  </si>
  <si>
    <t>Foshan Hospital of TCM ????????</t>
  </si>
  <si>
    <t>GG005</t>
  </si>
  <si>
    <t>GG006</t>
  </si>
  <si>
    <t>GG008</t>
  </si>
  <si>
    <t>Guangzhou Concord Cancer Center (????????)</t>
  </si>
  <si>
    <t>GG009</t>
  </si>
  <si>
    <t>Guangzhou Huayin Health Medical Group (???????????????)</t>
  </si>
  <si>
    <t>GG010</t>
  </si>
  <si>
    <t>GG011</t>
  </si>
  <si>
    <t>ClinBridge Biotech (Nanjing) Co, Ltd (??????????????)</t>
  </si>
  <si>
    <t>GG012</t>
  </si>
  <si>
    <t>The Second People's Hospital of LIANYUNGANG (?????????)</t>
  </si>
  <si>
    <t>GH001</t>
  </si>
  <si>
    <t>Beijing Beiyuan Therapeutics??????????????</t>
  </si>
  <si>
    <t>GH002</t>
  </si>
  <si>
    <t>Peking University First Hospital??????????</t>
  </si>
  <si>
    <t>GH003</t>
  </si>
  <si>
    <t>Wuzhou Red Cross Hospital ???????????</t>
  </si>
  <si>
    <t>GH004</t>
  </si>
  <si>
    <t>Embios (Beijing) Biotechnology Co., Ltd?????????????????</t>
  </si>
  <si>
    <t>GH005</t>
  </si>
  <si>
    <t>United-Power Pharma Tech Co., Ltd??????????????????</t>
  </si>
  <si>
    <t>GH006</t>
  </si>
  <si>
    <t>Sanhome Pharmaceutical Limited Company ( ?????????????</t>
  </si>
  <si>
    <t>GH007</t>
  </si>
  <si>
    <t>Hospital of Hematology, Chinese Academy of Medical Sciences????????????????</t>
  </si>
  <si>
    <t>GH008</t>
  </si>
  <si>
    <t>GTI-0800810</t>
  </si>
  <si>
    <t>GTI-0900863</t>
  </si>
  <si>
    <t>GTI-0900865</t>
  </si>
  <si>
    <t>Guava Easycyte Mini Base System, Obsolete</t>
  </si>
  <si>
    <t>GTI-2800090262</t>
  </si>
  <si>
    <t>GTI-2800090263</t>
  </si>
  <si>
    <t>CHONGQING TECHNOLOGY AND BUSINESS UNIVERSITY</t>
  </si>
  <si>
    <t>GTI-2800090278</t>
  </si>
  <si>
    <t>NANJING NORMAL UNIVERSITY</t>
  </si>
  <si>
    <t>GTI-2800100308</t>
  </si>
  <si>
    <t>GUANG'ANMEN HOSPITAL OF CHINESE ACADEMY OF TRADITIONAL CHINESE MEDICINE</t>
  </si>
  <si>
    <t>GTI-2800100309</t>
  </si>
  <si>
    <t>GTI-3630080304</t>
  </si>
  <si>
    <t>GTI-3630090393</t>
  </si>
  <si>
    <t>GTI-5580100150</t>
  </si>
  <si>
    <t>ZHEJIANG ACADEMY OF AGRICULTURAL SCIENCES - PLANT PROTECTION AND MICROBIOLOGY</t>
  </si>
  <si>
    <t>GTI-6620116023</t>
  </si>
  <si>
    <t>FIRST AFFILIATED HOSPITAL OF ZHEJIANG UNIVERSITY</t>
  </si>
  <si>
    <t>GTI-6735115034</t>
  </si>
  <si>
    <t>HEC Group (??????</t>
  </si>
  <si>
    <t>GTI-6735115055</t>
  </si>
  <si>
    <t>GENERAL HOSPITAL OF GUANGZHOU MILITARY COMMAND OF PLA</t>
  </si>
  <si>
    <t>GTI-6735116038</t>
  </si>
  <si>
    <t>GTI-6735116051</t>
  </si>
  <si>
    <t>GTI-6735118016</t>
  </si>
  <si>
    <t>CENTRE FOR CELLULAR AND MOLECULAR PLATFORMS (C-CAMP)</t>
  </si>
  <si>
    <t>GTI-6735118026</t>
  </si>
  <si>
    <t>ISX341</t>
  </si>
  <si>
    <t>ISX349</t>
  </si>
  <si>
    <t>ISX360</t>
  </si>
  <si>
    <t>Soochow University (?????</t>
  </si>
  <si>
    <t>ISX361</t>
  </si>
  <si>
    <t>ISX400</t>
  </si>
  <si>
    <t>ISX413</t>
  </si>
  <si>
    <t>ISX437</t>
  </si>
  <si>
    <t>Beijing Youan Hospital, Capital Medical University (???????????????</t>
  </si>
  <si>
    <t>ISX441</t>
  </si>
  <si>
    <t>Beijing Neurosurgical Institute (??????????)</t>
  </si>
  <si>
    <t>ISX442</t>
  </si>
  <si>
    <t>ISX455</t>
  </si>
  <si>
    <t>ISX464</t>
  </si>
  <si>
    <t>Research Center for Eco-Environmental Sciences?CAS (?????????????)</t>
  </si>
  <si>
    <t>ISX465</t>
  </si>
  <si>
    <t>ISX479</t>
  </si>
  <si>
    <t>Third Affiliated Hospital (Daping Hospital) of the Army Medical University</t>
  </si>
  <si>
    <t>ISX480</t>
  </si>
  <si>
    <t>ISX481</t>
  </si>
  <si>
    <t>Shanghai Institute of Applied Physics, CAS (??????????????)</t>
  </si>
  <si>
    <t>ISX483</t>
  </si>
  <si>
    <t>ISX497</t>
  </si>
  <si>
    <t>ISX498</t>
  </si>
  <si>
    <t>Shandong Normal University (???????</t>
  </si>
  <si>
    <t>ISX543</t>
  </si>
  <si>
    <t>The National Institute of Metrology, China ???????????</t>
  </si>
  <si>
    <t>ISX565</t>
  </si>
  <si>
    <t>DALIAN OCEAN UNIVERSITY</t>
  </si>
  <si>
    <t>ISX580</t>
  </si>
  <si>
    <t>ISX581</t>
  </si>
  <si>
    <t>ISX590</t>
  </si>
  <si>
    <t>ISX604</t>
  </si>
  <si>
    <t>ISX605</t>
  </si>
  <si>
    <t>TIANJIN MEDICAL UNIVERSITY GENERAL HOSPITAL</t>
  </si>
  <si>
    <t>ISX625</t>
  </si>
  <si>
    <t>ISX632</t>
  </si>
  <si>
    <t>KANGNING HOSPITAL OF SHENZHEN</t>
  </si>
  <si>
    <t>ISX641</t>
  </si>
  <si>
    <t>ISX644</t>
  </si>
  <si>
    <t>ISX650</t>
  </si>
  <si>
    <t>CHANG GUNG UNIVERSITY</t>
  </si>
  <si>
    <t>ISX653</t>
  </si>
  <si>
    <t>ISX656</t>
  </si>
  <si>
    <t>ISX672</t>
  </si>
  <si>
    <t>East China University of Science and Technology (???????</t>
  </si>
  <si>
    <t>ISX688</t>
  </si>
  <si>
    <t>ISX695</t>
  </si>
  <si>
    <t>MU19151002</t>
  </si>
  <si>
    <t>LEADER ORIENTAL TECHNOLOGY (BEIJING) LTD.</t>
  </si>
  <si>
    <t>MU19151004</t>
  </si>
  <si>
    <t>BEIJING RONG JING SCIENCE AND TECHNOLOGY DEVELOPMENT CO., LTD.</t>
  </si>
  <si>
    <t>MU19151005</t>
  </si>
  <si>
    <t>MU19151006</t>
  </si>
  <si>
    <t>MU19289001</t>
  </si>
  <si>
    <t>MU19289002</t>
  </si>
  <si>
    <t>CHENGDU YOUNG-SUN IMPORT &amp; EXPORT TRADE CO., LTD.</t>
  </si>
  <si>
    <t>MU19290001</t>
  </si>
  <si>
    <t>MU19302006</t>
  </si>
  <si>
    <t>HUNAN KENGENE INSTRUMENT CO., LTD.</t>
  </si>
  <si>
    <t>MU19340001</t>
  </si>
  <si>
    <t>CHONGQING CHINABASE IMPORT &amp; EXPORT CO., LTD</t>
  </si>
  <si>
    <t>MU19340002</t>
  </si>
  <si>
    <t>MU20268001</t>
  </si>
  <si>
    <t>SHEN YANG LAIAN TECHNOLOGY &amp; TRADE CO., LTD</t>
  </si>
  <si>
    <t>MU20269002</t>
  </si>
  <si>
    <t>MU20272002</t>
  </si>
  <si>
    <t>ZHONGKE SCIENTIFIC &amp; TECHNICAL CO. LTD</t>
  </si>
  <si>
    <t>MU20314001</t>
  </si>
  <si>
    <t>SHANGHAI LIAN IMP.&amp; EXP. CORP.</t>
  </si>
  <si>
    <t>MU20321001</t>
  </si>
  <si>
    <t>MU20324001</t>
  </si>
  <si>
    <t>SHANGHAI EASTERN SCIEN-TECH MACHINERY IMPORT AND EXPORT LIMITED</t>
  </si>
  <si>
    <t>MU21032001</t>
  </si>
  <si>
    <t>GUANGZHOU CHWARES E-BUSINESS CO., LTD.</t>
  </si>
  <si>
    <t>MU21085001</t>
  </si>
  <si>
    <t>WEIFANG MEDICAL UNIVERSITY</t>
  </si>
  <si>
    <t>MU21140001</t>
  </si>
  <si>
    <t>CHINA XIAN WESTERN TRADE IMP. &amp; EXP. CO., LTD</t>
  </si>
  <si>
    <t>MU21145001</t>
  </si>
  <si>
    <t>ACT GENOMICS CO., LTD</t>
  </si>
  <si>
    <t>MU21147001</t>
  </si>
  <si>
    <t>BIOLINK SUPPLY CHAIN (BEIJING) LTD</t>
  </si>
  <si>
    <t>MU21231003</t>
  </si>
  <si>
    <t>MU21231005</t>
  </si>
  <si>
    <t>SHANGHAI T&amp;T BIOTECH CO., LTD</t>
  </si>
  <si>
    <t>MU21239001</t>
  </si>
  <si>
    <t>MU21252002</t>
  </si>
  <si>
    <t>MU21256001</t>
  </si>
  <si>
    <t>MU21256002</t>
  </si>
  <si>
    <t>MU22318002</t>
  </si>
  <si>
    <t>The First Affiliated Hospital of Zhengzhou University ????????????</t>
  </si>
  <si>
    <t>MU23051001</t>
  </si>
  <si>
    <t>FANGTON TECHNOLOGY LIMITED</t>
  </si>
  <si>
    <t>NL1567</t>
  </si>
  <si>
    <t>NM1571</t>
  </si>
  <si>
    <t>No-Lable</t>
  </si>
  <si>
    <t>R0051</t>
  </si>
  <si>
    <t>Huaxi Mingcheng Biotechnology Co.,LTD (??????????????)</t>
  </si>
  <si>
    <t>U1510</t>
  </si>
  <si>
    <t>AT1010</t>
  </si>
  <si>
    <t>00033565</t>
  </si>
  <si>
    <t>Zhejiang Bozhen Biotechnology Co., Ltd. (????????????)</t>
  </si>
  <si>
    <t>AT1069</t>
  </si>
  <si>
    <t>00031536</t>
  </si>
  <si>
    <t>Central South University ??????</t>
  </si>
  <si>
    <t>AT1251</t>
  </si>
  <si>
    <t>00016172</t>
  </si>
  <si>
    <t>Guangdong Medical University ????????</t>
  </si>
  <si>
    <t>AT1301</t>
  </si>
  <si>
    <t>00033564</t>
  </si>
  <si>
    <t>Cancer Hospital of the University of Chinese Academy of Sciences ?????????</t>
  </si>
  <si>
    <t>AT1490</t>
  </si>
  <si>
    <t>00031601</t>
  </si>
  <si>
    <t>AT1491</t>
  </si>
  <si>
    <t>00032183</t>
  </si>
  <si>
    <t>AT1528</t>
  </si>
  <si>
    <t>00032432</t>
  </si>
  <si>
    <t>Guangzhou Guangli Biotechnology Co., Ltd ??????????????</t>
  </si>
  <si>
    <t>CC351</t>
  </si>
  <si>
    <t>00015468</t>
  </si>
  <si>
    <t>VVMicro Technology Limited</t>
  </si>
  <si>
    <t>E10009</t>
  </si>
  <si>
    <t>00014175</t>
  </si>
  <si>
    <t>FE203</t>
  </si>
  <si>
    <t>00016573</t>
  </si>
  <si>
    <t>Shanghai Righton Gene Company (????????????)</t>
  </si>
  <si>
    <t>N0207</t>
  </si>
  <si>
    <t>00017784</t>
  </si>
  <si>
    <t>N0467</t>
  </si>
  <si>
    <t>00016969</t>
  </si>
  <si>
    <t>NL1017</t>
  </si>
  <si>
    <t>00034143</t>
  </si>
  <si>
    <t>NL1022</t>
  </si>
  <si>
    <t>00015825</t>
  </si>
  <si>
    <t>NL1025</t>
  </si>
  <si>
    <t>00014913</t>
  </si>
  <si>
    <t>china</t>
  </si>
  <si>
    <t>NL1033</t>
  </si>
  <si>
    <t>00014919</t>
  </si>
  <si>
    <t>NL1035</t>
  </si>
  <si>
    <t>00033155</t>
  </si>
  <si>
    <t>Guangzhou Women and Children Medical Center(??????????)</t>
  </si>
  <si>
    <t>NL1045</t>
  </si>
  <si>
    <t>00033423</t>
  </si>
  <si>
    <t>Elpiscience Biopharma, Ltd??????????????????</t>
  </si>
  <si>
    <t>NL1052</t>
  </si>
  <si>
    <t>00033543</t>
  </si>
  <si>
    <t>NL1066</t>
  </si>
  <si>
    <t>00031913</t>
  </si>
  <si>
    <t>NL1088</t>
  </si>
  <si>
    <t>00031541</t>
  </si>
  <si>
    <t>NL1103</t>
  </si>
  <si>
    <t>00014914</t>
  </si>
  <si>
    <t>NL1117</t>
  </si>
  <si>
    <t>00015848</t>
  </si>
  <si>
    <t>NL1169</t>
  </si>
  <si>
    <t>00034566</t>
  </si>
  <si>
    <t>GoBroad Healthcare Group????????????????</t>
  </si>
  <si>
    <t>NL1180</t>
  </si>
  <si>
    <t>00036101</t>
  </si>
  <si>
    <t>NL1185</t>
  </si>
  <si>
    <t>00034212</t>
  </si>
  <si>
    <t>Tianjin QuantoBio Tongsheng Biotech Co.Ltd (??????????????)</t>
  </si>
  <si>
    <t>Cytek Northern Lights- CLC 1000 (CFDA)</t>
  </si>
  <si>
    <t>NL1213</t>
  </si>
  <si>
    <t>00031392</t>
  </si>
  <si>
    <t>NL1217</t>
  </si>
  <si>
    <t>00036053</t>
  </si>
  <si>
    <t>NL1222</t>
  </si>
  <si>
    <t>00032233</t>
  </si>
  <si>
    <t>Chengdu Baile Technology Co., Ltd????????????</t>
  </si>
  <si>
    <t>NL1231</t>
  </si>
  <si>
    <t>00016360</t>
  </si>
  <si>
    <t>Biocytogen Pharmaceuticals (Beijing) Co., Ltd ?????(??)???????????</t>
  </si>
  <si>
    <t>NL1235</t>
  </si>
  <si>
    <t>00015969</t>
  </si>
  <si>
    <t>The Third Xiangya Hospital of Central South University ???????????</t>
  </si>
  <si>
    <t>NL1246</t>
  </si>
  <si>
    <t>00016352</t>
  </si>
  <si>
    <t>CirCode Biotechnology (Shanghai) Co., Ltd (????????????)</t>
  </si>
  <si>
    <t>NL1268</t>
  </si>
  <si>
    <t>00031277</t>
  </si>
  <si>
    <t>Innovec Biotherapeutics (Beijing) Co. ,Ltd???????????????)?</t>
  </si>
  <si>
    <t>NL1279</t>
  </si>
  <si>
    <t>00016508</t>
  </si>
  <si>
    <t>NL1293</t>
  </si>
  <si>
    <t>00017537</t>
  </si>
  <si>
    <t>Zhongshan Ophthalmic Center, Sun Yat-sen University (??????????) (</t>
  </si>
  <si>
    <t>NL1294</t>
  </si>
  <si>
    <t>00017460</t>
  </si>
  <si>
    <t>NL1341</t>
  </si>
  <si>
    <t>00017819</t>
  </si>
  <si>
    <t>NL1345</t>
  </si>
  <si>
    <t>00016585</t>
  </si>
  <si>
    <t>The Fourth Affiliated Hospital of Hebei Medical University????????????</t>
  </si>
  <si>
    <t>NL1347</t>
  </si>
  <si>
    <t>00036880</t>
  </si>
  <si>
    <t>Luoyang Central Hospital ?????????</t>
  </si>
  <si>
    <t>NL1396</t>
  </si>
  <si>
    <t>00017503</t>
  </si>
  <si>
    <t>NL1398</t>
  </si>
  <si>
    <t>00032284</t>
  </si>
  <si>
    <t>NL1401</t>
  </si>
  <si>
    <t>00032342</t>
  </si>
  <si>
    <t>Sichuan Cancer Hospital ?????????</t>
  </si>
  <si>
    <t>NL1421</t>
  </si>
  <si>
    <t>00017276</t>
  </si>
  <si>
    <t>NL1470</t>
  </si>
  <si>
    <t>00030808</t>
  </si>
  <si>
    <t>NL1473</t>
  </si>
  <si>
    <t>00030963</t>
  </si>
  <si>
    <t>NL1475</t>
  </si>
  <si>
    <t>00030997</t>
  </si>
  <si>
    <t>309 Hospital ???309???</t>
  </si>
  <si>
    <t>NL1476</t>
  </si>
  <si>
    <t>00031180</t>
  </si>
  <si>
    <t>NL1480</t>
  </si>
  <si>
    <t>00033511</t>
  </si>
  <si>
    <t>NL1489</t>
  </si>
  <si>
    <t>00032257</t>
  </si>
  <si>
    <t>NL1523</t>
  </si>
  <si>
    <t>00032449</t>
  </si>
  <si>
    <t>NL1533</t>
  </si>
  <si>
    <t>00032879</t>
  </si>
  <si>
    <t>NL1534</t>
  </si>
  <si>
    <t>00033018</t>
  </si>
  <si>
    <t>NL1535</t>
  </si>
  <si>
    <t>00033134</t>
  </si>
  <si>
    <t>NL1566</t>
  </si>
  <si>
    <t>00033718</t>
  </si>
  <si>
    <t>NL41810001</t>
  </si>
  <si>
    <t>00014915</t>
  </si>
  <si>
    <t>NL51901002</t>
  </si>
  <si>
    <t>00014920</t>
  </si>
  <si>
    <t>NM1164</t>
  </si>
  <si>
    <t>00017369</t>
  </si>
  <si>
    <t>NM1304</t>
  </si>
  <si>
    <t>00016340</t>
  </si>
  <si>
    <t>Shanghai Science Yard Biotech Co., Ltd (??????????????</t>
  </si>
  <si>
    <t>NM1361</t>
  </si>
  <si>
    <t>00017083</t>
  </si>
  <si>
    <t>China State Institute of Pharmaceutical Industry ????????????????</t>
  </si>
  <si>
    <t>NM1419</t>
  </si>
  <si>
    <t>00017278</t>
  </si>
  <si>
    <t>Chongqing Medical University ????????</t>
  </si>
  <si>
    <t>NM1434</t>
  </si>
  <si>
    <t>00017449</t>
  </si>
  <si>
    <t>Zhongshan Institute of Changchun U of Science and Technology (???????????))</t>
  </si>
  <si>
    <t>NM1472</t>
  </si>
  <si>
    <t>00030834</t>
  </si>
  <si>
    <t>Southeast University (????)</t>
  </si>
  <si>
    <t>NM1542</t>
  </si>
  <si>
    <t>00033393</t>
  </si>
  <si>
    <t>Crown Bioscience (Beijing) Co., Ltd (????????????????)</t>
  </si>
  <si>
    <t>NM1553</t>
  </si>
  <si>
    <t>00033577</t>
  </si>
  <si>
    <t>NM1554</t>
  </si>
  <si>
    <t>00033591</t>
  </si>
  <si>
    <t>R0049</t>
  </si>
  <si>
    <t>00036818</t>
  </si>
  <si>
    <t>Bethune First Hospital of Jilin University (???????????)</t>
  </si>
  <si>
    <t>R0183</t>
  </si>
  <si>
    <t>00032733</t>
  </si>
  <si>
    <t>R0257</t>
  </si>
  <si>
    <t>00034142</t>
  </si>
  <si>
    <t>Beigene Research and Development Center ??????????</t>
  </si>
  <si>
    <t>R0439</t>
  </si>
  <si>
    <t>00013267</t>
  </si>
  <si>
    <t>HD Biosciences Co.,Ltd????????????????</t>
  </si>
  <si>
    <t>R0558</t>
  </si>
  <si>
    <t>00015834</t>
  </si>
  <si>
    <t>BeOne Medicines (Shanghai) Research &amp; Development Co. Ltd. (?????????????????</t>
  </si>
  <si>
    <t>R0780</t>
  </si>
  <si>
    <t>00036226</t>
  </si>
  <si>
    <t>R0787</t>
  </si>
  <si>
    <t>00036865</t>
  </si>
  <si>
    <t>R1164</t>
  </si>
  <si>
    <t>00016951</t>
  </si>
  <si>
    <t>Taian City Central Hospital ????????????</t>
  </si>
  <si>
    <t>R1170</t>
  </si>
  <si>
    <t>00016868</t>
  </si>
  <si>
    <t>Huashan Hospital Fudan University????????????</t>
  </si>
  <si>
    <t>R1178</t>
  </si>
  <si>
    <t>00032094</t>
  </si>
  <si>
    <t>R1199</t>
  </si>
  <si>
    <t>00017936</t>
  </si>
  <si>
    <t>R1280</t>
  </si>
  <si>
    <t>00017743</t>
  </si>
  <si>
    <t>HEALTH BioMed Co., Ltd ???????????????</t>
  </si>
  <si>
    <t>R1294</t>
  </si>
  <si>
    <t>00031060</t>
  </si>
  <si>
    <t>The First Affiliated Hospital of Anhui Medical University (????????????)</t>
  </si>
  <si>
    <t>R1328</t>
  </si>
  <si>
    <t>00030704</t>
  </si>
  <si>
    <t>Zhongshan Hospital ????????????</t>
  </si>
  <si>
    <t>S0115</t>
  </si>
  <si>
    <t>00033464</t>
  </si>
  <si>
    <t>S0124</t>
  </si>
  <si>
    <t>00031150</t>
  </si>
  <si>
    <t>The Shanghai Institute of Immunity and Infection,CAS (???????????????)</t>
  </si>
  <si>
    <t>S0148</t>
  </si>
  <si>
    <t>00017666</t>
  </si>
  <si>
    <t>S0190</t>
  </si>
  <si>
    <t>00017688</t>
  </si>
  <si>
    <t>S0204</t>
  </si>
  <si>
    <t>00030377</t>
  </si>
  <si>
    <t>West China Second University Hospital ????????</t>
  </si>
  <si>
    <t>S0206</t>
  </si>
  <si>
    <t>00033462</t>
  </si>
  <si>
    <t>Zhongshan School of Medicine, SYSU (?????????)</t>
  </si>
  <si>
    <t>S0231</t>
  </si>
  <si>
    <t>00030915</t>
  </si>
  <si>
    <t>S0242</t>
  </si>
  <si>
    <t>00030871</t>
  </si>
  <si>
    <t>S0258</t>
  </si>
  <si>
    <t>00033138</t>
  </si>
  <si>
    <t>The Southeast General Hospital of Dongguan ????????????????</t>
  </si>
  <si>
    <t>S0264</t>
  </si>
  <si>
    <t>00034321</t>
  </si>
  <si>
    <t>Hangzhou LC Bio Co.,Ltd????????????????</t>
  </si>
  <si>
    <t>S0270</t>
  </si>
  <si>
    <t>00033154</t>
  </si>
  <si>
    <t>S0279</t>
  </si>
  <si>
    <t>00031821</t>
  </si>
  <si>
    <t>U0390</t>
  </si>
  <si>
    <t>00036792</t>
  </si>
  <si>
    <t>U0393</t>
  </si>
  <si>
    <t>00036791</t>
  </si>
  <si>
    <t>U0457</t>
  </si>
  <si>
    <t>00015043</t>
  </si>
  <si>
    <t>U0571</t>
  </si>
  <si>
    <t>00016293</t>
  </si>
  <si>
    <t>U0678</t>
  </si>
  <si>
    <t>00013671</t>
  </si>
  <si>
    <t>U0847</t>
  </si>
  <si>
    <t>00016497</t>
  </si>
  <si>
    <t>Shanghai Institute of Immunology (?????????)</t>
  </si>
  <si>
    <t>U1027</t>
  </si>
  <si>
    <t>00017358</t>
  </si>
  <si>
    <t>U1113</t>
  </si>
  <si>
    <t>00016318</t>
  </si>
  <si>
    <t>IVDC, China CDC (???????????????????</t>
  </si>
  <si>
    <t>U1162SP</t>
  </si>
  <si>
    <t>00030311</t>
  </si>
  <si>
    <t>U1208</t>
  </si>
  <si>
    <t>00017052</t>
  </si>
  <si>
    <t>U1222</t>
  </si>
  <si>
    <t>00017896</t>
  </si>
  <si>
    <t>U1255</t>
  </si>
  <si>
    <t>00036387</t>
  </si>
  <si>
    <t>U1287</t>
  </si>
  <si>
    <t>00017821</t>
  </si>
  <si>
    <t>Institute of Hematology and Blood Disease Hospital ????????????????</t>
  </si>
  <si>
    <t>U1297</t>
  </si>
  <si>
    <t>00017893</t>
  </si>
  <si>
    <t>U1321</t>
  </si>
  <si>
    <t>00030400</t>
  </si>
  <si>
    <t>U1336</t>
  </si>
  <si>
    <t>00017570</t>
  </si>
  <si>
    <t>U1338</t>
  </si>
  <si>
    <t>00017631</t>
  </si>
  <si>
    <t>U1350</t>
  </si>
  <si>
    <t>00030832</t>
  </si>
  <si>
    <t>U1364</t>
  </si>
  <si>
    <t>00017991</t>
  </si>
  <si>
    <t>U1365</t>
  </si>
  <si>
    <t>00017786</t>
  </si>
  <si>
    <t>U1369</t>
  </si>
  <si>
    <t>00030318</t>
  </si>
  <si>
    <t>U1384</t>
  </si>
  <si>
    <t>00017943</t>
  </si>
  <si>
    <t>U1395</t>
  </si>
  <si>
    <t>00031865</t>
  </si>
  <si>
    <t>U1411SP</t>
  </si>
  <si>
    <t>00036172</t>
  </si>
  <si>
    <t>U1468SP</t>
  </si>
  <si>
    <t>00032361</t>
  </si>
  <si>
    <t>U1473</t>
  </si>
  <si>
    <t>00031630</t>
  </si>
  <si>
    <t>U1513</t>
  </si>
  <si>
    <t>00031918</t>
  </si>
  <si>
    <t>U1539</t>
  </si>
  <si>
    <t>00032807</t>
  </si>
  <si>
    <t>U1543</t>
  </si>
  <si>
    <t>00032749</t>
  </si>
  <si>
    <t>U1553</t>
  </si>
  <si>
    <t>00032959</t>
  </si>
  <si>
    <t>Shanghai Bochuangyuan Biotechnology Co., LTD (??????????????</t>
  </si>
  <si>
    <t>U1567</t>
  </si>
  <si>
    <t>00033191</t>
  </si>
  <si>
    <t>U1589</t>
  </si>
  <si>
    <t>00033262</t>
  </si>
  <si>
    <t>U1626</t>
  </si>
  <si>
    <t>00033950</t>
  </si>
  <si>
    <t>Y0222</t>
  </si>
  <si>
    <t>00035234</t>
  </si>
  <si>
    <t>Institute for Immunology, Tsinghua University ????????????</t>
  </si>
  <si>
    <t>Y0599</t>
  </si>
  <si>
    <t>00014054</t>
  </si>
  <si>
    <t>Fuwai Hospital Chinese Academy of Medical Sciences (CAMS)?????????????</t>
  </si>
  <si>
    <t>Y0721</t>
  </si>
  <si>
    <t>00035364</t>
  </si>
  <si>
    <t>Capital Medical University Beijing Tongren Hospital (???????????????</t>
  </si>
  <si>
    <t>Y1159</t>
  </si>
  <si>
    <t>00016511</t>
  </si>
  <si>
    <t>Shenzhen Institute of Advanced Technology, CAS (???????????????</t>
  </si>
  <si>
    <t>Y1258</t>
  </si>
  <si>
    <t>00017424</t>
  </si>
  <si>
    <t>Wuhan University ??????</t>
  </si>
  <si>
    <t>Y1288</t>
  </si>
  <si>
    <t>00031772</t>
  </si>
  <si>
    <t>Y1488</t>
  </si>
  <si>
    <t>00035597</t>
  </si>
  <si>
    <t>Y1555</t>
  </si>
  <si>
    <t>00032645</t>
  </si>
  <si>
    <t>Y1558</t>
  </si>
  <si>
    <t>00032652</t>
  </si>
  <si>
    <t>Shanghai Songjiang District Central Hospital ????????????</t>
  </si>
  <si>
    <t>Y1573</t>
  </si>
  <si>
    <t>00033152</t>
  </si>
  <si>
    <t>6735146233</t>
  </si>
  <si>
    <t>00023815</t>
  </si>
  <si>
    <t>8470060261</t>
  </si>
  <si>
    <t>00024258</t>
  </si>
  <si>
    <t>8470120128</t>
  </si>
  <si>
    <t>00026117</t>
  </si>
  <si>
    <t>EC211966A1</t>
  </si>
  <si>
    <t>00036430</t>
  </si>
  <si>
    <t>CellCarta China Ltd (????????(??)????)</t>
  </si>
  <si>
    <t>EC211976A1</t>
  </si>
  <si>
    <t>00036429</t>
  </si>
  <si>
    <t>EC222376J1</t>
  </si>
  <si>
    <t>00035467</t>
  </si>
  <si>
    <t>Beijing Sironax Biomedicine Co., Ltd ??????????????????</t>
  </si>
  <si>
    <t>EC241417C1</t>
  </si>
  <si>
    <t>00033484</t>
  </si>
  <si>
    <t>FS206</t>
  </si>
  <si>
    <t>00030955</t>
  </si>
  <si>
    <t>SLA-FC-Complete</t>
  </si>
  <si>
    <t>ISX592</t>
  </si>
  <si>
    <t>00028691</t>
  </si>
  <si>
    <t>ISX608</t>
  </si>
  <si>
    <t>00030146</t>
  </si>
  <si>
    <t>ISX615</t>
  </si>
  <si>
    <t>00030145</t>
  </si>
  <si>
    <t>ISX642</t>
  </si>
  <si>
    <t>00029375</t>
  </si>
  <si>
    <t>ISX730</t>
  </si>
  <si>
    <t>00030757</t>
  </si>
  <si>
    <t>ISX757</t>
  </si>
  <si>
    <t>00034624</t>
  </si>
  <si>
    <t>ISX759</t>
  </si>
  <si>
    <t>00036398</t>
  </si>
  <si>
    <t>ISX762</t>
  </si>
  <si>
    <t>00033792</t>
  </si>
  <si>
    <t>ISX764</t>
  </si>
  <si>
    <t>00032188</t>
  </si>
  <si>
    <t>ISX774</t>
  </si>
  <si>
    <t>00033310</t>
  </si>
  <si>
    <t>MU19302003</t>
  </si>
  <si>
    <t>00035662</t>
  </si>
  <si>
    <t>ICON Clinical Research(Beijing)Co.,Ltd ??????????(??)?????</t>
  </si>
  <si>
    <t>A005</t>
  </si>
  <si>
    <t>00013642</t>
  </si>
  <si>
    <t>A006</t>
  </si>
  <si>
    <t>00016710</t>
  </si>
  <si>
    <t>Zhuhai Silver Ark Biochip Co., Ltd. (?????????????)</t>
  </si>
  <si>
    <t>A008</t>
  </si>
  <si>
    <t>00013424</t>
  </si>
  <si>
    <t>Beijing Orient Autologous Medicine (????????????????)</t>
  </si>
  <si>
    <t>A10009US(A007)</t>
  </si>
  <si>
    <t>00013425</t>
  </si>
  <si>
    <t>China Animal Disease Control Center (????????????)</t>
  </si>
  <si>
    <t>A10011US</t>
  </si>
  <si>
    <t>00013439</t>
  </si>
  <si>
    <t>A180502001</t>
  </si>
  <si>
    <t>00013435</t>
  </si>
  <si>
    <t>Shanghai Cryowise Biotechnology Co., Ltd (????????????)</t>
  </si>
  <si>
    <t>AT1002</t>
  </si>
  <si>
    <t>00013692</t>
  </si>
  <si>
    <t>Shanghai Serum Bio-technology Co., LTD (??????????????)</t>
  </si>
  <si>
    <t>AT1005</t>
  </si>
  <si>
    <t>00013431</t>
  </si>
  <si>
    <t>Etta Biotech Co., Ltd ??????????????</t>
  </si>
  <si>
    <t>AT1007</t>
  </si>
  <si>
    <t>00013443</t>
  </si>
  <si>
    <t>Changsha Medical University ???????</t>
  </si>
  <si>
    <t>AT1008</t>
  </si>
  <si>
    <t>00013694</t>
  </si>
  <si>
    <t>AT1009</t>
  </si>
  <si>
    <t>00013427</t>
  </si>
  <si>
    <t>PLA General Hospital</t>
  </si>
  <si>
    <t>DxP Athena B3: 1-laser</t>
  </si>
  <si>
    <t>AT1011</t>
  </si>
  <si>
    <t>00015968</t>
  </si>
  <si>
    <t>XiangYa Hospital Central South University (?????????</t>
  </si>
  <si>
    <t>AT1012</t>
  </si>
  <si>
    <t>00014567</t>
  </si>
  <si>
    <t>AT1013</t>
  </si>
  <si>
    <t>00013440</t>
  </si>
  <si>
    <t>Qingdao Funuo Biomedical Co., Ltd (????????????)</t>
  </si>
  <si>
    <t>AT1024</t>
  </si>
  <si>
    <t>00013441</t>
  </si>
  <si>
    <t>Wuhan Zhuozhicheng Biotech Co., Ltd ???????????????</t>
  </si>
  <si>
    <t>AT1027</t>
  </si>
  <si>
    <t>00013394</t>
  </si>
  <si>
    <t>Athena 3-laser</t>
  </si>
  <si>
    <t>AT1038</t>
  </si>
  <si>
    <t>00013811</t>
  </si>
  <si>
    <t>Shenzhen Second People's Hospital (??????????</t>
  </si>
  <si>
    <t>AT1039</t>
  </si>
  <si>
    <t>00015864</t>
  </si>
  <si>
    <t>AT1040</t>
  </si>
  <si>
    <t>00013421</t>
  </si>
  <si>
    <t>Jiangsu Keyue Biotechnology Co., Ltd ??????????????</t>
  </si>
  <si>
    <t>AT1058</t>
  </si>
  <si>
    <t>00015688</t>
  </si>
  <si>
    <t>Chui Yang Liu Hospital affiliated to Tsinghua University??????????</t>
  </si>
  <si>
    <t>AT1063</t>
  </si>
  <si>
    <t>00015054</t>
  </si>
  <si>
    <t>Daan Gene Co., Ltd ??????????????</t>
  </si>
  <si>
    <t>AT1064</t>
  </si>
  <si>
    <t>00013444</t>
  </si>
  <si>
    <t>AT1065</t>
  </si>
  <si>
    <t>00013640</t>
  </si>
  <si>
    <t>AT1072</t>
  </si>
  <si>
    <t>00013823</t>
  </si>
  <si>
    <t>Jiangsu Zhongke Longchang Biotechnology Co., Ltd ????????????????</t>
  </si>
  <si>
    <t>AT1074</t>
  </si>
  <si>
    <t>00013659</t>
  </si>
  <si>
    <t>TYK Medicines Inc (?????????????)</t>
  </si>
  <si>
    <t>DxP Athena V4-B4-R2: 3-laser, 10-color</t>
  </si>
  <si>
    <t>AT1089</t>
  </si>
  <si>
    <t>00035158</t>
  </si>
  <si>
    <t>Hunan Lihua Biotech Co., Ltd (?????????????</t>
  </si>
  <si>
    <t>AT1098</t>
  </si>
  <si>
    <t>00014123</t>
  </si>
  <si>
    <t>Jiangmen Maternity and Child Health Care Hospital (?????????</t>
  </si>
  <si>
    <t>AT1108</t>
  </si>
  <si>
    <t>00031073</t>
  </si>
  <si>
    <t>Chongqing Human Sperm Bank (????????)</t>
  </si>
  <si>
    <t>AT1110</t>
  </si>
  <si>
    <t>00015101</t>
  </si>
  <si>
    <t>AT1114</t>
  </si>
  <si>
    <t>00014869</t>
  </si>
  <si>
    <t>AT1131</t>
  </si>
  <si>
    <t>00014625</t>
  </si>
  <si>
    <t>Jiaofa Horizon Biotechnology (Rizhao) Co. Ltd (????????????????)</t>
  </si>
  <si>
    <t>AT1132</t>
  </si>
  <si>
    <t>00014676</t>
  </si>
  <si>
    <t>AT1133</t>
  </si>
  <si>
    <t>00015055</t>
  </si>
  <si>
    <t>AT1136</t>
  </si>
  <si>
    <t>00015006</t>
  </si>
  <si>
    <t>AT1139</t>
  </si>
  <si>
    <t>00015255</t>
  </si>
  <si>
    <t>AT1142</t>
  </si>
  <si>
    <t>00014963</t>
  </si>
  <si>
    <t>AT1143</t>
  </si>
  <si>
    <t>00015916</t>
  </si>
  <si>
    <t>AT1152</t>
  </si>
  <si>
    <t>00016909</t>
  </si>
  <si>
    <t>Xianning Central Hospital ????????)</t>
  </si>
  <si>
    <t>AT1178</t>
  </si>
  <si>
    <t>00016628</t>
  </si>
  <si>
    <t>AT1179</t>
  </si>
  <si>
    <t>00031868</t>
  </si>
  <si>
    <t>Chongqing Wen-ch Co., Ltd (????????????)</t>
  </si>
  <si>
    <t>AT1181</t>
  </si>
  <si>
    <t>00015282</t>
  </si>
  <si>
    <t>AT1182</t>
  </si>
  <si>
    <t>00015225</t>
  </si>
  <si>
    <t>AT1186</t>
  </si>
  <si>
    <t>00015294</t>
  </si>
  <si>
    <t>Cancer Research Institute of Central South University (??????????</t>
  </si>
  <si>
    <t>AT1187</t>
  </si>
  <si>
    <t>00015934</t>
  </si>
  <si>
    <t>AT1190</t>
  </si>
  <si>
    <t>00015520</t>
  </si>
  <si>
    <t>AT1191</t>
  </si>
  <si>
    <t>00015494</t>
  </si>
  <si>
    <t>AT1196</t>
  </si>
  <si>
    <t>00031766</t>
  </si>
  <si>
    <t>Maoming Hospital of Traditional Chinese Medcine (???????</t>
  </si>
  <si>
    <t>AT1199</t>
  </si>
  <si>
    <t>00015631</t>
  </si>
  <si>
    <t>AT1201</t>
  </si>
  <si>
    <t>00015685</t>
  </si>
  <si>
    <t>DxP Athena 4 Color</t>
  </si>
  <si>
    <t>AT1204</t>
  </si>
  <si>
    <t>00015750</t>
  </si>
  <si>
    <t>AT1205</t>
  </si>
  <si>
    <t>00015749</t>
  </si>
  <si>
    <t>AT1210</t>
  </si>
  <si>
    <t>00015881</t>
  </si>
  <si>
    <t>AT1224</t>
  </si>
  <si>
    <t>00015853</t>
  </si>
  <si>
    <t>AT1226</t>
  </si>
  <si>
    <t>00015854</t>
  </si>
  <si>
    <t>AT1232</t>
  </si>
  <si>
    <t>00015869</t>
  </si>
  <si>
    <t>AT1236</t>
  </si>
  <si>
    <t>00016719</t>
  </si>
  <si>
    <t>AT1237</t>
  </si>
  <si>
    <t>00016216</t>
  </si>
  <si>
    <t>AT1240</t>
  </si>
  <si>
    <t>00016277</t>
  </si>
  <si>
    <t>AT1242</t>
  </si>
  <si>
    <t>00016936</t>
  </si>
  <si>
    <t>AT1247</t>
  </si>
  <si>
    <t>00016829</t>
  </si>
  <si>
    <t>Shanxi Bethune Hospital?????????</t>
  </si>
  <si>
    <t>AT1252</t>
  </si>
  <si>
    <t>00016260</t>
  </si>
  <si>
    <t>AT1258</t>
  </si>
  <si>
    <t>00017780</t>
  </si>
  <si>
    <t>Guangzhou University of Chinese Medicine (???????)</t>
  </si>
  <si>
    <t>AT1263</t>
  </si>
  <si>
    <t>00016543</t>
  </si>
  <si>
    <t>AT1280</t>
  </si>
  <si>
    <t>00016583</t>
  </si>
  <si>
    <t>AT1284</t>
  </si>
  <si>
    <t>00030312</t>
  </si>
  <si>
    <t>Yili Friendship Hospital (??????????????)</t>
  </si>
  <si>
    <t>AT1289</t>
  </si>
  <si>
    <t>00017587</t>
  </si>
  <si>
    <t>Fujian Medical University Union Hospital (?????????????</t>
  </si>
  <si>
    <t>AT1312</t>
  </si>
  <si>
    <t>00016458</t>
  </si>
  <si>
    <t>AT1313</t>
  </si>
  <si>
    <t>00016607</t>
  </si>
  <si>
    <t>Zhuhai Hospital Affiliated with Jinan University (??????????)</t>
  </si>
  <si>
    <t>AT1352</t>
  </si>
  <si>
    <t>00016609</t>
  </si>
  <si>
    <t>AT1353</t>
  </si>
  <si>
    <t>00017598</t>
  </si>
  <si>
    <t>AT1370</t>
  </si>
  <si>
    <t>00030608</t>
  </si>
  <si>
    <t>AT1373</t>
  </si>
  <si>
    <t>00033397</t>
  </si>
  <si>
    <t>Guilin Hospital of the Second Xiangya Hospital CSU (??????????????</t>
  </si>
  <si>
    <t>AT1376</t>
  </si>
  <si>
    <t>00016886</t>
  </si>
  <si>
    <t>Children's Hospital of Shanxi????????</t>
  </si>
  <si>
    <t>AT1392</t>
  </si>
  <si>
    <t>00034754</t>
  </si>
  <si>
    <t>Immupeutics Medicine (??????????????)</t>
  </si>
  <si>
    <t>AT1399</t>
  </si>
  <si>
    <t>00031069</t>
  </si>
  <si>
    <t>Xinjiang Uiger Municiple People's Hospital (????????????)</t>
  </si>
  <si>
    <t>AT1400</t>
  </si>
  <si>
    <t>00031513</t>
  </si>
  <si>
    <t>Changsha Duxact Biotech Co., Ltd. (??????????????)</t>
  </si>
  <si>
    <t>AT1453</t>
  </si>
  <si>
    <t>00017817</t>
  </si>
  <si>
    <t>Jiangsu College of Nursing ??????????</t>
  </si>
  <si>
    <t>AT1466</t>
  </si>
  <si>
    <t>00031061</t>
  </si>
  <si>
    <t>AT1478</t>
  </si>
  <si>
    <t>00031279</t>
  </si>
  <si>
    <t>AT1481</t>
  </si>
  <si>
    <t>00031278</t>
  </si>
  <si>
    <t>CC285</t>
  </si>
  <si>
    <t>00013533</t>
  </si>
  <si>
    <t>CC390</t>
  </si>
  <si>
    <t>00013532</t>
  </si>
  <si>
    <t>CD030</t>
  </si>
  <si>
    <t>00013650</t>
  </si>
  <si>
    <t>QiLu Hospital of Shandong University ??????????</t>
  </si>
  <si>
    <t>CD043</t>
  </si>
  <si>
    <t>00014826</t>
  </si>
  <si>
    <t>Analytical Bioscience Limited?????????????/?????</t>
  </si>
  <si>
    <t>CD100</t>
  </si>
  <si>
    <t>00015966</t>
  </si>
  <si>
    <t>Guangzhou Eighth People's Hospital Guangzhou Medical University ? ?????????????</t>
  </si>
  <si>
    <t>CD112</t>
  </si>
  <si>
    <t>00013535</t>
  </si>
  <si>
    <t>Future Homo Sapiens (???????????????????)</t>
  </si>
  <si>
    <t>CD173</t>
  </si>
  <si>
    <t>00013330</t>
  </si>
  <si>
    <t>CE060</t>
  </si>
  <si>
    <t>00014496</t>
  </si>
  <si>
    <t>CE067</t>
  </si>
  <si>
    <t>00015847</t>
  </si>
  <si>
    <t>The First Affiliated Hospital, Sun Yat-Sen University (??????????)</t>
  </si>
  <si>
    <t>CE091</t>
  </si>
  <si>
    <t>00015861</t>
  </si>
  <si>
    <t>CE266</t>
  </si>
  <si>
    <t>00015333</t>
  </si>
  <si>
    <t>CS110</t>
  </si>
  <si>
    <t>00031373</t>
  </si>
  <si>
    <t>CS116</t>
  </si>
  <si>
    <t>00031708</t>
  </si>
  <si>
    <t>Sun Yat-sen University (?????</t>
  </si>
  <si>
    <t>E10006</t>
  </si>
  <si>
    <t>00013437</t>
  </si>
  <si>
    <t>Institute of Immunology, Zhejiang University School of Medicine (??????????)?</t>
  </si>
  <si>
    <t>E1422</t>
  </si>
  <si>
    <t>00015985</t>
  </si>
  <si>
    <t>EC211207H2</t>
  </si>
  <si>
    <t>00032228</t>
  </si>
  <si>
    <t>EC212507A1</t>
  </si>
  <si>
    <t>00027312</t>
  </si>
  <si>
    <t>Guangzhou ENKAISAI Biotech (?????????????)</t>
  </si>
  <si>
    <t>EC220546H1</t>
  </si>
  <si>
    <t>00031348</t>
  </si>
  <si>
    <t>EC221867C1</t>
  </si>
  <si>
    <t>00028084</t>
  </si>
  <si>
    <t>EC221947D1</t>
  </si>
  <si>
    <t>00028083</t>
  </si>
  <si>
    <t>EC222227C1</t>
  </si>
  <si>
    <t>00028006</t>
  </si>
  <si>
    <t>EC222237C1</t>
  </si>
  <si>
    <t>00031805</t>
  </si>
  <si>
    <t>EC222306H1</t>
  </si>
  <si>
    <t>00026358</t>
  </si>
  <si>
    <t>Shandong CAR-X Biosciences (?????????????</t>
  </si>
  <si>
    <t>EC222366H2</t>
  </si>
  <si>
    <t>00031710</t>
  </si>
  <si>
    <t>EC222426G1</t>
  </si>
  <si>
    <t>00026355</t>
  </si>
  <si>
    <t>Zhongshan Institute for Drug Discovery (???????????)</t>
  </si>
  <si>
    <t>EC222456C1</t>
  </si>
  <si>
    <t>00032885</t>
  </si>
  <si>
    <t>Ma?anshan Univeristy (??????</t>
  </si>
  <si>
    <t>EC222506C1</t>
  </si>
  <si>
    <t>00031588</t>
  </si>
  <si>
    <t>Beijing Cell-First Biotechnology Co., LTD (????????????????)</t>
  </si>
  <si>
    <t>EC223266C1</t>
  </si>
  <si>
    <t>00030981</t>
  </si>
  <si>
    <t>EC230567F1</t>
  </si>
  <si>
    <t>00030759</t>
  </si>
  <si>
    <t>Tianjin University (?????</t>
  </si>
  <si>
    <t>EC230637C1</t>
  </si>
  <si>
    <t>00031709</t>
  </si>
  <si>
    <t>Xinqiao Hospital, Army Medical University (?????</t>
  </si>
  <si>
    <t>EC231167D2</t>
  </si>
  <si>
    <t>00032973</t>
  </si>
  <si>
    <t>EC231667C1</t>
  </si>
  <si>
    <t>00031391</t>
  </si>
  <si>
    <t>EC232166A1</t>
  </si>
  <si>
    <t>00031866</t>
  </si>
  <si>
    <t>EC232196D1</t>
  </si>
  <si>
    <t>00033209</t>
  </si>
  <si>
    <t>EC232287C1</t>
  </si>
  <si>
    <t>00031867</t>
  </si>
  <si>
    <t>Shengjing Hospital of China Medical U (?????????????</t>
  </si>
  <si>
    <t>EC233106H1</t>
  </si>
  <si>
    <t>00031932</t>
  </si>
  <si>
    <t>EC233347A1</t>
  </si>
  <si>
    <t>00033648</t>
  </si>
  <si>
    <t>Tianjin Chengjian University (??????)</t>
  </si>
  <si>
    <t>EC242637A1</t>
  </si>
  <si>
    <t>00034524</t>
  </si>
  <si>
    <t>The Institute of Blood Transfusion,CAMS (???????????????????)</t>
  </si>
  <si>
    <t>FE111</t>
  </si>
  <si>
    <t>00014620</t>
  </si>
  <si>
    <t>FE141</t>
  </si>
  <si>
    <t>00014663</t>
  </si>
  <si>
    <t>FE161</t>
  </si>
  <si>
    <t>00014675</t>
  </si>
  <si>
    <t>Amador Bioscience ?Hangzhou) Co., Ltd (?????????? ????)</t>
  </si>
  <si>
    <t>FE165</t>
  </si>
  <si>
    <t>00014681</t>
  </si>
  <si>
    <t>FE166</t>
  </si>
  <si>
    <t>00015056</t>
  </si>
  <si>
    <t>Guangzhou KingMed Diagnostics Group Co., Ltd. (????????????????)</t>
  </si>
  <si>
    <t>FE170</t>
  </si>
  <si>
    <t>00014769</t>
  </si>
  <si>
    <t>Jiangsu Huatai Vaccine Engineering Technology Research Co., Ltd (????????????????)</t>
  </si>
  <si>
    <t>FE182</t>
  </si>
  <si>
    <t>00014811</t>
  </si>
  <si>
    <t>FE235</t>
  </si>
  <si>
    <t>00014850</t>
  </si>
  <si>
    <t>Yicon ?Beijing?Biomedical Technology INC ????????????????</t>
  </si>
  <si>
    <t>FE236</t>
  </si>
  <si>
    <t>00015224</t>
  </si>
  <si>
    <t>FE249</t>
  </si>
  <si>
    <t>00015913</t>
  </si>
  <si>
    <t>The Third Affiliated Hospital, Sun Yat-sen University (??????????)</t>
  </si>
  <si>
    <t>FE262</t>
  </si>
  <si>
    <t>00016143</t>
  </si>
  <si>
    <t>FE267</t>
  </si>
  <si>
    <t>00015470</t>
  </si>
  <si>
    <t>Guangzhou Purui Biotech Co.,Ltd (????????????)</t>
  </si>
  <si>
    <t>FE302</t>
  </si>
  <si>
    <t>00015947</t>
  </si>
  <si>
    <t>Tongji Hospital of Tongji University (????????</t>
  </si>
  <si>
    <t>FE340</t>
  </si>
  <si>
    <t>00015654</t>
  </si>
  <si>
    <t>Wuxi Apptec (Chengdu) Co., Ltd (???????????????</t>
  </si>
  <si>
    <t>FE343</t>
  </si>
  <si>
    <t>00016184</t>
  </si>
  <si>
    <t>FE354</t>
  </si>
  <si>
    <t>00016376</t>
  </si>
  <si>
    <t>FF010</t>
  </si>
  <si>
    <t>00015919</t>
  </si>
  <si>
    <t>FF015</t>
  </si>
  <si>
    <t>00015925</t>
  </si>
  <si>
    <t>FF016</t>
  </si>
  <si>
    <t>00016327</t>
  </si>
  <si>
    <t>FF030</t>
  </si>
  <si>
    <t>00016306</t>
  </si>
  <si>
    <t>Ascentage Pharma (?????</t>
  </si>
  <si>
    <t>FF032</t>
  </si>
  <si>
    <t>00016317</t>
  </si>
  <si>
    <t>FF077</t>
  </si>
  <si>
    <t>00016305</t>
  </si>
  <si>
    <t>Baoding No1 Centeral Hospital (??????????</t>
  </si>
  <si>
    <t>FF078</t>
  </si>
  <si>
    <t>00016351</t>
  </si>
  <si>
    <t>FF081</t>
  </si>
  <si>
    <t>00016304</t>
  </si>
  <si>
    <t>Hongene Biotech Corporation ??????????????</t>
  </si>
  <si>
    <t>FF086</t>
  </si>
  <si>
    <t>00016553</t>
  </si>
  <si>
    <t>FF091</t>
  </si>
  <si>
    <t>00016509</t>
  </si>
  <si>
    <t>FF176</t>
  </si>
  <si>
    <t>00016653</t>
  </si>
  <si>
    <t>Janssen R&amp;D (Shanghai) (????????)</t>
  </si>
  <si>
    <t>FF208</t>
  </si>
  <si>
    <t>00016499</t>
  </si>
  <si>
    <t>Juncell Therapeutics (Shanghai) Co., Ltd (?????????????</t>
  </si>
  <si>
    <t>FF214</t>
  </si>
  <si>
    <t>00017370</t>
  </si>
  <si>
    <t>FF226</t>
  </si>
  <si>
    <t>00016658</t>
  </si>
  <si>
    <t>Neukio Biotherapeutics ???? (??) ?????????</t>
  </si>
  <si>
    <t>FF232</t>
  </si>
  <si>
    <t>00017082</t>
  </si>
  <si>
    <t>FF246</t>
  </si>
  <si>
    <t>00017051</t>
  </si>
  <si>
    <t>FG023</t>
  </si>
  <si>
    <t>00017364</t>
  </si>
  <si>
    <t>Shanghai Cino Medical Laboratory Co., Ltd ????????????????</t>
  </si>
  <si>
    <t>FG025</t>
  </si>
  <si>
    <t>00017569</t>
  </si>
  <si>
    <t>FG026</t>
  </si>
  <si>
    <t>00017623</t>
  </si>
  <si>
    <t>FG073</t>
  </si>
  <si>
    <t>00017785</t>
  </si>
  <si>
    <t>FG115</t>
  </si>
  <si>
    <t>00017730</t>
  </si>
  <si>
    <t>FS333</t>
  </si>
  <si>
    <t>00032897</t>
  </si>
  <si>
    <t>FS338</t>
  </si>
  <si>
    <t>00030268</t>
  </si>
  <si>
    <t>Tongji Medical College ?HUST TJMC??????????????</t>
  </si>
  <si>
    <t>FS343</t>
  </si>
  <si>
    <t>00031944</t>
  </si>
  <si>
    <t>Chinese Academy of Agricultural Sciences ?????????</t>
  </si>
  <si>
    <t>GF001</t>
  </si>
  <si>
    <t>00016359</t>
  </si>
  <si>
    <t>GF002</t>
  </si>
  <si>
    <t>00016413</t>
  </si>
  <si>
    <t>GF003</t>
  </si>
  <si>
    <t>00016503</t>
  </si>
  <si>
    <t>Accurant Biotech (Shanghai) Co., Ltd ??????????????</t>
  </si>
  <si>
    <t>GF004</t>
  </si>
  <si>
    <t>00017536</t>
  </si>
  <si>
    <t>GF005</t>
  </si>
  <si>
    <t>00016522</t>
  </si>
  <si>
    <t>GF007</t>
  </si>
  <si>
    <t>00016747</t>
  </si>
  <si>
    <t>Grit Biotechnology ??????????????</t>
  </si>
  <si>
    <t>GG002</t>
  </si>
  <si>
    <t>00017363</t>
  </si>
  <si>
    <t>GG007</t>
  </si>
  <si>
    <t>00030758</t>
  </si>
  <si>
    <t>Ankerui Biological Cell Company ?????????????</t>
  </si>
  <si>
    <t>ISX735</t>
  </si>
  <si>
    <t>00029433</t>
  </si>
  <si>
    <t>ISX747</t>
  </si>
  <si>
    <t>00031521</t>
  </si>
  <si>
    <t>ISX751</t>
  </si>
  <si>
    <t>00031044</t>
  </si>
  <si>
    <t>ISX752</t>
  </si>
  <si>
    <t>00029495</t>
  </si>
  <si>
    <t>Shangdong First Medical University (?????????</t>
  </si>
  <si>
    <t>ISX794</t>
  </si>
  <si>
    <t>00034322</t>
  </si>
  <si>
    <t>N0115</t>
  </si>
  <si>
    <t>00013046</t>
  </si>
  <si>
    <t>Imunopharm Technology Co., Ltd (????????????????)</t>
  </si>
  <si>
    <t>N0123</t>
  </si>
  <si>
    <t>00013278</t>
  </si>
  <si>
    <t>N0157</t>
  </si>
  <si>
    <t>00013393</t>
  </si>
  <si>
    <t>N0171</t>
  </si>
  <si>
    <t>00015988</t>
  </si>
  <si>
    <t>Precision Medicine Center Nanfang Hosipital (???????????</t>
  </si>
  <si>
    <t>N0209</t>
  </si>
  <si>
    <t>00013291</t>
  </si>
  <si>
    <t>Medical School of Nanjing University (????????</t>
  </si>
  <si>
    <t>N0223</t>
  </si>
  <si>
    <t>00013445</t>
  </si>
  <si>
    <t>AcroImmune BioTech. Co., Ltd. ????????????????</t>
  </si>
  <si>
    <t>N0239</t>
  </si>
  <si>
    <t>00017524</t>
  </si>
  <si>
    <t>N0433</t>
  </si>
  <si>
    <t>00015956</t>
  </si>
  <si>
    <t>China-Japan Union Hospital of Jilin University ????????????</t>
  </si>
  <si>
    <t>N0449</t>
  </si>
  <si>
    <t>00013329</t>
  </si>
  <si>
    <t>Nanchang University ??????</t>
  </si>
  <si>
    <t>N0522</t>
  </si>
  <si>
    <t>00015840</t>
  </si>
  <si>
    <t>N0652</t>
  </si>
  <si>
    <t>00013615</t>
  </si>
  <si>
    <t>N0747</t>
  </si>
  <si>
    <t>00014561</t>
  </si>
  <si>
    <t>DaPing Hospital of AMU (?????</t>
  </si>
  <si>
    <t>N1051</t>
  </si>
  <si>
    <t>N1092</t>
  </si>
  <si>
    <t>00035682</t>
  </si>
  <si>
    <t>Guangzhou University of Chinese Medicine ?????????</t>
  </si>
  <si>
    <t>NL1005</t>
  </si>
  <si>
    <t>NL1006</t>
  </si>
  <si>
    <t>00015967</t>
  </si>
  <si>
    <t>Beijing DCTY Biotech Co., Ltd (??????????????)</t>
  </si>
  <si>
    <t>NL1013</t>
  </si>
  <si>
    <t>NL1016</t>
  </si>
  <si>
    <t>NL1020</t>
  </si>
  <si>
    <t>00031325</t>
  </si>
  <si>
    <t>Changsha HC Flow Tech Co., Ltd (????????????)</t>
  </si>
  <si>
    <t>NL1023</t>
  </si>
  <si>
    <t>00017422</t>
  </si>
  <si>
    <t>Tianjing Medical University General Hospital (??????????</t>
  </si>
  <si>
    <t>NL1026</t>
  </si>
  <si>
    <t>00015860</t>
  </si>
  <si>
    <t>NL1029</t>
  </si>
  <si>
    <t>00013358</t>
  </si>
  <si>
    <t>Hospital for Skin Diseases, Institute of Dermatology of CAMS (????????????)</t>
  </si>
  <si>
    <t>NL1034</t>
  </si>
  <si>
    <t>00013509</t>
  </si>
  <si>
    <t>Shenzhen People's Hospital ?????????</t>
  </si>
  <si>
    <t>Cytek Northern Lights- CLC 2000 B&amp;V (CFDA)</t>
  </si>
  <si>
    <t>NL1037</t>
  </si>
  <si>
    <t>NL1043</t>
  </si>
  <si>
    <t>00013695</t>
  </si>
  <si>
    <t>Shanghai Pulmonary Hospital ?????????</t>
  </si>
  <si>
    <t>NL1044</t>
  </si>
  <si>
    <t>00013508</t>
  </si>
  <si>
    <t>Cytek Northern Lights- CLC IVD 2000 B&amp;V</t>
  </si>
  <si>
    <t>NL1046</t>
  </si>
  <si>
    <t>00014092</t>
  </si>
  <si>
    <t>Xuzhou Medical University (???????</t>
  </si>
  <si>
    <t>NL1047</t>
  </si>
  <si>
    <t>00014872</t>
  </si>
  <si>
    <t>NL1048</t>
  </si>
  <si>
    <t>00014122</t>
  </si>
  <si>
    <t>NL1050</t>
  </si>
  <si>
    <t>00013942</t>
  </si>
  <si>
    <t>Yunnan Cell Engineering Center ???????????????</t>
  </si>
  <si>
    <t>NL1054</t>
  </si>
  <si>
    <t>00014005</t>
  </si>
  <si>
    <t>Beijing MegaRobo Technologies Co., Ltd (??????????????</t>
  </si>
  <si>
    <t>NL1061</t>
  </si>
  <si>
    <t>00013744</t>
  </si>
  <si>
    <t>Guidon Pharmaceutics (Beijing) Co.,Ltd (??????????????)</t>
  </si>
  <si>
    <t>NL1067</t>
  </si>
  <si>
    <t>00014256</t>
  </si>
  <si>
    <t>NL1068</t>
  </si>
  <si>
    <t>00015992</t>
  </si>
  <si>
    <t>NL1070</t>
  </si>
  <si>
    <t>00014172</t>
  </si>
  <si>
    <t>NL1071</t>
  </si>
  <si>
    <t>00014173</t>
  </si>
  <si>
    <t>NL1073</t>
  </si>
  <si>
    <t>00016008</t>
  </si>
  <si>
    <t>NL1087</t>
  </si>
  <si>
    <t>00015077</t>
  </si>
  <si>
    <t>NL1099</t>
  </si>
  <si>
    <t>00014274</t>
  </si>
  <si>
    <t>Beijing Boren Hospital (?????????</t>
  </si>
  <si>
    <t>NL1100</t>
  </si>
  <si>
    <t>00014768</t>
  </si>
  <si>
    <t>NL1101</t>
  </si>
  <si>
    <t>00016706</t>
  </si>
  <si>
    <t>The First Affiliated Hospital of Henan U of Science and Technology ??????????????</t>
  </si>
  <si>
    <t>NL1102</t>
  </si>
  <si>
    <t>00015849</t>
  </si>
  <si>
    <t>Kindstar Globalgene Technology, Inc ??????????????</t>
  </si>
  <si>
    <t>NL1112</t>
  </si>
  <si>
    <t>00014828</t>
  </si>
  <si>
    <t>Nanjing AcroImmune BioTech. Co., Ltd????????????????</t>
  </si>
  <si>
    <t>NL1113</t>
  </si>
  <si>
    <t>00015098</t>
  </si>
  <si>
    <t>NL1120</t>
  </si>
  <si>
    <t>00014886</t>
  </si>
  <si>
    <t>Shanghai Center for Clinical Laboratory?????????</t>
  </si>
  <si>
    <t>NL1159</t>
  </si>
  <si>
    <t>00015017</t>
  </si>
  <si>
    <t>Beijing Chineo Medical Technology Co., Ltd??????????????</t>
  </si>
  <si>
    <t>NL1172</t>
  </si>
  <si>
    <t>00015495</t>
  </si>
  <si>
    <t>Chifeng Municipal Hospital??????,?????????????</t>
  </si>
  <si>
    <t>NL1176</t>
  </si>
  <si>
    <t>NL1183</t>
  </si>
  <si>
    <t>00015917</t>
  </si>
  <si>
    <t>NL1188</t>
  </si>
  <si>
    <t>NL1195</t>
  </si>
  <si>
    <t>00015493</t>
  </si>
  <si>
    <t>NL1200</t>
  </si>
  <si>
    <t>00015485</t>
  </si>
  <si>
    <t>Shanghai Lakeshore Biotechnology Co.,Ltd (????????????)</t>
  </si>
  <si>
    <t>NL1208</t>
  </si>
  <si>
    <t>00015640</t>
  </si>
  <si>
    <t>Peking University People?s Hospital (Qinghe)(?????????????</t>
  </si>
  <si>
    <t>NL1209</t>
  </si>
  <si>
    <t>NL1218</t>
  </si>
  <si>
    <t>00015857</t>
  </si>
  <si>
    <t>NL1223</t>
  </si>
  <si>
    <t>00015758</t>
  </si>
  <si>
    <t>NL1230</t>
  </si>
  <si>
    <t>00016152</t>
  </si>
  <si>
    <t>Beijing Keyueda Biotech Co.Ltd (?????????????)</t>
  </si>
  <si>
    <t>NL1241</t>
  </si>
  <si>
    <t>00016586</t>
  </si>
  <si>
    <t>Weituo Biotechnology (Tianjin) Co., Ltd ????????????????</t>
  </si>
  <si>
    <t>NL1257</t>
  </si>
  <si>
    <t>00016764</t>
  </si>
  <si>
    <t>NL1262</t>
  </si>
  <si>
    <t>NL1298</t>
  </si>
  <si>
    <t>NL1336</t>
  </si>
  <si>
    <t>NL1339</t>
  </si>
  <si>
    <t>00016617</t>
  </si>
  <si>
    <t>NL1340</t>
  </si>
  <si>
    <t>00036083</t>
  </si>
  <si>
    <t>NL1342</t>
  </si>
  <si>
    <t>00016608</t>
  </si>
  <si>
    <t>NL1346</t>
  </si>
  <si>
    <t>00016588</t>
  </si>
  <si>
    <t>Fujian Children?s Hospital ?????????</t>
  </si>
  <si>
    <t>NL1351</t>
  </si>
  <si>
    <t>NL1355</t>
  </si>
  <si>
    <t>00017416</t>
  </si>
  <si>
    <t>NL1356</t>
  </si>
  <si>
    <t>00016703</t>
  </si>
  <si>
    <t>National Center for Clinical Laboratories??????????????)</t>
  </si>
  <si>
    <t>NL1359</t>
  </si>
  <si>
    <t>00036245</t>
  </si>
  <si>
    <t>Zhoukou Centrral Hospital (????????</t>
  </si>
  <si>
    <t>NL1362</t>
  </si>
  <si>
    <t>00033856</t>
  </si>
  <si>
    <t>NL1363</t>
  </si>
  <si>
    <t>00036193</t>
  </si>
  <si>
    <t>NL1364</t>
  </si>
  <si>
    <t>00016997</t>
  </si>
  <si>
    <t>NL1369</t>
  </si>
  <si>
    <t>00016846</t>
  </si>
  <si>
    <t>NL1380</t>
  </si>
  <si>
    <t>00017128</t>
  </si>
  <si>
    <t>Linfen Central Hospital???????????</t>
  </si>
  <si>
    <t>NL1388</t>
  </si>
  <si>
    <t>NL1394</t>
  </si>
  <si>
    <t>00033938</t>
  </si>
  <si>
    <t>NL1395</t>
  </si>
  <si>
    <t>NL1397</t>
  </si>
  <si>
    <t>00017829</t>
  </si>
  <si>
    <t>NL1405</t>
  </si>
  <si>
    <t>NL1429</t>
  </si>
  <si>
    <t>00017351</t>
  </si>
  <si>
    <t>BenQ Medical Center (??????)</t>
  </si>
  <si>
    <t>NL1477</t>
  </si>
  <si>
    <t>00031512</t>
  </si>
  <si>
    <t>Tongren Hospital (????????????????</t>
  </si>
  <si>
    <t>NL1484</t>
  </si>
  <si>
    <t>00031900</t>
  </si>
  <si>
    <t>NL1487</t>
  </si>
  <si>
    <t>00032027</t>
  </si>
  <si>
    <t>Affiliated Hospital of Zunyi Medical University (??????????)</t>
  </si>
  <si>
    <t>NL1524</t>
  </si>
  <si>
    <t>00032434</t>
  </si>
  <si>
    <t>NL1529</t>
  </si>
  <si>
    <t>00032732</t>
  </si>
  <si>
    <t>NL1532</t>
  </si>
  <si>
    <t>00034553</t>
  </si>
  <si>
    <t>NL1546</t>
  </si>
  <si>
    <t>00033426</t>
  </si>
  <si>
    <t>NL1550</t>
  </si>
  <si>
    <t>00033382</t>
  </si>
  <si>
    <t>NL1552</t>
  </si>
  <si>
    <t>00033482</t>
  </si>
  <si>
    <t>NL1569</t>
  </si>
  <si>
    <t>00033827</t>
  </si>
  <si>
    <t>NL1591</t>
  </si>
  <si>
    <t>00034752</t>
  </si>
  <si>
    <t>Yancheng Third People's Hospital (??????????</t>
  </si>
  <si>
    <t>NL1592</t>
  </si>
  <si>
    <t>00034588</t>
  </si>
  <si>
    <t>NL1593</t>
  </si>
  <si>
    <t>00036727</t>
  </si>
  <si>
    <t>Huaihe Hospital of Henan University (????????)</t>
  </si>
  <si>
    <t>NL1595</t>
  </si>
  <si>
    <t>00034309</t>
  </si>
  <si>
    <t>Changzhou Xitaihu Institute for Frontier Technology of Cell Therapy (??????????????</t>
  </si>
  <si>
    <t>NL1598</t>
  </si>
  <si>
    <t>00034733</t>
  </si>
  <si>
    <t>NL1609</t>
  </si>
  <si>
    <t>00034642</t>
  </si>
  <si>
    <t>Peking University People?s Hospital (?????????</t>
  </si>
  <si>
    <t>NL51901001</t>
  </si>
  <si>
    <t>00014178</t>
  </si>
  <si>
    <t>NM1001</t>
  </si>
  <si>
    <t>00013279</t>
  </si>
  <si>
    <t>Shanghai University of Sport ????????</t>
  </si>
  <si>
    <t>NM1009</t>
  </si>
  <si>
    <t>00013446</t>
  </si>
  <si>
    <t>Guangzhou Raybio Biotech Co., Ltd (????????????)</t>
  </si>
  <si>
    <t>NM1316</t>
  </si>
  <si>
    <t>NM1428</t>
  </si>
  <si>
    <t>00030872</t>
  </si>
  <si>
    <t>NM1451</t>
  </si>
  <si>
    <t>00032010</t>
  </si>
  <si>
    <t>NM1514</t>
  </si>
  <si>
    <t>00034551</t>
  </si>
  <si>
    <t>Liaocheng Univeristy (????)</t>
  </si>
  <si>
    <t>NM1540</t>
  </si>
  <si>
    <t>00036190</t>
  </si>
  <si>
    <t>Beijing Deming Biotechnology Co., Ltd??????????????</t>
  </si>
  <si>
    <t>NM1562</t>
  </si>
  <si>
    <t>00033939</t>
  </si>
  <si>
    <t>NM1563</t>
  </si>
  <si>
    <t>00033719</t>
  </si>
  <si>
    <t>NM1564</t>
  </si>
  <si>
    <t>00034656</t>
  </si>
  <si>
    <t>NM1565</t>
  </si>
  <si>
    <t>00033720</t>
  </si>
  <si>
    <t>NM1584</t>
  </si>
  <si>
    <t>00034083</t>
  </si>
  <si>
    <t>NM1589</t>
  </si>
  <si>
    <t>00034608</t>
  </si>
  <si>
    <t>SD Institute of Medical Device and Pharmaceutical Packaging Inspection ????????????</t>
  </si>
  <si>
    <t>NM1600</t>
  </si>
  <si>
    <t>00034687</t>
  </si>
  <si>
    <t>NM1606</t>
  </si>
  <si>
    <t>00034609</t>
  </si>
  <si>
    <t>P2</t>
  </si>
  <si>
    <t>00014176</t>
  </si>
  <si>
    <t>R0038</t>
  </si>
  <si>
    <t>00013288</t>
  </si>
  <si>
    <t>CAS Lamvac Biotech Co.,Ltd (??????????????)</t>
  </si>
  <si>
    <t>R0065</t>
  </si>
  <si>
    <t>00014664</t>
  </si>
  <si>
    <t>R0072</t>
  </si>
  <si>
    <t>00011295</t>
  </si>
  <si>
    <t>R0224</t>
  </si>
  <si>
    <t>00013275</t>
  </si>
  <si>
    <t>Shantou University Medical College ( ???????)</t>
  </si>
  <si>
    <t>R0535</t>
  </si>
  <si>
    <t>00013287</t>
  </si>
  <si>
    <t>Tongde Hospital of Zhejiang Province ??????????</t>
  </si>
  <si>
    <t>R0641</t>
  </si>
  <si>
    <t>00013976</t>
  </si>
  <si>
    <t>R0856</t>
  </si>
  <si>
    <t>00031839</t>
  </si>
  <si>
    <t>R0962</t>
  </si>
  <si>
    <t>00015751</t>
  </si>
  <si>
    <t>R1003</t>
  </si>
  <si>
    <t>00015926</t>
  </si>
  <si>
    <t>R1012</t>
  </si>
  <si>
    <t>00016250</t>
  </si>
  <si>
    <t>Wuxi Apptec (Suzhou) Co., Ltd (??????????????)</t>
  </si>
  <si>
    <t>R1014</t>
  </si>
  <si>
    <t>R1049</t>
  </si>
  <si>
    <t>R1158</t>
  </si>
  <si>
    <t>00016467</t>
  </si>
  <si>
    <t>Henan Normal University (???????</t>
  </si>
  <si>
    <t>R1524</t>
  </si>
  <si>
    <t>00033684</t>
  </si>
  <si>
    <t>S0158</t>
  </si>
  <si>
    <t>00017359</t>
  </si>
  <si>
    <t>S0165</t>
  </si>
  <si>
    <t>00016704</t>
  </si>
  <si>
    <t>Hangzhou First People's Hospital (??????????????????)</t>
  </si>
  <si>
    <t>S0233</t>
  </si>
  <si>
    <t>00035608</t>
  </si>
  <si>
    <t>S0235</t>
  </si>
  <si>
    <t>00030328</t>
  </si>
  <si>
    <t>S0282</t>
  </si>
  <si>
    <t>00034522</t>
  </si>
  <si>
    <t>S0285</t>
  </si>
  <si>
    <t>00035083</t>
  </si>
  <si>
    <t>S0296</t>
  </si>
  <si>
    <t>00036264</t>
  </si>
  <si>
    <t>S0337</t>
  </si>
  <si>
    <t>00034658</t>
  </si>
  <si>
    <t>Nanhu Laboratory ???????</t>
  </si>
  <si>
    <t>S0343</t>
  </si>
  <si>
    <t>00034580</t>
  </si>
  <si>
    <t>T0080</t>
  </si>
  <si>
    <t>00013448</t>
  </si>
  <si>
    <t>Guangdong University of Technology ????????</t>
  </si>
  <si>
    <t>T0086</t>
  </si>
  <si>
    <t>00015987</t>
  </si>
  <si>
    <t>The Second Xiangya Hospital of Central South University ???????????</t>
  </si>
  <si>
    <t>TC0101</t>
  </si>
  <si>
    <t>00013430</t>
  </si>
  <si>
    <t>TC103</t>
  </si>
  <si>
    <t>00013536</t>
  </si>
  <si>
    <t>Jiangsu Shengcheng StemCell Co., Ltd (?????????????)</t>
  </si>
  <si>
    <t>U0153</t>
  </si>
  <si>
    <t>00013282</t>
  </si>
  <si>
    <t>U0190</t>
  </si>
  <si>
    <t>00013392</t>
  </si>
  <si>
    <t>U0273</t>
  </si>
  <si>
    <t>00013391</t>
  </si>
  <si>
    <t>U0793</t>
  </si>
  <si>
    <t>U0822</t>
  </si>
  <si>
    <t>00014677</t>
  </si>
  <si>
    <t>U0943</t>
  </si>
  <si>
    <t>00015823</t>
  </si>
  <si>
    <t>U0947</t>
  </si>
  <si>
    <t>U0949</t>
  </si>
  <si>
    <t>U1028</t>
  </si>
  <si>
    <t>00015930</t>
  </si>
  <si>
    <t>U1035</t>
  </si>
  <si>
    <t>U1072</t>
  </si>
  <si>
    <t>U1189</t>
  </si>
  <si>
    <t>U1637</t>
  </si>
  <si>
    <t>00034300</t>
  </si>
  <si>
    <t>U1686</t>
  </si>
  <si>
    <t>00034606</t>
  </si>
  <si>
    <t>U1687</t>
  </si>
  <si>
    <t>00034562</t>
  </si>
  <si>
    <t>V0672</t>
  </si>
  <si>
    <t>00016357</t>
  </si>
  <si>
    <t>Y0022 DEMO</t>
  </si>
  <si>
    <t>00014916</t>
  </si>
  <si>
    <t>Y0024</t>
  </si>
  <si>
    <t>00030708</t>
  </si>
  <si>
    <t>Y0024 DEMO</t>
  </si>
  <si>
    <t>00036631</t>
  </si>
  <si>
    <t>Y0030</t>
  </si>
  <si>
    <t>00014343</t>
  </si>
  <si>
    <t>Y0092</t>
  </si>
  <si>
    <t>00033150</t>
  </si>
  <si>
    <t>Y0456</t>
  </si>
  <si>
    <t>00015936</t>
  </si>
  <si>
    <t>Zhejiang University-University of Edinburgh Insititute (??????????????</t>
  </si>
  <si>
    <t>Y0755</t>
  </si>
  <si>
    <t>Y1557</t>
  </si>
  <si>
    <t>00032716</t>
  </si>
  <si>
    <t>CS029</t>
  </si>
  <si>
    <t>UNIVERSIDAD AUTONOMA DE BUCARAMANGA (UNAB)</t>
  </si>
  <si>
    <t>Colombia</t>
  </si>
  <si>
    <t>CS061</t>
  </si>
  <si>
    <t>R0261</t>
  </si>
  <si>
    <t>00013958</t>
  </si>
  <si>
    <t>Pontificia Universidad Javeriana</t>
  </si>
  <si>
    <t>N0829</t>
  </si>
  <si>
    <t>00014623</t>
  </si>
  <si>
    <t>Universidad Industrial De Santander</t>
  </si>
  <si>
    <t>N0934</t>
  </si>
  <si>
    <t>00015455</t>
  </si>
  <si>
    <t>Quinberlab S.A.S.</t>
  </si>
  <si>
    <t>FS312</t>
  </si>
  <si>
    <t>DESARROLLOS INTERNACIONALES DE SALUD S A (DEINSA)</t>
  </si>
  <si>
    <t>Costa Rica</t>
  </si>
  <si>
    <t>AMS Deep Well Table</t>
  </si>
  <si>
    <t>1354</t>
  </si>
  <si>
    <t>Fidelta d.o.</t>
  </si>
  <si>
    <t>Croatia</t>
  </si>
  <si>
    <t>7200150956</t>
  </si>
  <si>
    <t>MEDIC D.O.O.</t>
  </si>
  <si>
    <t>7200151242</t>
  </si>
  <si>
    <t>BIOVIT D.O.O.</t>
  </si>
  <si>
    <t>8470060230</t>
  </si>
  <si>
    <t>MEDITERRANEAN INSTITUTE FOR LIFE SCIENCES</t>
  </si>
  <si>
    <t>MU21154001</t>
  </si>
  <si>
    <t>8472060253</t>
  </si>
  <si>
    <t>00030928</t>
  </si>
  <si>
    <t>UNIVERSITY OF ZAGREB</t>
  </si>
  <si>
    <t>FG041</t>
  </si>
  <si>
    <t>karaiskakio Foundation Cyprus</t>
  </si>
  <si>
    <t>Cyprus</t>
  </si>
  <si>
    <t>CD120</t>
  </si>
  <si>
    <t>00014360</t>
  </si>
  <si>
    <t>R0512</t>
  </si>
  <si>
    <t>00016534</t>
  </si>
  <si>
    <t>Center for the Study of Hematological and other Malignancies (CSHM)</t>
  </si>
  <si>
    <t>NE0066</t>
  </si>
  <si>
    <t>00034784</t>
  </si>
  <si>
    <t>Czechia</t>
  </si>
  <si>
    <t>Warranty (Parts Only)</t>
  </si>
  <si>
    <t>6735126094</t>
  </si>
  <si>
    <t>UOCHB AV CR (IOCB AS CR) VVI</t>
  </si>
  <si>
    <t>Czech Republic</t>
  </si>
  <si>
    <t>7200120711</t>
  </si>
  <si>
    <t>USTAV JADERNE FYZIKY AV CR VVI</t>
  </si>
  <si>
    <t>7200121283</t>
  </si>
  <si>
    <t>INTELLIMEDIX</t>
  </si>
  <si>
    <t>7200121287</t>
  </si>
  <si>
    <t>UNIVERZITA OBRANY HRADEC KRALOVE</t>
  </si>
  <si>
    <t>8470080189</t>
  </si>
  <si>
    <t>UNIVERZITA KARLOVA</t>
  </si>
  <si>
    <t>8472050162</t>
  </si>
  <si>
    <t>VYZKUMNY USTAV ZIVOCISNE VYROBY VVI</t>
  </si>
  <si>
    <t>8472130103</t>
  </si>
  <si>
    <t>CE062</t>
  </si>
  <si>
    <t>CG002</t>
  </si>
  <si>
    <t>CS060</t>
  </si>
  <si>
    <t>VETERINARY RESEARCH INSTITUTE</t>
  </si>
  <si>
    <t>FS186</t>
  </si>
  <si>
    <t>BIOTECH A S</t>
  </si>
  <si>
    <t>ISX329</t>
  </si>
  <si>
    <t>USTAV VYZKUMU GLOBALNI ZMENY AV CR VVI</t>
  </si>
  <si>
    <t>ISX415</t>
  </si>
  <si>
    <t>CHARLES UNIVERSITY PRAGUE - FIRST FACULTY OF MEDICINE</t>
  </si>
  <si>
    <t>ISX718</t>
  </si>
  <si>
    <t>INSTITUTE OF MOLECULAR GENETICS</t>
  </si>
  <si>
    <t>MU20030001</t>
  </si>
  <si>
    <t>SER00158771</t>
  </si>
  <si>
    <t>V0379</t>
  </si>
  <si>
    <t>CD039</t>
  </si>
  <si>
    <t>00013415</t>
  </si>
  <si>
    <t>CD042</t>
  </si>
  <si>
    <t>00013417</t>
  </si>
  <si>
    <t>CD061</t>
  </si>
  <si>
    <t>00012862</t>
  </si>
  <si>
    <t>CD184</t>
  </si>
  <si>
    <t>00014346</t>
  </si>
  <si>
    <t>MU23076002</t>
  </si>
  <si>
    <t>00018082</t>
  </si>
  <si>
    <t>I.T.A.- INTERTACT S.R.O.</t>
  </si>
  <si>
    <t>MU23076003</t>
  </si>
  <si>
    <t>00018083</t>
  </si>
  <si>
    <t>N0132</t>
  </si>
  <si>
    <t>00012865</t>
  </si>
  <si>
    <t>N0444</t>
  </si>
  <si>
    <t>00012861</t>
  </si>
  <si>
    <t>NE0001</t>
  </si>
  <si>
    <t>00016678</t>
  </si>
  <si>
    <t>S0295</t>
  </si>
  <si>
    <t>00033547</t>
  </si>
  <si>
    <t>BIOPARK d.o.o.</t>
  </si>
  <si>
    <t>U0380</t>
  </si>
  <si>
    <t>00012877</t>
  </si>
  <si>
    <t>U0413</t>
  </si>
  <si>
    <t>00014080</t>
  </si>
  <si>
    <t>Y0111</t>
  </si>
  <si>
    <t>00013103</t>
  </si>
  <si>
    <t>CD140</t>
  </si>
  <si>
    <t>00013228</t>
  </si>
  <si>
    <t>CD165</t>
  </si>
  <si>
    <t>00013100</t>
  </si>
  <si>
    <t>NE0002</t>
  </si>
  <si>
    <t>00014084</t>
  </si>
  <si>
    <t>R1073</t>
  </si>
  <si>
    <t>00016713</t>
  </si>
  <si>
    <t>U0569</t>
  </si>
  <si>
    <t>00036746</t>
  </si>
  <si>
    <t>V0985</t>
  </si>
  <si>
    <t>00015592</t>
  </si>
  <si>
    <t>6735126088</t>
  </si>
  <si>
    <t>Denmark</t>
  </si>
  <si>
    <t>6735135200</t>
  </si>
  <si>
    <t>CARLSBERG FORSKNINGSCENTER</t>
  </si>
  <si>
    <t>7200121201</t>
  </si>
  <si>
    <t>DANMARKS TEKNISKE UNIVERSITET</t>
  </si>
  <si>
    <t>7200150903</t>
  </si>
  <si>
    <t>COPENHAGEN UNIVERSITY - INSTITUTE FOR BIOLOGY</t>
  </si>
  <si>
    <t>7200150907</t>
  </si>
  <si>
    <t>Odense Universitetshospital</t>
  </si>
  <si>
    <t>8470060258</t>
  </si>
  <si>
    <t>University of Copenhagen (KU)</t>
  </si>
  <si>
    <t>8470060266</t>
  </si>
  <si>
    <t>AGC BIOLOGICS AS</t>
  </si>
  <si>
    <t>8472050173</t>
  </si>
  <si>
    <t>8472050216</t>
  </si>
  <si>
    <t>Aarhus University - FACS Core Facility</t>
  </si>
  <si>
    <t>8472050263</t>
  </si>
  <si>
    <t>PROFESSIONSHOJSKOLEN ABSALON</t>
  </si>
  <si>
    <t>FE337</t>
  </si>
  <si>
    <t>Taconic Biosciences GmbH</t>
  </si>
  <si>
    <t>FF046</t>
  </si>
  <si>
    <t>ALK Copenhagen</t>
  </si>
  <si>
    <t>FS182</t>
  </si>
  <si>
    <t>Refurbished Guava PCA Base System w, Obsolete</t>
  </si>
  <si>
    <t>GTI-0200174R</t>
  </si>
  <si>
    <t>SOPHION BIOSCIENCE AS</t>
  </si>
  <si>
    <t>GTI-0300367</t>
  </si>
  <si>
    <t>GTI-0400423R</t>
  </si>
  <si>
    <t>GTI-3630060113</t>
  </si>
  <si>
    <t>GTI-3630090395</t>
  </si>
  <si>
    <t>GTI-5430100229</t>
  </si>
  <si>
    <t>GTI-5580090102</t>
  </si>
  <si>
    <t>LUNDBECK</t>
  </si>
  <si>
    <t>GTI-6735118080</t>
  </si>
  <si>
    <t>XCELCYTE A/S</t>
  </si>
  <si>
    <t>MU20270001</t>
  </si>
  <si>
    <t>Technical University of Denmark (DTU)</t>
  </si>
  <si>
    <t>CD101</t>
  </si>
  <si>
    <t>00016875</t>
  </si>
  <si>
    <t>Eli Lilly Danmark</t>
  </si>
  <si>
    <t>NM1300</t>
  </si>
  <si>
    <t>Y0734</t>
  </si>
  <si>
    <t>00035362</t>
  </si>
  <si>
    <t>Danish Cancer Society Research Center Genome Integrity</t>
  </si>
  <si>
    <t>R0927</t>
  </si>
  <si>
    <t>00015639</t>
  </si>
  <si>
    <t>U0968</t>
  </si>
  <si>
    <t>00015764</t>
  </si>
  <si>
    <t>ISX478</t>
  </si>
  <si>
    <t>00035232</t>
  </si>
  <si>
    <t>ISX637</t>
  </si>
  <si>
    <t>00029362</t>
  </si>
  <si>
    <t>7200150308</t>
  </si>
  <si>
    <t>00033366</t>
  </si>
  <si>
    <t>U0591</t>
  </si>
  <si>
    <t>00032858</t>
  </si>
  <si>
    <t>NNF Center for Stem Cell Medicine reNEW</t>
  </si>
  <si>
    <t>CD207</t>
  </si>
  <si>
    <t>00013596</t>
  </si>
  <si>
    <t>CE003</t>
  </si>
  <si>
    <t>00013802</t>
  </si>
  <si>
    <t>EC222136B1</t>
  </si>
  <si>
    <t>00032581</t>
  </si>
  <si>
    <t>CE176</t>
  </si>
  <si>
    <t>AGBL Dubai</t>
  </si>
  <si>
    <t>Dubai</t>
  </si>
  <si>
    <t>NE0010</t>
  </si>
  <si>
    <t>00013750</t>
  </si>
  <si>
    <t>NE0026</t>
  </si>
  <si>
    <t>00016365</t>
  </si>
  <si>
    <t>R0998</t>
  </si>
  <si>
    <t>00016337</t>
  </si>
  <si>
    <t>7200151112</t>
  </si>
  <si>
    <t>Egypt</t>
  </si>
  <si>
    <t>EC210146J1</t>
  </si>
  <si>
    <t>Estonia</t>
  </si>
  <si>
    <t>7200151188</t>
  </si>
  <si>
    <t>Ferring Ventures Oy (prev. KTC)</t>
  </si>
  <si>
    <t>Finland</t>
  </si>
  <si>
    <t>8576120105</t>
  </si>
  <si>
    <t>WIHURI RESEARCH INSTITUTE</t>
  </si>
  <si>
    <t>FS273</t>
  </si>
  <si>
    <t>ITAE-SUOMEN YLIOPISTO</t>
  </si>
  <si>
    <t>MU20286001</t>
  </si>
  <si>
    <t>TRIOLAB OY</t>
  </si>
  <si>
    <t>8470080180-033917</t>
  </si>
  <si>
    <t>00033712</t>
  </si>
  <si>
    <t>University of Jyväskylä</t>
  </si>
  <si>
    <t>ISX575</t>
  </si>
  <si>
    <t>00036088</t>
  </si>
  <si>
    <t>Suomen Punainen Risti Veripalvelu</t>
  </si>
  <si>
    <t>NM1446</t>
  </si>
  <si>
    <t>00034350</t>
  </si>
  <si>
    <t>University of Turku</t>
  </si>
  <si>
    <t>5010080104</t>
  </si>
  <si>
    <t>Université de Strasbourg</t>
  </si>
  <si>
    <t>662011S007</t>
  </si>
  <si>
    <t>Oniris Ecole Nationale Vétérinaire</t>
  </si>
  <si>
    <t>6620126056</t>
  </si>
  <si>
    <t>Ashland Specialties France SARL</t>
  </si>
  <si>
    <t>6620126062</t>
  </si>
  <si>
    <t>Université Paris Cité - Faculté de Pharmacie de Paris</t>
  </si>
  <si>
    <t>6620126077</t>
  </si>
  <si>
    <t>ENS PARIS-SACLAY DER Biologie</t>
  </si>
  <si>
    <t>6620135151</t>
  </si>
  <si>
    <t>CENTRALESUPELEC</t>
  </si>
  <si>
    <t>6620136130</t>
  </si>
  <si>
    <t>UMR1149 CNRS8252 Centre de Recherche sur l'Inflammation (CRI)</t>
  </si>
  <si>
    <t>662013S018</t>
  </si>
  <si>
    <t>CENTRE PHARMA</t>
  </si>
  <si>
    <t>662013S019</t>
  </si>
  <si>
    <t>BEL S.A.</t>
  </si>
  <si>
    <t>673510S003</t>
  </si>
  <si>
    <t>6735135155</t>
  </si>
  <si>
    <t>Arkema France - Lacq Research Group (GRL)</t>
  </si>
  <si>
    <t>6735135167</t>
  </si>
  <si>
    <t>EUROSAFE</t>
  </si>
  <si>
    <t>6735135192</t>
  </si>
  <si>
    <t>CEA - Cadarache Centre</t>
  </si>
  <si>
    <t>6735136124</t>
  </si>
  <si>
    <t>6735136130</t>
  </si>
  <si>
    <t>IRSTEA</t>
  </si>
  <si>
    <t>6735136146</t>
  </si>
  <si>
    <t>6735136147</t>
  </si>
  <si>
    <t>6735136148</t>
  </si>
  <si>
    <t>6735136153</t>
  </si>
  <si>
    <t>6735136163</t>
  </si>
  <si>
    <t>6735136167</t>
  </si>
  <si>
    <t>6735136168</t>
  </si>
  <si>
    <t>6735136173</t>
  </si>
  <si>
    <t>TOTALENERGIES S.E.</t>
  </si>
  <si>
    <t>6735145229</t>
  </si>
  <si>
    <t>L'institut français du cheval et de l'équitation (IFCE)</t>
  </si>
  <si>
    <t>6735146208</t>
  </si>
  <si>
    <t>Institut Cochin - IMAG'IC Core Facility</t>
  </si>
  <si>
    <t>6735146220</t>
  </si>
  <si>
    <t>673514S215</t>
  </si>
  <si>
    <t>INSTITUT NATIONAL DE LA RECHERCHE AGRONOMIQUE (INRAE)</t>
  </si>
  <si>
    <t>673514S237</t>
  </si>
  <si>
    <t>6735-R6006</t>
  </si>
  <si>
    <t>COVALAB S.A.S.</t>
  </si>
  <si>
    <t>6735-R8224</t>
  </si>
  <si>
    <t>Etablissement Francais du Sang (EFS) - Auvergne Loire</t>
  </si>
  <si>
    <t>7200120330</t>
  </si>
  <si>
    <t>UNIVERSITE DE REIMS CHAMPAGNE-ARDENNE</t>
  </si>
  <si>
    <t>7200120456</t>
  </si>
  <si>
    <t>INSERM U896</t>
  </si>
  <si>
    <t>7200120854</t>
  </si>
  <si>
    <t>Eurofins Cerep SA</t>
  </si>
  <si>
    <t>7200120901</t>
  </si>
  <si>
    <t>Etablissement Francais du Sang (EFS) - Nouvelle Aquitaine</t>
  </si>
  <si>
    <t>7200120909</t>
  </si>
  <si>
    <t>7200121068</t>
  </si>
  <si>
    <t>7200121082</t>
  </si>
  <si>
    <t>7200121131</t>
  </si>
  <si>
    <t>Transgene SA</t>
  </si>
  <si>
    <t>7200121169</t>
  </si>
  <si>
    <t>UNIVERSITE NICE SOPHIA ANTIPOLIS</t>
  </si>
  <si>
    <t>7200121172</t>
  </si>
  <si>
    <t>7200121366</t>
  </si>
  <si>
    <t>7200121492</t>
  </si>
  <si>
    <t>Université Paris-Saclay</t>
  </si>
  <si>
    <t>7200121574</t>
  </si>
  <si>
    <t>UNIVERSITE TOULOUSE III -Laboratoire LEFE CNRS</t>
  </si>
  <si>
    <t>7200121648</t>
  </si>
  <si>
    <t>GH HEGP BROUSSAIS</t>
  </si>
  <si>
    <t>7200150284</t>
  </si>
  <si>
    <t>7200150301</t>
  </si>
  <si>
    <t>Université Sorbonne Paris Nord</t>
  </si>
  <si>
    <t>7200150359</t>
  </si>
  <si>
    <t>7200150360</t>
  </si>
  <si>
    <t>7200150506</t>
  </si>
  <si>
    <t>7200150620</t>
  </si>
  <si>
    <t>BIOWEST</t>
  </si>
  <si>
    <t>7200150807</t>
  </si>
  <si>
    <t>Imerys Talc Europe</t>
  </si>
  <si>
    <t>7200150957</t>
  </si>
  <si>
    <t>CEA / FONTENAY AUX ROSES</t>
  </si>
  <si>
    <t>7200151135</t>
  </si>
  <si>
    <t>Eau de Paris</t>
  </si>
  <si>
    <t>7200151154</t>
  </si>
  <si>
    <t>Université de Caen Normandie</t>
  </si>
  <si>
    <t>7200151267</t>
  </si>
  <si>
    <t>SATT CONECTUS ALSACE</t>
  </si>
  <si>
    <t>8470050110</t>
  </si>
  <si>
    <t>INVIVOGEN SAS</t>
  </si>
  <si>
    <t>8470050130</t>
  </si>
  <si>
    <t>Amarok Biotechnologies</t>
  </si>
  <si>
    <t>8470050147</t>
  </si>
  <si>
    <t>STATION BIOLOGIQUE</t>
  </si>
  <si>
    <t>8470050220</t>
  </si>
  <si>
    <t>8470060206</t>
  </si>
  <si>
    <t>8470060212</t>
  </si>
  <si>
    <t>INSTITUT DE PARASITOLOGIE ET DE PATHOLOGIE TROPICALE DE STRASBOURG</t>
  </si>
  <si>
    <t>8470060249</t>
  </si>
  <si>
    <t>8470120148</t>
  </si>
  <si>
    <t>8470120180</t>
  </si>
  <si>
    <t>CELL FOR CURE</t>
  </si>
  <si>
    <t>8470130131</t>
  </si>
  <si>
    <t>ONXEO</t>
  </si>
  <si>
    <t>8470130188</t>
  </si>
  <si>
    <t>8472050122</t>
  </si>
  <si>
    <t>VECT OEUR</t>
  </si>
  <si>
    <t>8472050181</t>
  </si>
  <si>
    <t>Centre national de la recherche scientifique (CNRS)</t>
  </si>
  <si>
    <t>8472120119</t>
  </si>
  <si>
    <t>École Polytechnique</t>
  </si>
  <si>
    <t>8574100112</t>
  </si>
  <si>
    <t>Université Grenoble Alpes</t>
  </si>
  <si>
    <t>8574140115</t>
  </si>
  <si>
    <t>CC243</t>
  </si>
  <si>
    <t>ProfileHit</t>
  </si>
  <si>
    <t>CC350</t>
  </si>
  <si>
    <t>IPMC</t>
  </si>
  <si>
    <t>CD150</t>
  </si>
  <si>
    <t>SFR Biosciences (UAR3444/US8)</t>
  </si>
  <si>
    <t>CD186</t>
  </si>
  <si>
    <t>CRCM - Plateforme Cytometrie</t>
  </si>
  <si>
    <t>CE076</t>
  </si>
  <si>
    <t>CE152</t>
  </si>
  <si>
    <t>Centre d?Immunophénomique (CIPHE)</t>
  </si>
  <si>
    <t>EC202416A1</t>
  </si>
  <si>
    <t>Guava easyCyte 5HT GLU, Boxed Instrument</t>
  </si>
  <si>
    <t>EC211136K1</t>
  </si>
  <si>
    <t>EC212507A2</t>
  </si>
  <si>
    <t>DIANOV</t>
  </si>
  <si>
    <t>FE237</t>
  </si>
  <si>
    <t>Boehringer Ingelheim Animal Health FR</t>
  </si>
  <si>
    <t>FE333</t>
  </si>
  <si>
    <t>Université Clermont Auvergne - Centre Imagerie Cellulaire Santé (CICS)</t>
  </si>
  <si>
    <t>FF047</t>
  </si>
  <si>
    <t>Sanofi SA - Montpellier</t>
  </si>
  <si>
    <t>FF122</t>
  </si>
  <si>
    <t>FF199</t>
  </si>
  <si>
    <t>GIMAP_Groupe sur l'Immunité des Muqueuses et Agents Pathogènes</t>
  </si>
  <si>
    <t>FF209</t>
  </si>
  <si>
    <t>ImCheck Therapeutics</t>
  </si>
  <si>
    <t>FF217</t>
  </si>
  <si>
    <t>Centre de Recherche en Cancérologie de Lyon (CRCL)</t>
  </si>
  <si>
    <t>FF262</t>
  </si>
  <si>
    <t>FF268</t>
  </si>
  <si>
    <t>FF281</t>
  </si>
  <si>
    <t>CGFL_Centre Georges Francois Leclerc</t>
  </si>
  <si>
    <t>FF286</t>
  </si>
  <si>
    <t>FF287</t>
  </si>
  <si>
    <t>FG012</t>
  </si>
  <si>
    <t>FG015</t>
  </si>
  <si>
    <t>Novalix Romainville</t>
  </si>
  <si>
    <t>FG132</t>
  </si>
  <si>
    <t>CYTEA BIO SAS</t>
  </si>
  <si>
    <t>FG208</t>
  </si>
  <si>
    <t>FG371</t>
  </si>
  <si>
    <t>FH002</t>
  </si>
  <si>
    <t>FH009</t>
  </si>
  <si>
    <t>FH079</t>
  </si>
  <si>
    <t>FH134</t>
  </si>
  <si>
    <t>KCAS Bio - Lyon France</t>
  </si>
  <si>
    <t>FH135</t>
  </si>
  <si>
    <t>FH193</t>
  </si>
  <si>
    <t>CHU Rennes</t>
  </si>
  <si>
    <t>FS161</t>
  </si>
  <si>
    <t>LASER, 488nm, 50mw, AMNIS</t>
  </si>
  <si>
    <t>FS161-3</t>
  </si>
  <si>
    <t>GTI-28000902701</t>
  </si>
  <si>
    <t>GH PITIE SALPETRIERE</t>
  </si>
  <si>
    <t>GTI-3630070171R</t>
  </si>
  <si>
    <t>Diaclone SAS</t>
  </si>
  <si>
    <t>GTI-3630070174</t>
  </si>
  <si>
    <t>LABORATOIRE LEMAR</t>
  </si>
  <si>
    <t>GTI-3630080306</t>
  </si>
  <si>
    <t>GENES DIFFUSION</t>
  </si>
  <si>
    <t>GTI-4800080103</t>
  </si>
  <si>
    <t>GTI-480080101</t>
  </si>
  <si>
    <t>SYNETICS France</t>
  </si>
  <si>
    <t>GTI-5580106123</t>
  </si>
  <si>
    <t>GTI-558010S104</t>
  </si>
  <si>
    <t>GTI-6620106003</t>
  </si>
  <si>
    <t>Institute of Molecular and Cellular Biology (IBMC)</t>
  </si>
  <si>
    <t>GTI-6620115024</t>
  </si>
  <si>
    <t>CRC INSERM U872 EQ 17</t>
  </si>
  <si>
    <t>GTI-6735118034</t>
  </si>
  <si>
    <t>INSTITUT DE RADIOPROTECTION ET DE SURETE NUCLEAIRE</t>
  </si>
  <si>
    <t>GTI-6735118069R</t>
  </si>
  <si>
    <t>GTI-673511S006</t>
  </si>
  <si>
    <t>EARL LA COLINIERE</t>
  </si>
  <si>
    <t>GTI-673511S008</t>
  </si>
  <si>
    <t>GTI-6735128101</t>
  </si>
  <si>
    <t>ALLICE</t>
  </si>
  <si>
    <t>GTI-6735-R6065</t>
  </si>
  <si>
    <t>HG012</t>
  </si>
  <si>
    <t>IUCT Oncopole</t>
  </si>
  <si>
    <t>HH005</t>
  </si>
  <si>
    <t>HH006</t>
  </si>
  <si>
    <t>ISX125</t>
  </si>
  <si>
    <t>ISX157</t>
  </si>
  <si>
    <t>Institut Jacques Monod</t>
  </si>
  <si>
    <t>ISX303</t>
  </si>
  <si>
    <t>UVSQ - UNIVERSITE DE VERSAILLES</t>
  </si>
  <si>
    <t>ISX307</t>
  </si>
  <si>
    <t>Institut Pasteur de Lille</t>
  </si>
  <si>
    <t>ISX322</t>
  </si>
  <si>
    <t>ISX323</t>
  </si>
  <si>
    <t>Plateforme CYTOCELL</t>
  </si>
  <si>
    <t>ISX373</t>
  </si>
  <si>
    <t>ISX375</t>
  </si>
  <si>
    <t>RESTORE</t>
  </si>
  <si>
    <t>ISX487</t>
  </si>
  <si>
    <t>LFB BIOMEDICAMENTS</t>
  </si>
  <si>
    <t>MU21091001</t>
  </si>
  <si>
    <t>NM1509</t>
  </si>
  <si>
    <t>University of Oxford - NDORMS Kennedy Institute of Rheumatology</t>
  </si>
  <si>
    <t>P1004</t>
  </si>
  <si>
    <t>R1163</t>
  </si>
  <si>
    <t>00034462</t>
  </si>
  <si>
    <t>U0174</t>
  </si>
  <si>
    <t>00015362</t>
  </si>
  <si>
    <t>U0654</t>
  </si>
  <si>
    <t>00032815</t>
  </si>
  <si>
    <t>Centre d?Immunologie et des Maladies Infectieuses (CIMI)</t>
  </si>
  <si>
    <t>U1020</t>
  </si>
  <si>
    <t>00036064</t>
  </si>
  <si>
    <t>U1324</t>
  </si>
  <si>
    <t>00036065</t>
  </si>
  <si>
    <t>NE0056</t>
  </si>
  <si>
    <t>00036240</t>
  </si>
  <si>
    <t>NM1228</t>
  </si>
  <si>
    <t>00036628</t>
  </si>
  <si>
    <t>NM1281</t>
  </si>
  <si>
    <t>00031237</t>
  </si>
  <si>
    <t>NM1436</t>
  </si>
  <si>
    <t>00017857</t>
  </si>
  <si>
    <t>R0020</t>
  </si>
  <si>
    <t>00035432</t>
  </si>
  <si>
    <t>CNRS TOULOUSE</t>
  </si>
  <si>
    <t>S0112</t>
  </si>
  <si>
    <t>00015226</t>
  </si>
  <si>
    <t>S0123</t>
  </si>
  <si>
    <t>00015489</t>
  </si>
  <si>
    <t>UMRS1109 Immuno Rhumatologie Moléculaire (IRM)</t>
  </si>
  <si>
    <t>S0126</t>
  </si>
  <si>
    <t>00036356</t>
  </si>
  <si>
    <t>Toulouse-Universite Paul Sabatier Toulouse III</t>
  </si>
  <si>
    <t>S0133</t>
  </si>
  <si>
    <t>00016287</t>
  </si>
  <si>
    <t>Observatoire Oceanologique de Banyuls /mer</t>
  </si>
  <si>
    <t>S0141</t>
  </si>
  <si>
    <t>00036663</t>
  </si>
  <si>
    <t>Toulouse White Biotechnology</t>
  </si>
  <si>
    <t>S0144</t>
  </si>
  <si>
    <t>00016075</t>
  </si>
  <si>
    <t>S0149</t>
  </si>
  <si>
    <t>00016344</t>
  </si>
  <si>
    <t>S0154</t>
  </si>
  <si>
    <t>00016384</t>
  </si>
  <si>
    <t>FRANCE</t>
  </si>
  <si>
    <t>S0167R</t>
  </si>
  <si>
    <t>00035680</t>
  </si>
  <si>
    <t>S0182</t>
  </si>
  <si>
    <t>00032125</t>
  </si>
  <si>
    <t>Université de Bordeaux</t>
  </si>
  <si>
    <t>S0189</t>
  </si>
  <si>
    <t>00017102</t>
  </si>
  <si>
    <t>C3M</t>
  </si>
  <si>
    <t>S0191</t>
  </si>
  <si>
    <t>00016995</t>
  </si>
  <si>
    <t>Inserm-Nantes CR2TI UMR1064</t>
  </si>
  <si>
    <t>S0263</t>
  </si>
  <si>
    <t>00032620</t>
  </si>
  <si>
    <t>Universite de Lille</t>
  </si>
  <si>
    <t>S0268</t>
  </si>
  <si>
    <t>00032844</t>
  </si>
  <si>
    <t>S0273</t>
  </si>
  <si>
    <t>00033145</t>
  </si>
  <si>
    <t>S0340SP</t>
  </si>
  <si>
    <t>00034317</t>
  </si>
  <si>
    <t>Institut de Microbiologie de la Méditerranée</t>
  </si>
  <si>
    <t>U0243</t>
  </si>
  <si>
    <t>00010360</t>
  </si>
  <si>
    <t>U0308</t>
  </si>
  <si>
    <t>00035920</t>
  </si>
  <si>
    <t>U0314</t>
  </si>
  <si>
    <t>00034848</t>
  </si>
  <si>
    <t>U0385</t>
  </si>
  <si>
    <t>00014085</t>
  </si>
  <si>
    <t>U0578</t>
  </si>
  <si>
    <t>00034611</t>
  </si>
  <si>
    <t>U0586</t>
  </si>
  <si>
    <t>00035166</t>
  </si>
  <si>
    <t>U0612</t>
  </si>
  <si>
    <t>00035312</t>
  </si>
  <si>
    <t>IRSN</t>
  </si>
  <si>
    <t>U0628</t>
  </si>
  <si>
    <t>00035192</t>
  </si>
  <si>
    <t>U0661</t>
  </si>
  <si>
    <t>00016082</t>
  </si>
  <si>
    <t>U0670</t>
  </si>
  <si>
    <t>00036736</t>
  </si>
  <si>
    <t>U0717</t>
  </si>
  <si>
    <t>00014387</t>
  </si>
  <si>
    <t>U0766</t>
  </si>
  <si>
    <t>00034098</t>
  </si>
  <si>
    <t>U0833</t>
  </si>
  <si>
    <t>00015594</t>
  </si>
  <si>
    <t>U0925</t>
  </si>
  <si>
    <t>00015307</t>
  </si>
  <si>
    <t>U0952</t>
  </si>
  <si>
    <t>00015526</t>
  </si>
  <si>
    <t>CEA_plateforme de cytometrie</t>
  </si>
  <si>
    <t>U1019</t>
  </si>
  <si>
    <t>00015901</t>
  </si>
  <si>
    <t>U1021</t>
  </si>
  <si>
    <t>00015903</t>
  </si>
  <si>
    <t>U1108</t>
  </si>
  <si>
    <t>00016470</t>
  </si>
  <si>
    <t>U1183</t>
  </si>
  <si>
    <t>00016881</t>
  </si>
  <si>
    <t>U1185</t>
  </si>
  <si>
    <t>00017148</t>
  </si>
  <si>
    <t>U1196</t>
  </si>
  <si>
    <t>00017162</t>
  </si>
  <si>
    <t>U1201</t>
  </si>
  <si>
    <t>00017242</t>
  </si>
  <si>
    <t>Centre de Recherche en Cancérologie de Toulouse (CRCT)</t>
  </si>
  <si>
    <t>U1237</t>
  </si>
  <si>
    <t>00017236</t>
  </si>
  <si>
    <t>U1246</t>
  </si>
  <si>
    <t>00036288</t>
  </si>
  <si>
    <t>U1490</t>
  </si>
  <si>
    <t>00033141</t>
  </si>
  <si>
    <t>U1492</t>
  </si>
  <si>
    <t>00032709</t>
  </si>
  <si>
    <t>Plateforme Hyperion</t>
  </si>
  <si>
    <t>U1493</t>
  </si>
  <si>
    <t>00033022</t>
  </si>
  <si>
    <t>U1515</t>
  </si>
  <si>
    <t>00032828</t>
  </si>
  <si>
    <t>IHU - Méditerranée Infection</t>
  </si>
  <si>
    <t>U1518</t>
  </si>
  <si>
    <t>00032947</t>
  </si>
  <si>
    <t>U1614</t>
  </si>
  <si>
    <t>00033529</t>
  </si>
  <si>
    <t>V0387</t>
  </si>
  <si>
    <t>00035332</t>
  </si>
  <si>
    <t>V0431</t>
  </si>
  <si>
    <t>00036959</t>
  </si>
  <si>
    <t>OSE Immunotherapeutics</t>
  </si>
  <si>
    <t>V0570</t>
  </si>
  <si>
    <t>00035509</t>
  </si>
  <si>
    <t>Y0869</t>
  </si>
  <si>
    <t>00015572</t>
  </si>
  <si>
    <t>Y1089</t>
  </si>
  <si>
    <t>00017240</t>
  </si>
  <si>
    <t>IRBA</t>
  </si>
  <si>
    <t>Y1228</t>
  </si>
  <si>
    <t>00036723</t>
  </si>
  <si>
    <t>8470050140</t>
  </si>
  <si>
    <t>00030566</t>
  </si>
  <si>
    <t>8470050277</t>
  </si>
  <si>
    <t>00030430</t>
  </si>
  <si>
    <t>Institut Français de Recherche pour l'Exploitation de la Mer (Ifremer)</t>
  </si>
  <si>
    <t>8470050285NA</t>
  </si>
  <si>
    <t>00033945</t>
  </si>
  <si>
    <t>BIOTRANSFER</t>
  </si>
  <si>
    <t>8470050289SN</t>
  </si>
  <si>
    <t>00021183</t>
  </si>
  <si>
    <t>Sartorius Polyplus SAS</t>
  </si>
  <si>
    <t>8470050329</t>
  </si>
  <si>
    <t>00023044</t>
  </si>
  <si>
    <t>8470080151</t>
  </si>
  <si>
    <t>00023260</t>
  </si>
  <si>
    <t>8470110104</t>
  </si>
  <si>
    <t>00031457</t>
  </si>
  <si>
    <t>Centre d?écologie fonctionnelle et évolutive (CEFE)</t>
  </si>
  <si>
    <t>8470120160</t>
  </si>
  <si>
    <t>00025800</t>
  </si>
  <si>
    <t>ESPCI</t>
  </si>
  <si>
    <t>8470130124</t>
  </si>
  <si>
    <t>00035174</t>
  </si>
  <si>
    <t>ACSEDIATE</t>
  </si>
  <si>
    <t>8472050161</t>
  </si>
  <si>
    <t>00036907</t>
  </si>
  <si>
    <t>UMRS1085 Institut de Recherche en Santé, Environnement et Travail (IRSET)</t>
  </si>
  <si>
    <t>8472050197</t>
  </si>
  <si>
    <t>00035982</t>
  </si>
  <si>
    <t>MHCS</t>
  </si>
  <si>
    <t>8472050232</t>
  </si>
  <si>
    <t>00033689</t>
  </si>
  <si>
    <t>SICAVAC</t>
  </si>
  <si>
    <t>8472060229</t>
  </si>
  <si>
    <t>00035453</t>
  </si>
  <si>
    <t>EC210577A1</t>
  </si>
  <si>
    <t>00030930</t>
  </si>
  <si>
    <t>EC211806H1</t>
  </si>
  <si>
    <t>00030570</t>
  </si>
  <si>
    <t>EC212116D1</t>
  </si>
  <si>
    <t>00025342</t>
  </si>
  <si>
    <t>Université Clermont Auvergne</t>
  </si>
  <si>
    <t>GTI-6620116042</t>
  </si>
  <si>
    <t>00027994</t>
  </si>
  <si>
    <t>8470050294</t>
  </si>
  <si>
    <t>00034097</t>
  </si>
  <si>
    <t>Laboratoire Unilabs Eylau - Passy</t>
  </si>
  <si>
    <t>8470050318</t>
  </si>
  <si>
    <t>00023026</t>
  </si>
  <si>
    <t>Centre Hospitalier Universitaire de Lille (CHU Lille)</t>
  </si>
  <si>
    <t>8470H50263</t>
  </si>
  <si>
    <t>00034645</t>
  </si>
  <si>
    <t>EC203306D1</t>
  </si>
  <si>
    <t>00033301</t>
  </si>
  <si>
    <t>EC220816D1</t>
  </si>
  <si>
    <t>00033302</t>
  </si>
  <si>
    <t>EC222276D2</t>
  </si>
  <si>
    <t>00032603</t>
  </si>
  <si>
    <t>8470050154</t>
  </si>
  <si>
    <t>00033905</t>
  </si>
  <si>
    <t>Eurofins BioPharma Product Testing Biologics - France</t>
  </si>
  <si>
    <t>8470050181</t>
  </si>
  <si>
    <t>00035905</t>
  </si>
  <si>
    <t>Etablissement Francais du Sang (EFS) - Pointe a Pitre</t>
  </si>
  <si>
    <t>8470H50309</t>
  </si>
  <si>
    <t>00036026</t>
  </si>
  <si>
    <t>ETABLISSEMENT FRANCAIS DU SANG - GRAND EST</t>
  </si>
  <si>
    <t>8472050259</t>
  </si>
  <si>
    <t>00036126</t>
  </si>
  <si>
    <t>MHCS - Veuve Clicquot (Les Crayères)</t>
  </si>
  <si>
    <t>8472050260</t>
  </si>
  <si>
    <t>00036125</t>
  </si>
  <si>
    <t>8472060260</t>
  </si>
  <si>
    <t>00028046</t>
  </si>
  <si>
    <t>VETBIOBANK</t>
  </si>
  <si>
    <t>EC232156A1</t>
  </si>
  <si>
    <t>00036520</t>
  </si>
  <si>
    <t>FS153</t>
  </si>
  <si>
    <t>00030095</t>
  </si>
  <si>
    <t>ECOLE NATIONALE VETERINAIRE DE LYON</t>
  </si>
  <si>
    <t>ISX203</t>
  </si>
  <si>
    <t>00031479</t>
  </si>
  <si>
    <t>ISX355</t>
  </si>
  <si>
    <t>00034742</t>
  </si>
  <si>
    <t>École normale supérieure de Lyon (ENS Lyon)</t>
  </si>
  <si>
    <t>ISX427</t>
  </si>
  <si>
    <t>00032227</t>
  </si>
  <si>
    <t>ISX569</t>
  </si>
  <si>
    <t>00034907</t>
  </si>
  <si>
    <t>Institute of Research on Cancer and Aging Nice (IRCAN)</t>
  </si>
  <si>
    <t>ISX374</t>
  </si>
  <si>
    <t>00034404</t>
  </si>
  <si>
    <t>Institut Imagine</t>
  </si>
  <si>
    <t>ISX430</t>
  </si>
  <si>
    <t>00035656</t>
  </si>
  <si>
    <t>Genethon</t>
  </si>
  <si>
    <t>ISX602</t>
  </si>
  <si>
    <t>00031159</t>
  </si>
  <si>
    <t>SOLVIAS FRANCE SAS</t>
  </si>
  <si>
    <t>ISX661</t>
  </si>
  <si>
    <t>00033413</t>
  </si>
  <si>
    <t>ISX668</t>
  </si>
  <si>
    <t>00029384</t>
  </si>
  <si>
    <t>Aix-Marseille Université</t>
  </si>
  <si>
    <t>ISX700</t>
  </si>
  <si>
    <t>00033867</t>
  </si>
  <si>
    <t>ISX703</t>
  </si>
  <si>
    <t>00033868</t>
  </si>
  <si>
    <t>ISX705</t>
  </si>
  <si>
    <t>00029411</t>
  </si>
  <si>
    <t>Institut de Génétique Moléculaire de Montpellier (IGMM) - MRI-IGMM-Cytométrie</t>
  </si>
  <si>
    <t>ISX593</t>
  </si>
  <si>
    <t>00034801</t>
  </si>
  <si>
    <t>7200121205</t>
  </si>
  <si>
    <t>00030567</t>
  </si>
  <si>
    <t>7200121444</t>
  </si>
  <si>
    <t>00030569</t>
  </si>
  <si>
    <t>7200121496</t>
  </si>
  <si>
    <t>00019746</t>
  </si>
  <si>
    <t>7200150881</t>
  </si>
  <si>
    <t>00031553</t>
  </si>
  <si>
    <t>MU20342004</t>
  </si>
  <si>
    <t>00030382</t>
  </si>
  <si>
    <t>MU21056004</t>
  </si>
  <si>
    <t>00018513</t>
  </si>
  <si>
    <t>EMERCELL</t>
  </si>
  <si>
    <t>7200150808</t>
  </si>
  <si>
    <t>00020020</t>
  </si>
  <si>
    <t>7200150809</t>
  </si>
  <si>
    <t>00020031</t>
  </si>
  <si>
    <t>7200150882</t>
  </si>
  <si>
    <t>00020236</t>
  </si>
  <si>
    <t>MU23255002</t>
  </si>
  <si>
    <t>00032984</t>
  </si>
  <si>
    <t>MU22124001</t>
  </si>
  <si>
    <t>00035762</t>
  </si>
  <si>
    <t>Onward Therapeutics France SAS</t>
  </si>
  <si>
    <t>SLA-MUSE-INTERMED</t>
  </si>
  <si>
    <t>U0645</t>
  </si>
  <si>
    <t>00036233</t>
  </si>
  <si>
    <t>U1016 UMR8104 Institut Cochin Paris</t>
  </si>
  <si>
    <t>U0807</t>
  </si>
  <si>
    <t>00035001</t>
  </si>
  <si>
    <t>U0950</t>
  </si>
  <si>
    <t>00036232</t>
  </si>
  <si>
    <t>U1606</t>
  </si>
  <si>
    <t>00036794</t>
  </si>
  <si>
    <t>U1616</t>
  </si>
  <si>
    <t>00036795</t>
  </si>
  <si>
    <t>V0754</t>
  </si>
  <si>
    <t>00035452</t>
  </si>
  <si>
    <t>UMR1231_Université Bourgogne Europe</t>
  </si>
  <si>
    <t>CC357</t>
  </si>
  <si>
    <t>00014370</t>
  </si>
  <si>
    <t>CC383</t>
  </si>
  <si>
    <t>00013857</t>
  </si>
  <si>
    <t>CD035</t>
  </si>
  <si>
    <t>00013679</t>
  </si>
  <si>
    <t>CD204</t>
  </si>
  <si>
    <t>00013586</t>
  </si>
  <si>
    <t>CD212</t>
  </si>
  <si>
    <t>00013365</t>
  </si>
  <si>
    <t>CD218</t>
  </si>
  <si>
    <t>00014167</t>
  </si>
  <si>
    <t>CD34</t>
  </si>
  <si>
    <t>00012664</t>
  </si>
  <si>
    <t>CE047</t>
  </si>
  <si>
    <t>00014442</t>
  </si>
  <si>
    <t>EC231686A1</t>
  </si>
  <si>
    <t>00030875</t>
  </si>
  <si>
    <t>Sandoz Biologics France</t>
  </si>
  <si>
    <t>EC231706A1</t>
  </si>
  <si>
    <t>00030876</t>
  </si>
  <si>
    <t>FILO "French Innovative Leukemia Organization"</t>
  </si>
  <si>
    <t>EC232037A1</t>
  </si>
  <si>
    <t>00031374</t>
  </si>
  <si>
    <t>EC232076A1</t>
  </si>
  <si>
    <t>00031385</t>
  </si>
  <si>
    <t>EC240196A1</t>
  </si>
  <si>
    <t>00032725</t>
  </si>
  <si>
    <t>EC242136D1</t>
  </si>
  <si>
    <t>00033994</t>
  </si>
  <si>
    <t>MU23086002</t>
  </si>
  <si>
    <t>00030333</t>
  </si>
  <si>
    <t>Inserm - Délégation Régionale Paris 6</t>
  </si>
  <si>
    <t>NE0071</t>
  </si>
  <si>
    <t>00034183</t>
  </si>
  <si>
    <t>NE0072</t>
  </si>
  <si>
    <t>00034184</t>
  </si>
  <si>
    <t>NM1587</t>
  </si>
  <si>
    <t>00034342</t>
  </si>
  <si>
    <t>P1010</t>
  </si>
  <si>
    <t>00033673</t>
  </si>
  <si>
    <t>S0324</t>
  </si>
  <si>
    <t>00034177</t>
  </si>
  <si>
    <t>Inserm UMR U1011</t>
  </si>
  <si>
    <t>U1186</t>
  </si>
  <si>
    <t>00017032</t>
  </si>
  <si>
    <t>U1604</t>
  </si>
  <si>
    <t>00033674</t>
  </si>
  <si>
    <t>U1615</t>
  </si>
  <si>
    <t>00033872</t>
  </si>
  <si>
    <t>Tafalgie Therapeutics</t>
  </si>
  <si>
    <t>U1653</t>
  </si>
  <si>
    <t>00034244</t>
  </si>
  <si>
    <t>2305714-038038</t>
  </si>
  <si>
    <t>W Medical Systems GmbH</t>
  </si>
  <si>
    <t>2321685</t>
  </si>
  <si>
    <t>TUM Klinikum - Klinikum Rechts der Isar</t>
  </si>
  <si>
    <t>3630-R260</t>
  </si>
  <si>
    <t>Universitätsklinikum Leipzig AöR</t>
  </si>
  <si>
    <t>3630-R300</t>
  </si>
  <si>
    <t>Max-Planck-Institut für Biochemie</t>
  </si>
  <si>
    <t>595087</t>
  </si>
  <si>
    <t>HEIDELBERG PHARMA RESEARCH GMBH</t>
  </si>
  <si>
    <t>6620115063</t>
  </si>
  <si>
    <t>ROBERT KOCH INSTITUT</t>
  </si>
  <si>
    <t>6620118011</t>
  </si>
  <si>
    <t>6620125068</t>
  </si>
  <si>
    <t>Helmholtz-Zentrum fuer Infektionsforschung GmbH</t>
  </si>
  <si>
    <t>6620126048</t>
  </si>
  <si>
    <t>Universitätsmedizin Greifswald</t>
  </si>
  <si>
    <t>6620126090</t>
  </si>
  <si>
    <t>Ludwig-Maximilians-Universität München (LMU München)</t>
  </si>
  <si>
    <t>6620126093</t>
  </si>
  <si>
    <t>Universitätsklinikum Marburg</t>
  </si>
  <si>
    <t>6620126094</t>
  </si>
  <si>
    <t>FAU Universität Erlangen-Nürnberg</t>
  </si>
  <si>
    <t>6620136127</t>
  </si>
  <si>
    <t>Universitätsmedizin Göttingen (UMG)</t>
  </si>
  <si>
    <t>6620138039</t>
  </si>
  <si>
    <t>Stiftung Tierärztliche Hochschule Hannover (TiHo)</t>
  </si>
  <si>
    <t>6620138040</t>
  </si>
  <si>
    <t>Universitaet Greifswald</t>
  </si>
  <si>
    <t>6620138042</t>
  </si>
  <si>
    <t>6620145168</t>
  </si>
  <si>
    <t>6620145169</t>
  </si>
  <si>
    <t>6620145170</t>
  </si>
  <si>
    <t>6620145171</t>
  </si>
  <si>
    <t>6620145173</t>
  </si>
  <si>
    <t>6620146181</t>
  </si>
  <si>
    <t>6620148046</t>
  </si>
  <si>
    <t>Freie Universität Berlin</t>
  </si>
  <si>
    <t>6620-R5175</t>
  </si>
  <si>
    <t>6735116038</t>
  </si>
  <si>
    <t>6735118074</t>
  </si>
  <si>
    <t>Amgen Research (Munich) GmbH</t>
  </si>
  <si>
    <t>6735125095</t>
  </si>
  <si>
    <t>Merck Healthcare KGaA-Darmstadt</t>
  </si>
  <si>
    <t>6735125099</t>
  </si>
  <si>
    <t>BioNTech SE</t>
  </si>
  <si>
    <t>6735126068</t>
  </si>
  <si>
    <t>Technische Hochschule Mittelhessen (THM)</t>
  </si>
  <si>
    <t>6735126069</t>
  </si>
  <si>
    <t>6735126077</t>
  </si>
  <si>
    <t>MVZ PROF DR MEDHABIL HEINER TROBISCH GMBH_obsolete</t>
  </si>
  <si>
    <t>6735128103</t>
  </si>
  <si>
    <t>Max-Delbrueck-Centrum (MDC)</t>
  </si>
  <si>
    <t>6735128123</t>
  </si>
  <si>
    <t>6735128132</t>
  </si>
  <si>
    <t>Green Elephant Biotech GmbH</t>
  </si>
  <si>
    <t>6735128134</t>
  </si>
  <si>
    <t>6735128144</t>
  </si>
  <si>
    <t>HUMMINGBIRD DIAGNOSTICS GMBH</t>
  </si>
  <si>
    <t>6735128165</t>
  </si>
  <si>
    <t>6735135149</t>
  </si>
  <si>
    <t>AFFIMED GMBH</t>
  </si>
  <si>
    <t>6735135177</t>
  </si>
  <si>
    <t>NAVIGO PROTEINS GMBH</t>
  </si>
  <si>
    <t>6735136160</t>
  </si>
  <si>
    <t>HOT SCREEN GMBH</t>
  </si>
  <si>
    <t>6735136165</t>
  </si>
  <si>
    <t>MANFRED DONIKE INSTITUT FUER DOPINGANALYTIK EV</t>
  </si>
  <si>
    <t>6735138194</t>
  </si>
  <si>
    <t>6735138223</t>
  </si>
  <si>
    <t>6735138234</t>
  </si>
  <si>
    <t>Sanitätsakademie der Bundeswehr</t>
  </si>
  <si>
    <t>6735138236</t>
  </si>
  <si>
    <t>XELL AG</t>
  </si>
  <si>
    <t>6735146209</t>
  </si>
  <si>
    <t>6735146224</t>
  </si>
  <si>
    <t>6735146236</t>
  </si>
  <si>
    <t>6735148247</t>
  </si>
  <si>
    <t>6735148250</t>
  </si>
  <si>
    <t>Boehringer Ingelheim Therapeutics GmbH</t>
  </si>
  <si>
    <t>6735148251</t>
  </si>
  <si>
    <t>6735148262</t>
  </si>
  <si>
    <t>6735-R5080</t>
  </si>
  <si>
    <t>6735-R5098</t>
  </si>
  <si>
    <t>Universitätsklinikum Gießen und Marburg GmbH (UKGM)</t>
  </si>
  <si>
    <t>6735-R6103</t>
  </si>
  <si>
    <t>EUROPEAN LABORATORY ASSOCIATION - DR VOGT AND PARTNER GBR</t>
  </si>
  <si>
    <t>6735-R8135</t>
  </si>
  <si>
    <t>Philipps-Universität Marburg</t>
  </si>
  <si>
    <t>6735-R8173</t>
  </si>
  <si>
    <t>6735R8187</t>
  </si>
  <si>
    <t>PROQINASE GMBH</t>
  </si>
  <si>
    <t>6735-R8193</t>
  </si>
  <si>
    <t>6735-R8212</t>
  </si>
  <si>
    <t>SYNOVO GMBH</t>
  </si>
  <si>
    <t>6735-R8258</t>
  </si>
  <si>
    <t>AYOXXA BIOSYSTEMS GMBH_obsolete</t>
  </si>
  <si>
    <t>6735-R8279</t>
  </si>
  <si>
    <t>Universität Heidelberg</t>
  </si>
  <si>
    <t>72001150258</t>
  </si>
  <si>
    <t>PRAXIS HANS SCHOENBERGER</t>
  </si>
  <si>
    <t>7200120928</t>
  </si>
  <si>
    <t>BADISCHE STAATSBRAUEREI ROTHAUS AG</t>
  </si>
  <si>
    <t>7200120990</t>
  </si>
  <si>
    <t>7200121170</t>
  </si>
  <si>
    <t>Bitburger Braugruppe GmbH</t>
  </si>
  <si>
    <t>7200121173</t>
  </si>
  <si>
    <t>7200121233</t>
  </si>
  <si>
    <t>Weber Medical GmbH</t>
  </si>
  <si>
    <t>7200121234</t>
  </si>
  <si>
    <t>7200121238</t>
  </si>
  <si>
    <t>7200121252</t>
  </si>
  <si>
    <t>Universitätsklinikum Halle (Saale)</t>
  </si>
  <si>
    <t>7200121257</t>
  </si>
  <si>
    <t>7200121289</t>
  </si>
  <si>
    <t>KOESTRITZER SCHWARZBIERBRAUEREI GMBH</t>
  </si>
  <si>
    <t>7200121291</t>
  </si>
  <si>
    <t>LMU Klinikum</t>
  </si>
  <si>
    <t>7200121307</t>
  </si>
  <si>
    <t>7200121340</t>
  </si>
  <si>
    <t>7200121363</t>
  </si>
  <si>
    <t>7200121378</t>
  </si>
  <si>
    <t>BRAUEREI S RIEGELE</t>
  </si>
  <si>
    <t>7200121445</t>
  </si>
  <si>
    <t>7200121538</t>
  </si>
  <si>
    <t>7200121571</t>
  </si>
  <si>
    <t>7200150361</t>
  </si>
  <si>
    <t>7200150391</t>
  </si>
  <si>
    <t>METAHEPS GMBH_obsolete</t>
  </si>
  <si>
    <t>7200150398</t>
  </si>
  <si>
    <t>7200150747</t>
  </si>
  <si>
    <t>7200150825</t>
  </si>
  <si>
    <t>Technische Universität München Institut (TUM)</t>
  </si>
  <si>
    <t>7200150909</t>
  </si>
  <si>
    <t>7200150931A</t>
  </si>
  <si>
    <t>7200151023</t>
  </si>
  <si>
    <t>DEUTSCHES HERZZENTRUM MUENCHEN</t>
  </si>
  <si>
    <t>7200151127</t>
  </si>
  <si>
    <t>7200151159</t>
  </si>
  <si>
    <t>7200151207</t>
  </si>
  <si>
    <t>7200151210</t>
  </si>
  <si>
    <t>7200151223</t>
  </si>
  <si>
    <t>7200151252</t>
  </si>
  <si>
    <t>8470050107</t>
  </si>
  <si>
    <t>8470050124</t>
  </si>
  <si>
    <t>FESTO KG</t>
  </si>
  <si>
    <t>8470050129</t>
  </si>
  <si>
    <t>ACCELLERATE GMBH</t>
  </si>
  <si>
    <t>8470080142</t>
  </si>
  <si>
    <t>Universität zu Köln</t>
  </si>
  <si>
    <t>8470080147</t>
  </si>
  <si>
    <t>8470080188</t>
  </si>
  <si>
    <t>8470080199SN</t>
  </si>
  <si>
    <t>8470110102</t>
  </si>
  <si>
    <t>Rheinische Friedrich-Wilhelms-Universität Bonn</t>
  </si>
  <si>
    <t>8470120171</t>
  </si>
  <si>
    <t>8470120175</t>
  </si>
  <si>
    <t>8470130125</t>
  </si>
  <si>
    <t>8470130129</t>
  </si>
  <si>
    <t>8470130184</t>
  </si>
  <si>
    <t>8470130187</t>
  </si>
  <si>
    <t>8472050108</t>
  </si>
  <si>
    <t>FRESENIUS MEDICAL CARE DEUTSCHLAND GMBH</t>
  </si>
  <si>
    <t>8472050117</t>
  </si>
  <si>
    <t>BIOTESYS GMBH</t>
  </si>
  <si>
    <t>8472050140</t>
  </si>
  <si>
    <t>BLUE HORIZON DEUTSCHLAND GMBH</t>
  </si>
  <si>
    <t>8472050166</t>
  </si>
  <si>
    <t>8472050248SN</t>
  </si>
  <si>
    <t>Medizinische Hochschule Hannover (MHH)</t>
  </si>
  <si>
    <t>8472060127</t>
  </si>
  <si>
    <t>8472120109</t>
  </si>
  <si>
    <t>8472120120</t>
  </si>
  <si>
    <t>8472120121</t>
  </si>
  <si>
    <t>8472130104</t>
  </si>
  <si>
    <t>CE079</t>
  </si>
  <si>
    <t>NUVISAN ICB GmbH</t>
  </si>
  <si>
    <t>CE104</t>
  </si>
  <si>
    <t>GERMANY</t>
  </si>
  <si>
    <t>CF004</t>
  </si>
  <si>
    <t>Klinikum der LMU Muenchen, Abt. f. Klinische Pharmakologie</t>
  </si>
  <si>
    <t>CF005</t>
  </si>
  <si>
    <t>Leibniz-Institut für Alternsforschung ? Fritz Lipmann Institute (FLI) e.V.</t>
  </si>
  <si>
    <t>CF012</t>
  </si>
  <si>
    <t>Albert-Ludwigs-Universität Freiburg</t>
  </si>
  <si>
    <t>CS025</t>
  </si>
  <si>
    <t>HEINRICH-HEINE-UNIVERSITAET DUESSELDORF</t>
  </si>
  <si>
    <t>EC200495A1</t>
  </si>
  <si>
    <t>BEIERSDORF AG</t>
  </si>
  <si>
    <t>EC201765D1</t>
  </si>
  <si>
    <t>THERESIENKRANKENHAUS UND ST. HEDWIG-KLINIK GGMBH</t>
  </si>
  <si>
    <t>EC201916A1</t>
  </si>
  <si>
    <t>EC210336E1</t>
  </si>
  <si>
    <t>EC210577C1</t>
  </si>
  <si>
    <t>EC211957E1</t>
  </si>
  <si>
    <t>Leibniz-Institut für Neue Materialien gGmbH (INM)</t>
  </si>
  <si>
    <t>EC213147C1</t>
  </si>
  <si>
    <t>BERUFSAKADEMIE SACHSEN STAATLICHE STUDIENAKADEMIE RIESA</t>
  </si>
  <si>
    <t>FE239</t>
  </si>
  <si>
    <t>Georg-Speyer-Haus</t>
  </si>
  <si>
    <t>FE278</t>
  </si>
  <si>
    <t>FE299</t>
  </si>
  <si>
    <t>Immunologie</t>
  </si>
  <si>
    <t>FE301</t>
  </si>
  <si>
    <t>FE335</t>
  </si>
  <si>
    <t>TUM Klinikum rechts der Isar - Exp. Neuroimmunologie</t>
  </si>
  <si>
    <t>FE341</t>
  </si>
  <si>
    <t>Leibniz-Institut für analytische Wissenschaften - ISAS</t>
  </si>
  <si>
    <t>FE349</t>
  </si>
  <si>
    <t>UKSH Kiel - Institut für Immunologie</t>
  </si>
  <si>
    <t>FF044</t>
  </si>
  <si>
    <t>Universitätsklinikum Münster - Klinik für Neurologie</t>
  </si>
  <si>
    <t>FF045</t>
  </si>
  <si>
    <t>TUM - Institut für Medizinische Mikrobiologie, Immunologie und Hygiene (MIH)</t>
  </si>
  <si>
    <t>FF074</t>
  </si>
  <si>
    <t>FF075</t>
  </si>
  <si>
    <t>Universitätsklinikum Erlangen</t>
  </si>
  <si>
    <t>FF148</t>
  </si>
  <si>
    <t>Bavarian Nordic GmbH</t>
  </si>
  <si>
    <t>FF218</t>
  </si>
  <si>
    <t>Helmholtz Zentrum für Umweltforschung GmbH (UFZ)</t>
  </si>
  <si>
    <t>FF221</t>
  </si>
  <si>
    <t>FF263</t>
  </si>
  <si>
    <t>Universitätsklinikum Erlangen - Innere Med</t>
  </si>
  <si>
    <t>FF282</t>
  </si>
  <si>
    <t>FF288</t>
  </si>
  <si>
    <t>Universitätsklinikum Ulm</t>
  </si>
  <si>
    <t>FF322</t>
  </si>
  <si>
    <t>FG063</t>
  </si>
  <si>
    <t>FG066</t>
  </si>
  <si>
    <t>FG134</t>
  </si>
  <si>
    <t>FG206</t>
  </si>
  <si>
    <t>Universität Münster - Zentrum für Molekularbiologie der Entzündung (ZMBE)</t>
  </si>
  <si>
    <t>FG209</t>
  </si>
  <si>
    <t>FG210</t>
  </si>
  <si>
    <t>CureVac SE</t>
  </si>
  <si>
    <t>FG212</t>
  </si>
  <si>
    <t>FG251</t>
  </si>
  <si>
    <t>Universitätsklinikum Heidelberg - Hautklinik</t>
  </si>
  <si>
    <t>FG285</t>
  </si>
  <si>
    <t>FG287</t>
  </si>
  <si>
    <t>FG292</t>
  </si>
  <si>
    <t>FG339</t>
  </si>
  <si>
    <t>FG340</t>
  </si>
  <si>
    <t>Helmholtz Zentrum Muenchen</t>
  </si>
  <si>
    <t>FG373</t>
  </si>
  <si>
    <t>Dynamic42 GmbH</t>
  </si>
  <si>
    <t>FG375</t>
  </si>
  <si>
    <t>FH011</t>
  </si>
  <si>
    <t>Medizinische Fakultaet Mannheim der Universität Heidelberg</t>
  </si>
  <si>
    <t>FH012</t>
  </si>
  <si>
    <t>FH014</t>
  </si>
  <si>
    <t>FH075</t>
  </si>
  <si>
    <t>Charité Berlin - Regenerative Immunology and Aging</t>
  </si>
  <si>
    <t>FH076</t>
  </si>
  <si>
    <t>FH136</t>
  </si>
  <si>
    <t>FH141</t>
  </si>
  <si>
    <t>FH144</t>
  </si>
  <si>
    <t>FH145</t>
  </si>
  <si>
    <t>FH175</t>
  </si>
  <si>
    <t>FH189</t>
  </si>
  <si>
    <t>FH190</t>
  </si>
  <si>
    <t>Leibniz-Institut für Virologie</t>
  </si>
  <si>
    <t>FH192</t>
  </si>
  <si>
    <t>FH197</t>
  </si>
  <si>
    <t>Deutsches Zentrum für Neurodegenerative Erkrankungen e.V.</t>
  </si>
  <si>
    <t>FS143</t>
  </si>
  <si>
    <t>FS146</t>
  </si>
  <si>
    <t>FS150</t>
  </si>
  <si>
    <t>FS216</t>
  </si>
  <si>
    <t>FS271</t>
  </si>
  <si>
    <t>FS303</t>
  </si>
  <si>
    <t>GTI-0200251R</t>
  </si>
  <si>
    <t>FACHHOCHSCHULE BIELEFELD</t>
  </si>
  <si>
    <t>GTI-0300363R</t>
  </si>
  <si>
    <t>GTI-0500577R</t>
  </si>
  <si>
    <t>Sartorius Stedim Systems GmbH</t>
  </si>
  <si>
    <t>GTI-0500582R</t>
  </si>
  <si>
    <t>DYNAVAX GMBH - DYNAVAX EUROPE_obsolete</t>
  </si>
  <si>
    <t>GTI-0600695</t>
  </si>
  <si>
    <t>GTI-0700719</t>
  </si>
  <si>
    <t>GTI-0800768</t>
  </si>
  <si>
    <t>GTI-0800796</t>
  </si>
  <si>
    <t>GTI-2800060144</t>
  </si>
  <si>
    <t>GTI-2800070195</t>
  </si>
  <si>
    <t>GTI-2800070207</t>
  </si>
  <si>
    <t>GTI-2800080243</t>
  </si>
  <si>
    <t>GTI-2800080244</t>
  </si>
  <si>
    <t>GTI-2800090266</t>
  </si>
  <si>
    <t>GTI-2800100288</t>
  </si>
  <si>
    <t>GTI-3630060109</t>
  </si>
  <si>
    <t>BioMed X GmbH</t>
  </si>
  <si>
    <t>GTI-3630060110</t>
  </si>
  <si>
    <t>Roche Diagnostics GMBH</t>
  </si>
  <si>
    <t>GTI-3630070181</t>
  </si>
  <si>
    <t>GTI-3630070212R</t>
  </si>
  <si>
    <t>GTI-3630070243</t>
  </si>
  <si>
    <t>GTI-3630080296R</t>
  </si>
  <si>
    <t>CEVA INNOVATION CENTER GMBH</t>
  </si>
  <si>
    <t>GTI-3630080310</t>
  </si>
  <si>
    <t>Georg-August-Universität Göttingen</t>
  </si>
  <si>
    <t>GTI-3630090421</t>
  </si>
  <si>
    <t>GTI-4050080101</t>
  </si>
  <si>
    <t>INSTITUT VIRION SERION GMBH</t>
  </si>
  <si>
    <t>GTI-5430090003</t>
  </si>
  <si>
    <t>UNIVERSITAET DES SAARLANDES</t>
  </si>
  <si>
    <t>GTI-5430090114R</t>
  </si>
  <si>
    <t>GTI-5430100205R</t>
  </si>
  <si>
    <t>RUHR-UNIVERSITAET BOCHUM</t>
  </si>
  <si>
    <t>GTI-5430100234</t>
  </si>
  <si>
    <t>FRAUNHOFER IGB</t>
  </si>
  <si>
    <t>GTI-5580096103</t>
  </si>
  <si>
    <t>GTI-5580100118</t>
  </si>
  <si>
    <t>GTI-5580100140</t>
  </si>
  <si>
    <t>GTI-5580100141</t>
  </si>
  <si>
    <t>GTI-5580106118</t>
  </si>
  <si>
    <t>NOXXON PHARMA AG</t>
  </si>
  <si>
    <t>GTI-5580106135</t>
  </si>
  <si>
    <t>GTI-6620105011</t>
  </si>
  <si>
    <t>Universität Hamburg</t>
  </si>
  <si>
    <t>GTI-6620106002</t>
  </si>
  <si>
    <t>GTI-6620106009</t>
  </si>
  <si>
    <t>GTI-6620106013</t>
  </si>
  <si>
    <t>GTI-6620115026</t>
  </si>
  <si>
    <t>Deutsches Rheuma-Forschungszentrum</t>
  </si>
  <si>
    <t>GTI-6620115031</t>
  </si>
  <si>
    <t>GTI-6620115034</t>
  </si>
  <si>
    <t>GTI-6620115039</t>
  </si>
  <si>
    <t>GTI-6620116019</t>
  </si>
  <si>
    <t>TROPHOSYS GMBH</t>
  </si>
  <si>
    <t>GTI-6620116027</t>
  </si>
  <si>
    <t>Universitaetsklinikum Bonn</t>
  </si>
  <si>
    <t>GTI-6620116038</t>
  </si>
  <si>
    <t>GTI-6620118008</t>
  </si>
  <si>
    <t>GTI-6735106001</t>
  </si>
  <si>
    <t>GTI-6735115022</t>
  </si>
  <si>
    <t>GTI-6735115025</t>
  </si>
  <si>
    <t>GTI-6735115058</t>
  </si>
  <si>
    <t>GTI-6735116025</t>
  </si>
  <si>
    <t>Johannes Gutenberg-Universität Mainz</t>
  </si>
  <si>
    <t>GTI-6735116031</t>
  </si>
  <si>
    <t>GTI-6735116048</t>
  </si>
  <si>
    <t>BAYER CROPSCIENCE BIOLOGICS GMBH</t>
  </si>
  <si>
    <t>GTI-6735116052</t>
  </si>
  <si>
    <t>GTI-6735116060</t>
  </si>
  <si>
    <t>GTI-6735118028</t>
  </si>
  <si>
    <t>GTI-6735118056</t>
  </si>
  <si>
    <t>GTI-673511S009</t>
  </si>
  <si>
    <t>BAYERN-GENETIK GMBH</t>
  </si>
  <si>
    <t>GTI-96-4-070118R</t>
  </si>
  <si>
    <t>GTI-96-4-110543</t>
  </si>
  <si>
    <t>Institut für Molekulare Biologie gGmbH</t>
  </si>
  <si>
    <t>HF005</t>
  </si>
  <si>
    <t>HG013</t>
  </si>
  <si>
    <t>ISX112</t>
  </si>
  <si>
    <t>ISX116</t>
  </si>
  <si>
    <t>BFARM</t>
  </si>
  <si>
    <t>ISX326</t>
  </si>
  <si>
    <t>ISX334</t>
  </si>
  <si>
    <t>ISX335</t>
  </si>
  <si>
    <t>Max-Planck-Institut für Dynamik komplexer technischer Systeme</t>
  </si>
  <si>
    <t>ISX347</t>
  </si>
  <si>
    <t>ISX417</t>
  </si>
  <si>
    <t>ISX490</t>
  </si>
  <si>
    <t>Leibniz-Institut für Plasmaforschung und Technologie (INP)</t>
  </si>
  <si>
    <t>ISX516</t>
  </si>
  <si>
    <t>MAX PLANCK INSTITUTE OF IMMUNOBIOLOGY AND EPIGENETICS</t>
  </si>
  <si>
    <t>ISX529</t>
  </si>
  <si>
    <t>UNIKLINIK U POLIKLINIK FUER INN MED III</t>
  </si>
  <si>
    <t>ISX532</t>
  </si>
  <si>
    <t>Friedrich-Schiller-Universität Jena</t>
  </si>
  <si>
    <t>ISX536</t>
  </si>
  <si>
    <t>ISX567</t>
  </si>
  <si>
    <t>ISX576</t>
  </si>
  <si>
    <t>ISX598</t>
  </si>
  <si>
    <t>Universität Leipzig - Medizinische Fakultät</t>
  </si>
  <si>
    <t>ISX609</t>
  </si>
  <si>
    <t>ISX614</t>
  </si>
  <si>
    <t>Leibniz-Institut für Gewässerökologie und Binnenfischerei (IGB)</t>
  </si>
  <si>
    <t>ISX633</t>
  </si>
  <si>
    <t>ISX639</t>
  </si>
  <si>
    <t>ISX662</t>
  </si>
  <si>
    <t>ISX665</t>
  </si>
  <si>
    <t>MU19289003</t>
  </si>
  <si>
    <t>Universitätsklinikum Regensburg</t>
  </si>
  <si>
    <t>MU20238001</t>
  </si>
  <si>
    <t>MU21159002</t>
  </si>
  <si>
    <t>MU23051002</t>
  </si>
  <si>
    <t>ROX GmbH</t>
  </si>
  <si>
    <t>S0253</t>
  </si>
  <si>
    <t>CC320</t>
  </si>
  <si>
    <t>00014818</t>
  </si>
  <si>
    <t>CD123</t>
  </si>
  <si>
    <t>00034747</t>
  </si>
  <si>
    <t>Universitätsklinikum Erlangen - Neurologie</t>
  </si>
  <si>
    <t>N0615</t>
  </si>
  <si>
    <t>00016876</t>
  </si>
  <si>
    <t>Institut fuer Schlaganfall- und Demenzforschung (ISD)</t>
  </si>
  <si>
    <t>N0616</t>
  </si>
  <si>
    <t>NM1149</t>
  </si>
  <si>
    <t>00035030</t>
  </si>
  <si>
    <t>NM1184SP</t>
  </si>
  <si>
    <t>00035771</t>
  </si>
  <si>
    <t>NM1527</t>
  </si>
  <si>
    <t>00036651</t>
  </si>
  <si>
    <t>R0002</t>
  </si>
  <si>
    <t>00015119</t>
  </si>
  <si>
    <t>R0530</t>
  </si>
  <si>
    <t>00013166</t>
  </si>
  <si>
    <t>Universitätsmedizin Rostock</t>
  </si>
  <si>
    <t>R0533</t>
  </si>
  <si>
    <t>00034700</t>
  </si>
  <si>
    <t>R0974</t>
  </si>
  <si>
    <t>00036646</t>
  </si>
  <si>
    <t>S0298</t>
  </si>
  <si>
    <t>00036875</t>
  </si>
  <si>
    <t>Technische Universität Dresden - Center for Regenerative Therapies Dresden (CRTD)</t>
  </si>
  <si>
    <t>U0181</t>
  </si>
  <si>
    <t>00036159</t>
  </si>
  <si>
    <t>U0515</t>
  </si>
  <si>
    <t>00016932</t>
  </si>
  <si>
    <t>Leibniz-Institut fuer Arbeitsforschung an der TU Dortmund</t>
  </si>
  <si>
    <t>U0600</t>
  </si>
  <si>
    <t>00016728</t>
  </si>
  <si>
    <t>U0637</t>
  </si>
  <si>
    <t>00016746</t>
  </si>
  <si>
    <t>U0694</t>
  </si>
  <si>
    <t>00017384</t>
  </si>
  <si>
    <t>U0873</t>
  </si>
  <si>
    <t>00015655</t>
  </si>
  <si>
    <t>U1068SP</t>
  </si>
  <si>
    <t>00016302</t>
  </si>
  <si>
    <t>ST. ELISABETH GRUPPE GmbH Katholische Kliniken Rhein-Ruhr</t>
  </si>
  <si>
    <t>U1086</t>
  </si>
  <si>
    <t>00032175</t>
  </si>
  <si>
    <t>U1136</t>
  </si>
  <si>
    <t>00016749</t>
  </si>
  <si>
    <t>U1137</t>
  </si>
  <si>
    <t>00016777</t>
  </si>
  <si>
    <t>U1181</t>
  </si>
  <si>
    <t>00035434</t>
  </si>
  <si>
    <t>U1383</t>
  </si>
  <si>
    <t>00034454</t>
  </si>
  <si>
    <t>U1480</t>
  </si>
  <si>
    <t>00031765</t>
  </si>
  <si>
    <t>U1514</t>
  </si>
  <si>
    <t>00036237</t>
  </si>
  <si>
    <t>Y0935</t>
  </si>
  <si>
    <t>00032560</t>
  </si>
  <si>
    <t>Forschungsinstitut Kinderkrebs-Zentrum Hamburg</t>
  </si>
  <si>
    <t>CC432</t>
  </si>
  <si>
    <t>00011187</t>
  </si>
  <si>
    <t>Technische Universität München (TUM) - Tierphysiologie und Immunologie</t>
  </si>
  <si>
    <t>FG365</t>
  </si>
  <si>
    <t>00017428</t>
  </si>
  <si>
    <t>FH073</t>
  </si>
  <si>
    <t>00033622</t>
  </si>
  <si>
    <t>N0625</t>
  </si>
  <si>
    <t>00013680</t>
  </si>
  <si>
    <t>NE0057</t>
  </si>
  <si>
    <t>00032216</t>
  </si>
  <si>
    <t>NM1198</t>
  </si>
  <si>
    <t>00035246</t>
  </si>
  <si>
    <t>NM1275</t>
  </si>
  <si>
    <t>00034224</t>
  </si>
  <si>
    <t>NM1447</t>
  </si>
  <si>
    <t>00031303</t>
  </si>
  <si>
    <t>NM1449</t>
  </si>
  <si>
    <t>00034516</t>
  </si>
  <si>
    <t>NM1485</t>
  </si>
  <si>
    <t>00031664</t>
  </si>
  <si>
    <t>NM1498</t>
  </si>
  <si>
    <t>00036042</t>
  </si>
  <si>
    <t>S0114</t>
  </si>
  <si>
    <t>00015616</t>
  </si>
  <si>
    <t>U0358</t>
  </si>
  <si>
    <t>00017256</t>
  </si>
  <si>
    <t>U0465</t>
  </si>
  <si>
    <t>00032613</t>
  </si>
  <si>
    <t>U0489</t>
  </si>
  <si>
    <t>00015550</t>
  </si>
  <si>
    <t>U0493</t>
  </si>
  <si>
    <t>00015551</t>
  </si>
  <si>
    <t>U0548</t>
  </si>
  <si>
    <t>00031233</t>
  </si>
  <si>
    <t>U0706</t>
  </si>
  <si>
    <t>00017309</t>
  </si>
  <si>
    <t>U0802</t>
  </si>
  <si>
    <t>00033769</t>
  </si>
  <si>
    <t>Cellzome GmbH</t>
  </si>
  <si>
    <t>U0867</t>
  </si>
  <si>
    <t>00016053</t>
  </si>
  <si>
    <t>U0871</t>
  </si>
  <si>
    <t>00015257</t>
  </si>
  <si>
    <t>U0936</t>
  </si>
  <si>
    <t>00015673</t>
  </si>
  <si>
    <t>U0953</t>
  </si>
  <si>
    <t>00032614</t>
  </si>
  <si>
    <t>U0967</t>
  </si>
  <si>
    <t>00015532</t>
  </si>
  <si>
    <t>Universität Tübingen - iFIT</t>
  </si>
  <si>
    <t>U1058</t>
  </si>
  <si>
    <t>00016060</t>
  </si>
  <si>
    <t>U1206SP</t>
  </si>
  <si>
    <t>00017280</t>
  </si>
  <si>
    <t>U1375</t>
  </si>
  <si>
    <t>00031256</t>
  </si>
  <si>
    <t>U1445</t>
  </si>
  <si>
    <t>00035932</t>
  </si>
  <si>
    <t>U1482</t>
  </si>
  <si>
    <t>00031888</t>
  </si>
  <si>
    <t>U1487</t>
  </si>
  <si>
    <t>00032401</t>
  </si>
  <si>
    <t>U1576</t>
  </si>
  <si>
    <t>00032980</t>
  </si>
  <si>
    <t>U1592</t>
  </si>
  <si>
    <t>00033193</t>
  </si>
  <si>
    <t>Y0019</t>
  </si>
  <si>
    <t>00017127</t>
  </si>
  <si>
    <t>CS043</t>
  </si>
  <si>
    <t>00031885</t>
  </si>
  <si>
    <t>NEUWAY PHARMA GMBH</t>
  </si>
  <si>
    <t>CS067</t>
  </si>
  <si>
    <t>00036507</t>
  </si>
  <si>
    <t>Universität Ulm</t>
  </si>
  <si>
    <t>CS091</t>
  </si>
  <si>
    <t>00031196</t>
  </si>
  <si>
    <t>AbbVie Deutschland GmbH &amp; Co. KG</t>
  </si>
  <si>
    <t>CS108</t>
  </si>
  <si>
    <t>00032471</t>
  </si>
  <si>
    <t>8470080134</t>
  </si>
  <si>
    <t>00031636</t>
  </si>
  <si>
    <t>ELBE KLINIKEN STADE-BUXTEHUDE</t>
  </si>
  <si>
    <t>8470080179-033916</t>
  </si>
  <si>
    <t>00024981</t>
  </si>
  <si>
    <t>Eurofins BioPharma Product Testing Munich GmbH</t>
  </si>
  <si>
    <t>8470080197SN</t>
  </si>
  <si>
    <t>00032162</t>
  </si>
  <si>
    <t>8472060170</t>
  </si>
  <si>
    <t>00033982</t>
  </si>
  <si>
    <t>8574100106</t>
  </si>
  <si>
    <t>00025987</t>
  </si>
  <si>
    <t>Glycotope GmbH</t>
  </si>
  <si>
    <t>EC201714G1</t>
  </si>
  <si>
    <t>00034641</t>
  </si>
  <si>
    <t>EC202887A1</t>
  </si>
  <si>
    <t>00033122</t>
  </si>
  <si>
    <t>EC203186B1</t>
  </si>
  <si>
    <t>00034088</t>
  </si>
  <si>
    <t>HygCen Germany GmbH</t>
  </si>
  <si>
    <t>EC210576E1</t>
  </si>
  <si>
    <t>00030488</t>
  </si>
  <si>
    <t>EC212156H1</t>
  </si>
  <si>
    <t>00034628</t>
  </si>
  <si>
    <t>Alden Scientific Immune GmbH</t>
  </si>
  <si>
    <t>EC212536A1</t>
  </si>
  <si>
    <t>00033852</t>
  </si>
  <si>
    <t>EC212636A1</t>
  </si>
  <si>
    <t>00033851</t>
  </si>
  <si>
    <t>EC220176D1</t>
  </si>
  <si>
    <t>00032622</t>
  </si>
  <si>
    <t>EC241276A1</t>
  </si>
  <si>
    <t>00035666</t>
  </si>
  <si>
    <t>FyoniBio GmbH</t>
  </si>
  <si>
    <t>6735135150</t>
  </si>
  <si>
    <t>00021731</t>
  </si>
  <si>
    <t>8470050120</t>
  </si>
  <si>
    <t>00031155</t>
  </si>
  <si>
    <t>8470050175</t>
  </si>
  <si>
    <t>00034995</t>
  </si>
  <si>
    <t>8470050256</t>
  </si>
  <si>
    <t>00034998</t>
  </si>
  <si>
    <t>8470080154</t>
  </si>
  <si>
    <t>00034383</t>
  </si>
  <si>
    <t>8472060233</t>
  </si>
  <si>
    <t>00031693</t>
  </si>
  <si>
    <t>PromoCell GmbH</t>
  </si>
  <si>
    <t>EC211196A1</t>
  </si>
  <si>
    <t>00034382</t>
  </si>
  <si>
    <t>EC240896J1</t>
  </si>
  <si>
    <t>00033207</t>
  </si>
  <si>
    <t>8470080207</t>
  </si>
  <si>
    <t>00023218</t>
  </si>
  <si>
    <t>EC222296H1</t>
  </si>
  <si>
    <t>00031465</t>
  </si>
  <si>
    <t>FS121</t>
  </si>
  <si>
    <t>00030091</t>
  </si>
  <si>
    <t>ARZT FUER INNERE MEDIZIN HAEMATOLOGIE - ONKOLOGIE (AACA)</t>
  </si>
  <si>
    <t>FS279</t>
  </si>
  <si>
    <t>00035935</t>
  </si>
  <si>
    <t>CORIOLIS PHARMA RESEARCH GMBH</t>
  </si>
  <si>
    <t>ISX362</t>
  </si>
  <si>
    <t>00036465</t>
  </si>
  <si>
    <t>ISX368</t>
  </si>
  <si>
    <t>00033508</t>
  </si>
  <si>
    <t>ISX411</t>
  </si>
  <si>
    <t>00032617</t>
  </si>
  <si>
    <t>ISX506</t>
  </si>
  <si>
    <t>00028208</t>
  </si>
  <si>
    <t>ISX595</t>
  </si>
  <si>
    <t>00028660</t>
  </si>
  <si>
    <t>ISX670</t>
  </si>
  <si>
    <t>00029386</t>
  </si>
  <si>
    <t>Physikalisch-Technische Bundesanstalt</t>
  </si>
  <si>
    <t>ISX714</t>
  </si>
  <si>
    <t>00029485</t>
  </si>
  <si>
    <t>ISX789</t>
  </si>
  <si>
    <t>00036705</t>
  </si>
  <si>
    <t>ISX196</t>
  </si>
  <si>
    <t>00029284</t>
  </si>
  <si>
    <t>ISX369</t>
  </si>
  <si>
    <t>00036391</t>
  </si>
  <si>
    <t>ISX505</t>
  </si>
  <si>
    <t>00032445</t>
  </si>
  <si>
    <t>ISX626</t>
  </si>
  <si>
    <t>00030949</t>
  </si>
  <si>
    <t>Institut für Radiobiologie der Bundeswehr</t>
  </si>
  <si>
    <t>ISX629</t>
  </si>
  <si>
    <t>00029347</t>
  </si>
  <si>
    <t>Institut für Pharmakologie und Toxikologie der Bundeswehr</t>
  </si>
  <si>
    <t>ISX726</t>
  </si>
  <si>
    <t>00029480</t>
  </si>
  <si>
    <t>Max Planck Institut für Biologie des Alterns</t>
  </si>
  <si>
    <t>7200121572</t>
  </si>
  <si>
    <t>00018014</t>
  </si>
  <si>
    <t>7200121319</t>
  </si>
  <si>
    <t>00031696</t>
  </si>
  <si>
    <t>7200151140</t>
  </si>
  <si>
    <t>00031690</t>
  </si>
  <si>
    <t>MU22287001</t>
  </si>
  <si>
    <t>00031702</t>
  </si>
  <si>
    <t>N0642</t>
  </si>
  <si>
    <t>00034394</t>
  </si>
  <si>
    <t>ISAR Bioscience GmbH</t>
  </si>
  <si>
    <t>N0657</t>
  </si>
  <si>
    <t>00035433</t>
  </si>
  <si>
    <t>NM1202</t>
  </si>
  <si>
    <t>00017047</t>
  </si>
  <si>
    <t>NM1303</t>
  </si>
  <si>
    <t>00032473</t>
  </si>
  <si>
    <t>R0127</t>
  </si>
  <si>
    <t>00036996</t>
  </si>
  <si>
    <t>R0269</t>
  </si>
  <si>
    <t>00034662</t>
  </si>
  <si>
    <t>R0425</t>
  </si>
  <si>
    <t>00016672</t>
  </si>
  <si>
    <t>R0477</t>
  </si>
  <si>
    <t>00016193</t>
  </si>
  <si>
    <t>R0788</t>
  </si>
  <si>
    <t>00036712</t>
  </si>
  <si>
    <t>Medical School Hamburg GmbH (MSH)</t>
  </si>
  <si>
    <t>S0122</t>
  </si>
  <si>
    <t>00035341</t>
  </si>
  <si>
    <t>S0159</t>
  </si>
  <si>
    <t>00035876</t>
  </si>
  <si>
    <t>S0163</t>
  </si>
  <si>
    <t>00034455</t>
  </si>
  <si>
    <t>U0288</t>
  </si>
  <si>
    <t>00035490</t>
  </si>
  <si>
    <t>U0302</t>
  </si>
  <si>
    <t>00033759</t>
  </si>
  <si>
    <t>U0376</t>
  </si>
  <si>
    <t>00034663</t>
  </si>
  <si>
    <t>U0585</t>
  </si>
  <si>
    <t>00033449</t>
  </si>
  <si>
    <t>U0651</t>
  </si>
  <si>
    <t>00017656</t>
  </si>
  <si>
    <t>U0705</t>
  </si>
  <si>
    <t>00017777</t>
  </si>
  <si>
    <t>U0745</t>
  </si>
  <si>
    <t>00014829</t>
  </si>
  <si>
    <t>Universität zu Lübeck</t>
  </si>
  <si>
    <t>U0771</t>
  </si>
  <si>
    <t>00031807</t>
  </si>
  <si>
    <t>U0926</t>
  </si>
  <si>
    <t>00031756</t>
  </si>
  <si>
    <t>Immatics Biotechnologies GmbH</t>
  </si>
  <si>
    <t>U1055</t>
  </si>
  <si>
    <t>00016675</t>
  </si>
  <si>
    <t>U1056SP</t>
  </si>
  <si>
    <t>00030799</t>
  </si>
  <si>
    <t>V1042</t>
  </si>
  <si>
    <t>00035334</t>
  </si>
  <si>
    <t>V1343</t>
  </si>
  <si>
    <t>00034661</t>
  </si>
  <si>
    <t>CC249</t>
  </si>
  <si>
    <t>00014533</t>
  </si>
  <si>
    <t>CD064</t>
  </si>
  <si>
    <t>00014358</t>
  </si>
  <si>
    <t>CD116</t>
  </si>
  <si>
    <t>00012950</t>
  </si>
  <si>
    <t>CD143</t>
  </si>
  <si>
    <t>00013165</t>
  </si>
  <si>
    <t>CD182</t>
  </si>
  <si>
    <t>00013373</t>
  </si>
  <si>
    <t>CD191</t>
  </si>
  <si>
    <t>00013550</t>
  </si>
  <si>
    <t>CD213</t>
  </si>
  <si>
    <t>00013591</t>
  </si>
  <si>
    <t>CD273</t>
  </si>
  <si>
    <t>00013795</t>
  </si>
  <si>
    <t>CE027</t>
  </si>
  <si>
    <t>00014051</t>
  </si>
  <si>
    <t>CE086</t>
  </si>
  <si>
    <t>00014830</t>
  </si>
  <si>
    <t>CE099</t>
  </si>
  <si>
    <t>00015003</t>
  </si>
  <si>
    <t>FE202</t>
  </si>
  <si>
    <t>00015018</t>
  </si>
  <si>
    <t>ISX797</t>
  </si>
  <si>
    <t>00034226</t>
  </si>
  <si>
    <t>MU23086001</t>
  </si>
  <si>
    <t>00018081</t>
  </si>
  <si>
    <t>Kemira Chemicals Germany GmbH</t>
  </si>
  <si>
    <t>MU23086005</t>
  </si>
  <si>
    <t>00018079</t>
  </si>
  <si>
    <t>MU23125001</t>
  </si>
  <si>
    <t>00030475</t>
  </si>
  <si>
    <t>Deutsche Diabetes-Forschungsgesellschaft eV</t>
  </si>
  <si>
    <t>N0240</t>
  </si>
  <si>
    <t>00013331</t>
  </si>
  <si>
    <t>MHH Mikrobiologie</t>
  </si>
  <si>
    <t>NE0012</t>
  </si>
  <si>
    <t>00015883</t>
  </si>
  <si>
    <t>NE0017</t>
  </si>
  <si>
    <t>00015865</t>
  </si>
  <si>
    <t>MHH Klinik f¸r Rheumatologie &amp; Immunologie</t>
  </si>
  <si>
    <t>NM1093</t>
  </si>
  <si>
    <t>00015412</t>
  </si>
  <si>
    <t>NM1105</t>
  </si>
  <si>
    <t>00015481</t>
  </si>
  <si>
    <t>FAU Universtät Erlangen - Lehrstuhl Genetik</t>
  </si>
  <si>
    <t>NM1137</t>
  </si>
  <si>
    <t>00015589</t>
  </si>
  <si>
    <t>NM1266</t>
  </si>
  <si>
    <t>00017106</t>
  </si>
  <si>
    <t>Universität Bielefeld</t>
  </si>
  <si>
    <t>NM1468</t>
  </si>
  <si>
    <t>00032957</t>
  </si>
  <si>
    <t>Vermicon AG</t>
  </si>
  <si>
    <t>NM1507</t>
  </si>
  <si>
    <t>00032680</t>
  </si>
  <si>
    <t>NM1549</t>
  </si>
  <si>
    <t>00033847</t>
  </si>
  <si>
    <t>NM1557</t>
  </si>
  <si>
    <t>00033869</t>
  </si>
  <si>
    <t>NM1558</t>
  </si>
  <si>
    <t>00033870</t>
  </si>
  <si>
    <t>NM1559</t>
  </si>
  <si>
    <t>00034052</t>
  </si>
  <si>
    <t>NM1586</t>
  </si>
  <si>
    <t>00034310</t>
  </si>
  <si>
    <t>NM1601</t>
  </si>
  <si>
    <t>00034376</t>
  </si>
  <si>
    <t>R1081</t>
  </si>
  <si>
    <t>00034240</t>
  </si>
  <si>
    <t>R1290</t>
  </si>
  <si>
    <t>00032203</t>
  </si>
  <si>
    <t>RM1015</t>
  </si>
  <si>
    <t>00034307</t>
  </si>
  <si>
    <t>Universität Würzburg - AG Büchel Lab</t>
  </si>
  <si>
    <t>RM1019</t>
  </si>
  <si>
    <t>00036249</t>
  </si>
  <si>
    <t>S0169</t>
  </si>
  <si>
    <t>00016752</t>
  </si>
  <si>
    <t>S0252</t>
  </si>
  <si>
    <t>00031110</t>
  </si>
  <si>
    <t>Technische Universität Dresden</t>
  </si>
  <si>
    <t>S0331</t>
  </si>
  <si>
    <t>00034344</t>
  </si>
  <si>
    <t>Humboldt-Universität zu Berlin</t>
  </si>
  <si>
    <t>U0327</t>
  </si>
  <si>
    <t>00008540</t>
  </si>
  <si>
    <t>U0523</t>
  </si>
  <si>
    <t>00012958</t>
  </si>
  <si>
    <t>U1209</t>
  </si>
  <si>
    <t>00016879</t>
  </si>
  <si>
    <t>U1348</t>
  </si>
  <si>
    <t>00017681</t>
  </si>
  <si>
    <t>U1593</t>
  </si>
  <si>
    <t>00033368</t>
  </si>
  <si>
    <t>U1596</t>
  </si>
  <si>
    <t>00033369</t>
  </si>
  <si>
    <t>U1643</t>
  </si>
  <si>
    <t>00034075</t>
  </si>
  <si>
    <t>U1663SP</t>
  </si>
  <si>
    <t>00034308</t>
  </si>
  <si>
    <t>V0687</t>
  </si>
  <si>
    <t>00030602</t>
  </si>
  <si>
    <t>Y0097</t>
  </si>
  <si>
    <t>00011909</t>
  </si>
  <si>
    <t>European Molecular Biology Laboratory</t>
  </si>
  <si>
    <t>7200120706</t>
  </si>
  <si>
    <t>CLINICAL ONCOLOGY LABORATORY</t>
  </si>
  <si>
    <t>Greece</t>
  </si>
  <si>
    <t>7200121060</t>
  </si>
  <si>
    <t>8472080107</t>
  </si>
  <si>
    <t>ARISTOTLE UNIVERSITY OF THESSALONIKI</t>
  </si>
  <si>
    <t>8472080121</t>
  </si>
  <si>
    <t>UNIVERSITY OF THESSALY</t>
  </si>
  <si>
    <t>EC193164D1</t>
  </si>
  <si>
    <t>00035637</t>
  </si>
  <si>
    <t>Research Genetic Cancer Centre (RGCC) SA</t>
  </si>
  <si>
    <t>EC193164D2</t>
  </si>
  <si>
    <t>00035638</t>
  </si>
  <si>
    <t>NE0004</t>
  </si>
  <si>
    <t>00015996</t>
  </si>
  <si>
    <t>NE1151</t>
  </si>
  <si>
    <t>00016236</t>
  </si>
  <si>
    <t>NM1122</t>
  </si>
  <si>
    <t>00016238</t>
  </si>
  <si>
    <t>NM1333</t>
  </si>
  <si>
    <t>00017690</t>
  </si>
  <si>
    <t>EC202906C1</t>
  </si>
  <si>
    <t>University of Guam</t>
  </si>
  <si>
    <t>Guam</t>
  </si>
  <si>
    <t>8470050203</t>
  </si>
  <si>
    <t>INVEGEM - ROZAS BOTRAN ONG</t>
  </si>
  <si>
    <t>Guatemala</t>
  </si>
  <si>
    <t>8470130116</t>
  </si>
  <si>
    <t>CHINESE UNIVERSITY OF CHINA</t>
  </si>
  <si>
    <t>8470H50265</t>
  </si>
  <si>
    <t>ISX618</t>
  </si>
  <si>
    <t>00032960</t>
  </si>
  <si>
    <t>CITY UNIVERSITY OF HONG KONG</t>
  </si>
  <si>
    <t>NM1259</t>
  </si>
  <si>
    <t>00034014</t>
  </si>
  <si>
    <t>Medikonia</t>
  </si>
  <si>
    <t>NM1450</t>
  </si>
  <si>
    <t>00017684</t>
  </si>
  <si>
    <t>7200150399</t>
  </si>
  <si>
    <t>Merck KGaA - Merck Kft</t>
  </si>
  <si>
    <t>Hungary</t>
  </si>
  <si>
    <t>7200150952</t>
  </si>
  <si>
    <t>ORSZAGOS KOEZEGESZSEGUEGYIINTEZET</t>
  </si>
  <si>
    <t>GTI3630070207</t>
  </si>
  <si>
    <t>LABMAGISTER OKTATO ES KUTATO KFT</t>
  </si>
  <si>
    <t>ISX719</t>
  </si>
  <si>
    <t>UNIVERSITY SEMMELWEIS</t>
  </si>
  <si>
    <t>MU20283003</t>
  </si>
  <si>
    <t>MEDOR EHF</t>
  </si>
  <si>
    <t>Iceland</t>
  </si>
  <si>
    <t>6735126095</t>
  </si>
  <si>
    <t>DEFENCE RESEARCH LABORATORY</t>
  </si>
  <si>
    <t>6735146214</t>
  </si>
  <si>
    <t>DR REDDYS LABORATORIES LTD</t>
  </si>
  <si>
    <t>7200120262</t>
  </si>
  <si>
    <t>SRM INSTITUTE OF SCIENCE AND TECHNOLOGY</t>
  </si>
  <si>
    <t>7200120506</t>
  </si>
  <si>
    <t>Syngene International Ltd</t>
  </si>
  <si>
    <t>7200120612</t>
  </si>
  <si>
    <t>INSTITUTE OF HIMALAYAN BIORESOURCE TECHNOLOGY - CSIR (IHBT)</t>
  </si>
  <si>
    <t>7200120640</t>
  </si>
  <si>
    <t>BIOGENIX RESEARCH CENTER</t>
  </si>
  <si>
    <t>7200120644</t>
  </si>
  <si>
    <t>HLL LIFECARE LIMITED</t>
  </si>
  <si>
    <t>7200120665</t>
  </si>
  <si>
    <t>DEPARTMENT OF PHARMACOLOGY</t>
  </si>
  <si>
    <t>7200120701</t>
  </si>
  <si>
    <t>UNIVERSITY OF HYDERABAD</t>
  </si>
  <si>
    <t>7200120747</t>
  </si>
  <si>
    <t>SAHAJ CENTRE</t>
  </si>
  <si>
    <t>7200121079</t>
  </si>
  <si>
    <t>A TO Z SKIN CLINIC</t>
  </si>
  <si>
    <t>7200121320</t>
  </si>
  <si>
    <t>7200121436</t>
  </si>
  <si>
    <t>SDMH HOSPITAL</t>
  </si>
  <si>
    <t>7200121491</t>
  </si>
  <si>
    <t>SAAI HOSPITAL</t>
  </si>
  <si>
    <t>7200121567</t>
  </si>
  <si>
    <t>TEZPUR UNIVERSITY</t>
  </si>
  <si>
    <t>7200121588</t>
  </si>
  <si>
    <t>7200121604</t>
  </si>
  <si>
    <t>NATIONAL BUREAU OF ANIMAL GENETIC RESOURCES</t>
  </si>
  <si>
    <t>7200121637</t>
  </si>
  <si>
    <t>7200150331</t>
  </si>
  <si>
    <t>GITAM UNIVERSITY</t>
  </si>
  <si>
    <t>7200150395</t>
  </si>
  <si>
    <t>INDIAN INSTITUTE OF CHEMICAL BIOLOGY</t>
  </si>
  <si>
    <t>7200150396</t>
  </si>
  <si>
    <t>INCOZEN THERAPEUTICS PRIVATE LIMITED</t>
  </si>
  <si>
    <t>7200150401</t>
  </si>
  <si>
    <t>PANJAB UNIVERSITY</t>
  </si>
  <si>
    <t>7200150410</t>
  </si>
  <si>
    <t>STELIS BIOPHARMA PVT LTD</t>
  </si>
  <si>
    <t>7200150491</t>
  </si>
  <si>
    <t>BHARATHIAR UNIVERSITY</t>
  </si>
  <si>
    <t>7200150492</t>
  </si>
  <si>
    <t>CENTRAL UNIVERSITY OF RAJASTHAN</t>
  </si>
  <si>
    <t>7200150803</t>
  </si>
  <si>
    <t>SYNGENE SSRC</t>
  </si>
  <si>
    <t>7200150923</t>
  </si>
  <si>
    <t>CFTRI</t>
  </si>
  <si>
    <t>7200150925</t>
  </si>
  <si>
    <t>INDIAN INSTITUTE OF TOXICOLOGY RESEARCH</t>
  </si>
  <si>
    <t>7200151032</t>
  </si>
  <si>
    <t>BIOINNOVATIONS</t>
  </si>
  <si>
    <t>7200151055</t>
  </si>
  <si>
    <t>Genetix Biotech Asia Pvt. Ltd.</t>
  </si>
  <si>
    <t>7200151114</t>
  </si>
  <si>
    <t>MAR IVANIOS COLLEGE</t>
  </si>
  <si>
    <t>7200151122</t>
  </si>
  <si>
    <t>ANNA UNIVERSITY</t>
  </si>
  <si>
    <t>7200151177</t>
  </si>
  <si>
    <t>Jawaharlal Nehru Technological University - Hyderabad</t>
  </si>
  <si>
    <t>7200151239</t>
  </si>
  <si>
    <t>SREE CHITRA TIRUNAL INSTITUTE OF MEDICAL SCIENCE AND TECHNOLOGY</t>
  </si>
  <si>
    <t>745135273</t>
  </si>
  <si>
    <t>Merck KGaA - Merck Life Science Pty Ltd India</t>
  </si>
  <si>
    <t>8470050134</t>
  </si>
  <si>
    <t>ALTHEA LIFE SCIENCES</t>
  </si>
  <si>
    <t>8470050138</t>
  </si>
  <si>
    <t>Indian Institute of Technology Bombay (IIT Bombay)</t>
  </si>
  <si>
    <t>8470050257</t>
  </si>
  <si>
    <t>OSMANIA UNIVERSITY</t>
  </si>
  <si>
    <t>8472050182</t>
  </si>
  <si>
    <t>IMV INDIA PVT LTD</t>
  </si>
  <si>
    <t>8472060112</t>
  </si>
  <si>
    <t>Bhabha Atomic Research Centre - BARC</t>
  </si>
  <si>
    <t>8472060217</t>
  </si>
  <si>
    <t>8472060221</t>
  </si>
  <si>
    <t>INSTITUTE OF LIVER AND BILLIARY SCIENCES</t>
  </si>
  <si>
    <t>8472060239</t>
  </si>
  <si>
    <t>Vision Research Foundation</t>
  </si>
  <si>
    <t>8472080119</t>
  </si>
  <si>
    <t>KONERU LAKSHMAIAH COLLEGE OF ENGINEERING</t>
  </si>
  <si>
    <t>EC202547A1</t>
  </si>
  <si>
    <t>ICAR- CENTRAL TUBER CROPS RESEARCH INSTITUTE (CTCRI)</t>
  </si>
  <si>
    <t>EC203106H1</t>
  </si>
  <si>
    <t>INDIAN INSTITUTE OF TECHNOLOGY - JODHPUR</t>
  </si>
  <si>
    <t>FF253</t>
  </si>
  <si>
    <t>FH151</t>
  </si>
  <si>
    <t>National Institute for Research in Bacterial Infections (NIRBI)</t>
  </si>
  <si>
    <t>FH152</t>
  </si>
  <si>
    <t>National Institute For Research In Reproductive and Child Health (ICMR-NIRRCH)</t>
  </si>
  <si>
    <t>FH153</t>
  </si>
  <si>
    <t>National Institute of Translation Virology and AIDS Research (NITVAR)</t>
  </si>
  <si>
    <t>FH154</t>
  </si>
  <si>
    <t>National Institute of Occupational Health (ICMR-NIOH)</t>
  </si>
  <si>
    <t>FS114</t>
  </si>
  <si>
    <t>INDIAN INSTITUTE OF TECHNOLOGY ROORKEE (IIT ROORKEE)</t>
  </si>
  <si>
    <t>FS120</t>
  </si>
  <si>
    <t>TATA INSTITUTE OF FUNDAMENTAL RESEARCH</t>
  </si>
  <si>
    <t>FS194</t>
  </si>
  <si>
    <t>BITS PILANI - HYDERABAD</t>
  </si>
  <si>
    <t>FS266</t>
  </si>
  <si>
    <t>JUBILANT BIOSYS LTD</t>
  </si>
  <si>
    <t>FS309</t>
  </si>
  <si>
    <t>GTI-04000480</t>
  </si>
  <si>
    <t>GENERAL HOSPITAL</t>
  </si>
  <si>
    <t>GTI 0400477</t>
  </si>
  <si>
    <t>RELIANCE LIFE SCIENCES</t>
  </si>
  <si>
    <t>GTI-0400491</t>
  </si>
  <si>
    <t>CHRISTIAN MEDICAL COLLEGE</t>
  </si>
  <si>
    <t>GTI 05006978</t>
  </si>
  <si>
    <t>ANSCELL INDIA PVT LTD</t>
  </si>
  <si>
    <t>GTI060600089</t>
  </si>
  <si>
    <t>GTI-2800060117</t>
  </si>
  <si>
    <t>ADVINUS THERAPEUTICS PRIVATE LTD</t>
  </si>
  <si>
    <t>GTI 2800060143</t>
  </si>
  <si>
    <t>ALIGARH MUSLIM UNIVERSITY (AMU)</t>
  </si>
  <si>
    <t>GTI-2800060180</t>
  </si>
  <si>
    <t>GURU ANGAD DEV VETERINARY AND ANIMAL SCIENCES UNIVERSITY</t>
  </si>
  <si>
    <t>GTI2800090275</t>
  </si>
  <si>
    <t>GTI-3630070</t>
  </si>
  <si>
    <t>SHANTHA BIOTECHNICS LTD.</t>
  </si>
  <si>
    <t>Guava Easycyte Plus HPL Base System, Obsolete</t>
  </si>
  <si>
    <t>GTI-3630070164</t>
  </si>
  <si>
    <t>GTI-3630080277</t>
  </si>
  <si>
    <t>STEMPEUTICS RESEARCH PVT LTD MANIPAL - BIOP</t>
  </si>
  <si>
    <t>GTI3630080293</t>
  </si>
  <si>
    <t>CRYO-SAVE (INDIA) PRIVATE LIMITED</t>
  </si>
  <si>
    <t>GTI-3630080294</t>
  </si>
  <si>
    <t>FRESENIUS KABI ONCHOLOGY LTD</t>
  </si>
  <si>
    <t>GTI5430100174</t>
  </si>
  <si>
    <t>PONDICHERRY UNIVERSITY</t>
  </si>
  <si>
    <t>GTI-5430100175</t>
  </si>
  <si>
    <t>NATIONAL INSTITUTE OF PHARMACEUTICAL EDUCATION &amp; RESEARCH - NIPER</t>
  </si>
  <si>
    <t>GTI5430100198</t>
  </si>
  <si>
    <t>Translational Health Science and Technology Institute (THSTI)</t>
  </si>
  <si>
    <t>GTI5580090101</t>
  </si>
  <si>
    <t>GTI-6620136111</t>
  </si>
  <si>
    <t>Yenepoya Research Centre</t>
  </si>
  <si>
    <t>GTI-6735106008</t>
  </si>
  <si>
    <t>BANARAS HINDU UNIVERSITY</t>
  </si>
  <si>
    <t>GTI-6735116043</t>
  </si>
  <si>
    <t>GTI-6735118019</t>
  </si>
  <si>
    <t>SUN PHARMACETICALS INDUSTRILES LTD</t>
  </si>
  <si>
    <t>GTI-6735118025</t>
  </si>
  <si>
    <t>SANJAY GANDHI POST GRADUATE INSTITUTE OF MEDICAL SCIENCES</t>
  </si>
  <si>
    <t>GTI-6735118030</t>
  </si>
  <si>
    <t>SAFDARJUNG HOSPITAL</t>
  </si>
  <si>
    <t>GTI-6735125115</t>
  </si>
  <si>
    <t>EAST WEST SEEDS INDIA PVT LTD</t>
  </si>
  <si>
    <t>GTI6735126104</t>
  </si>
  <si>
    <t>ANDHRA UNIVERSITY</t>
  </si>
  <si>
    <t>ISX139</t>
  </si>
  <si>
    <t>ISX175</t>
  </si>
  <si>
    <t>ISX332</t>
  </si>
  <si>
    <t>KING GEORGE'S MEDICAL UNIVERSITY</t>
  </si>
  <si>
    <t>ISX420</t>
  </si>
  <si>
    <t>MU20342001</t>
  </si>
  <si>
    <t>JSS COLLEGE OF PHARMACY</t>
  </si>
  <si>
    <t>MU21041001</t>
  </si>
  <si>
    <t>SRI VENKATESWARA UNIVERSITY</t>
  </si>
  <si>
    <t>MU21041003</t>
  </si>
  <si>
    <t>JAYPEE INSTITUTE OF INFORMATION TECHNOLOGY (JIIT, NOIDA)</t>
  </si>
  <si>
    <t>MU22031001</t>
  </si>
  <si>
    <t>NM1081</t>
  </si>
  <si>
    <t>IntegerBio Inc</t>
  </si>
  <si>
    <t>FE0265</t>
  </si>
  <si>
    <t>00015498</t>
  </si>
  <si>
    <t>N1025</t>
  </si>
  <si>
    <t>00036451</t>
  </si>
  <si>
    <t>NE0020</t>
  </si>
  <si>
    <t>S0213</t>
  </si>
  <si>
    <t>00017515</t>
  </si>
  <si>
    <t>Shiv Nadar University</t>
  </si>
  <si>
    <t>U0568</t>
  </si>
  <si>
    <t>00036886</t>
  </si>
  <si>
    <t>U1039</t>
  </si>
  <si>
    <t>00036450</t>
  </si>
  <si>
    <t>U1095</t>
  </si>
  <si>
    <t>00036449</t>
  </si>
  <si>
    <t>National Centre for Cell Science (NCCS)</t>
  </si>
  <si>
    <t>U1248</t>
  </si>
  <si>
    <t>00016912</t>
  </si>
  <si>
    <t>8472050183</t>
  </si>
  <si>
    <t>00027106</t>
  </si>
  <si>
    <t>EC210076A1</t>
  </si>
  <si>
    <t>00035460</t>
  </si>
  <si>
    <t>KEMWELL BIOPHARMA PVT LTD</t>
  </si>
  <si>
    <t>ISX390</t>
  </si>
  <si>
    <t>00031412</t>
  </si>
  <si>
    <t>INSTITUTE OF CHEMICAL TECHNOLOGY</t>
  </si>
  <si>
    <t>CD166</t>
  </si>
  <si>
    <t>00013082</t>
  </si>
  <si>
    <t>FS346</t>
  </si>
  <si>
    <t>00032210</t>
  </si>
  <si>
    <t>Special Centre for Molecular Medicine</t>
  </si>
  <si>
    <t>MU23235001</t>
  </si>
  <si>
    <t>00031248</t>
  </si>
  <si>
    <t>Indian Institute of Technology-Dharwad</t>
  </si>
  <si>
    <t>MU24191001</t>
  </si>
  <si>
    <t>00034033</t>
  </si>
  <si>
    <t>Sun Pharmaceutical Industries Ltd</t>
  </si>
  <si>
    <t>NM1354</t>
  </si>
  <si>
    <t>00017444</t>
  </si>
  <si>
    <t>U1644</t>
  </si>
  <si>
    <t>00033895</t>
  </si>
  <si>
    <t>U1645</t>
  </si>
  <si>
    <t>00033896</t>
  </si>
  <si>
    <t>U1646</t>
  </si>
  <si>
    <t>00033897</t>
  </si>
  <si>
    <t>U1647</t>
  </si>
  <si>
    <t>00033898</t>
  </si>
  <si>
    <t>EC211096A2</t>
  </si>
  <si>
    <t>BISI INTERNATIONAL, PT TBK</t>
  </si>
  <si>
    <t>Indonesia</t>
  </si>
  <si>
    <t>FS119</t>
  </si>
  <si>
    <t>KOYA UNIVERSITY</t>
  </si>
  <si>
    <t>Iraq</t>
  </si>
  <si>
    <t>6735136127</t>
  </si>
  <si>
    <t>UNIVERSITY OF LIMERICK</t>
  </si>
  <si>
    <t>Ireland</t>
  </si>
  <si>
    <t>6735138213</t>
  </si>
  <si>
    <t>UNIVERSITY COLLEGE CORK</t>
  </si>
  <si>
    <t>6735138219</t>
  </si>
  <si>
    <t>ALLTECH IRELAND</t>
  </si>
  <si>
    <t>6735-R5062</t>
  </si>
  <si>
    <t>Dublin City University</t>
  </si>
  <si>
    <t>7200120914</t>
  </si>
  <si>
    <t>7200150906</t>
  </si>
  <si>
    <t>BANTRY MARINE RESEARCH STATION LTD</t>
  </si>
  <si>
    <t>8470050163</t>
  </si>
  <si>
    <t>Amgen Technology (Ireland)</t>
  </si>
  <si>
    <t>GTI-3630060129</t>
  </si>
  <si>
    <t>GTI-3630070159</t>
  </si>
  <si>
    <t>ST VINCENTS UNIVERSITY HOSPITAL DUBLIN</t>
  </si>
  <si>
    <t>GTI-3630070193</t>
  </si>
  <si>
    <t>Pfizer Ireland</t>
  </si>
  <si>
    <t>GTI-3630080255</t>
  </si>
  <si>
    <t>Ollscoil na Gaillimhe / University of Galway</t>
  </si>
  <si>
    <t>GTI-5430100179</t>
  </si>
  <si>
    <t>ISX550</t>
  </si>
  <si>
    <t>N0681</t>
  </si>
  <si>
    <t>00036075</t>
  </si>
  <si>
    <t>N0683</t>
  </si>
  <si>
    <t>00036074</t>
  </si>
  <si>
    <t>Y0232</t>
  </si>
  <si>
    <t>00035300</t>
  </si>
  <si>
    <t>FlowCel Cytometric Engineering Ltd</t>
  </si>
  <si>
    <t>CS045</t>
  </si>
  <si>
    <t>00030029</t>
  </si>
  <si>
    <t>CS088</t>
  </si>
  <si>
    <t>00030933</t>
  </si>
  <si>
    <t>SLA-CS-INTERMED</t>
  </si>
  <si>
    <t>8470130191</t>
  </si>
  <si>
    <t>00032565</t>
  </si>
  <si>
    <t>ISX546</t>
  </si>
  <si>
    <t>00030778</t>
  </si>
  <si>
    <t>ISX737</t>
  </si>
  <si>
    <t>00029490</t>
  </si>
  <si>
    <t>MU20280003</t>
  </si>
  <si>
    <t>00035230</t>
  </si>
  <si>
    <t>ICON Clinical Research Ltd - Dublin IE</t>
  </si>
  <si>
    <t>U0778</t>
  </si>
  <si>
    <t>00035804</t>
  </si>
  <si>
    <t>Legend Biotech Ireland Ltd</t>
  </si>
  <si>
    <t>CD239</t>
  </si>
  <si>
    <t>00013629</t>
  </si>
  <si>
    <t>MU23130001</t>
  </si>
  <si>
    <t>00030479</t>
  </si>
  <si>
    <t>Pending Installation</t>
  </si>
  <si>
    <t>CC376</t>
  </si>
  <si>
    <t>00009449</t>
  </si>
  <si>
    <t>7200151174</t>
  </si>
  <si>
    <t>MERCURY SCIENTIFIC &amp; INDUSTRIAL PRODUCTS LTD</t>
  </si>
  <si>
    <t>CF001</t>
  </si>
  <si>
    <t>CG003</t>
  </si>
  <si>
    <t>CS058</t>
  </si>
  <si>
    <t>EC210226A1</t>
  </si>
  <si>
    <t>FS106</t>
  </si>
  <si>
    <t>Merkel Technologies Ltd</t>
  </si>
  <si>
    <t>FS115</t>
  </si>
  <si>
    <t>ISX167</t>
  </si>
  <si>
    <t>WEIZMANN INSTITUTE OF SCIENCE</t>
  </si>
  <si>
    <t>ISX348</t>
  </si>
  <si>
    <t>UNIVERSITY OF TEL AVIV</t>
  </si>
  <si>
    <t>ISX351</t>
  </si>
  <si>
    <t>BEN GURION UNIVERSITY</t>
  </si>
  <si>
    <t>ISX484</t>
  </si>
  <si>
    <t>ISX690</t>
  </si>
  <si>
    <t>HEBREW UNIVERSITY OF JERUSALEM - EDMOND J SAFRA CAMPUS</t>
  </si>
  <si>
    <t>Y0544</t>
  </si>
  <si>
    <t>00013028</t>
  </si>
  <si>
    <t>Y0619</t>
  </si>
  <si>
    <t>00014062</t>
  </si>
  <si>
    <t>CD152</t>
  </si>
  <si>
    <t>00013029</t>
  </si>
  <si>
    <t>CD200</t>
  </si>
  <si>
    <t>00013327</t>
  </si>
  <si>
    <t>CD217</t>
  </si>
  <si>
    <t>00013324</t>
  </si>
  <si>
    <t>CD275</t>
  </si>
  <si>
    <t>00013805</t>
  </si>
  <si>
    <t>N0614</t>
  </si>
  <si>
    <t>00013326</t>
  </si>
  <si>
    <t>Northern Lights 2000 B/R</t>
  </si>
  <si>
    <t>N0728</t>
  </si>
  <si>
    <t>00014354</t>
  </si>
  <si>
    <t>Y0724</t>
  </si>
  <si>
    <t>00013806</t>
  </si>
  <si>
    <t>U0520</t>
  </si>
  <si>
    <t>00033458</t>
  </si>
  <si>
    <t>U0595</t>
  </si>
  <si>
    <t>00034789</t>
  </si>
  <si>
    <t>U1111</t>
  </si>
  <si>
    <t>00031102</t>
  </si>
  <si>
    <t>6620116043</t>
  </si>
  <si>
    <t>UNIVERSITA POLITECNICA DELLE MARCHE</t>
  </si>
  <si>
    <t>Italy</t>
  </si>
  <si>
    <t>6620125077</t>
  </si>
  <si>
    <t>Università degli studi di Verona</t>
  </si>
  <si>
    <t>6620125105</t>
  </si>
  <si>
    <t>6620128022</t>
  </si>
  <si>
    <t>CENTRO DI RICERCA IN MEDICINA SPERIMENTALE</t>
  </si>
  <si>
    <t>6620135119</t>
  </si>
  <si>
    <t>UNIVERSITA DEGLI STUDI DELLA CAMPANIA LUIGI VANVITELLI</t>
  </si>
  <si>
    <t>6620135124</t>
  </si>
  <si>
    <t>UNIPR - Biopharmanet TEC</t>
  </si>
  <si>
    <t>6620135150</t>
  </si>
  <si>
    <t>DIP SCIENZE DELLA SALUTE</t>
  </si>
  <si>
    <t>6620138030</t>
  </si>
  <si>
    <t>FONDAZIONE EDMUND MACH</t>
  </si>
  <si>
    <t>6620-R6010</t>
  </si>
  <si>
    <t>6620-R6037</t>
  </si>
  <si>
    <t>6735125127</t>
  </si>
  <si>
    <t>Sellomics GmbH</t>
  </si>
  <si>
    <t>6735145251</t>
  </si>
  <si>
    <t>SILC SPA</t>
  </si>
  <si>
    <t>6735148246</t>
  </si>
  <si>
    <t>Merck KGaA - Merck Serono S.P.A</t>
  </si>
  <si>
    <t>7200120240</t>
  </si>
  <si>
    <t>7200120482</t>
  </si>
  <si>
    <t>Università di Pisa (UniPi)</t>
  </si>
  <si>
    <t>7200120798</t>
  </si>
  <si>
    <t>CENTRO DI RICERCA APPLICATA</t>
  </si>
  <si>
    <t>7200120829</t>
  </si>
  <si>
    <t>7200120899</t>
  </si>
  <si>
    <t>IFOM - FIRC INSTITUTE OF MOLECULAR ONCOLOGY FOUNDATION</t>
  </si>
  <si>
    <t>7200120921</t>
  </si>
  <si>
    <t>HOSPITAL CONSULTING SPA</t>
  </si>
  <si>
    <t>7200120925</t>
  </si>
  <si>
    <t>7200120981</t>
  </si>
  <si>
    <t>MICROTECH SRL</t>
  </si>
  <si>
    <t>7200121065</t>
  </si>
  <si>
    <t>ISTITUTO DI GENETICA MOLECOLARE - CNR</t>
  </si>
  <si>
    <t>7200121139</t>
  </si>
  <si>
    <t>Fondazione Università Niccolò Cusano per la Ricerca Medico-Scientifica</t>
  </si>
  <si>
    <t>7200121284</t>
  </si>
  <si>
    <t>7200121367</t>
  </si>
  <si>
    <t>LABFOR SRL</t>
  </si>
  <si>
    <t>7200121499</t>
  </si>
  <si>
    <t>7200121569</t>
  </si>
  <si>
    <t>7200150298</t>
  </si>
  <si>
    <t>ISTITUTO NAZIONALE TUMORI IRCCS FONDAZIONE G PASCALE</t>
  </si>
  <si>
    <t>7200150503</t>
  </si>
  <si>
    <t>Fondazione IRCCS Policlinico San Matteo</t>
  </si>
  <si>
    <t>7200150711</t>
  </si>
  <si>
    <t>Università di Torino</t>
  </si>
  <si>
    <t>7200150982</t>
  </si>
  <si>
    <t>7200151196</t>
  </si>
  <si>
    <t>UNIVERSITY OF SALERNO</t>
  </si>
  <si>
    <t>7200450810</t>
  </si>
  <si>
    <t>BIOCLASS SRL</t>
  </si>
  <si>
    <t>8472060116</t>
  </si>
  <si>
    <t>INAIL</t>
  </si>
  <si>
    <t>8472060123</t>
  </si>
  <si>
    <t>UNIVERSITA DEGLI STUDI DI GENOVA</t>
  </si>
  <si>
    <t>8472060160</t>
  </si>
  <si>
    <t>POLITECNICO DI TORINO</t>
  </si>
  <si>
    <t>8472080124</t>
  </si>
  <si>
    <t>UNIVERSITA DEGLI STUDI DI CATANIA</t>
  </si>
  <si>
    <t>8472H50245</t>
  </si>
  <si>
    <t>UNIVERSITA DEGLI STUDI DI BARI ALDO MORO</t>
  </si>
  <si>
    <t>CS089</t>
  </si>
  <si>
    <t>EC202547A2</t>
  </si>
  <si>
    <t>pH s.r.l. - Gruppo TUV SUD</t>
  </si>
  <si>
    <t>EC210226A2</t>
  </si>
  <si>
    <t>HOSPITAL SANTA MARIA NUOVA</t>
  </si>
  <si>
    <t>FG054</t>
  </si>
  <si>
    <t>IFOM-Milano</t>
  </si>
  <si>
    <t>FG057</t>
  </si>
  <si>
    <t>IRCCS Ospedale San Raffaele</t>
  </si>
  <si>
    <t>FG128</t>
  </si>
  <si>
    <t>Università degli Studi di Milano</t>
  </si>
  <si>
    <t>FG129</t>
  </si>
  <si>
    <t>FG214</t>
  </si>
  <si>
    <t>Merck KGaA - Istituto Di Ricerche Biomediche - RBM SpA</t>
  </si>
  <si>
    <t>FG362</t>
  </si>
  <si>
    <t>Neomatrix</t>
  </si>
  <si>
    <t>FH137</t>
  </si>
  <si>
    <t>UNIV. FERRARA</t>
  </si>
  <si>
    <t>FS214</t>
  </si>
  <si>
    <t>VILLA SANTA TERESA DIAGNOSTICA PER IMMAGINI E RADIOTERAPIA SRL</t>
  </si>
  <si>
    <t>FS218</t>
  </si>
  <si>
    <t>UNIVERSITA DEGLI STUDI DI LECCE</t>
  </si>
  <si>
    <t>FS306</t>
  </si>
  <si>
    <t>GTI-00900853</t>
  </si>
  <si>
    <t>Centro Riferimento Oncologico (IRCCS National Cancer Institute)</t>
  </si>
  <si>
    <t>GTI-0300341</t>
  </si>
  <si>
    <t>UNIVERSITA' DEGLI STUDI DI FIRENZE</t>
  </si>
  <si>
    <t>GTI-3630080266</t>
  </si>
  <si>
    <t>Università degli Studi di Perugia (UniPG)</t>
  </si>
  <si>
    <t>GTI-4800080102</t>
  </si>
  <si>
    <t>Istituto Sperimentale Italiano Lazzaro Spallanzani</t>
  </si>
  <si>
    <t>GUAVA EASYCYTE PLUS V/S BASE S YSTEM, Obsolete</t>
  </si>
  <si>
    <t>GTI-480080102</t>
  </si>
  <si>
    <t>GTI-5430100225</t>
  </si>
  <si>
    <t>IFO POLO ONCOLOGICO</t>
  </si>
  <si>
    <t>GTI-6620116035</t>
  </si>
  <si>
    <t>GTI-6735105005</t>
  </si>
  <si>
    <t>GlaxoSmithKline (GSK) Italy - Siena</t>
  </si>
  <si>
    <t>GTI-673510S002</t>
  </si>
  <si>
    <t>CNR - IBBA</t>
  </si>
  <si>
    <t>GTI-6735115007</t>
  </si>
  <si>
    <t>GTI-96-4-050459R</t>
  </si>
  <si>
    <t>GEM FORLAB SRL</t>
  </si>
  <si>
    <t>GTI-96-4-070485</t>
  </si>
  <si>
    <t>IRBM SCIENCE PARK SPA</t>
  </si>
  <si>
    <t>ISX179</t>
  </si>
  <si>
    <t>UNIVERSITA DI CHIETI - CESI</t>
  </si>
  <si>
    <t>ISX188</t>
  </si>
  <si>
    <t>POLICLINICO UNIVERSITARIO G MARTINO</t>
  </si>
  <si>
    <t>ISX623</t>
  </si>
  <si>
    <t>ISX630</t>
  </si>
  <si>
    <t>MU20030004</t>
  </si>
  <si>
    <t>UNIVERSITA DELLA CALABRIA</t>
  </si>
  <si>
    <t>MU20240001</t>
  </si>
  <si>
    <t>I.N.M.I. L. SPALLANZANI I.R.C.C.S.</t>
  </si>
  <si>
    <t>MU21153001</t>
  </si>
  <si>
    <t>SER00158776</t>
  </si>
  <si>
    <t>U1016</t>
  </si>
  <si>
    <t>00034847</t>
  </si>
  <si>
    <t>NM1086</t>
  </si>
  <si>
    <t>00034243</t>
  </si>
  <si>
    <t>Champions Oncology Srl</t>
  </si>
  <si>
    <t>NM1415</t>
  </si>
  <si>
    <t>00033921</t>
  </si>
  <si>
    <t>NM1448</t>
  </si>
  <si>
    <t>00031299</t>
  </si>
  <si>
    <t>R1279</t>
  </si>
  <si>
    <t>00030682</t>
  </si>
  <si>
    <t>S0185</t>
  </si>
  <si>
    <t>00017125</t>
  </si>
  <si>
    <t>Sapienza Università di Roma - Dip to di Medicina</t>
  </si>
  <si>
    <t>U1342</t>
  </si>
  <si>
    <t>00017728</t>
  </si>
  <si>
    <t>U1356</t>
  </si>
  <si>
    <t>00034281</t>
  </si>
  <si>
    <t>CS109</t>
  </si>
  <si>
    <t>00036028</t>
  </si>
  <si>
    <t>SAE Scientifica SRL</t>
  </si>
  <si>
    <t>8470130149</t>
  </si>
  <si>
    <t>00034716</t>
  </si>
  <si>
    <t>ADIENNE Srl SU</t>
  </si>
  <si>
    <t>8472050106</t>
  </si>
  <si>
    <t>00033215</t>
  </si>
  <si>
    <t>8472060247</t>
  </si>
  <si>
    <t>00034620</t>
  </si>
  <si>
    <t>EC211446A1</t>
  </si>
  <si>
    <t>00033647</t>
  </si>
  <si>
    <t>EC211246A1</t>
  </si>
  <si>
    <t>00036371</t>
  </si>
  <si>
    <t>EC232516A3</t>
  </si>
  <si>
    <t>00035665</t>
  </si>
  <si>
    <t>Prodotti Gianni Srl</t>
  </si>
  <si>
    <t>FS212</t>
  </si>
  <si>
    <t>00029596</t>
  </si>
  <si>
    <t>Università degli studi di Foggia</t>
  </si>
  <si>
    <t>FS237</t>
  </si>
  <si>
    <t>00033781</t>
  </si>
  <si>
    <t>FS247</t>
  </si>
  <si>
    <t>00029945</t>
  </si>
  <si>
    <t>ALTHEA ITALIA SPA</t>
  </si>
  <si>
    <t>ISX443</t>
  </si>
  <si>
    <t>00031748</t>
  </si>
  <si>
    <t>CENTRO CARDIOLOGICO MONZINO</t>
  </si>
  <si>
    <t>ISX555</t>
  </si>
  <si>
    <t>00032804</t>
  </si>
  <si>
    <t>OSPEDALE SAN RAFFAELE</t>
  </si>
  <si>
    <t>ISX667</t>
  </si>
  <si>
    <t>00028123</t>
  </si>
  <si>
    <t>ISX146</t>
  </si>
  <si>
    <t>00030147</t>
  </si>
  <si>
    <t>CEINGE</t>
  </si>
  <si>
    <t>ISX353</t>
  </si>
  <si>
    <t>00036457</t>
  </si>
  <si>
    <t>ISTITUTO GIANNINA GASLINI - OSPEDALE PEDIATRICO IRCCS</t>
  </si>
  <si>
    <t>ISX600</t>
  </si>
  <si>
    <t>00034220</t>
  </si>
  <si>
    <t>ISX654</t>
  </si>
  <si>
    <t>00033336</t>
  </si>
  <si>
    <t>UNIVERSITA DEGLI STUDI DI PADOVA</t>
  </si>
  <si>
    <t>7200151233</t>
  </si>
  <si>
    <t>00018542</t>
  </si>
  <si>
    <t>7200151268</t>
  </si>
  <si>
    <t>00034291</t>
  </si>
  <si>
    <t>NOUSCOM SRL</t>
  </si>
  <si>
    <t>7200150288</t>
  </si>
  <si>
    <t>00035634</t>
  </si>
  <si>
    <t>NM1483</t>
  </si>
  <si>
    <t>00032485</t>
  </si>
  <si>
    <t>Università degli Studi di Milano - Dipartimento di Bioscienze</t>
  </si>
  <si>
    <t>S0257</t>
  </si>
  <si>
    <t>00035140</t>
  </si>
  <si>
    <t>S0265</t>
  </si>
  <si>
    <t>00032486</t>
  </si>
  <si>
    <t>U1062</t>
  </si>
  <si>
    <t>00036020</t>
  </si>
  <si>
    <t>U1337</t>
  </si>
  <si>
    <t>00017660</t>
  </si>
  <si>
    <t>CE081</t>
  </si>
  <si>
    <t>00014875</t>
  </si>
  <si>
    <t>EC231117A1</t>
  </si>
  <si>
    <t>00030319</t>
  </si>
  <si>
    <t>EC232516A1</t>
  </si>
  <si>
    <t>00032143</t>
  </si>
  <si>
    <t>EC242587A1</t>
  </si>
  <si>
    <t>00034331</t>
  </si>
  <si>
    <t>ISX782</t>
  </si>
  <si>
    <t>00032818</t>
  </si>
  <si>
    <t>UNIVERSITA' DEL SALENTO</t>
  </si>
  <si>
    <t>ISX784</t>
  </si>
  <si>
    <t>00033685</t>
  </si>
  <si>
    <t>Policlinico Sant'Orsola-Malpighi</t>
  </si>
  <si>
    <t>ISX795</t>
  </si>
  <si>
    <t>00034337</t>
  </si>
  <si>
    <t>Fondazione Human Technopole</t>
  </si>
  <si>
    <t>MU23074001</t>
  </si>
  <si>
    <t>00018080</t>
  </si>
  <si>
    <t>MU23235002</t>
  </si>
  <si>
    <t>00031342</t>
  </si>
  <si>
    <t>NM1511</t>
  </si>
  <si>
    <t>00032919</t>
  </si>
  <si>
    <t>NM1526</t>
  </si>
  <si>
    <t>00033394</t>
  </si>
  <si>
    <t>NM1531</t>
  </si>
  <si>
    <t>00033626</t>
  </si>
  <si>
    <t>NM1611</t>
  </si>
  <si>
    <t>00036921</t>
  </si>
  <si>
    <t>RM1007</t>
  </si>
  <si>
    <t>00033625</t>
  </si>
  <si>
    <t>U1641</t>
  </si>
  <si>
    <t>00034022</t>
  </si>
  <si>
    <t>NM1506</t>
  </si>
  <si>
    <t>00036292</t>
  </si>
  <si>
    <t>RM1006</t>
  </si>
  <si>
    <t>00035851</t>
  </si>
  <si>
    <t>Neuromed-Centro Ricerche</t>
  </si>
  <si>
    <t>6400828070</t>
  </si>
  <si>
    <t>INSTITUTE OF TROPICAL MEDICINE - NAGASAKI UNIVERSITY</t>
  </si>
  <si>
    <t>Japan</t>
  </si>
  <si>
    <t>6620125065</t>
  </si>
  <si>
    <t>KITTI CO LTD</t>
  </si>
  <si>
    <t>6620125082</t>
  </si>
  <si>
    <t>NAGASAKI UNIVERSITY HOSPITAL</t>
  </si>
  <si>
    <t>6620125083</t>
  </si>
  <si>
    <t>UNIVERSITY OF TOKYO CENTER OF BIOMEDICAL ENGINEERING</t>
  </si>
  <si>
    <t>6620125088</t>
  </si>
  <si>
    <t>UNIVERSITY OF TOKUSHIMA FACULTY OF SCIENCE AND TECHNOLOGY</t>
  </si>
  <si>
    <t>6620125091</t>
  </si>
  <si>
    <t>RYUUKYUUDAIGAKUIGAKU</t>
  </si>
  <si>
    <t>6620125098</t>
  </si>
  <si>
    <t>CHIBA UNIVERSITY FACULTY OF PHARMACEUTICAL SCIENCES</t>
  </si>
  <si>
    <t>6620125107</t>
  </si>
  <si>
    <t>KATAYAMA CHEMICAL INDUSTRIES CO.,LTD.</t>
  </si>
  <si>
    <t>6620125111</t>
  </si>
  <si>
    <t>KEIO UNIVERSITY SCHOOL OF MEDICINE</t>
  </si>
  <si>
    <t>6620126054</t>
  </si>
  <si>
    <t>KOBE UNIVERSITY SCHOOL OF MEDICINE</t>
  </si>
  <si>
    <t>6620126058</t>
  </si>
  <si>
    <t>KYOTO UNIVERSITY GRADUATE SCHOOL OF MEDICINE</t>
  </si>
  <si>
    <t>6620126064</t>
  </si>
  <si>
    <t>OSAKA UNIVERSITY GRADUATE SCHOOL OF DENTISTRY</t>
  </si>
  <si>
    <t>6620126074</t>
  </si>
  <si>
    <t>KAGAWA UNIVERSITY SCHOOL OF MEDICINE</t>
  </si>
  <si>
    <t>6620126075</t>
  </si>
  <si>
    <t>HITACHI HIGH-TECH CORPORATION</t>
  </si>
  <si>
    <t>6620128020</t>
  </si>
  <si>
    <t>ISHIHARA SANGYO KAISHA LTD</t>
  </si>
  <si>
    <t>6620128021</t>
  </si>
  <si>
    <t>BIO MIRAI KOBO CO., LTD.</t>
  </si>
  <si>
    <t>6620128027</t>
  </si>
  <si>
    <t>OOITADAIGAKU KOUGAKUBU</t>
  </si>
  <si>
    <t>6620135135</t>
  </si>
  <si>
    <t>OSAKA METROPOLITAN UNIVERSITY</t>
  </si>
  <si>
    <t>6620136101</t>
  </si>
  <si>
    <t>OKAYAMA UNIVERSITY GRADUATE SCHOOL OF NATURAL SCIENCE AND TECHNOLOGY</t>
  </si>
  <si>
    <t>6620136108</t>
  </si>
  <si>
    <t>KUMAMOTO UNIVERSITY FACULTY OF PHARMACY</t>
  </si>
  <si>
    <t>6620136109</t>
  </si>
  <si>
    <t>OSAKA UNIVERSITY GRADUATE SCHOOL OF ENGINEERING</t>
  </si>
  <si>
    <t>6620136114</t>
  </si>
  <si>
    <t>KUMAMOTO UNIVERSITY RESEARCH AND SUPPORT CENTER FOR LIFE RESOURCES</t>
  </si>
  <si>
    <t>6620136115</t>
  </si>
  <si>
    <t>KOKEN CO LTD</t>
  </si>
  <si>
    <t>6620136118</t>
  </si>
  <si>
    <t>TOSOH CORPORATION</t>
  </si>
  <si>
    <t>6620136126</t>
  </si>
  <si>
    <t>UNIVERSITY OF THE RYUKYUS</t>
  </si>
  <si>
    <t>6620136128</t>
  </si>
  <si>
    <t>UNIVERSITY OF FUKUI</t>
  </si>
  <si>
    <t>6620136129</t>
  </si>
  <si>
    <t>WASEDA UNIVERSITY</t>
  </si>
  <si>
    <t>6620138028</t>
  </si>
  <si>
    <t>UNIVERSITY OF TOKYO GRADUATE SCHOOL OF ENGINEERING</t>
  </si>
  <si>
    <t>6620138029</t>
  </si>
  <si>
    <t>HIROSHIMA UNIVERSITY FACULTY OF PHARMACY</t>
  </si>
  <si>
    <t>6620138031</t>
  </si>
  <si>
    <t>6620138032</t>
  </si>
  <si>
    <t>HAMAMATSUIKADAIGAKU MEDE KARUFU TONIKUSUKENKYUUSENTA</t>
  </si>
  <si>
    <t>6620138035</t>
  </si>
  <si>
    <t>TOKYO INSTITUTE OF TECHNOLOGY</t>
  </si>
  <si>
    <t>6620138037</t>
  </si>
  <si>
    <t>KUMAMOTO UNIVERSITY HOSPITAL</t>
  </si>
  <si>
    <t>6620145155</t>
  </si>
  <si>
    <t>DAIICHI SANKYO CO LTD BIOTHERAPEUTICS RESEARCH INSTITUTE</t>
  </si>
  <si>
    <t>6620145189</t>
  </si>
  <si>
    <t>MITSUBISHI CHEMICAL CORPORATION</t>
  </si>
  <si>
    <t>6620145191</t>
  </si>
  <si>
    <t>OSAKA UNIVERSITY GRADUATE SCHOOL OF BIOFUNCTIONS</t>
  </si>
  <si>
    <t>6620146179</t>
  </si>
  <si>
    <t>CHA MEDICAL SERVICE CO., LTD</t>
  </si>
  <si>
    <t>6620148054</t>
  </si>
  <si>
    <t>KIGEN CO LTD</t>
  </si>
  <si>
    <t>6735125086</t>
  </si>
  <si>
    <t>KYOWA HAKKO KIRIN CO LTD TOKYO RESEARCH PARK</t>
  </si>
  <si>
    <t>6735125097</t>
  </si>
  <si>
    <t>6735125105</t>
  </si>
  <si>
    <t>Astellas Pharma - Japan</t>
  </si>
  <si>
    <t>6735125112</t>
  </si>
  <si>
    <t>6735125143</t>
  </si>
  <si>
    <t>KAKETSUKEN</t>
  </si>
  <si>
    <t>6735126086</t>
  </si>
  <si>
    <t>ADEKA CORPORATION</t>
  </si>
  <si>
    <t>6735126093</t>
  </si>
  <si>
    <t>TOHOKU UNIVERSITY</t>
  </si>
  <si>
    <t>6735126117</t>
  </si>
  <si>
    <t>NATIONAL CANCER RESEARCH CENTER, NATIONAL INSTITUTE OF RESEARCH AND DEVELOPMENT</t>
  </si>
  <si>
    <t>6735126121</t>
  </si>
  <si>
    <t>KYOCERA CORPORATION</t>
  </si>
  <si>
    <t>6735128090</t>
  </si>
  <si>
    <t>KYOTO UNIVERSITY CENTER FOR IPS CELL RESEARCH AND APPLICATION CIRA</t>
  </si>
  <si>
    <t>6735128091</t>
  </si>
  <si>
    <t>6735128092</t>
  </si>
  <si>
    <t>6735128100</t>
  </si>
  <si>
    <t>SHISEIDO CO LTD RESEARCH CENTER</t>
  </si>
  <si>
    <t>6735128136</t>
  </si>
  <si>
    <t>TOUKYOUJOSHIIKADAIGAKU TOUGOUIKAGAKUKENKYUUJO</t>
  </si>
  <si>
    <t>6735128140</t>
  </si>
  <si>
    <t>FUJIFILM CORPORATION</t>
  </si>
  <si>
    <t>6735135153</t>
  </si>
  <si>
    <t>IS JAPAN CO LTD</t>
  </si>
  <si>
    <t>6735135180</t>
  </si>
  <si>
    <t>NIPPON DENTAL UNIVERSITY</t>
  </si>
  <si>
    <t>6735138177</t>
  </si>
  <si>
    <t>OSAKA UNIVERSITY GRADUATE SCHOOL OF MEDICINE</t>
  </si>
  <si>
    <t>6735138178</t>
  </si>
  <si>
    <t>NAGAOKA UNIVERSITY OF TECHNOLOGY</t>
  </si>
  <si>
    <t>6735138182</t>
  </si>
  <si>
    <t>NIPPON ZOKI PHARMACEUTICAL CO LTD ONO PLANT</t>
  </si>
  <si>
    <t>6735138186</t>
  </si>
  <si>
    <t>6735145204</t>
  </si>
  <si>
    <t>6735145227</t>
  </si>
  <si>
    <t>DOKURITSUGYOUSEIHOUJINRIKAGAKUKENKYUUSHO HOUSHAHIKARIKAGAKUSOUGOUKENKYUUSENTA</t>
  </si>
  <si>
    <t>6735145252</t>
  </si>
  <si>
    <t>CELL SCIENCE AND TECHNOLOGY INSTITUTE INC</t>
  </si>
  <si>
    <t>6735146184</t>
  </si>
  <si>
    <t>MANDOM CORPORATION</t>
  </si>
  <si>
    <t>6735146207</t>
  </si>
  <si>
    <t>ONO PHARMACEUTICAL CO LTD</t>
  </si>
  <si>
    <t>6735146245</t>
  </si>
  <si>
    <t>MITSUBISHI TANABE PHARMA CORPORATION RESEARCH INSTITUTE FOR DRUG DISCOVERY</t>
  </si>
  <si>
    <t>6735148237</t>
  </si>
  <si>
    <t>NATIONAL CANCER CENTER EAST HOSPITAL, NATIONAL RESEARCH AND DEVELOPMENT CORPORATION</t>
  </si>
  <si>
    <t>6735148242</t>
  </si>
  <si>
    <t>HEALIOS K K</t>
  </si>
  <si>
    <t>6735148256</t>
  </si>
  <si>
    <t>GUNMA UNIVERSITY</t>
  </si>
  <si>
    <t>6735148263</t>
  </si>
  <si>
    <t>WETSUS</t>
  </si>
  <si>
    <t>6735148267</t>
  </si>
  <si>
    <t>SAGAKENKOUGYOUGIJUTSUSENTA</t>
  </si>
  <si>
    <t>6735148271</t>
  </si>
  <si>
    <t>NATIONAL CANCER CENTER EAST HOSPITAL</t>
  </si>
  <si>
    <t>72000121508</t>
  </si>
  <si>
    <t>MITSUBISHI TANABE PHARMA CORPORATION DEPARTMENT OF PHARMACOLOGY</t>
  </si>
  <si>
    <t>7200120222</t>
  </si>
  <si>
    <t>SOUKADAIGAKU RIKOGAKUBU</t>
  </si>
  <si>
    <t>7200120227</t>
  </si>
  <si>
    <t>YOKOHAMA CITY UNIVERSITY</t>
  </si>
  <si>
    <t>7200120228</t>
  </si>
  <si>
    <t>RITSUMEIKAN UNIVERSITY</t>
  </si>
  <si>
    <t>7200120259</t>
  </si>
  <si>
    <t>7200120260</t>
  </si>
  <si>
    <t>NAGOYA UNIVERSITY GRADUATE SCHOOL OF MEDICAL SCIENCES</t>
  </si>
  <si>
    <t>7200120268</t>
  </si>
  <si>
    <t>KANSAI MEDICAL UNIVERSITY</t>
  </si>
  <si>
    <t>7200120269</t>
  </si>
  <si>
    <t>TOUKYOUIKASHIKADAIGAKU</t>
  </si>
  <si>
    <t>7200120270</t>
  </si>
  <si>
    <t>7200120271</t>
  </si>
  <si>
    <t>LUMINEX JAPAN CORPORATION LTD</t>
  </si>
  <si>
    <t>7200120275</t>
  </si>
  <si>
    <t>OSAKA UNIVERSITY INSTITUTE OF PROTEIN RESEARCH</t>
  </si>
  <si>
    <t>7200120287</t>
  </si>
  <si>
    <t>NATIONAL INSTITUTE OF GENETICS, INFORMATION AND SYSTEMS RESEARCH ORGANIZATION</t>
  </si>
  <si>
    <t>7200120291</t>
  </si>
  <si>
    <t>SAITAMA CANCER CENTER</t>
  </si>
  <si>
    <t>7200120309</t>
  </si>
  <si>
    <t>OKINAWA INSTITUTE OF SCIENCE AND TECHNOLOGY GRADUATE UNIVERSITY</t>
  </si>
  <si>
    <t>7200120310</t>
  </si>
  <si>
    <t>National Institute of Radiological Sciences (NIRS)</t>
  </si>
  <si>
    <t>7200120363</t>
  </si>
  <si>
    <t>KYOTO UNIVERSITY GRADUATE SCHOOL OF ENGINEERING</t>
  </si>
  <si>
    <t>7200120365</t>
  </si>
  <si>
    <t>UNIVERSITY OF TOYAMA WAKAN PHARMACEUTICAL RESEARCH INSTITUTE</t>
  </si>
  <si>
    <t>7200120366</t>
  </si>
  <si>
    <t>HYOGO COLLEGE OF MEDICINE</t>
  </si>
  <si>
    <t>7200120378</t>
  </si>
  <si>
    <t>7200120379</t>
  </si>
  <si>
    <t>TOHOKU UNIVERSITY INSTITUTE ON AGING</t>
  </si>
  <si>
    <t>7200120380</t>
  </si>
  <si>
    <t>Sysmex Corporation - Japan</t>
  </si>
  <si>
    <t>7200120381</t>
  </si>
  <si>
    <t>UNIVERSITY OF OCCUPATIONAL AND ENVIRONMENTAL HEALTH</t>
  </si>
  <si>
    <t>7200120433</t>
  </si>
  <si>
    <t>RYUUKYUUDAIGAKUDAIGAKUIN IGAKUKENKYUUKA</t>
  </si>
  <si>
    <t>7200120438</t>
  </si>
  <si>
    <t>SHOWA UNIVERSITY SCHOOL OF MEDICINE</t>
  </si>
  <si>
    <t>7200120449</t>
  </si>
  <si>
    <t>IBARAKI PREFECTURAL UNIVERSITY OF HEALTH SCIENCES</t>
  </si>
  <si>
    <t>7200120450</t>
  </si>
  <si>
    <t>7200120505</t>
  </si>
  <si>
    <t>7200120511</t>
  </si>
  <si>
    <t>UNIVERSITY OF MIYAZAKI</t>
  </si>
  <si>
    <t>7200120512</t>
  </si>
  <si>
    <t>YOKOHAMA CITY UNIVERSITY FACULTY OF INTERNATIONAL STUDIES</t>
  </si>
  <si>
    <t>7200120536</t>
  </si>
  <si>
    <t>TOHOKU UNIVERSITY GRADUATE SCHOOL OF AGRICULTURAL SCIENCE - FACULTY OF AGRICULTURE</t>
  </si>
  <si>
    <t>7200120541</t>
  </si>
  <si>
    <t>7200120562</t>
  </si>
  <si>
    <t>TOKUSHIMA UNIVERSITY</t>
  </si>
  <si>
    <t>7200120563</t>
  </si>
  <si>
    <t>7200120564</t>
  </si>
  <si>
    <t>NATIONAL INSTITUTE OF TECHNOLOGY (KOSEN), MIYAKONOJO COLLEGE</t>
  </si>
  <si>
    <t>7200120565</t>
  </si>
  <si>
    <t>NATIONAL CENTER FOR CHILD HEALTH AND DEVELOPMENT</t>
  </si>
  <si>
    <t>7200120568</t>
  </si>
  <si>
    <t>7200120570</t>
  </si>
  <si>
    <t>TOKYO MEDICAL AND DENTAL UNIVERSITY</t>
  </si>
  <si>
    <t>7200120571</t>
  </si>
  <si>
    <t>NAGASAKI UNIVERSITY FACULTY OF DENTISTRY</t>
  </si>
  <si>
    <t>7200120573</t>
  </si>
  <si>
    <t>IWATE MEDICAL UNIVERSITY</t>
  </si>
  <si>
    <t>7200120575</t>
  </si>
  <si>
    <t>YAKULT HONSHA CO LTD</t>
  </si>
  <si>
    <t>7200120576</t>
  </si>
  <si>
    <t>Tohoku Medical and Pharmaceutical University</t>
  </si>
  <si>
    <t>7200120580</t>
  </si>
  <si>
    <t>7200120581</t>
  </si>
  <si>
    <t>HOKURIKUSENTANKAGAKUGIJYUTSUDAIGAKUINDAIGAKU</t>
  </si>
  <si>
    <t>7200120637</t>
  </si>
  <si>
    <t>KINKI UNIVERSITY FACULTY OF MEDICINE</t>
  </si>
  <si>
    <t>7200120638</t>
  </si>
  <si>
    <t>7200120643</t>
  </si>
  <si>
    <t>7200120646</t>
  </si>
  <si>
    <t>7200120812</t>
  </si>
  <si>
    <t>7200120813</t>
  </si>
  <si>
    <t>7200120814</t>
  </si>
  <si>
    <t>KINKI UNIVERSITY FACULTY OF INDUSTRIAL SCIENCE AND ENGINEERING</t>
  </si>
  <si>
    <t>7200120836</t>
  </si>
  <si>
    <t>TOTTORI UNIVERSITY</t>
  </si>
  <si>
    <t>7200120837</t>
  </si>
  <si>
    <t>KINKI UNIVERSITY FACULTY OF AGRICULTURE</t>
  </si>
  <si>
    <t>7200120838</t>
  </si>
  <si>
    <t>KYUSHU UNIVERSITY</t>
  </si>
  <si>
    <t>7200120840</t>
  </si>
  <si>
    <t>TOHOKU MEDICAL AND PHARMACEUTICAL UNIVERSITY DEPARTMENT OF PHARMACY</t>
  </si>
  <si>
    <t>7200120841</t>
  </si>
  <si>
    <t>7200120877</t>
  </si>
  <si>
    <t>NAGOYA UNIVERSITY CELLULAR AND STRUCTURAL PHYSIOLOGY INSTITUTE</t>
  </si>
  <si>
    <t>7200120887</t>
  </si>
  <si>
    <t>HIROSHIMA UNIVERSITY GRADUATE SCHOOL OF BIOMEDICAL AND HEALTH SCIENCES</t>
  </si>
  <si>
    <t>7200120888</t>
  </si>
  <si>
    <t>UNIVERSITY OF TSUKUBA</t>
  </si>
  <si>
    <t>7200120894</t>
  </si>
  <si>
    <t>KANAZAWA MEDICAL UNIVERSITY</t>
  </si>
  <si>
    <t>7200120933</t>
  </si>
  <si>
    <t>7200120934</t>
  </si>
  <si>
    <t>NIPPON VETERNARY AND LIFE SCIENCE UNIVERSITY</t>
  </si>
  <si>
    <t>7200121008</t>
  </si>
  <si>
    <t>7200121010</t>
  </si>
  <si>
    <t>KYOTO SANGYO UNIVERSITY</t>
  </si>
  <si>
    <t>7200121011</t>
  </si>
  <si>
    <t>UNIVERSITY OF TSUKUBA MEDICAL CARE SYSTEM</t>
  </si>
  <si>
    <t>7200121013</t>
  </si>
  <si>
    <t>7200121014</t>
  </si>
  <si>
    <t>KITASATO UNIVERSITY KITASATO INSTITUTE MEDICAL CENTER</t>
  </si>
  <si>
    <t>7200121102</t>
  </si>
  <si>
    <t>7200121103</t>
  </si>
  <si>
    <t>FUJIREBIO</t>
  </si>
  <si>
    <t>7200121104</t>
  </si>
  <si>
    <t>HOSHASEN IGAKU SOGO KENKYUSHO</t>
  </si>
  <si>
    <t>7200121107</t>
  </si>
  <si>
    <t>7200121152</t>
  </si>
  <si>
    <t>TOKYO UNIVERSITY OF AGRICULTURE AND TECHNOLOGY</t>
  </si>
  <si>
    <t>7200121153</t>
  </si>
  <si>
    <t>7200121154</t>
  </si>
  <si>
    <t>JOUSAIDAIGAKU YAKUGAKUBU</t>
  </si>
  <si>
    <t>7200121155</t>
  </si>
  <si>
    <t>7200121156</t>
  </si>
  <si>
    <t>MITSUBISHI TANABE PHARMA CORPORATION RESEARCH SCREENING CENTER</t>
  </si>
  <si>
    <t>7200121157</t>
  </si>
  <si>
    <t>7200121158</t>
  </si>
  <si>
    <t>HIMEJI DOKKYO UNIVERSITY</t>
  </si>
  <si>
    <t>7200121214</t>
  </si>
  <si>
    <t>7200121215</t>
  </si>
  <si>
    <t>7200121217</t>
  </si>
  <si>
    <t>KINKI UNIVERSITY INSTITUTE OF PHARMACEUTICAL SCIENCES</t>
  </si>
  <si>
    <t>7200121223</t>
  </si>
  <si>
    <t>YOKOHAMA UNIVERSITY OF PHARMACY</t>
  </si>
  <si>
    <t>7200121243</t>
  </si>
  <si>
    <t>7200121258</t>
  </si>
  <si>
    <t>SAGA UNIVERSITY</t>
  </si>
  <si>
    <t>7200121259</t>
  </si>
  <si>
    <t>NARAKOUGYOUKOUTOUSENMONGAKKOU</t>
  </si>
  <si>
    <t>7200121260</t>
  </si>
  <si>
    <t>University of Tokyo, School of Medicine</t>
  </si>
  <si>
    <t>7200121261</t>
  </si>
  <si>
    <t>7200121292</t>
  </si>
  <si>
    <t>TAIHO PHARMACEUTICAL COMPANY LTD</t>
  </si>
  <si>
    <t>7200121293</t>
  </si>
  <si>
    <t>OSAKA MEDICAL COLLEGE</t>
  </si>
  <si>
    <t>7200121294</t>
  </si>
  <si>
    <t>MEIJO UNIVERSITY ANALYSIS CENTER</t>
  </si>
  <si>
    <t>7200121330</t>
  </si>
  <si>
    <t>YAMAGUCHI UNIVERSITY</t>
  </si>
  <si>
    <t>7200121331</t>
  </si>
  <si>
    <t>HIROSHIMA UNIVERSITY HOSPITAL</t>
  </si>
  <si>
    <t>7200121332</t>
  </si>
  <si>
    <t>JAPAN BCG LABORATORY KIYOSE PLANT</t>
  </si>
  <si>
    <t>7200121333</t>
  </si>
  <si>
    <t>7200121451</t>
  </si>
  <si>
    <t>7200121452</t>
  </si>
  <si>
    <t>SHOWA UNIVERSITY SCHOOL OF PHARMACY</t>
  </si>
  <si>
    <t>7200121484</t>
  </si>
  <si>
    <t>THE UNIVERSITY OF TOKUSHIMA</t>
  </si>
  <si>
    <t>7200121488</t>
  </si>
  <si>
    <t>TOKYO UNIVERSITY OF SCIENCE</t>
  </si>
  <si>
    <t>7200121510</t>
  </si>
  <si>
    <t>MIE UNIVERSITY GRADUATE SCHOOL OF MEDICINE</t>
  </si>
  <si>
    <t>7200121512</t>
  </si>
  <si>
    <t>7200121517</t>
  </si>
  <si>
    <t>AJINOMOTO CO., INC.</t>
  </si>
  <si>
    <t>7200121518</t>
  </si>
  <si>
    <t>NIHON UNIVERSITY - COLLEGE OF SCIENCE AND TECHNOLOGY</t>
  </si>
  <si>
    <t>7200121531</t>
  </si>
  <si>
    <t>TEIJINKABUSHIKIGAISHA SENTANGIJUTSUKENKYUUJO</t>
  </si>
  <si>
    <t>7200121559</t>
  </si>
  <si>
    <t>UNIVERSITY OF TOKYO HOSPITAL</t>
  </si>
  <si>
    <t>7200121561</t>
  </si>
  <si>
    <t>IWATE UNIVERSITY</t>
  </si>
  <si>
    <t>7200121609</t>
  </si>
  <si>
    <t>GUNMA UNIVERSITY GRADUATE SCHOOL OF SCIENCE AND ENGINEERING</t>
  </si>
  <si>
    <t>7200121610</t>
  </si>
  <si>
    <t>NAGOYA CITY UNIVERSITY</t>
  </si>
  <si>
    <t>7200121611</t>
  </si>
  <si>
    <t>NARA MEDICAL UNIVERSITY</t>
  </si>
  <si>
    <t>7200150259</t>
  </si>
  <si>
    <t>KYORITSU WOMENS UNIVERSITY</t>
  </si>
  <si>
    <t>7200150260</t>
  </si>
  <si>
    <t>University of Osaka</t>
  </si>
  <si>
    <t>7200150261</t>
  </si>
  <si>
    <t>7200150290</t>
  </si>
  <si>
    <t>7200150291</t>
  </si>
  <si>
    <t>KYOTO UNIVERSITY GRADUATE SCHOOL OF PHARMACEUTICAL SCIENCES</t>
  </si>
  <si>
    <t>7200150293</t>
  </si>
  <si>
    <t>KONAN UNIVERSITY FACULTY OF SCIENCE AND ENGINEERING</t>
  </si>
  <si>
    <t>7200150294</t>
  </si>
  <si>
    <t>7200150309</t>
  </si>
  <si>
    <t>NIHONSHIKADAIGAKU SHIGAKUBU</t>
  </si>
  <si>
    <t>7200150310</t>
  </si>
  <si>
    <t>KANSAI MEDICAL UNIVERSITY SCHOOL OF MEDICINE</t>
  </si>
  <si>
    <t>7200150311</t>
  </si>
  <si>
    <t>JUNTENDO UNIVERSITY DEPARTMENT OF SPORTS AND HEALTH SCIENCE</t>
  </si>
  <si>
    <t>7200150312</t>
  </si>
  <si>
    <t>FUJITA HEALTH UNIVERSITY</t>
  </si>
  <si>
    <t>7200150313</t>
  </si>
  <si>
    <t>7200150346</t>
  </si>
  <si>
    <t>SHIMANEDAIGAKU IGAKUBU</t>
  </si>
  <si>
    <t>7200150347</t>
  </si>
  <si>
    <t>UNIVERSITY OF SHIZUOKA</t>
  </si>
  <si>
    <t>7200150350</t>
  </si>
  <si>
    <t>SAPPORO MEDICAL UNIVERSITY INSTITUTE OF FRONTIER MEDICINE</t>
  </si>
  <si>
    <t>7200150377</t>
  </si>
  <si>
    <t>7200150416</t>
  </si>
  <si>
    <t>UNIVERSITY OF TOKYO</t>
  </si>
  <si>
    <t>7200150419</t>
  </si>
  <si>
    <t>7200150421</t>
  </si>
  <si>
    <t>IRYOSIGENKENKYUJOKABUSIKIGAISYA</t>
  </si>
  <si>
    <t>7200150443</t>
  </si>
  <si>
    <t>EHIME UNIVERSITY</t>
  </si>
  <si>
    <t>7200150446</t>
  </si>
  <si>
    <t>7200150454</t>
  </si>
  <si>
    <t>UNIVERSITY OF TOKYO FACULTY OF ENGINEERING</t>
  </si>
  <si>
    <t>7200150455</t>
  </si>
  <si>
    <t>PANASONIC CORPORATION</t>
  </si>
  <si>
    <t>7200150456</t>
  </si>
  <si>
    <t>7200150458</t>
  </si>
  <si>
    <t>7200150469</t>
  </si>
  <si>
    <t>7200150473</t>
  </si>
  <si>
    <t>HOKKAIDO UNIVERSITY</t>
  </si>
  <si>
    <t>7200150474</t>
  </si>
  <si>
    <t>NATIONAL INSTITUTE OF BIOMEDICAL INNOVATION</t>
  </si>
  <si>
    <t>7200150613</t>
  </si>
  <si>
    <t>HOKKAIDO UNIVERSITY NORTHERN BIOSPHERE FIELD SCIENCE CENTER</t>
  </si>
  <si>
    <t>7200150718</t>
  </si>
  <si>
    <t>TAKEDA PHARMACEUTICAL COMPANY LIMITED SHONAN RESEARCH INSTITUTE</t>
  </si>
  <si>
    <t>7200150725</t>
  </si>
  <si>
    <t>KYOTO UNIVERSITY</t>
  </si>
  <si>
    <t>7200150815</t>
  </si>
  <si>
    <t>MIE UNIVERSITY</t>
  </si>
  <si>
    <t>7200150816</t>
  </si>
  <si>
    <t>NIIGATA UNIVERSITY</t>
  </si>
  <si>
    <t>7200150828</t>
  </si>
  <si>
    <t>NAGOYA UNIVERSITY HOSPITAL</t>
  </si>
  <si>
    <t>7200150977</t>
  </si>
  <si>
    <t>7200150989</t>
  </si>
  <si>
    <t>TEIKYO HEISEI UNIVERSITY</t>
  </si>
  <si>
    <t>7200151034</t>
  </si>
  <si>
    <t>P-ONE CLINIC</t>
  </si>
  <si>
    <t>7200151040</t>
  </si>
  <si>
    <t>SAPPORO MEDICAL UNIVERSITY</t>
  </si>
  <si>
    <t>7200151058</t>
  </si>
  <si>
    <t>KOBE PHARMACEUTICAL UNIVERSITY</t>
  </si>
  <si>
    <t>7200151104</t>
  </si>
  <si>
    <t>7200151146</t>
  </si>
  <si>
    <t>7200151147</t>
  </si>
  <si>
    <t>OKAYAMA UNIVERSITY</t>
  </si>
  <si>
    <t>7200151149</t>
  </si>
  <si>
    <t>NIHON NOHYAKU CO., LTD</t>
  </si>
  <si>
    <t>7200151151</t>
  </si>
  <si>
    <t>7200151182</t>
  </si>
  <si>
    <t>KYOTO PREFECTURAL UNIVERSITY</t>
  </si>
  <si>
    <t>7200151186</t>
  </si>
  <si>
    <t>NATIONAL INSTITUTE FOR BASIC BIOLOGY</t>
  </si>
  <si>
    <t>7200151206</t>
  </si>
  <si>
    <t>7200151217</t>
  </si>
  <si>
    <t>7200151236</t>
  </si>
  <si>
    <t>KYOTO PHARMACEUTICAL UNIVERSITY</t>
  </si>
  <si>
    <t>7200151238</t>
  </si>
  <si>
    <t>GIFU PHARMACEUTICAL UNIVERSITY</t>
  </si>
  <si>
    <t>7200151253</t>
  </si>
  <si>
    <t>7500120453</t>
  </si>
  <si>
    <t>8470050171</t>
  </si>
  <si>
    <t>8470050207</t>
  </si>
  <si>
    <t>CHUGAI PHARMACEUTICAL COMPANY LTD</t>
  </si>
  <si>
    <t>8470050247</t>
  </si>
  <si>
    <t>8470050255</t>
  </si>
  <si>
    <t>OSAKA BIO-MEDICAL COLLEGE</t>
  </si>
  <si>
    <t>guava easyCyte 5HT, Full Pack, Obsolete</t>
  </si>
  <si>
    <t>8470050268</t>
  </si>
  <si>
    <t>RIKEN YOKOHAMA RESEARCH INSTITUTE, NATIONAL RESEARCH AND DEVELOPMENT CORPORATION</t>
  </si>
  <si>
    <t>8470050328</t>
  </si>
  <si>
    <t>Manufacturing Technology Association of Biologics</t>
  </si>
  <si>
    <t>8470060148</t>
  </si>
  <si>
    <t>JICHI MEDICAL UNIVERSITY</t>
  </si>
  <si>
    <t>8470060149</t>
  </si>
  <si>
    <t>CARNA BIOSCIENCE INC</t>
  </si>
  <si>
    <t>8470060183</t>
  </si>
  <si>
    <t>FUSO PHARMACEUTICAL INDUSTRIES LTD</t>
  </si>
  <si>
    <t>8470060235</t>
  </si>
  <si>
    <t>8470060271</t>
  </si>
  <si>
    <t>TOKUSHIMA BUNRI UNIVERSITY</t>
  </si>
  <si>
    <t>8470080107</t>
  </si>
  <si>
    <t>KM BIOLOGICS (FRMLY KAKETSUKEN)</t>
  </si>
  <si>
    <t>8470080182</t>
  </si>
  <si>
    <t>KANEKA CORPORATION RESEARCH INSTITUTE FOR REGENERATIVE AND CELLULAR MEDICINE</t>
  </si>
  <si>
    <t>8470120107</t>
  </si>
  <si>
    <t>TOKAI UNIVERSITY NOGAKUBU ASOKYANPASU</t>
  </si>
  <si>
    <t>8470120118</t>
  </si>
  <si>
    <t>NATIONAL INSTITUTES FOR QUANTUM SCIENCE AND TECHNOLOGY</t>
  </si>
  <si>
    <t>8470120120</t>
  </si>
  <si>
    <t>KYOTO BIKEN LABORATORIES INC</t>
  </si>
  <si>
    <t>8470120155</t>
  </si>
  <si>
    <t>CHITOSE LABORATORY CORP KSP LABORATORY</t>
  </si>
  <si>
    <t>8472050101</t>
  </si>
  <si>
    <t>NRI OF AQUACULTUREFISHERIES RESEARCH AND EDUCATION AGENCY</t>
  </si>
  <si>
    <t>8472050110</t>
  </si>
  <si>
    <t>OKAYAMA UNIVERSITY OF SCIENCE FACULTY OF SCIENCE</t>
  </si>
  <si>
    <t>8472050156</t>
  </si>
  <si>
    <t>KYOTO UNIVERSITY RADIATION BIOLOGY RESEARCH CENTER</t>
  </si>
  <si>
    <t>8472050167</t>
  </si>
  <si>
    <t>8472050169</t>
  </si>
  <si>
    <t>MEIJI SEIKA PHARMA CO., LTD.</t>
  </si>
  <si>
    <t>8472050175</t>
  </si>
  <si>
    <t>SAITAMA MEDICAL UNIVERSITY</t>
  </si>
  <si>
    <t>8472050190</t>
  </si>
  <si>
    <t>MEIJI PHARMACEUTICAL UNIVERSITY</t>
  </si>
  <si>
    <t>8472050198</t>
  </si>
  <si>
    <t>8472050199</t>
  </si>
  <si>
    <t>8472050204</t>
  </si>
  <si>
    <t>8472060105</t>
  </si>
  <si>
    <t>KYUSHU UNIVERSITY FACULTY OF SCIENCE</t>
  </si>
  <si>
    <t>8472060119</t>
  </si>
  <si>
    <t>TOKYOKOGYODAIGAKU SHIGENKAGAKUKENKYUSHO</t>
  </si>
  <si>
    <t>8472060132</t>
  </si>
  <si>
    <t>KOBE UNIVERSITY</t>
  </si>
  <si>
    <t>8472060171</t>
  </si>
  <si>
    <t>8472060184</t>
  </si>
  <si>
    <t>8472060202</t>
  </si>
  <si>
    <t>API CO LTD</t>
  </si>
  <si>
    <t>8472060204</t>
  </si>
  <si>
    <t>GIFU UNIVERSITY</t>
  </si>
  <si>
    <t>8472060205</t>
  </si>
  <si>
    <t>YOKOHAMASHIRITSUDAIGAKU IGAKUBU</t>
  </si>
  <si>
    <t>8472060206</t>
  </si>
  <si>
    <t>8472060207</t>
  </si>
  <si>
    <t>JUNTENDO UNIVERSITY</t>
  </si>
  <si>
    <t>8472060208</t>
  </si>
  <si>
    <t>RIKEN BIO RESOURCE CENTER, NATIONAL RESEARCH AND DEVELOPMENT CORPORATION</t>
  </si>
  <si>
    <t>8472060213</t>
  </si>
  <si>
    <t>JAPAN SPORT COUNCIL</t>
  </si>
  <si>
    <t>8472060228</t>
  </si>
  <si>
    <t>NATIONAL CEREBRAL AND CARDIOVASCULAR CENTER RESEARCH INSTITUTE</t>
  </si>
  <si>
    <t>guava easyCyte 6-2L, Full Pack, Obsolete</t>
  </si>
  <si>
    <t>8472060236</t>
  </si>
  <si>
    <t>AERAS BIO - AIR WATER GROUP COMPANY</t>
  </si>
  <si>
    <t>8472060252</t>
  </si>
  <si>
    <t>KANSAI ELECTRIC POWER COMPANY INC</t>
  </si>
  <si>
    <t>8472060257</t>
  </si>
  <si>
    <t>MEDICAL &amp; BIOLOGICAL LABORATORIES COMPANY LTD</t>
  </si>
  <si>
    <t>8472080117</t>
  </si>
  <si>
    <t>TOYO INSTITUTE OF FOOD TECHNOLOGY</t>
  </si>
  <si>
    <t>8472110103</t>
  </si>
  <si>
    <t>8472120123</t>
  </si>
  <si>
    <t>NOZAKI TOKUSHUKAI HOSPITAL</t>
  </si>
  <si>
    <t>8574100102</t>
  </si>
  <si>
    <t>8574140112</t>
  </si>
  <si>
    <t>RIKEN WAKO INSTITUTE</t>
  </si>
  <si>
    <t>8577120108</t>
  </si>
  <si>
    <t>CC446</t>
  </si>
  <si>
    <t>CD017</t>
  </si>
  <si>
    <t>Institute for Integrated Radiation and Nuclear Science, Kyoto University</t>
  </si>
  <si>
    <t>CD222</t>
  </si>
  <si>
    <t>Center for iPS Cell Research and Application, Kyoto University</t>
  </si>
  <si>
    <t>CD258</t>
  </si>
  <si>
    <t>Graduate School of Medicine Faculty of Medicine, Osaka University</t>
  </si>
  <si>
    <t>CellStream Four Laser System AutoSampler, Obsolete</t>
  </si>
  <si>
    <t>CS011</t>
  </si>
  <si>
    <t>CS074</t>
  </si>
  <si>
    <t>MEIJI CO.,LTD</t>
  </si>
  <si>
    <t>CS081</t>
  </si>
  <si>
    <t>ASAHI QUALITY AND INNOVATIONS</t>
  </si>
  <si>
    <t>EC193015C1</t>
  </si>
  <si>
    <t>EC193025C2</t>
  </si>
  <si>
    <t>EC193375E1</t>
  </si>
  <si>
    <t>TOKYO UNIVERSITY OF MARINE SCIENCE AND TECHNOLOGY</t>
  </si>
  <si>
    <t>EC193385D1</t>
  </si>
  <si>
    <t>EC200424A1</t>
  </si>
  <si>
    <t>BML, INC.</t>
  </si>
  <si>
    <t>EC203387C1</t>
  </si>
  <si>
    <t>EC211736A1</t>
  </si>
  <si>
    <t>TAKARA BIO JAPAN</t>
  </si>
  <si>
    <t>EC211736A2</t>
  </si>
  <si>
    <t>EC220597E1</t>
  </si>
  <si>
    <t>FF124</t>
  </si>
  <si>
    <t>Nihon Kayaku Co., Ltd. Pharmaceutical Research Institute</t>
  </si>
  <si>
    <t>FS137</t>
  </si>
  <si>
    <t>FS145</t>
  </si>
  <si>
    <t>THINKCYTE INC</t>
  </si>
  <si>
    <t>FS157</t>
  </si>
  <si>
    <t>KYUSHU UNIVERSITY GRADUATE SCHOOL OF MEDICAL SCIENCES</t>
  </si>
  <si>
    <t>FS170</t>
  </si>
  <si>
    <t>SBI PHARMACEUTICALS CO LTD</t>
  </si>
  <si>
    <t>FS177</t>
  </si>
  <si>
    <t>FS198</t>
  </si>
  <si>
    <t>TOKYO WOMENS MEDICAL UNIVERSITY INSTITUTE OF MEDICAL GENETICS</t>
  </si>
  <si>
    <t>FS200</t>
  </si>
  <si>
    <t>FS203</t>
  </si>
  <si>
    <t>NIIGATA UNIVERSITY GRADUATE SCHOOL OF MEDICAL AND DENTAL SCIENCES</t>
  </si>
  <si>
    <t>FS240</t>
  </si>
  <si>
    <t>FS330</t>
  </si>
  <si>
    <t>GTI-0100082</t>
  </si>
  <si>
    <t>HOKKAIDO UNIVERSITY GRADUATE SCHOOL OF DENTISTRY</t>
  </si>
  <si>
    <t>GTI-0100084</t>
  </si>
  <si>
    <t>OSAKA UNIVERSITY INSTITUTE OF MICROBIAL DISEASES</t>
  </si>
  <si>
    <t>GTI-0200139</t>
  </si>
  <si>
    <t>GTI-0200163</t>
  </si>
  <si>
    <t>GRADUATE SCHOOL OF AGRICULTURAL AND LIFE SCIENCES - UNIVERSITY OF TOKYO</t>
  </si>
  <si>
    <t>GTI-0200248</t>
  </si>
  <si>
    <t>GTI-0200265</t>
  </si>
  <si>
    <t>TOUKYOUSHIKADAIGAKU FUZOKUICHIKAWASOUGOUBYOUIN</t>
  </si>
  <si>
    <t>GTI-0200268</t>
  </si>
  <si>
    <t>OKAYAMA UNIVERSITY GRADUATE SCHOOL OF BIOMEDICAL SCIENCES</t>
  </si>
  <si>
    <t>GTI-0200269</t>
  </si>
  <si>
    <t>ST MARIANNA UNIVERSITY SCHOOL OF MEDICINE</t>
  </si>
  <si>
    <t>GTI-0300329</t>
  </si>
  <si>
    <t>SHINSHU UNIVERSITY GRADUATE SCHOOL OF AGRICULTURAL SCIENCES</t>
  </si>
  <si>
    <t>GTI-0300338</t>
  </si>
  <si>
    <t>GTI-0300347</t>
  </si>
  <si>
    <t>DOSHISHA UNIVERSITY</t>
  </si>
  <si>
    <t>GTI-0300391</t>
  </si>
  <si>
    <t>ASTELLAS RESEARCH TECHNOLOGIES CO LTD</t>
  </si>
  <si>
    <t>GTI-0300399</t>
  </si>
  <si>
    <t>MITSUBISHI TANABE PHARMA CORPORATION - KASHIMA</t>
  </si>
  <si>
    <t>GTI-0300417</t>
  </si>
  <si>
    <t>KEIO UNIVERSITY</t>
  </si>
  <si>
    <t>GTI-0300514</t>
  </si>
  <si>
    <t>FUKUOKA UNIVERSITY</t>
  </si>
  <si>
    <t>GTI-0400440</t>
  </si>
  <si>
    <t>FUJITSUUKABUSHIKIGAISHA</t>
  </si>
  <si>
    <t>GTI-0400441</t>
  </si>
  <si>
    <t>TAKEDA PHARMACEUTICAL COMPANY LIMITED RESEARCH AND DEVELOPMENT</t>
  </si>
  <si>
    <t>GTI-0400443 EXT DUPLICATE</t>
  </si>
  <si>
    <t>KYOTO UNIVERSITY GRADUATE SCHOOL OF AGRICULTURAL SCIENCES</t>
  </si>
  <si>
    <t>GTI-0400444</t>
  </si>
  <si>
    <t>GTI-0400483 EXT DUPLICATE</t>
  </si>
  <si>
    <t>KYUSHU UNIVERSITY FACULTY OF ENGINEERING</t>
  </si>
  <si>
    <t>GTI-0400488</t>
  </si>
  <si>
    <t>RIKEN CENTER FOR INTEGRATIVE MEDICAL SCIENCES</t>
  </si>
  <si>
    <t>GTI-0400532</t>
  </si>
  <si>
    <t>GTI-0400546</t>
  </si>
  <si>
    <t>GTI-0400547</t>
  </si>
  <si>
    <t>OLYMPUS CORPORATION RESEARCH AND DEVELOPMENT CENTER</t>
  </si>
  <si>
    <t>GTI-0500500</t>
  </si>
  <si>
    <t>EISAI CO., LTD.</t>
  </si>
  <si>
    <t>GTI-0500560</t>
  </si>
  <si>
    <t>SUMITOMO DAINIPPON PHARMA COMPANY LTD</t>
  </si>
  <si>
    <t>GTI-0500568</t>
  </si>
  <si>
    <t>UNIVERSITY OF TSUKUBA GRADUATE SCHOOL OF LIFE AND ENVIRONMENTAL SCIENCES</t>
  </si>
  <si>
    <t>GTI-0500570</t>
  </si>
  <si>
    <t>NAGOYA UNIVERSITY INSTITUTE OF ENVIRONMENTAL MEDICINE</t>
  </si>
  <si>
    <t>GTI-0500571</t>
  </si>
  <si>
    <t>SUMITOMO PHARMA CO LTD</t>
  </si>
  <si>
    <t>GTI-0500574</t>
  </si>
  <si>
    <t>KABUSHIKIGAISHAKUROMORISACHI</t>
  </si>
  <si>
    <t>GTI-0500575</t>
  </si>
  <si>
    <t>Daiichi Sankyo Co Ltd - Shinagawa R&amp;D Center</t>
  </si>
  <si>
    <t>GTI-0500579</t>
  </si>
  <si>
    <t>KITAZATOKENKYUUSHO</t>
  </si>
  <si>
    <t>GTI-0500583</t>
  </si>
  <si>
    <t>KOGAKUIN UNIVERSITY</t>
  </si>
  <si>
    <t>GTI-0500585</t>
  </si>
  <si>
    <t>DOKURITSUGYOUSEIHOUJINKOKURITSUGANSENTAKENKYUUJO</t>
  </si>
  <si>
    <t>GTI-0500586</t>
  </si>
  <si>
    <t>GTI-0500594</t>
  </si>
  <si>
    <t>UNIVERSITY OF TOKUSHIMA FACULTY OF ENGINEERING</t>
  </si>
  <si>
    <t>GTI-0600661</t>
  </si>
  <si>
    <t>UNIVERSITY OF TSUKUBA NORTH AFRICA RESEARCH CENTER</t>
  </si>
  <si>
    <t>GTI-0600663</t>
  </si>
  <si>
    <t>NATIONAL INSTITUTE OF HEALTH SCIENCES</t>
  </si>
  <si>
    <t>GTI-0600666</t>
  </si>
  <si>
    <t>KITASATO UNIVERSITY SCHOOL OF MEDICINE</t>
  </si>
  <si>
    <t>GTI-0600667</t>
  </si>
  <si>
    <t>TSURUMI UNIVERSITY - TSURUMI JUNIOR COLLEGE</t>
  </si>
  <si>
    <t>GTI-0600669</t>
  </si>
  <si>
    <t>CHIBA UNIVERSITY</t>
  </si>
  <si>
    <t>GTI-0800351</t>
  </si>
  <si>
    <t>GTI-0900828</t>
  </si>
  <si>
    <t>TOKYO INSTITUTE OF TECHNOLOGY LABORATORY FOR ADVANCED NUCLEAR ENERGY</t>
  </si>
  <si>
    <t>GTI-1000875</t>
  </si>
  <si>
    <t>GTI-1000878</t>
  </si>
  <si>
    <t>TOKYO METROPOLITAN UNIVERSITY</t>
  </si>
  <si>
    <t>GTI-11000897</t>
  </si>
  <si>
    <t>SAN-EI SUCROCHEMICAL CO LTD</t>
  </si>
  <si>
    <t>GTI-1200905</t>
  </si>
  <si>
    <t>OKAYAMADAIGAKU IBUNYAYUUGOUSENTANKENKYUUKOA</t>
  </si>
  <si>
    <t>GTI-2800050101</t>
  </si>
  <si>
    <t>Guava Easycyte Mini Base System Refurbished, Obsolete</t>
  </si>
  <si>
    <t>GTI-2800060116</t>
  </si>
  <si>
    <t>GTI-2800060121</t>
  </si>
  <si>
    <t>GTI-2800060125</t>
  </si>
  <si>
    <t>GTI-2800060126</t>
  </si>
  <si>
    <t>NATIONAL INSTITUTE OF INFECTIOUS DISEASES</t>
  </si>
  <si>
    <t>GTI-2800060127</t>
  </si>
  <si>
    <t>GTI-2800060128</t>
  </si>
  <si>
    <t>JIKEI UNIVERSITY</t>
  </si>
  <si>
    <t>GTI-2800060130</t>
  </si>
  <si>
    <t>NATIONAL HOSPITAL ORGANIZATION MURAYAMA MEDICAL CENTER</t>
  </si>
  <si>
    <t>GTI-2800060131</t>
  </si>
  <si>
    <t>DOKKYO MEDICAL UNIVERSITY</t>
  </si>
  <si>
    <t>GTI-2800060132</t>
  </si>
  <si>
    <t>UNIVERSITY OF TOKYO GRADUATE SCHOOL OF FRONTIER SCIENCES</t>
  </si>
  <si>
    <t>GTI-2800060133</t>
  </si>
  <si>
    <t>NIKON CORPORATION</t>
  </si>
  <si>
    <t>GTI-2800060134</t>
  </si>
  <si>
    <t>GTI-2800060136</t>
  </si>
  <si>
    <t>GTI-2800060158</t>
  </si>
  <si>
    <t>UNIVERSITY OF TSUKUBA, RESEARCH CENTER FOR ENERGY MATERIALS SCIENCE</t>
  </si>
  <si>
    <t>GTI-2800060159</t>
  </si>
  <si>
    <t>STEMCELL LABORATORIES INC</t>
  </si>
  <si>
    <t>GTI-2800080246</t>
  </si>
  <si>
    <t>AICHI GAKUIN UNIVERSITY</t>
  </si>
  <si>
    <t>GTI-2800080254</t>
  </si>
  <si>
    <t>GTI-2800090259</t>
  </si>
  <si>
    <t>TOKYO WOMENS MEDICAL UNIVERSITY</t>
  </si>
  <si>
    <t>GTI-2800090269</t>
  </si>
  <si>
    <t>GTI-2800090272</t>
  </si>
  <si>
    <t>GTI-2800090280</t>
  </si>
  <si>
    <t>DNA CHIP RESEARCH INC</t>
  </si>
  <si>
    <t>GTI-2800090283</t>
  </si>
  <si>
    <t>KYOTO UNIVERSITY INSTITUTE OF VIRAL AND REGENERATIVE MEDICINE</t>
  </si>
  <si>
    <t>GTI-2800090284</t>
  </si>
  <si>
    <t>GTI-2800090286</t>
  </si>
  <si>
    <t>KUMAMOTO UNIVERSITY</t>
  </si>
  <si>
    <t>GTI-2800100297</t>
  </si>
  <si>
    <t>NIIGATA UNIVERSITY OF LIFE AND DENTISTRY</t>
  </si>
  <si>
    <t>GTI-2800100298</t>
  </si>
  <si>
    <t>GTI-2800100299</t>
  </si>
  <si>
    <t>THE INSTITUTE OF ENVIRONMENTAL TOXICOLOGY</t>
  </si>
  <si>
    <t>GTI-2800100300</t>
  </si>
  <si>
    <t>GTI-2800100301</t>
  </si>
  <si>
    <t>GTI-3630060105</t>
  </si>
  <si>
    <t>GTI-3630060106</t>
  </si>
  <si>
    <t>KYOTO PREFECTURAL UNIVERSITY OF MEDICINE</t>
  </si>
  <si>
    <t>GTI-3630060111</t>
  </si>
  <si>
    <t>KYOWA KIRIN CO., LTD.</t>
  </si>
  <si>
    <t>GTI-3630060115</t>
  </si>
  <si>
    <t>TAKEDA PHARMACEUTICAL COMPANY LTD</t>
  </si>
  <si>
    <t>GTI-3630060119</t>
  </si>
  <si>
    <t>GTI-3630060130</t>
  </si>
  <si>
    <t>NIPPON MEDICAL SCHOOL</t>
  </si>
  <si>
    <t>GTI-3630070139</t>
  </si>
  <si>
    <t>KISSEI PHARMACEUTICAL CO., LTD.</t>
  </si>
  <si>
    <t>GTI-3630070140</t>
  </si>
  <si>
    <t>GTI-3630070151</t>
  </si>
  <si>
    <t>GTI-3630070167</t>
  </si>
  <si>
    <t>KITASATO UNIVERSITY</t>
  </si>
  <si>
    <t>GTI-3630070168</t>
  </si>
  <si>
    <t>GTI-3630070210</t>
  </si>
  <si>
    <t>GTI-3630070213</t>
  </si>
  <si>
    <t>GTI-3630070237</t>
  </si>
  <si>
    <t>GTI-3630070241</t>
  </si>
  <si>
    <t>UNIVERSITY OF NAGASAKI, SIEBOLD CAMPUS</t>
  </si>
  <si>
    <t>GTI-3630080263</t>
  </si>
  <si>
    <t>GTI-3630080295</t>
  </si>
  <si>
    <t>KYOWA HAKKO KIRIN CO LTD FUJI RESEARCH PARK CMC RESEARCH CENTER</t>
  </si>
  <si>
    <t>GTI-3630080341</t>
  </si>
  <si>
    <t>MOCHIDA PHARMACEUTICAL CO., LTD.</t>
  </si>
  <si>
    <t>GTI-3630080359</t>
  </si>
  <si>
    <t>GTI3630080369</t>
  </si>
  <si>
    <t>GTI-3630090396</t>
  </si>
  <si>
    <t>GTI-3630090410</t>
  </si>
  <si>
    <t>DAIICHI-SANKYO COMPANY LTD</t>
  </si>
  <si>
    <t>GTI-3630090418</t>
  </si>
  <si>
    <t>UNIVERSITY OF TOKYO ADVANCED SCIENCE AND TECHNOLOGY RESEARCH CENTER</t>
  </si>
  <si>
    <t>GTI-3630090425</t>
  </si>
  <si>
    <t>KYOTO INSTITUTE OF TECHNOLOGY</t>
  </si>
  <si>
    <t>GTI-3630090432</t>
  </si>
  <si>
    <t>GTI-3630090435</t>
  </si>
  <si>
    <t>BIO MEDICS JAPAN, INC.</t>
  </si>
  <si>
    <t>GTI-3630090437</t>
  </si>
  <si>
    <t>GTI-3630100442</t>
  </si>
  <si>
    <t>GTI-3630100443</t>
  </si>
  <si>
    <t>GTI-3630100446</t>
  </si>
  <si>
    <t>GTI-5430090133</t>
  </si>
  <si>
    <t>TOUKYOUKOUGYOUDAIGAKU</t>
  </si>
  <si>
    <t>GTI-5430090139</t>
  </si>
  <si>
    <t>CHUGAI PHARMACEUTICAL CO LTD KAMAKURA RESEARCH INSTITUTE</t>
  </si>
  <si>
    <t>GTI-5430090148</t>
  </si>
  <si>
    <t>ENVIRONMENTAL RESEARCH CENTER, NATIONAL INSTITUTE FOR ENVIRONMENTAL STUDIES</t>
  </si>
  <si>
    <t>GTI-5430090151</t>
  </si>
  <si>
    <t>KAGOSHIMA UNIVERSITY GRADUATE SCHOOL OF AGRICULTURAL SCIENCES</t>
  </si>
  <si>
    <t>GTI-5430090152</t>
  </si>
  <si>
    <t>JAPAN BIOLOGICAL INFORMATICS CONSORTIUM</t>
  </si>
  <si>
    <t>GTI-5430090153</t>
  </si>
  <si>
    <t>KUMAMOTO UNIVERSITY CENTER FOR AIDS STUDIES</t>
  </si>
  <si>
    <t>GTI-5430100167</t>
  </si>
  <si>
    <t>GTI-5430100170 EXT DUPLICATE</t>
  </si>
  <si>
    <t>Nippon Boehringer Ingelheim Co., Ltd - Kobe Pharma Research Institute (KPRI)</t>
  </si>
  <si>
    <t>GTI-5430100172</t>
  </si>
  <si>
    <t>OOSAKADAIGAKU SANGYOUKAGAKUKENKYUUJO</t>
  </si>
  <si>
    <t>GTI-5430100173</t>
  </si>
  <si>
    <t>OSAKA UNIVERSITY GRADUATE SCHOOL AND SCHOOL OF PHARMACEUTICAL SCIENCES</t>
  </si>
  <si>
    <t>GTI-5430100199</t>
  </si>
  <si>
    <t>KEIOUGIJUKUDAIGAKU SENDOUKEN GSPSENTA</t>
  </si>
  <si>
    <t>GTI-5430100201</t>
  </si>
  <si>
    <t>SAWAI PHARMACEUTICAL CO LTD RESEARCH LABOARATORIES</t>
  </si>
  <si>
    <t>GTI-5430100219</t>
  </si>
  <si>
    <t>GTI-5580100116</t>
  </si>
  <si>
    <t>GTI-5580100130</t>
  </si>
  <si>
    <t>KOBE UNIVERSITY GRADUATE SCHOOL OF ENGINEERING</t>
  </si>
  <si>
    <t>GTI-5580100138</t>
  </si>
  <si>
    <t>GTI-5580106115</t>
  </si>
  <si>
    <t>HIROSHIMA UNIVERSITY GRADUATE SCHOOL OF BIOSPHERE SCIENCE</t>
  </si>
  <si>
    <t>GTI-5580106121</t>
  </si>
  <si>
    <t>TOKUSHIMA BUNRI UNIVERSITY DEPARTMENT OF PHARMACY</t>
  </si>
  <si>
    <t>GTI-620125070</t>
  </si>
  <si>
    <t>KABUSHIKIKAISHASAISEIIRYOUKENKYUUJO</t>
  </si>
  <si>
    <t>GTI-6620105009</t>
  </si>
  <si>
    <t>GTI-6620106008</t>
  </si>
  <si>
    <t>GTI-66201105054</t>
  </si>
  <si>
    <t>OOSAKAKOUGYOUDAIGAKU KOUGAKUBU</t>
  </si>
  <si>
    <t>GTI-6620115016</t>
  </si>
  <si>
    <t>TOYAMA PREFECTURAL UNIVERSITY</t>
  </si>
  <si>
    <t>GTI-6620115019</t>
  </si>
  <si>
    <t>GTI-6620115023</t>
  </si>
  <si>
    <t>NIIGATA UNIVERSITY BRAIN RESEARCH INSTITUTE</t>
  </si>
  <si>
    <t>GTI-6620115030</t>
  </si>
  <si>
    <t>GTI-6620115037</t>
  </si>
  <si>
    <t>GTI-6620115045</t>
  </si>
  <si>
    <t>GTI-6620116022</t>
  </si>
  <si>
    <t>NATIONAL HOSPITAL ORGANIZATION CLINICAL RESEARCH CENTER SAGAMIHARA HOSPITAL</t>
  </si>
  <si>
    <t>GTI-6620116033</t>
  </si>
  <si>
    <t>FOUNDATION FOR ADVANCEMENT OF INTERNATIONAL SCIENCE (FAIS)</t>
  </si>
  <si>
    <t>GTI-6620116034</t>
  </si>
  <si>
    <t>PREFECTURAL UNIVERSITY OF HIROSHIMA</t>
  </si>
  <si>
    <t>GTI-6620116039</t>
  </si>
  <si>
    <t>West Japan Agricultural Research Center (WARC)</t>
  </si>
  <si>
    <t>GTI-6620118009</t>
  </si>
  <si>
    <t>Merck KGaA - Merck Ltd Japan</t>
  </si>
  <si>
    <t>GTI-6620126047</t>
  </si>
  <si>
    <t>UNIVERSITY OF TOKUSHIMA SCHOOL OF MEDICINE</t>
  </si>
  <si>
    <t>GTI-6735106004</t>
  </si>
  <si>
    <t>GTI-6735108003</t>
  </si>
  <si>
    <t>GTI-6735115012</t>
  </si>
  <si>
    <t>GTI-6735115026</t>
  </si>
  <si>
    <t>GTI-6735115070</t>
  </si>
  <si>
    <t>GTI-6735115071</t>
  </si>
  <si>
    <t>L ANIMAL HOSPITAL</t>
  </si>
  <si>
    <t>GTI-6735116010</t>
  </si>
  <si>
    <t>KANAZAWA UNIVERSITY</t>
  </si>
  <si>
    <t>GTI-6735116032</t>
  </si>
  <si>
    <t>ZENNOUSHIRYOUCHIKUSANCHUUOUKENKYUUSHO</t>
  </si>
  <si>
    <t>GTI-6735118037</t>
  </si>
  <si>
    <t>OSAKA UNIVERSITY FACULTY OF ENGINEERING</t>
  </si>
  <si>
    <t>GTI-6735118054</t>
  </si>
  <si>
    <t>GTI-6735118055</t>
  </si>
  <si>
    <t>GTI-6735125085</t>
  </si>
  <si>
    <t>NAGOYA CITY UNIVERSITY GRADUATE SCHOOL OF NATURAL SCIENCE AND TECHNOLOGY</t>
  </si>
  <si>
    <t>GTI-6935128089</t>
  </si>
  <si>
    <t>GTI-96-1060466</t>
  </si>
  <si>
    <t>GTI-96-3-040345</t>
  </si>
  <si>
    <t>GTI-96-3-040346</t>
  </si>
  <si>
    <t>GTI-96-3-080378</t>
  </si>
  <si>
    <t>GTI-96-3080384</t>
  </si>
  <si>
    <t>NATIONAL INSTITUE OF TECHNOLOGY AND EVALUATION</t>
  </si>
  <si>
    <t>GTI-96-3-080385</t>
  </si>
  <si>
    <t>GTI-96-3-120292</t>
  </si>
  <si>
    <t>NATIONAL HOSPITAL ORGANIZATION KINKI CHUO CHEST MEDICAL CENTER</t>
  </si>
  <si>
    <t>GTI-96-4060463</t>
  </si>
  <si>
    <t>GTI-96-4060464</t>
  </si>
  <si>
    <t>GTI-96-4070486</t>
  </si>
  <si>
    <t>GTI-96-4-090396</t>
  </si>
  <si>
    <t>KURUME UNIVERSITY</t>
  </si>
  <si>
    <t>GTI-96-4090399</t>
  </si>
  <si>
    <t>GTI-96-4-090514</t>
  </si>
  <si>
    <t>GTI-96-4-100400</t>
  </si>
  <si>
    <t>ISX109</t>
  </si>
  <si>
    <t>KOHNODAI HOSPITAL, NATIONAL CENTER FOR GLOBAL HEALTH AND MEDICINE</t>
  </si>
  <si>
    <t>ISX202</t>
  </si>
  <si>
    <t>ISX308</t>
  </si>
  <si>
    <t>ISX309</t>
  </si>
  <si>
    <t>KANSAI MEDICAL UNIVERSITY INSTITUTE OF BIOMEDICAL SCIENCE</t>
  </si>
  <si>
    <t>ISX352</t>
  </si>
  <si>
    <t>UNIVERSITY OF TSUKUBA IMMUNOLOGY LAB</t>
  </si>
  <si>
    <t>ISX356</t>
  </si>
  <si>
    <t>ISX365</t>
  </si>
  <si>
    <t>ISX372</t>
  </si>
  <si>
    <t>ISX381</t>
  </si>
  <si>
    <t>ISX383</t>
  </si>
  <si>
    <t>ISX398</t>
  </si>
  <si>
    <t>PUBLIC UNIVERSITY CORPORATION FUKUSHIMA MEDICAL UNIVERSITY</t>
  </si>
  <si>
    <t>ISX402</t>
  </si>
  <si>
    <t>ISX408</t>
  </si>
  <si>
    <t>ISX416</t>
  </si>
  <si>
    <t>ISX428</t>
  </si>
  <si>
    <t>ISX439</t>
  </si>
  <si>
    <t>ISX463</t>
  </si>
  <si>
    <t>ISX467</t>
  </si>
  <si>
    <t>ISX473</t>
  </si>
  <si>
    <t>NATIONAL INSTITUTE OF INFECTIOUS DISEASES MURAYAMA GOVERNMENT OFFICE</t>
  </si>
  <si>
    <t>ISX509</t>
  </si>
  <si>
    <t>ISX517</t>
  </si>
  <si>
    <t>NAGASAKIDAIGAKU SHIGAKUBUFUZOKUBYOUIN</t>
  </si>
  <si>
    <t>ISX559</t>
  </si>
  <si>
    <t>ISX588</t>
  </si>
  <si>
    <t>ISX619</t>
  </si>
  <si>
    <t>ISX657</t>
  </si>
  <si>
    <t>ISX696</t>
  </si>
  <si>
    <t>NAGASAKI UNIVERSITY</t>
  </si>
  <si>
    <t>MI-1000 System, INACTIVE</t>
  </si>
  <si>
    <t>MI101</t>
  </si>
  <si>
    <t>MI103</t>
  </si>
  <si>
    <t>MI104</t>
  </si>
  <si>
    <t>MI107</t>
  </si>
  <si>
    <t>MI111</t>
  </si>
  <si>
    <t>INSTITUTE OF MEDICAL SCIENCE UNIVERSITY OF TOKYO</t>
  </si>
  <si>
    <t>MI113</t>
  </si>
  <si>
    <t>MI114</t>
  </si>
  <si>
    <t>MI115</t>
  </si>
  <si>
    <t>MI116</t>
  </si>
  <si>
    <t>MU20132002</t>
  </si>
  <si>
    <t>LION CORPORATION</t>
  </si>
  <si>
    <t>MU20241001</t>
  </si>
  <si>
    <t>MU20317002</t>
  </si>
  <si>
    <t>Osaka International Cancer Institute</t>
  </si>
  <si>
    <t>MU20345001</t>
  </si>
  <si>
    <t>FUKUSHIMA MEDICAL UNIVERSITY</t>
  </si>
  <si>
    <t>MU20345002</t>
  </si>
  <si>
    <t>MU20346001</t>
  </si>
  <si>
    <t>MU20364001</t>
  </si>
  <si>
    <t>MU21014002</t>
  </si>
  <si>
    <t>MU21015002</t>
  </si>
  <si>
    <t>MU21022001</t>
  </si>
  <si>
    <t>MU21035001</t>
  </si>
  <si>
    <t>MU21217001</t>
  </si>
  <si>
    <t>Revvity - Japan</t>
  </si>
  <si>
    <t>MU21217002</t>
  </si>
  <si>
    <t>MU21225001</t>
  </si>
  <si>
    <t>MU21225002</t>
  </si>
  <si>
    <t>MU21293001</t>
  </si>
  <si>
    <t>MU21293002</t>
  </si>
  <si>
    <t>ALP INC</t>
  </si>
  <si>
    <t>MU22025002</t>
  </si>
  <si>
    <t>MU22026001</t>
  </si>
  <si>
    <t>MU22027001</t>
  </si>
  <si>
    <t>SAITAMA MEDICAL UNIVERSITY INTERNATIONAL MEDICAL CENTER</t>
  </si>
  <si>
    <t>MU22052001</t>
  </si>
  <si>
    <t>N0693</t>
  </si>
  <si>
    <t>N0702</t>
  </si>
  <si>
    <t>NM1193</t>
  </si>
  <si>
    <t>Kumamoto University</t>
  </si>
  <si>
    <t>N0629</t>
  </si>
  <si>
    <t>00031769</t>
  </si>
  <si>
    <t>N0648</t>
  </si>
  <si>
    <t>00036568</t>
  </si>
  <si>
    <t>NM1290</t>
  </si>
  <si>
    <t>00033944</t>
  </si>
  <si>
    <t>U0432</t>
  </si>
  <si>
    <t>00036262</t>
  </si>
  <si>
    <t>IQVIA Laboratories Japan KK</t>
  </si>
  <si>
    <t>U0441</t>
  </si>
  <si>
    <t>00036263</t>
  </si>
  <si>
    <t>Y0498</t>
  </si>
  <si>
    <t>00034463</t>
  </si>
  <si>
    <t>Astellas Pharma Inc. Pharmacokinetic Research Institute</t>
  </si>
  <si>
    <t>EC203536A1</t>
  </si>
  <si>
    <t>00032474</t>
  </si>
  <si>
    <t>SRL INC</t>
  </si>
  <si>
    <t>EC210896A1</t>
  </si>
  <si>
    <t>00032475</t>
  </si>
  <si>
    <t>EC211126K1</t>
  </si>
  <si>
    <t>00032478</t>
  </si>
  <si>
    <t>EC211406K1</t>
  </si>
  <si>
    <t>00032476</t>
  </si>
  <si>
    <t>EC211406K2</t>
  </si>
  <si>
    <t>00032477</t>
  </si>
  <si>
    <t>EC211446K2</t>
  </si>
  <si>
    <t>00032482</t>
  </si>
  <si>
    <t>LSI MEDIENCE CORPORATION (FRMLY MITSUBISHI CHEMICAL MEDIENCE CORPORATION)</t>
  </si>
  <si>
    <t>EC212646A1</t>
  </si>
  <si>
    <t>00032480</t>
  </si>
  <si>
    <t>EC212666A1</t>
  </si>
  <si>
    <t>00032479</t>
  </si>
  <si>
    <t>EC212676A1</t>
  </si>
  <si>
    <t>00032481</t>
  </si>
  <si>
    <t>ISX330</t>
  </si>
  <si>
    <t>00036300</t>
  </si>
  <si>
    <t>Japan Tobacco Inc</t>
  </si>
  <si>
    <t>ISX377</t>
  </si>
  <si>
    <t>00036742</t>
  </si>
  <si>
    <t>R0075</t>
  </si>
  <si>
    <t>00012076</t>
  </si>
  <si>
    <t>U1252</t>
  </si>
  <si>
    <t>00033284</t>
  </si>
  <si>
    <t>CD024</t>
  </si>
  <si>
    <t>00013115</t>
  </si>
  <si>
    <t>CD230</t>
  </si>
  <si>
    <t>00014216</t>
  </si>
  <si>
    <t>EC222516D1</t>
  </si>
  <si>
    <t>00025360</t>
  </si>
  <si>
    <t>EC231727C1</t>
  </si>
  <si>
    <t>00030971</t>
  </si>
  <si>
    <t>EC232516A4</t>
  </si>
  <si>
    <t>00032501</t>
  </si>
  <si>
    <t>EC232616D1</t>
  </si>
  <si>
    <t>00032539</t>
  </si>
  <si>
    <t>MU22144001</t>
  </si>
  <si>
    <t>00022036</t>
  </si>
  <si>
    <t>MU22208001</t>
  </si>
  <si>
    <t>00022050</t>
  </si>
  <si>
    <t>Kobe Women's University</t>
  </si>
  <si>
    <t>MU22210001</t>
  </si>
  <si>
    <t>00022049</t>
  </si>
  <si>
    <t>MU22257001</t>
  </si>
  <si>
    <t>00022051</t>
  </si>
  <si>
    <t>National Institutes of Biomedical Innovation</t>
  </si>
  <si>
    <t>MU22270002</t>
  </si>
  <si>
    <t>00022057</t>
  </si>
  <si>
    <t>MU23041002</t>
  </si>
  <si>
    <t>00017611</t>
  </si>
  <si>
    <t>MU23048001</t>
  </si>
  <si>
    <t>00017612</t>
  </si>
  <si>
    <t>NM1148</t>
  </si>
  <si>
    <t>00032198</t>
  </si>
  <si>
    <t>NM1154</t>
  </si>
  <si>
    <t>00017330</t>
  </si>
  <si>
    <t>NM1167</t>
  </si>
  <si>
    <t>00032199</t>
  </si>
  <si>
    <t>NM1302</t>
  </si>
  <si>
    <t>00017678</t>
  </si>
  <si>
    <t>NM1409</t>
  </si>
  <si>
    <t>00031376</t>
  </si>
  <si>
    <t>NM1437</t>
  </si>
  <si>
    <t>00017679</t>
  </si>
  <si>
    <t>S0155</t>
  </si>
  <si>
    <t>00016654</t>
  </si>
  <si>
    <t>S0217</t>
  </si>
  <si>
    <t>00030429</t>
  </si>
  <si>
    <t>Keio University School of Medicine</t>
  </si>
  <si>
    <t>S0248</t>
  </si>
  <si>
    <t>00031340</t>
  </si>
  <si>
    <t>S0272</t>
  </si>
  <si>
    <t>00032201</t>
  </si>
  <si>
    <t>S0284</t>
  </si>
  <si>
    <t>00032373</t>
  </si>
  <si>
    <t>S0325</t>
  </si>
  <si>
    <t>00034135</t>
  </si>
  <si>
    <t>S0333</t>
  </si>
  <si>
    <t>00034132</t>
  </si>
  <si>
    <t>S0334</t>
  </si>
  <si>
    <t>00034133</t>
  </si>
  <si>
    <t>U0233</t>
  </si>
  <si>
    <t>00011792</t>
  </si>
  <si>
    <t>U0414</t>
  </si>
  <si>
    <t>00012579</t>
  </si>
  <si>
    <t>Graduate School of Medicine and Faculty of Medicine, Kyoto University</t>
  </si>
  <si>
    <t>Y1559</t>
  </si>
  <si>
    <t>00032720</t>
  </si>
  <si>
    <t>CC409</t>
  </si>
  <si>
    <t>JP</t>
  </si>
  <si>
    <t>7200150633</t>
  </si>
  <si>
    <t>Nazarbayev University</t>
  </si>
  <si>
    <t>Kazakhstan</t>
  </si>
  <si>
    <t>CS042</t>
  </si>
  <si>
    <t>ISX519</t>
  </si>
  <si>
    <t>ISX 519</t>
  </si>
  <si>
    <t>E222176H1</t>
  </si>
  <si>
    <t>00017789</t>
  </si>
  <si>
    <t>KAPPA BIO</t>
  </si>
  <si>
    <t>7200151254</t>
  </si>
  <si>
    <t>SCITECH DIAGNOSTICS LTD</t>
  </si>
  <si>
    <t>Kenya</t>
  </si>
  <si>
    <t>7200151257</t>
  </si>
  <si>
    <t>CD021</t>
  </si>
  <si>
    <t>Korea</t>
  </si>
  <si>
    <t>CD178</t>
  </si>
  <si>
    <t>00013669</t>
  </si>
  <si>
    <t>N0590</t>
  </si>
  <si>
    <t>00013667</t>
  </si>
  <si>
    <t>N0598</t>
  </si>
  <si>
    <t>00014215</t>
  </si>
  <si>
    <t>N0695</t>
  </si>
  <si>
    <t>00014209</t>
  </si>
  <si>
    <t>R0644</t>
  </si>
  <si>
    <t>00014213</t>
  </si>
  <si>
    <t>R0799</t>
  </si>
  <si>
    <t>00014217</t>
  </si>
  <si>
    <t>Korea, Republic</t>
  </si>
  <si>
    <t>7200121183</t>
  </si>
  <si>
    <t>KOREA RESEARCH INSTITUTE OF CHEMICAL TECHNOLOGY</t>
  </si>
  <si>
    <t>Korea, Republic of</t>
  </si>
  <si>
    <t>7200150388</t>
  </si>
  <si>
    <t>SEOUL NATIONAL UNIVERSITY</t>
  </si>
  <si>
    <t>7200150430</t>
  </si>
  <si>
    <t>7200150459</t>
  </si>
  <si>
    <t>7200150460</t>
  </si>
  <si>
    <t>7200150609</t>
  </si>
  <si>
    <t>KONYANG UNIVERSITY</t>
  </si>
  <si>
    <t>7200150905</t>
  </si>
  <si>
    <t>PUKYONG NATIONAL UNIVERSITY</t>
  </si>
  <si>
    <t>7200151199</t>
  </si>
  <si>
    <t>7200151203</t>
  </si>
  <si>
    <t>7200151205</t>
  </si>
  <si>
    <t>7200151227</t>
  </si>
  <si>
    <t>7200151231</t>
  </si>
  <si>
    <t>7200151258</t>
  </si>
  <si>
    <t>8470050165</t>
  </si>
  <si>
    <t>BIFIDO (GYEONGGI)</t>
  </si>
  <si>
    <t>8470050179</t>
  </si>
  <si>
    <t>CKD BIO</t>
  </si>
  <si>
    <t>8470050217</t>
  </si>
  <si>
    <t>NEURACLE SCIENCE</t>
  </si>
  <si>
    <t>8470050228</t>
  </si>
  <si>
    <t>BIFIDO</t>
  </si>
  <si>
    <t>8470050258</t>
  </si>
  <si>
    <t>SEEGENE MEDICAL FOUNDATION</t>
  </si>
  <si>
    <t>8470050260</t>
  </si>
  <si>
    <t>GREEN CROSS</t>
  </si>
  <si>
    <t>8470050269</t>
  </si>
  <si>
    <t>YUHAN PHARM LAB</t>
  </si>
  <si>
    <t>8470060108</t>
  </si>
  <si>
    <t>INJE UNIVERSITY COLLEGE OF MEDICINE</t>
  </si>
  <si>
    <t>8470060191</t>
  </si>
  <si>
    <t>ILSONG LS</t>
  </si>
  <si>
    <t>8470060214</t>
  </si>
  <si>
    <t>CHOSUN UNIVERSITY HOSPITAL</t>
  </si>
  <si>
    <t>8470060220</t>
  </si>
  <si>
    <t>SAMSUNG MEDICAL CENTER</t>
  </si>
  <si>
    <t>8470130104</t>
  </si>
  <si>
    <t>CJ HEALTHCARE</t>
  </si>
  <si>
    <t>8470130159</t>
  </si>
  <si>
    <t>NADIANBIO Ltd</t>
  </si>
  <si>
    <t>8472050135</t>
  </si>
  <si>
    <t>KWANDONG UNIVERSITY</t>
  </si>
  <si>
    <t>8472050196</t>
  </si>
  <si>
    <t>8472050219</t>
  </si>
  <si>
    <t>HAENAM AGRICUTURAL TECHNOLOGY CENTER</t>
  </si>
  <si>
    <t>8472060165</t>
  </si>
  <si>
    <t>KOREA UNIVERSITY</t>
  </si>
  <si>
    <t>8472060200</t>
  </si>
  <si>
    <t>SEVERANCE HOSPITAL YONSEI UNIVERSITY COLLEGE OF MEDICINE</t>
  </si>
  <si>
    <t>8472060238</t>
  </si>
  <si>
    <t>ARIBIO COMPANY LTD</t>
  </si>
  <si>
    <t>8472080116</t>
  </si>
  <si>
    <t>AHNGOOK PHARM. CO., LTD</t>
  </si>
  <si>
    <t>8472120111</t>
  </si>
  <si>
    <t>KONKUK UNIVERSITY</t>
  </si>
  <si>
    <t>8574140113</t>
  </si>
  <si>
    <t>CHUNGBUK UNIVERSITY COLLEGE OF PHARMACY</t>
  </si>
  <si>
    <t>8575100101</t>
  </si>
  <si>
    <t>CHUNG-ANG UNIVERSITY</t>
  </si>
  <si>
    <t>8577120104</t>
  </si>
  <si>
    <t>EC202026C2</t>
  </si>
  <si>
    <t>EC203156A2</t>
  </si>
  <si>
    <t>EC203387C2</t>
  </si>
  <si>
    <t>EC211736D1</t>
  </si>
  <si>
    <t>EC211896H1</t>
  </si>
  <si>
    <t>EC212166A1</t>
  </si>
  <si>
    <t>FG022</t>
  </si>
  <si>
    <t>ISX152</t>
  </si>
  <si>
    <t>KOREA RESEARCH INSTITUTE OF BIOSCIENCE AND BIOTECH (KRIBB)</t>
  </si>
  <si>
    <t>ISX666</t>
  </si>
  <si>
    <t>MU19302007</t>
  </si>
  <si>
    <t>MU20036002</t>
  </si>
  <si>
    <t>MU20044001</t>
  </si>
  <si>
    <t>MU20233001</t>
  </si>
  <si>
    <t>MU20233002</t>
  </si>
  <si>
    <t>MU20234001</t>
  </si>
  <si>
    <t>MU20252001</t>
  </si>
  <si>
    <t>MU20268003</t>
  </si>
  <si>
    <t>MU20293001</t>
  </si>
  <si>
    <t>MU20307001</t>
  </si>
  <si>
    <t>MU20311001</t>
  </si>
  <si>
    <t>CD254</t>
  </si>
  <si>
    <t>00014211</t>
  </si>
  <si>
    <t>EC231096A1</t>
  </si>
  <si>
    <t>00017848</t>
  </si>
  <si>
    <t>MU23074003</t>
  </si>
  <si>
    <t>00017845</t>
  </si>
  <si>
    <t>MU23075002</t>
  </si>
  <si>
    <t>00017847</t>
  </si>
  <si>
    <t>MU23086003</t>
  </si>
  <si>
    <t>00017846</t>
  </si>
  <si>
    <t>MU23086006</t>
  </si>
  <si>
    <t>00017843</t>
  </si>
  <si>
    <t>MU23086007</t>
  </si>
  <si>
    <t>00017844</t>
  </si>
  <si>
    <t>N0626</t>
  </si>
  <si>
    <t>00014212</t>
  </si>
  <si>
    <t>N0836</t>
  </si>
  <si>
    <t>00014405</t>
  </si>
  <si>
    <t>N0838</t>
  </si>
  <si>
    <t>00014559</t>
  </si>
  <si>
    <t>NM1135</t>
  </si>
  <si>
    <t>00016330</t>
  </si>
  <si>
    <t>NM1328</t>
  </si>
  <si>
    <t>00017425</t>
  </si>
  <si>
    <t>R0723</t>
  </si>
  <si>
    <t>00013861</t>
  </si>
  <si>
    <t>ISX171</t>
  </si>
  <si>
    <t>DASMAN DIABETES INSTITUTE</t>
  </si>
  <si>
    <t>Kuwait</t>
  </si>
  <si>
    <t>6735128172</t>
  </si>
  <si>
    <t>University of Latvia</t>
  </si>
  <si>
    <t>Latvia</t>
  </si>
  <si>
    <t>CG015</t>
  </si>
  <si>
    <t>CS071</t>
  </si>
  <si>
    <t>FRIGO-TRANS SIA</t>
  </si>
  <si>
    <t>FS302</t>
  </si>
  <si>
    <t>ISX596</t>
  </si>
  <si>
    <t>U1578</t>
  </si>
  <si>
    <t>00032945</t>
  </si>
  <si>
    <t>FS336</t>
  </si>
  <si>
    <t>00030270</t>
  </si>
  <si>
    <t>LATVIJAS UNIVERSITATE</t>
  </si>
  <si>
    <t>FS117</t>
  </si>
  <si>
    <t>UNIVERSITY OF LEBANON MEDILAB SARL</t>
  </si>
  <si>
    <t>6735115057</t>
  </si>
  <si>
    <t>LITHUANIAN UNIVERSITY OF HEALTH SCIENCES</t>
  </si>
  <si>
    <t>Lithuania</t>
  </si>
  <si>
    <t>7200151197</t>
  </si>
  <si>
    <t>BIOTECHA UAB</t>
  </si>
  <si>
    <t>EC212727A1</t>
  </si>
  <si>
    <t>NANODIAGNOSTIKA, LTD</t>
  </si>
  <si>
    <t>FS215</t>
  </si>
  <si>
    <t>UNIVERSITY OF VILNIUS</t>
  </si>
  <si>
    <t>EC211306C1</t>
  </si>
  <si>
    <t>00036209</t>
  </si>
  <si>
    <t>UNIVERSITY DU LUXEMBOURG</t>
  </si>
  <si>
    <t>Luxembourg</t>
  </si>
  <si>
    <t>ISX527</t>
  </si>
  <si>
    <t>00033522</t>
  </si>
  <si>
    <t>Luxembourg Institute of Health</t>
  </si>
  <si>
    <t>662013S022</t>
  </si>
  <si>
    <t>AU CTTBD</t>
  </si>
  <si>
    <t>Malawi</t>
  </si>
  <si>
    <t>6735118024</t>
  </si>
  <si>
    <t>Merck KGaA - Merck Sdn Bhd Malaysia</t>
  </si>
  <si>
    <t>Malaysia</t>
  </si>
  <si>
    <t>7200150749</t>
  </si>
  <si>
    <t>CRYOCORD</t>
  </si>
  <si>
    <t>ISX524</t>
  </si>
  <si>
    <t>MONASH UNIVERSITY (SUNWAY CAMPUS)</t>
  </si>
  <si>
    <t>6620125101</t>
  </si>
  <si>
    <t>INSTITUTO NACIONAL DE CANCEROLOGIA</t>
  </si>
  <si>
    <t>Mexico</t>
  </si>
  <si>
    <t>6620145180</t>
  </si>
  <si>
    <t>Universidad Autonoma De Baja California</t>
  </si>
  <si>
    <t>6735135146</t>
  </si>
  <si>
    <t>CENTRO DE INVESTIGACION BMEDICA DEL SUR</t>
  </si>
  <si>
    <t>8470050109</t>
  </si>
  <si>
    <t>THOR QUIMICOS DE MEXICO SA DE CV</t>
  </si>
  <si>
    <t>8472060148</t>
  </si>
  <si>
    <t>CENTRO DE INVESTIGACION Y ASISTENCIA EN TECNOLOGIA Y DISENO DEL ESTADO DE JALISCO</t>
  </si>
  <si>
    <t>8472060237</t>
  </si>
  <si>
    <t>INSTITUTO NACIONAL DE PEDIATRIA</t>
  </si>
  <si>
    <t>GTI-6620116015</t>
  </si>
  <si>
    <t>NM1162</t>
  </si>
  <si>
    <t>00015779</t>
  </si>
  <si>
    <t>BRI Bioresearch</t>
  </si>
  <si>
    <t>6620128015</t>
  </si>
  <si>
    <t>LUMINEX BV</t>
  </si>
  <si>
    <t>Instrument, Top Level, Easycyte, 8SL</t>
  </si>
  <si>
    <t>6620128015-1</t>
  </si>
  <si>
    <t>6620128015-2</t>
  </si>
  <si>
    <t>6620148047</t>
  </si>
  <si>
    <t>6620148047-1</t>
  </si>
  <si>
    <t>6620148047-2</t>
  </si>
  <si>
    <t>6620155196</t>
  </si>
  <si>
    <t>Hogeschool Leiden</t>
  </si>
  <si>
    <t>6735126092</t>
  </si>
  <si>
    <t>INTRAVACC BV</t>
  </si>
  <si>
    <t>6735135196</t>
  </si>
  <si>
    <t>Academisch Medisch Centrum (AMC)</t>
  </si>
  <si>
    <t>6735135201</t>
  </si>
  <si>
    <t>SYNTHON BV</t>
  </si>
  <si>
    <t>6735145228</t>
  </si>
  <si>
    <t>6735150257</t>
  </si>
  <si>
    <t>6735-R5241</t>
  </si>
  <si>
    <t>Eurofins MicroSafe Laboratories BV</t>
  </si>
  <si>
    <t>7200120420</t>
  </si>
  <si>
    <t>7200121069</t>
  </si>
  <si>
    <t>7200121338</t>
  </si>
  <si>
    <t>7200121350</t>
  </si>
  <si>
    <t>7200121351</t>
  </si>
  <si>
    <t>7200150303</t>
  </si>
  <si>
    <t>Radboud UMC - Hematology Lab</t>
  </si>
  <si>
    <t>7200150623</t>
  </si>
  <si>
    <t>7200150624-1</t>
  </si>
  <si>
    <t>7200151219</t>
  </si>
  <si>
    <t>7200151219-1</t>
  </si>
  <si>
    <t>7200151219-2</t>
  </si>
  <si>
    <t>7200151219-3</t>
  </si>
  <si>
    <t>7200151219-4</t>
  </si>
  <si>
    <t>7200151219-5</t>
  </si>
  <si>
    <t>72009150307</t>
  </si>
  <si>
    <t>BAC BV</t>
  </si>
  <si>
    <t>8470050169</t>
  </si>
  <si>
    <t>SYNVOLUX THERAPEUTICS BV</t>
  </si>
  <si>
    <t>8470050253</t>
  </si>
  <si>
    <t>Lakefront Biotherapeutics NV (Leiden)</t>
  </si>
  <si>
    <t>8470050311-1</t>
  </si>
  <si>
    <t>8470060209</t>
  </si>
  <si>
    <t>8470060229</t>
  </si>
  <si>
    <t>IMMUNETUNE BV</t>
  </si>
  <si>
    <t>8470080212</t>
  </si>
  <si>
    <t>Wageningen University and Research - Plant Research</t>
  </si>
  <si>
    <t>8470120164</t>
  </si>
  <si>
    <t>Universiteit Leiden</t>
  </si>
  <si>
    <t>8472050136</t>
  </si>
  <si>
    <t>8472050215</t>
  </si>
  <si>
    <t>8472050224</t>
  </si>
  <si>
    <t>Royal Lactalis Leerdammer BV</t>
  </si>
  <si>
    <t>8472060199</t>
  </si>
  <si>
    <t>Universitair Medisch Centrum Groningen (UMCG)</t>
  </si>
  <si>
    <t>8472060259</t>
  </si>
  <si>
    <t>Hogeschool Rotterdam</t>
  </si>
  <si>
    <t>CD279</t>
  </si>
  <si>
    <t>Nederlands Kanker Instituut (NKI) - Diagnostic</t>
  </si>
  <si>
    <t>CE187</t>
  </si>
  <si>
    <t>AMC_small vesicles</t>
  </si>
  <si>
    <t>CG006</t>
  </si>
  <si>
    <t>Utrecht University</t>
  </si>
  <si>
    <t>CS051</t>
  </si>
  <si>
    <t>CS052</t>
  </si>
  <si>
    <t>Cytek Northern Lights- CLC IVD 1000 (CE-IVD)</t>
  </si>
  <si>
    <t>does not exist</t>
  </si>
  <si>
    <t>Demo Cytek</t>
  </si>
  <si>
    <t>EC203147A2</t>
  </si>
  <si>
    <t>Rijksuniversiteit Groningen</t>
  </si>
  <si>
    <t>EC203156A1</t>
  </si>
  <si>
    <t>EC211836H1</t>
  </si>
  <si>
    <t>EC220686C1</t>
  </si>
  <si>
    <t>FE233</t>
  </si>
  <si>
    <t>Avidicure BV</t>
  </si>
  <si>
    <t>FF073</t>
  </si>
  <si>
    <t>DC prime_Immunicum_Mendus</t>
  </si>
  <si>
    <t>FF076</t>
  </si>
  <si>
    <t>ProQR Therapeutics</t>
  </si>
  <si>
    <t>FF133</t>
  </si>
  <si>
    <t>WA Peptides</t>
  </si>
  <si>
    <t>FF269</t>
  </si>
  <si>
    <t>FF284</t>
  </si>
  <si>
    <t>FG286</t>
  </si>
  <si>
    <t>FH004</t>
  </si>
  <si>
    <t>Wageningen University and Research - Bioveterinary Research</t>
  </si>
  <si>
    <t>FH191</t>
  </si>
  <si>
    <t>FH215</t>
  </si>
  <si>
    <t>Universiteit Leiden - LACDR</t>
  </si>
  <si>
    <t>FS149</t>
  </si>
  <si>
    <t>FS296</t>
  </si>
  <si>
    <t>Good Biomarker Sciences BV (GBS Leiden)</t>
  </si>
  <si>
    <t>GTI-3630070209</t>
  </si>
  <si>
    <t>GTI-3630090428</t>
  </si>
  <si>
    <t>GTI-5430100235</t>
  </si>
  <si>
    <t>GTI-5580090103</t>
  </si>
  <si>
    <t>LEADPHARMA HOLDING BV</t>
  </si>
  <si>
    <t>GTI-6620105013</t>
  </si>
  <si>
    <t>Boehringer Ingelheim Animal Health Netherlands BV</t>
  </si>
  <si>
    <t>GTI-662011S004</t>
  </si>
  <si>
    <t>GTI-6735115067</t>
  </si>
  <si>
    <t>GTI-6735115068</t>
  </si>
  <si>
    <t>GTI-6735115076</t>
  </si>
  <si>
    <t>GTI-6735118012</t>
  </si>
  <si>
    <t>AIMM THERAPEUTICS</t>
  </si>
  <si>
    <t>GTI-6735118068</t>
  </si>
  <si>
    <t>GTI-6735138185</t>
  </si>
  <si>
    <t>GTI-96-4-120546</t>
  </si>
  <si>
    <t>MODIQUEST BV</t>
  </si>
  <si>
    <t>HF001</t>
  </si>
  <si>
    <t>Unilabs/Medlon BV</t>
  </si>
  <si>
    <t>HF002</t>
  </si>
  <si>
    <t>HF004</t>
  </si>
  <si>
    <t>HG001</t>
  </si>
  <si>
    <t>HH002</t>
  </si>
  <si>
    <t>Universitair Medisch Centrum Groningen (UMCG) - diagnostics</t>
  </si>
  <si>
    <t>HH003</t>
  </si>
  <si>
    <t>ISX143</t>
  </si>
  <si>
    <t>Sanquin</t>
  </si>
  <si>
    <t>MU20132001</t>
  </si>
  <si>
    <t>MU21057001</t>
  </si>
  <si>
    <t>U0563</t>
  </si>
  <si>
    <t>NM1144</t>
  </si>
  <si>
    <t>00035306</t>
  </si>
  <si>
    <t>R1291SP</t>
  </si>
  <si>
    <t>00035906</t>
  </si>
  <si>
    <t>U0634</t>
  </si>
  <si>
    <t>00032734</t>
  </si>
  <si>
    <t>U0688</t>
  </si>
  <si>
    <t>00014056</t>
  </si>
  <si>
    <t>UMCG - Central Flow Cytometry Unit</t>
  </si>
  <si>
    <t>V0689</t>
  </si>
  <si>
    <t>00030388</t>
  </si>
  <si>
    <t>Maastricht University</t>
  </si>
  <si>
    <t>8472060114</t>
  </si>
  <si>
    <t>00030881</t>
  </si>
  <si>
    <t>8472120107</t>
  </si>
  <si>
    <t>00030883</t>
  </si>
  <si>
    <t>8576120107</t>
  </si>
  <si>
    <t>00030880</t>
  </si>
  <si>
    <t>CC410</t>
  </si>
  <si>
    <t>00015126</t>
  </si>
  <si>
    <t>Biomedical Primate Research Center</t>
  </si>
  <si>
    <t>CC412</t>
  </si>
  <si>
    <t>00014444</t>
  </si>
  <si>
    <t>Erasmus Universitair Medisch Centrum Rotterdam (Erasmus MC)</t>
  </si>
  <si>
    <t>FG342</t>
  </si>
  <si>
    <t>00032056</t>
  </si>
  <si>
    <t>FG343</t>
  </si>
  <si>
    <t>00032057</t>
  </si>
  <si>
    <t>ISX468</t>
  </si>
  <si>
    <t>00030887</t>
  </si>
  <si>
    <t>NE0009</t>
  </si>
  <si>
    <t>00033241</t>
  </si>
  <si>
    <t>NE0014</t>
  </si>
  <si>
    <t>00016833</t>
  </si>
  <si>
    <t>NE0015</t>
  </si>
  <si>
    <t>00017021</t>
  </si>
  <si>
    <t>NE0016</t>
  </si>
  <si>
    <t>00017016</t>
  </si>
  <si>
    <t>NE0018</t>
  </si>
  <si>
    <t>00016650</t>
  </si>
  <si>
    <t>ErasmusMC pediatric</t>
  </si>
  <si>
    <t>NE0024</t>
  </si>
  <si>
    <t>00036265</t>
  </si>
  <si>
    <t>NE0025</t>
  </si>
  <si>
    <t>00034743</t>
  </si>
  <si>
    <t>AMC &amp; CCA_Diagnostic</t>
  </si>
  <si>
    <t>NE0027</t>
  </si>
  <si>
    <t>00034744</t>
  </si>
  <si>
    <t>NE0029</t>
  </si>
  <si>
    <t>00034745</t>
  </si>
  <si>
    <t>NE0032</t>
  </si>
  <si>
    <t>00032753</t>
  </si>
  <si>
    <t>NE0039</t>
  </si>
  <si>
    <t>00032503</t>
  </si>
  <si>
    <t>Université de Rennes</t>
  </si>
  <si>
    <t>NE0061</t>
  </si>
  <si>
    <t>00036834</t>
  </si>
  <si>
    <t>NE0063</t>
  </si>
  <si>
    <t>00035919</t>
  </si>
  <si>
    <t>NM1146</t>
  </si>
  <si>
    <t>00016167</t>
  </si>
  <si>
    <t>NM1173SP</t>
  </si>
  <si>
    <t>00036255</t>
  </si>
  <si>
    <t>NM1310</t>
  </si>
  <si>
    <t>00017146</t>
  </si>
  <si>
    <t>LUMC - Mirai house</t>
  </si>
  <si>
    <t>NM1497</t>
  </si>
  <si>
    <t>00032055</t>
  </si>
  <si>
    <t>R0256</t>
  </si>
  <si>
    <t>00035218</t>
  </si>
  <si>
    <t>R0266</t>
  </si>
  <si>
    <t>00035217</t>
  </si>
  <si>
    <t>R0879</t>
  </si>
  <si>
    <t>00035233</t>
  </si>
  <si>
    <t>S0102</t>
  </si>
  <si>
    <t>00035730</t>
  </si>
  <si>
    <t>S0113R</t>
  </si>
  <si>
    <t>00036334</t>
  </si>
  <si>
    <t>S0239</t>
  </si>
  <si>
    <t>00036274</t>
  </si>
  <si>
    <t>S11</t>
  </si>
  <si>
    <t>00015593</t>
  </si>
  <si>
    <t>U0244</t>
  </si>
  <si>
    <t>00035215</t>
  </si>
  <si>
    <t>U0265</t>
  </si>
  <si>
    <t>00035214</t>
  </si>
  <si>
    <t>U0318</t>
  </si>
  <si>
    <t>00035136</t>
  </si>
  <si>
    <t>U0370</t>
  </si>
  <si>
    <t>00015735</t>
  </si>
  <si>
    <t>Cytek Biosciences B.V. Amsterdam - VUMC</t>
  </si>
  <si>
    <t>U0763</t>
  </si>
  <si>
    <t>00032144</t>
  </si>
  <si>
    <t>U0924</t>
  </si>
  <si>
    <t>00030830</t>
  </si>
  <si>
    <t>U1259</t>
  </si>
  <si>
    <t>00017406</t>
  </si>
  <si>
    <t>Y0100</t>
  </si>
  <si>
    <t>00031597</t>
  </si>
  <si>
    <t>CS124</t>
  </si>
  <si>
    <t>00032714</t>
  </si>
  <si>
    <t>8470050221</t>
  </si>
  <si>
    <t>00036102</t>
  </si>
  <si>
    <t>8470050241</t>
  </si>
  <si>
    <t>00035596</t>
  </si>
  <si>
    <t>ONCOLINES B.V.</t>
  </si>
  <si>
    <t>8470050311</t>
  </si>
  <si>
    <t>00036104</t>
  </si>
  <si>
    <t>8470060162</t>
  </si>
  <si>
    <t>00023993</t>
  </si>
  <si>
    <t>Hogeschool Utrecht</t>
  </si>
  <si>
    <t>8470080159</t>
  </si>
  <si>
    <t>00031754</t>
  </si>
  <si>
    <t>FrieslandCampina</t>
  </si>
  <si>
    <t>8470130166</t>
  </si>
  <si>
    <t>00035595</t>
  </si>
  <si>
    <t>EC231726A1</t>
  </si>
  <si>
    <t>00034005</t>
  </si>
  <si>
    <t>AlgaSpring B.V.</t>
  </si>
  <si>
    <t>EC230036H1</t>
  </si>
  <si>
    <t>00034381</t>
  </si>
  <si>
    <t>EC222296H2</t>
  </si>
  <si>
    <t>00033861</t>
  </si>
  <si>
    <t>Pharming Technologies BV</t>
  </si>
  <si>
    <t>FS318</t>
  </si>
  <si>
    <t>00034732</t>
  </si>
  <si>
    <t>FS289</t>
  </si>
  <si>
    <t>00033956</t>
  </si>
  <si>
    <t>NUTRICIA RESEARCH B.V.</t>
  </si>
  <si>
    <t>ISX163</t>
  </si>
  <si>
    <t>00036596</t>
  </si>
  <si>
    <t>ISX460</t>
  </si>
  <si>
    <t>00035097</t>
  </si>
  <si>
    <t>UNIVERSITAIR MEDISCH CENTRUM UTRECHT</t>
  </si>
  <si>
    <t>ISX638</t>
  </si>
  <si>
    <t>00035148</t>
  </si>
  <si>
    <t>ISX647</t>
  </si>
  <si>
    <t>00034117</t>
  </si>
  <si>
    <t>ERASMUS MC</t>
  </si>
  <si>
    <t>ISX691</t>
  </si>
  <si>
    <t>00034953</t>
  </si>
  <si>
    <t>ISX772</t>
  </si>
  <si>
    <t>00031886</t>
  </si>
  <si>
    <t>Genmab BV</t>
  </si>
  <si>
    <t>S0241</t>
  </si>
  <si>
    <t>00034676</t>
  </si>
  <si>
    <t>U0516</t>
  </si>
  <si>
    <t>00033992</t>
  </si>
  <si>
    <t>U1484</t>
  </si>
  <si>
    <t>00035504</t>
  </si>
  <si>
    <t>V0307</t>
  </si>
  <si>
    <t>00035503</t>
  </si>
  <si>
    <t>CC402</t>
  </si>
  <si>
    <t>00009566</t>
  </si>
  <si>
    <t>CD079</t>
  </si>
  <si>
    <t>00013729</t>
  </si>
  <si>
    <t>CD179</t>
  </si>
  <si>
    <t>00014382</t>
  </si>
  <si>
    <t>CD256</t>
  </si>
  <si>
    <t>00013902</t>
  </si>
  <si>
    <t>EC230827D1</t>
  </si>
  <si>
    <t>00018078</t>
  </si>
  <si>
    <t>Vrije Universiteit Medisch Centrum (VUmc)</t>
  </si>
  <si>
    <t>EC231326A1</t>
  </si>
  <si>
    <t>00031090</t>
  </si>
  <si>
    <t>Vrije Universiteit Amsterdam (VU Amsterdam)</t>
  </si>
  <si>
    <t>ISX526</t>
  </si>
  <si>
    <t>00034963</t>
  </si>
  <si>
    <t>UCLouvain - Molecular Biology</t>
  </si>
  <si>
    <t>N0173</t>
  </si>
  <si>
    <t>00036570</t>
  </si>
  <si>
    <t>NE0065</t>
  </si>
  <si>
    <t>00033601</t>
  </si>
  <si>
    <t>NM1582</t>
  </si>
  <si>
    <t>00034297</t>
  </si>
  <si>
    <t>NM1615</t>
  </si>
  <si>
    <t>00034599</t>
  </si>
  <si>
    <t>S0194</t>
  </si>
  <si>
    <t>00017088</t>
  </si>
  <si>
    <t>U0972</t>
  </si>
  <si>
    <t>00034771</t>
  </si>
  <si>
    <t>Y1594</t>
  </si>
  <si>
    <t>00033843</t>
  </si>
  <si>
    <t>7200151108</t>
  </si>
  <si>
    <t>New Zealand</t>
  </si>
  <si>
    <t>7200151166</t>
  </si>
  <si>
    <t>7200151208</t>
  </si>
  <si>
    <t>8470050324</t>
  </si>
  <si>
    <t>Guava Easycyte 5HT, Chassis Assembly, INACTIVE</t>
  </si>
  <si>
    <t>8470050324-1</t>
  </si>
  <si>
    <t>CC192</t>
  </si>
  <si>
    <t>Hopkirk Research Institute</t>
  </si>
  <si>
    <t>CC274</t>
  </si>
  <si>
    <t>The University of Auckland</t>
  </si>
  <si>
    <t>FF039</t>
  </si>
  <si>
    <t>NEW ZEALAND</t>
  </si>
  <si>
    <t>FH072</t>
  </si>
  <si>
    <t>CD154</t>
  </si>
  <si>
    <t>00017408</t>
  </si>
  <si>
    <t>University of Otago, Wellington</t>
  </si>
  <si>
    <t>CE153</t>
  </si>
  <si>
    <t>00017796</t>
  </si>
  <si>
    <t>FH074</t>
  </si>
  <si>
    <t>00032628</t>
  </si>
  <si>
    <t>R0012</t>
  </si>
  <si>
    <t>00034517</t>
  </si>
  <si>
    <t>R0055</t>
  </si>
  <si>
    <t>00034518</t>
  </si>
  <si>
    <t>R0555SP</t>
  </si>
  <si>
    <t>00035657</t>
  </si>
  <si>
    <t>S0161</t>
  </si>
  <si>
    <t>00016314</t>
  </si>
  <si>
    <t>S0172</t>
  </si>
  <si>
    <t>00035871</t>
  </si>
  <si>
    <t>U1607</t>
  </si>
  <si>
    <t>00035872</t>
  </si>
  <si>
    <t>Y0078</t>
  </si>
  <si>
    <t>00034519</t>
  </si>
  <si>
    <t>Y0082</t>
  </si>
  <si>
    <t>00035868</t>
  </si>
  <si>
    <t>Y0565SP</t>
  </si>
  <si>
    <t>00035869</t>
  </si>
  <si>
    <t>V0690</t>
  </si>
  <si>
    <t>00034249</t>
  </si>
  <si>
    <t>R0011SP</t>
  </si>
  <si>
    <t>00013058</t>
  </si>
  <si>
    <t>8470060267</t>
  </si>
  <si>
    <t>HADUM INTEGRATED SERVICES LIMITED</t>
  </si>
  <si>
    <t>Nigeria</t>
  </si>
  <si>
    <t>NM1060</t>
  </si>
  <si>
    <t>00034838</t>
  </si>
  <si>
    <t>NL</t>
  </si>
  <si>
    <t>6735126115</t>
  </si>
  <si>
    <t>NORGES MILJO - OG BIOVITENSKAPELIGE UNIVERSITET (NMBU) - CAMPUS ADAMSTUEN</t>
  </si>
  <si>
    <t>Norway</t>
  </si>
  <si>
    <t>7200150404</t>
  </si>
  <si>
    <t>Oslo Universitetssykehus HF - Aker Sykehus</t>
  </si>
  <si>
    <t>7200150699</t>
  </si>
  <si>
    <t>Universitetet i Stavanger</t>
  </si>
  <si>
    <t>7200151218</t>
  </si>
  <si>
    <t>Norwegian Institute of Public Health (NIPH)</t>
  </si>
  <si>
    <t>8472050223</t>
  </si>
  <si>
    <t>Norwegian Institute of Bioeconomy Research (NIBIO)</t>
  </si>
  <si>
    <t>CF009</t>
  </si>
  <si>
    <t>Zelluna Immunotherapy</t>
  </si>
  <si>
    <t>FG053</t>
  </si>
  <si>
    <t>FH096</t>
  </si>
  <si>
    <t>Thermo Fisher Scientific - Life Technologies AS (Oslo, Norway)</t>
  </si>
  <si>
    <t>FS183</t>
  </si>
  <si>
    <t>NTNU - NORGES TEKNISK-NATURVITENSKAPELIGE UNIVERSITET</t>
  </si>
  <si>
    <t>GTI-6620106012</t>
  </si>
  <si>
    <t>Oslo Universitetssykehus (OUS) HF</t>
  </si>
  <si>
    <t>GTI-6620116030</t>
  </si>
  <si>
    <t>Universitetet i Bergen</t>
  </si>
  <si>
    <t>GTI-662012S010</t>
  </si>
  <si>
    <t>NOFIMA AS - AAS</t>
  </si>
  <si>
    <t>GTI-96-4-080502</t>
  </si>
  <si>
    <t>Universitetet i Oslo (UiO)</t>
  </si>
  <si>
    <t>ISX164</t>
  </si>
  <si>
    <t>ISX589</t>
  </si>
  <si>
    <t>UNIVERSITY OF TROMSO</t>
  </si>
  <si>
    <t>MU20268002</t>
  </si>
  <si>
    <t>8470080138</t>
  </si>
  <si>
    <t>00035633</t>
  </si>
  <si>
    <t>8472050112</t>
  </si>
  <si>
    <t>00033981</t>
  </si>
  <si>
    <t>Thermo Fisher Scientific - Life Technologies AS (Lillestrøm, Norway)</t>
  </si>
  <si>
    <t>8472050168</t>
  </si>
  <si>
    <t>00036372</t>
  </si>
  <si>
    <t>8470080167</t>
  </si>
  <si>
    <t>00034808</t>
  </si>
  <si>
    <t>EC222646H1</t>
  </si>
  <si>
    <t>00034534</t>
  </si>
  <si>
    <t>ISX476</t>
  </si>
  <si>
    <t>00035498</t>
  </si>
  <si>
    <t>NORD UNIVERSITET</t>
  </si>
  <si>
    <t>7200150710</t>
  </si>
  <si>
    <t>00034613</t>
  </si>
  <si>
    <t>NM1282</t>
  </si>
  <si>
    <t>00016947</t>
  </si>
  <si>
    <t>U1332</t>
  </si>
  <si>
    <t>00017668</t>
  </si>
  <si>
    <t>U1613</t>
  </si>
  <si>
    <t>00033732</t>
  </si>
  <si>
    <t>6735145210</t>
  </si>
  <si>
    <t>ROYAL COURT AFFAIRS</t>
  </si>
  <si>
    <t>Oman</t>
  </si>
  <si>
    <t>8470050128</t>
  </si>
  <si>
    <t>Science Centre</t>
  </si>
  <si>
    <t>Pakistan</t>
  </si>
  <si>
    <t>EC203097A2</t>
  </si>
  <si>
    <t>7200150378</t>
  </si>
  <si>
    <t>MEDISTEM PANAMA INC</t>
  </si>
  <si>
    <t>8472050149</t>
  </si>
  <si>
    <t>EC200274C1</t>
  </si>
  <si>
    <t>EC222446C1</t>
  </si>
  <si>
    <t>00024310</t>
  </si>
  <si>
    <t>7200150889</t>
  </si>
  <si>
    <t>UNIVERSIDAD NACIONAL HERMILIO VALDIZAN HUANUCO</t>
  </si>
  <si>
    <t>Peru</t>
  </si>
  <si>
    <t>8470130182</t>
  </si>
  <si>
    <t>LAB DEPOT SA</t>
  </si>
  <si>
    <t>ISX562</t>
  </si>
  <si>
    <t>UNIVERSIDAD NACIONAL TORIBIO RODRIGUEZ DE MENDOZA (UNTRM)</t>
  </si>
  <si>
    <t>NE0021</t>
  </si>
  <si>
    <t>00015625</t>
  </si>
  <si>
    <t>CYTBIO S.A.C.</t>
  </si>
  <si>
    <t>FS304</t>
  </si>
  <si>
    <t>00030174</t>
  </si>
  <si>
    <t>University of San Agustin (UNISAN)</t>
  </si>
  <si>
    <t>Philippines</t>
  </si>
  <si>
    <t>6620138044</t>
  </si>
  <si>
    <t>POLITECHNIKA GDANSKA</t>
  </si>
  <si>
    <t>Poland</t>
  </si>
  <si>
    <t>6620145174</t>
  </si>
  <si>
    <t>Uniwersytet Przyrodniczy we Wroc?awiu</t>
  </si>
  <si>
    <t>6620146183</t>
  </si>
  <si>
    <t>UNIWERSYTET WROCLAWSKI</t>
  </si>
  <si>
    <t>6735146179</t>
  </si>
  <si>
    <t>UNIWERSYTET MEDYCZNY IM KAROLA MARCINKOWSKIEGO W POZNANIU</t>
  </si>
  <si>
    <t>6735146237</t>
  </si>
  <si>
    <t>7200120324</t>
  </si>
  <si>
    <t>7200120785</t>
  </si>
  <si>
    <t>Uniwersytet Medyczny w ?odzi</t>
  </si>
  <si>
    <t>7200121208</t>
  </si>
  <si>
    <t>Gda?ski Uniwersytet Medyczny</t>
  </si>
  <si>
    <t>7200150645</t>
  </si>
  <si>
    <t>KONMEX SP ZOO</t>
  </si>
  <si>
    <t>7200150723</t>
  </si>
  <si>
    <t>Wojskowy Instytut Higieny i Epidemiologii</t>
  </si>
  <si>
    <t>7200150953</t>
  </si>
  <si>
    <t>7200151052</t>
  </si>
  <si>
    <t>UNIWERSYTET ROLNICZY W KRAKOWIE IM H KOLLATAJA</t>
  </si>
  <si>
    <t>7200151142</t>
  </si>
  <si>
    <t>POMORSKI UNIWERSYTET MEDYCZNY</t>
  </si>
  <si>
    <t>7200151160</t>
  </si>
  <si>
    <t>7200151256</t>
  </si>
  <si>
    <t>8470050187</t>
  </si>
  <si>
    <t>CELON PHARMA SA</t>
  </si>
  <si>
    <t>8470060150</t>
  </si>
  <si>
    <t>MOLECURE SA</t>
  </si>
  <si>
    <t>8470060156</t>
  </si>
  <si>
    <t>MABION SA</t>
  </si>
  <si>
    <t>8470060221</t>
  </si>
  <si>
    <t>UNIWERSYTET MIKOLAJA KOPERNIKA W TORUNIU</t>
  </si>
  <si>
    <t>8470080209</t>
  </si>
  <si>
    <t>Instytut Rozrodu Zwierz?t i Bada? ?ywno?ci PAN</t>
  </si>
  <si>
    <t>8470120124</t>
  </si>
  <si>
    <t>8470130112</t>
  </si>
  <si>
    <t>BIOVICO SP Z O O</t>
  </si>
  <si>
    <t>8470130113</t>
  </si>
  <si>
    <t>UNIWERSYTET IM. ADAMA MICKIEWICZA</t>
  </si>
  <si>
    <t>8472050194</t>
  </si>
  <si>
    <t>Instytut Biologii Medycznej PAN</t>
  </si>
  <si>
    <t>8472050201</t>
  </si>
  <si>
    <t>8472050214</t>
  </si>
  <si>
    <t>UNIWERSYTET JAGIELLONSKI</t>
  </si>
  <si>
    <t>8472060155</t>
  </si>
  <si>
    <t>Uniwersytet Gda?ski</t>
  </si>
  <si>
    <t>8472060186</t>
  </si>
  <si>
    <t>WROCLAW MEDICAL UNIVERSITY</t>
  </si>
  <si>
    <t>8472060254</t>
  </si>
  <si>
    <t>8472120115</t>
  </si>
  <si>
    <t>8472130106</t>
  </si>
  <si>
    <t>8472H50244</t>
  </si>
  <si>
    <t>CS012</t>
  </si>
  <si>
    <t>CS053</t>
  </si>
  <si>
    <t>WROCLAW UNIVERSITY OF SCIENCE AND TECHNOLOGY</t>
  </si>
  <si>
    <t>CS055</t>
  </si>
  <si>
    <t>University of Rzeszów</t>
  </si>
  <si>
    <t>CS073</t>
  </si>
  <si>
    <t>CS092</t>
  </si>
  <si>
    <t>EC210216B1</t>
  </si>
  <si>
    <t>UNIWERSYTET JANA KOCHANOWSKIEGO W KIELCACH</t>
  </si>
  <si>
    <t>EC211697D1</t>
  </si>
  <si>
    <t>Uniwersytet Marii Curie-Sklodowskiej (UMCS)</t>
  </si>
  <si>
    <t>EC211937C1</t>
  </si>
  <si>
    <t>POLITECHNIKA SLASKA</t>
  </si>
  <si>
    <t>EC212537D1</t>
  </si>
  <si>
    <t>Uniwersytet Przyrodniczo-Humanistyczny w Siedlcach</t>
  </si>
  <si>
    <t>FS105</t>
  </si>
  <si>
    <t>CELTHER Polska Sp. z o. o</t>
  </si>
  <si>
    <t>FS116</t>
  </si>
  <si>
    <t>MEDICAL UNIVERSITY OF LUBLIN</t>
  </si>
  <si>
    <t>FS122</t>
  </si>
  <si>
    <t>GTI-6735118015</t>
  </si>
  <si>
    <t>ISX127</t>
  </si>
  <si>
    <t>ISX134</t>
  </si>
  <si>
    <t>UNIWERSYTET WARMINSKO - MAZURSKI W OLSZTYNIE</t>
  </si>
  <si>
    <t>ISX186</t>
  </si>
  <si>
    <t>Uniwersytet Przyrodniczy w Lublinie</t>
  </si>
  <si>
    <t>ISX302</t>
  </si>
  <si>
    <t>SWIETOKRZYSKIE CENTRUM ONKOLOGII SAMODZIELNY PUBLICZNY ZAKLAD OPIEKI ZDROWOTNEJ</t>
  </si>
  <si>
    <t>ISX316</t>
  </si>
  <si>
    <t>ISX553</t>
  </si>
  <si>
    <t>ISX649</t>
  </si>
  <si>
    <t>MU20272001</t>
  </si>
  <si>
    <t>MU21056001</t>
  </si>
  <si>
    <t>MU21144002</t>
  </si>
  <si>
    <t>MU21159001</t>
  </si>
  <si>
    <t>EC220146H1</t>
  </si>
  <si>
    <t>00026323</t>
  </si>
  <si>
    <t>EC220756H2</t>
  </si>
  <si>
    <t>00032795</t>
  </si>
  <si>
    <t>ISX676</t>
  </si>
  <si>
    <t>00031927</t>
  </si>
  <si>
    <t>INSTITUTE OF BIOORGANIC CHEMISTRY OF THE POLISH ACADEMY OF SCIENCES</t>
  </si>
  <si>
    <t>ISX755</t>
  </si>
  <si>
    <t>00032191</t>
  </si>
  <si>
    <t>ISX780</t>
  </si>
  <si>
    <t>00032116</t>
  </si>
  <si>
    <t>7200151059</t>
  </si>
  <si>
    <t>00035917</t>
  </si>
  <si>
    <t>MU23048002</t>
  </si>
  <si>
    <t>00035916</t>
  </si>
  <si>
    <t>MU22024002</t>
  </si>
  <si>
    <t>00021023</t>
  </si>
  <si>
    <t>CS119</t>
  </si>
  <si>
    <t>00030398</t>
  </si>
  <si>
    <t>MEDICAL UNIVERSITY OF WARSAW</t>
  </si>
  <si>
    <t>EC222797C1</t>
  </si>
  <si>
    <t>00030580</t>
  </si>
  <si>
    <t>?l?ski Uniwersytet Medyczny w Katowicach (SUM)</t>
  </si>
  <si>
    <t>EC230816A1</t>
  </si>
  <si>
    <t>00018075</t>
  </si>
  <si>
    <t>POLISH ACADEMY of SCIENCES</t>
  </si>
  <si>
    <t>EC230887A1</t>
  </si>
  <si>
    <t>00018074</t>
  </si>
  <si>
    <t>EC240077C1</t>
  </si>
  <si>
    <t>00033536</t>
  </si>
  <si>
    <t>EC242467A1</t>
  </si>
  <si>
    <t>00034194</t>
  </si>
  <si>
    <t>FS345</t>
  </si>
  <si>
    <t>00032117</t>
  </si>
  <si>
    <t>Katedra Biotechnologii i Genetyki Zwierz?t</t>
  </si>
  <si>
    <t>MU23094002</t>
  </si>
  <si>
    <t>00030474</t>
  </si>
  <si>
    <t>S0135</t>
  </si>
  <si>
    <t>00036747</t>
  </si>
  <si>
    <t>6735138228</t>
  </si>
  <si>
    <t>INSTITUTO POLITECNICO DE BRAGANCA</t>
  </si>
  <si>
    <t>Portugal</t>
  </si>
  <si>
    <t>6735145249</t>
  </si>
  <si>
    <t>IBET - INSTITUTO DE BIOLOGIA EXPERIMENTAL E TECNOLOGICA</t>
  </si>
  <si>
    <t>7200120797</t>
  </si>
  <si>
    <t>UNIVERSIDADE DE EVORA</t>
  </si>
  <si>
    <t>7200120916</t>
  </si>
  <si>
    <t>BUGGYPOWER</t>
  </si>
  <si>
    <t>7200120951</t>
  </si>
  <si>
    <t>UNIVERSIDADE DO MINHO</t>
  </si>
  <si>
    <t>7200121490</t>
  </si>
  <si>
    <t>GRUPO DE INVESTIGACAO DOS RECURSOS MARINHOS</t>
  </si>
  <si>
    <t>7200150954</t>
  </si>
  <si>
    <t>MICROLINE LDA</t>
  </si>
  <si>
    <t>7200150988RLA</t>
  </si>
  <si>
    <t>7200151168</t>
  </si>
  <si>
    <t>8470080132</t>
  </si>
  <si>
    <t>Nacional de Saúde Doutor Ricardo Jorge</t>
  </si>
  <si>
    <t>EC210056H1</t>
  </si>
  <si>
    <t>Instituto Gulbenkian de Medicina Molecular (GIMM)</t>
  </si>
  <si>
    <t>FG058</t>
  </si>
  <si>
    <t>Lusopalex Faculdade de Farmacia Lisboa</t>
  </si>
  <si>
    <t>FG148</t>
  </si>
  <si>
    <t>GTI-3630070160</t>
  </si>
  <si>
    <t>BIOTECA - CENTRO DE INCUBACAO E DESENVOLVIMENTO</t>
  </si>
  <si>
    <t>GTI-6735115056</t>
  </si>
  <si>
    <t>FARM-ID ? Associação da Faculdade de Farmácia para a Investigação e Desenvolvimento</t>
  </si>
  <si>
    <t>ISX176</t>
  </si>
  <si>
    <t>INEB - INSTITUTO DE ENGENHARIA BIOMEDICA - IPATIMUP</t>
  </si>
  <si>
    <t>R0621</t>
  </si>
  <si>
    <t>00017454</t>
  </si>
  <si>
    <t>LusoPalex iMM Lisboa</t>
  </si>
  <si>
    <t>CD195</t>
  </si>
  <si>
    <t>00014429</t>
  </si>
  <si>
    <t>LusoPalex GIMM</t>
  </si>
  <si>
    <t>NM1420</t>
  </si>
  <si>
    <t>00031109</t>
  </si>
  <si>
    <t>S0210</t>
  </si>
  <si>
    <t>00030689</t>
  </si>
  <si>
    <t>S0254</t>
  </si>
  <si>
    <t>00031417</t>
  </si>
  <si>
    <t>U1378</t>
  </si>
  <si>
    <t>00031107</t>
  </si>
  <si>
    <t>Y0611</t>
  </si>
  <si>
    <t>00014430</t>
  </si>
  <si>
    <t>Y0680</t>
  </si>
  <si>
    <t>00035425</t>
  </si>
  <si>
    <t>Y1038</t>
  </si>
  <si>
    <t>00035664</t>
  </si>
  <si>
    <t>ISX540</t>
  </si>
  <si>
    <t>00033450</t>
  </si>
  <si>
    <t>R0039</t>
  </si>
  <si>
    <t>Qatar</t>
  </si>
  <si>
    <t>CC310</t>
  </si>
  <si>
    <t>00009511</t>
  </si>
  <si>
    <t>Qatar Scientific</t>
  </si>
  <si>
    <t>CD026</t>
  </si>
  <si>
    <t>00013600</t>
  </si>
  <si>
    <t>U0712</t>
  </si>
  <si>
    <t>00017577</t>
  </si>
  <si>
    <t>V0429</t>
  </si>
  <si>
    <t>00031803</t>
  </si>
  <si>
    <t>QATAR</t>
  </si>
  <si>
    <t>ISX761</t>
  </si>
  <si>
    <t>00031181</t>
  </si>
  <si>
    <t>Republic of Kazakhstan</t>
  </si>
  <si>
    <t>7200120852</t>
  </si>
  <si>
    <t>Merck KGaA - Merck Romania SRL</t>
  </si>
  <si>
    <t>Romania</t>
  </si>
  <si>
    <t>7200151156</t>
  </si>
  <si>
    <t>VICTOR BABES UNIVERSITY OF MEDICINE AND PHARMACOLOGY</t>
  </si>
  <si>
    <t>8472050134</t>
  </si>
  <si>
    <t>CLINICA CHIRURGIE 3 CLUJ NAPOCA</t>
  </si>
  <si>
    <t>FS321</t>
  </si>
  <si>
    <t>NATIONAL INSTITUTE FOR LASER, PLASMA &amp; RADIATION PHYSICS (INFLPR)</t>
  </si>
  <si>
    <t>MU21053001</t>
  </si>
  <si>
    <t>Elta 90 Medical Research SRL</t>
  </si>
  <si>
    <t>6620125086</t>
  </si>
  <si>
    <t>KRASNOYARSK CENTER FOR REPRODUCTIVE MEDICINE</t>
  </si>
  <si>
    <t>Russian Federation</t>
  </si>
  <si>
    <t>6620136132</t>
  </si>
  <si>
    <t>SKOLKOVO INSTITUTE OF SCIENCE AND TECHNOLOGY (SKOLTECH)</t>
  </si>
  <si>
    <t>6735118063</t>
  </si>
  <si>
    <t>KAZAN FEDERAL UNIVERSITY</t>
  </si>
  <si>
    <t>7200150403</t>
  </si>
  <si>
    <t>BLOKHIN RUSSIAN ONCOLOGICAL SCIENTIFIC CENTRE RAMS</t>
  </si>
  <si>
    <t>7200150683</t>
  </si>
  <si>
    <t>INSTITUTE OF CYTOLOGY RAS</t>
  </si>
  <si>
    <t>7200150689</t>
  </si>
  <si>
    <t>DIA-M LLC</t>
  </si>
  <si>
    <t>7200150805</t>
  </si>
  <si>
    <t>INSTITUTE OF IMMUNOLOGY RAS</t>
  </si>
  <si>
    <t>7200150897</t>
  </si>
  <si>
    <t>KAZAN STATE MEDICAL UNIVERSITY</t>
  </si>
  <si>
    <t>7200151134</t>
  </si>
  <si>
    <t>Pacific Institute of Bioorganic Chemistry</t>
  </si>
  <si>
    <t>7200151172</t>
  </si>
  <si>
    <t>MARI STATE UNIVERSITY</t>
  </si>
  <si>
    <t>7200151175</t>
  </si>
  <si>
    <t>OOO HELICON COMPANY</t>
  </si>
  <si>
    <t>7200151185</t>
  </si>
  <si>
    <t>7200151211</t>
  </si>
  <si>
    <t>8470060116</t>
  </si>
  <si>
    <t>BIOCAD</t>
  </si>
  <si>
    <t>8470060129</t>
  </si>
  <si>
    <t>8470120144</t>
  </si>
  <si>
    <t>8470120168</t>
  </si>
  <si>
    <t>INSTITUTE OF PROBLEMS OF CHEMICAL PHYSICS</t>
  </si>
  <si>
    <t>8470120172</t>
  </si>
  <si>
    <t>8470120178</t>
  </si>
  <si>
    <t>8470120179</t>
  </si>
  <si>
    <t>8470130121</t>
  </si>
  <si>
    <t>Center for Integrated Arctic Research</t>
  </si>
  <si>
    <t>8470130127</t>
  </si>
  <si>
    <t>A.E. Arbuzov Institute of Organic and Physical Chemistry</t>
  </si>
  <si>
    <t>8470130130</t>
  </si>
  <si>
    <t>8470130155</t>
  </si>
  <si>
    <t>8472050118</t>
  </si>
  <si>
    <t>VM GORBATOV ALL-RUSSIAN MEAT RESEARCH INSTITUTE (VNIIMP)</t>
  </si>
  <si>
    <t>8472050163</t>
  </si>
  <si>
    <t>MOSCOW STATE UNIVERSITY</t>
  </si>
  <si>
    <t>CS024</t>
  </si>
  <si>
    <t>THE MOSCOW INSTITUTE OF PHYSICS AND TECHNOLOGY</t>
  </si>
  <si>
    <t>CS032</t>
  </si>
  <si>
    <t>CS048</t>
  </si>
  <si>
    <t>LOBACHEVSKY STATE UNIVERSITY OF NIZHNI NOVGOROD</t>
  </si>
  <si>
    <t>EC201344D1</t>
  </si>
  <si>
    <t>GROTEX (SOLOPHARM)</t>
  </si>
  <si>
    <t>EC212006H1</t>
  </si>
  <si>
    <t>FS283</t>
  </si>
  <si>
    <t>TOMSK NATIONAL RESEARCH MEDICAL CENTER OF THE RUSSIAN ACADEMY OF SCIENCES</t>
  </si>
  <si>
    <t>FS284</t>
  </si>
  <si>
    <t>FS320</t>
  </si>
  <si>
    <t>ST. PETERSBURG PASTEUR INSTITUTE</t>
  </si>
  <si>
    <t>FS322</t>
  </si>
  <si>
    <t>Horse breed research institute</t>
  </si>
  <si>
    <t>FS327</t>
  </si>
  <si>
    <t>LOMONOSOV MOSCOW STATE UNIVERSITY</t>
  </si>
  <si>
    <t>GTI - 96-4-080499</t>
  </si>
  <si>
    <t>LLC IBC GENERIUM</t>
  </si>
  <si>
    <t>ISX556</t>
  </si>
  <si>
    <t>ISX568</t>
  </si>
  <si>
    <t>ImageStreamX MkII System, Obsolete</t>
  </si>
  <si>
    <t>ISX577</t>
  </si>
  <si>
    <t>ISX643</t>
  </si>
  <si>
    <t>OREKHOVICH INSTITUTE OF BIOMEDICAL CHEMISTRY</t>
  </si>
  <si>
    <t>ISX658</t>
  </si>
  <si>
    <t>MINISTRY OF HEALTH CENTER OF STRATEGIC PLANNING</t>
  </si>
  <si>
    <t>ISX671</t>
  </si>
  <si>
    <t>Federal Research and Clinical Center of Russia</t>
  </si>
  <si>
    <t>ISX710</t>
  </si>
  <si>
    <t>ISX717</t>
  </si>
  <si>
    <t>LYTECH OOO</t>
  </si>
  <si>
    <t>MU20240003</t>
  </si>
  <si>
    <t>CENTRAL RESEARCH INSTITUTE OF EPIDEMIOLOGY</t>
  </si>
  <si>
    <t>MU2024003</t>
  </si>
  <si>
    <t>MU20321002</t>
  </si>
  <si>
    <t>MU20363001</t>
  </si>
  <si>
    <t>MU21254001</t>
  </si>
  <si>
    <t>S0118</t>
  </si>
  <si>
    <t>00016361</t>
  </si>
  <si>
    <t>Saudi Arabia</t>
  </si>
  <si>
    <t>EC231157D1</t>
  </si>
  <si>
    <t>00031669</t>
  </si>
  <si>
    <t>IM Clinic</t>
  </si>
  <si>
    <t>Serbia</t>
  </si>
  <si>
    <t>ISX741</t>
  </si>
  <si>
    <t>00031926</t>
  </si>
  <si>
    <t>BIOSENSE INSTITUTE</t>
  </si>
  <si>
    <t>7200150324</t>
  </si>
  <si>
    <t>National University of Singapore (NUS)</t>
  </si>
  <si>
    <t>7200150370</t>
  </si>
  <si>
    <t>NATIONAL CANCER CENTRE - SINGAPORE</t>
  </si>
  <si>
    <t>7200150648</t>
  </si>
  <si>
    <t>ICON Clinical Research Ltd - Singapore</t>
  </si>
  <si>
    <t>7200151150</t>
  </si>
  <si>
    <t>BIOMED DIAGNOSTICS PTE LTD</t>
  </si>
  <si>
    <t>7200151189</t>
  </si>
  <si>
    <t>8470050173</t>
  </si>
  <si>
    <t>SINGAPORE GENERAL HOSPITAL (SGH)</t>
  </si>
  <si>
    <t>8470050326</t>
  </si>
  <si>
    <t>8470050326-1</t>
  </si>
  <si>
    <t>8470060147</t>
  </si>
  <si>
    <t>NANYANG TECHNOLOGICAL UNIVERSITY</t>
  </si>
  <si>
    <t>8576120118</t>
  </si>
  <si>
    <t>SINGAPORE INSTITUTE OF TECHNOLOGY</t>
  </si>
  <si>
    <t>CC288</t>
  </si>
  <si>
    <t>Tessa Therapeutics</t>
  </si>
  <si>
    <t>CD025</t>
  </si>
  <si>
    <t>CD220</t>
  </si>
  <si>
    <t>CE071</t>
  </si>
  <si>
    <t>CE124</t>
  </si>
  <si>
    <t>CE134</t>
  </si>
  <si>
    <t>CS056</t>
  </si>
  <si>
    <t>Institute of Molecular and Cell Biology</t>
  </si>
  <si>
    <t>EC201324C1</t>
  </si>
  <si>
    <t>10X GENOMICS PTE. LTD.</t>
  </si>
  <si>
    <t>FG344</t>
  </si>
  <si>
    <t>FH239</t>
  </si>
  <si>
    <t>FS139</t>
  </si>
  <si>
    <t>RESEARCH INSTRUMENTS PTE LTD</t>
  </si>
  <si>
    <t>HG011</t>
  </si>
  <si>
    <t>ISX389</t>
  </si>
  <si>
    <t>ISX421</t>
  </si>
  <si>
    <t>GENOME INSTITUTE OF SINGAPORE (GIS)</t>
  </si>
  <si>
    <t>ISX424</t>
  </si>
  <si>
    <t>MU21041002</t>
  </si>
  <si>
    <t>P1006</t>
  </si>
  <si>
    <t>CC257</t>
  </si>
  <si>
    <t>00007728</t>
  </si>
  <si>
    <t>CC370</t>
  </si>
  <si>
    <t>00015384</t>
  </si>
  <si>
    <t>MSD International GmbH (Singapore Branch)</t>
  </si>
  <si>
    <t>CD136</t>
  </si>
  <si>
    <t>00015339</t>
  </si>
  <si>
    <t>CD144</t>
  </si>
  <si>
    <t>00015340</t>
  </si>
  <si>
    <t>FF035</t>
  </si>
  <si>
    <t>00014420</t>
  </si>
  <si>
    <t>Hummingbird Bioscience Pte Ltd - Singapore</t>
  </si>
  <si>
    <t>R0118</t>
  </si>
  <si>
    <t>00016943</t>
  </si>
  <si>
    <t>R0201</t>
  </si>
  <si>
    <t>00016847</t>
  </si>
  <si>
    <t>S0136</t>
  </si>
  <si>
    <t>00031464</t>
  </si>
  <si>
    <t>U0297</t>
  </si>
  <si>
    <t>00032469</t>
  </si>
  <si>
    <t>U0526</t>
  </si>
  <si>
    <t>00034197</t>
  </si>
  <si>
    <t>U0539</t>
  </si>
  <si>
    <t>00034198</t>
  </si>
  <si>
    <t>U0892</t>
  </si>
  <si>
    <t>00035098</t>
  </si>
  <si>
    <t>U1104</t>
  </si>
  <si>
    <t>00035099</t>
  </si>
  <si>
    <t>U1685</t>
  </si>
  <si>
    <t>00034333</t>
  </si>
  <si>
    <t>V0218</t>
  </si>
  <si>
    <t>00014970</t>
  </si>
  <si>
    <t>NE0051</t>
  </si>
  <si>
    <t>00036985</t>
  </si>
  <si>
    <t>NM1032</t>
  </si>
  <si>
    <t>00036665</t>
  </si>
  <si>
    <t>R0031</t>
  </si>
  <si>
    <t>00036189</t>
  </si>
  <si>
    <t>U0238</t>
  </si>
  <si>
    <t>00036440</t>
  </si>
  <si>
    <t>U0462</t>
  </si>
  <si>
    <t>00036597</t>
  </si>
  <si>
    <t>U1471</t>
  </si>
  <si>
    <t>00036221</t>
  </si>
  <si>
    <t>MedPace - Singapore</t>
  </si>
  <si>
    <t>U1561</t>
  </si>
  <si>
    <t>00034764</t>
  </si>
  <si>
    <t>Y0320</t>
  </si>
  <si>
    <t>00036802</t>
  </si>
  <si>
    <t>Singapore Immunology Network</t>
  </si>
  <si>
    <t>7200120412</t>
  </si>
  <si>
    <t>UNIVERZITA PJ SAFARIKA PRIRODOVEDECKA FAKULTA</t>
  </si>
  <si>
    <t>Slovakia</t>
  </si>
  <si>
    <t>7200120954</t>
  </si>
  <si>
    <t>UNIVERZITA KOMENSKEHO LEKARSKA FAKULTA</t>
  </si>
  <si>
    <t>7200120967</t>
  </si>
  <si>
    <t>HERMES LABSYSTEMS SRO</t>
  </si>
  <si>
    <t>8470080124</t>
  </si>
  <si>
    <t>UNIVERZITA KOMENSKEHO PRIRODOVEDECKA FAKULTA</t>
  </si>
  <si>
    <t>8470080129</t>
  </si>
  <si>
    <t>BIOMEDICINSKE CENTRUM SAV</t>
  </si>
  <si>
    <t>ISX181</t>
  </si>
  <si>
    <t>CENTRUM BIOVIED</t>
  </si>
  <si>
    <t>MU20269001</t>
  </si>
  <si>
    <t>EC203296C1</t>
  </si>
  <si>
    <t>SANOLABOR D.D.</t>
  </si>
  <si>
    <t>Slovenia</t>
  </si>
  <si>
    <t>HG006</t>
  </si>
  <si>
    <t>HH004</t>
  </si>
  <si>
    <t>ISX182</t>
  </si>
  <si>
    <t>UNIVERSITY OF MARIBOR</t>
  </si>
  <si>
    <t>ISX612</t>
  </si>
  <si>
    <t>00034002</t>
  </si>
  <si>
    <t>UNIVERSITY OF LJUBLJANA</t>
  </si>
  <si>
    <t>ISX711</t>
  </si>
  <si>
    <t>00029415</t>
  </si>
  <si>
    <t>NE0042</t>
  </si>
  <si>
    <t>00030630</t>
  </si>
  <si>
    <t>NE0069</t>
  </si>
  <si>
    <t>00033880</t>
  </si>
  <si>
    <t>NM1416</t>
  </si>
  <si>
    <t>00030629</t>
  </si>
  <si>
    <t>R0085</t>
  </si>
  <si>
    <t>00012924</t>
  </si>
  <si>
    <t>7200151143</t>
  </si>
  <si>
    <t>South Africa</t>
  </si>
  <si>
    <t>7200151148</t>
  </si>
  <si>
    <t>7200151184</t>
  </si>
  <si>
    <t>7200151213</t>
  </si>
  <si>
    <t>Biocom Africa Pty Ltd</t>
  </si>
  <si>
    <t>7200151228</t>
  </si>
  <si>
    <t>7200151259</t>
  </si>
  <si>
    <t>MU20030002-1</t>
  </si>
  <si>
    <t>MU20317001</t>
  </si>
  <si>
    <t>MU21004102</t>
  </si>
  <si>
    <t>Separation Scientific SA (Pty) Ltd</t>
  </si>
  <si>
    <t>MU21004103</t>
  </si>
  <si>
    <t>MU21004104</t>
  </si>
  <si>
    <t>MU21211003</t>
  </si>
  <si>
    <t>CD153</t>
  </si>
  <si>
    <t>00014680</t>
  </si>
  <si>
    <t>Y0751</t>
  </si>
  <si>
    <t>00014600</t>
  </si>
  <si>
    <t>8472060198</t>
  </si>
  <si>
    <t>SEOUL NATIONAL UNIVERSITY CONVERGENCE SCIENCE AND TECHNOLOGY GRADUATE SCHOOL</t>
  </si>
  <si>
    <t>FE312</t>
  </si>
  <si>
    <t>FF051</t>
  </si>
  <si>
    <t>SOUTH KOREA</t>
  </si>
  <si>
    <t>U0440</t>
  </si>
  <si>
    <t>00013656</t>
  </si>
  <si>
    <t>ISX645</t>
  </si>
  <si>
    <t>00036439</t>
  </si>
  <si>
    <t>KOREA INSTITUTE OF RADIOLOGICAL AND MEDICAL SCIENCES</t>
  </si>
  <si>
    <t>ISX763</t>
  </si>
  <si>
    <t>00030415</t>
  </si>
  <si>
    <t>iCell Co Ltd</t>
  </si>
  <si>
    <t>ISX792</t>
  </si>
  <si>
    <t>00033599</t>
  </si>
  <si>
    <t>N0099</t>
  </si>
  <si>
    <t>00014331</t>
  </si>
  <si>
    <t>N0156</t>
  </si>
  <si>
    <t>00007992</t>
  </si>
  <si>
    <t>N0206</t>
  </si>
  <si>
    <t>00010780</t>
  </si>
  <si>
    <t>N0279</t>
  </si>
  <si>
    <t>00009036</t>
  </si>
  <si>
    <t>N0366</t>
  </si>
  <si>
    <t>00011749</t>
  </si>
  <si>
    <t>N0397</t>
  </si>
  <si>
    <t>00007706</t>
  </si>
  <si>
    <t>N0398</t>
  </si>
  <si>
    <t>00010800</t>
  </si>
  <si>
    <t>N0581</t>
  </si>
  <si>
    <t>00014214</t>
  </si>
  <si>
    <t>NM1125</t>
  </si>
  <si>
    <t>00015365</t>
  </si>
  <si>
    <t>NM1155</t>
  </si>
  <si>
    <t>00015543</t>
  </si>
  <si>
    <t>NM1160</t>
  </si>
  <si>
    <t>00015705</t>
  </si>
  <si>
    <t>NM1163</t>
  </si>
  <si>
    <t>00015704</t>
  </si>
  <si>
    <t>NM1299</t>
  </si>
  <si>
    <t>00016657</t>
  </si>
  <si>
    <t>R0196</t>
  </si>
  <si>
    <t>00014318</t>
  </si>
  <si>
    <t>R0259</t>
  </si>
  <si>
    <t>00007827</t>
  </si>
  <si>
    <t>R0303</t>
  </si>
  <si>
    <t>00011880</t>
  </si>
  <si>
    <t>R0360</t>
  </si>
  <si>
    <t>00010587</t>
  </si>
  <si>
    <t>R0973</t>
  </si>
  <si>
    <t>00015542</t>
  </si>
  <si>
    <t>S0327</t>
  </si>
  <si>
    <t>00033552</t>
  </si>
  <si>
    <t>V0166</t>
  </si>
  <si>
    <t>00034568</t>
  </si>
  <si>
    <t>3630080283</t>
  </si>
  <si>
    <t>CENTRE DE REGULACIO GENOMICA (CRG)</t>
  </si>
  <si>
    <t>Spain</t>
  </si>
  <si>
    <t>6620125064</t>
  </si>
  <si>
    <t>CSIC - INSTITUT D INVESTIGACIONS QUIMIQUES I AMBIENTALS</t>
  </si>
  <si>
    <t>6620125110</t>
  </si>
  <si>
    <t>CITOSPIN</t>
  </si>
  <si>
    <t>6620138041</t>
  </si>
  <si>
    <t>UNIVERSIDAD DE GRANADA</t>
  </si>
  <si>
    <t>6620146146</t>
  </si>
  <si>
    <t>7200120911</t>
  </si>
  <si>
    <t>7200121066</t>
  </si>
  <si>
    <t>7200121489</t>
  </si>
  <si>
    <t>CECOVICA</t>
  </si>
  <si>
    <t>7200121524</t>
  </si>
  <si>
    <t>BUGGYPOWER GESTAO E PRODUCAO DE BIOMASSA LDA</t>
  </si>
  <si>
    <t>7200121586</t>
  </si>
  <si>
    <t>7200121635</t>
  </si>
  <si>
    <t>FUNDACION CIEN</t>
  </si>
  <si>
    <t>7200150280</t>
  </si>
  <si>
    <t>7200150283</t>
  </si>
  <si>
    <t>SAN MIGUEL FABRICA DE CERVEZA Y MALTA SA</t>
  </si>
  <si>
    <t>7200150305</t>
  </si>
  <si>
    <t>UNIVERSIDAD DE SANTIAGO DE COMPOSTELA</t>
  </si>
  <si>
    <t>7200150701</t>
  </si>
  <si>
    <t>7200150745</t>
  </si>
  <si>
    <t>INST UNIV DE ENFERMEDADES TROPICALES Y SALUD PUBLICA DE CANARIAS</t>
  </si>
  <si>
    <t>7200150858</t>
  </si>
  <si>
    <t>PROQUINORTE SA</t>
  </si>
  <si>
    <t>7200151014</t>
  </si>
  <si>
    <t>7200151141</t>
  </si>
  <si>
    <t>7200151164</t>
  </si>
  <si>
    <t>VCN BIOSCIENCES SL</t>
  </si>
  <si>
    <t>7200151212</t>
  </si>
  <si>
    <t>LABORTECNIC S.A.</t>
  </si>
  <si>
    <t>8470060107</t>
  </si>
  <si>
    <t>INSTITUTO GRIFOLS SA</t>
  </si>
  <si>
    <t>8470H50283</t>
  </si>
  <si>
    <t>Merck KGaA - Merck Chemicals and Life Science SAU</t>
  </si>
  <si>
    <t>8472050211</t>
  </si>
  <si>
    <t>FACULTAD DE FARMACIA - UCM</t>
  </si>
  <si>
    <t>8472050234</t>
  </si>
  <si>
    <t>BODEGAS CVNE (Compañía Vinicola del Norte de España)</t>
  </si>
  <si>
    <t>8472050250</t>
  </si>
  <si>
    <t>LTC ESPANOLA SA</t>
  </si>
  <si>
    <t>8472050261</t>
  </si>
  <si>
    <t>Bodegas Muga SL</t>
  </si>
  <si>
    <t>8472050265</t>
  </si>
  <si>
    <t>8472050266</t>
  </si>
  <si>
    <t>BODEGAS BERONIA SA</t>
  </si>
  <si>
    <t>8472060144</t>
  </si>
  <si>
    <t>UNIVERSIDAD DE MURCIA</t>
  </si>
  <si>
    <t>8472080114</t>
  </si>
  <si>
    <t>CENTRO ANDALUZ DE BIOLOGIA MOLECULAR Y MEDICINA REGENERATIVA (CABIMER)</t>
  </si>
  <si>
    <t>8574100108</t>
  </si>
  <si>
    <t>EC201755A1</t>
  </si>
  <si>
    <t>EC202746H1</t>
  </si>
  <si>
    <t>Izasa Scientific SLU</t>
  </si>
  <si>
    <t>EC203097A3</t>
  </si>
  <si>
    <t>EC203147A1</t>
  </si>
  <si>
    <t>EC210357A1</t>
  </si>
  <si>
    <t>EC210367A1</t>
  </si>
  <si>
    <t>EC221037A1</t>
  </si>
  <si>
    <t>BODEGAS LUIS CANAS</t>
  </si>
  <si>
    <t>FE241</t>
  </si>
  <si>
    <t>Palex Celgene Sevilla</t>
  </si>
  <si>
    <t>FE285</t>
  </si>
  <si>
    <t>FF040</t>
  </si>
  <si>
    <t>Palex CNIO Madrid</t>
  </si>
  <si>
    <t>FF048</t>
  </si>
  <si>
    <t>FF071</t>
  </si>
  <si>
    <t>FF123</t>
  </si>
  <si>
    <t>FF219</t>
  </si>
  <si>
    <t>FF224</t>
  </si>
  <si>
    <t>FF225</t>
  </si>
  <si>
    <t>FF283</t>
  </si>
  <si>
    <t>FF285</t>
  </si>
  <si>
    <t>FF333</t>
  </si>
  <si>
    <t>FG011</t>
  </si>
  <si>
    <t>FG246</t>
  </si>
  <si>
    <t>FG249</t>
  </si>
  <si>
    <t>FG250</t>
  </si>
  <si>
    <t>FG368</t>
  </si>
  <si>
    <t>FH007</t>
  </si>
  <si>
    <t>FH085</t>
  </si>
  <si>
    <t>FH138</t>
  </si>
  <si>
    <t>FH168</t>
  </si>
  <si>
    <t>FH195</t>
  </si>
  <si>
    <t>Palex CIAL</t>
  </si>
  <si>
    <t>FH214</t>
  </si>
  <si>
    <t>Palex - CCiT Universitat Barcelona</t>
  </si>
  <si>
    <t>FS171</t>
  </si>
  <si>
    <t>INSTITUTO ESPANOL DE OCEANOGRAFIA - VIGO</t>
  </si>
  <si>
    <t>FS241</t>
  </si>
  <si>
    <t>UNIVERSIDAD CASTILLA - LA MANCHA</t>
  </si>
  <si>
    <t>GTI-0100097</t>
  </si>
  <si>
    <t>CANVAX BIOTECH SL</t>
  </si>
  <si>
    <t>GTI-0600686</t>
  </si>
  <si>
    <t>LABEC PHARMA SL</t>
  </si>
  <si>
    <t>GTI-2800070214</t>
  </si>
  <si>
    <t>BANC DE SANG I TEIXITS DE BARCELONA</t>
  </si>
  <si>
    <t>GTI-2800080241</t>
  </si>
  <si>
    <t>ESTACION BIOLOGICA DE DONANA (EBD)</t>
  </si>
  <si>
    <t>GTI-2800080253</t>
  </si>
  <si>
    <t>ESCOLA TECNICA SUPERIOR DE ENGINYERIA- ETSE - UAB</t>
  </si>
  <si>
    <t>GTI-280080222</t>
  </si>
  <si>
    <t>GTI-3630080280</t>
  </si>
  <si>
    <t>KYMOS PHARMA SERVICES, S.L.</t>
  </si>
  <si>
    <t>GTI-6620105001</t>
  </si>
  <si>
    <t>GTI-6620115020</t>
  </si>
  <si>
    <t>CENTRO DE INVESTIGACION EN MEDICINA MOLECULAR E ENFERMIDADES CRONICAS (CIMUS)</t>
  </si>
  <si>
    <t>GTI-6620115025</t>
  </si>
  <si>
    <t>IMPPC - INSTITUT DE MEDICINA PREDICTIVA I PERSONALITZADA DEL CANCER</t>
  </si>
  <si>
    <t>GTI-66201154027</t>
  </si>
  <si>
    <t>FACULTAD DE CIENCIAS EXPERIMENTALES</t>
  </si>
  <si>
    <t>GTI-6620116018</t>
  </si>
  <si>
    <t>GTI-6620116024</t>
  </si>
  <si>
    <t>HOSPITAL UNIVERSITARI LA FE</t>
  </si>
  <si>
    <t>GTI-6735115046</t>
  </si>
  <si>
    <t>BIOFUEL SYSTEMS SL</t>
  </si>
  <si>
    <t>GTI-6735118047</t>
  </si>
  <si>
    <t>COMPLEJO HOSPITALARIO DONOSTIA</t>
  </si>
  <si>
    <t>GTI-96-4-060470</t>
  </si>
  <si>
    <t>LABORATORIOS HIPRA SA</t>
  </si>
  <si>
    <t>HF008</t>
  </si>
  <si>
    <t>HG002</t>
  </si>
  <si>
    <t>ISX180</t>
  </si>
  <si>
    <t>UNIVERSIDAD DE ZARAGOZA</t>
  </si>
  <si>
    <t>ISX457</t>
  </si>
  <si>
    <t>FACULTAD DE VETERINARIA DE LUGO - UNIVERSIDAD DE SANTIAGO</t>
  </si>
  <si>
    <t>ISX663</t>
  </si>
  <si>
    <t>UNIVERSIDAD DE LAS PALMAS DE GRAN CANARIA</t>
  </si>
  <si>
    <t>ISX664</t>
  </si>
  <si>
    <t>Universitat de València</t>
  </si>
  <si>
    <t>MU21029001</t>
  </si>
  <si>
    <t>TM TARRAGONA ONE - KEMIRA IBERICA</t>
  </si>
  <si>
    <t>S0307</t>
  </si>
  <si>
    <t>Y0610</t>
  </si>
  <si>
    <t>Palex Instituto de Biomedicina de Sevilla (IBIS)</t>
  </si>
  <si>
    <t>S0195</t>
  </si>
  <si>
    <t>00034776</t>
  </si>
  <si>
    <t>U0779</t>
  </si>
  <si>
    <t>00033260</t>
  </si>
  <si>
    <t>Palex CIMA Universidad de Navarra</t>
  </si>
  <si>
    <t>U1040</t>
  </si>
  <si>
    <t>00033014</t>
  </si>
  <si>
    <t>Y0761</t>
  </si>
  <si>
    <t>00032369</t>
  </si>
  <si>
    <t>Palex CBM Univ Autonoma</t>
  </si>
  <si>
    <t>N0372</t>
  </si>
  <si>
    <t>00031899</t>
  </si>
  <si>
    <t>Palex Salamanca University</t>
  </si>
  <si>
    <t>NE0008</t>
  </si>
  <si>
    <t>00033824</t>
  </si>
  <si>
    <t>Palex - Hospital Universitario Virgen de la Arrixaca</t>
  </si>
  <si>
    <t>NM1124</t>
  </si>
  <si>
    <t>00016187</t>
  </si>
  <si>
    <t>NM1331</t>
  </si>
  <si>
    <t>00033750</t>
  </si>
  <si>
    <t>NM1334</t>
  </si>
  <si>
    <t>00031425</t>
  </si>
  <si>
    <t>NM1418</t>
  </si>
  <si>
    <t>00031071</t>
  </si>
  <si>
    <t>R0056</t>
  </si>
  <si>
    <t>00030634</t>
  </si>
  <si>
    <t>R0058</t>
  </si>
  <si>
    <t>00033337</t>
  </si>
  <si>
    <t>R0632</t>
  </si>
  <si>
    <t>00035375</t>
  </si>
  <si>
    <t>S0134</t>
  </si>
  <si>
    <t>00015804</t>
  </si>
  <si>
    <t>Palex-Hospital Universitario Vall d'Hebron</t>
  </si>
  <si>
    <t>SPAIN</t>
  </si>
  <si>
    <t>S0171</t>
  </si>
  <si>
    <t>00016590</t>
  </si>
  <si>
    <t>S0184</t>
  </si>
  <si>
    <t>00016785</t>
  </si>
  <si>
    <t>S0238</t>
  </si>
  <si>
    <t>00017673</t>
  </si>
  <si>
    <t>S0243</t>
  </si>
  <si>
    <t>00030879</t>
  </si>
  <si>
    <t>S0281</t>
  </si>
  <si>
    <t>00032727</t>
  </si>
  <si>
    <t>U0202</t>
  </si>
  <si>
    <t>00036118</t>
  </si>
  <si>
    <t>Palex IdiPaz Madrid</t>
  </si>
  <si>
    <t>U0210</t>
  </si>
  <si>
    <t>00016937</t>
  </si>
  <si>
    <t>U0496</t>
  </si>
  <si>
    <t>00035454</t>
  </si>
  <si>
    <t>U0710</t>
  </si>
  <si>
    <t>00033146</t>
  </si>
  <si>
    <t>U0733</t>
  </si>
  <si>
    <t>00035455</t>
  </si>
  <si>
    <t>U0782</t>
  </si>
  <si>
    <t>00014426</t>
  </si>
  <si>
    <t>U0866</t>
  </si>
  <si>
    <t>00015344</t>
  </si>
  <si>
    <t>U0970</t>
  </si>
  <si>
    <t>00015995</t>
  </si>
  <si>
    <t>U1174</t>
  </si>
  <si>
    <t>00016840</t>
  </si>
  <si>
    <t>U1195</t>
  </si>
  <si>
    <t>00017034</t>
  </si>
  <si>
    <t>U1240SP</t>
  </si>
  <si>
    <t>00017234</t>
  </si>
  <si>
    <t>U1398SP</t>
  </si>
  <si>
    <t>00031823</t>
  </si>
  <si>
    <t>U1443</t>
  </si>
  <si>
    <t>00031423</t>
  </si>
  <si>
    <t>U1451</t>
  </si>
  <si>
    <t>00031679</t>
  </si>
  <si>
    <t>U1497</t>
  </si>
  <si>
    <t>00032978</t>
  </si>
  <si>
    <t>Y0134</t>
  </si>
  <si>
    <t>00015832</t>
  </si>
  <si>
    <t>Palex - Universidad de Leon</t>
  </si>
  <si>
    <t>Y0305</t>
  </si>
  <si>
    <t>00036227</t>
  </si>
  <si>
    <t>Y0859</t>
  </si>
  <si>
    <t>00033331</t>
  </si>
  <si>
    <t>Y0941</t>
  </si>
  <si>
    <t>00015994</t>
  </si>
  <si>
    <t>Y0945</t>
  </si>
  <si>
    <t>00017392</t>
  </si>
  <si>
    <t>8472050251</t>
  </si>
  <si>
    <t>00035431</t>
  </si>
  <si>
    <t>Juvé &amp; Camps S.A</t>
  </si>
  <si>
    <t>8472050276</t>
  </si>
  <si>
    <t>00035263</t>
  </si>
  <si>
    <t>Bodegas Vega Sicilia</t>
  </si>
  <si>
    <t>8472060195</t>
  </si>
  <si>
    <t>00032906</t>
  </si>
  <si>
    <t>HISTOCELL</t>
  </si>
  <si>
    <t>EC202327A1</t>
  </si>
  <si>
    <t>00034166</t>
  </si>
  <si>
    <t>Bodegas Alejandro Fernández Tinto Pesquera SL</t>
  </si>
  <si>
    <t>EC211027A2</t>
  </si>
  <si>
    <t>00031874</t>
  </si>
  <si>
    <t>HOYADA DE LOS LOBOS</t>
  </si>
  <si>
    <t>EC211337A1</t>
  </si>
  <si>
    <t>00034614</t>
  </si>
  <si>
    <t>FREIXENET SA</t>
  </si>
  <si>
    <t>EC232037A3</t>
  </si>
  <si>
    <t>00035307</t>
  </si>
  <si>
    <t>Unión Vitivinícola SA (Marqués de Cáceres)</t>
  </si>
  <si>
    <t>8470050152</t>
  </si>
  <si>
    <t>00033561</t>
  </si>
  <si>
    <t>8470050278A</t>
  </si>
  <si>
    <t>00032375</t>
  </si>
  <si>
    <t>EC200445A1</t>
  </si>
  <si>
    <t>00032637</t>
  </si>
  <si>
    <t>BARCELONA INSTITUTE FOR GLOBAL HEALTH (ISGLOBAL)</t>
  </si>
  <si>
    <t>ISX537</t>
  </si>
  <si>
    <t>00034384</t>
  </si>
  <si>
    <t>Genómica e Investigación Oncológica (GENyO)</t>
  </si>
  <si>
    <t>MU21257001</t>
  </si>
  <si>
    <t>00032580</t>
  </si>
  <si>
    <t>Reig Jofre</t>
  </si>
  <si>
    <t>NE0007</t>
  </si>
  <si>
    <t>00032563</t>
  </si>
  <si>
    <t>Palex Hospital de Tomelloso</t>
  </si>
  <si>
    <t>NM1319</t>
  </si>
  <si>
    <t>00035702</t>
  </si>
  <si>
    <t>S0200</t>
  </si>
  <si>
    <t>00030687</t>
  </si>
  <si>
    <t>U1175</t>
  </si>
  <si>
    <t>00036049</t>
  </si>
  <si>
    <t>U1476</t>
  </si>
  <si>
    <t>00036048</t>
  </si>
  <si>
    <t>CD049</t>
  </si>
  <si>
    <t>00012617</t>
  </si>
  <si>
    <t>Palex IGTP Badalona</t>
  </si>
  <si>
    <t>CD187</t>
  </si>
  <si>
    <t>00013383</t>
  </si>
  <si>
    <t>EC242277A1</t>
  </si>
  <si>
    <t>00034029</t>
  </si>
  <si>
    <t>BODEGA EMINA - GRUPO MATARROMERA</t>
  </si>
  <si>
    <t>MU23074002</t>
  </si>
  <si>
    <t>00033264</t>
  </si>
  <si>
    <t>Quatre Lab</t>
  </si>
  <si>
    <t>MU23075003</t>
  </si>
  <si>
    <t>00017651</t>
  </si>
  <si>
    <t>MU23094001</t>
  </si>
  <si>
    <t>00018077</t>
  </si>
  <si>
    <t>University of Salamanca</t>
  </si>
  <si>
    <t>N0830</t>
  </si>
  <si>
    <t>00034128</t>
  </si>
  <si>
    <t>NE0040</t>
  </si>
  <si>
    <t>00017628</t>
  </si>
  <si>
    <t>NM1080</t>
  </si>
  <si>
    <t>00015430</t>
  </si>
  <si>
    <t>NM1082</t>
  </si>
  <si>
    <t>00016924</t>
  </si>
  <si>
    <t>NM1561</t>
  </si>
  <si>
    <t>00033937</t>
  </si>
  <si>
    <t>U0229</t>
  </si>
  <si>
    <t>00033623</t>
  </si>
  <si>
    <t>U0382</t>
  </si>
  <si>
    <t>00016742</t>
  </si>
  <si>
    <t>U0402</t>
  </si>
  <si>
    <t>00012616</t>
  </si>
  <si>
    <t>U1353</t>
  </si>
  <si>
    <t>00030631</t>
  </si>
  <si>
    <t>U1656</t>
  </si>
  <si>
    <t>00034077</t>
  </si>
  <si>
    <t>NM1439</t>
  </si>
  <si>
    <t>00030600</t>
  </si>
  <si>
    <t>Avon Pharmo Chem (Pvt) Ltd</t>
  </si>
  <si>
    <t>Sri Lanka</t>
  </si>
  <si>
    <t>2800070205</t>
  </si>
  <si>
    <t>Sweden</t>
  </si>
  <si>
    <t>6520-R6095</t>
  </si>
  <si>
    <t>KTH ROYAL INSTITUTE OF TECHNOLOGY</t>
  </si>
  <si>
    <t>6620118014</t>
  </si>
  <si>
    <t>7200150806</t>
  </si>
  <si>
    <t>Karolinska Institutet (KI)</t>
  </si>
  <si>
    <t>7200151247</t>
  </si>
  <si>
    <t>8470050123</t>
  </si>
  <si>
    <t>CHALMERS UNIVERSITY OF TECHNOLOGY</t>
  </si>
  <si>
    <t>8470050146</t>
  </si>
  <si>
    <t>8470050189</t>
  </si>
  <si>
    <t>SCILIFELAB</t>
  </si>
  <si>
    <t>8470050301</t>
  </si>
  <si>
    <t>STOCKHOLMS UNIVERSITET</t>
  </si>
  <si>
    <t>8470060211-033169</t>
  </si>
  <si>
    <t>Alligator Bioscience AB</t>
  </si>
  <si>
    <t>8470080146</t>
  </si>
  <si>
    <t>SWEDISH ORPHAN BIOVITRUM AB</t>
  </si>
  <si>
    <t>8470130161SN</t>
  </si>
  <si>
    <t>CE213</t>
  </si>
  <si>
    <t>KI - Center for Molecular Medicine (CMM)</t>
  </si>
  <si>
    <t>CG018</t>
  </si>
  <si>
    <t>Asgard Therapeutics</t>
  </si>
  <si>
    <t>CS057</t>
  </si>
  <si>
    <t>Lund University (LU)</t>
  </si>
  <si>
    <t>CS079</t>
  </si>
  <si>
    <t>EC211106A1</t>
  </si>
  <si>
    <t>ABC LABS AB</t>
  </si>
  <si>
    <t>FF321</t>
  </si>
  <si>
    <t>Karolinska Institutet - Center for Infectious Medicine (CIM)</t>
  </si>
  <si>
    <t>FH013</t>
  </si>
  <si>
    <t>Karolinska Institutet - Dept of Women?s and Children?s Health (KBH) - Brodin Lab</t>
  </si>
  <si>
    <t>FH188</t>
  </si>
  <si>
    <t>FS178</t>
  </si>
  <si>
    <t>GTI-0100137</t>
  </si>
  <si>
    <t>GTI-5580106116</t>
  </si>
  <si>
    <t>SAHLGRENSKA UNIVERSITETSSJUKHUSET</t>
  </si>
  <si>
    <t>GTI-6620116020</t>
  </si>
  <si>
    <t>Umeå Universitet</t>
  </si>
  <si>
    <t>GTI-96-3-020204R</t>
  </si>
  <si>
    <t>GTI-96-3-050350</t>
  </si>
  <si>
    <t>LUDWIG INSTITUTE FOR CANCER RESEARCH - SWEDEN</t>
  </si>
  <si>
    <t>ISX391</t>
  </si>
  <si>
    <t>RISE RESEARCH INSTITUTES OF SWEDEN AB</t>
  </si>
  <si>
    <t>ISX425</t>
  </si>
  <si>
    <t>MU21141001</t>
  </si>
  <si>
    <t>NM1525</t>
  </si>
  <si>
    <t>00032925</t>
  </si>
  <si>
    <t>S0232</t>
  </si>
  <si>
    <t>00032024</t>
  </si>
  <si>
    <t>Lund University Immuntechnology</t>
  </si>
  <si>
    <t>U1204</t>
  </si>
  <si>
    <t>00017185</t>
  </si>
  <si>
    <t>U1256</t>
  </si>
  <si>
    <t>00031845</t>
  </si>
  <si>
    <t>Lund University Slemhinnans immunologi</t>
  </si>
  <si>
    <t>CS028</t>
  </si>
  <si>
    <t>00030142</t>
  </si>
  <si>
    <t>KI - Karolinska Universitetssjukhuset Huddinge</t>
  </si>
  <si>
    <t>CS075</t>
  </si>
  <si>
    <t>00030191</t>
  </si>
  <si>
    <t>8470050262</t>
  </si>
  <si>
    <t>00033560</t>
  </si>
  <si>
    <t>8472050221SN1</t>
  </si>
  <si>
    <t>00034603</t>
  </si>
  <si>
    <t>EC211026C1</t>
  </si>
  <si>
    <t>00022112</t>
  </si>
  <si>
    <t>EC212047C1</t>
  </si>
  <si>
    <t>00028063</t>
  </si>
  <si>
    <t>8472H50243</t>
  </si>
  <si>
    <t>00035542</t>
  </si>
  <si>
    <t>NEOGAP Therapeutics AB</t>
  </si>
  <si>
    <t>EC193025C3</t>
  </si>
  <si>
    <t>00034082</t>
  </si>
  <si>
    <t>ACOUSORT AB</t>
  </si>
  <si>
    <t>EC202326D1</t>
  </si>
  <si>
    <t>00031297</t>
  </si>
  <si>
    <t>ISX190</t>
  </si>
  <si>
    <t>00033105</t>
  </si>
  <si>
    <t>Göteborgs Universitet</t>
  </si>
  <si>
    <t>ISX436</t>
  </si>
  <si>
    <t>00029898</t>
  </si>
  <si>
    <t>LINKOPINGS UNIVERSITY</t>
  </si>
  <si>
    <t>ISX530</t>
  </si>
  <si>
    <t>00028264</t>
  </si>
  <si>
    <t>7200150801</t>
  </si>
  <si>
    <t>00020035</t>
  </si>
  <si>
    <t>MU19302002</t>
  </si>
  <si>
    <t>00033986</t>
  </si>
  <si>
    <t>MU20284001</t>
  </si>
  <si>
    <t>00020795</t>
  </si>
  <si>
    <t>MU23130002</t>
  </si>
  <si>
    <t>00030478</t>
  </si>
  <si>
    <t>MU23234006</t>
  </si>
  <si>
    <t>00034110</t>
  </si>
  <si>
    <t>Kemira Kemi AB</t>
  </si>
  <si>
    <t>MU23234007</t>
  </si>
  <si>
    <t>00034111</t>
  </si>
  <si>
    <t>CC392</t>
  </si>
  <si>
    <t>00034102</t>
  </si>
  <si>
    <t>N0178</t>
  </si>
  <si>
    <t>00035655</t>
  </si>
  <si>
    <t>Karolinska Institutet - Bioclinicum Solna</t>
  </si>
  <si>
    <t>N0722</t>
  </si>
  <si>
    <t>00035849</t>
  </si>
  <si>
    <t>Uppsala Universitet - BMC Medical Cell Biology</t>
  </si>
  <si>
    <t>R0343</t>
  </si>
  <si>
    <t>00035930</t>
  </si>
  <si>
    <t>R0361</t>
  </si>
  <si>
    <t>00017501</t>
  </si>
  <si>
    <t>Linkoping Core Facility (IKE)</t>
  </si>
  <si>
    <t>S0193</t>
  </si>
  <si>
    <t>00035881</t>
  </si>
  <si>
    <t>U0703</t>
  </si>
  <si>
    <t>00032986</t>
  </si>
  <si>
    <t>U1326</t>
  </si>
  <si>
    <t>00035880</t>
  </si>
  <si>
    <t>Y0332</t>
  </si>
  <si>
    <t>00035929</t>
  </si>
  <si>
    <t>Y1505</t>
  </si>
  <si>
    <t>00036039</t>
  </si>
  <si>
    <t>CC319</t>
  </si>
  <si>
    <t>00014283</t>
  </si>
  <si>
    <t>CC435</t>
  </si>
  <si>
    <t>00014286</t>
  </si>
  <si>
    <t>CD263</t>
  </si>
  <si>
    <t>00014288</t>
  </si>
  <si>
    <t>CE009</t>
  </si>
  <si>
    <t>00014285</t>
  </si>
  <si>
    <t>NM1560</t>
  </si>
  <si>
    <t>00034085</t>
  </si>
  <si>
    <t>3630070173</t>
  </si>
  <si>
    <t>Switzerland</t>
  </si>
  <si>
    <t>6620138036</t>
  </si>
  <si>
    <t>6620-R6155</t>
  </si>
  <si>
    <t>Dualsystems BioTech AG</t>
  </si>
  <si>
    <t>6735115077</t>
  </si>
  <si>
    <t>SWISSMEDIC BERN</t>
  </si>
  <si>
    <t>6735116020</t>
  </si>
  <si>
    <t>Leadxpro AG</t>
  </si>
  <si>
    <t>6735126079</t>
  </si>
  <si>
    <t>Universitaetsspital Zurich</t>
  </si>
  <si>
    <t>6735136155</t>
  </si>
  <si>
    <t>DSM NUTRITIONAL PRODUCTS AG</t>
  </si>
  <si>
    <t>673514S204</t>
  </si>
  <si>
    <t>CRUCELL AG SWITZERLAND</t>
  </si>
  <si>
    <t>6735R8104</t>
  </si>
  <si>
    <t>Universität Zürich</t>
  </si>
  <si>
    <t>6735-R8124</t>
  </si>
  <si>
    <t>7200121179</t>
  </si>
  <si>
    <t>ZENTRUM FUER LABORMEDIZIN</t>
  </si>
  <si>
    <t>7200121497</t>
  </si>
  <si>
    <t>University of Bern</t>
  </si>
  <si>
    <t>7200151191</t>
  </si>
  <si>
    <t>7200151209</t>
  </si>
  <si>
    <t>7200151250</t>
  </si>
  <si>
    <t>8470080181-034562</t>
  </si>
  <si>
    <t>8472050193</t>
  </si>
  <si>
    <t>CD022</t>
  </si>
  <si>
    <t>Molecular Partners AG</t>
  </si>
  <si>
    <t>CD044</t>
  </si>
  <si>
    <t>Unispital Zürich Klinik für Immunologie</t>
  </si>
  <si>
    <t>CE184</t>
  </si>
  <si>
    <t>CG021</t>
  </si>
  <si>
    <t>Institute of Virology and Immunology (IVI)</t>
  </si>
  <si>
    <t>EC211126J1</t>
  </si>
  <si>
    <t>EC212716A1</t>
  </si>
  <si>
    <t>CYVITRIA AG</t>
  </si>
  <si>
    <t>FE195</t>
  </si>
  <si>
    <t>FE255</t>
  </si>
  <si>
    <t>Universität Basel - Biomedizin</t>
  </si>
  <si>
    <t>FE276</t>
  </si>
  <si>
    <t>Lausanne University Faculty of Biology and Medicine</t>
  </si>
  <si>
    <t>FE296</t>
  </si>
  <si>
    <t>FE298</t>
  </si>
  <si>
    <t>Universität Zürich - Irchel Cytometry lab</t>
  </si>
  <si>
    <t>FE310</t>
  </si>
  <si>
    <t>FF067</t>
  </si>
  <si>
    <t>Anaveon AG</t>
  </si>
  <si>
    <t>FF072</t>
  </si>
  <si>
    <t>University of Fribourg</t>
  </si>
  <si>
    <t>FF146</t>
  </si>
  <si>
    <t>FF201</t>
  </si>
  <si>
    <t>Centre Medicale Universitaire Flowcytometry</t>
  </si>
  <si>
    <t>FF204</t>
  </si>
  <si>
    <t>Universität Zürich - Institut fur Experimentelle Immuologie - Immune Regulation</t>
  </si>
  <si>
    <t>FF215</t>
  </si>
  <si>
    <t>FF223</t>
  </si>
  <si>
    <t>Hengrui SG Pte Ltd</t>
  </si>
  <si>
    <t>FF264</t>
  </si>
  <si>
    <t>FF265</t>
  </si>
  <si>
    <t>FF320</t>
  </si>
  <si>
    <t>FF332</t>
  </si>
  <si>
    <t>FG130</t>
  </si>
  <si>
    <t>FG131</t>
  </si>
  <si>
    <t>FG211</t>
  </si>
  <si>
    <t>FG213</t>
  </si>
  <si>
    <t>FG247</t>
  </si>
  <si>
    <t>University de Geneve Faculty of Science</t>
  </si>
  <si>
    <t>FG291</t>
  </si>
  <si>
    <t>Tenpoint Therapeutics GmbH</t>
  </si>
  <si>
    <t>FG338</t>
  </si>
  <si>
    <t>ETH Zurich</t>
  </si>
  <si>
    <t>FG366</t>
  </si>
  <si>
    <t>Roche Glycart AG</t>
  </si>
  <si>
    <t>FG369</t>
  </si>
  <si>
    <t>Cellerys AG</t>
  </si>
  <si>
    <t>FG372</t>
  </si>
  <si>
    <t>FH111</t>
  </si>
  <si>
    <t>FH126</t>
  </si>
  <si>
    <t>T3 Pharmaceuticals AG</t>
  </si>
  <si>
    <t>FH170</t>
  </si>
  <si>
    <t>FH173</t>
  </si>
  <si>
    <t>FS287</t>
  </si>
  <si>
    <t>CILAG AG</t>
  </si>
  <si>
    <t>GTI-0020436</t>
  </si>
  <si>
    <t>Selexis SA</t>
  </si>
  <si>
    <t>GTI-010081</t>
  </si>
  <si>
    <t>SWISS BIOBANK</t>
  </si>
  <si>
    <t>GTI-0200157R</t>
  </si>
  <si>
    <t>GTI-0300374</t>
  </si>
  <si>
    <t>MILLIPORE SIGMA SWITZERLAND</t>
  </si>
  <si>
    <t>GTI-100242</t>
  </si>
  <si>
    <t>GTI-2800060182</t>
  </si>
  <si>
    <t>Novartis Centre de Recherche Santé Animale SA (closed)</t>
  </si>
  <si>
    <t>GTI-3630080261R</t>
  </si>
  <si>
    <t>CYTOLAB</t>
  </si>
  <si>
    <t>GTI-3630080282</t>
  </si>
  <si>
    <t>GTI-3630080332R</t>
  </si>
  <si>
    <t>EVITRIA AG</t>
  </si>
  <si>
    <t>GTI-5430100211</t>
  </si>
  <si>
    <t>SENSIRION AG</t>
  </si>
  <si>
    <t>GTI-5580106108</t>
  </si>
  <si>
    <t>Insel Gruppe AG</t>
  </si>
  <si>
    <t>GTI-5580106109</t>
  </si>
  <si>
    <t>PHILIP MORRIS PRODUCTS SA</t>
  </si>
  <si>
    <t>GTI-6620115058</t>
  </si>
  <si>
    <t>GTI-6620115059</t>
  </si>
  <si>
    <t>GTI-6735116046</t>
  </si>
  <si>
    <t>ICHNOS SCIENCES SA</t>
  </si>
  <si>
    <t>GTI-6735118066</t>
  </si>
  <si>
    <t>GTI-6735128120</t>
  </si>
  <si>
    <t>GTI-96-3-040341?R</t>
  </si>
  <si>
    <t>GTI-96-3-060237R</t>
  </si>
  <si>
    <t>UNIKLINIK BALGRIST</t>
  </si>
  <si>
    <t>GTI-96-4-120549R</t>
  </si>
  <si>
    <t>HG003</t>
  </si>
  <si>
    <t>Hôpitaux Universitaires Genève (HUG)</t>
  </si>
  <si>
    <t>HG004</t>
  </si>
  <si>
    <t>HG009</t>
  </si>
  <si>
    <t>ISX141</t>
  </si>
  <si>
    <t>SWISS INSTITUTE OF ALLERGY AND ASTHMA RESEARCH</t>
  </si>
  <si>
    <t>ISX198</t>
  </si>
  <si>
    <t>Idorsia Pharmaceuticals Ltd</t>
  </si>
  <si>
    <t>ISX328</t>
  </si>
  <si>
    <t>ISX379</t>
  </si>
  <si>
    <t>SER00158777</t>
  </si>
  <si>
    <t>U0575</t>
  </si>
  <si>
    <t>00031759</t>
  </si>
  <si>
    <t>U0977</t>
  </si>
  <si>
    <t>00034660</t>
  </si>
  <si>
    <t>U1102</t>
  </si>
  <si>
    <t>00033770</t>
  </si>
  <si>
    <t>NE0005</t>
  </si>
  <si>
    <t>00015722</t>
  </si>
  <si>
    <t>NE0046</t>
  </si>
  <si>
    <t>00018005</t>
  </si>
  <si>
    <t>NE0047</t>
  </si>
  <si>
    <t>00031301</t>
  </si>
  <si>
    <t>NE0049</t>
  </si>
  <si>
    <t>00032237</t>
  </si>
  <si>
    <t>S0202</t>
  </si>
  <si>
    <t>00031031</t>
  </si>
  <si>
    <t>S0246SP</t>
  </si>
  <si>
    <t>00032802</t>
  </si>
  <si>
    <t>U0280</t>
  </si>
  <si>
    <t>00033448</t>
  </si>
  <si>
    <t>U0313</t>
  </si>
  <si>
    <t>00031622</t>
  </si>
  <si>
    <t>U0475</t>
  </si>
  <si>
    <t>00016474</t>
  </si>
  <si>
    <t>U0478</t>
  </si>
  <si>
    <t>00035878</t>
  </si>
  <si>
    <t>Nestlé Institute of Health Sciences (NIHS)</t>
  </si>
  <si>
    <t>U0812</t>
  </si>
  <si>
    <t>00015188</t>
  </si>
  <si>
    <t>U0818</t>
  </si>
  <si>
    <t>00015189</t>
  </si>
  <si>
    <t>U0965</t>
  </si>
  <si>
    <t>00015539</t>
  </si>
  <si>
    <t>U0966</t>
  </si>
  <si>
    <t>00015562</t>
  </si>
  <si>
    <t>U0975</t>
  </si>
  <si>
    <t>00035176</t>
  </si>
  <si>
    <t>U1044</t>
  </si>
  <si>
    <t>00015991</t>
  </si>
  <si>
    <t>U1064</t>
  </si>
  <si>
    <t>00035931</t>
  </si>
  <si>
    <t>U1100</t>
  </si>
  <si>
    <t>00017115</t>
  </si>
  <si>
    <t>U1128SP</t>
  </si>
  <si>
    <t>00034854</t>
  </si>
  <si>
    <t>U1172</t>
  </si>
  <si>
    <t>00017113</t>
  </si>
  <si>
    <t>U1236</t>
  </si>
  <si>
    <t>00017419</t>
  </si>
  <si>
    <t>U1387</t>
  </si>
  <si>
    <t>00031582</t>
  </si>
  <si>
    <t>U1486</t>
  </si>
  <si>
    <t>00032187</t>
  </si>
  <si>
    <t>U1491</t>
  </si>
  <si>
    <t>00035626</t>
  </si>
  <si>
    <t>U1617SP</t>
  </si>
  <si>
    <t>00033558</t>
  </si>
  <si>
    <t>V0203</t>
  </si>
  <si>
    <t>00017265</t>
  </si>
  <si>
    <t>V0213</t>
  </si>
  <si>
    <t>00017260</t>
  </si>
  <si>
    <t>V0281</t>
  </si>
  <si>
    <t>00015331</t>
  </si>
  <si>
    <t>V0342</t>
  </si>
  <si>
    <t>00035609</t>
  </si>
  <si>
    <t>Y0091</t>
  </si>
  <si>
    <t>00035879</t>
  </si>
  <si>
    <t>Y0499</t>
  </si>
  <si>
    <t>00017294</t>
  </si>
  <si>
    <t>Y0958SP</t>
  </si>
  <si>
    <t>00015679</t>
  </si>
  <si>
    <t>Y1091</t>
  </si>
  <si>
    <t>00032803</t>
  </si>
  <si>
    <t>Y1429</t>
  </si>
  <si>
    <t>00031891</t>
  </si>
  <si>
    <t>8470050125</t>
  </si>
  <si>
    <t>00033523</t>
  </si>
  <si>
    <t>8470050161</t>
  </si>
  <si>
    <t>00035376</t>
  </si>
  <si>
    <t>FRESENIUS KABI SWISS BIO SIM GMBH</t>
  </si>
  <si>
    <t>EC203097A1</t>
  </si>
  <si>
    <t>00034812</t>
  </si>
  <si>
    <t>EC203216A1</t>
  </si>
  <si>
    <t>00034811</t>
  </si>
  <si>
    <t>EC210056A1</t>
  </si>
  <si>
    <t>00034802</t>
  </si>
  <si>
    <t>EC231546D1</t>
  </si>
  <si>
    <t>00036177</t>
  </si>
  <si>
    <t>Alentis Therapeutics SA</t>
  </si>
  <si>
    <t>EC202406A1</t>
  </si>
  <si>
    <t>00036353</t>
  </si>
  <si>
    <t>REPERTOIRE IMMUNE MEDICINES (SWITZERLAND) AG</t>
  </si>
  <si>
    <t>FS185</t>
  </si>
  <si>
    <t>00030066</t>
  </si>
  <si>
    <t>LIGHT CHAIN BIOSCIENCE AG</t>
  </si>
  <si>
    <t>ISX117</t>
  </si>
  <si>
    <t>00034550</t>
  </si>
  <si>
    <t>ISX178</t>
  </si>
  <si>
    <t>00034810</t>
  </si>
  <si>
    <t>ISX475</t>
  </si>
  <si>
    <t>00034466</t>
  </si>
  <si>
    <t>ISX769</t>
  </si>
  <si>
    <t>00034637</t>
  </si>
  <si>
    <t>Ayus Laboratories AG</t>
  </si>
  <si>
    <t>ISX778</t>
  </si>
  <si>
    <t>00035342</t>
  </si>
  <si>
    <t>INSTITUTE FOR RESEARCH IN BIOMEDICINE (IRB)</t>
  </si>
  <si>
    <t>ISX786</t>
  </si>
  <si>
    <t>00033605</t>
  </si>
  <si>
    <t>Universität Basel - Biozentrum</t>
  </si>
  <si>
    <t>7200151249</t>
  </si>
  <si>
    <t>00034813</t>
  </si>
  <si>
    <t>N0659</t>
  </si>
  <si>
    <t>00034851</t>
  </si>
  <si>
    <t>NM1508SP</t>
  </si>
  <si>
    <t>00034853</t>
  </si>
  <si>
    <t>S0201</t>
  </si>
  <si>
    <t>00033196</t>
  </si>
  <si>
    <t>Kantonsspital Aarau</t>
  </si>
  <si>
    <t>U0486</t>
  </si>
  <si>
    <t>00034849</t>
  </si>
  <si>
    <t>U0505</t>
  </si>
  <si>
    <t>00036025</t>
  </si>
  <si>
    <t>U0584</t>
  </si>
  <si>
    <t>00035924</t>
  </si>
  <si>
    <t>U0795</t>
  </si>
  <si>
    <t>00034852</t>
  </si>
  <si>
    <t>U1620</t>
  </si>
  <si>
    <t>00033603</t>
  </si>
  <si>
    <t>Y0028</t>
  </si>
  <si>
    <t>00034850</t>
  </si>
  <si>
    <t>Y0328</t>
  </si>
  <si>
    <t>00035359</t>
  </si>
  <si>
    <t>CC411</t>
  </si>
  <si>
    <t>00008304</t>
  </si>
  <si>
    <t>CD084</t>
  </si>
  <si>
    <t>00013078</t>
  </si>
  <si>
    <t>MU22075002</t>
  </si>
  <si>
    <t>00021039</t>
  </si>
  <si>
    <t>VECTOR BIOPHARMA AG</t>
  </si>
  <si>
    <t>NE0041</t>
  </si>
  <si>
    <t>00034976</t>
  </si>
  <si>
    <t>NM1126</t>
  </si>
  <si>
    <t>00015609</t>
  </si>
  <si>
    <t>NM1482</t>
  </si>
  <si>
    <t>00031583</t>
  </si>
  <si>
    <t>R0291</t>
  </si>
  <si>
    <t>00010729</t>
  </si>
  <si>
    <t>R1147</t>
  </si>
  <si>
    <t>00016848</t>
  </si>
  <si>
    <t>S0301</t>
  </si>
  <si>
    <t>00035139</t>
  </si>
  <si>
    <t>S0342SP</t>
  </si>
  <si>
    <t>00034346</t>
  </si>
  <si>
    <t>U1435</t>
  </si>
  <si>
    <t>00031506</t>
  </si>
  <si>
    <t>U1674SP</t>
  </si>
  <si>
    <t>00034144</t>
  </si>
  <si>
    <t>U1677SP</t>
  </si>
  <si>
    <t>00034181</t>
  </si>
  <si>
    <t>6620135123</t>
  </si>
  <si>
    <t>TAIPEI MEDICAL UNIVERSITY</t>
  </si>
  <si>
    <t>Taiwan</t>
  </si>
  <si>
    <t>6620145172</t>
  </si>
  <si>
    <t>GAOJIAN TECHNOLOGY CO., LTD.</t>
  </si>
  <si>
    <t>673512S014</t>
  </si>
  <si>
    <t>Taiwan Livestock Research Institute</t>
  </si>
  <si>
    <t>673513S022</t>
  </si>
  <si>
    <t>6735146221</t>
  </si>
  <si>
    <t>HUMORIGIN BIOTECHNOLOGY CORP</t>
  </si>
  <si>
    <t>6735R8148</t>
  </si>
  <si>
    <t>NATIONAL DEFENSE MEDICAL CENTER</t>
  </si>
  <si>
    <t>7200150263</t>
  </si>
  <si>
    <t>7200150425</t>
  </si>
  <si>
    <t>7200150435</t>
  </si>
  <si>
    <t>7200150679</t>
  </si>
  <si>
    <t>PLEXBIO</t>
  </si>
  <si>
    <t>8470050206</t>
  </si>
  <si>
    <t>GLOBAL BIOPHARMA INC</t>
  </si>
  <si>
    <t>8470050226</t>
  </si>
  <si>
    <t>NATIONAL CHUNG HSING UNIVERSITY</t>
  </si>
  <si>
    <t>8470060187</t>
  </si>
  <si>
    <t>NATIONAL DONG HWA UNIVERSITY</t>
  </si>
  <si>
    <t>8470060222</t>
  </si>
  <si>
    <t>TRIPARTITE THERAPEUTICS INC</t>
  </si>
  <si>
    <t>8470060227</t>
  </si>
  <si>
    <t>OBI PHARMA, INC.</t>
  </si>
  <si>
    <t>8472060135</t>
  </si>
  <si>
    <t>GRAPE KING INC</t>
  </si>
  <si>
    <t>8472060136</t>
  </si>
  <si>
    <t>MACKAY MEDICAL COLLEGE</t>
  </si>
  <si>
    <t>8472060172</t>
  </si>
  <si>
    <t>KAOHSIUNG MEDICAL UNIVERSITY</t>
  </si>
  <si>
    <t>8472060173</t>
  </si>
  <si>
    <t>8472060180</t>
  </si>
  <si>
    <t>STEMINENT BIOTHERAPEUTICS INC</t>
  </si>
  <si>
    <t>8472060188</t>
  </si>
  <si>
    <t>ACADEMIA SINICA</t>
  </si>
  <si>
    <t>8472060189</t>
  </si>
  <si>
    <t>8472060190</t>
  </si>
  <si>
    <t>8577120107</t>
  </si>
  <si>
    <t>National Taiwan University</t>
  </si>
  <si>
    <t>8742060157</t>
  </si>
  <si>
    <t>EC210057D1</t>
  </si>
  <si>
    <t>EC211377C1</t>
  </si>
  <si>
    <t>EC211837C1</t>
  </si>
  <si>
    <t>FF141</t>
  </si>
  <si>
    <t>FF270</t>
  </si>
  <si>
    <t>FS108</t>
  </si>
  <si>
    <t>COLDSPRING BIOTECH CORPORATION</t>
  </si>
  <si>
    <t>ISX120</t>
  </si>
  <si>
    <t>GENOMICS RESEARCH CENTER, ACADEMIA SINICA</t>
  </si>
  <si>
    <t>ISX500</t>
  </si>
  <si>
    <t>NCTU DEPARTMENT OF MATERIALS SCIENCE AND ENGINEERING</t>
  </si>
  <si>
    <t>MU20258001</t>
  </si>
  <si>
    <t>MU21015001</t>
  </si>
  <si>
    <t>MU21032002</t>
  </si>
  <si>
    <t>MU21217003</t>
  </si>
  <si>
    <t>MU21242002</t>
  </si>
  <si>
    <t>MU22089001</t>
  </si>
  <si>
    <t>MU22094002</t>
  </si>
  <si>
    <t>MU22118001</t>
  </si>
  <si>
    <t>ISX707</t>
  </si>
  <si>
    <t>00029463</t>
  </si>
  <si>
    <t>SLA-ISX-PARTSONLY</t>
  </si>
  <si>
    <t>MU23055002</t>
  </si>
  <si>
    <t>00017593</t>
  </si>
  <si>
    <t>N0878</t>
  </si>
  <si>
    <t>00016366</t>
  </si>
  <si>
    <t>N1050</t>
  </si>
  <si>
    <t>00015828</t>
  </si>
  <si>
    <t>NM1090</t>
  </si>
  <si>
    <t>00014582</t>
  </si>
  <si>
    <t>Bond Biotech Inc</t>
  </si>
  <si>
    <t>NM1385</t>
  </si>
  <si>
    <t>00017644</t>
  </si>
  <si>
    <t>N0731</t>
  </si>
  <si>
    <t>00016127</t>
  </si>
  <si>
    <t>NM1075</t>
  </si>
  <si>
    <t>00030986</t>
  </si>
  <si>
    <t>NM1097</t>
  </si>
  <si>
    <t>00016771</t>
  </si>
  <si>
    <t>R0692</t>
  </si>
  <si>
    <t>00017915</t>
  </si>
  <si>
    <t>National Health Research Institute</t>
  </si>
  <si>
    <t>S0179</t>
  </si>
  <si>
    <t>00016776</t>
  </si>
  <si>
    <t>U1106</t>
  </si>
  <si>
    <t>00016159</t>
  </si>
  <si>
    <t>V0158</t>
  </si>
  <si>
    <t>00016761</t>
  </si>
  <si>
    <t>7200151229</t>
  </si>
  <si>
    <t>BECTHAI BANGKOK EQUIPMENT AND CHEMICAL CO., LTD</t>
  </si>
  <si>
    <t>Thailand</t>
  </si>
  <si>
    <t>7200151237</t>
  </si>
  <si>
    <t>7200151260</t>
  </si>
  <si>
    <t>EC200434A1</t>
  </si>
  <si>
    <t>FACULTY OF NATURAL RESOURCES, PRINCE OF SONGKLA UNIVERSITY</t>
  </si>
  <si>
    <t>EC201324C2</t>
  </si>
  <si>
    <t>MAHIDOL UNIVERSITY</t>
  </si>
  <si>
    <t>EC210186C1</t>
  </si>
  <si>
    <t>SRINAKHARINWIROT UNIVERSITY</t>
  </si>
  <si>
    <t>FH139</t>
  </si>
  <si>
    <t>FS231</t>
  </si>
  <si>
    <t>Merck KGaA - Merck Ltd Thailand</t>
  </si>
  <si>
    <t>FS299</t>
  </si>
  <si>
    <t>CHIANGMAI IVF</t>
  </si>
  <si>
    <t>ISX674</t>
  </si>
  <si>
    <t>RESEARCH INSTITUTE FOR HEALTH SCIENCE, CHIANG MAI UNIVERSITY</t>
  </si>
  <si>
    <t>MU20133004</t>
  </si>
  <si>
    <t>MU20342005</t>
  </si>
  <si>
    <t>MU21041004</t>
  </si>
  <si>
    <t>MU21238001</t>
  </si>
  <si>
    <t>MU23075004</t>
  </si>
  <si>
    <t>00017650</t>
  </si>
  <si>
    <t>MU23076001</t>
  </si>
  <si>
    <t>00017852</t>
  </si>
  <si>
    <t>MU23086004</t>
  </si>
  <si>
    <t>00017951</t>
  </si>
  <si>
    <t>NM1269</t>
  </si>
  <si>
    <t>00016153</t>
  </si>
  <si>
    <t>THAILAND</t>
  </si>
  <si>
    <t>NM1551</t>
  </si>
  <si>
    <t>00033338</t>
  </si>
  <si>
    <t>RM1012</t>
  </si>
  <si>
    <t>00033581</t>
  </si>
  <si>
    <t>CC199</t>
  </si>
  <si>
    <t>AGBL Orta Asia (Turkey)-Acibadem University</t>
  </si>
  <si>
    <t>Turkey</t>
  </si>
  <si>
    <t>R0114</t>
  </si>
  <si>
    <t>00010219</t>
  </si>
  <si>
    <t>MU20031001</t>
  </si>
  <si>
    <t>Uganda</t>
  </si>
  <si>
    <t>NE0006</t>
  </si>
  <si>
    <t>00013907</t>
  </si>
  <si>
    <t>Medical Company Empirica</t>
  </si>
  <si>
    <t>Ukraine</t>
  </si>
  <si>
    <t>7200151179</t>
  </si>
  <si>
    <t>Gulf Scientific Corporation (GSC)</t>
  </si>
  <si>
    <t>United Arab Emirates</t>
  </si>
  <si>
    <t>7200151248</t>
  </si>
  <si>
    <t>8470050330</t>
  </si>
  <si>
    <t>RENECO INTERNATIONAL WILDLIFE CONSULTANTS LLC</t>
  </si>
  <si>
    <t>CE073</t>
  </si>
  <si>
    <t>CS096</t>
  </si>
  <si>
    <t>EC200504C1</t>
  </si>
  <si>
    <t>N0701</t>
  </si>
  <si>
    <t>00014058</t>
  </si>
  <si>
    <t>CS102</t>
  </si>
  <si>
    <t>00030254</t>
  </si>
  <si>
    <t>SLA-CS-PARTSONLY</t>
  </si>
  <si>
    <t>NE0011</t>
  </si>
  <si>
    <t>00013749</t>
  </si>
  <si>
    <t>Y0957</t>
  </si>
  <si>
    <t>00033951</t>
  </si>
  <si>
    <t>2312505-038857</t>
  </si>
  <si>
    <t>Queen's University Belfast</t>
  </si>
  <si>
    <t>United Kingdom</t>
  </si>
  <si>
    <t>23637362</t>
  </si>
  <si>
    <t>530545</t>
  </si>
  <si>
    <t>Imperial College London</t>
  </si>
  <si>
    <t>6620126078</t>
  </si>
  <si>
    <t>ADAMS CLINIC LTD</t>
  </si>
  <si>
    <t>6620128024</t>
  </si>
  <si>
    <t>UNIVERSITY OF READING</t>
  </si>
  <si>
    <t>662012S014</t>
  </si>
  <si>
    <t>UNIVERSITY OF STIRLING</t>
  </si>
  <si>
    <t>6620135121</t>
  </si>
  <si>
    <t>Cells4Life Group LLP</t>
  </si>
  <si>
    <t>6620145159</t>
  </si>
  <si>
    <t>King's College London</t>
  </si>
  <si>
    <t>6735126080</t>
  </si>
  <si>
    <t>City St George's, University of London - Tooting Campus</t>
  </si>
  <si>
    <t>6735128166</t>
  </si>
  <si>
    <t>CYCLACEL LTD</t>
  </si>
  <si>
    <t>6735128171</t>
  </si>
  <si>
    <t>University of Hertfordshire</t>
  </si>
  <si>
    <t>6735136126</t>
  </si>
  <si>
    <t>Genome Research Limited</t>
  </si>
  <si>
    <t>6735138183</t>
  </si>
  <si>
    <t>Animal &amp; Plant Health Agency (APHA)</t>
  </si>
  <si>
    <t>6735138227</t>
  </si>
  <si>
    <t>6735138229</t>
  </si>
  <si>
    <t>Astex Therapeutics Ltd</t>
  </si>
  <si>
    <t>6735145212</t>
  </si>
  <si>
    <t>6735146187</t>
  </si>
  <si>
    <t>SARTORIUS STEDIM BIOOUTSOURCE LTD</t>
  </si>
  <si>
    <t>6735146192</t>
  </si>
  <si>
    <t>University of Cambridge - John Van Geest Centre for Brain Repair</t>
  </si>
  <si>
    <t>6735-R5166</t>
  </si>
  <si>
    <t>Millipore (UK) Limited</t>
  </si>
  <si>
    <t>6735-R8011</t>
  </si>
  <si>
    <t>London Metropolitan University</t>
  </si>
  <si>
    <t>700121286</t>
  </si>
  <si>
    <t>7200120481</t>
  </si>
  <si>
    <t>University College London (UCL)</t>
  </si>
  <si>
    <t>7200120755</t>
  </si>
  <si>
    <t>The Francis Crick Institute</t>
  </si>
  <si>
    <t>7200120779</t>
  </si>
  <si>
    <t>7200120801</t>
  </si>
  <si>
    <t>ARGONAUT THERAPEUTICS LTD</t>
  </si>
  <si>
    <t>7200120831</t>
  </si>
  <si>
    <t>7200120833</t>
  </si>
  <si>
    <t>7200120902</t>
  </si>
  <si>
    <t>University of Dundee</t>
  </si>
  <si>
    <t>7200120913</t>
  </si>
  <si>
    <t>Kymab (Sanofi)</t>
  </si>
  <si>
    <t>7200120986</t>
  </si>
  <si>
    <t>7200121067</t>
  </si>
  <si>
    <t>7200121175</t>
  </si>
  <si>
    <t>University of Surrey</t>
  </si>
  <si>
    <t>7200121249</t>
  </si>
  <si>
    <t>7200121382</t>
  </si>
  <si>
    <t>INSTITUTE OF CANCER RESEARCH (ICR)</t>
  </si>
  <si>
    <t>7200121520</t>
  </si>
  <si>
    <t>Royal Free London NHS Foundation Trust</t>
  </si>
  <si>
    <t>7200121566</t>
  </si>
  <si>
    <t>Cardiff University</t>
  </si>
  <si>
    <t>7200121633</t>
  </si>
  <si>
    <t>Oxford Brookes University</t>
  </si>
  <si>
    <t>7200121644</t>
  </si>
  <si>
    <t>7200150285</t>
  </si>
  <si>
    <t>7200150286</t>
  </si>
  <si>
    <t>Southmead Hospital</t>
  </si>
  <si>
    <t>7200150402</t>
  </si>
  <si>
    <t>Lonza Biologics Plc - Cambridge</t>
  </si>
  <si>
    <t>7200150622</t>
  </si>
  <si>
    <t>UNIVERSITY OF EAST ANGLIA</t>
  </si>
  <si>
    <t>7200150650</t>
  </si>
  <si>
    <t>Birmingham City University</t>
  </si>
  <si>
    <t>7200150653</t>
  </si>
  <si>
    <t>Nottingham Trent University</t>
  </si>
  <si>
    <t>7200150654</t>
  </si>
  <si>
    <t>7200150656</t>
  </si>
  <si>
    <t>7200150658</t>
  </si>
  <si>
    <t>7200150690</t>
  </si>
  <si>
    <t>7200150744</t>
  </si>
  <si>
    <t>7200150829</t>
  </si>
  <si>
    <t>7200150883</t>
  </si>
  <si>
    <t>7200150898</t>
  </si>
  <si>
    <t>PHOENIX HOSPITAL GROUP - WEYMOUTH STREET HOSPITAL</t>
  </si>
  <si>
    <t>7200150902</t>
  </si>
  <si>
    <t>7200150981</t>
  </si>
  <si>
    <t>University of Sussex</t>
  </si>
  <si>
    <t>7200150990A</t>
  </si>
  <si>
    <t>7200151004A</t>
  </si>
  <si>
    <t>72001510185</t>
  </si>
  <si>
    <t>University of Birmingham</t>
  </si>
  <si>
    <t>72001510186</t>
  </si>
  <si>
    <t>7200151021</t>
  </si>
  <si>
    <t>7200151022</t>
  </si>
  <si>
    <t>7200151063</t>
  </si>
  <si>
    <t>7200151125</t>
  </si>
  <si>
    <t>MYTOS FRMLY CYTERA CELLWORKS</t>
  </si>
  <si>
    <t>847000203NA</t>
  </si>
  <si>
    <t>SOUTHAMPTON SOLENT UNIVERSITY</t>
  </si>
  <si>
    <t>8470060102</t>
  </si>
  <si>
    <t>8470060141</t>
  </si>
  <si>
    <t>University of Southampton</t>
  </si>
  <si>
    <t>8470060143</t>
  </si>
  <si>
    <t>MSD Animal Health UK Limited</t>
  </si>
  <si>
    <t>8470060157</t>
  </si>
  <si>
    <t>LABCORP EARLY DEVELOPMENT LTD</t>
  </si>
  <si>
    <t>8470060195</t>
  </si>
  <si>
    <t>8470060232</t>
  </si>
  <si>
    <t>8470080120</t>
  </si>
  <si>
    <t>8470080200SN</t>
  </si>
  <si>
    <t>VWR JENCONS LTD</t>
  </si>
  <si>
    <t>8470110101</t>
  </si>
  <si>
    <t>8470110105</t>
  </si>
  <si>
    <t>BLACK BELT THERAPEUTICS LTD - STEVENAGE BIOSCIENCE CATALYST</t>
  </si>
  <si>
    <t>8470120101</t>
  </si>
  <si>
    <t>UNIVERSITY OF CENTRAL LANCASHIRE</t>
  </si>
  <si>
    <t>8470120109</t>
  </si>
  <si>
    <t>8470120163</t>
  </si>
  <si>
    <t>ALMAC DISCOVERY</t>
  </si>
  <si>
    <t>8470120181</t>
  </si>
  <si>
    <t>ANTIKOR BIOPHARMA LTD</t>
  </si>
  <si>
    <t>8472050128</t>
  </si>
  <si>
    <t>8472060158</t>
  </si>
  <si>
    <t>Alder Hey Children's Hospital</t>
  </si>
  <si>
    <t>8472060219</t>
  </si>
  <si>
    <t>8574100105</t>
  </si>
  <si>
    <t>University of Glasgow</t>
  </si>
  <si>
    <t>91000047908</t>
  </si>
  <si>
    <t>B5402K08</t>
  </si>
  <si>
    <t>CD033</t>
  </si>
  <si>
    <t>IQVIA Laboratories Ltd (UK) - Edinburgh</t>
  </si>
  <si>
    <t>CE146</t>
  </si>
  <si>
    <t>CS031</t>
  </si>
  <si>
    <t>Evox Therapeutics Limited</t>
  </si>
  <si>
    <t>CS035</t>
  </si>
  <si>
    <t>EC200594C1</t>
  </si>
  <si>
    <t>EC203376A3</t>
  </si>
  <si>
    <t>Raft Solutions Limited</t>
  </si>
  <si>
    <t>EC210126C1</t>
  </si>
  <si>
    <t>Curileum Discovery Ltd</t>
  </si>
  <si>
    <t>FE294</t>
  </si>
  <si>
    <t>Quell Therapeutics Ltd</t>
  </si>
  <si>
    <t>FE306</t>
  </si>
  <si>
    <t>FF008</t>
  </si>
  <si>
    <t>Adaptimmune Limited</t>
  </si>
  <si>
    <t>FF050</t>
  </si>
  <si>
    <t>Maxion Therapeutics</t>
  </si>
  <si>
    <t>FF069</t>
  </si>
  <si>
    <t>FF210</t>
  </si>
  <si>
    <t>Pierian Biosciences UK</t>
  </si>
  <si>
    <t>FG040</t>
  </si>
  <si>
    <t>FG060</t>
  </si>
  <si>
    <t>FG062</t>
  </si>
  <si>
    <t>FG252</t>
  </si>
  <si>
    <t>FG253</t>
  </si>
  <si>
    <t>FG254</t>
  </si>
  <si>
    <t>FG288</t>
  </si>
  <si>
    <t>FG289</t>
  </si>
  <si>
    <t>FG290</t>
  </si>
  <si>
    <t>FH119</t>
  </si>
  <si>
    <t>Alliance Pharma</t>
  </si>
  <si>
    <t>FH187</t>
  </si>
  <si>
    <t>FS165</t>
  </si>
  <si>
    <t>FS257</t>
  </si>
  <si>
    <t>Swansea University</t>
  </si>
  <si>
    <t>GTI-0100114</t>
  </si>
  <si>
    <t>Lonza Biologics Plc - Slough</t>
  </si>
  <si>
    <t>GTI-0200149</t>
  </si>
  <si>
    <t>GTI-0200153</t>
  </si>
  <si>
    <t>GTI-0200212</t>
  </si>
  <si>
    <t>SYNGENTA UK LIMITED</t>
  </si>
  <si>
    <t>GTI-0200238</t>
  </si>
  <si>
    <t>GTI-0200257</t>
  </si>
  <si>
    <t>GTI-0200258</t>
  </si>
  <si>
    <t>Takeda Cambridge Ltd (UK)</t>
  </si>
  <si>
    <t>GTI-0300325R</t>
  </si>
  <si>
    <t>GTI-0400544</t>
  </si>
  <si>
    <t>iosBio LTD</t>
  </si>
  <si>
    <t>GTI-0900855</t>
  </si>
  <si>
    <t>GTI-1100895</t>
  </si>
  <si>
    <t>GTI-2800060123</t>
  </si>
  <si>
    <t>INTERCYTEX LTD</t>
  </si>
  <si>
    <t>GTI-2800070209</t>
  </si>
  <si>
    <t>Philips Research Laboratories Limited</t>
  </si>
  <si>
    <t>GTI-2800070212R</t>
  </si>
  <si>
    <t>GTI-2800090271</t>
  </si>
  <si>
    <t>GTI-3630060122</t>
  </si>
  <si>
    <t>RANDALL CENTRE - NEW HUNTS HOUSE</t>
  </si>
  <si>
    <t>GTI-3630070147</t>
  </si>
  <si>
    <t>GTI-3630070161</t>
  </si>
  <si>
    <t>GTI-3630070176</t>
  </si>
  <si>
    <t>GTI-3630080336</t>
  </si>
  <si>
    <t>AURELIA BIOSCIENCE LTD</t>
  </si>
  <si>
    <t>GTI-3630080364</t>
  </si>
  <si>
    <t>University of Durham (Durham University)</t>
  </si>
  <si>
    <t>GTI-3630090400R</t>
  </si>
  <si>
    <t>GTI-3630090409</t>
  </si>
  <si>
    <t>Global Life Sciences Solutions Operations UK Ltd (Cytiva) - Cardiff</t>
  </si>
  <si>
    <t>GTI-3630100444R</t>
  </si>
  <si>
    <t>LIVERPOOL JOHN MOORES UNIVERSITY</t>
  </si>
  <si>
    <t>GTI-5430090121</t>
  </si>
  <si>
    <t>INSTITUTE FOR CANCER RESEARCH</t>
  </si>
  <si>
    <t>GTI-5430100210</t>
  </si>
  <si>
    <t>GTI-5430100218</t>
  </si>
  <si>
    <t>GTI-6620115043</t>
  </si>
  <si>
    <t>Linnaeus Veterinary Ltd (Dick White Referrals Ltd)</t>
  </si>
  <si>
    <t>GTI-6620115053</t>
  </si>
  <si>
    <t>UNIVERSITY OF HUDDERSFIELD</t>
  </si>
  <si>
    <t>GTI-6620116036</t>
  </si>
  <si>
    <t>University of Bath</t>
  </si>
  <si>
    <t>GTI-6620116040</t>
  </si>
  <si>
    <t>Life Science Group Ltd (LSG)</t>
  </si>
  <si>
    <t>GTI-6620118007</t>
  </si>
  <si>
    <t>GTI-6735115059</t>
  </si>
  <si>
    <t>UK BIOBANK LTD</t>
  </si>
  <si>
    <t>GTI-6735116015</t>
  </si>
  <si>
    <t>GTI-6735116058</t>
  </si>
  <si>
    <t>University of Liverpool</t>
  </si>
  <si>
    <t>GTI-6735118044</t>
  </si>
  <si>
    <t>GTI-6735118060</t>
  </si>
  <si>
    <t>GTI-6735118072</t>
  </si>
  <si>
    <t>LOUGHBOROUGH UNIVERSITY</t>
  </si>
  <si>
    <t>GTI-6735125109</t>
  </si>
  <si>
    <t>GTI-6735128122</t>
  </si>
  <si>
    <t>University of Nottingham</t>
  </si>
  <si>
    <t>GTI-6735128142</t>
  </si>
  <si>
    <t>University of St Andrews</t>
  </si>
  <si>
    <t>GTI-96-4-010187R</t>
  </si>
  <si>
    <t>Galapagos Argenta UK (closed)</t>
  </si>
  <si>
    <t>GTI-96-4-040452R</t>
  </si>
  <si>
    <t>GTI-96-4-060475</t>
  </si>
  <si>
    <t>STEMCELL TECHNOLOGIES UK LTD</t>
  </si>
  <si>
    <t>GTI-96-4-070483</t>
  </si>
  <si>
    <t>GTI-96-4-090526</t>
  </si>
  <si>
    <t>Smith and Nephew Group Research Limited</t>
  </si>
  <si>
    <t>GTI-96-4-100409R</t>
  </si>
  <si>
    <t>EPISTEM LTD</t>
  </si>
  <si>
    <t>GTI-96-4-110542</t>
  </si>
  <si>
    <t>St. James University Hospital</t>
  </si>
  <si>
    <t>ISX172</t>
  </si>
  <si>
    <t>ISX174</t>
  </si>
  <si>
    <t>ISX337</t>
  </si>
  <si>
    <t>Anglia Ruskin University</t>
  </si>
  <si>
    <t>ISX448</t>
  </si>
  <si>
    <t>MI102</t>
  </si>
  <si>
    <t>CYTOCELL LTD</t>
  </si>
  <si>
    <t>MU21147002</t>
  </si>
  <si>
    <t>Imerys Minerals Ltd</t>
  </si>
  <si>
    <t>MU21153002</t>
  </si>
  <si>
    <t>MU21231004</t>
  </si>
  <si>
    <t>CELERION GB LTD</t>
  </si>
  <si>
    <t>PO2302228</t>
  </si>
  <si>
    <t>UCL Great Ormond Street Institute of Child Health (GOS ICH)</t>
  </si>
  <si>
    <t>U0748</t>
  </si>
  <si>
    <t>U1659</t>
  </si>
  <si>
    <t>CC449</t>
  </si>
  <si>
    <t>00015583</t>
  </si>
  <si>
    <t>CE089</t>
  </si>
  <si>
    <t>00014691</t>
  </si>
  <si>
    <t>FG178</t>
  </si>
  <si>
    <t>00014485</t>
  </si>
  <si>
    <t>ISX783</t>
  </si>
  <si>
    <t>00034768</t>
  </si>
  <si>
    <t>N0623</t>
  </si>
  <si>
    <t>00036308</t>
  </si>
  <si>
    <t>Newcastle University</t>
  </si>
  <si>
    <t>N0691</t>
  </si>
  <si>
    <t>00013771</t>
  </si>
  <si>
    <t>Barinthus Biotherapeutics (UK) Ltd</t>
  </si>
  <si>
    <t>NM1091</t>
  </si>
  <si>
    <t>00036917</t>
  </si>
  <si>
    <t>Mestag Therapeutics Ltd</t>
  </si>
  <si>
    <t>R0017</t>
  </si>
  <si>
    <t>00036958</t>
  </si>
  <si>
    <t>Imperial College London - Hammersmith</t>
  </si>
  <si>
    <t>R0025</t>
  </si>
  <si>
    <t>00036737</t>
  </si>
  <si>
    <t>R0066</t>
  </si>
  <si>
    <t>00034795</t>
  </si>
  <si>
    <t>R0069</t>
  </si>
  <si>
    <t>00031184</t>
  </si>
  <si>
    <t>University of Cambridge - Department of Pathology</t>
  </si>
  <si>
    <t>R0507</t>
  </si>
  <si>
    <t>00035510</t>
  </si>
  <si>
    <t>Liverpool School of Tropical Medicine</t>
  </si>
  <si>
    <t>R0613</t>
  </si>
  <si>
    <t>00036828</t>
  </si>
  <si>
    <t>University of Oxford - Institute of Developmental and Regenerative Medicine (IDRM)</t>
  </si>
  <si>
    <t>R0753</t>
  </si>
  <si>
    <t>00036205</t>
  </si>
  <si>
    <t>R0823</t>
  </si>
  <si>
    <t>00036609</t>
  </si>
  <si>
    <t>R0959</t>
  </si>
  <si>
    <t>00016026</t>
  </si>
  <si>
    <t>U0191</t>
  </si>
  <si>
    <t>00035991</t>
  </si>
  <si>
    <t>U0215</t>
  </si>
  <si>
    <t>00035220</t>
  </si>
  <si>
    <t>Imperial College London - South Kensington</t>
  </si>
  <si>
    <t>U0353</t>
  </si>
  <si>
    <t>00031460</t>
  </si>
  <si>
    <t>U0377</t>
  </si>
  <si>
    <t>00034898</t>
  </si>
  <si>
    <t>Guy's and St. Thomas' NHS Foundation Trust</t>
  </si>
  <si>
    <t>U0409</t>
  </si>
  <si>
    <t>00034260</t>
  </si>
  <si>
    <t>U0410</t>
  </si>
  <si>
    <t>00034262</t>
  </si>
  <si>
    <t>U0495</t>
  </si>
  <si>
    <t>00034263</t>
  </si>
  <si>
    <t>U0503</t>
  </si>
  <si>
    <t>00034265</t>
  </si>
  <si>
    <t>U0508</t>
  </si>
  <si>
    <t>00034900</t>
  </si>
  <si>
    <t>Queen Mary University of London (QMUL) - Blizard Institute</t>
  </si>
  <si>
    <t>U0554</t>
  </si>
  <si>
    <t>00034266</t>
  </si>
  <si>
    <t>U0559</t>
  </si>
  <si>
    <t>00034269</t>
  </si>
  <si>
    <t>U0605</t>
  </si>
  <si>
    <t>00035270</t>
  </si>
  <si>
    <t>U0631</t>
  </si>
  <si>
    <t>00035371</t>
  </si>
  <si>
    <t>U0650</t>
  </si>
  <si>
    <t>00034895</t>
  </si>
  <si>
    <t>U0684</t>
  </si>
  <si>
    <t>U0707</t>
  </si>
  <si>
    <t>00015581</t>
  </si>
  <si>
    <t>Cancer Research UK (CRUK) Cambridge Institute</t>
  </si>
  <si>
    <t>U0769</t>
  </si>
  <si>
    <t>00035761</t>
  </si>
  <si>
    <t>U0796</t>
  </si>
  <si>
    <t>00014749</t>
  </si>
  <si>
    <t>UCL Institute of Immunity &amp; Transplantation (IIT)</t>
  </si>
  <si>
    <t>U0817</t>
  </si>
  <si>
    <t>00014692</t>
  </si>
  <si>
    <t>U0880</t>
  </si>
  <si>
    <t>00035629</t>
  </si>
  <si>
    <t>U0976</t>
  </si>
  <si>
    <t>00034275</t>
  </si>
  <si>
    <t>U0990</t>
  </si>
  <si>
    <t>00035470</t>
  </si>
  <si>
    <t>U1015SP</t>
  </si>
  <si>
    <t>00015756</t>
  </si>
  <si>
    <t>U1192SP</t>
  </si>
  <si>
    <t>00034856</t>
  </si>
  <si>
    <t>Bit Bio Ltd</t>
  </si>
  <si>
    <t>U1210</t>
  </si>
  <si>
    <t>00034276</t>
  </si>
  <si>
    <t>U1310</t>
  </si>
  <si>
    <t>00017457</t>
  </si>
  <si>
    <t>U1319</t>
  </si>
  <si>
    <t>00036203</t>
  </si>
  <si>
    <t>U1349</t>
  </si>
  <si>
    <t>00017861</t>
  </si>
  <si>
    <t>U1388</t>
  </si>
  <si>
    <t>00031590</t>
  </si>
  <si>
    <t>V0253</t>
  </si>
  <si>
    <t>00034886</t>
  </si>
  <si>
    <t>V0255</t>
  </si>
  <si>
    <t>00035264</t>
  </si>
  <si>
    <t>V0316</t>
  </si>
  <si>
    <t>00035267</t>
  </si>
  <si>
    <t>V0420</t>
  </si>
  <si>
    <t>00035478</t>
  </si>
  <si>
    <t>DSTL</t>
  </si>
  <si>
    <t>V0729</t>
  </si>
  <si>
    <t>00034899</t>
  </si>
  <si>
    <t>V0868</t>
  </si>
  <si>
    <t>00035208</t>
  </si>
  <si>
    <t>V0994</t>
  </si>
  <si>
    <t>00036084</t>
  </si>
  <si>
    <t>V1366</t>
  </si>
  <si>
    <t>00017863</t>
  </si>
  <si>
    <t>Y0540</t>
  </si>
  <si>
    <t>00036309</t>
  </si>
  <si>
    <t>CS038</t>
  </si>
  <si>
    <t>00033932</t>
  </si>
  <si>
    <t>University of Oxford - Plant Sciences</t>
  </si>
  <si>
    <t>CS026</t>
  </si>
  <si>
    <t>00035645</t>
  </si>
  <si>
    <t>Cambridge Advanced Research Alliance (CARA)</t>
  </si>
  <si>
    <t>CS065</t>
  </si>
  <si>
    <t>00030181</t>
  </si>
  <si>
    <t>CS066</t>
  </si>
  <si>
    <t>00030177</t>
  </si>
  <si>
    <t>CS076</t>
  </si>
  <si>
    <t>00030188</t>
  </si>
  <si>
    <t>CS085</t>
  </si>
  <si>
    <t>00036107</t>
  </si>
  <si>
    <t>CS082</t>
  </si>
  <si>
    <t>00033501</t>
  </si>
  <si>
    <t>CS090</t>
  </si>
  <si>
    <t>00033502</t>
  </si>
  <si>
    <t>8470060186</t>
  </si>
  <si>
    <t>00031474</t>
  </si>
  <si>
    <t>XCellR8 Ltd</t>
  </si>
  <si>
    <t>8470060202</t>
  </si>
  <si>
    <t>00030496</t>
  </si>
  <si>
    <t>O2H GROUP</t>
  </si>
  <si>
    <t>8470080144</t>
  </si>
  <si>
    <t>00033204</t>
  </si>
  <si>
    <t>8470080169</t>
  </si>
  <si>
    <t>00033687</t>
  </si>
  <si>
    <t>8470080187-035926</t>
  </si>
  <si>
    <t>00025029</t>
  </si>
  <si>
    <t>8470130164</t>
  </si>
  <si>
    <t>00025933</t>
  </si>
  <si>
    <t>8470130186</t>
  </si>
  <si>
    <t>00036796</t>
  </si>
  <si>
    <t>8472060102</t>
  </si>
  <si>
    <t>00031881</t>
  </si>
  <si>
    <t>University of Worcester</t>
  </si>
  <si>
    <t>8472060124</t>
  </si>
  <si>
    <t>00033107</t>
  </si>
  <si>
    <t>8472060147</t>
  </si>
  <si>
    <t>00034288</t>
  </si>
  <si>
    <t>Keele University</t>
  </si>
  <si>
    <t>8472060209</t>
  </si>
  <si>
    <t>00036007</t>
  </si>
  <si>
    <t>8574100116</t>
  </si>
  <si>
    <t>00036521</t>
  </si>
  <si>
    <t>EC202686H1</t>
  </si>
  <si>
    <t>00033955</t>
  </si>
  <si>
    <t>EC203386E1</t>
  </si>
  <si>
    <t>00036173</t>
  </si>
  <si>
    <t>EC210757E1</t>
  </si>
  <si>
    <t>00033753</t>
  </si>
  <si>
    <t>EC212366D1</t>
  </si>
  <si>
    <t>00025344</t>
  </si>
  <si>
    <t>STAFFORDSHIRE UNIVERSITY</t>
  </si>
  <si>
    <t>EC230746D1</t>
  </si>
  <si>
    <t>00036490</t>
  </si>
  <si>
    <t>Alethio Therapeutics Limited</t>
  </si>
  <si>
    <t>8470050317</t>
  </si>
  <si>
    <t>00031641</t>
  </si>
  <si>
    <t>8470050319</t>
  </si>
  <si>
    <t>00023041</t>
  </si>
  <si>
    <t>8470080184</t>
  </si>
  <si>
    <t>00034994</t>
  </si>
  <si>
    <t>8470080211</t>
  </si>
  <si>
    <t>00033776</t>
  </si>
  <si>
    <t>8472050187</t>
  </si>
  <si>
    <t>00035646</t>
  </si>
  <si>
    <t>EC200374A1</t>
  </si>
  <si>
    <t>00034545</t>
  </si>
  <si>
    <t>EC203036H1</t>
  </si>
  <si>
    <t>00034547</t>
  </si>
  <si>
    <t>EC203246A1</t>
  </si>
  <si>
    <t>00034542</t>
  </si>
  <si>
    <t>EC203376A1</t>
  </si>
  <si>
    <t>00034543</t>
  </si>
  <si>
    <t>EC203506H1</t>
  </si>
  <si>
    <t>00034546</t>
  </si>
  <si>
    <t>EC211826F1</t>
  </si>
  <si>
    <t>00034549</t>
  </si>
  <si>
    <t>EC231826D1</t>
  </si>
  <si>
    <t>00034993</t>
  </si>
  <si>
    <t>8470060117</t>
  </si>
  <si>
    <t>00023846</t>
  </si>
  <si>
    <t>Censo Biotechnologies Ltd</t>
  </si>
  <si>
    <t>8470060118</t>
  </si>
  <si>
    <t>00024212</t>
  </si>
  <si>
    <t>8470060273</t>
  </si>
  <si>
    <t>00024275</t>
  </si>
  <si>
    <t>EC201826D1</t>
  </si>
  <si>
    <t>00033548</t>
  </si>
  <si>
    <t>EC231536D2</t>
  </si>
  <si>
    <t>00030855</t>
  </si>
  <si>
    <t>The University of Manchester</t>
  </si>
  <si>
    <t>EC232206E1</t>
  </si>
  <si>
    <t>00032579</t>
  </si>
  <si>
    <t>University of Cambridge - Department of Medicine</t>
  </si>
  <si>
    <t>8470H50291SN</t>
  </si>
  <si>
    <t>00026087</t>
  </si>
  <si>
    <t>Quadram Institute Bioscience</t>
  </si>
  <si>
    <t>ISX489</t>
  </si>
  <si>
    <t>00035778</t>
  </si>
  <si>
    <t>ISX520</t>
  </si>
  <si>
    <t>00036790</t>
  </si>
  <si>
    <t>ISX547</t>
  </si>
  <si>
    <t>00034407</t>
  </si>
  <si>
    <t>University of Aberdeen</t>
  </si>
  <si>
    <t>ISX561</t>
  </si>
  <si>
    <t>00032430</t>
  </si>
  <si>
    <t>ISX611</t>
  </si>
  <si>
    <t>00036254</t>
  </si>
  <si>
    <t>ISX627</t>
  </si>
  <si>
    <t>00035779</t>
  </si>
  <si>
    <t>ISX776</t>
  </si>
  <si>
    <t>00035149</t>
  </si>
  <si>
    <t>ImmuONE Ltd</t>
  </si>
  <si>
    <t>ISX148</t>
  </si>
  <si>
    <t>00032577</t>
  </si>
  <si>
    <t>ISX185</t>
  </si>
  <si>
    <t>00031476</t>
  </si>
  <si>
    <t>ISX187</t>
  </si>
  <si>
    <t>00036838</t>
  </si>
  <si>
    <t>ISX199</t>
  </si>
  <si>
    <t>00036581</t>
  </si>
  <si>
    <t>Defence Science and Technology Laboratory (Dstl)</t>
  </si>
  <si>
    <t>ISX338</t>
  </si>
  <si>
    <t>00030794</t>
  </si>
  <si>
    <t>ISX340</t>
  </si>
  <si>
    <t>00036054</t>
  </si>
  <si>
    <t>ISX354</t>
  </si>
  <si>
    <t>00035616</t>
  </si>
  <si>
    <t>ISX380</t>
  </si>
  <si>
    <t>00028972</t>
  </si>
  <si>
    <t>ISX406</t>
  </si>
  <si>
    <t>00030109</t>
  </si>
  <si>
    <t>ISX429</t>
  </si>
  <si>
    <t>00036519</t>
  </si>
  <si>
    <t>ISX450</t>
  </si>
  <si>
    <t>00034408</t>
  </si>
  <si>
    <t>ISX523</t>
  </si>
  <si>
    <t>00033850</t>
  </si>
  <si>
    <t>ISX603</t>
  </si>
  <si>
    <t>00030791</t>
  </si>
  <si>
    <t>ISX660</t>
  </si>
  <si>
    <t>00036318</t>
  </si>
  <si>
    <t>ISX693</t>
  </si>
  <si>
    <t>00028105</t>
  </si>
  <si>
    <t>ISX699</t>
  </si>
  <si>
    <t>00035496</t>
  </si>
  <si>
    <t>Artios Pharma Limited</t>
  </si>
  <si>
    <t>ISX702</t>
  </si>
  <si>
    <t>00036077</t>
  </si>
  <si>
    <t>Advanced Bioprocess Services Limited</t>
  </si>
  <si>
    <t>ISX773</t>
  </si>
  <si>
    <t>00032007</t>
  </si>
  <si>
    <t>ISX486</t>
  </si>
  <si>
    <t>00036228</t>
  </si>
  <si>
    <t>University of Bristol</t>
  </si>
  <si>
    <t>7200120920</t>
  </si>
  <si>
    <t>00034287</t>
  </si>
  <si>
    <t>7200151204</t>
  </si>
  <si>
    <t>00033780</t>
  </si>
  <si>
    <t>Hammersmith Medicines Research</t>
  </si>
  <si>
    <t>7200121247</t>
  </si>
  <si>
    <t>00019454</t>
  </si>
  <si>
    <t>7200150304</t>
  </si>
  <si>
    <t>00035543</t>
  </si>
  <si>
    <t>7200150621</t>
  </si>
  <si>
    <t>00030495</t>
  </si>
  <si>
    <t>7200150721</t>
  </si>
  <si>
    <t>00031639</t>
  </si>
  <si>
    <t>UNIVERSITY OF SALFORD</t>
  </si>
  <si>
    <t>7200150722</t>
  </si>
  <si>
    <t>00031638</t>
  </si>
  <si>
    <t>7200150980</t>
  </si>
  <si>
    <t>00020272</t>
  </si>
  <si>
    <t>MU21144001</t>
  </si>
  <si>
    <t>00033224</t>
  </si>
  <si>
    <t>MU21211004</t>
  </si>
  <si>
    <t>00020959</t>
  </si>
  <si>
    <t>RENEURON LIMITED</t>
  </si>
  <si>
    <t>N0618</t>
  </si>
  <si>
    <t>00034959</t>
  </si>
  <si>
    <t>U0781</t>
  </si>
  <si>
    <t>00036175</t>
  </si>
  <si>
    <t>U1105</t>
  </si>
  <si>
    <t>00035501</t>
  </si>
  <si>
    <t>CC283</t>
  </si>
  <si>
    <t>00014627</t>
  </si>
  <si>
    <t>CD096</t>
  </si>
  <si>
    <t>00014316</t>
  </si>
  <si>
    <t>CE002</t>
  </si>
  <si>
    <t>00013979</t>
  </si>
  <si>
    <t>CE020</t>
  </si>
  <si>
    <t>00013965</t>
  </si>
  <si>
    <t>CE040</t>
  </si>
  <si>
    <t>00014204</t>
  </si>
  <si>
    <t>CE042</t>
  </si>
  <si>
    <t>00014453</t>
  </si>
  <si>
    <t>CE046</t>
  </si>
  <si>
    <t>00014439</t>
  </si>
  <si>
    <t>Empyrean Therapeutics (Intima Bioscience)</t>
  </si>
  <si>
    <t>CE087</t>
  </si>
  <si>
    <t>00014687</t>
  </si>
  <si>
    <t>CE090</t>
  </si>
  <si>
    <t>00014693</t>
  </si>
  <si>
    <t>EC230666J1</t>
  </si>
  <si>
    <t>00017729</t>
  </si>
  <si>
    <t>EC230696K1</t>
  </si>
  <si>
    <t>00017704</t>
  </si>
  <si>
    <t>ABBOTT LABORATORIES LTD</t>
  </si>
  <si>
    <t>EC231106A1</t>
  </si>
  <si>
    <t>00030383</t>
  </si>
  <si>
    <t>R1633</t>
  </si>
  <si>
    <t>00035720</t>
  </si>
  <si>
    <t>U1182</t>
  </si>
  <si>
    <t>00017371</t>
  </si>
  <si>
    <t>Cimera SL (Cellab)</t>
  </si>
  <si>
    <t>U1664</t>
  </si>
  <si>
    <t>00034234</t>
  </si>
  <si>
    <t>U1669</t>
  </si>
  <si>
    <t>00034485</t>
  </si>
  <si>
    <t>VM1001</t>
  </si>
  <si>
    <t>00035684</t>
  </si>
  <si>
    <t>CC336</t>
  </si>
  <si>
    <t>00011043</t>
  </si>
  <si>
    <t>CC340</t>
  </si>
  <si>
    <t>00008893</t>
  </si>
  <si>
    <t>CC380</t>
  </si>
  <si>
    <t>00007832</t>
  </si>
  <si>
    <t>CC430</t>
  </si>
  <si>
    <t>00007993</t>
  </si>
  <si>
    <t>U0806</t>
  </si>
  <si>
    <t>00016836</t>
  </si>
  <si>
    <t>Miltenyi Biotec GmbH</t>
  </si>
  <si>
    <t>Cytek Aurora 4 Laser UV/V/B/R/ (54 + 3 Channel) - Refurbished</t>
  </si>
  <si>
    <t>V0221</t>
  </si>
  <si>
    <t>00032255</t>
  </si>
  <si>
    <t>Y0025</t>
  </si>
  <si>
    <t>00031489</t>
  </si>
  <si>
    <t>Autolus Limited</t>
  </si>
  <si>
    <t>Y0768</t>
  </si>
  <si>
    <t>00030527</t>
  </si>
  <si>
    <t>123456789</t>
  </si>
  <si>
    <t>United States</t>
  </si>
  <si>
    <t>1394</t>
  </si>
  <si>
    <t>Tarveda Therapeutics (Closed)</t>
  </si>
  <si>
    <t>1453</t>
  </si>
  <si>
    <t>1496</t>
  </si>
  <si>
    <t>Alpine Immune Sciences</t>
  </si>
  <si>
    <t>1499</t>
  </si>
  <si>
    <t>1513</t>
  </si>
  <si>
    <t>1515</t>
  </si>
  <si>
    <t>1540</t>
  </si>
  <si>
    <t>ViiV Healthcare</t>
  </si>
  <si>
    <t>2232211</t>
  </si>
  <si>
    <t>6620146159</t>
  </si>
  <si>
    <t>UCB Biosciences Inc - Massachusetts</t>
  </si>
  <si>
    <t>Laurentian University of Sudbury</t>
  </si>
  <si>
    <t>Amunix Pharmaceuticals Inc (Sanofi)</t>
  </si>
  <si>
    <t>Poseida Therapeutics Inc (Genentech/Roche)</t>
  </si>
  <si>
    <t>Gilead Sciences Inc</t>
  </si>
  <si>
    <t>Cirscium Biosciences</t>
  </si>
  <si>
    <t>7200120231</t>
  </si>
  <si>
    <t>7200120231-1</t>
  </si>
  <si>
    <t>7200120231-2</t>
  </si>
  <si>
    <t>7200120231-3</t>
  </si>
  <si>
    <t>7200120231-4</t>
  </si>
  <si>
    <t>7200120231-5</t>
  </si>
  <si>
    <t>7200151202</t>
  </si>
  <si>
    <t>7200151202-1</t>
  </si>
  <si>
    <t>7200151202-2</t>
  </si>
  <si>
    <t>7200151202-3</t>
  </si>
  <si>
    <t>7200151202-4</t>
  </si>
  <si>
    <t>7200151202-5</t>
  </si>
  <si>
    <t>7200151202-6</t>
  </si>
  <si>
    <t>7200151220-1</t>
  </si>
  <si>
    <t>7200151220-2</t>
  </si>
  <si>
    <t>7200151220-3</t>
  </si>
  <si>
    <t>7200151220-4</t>
  </si>
  <si>
    <t>7200151220-5</t>
  </si>
  <si>
    <t>8470050133</t>
  </si>
  <si>
    <t>UCSB - Carlson lab</t>
  </si>
  <si>
    <t>CoverCress Inc.</t>
  </si>
  <si>
    <t>8470060160</t>
  </si>
  <si>
    <t>Humacyte Inc</t>
  </si>
  <si>
    <t>Thermo Fisher Scientific - St. Louis</t>
  </si>
  <si>
    <t>Mirati Therapeutics Inc</t>
  </si>
  <si>
    <t>VoxCell BioInnovation Inc</t>
  </si>
  <si>
    <t>HDT Bio Corp</t>
  </si>
  <si>
    <t>Ultragenyx Pharmaceutical Inc - Woburn MA</t>
  </si>
  <si>
    <t>8470130106</t>
  </si>
  <si>
    <t>Midwestern University</t>
  </si>
  <si>
    <t>Nanotein Technologies Inc</t>
  </si>
  <si>
    <t>Biohaven</t>
  </si>
  <si>
    <t>Minneapolis VA Medical Center</t>
  </si>
  <si>
    <t>Haverford College</t>
  </si>
  <si>
    <t>WuXi AppTec Sales LLC</t>
  </si>
  <si>
    <t>8574140106</t>
  </si>
  <si>
    <t>BETA02</t>
  </si>
  <si>
    <t>Beta 5</t>
  </si>
  <si>
    <t>CB162</t>
  </si>
  <si>
    <t>CC145</t>
  </si>
  <si>
    <t>CC206</t>
  </si>
  <si>
    <t>CC252</t>
  </si>
  <si>
    <t>CC262</t>
  </si>
  <si>
    <t>CC279</t>
  </si>
  <si>
    <t>CC321</t>
  </si>
  <si>
    <t>CC356</t>
  </si>
  <si>
    <t>CC389</t>
  </si>
  <si>
    <t>CC414</t>
  </si>
  <si>
    <t>CD008</t>
  </si>
  <si>
    <t>Inov8.bio Inc</t>
  </si>
  <si>
    <t>CD032</t>
  </si>
  <si>
    <t>CD073</t>
  </si>
  <si>
    <t>CD082</t>
  </si>
  <si>
    <t>CD137</t>
  </si>
  <si>
    <t>CD146</t>
  </si>
  <si>
    <t>CD164</t>
  </si>
  <si>
    <t>CD171</t>
  </si>
  <si>
    <t>CD188</t>
  </si>
  <si>
    <t>CD194</t>
  </si>
  <si>
    <t>CD238</t>
  </si>
  <si>
    <t>CD250</t>
  </si>
  <si>
    <t>CD264</t>
  </si>
  <si>
    <t>CD271</t>
  </si>
  <si>
    <t>CD276</t>
  </si>
  <si>
    <t>Janssen Research &amp; Development LLC - San Diego CA</t>
  </si>
  <si>
    <t>CD282</t>
  </si>
  <si>
    <t>CE032</t>
  </si>
  <si>
    <t>CE034</t>
  </si>
  <si>
    <t>BrainChild Bio Inc</t>
  </si>
  <si>
    <t>CE039</t>
  </si>
  <si>
    <t>CE056</t>
  </si>
  <si>
    <t>CE077</t>
  </si>
  <si>
    <t>EVIVE Biotechnology Inc (Yifan Pharma)</t>
  </si>
  <si>
    <t>CE093</t>
  </si>
  <si>
    <t>CE114</t>
  </si>
  <si>
    <t>CE119</t>
  </si>
  <si>
    <t>CE120</t>
  </si>
  <si>
    <t>CE123</t>
  </si>
  <si>
    <t>CE127</t>
  </si>
  <si>
    <t>CE128</t>
  </si>
  <si>
    <t>CE130</t>
  </si>
  <si>
    <t>UNITED STATES</t>
  </si>
  <si>
    <t>CE133</t>
  </si>
  <si>
    <t>CE136</t>
  </si>
  <si>
    <t>StemX Bio BV</t>
  </si>
  <si>
    <t>CE145</t>
  </si>
  <si>
    <t>CE192</t>
  </si>
  <si>
    <t>CE216</t>
  </si>
  <si>
    <t>CF013</t>
  </si>
  <si>
    <t>CF014</t>
  </si>
  <si>
    <t>CellStream 7 Laser AutoSampler Beta, materials only, Obsolete</t>
  </si>
  <si>
    <t>CS009</t>
  </si>
  <si>
    <t>CS023</t>
  </si>
  <si>
    <t>Wake Forest School of Medicine</t>
  </si>
  <si>
    <t>CS030</t>
  </si>
  <si>
    <t>CS041</t>
  </si>
  <si>
    <t>CS046</t>
  </si>
  <si>
    <t>Missouri University of Science and Technology (Missouri S&amp;T)</t>
  </si>
  <si>
    <t>CS049</t>
  </si>
  <si>
    <t>CS054</t>
  </si>
  <si>
    <t>CS062</t>
  </si>
  <si>
    <t>CELLARCUS BIOSCIENCES INC</t>
  </si>
  <si>
    <t>CS064</t>
  </si>
  <si>
    <t>CS070</t>
  </si>
  <si>
    <t>CS080</t>
  </si>
  <si>
    <t>CS084</t>
  </si>
  <si>
    <t>CS093</t>
  </si>
  <si>
    <t>E0416</t>
  </si>
  <si>
    <t>E2562</t>
  </si>
  <si>
    <t>Khloris Biosciences</t>
  </si>
  <si>
    <t>E3990</t>
  </si>
  <si>
    <t>MiraCosta College</t>
  </si>
  <si>
    <t>EC202877A1</t>
  </si>
  <si>
    <t>EC202956A1</t>
  </si>
  <si>
    <t>Afab Lab Resources LLC</t>
  </si>
  <si>
    <t>MatTek Life Sciences</t>
  </si>
  <si>
    <t>US Army Medical Research Institute of Infectious Diseases (USAMRIID)</t>
  </si>
  <si>
    <t>Atsena Therapeutics Inc</t>
  </si>
  <si>
    <t>Solventum dba KCI USA Inc</t>
  </si>
  <si>
    <t>EC222366H1</t>
  </si>
  <si>
    <t>FACSLoader</t>
  </si>
  <si>
    <t>F57400091</t>
  </si>
  <si>
    <t>F57400179</t>
  </si>
  <si>
    <t>FE006</t>
  </si>
  <si>
    <t>FE033</t>
  </si>
  <si>
    <t>Loxo@Lilly - Stamford CT</t>
  </si>
  <si>
    <t>FE047</t>
  </si>
  <si>
    <t>FE092</t>
  </si>
  <si>
    <t>FE142</t>
  </si>
  <si>
    <t>FE151</t>
  </si>
  <si>
    <t>FE159</t>
  </si>
  <si>
    <t>FE168</t>
  </si>
  <si>
    <t>FE171</t>
  </si>
  <si>
    <t>FE181</t>
  </si>
  <si>
    <t>FE198</t>
  </si>
  <si>
    <t>FE204</t>
  </si>
  <si>
    <t>FE218</t>
  </si>
  <si>
    <t>FE219</t>
  </si>
  <si>
    <t>FE222</t>
  </si>
  <si>
    <t>FE223</t>
  </si>
  <si>
    <t>FE225</t>
  </si>
  <si>
    <t>FE226</t>
  </si>
  <si>
    <t>FE229</t>
  </si>
  <si>
    <t>FE231</t>
  </si>
  <si>
    <t>FE232</t>
  </si>
  <si>
    <t>FE242</t>
  </si>
  <si>
    <t>FE243</t>
  </si>
  <si>
    <t>Navigate BioPharma Services, Inc. (Novartis)</t>
  </si>
  <si>
    <t>FE244</t>
  </si>
  <si>
    <t>Nurix Therapeutics Inc</t>
  </si>
  <si>
    <t>FE245</t>
  </si>
  <si>
    <t>FE246</t>
  </si>
  <si>
    <t>FE247</t>
  </si>
  <si>
    <t>FE248</t>
  </si>
  <si>
    <t>FE250</t>
  </si>
  <si>
    <t>FE251</t>
  </si>
  <si>
    <t>FE253</t>
  </si>
  <si>
    <t>FE254</t>
  </si>
  <si>
    <t>Eli Lilly and Company - Lilly Harborside R&amp;D (LHL)</t>
  </si>
  <si>
    <t>FE258</t>
  </si>
  <si>
    <t>FE260</t>
  </si>
  <si>
    <t>FE263</t>
  </si>
  <si>
    <t>FE268</t>
  </si>
  <si>
    <t>FE269</t>
  </si>
  <si>
    <t>FE271</t>
  </si>
  <si>
    <t>FE273</t>
  </si>
  <si>
    <t>FE275</t>
  </si>
  <si>
    <t>FE280</t>
  </si>
  <si>
    <t>FE281</t>
  </si>
  <si>
    <t>FE282</t>
  </si>
  <si>
    <t>FE288</t>
  </si>
  <si>
    <t>GPCR Therapeutics USA Inc</t>
  </si>
  <si>
    <t>FE291</t>
  </si>
  <si>
    <t>FE292</t>
  </si>
  <si>
    <t>Human Immunology Biosciences Inc (HI-Bio)</t>
  </si>
  <si>
    <t>FE304</t>
  </si>
  <si>
    <t>FE307</t>
  </si>
  <si>
    <t>FE308</t>
  </si>
  <si>
    <t>FE313</t>
  </si>
  <si>
    <t>FE314</t>
  </si>
  <si>
    <t>FE318</t>
  </si>
  <si>
    <t>FE319</t>
  </si>
  <si>
    <t>FE321</t>
  </si>
  <si>
    <t>FE322</t>
  </si>
  <si>
    <t>FE323</t>
  </si>
  <si>
    <t>FE325</t>
  </si>
  <si>
    <t>FE328</t>
  </si>
  <si>
    <t>FE329</t>
  </si>
  <si>
    <t>FE330</t>
  </si>
  <si>
    <t>FE331</t>
  </si>
  <si>
    <t>Janssen Research &amp; Development LLC - Cambridge MA</t>
  </si>
  <si>
    <t>FE332</t>
  </si>
  <si>
    <t>FE338</t>
  </si>
  <si>
    <t>FE342</t>
  </si>
  <si>
    <t>FE348</t>
  </si>
  <si>
    <t>FE350</t>
  </si>
  <si>
    <t>FE351</t>
  </si>
  <si>
    <t>Platelet Research Associates LLC</t>
  </si>
  <si>
    <t>FE352</t>
  </si>
  <si>
    <t>FE356</t>
  </si>
  <si>
    <t>FF001</t>
  </si>
  <si>
    <t>FF003</t>
  </si>
  <si>
    <t>FF004</t>
  </si>
  <si>
    <t>FF006</t>
  </si>
  <si>
    <t>FF007</t>
  </si>
  <si>
    <t>FF009</t>
  </si>
  <si>
    <t>FF011</t>
  </si>
  <si>
    <t>FF012</t>
  </si>
  <si>
    <t>FF014</t>
  </si>
  <si>
    <t>FF017</t>
  </si>
  <si>
    <t>FF018</t>
  </si>
  <si>
    <t>FF019</t>
  </si>
  <si>
    <t>FF020</t>
  </si>
  <si>
    <t>FF021</t>
  </si>
  <si>
    <t>FF022</t>
  </si>
  <si>
    <t>FF023</t>
  </si>
  <si>
    <t>FF024</t>
  </si>
  <si>
    <t>FF025</t>
  </si>
  <si>
    <t>FF026</t>
  </si>
  <si>
    <t>QLSF Biotherapeutics Inc</t>
  </si>
  <si>
    <t>FF028</t>
  </si>
  <si>
    <t>FF029</t>
  </si>
  <si>
    <t>FF031</t>
  </si>
  <si>
    <t>FF034</t>
  </si>
  <si>
    <t>FF036</t>
  </si>
  <si>
    <t>FF037</t>
  </si>
  <si>
    <t>FF038</t>
  </si>
  <si>
    <t>FF049</t>
  </si>
  <si>
    <t>FF052</t>
  </si>
  <si>
    <t>FF053</t>
  </si>
  <si>
    <t>Massachusetts General Hospital - Richard B Simches Medical Center</t>
  </si>
  <si>
    <t>FF054</t>
  </si>
  <si>
    <t>Instil Bio UK</t>
  </si>
  <si>
    <t>FF055</t>
  </si>
  <si>
    <t>FF056</t>
  </si>
  <si>
    <t>FF057</t>
  </si>
  <si>
    <t>FF058</t>
  </si>
  <si>
    <t>FF059</t>
  </si>
  <si>
    <t>FF062</t>
  </si>
  <si>
    <t>FF063</t>
  </si>
  <si>
    <t>FF065</t>
  </si>
  <si>
    <t>FF066</t>
  </si>
  <si>
    <t>FF068</t>
  </si>
  <si>
    <t>FF070</t>
  </si>
  <si>
    <t>FF079</t>
  </si>
  <si>
    <t>FF080</t>
  </si>
  <si>
    <t>FF082</t>
  </si>
  <si>
    <t>FF084</t>
  </si>
  <si>
    <t>FF085</t>
  </si>
  <si>
    <t>FF087</t>
  </si>
  <si>
    <t>FF088</t>
  </si>
  <si>
    <t>FF090</t>
  </si>
  <si>
    <t>FF093</t>
  </si>
  <si>
    <t>FF094</t>
  </si>
  <si>
    <t>FF095</t>
  </si>
  <si>
    <t>FF096</t>
  </si>
  <si>
    <t>FF097</t>
  </si>
  <si>
    <t>FF098</t>
  </si>
  <si>
    <t>FF099</t>
  </si>
  <si>
    <t>FF101</t>
  </si>
  <si>
    <t>FF102</t>
  </si>
  <si>
    <t>FF103</t>
  </si>
  <si>
    <t>FF104</t>
  </si>
  <si>
    <t>FF105</t>
  </si>
  <si>
    <t>FF106</t>
  </si>
  <si>
    <t>FF107</t>
  </si>
  <si>
    <t>FF108</t>
  </si>
  <si>
    <t>FF110</t>
  </si>
  <si>
    <t>FF111</t>
  </si>
  <si>
    <t>FF112</t>
  </si>
  <si>
    <t>FF113</t>
  </si>
  <si>
    <t>FF114</t>
  </si>
  <si>
    <t>FF115</t>
  </si>
  <si>
    <t>FF118</t>
  </si>
  <si>
    <t>FF119</t>
  </si>
  <si>
    <t>FF125</t>
  </si>
  <si>
    <t>FF126</t>
  </si>
  <si>
    <t>FF127</t>
  </si>
  <si>
    <t>FF131</t>
  </si>
  <si>
    <t>FF132</t>
  </si>
  <si>
    <t>FF134</t>
  </si>
  <si>
    <t>FF135</t>
  </si>
  <si>
    <t>FF138</t>
  </si>
  <si>
    <t>FF139</t>
  </si>
  <si>
    <t>FF140</t>
  </si>
  <si>
    <t>FF143</t>
  </si>
  <si>
    <t>FF144</t>
  </si>
  <si>
    <t>FF145</t>
  </si>
  <si>
    <t>Genomics Institute of the Novartis Research Foundation</t>
  </si>
  <si>
    <t>FF147</t>
  </si>
  <si>
    <t>FF149</t>
  </si>
  <si>
    <t>FF150</t>
  </si>
  <si>
    <t>FF151</t>
  </si>
  <si>
    <t>FF152</t>
  </si>
  <si>
    <t>FF153</t>
  </si>
  <si>
    <t>FF155</t>
  </si>
  <si>
    <t>FF156</t>
  </si>
  <si>
    <t>FF157</t>
  </si>
  <si>
    <t>FF158</t>
  </si>
  <si>
    <t>FF159</t>
  </si>
  <si>
    <t>Gladstone Institutes</t>
  </si>
  <si>
    <t>FF160</t>
  </si>
  <si>
    <t>FF162</t>
  </si>
  <si>
    <t>FF163</t>
  </si>
  <si>
    <t>FF165</t>
  </si>
  <si>
    <t>FF166</t>
  </si>
  <si>
    <t>FF168</t>
  </si>
  <si>
    <t>FF170</t>
  </si>
  <si>
    <t>FF172</t>
  </si>
  <si>
    <t>FF173</t>
  </si>
  <si>
    <t>FF174</t>
  </si>
  <si>
    <t>FF177</t>
  </si>
  <si>
    <t>FF178</t>
  </si>
  <si>
    <t>FF179</t>
  </si>
  <si>
    <t>FF180</t>
  </si>
  <si>
    <t>FF183</t>
  </si>
  <si>
    <t>FF184</t>
  </si>
  <si>
    <t>NeoGenomics Laboratories Inc</t>
  </si>
  <si>
    <t>FF185</t>
  </si>
  <si>
    <t>FF186</t>
  </si>
  <si>
    <t>FF189</t>
  </si>
  <si>
    <t>FF190</t>
  </si>
  <si>
    <t>FF191</t>
  </si>
  <si>
    <t>FF193</t>
  </si>
  <si>
    <t>FF195</t>
  </si>
  <si>
    <t>FF197</t>
  </si>
  <si>
    <t>FF198</t>
  </si>
  <si>
    <t>FF227</t>
  </si>
  <si>
    <t>FF228</t>
  </si>
  <si>
    <t>FF229</t>
  </si>
  <si>
    <t>FF230</t>
  </si>
  <si>
    <t>FF233</t>
  </si>
  <si>
    <t>FF235</t>
  </si>
  <si>
    <t>FF237</t>
  </si>
  <si>
    <t>FF241</t>
  </si>
  <si>
    <t>FF242</t>
  </si>
  <si>
    <t>FF243</t>
  </si>
  <si>
    <t>FF244</t>
  </si>
  <si>
    <t>FF247</t>
  </si>
  <si>
    <t>FF248</t>
  </si>
  <si>
    <t>FF249</t>
  </si>
  <si>
    <t>FF250</t>
  </si>
  <si>
    <t>FF251</t>
  </si>
  <si>
    <t>FF252</t>
  </si>
  <si>
    <t>FF256</t>
  </si>
  <si>
    <t>FF257</t>
  </si>
  <si>
    <t>FF258</t>
  </si>
  <si>
    <t>FF259</t>
  </si>
  <si>
    <t>FF271</t>
  </si>
  <si>
    <t>FF272</t>
  </si>
  <si>
    <t>FF273</t>
  </si>
  <si>
    <t>FF274</t>
  </si>
  <si>
    <t>FF275</t>
  </si>
  <si>
    <t>FF276</t>
  </si>
  <si>
    <t>FF277</t>
  </si>
  <si>
    <t>FF278</t>
  </si>
  <si>
    <t>FF279</t>
  </si>
  <si>
    <t>FF291</t>
  </si>
  <si>
    <t>FF292</t>
  </si>
  <si>
    <t>FF293</t>
  </si>
  <si>
    <t>FF294</t>
  </si>
  <si>
    <t>FF296</t>
  </si>
  <si>
    <t>InduPro Inc</t>
  </si>
  <si>
    <t>FF297</t>
  </si>
  <si>
    <t>FF298</t>
  </si>
  <si>
    <t>FF299</t>
  </si>
  <si>
    <t>FF304</t>
  </si>
  <si>
    <t>FF305</t>
  </si>
  <si>
    <t>FF308</t>
  </si>
  <si>
    <t>FF309</t>
  </si>
  <si>
    <t>FF310</t>
  </si>
  <si>
    <t>FF311</t>
  </si>
  <si>
    <t>FF312</t>
  </si>
  <si>
    <t>FF313</t>
  </si>
  <si>
    <t>FF314</t>
  </si>
  <si>
    <t>FF315</t>
  </si>
  <si>
    <t>FF316</t>
  </si>
  <si>
    <t>FF317</t>
  </si>
  <si>
    <t>FF318</t>
  </si>
  <si>
    <t>FF319</t>
  </si>
  <si>
    <t>FF323</t>
  </si>
  <si>
    <t>FF324</t>
  </si>
  <si>
    <t>FF326</t>
  </si>
  <si>
    <t>FF327</t>
  </si>
  <si>
    <t>FF328</t>
  </si>
  <si>
    <t>FF329</t>
  </si>
  <si>
    <t>FF330</t>
  </si>
  <si>
    <t>FF331</t>
  </si>
  <si>
    <t>FF335</t>
  </si>
  <si>
    <t>FF336</t>
  </si>
  <si>
    <t>Catalent Inc - California</t>
  </si>
  <si>
    <t>FF337</t>
  </si>
  <si>
    <t>FF338</t>
  </si>
  <si>
    <t>FF339</t>
  </si>
  <si>
    <t>FF340</t>
  </si>
  <si>
    <t>FF341</t>
  </si>
  <si>
    <t>FF342</t>
  </si>
  <si>
    <t>FF343</t>
  </si>
  <si>
    <t>FF344</t>
  </si>
  <si>
    <t>LabShares Newton LLC</t>
  </si>
  <si>
    <t>FF345</t>
  </si>
  <si>
    <t>FF346</t>
  </si>
  <si>
    <t>FG001</t>
  </si>
  <si>
    <t>FG003</t>
  </si>
  <si>
    <t>FG004</t>
  </si>
  <si>
    <t>FG007</t>
  </si>
  <si>
    <t>FG008</t>
  </si>
  <si>
    <t>FG009</t>
  </si>
  <si>
    <t>FG020</t>
  </si>
  <si>
    <t>FG024</t>
  </si>
  <si>
    <t>FG027</t>
  </si>
  <si>
    <t>FG028</t>
  </si>
  <si>
    <t>FG031</t>
  </si>
  <si>
    <t>FG034</t>
  </si>
  <si>
    <t>FG036</t>
  </si>
  <si>
    <t>FG037</t>
  </si>
  <si>
    <t>FG038</t>
  </si>
  <si>
    <t>FG043</t>
  </si>
  <si>
    <t>FG044</t>
  </si>
  <si>
    <t>FG045</t>
  </si>
  <si>
    <t>FG048</t>
  </si>
  <si>
    <t>FG049</t>
  </si>
  <si>
    <t>FG050</t>
  </si>
  <si>
    <t>FG051</t>
  </si>
  <si>
    <t>FG052</t>
  </si>
  <si>
    <t>FG071</t>
  </si>
  <si>
    <t>FG072</t>
  </si>
  <si>
    <t>FG074</t>
  </si>
  <si>
    <t>FG075</t>
  </si>
  <si>
    <t>FG077</t>
  </si>
  <si>
    <t>Dren Bio</t>
  </si>
  <si>
    <t>FG079</t>
  </si>
  <si>
    <t>FG082</t>
  </si>
  <si>
    <t>FG085</t>
  </si>
  <si>
    <t>FG089</t>
  </si>
  <si>
    <t>FG090</t>
  </si>
  <si>
    <t>Chronicle Bio Inc</t>
  </si>
  <si>
    <t>FG092</t>
  </si>
  <si>
    <t>FG094</t>
  </si>
  <si>
    <t>FG095</t>
  </si>
  <si>
    <t>FG096</t>
  </si>
  <si>
    <t>FG097</t>
  </si>
  <si>
    <t>FG098</t>
  </si>
  <si>
    <t>FG099</t>
  </si>
  <si>
    <t>FG100</t>
  </si>
  <si>
    <t>FG101</t>
  </si>
  <si>
    <t>FG103</t>
  </si>
  <si>
    <t>FG105</t>
  </si>
  <si>
    <t>FG106</t>
  </si>
  <si>
    <t>FG107</t>
  </si>
  <si>
    <t>FG108</t>
  </si>
  <si>
    <t>FG109</t>
  </si>
  <si>
    <t>FG111</t>
  </si>
  <si>
    <t>FG112</t>
  </si>
  <si>
    <t>FG113</t>
  </si>
  <si>
    <t>FG116</t>
  </si>
  <si>
    <t>Neurocrine Biosciences, Inc.</t>
  </si>
  <si>
    <t>FG117</t>
  </si>
  <si>
    <t>FG119</t>
  </si>
  <si>
    <t>FG121</t>
  </si>
  <si>
    <t>FG122</t>
  </si>
  <si>
    <t>FG124</t>
  </si>
  <si>
    <t>FG127</t>
  </si>
  <si>
    <t>FG135</t>
  </si>
  <si>
    <t>FG137</t>
  </si>
  <si>
    <t>FG139</t>
  </si>
  <si>
    <t>FG140</t>
  </si>
  <si>
    <t>FG141</t>
  </si>
  <si>
    <t>FG142</t>
  </si>
  <si>
    <t>FG143</t>
  </si>
  <si>
    <t>FG144</t>
  </si>
  <si>
    <t>FG145</t>
  </si>
  <si>
    <t>Vitalant HQ</t>
  </si>
  <si>
    <t>FG149</t>
  </si>
  <si>
    <t>FG150</t>
  </si>
  <si>
    <t>FG151</t>
  </si>
  <si>
    <t>FG152</t>
  </si>
  <si>
    <t>FG153</t>
  </si>
  <si>
    <t>FG154</t>
  </si>
  <si>
    <t>FG155</t>
  </si>
  <si>
    <t>FG157</t>
  </si>
  <si>
    <t>FG158</t>
  </si>
  <si>
    <t>FG160</t>
  </si>
  <si>
    <t>FG165</t>
  </si>
  <si>
    <t>FG166</t>
  </si>
  <si>
    <t>FG167</t>
  </si>
  <si>
    <t>FG168</t>
  </si>
  <si>
    <t>FG169</t>
  </si>
  <si>
    <t>FG170</t>
  </si>
  <si>
    <t>FG173</t>
  </si>
  <si>
    <t>FG174</t>
  </si>
  <si>
    <t>FG175</t>
  </si>
  <si>
    <t>FG176</t>
  </si>
  <si>
    <t>FG181</t>
  </si>
  <si>
    <t>FG182</t>
  </si>
  <si>
    <t>FG186</t>
  </si>
  <si>
    <t>FG187</t>
  </si>
  <si>
    <t>FG189</t>
  </si>
  <si>
    <t>FG190</t>
  </si>
  <si>
    <t>FG191</t>
  </si>
  <si>
    <t>FG192</t>
  </si>
  <si>
    <t>FG193</t>
  </si>
  <si>
    <t>FG194</t>
  </si>
  <si>
    <t>FG195</t>
  </si>
  <si>
    <t>FG196</t>
  </si>
  <si>
    <t>FG198</t>
  </si>
  <si>
    <t>FG200</t>
  </si>
  <si>
    <t>FG201</t>
  </si>
  <si>
    <t>FG202</t>
  </si>
  <si>
    <t>FG215</t>
  </si>
  <si>
    <t>FG216</t>
  </si>
  <si>
    <t>FG217</t>
  </si>
  <si>
    <t>FG219</t>
  </si>
  <si>
    <t>FG220</t>
  </si>
  <si>
    <t>FG222</t>
  </si>
  <si>
    <t>FG223</t>
  </si>
  <si>
    <t>FG228</t>
  </si>
  <si>
    <t>FG229</t>
  </si>
  <si>
    <t>FG230</t>
  </si>
  <si>
    <t>FG231</t>
  </si>
  <si>
    <t>FG232</t>
  </si>
  <si>
    <t>FG233</t>
  </si>
  <si>
    <t>FG234</t>
  </si>
  <si>
    <t>University of Oregon?Knight Campus</t>
  </si>
  <si>
    <t>FG236</t>
  </si>
  <si>
    <t>FG237</t>
  </si>
  <si>
    <t>FG238</t>
  </si>
  <si>
    <t>FG239</t>
  </si>
  <si>
    <t>FG240</t>
  </si>
  <si>
    <t>FG243</t>
  </si>
  <si>
    <t>FG244</t>
  </si>
  <si>
    <t>FG256</t>
  </si>
  <si>
    <t>FG257</t>
  </si>
  <si>
    <t>FG259</t>
  </si>
  <si>
    <t>FG261</t>
  </si>
  <si>
    <t>FG263</t>
  </si>
  <si>
    <t>FG264</t>
  </si>
  <si>
    <t>FG266</t>
  </si>
  <si>
    <t>FG267</t>
  </si>
  <si>
    <t>FG268</t>
  </si>
  <si>
    <t>FG269</t>
  </si>
  <si>
    <t>FG270</t>
  </si>
  <si>
    <t>FG271</t>
  </si>
  <si>
    <t>Astellas Gene Therapies Inc</t>
  </si>
  <si>
    <t>FG272</t>
  </si>
  <si>
    <t>FG273</t>
  </si>
  <si>
    <t>FG274</t>
  </si>
  <si>
    <t>FG276</t>
  </si>
  <si>
    <t>FG277</t>
  </si>
  <si>
    <t>FG278</t>
  </si>
  <si>
    <t>FG283</t>
  </si>
  <si>
    <t>FG284</t>
  </si>
  <si>
    <t>FG295</t>
  </si>
  <si>
    <t>FG296</t>
  </si>
  <si>
    <t>FG297</t>
  </si>
  <si>
    <t>FG298</t>
  </si>
  <si>
    <t>FG299</t>
  </si>
  <si>
    <t>FG300</t>
  </si>
  <si>
    <t>FG302</t>
  </si>
  <si>
    <t>FG303</t>
  </si>
  <si>
    <t>FG304</t>
  </si>
  <si>
    <t>FG305</t>
  </si>
  <si>
    <t>FG306</t>
  </si>
  <si>
    <t>FG307</t>
  </si>
  <si>
    <t>FG308</t>
  </si>
  <si>
    <t>FG309</t>
  </si>
  <si>
    <t>FG310</t>
  </si>
  <si>
    <t>FG311</t>
  </si>
  <si>
    <t>FG312</t>
  </si>
  <si>
    <t>FG313</t>
  </si>
  <si>
    <t>FG314</t>
  </si>
  <si>
    <t>FG315</t>
  </si>
  <si>
    <t>FG316</t>
  </si>
  <si>
    <t>FG317</t>
  </si>
  <si>
    <t>FG318</t>
  </si>
  <si>
    <t>FG319</t>
  </si>
  <si>
    <t>FG321</t>
  </si>
  <si>
    <t>FG322</t>
  </si>
  <si>
    <t>FG325</t>
  </si>
  <si>
    <t>FG327</t>
  </si>
  <si>
    <t>Boston University - School of Medicine</t>
  </si>
  <si>
    <t>FG328</t>
  </si>
  <si>
    <t>FG329</t>
  </si>
  <si>
    <t>FG330</t>
  </si>
  <si>
    <t>FG331</t>
  </si>
  <si>
    <t>FG333</t>
  </si>
  <si>
    <t>Just?Evotec Biologics, Inc - Redmond</t>
  </si>
  <si>
    <t>FG349</t>
  </si>
  <si>
    <t>FG350</t>
  </si>
  <si>
    <t>FG351</t>
  </si>
  <si>
    <t>FG353</t>
  </si>
  <si>
    <t>FG355</t>
  </si>
  <si>
    <t>FG356</t>
  </si>
  <si>
    <t>FG357</t>
  </si>
  <si>
    <t>FG358</t>
  </si>
  <si>
    <t>FG385</t>
  </si>
  <si>
    <t>FG386</t>
  </si>
  <si>
    <t>CREATE Medicines Inc</t>
  </si>
  <si>
    <t>FG387</t>
  </si>
  <si>
    <t>FG389</t>
  </si>
  <si>
    <t>FG390</t>
  </si>
  <si>
    <t>FG392</t>
  </si>
  <si>
    <t>FG393</t>
  </si>
  <si>
    <t>FG394</t>
  </si>
  <si>
    <t>FG395</t>
  </si>
  <si>
    <t>FG401</t>
  </si>
  <si>
    <t>FG404</t>
  </si>
  <si>
    <t>FH020</t>
  </si>
  <si>
    <t>FH021</t>
  </si>
  <si>
    <t>FH022</t>
  </si>
  <si>
    <t>FH023</t>
  </si>
  <si>
    <t>FH024</t>
  </si>
  <si>
    <t>FH029</t>
  </si>
  <si>
    <t>FH030</t>
  </si>
  <si>
    <t>FH033</t>
  </si>
  <si>
    <t>FH034</t>
  </si>
  <si>
    <t>FH035</t>
  </si>
  <si>
    <t>FH036</t>
  </si>
  <si>
    <t>FH037</t>
  </si>
  <si>
    <t>FH038</t>
  </si>
  <si>
    <t>FH040</t>
  </si>
  <si>
    <t>FH043</t>
  </si>
  <si>
    <t>FH044</t>
  </si>
  <si>
    <t>FH045</t>
  </si>
  <si>
    <t>FH046</t>
  </si>
  <si>
    <t>SouthernBiotech</t>
  </si>
  <si>
    <t>FH049</t>
  </si>
  <si>
    <t>FH050</t>
  </si>
  <si>
    <t>FH051</t>
  </si>
  <si>
    <t>FH056</t>
  </si>
  <si>
    <t>FH057</t>
  </si>
  <si>
    <t>FH061</t>
  </si>
  <si>
    <t>FH062</t>
  </si>
  <si>
    <t>FH065</t>
  </si>
  <si>
    <t>FH066</t>
  </si>
  <si>
    <t>FH067</t>
  </si>
  <si>
    <t>FH068</t>
  </si>
  <si>
    <t>FH069</t>
  </si>
  <si>
    <t>FH086</t>
  </si>
  <si>
    <t>FH087</t>
  </si>
  <si>
    <t>FH089</t>
  </si>
  <si>
    <t>FH090</t>
  </si>
  <si>
    <t>FH091</t>
  </si>
  <si>
    <t>FH095</t>
  </si>
  <si>
    <t>FH098</t>
  </si>
  <si>
    <t>FH099</t>
  </si>
  <si>
    <t>FH100</t>
  </si>
  <si>
    <t>FH101</t>
  </si>
  <si>
    <t>FH104</t>
  </si>
  <si>
    <t>FH105</t>
  </si>
  <si>
    <t>FH106</t>
  </si>
  <si>
    <t>FH107</t>
  </si>
  <si>
    <t>FH108</t>
  </si>
  <si>
    <t>FH109</t>
  </si>
  <si>
    <t>FH112</t>
  </si>
  <si>
    <t>FH113</t>
  </si>
  <si>
    <t>FH115</t>
  </si>
  <si>
    <t>FH116</t>
  </si>
  <si>
    <t>FH117</t>
  </si>
  <si>
    <t>FH118</t>
  </si>
  <si>
    <t>FH123</t>
  </si>
  <si>
    <t>FH124</t>
  </si>
  <si>
    <t>FH128</t>
  </si>
  <si>
    <t>FH129</t>
  </si>
  <si>
    <t>FH130</t>
  </si>
  <si>
    <t>FH131</t>
  </si>
  <si>
    <t>FH156</t>
  </si>
  <si>
    <t>FH158</t>
  </si>
  <si>
    <t>FH159</t>
  </si>
  <si>
    <t>FH160</t>
  </si>
  <si>
    <t>FH161</t>
  </si>
  <si>
    <t>Ibex Biosciences Inc</t>
  </si>
  <si>
    <t>FH162</t>
  </si>
  <si>
    <t>FH164</t>
  </si>
  <si>
    <t>FH165</t>
  </si>
  <si>
    <t>FH166</t>
  </si>
  <si>
    <t>FH169</t>
  </si>
  <si>
    <t>FH171</t>
  </si>
  <si>
    <t>FH172</t>
  </si>
  <si>
    <t>Lawrence Livermore National Laboratory (LLNL)</t>
  </si>
  <si>
    <t>FH178</t>
  </si>
  <si>
    <t>ImmunityBio, Inc. - Torrey Pines</t>
  </si>
  <si>
    <t>FH179</t>
  </si>
  <si>
    <t>FH180</t>
  </si>
  <si>
    <t>ImmunityBio - El Segundo</t>
  </si>
  <si>
    <t>FH182</t>
  </si>
  <si>
    <t>FH183</t>
  </si>
  <si>
    <t>FH184</t>
  </si>
  <si>
    <t>FH185</t>
  </si>
  <si>
    <t>FH203</t>
  </si>
  <si>
    <t>FH206</t>
  </si>
  <si>
    <t>FH207</t>
  </si>
  <si>
    <t>FH209</t>
  </si>
  <si>
    <t>FH211</t>
  </si>
  <si>
    <t>FH212</t>
  </si>
  <si>
    <t>FH220</t>
  </si>
  <si>
    <t>FH221</t>
  </si>
  <si>
    <t>FH228</t>
  </si>
  <si>
    <t>FH229</t>
  </si>
  <si>
    <t>FH230</t>
  </si>
  <si>
    <t>FH231</t>
  </si>
  <si>
    <t>Novartis Institutes for Biomedical Research Inc (NIBR) - San Diego</t>
  </si>
  <si>
    <t>FH232</t>
  </si>
  <si>
    <t>FH233</t>
  </si>
  <si>
    <t>FH236</t>
  </si>
  <si>
    <t>FH242</t>
  </si>
  <si>
    <t>FH243</t>
  </si>
  <si>
    <t>FS101</t>
  </si>
  <si>
    <t>Cytek Biosciences Inc</t>
  </si>
  <si>
    <t>Walden Biosciences Inc</t>
  </si>
  <si>
    <t>University of North Texas (UNT)</t>
  </si>
  <si>
    <t>Cicadea Biotech</t>
  </si>
  <si>
    <t>Midwestern University - Glendale Campus</t>
  </si>
  <si>
    <t>Salem VA Medical Center</t>
  </si>
  <si>
    <t>GTI-0100116</t>
  </si>
  <si>
    <t>GTI-060369</t>
  </si>
  <si>
    <t>ENABLE LIFE SCIENCES LLC</t>
  </si>
  <si>
    <t>GTI-2800060110</t>
  </si>
  <si>
    <t>GTI-2800100306</t>
  </si>
  <si>
    <t>AMERICAN TYPE CULTURE COLLECTION (ATCC)</t>
  </si>
  <si>
    <t>GTI-3630070133</t>
  </si>
  <si>
    <t>MABLYTICS INC</t>
  </si>
  <si>
    <t>GTI-3630070135</t>
  </si>
  <si>
    <t>GTI-3630080253</t>
  </si>
  <si>
    <t>STEM PROTEINS LLC</t>
  </si>
  <si>
    <t>GTI-3630080278</t>
  </si>
  <si>
    <t>Genetix Biotherapeutrics</t>
  </si>
  <si>
    <t>GTI-3630080323R</t>
  </si>
  <si>
    <t>GTI-3630090397</t>
  </si>
  <si>
    <t>GTI-5430090108</t>
  </si>
  <si>
    <t>GTI-5430090128</t>
  </si>
  <si>
    <t>GTI-5430090155</t>
  </si>
  <si>
    <t>GTI-5430100166</t>
  </si>
  <si>
    <t>GTI-5430100168</t>
  </si>
  <si>
    <t>GTI-5430100183</t>
  </si>
  <si>
    <t>GTI-5430100196</t>
  </si>
  <si>
    <t>GTI-5430100197</t>
  </si>
  <si>
    <t>GTI-5430100213</t>
  </si>
  <si>
    <t>Vanderbilt University Medical Center</t>
  </si>
  <si>
    <t>GTI-5430100215</t>
  </si>
  <si>
    <t>BioMagis</t>
  </si>
  <si>
    <t>GTI-5430100232</t>
  </si>
  <si>
    <t>GTI-5430100239</t>
  </si>
  <si>
    <t>GTI-5580090105</t>
  </si>
  <si>
    <t>GTI-5580090106</t>
  </si>
  <si>
    <t>GTI-5580100113</t>
  </si>
  <si>
    <t>Kyntra Bio</t>
  </si>
  <si>
    <t>GTI-5580100122</t>
  </si>
  <si>
    <t>GTI-5580100143</t>
  </si>
  <si>
    <t>GTI-5580100144</t>
  </si>
  <si>
    <t>GTI-5580100151</t>
  </si>
  <si>
    <t>Mettler-Toledo Thornton, Inc</t>
  </si>
  <si>
    <t>GTI-5580106114</t>
  </si>
  <si>
    <t>GTI-5580106126</t>
  </si>
  <si>
    <t>GTI-5580106129</t>
  </si>
  <si>
    <t>Meharry Medical College - School of Medicine</t>
  </si>
  <si>
    <t>GTI-5580106133</t>
  </si>
  <si>
    <t>CALITHERA BIOSCIENCES INC</t>
  </si>
  <si>
    <t>GTI-5580106134</t>
  </si>
  <si>
    <t>GTI-6620106005</t>
  </si>
  <si>
    <t>GTI-6620106006</t>
  </si>
  <si>
    <t>GTI-6620115029</t>
  </si>
  <si>
    <t>GTI-6620115048</t>
  </si>
  <si>
    <t>GTI-6620116026</t>
  </si>
  <si>
    <t>TVAX BIOMEDICAL</t>
  </si>
  <si>
    <t>GTI-6620116028</t>
  </si>
  <si>
    <t>GTI-6735106009</t>
  </si>
  <si>
    <t>MAXIMAB INC</t>
  </si>
  <si>
    <t>GTI-6735115011</t>
  </si>
  <si>
    <t>GTI-6735115013</t>
  </si>
  <si>
    <t>GTI-6735115014</t>
  </si>
  <si>
    <t>GTI-6735115016</t>
  </si>
  <si>
    <t>GTI-6735115017</t>
  </si>
  <si>
    <t>CIRIS ENERGY INC</t>
  </si>
  <si>
    <t>GTI-6735115030</t>
  </si>
  <si>
    <t>GTI-6735115044</t>
  </si>
  <si>
    <t>GTI-6735115060</t>
  </si>
  <si>
    <t>SCINEURO THERAPEUTICS INC</t>
  </si>
  <si>
    <t>GTI-6735116011</t>
  </si>
  <si>
    <t>GTI-6735116016</t>
  </si>
  <si>
    <t>GTI-6735116018</t>
  </si>
  <si>
    <t>CENTRAL STATES RESEARCH CENTRE INC</t>
  </si>
  <si>
    <t>GTI-6735116028</t>
  </si>
  <si>
    <t>GTI-6735116030</t>
  </si>
  <si>
    <t>GTI-6735116037</t>
  </si>
  <si>
    <t>Cemvita</t>
  </si>
  <si>
    <t>GTI-6735116041</t>
  </si>
  <si>
    <t>GTI-6735116042</t>
  </si>
  <si>
    <t>GTI-6735116056</t>
  </si>
  <si>
    <t>GTI-6735118014</t>
  </si>
  <si>
    <t>GTI-6735118023</t>
  </si>
  <si>
    <t>GTI-6735118029</t>
  </si>
  <si>
    <t>GTI-6735118035</t>
  </si>
  <si>
    <t>GTI-6735118048</t>
  </si>
  <si>
    <t>GTI-6735118061</t>
  </si>
  <si>
    <t>GTI-6735118070</t>
  </si>
  <si>
    <t>ENDICOTT COLLEGE</t>
  </si>
  <si>
    <t>GTI-6735118071</t>
  </si>
  <si>
    <t>GTI-6735138192</t>
  </si>
  <si>
    <t>GTI-96-3-030336</t>
  </si>
  <si>
    <t>SUPERGEN INC</t>
  </si>
  <si>
    <t>GTI-96-3-120296R</t>
  </si>
  <si>
    <t>NEW LIFE SCIENTIFIC</t>
  </si>
  <si>
    <t>GTI-96-4-020435</t>
  </si>
  <si>
    <t>GTI-96-4-020437</t>
  </si>
  <si>
    <t>GTI-96-4-060465</t>
  </si>
  <si>
    <t>GTI-96-4-070492</t>
  </si>
  <si>
    <t>GTI-96-4-080497R</t>
  </si>
  <si>
    <t>CHEMSMITH LABORATORIES</t>
  </si>
  <si>
    <t>GTI-96-4-080511</t>
  </si>
  <si>
    <t>GTI-96-4-100403</t>
  </si>
  <si>
    <t>GTI-96-4-110414</t>
  </si>
  <si>
    <t>GTI-96-4-120548</t>
  </si>
  <si>
    <t>NSABP Foundation Inc</t>
  </si>
  <si>
    <t>ISX414</t>
  </si>
  <si>
    <t>ISX449</t>
  </si>
  <si>
    <t>MU19151003</t>
  </si>
  <si>
    <t>Purificación y Análisis de Fluidos SAS (PAF)</t>
  </si>
  <si>
    <t>MU20253001</t>
  </si>
  <si>
    <t>NM118</t>
  </si>
  <si>
    <t>FACSAria II</t>
  </si>
  <si>
    <t>P07800051</t>
  </si>
  <si>
    <t>Northern Arizona University</t>
  </si>
  <si>
    <t>P69500015</t>
  </si>
  <si>
    <t>A2 Biotherapeutics</t>
  </si>
  <si>
    <t>R0014</t>
  </si>
  <si>
    <t>R0074</t>
  </si>
  <si>
    <t>Combined Therapeutics Inc</t>
  </si>
  <si>
    <t>S0104</t>
  </si>
  <si>
    <t>TEST0029</t>
  </si>
  <si>
    <t>Test only</t>
  </si>
  <si>
    <t>U0237</t>
  </si>
  <si>
    <t>U1254</t>
  </si>
  <si>
    <t>U1408</t>
  </si>
  <si>
    <t>U1547</t>
  </si>
  <si>
    <t>U1619</t>
  </si>
  <si>
    <t>V0146</t>
  </si>
  <si>
    <t>V0158 (BD)</t>
  </si>
  <si>
    <t>V96100078</t>
  </si>
  <si>
    <t>San Jose State University</t>
  </si>
  <si>
    <t>V96100116</t>
  </si>
  <si>
    <t>Iovance Biotherapeutics</t>
  </si>
  <si>
    <t>1507</t>
  </si>
  <si>
    <t>00011276</t>
  </si>
  <si>
    <t>Novo Nordisk Inc - Seattle WA</t>
  </si>
  <si>
    <t>Accessory</t>
  </si>
  <si>
    <t>1447</t>
  </si>
  <si>
    <t>00008377</t>
  </si>
  <si>
    <t>AbbVie Inc - Sunnyvale CA (Permanently Closed)</t>
  </si>
  <si>
    <t>Depot</t>
  </si>
  <si>
    <t>1510</t>
  </si>
  <si>
    <t>00009048</t>
  </si>
  <si>
    <t>U30100132</t>
  </si>
  <si>
    <t>00010191</t>
  </si>
  <si>
    <t>1290</t>
  </si>
  <si>
    <t>00009034</t>
  </si>
  <si>
    <t>CD197</t>
  </si>
  <si>
    <t>00015129</t>
  </si>
  <si>
    <t>H47100212</t>
  </si>
  <si>
    <t>00009943</t>
  </si>
  <si>
    <t>Pragma Bio</t>
  </si>
  <si>
    <t>United States Environmental Protection Agency</t>
  </si>
  <si>
    <t>1495</t>
  </si>
  <si>
    <t>00011516</t>
  </si>
  <si>
    <t>BETA 10</t>
  </si>
  <si>
    <t>00031029</t>
  </si>
  <si>
    <t>BETA5</t>
  </si>
  <si>
    <t>00031046</t>
  </si>
  <si>
    <t>CB127</t>
  </si>
  <si>
    <t>00013500</t>
  </si>
  <si>
    <t>CC193</t>
  </si>
  <si>
    <t>00013266</t>
  </si>
  <si>
    <t>CC194</t>
  </si>
  <si>
    <t>00030838</t>
  </si>
  <si>
    <t>CC198</t>
  </si>
  <si>
    <t>00014012</t>
  </si>
  <si>
    <t>CC204</t>
  </si>
  <si>
    <t>00015111</t>
  </si>
  <si>
    <t>CC214</t>
  </si>
  <si>
    <t>00014616</t>
  </si>
  <si>
    <t>CC216</t>
  </si>
  <si>
    <t>00012808</t>
  </si>
  <si>
    <t>CC221</t>
  </si>
  <si>
    <t>00012752</t>
  </si>
  <si>
    <t>CC223</t>
  </si>
  <si>
    <t>CC237</t>
  </si>
  <si>
    <t>00012753</t>
  </si>
  <si>
    <t>CC258</t>
  </si>
  <si>
    <t>00015303</t>
  </si>
  <si>
    <t>CC260</t>
  </si>
  <si>
    <t>00014279</t>
  </si>
  <si>
    <t>CC266</t>
  </si>
  <si>
    <t>00013886</t>
  </si>
  <si>
    <t>CC268</t>
  </si>
  <si>
    <t>00014028</t>
  </si>
  <si>
    <t>CC271</t>
  </si>
  <si>
    <t>00012742</t>
  </si>
  <si>
    <t>CC272</t>
  </si>
  <si>
    <t>00009153</t>
  </si>
  <si>
    <t>CC275</t>
  </si>
  <si>
    <t>00014191</t>
  </si>
  <si>
    <t>CC278</t>
  </si>
  <si>
    <t>00014735</t>
  </si>
  <si>
    <t>CC281</t>
  </si>
  <si>
    <t>00014999</t>
  </si>
  <si>
    <t>CC284</t>
  </si>
  <si>
    <t>00014505</t>
  </si>
  <si>
    <t>CC291</t>
  </si>
  <si>
    <t>00014882</t>
  </si>
  <si>
    <t>CC297</t>
  </si>
  <si>
    <t>00014565</t>
  </si>
  <si>
    <t>CC298</t>
  </si>
  <si>
    <t>00009929</t>
  </si>
  <si>
    <t>CC301</t>
  </si>
  <si>
    <t>00008423</t>
  </si>
  <si>
    <t>CC302</t>
  </si>
  <si>
    <t>00014195</t>
  </si>
  <si>
    <t>CC322</t>
  </si>
  <si>
    <t>00014259</t>
  </si>
  <si>
    <t>CC323</t>
  </si>
  <si>
    <t>00012006</t>
  </si>
  <si>
    <t>CC324</t>
  </si>
  <si>
    <t>00013451</t>
  </si>
  <si>
    <t>CC329</t>
  </si>
  <si>
    <t>00014823</t>
  </si>
  <si>
    <t>CC332</t>
  </si>
  <si>
    <t>00013048</t>
  </si>
  <si>
    <t>CC334</t>
  </si>
  <si>
    <t>CC335</t>
  </si>
  <si>
    <t>00013236</t>
  </si>
  <si>
    <t>CC337</t>
  </si>
  <si>
    <t>00012875</t>
  </si>
  <si>
    <t>CC338</t>
  </si>
  <si>
    <t>00013971</t>
  </si>
  <si>
    <t>CC341</t>
  </si>
  <si>
    <t>00013464</t>
  </si>
  <si>
    <t>CC354</t>
  </si>
  <si>
    <t>00012696</t>
  </si>
  <si>
    <t>CC355</t>
  </si>
  <si>
    <t>00013072</t>
  </si>
  <si>
    <t>CC366</t>
  </si>
  <si>
    <t>00013224</t>
  </si>
  <si>
    <t>CC372</t>
  </si>
  <si>
    <t>00011683</t>
  </si>
  <si>
    <t>CC377</t>
  </si>
  <si>
    <t>00013685</t>
  </si>
  <si>
    <t>CC382</t>
  </si>
  <si>
    <t>00015103</t>
  </si>
  <si>
    <t>CC385</t>
  </si>
  <si>
    <t>00012998</t>
  </si>
  <si>
    <t>CC387</t>
  </si>
  <si>
    <t>00014151</t>
  </si>
  <si>
    <t>CC388</t>
  </si>
  <si>
    <t>00013349</t>
  </si>
  <si>
    <t>CC395</t>
  </si>
  <si>
    <t>00013982</t>
  </si>
  <si>
    <t>CC403</t>
  </si>
  <si>
    <t>00009328</t>
  </si>
  <si>
    <t>CC413</t>
  </si>
  <si>
    <t>00010406</t>
  </si>
  <si>
    <t>CC415</t>
  </si>
  <si>
    <t>00013498</t>
  </si>
  <si>
    <t>CC425</t>
  </si>
  <si>
    <t>CC431</t>
  </si>
  <si>
    <t>00013012</t>
  </si>
  <si>
    <t>CC436</t>
  </si>
  <si>
    <t>00013565</t>
  </si>
  <si>
    <t>CC440</t>
  </si>
  <si>
    <t>00033277</t>
  </si>
  <si>
    <t>CC444</t>
  </si>
  <si>
    <t>00012656</t>
  </si>
  <si>
    <t>CC445</t>
  </si>
  <si>
    <t>00011085</t>
  </si>
  <si>
    <t>CC448</t>
  </si>
  <si>
    <t>00013186</t>
  </si>
  <si>
    <t>WuXi STA (previously HD Biosciences)</t>
  </si>
  <si>
    <t>CC450</t>
  </si>
  <si>
    <t>00008374</t>
  </si>
  <si>
    <t>CD003</t>
  </si>
  <si>
    <t>00015097</t>
  </si>
  <si>
    <t>CD004</t>
  </si>
  <si>
    <t>00013994</t>
  </si>
  <si>
    <t>CD006</t>
  </si>
  <si>
    <t>00009871</t>
  </si>
  <si>
    <t>CD007</t>
  </si>
  <si>
    <t>00014004</t>
  </si>
  <si>
    <t>CD027</t>
  </si>
  <si>
    <t>00008129</t>
  </si>
  <si>
    <t>CD038</t>
  </si>
  <si>
    <t>00012658</t>
  </si>
  <si>
    <t>CD046</t>
  </si>
  <si>
    <t>00013581</t>
  </si>
  <si>
    <t>CD047</t>
  </si>
  <si>
    <t>00014008</t>
  </si>
  <si>
    <t>CD048</t>
  </si>
  <si>
    <t>00014614</t>
  </si>
  <si>
    <t>CD050</t>
  </si>
  <si>
    <t>00015020</t>
  </si>
  <si>
    <t>CD052</t>
  </si>
  <si>
    <t>00014016</t>
  </si>
  <si>
    <t>CD054</t>
  </si>
  <si>
    <t>00013818</t>
  </si>
  <si>
    <t>CD056</t>
  </si>
  <si>
    <t>00013352</t>
  </si>
  <si>
    <t>CD058</t>
  </si>
  <si>
    <t>CD060</t>
  </si>
  <si>
    <t>00013188</t>
  </si>
  <si>
    <t>CD069</t>
  </si>
  <si>
    <t>00014226</t>
  </si>
  <si>
    <t>CD071</t>
  </si>
  <si>
    <t>00012823</t>
  </si>
  <si>
    <t>CD075</t>
  </si>
  <si>
    <t>00013731</t>
  </si>
  <si>
    <t>CD078</t>
  </si>
  <si>
    <t>00012825</t>
  </si>
  <si>
    <t>CD089</t>
  </si>
  <si>
    <t>00013820</t>
  </si>
  <si>
    <t>CD093</t>
  </si>
  <si>
    <t>00013854</t>
  </si>
  <si>
    <t>CD094</t>
  </si>
  <si>
    <t>00013196</t>
  </si>
  <si>
    <t>CD099</t>
  </si>
  <si>
    <t>CD103</t>
  </si>
  <si>
    <t>00014699</t>
  </si>
  <si>
    <t>CD108</t>
  </si>
  <si>
    <t>00012929</t>
  </si>
  <si>
    <t>CD110</t>
  </si>
  <si>
    <t>00030514</t>
  </si>
  <si>
    <t>CD115</t>
  </si>
  <si>
    <t>00013538</t>
  </si>
  <si>
    <t>CD118</t>
  </si>
  <si>
    <t>00014413</t>
  </si>
  <si>
    <t>Seranova Bio</t>
  </si>
  <si>
    <t>CD126</t>
  </si>
  <si>
    <t>00014832</t>
  </si>
  <si>
    <t>CD131</t>
  </si>
  <si>
    <t>00014845</t>
  </si>
  <si>
    <t>CD134</t>
  </si>
  <si>
    <t>00014425</t>
  </si>
  <si>
    <t>CD139</t>
  </si>
  <si>
    <t>00013202</t>
  </si>
  <si>
    <t>CD141</t>
  </si>
  <si>
    <t>00015024</t>
  </si>
  <si>
    <t>CD148</t>
  </si>
  <si>
    <t>00014881</t>
  </si>
  <si>
    <t>CD155</t>
  </si>
  <si>
    <t>00013665</t>
  </si>
  <si>
    <t>CD162</t>
  </si>
  <si>
    <t>00013041</t>
  </si>
  <si>
    <t>CD203</t>
  </si>
  <si>
    <t>00014297</t>
  </si>
  <si>
    <t>CD224</t>
  </si>
  <si>
    <t>00014934</t>
  </si>
  <si>
    <t>CD232</t>
  </si>
  <si>
    <t>00014932</t>
  </si>
  <si>
    <t>CD243</t>
  </si>
  <si>
    <t>00014290</t>
  </si>
  <si>
    <t>CD251</t>
  </si>
  <si>
    <t>00013562</t>
  </si>
  <si>
    <t>CD255</t>
  </si>
  <si>
    <t>00013724</t>
  </si>
  <si>
    <t>CD266</t>
  </si>
  <si>
    <t>00013753</t>
  </si>
  <si>
    <t>CD278</t>
  </si>
  <si>
    <t>00014238</t>
  </si>
  <si>
    <t>CD283</t>
  </si>
  <si>
    <t>00013874</t>
  </si>
  <si>
    <t>CE010</t>
  </si>
  <si>
    <t>00015821</t>
  </si>
  <si>
    <t>CE012</t>
  </si>
  <si>
    <t>00013899</t>
  </si>
  <si>
    <t>CE016</t>
  </si>
  <si>
    <t>00013898</t>
  </si>
  <si>
    <t>CE026</t>
  </si>
  <si>
    <t>00014121</t>
  </si>
  <si>
    <t>CE028</t>
  </si>
  <si>
    <t>00014045</t>
  </si>
  <si>
    <t>CE031</t>
  </si>
  <si>
    <t>00014103</t>
  </si>
  <si>
    <t>CE033</t>
  </si>
  <si>
    <t>00014134</t>
  </si>
  <si>
    <t>CE037</t>
  </si>
  <si>
    <t>00014164</t>
  </si>
  <si>
    <t>CE038</t>
  </si>
  <si>
    <t>00014159</t>
  </si>
  <si>
    <t>CE050</t>
  </si>
  <si>
    <t>00014622</t>
  </si>
  <si>
    <t>CE053</t>
  </si>
  <si>
    <t>00014962</t>
  </si>
  <si>
    <t>CE058</t>
  </si>
  <si>
    <t>00014233</t>
  </si>
  <si>
    <t>CE059</t>
  </si>
  <si>
    <t>00014246</t>
  </si>
  <si>
    <t>CE061</t>
  </si>
  <si>
    <t>00014270</t>
  </si>
  <si>
    <t>CE069</t>
  </si>
  <si>
    <t>00014294</t>
  </si>
  <si>
    <t>CE075</t>
  </si>
  <si>
    <t>00015072</t>
  </si>
  <si>
    <t>CE106</t>
  </si>
  <si>
    <t>00033748</t>
  </si>
  <si>
    <t>CE113</t>
  </si>
  <si>
    <t>00009225</t>
  </si>
  <si>
    <t>CE138</t>
  </si>
  <si>
    <t>CE186</t>
  </si>
  <si>
    <t>00031214</t>
  </si>
  <si>
    <t>COILY</t>
  </si>
  <si>
    <t>00030299</t>
  </si>
  <si>
    <t>E4130</t>
  </si>
  <si>
    <t>00012082</t>
  </si>
  <si>
    <t>E6422</t>
  </si>
  <si>
    <t>00010635</t>
  </si>
  <si>
    <t>FE098</t>
  </si>
  <si>
    <t>00014591</t>
  </si>
  <si>
    <t>Scorpius Biomanufacturing (Ceased Operations)</t>
  </si>
  <si>
    <t>FE156</t>
  </si>
  <si>
    <t>FE163</t>
  </si>
  <si>
    <t>FE167</t>
  </si>
  <si>
    <t>FE193</t>
  </si>
  <si>
    <t>00014947</t>
  </si>
  <si>
    <t>FE197</t>
  </si>
  <si>
    <t>FE221</t>
  </si>
  <si>
    <t>FE290</t>
  </si>
  <si>
    <t>FE303</t>
  </si>
  <si>
    <t>FE315</t>
  </si>
  <si>
    <t>FE320</t>
  </si>
  <si>
    <t>00032219</t>
  </si>
  <si>
    <t>FE326</t>
  </si>
  <si>
    <t>FE344</t>
  </si>
  <si>
    <t>00030648</t>
  </si>
  <si>
    <t>FE346</t>
  </si>
  <si>
    <t>00017013</t>
  </si>
  <si>
    <t>FF002</t>
  </si>
  <si>
    <t>00017420</t>
  </si>
  <si>
    <t>FF005</t>
  </si>
  <si>
    <t>FF117</t>
  </si>
  <si>
    <t>00015407</t>
  </si>
  <si>
    <t>FF169</t>
  </si>
  <si>
    <t>00016820</t>
  </si>
  <si>
    <t>FF181</t>
  </si>
  <si>
    <t>00033057</t>
  </si>
  <si>
    <t>FF188</t>
  </si>
  <si>
    <t>00014018</t>
  </si>
  <si>
    <t>FF196</t>
  </si>
  <si>
    <t>00031830</t>
  </si>
  <si>
    <t>FF307</t>
  </si>
  <si>
    <t>00015684</t>
  </si>
  <si>
    <t>GentiBio Inc - Seattle WA</t>
  </si>
  <si>
    <t>FG002</t>
  </si>
  <si>
    <t>FG078</t>
  </si>
  <si>
    <t>00036368</t>
  </si>
  <si>
    <t>FG083</t>
  </si>
  <si>
    <t>FG226</t>
  </si>
  <si>
    <t>00017380</t>
  </si>
  <si>
    <t>FG241</t>
  </si>
  <si>
    <t>00015687</t>
  </si>
  <si>
    <t>FG323</t>
  </si>
  <si>
    <t>00032060</t>
  </si>
  <si>
    <t>FG324</t>
  </si>
  <si>
    <t>00032062</t>
  </si>
  <si>
    <t>FH082</t>
  </si>
  <si>
    <t>FH294</t>
  </si>
  <si>
    <t>H47600059</t>
  </si>
  <si>
    <t>00011954</t>
  </si>
  <si>
    <t>H47600088</t>
  </si>
  <si>
    <t>00010624</t>
  </si>
  <si>
    <t>H47600126</t>
  </si>
  <si>
    <t>00010925</t>
  </si>
  <si>
    <t>AbVision</t>
  </si>
  <si>
    <t>NM1517SP</t>
  </si>
  <si>
    <t>00032654</t>
  </si>
  <si>
    <t>NM1530SP</t>
  </si>
  <si>
    <t>00032656</t>
  </si>
  <si>
    <t>P0105</t>
  </si>
  <si>
    <t>00008712</t>
  </si>
  <si>
    <t>P1</t>
  </si>
  <si>
    <t>00018041</t>
  </si>
  <si>
    <t>P1001</t>
  </si>
  <si>
    <t>00033131</t>
  </si>
  <si>
    <t>P69500008</t>
  </si>
  <si>
    <t>00013112</t>
  </si>
  <si>
    <t>P69500071</t>
  </si>
  <si>
    <t>00007744</t>
  </si>
  <si>
    <t>R0018</t>
  </si>
  <si>
    <t>00032218</t>
  </si>
  <si>
    <t>S0111</t>
  </si>
  <si>
    <t>00031609</t>
  </si>
  <si>
    <t>S0139</t>
  </si>
  <si>
    <t>S0168</t>
  </si>
  <si>
    <t>00031613</t>
  </si>
  <si>
    <t>S0212</t>
  </si>
  <si>
    <t>00034076</t>
  </si>
  <si>
    <t>00036891</t>
  </si>
  <si>
    <t>TBD</t>
  </si>
  <si>
    <t>U0301</t>
  </si>
  <si>
    <t>00036522</t>
  </si>
  <si>
    <t>U0481</t>
  </si>
  <si>
    <t>U0662SP</t>
  </si>
  <si>
    <t>Thermo Fisher Scientific - Fort Collins, CO</t>
  </si>
  <si>
    <t>U1117</t>
  </si>
  <si>
    <t>00033182</t>
  </si>
  <si>
    <t>U1597</t>
  </si>
  <si>
    <t>00033266</t>
  </si>
  <si>
    <t>U1603</t>
  </si>
  <si>
    <t>00033268</t>
  </si>
  <si>
    <t>U30100012</t>
  </si>
  <si>
    <t>00012832</t>
  </si>
  <si>
    <t>00036616</t>
  </si>
  <si>
    <t>Y0015</t>
  </si>
  <si>
    <t>00015317</t>
  </si>
  <si>
    <t>Y0089</t>
  </si>
  <si>
    <t>00036523</t>
  </si>
  <si>
    <t>Y0121</t>
  </si>
  <si>
    <t>00034074</t>
  </si>
  <si>
    <t>CS106</t>
  </si>
  <si>
    <t>00036213</t>
  </si>
  <si>
    <t>CS107</t>
  </si>
  <si>
    <t>00030062</t>
  </si>
  <si>
    <t>CS047</t>
  </si>
  <si>
    <t>00030765</t>
  </si>
  <si>
    <t>CS050</t>
  </si>
  <si>
    <t>00030169</t>
  </si>
  <si>
    <t>SINCLAIR RESEARCH CENTER LLC</t>
  </si>
  <si>
    <t>CS072</t>
  </si>
  <si>
    <t>00030244</t>
  </si>
  <si>
    <t>CS078</t>
  </si>
  <si>
    <t>00034873</t>
  </si>
  <si>
    <t>CS083</t>
  </si>
  <si>
    <t>00018043</t>
  </si>
  <si>
    <t>CS086</t>
  </si>
  <si>
    <t>00032907</t>
  </si>
  <si>
    <t>CS095</t>
  </si>
  <si>
    <t>00036903</t>
  </si>
  <si>
    <t>CS097</t>
  </si>
  <si>
    <t>00036988</t>
  </si>
  <si>
    <t>CS101</t>
  </si>
  <si>
    <t>00030227</t>
  </si>
  <si>
    <t>CS105</t>
  </si>
  <si>
    <t>00032853</t>
  </si>
  <si>
    <t>CS115</t>
  </si>
  <si>
    <t>00030725</t>
  </si>
  <si>
    <t>CS117</t>
  </si>
  <si>
    <t>00034659</t>
  </si>
  <si>
    <t>CS077</t>
  </si>
  <si>
    <t>00030247</t>
  </si>
  <si>
    <t>00036908</t>
  </si>
  <si>
    <t>Pliant Therapeutics Inc</t>
  </si>
  <si>
    <t>Catalent Inc - Maryland</t>
  </si>
  <si>
    <t>00036163</t>
  </si>
  <si>
    <t>10x Genomics Inc</t>
  </si>
  <si>
    <t>00030295</t>
  </si>
  <si>
    <t>Juno Therapeutics</t>
  </si>
  <si>
    <t>Novavax Inc</t>
  </si>
  <si>
    <t>Reckitt Benckiser LLC</t>
  </si>
  <si>
    <t>RemeGen Biosciences Inc</t>
  </si>
  <si>
    <t>West Pharmaceutical Services Inc</t>
  </si>
  <si>
    <t>FDA - National Center for Toxicological Research (NCTR)</t>
  </si>
  <si>
    <t>University of Delaware</t>
  </si>
  <si>
    <t>Lincoln Memorial University</t>
  </si>
  <si>
    <t>Purdue University</t>
  </si>
  <si>
    <t>UNITED STATES PHARMACOPEIAL CONVENTION</t>
  </si>
  <si>
    <t>Vertex Pharmaceuticals - Boston</t>
  </si>
  <si>
    <t>Grand Valley State University</t>
  </si>
  <si>
    <t>Michael E DeBakey VA Medical Center</t>
  </si>
  <si>
    <t>Baltimore VA Medical Center</t>
  </si>
  <si>
    <t>Rocky Mountain Regional VA Medical Center (RMRVA)</t>
  </si>
  <si>
    <t>National Institute of Standards and Technology (NIST)</t>
  </si>
  <si>
    <t>Sanford Research - Sioux Falls</t>
  </si>
  <si>
    <t>Versiti Blood Health Inc</t>
  </si>
  <si>
    <t>Children's Mercy Hospital</t>
  </si>
  <si>
    <t>Holder, Dichroic Filter, Phase III (DxP, Athena)</t>
  </si>
  <si>
    <t>A002</t>
  </si>
  <si>
    <t>00009307</t>
  </si>
  <si>
    <t>Liberty University</t>
  </si>
  <si>
    <t>CC317</t>
  </si>
  <si>
    <t>00031967</t>
  </si>
  <si>
    <t>CC379</t>
  </si>
  <si>
    <t>CE051</t>
  </si>
  <si>
    <t>00017958</t>
  </si>
  <si>
    <t>E1485</t>
  </si>
  <si>
    <t>00010145</t>
  </si>
  <si>
    <t>E5534</t>
  </si>
  <si>
    <t>00011735</t>
  </si>
  <si>
    <t>FF100</t>
  </si>
  <si>
    <t>FG197</t>
  </si>
  <si>
    <t>00016636</t>
  </si>
  <si>
    <t>FG227</t>
  </si>
  <si>
    <t>FH234</t>
  </si>
  <si>
    <t>00032589</t>
  </si>
  <si>
    <t>H47100055</t>
  </si>
  <si>
    <t>00012941</t>
  </si>
  <si>
    <t>00036655</t>
  </si>
  <si>
    <t>00036656</t>
  </si>
  <si>
    <t>00036830</t>
  </si>
  <si>
    <t>00036658</t>
  </si>
  <si>
    <t>00036657</t>
  </si>
  <si>
    <t>A003</t>
  </si>
  <si>
    <t>00009771</t>
  </si>
  <si>
    <t>Molecular Templates Inc</t>
  </si>
  <si>
    <t>CC276</t>
  </si>
  <si>
    <t>00012687</t>
  </si>
  <si>
    <t>CC277</t>
  </si>
  <si>
    <t>00013973</t>
  </si>
  <si>
    <t>CC295</t>
  </si>
  <si>
    <t>00008654</t>
  </si>
  <si>
    <t>CC328</t>
  </si>
  <si>
    <t>00014109</t>
  </si>
  <si>
    <t>CC330</t>
  </si>
  <si>
    <t>00007949</t>
  </si>
  <si>
    <t>CC333</t>
  </si>
  <si>
    <t>00012713</t>
  </si>
  <si>
    <t>CC349</t>
  </si>
  <si>
    <t>00012387</t>
  </si>
  <si>
    <t>CC362</t>
  </si>
  <si>
    <t>CC367</t>
  </si>
  <si>
    <t>00010523</t>
  </si>
  <si>
    <t>CC371</t>
  </si>
  <si>
    <t>00010438</t>
  </si>
  <si>
    <t>CC422</t>
  </si>
  <si>
    <t>00012029</t>
  </si>
  <si>
    <t>CC426</t>
  </si>
  <si>
    <t>00008773</t>
  </si>
  <si>
    <t>CC447</t>
  </si>
  <si>
    <t>00014040</t>
  </si>
  <si>
    <t>CD045</t>
  </si>
  <si>
    <t>00012532</t>
  </si>
  <si>
    <t>CD063</t>
  </si>
  <si>
    <t>00010749</t>
  </si>
  <si>
    <t>CD065</t>
  </si>
  <si>
    <t>00013838</t>
  </si>
  <si>
    <t>CD068</t>
  </si>
  <si>
    <t>00012630</t>
  </si>
  <si>
    <t>CD074</t>
  </si>
  <si>
    <t>00012846</t>
  </si>
  <si>
    <t>CD080</t>
  </si>
  <si>
    <t>00012727</t>
  </si>
  <si>
    <t>CD081</t>
  </si>
  <si>
    <t>00012679</t>
  </si>
  <si>
    <t>CD127</t>
  </si>
  <si>
    <t>00013142</t>
  </si>
  <si>
    <t>CD130</t>
  </si>
  <si>
    <t>00013033</t>
  </si>
  <si>
    <t>cd142</t>
  </si>
  <si>
    <t>00012984</t>
  </si>
  <si>
    <t>CD160</t>
  </si>
  <si>
    <t>00013045</t>
  </si>
  <si>
    <t>CD161</t>
  </si>
  <si>
    <t>00013214</t>
  </si>
  <si>
    <t>CD168</t>
  </si>
  <si>
    <t>00013084</t>
  </si>
  <si>
    <t>CD170</t>
  </si>
  <si>
    <t>00013086</t>
  </si>
  <si>
    <t>CD172</t>
  </si>
  <si>
    <t>00013217</t>
  </si>
  <si>
    <t>CD174</t>
  </si>
  <si>
    <t>CD175</t>
  </si>
  <si>
    <t>00013148</t>
  </si>
  <si>
    <t>CD177</t>
  </si>
  <si>
    <t>00013250</t>
  </si>
  <si>
    <t>CD183</t>
  </si>
  <si>
    <t>00013211</t>
  </si>
  <si>
    <t>CD189</t>
  </si>
  <si>
    <t>00013145</t>
  </si>
  <si>
    <t>CD198</t>
  </si>
  <si>
    <t>00014240</t>
  </si>
  <si>
    <t>CD201</t>
  </si>
  <si>
    <t>00014416</t>
  </si>
  <si>
    <t>CD215</t>
  </si>
  <si>
    <t>00013317</t>
  </si>
  <si>
    <t>CD219</t>
  </si>
  <si>
    <t>00013502</t>
  </si>
  <si>
    <t>CD223</t>
  </si>
  <si>
    <t>00013466</t>
  </si>
  <si>
    <t>CD240</t>
  </si>
  <si>
    <t>00013718</t>
  </si>
  <si>
    <t>CD241</t>
  </si>
  <si>
    <t>00013524</t>
  </si>
  <si>
    <t>CD242</t>
  </si>
  <si>
    <t>00013521</t>
  </si>
  <si>
    <t>CD246</t>
  </si>
  <si>
    <t>00013761</t>
  </si>
  <si>
    <t>CD249</t>
  </si>
  <si>
    <t>00013545</t>
  </si>
  <si>
    <t>CD252</t>
  </si>
  <si>
    <t>00013547</t>
  </si>
  <si>
    <t>CD260</t>
  </si>
  <si>
    <t>00013726</t>
  </si>
  <si>
    <t>CD280</t>
  </si>
  <si>
    <t>00013870</t>
  </si>
  <si>
    <t>CE001</t>
  </si>
  <si>
    <t>00013842</t>
  </si>
  <si>
    <t>CE004</t>
  </si>
  <si>
    <t>00014945</t>
  </si>
  <si>
    <t>CE013</t>
  </si>
  <si>
    <t>00013918</t>
  </si>
  <si>
    <t>CE015</t>
  </si>
  <si>
    <t>00013558</t>
  </si>
  <si>
    <t>CE025</t>
  </si>
  <si>
    <t>00014077</t>
  </si>
  <si>
    <t>CE035</t>
  </si>
  <si>
    <t>00014169</t>
  </si>
  <si>
    <t>CE048</t>
  </si>
  <si>
    <t>00014577</t>
  </si>
  <si>
    <t>CE055</t>
  </si>
  <si>
    <t>00014978</t>
  </si>
  <si>
    <t>CE057</t>
  </si>
  <si>
    <t>00014277</t>
  </si>
  <si>
    <t>CE063</t>
  </si>
  <si>
    <t>00014645</t>
  </si>
  <si>
    <t>CE064</t>
  </si>
  <si>
    <t>00014197</t>
  </si>
  <si>
    <t>CE066</t>
  </si>
  <si>
    <t>00014329</t>
  </si>
  <si>
    <t>CE095</t>
  </si>
  <si>
    <t>00014558</t>
  </si>
  <si>
    <t>CE096</t>
  </si>
  <si>
    <t>00014672</t>
  </si>
  <si>
    <t>CE100</t>
  </si>
  <si>
    <t>00014816</t>
  </si>
  <si>
    <t>CE102</t>
  </si>
  <si>
    <t>00014575</t>
  </si>
  <si>
    <t>CE105</t>
  </si>
  <si>
    <t>00014900</t>
  </si>
  <si>
    <t>CE109</t>
  </si>
  <si>
    <t>00014635</t>
  </si>
  <si>
    <t>EC222216C3</t>
  </si>
  <si>
    <t>00024309</t>
  </si>
  <si>
    <t>Komfo Anokye Teaching Hospital (KATH)</t>
  </si>
  <si>
    <t>FE131</t>
  </si>
  <si>
    <t>00014673</t>
  </si>
  <si>
    <t>FE150</t>
  </si>
  <si>
    <t>00014598</t>
  </si>
  <si>
    <t>FE155</t>
  </si>
  <si>
    <t>00014608</t>
  </si>
  <si>
    <t>FE157</t>
  </si>
  <si>
    <t>00014641</t>
  </si>
  <si>
    <t>FE158</t>
  </si>
  <si>
    <t>00014606</t>
  </si>
  <si>
    <t>FE160</t>
  </si>
  <si>
    <t>00014604</t>
  </si>
  <si>
    <t>Biomea Fusion Inc</t>
  </si>
  <si>
    <t>FE164</t>
  </si>
  <si>
    <t>00014814</t>
  </si>
  <si>
    <t>FE172</t>
  </si>
  <si>
    <t>00014884</t>
  </si>
  <si>
    <t>FE174</t>
  </si>
  <si>
    <t>00014836</t>
  </si>
  <si>
    <t>FE177</t>
  </si>
  <si>
    <t>00014825</t>
  </si>
  <si>
    <t>FE178</t>
  </si>
  <si>
    <t>00014833</t>
  </si>
  <si>
    <t>FE180</t>
  </si>
  <si>
    <t>00014862</t>
  </si>
  <si>
    <t>FE196</t>
  </si>
  <si>
    <t>00014898</t>
  </si>
  <si>
    <t>FE206</t>
  </si>
  <si>
    <t>00014954</t>
  </si>
  <si>
    <t>FE207</t>
  </si>
  <si>
    <t>00014980</t>
  </si>
  <si>
    <t>FE211</t>
  </si>
  <si>
    <t>00015068</t>
  </si>
  <si>
    <t>FF061</t>
  </si>
  <si>
    <t>00015360</t>
  </si>
  <si>
    <t>FF302</t>
  </si>
  <si>
    <t>00034000</t>
  </si>
  <si>
    <t>FG225</t>
  </si>
  <si>
    <t>00031269</t>
  </si>
  <si>
    <t>ISX766</t>
  </si>
  <si>
    <t>00030357</t>
  </si>
  <si>
    <t>MU23203004</t>
  </si>
  <si>
    <t>00031043</t>
  </si>
  <si>
    <t>Department of Veterans Affairs - San Diego</t>
  </si>
  <si>
    <t>University of San Francisco (USF)</t>
  </si>
  <si>
    <t>NM1207</t>
  </si>
  <si>
    <t>00036563</t>
  </si>
  <si>
    <t>NM1309</t>
  </si>
  <si>
    <t>00035066</t>
  </si>
  <si>
    <t>S0319SP</t>
  </si>
  <si>
    <t>00033251</t>
  </si>
  <si>
    <t>U1325</t>
  </si>
  <si>
    <t>00036529</t>
  </si>
  <si>
    <t>V0159R</t>
  </si>
  <si>
    <t>00034958</t>
  </si>
  <si>
    <t>Y0017</t>
  </si>
  <si>
    <t>00032217</t>
  </si>
  <si>
    <t>Y0033</t>
  </si>
  <si>
    <t>00015053</t>
  </si>
  <si>
    <t>CC373</t>
  </si>
  <si>
    <t>CC437</t>
  </si>
  <si>
    <t>Requires Engineer</t>
  </si>
  <si>
    <t>CD128</t>
  </si>
  <si>
    <t>FE230</t>
  </si>
  <si>
    <t>FH052</t>
  </si>
  <si>
    <t>1508</t>
  </si>
  <si>
    <t>00009414</t>
  </si>
  <si>
    <t>MU19302001</t>
  </si>
  <si>
    <t>UNITED SCIENTIFIC CO., LTD.</t>
  </si>
  <si>
    <t>Viet Nam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</si>
</sst>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164" formatCode="&quot;$&quot;#,##0.00"/>
    <numFmt numFmtId="165" formatCode="&quot;$&quot;#,##0"/>
  </numFmts>
  <fonts count="29">
    <font>
      <sz val="11"/>
      <color theme="1"/>
      <name val="Aptos Narrow"/>
      <family val="2"/>
      <scheme val="minor"/>
    </font>
    <font>
      <b/>
      <sz val="11"/>
      <color theme="1"/>
      <name val="Aptos Narrow"/>
      <family val="2"/>
      <scheme val="minor"/>
    </font>
    <font>
      <sz val="12"/>
      <color theme="1"/>
      <name val="Aptos Narrow"/>
      <family val="2"/>
      <scheme val="minor"/>
    </font>
    <font>
      <b/>
      <sz val="12"/>
      <color theme="1"/>
      <name val="Aptos Narrow"/>
      <family val="2"/>
      <scheme val="minor"/>
    </font>
    <font>
      <sz val="14"/>
      <color theme="1"/>
      <name val="Aptos Narrow"/>
      <family val="2"/>
      <scheme val="minor"/>
    </font>
    <font>
      <sz val="11"/>
      <color theme="1"/>
      <name val="Aptos Narrow"/>
      <family val="2"/>
      <scheme val="minor"/>
    </font>
    <font>
      <b/>
      <sz val="11"/>
      <color theme="0"/>
      <name val="Aptos Narrow"/>
      <family val="2"/>
      <scheme val="minor"/>
    </font>
    <font>
      <b/>
      <sz val="12"/>
      <color theme="0"/>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sz val="11"/>
      <color rgb="FFFF0000"/>
      <name val="Aptos Narrow"/>
      <family val="2"/>
      <scheme val="minor"/>
    </font>
    <font>
      <i/>
      <sz val="11"/>
      <color rgb="FF7F7F7F"/>
      <name val="Aptos Narrow"/>
      <family val="2"/>
      <scheme val="minor"/>
    </font>
    <font>
      <sz val="11"/>
      <color theme="0"/>
      <name val="Aptos Narrow"/>
      <family val="2"/>
      <scheme val="minor"/>
    </font>
    <font>
      <sz val="8"/>
      <name val="Arial"/>
      <family val="2"/>
    </font>
    <font>
      <sz val="8"/>
      <color rgb="FF000000"/>
      <name val="Verdana"/>
      <family val="2"/>
    </font>
    <font>
      <b/>
      <sz val="14"/>
      <color theme="0"/>
      <name val="Aptos Narrow"/>
      <family val="2"/>
      <scheme val="minor"/>
    </font>
    <font>
      <b/>
      <sz val="12"/>
      <name val="Aptos Narrow"/>
      <family val="2"/>
      <scheme val="minor"/>
    </font>
    <font>
      <b/>
      <sz val="14"/>
      <color theme="1"/>
      <name val="Aptos Narrow"/>
      <family val="2"/>
      <scheme val="minor"/>
    </font>
    <font>
      <sz val="8"/>
      <name val="Aptos Narrow"/>
      <family val="2"/>
      <scheme val="minor"/>
    </font>
    <font>
      <b/>
      <sz val="14"/>
      <name val="Aptos Narrow"/>
      <family val="2"/>
      <scheme val="minor"/>
    </font>
  </fonts>
  <fills count="46">
    <fill>
      <patternFill patternType="none"/>
    </fill>
    <fill>
      <patternFill patternType="gray125"/>
    </fill>
    <fill>
      <patternFill patternType="solid">
        <fgColor theme="0"/>
        <bgColor indexed="64"/>
      </patternFill>
    </fill>
    <fill>
      <patternFill patternType="solid">
        <fgColor rgb="FFFCF9DE"/>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87BF8C"/>
        <bgColor indexed="64"/>
      </patternFill>
    </fill>
    <fill>
      <patternFill patternType="solid">
        <fgColor rgb="FFBBDBC9"/>
        <bgColor indexed="64"/>
      </patternFill>
    </fill>
    <fill>
      <patternFill patternType="solid">
        <fgColor theme="9" tint="-0.499984740745262"/>
        <bgColor indexed="64"/>
      </patternFill>
    </fill>
    <fill>
      <patternFill patternType="solid">
        <fgColor theme="3" tint="9.9978637043366805E-2"/>
        <bgColor indexed="64"/>
      </patternFill>
    </fill>
    <fill>
      <patternFill patternType="solid">
        <fgColor rgb="FF6180BF"/>
        <bgColor indexed="64"/>
      </patternFill>
    </fill>
    <fill>
      <patternFill patternType="solid">
        <fgColor rgb="FFB8C6E2"/>
        <bgColor indexed="64"/>
      </patternFill>
    </fill>
    <fill>
      <patternFill patternType="solid">
        <fgColor rgb="FF286FB6"/>
        <bgColor indexed="64"/>
      </patternFill>
    </fill>
    <fill>
      <patternFill patternType="solid">
        <fgColor rgb="FF47854D"/>
        <bgColor indexed="64"/>
      </patternFill>
    </fill>
    <fill>
      <patternFill patternType="solid">
        <fgColor theme="1"/>
        <bgColor indexed="64"/>
      </patternFill>
    </fill>
    <fill>
      <patternFill patternType="solid">
        <fgColor rgb="FFC4DBF2"/>
        <bgColor indexed="64"/>
      </patternFill>
    </fill>
    <fill>
      <patternFill patternType="solid">
        <fgColor theme="2" tint="-9.9978637043366805E-2"/>
        <bgColor indexed="64"/>
      </patternFill>
    </fill>
  </fills>
  <borders count="45">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indexed="64"/>
      </top>
      <bottom style="thin">
        <color rgb="FF000000"/>
      </bottom>
      <diagonal/>
    </border>
    <border>
      <left style="medium">
        <color indexed="64"/>
      </left>
      <right/>
      <top style="medium">
        <color indexed="64"/>
      </top>
      <bottom/>
      <diagonal/>
    </border>
    <border>
      <left/>
      <right style="medium">
        <color indexed="64"/>
      </right>
      <top style="medium">
        <color indexed="64"/>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medium">
        <color indexed="64"/>
      </top>
      <bottom/>
      <diagonal/>
    </border>
    <border>
      <left style="thin">
        <color indexed="64"/>
      </left>
      <right style="thin">
        <color indexed="64"/>
      </right>
      <top style="thin">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theme="2"/>
      </left>
      <right style="thin">
        <color theme="2"/>
      </right>
      <top style="thin">
        <color theme="2"/>
      </top>
      <bottom style="thin">
        <color theme="2"/>
      </bottom>
      <diagonal/>
    </border>
    <border>
      <left style="thin">
        <color theme="2"/>
      </left>
      <right style="thin">
        <color theme="2"/>
      </right>
      <top/>
      <bottom style="thin">
        <color theme="2"/>
      </bottom>
      <diagonal/>
    </border>
    <border>
      <left/>
      <right style="thin">
        <color theme="2"/>
      </right>
      <top style="thin">
        <color theme="2"/>
      </top>
      <bottom/>
      <diagonal/>
    </border>
    <border>
      <left/>
      <right style="thin">
        <color theme="2"/>
      </right>
      <top/>
      <bottom/>
      <diagonal/>
    </border>
    <border>
      <left style="medium">
        <color theme="1"/>
      </left>
      <right style="medium">
        <color theme="1"/>
      </right>
      <top style="medium">
        <color theme="1"/>
      </top>
      <bottom style="medium">
        <color theme="1"/>
      </bottom>
      <diagonal/>
    </border>
    <border>
      <left style="medium">
        <color theme="1"/>
      </left>
      <right style="medium">
        <color theme="1"/>
      </right>
      <top style="medium">
        <color theme="1"/>
      </top>
      <bottom/>
      <diagonal/>
    </border>
    <border>
      <left style="medium">
        <color theme="1"/>
      </left>
      <right/>
      <top style="medium">
        <color theme="1"/>
      </top>
      <bottom/>
      <diagonal/>
    </border>
    <border>
      <left/>
      <right/>
      <top style="medium">
        <color theme="1"/>
      </top>
      <bottom/>
      <diagonal/>
    </border>
    <border>
      <left/>
      <right style="medium">
        <color theme="1"/>
      </right>
      <top style="medium">
        <color theme="1"/>
      </top>
      <bottom/>
      <diagonal/>
    </border>
    <border>
      <left style="medium">
        <color theme="1"/>
      </left>
      <right/>
      <top/>
      <bottom/>
      <diagonal/>
    </border>
    <border>
      <left/>
      <right style="medium">
        <color theme="1"/>
      </right>
      <top/>
      <bottom/>
      <diagonal/>
    </border>
    <border>
      <left style="medium">
        <color theme="1"/>
      </left>
      <right/>
      <top/>
      <bottom style="medium">
        <color theme="1"/>
      </bottom>
      <diagonal/>
    </border>
    <border>
      <left/>
      <right/>
      <top/>
      <bottom style="medium">
        <color theme="1"/>
      </bottom>
      <diagonal/>
    </border>
    <border>
      <left/>
      <right style="medium">
        <color theme="1"/>
      </right>
      <top/>
      <bottom style="medium">
        <color theme="1"/>
      </bottom>
      <diagonal/>
    </border>
  </borders>
  <cellStyleXfs count="43">
    <xf numFmtId="0" fontId="0" fillId="0" borderId="0"/>
    <xf numFmtId="44" fontId="5" fillId="0" borderId="0" applyFont="0" applyFill="0" applyBorder="0" applyAlignment="0" applyProtection="0"/>
    <xf numFmtId="0" fontId="8" fillId="0" borderId="0" applyNumberFormat="0" applyFill="0" applyBorder="0" applyAlignment="0" applyProtection="0"/>
    <xf numFmtId="0" fontId="9" fillId="0" borderId="14" applyNumberFormat="0" applyFill="0" applyAlignment="0" applyProtection="0"/>
    <xf numFmtId="0" fontId="10" fillId="0" borderId="15" applyNumberFormat="0" applyFill="0" applyAlignment="0" applyProtection="0"/>
    <xf numFmtId="0" fontId="11" fillId="0" borderId="16" applyNumberFormat="0" applyFill="0" applyAlignment="0" applyProtection="0"/>
    <xf numFmtId="0" fontId="11" fillId="0" borderId="0" applyNumberFormat="0" applyFill="0" applyBorder="0" applyAlignment="0" applyProtection="0"/>
    <xf numFmtId="0" fontId="12" fillId="4" borderId="0" applyNumberFormat="0" applyBorder="0" applyAlignment="0" applyProtection="0"/>
    <xf numFmtId="0" fontId="13" fillId="5" borderId="0" applyNumberFormat="0" applyBorder="0" applyAlignment="0" applyProtection="0"/>
    <xf numFmtId="0" fontId="14" fillId="6" borderId="0" applyNumberFormat="0" applyBorder="0" applyAlignment="0" applyProtection="0"/>
    <xf numFmtId="0" fontId="15" fillId="7" borderId="17" applyNumberFormat="0" applyAlignment="0" applyProtection="0"/>
    <xf numFmtId="0" fontId="16" fillId="8" borderId="18" applyNumberFormat="0" applyAlignment="0" applyProtection="0"/>
    <xf numFmtId="0" fontId="17" fillId="8" borderId="17" applyNumberFormat="0" applyAlignment="0" applyProtection="0"/>
    <xf numFmtId="0" fontId="18" fillId="0" borderId="19" applyNumberFormat="0" applyFill="0" applyAlignment="0" applyProtection="0"/>
    <xf numFmtId="0" fontId="6" fillId="9" borderId="20" applyNumberFormat="0" applyAlignment="0" applyProtection="0"/>
    <xf numFmtId="0" fontId="19" fillId="0" borderId="0" applyNumberFormat="0" applyFill="0" applyBorder="0" applyAlignment="0" applyProtection="0"/>
    <xf numFmtId="0" fontId="5" fillId="10" borderId="21" applyNumberFormat="0" applyFont="0" applyAlignment="0" applyProtection="0"/>
    <xf numFmtId="0" fontId="20" fillId="0" borderId="0" applyNumberFormat="0" applyFill="0" applyBorder="0" applyAlignment="0" applyProtection="0"/>
    <xf numFmtId="0" fontId="1" fillId="0" borderId="22" applyNumberFormat="0" applyFill="0" applyAlignment="0" applyProtection="0"/>
    <xf numFmtId="0" fontId="21" fillId="11" borderId="0" applyNumberFormat="0" applyBorder="0" applyAlignment="0" applyProtection="0"/>
    <xf numFmtId="0" fontId="5" fillId="12" borderId="0" applyNumberFormat="0" applyBorder="0" applyAlignment="0" applyProtection="0"/>
    <xf numFmtId="0" fontId="5" fillId="13" borderId="0" applyNumberFormat="0" applyBorder="0" applyAlignment="0" applyProtection="0"/>
    <xf numFmtId="0" fontId="5" fillId="14" borderId="0" applyNumberFormat="0" applyBorder="0" applyAlignment="0" applyProtection="0"/>
    <xf numFmtId="0" fontId="21" fillId="15" borderId="0" applyNumberFormat="0" applyBorder="0" applyAlignment="0" applyProtection="0"/>
    <xf numFmtId="0" fontId="5" fillId="16" borderId="0" applyNumberFormat="0" applyBorder="0" applyAlignment="0" applyProtection="0"/>
    <xf numFmtId="0" fontId="5" fillId="17" borderId="0" applyNumberFormat="0" applyBorder="0" applyAlignment="0" applyProtection="0"/>
    <xf numFmtId="0" fontId="5" fillId="18" borderId="0" applyNumberFormat="0" applyBorder="0" applyAlignment="0" applyProtection="0"/>
    <xf numFmtId="0" fontId="21" fillId="19" borderId="0" applyNumberFormat="0" applyBorder="0" applyAlignment="0" applyProtection="0"/>
    <xf numFmtId="0" fontId="5" fillId="20" borderId="0" applyNumberFormat="0" applyBorder="0" applyAlignment="0" applyProtection="0"/>
    <xf numFmtId="0" fontId="5" fillId="21" borderId="0" applyNumberFormat="0" applyBorder="0" applyAlignment="0" applyProtection="0"/>
    <xf numFmtId="0" fontId="5" fillId="22" borderId="0" applyNumberFormat="0" applyBorder="0" applyAlignment="0" applyProtection="0"/>
    <xf numFmtId="0" fontId="21" fillId="23" borderId="0" applyNumberFormat="0" applyBorder="0" applyAlignment="0" applyProtection="0"/>
    <xf numFmtId="0" fontId="5" fillId="24" borderId="0" applyNumberFormat="0" applyBorder="0" applyAlignment="0" applyProtection="0"/>
    <xf numFmtId="0" fontId="5" fillId="25" borderId="0" applyNumberFormat="0" applyBorder="0" applyAlignment="0" applyProtection="0"/>
    <xf numFmtId="0" fontId="5" fillId="26" borderId="0" applyNumberFormat="0" applyBorder="0" applyAlignment="0" applyProtection="0"/>
    <xf numFmtId="0" fontId="21" fillId="27" borderId="0" applyNumberFormat="0" applyBorder="0" applyAlignment="0" applyProtection="0"/>
    <xf numFmtId="0" fontId="5" fillId="28" borderId="0" applyNumberFormat="0" applyBorder="0" applyAlignment="0" applyProtection="0"/>
    <xf numFmtId="0" fontId="5" fillId="29" borderId="0" applyNumberFormat="0" applyBorder="0" applyAlignment="0" applyProtection="0"/>
    <xf numFmtId="0" fontId="5" fillId="30" borderId="0" applyNumberFormat="0" applyBorder="0" applyAlignment="0" applyProtection="0"/>
    <xf numFmtId="0" fontId="21" fillId="31" borderId="0" applyNumberFormat="0" applyBorder="0" applyAlignment="0" applyProtection="0"/>
    <xf numFmtId="0" fontId="5" fillId="32" borderId="0" applyNumberFormat="0" applyBorder="0" applyAlignment="0" applyProtection="0"/>
    <xf numFmtId="0" fontId="5" fillId="33" borderId="0" applyNumberFormat="0" applyBorder="0" applyAlignment="0" applyProtection="0"/>
    <xf numFmtId="0" fontId="5" fillId="34" borderId="0" applyNumberFormat="0" applyBorder="0" applyAlignment="0" applyProtection="0"/>
  </cellStyleXfs>
  <cellXfs count="111">
    <xf numFmtId="0" fontId="0" fillId="0" borderId="0" xfId="0"/>
    <xf numFmtId="0" fontId="0" fillId="0" borderId="0" xfId="0" applyAlignment="1">
      <alignment horizontal="center"/>
    </xf>
    <xf numFmtId="0" fontId="0" fillId="2" borderId="0" xfId="0" applyFill="1"/>
    <xf numFmtId="0" fontId="0" fillId="0" borderId="0" xfId="0" applyAlignment="1">
      <alignment wrapText="1"/>
    </xf>
    <xf numFmtId="0" fontId="2" fillId="0" borderId="0" xfId="0" applyFont="1"/>
    <xf numFmtId="0" fontId="2" fillId="2" borderId="0" xfId="0" applyFont="1" applyFill="1"/>
    <xf numFmtId="0" fontId="3" fillId="3" borderId="5" xfId="0" applyFont="1" applyFill="1" applyBorder="1" applyAlignment="1">
      <alignment horizontal="center" vertical="top"/>
    </xf>
    <xf numFmtId="0" fontId="3" fillId="3" borderId="5" xfId="0" applyFont="1" applyFill="1" applyBorder="1" applyAlignment="1">
      <alignment horizontal="center" vertical="top" wrapText="1"/>
    </xf>
    <xf numFmtId="0" fontId="4" fillId="0" borderId="0" xfId="0" applyFont="1"/>
    <xf numFmtId="0" fontId="4" fillId="2" borderId="0" xfId="0" applyFont="1" applyFill="1"/>
    <xf numFmtId="165" fontId="2" fillId="2" borderId="1" xfId="0" applyNumberFormat="1" applyFont="1" applyFill="1" applyBorder="1"/>
    <xf numFmtId="164" fontId="2" fillId="2" borderId="1" xfId="0" applyNumberFormat="1" applyFont="1" applyFill="1" applyBorder="1"/>
    <xf numFmtId="0" fontId="22" fillId="0" borderId="0" xfId="0" applyFont="1"/>
    <xf numFmtId="0" fontId="23" fillId="0" borderId="0" xfId="0" applyFont="1"/>
    <xf numFmtId="4" fontId="23" fillId="0" borderId="0" xfId="0" applyNumberFormat="1" applyFont="1"/>
    <xf numFmtId="0" fontId="0" fillId="0" borderId="0" xfId="0" applyAlignment="1">
      <alignment horizontal="right"/>
    </xf>
    <xf numFmtId="0" fontId="22" fillId="0" borderId="0" xfId="0" applyFont="1" applyAlignment="1">
      <alignment horizontal="right"/>
    </xf>
    <xf numFmtId="0" fontId="3" fillId="0" borderId="0" xfId="0" applyFont="1"/>
    <xf numFmtId="0" fontId="3" fillId="0" borderId="0" xfId="0" applyFont="1" applyAlignment="1">
      <alignment wrapText="1"/>
    </xf>
    <xf numFmtId="0" fontId="3" fillId="35" borderId="9" xfId="0" applyFont="1" applyFill="1" applyBorder="1" applyAlignment="1">
      <alignment wrapText="1"/>
    </xf>
    <xf numFmtId="0" fontId="3" fillId="35" borderId="8" xfId="0" applyFont="1" applyFill="1" applyBorder="1"/>
    <xf numFmtId="0" fontId="3" fillId="35" borderId="8" xfId="0" applyFont="1" applyFill="1" applyBorder="1" applyAlignment="1">
      <alignment wrapText="1"/>
    </xf>
    <xf numFmtId="0" fontId="3" fillId="35" borderId="10" xfId="0" applyFont="1" applyFill="1" applyBorder="1"/>
    <xf numFmtId="0" fontId="2" fillId="36" borderId="11" xfId="0" applyFont="1" applyFill="1" applyBorder="1" applyAlignment="1">
      <alignment wrapText="1"/>
    </xf>
    <xf numFmtId="0" fontId="2" fillId="36" borderId="24" xfId="0" applyFont="1" applyFill="1" applyBorder="1"/>
    <xf numFmtId="0" fontId="2" fillId="36" borderId="24" xfId="0" applyFont="1" applyFill="1" applyBorder="1" applyAlignment="1">
      <alignment wrapText="1"/>
    </xf>
    <xf numFmtId="0" fontId="2" fillId="36" borderId="12" xfId="0" applyFont="1" applyFill="1" applyBorder="1"/>
    <xf numFmtId="0" fontId="2" fillId="0" borderId="0" xfId="0" applyFont="1" applyAlignment="1">
      <alignment wrapText="1"/>
    </xf>
    <xf numFmtId="0" fontId="2" fillId="0" borderId="0" xfId="0" applyFont="1" applyAlignment="1">
      <alignment horizontal="left"/>
    </xf>
    <xf numFmtId="0" fontId="3" fillId="39" borderId="9" xfId="0" applyFont="1" applyFill="1" applyBorder="1" applyAlignment="1">
      <alignment wrapText="1"/>
    </xf>
    <xf numFmtId="0" fontId="3" fillId="39" borderId="8" xfId="0" applyFont="1" applyFill="1" applyBorder="1" applyAlignment="1">
      <alignment wrapText="1"/>
    </xf>
    <xf numFmtId="0" fontId="3" fillId="39" borderId="8" xfId="0" applyFont="1" applyFill="1" applyBorder="1"/>
    <xf numFmtId="0" fontId="3" fillId="39" borderId="10" xfId="0" applyFont="1" applyFill="1" applyBorder="1" applyAlignment="1">
      <alignment wrapText="1"/>
    </xf>
    <xf numFmtId="0" fontId="2" fillId="40" borderId="8" xfId="0" applyFont="1" applyFill="1" applyBorder="1"/>
    <xf numFmtId="0" fontId="2" fillId="40" borderId="8" xfId="0" applyFont="1" applyFill="1" applyBorder="1" applyAlignment="1">
      <alignment horizontal="left"/>
    </xf>
    <xf numFmtId="0" fontId="2" fillId="40" borderId="10" xfId="0" applyFont="1" applyFill="1" applyBorder="1"/>
    <xf numFmtId="0" fontId="2" fillId="40" borderId="24" xfId="0" applyFont="1" applyFill="1" applyBorder="1"/>
    <xf numFmtId="0" fontId="2" fillId="40" borderId="24" xfId="0" applyFont="1" applyFill="1" applyBorder="1" applyAlignment="1">
      <alignment horizontal="left"/>
    </xf>
    <xf numFmtId="0" fontId="2" fillId="40" borderId="12" xfId="0" applyFont="1" applyFill="1" applyBorder="1"/>
    <xf numFmtId="0" fontId="0" fillId="0" borderId="0" xfId="0" applyAlignment="1">
      <alignment horizontal="left"/>
    </xf>
    <xf numFmtId="0" fontId="2" fillId="2" borderId="1" xfId="0" applyFont="1" applyFill="1" applyBorder="1" applyAlignment="1">
      <alignment horizontal="center" wrapText="1"/>
    </xf>
    <xf numFmtId="0" fontId="2" fillId="40" borderId="9" xfId="0" applyFont="1" applyFill="1" applyBorder="1" applyAlignment="1">
      <alignment wrapText="1"/>
    </xf>
    <xf numFmtId="0" fontId="2" fillId="40" borderId="11" xfId="0" applyFont="1" applyFill="1" applyBorder="1" applyAlignment="1">
      <alignment wrapText="1"/>
    </xf>
    <xf numFmtId="0" fontId="2" fillId="2" borderId="1" xfId="0" applyFont="1" applyFill="1" applyBorder="1" applyAlignment="1">
      <alignment horizontal="center" vertical="center" wrapText="1"/>
    </xf>
    <xf numFmtId="165" fontId="2" fillId="2" borderId="1" xfId="1" applyNumberFormat="1" applyFont="1" applyFill="1" applyBorder="1" applyAlignment="1">
      <alignment wrapText="1"/>
    </xf>
    <xf numFmtId="164" fontId="2" fillId="2" borderId="1" xfId="0" applyNumberFormat="1" applyFont="1" applyFill="1" applyBorder="1" applyAlignment="1">
      <alignment wrapText="1"/>
    </xf>
    <xf numFmtId="165" fontId="2" fillId="2" borderId="1" xfId="0" applyNumberFormat="1" applyFont="1" applyFill="1" applyBorder="1" applyAlignment="1">
      <alignment wrapText="1"/>
    </xf>
    <xf numFmtId="0" fontId="2" fillId="39" borderId="0" xfId="0" applyFont="1" applyFill="1"/>
    <xf numFmtId="0" fontId="0" fillId="39" borderId="0" xfId="0" applyFill="1"/>
    <xf numFmtId="0" fontId="24" fillId="41" borderId="0" xfId="0" applyFont="1" applyFill="1"/>
    <xf numFmtId="0" fontId="25" fillId="2" borderId="8" xfId="0" applyFont="1" applyFill="1" applyBorder="1"/>
    <xf numFmtId="0" fontId="25" fillId="2" borderId="8" xfId="0" applyFont="1" applyFill="1" applyBorder="1" applyAlignment="1">
      <alignment wrapText="1"/>
    </xf>
    <xf numFmtId="0" fontId="2" fillId="2" borderId="8" xfId="0" applyFont="1" applyFill="1" applyBorder="1" applyAlignment="1">
      <alignment wrapText="1"/>
    </xf>
    <xf numFmtId="0" fontId="2" fillId="2" borderId="8" xfId="0" applyFont="1" applyFill="1" applyBorder="1"/>
    <xf numFmtId="0" fontId="3" fillId="2" borderId="8" xfId="0" applyFont="1" applyFill="1" applyBorder="1"/>
    <xf numFmtId="0" fontId="3" fillId="2" borderId="8" xfId="0" applyFont="1" applyFill="1" applyBorder="1" applyAlignment="1">
      <alignment wrapText="1"/>
    </xf>
    <xf numFmtId="0" fontId="2" fillId="2" borderId="8" xfId="0" applyFont="1" applyFill="1" applyBorder="1" applyAlignment="1">
      <alignment horizontal="left"/>
    </xf>
    <xf numFmtId="0" fontId="0" fillId="0" borderId="31" xfId="0" applyBorder="1"/>
    <xf numFmtId="0" fontId="0" fillId="0" borderId="32" xfId="0" applyBorder="1"/>
    <xf numFmtId="0" fontId="0" fillId="0" borderId="33" xfId="0" applyBorder="1"/>
    <xf numFmtId="0" fontId="0" fillId="0" borderId="34" xfId="0" applyBorder="1"/>
    <xf numFmtId="0" fontId="26" fillId="2" borderId="36" xfId="0" applyFont="1" applyFill="1" applyBorder="1"/>
    <xf numFmtId="0" fontId="2" fillId="2" borderId="35" xfId="0" applyFont="1" applyFill="1" applyBorder="1"/>
    <xf numFmtId="0" fontId="2" fillId="2" borderId="8" xfId="0" applyFont="1" applyFill="1" applyBorder="1" applyAlignment="1">
      <alignment horizontal="right"/>
    </xf>
    <xf numFmtId="0" fontId="2" fillId="2" borderId="8" xfId="0" applyFont="1" applyFill="1" applyBorder="1" applyAlignment="1">
      <alignment horizontal="left" wrapText="1"/>
    </xf>
    <xf numFmtId="164" fontId="2" fillId="2" borderId="1" xfId="1" applyNumberFormat="1" applyFont="1" applyFill="1" applyBorder="1" applyAlignment="1">
      <alignment wrapText="1"/>
    </xf>
    <xf numFmtId="0" fontId="0" fillId="0" borderId="40" xfId="0" applyBorder="1"/>
    <xf numFmtId="0" fontId="0" fillId="0" borderId="41" xfId="0" applyBorder="1"/>
    <xf numFmtId="0" fontId="0" fillId="0" borderId="42" xfId="0" applyBorder="1"/>
    <xf numFmtId="0" fontId="0" fillId="0" borderId="43" xfId="0" applyBorder="1" applyAlignment="1">
      <alignment wrapText="1"/>
    </xf>
    <xf numFmtId="0" fontId="0" fillId="0" borderId="43" xfId="0" applyBorder="1"/>
    <xf numFmtId="0" fontId="0" fillId="0" borderId="44" xfId="0" applyBorder="1"/>
    <xf numFmtId="0" fontId="0" fillId="45" borderId="40" xfId="0" applyFill="1" applyBorder="1"/>
    <xf numFmtId="0" fontId="0" fillId="45" borderId="0" xfId="0" applyFill="1"/>
    <xf numFmtId="0" fontId="0" fillId="45" borderId="41" xfId="0" applyFill="1" applyBorder="1"/>
    <xf numFmtId="0" fontId="2" fillId="3" borderId="8" xfId="0" applyFont="1" applyFill="1" applyBorder="1" applyAlignment="1">
      <alignment horizontal="center"/>
    </xf>
    <xf numFmtId="0" fontId="2" fillId="0" borderId="0" xfId="0" applyFont="1" applyAlignment="1">
      <alignment horizontal="center"/>
    </xf>
    <xf numFmtId="0" fontId="0" fillId="0" borderId="0" xfId="0" applyAlignment="1">
      <alignment horizontal="left" wrapText="1"/>
    </xf>
    <xf numFmtId="0" fontId="0" fillId="0" borderId="0" xfId="0" applyAlignment="1">
      <alignment horizontal="left"/>
    </xf>
    <xf numFmtId="0" fontId="2" fillId="3" borderId="8" xfId="0" applyFont="1" applyFill="1" applyBorder="1" applyAlignment="1">
      <alignment horizontal="center" wrapText="1"/>
    </xf>
    <xf numFmtId="0" fontId="4" fillId="0" borderId="0" xfId="0" applyFont="1" applyAlignment="1">
      <alignment horizontal="left" wrapText="1"/>
    </xf>
    <xf numFmtId="0" fontId="3" fillId="2" borderId="2" xfId="0" applyFont="1" applyFill="1" applyBorder="1" applyAlignment="1">
      <alignment horizontal="right"/>
    </xf>
    <xf numFmtId="0" fontId="3" fillId="2" borderId="3" xfId="0" applyFont="1" applyFill="1" applyBorder="1" applyAlignment="1">
      <alignment horizontal="right"/>
    </xf>
    <xf numFmtId="0" fontId="3" fillId="2" borderId="4" xfId="0" applyFont="1" applyFill="1" applyBorder="1" applyAlignment="1">
      <alignment horizontal="right"/>
    </xf>
    <xf numFmtId="0" fontId="7" fillId="43" borderId="37" xfId="0" applyFont="1" applyFill="1" applyBorder="1" applyAlignment="1">
      <alignment horizontal="center"/>
    </xf>
    <xf numFmtId="0" fontId="7" fillId="43" borderId="38" xfId="0" applyFont="1" applyFill="1" applyBorder="1" applyAlignment="1">
      <alignment horizontal="center"/>
    </xf>
    <xf numFmtId="0" fontId="7" fillId="43" borderId="39" xfId="0" applyFont="1" applyFill="1" applyBorder="1" applyAlignment="1">
      <alignment horizontal="center"/>
    </xf>
    <xf numFmtId="0" fontId="28" fillId="41" borderId="28" xfId="0" applyFont="1" applyFill="1" applyBorder="1" applyAlignment="1">
      <alignment horizontal="center"/>
    </xf>
    <xf numFmtId="0" fontId="3" fillId="42" borderId="0" xfId="0" applyFont="1" applyFill="1" applyAlignment="1">
      <alignment horizontal="center"/>
    </xf>
    <xf numFmtId="0" fontId="3" fillId="36" borderId="13" xfId="0" applyFont="1" applyFill="1" applyBorder="1" applyAlignment="1">
      <alignment horizontal="center"/>
    </xf>
    <xf numFmtId="0" fontId="3" fillId="36" borderId="29" xfId="0" applyFont="1" applyFill="1" applyBorder="1" applyAlignment="1">
      <alignment horizontal="center"/>
    </xf>
    <xf numFmtId="0" fontId="3" fillId="44" borderId="13" xfId="0" applyFont="1" applyFill="1" applyBorder="1" applyAlignment="1">
      <alignment horizontal="center"/>
    </xf>
    <xf numFmtId="0" fontId="3" fillId="44" borderId="29" xfId="0" applyFont="1" applyFill="1" applyBorder="1" applyAlignment="1">
      <alignment horizontal="center"/>
    </xf>
    <xf numFmtId="0" fontId="3" fillId="44" borderId="30" xfId="0" applyFont="1" applyFill="1" applyBorder="1" applyAlignment="1">
      <alignment horizontal="center"/>
    </xf>
    <xf numFmtId="0" fontId="24" fillId="41" borderId="28" xfId="0" applyFont="1" applyFill="1" applyBorder="1" applyAlignment="1">
      <alignment horizontal="center"/>
    </xf>
    <xf numFmtId="0" fontId="24" fillId="42" borderId="0" xfId="0" applyFont="1" applyFill="1" applyAlignment="1">
      <alignment horizontal="center"/>
    </xf>
    <xf numFmtId="0" fontId="3" fillId="36" borderId="30" xfId="0" applyFont="1" applyFill="1" applyBorder="1" applyAlignment="1">
      <alignment horizontal="center"/>
    </xf>
    <xf numFmtId="0" fontId="24" fillId="42" borderId="28" xfId="0" applyFont="1" applyFill="1" applyBorder="1" applyAlignment="1">
      <alignment horizontal="center"/>
    </xf>
    <xf numFmtId="0" fontId="2" fillId="3" borderId="13" xfId="0" applyFont="1" applyFill="1" applyBorder="1" applyAlignment="1">
      <alignment horizontal="center" wrapText="1"/>
    </xf>
    <xf numFmtId="0" fontId="2" fillId="3" borderId="30" xfId="0" applyFont="1" applyFill="1" applyBorder="1" applyAlignment="1">
      <alignment horizontal="center" wrapText="1"/>
    </xf>
    <xf numFmtId="0" fontId="2" fillId="3" borderId="29" xfId="0" applyFont="1" applyFill="1" applyBorder="1" applyAlignment="1">
      <alignment horizontal="center" wrapText="1"/>
    </xf>
    <xf numFmtId="0" fontId="7" fillId="37" borderId="6" xfId="0" applyFont="1" applyFill="1" applyBorder="1" applyAlignment="1">
      <alignment horizontal="center"/>
    </xf>
    <xf numFmtId="0" fontId="7" fillId="37" borderId="23" xfId="0" applyFont="1" applyFill="1" applyBorder="1" applyAlignment="1">
      <alignment horizontal="center"/>
    </xf>
    <xf numFmtId="0" fontId="7" fillId="37" borderId="7" xfId="0" applyFont="1" applyFill="1" applyBorder="1" applyAlignment="1">
      <alignment horizontal="center"/>
    </xf>
    <xf numFmtId="0" fontId="7" fillId="38" borderId="25" xfId="0" applyFont="1" applyFill="1" applyBorder="1" applyAlignment="1">
      <alignment horizontal="center"/>
    </xf>
    <xf numFmtId="0" fontId="7" fillId="38" borderId="26" xfId="0" applyFont="1" applyFill="1" applyBorder="1" applyAlignment="1">
      <alignment horizontal="center"/>
    </xf>
    <xf numFmtId="0" fontId="7" fillId="38" borderId="27" xfId="0" applyFont="1" applyFill="1" applyBorder="1" applyAlignment="1">
      <alignment horizontal="center"/>
    </xf>
    <xf numFmtId="0" fontId="1" fillId="0" borderId="0" xfId="0" applyFont="1" applyAlignment="1">
      <alignment horizontal="center" vertical="center" wrapText="1"/>
    </xf>
    <xf numFmtId="49" fontId="0" fillId="0" borderId="0" xfId="0" applyNumberFormat="1" applyAlignment="1">
      <alignment wrapText="1"/>
    </xf>
    <xf numFmtId="14" fontId="0" fillId="0" borderId="0" xfId="0" applyNumberFormat="1" applyAlignment="1">
      <alignment horizontal="right" wrapText="1"/>
    </xf>
    <xf numFmtId="0" fontId="0" fillId="0" borderId="0" xfId="0" applyAlignment="1">
      <alignment horizontal="right" wrapText="1"/>
    </xf>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Currency" xfId="1" builtinId="4"/>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Title" xfId="2" builtinId="15" customBuiltin="1"/>
    <cellStyle name="Total" xfId="18" builtinId="25" customBuiltin="1"/>
    <cellStyle name="Warning Text" xfId="15" builtinId="11" customBuiltin="1"/>
  </cellStyles>
  <dxfs count="3">
    <dxf>
      <font>
        <strike val="0"/>
        <color theme="1"/>
      </font>
      <fill>
        <patternFill>
          <bgColor theme="2" tint="-0.499984740745262"/>
        </patternFill>
      </fill>
      <border>
        <vertical/>
        <horizontal/>
      </border>
    </dxf>
    <dxf>
      <font>
        <strike val="0"/>
        <color theme="2" tint="-0.749961851863155"/>
      </font>
      <fill>
        <patternFill>
          <bgColor theme="2" tint="-0.499984740745262"/>
        </patternFill>
      </fill>
      <border>
        <vertical/>
        <horizontal/>
      </border>
    </dxf>
    <dxf>
      <font>
        <color theme="2" tint="-0.749961851863155"/>
      </font>
      <fill>
        <patternFill>
          <bgColor theme="2" tint="-0.499984740745262"/>
        </patternFill>
      </fill>
    </dxf>
  </dxfs>
  <tableStyles count="0" defaultTableStyle="TableStyleMedium2" defaultPivotStyle="PivotStyleLight16"/>
  <colors>
    <mruColors>
      <color rgb="FF47854D"/>
      <color rgb="FF286FB6"/>
      <color rgb="FFC4DBF2"/>
      <color rgb="FFBBDBC9"/>
      <color rgb="FFB8C6E2"/>
      <color rgb="FF6180BF"/>
      <color rgb="FF87BF8C"/>
      <color rgb="FF9ACAB0"/>
      <color rgb="FFFCF9D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0</xdr:colOff>
      <xdr:row>101</xdr:row>
      <xdr:rowOff>90407</xdr:rowOff>
    </xdr:from>
    <xdr:to>
      <xdr:col>9</xdr:col>
      <xdr:colOff>51661</xdr:colOff>
      <xdr:row>149</xdr:row>
      <xdr:rowOff>142068</xdr:rowOff>
    </xdr:to>
    <xdr:sp macro="" textlink="">
      <xdr:nvSpPr>
        <xdr:cNvPr id="2" name="TextBox 1">
          <a:extLst>
            <a:ext uri="{FF2B5EF4-FFF2-40B4-BE49-F238E27FC236}">
              <a16:creationId xmlns:a16="http://schemas.microsoft.com/office/drawing/2014/main" id="{87D2B133-8713-43AB-BECB-A1ACB7AB396F}"/>
            </a:ext>
          </a:extLst>
        </xdr:cNvPr>
        <xdr:cNvSpPr txBox="1"/>
      </xdr:nvSpPr>
      <xdr:spPr>
        <a:xfrm>
          <a:off x="0" y="20146247"/>
          <a:ext cx="7214461" cy="884514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dk1"/>
              </a:solidFill>
              <a:effectLst/>
              <a:latin typeface="+mn-lt"/>
              <a:ea typeface="+mn-ea"/>
              <a:cs typeface="+mn-cs"/>
            </a:rPr>
            <a:t>Cytek assigns to you any rights that may exist under the warranty provided by the manufacturer, but Cytek does not warrant the performance of the third party manufactured product or provide any remedy for failure of the third-party product to perform. THE WARRANTIES IN THIS SECTION ARE PROVIDED IN LIEU OF ALL OTHER WARRANTIES, EXPRESS OR IMPLIED, AND ARE YOUR EXCLUSIVE REMEDIES RELATING TO PERFORMANCE OF THE PRODUCTS </a:t>
          </a:r>
          <a:r>
            <a:rPr lang="en-US" sz="1050"/>
            <a:t>AND SERVICES. CYTEK DISCLAIMS ALL OTHER WARRANTIES, INCLUDING WITHOUT LIMITATION, ANY WARRANTY ABOUT THE MERCHANTABILITY OF THE PRODUCTS OR THEIR FITNESS FOR A PARTICULAR PURPOSE. IF ANY IMPLIED WARRANTIES APPLY AS A MATTER OF LAW, THEY ARE LIMITED IN DURATION TO WARRANTY PERIOD SPECIFIED IN THIS SECTION. </a:t>
          </a:r>
        </a:p>
        <a:p>
          <a:endParaRPr lang="en-US" sz="1050"/>
        </a:p>
        <a:p>
          <a:r>
            <a:rPr lang="en-US" sz="1050"/>
            <a:t>A</a:t>
          </a:r>
          <a:r>
            <a:rPr lang="en-US" sz="1050" b="1"/>
            <a:t>. Refurbished flow cytometer systems.</a:t>
          </a:r>
          <a:r>
            <a:rPr lang="en-US" sz="1050" b="1" baseline="0"/>
            <a:t> </a:t>
          </a:r>
          <a:r>
            <a:rPr lang="en-US" sz="1050"/>
            <a:t>The purchase of a refurbished flow cytometer system will be covered by warranty for defects in materials and workmanship for a period of 90 days from installation and such warranty will cover costs for travel, labor and parts (the “service warranty”). Parts purchased for use with refurbished flow cytometer systems will be covered by warranty for defects for a period of one year from the date of installation (the “parts warranty”). If a service engineer is dispatched on-site after expiration of the service warranty period but during the parts warranty period, travel and labor charges will apply. Consumable items are not covered by this warranty.</a:t>
          </a:r>
        </a:p>
        <a:p>
          <a:endParaRPr lang="en-US" sz="1050"/>
        </a:p>
        <a:p>
          <a:r>
            <a:rPr lang="en-US" sz="1050" b="1"/>
            <a:t>B. Upgraded flow cytometer systems. </a:t>
          </a:r>
          <a:r>
            <a:rPr lang="en-US" sz="1050"/>
            <a:t>In connection with an upgrade of a flow cytometer system, the upgraded portion of the flow cytometer is covered by warranty for defects in materials and workmanship for a period of one year from upgrade installation (the “upgrade warranty”). Defective parts replaced under the upgrade warranty must be returned to Cytek and shall be the property of Cytek. Service visits not associated with the upgrade warranty will be charged at the prevailing rate. </a:t>
          </a:r>
        </a:p>
        <a:p>
          <a:endParaRPr lang="en-US" sz="1050"/>
        </a:p>
        <a:p>
          <a:r>
            <a:rPr lang="en-US" sz="1050" b="1"/>
            <a:t>C. New and refurbished accessories</a:t>
          </a:r>
          <a:r>
            <a:rPr lang="en-US" sz="1050"/>
            <a:t>. The purchase of new or refurbished flow cytometer accessories are covered by warranty for defects in materials and workmanship under Cytek’s depot level warranty for a period of one year from shipment. The warranty includes all parts and labor provided that all work will be performed at Cytek’s Fremont, California facility. You must ship the defective product to Cytek, transportation charges prepaid. </a:t>
          </a:r>
        </a:p>
        <a:p>
          <a:endParaRPr lang="en-US" sz="1050"/>
        </a:p>
        <a:p>
          <a:r>
            <a:rPr lang="en-US" sz="1050" b="1"/>
            <a:t>D. Billable repair services. </a:t>
          </a:r>
          <a:r>
            <a:rPr lang="en-US" sz="1050"/>
            <a:t>Cytek warrants that the services performed will be in a professional workman-like manner and shall conform to the standards of the industry to include the manufacturer’s quality control protocol. Billable repair services are covered by warranty for defects in workmanship for a period of 30 days from the date service is rendered. Cytek’s sole liability under this warranty is limited to re-servicing of the instrument(s) or at Cytek’s option, return of the sum paid for such services. </a:t>
          </a:r>
        </a:p>
        <a:p>
          <a:endParaRPr lang="en-US" sz="1050"/>
        </a:p>
        <a:p>
          <a:r>
            <a:rPr lang="en-US" sz="1050" b="1"/>
            <a:t>E. New and used replacement parts. </a:t>
          </a:r>
          <a:r>
            <a:rPr lang="en-US" sz="1050"/>
            <a:t>The purchase of new and used replacement parts are covered by warranty from defects in materials and workmanship for a period of 30 days from installation. Parts marked as service returnable items have an “S” at the end of the part number and must be returned to Cytek within 14 days after receipt of the replacement part or the customer will be charged the non-exchange rate. Restocking fee for usable parts is 20%. </a:t>
          </a:r>
        </a:p>
        <a:p>
          <a:endParaRPr lang="en-US" sz="1050"/>
        </a:p>
        <a:p>
          <a:r>
            <a:rPr lang="en-US" sz="1050" b="1"/>
            <a:t>7. COMPUTER SUPPORT POLICY: </a:t>
          </a:r>
          <a:r>
            <a:rPr lang="en-US" sz="1050"/>
            <a:t>Cytek’s computer support policy provides support for only the software and hardware required for system operation, which is referred to as the “basic flow cytometer system”. Cytek does not guaranty the system will function if any additional hardware or software is used, including networking hardware and software. If the system fails to meet Cytek’s specifications, then Cytek may, at its option, remove hardware and uninstall software in order to return the basic flow cytometer system to its original installed operational configuration. It is the responsibility of the customer to backup all data on the basic flow cytometer computer system. </a:t>
          </a:r>
        </a:p>
        <a:p>
          <a:endParaRPr lang="en-US" sz="1050"/>
        </a:p>
        <a:p>
          <a:r>
            <a:rPr lang="en-US" sz="1050" b="1"/>
            <a:t>8. INDEMNITY BY CYTEK: </a:t>
          </a:r>
          <a:r>
            <a:rPr lang="en-US" sz="1050"/>
            <a:t>Cytek agrees to indemnify and hold harmless the Buyer from any and all claims, demands, suits, and expenses by reason of injury or death of any person(s) or damage to any property (except as excluded hereafter) solely and directly attributable to the negligent acts or negligent omissions of Cytek, its agents or employees while on the premises of the Buyer and arising out of services provided herein. Cytek maintains product and general liability insurance policies. If Buyer wishes to be named an Additional Insured on Cytek’s product and/or general liability policy, an additional 5% charge will be added to the total purchase price. </a:t>
          </a:r>
        </a:p>
        <a:p>
          <a:endParaRPr lang="en-US" sz="1050"/>
        </a:p>
        <a:p>
          <a:r>
            <a:rPr lang="en-US" sz="1050" b="1"/>
            <a:t>9. LIMITATION OF LIABILITY: </a:t>
          </a:r>
          <a:r>
            <a:rPr lang="en-US" sz="1050"/>
            <a:t>Except as provided in Section 8, Cytek’s liability will be limited to direct damages not to exceed the amount paid by you to Cytek under this agreement. Cytek will not be responsible for any damages resulting from delayed shipment.</a:t>
          </a:r>
        </a:p>
        <a:p>
          <a:endParaRPr lang="en-US" sz="1070">
            <a:solidFill>
              <a:schemeClr val="tx1"/>
            </a:solidFill>
          </a:endParaRPr>
        </a:p>
      </xdr:txBody>
    </xdr:sp>
    <xdr:clientData/>
  </xdr:twoCellAnchor>
  <xdr:twoCellAnchor>
    <xdr:from>
      <xdr:col>0</xdr:col>
      <xdr:colOff>27216</xdr:colOff>
      <xdr:row>49</xdr:row>
      <xdr:rowOff>121195</xdr:rowOff>
    </xdr:from>
    <xdr:to>
      <xdr:col>9</xdr:col>
      <xdr:colOff>81644</xdr:colOff>
      <xdr:row>99</xdr:row>
      <xdr:rowOff>0</xdr:rowOff>
    </xdr:to>
    <xdr:sp macro="" textlink="">
      <xdr:nvSpPr>
        <xdr:cNvPr id="3" name="TextBox 2">
          <a:extLst>
            <a:ext uri="{FF2B5EF4-FFF2-40B4-BE49-F238E27FC236}">
              <a16:creationId xmlns:a16="http://schemas.microsoft.com/office/drawing/2014/main" id="{738AB8F6-FD49-4048-8846-3A40D5A0BAB3}"/>
            </a:ext>
          </a:extLst>
        </xdr:cNvPr>
        <xdr:cNvSpPr txBox="1"/>
      </xdr:nvSpPr>
      <xdr:spPr>
        <a:xfrm>
          <a:off x="27216" y="10636795"/>
          <a:ext cx="7217228" cy="903804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300" b="1">
              <a:solidFill>
                <a:schemeClr val="tx1"/>
              </a:solidFill>
            </a:rPr>
            <a:t>GENERAL TERMS AND CONDITIONS OF SALE </a:t>
          </a:r>
        </a:p>
        <a:p>
          <a:pPr algn="ctr"/>
          <a:r>
            <a:rPr lang="en-US" sz="1050" b="1">
              <a:solidFill>
                <a:schemeClr val="tx1"/>
              </a:solidFill>
            </a:rPr>
            <a:t>(TIME AND MATERIALS)</a:t>
          </a:r>
        </a:p>
        <a:p>
          <a:r>
            <a:rPr lang="en-US" sz="1055">
              <a:solidFill>
                <a:schemeClr val="tx1"/>
              </a:solidFill>
            </a:rPr>
            <a:t>These general terms and conditions (along with the quotation, “Terms”) apply to the purchase of time and/materials by the customer (“Customer”, “Purchaser’’, “Buyer’’, also “you” or “your”) listed on the attached “quotation” and Cytek Biosciences, Inc. (“Cytek”, also “our,” “we” or “us”). </a:t>
          </a:r>
        </a:p>
        <a:p>
          <a:endParaRPr lang="en-US" sz="1055">
            <a:solidFill>
              <a:schemeClr val="tx1"/>
            </a:solidFill>
          </a:endParaRPr>
        </a:p>
        <a:p>
          <a:r>
            <a:rPr lang="en-US" sz="1055" b="1">
              <a:solidFill>
                <a:schemeClr val="tx1"/>
              </a:solidFill>
            </a:rPr>
            <a:t>1. QUOTATIONS; APPLICABILITY OF TERMS: </a:t>
          </a:r>
          <a:r>
            <a:rPr lang="en-US" sz="1055">
              <a:solidFill>
                <a:schemeClr val="tx1"/>
              </a:solidFill>
            </a:rPr>
            <a:t>The attached quotation is valid if Cytek receives your purchase order referencing the quotation number prior to the date indicated on the quotation. Cytek may withdraw the quotation any time before that date upon notice to you or before shipment if an event occurs that is outside our control and makes it commercially impractical for Cytek to fulfill the order. The prices and other terms are contingent on you accepting all the terms and conditions on the quotation without exception. Your issuance of a purchase order for any of the products or services referencing the quotation number or at the prices indicated in the quotation will be your indication to Cytek that you agree to these Terms without exception and the Terms will become the entire agreement between you and Cytek for the products and services ordered. </a:t>
          </a:r>
        </a:p>
        <a:p>
          <a:endParaRPr lang="en-US" sz="1055">
            <a:solidFill>
              <a:schemeClr val="tx1"/>
            </a:solidFill>
          </a:endParaRPr>
        </a:p>
        <a:p>
          <a:r>
            <a:rPr lang="en-US" sz="1055" b="1">
              <a:solidFill>
                <a:schemeClr val="tx1"/>
              </a:solidFill>
            </a:rPr>
            <a:t>2. PAYMENT TERMS: </a:t>
          </a:r>
          <a:r>
            <a:rPr lang="en-US" sz="1055">
              <a:solidFill>
                <a:schemeClr val="tx1"/>
              </a:solidFill>
            </a:rPr>
            <a:t>Terms are net 30 days from date of invoice for credit-approved domestic accounts. International accounts may be created by arrangement. Payment may be made by credit card for up to US$10,000 maximum. Cytek shall have the right to receive payment in advance when it deems necessary. If you fail to pay any invoice when due, Cytek may also apply a late payment charge equal to the lesser of one percent (1%), or the maximum permissible rate under applicable law, per month on the outstanding balance. Cytek may delay shipment or suspend performance under any agreement if payment under any agreement or order between you and Cytek is not received when due or is rescinded. All payments should be made to: Cytek Biosciences Inc., Wells Fargo Bank, 420 Montgomery Street, San Francisco, CA 94104, USA. For wire transfer: ACH Routing # 121042882, Account # 1923229718, SWIFT WFBIUS6S or please contact ar@cytekbio.com. </a:t>
          </a:r>
        </a:p>
        <a:p>
          <a:endParaRPr lang="en-US" sz="1055">
            <a:solidFill>
              <a:schemeClr val="tx1"/>
            </a:solidFill>
          </a:endParaRPr>
        </a:p>
        <a:p>
          <a:r>
            <a:rPr lang="en-US" sz="1055" b="1">
              <a:solidFill>
                <a:schemeClr val="tx1"/>
              </a:solidFill>
            </a:rPr>
            <a:t>3. PRICING</a:t>
          </a:r>
          <a:r>
            <a:rPr lang="en-US" sz="1055">
              <a:solidFill>
                <a:schemeClr val="tx1"/>
              </a:solidFill>
            </a:rPr>
            <a:t>: In addition to the stated prices, you must pay for all taxes and fees imposed on the sale or use of the products and any other governmental charges imposed on Cytek relating to the products and all shipping and handling, freight, insurance, and other services. All prices are in USD unless otherwise noted. Third-party providers are charged a 15% administrative fee; added to the total invoice. </a:t>
          </a:r>
        </a:p>
        <a:p>
          <a:endParaRPr lang="en-US" sz="1055">
            <a:solidFill>
              <a:schemeClr val="tx1"/>
            </a:solidFill>
          </a:endParaRPr>
        </a:p>
        <a:p>
          <a:r>
            <a:rPr lang="en-US" sz="1055" b="1">
              <a:solidFill>
                <a:schemeClr val="tx1"/>
              </a:solidFill>
            </a:rPr>
            <a:t>4. SHIPMENT; DELIVERY; ACCEPTANCE; RETURNS. </a:t>
          </a:r>
          <a:r>
            <a:rPr lang="en-US" sz="1055">
              <a:solidFill>
                <a:schemeClr val="tx1"/>
              </a:solidFill>
            </a:rPr>
            <a:t>Unless expressly specified on the Quotation, all products shipped internationally will be Carriage and Insurance Paid (CIP Incoterms 2020). US domestic shipments will be Free On-Board Origin (F.O.B. Origin Incoterms 2020). Both will be prepaid by Cytek and added to the invoice. Any taxes and duties required to complete delivery will be the responsibility of the Customer. Risk of loss with respect to all products will pass from Cytek to Customer upon shipment. Cytek will ship the Products within a reasonable time after Cytek receives your purchase order, or if the Quotation states a proposed shipment date, on or around such date. Cytek will endeavor to meet any delivery date specified in any purchase order but is not liable for failing to meet the delivery date. You must report to Cytek, in writing, any claims for missing or defective products within 30 days from your receipt of them. Defective products will be addressed according to the warranty provisions. Product returns will be accepted at Cytek’s discretion under its Returned Materials Authorization (RMA) policy and may be subject to a restocking fee. </a:t>
          </a:r>
        </a:p>
        <a:p>
          <a:endParaRPr lang="en-US" sz="1055">
            <a:solidFill>
              <a:schemeClr val="tx1"/>
            </a:solidFill>
          </a:endParaRPr>
        </a:p>
        <a:p>
          <a:r>
            <a:rPr lang="en-US" sz="1055" b="1">
              <a:solidFill>
                <a:schemeClr val="tx1"/>
              </a:solidFill>
            </a:rPr>
            <a:t>5. CANCELLATION: </a:t>
          </a:r>
          <a:r>
            <a:rPr lang="en-US" sz="1055">
              <a:solidFill>
                <a:schemeClr val="tx1"/>
              </a:solidFill>
            </a:rPr>
            <a:t>Cancelled orders will be subject to a cancellation charge to cover any finished goods, work in process and non-cancellable non-returnable materials, labor costs and expenses incurred by Cytek in good faith to fulfill the purchase order prior to the cancellation. </a:t>
          </a:r>
        </a:p>
        <a:p>
          <a:endParaRPr lang="en-US" sz="1055">
            <a:solidFill>
              <a:schemeClr val="tx1"/>
            </a:solidFill>
          </a:endParaRPr>
        </a:p>
        <a:p>
          <a:r>
            <a:rPr lang="en-US" sz="1055" b="1">
              <a:solidFill>
                <a:schemeClr val="tx1"/>
              </a:solidFill>
            </a:rPr>
            <a:t>6. LIMITED WARRANTY AND DISCLAIMER: </a:t>
          </a:r>
          <a:r>
            <a:rPr lang="en-US" sz="1055">
              <a:solidFill>
                <a:schemeClr val="tx1"/>
              </a:solidFill>
            </a:rPr>
            <a:t>Cytek warrants that services will be performed in a workmanlike manner and products will be free of defects only as set forth below. Cytek’s warranty does not apply to defects resulting from product misuse, abuse, neglect or operator negligence. If a product defect is discovered and verified by Cytek’s investigation under normal and proper use during the applicable warranty period, Cytek will, at its option, and without charge correct the defect either by (i) repair during normal business hours, (ii) replacement with an equivalent product, or (iii) refund the purchase price paid by you. If required as set forth below, you must ship the defective product to Cytek, transportation charges prepaid. The original warranty period will continue to be in effect on any repaired or replaced products. If Cytek replaces any part under this warranty or as a result of any services performed, Cytek will own the replaced part. If a third party manufactured product is supplied to you pursuant to the quotation,</a:t>
          </a:r>
          <a:endParaRPr lang="en-US" sz="1070">
            <a:solidFill>
              <a:schemeClr val="tx1"/>
            </a:solidFill>
          </a:endParaRPr>
        </a:p>
      </xdr:txBody>
    </xdr:sp>
    <xdr:clientData/>
  </xdr:twoCellAnchor>
  <xdr:twoCellAnchor>
    <xdr:from>
      <xdr:col>0</xdr:col>
      <xdr:colOff>83819</xdr:colOff>
      <xdr:row>154</xdr:row>
      <xdr:rowOff>77491</xdr:rowOff>
    </xdr:from>
    <xdr:to>
      <xdr:col>9</xdr:col>
      <xdr:colOff>64576</xdr:colOff>
      <xdr:row>197</xdr:row>
      <xdr:rowOff>138546</xdr:rowOff>
    </xdr:to>
    <xdr:sp macro="" textlink="">
      <xdr:nvSpPr>
        <xdr:cNvPr id="4" name="TextBox 3">
          <a:extLst>
            <a:ext uri="{FF2B5EF4-FFF2-40B4-BE49-F238E27FC236}">
              <a16:creationId xmlns:a16="http://schemas.microsoft.com/office/drawing/2014/main" id="{B71A18D1-63A6-46EA-84F5-B727A7609DE5}"/>
            </a:ext>
          </a:extLst>
        </xdr:cNvPr>
        <xdr:cNvSpPr txBox="1"/>
      </xdr:nvSpPr>
      <xdr:spPr>
        <a:xfrm>
          <a:off x="83819" y="29856451"/>
          <a:ext cx="7143557" cy="794013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100">
              <a:solidFill>
                <a:schemeClr val="dk1"/>
              </a:solidFill>
              <a:effectLst/>
              <a:latin typeface="+mn-lt"/>
              <a:ea typeface="+mn-ea"/>
              <a:cs typeface="+mn-cs"/>
            </a:rPr>
            <a:t>Any action arising out of these Terms may be brought by you up to one year after the date of the actionable cause. </a:t>
          </a:r>
          <a:endParaRPr lang="en-US">
            <a:effectLst/>
          </a:endParaRPr>
        </a:p>
        <a:p>
          <a:endParaRPr lang="en-US" b="1"/>
        </a:p>
        <a:p>
          <a:r>
            <a:rPr lang="en-US" b="1"/>
            <a:t>10. GOVERNING LAW: </a:t>
          </a:r>
          <a:r>
            <a:rPr lang="en-US"/>
            <a:t>This Agreement shall be governed in accordance with the laws of the State of California. The United Nations Convention on Contracts for the International Sale of Goods will not apply to these Terms. You and Cytek consent to the jurisdiction of, and venue in, the state and federal courts in Alameda County, California,</a:t>
          </a:r>
          <a:r>
            <a:rPr lang="en-US" baseline="0"/>
            <a:t> </a:t>
          </a:r>
          <a:r>
            <a:rPr lang="en-US"/>
            <a:t>U.S.A. </a:t>
          </a:r>
        </a:p>
        <a:p>
          <a:endParaRPr lang="en-US" b="1"/>
        </a:p>
        <a:p>
          <a:r>
            <a:rPr lang="en-US" b="1"/>
            <a:t>11. ENTIRE AGREEMENT: </a:t>
          </a:r>
          <a:r>
            <a:rPr lang="en-US"/>
            <a:t>These Terms constitute the entire understanding between you and Cytek with respect to the subject matter hereof and supersede all prior or co-existing communications and agreements regarding such subject matter and cannot be modified except by a written document (which states that it is an amendment) signed by authorized signatories of both parties. Any terms or conditions on your purchase order, order acknowledgement, or any other document relating to the products will be without legal effect. </a:t>
          </a:r>
        </a:p>
        <a:p>
          <a:endParaRPr lang="en-US"/>
        </a:p>
        <a:p>
          <a:r>
            <a:rPr lang="en-US" b="1"/>
            <a:t>12. GOVERNMENT CONTRACTS: </a:t>
          </a:r>
          <a:r>
            <a:rPr lang="en-US"/>
            <a:t>If the products are to be used in the performance of a U.S. Government contract or subcontract and a U.S. Government contract number appears on your purchase order, those clauses of the applicable U.S. Government procurement regulations that are mandatorily required by law to be included in U.S. Government subcontracts are incorporated into these Terms. </a:t>
          </a:r>
        </a:p>
        <a:p>
          <a:endParaRPr lang="en-US"/>
        </a:p>
        <a:p>
          <a:r>
            <a:rPr lang="en-US" b="1"/>
            <a:t>13. EXPORT AND USE RESTRICTIONS; INDEMNITY BY BUYER: </a:t>
          </a:r>
          <a:r>
            <a:rPr lang="en-US"/>
            <a:t>: You acknowledge that Cytek products may be subject to the US export laws and regulations. You may not export or re-export the products (nor any direct product therefrom) in violation of the US export laws. You hereby certify that you are not on the US Department of Commerce’s Denied Persons List or affiliated lists or on the US Department of Treasury’s Specially Designated Nationals List. To the extent required, you shall abide by any and all notices regarding export and agree not to remove or allow any third party to remove such notices. Your obligation under this section shall survive the expiration or termination of this agreement. You may not, and may not authorize or permit any affiliate or third party to, gain access to or determine the methods of operation of the product, alter, modify, disassemble, dismantle, deconstruct, analyze, determine compositions or structures, design around, or reverse engineer the product, or any part of the product, nor attempt to, or use the product to, refurbish, reconstruct, create, develop or contract to develop a product similar to the product. You shall use the products in strict accordance with all applicable local, state, national, and supra-national laws, regulations and guidelines, as well as all safety precautions accompanying the products. You shall indemnify and hold harmless Cytek from any and all claims, damages, injury, losses or expenses arising out of or resulting from your breach of these Terms or any act or omission by you, or its agents, employees or subcontractors, in the handling, storage or use of the products, except to the extent caused by a breach of the warranty by Cytek as set forth above. </a:t>
          </a:r>
        </a:p>
        <a:p>
          <a:endParaRPr lang="en-US"/>
        </a:p>
        <a:p>
          <a:r>
            <a:rPr lang="en-US" b="1"/>
            <a:t>14. MISCELLANEOUS</a:t>
          </a:r>
          <a:r>
            <a:rPr lang="en-US"/>
            <a:t>: No waiver of rights under these Terms by either party shall constitute a subsequent waiver of this or any other right under these Terms. Neither these Terms nor any rights hereunder shall be assigned or otherwise transferred by Buyer (by operation of law or otherwise) without the prior written consent of Cytek and any unauthorized transfer or assignment shall be void. If any of the terms and conditions set forth herein are held to be illegal or unenforceable, all remaining terms set forth herein shall remain in full force and effect. Cytek will not be liable for any delay in performance or failure to perform under these Terms due to circumstances beyond its reasonable control, including epidemics, pandemics, quarantines, earthquakes and other acts of God, actions or inactions of government, strikes, fire, explosion, flood, riot, lock-out, injunction, interruption of transportation, supplies or utilities, unavoidable accidents, or inability to obtain supplies at reasonable prices</a:t>
          </a:r>
          <a:endParaRPr lang="en-US" sz="1100"/>
        </a:p>
      </xdr:txBody>
    </xdr:sp>
    <xdr:clientData/>
  </xdr:twoCellAnchor>
  <xdr:twoCellAnchor>
    <xdr:from>
      <xdr:col>1</xdr:col>
      <xdr:colOff>373380</xdr:colOff>
      <xdr:row>24</xdr:row>
      <xdr:rowOff>91440</xdr:rowOff>
    </xdr:from>
    <xdr:to>
      <xdr:col>9</xdr:col>
      <xdr:colOff>7620</xdr:colOff>
      <xdr:row>33</xdr:row>
      <xdr:rowOff>167640</xdr:rowOff>
    </xdr:to>
    <xdr:sp macro="" textlink="">
      <xdr:nvSpPr>
        <xdr:cNvPr id="5" name="TextBox 4">
          <a:extLst>
            <a:ext uri="{FF2B5EF4-FFF2-40B4-BE49-F238E27FC236}">
              <a16:creationId xmlns:a16="http://schemas.microsoft.com/office/drawing/2014/main" id="{07427271-1C77-4AE0-9AC9-D26DB3AB9F7B}"/>
            </a:ext>
          </a:extLst>
        </xdr:cNvPr>
        <xdr:cNvSpPr txBox="1"/>
      </xdr:nvSpPr>
      <xdr:spPr>
        <a:xfrm>
          <a:off x="1120140" y="5775960"/>
          <a:ext cx="6050280" cy="172212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0" i="1"/>
            <a:t>-All prices in USD </a:t>
          </a:r>
        </a:p>
        <a:p>
          <a:r>
            <a:rPr lang="en-US" b="0" i="1"/>
            <a:t>-The above quotation does not include any applicable sales tax.</a:t>
          </a:r>
        </a:p>
        <a:p>
          <a:r>
            <a:rPr lang="en-US" b="0" i="1"/>
            <a:t>-Cytek will confirm order receipt and estimated ship date. </a:t>
          </a:r>
        </a:p>
        <a:p>
          <a:r>
            <a:rPr lang="en-US" b="0" i="1"/>
            <a:t>-This quote is valid for 60 days.</a:t>
          </a:r>
          <a:endParaRPr lang="en-US" sz="1100" b="0" i="1"/>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101</xdr:row>
      <xdr:rowOff>90407</xdr:rowOff>
    </xdr:from>
    <xdr:to>
      <xdr:col>9</xdr:col>
      <xdr:colOff>51661</xdr:colOff>
      <xdr:row>149</xdr:row>
      <xdr:rowOff>142068</xdr:rowOff>
    </xdr:to>
    <xdr:sp macro="" textlink="">
      <xdr:nvSpPr>
        <xdr:cNvPr id="2" name="TextBox 1">
          <a:extLst>
            <a:ext uri="{FF2B5EF4-FFF2-40B4-BE49-F238E27FC236}">
              <a16:creationId xmlns:a16="http://schemas.microsoft.com/office/drawing/2014/main" id="{4EA7E4CA-A798-40FF-9E13-677206922B1A}"/>
            </a:ext>
          </a:extLst>
        </xdr:cNvPr>
        <xdr:cNvSpPr txBox="1"/>
      </xdr:nvSpPr>
      <xdr:spPr>
        <a:xfrm>
          <a:off x="0" y="20146247"/>
          <a:ext cx="7214461" cy="884514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dk1"/>
              </a:solidFill>
              <a:effectLst/>
              <a:latin typeface="+mn-lt"/>
              <a:ea typeface="+mn-ea"/>
              <a:cs typeface="+mn-cs"/>
            </a:rPr>
            <a:t>Cytek assigns to you any rights that may exist under the warranty provided by the manufacturer, but Cytek does not warrant the performance of the third party manufactured product or provide any remedy for failure of the third-party product to perform. THE WARRANTIES IN THIS SECTION ARE PROVIDED IN LIEU OF ALL OTHER WARRANTIES, EXPRESS OR IMPLIED, AND ARE YOUR EXCLUSIVE REMEDIES RELATING TO PERFORMANCE OF THE PRODUCTS </a:t>
          </a:r>
          <a:r>
            <a:rPr lang="en-US" sz="1050"/>
            <a:t>AND SERVICES. CYTEK DISCLAIMS ALL OTHER WARRANTIES, INCLUDING WITHOUT LIMITATION, ANY WARRANTY ABOUT THE MERCHANTABILITY OF THE PRODUCTS OR THEIR FITNESS FOR A PARTICULAR PURPOSE. IF ANY IMPLIED WARRANTIES APPLY AS A MATTER OF LAW, THEY ARE LIMITED IN DURATION TO WARRANTY PERIOD SPECIFIED IN THIS SECTION. </a:t>
          </a:r>
        </a:p>
        <a:p>
          <a:endParaRPr lang="en-US" sz="1050"/>
        </a:p>
        <a:p>
          <a:r>
            <a:rPr lang="en-US" sz="1050"/>
            <a:t>A</a:t>
          </a:r>
          <a:r>
            <a:rPr lang="en-US" sz="1050" b="1"/>
            <a:t>. Refurbished flow cytometer systems.</a:t>
          </a:r>
          <a:r>
            <a:rPr lang="en-US" sz="1050" b="1" baseline="0"/>
            <a:t> </a:t>
          </a:r>
          <a:r>
            <a:rPr lang="en-US" sz="1050"/>
            <a:t>The purchase of a refurbished flow cytometer system will be covered by warranty for defects in materials and workmanship for a period of 90 days from installation and such warranty will cover costs for travel, labor and parts (the “service warranty”). Parts purchased for use with refurbished flow cytometer systems will be covered by warranty for defects for a period of one year from the date of installation (the “parts warranty”). If a service engineer is dispatched on-site after expiration of the service warranty period but during the parts warranty period, travel and labor charges will apply. Consumable items are not covered by this warranty.</a:t>
          </a:r>
        </a:p>
        <a:p>
          <a:endParaRPr lang="en-US" sz="1050"/>
        </a:p>
        <a:p>
          <a:r>
            <a:rPr lang="en-US" sz="1050" b="1"/>
            <a:t>B. Upgraded flow cytometer systems. </a:t>
          </a:r>
          <a:r>
            <a:rPr lang="en-US" sz="1050"/>
            <a:t>In connection with an upgrade of a flow cytometer system, the upgraded portion of the flow cytometer is covered by warranty for defects in materials and workmanship for a period of one year from upgrade installation (the “upgrade warranty”). Defective parts replaced under the upgrade warranty must be returned to Cytek and shall be the property of Cytek. Service visits not associated with the upgrade warranty will be charged at the prevailing rate. </a:t>
          </a:r>
        </a:p>
        <a:p>
          <a:endParaRPr lang="en-US" sz="1050"/>
        </a:p>
        <a:p>
          <a:r>
            <a:rPr lang="en-US" sz="1050" b="1"/>
            <a:t>C. New and refurbished accessories</a:t>
          </a:r>
          <a:r>
            <a:rPr lang="en-US" sz="1050"/>
            <a:t>. The purchase of new or refurbished flow cytometer accessories are covered by warranty for defects in materials and workmanship under Cytek’s depot level warranty for a period of one year from shipment. The warranty includes all parts and labor provided that all work will be performed at Cytek’s Fremont, California facility. You must ship the defective product to Cytek, transportation charges prepaid. </a:t>
          </a:r>
        </a:p>
        <a:p>
          <a:endParaRPr lang="en-US" sz="1050"/>
        </a:p>
        <a:p>
          <a:r>
            <a:rPr lang="en-US" sz="1050" b="1"/>
            <a:t>D. Billable repair services. </a:t>
          </a:r>
          <a:r>
            <a:rPr lang="en-US" sz="1050"/>
            <a:t>Cytek warrants that the services performed will be in a professional workman-like manner and shall conform to the standards of the industry to include the manufacturer’s quality control protocol. Billable repair services are covered by warranty for defects in workmanship for a period of 30 days from the date service is rendered. Cytek’s sole liability under this warranty is limited to re-servicing of the instrument(s) or at Cytek’s option, return of the sum paid for such services. </a:t>
          </a:r>
        </a:p>
        <a:p>
          <a:endParaRPr lang="en-US" sz="1050"/>
        </a:p>
        <a:p>
          <a:r>
            <a:rPr lang="en-US" sz="1050" b="1"/>
            <a:t>E. New and used replacement parts. </a:t>
          </a:r>
          <a:r>
            <a:rPr lang="en-US" sz="1050"/>
            <a:t>The purchase of new and used replacement parts are covered by warranty from defects in materials and workmanship for a period of 30 days from installation. Parts marked as service returnable items have an “S” at the end of the part number and must be returned to Cytek within 14 days after receipt of the replacement part or the customer will be charged the non-exchange rate. Restocking fee for usable parts is 20%. </a:t>
          </a:r>
        </a:p>
        <a:p>
          <a:endParaRPr lang="en-US" sz="1050"/>
        </a:p>
        <a:p>
          <a:r>
            <a:rPr lang="en-US" sz="1050" b="1"/>
            <a:t>7. COMPUTER SUPPORT POLICY: </a:t>
          </a:r>
          <a:r>
            <a:rPr lang="en-US" sz="1050"/>
            <a:t>Cytek’s computer support policy provides support for only the software and hardware required for system operation, which is referred to as the “basic flow cytometer system”. Cytek does not guaranty the system will function if any additional hardware or software is used, including networking hardware and software. If the system fails to meet Cytek’s specifications, then Cytek may, at its option, remove hardware and uninstall software in order to return the basic flow cytometer system to its original installed operational configuration. It is the responsibility of the customer to backup all data on the basic flow cytometer computer system. </a:t>
          </a:r>
        </a:p>
        <a:p>
          <a:endParaRPr lang="en-US" sz="1050"/>
        </a:p>
        <a:p>
          <a:r>
            <a:rPr lang="en-US" sz="1050" b="1"/>
            <a:t>8. INDEMNITY BY CYTEK: </a:t>
          </a:r>
          <a:r>
            <a:rPr lang="en-US" sz="1050"/>
            <a:t>Cytek agrees to indemnify and hold harmless the Buyer from any and all claims, demands, suits, and expenses by reason of injury or death of any person(s) or damage to any property (except as excluded hereafter) solely and directly attributable to the negligent acts or negligent omissions of Cytek, its agents or employees while on the premises of the Buyer and arising out of services provided herein. Cytek maintains product and general liability insurance policies. If Buyer wishes to be named an Additional Insured on Cytek’s product and/or general liability policy, an additional 5% charge will be added to the total purchase price. </a:t>
          </a:r>
        </a:p>
        <a:p>
          <a:endParaRPr lang="en-US" sz="1050"/>
        </a:p>
        <a:p>
          <a:r>
            <a:rPr lang="en-US" sz="1050" b="1"/>
            <a:t>9. LIMITATION OF LIABILITY: </a:t>
          </a:r>
          <a:r>
            <a:rPr lang="en-US" sz="1050"/>
            <a:t>Except as provided in Section 8, Cytek’s liability will be limited to direct damages not to exceed the amount paid by you to Cytek under this agreement. Cytek will not be responsible for any damages resulting from delayed shipment.</a:t>
          </a:r>
        </a:p>
        <a:p>
          <a:endParaRPr lang="en-US" sz="1070">
            <a:solidFill>
              <a:schemeClr val="tx1"/>
            </a:solidFill>
          </a:endParaRPr>
        </a:p>
      </xdr:txBody>
    </xdr:sp>
    <xdr:clientData/>
  </xdr:twoCellAnchor>
  <xdr:twoCellAnchor>
    <xdr:from>
      <xdr:col>0</xdr:col>
      <xdr:colOff>27216</xdr:colOff>
      <xdr:row>49</xdr:row>
      <xdr:rowOff>121195</xdr:rowOff>
    </xdr:from>
    <xdr:to>
      <xdr:col>9</xdr:col>
      <xdr:colOff>81644</xdr:colOff>
      <xdr:row>99</xdr:row>
      <xdr:rowOff>0</xdr:rowOff>
    </xdr:to>
    <xdr:sp macro="" textlink="">
      <xdr:nvSpPr>
        <xdr:cNvPr id="3" name="TextBox 2">
          <a:extLst>
            <a:ext uri="{FF2B5EF4-FFF2-40B4-BE49-F238E27FC236}">
              <a16:creationId xmlns:a16="http://schemas.microsoft.com/office/drawing/2014/main" id="{3F1B95BE-5014-4EC2-AAA3-ABFBE17FD18F}"/>
            </a:ext>
          </a:extLst>
        </xdr:cNvPr>
        <xdr:cNvSpPr txBox="1"/>
      </xdr:nvSpPr>
      <xdr:spPr>
        <a:xfrm>
          <a:off x="27216" y="10636795"/>
          <a:ext cx="7217228" cy="903804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300" b="1">
              <a:solidFill>
                <a:schemeClr val="tx1"/>
              </a:solidFill>
            </a:rPr>
            <a:t>GENERAL TERMS AND CONDITIONS OF SALE </a:t>
          </a:r>
        </a:p>
        <a:p>
          <a:pPr algn="ctr"/>
          <a:r>
            <a:rPr lang="en-US" sz="1050" b="1">
              <a:solidFill>
                <a:schemeClr val="tx1"/>
              </a:solidFill>
            </a:rPr>
            <a:t>(TIME AND MATERIALS)</a:t>
          </a:r>
        </a:p>
        <a:p>
          <a:r>
            <a:rPr lang="en-US" sz="1055">
              <a:solidFill>
                <a:schemeClr val="tx1"/>
              </a:solidFill>
            </a:rPr>
            <a:t>These general terms and conditions (along with the quotation, “Terms”) apply to the purchase of time and/materials by the customer (“Customer”, “Purchaser’’, “Buyer’’, also “you” or “your”) listed on the attached “quotation” and Cytek Biosciences, Inc. (“Cytek”, also “our,” “we” or “us”). </a:t>
          </a:r>
        </a:p>
        <a:p>
          <a:endParaRPr lang="en-US" sz="1055">
            <a:solidFill>
              <a:schemeClr val="tx1"/>
            </a:solidFill>
          </a:endParaRPr>
        </a:p>
        <a:p>
          <a:r>
            <a:rPr lang="en-US" sz="1055" b="1">
              <a:solidFill>
                <a:schemeClr val="tx1"/>
              </a:solidFill>
            </a:rPr>
            <a:t>1. QUOTATIONS; APPLICABILITY OF TERMS: </a:t>
          </a:r>
          <a:r>
            <a:rPr lang="en-US" sz="1055">
              <a:solidFill>
                <a:schemeClr val="tx1"/>
              </a:solidFill>
            </a:rPr>
            <a:t>The attached quotation is valid if Cytek receives your purchase order referencing the quotation number prior to the date indicated on the quotation. Cytek may withdraw the quotation any time before that date upon notice to you or before shipment if an event occurs that is outside our control and makes it commercially impractical for Cytek to fulfill the order. The prices and other terms are contingent on you accepting all the terms and conditions on the quotation without exception. Your issuance of a purchase order for any of the products or services referencing the quotation number or at the prices indicated in the quotation will be your indication to Cytek that you agree to these Terms without exception and the Terms will become the entire agreement between you and Cytek for the products and services ordered. </a:t>
          </a:r>
        </a:p>
        <a:p>
          <a:endParaRPr lang="en-US" sz="1055">
            <a:solidFill>
              <a:schemeClr val="tx1"/>
            </a:solidFill>
          </a:endParaRPr>
        </a:p>
        <a:p>
          <a:r>
            <a:rPr lang="en-US" sz="1055" b="1">
              <a:solidFill>
                <a:schemeClr val="tx1"/>
              </a:solidFill>
            </a:rPr>
            <a:t>2. PAYMENT TERMS: </a:t>
          </a:r>
          <a:r>
            <a:rPr lang="en-US" sz="1055">
              <a:solidFill>
                <a:schemeClr val="tx1"/>
              </a:solidFill>
            </a:rPr>
            <a:t>Terms are net 30 days from date of invoice for credit-approved domestic accounts. International accounts may be created by arrangement. Payment may be made by credit card for up to US$10,000 maximum. Cytek shall have the right to receive payment in advance when it deems necessary. If you fail to pay any invoice when due, Cytek may also apply a late payment charge equal to the lesser of one percent (1%), or the maximum permissible rate under applicable law, per month on the outstanding balance. Cytek may delay shipment or suspend performance under any agreement if payment under any agreement or order between you and Cytek is not received when due or is rescinded. All payments should be made to: Cytek Biosciences Inc., Wells Fargo Bank, 420 Montgomery Street, San Francisco, CA 94104, USA. For wire transfer: ACH Routing # 121042882, Account # 1923229718, SWIFT WFBIUS6S or please contact ar@cytekbio.com. </a:t>
          </a:r>
        </a:p>
        <a:p>
          <a:endParaRPr lang="en-US" sz="1055">
            <a:solidFill>
              <a:schemeClr val="tx1"/>
            </a:solidFill>
          </a:endParaRPr>
        </a:p>
        <a:p>
          <a:r>
            <a:rPr lang="en-US" sz="1055" b="1">
              <a:solidFill>
                <a:schemeClr val="tx1"/>
              </a:solidFill>
            </a:rPr>
            <a:t>3. PRICING</a:t>
          </a:r>
          <a:r>
            <a:rPr lang="en-US" sz="1055">
              <a:solidFill>
                <a:schemeClr val="tx1"/>
              </a:solidFill>
            </a:rPr>
            <a:t>: In addition to the stated prices, you must pay for all taxes and fees imposed on the sale or use of the products and any other governmental charges imposed on Cytek relating to the products and all shipping and handling, freight, insurance, and other services. All prices are in USD unless otherwise noted. Third-party providers are charged a 15% administrative fee; added to the total invoice. </a:t>
          </a:r>
        </a:p>
        <a:p>
          <a:endParaRPr lang="en-US" sz="1055">
            <a:solidFill>
              <a:schemeClr val="tx1"/>
            </a:solidFill>
          </a:endParaRPr>
        </a:p>
        <a:p>
          <a:r>
            <a:rPr lang="en-US" sz="1055" b="1">
              <a:solidFill>
                <a:schemeClr val="tx1"/>
              </a:solidFill>
            </a:rPr>
            <a:t>4. SHIPMENT; DELIVERY; ACCEPTANCE; RETURNS. </a:t>
          </a:r>
          <a:r>
            <a:rPr lang="en-US" sz="1055">
              <a:solidFill>
                <a:schemeClr val="tx1"/>
              </a:solidFill>
            </a:rPr>
            <a:t>Unless expressly specified on the Quotation, all products shipped internationally will be Carriage and Insurance Paid (CIP Incoterms 2020). US domestic shipments will be Free On-Board Origin (F.O.B. Origin Incoterms 2020). Both will be prepaid by Cytek and added to the invoice. Any taxes and duties required to complete delivery will be the responsibility of the Customer. Risk of loss with respect to all products will pass from Cytek to Customer upon shipment. Cytek will ship the Products within a reasonable time after Cytek receives your purchase order, or if the Quotation states a proposed shipment date, on or around such date. Cytek will endeavor to meet any delivery date specified in any purchase order but is not liable for failing to meet the delivery date. You must report to Cytek, in writing, any claims for missing or defective products within 30 days from your receipt of them. Defective products will be addressed according to the warranty provisions. Product returns will be accepted at Cytek’s discretion under its Returned Materials Authorization (RMA) policy and may be subject to a restocking fee. </a:t>
          </a:r>
        </a:p>
        <a:p>
          <a:endParaRPr lang="en-US" sz="1055">
            <a:solidFill>
              <a:schemeClr val="tx1"/>
            </a:solidFill>
          </a:endParaRPr>
        </a:p>
        <a:p>
          <a:r>
            <a:rPr lang="en-US" sz="1055" b="1">
              <a:solidFill>
                <a:schemeClr val="tx1"/>
              </a:solidFill>
            </a:rPr>
            <a:t>5. CANCELLATION: </a:t>
          </a:r>
          <a:r>
            <a:rPr lang="en-US" sz="1055">
              <a:solidFill>
                <a:schemeClr val="tx1"/>
              </a:solidFill>
            </a:rPr>
            <a:t>Cancelled orders will be subject to a cancellation charge to cover any finished goods, work in process and non-cancellable non-returnable materials, labor costs and expenses incurred by Cytek in good faith to fulfill the purchase order prior to the cancellation. </a:t>
          </a:r>
        </a:p>
        <a:p>
          <a:endParaRPr lang="en-US" sz="1055">
            <a:solidFill>
              <a:schemeClr val="tx1"/>
            </a:solidFill>
          </a:endParaRPr>
        </a:p>
        <a:p>
          <a:r>
            <a:rPr lang="en-US" sz="1055" b="1">
              <a:solidFill>
                <a:schemeClr val="tx1"/>
              </a:solidFill>
            </a:rPr>
            <a:t>6. LIMITED WARRANTY AND DISCLAIMER: </a:t>
          </a:r>
          <a:r>
            <a:rPr lang="en-US" sz="1055">
              <a:solidFill>
                <a:schemeClr val="tx1"/>
              </a:solidFill>
            </a:rPr>
            <a:t>Cytek warrants that services will be performed in a workmanlike manner and products will be free of defects only as set forth below. Cytek’s warranty does not apply to defects resulting from product misuse, abuse, neglect or operator negligence. If a product defect is discovered and verified by Cytek’s investigation under normal and proper use during the applicable warranty period, Cytek will, at its option, and without charge correct the defect either by (i) repair during normal business hours, (ii) replacement with an equivalent product, or (iii) refund the purchase price paid by you. If required as set forth below, you must ship the defective product to Cytek, transportation charges prepaid. The original warranty period will continue to be in effect on any repaired or replaced products. If Cytek replaces any part under this warranty or as a result of any services performed, Cytek will own the replaced part. If a third party manufactured product is supplied to you pursuant to the quotation,</a:t>
          </a:r>
          <a:endParaRPr lang="en-US" sz="1070">
            <a:solidFill>
              <a:schemeClr val="tx1"/>
            </a:solidFill>
          </a:endParaRPr>
        </a:p>
      </xdr:txBody>
    </xdr:sp>
    <xdr:clientData/>
  </xdr:twoCellAnchor>
  <xdr:twoCellAnchor>
    <xdr:from>
      <xdr:col>0</xdr:col>
      <xdr:colOff>83819</xdr:colOff>
      <xdr:row>154</xdr:row>
      <xdr:rowOff>77491</xdr:rowOff>
    </xdr:from>
    <xdr:to>
      <xdr:col>9</xdr:col>
      <xdr:colOff>64576</xdr:colOff>
      <xdr:row>197</xdr:row>
      <xdr:rowOff>138546</xdr:rowOff>
    </xdr:to>
    <xdr:sp macro="" textlink="">
      <xdr:nvSpPr>
        <xdr:cNvPr id="4" name="TextBox 3">
          <a:extLst>
            <a:ext uri="{FF2B5EF4-FFF2-40B4-BE49-F238E27FC236}">
              <a16:creationId xmlns:a16="http://schemas.microsoft.com/office/drawing/2014/main" id="{5946CA7B-2E02-4941-B0F0-CAE9D8F1A8DA}"/>
            </a:ext>
          </a:extLst>
        </xdr:cNvPr>
        <xdr:cNvSpPr txBox="1"/>
      </xdr:nvSpPr>
      <xdr:spPr>
        <a:xfrm>
          <a:off x="83819" y="29856451"/>
          <a:ext cx="7143557" cy="794013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100">
              <a:solidFill>
                <a:schemeClr val="dk1"/>
              </a:solidFill>
              <a:effectLst/>
              <a:latin typeface="+mn-lt"/>
              <a:ea typeface="+mn-ea"/>
              <a:cs typeface="+mn-cs"/>
            </a:rPr>
            <a:t>Any action arising out of these Terms may be brought by you up to one year after the date of the actionable cause. </a:t>
          </a:r>
          <a:endParaRPr lang="en-US">
            <a:effectLst/>
          </a:endParaRPr>
        </a:p>
        <a:p>
          <a:endParaRPr lang="en-US" b="1"/>
        </a:p>
        <a:p>
          <a:r>
            <a:rPr lang="en-US" b="1"/>
            <a:t>10. GOVERNING LAW: </a:t>
          </a:r>
          <a:r>
            <a:rPr lang="en-US"/>
            <a:t>This Agreement shall be governed in accordance with the laws of the State of California. The United Nations Convention on Contracts for the International Sale of Goods will not apply to these Terms. You and Cytek consent to the jurisdiction of, and venue in, the state and federal courts in Alameda County, California,</a:t>
          </a:r>
          <a:r>
            <a:rPr lang="en-US" baseline="0"/>
            <a:t> </a:t>
          </a:r>
          <a:r>
            <a:rPr lang="en-US"/>
            <a:t>U.S.A. </a:t>
          </a:r>
        </a:p>
        <a:p>
          <a:endParaRPr lang="en-US" b="1"/>
        </a:p>
        <a:p>
          <a:r>
            <a:rPr lang="en-US" b="1"/>
            <a:t>11. ENTIRE AGREEMENT: </a:t>
          </a:r>
          <a:r>
            <a:rPr lang="en-US"/>
            <a:t>These Terms constitute the entire understanding between you and Cytek with respect to the subject matter hereof and supersede all prior or co-existing communications and agreements regarding such subject matter and cannot be modified except by a written document (which states that it is an amendment) signed by authorized signatories of both parties. Any terms or conditions on your purchase order, order acknowledgement, or any other document relating to the products will be without legal effect. </a:t>
          </a:r>
        </a:p>
        <a:p>
          <a:endParaRPr lang="en-US"/>
        </a:p>
        <a:p>
          <a:r>
            <a:rPr lang="en-US" b="1"/>
            <a:t>12. GOVERNMENT CONTRACTS: </a:t>
          </a:r>
          <a:r>
            <a:rPr lang="en-US"/>
            <a:t>If the products are to be used in the performance of a U.S. Government contract or subcontract and a U.S. Government contract number appears on your purchase order, those clauses of the applicable U.S. Government procurement regulations that are mandatorily required by law to be included in U.S. Government subcontracts are incorporated into these Terms. </a:t>
          </a:r>
        </a:p>
        <a:p>
          <a:endParaRPr lang="en-US"/>
        </a:p>
        <a:p>
          <a:r>
            <a:rPr lang="en-US" b="1"/>
            <a:t>13. EXPORT AND USE RESTRICTIONS; INDEMNITY BY BUYER: </a:t>
          </a:r>
          <a:r>
            <a:rPr lang="en-US"/>
            <a:t>: You acknowledge that Cytek products may be subject to the US export laws and regulations. You may not export or re-export the products (nor any direct product therefrom) in violation of the US export laws. You hereby certify that you are not on the US Department of Commerce’s Denied Persons List or affiliated lists or on the US Department of Treasury’s Specially Designated Nationals List. To the extent required, you shall abide by any and all notices regarding export and agree not to remove or allow any third party to remove such notices. Your obligation under this section shall survive the expiration or termination of this agreement. You may not, and may not authorize or permit any affiliate or third party to, gain access to or determine the methods of operation of the product, alter, modify, disassemble, dismantle, deconstruct, analyze, determine compositions or structures, design around, or reverse engineer the product, or any part of the product, nor attempt to, or use the product to, refurbish, reconstruct, create, develop or contract to develop a product similar to the product. You shall use the products in strict accordance with all applicable local, state, national, and supra-national laws, regulations and guidelines, as well as all safety precautions accompanying the products. You shall indemnify and hold harmless Cytek from any and all claims, damages, injury, losses or expenses arising out of or resulting from your breach of these Terms or any act or omission by you, or its agents, employees or subcontractors, in the handling, storage or use of the products, except to the extent caused by a breach of the warranty by Cytek as set forth above. </a:t>
          </a:r>
        </a:p>
        <a:p>
          <a:endParaRPr lang="en-US"/>
        </a:p>
        <a:p>
          <a:r>
            <a:rPr lang="en-US" b="1"/>
            <a:t>14. MISCELLANEOUS</a:t>
          </a:r>
          <a:r>
            <a:rPr lang="en-US"/>
            <a:t>: No waiver of rights under these Terms by either party shall constitute a subsequent waiver of this or any other right under these Terms. Neither these Terms nor any rights hereunder shall be assigned or otherwise transferred by Buyer (by operation of law or otherwise) without the prior written consent of Cytek and any unauthorized transfer or assignment shall be void. If any of the terms and conditions set forth herein are held to be illegal or unenforceable, all remaining terms set forth herein shall remain in full force and effect. Cytek will not be liable for any delay in performance or failure to perform under these Terms due to circumstances beyond its reasonable control, including epidemics, pandemics, quarantines, earthquakes and other acts of God, actions or inactions of government, strikes, fire, explosion, flood, riot, lock-out, injunction, interruption of transportation, supplies or utilities, unavoidable accidents, or inability to obtain supplies at reasonable prices</a:t>
          </a:r>
          <a:endParaRPr lang="en-US" sz="1100"/>
        </a:p>
      </xdr:txBody>
    </xdr:sp>
    <xdr:clientData/>
  </xdr:twoCellAnchor>
  <xdr:twoCellAnchor>
    <xdr:from>
      <xdr:col>1</xdr:col>
      <xdr:colOff>373380</xdr:colOff>
      <xdr:row>24</xdr:row>
      <xdr:rowOff>91440</xdr:rowOff>
    </xdr:from>
    <xdr:to>
      <xdr:col>9</xdr:col>
      <xdr:colOff>7620</xdr:colOff>
      <xdr:row>33</xdr:row>
      <xdr:rowOff>167640</xdr:rowOff>
    </xdr:to>
    <xdr:sp macro="" textlink="">
      <xdr:nvSpPr>
        <xdr:cNvPr id="5" name="TextBox 4">
          <a:extLst>
            <a:ext uri="{FF2B5EF4-FFF2-40B4-BE49-F238E27FC236}">
              <a16:creationId xmlns:a16="http://schemas.microsoft.com/office/drawing/2014/main" id="{EBFFC087-221F-4966-936B-782CB130B444}"/>
            </a:ext>
          </a:extLst>
        </xdr:cNvPr>
        <xdr:cNvSpPr txBox="1"/>
      </xdr:nvSpPr>
      <xdr:spPr>
        <a:xfrm>
          <a:off x="1120140" y="5775960"/>
          <a:ext cx="6050280" cy="172212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0" i="1"/>
            <a:t>-All prices in USD </a:t>
          </a:r>
        </a:p>
        <a:p>
          <a:r>
            <a:rPr lang="en-US" b="0" i="1"/>
            <a:t>-The above quotation does not include any applicable sales tax.</a:t>
          </a:r>
        </a:p>
        <a:p>
          <a:r>
            <a:rPr lang="en-US" b="0" i="1"/>
            <a:t>-Cytek will confirm order receipt and estimated ship date. </a:t>
          </a:r>
        </a:p>
        <a:p>
          <a:r>
            <a:rPr lang="en-US" b="0" i="1"/>
            <a:t>-This quote is valid for 60 days.</a:t>
          </a:r>
          <a:endParaRPr lang="en-US" sz="1100" b="0" i="1"/>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101</xdr:row>
      <xdr:rowOff>90407</xdr:rowOff>
    </xdr:from>
    <xdr:to>
      <xdr:col>9</xdr:col>
      <xdr:colOff>51661</xdr:colOff>
      <xdr:row>149</xdr:row>
      <xdr:rowOff>142068</xdr:rowOff>
    </xdr:to>
    <xdr:sp macro="" textlink="">
      <xdr:nvSpPr>
        <xdr:cNvPr id="2" name="TextBox 1">
          <a:extLst>
            <a:ext uri="{FF2B5EF4-FFF2-40B4-BE49-F238E27FC236}">
              <a16:creationId xmlns:a16="http://schemas.microsoft.com/office/drawing/2014/main" id="{7EC02B31-0B5C-4EDC-9AD5-C4CD0E0D6169}"/>
            </a:ext>
          </a:extLst>
        </xdr:cNvPr>
        <xdr:cNvSpPr txBox="1"/>
      </xdr:nvSpPr>
      <xdr:spPr>
        <a:xfrm>
          <a:off x="0" y="19334136"/>
          <a:ext cx="7051729" cy="874362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dk1"/>
              </a:solidFill>
              <a:effectLst/>
              <a:latin typeface="+mn-lt"/>
              <a:ea typeface="+mn-ea"/>
              <a:cs typeface="+mn-cs"/>
            </a:rPr>
            <a:t>Cytek assigns to you any rights that may exist under the warranty provided by the manufacturer, but Cytek does not warrant the performance of the third party manufactured product or provide any remedy for failure of the third-party product to perform. THE WARRANTIES IN THIS SECTION ARE PROVIDED IN LIEU OF ALL OTHER WARRANTIES, EXPRESS OR IMPLIED, AND ARE YOUR EXCLUSIVE REMEDIES RELATING TO PERFORMANCE OF THE PRODUCTS </a:t>
          </a:r>
          <a:r>
            <a:rPr lang="en-US" sz="1050"/>
            <a:t>AND SERVICES. CYTEK DISCLAIMS ALL OTHER WARRANTIES, INCLUDING WITHOUT LIMITATION, ANY WARRANTY ABOUT THE MERCHANTABILITY OF THE PRODUCTS OR THEIR FITNESS FOR A PARTICULAR PURPOSE. IF ANY IMPLIED WARRANTIES APPLY AS A MATTER OF LAW, THEY ARE LIMITED IN DURATION TO WARRANTY PERIOD SPECIFIED IN THIS SECTION. </a:t>
          </a:r>
        </a:p>
        <a:p>
          <a:endParaRPr lang="en-US" sz="1050"/>
        </a:p>
        <a:p>
          <a:r>
            <a:rPr lang="en-US" sz="1050"/>
            <a:t>A</a:t>
          </a:r>
          <a:r>
            <a:rPr lang="en-US" sz="1050" b="1"/>
            <a:t>. Refurbished flow cytometer systems.</a:t>
          </a:r>
          <a:r>
            <a:rPr lang="en-US" sz="1050" b="1" baseline="0"/>
            <a:t> </a:t>
          </a:r>
          <a:r>
            <a:rPr lang="en-US" sz="1050"/>
            <a:t>The purchase of a refurbished flow cytometer system will be covered by warranty for defects in materials and workmanship for a period of 90 days from installation and such warranty will cover costs for travel, labor and parts (the “service warranty”). Parts purchased for use with refurbished flow cytometer systems will be covered by warranty for defects for a period of one year from the date of installation (the “parts warranty”). If a service engineer is dispatched on-site after expiration of the service warranty period but during the parts warranty period, travel and labor charges will apply. Consumable items are not covered by this warranty.</a:t>
          </a:r>
        </a:p>
        <a:p>
          <a:endParaRPr lang="en-US" sz="1050"/>
        </a:p>
        <a:p>
          <a:r>
            <a:rPr lang="en-US" sz="1050" b="1"/>
            <a:t>B. Upgraded flow cytometer systems. </a:t>
          </a:r>
          <a:r>
            <a:rPr lang="en-US" sz="1050"/>
            <a:t>In connection with an upgrade of a flow cytometer system, the upgraded portion of the flow cytometer is covered by warranty for defects in materials and workmanship for a period of one year from upgrade installation (the “upgrade warranty”). Defective parts replaced under the upgrade warranty must be returned to Cytek and shall be the property of Cytek. Service visits not associated with the upgrade warranty will be charged at the prevailing rate. </a:t>
          </a:r>
        </a:p>
        <a:p>
          <a:endParaRPr lang="en-US" sz="1050"/>
        </a:p>
        <a:p>
          <a:r>
            <a:rPr lang="en-US" sz="1050" b="1"/>
            <a:t>C. New and refurbished accessories</a:t>
          </a:r>
          <a:r>
            <a:rPr lang="en-US" sz="1050"/>
            <a:t>. The purchase of new or refurbished flow cytometer accessories are covered by warranty for defects in materials and workmanship under Cytek’s depot level warranty for a period of one year from shipment. The warranty includes all parts and labor provided that all work will be performed at Cytek’s Fremont, California facility. You must ship the defective product to Cytek, transportation charges prepaid. </a:t>
          </a:r>
        </a:p>
        <a:p>
          <a:endParaRPr lang="en-US" sz="1050"/>
        </a:p>
        <a:p>
          <a:r>
            <a:rPr lang="en-US" sz="1050" b="1"/>
            <a:t>D. Billable repair services. </a:t>
          </a:r>
          <a:r>
            <a:rPr lang="en-US" sz="1050"/>
            <a:t>Cytek warrants that the services performed will be in a professional workman-like manner and shall conform to the standards of the industry to include the manufacturer’s quality control protocol. Billable repair services are covered by warranty for defects in workmanship for a period of 30 days from the date service is rendered. Cytek’s sole liability under this warranty is limited to re-servicing of the instrument(s) or at Cytek’s option, return of the sum paid for such services. </a:t>
          </a:r>
        </a:p>
        <a:p>
          <a:endParaRPr lang="en-US" sz="1050"/>
        </a:p>
        <a:p>
          <a:r>
            <a:rPr lang="en-US" sz="1050" b="1"/>
            <a:t>E. New and used replacement parts. </a:t>
          </a:r>
          <a:r>
            <a:rPr lang="en-US" sz="1050"/>
            <a:t>The purchase of new and used replacement parts are covered by warranty from defects in materials and workmanship for a period of 30 days from installation. Parts marked as service returnable items have an “S” at the end of the part number and must be returned to Cytek within 14 days after receipt of the replacement part or the customer will be charged the non-exchange rate. Restocking fee for usable parts is 20%. </a:t>
          </a:r>
        </a:p>
        <a:p>
          <a:endParaRPr lang="en-US" sz="1050"/>
        </a:p>
        <a:p>
          <a:r>
            <a:rPr lang="en-US" sz="1050" b="1"/>
            <a:t>7. COMPUTER SUPPORT POLICY: </a:t>
          </a:r>
          <a:r>
            <a:rPr lang="en-US" sz="1050"/>
            <a:t>Cytek’s computer support policy provides support for only the software and hardware required for system operation, which is referred to as the “basic flow cytometer system”. Cytek does not guaranty the system will function if any additional hardware or software is used, including networking hardware and software. If the system fails to meet Cytek’s specifications, then Cytek may, at its option, remove hardware and uninstall software in order to return the basic flow cytometer system to its original installed operational configuration. It is the responsibility of the customer to backup all data on the basic flow cytometer computer system. </a:t>
          </a:r>
        </a:p>
        <a:p>
          <a:endParaRPr lang="en-US" sz="1050"/>
        </a:p>
        <a:p>
          <a:r>
            <a:rPr lang="en-US" sz="1050" b="1"/>
            <a:t>8. INDEMNITY BY CYTEK: </a:t>
          </a:r>
          <a:r>
            <a:rPr lang="en-US" sz="1050"/>
            <a:t>Cytek agrees to indemnify and hold harmless the Buyer from any and all claims, demands, suits, and expenses by reason of injury or death of any person(s) or damage to any property (except as excluded hereafter) solely and directly attributable to the negligent acts or negligent omissions of Cytek, its agents or employees while on the premises of the Buyer and arising out of services provided herein. Cytek maintains product and general liability insurance policies. If Buyer wishes to be named an Additional Insured on Cytek’s product and/or general liability policy, an additional 5% charge will be added to the total purchase price. </a:t>
          </a:r>
        </a:p>
        <a:p>
          <a:endParaRPr lang="en-US" sz="1050"/>
        </a:p>
        <a:p>
          <a:r>
            <a:rPr lang="en-US" sz="1050" b="1"/>
            <a:t>9. LIMITATION OF LIABILITY: </a:t>
          </a:r>
          <a:r>
            <a:rPr lang="en-US" sz="1050"/>
            <a:t>Except as provided in Section 8, Cytek’s liability will be limited to direct damages not to exceed the amount paid by you to Cytek under this agreement. Cytek will not be responsible for any damages resulting from delayed shipment.</a:t>
          </a:r>
        </a:p>
        <a:p>
          <a:endParaRPr lang="en-US" sz="1070">
            <a:solidFill>
              <a:schemeClr val="tx1"/>
            </a:solidFill>
          </a:endParaRPr>
        </a:p>
      </xdr:txBody>
    </xdr:sp>
    <xdr:clientData/>
  </xdr:twoCellAnchor>
  <xdr:twoCellAnchor>
    <xdr:from>
      <xdr:col>0</xdr:col>
      <xdr:colOff>27216</xdr:colOff>
      <xdr:row>49</xdr:row>
      <xdr:rowOff>121195</xdr:rowOff>
    </xdr:from>
    <xdr:to>
      <xdr:col>9</xdr:col>
      <xdr:colOff>81644</xdr:colOff>
      <xdr:row>99</xdr:row>
      <xdr:rowOff>0</xdr:rowOff>
    </xdr:to>
    <xdr:sp macro="" textlink="">
      <xdr:nvSpPr>
        <xdr:cNvPr id="3" name="TextBox 2">
          <a:extLst>
            <a:ext uri="{FF2B5EF4-FFF2-40B4-BE49-F238E27FC236}">
              <a16:creationId xmlns:a16="http://schemas.microsoft.com/office/drawing/2014/main" id="{BE56BCB6-1D1B-4A9B-B207-8F75DA6C9130}"/>
            </a:ext>
          </a:extLst>
        </xdr:cNvPr>
        <xdr:cNvSpPr txBox="1"/>
      </xdr:nvSpPr>
      <xdr:spPr>
        <a:xfrm>
          <a:off x="27216" y="10143432"/>
          <a:ext cx="7235309" cy="893239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300" b="1">
              <a:solidFill>
                <a:schemeClr val="tx1"/>
              </a:solidFill>
            </a:rPr>
            <a:t>GENERAL TERMS AND CONDITIONS OF SALE </a:t>
          </a:r>
        </a:p>
        <a:p>
          <a:pPr algn="ctr"/>
          <a:r>
            <a:rPr lang="en-US" sz="1050" b="1">
              <a:solidFill>
                <a:schemeClr val="tx1"/>
              </a:solidFill>
            </a:rPr>
            <a:t>(TIME AND MATERIALS)</a:t>
          </a:r>
        </a:p>
        <a:p>
          <a:r>
            <a:rPr lang="en-US" sz="1055">
              <a:solidFill>
                <a:schemeClr val="tx1"/>
              </a:solidFill>
            </a:rPr>
            <a:t>These general terms and conditions (along with the quotation, “Terms”) apply to the purchase of time and/materials by the customer (“Customer”, “Purchaser’’, “Buyer’’, also “you” or “your”) listed on the attached “quotation” and Cytek Biosciences, Inc. (“Cytek”, also “our,” “we” or “us”). </a:t>
          </a:r>
        </a:p>
        <a:p>
          <a:endParaRPr lang="en-US" sz="1055">
            <a:solidFill>
              <a:schemeClr val="tx1"/>
            </a:solidFill>
          </a:endParaRPr>
        </a:p>
        <a:p>
          <a:r>
            <a:rPr lang="en-US" sz="1055" b="1">
              <a:solidFill>
                <a:schemeClr val="tx1"/>
              </a:solidFill>
            </a:rPr>
            <a:t>1. QUOTATIONS; APPLICABILITY OF TERMS: </a:t>
          </a:r>
          <a:r>
            <a:rPr lang="en-US" sz="1055">
              <a:solidFill>
                <a:schemeClr val="tx1"/>
              </a:solidFill>
            </a:rPr>
            <a:t>The attached quotation is valid if Cytek receives your purchase order referencing the quotation number prior to the date indicated on the quotation. Cytek may withdraw the quotation any time before that date upon notice to you or before shipment if an event occurs that is outside our control and makes it commercially impractical for Cytek to fulfill the order. The prices and other terms are contingent on you accepting all the terms and conditions on the quotation without exception. Your issuance of a purchase order for any of the products or services referencing the quotation number or at the prices indicated in the quotation will be your indication to Cytek that you agree to these Terms without exception and the Terms will become the entire agreement between you and Cytek for the products and services ordered. </a:t>
          </a:r>
        </a:p>
        <a:p>
          <a:endParaRPr lang="en-US" sz="1055">
            <a:solidFill>
              <a:schemeClr val="tx1"/>
            </a:solidFill>
          </a:endParaRPr>
        </a:p>
        <a:p>
          <a:r>
            <a:rPr lang="en-US" sz="1055" b="1">
              <a:solidFill>
                <a:schemeClr val="tx1"/>
              </a:solidFill>
            </a:rPr>
            <a:t>2. PAYMENT TERMS: </a:t>
          </a:r>
          <a:r>
            <a:rPr lang="en-US" sz="1055">
              <a:solidFill>
                <a:schemeClr val="tx1"/>
              </a:solidFill>
            </a:rPr>
            <a:t>Terms are net 30 days from date of invoice for credit-approved domestic accounts. International accounts may be created by arrangement. Payment may be made by credit card for up to US$10,000 maximum. Cytek shall have the right to receive payment in advance when it deems necessary. If you fail to pay any invoice when due, Cytek may also apply a late payment charge equal to the lesser of one percent (1%), or the maximum permissible rate under applicable law, per month on the outstanding balance. Cytek may delay shipment or suspend performance under any agreement if payment under any agreement or order between you and Cytek is not received when due or is rescinded. All payments should be made to: Cytek Biosciences Inc., Wells Fargo Bank, 420 Montgomery Street, San Francisco, CA 94104, USA. For wire transfer: ACH Routing # 121042882, Account # 1923229718, SWIFT WFBIUS6S or please contact ar@cytekbio.com. </a:t>
          </a:r>
        </a:p>
        <a:p>
          <a:endParaRPr lang="en-US" sz="1055">
            <a:solidFill>
              <a:schemeClr val="tx1"/>
            </a:solidFill>
          </a:endParaRPr>
        </a:p>
        <a:p>
          <a:r>
            <a:rPr lang="en-US" sz="1055" b="1">
              <a:solidFill>
                <a:schemeClr val="tx1"/>
              </a:solidFill>
            </a:rPr>
            <a:t>3. PRICING</a:t>
          </a:r>
          <a:r>
            <a:rPr lang="en-US" sz="1055">
              <a:solidFill>
                <a:schemeClr val="tx1"/>
              </a:solidFill>
            </a:rPr>
            <a:t>: In addition to the stated prices, you must pay for all taxes and fees imposed on the sale or use of the products and any other governmental charges imposed on Cytek relating to the products and all shipping and handling, freight, insurance, and other services. All prices are in USD unless otherwise noted. Third-party providers are charged a 15% administrative fee; added to the total invoice. </a:t>
          </a:r>
        </a:p>
        <a:p>
          <a:endParaRPr lang="en-US" sz="1055">
            <a:solidFill>
              <a:schemeClr val="tx1"/>
            </a:solidFill>
          </a:endParaRPr>
        </a:p>
        <a:p>
          <a:r>
            <a:rPr lang="en-US" sz="1055" b="1">
              <a:solidFill>
                <a:schemeClr val="tx1"/>
              </a:solidFill>
            </a:rPr>
            <a:t>4. SHIPMENT; DELIVERY; ACCEPTANCE; RETURNS. </a:t>
          </a:r>
          <a:r>
            <a:rPr lang="en-US" sz="1055">
              <a:solidFill>
                <a:schemeClr val="tx1"/>
              </a:solidFill>
            </a:rPr>
            <a:t>Unless expressly specified on the Quotation, all products shipped internationally will be Carriage and Insurance Paid (CIP Incoterms 2020). US domestic shipments will be Free On-Board Origin (F.O.B. Origin Incoterms 2020). Both will be prepaid by Cytek and added to the invoice. Any taxes and duties required to complete delivery will be the responsibility of the Customer. Risk of loss with respect to all products will pass from Cytek to Customer upon shipment. Cytek will ship the Products within a reasonable time after Cytek receives your purchase order, or if the Quotation states a proposed shipment date, on or around such date. Cytek will endeavor to meet any delivery date specified in any purchase order but is not liable for failing to meet the delivery date. You must report to Cytek, in writing, any claims for missing or defective products within 30 days from your receipt of them. Defective products will be addressed according to the warranty provisions. Product returns will be accepted at Cytek’s discretion under its Returned Materials Authorization (RMA) policy and may be subject to a restocking fee. </a:t>
          </a:r>
        </a:p>
        <a:p>
          <a:endParaRPr lang="en-US" sz="1055">
            <a:solidFill>
              <a:schemeClr val="tx1"/>
            </a:solidFill>
          </a:endParaRPr>
        </a:p>
        <a:p>
          <a:r>
            <a:rPr lang="en-US" sz="1055" b="1">
              <a:solidFill>
                <a:schemeClr val="tx1"/>
              </a:solidFill>
            </a:rPr>
            <a:t>5. CANCELLATION: </a:t>
          </a:r>
          <a:r>
            <a:rPr lang="en-US" sz="1055">
              <a:solidFill>
                <a:schemeClr val="tx1"/>
              </a:solidFill>
            </a:rPr>
            <a:t>Cancelled orders will be subject to a cancellation charge to cover any finished goods, work in process and non-cancellable non-returnable materials, labor costs and expenses incurred by Cytek in good faith to fulfill the purchase order prior to the cancellation. </a:t>
          </a:r>
        </a:p>
        <a:p>
          <a:endParaRPr lang="en-US" sz="1055">
            <a:solidFill>
              <a:schemeClr val="tx1"/>
            </a:solidFill>
          </a:endParaRPr>
        </a:p>
        <a:p>
          <a:r>
            <a:rPr lang="en-US" sz="1055" b="1">
              <a:solidFill>
                <a:schemeClr val="tx1"/>
              </a:solidFill>
            </a:rPr>
            <a:t>6. LIMITED WARRANTY AND DISCLAIMER: </a:t>
          </a:r>
          <a:r>
            <a:rPr lang="en-US" sz="1055">
              <a:solidFill>
                <a:schemeClr val="tx1"/>
              </a:solidFill>
            </a:rPr>
            <a:t>Cytek warrants that services will be performed in a workmanlike manner and products will be free of defects only as set forth below. Cytek’s warranty does not apply to defects resulting from product misuse, abuse, neglect or operator negligence. If a product defect is discovered and verified by Cytek’s investigation under normal and proper use during the applicable warranty period, Cytek will, at its option, and without charge correct the defect either by (i) repair during normal business hours, (ii) replacement with an equivalent product, or (iii) refund the purchase price paid by you. If required as set forth below, you must ship the defective product to Cytek, transportation charges prepaid. The original warranty period will continue to be in effect on any repaired or replaced products. If Cytek replaces any part under this warranty or as a result of any services performed, Cytek will own the replaced part. If a third party manufactured product is supplied to you pursuant to the quotation,</a:t>
          </a:r>
          <a:endParaRPr lang="en-US" sz="1070">
            <a:solidFill>
              <a:schemeClr val="tx1"/>
            </a:solidFill>
          </a:endParaRPr>
        </a:p>
      </xdr:txBody>
    </xdr:sp>
    <xdr:clientData/>
  </xdr:twoCellAnchor>
  <xdr:twoCellAnchor>
    <xdr:from>
      <xdr:col>0</xdr:col>
      <xdr:colOff>83819</xdr:colOff>
      <xdr:row>154</xdr:row>
      <xdr:rowOff>77491</xdr:rowOff>
    </xdr:from>
    <xdr:to>
      <xdr:col>9</xdr:col>
      <xdr:colOff>64576</xdr:colOff>
      <xdr:row>197</xdr:row>
      <xdr:rowOff>138546</xdr:rowOff>
    </xdr:to>
    <xdr:sp macro="" textlink="">
      <xdr:nvSpPr>
        <xdr:cNvPr id="4" name="TextBox 3">
          <a:extLst>
            <a:ext uri="{FF2B5EF4-FFF2-40B4-BE49-F238E27FC236}">
              <a16:creationId xmlns:a16="http://schemas.microsoft.com/office/drawing/2014/main" id="{8F6BA10A-D0A5-4075-8260-7FE47AEEC28C}"/>
            </a:ext>
          </a:extLst>
        </xdr:cNvPr>
        <xdr:cNvSpPr txBox="1"/>
      </xdr:nvSpPr>
      <xdr:spPr>
        <a:xfrm>
          <a:off x="83819" y="28930169"/>
          <a:ext cx="6980825" cy="784895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100">
              <a:solidFill>
                <a:schemeClr val="dk1"/>
              </a:solidFill>
              <a:effectLst/>
              <a:latin typeface="+mn-lt"/>
              <a:ea typeface="+mn-ea"/>
              <a:cs typeface="+mn-cs"/>
            </a:rPr>
            <a:t>Any action arising out of these Terms may be brought by you up to one year after the date of the actionable cause. </a:t>
          </a:r>
          <a:endParaRPr lang="en-US">
            <a:effectLst/>
          </a:endParaRPr>
        </a:p>
        <a:p>
          <a:endParaRPr lang="en-US" b="1"/>
        </a:p>
        <a:p>
          <a:r>
            <a:rPr lang="en-US" b="1"/>
            <a:t>10. GOVERNING LAW: </a:t>
          </a:r>
          <a:r>
            <a:rPr lang="en-US"/>
            <a:t>This Agreement shall be governed in accordance with the laws of the State of California. The United Nations Convention on Contracts for the International Sale of Goods will not apply to these Terms. You and Cytek consent to the jurisdiction of, and venue in, the state and federal courts in Alameda County, California,</a:t>
          </a:r>
          <a:r>
            <a:rPr lang="en-US" baseline="0"/>
            <a:t> </a:t>
          </a:r>
          <a:r>
            <a:rPr lang="en-US"/>
            <a:t>U.S.A. </a:t>
          </a:r>
        </a:p>
        <a:p>
          <a:endParaRPr lang="en-US" b="1"/>
        </a:p>
        <a:p>
          <a:r>
            <a:rPr lang="en-US" b="1"/>
            <a:t>11. ENTIRE AGREEMENT: </a:t>
          </a:r>
          <a:r>
            <a:rPr lang="en-US"/>
            <a:t>These Terms constitute the entire understanding between you and Cytek with respect to the subject matter hereof and supersede all prior or co-existing communications and agreements regarding such subject matter and cannot be modified except by a written document (which states that it is an amendment) signed by authorized signatories of both parties. Any terms or conditions on your purchase order, order acknowledgement, or any other document relating to the products will be without legal effect. </a:t>
          </a:r>
        </a:p>
        <a:p>
          <a:endParaRPr lang="en-US"/>
        </a:p>
        <a:p>
          <a:r>
            <a:rPr lang="en-US" b="1"/>
            <a:t>12. GOVERNMENT CONTRACTS: </a:t>
          </a:r>
          <a:r>
            <a:rPr lang="en-US"/>
            <a:t>If the products are to be used in the performance of a U.S. Government contract or subcontract and a U.S. Government contract number appears on your purchase order, those clauses of the applicable U.S. Government procurement regulations that are mandatorily required by law to be included in U.S. Government subcontracts are incorporated into these Terms. </a:t>
          </a:r>
        </a:p>
        <a:p>
          <a:endParaRPr lang="en-US"/>
        </a:p>
        <a:p>
          <a:r>
            <a:rPr lang="en-US" b="1"/>
            <a:t>13. EXPORT AND USE RESTRICTIONS; INDEMNITY BY BUYER: </a:t>
          </a:r>
          <a:r>
            <a:rPr lang="en-US"/>
            <a:t>: You acknowledge that Cytek products may be subject to the US export laws and regulations. You may not export or re-export the products (nor any direct product therefrom) in violation of the US export laws. You hereby certify that you are not on the US Department of Commerce’s Denied Persons List or affiliated lists or on the US Department of Treasury’s Specially Designated Nationals List. To the extent required, you shall abide by any and all notices regarding export and agree not to remove or allow any third party to remove such notices. Your obligation under this section shall survive the expiration or termination of this agreement. You may not, and may not authorize or permit any affiliate or third party to, gain access to or determine the methods of operation of the product, alter, modify, disassemble, dismantle, deconstruct, analyze, determine compositions or structures, design around, or reverse engineer the product, or any part of the product, nor attempt to, or use the product to, refurbish, reconstruct, create, develop or contract to develop a product similar to the product. You shall use the products in strict accordance with all applicable local, state, national, and supra-national laws, regulations and guidelines, as well as all safety precautions accompanying the products. You shall indemnify and hold harmless Cytek from any and all claims, damages, injury, losses or expenses arising out of or resulting from your breach of these Terms or any act or omission by you, or its agents, employees or subcontractors, in the handling, storage or use of the products, except to the extent caused by a breach of the warranty by Cytek as set forth above. </a:t>
          </a:r>
        </a:p>
        <a:p>
          <a:endParaRPr lang="en-US"/>
        </a:p>
        <a:p>
          <a:r>
            <a:rPr lang="en-US" b="1"/>
            <a:t>14. MISCELLANEOUS</a:t>
          </a:r>
          <a:r>
            <a:rPr lang="en-US"/>
            <a:t>: No waiver of rights under these Terms by either party shall constitute a subsequent waiver of this or any other right under these Terms. Neither these Terms nor any rights hereunder shall be assigned or otherwise transferred by Buyer (by operation of law or otherwise) without the prior written consent of Cytek and any unauthorized transfer or assignment shall be void. If any of the terms and conditions set forth herein are held to be illegal or unenforceable, all remaining terms set forth herein shall remain in full force and effect. Cytek will not be liable for any delay in performance or failure to perform under these Terms due to circumstances beyond its reasonable control, including epidemics, pandemics, quarantines, earthquakes and other acts of God, actions or inactions of government, strikes, fire, explosion, flood, riot, lock-out, injunction, interruption of transportation, supplies or utilities, unavoidable accidents, or inability to obtain supplies at reasonable prices</a:t>
          </a:r>
          <a:endParaRPr lang="en-US" sz="1100"/>
        </a:p>
      </xdr:txBody>
    </xdr:sp>
    <xdr:clientData/>
  </xdr:twoCellAnchor>
  <xdr:twoCellAnchor>
    <xdr:from>
      <xdr:col>1</xdr:col>
      <xdr:colOff>373380</xdr:colOff>
      <xdr:row>24</xdr:row>
      <xdr:rowOff>91440</xdr:rowOff>
    </xdr:from>
    <xdr:to>
      <xdr:col>9</xdr:col>
      <xdr:colOff>7620</xdr:colOff>
      <xdr:row>33</xdr:row>
      <xdr:rowOff>167640</xdr:rowOff>
    </xdr:to>
    <xdr:sp macro="" textlink="">
      <xdr:nvSpPr>
        <xdr:cNvPr id="5" name="TextBox 4">
          <a:extLst>
            <a:ext uri="{FF2B5EF4-FFF2-40B4-BE49-F238E27FC236}">
              <a16:creationId xmlns:a16="http://schemas.microsoft.com/office/drawing/2014/main" id="{E721ECBB-BC5D-458A-B319-110EE05AB02D}"/>
            </a:ext>
          </a:extLst>
        </xdr:cNvPr>
        <xdr:cNvSpPr txBox="1"/>
      </xdr:nvSpPr>
      <xdr:spPr>
        <a:xfrm>
          <a:off x="1013460" y="5212080"/>
          <a:ext cx="5692140" cy="172212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0" i="1"/>
            <a:t>-All prices in USD </a:t>
          </a:r>
        </a:p>
        <a:p>
          <a:r>
            <a:rPr lang="en-US" b="0" i="1"/>
            <a:t>-The above quotation does not include any applicable sales tax.</a:t>
          </a:r>
        </a:p>
        <a:p>
          <a:r>
            <a:rPr lang="en-US" b="0" i="1"/>
            <a:t>-Cytek will confirm order receipt and estimated ship date. </a:t>
          </a:r>
        </a:p>
        <a:p>
          <a:r>
            <a:rPr lang="en-US" b="0" i="1"/>
            <a:t>-This quote is valid for 60 days.</a:t>
          </a:r>
          <a:endParaRPr lang="en-US" sz="1100" b="0" i="1"/>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7AC8DB-2542-42AA-AF1B-CE9690106EED}">
  <sheetPr codeName="Sheet1"/>
  <dimension ref="A2:K37"/>
  <sheetViews>
    <sheetView zoomScale="95" workbookViewId="0">
      <selection activeCell="H12" sqref="H12"/>
    </sheetView>
  </sheetViews>
  <sheetFormatPr defaultRowHeight="13.8"/>
  <cols>
    <col min="1" max="1" width="15.09765625" bestFit="1" customWidth="1"/>
    <col min="4" max="4" width="17.59765625" customWidth="1"/>
    <col min="5" max="5" width="16.59765625" customWidth="1"/>
    <col min="8" max="10" width="14.296875" customWidth="1"/>
    <col min="11" max="11" width="11" customWidth="1"/>
    <col min="12" max="13" width="14.69921875" customWidth="1"/>
    <col min="15" max="15" width="11.69921875" bestFit="1" customWidth="1"/>
  </cols>
  <sheetData>
    <row r="2" spans="1:11">
      <c r="A2" t="s">
        <v>0</v>
      </c>
    </row>
    <row r="5" spans="1:11">
      <c r="K5" s="3"/>
    </row>
    <row r="7" spans="1:11">
      <c r="H7" t="s">
        <v>1</v>
      </c>
    </row>
    <row r="8" spans="1:11">
      <c r="A8" t="s">
        <v>2</v>
      </c>
      <c r="B8" t="s">
        <v>3</v>
      </c>
    </row>
    <row r="9" spans="1:11">
      <c r="A9" t="s">
        <v>4</v>
      </c>
      <c r="B9" t="s">
        <v>5</v>
      </c>
    </row>
    <row r="10" spans="1:11">
      <c r="A10" t="s">
        <v>6</v>
      </c>
      <c r="B10" t="s">
        <v>7</v>
      </c>
    </row>
    <row r="11" spans="1:11">
      <c r="H11" t="s">
        <v>8</v>
      </c>
    </row>
    <row r="14" spans="1:11" ht="33" customHeight="1" thickBot="1"/>
    <row r="15" spans="1:11" ht="15.6">
      <c r="C15" s="84" t="s">
        <v>9</v>
      </c>
      <c r="D15" s="85"/>
      <c r="E15" s="85"/>
      <c r="F15" s="85"/>
      <c r="G15" s="85"/>
      <c r="H15" s="85"/>
      <c r="I15" s="85"/>
      <c r="J15" s="86"/>
    </row>
    <row r="16" spans="1:11">
      <c r="C16" s="72" t="s">
        <v>10</v>
      </c>
      <c r="D16" s="73" t="e">
        <f>'FSE Input'!B13</f>
        <v>#REF!</v>
      </c>
      <c r="E16" s="73" t="s">
        <v>11</v>
      </c>
      <c r="F16" s="73" t="s">
        <v>12</v>
      </c>
      <c r="G16" s="73" t="s">
        <v>13</v>
      </c>
      <c r="H16" s="73" t="s">
        <v>14</v>
      </c>
      <c r="I16" s="73" t="s">
        <v>15</v>
      </c>
      <c r="J16" s="74" t="s">
        <v>16</v>
      </c>
    </row>
    <row r="17" spans="3:10" ht="27.6">
      <c r="C17" s="66" t="s">
        <v>17</v>
      </c>
      <c r="D17" s="3" t="str">
        <f>IF('FSE Input'!B17&lt;&gt;"",'FSE Input'!B17,IF('FSE Input'!B21&lt;&gt;"",'FSE Input'!B21,""))</f>
        <v>On-Site Support (2 days)</v>
      </c>
      <c r="E17" t="str">
        <f>IF(OR(ISNUMBER(SEARCH("site",D17)),ISNUMBER(SEARCH("service",D17)),ISNUMBER(SEARCH("support",D17))),"Yes","No")</f>
        <v>Yes</v>
      </c>
      <c r="F17">
        <f>IF('FSE Input'!B19&lt;&gt;"",'FSE Input'!B19,IF('FSE Input'!B23&lt;&gt;"",'FSE Input'!B23,""))</f>
        <v>7571</v>
      </c>
      <c r="G17">
        <f>IF(E17="Yes", F17, IF(OR($D$16="Premium", $D$16="Gold", ISNUMBER(SEARCH("COMPLET",$D$16))), F17, ""))</f>
        <v>7571</v>
      </c>
      <c r="H17">
        <f>IF(E17="Yes", F17, IF(OR($D$16="VALUE", $D$16="Silver", ISNUMBER(SEARCH("INTERMED",$D$16))), F17*0.8, ""))</f>
        <v>7571</v>
      </c>
      <c r="I17">
        <f>IF(E17="Yes", F17, IF(OR($D$16="PMI", $D$16="Bronze", ISNUMBER(SEARCH("BASIC",$D$16))), F17*0.9, ""))</f>
        <v>7571</v>
      </c>
      <c r="J17" s="67">
        <f>IF(E17="Yes",
    F17,
    IF(OR($D$16="Premium", $D$16="Gold", ISNUMBER(SEARCH("COMPLET",$D$16))),
        F17,
        IF(OR($D$16="VALUE", $D$16="Silver", ISNUMBER(SEARCH("INTERMED",$D$16))),
            F17*0.8,
            IF(OR($D$16="PMI", $D$16="Bronze", ISNUMBER(SEARCH("BASIC",$D$16))),
                F17*0.9,
                ""
            )
        )
    )
)</f>
        <v>7571</v>
      </c>
    </row>
    <row r="18" spans="3:10">
      <c r="C18" s="66" t="s">
        <v>18</v>
      </c>
      <c r="D18" s="3" t="str">
        <f>IF('FSE Input'!B25&lt;&gt;"",'FSE Input'!B25,IF('FSE Input'!B29&lt;&gt;"",'FSE Input'!B29,""))</f>
        <v/>
      </c>
      <c r="E18" t="str">
        <f t="shared" ref="E18:E20" si="0">IF(OR(ISNUMBER(SEARCH("site",D18)),ISNUMBER(SEARCH("service",D18)),ISNUMBER(SEARCH("support",D18))),"Yes","No")</f>
        <v>No</v>
      </c>
      <c r="F18" t="str">
        <f>IF('FSE Input'!B27&lt;&gt;"",'FSE Input'!B27,IF('FSE Input'!B31&lt;&gt;"",'FSE Input'!B31,""))</f>
        <v/>
      </c>
      <c r="G18" t="e">
        <f t="shared" ref="G18:G20" si="1">IF(E18="Yes", F18, IF(OR($D$16="Premium", $D$16="Gold", ISNUMBER(SEARCH("COMPLET",$D$16))), F18, ""))</f>
        <v>#REF!</v>
      </c>
      <c r="H18" t="e">
        <f>IF(E18="Yes", F18, IF(OR($D$16="VALUE", $D$16="Silver", ISNUMBER(SEARCH("INTERMED",$D$16))), F18*0.8, ""))</f>
        <v>#REF!</v>
      </c>
      <c r="I18" t="e">
        <f>IF(E18="Yes", F18, IF(OR($D$16="PMI", $D$16="Bronze", ISNUMBER(SEARCH("BASIC",$D$16))), F18*0.9, ""))</f>
        <v>#REF!</v>
      </c>
      <c r="J18" s="67" t="e">
        <f>IF(E18="Yes",
    F18,
    IF(OR($D$16="Premium", $D$16="Gold", ISNUMBER(SEARCH("COMPLET",$D$16))),
        F18,
        IF(OR($D$16="VALUE", $D$16="Silver", ISNUMBER(SEARCH("INTERMED",$D$16))),
            F18*0.8,
            IF(OR($D$16="PMI", $D$16="Bronze", ISNUMBER(SEARCH("BASIC",$D$16))),
                F18*0.9,
                ""
            )
        )
    )
)</f>
        <v>#REF!</v>
      </c>
    </row>
    <row r="19" spans="3:10">
      <c r="C19" s="66" t="s">
        <v>19</v>
      </c>
      <c r="D19" s="3" t="str">
        <f>IF('FSE Input'!B33&lt;&gt;"",'FSE Input'!B33,IF('FSE Input'!B37&lt;&gt;"",'FSE Input'!B37,""))</f>
        <v/>
      </c>
      <c r="E19" t="str">
        <f t="shared" si="0"/>
        <v>No</v>
      </c>
      <c r="F19" t="str">
        <f>IF('FSE Input'!B35&lt;&gt;"",'FSE Input'!B35,IF('FSE Input'!B39&lt;&gt;"",'FSE Input'!B39,""))</f>
        <v/>
      </c>
      <c r="G19" t="e">
        <f t="shared" si="1"/>
        <v>#REF!</v>
      </c>
      <c r="H19" t="e">
        <f>IF(E19="Yes", "", IF(OR($D$16="VALUE", $D$16="Silver", ISNUMBER(SEARCH("INTERMED",$D$16))), F19*0.8, ""))</f>
        <v>#REF!</v>
      </c>
      <c r="I19" t="e">
        <f>IF(E19="Yes", F19, IF(OR($D$16="PMI", $D$16="Bronze", ISNUMBER(SEARCH("BASIC",$D$16))), F19*0.9, ""))</f>
        <v>#REF!</v>
      </c>
      <c r="J19" s="67" t="e">
        <f>IF(E19="Yes",
    F19,
    IF(OR($D$16="Premium", $D$16="Gold", ISNUMBER(SEARCH("COMPLET",$D$16))),
        F19,
        IF(OR($D$16="VALUE", $D$16="Silver", ISNUMBER(SEARCH("INTERMED",$D$16))),
            F19*0.8,
            IF(OR($D$16="PMI", $D$16="Bronze", ISNUMBER(SEARCH("BASIC",$D$16))),
                F19*0.9,
                ""
            )
        )
    )
)</f>
        <v>#REF!</v>
      </c>
    </row>
    <row r="20" spans="3:10" ht="14.4" thickBot="1">
      <c r="C20" s="68" t="s">
        <v>20</v>
      </c>
      <c r="D20" s="69" t="str">
        <f>IF('FSE Input'!B41&lt;&gt;"",'FSE Input'!B41,IF('FSE Input'!B45&lt;&gt;"",'FSE Input'!B45,""))</f>
        <v/>
      </c>
      <c r="E20" s="70" t="str">
        <f t="shared" si="0"/>
        <v>No</v>
      </c>
      <c r="F20" s="70" t="str">
        <f>IF('FSE Input'!B43&lt;&gt;"",'FSE Input'!B43,IF('FSE Input'!B47&lt;&gt;"",'FSE Input'!B47,""))</f>
        <v/>
      </c>
      <c r="G20" s="70" t="e">
        <f t="shared" si="1"/>
        <v>#REF!</v>
      </c>
      <c r="H20" s="70" t="e">
        <f>IF(E20="Yes", F20, IF(OR($D$16="VALUE", $D$16="Silver", ISNUMBER(SEARCH("INTERMED",$D$16))), F20*0.8, ""))</f>
        <v>#REF!</v>
      </c>
      <c r="I20" s="70" t="e">
        <f>IF(E20="Yes", F20, IF(OR($D$16="PMI", $D$16="Bronze", ISNUMBER(SEARCH("BASIC",$D$16))), F20*0.9, ""))</f>
        <v>#REF!</v>
      </c>
      <c r="J20" s="71" t="e">
        <f>IF(E20="Yes",
    F20,
    IF(OR($D$16="Premium", $D$16="Gold", ISNUMBER(SEARCH("COMPLET",$D$16))),
        F20,
        IF(OR($D$16="VALUE", $D$16="Silver", ISNUMBER(SEARCH("INTERMED",$D$16))),
            F20*0.8,
            IF(OR($D$16="PMI", $D$16="Bronze", ISNUMBER(SEARCH("BASIC",$D$16))),
                F20*0.9,
                ""
            )
        )
    )
)</f>
        <v>#REF!</v>
      </c>
    </row>
    <row r="21" spans="3:10" ht="59.4" customHeight="1" thickBot="1"/>
    <row r="22" spans="3:10" ht="15.6">
      <c r="C22" s="84" t="s">
        <v>21</v>
      </c>
      <c r="D22" s="85"/>
      <c r="E22" s="85"/>
      <c r="F22" s="85"/>
      <c r="G22" s="85"/>
      <c r="H22" s="85"/>
      <c r="I22" s="85"/>
      <c r="J22" s="86"/>
    </row>
    <row r="23" spans="3:10">
      <c r="C23" s="72" t="s">
        <v>22</v>
      </c>
      <c r="D23" s="73" t="e">
        <f>'FSE Input'!E13</f>
        <v>#REF!</v>
      </c>
      <c r="E23" s="73" t="s">
        <v>11</v>
      </c>
      <c r="F23" s="73" t="s">
        <v>23</v>
      </c>
      <c r="G23" s="73" t="s">
        <v>24</v>
      </c>
      <c r="H23" s="73" t="s">
        <v>14</v>
      </c>
      <c r="I23" s="73" t="s">
        <v>25</v>
      </c>
      <c r="J23" s="74" t="s">
        <v>16</v>
      </c>
    </row>
    <row r="24" spans="3:10" ht="27.6">
      <c r="C24" s="66" t="s">
        <v>26</v>
      </c>
      <c r="D24" s="3" t="str">
        <f>IF('FSE Input'!E17&lt;&gt;"",'FSE Input'!E17,IF('FSE Input'!E21&lt;&gt;"",'FSE Input'!E21,""))</f>
        <v>On-Site Support (2 days)</v>
      </c>
      <c r="E24" t="str">
        <f>IF(OR(ISNUMBER(SEARCH("site",D24)),ISNUMBER(SEARCH("service",D24)),ISNUMBER(SEARCH("support",D24))),"Yes","No")</f>
        <v>Yes</v>
      </c>
      <c r="F24">
        <f>IF('FSE Input'!E19&lt;&gt;"",'FSE Input'!E19,IF('FSE Input'!E23&lt;&gt;"",'FSE Input'!E23,""))</f>
        <v>7571</v>
      </c>
      <c r="G24">
        <f>IF(E24="Yes", F24, IF(OR($D$23="Premium", $D$23="Gold", ISNUMBER(SEARCH("COMPLET",$D$23))), F24, ""))</f>
        <v>7571</v>
      </c>
      <c r="H24">
        <f>IF(E24="Yes", F24, IF(OR($D$23="VALUE", $D$23="Silver", ISNUMBER(SEARCH("INTERMED",$D$23))), F24*0.8, ""))</f>
        <v>7571</v>
      </c>
      <c r="I24">
        <f>IF(E24="Yes", F24, IF(OR($D$23="PMI", $D$23="Bronze", ISNUMBER(SEARCH("BASIC",$D$23))), F24*0.9, ""))</f>
        <v>7571</v>
      </c>
      <c r="J24" s="67">
        <f>IF(E24="Yes",
    F24,
    IF(OR($D$23="Premium", $D$23="Gold", ISNUMBER(SEARCH("COMPLET",$D$23))),
        F24,
        IF(OR($D$23="VALUE", $D$23="Silver", ISNUMBER(SEARCH("INTERMED",$D$23))),
            F24*0.8,
            IF(OR($D$23="PMI", $D$23="Bronze", ISNUMBER(SEARCH("BASIC",$D$23))),
                F24*0.9,
                ""
            )
        )
    )
)</f>
        <v>7571</v>
      </c>
    </row>
    <row r="25" spans="3:10">
      <c r="C25" s="66" t="s">
        <v>18</v>
      </c>
      <c r="D25" s="3" t="str">
        <f>IF('FSE Input'!E25&lt;&gt;"",'FSE Input'!E25,IF('FSE Input'!E29&lt;&gt;"",'FSE Input'!E29,""))</f>
        <v>Flow Cell Body</v>
      </c>
      <c r="E25" t="str">
        <f t="shared" ref="E25:E27" si="2">IF(OR(ISNUMBER(SEARCH("site",D25)),ISNUMBER(SEARCH("service",D25)),ISNUMBER(SEARCH("support",D25))),"Yes","No")</f>
        <v>No</v>
      </c>
      <c r="F25">
        <f>IF('FSE Input'!E27&lt;&gt;"",'FSE Input'!E27,IF('FSE Input'!E31&lt;&gt;"",'FSE Input'!E31,""))</f>
        <v>268.70999999999998</v>
      </c>
      <c r="G25" t="e">
        <f>IF(E25="Yes", F25, IF(OR($D$23="Premium", $D$16="Gold", ISNUMBER(SEARCH("COMPLET",$D$23))), F25, ""))</f>
        <v>#REF!</v>
      </c>
      <c r="H25" t="e">
        <f>IF(E25="Yes", F25, IF(OR($D$23="VALUE", $D$23="Silver", ISNUMBER(SEARCH("INTERMED",$D$23))), F25*0.8, ""))</f>
        <v>#REF!</v>
      </c>
      <c r="I25" t="e">
        <f>IF(E25="Yes", F25, IF(OR($D$16="PMI", $D$16="Bronze", ISNUMBER(SEARCH("BASIC",$D$16))), F25*0.9, ""))</f>
        <v>#REF!</v>
      </c>
      <c r="J25" s="67" t="e">
        <f>IF(E25="Yes",
    F25,
    IF(OR($D$23="Premium", $D$23="Gold", ISNUMBER(SEARCH("COMPLET",$D$23))),
        F25,
        IF(OR($D$23="VALUE", $D$23="Silver", ISNUMBER(SEARCH("INTERMED",$D$23))),
            F25*0.8,
            IF(OR($D$23="PMI", $D$23="Bronze", ISNUMBER(SEARCH("BASIC",$D$23))),
                F25*0.9,
                ""
            )
        )
    )
)</f>
        <v>#REF!</v>
      </c>
    </row>
    <row r="26" spans="3:10">
      <c r="C26" s="66" t="s">
        <v>19</v>
      </c>
      <c r="D26" s="3" t="str">
        <f>IF('FSE Input'!E33&lt;&gt;"",'FSE Input'!E33,IF('FSE Input'!E37&lt;&gt;"",'FSE Input'!E37,""))</f>
        <v>Mounting Plate</v>
      </c>
      <c r="E26" t="str">
        <f t="shared" si="2"/>
        <v>No</v>
      </c>
      <c r="F26">
        <f>IF('FSE Input'!E35&lt;&gt;"",'FSE Input'!E35,IF('FSE Input'!E39&lt;&gt;"",'FSE Input'!E39,""))</f>
        <v>7.76</v>
      </c>
      <c r="G26" t="e">
        <f>IF(E26="Yes", F26, IF(OR($D$23="Premium", $D$23="Gold", ISNUMBER(SEARCH("COMPLET",$D$23))), F26, ""))</f>
        <v>#REF!</v>
      </c>
      <c r="H26" t="e">
        <f>IF(E26="Yes", "", IF(OR($D$23="VALUE", $D$23="Silver", ISNUMBER(SEARCH("INTERMED",$D$23))), F26*0.8, ""))</f>
        <v>#REF!</v>
      </c>
      <c r="I26" t="e">
        <f>IF(E26="Yes", F26, IF(OR($D$16="PMI", $D$16="Bronze", ISNUMBER(SEARCH("BASIC",$D$16))), F26*0.9, ""))</f>
        <v>#REF!</v>
      </c>
      <c r="J26" s="67" t="e">
        <f>IF(E26="Yes",
    F26,
    IF(OR($D$23="Premium", $D$23="Gold", ISNUMBER(SEARCH("COMPLET",$D$23))),
        F26,
        IF(OR($D$23="VALUE", $D23="Silver", ISNUMBER(SEARCH("INTERMED",$D$23))),
            F26*0.8,
            IF(OR($D$23="PMI", $D$23="Bronze", ISNUMBER(SEARCH("BASIC",$D$23))),
                F26*0.9,
                ""
            )
        )
    )
)</f>
        <v>#REF!</v>
      </c>
    </row>
    <row r="27" spans="3:10" ht="14.4" thickBot="1">
      <c r="C27" s="68" t="s">
        <v>20</v>
      </c>
      <c r="D27" s="69" t="str">
        <f>IF('FSE Input'!E41&lt;&gt;"",'FSE Input'!E41,IF('FSE Input'!E45&lt;&gt;"",'FSE Input'!E45,""))</f>
        <v>generator</v>
      </c>
      <c r="E27" s="70" t="str">
        <f t="shared" si="2"/>
        <v>No</v>
      </c>
      <c r="F27" s="70">
        <f>IF('FSE Input'!E43&lt;&gt;"",'FSE Input'!E43,IF('FSE Input'!E47&lt;&gt;"",'FSE Input'!E47,""))</f>
        <v>800</v>
      </c>
      <c r="G27" s="70" t="e">
        <f>IF(E27="Yes", F27, IF(OR($D$23="Premium", $D$23="Gold", ISNUMBER(SEARCH("COMPLET",$D$23))), F27, ""))</f>
        <v>#REF!</v>
      </c>
      <c r="H27" s="70" t="e">
        <f>IF(E27="Yes", F27, IF(OR($D$23="VALUE", $D$23="Silver", ISNUMBER(SEARCH("INTERMED",$D$23))), F27*0.8, ""))</f>
        <v>#REF!</v>
      </c>
      <c r="I27" s="70" t="e">
        <f>IF(E27="Yes", F27, IF(OR($D$16="PMI", $D$16="Bronze", ISNUMBER(SEARCH("BASIC",$D$16))), F27*0.9, ""))</f>
        <v>#REF!</v>
      </c>
      <c r="J27" s="71" t="e">
        <f>IF(E27="Yes",
    F27,
    IF(OR($D$23="Premium", $D$23="Gold", ISNUMBER(SEARCH("COMPLET",$D$23))),
        F27,
        IF(OR($D$23="VALUE", $D$23="Silver", ISNUMBER(SEARCH("INTERMED",$D$23))),
            F27*0.8,
            IF(OR($D$23="PMI", $D$23="Bronze", ISNUMBER(SEARCH("BASIC",$D$23))),
                F27*0.9,
                ""
            )
        )
    )
)</f>
        <v>#REF!</v>
      </c>
    </row>
    <row r="34" spans="4:6">
      <c r="D34" t="s">
        <v>27</v>
      </c>
      <c r="F34" t="s">
        <v>28</v>
      </c>
    </row>
    <row r="35" spans="4:6">
      <c r="D35" t="s">
        <v>29</v>
      </c>
    </row>
    <row r="36" spans="4:6">
      <c r="D36" t="s">
        <v>30</v>
      </c>
    </row>
    <row r="37" spans="4:6">
      <c r="D37" t="s">
        <v>31</v>
      </c>
    </row>
  </sheetData>
  <mergeCells count="2">
    <mergeCell ref="C15:J15"/>
    <mergeCell ref="C22:J22"/>
  </mergeCells>
  <phoneticPr fontId="27"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EEDB9B-EDD2-41FE-B852-4FED4FF0FC6A}">
  <sheetPr codeName="Sheet2"/>
  <dimension ref="A1:E47"/>
  <sheetViews>
    <sheetView topLeftCell="A16" workbookViewId="0">
      <selection activeCell="B20" sqref="B20"/>
    </sheetView>
  </sheetViews>
  <sheetFormatPr defaultColWidth="8.8984375" defaultRowHeight="13.8"/>
  <cols>
    <col min="1" max="1" width="28.69921875" customWidth="1"/>
    <col min="2" max="2" width="24.296875" customWidth="1"/>
    <col min="3" max="3" width="19.8984375" customWidth="1"/>
    <col min="4" max="4" width="32.296875" customWidth="1"/>
    <col min="5" max="5" width="24.296875" customWidth="1"/>
    <col min="6" max="6" width="22" customWidth="1"/>
    <col min="7" max="7" width="20.8984375" customWidth="1"/>
    <col min="8" max="8" width="15.8984375" customWidth="1"/>
  </cols>
  <sheetData>
    <row r="1" spans="1:5" ht="18.600000000000001" thickBot="1">
      <c r="A1" s="61" t="s">
        <v>32</v>
      </c>
      <c r="B1" s="59"/>
    </row>
    <row r="2" spans="1:5" ht="16.2" thickBot="1">
      <c r="A2" s="62" t="s">
        <v>2</v>
      </c>
      <c r="B2" s="60"/>
    </row>
    <row r="3" spans="1:5">
      <c r="A3" s="58"/>
      <c r="B3" s="57"/>
    </row>
    <row r="4" spans="1:5">
      <c r="B4" s="57"/>
    </row>
    <row r="5" spans="1:5">
      <c r="B5" s="57"/>
    </row>
    <row r="6" spans="1:5" ht="18">
      <c r="A6" s="88" t="s">
        <v>33</v>
      </c>
      <c r="B6" s="88"/>
      <c r="D6" s="87" t="s">
        <v>34</v>
      </c>
      <c r="E6" s="87"/>
    </row>
    <row r="7" spans="1:5" ht="18">
      <c r="A7" s="97" t="s">
        <v>35</v>
      </c>
      <c r="B7" s="97"/>
      <c r="D7" s="94" t="s">
        <v>36</v>
      </c>
      <c r="E7" s="94"/>
    </row>
    <row r="8" spans="1:5" ht="33" customHeight="1">
      <c r="A8" s="51" t="s">
        <v>37</v>
      </c>
      <c r="B8" s="52" t="s">
        <v>14597</v>
      </c>
      <c r="D8" s="55" t="s">
        <v>37</v>
      </c>
      <c r="E8" s="52" t="s">
        <v>38</v>
      </c>
    </row>
    <row r="9" spans="1:5" ht="30" customHeight="1">
      <c r="A9" s="50" t="s">
        <v>39</v>
      </c>
      <c r="B9" s="53" t="s">
        <v>104</v>
      </c>
      <c r="D9" s="54" t="s">
        <v>39</v>
      </c>
      <c r="E9" s="53" t="s">
        <v>41</v>
      </c>
    </row>
    <row r="10" spans="1:5" ht="34.950000000000003" customHeight="1">
      <c r="A10" s="51" t="s">
        <v>42</v>
      </c>
      <c r="B10" s="52" t="e">
        <f>VLOOKUP(B9,#REF!,2,FALSE)</f>
        <v>#REF!</v>
      </c>
      <c r="D10" s="55" t="s">
        <v>42</v>
      </c>
      <c r="E10" s="52" t="e">
        <f>VLOOKUP(E9,#REF!,2,FALSE)</f>
        <v>#REF!</v>
      </c>
    </row>
    <row r="11" spans="1:5" ht="24.6" customHeight="1">
      <c r="A11" s="51" t="s">
        <v>43</v>
      </c>
      <c r="B11" s="52" t="e">
        <f>VLOOKUP(B10,#REF!,2,FALSE)</f>
        <v>#REF!</v>
      </c>
      <c r="D11" s="55" t="s">
        <v>43</v>
      </c>
      <c r="E11" s="52" t="e">
        <f>VLOOKUP(E10,#REF!,2,FALSE)</f>
        <v>#REF!</v>
      </c>
    </row>
    <row r="12" spans="1:5" ht="62.4">
      <c r="A12" s="50" t="s">
        <v>44</v>
      </c>
      <c r="B12" s="52" t="e">
        <f>VLOOKUP(B9,#REF!,19,FALSE)</f>
        <v>#REF!</v>
      </c>
      <c r="D12" s="54" t="s">
        <v>44</v>
      </c>
      <c r="E12" s="52" t="e">
        <f>VLOOKUP(E9,#REF!,19,FALSE)</f>
        <v>#REF!</v>
      </c>
    </row>
    <row r="13" spans="1:5" ht="30" customHeight="1">
      <c r="A13" s="50" t="s">
        <v>45</v>
      </c>
      <c r="B13" s="52" t="e">
        <f>VLOOKUP(B9,#REF!,9,FALSE)</f>
        <v>#REF!</v>
      </c>
      <c r="D13" s="54" t="s">
        <v>45</v>
      </c>
      <c r="E13" s="53" t="e">
        <f>VLOOKUP(E9,#REF!,9,FALSE)</f>
        <v>#REF!</v>
      </c>
    </row>
    <row r="14" spans="1:5" ht="30" customHeight="1"/>
    <row r="15" spans="1:5" ht="18">
      <c r="A15" s="95" t="s">
        <v>46</v>
      </c>
      <c r="B15" s="95"/>
      <c r="D15" s="94" t="s">
        <v>47</v>
      </c>
      <c r="E15" s="94"/>
    </row>
    <row r="16" spans="1:5" ht="15.6">
      <c r="A16" s="89" t="s">
        <v>48</v>
      </c>
      <c r="B16" s="90"/>
      <c r="D16" s="91" t="s">
        <v>48</v>
      </c>
      <c r="E16" s="92"/>
    </row>
    <row r="17" spans="1:5" ht="31.2" customHeight="1">
      <c r="A17" s="55" t="s">
        <v>49</v>
      </c>
      <c r="B17" s="64" t="s">
        <v>51</v>
      </c>
      <c r="D17" s="55" t="s">
        <v>49</v>
      </c>
      <c r="E17" s="52" t="s">
        <v>51</v>
      </c>
    </row>
    <row r="18" spans="1:5" ht="15.6">
      <c r="A18" s="55" t="s">
        <v>52</v>
      </c>
      <c r="B18" s="53">
        <f>IF(B17="","",VLOOKUP(B17,'Pricing Data'!A$2:H5436,7,FALSE))</f>
        <v>60020</v>
      </c>
      <c r="D18" s="55" t="s">
        <v>52</v>
      </c>
      <c r="E18" s="53">
        <f>IF(E17="","",VLOOKUP(E17,'Pricing Data'!A$2:H5436,7,FALSE))</f>
        <v>60020</v>
      </c>
    </row>
    <row r="19" spans="1:5" ht="15.6">
      <c r="A19" s="55" t="s">
        <v>53</v>
      </c>
      <c r="B19" s="53">
        <f>IF(B17="","",VLOOKUP(B17,'Pricing Data'!A$2:H5436,4,FALSE))</f>
        <v>7571</v>
      </c>
      <c r="D19" s="55" t="s">
        <v>53</v>
      </c>
      <c r="E19" s="53">
        <f>IF(E17="","",VLOOKUP(E17,'Pricing Data'!A$2:H5436,4,FALSE))</f>
        <v>7571</v>
      </c>
    </row>
    <row r="20" spans="1:5" ht="15.6">
      <c r="A20" s="54" t="s">
        <v>54</v>
      </c>
      <c r="B20" s="63">
        <v>1</v>
      </c>
      <c r="D20" s="54" t="s">
        <v>54</v>
      </c>
      <c r="E20" s="56">
        <v>1</v>
      </c>
    </row>
    <row r="21" spans="1:5" ht="31.2">
      <c r="A21" s="55" t="s">
        <v>55</v>
      </c>
      <c r="B21" s="53"/>
      <c r="D21" s="55" t="s">
        <v>55</v>
      </c>
      <c r="E21" s="53"/>
    </row>
    <row r="22" spans="1:5" ht="31.2">
      <c r="A22" s="55" t="s">
        <v>56</v>
      </c>
      <c r="B22" s="53"/>
      <c r="D22" s="55" t="s">
        <v>56</v>
      </c>
      <c r="E22" s="53"/>
    </row>
    <row r="23" spans="1:5" ht="31.2">
      <c r="A23" s="55" t="s">
        <v>57</v>
      </c>
      <c r="B23" s="53"/>
      <c r="D23" s="55" t="s">
        <v>57</v>
      </c>
      <c r="E23" s="53"/>
    </row>
    <row r="24" spans="1:5" ht="15.6">
      <c r="A24" s="96" t="s">
        <v>58</v>
      </c>
      <c r="B24" s="90"/>
      <c r="D24" s="93" t="s">
        <v>58</v>
      </c>
      <c r="E24" s="92"/>
    </row>
    <row r="25" spans="1:5" ht="31.2" customHeight="1">
      <c r="A25" s="55" t="s">
        <v>49</v>
      </c>
      <c r="B25" s="52"/>
      <c r="D25" s="55" t="s">
        <v>49</v>
      </c>
      <c r="E25" s="52" t="s">
        <v>59</v>
      </c>
    </row>
    <row r="26" spans="1:5" ht="15.6">
      <c r="A26" s="55" t="s">
        <v>52</v>
      </c>
      <c r="B26" s="53" t="str">
        <f>IF(B25="","",VLOOKUP(B25,'Pricing Data'!A$2:H5436,7,FALSE))</f>
        <v/>
      </c>
      <c r="D26" s="55" t="s">
        <v>52</v>
      </c>
      <c r="E26" s="53" t="str">
        <f>IF(E25="","",VLOOKUP(E25,'Pricing Data'!A$2:H5444,7,FALSE))</f>
        <v>N0-00011</v>
      </c>
    </row>
    <row r="27" spans="1:5" ht="15.6" customHeight="1">
      <c r="A27" s="55" t="s">
        <v>53</v>
      </c>
      <c r="B27" s="53" t="str">
        <f>IF(B25="","",VLOOKUP(B25,'Pricing Data'!A$2:H5436,4,FALSE))</f>
        <v/>
      </c>
      <c r="D27" s="55" t="s">
        <v>53</v>
      </c>
      <c r="E27" s="53">
        <f>IF(E25="","",VLOOKUP(E25,'Pricing Data'!A$2:H5444,4,FALSE))</f>
        <v>268.70999999999998</v>
      </c>
    </row>
    <row r="28" spans="1:5" ht="15.6">
      <c r="A28" s="54" t="s">
        <v>54</v>
      </c>
      <c r="B28" s="56"/>
      <c r="D28" s="54" t="s">
        <v>54</v>
      </c>
      <c r="E28" s="56">
        <v>1</v>
      </c>
    </row>
    <row r="29" spans="1:5" ht="31.2">
      <c r="A29" s="55" t="s">
        <v>55</v>
      </c>
      <c r="B29" s="53"/>
      <c r="D29" s="55" t="s">
        <v>55</v>
      </c>
      <c r="E29" s="53"/>
    </row>
    <row r="30" spans="1:5" ht="31.2">
      <c r="A30" s="55" t="s">
        <v>56</v>
      </c>
      <c r="B30" s="53"/>
      <c r="D30" s="55" t="s">
        <v>56</v>
      </c>
      <c r="E30" s="53"/>
    </row>
    <row r="31" spans="1:5" ht="31.2">
      <c r="A31" s="55" t="s">
        <v>57</v>
      </c>
      <c r="B31" s="53"/>
      <c r="D31" s="55" t="s">
        <v>57</v>
      </c>
      <c r="E31" s="53"/>
    </row>
    <row r="32" spans="1:5" ht="15.6">
      <c r="A32" s="89" t="s">
        <v>60</v>
      </c>
      <c r="B32" s="90"/>
      <c r="D32" s="91" t="s">
        <v>60</v>
      </c>
      <c r="E32" s="92"/>
    </row>
    <row r="33" spans="1:5" ht="31.2" customHeight="1">
      <c r="A33" s="55" t="s">
        <v>49</v>
      </c>
      <c r="B33" s="52"/>
      <c r="D33" s="55" t="s">
        <v>49</v>
      </c>
      <c r="E33" s="52" t="s">
        <v>61</v>
      </c>
    </row>
    <row r="34" spans="1:5" ht="15.6">
      <c r="A34" s="55" t="s">
        <v>52</v>
      </c>
      <c r="B34" s="53" t="str">
        <f>IF(B33="","",VLOOKUP(B33,'Pricing Data'!A$2:H5436,7,FALSE))</f>
        <v/>
      </c>
      <c r="D34" s="55" t="s">
        <v>52</v>
      </c>
      <c r="E34" s="53" t="str">
        <f>IF(E33="","",VLOOKUP(E33,'Pricing Data'!A$2:H5452,7,FALSE))</f>
        <v>N0-00002</v>
      </c>
    </row>
    <row r="35" spans="1:5" ht="15.6" customHeight="1">
      <c r="A35" s="55" t="s">
        <v>53</v>
      </c>
      <c r="B35" s="53" t="str">
        <f>IF(B33="","",VLOOKUP(B33,'Pricing Data'!A$2:H5436,4,FALSE))</f>
        <v/>
      </c>
      <c r="D35" s="55" t="s">
        <v>53</v>
      </c>
      <c r="E35" s="53">
        <f>IF(E33="","",VLOOKUP(E33,'Pricing Data'!A$2:H5452,4,FALSE))</f>
        <v>7.76</v>
      </c>
    </row>
    <row r="36" spans="1:5" ht="15.6">
      <c r="A36" s="54" t="s">
        <v>54</v>
      </c>
      <c r="B36" s="56"/>
      <c r="D36" s="54" t="s">
        <v>54</v>
      </c>
      <c r="E36" s="56">
        <v>1</v>
      </c>
    </row>
    <row r="37" spans="1:5" ht="31.2">
      <c r="A37" s="55" t="s">
        <v>55</v>
      </c>
      <c r="B37" s="53"/>
      <c r="D37" s="55" t="s">
        <v>55</v>
      </c>
      <c r="E37" s="53"/>
    </row>
    <row r="38" spans="1:5" ht="31.2">
      <c r="A38" s="55" t="s">
        <v>56</v>
      </c>
      <c r="B38" s="53"/>
      <c r="D38" s="55" t="s">
        <v>56</v>
      </c>
      <c r="E38" s="53"/>
    </row>
    <row r="39" spans="1:5" ht="31.2">
      <c r="A39" s="55" t="s">
        <v>57</v>
      </c>
      <c r="B39" s="53"/>
      <c r="D39" s="55" t="s">
        <v>57</v>
      </c>
      <c r="E39" s="53"/>
    </row>
    <row r="40" spans="1:5" ht="15.6">
      <c r="A40" s="89" t="s">
        <v>62</v>
      </c>
      <c r="B40" s="90"/>
      <c r="D40" s="91" t="s">
        <v>62</v>
      </c>
      <c r="E40" s="92"/>
    </row>
    <row r="41" spans="1:5" ht="31.2" customHeight="1">
      <c r="A41" s="55" t="s">
        <v>49</v>
      </c>
      <c r="B41" s="52"/>
      <c r="D41" s="55" t="s">
        <v>49</v>
      </c>
      <c r="E41" s="52"/>
    </row>
    <row r="42" spans="1:5" ht="15.6">
      <c r="A42" s="55" t="s">
        <v>52</v>
      </c>
      <c r="B42" s="53" t="str">
        <f>IF(B41="","",VLOOKUP(B41,'Pricing Data'!A$2:H5436,7,FALSE))</f>
        <v/>
      </c>
      <c r="D42" s="55" t="s">
        <v>52</v>
      </c>
      <c r="E42" s="53" t="str">
        <f>IF(E41="","",VLOOKUP(E41,'Pricing Data'!A$2:H5460,7,FALSE))</f>
        <v/>
      </c>
    </row>
    <row r="43" spans="1:5" ht="15.6">
      <c r="A43" s="55" t="s">
        <v>53</v>
      </c>
      <c r="B43" s="53" t="str">
        <f>IF(B41="","",VLOOKUP(B41,'Pricing Data'!A$2:H5436,4,FALSE))</f>
        <v/>
      </c>
      <c r="D43" s="55" t="s">
        <v>53</v>
      </c>
      <c r="E43" s="53" t="str">
        <f>IF(E41="","",VLOOKUP(E41,'Pricing Data'!A$2:H5460,4,FALSE))</f>
        <v/>
      </c>
    </row>
    <row r="44" spans="1:5" ht="15.6">
      <c r="A44" s="54" t="s">
        <v>54</v>
      </c>
      <c r="B44" s="56"/>
      <c r="D44" s="54" t="s">
        <v>54</v>
      </c>
      <c r="E44" s="56">
        <v>1</v>
      </c>
    </row>
    <row r="45" spans="1:5" ht="31.2">
      <c r="A45" s="55" t="s">
        <v>55</v>
      </c>
      <c r="B45" s="53"/>
      <c r="D45" s="55" t="s">
        <v>55</v>
      </c>
      <c r="E45" s="53" t="s">
        <v>63</v>
      </c>
    </row>
    <row r="46" spans="1:5" ht="31.2">
      <c r="A46" s="55" t="s">
        <v>56</v>
      </c>
      <c r="B46" s="53"/>
      <c r="D46" s="55" t="s">
        <v>56</v>
      </c>
      <c r="E46" s="53" t="s">
        <v>64</v>
      </c>
    </row>
    <row r="47" spans="1:5" ht="31.2">
      <c r="A47" s="55" t="s">
        <v>57</v>
      </c>
      <c r="B47" s="53"/>
      <c r="D47" s="55" t="s">
        <v>57</v>
      </c>
      <c r="E47" s="53">
        <v>800</v>
      </c>
    </row>
  </sheetData>
  <mergeCells count="14">
    <mergeCell ref="D6:E6"/>
    <mergeCell ref="A6:B6"/>
    <mergeCell ref="A40:B40"/>
    <mergeCell ref="D16:E16"/>
    <mergeCell ref="D24:E24"/>
    <mergeCell ref="D32:E32"/>
    <mergeCell ref="D40:E40"/>
    <mergeCell ref="D15:E15"/>
    <mergeCell ref="D7:E7"/>
    <mergeCell ref="A15:B15"/>
    <mergeCell ref="A16:B16"/>
    <mergeCell ref="A24:B24"/>
    <mergeCell ref="A32:B32"/>
    <mergeCell ref="A7:B7"/>
  </mergeCells>
  <conditionalFormatting sqref="A6:B47">
    <cfRule type="expression" dxfId="2" priority="1">
      <formula>OR($A$2="Parts ONLY",$A$2="")</formula>
    </cfRule>
  </conditionalFormatting>
  <conditionalFormatting sqref="D6:E47">
    <cfRule type="expression" dxfId="1" priority="2">
      <formula>OR($A$2="Service and Parts",$A$2="Move",$A$2="")</formula>
    </cfRule>
  </conditionalFormatting>
  <conditionalFormatting sqref="D7:E47">
    <cfRule type="expression" dxfId="0" priority="4">
      <formula>OR($A$2="Service and Parts",$A$2="Move")</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xr:uid="{E1DAC205-C233-492A-85F7-742F4DB2BAAA}">
          <x14:formula1>
            <xm:f>Admin!$A$8:$A$10</xm:f>
          </x14:formula1>
          <xm:sqref>A2</xm:sqref>
        </x14:dataValidation>
        <x14:dataValidation type="list" allowBlank="1" showInputMessage="1" showErrorMessage="1" xr:uid="{197512A2-0442-45C3-88A0-98BC48E316F0}">
          <x14:formula1>
            <xm:f>'Pricing Data'!$A$2:$A$5436</xm:f>
          </x14:formula1>
          <xm:sqref>B33 B17 B25 E41 E33 E17 E25 B41</xm:sqref>
        </x14:dataValidation>
        <x14:dataValidation type="list" allowBlank="1" showInputMessage="1" showErrorMessage="1" xr:uid="{22FA69B8-2853-41CB-B1BC-B4C129CBBECE}">
          <x14:formula1>
            <xm:f>#REF!</xm:f>
          </x14:formula1>
          <xm:sqref>B9 E9</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8CB6DF-A948-48A3-B483-BD156F4D9EBA}">
  <sheetPr codeName="Sheet3">
    <tabColor rgb="FF47854D"/>
  </sheetPr>
  <dimension ref="A1:M260"/>
  <sheetViews>
    <sheetView showGridLines="0" view="pageLayout" topLeftCell="A47" zoomScale="93" zoomScaleNormal="66" zoomScalePageLayoutView="93" workbookViewId="0">
      <selection activeCell="G49" sqref="G49:I49"/>
    </sheetView>
  </sheetViews>
  <sheetFormatPr defaultRowHeight="13.8"/>
  <cols>
    <col min="1" max="1" width="10.3984375" customWidth="1"/>
    <col min="2" max="2" width="5.59765625" customWidth="1"/>
    <col min="3" max="3" width="5.296875" customWidth="1"/>
    <col min="4" max="4" width="26.09765625" customWidth="1"/>
    <col min="5" max="5" width="12.69921875" customWidth="1"/>
    <col min="6" max="6" width="5.296875" customWidth="1"/>
    <col min="7" max="7" width="10.69921875" customWidth="1"/>
    <col min="8" max="8" width="11.8984375" customWidth="1"/>
    <col min="9" max="9" width="12.09765625" customWidth="1"/>
  </cols>
  <sheetData>
    <row r="1" spans="1:11" ht="31.2" customHeight="1">
      <c r="B1" s="4"/>
      <c r="C1" s="8"/>
      <c r="D1" s="8"/>
      <c r="E1" s="8"/>
      <c r="F1" s="8"/>
      <c r="G1" s="8"/>
      <c r="H1" s="4"/>
      <c r="I1" s="4"/>
      <c r="J1" s="4"/>
    </row>
    <row r="2" spans="1:11" ht="18" customHeight="1">
      <c r="B2" s="4"/>
      <c r="C2" s="8" t="str">
        <f>'FSE Input'!B8</f>
        <v>Alyssa Sanfillipo</v>
      </c>
      <c r="D2" s="8"/>
      <c r="E2" s="8"/>
      <c r="F2" s="79" t="e">
        <f>"QUOTE#: "&amp;'FSE Input'!$B$11&amp;" "&amp;'FSE Input'!$B$9</f>
        <v>#REF!</v>
      </c>
      <c r="G2" s="79"/>
      <c r="H2" s="79"/>
      <c r="I2" s="79"/>
      <c r="K2" s="4"/>
    </row>
    <row r="3" spans="1:11" ht="18">
      <c r="A3" s="2"/>
      <c r="B3" s="5"/>
      <c r="C3" s="9" t="e">
        <f>'FSE Input'!B10</f>
        <v>#REF!</v>
      </c>
      <c r="D3" s="9"/>
      <c r="E3" s="9"/>
      <c r="F3" s="9"/>
      <c r="G3" s="9"/>
      <c r="H3" s="5"/>
      <c r="I3" s="5"/>
      <c r="J3" s="5"/>
      <c r="K3" s="2"/>
    </row>
    <row r="4" spans="1:11" ht="18" customHeight="1">
      <c r="A4" s="2"/>
      <c r="B4" s="4"/>
      <c r="C4" s="80" t="e">
        <f>'FSE Input'!B12</f>
        <v>#REF!</v>
      </c>
      <c r="D4" s="80"/>
      <c r="E4" s="80"/>
      <c r="F4" s="80"/>
      <c r="G4" s="8"/>
      <c r="H4" s="4"/>
      <c r="I4" s="4"/>
      <c r="J4" s="5"/>
      <c r="K4" s="2"/>
    </row>
    <row r="5" spans="1:11" ht="15.6">
      <c r="A5" s="2"/>
      <c r="B5" s="5"/>
      <c r="C5" s="80"/>
      <c r="D5" s="80"/>
      <c r="E5" s="80"/>
      <c r="F5" s="80"/>
      <c r="G5" s="4"/>
      <c r="H5" s="4"/>
      <c r="I5" s="4"/>
      <c r="J5" s="5"/>
      <c r="K5" s="2"/>
    </row>
    <row r="6" spans="1:11" ht="15.6">
      <c r="A6" s="2"/>
      <c r="B6" s="5"/>
      <c r="C6" s="4"/>
      <c r="D6" s="4"/>
      <c r="E6" s="4"/>
      <c r="F6" s="4"/>
      <c r="G6" s="4"/>
      <c r="H6" s="4"/>
      <c r="I6" s="4"/>
      <c r="J6" s="5"/>
      <c r="K6" s="2"/>
    </row>
    <row r="7" spans="1:11" ht="46.8">
      <c r="A7" s="2"/>
      <c r="B7" s="5"/>
      <c r="C7" s="6" t="s">
        <v>65</v>
      </c>
      <c r="D7" s="6" t="s">
        <v>66</v>
      </c>
      <c r="E7" s="7" t="s">
        <v>67</v>
      </c>
      <c r="F7" s="6" t="s">
        <v>68</v>
      </c>
      <c r="G7" s="7" t="s">
        <v>69</v>
      </c>
      <c r="H7" s="7" t="s">
        <v>70</v>
      </c>
      <c r="I7" s="6" t="s">
        <v>71</v>
      </c>
      <c r="J7" s="5"/>
      <c r="K7" s="2"/>
    </row>
    <row r="8" spans="1:11" ht="15.6">
      <c r="A8" s="2"/>
      <c r="B8" s="5"/>
      <c r="C8" s="43" t="str">
        <f>IF(D8="", "", "1")</f>
        <v>1</v>
      </c>
      <c r="D8" s="43" t="str">
        <f>IF('FSE Input'!B17&lt;&gt;"", 'FSE Input'!B17, IF('FSE Input'!B21&lt;&gt;"", 'FSE Input'!B21, ""))</f>
        <v>On-Site Support (2 days)</v>
      </c>
      <c r="E8" s="43">
        <f>IF('FSE Input'!B18&lt;&gt;"", 'FSE Input'!B18, IF('FSE Input'!B22&lt;&gt;"", 'FSE Input'!B22, ""))</f>
        <v>60020</v>
      </c>
      <c r="F8" s="40">
        <f>IF(ISBLANK('FSE Input'!B20),"",'FSE Input'!B20)</f>
        <v>1</v>
      </c>
      <c r="G8" s="65">
        <f>IF('FSE Input'!B19&lt;&gt;"", 'FSE Input'!B19, IF('FSE Input'!B23&lt;&gt;"", 'FSE Input'!B23, ""))</f>
        <v>7571</v>
      </c>
      <c r="H8" s="45">
        <f>IF(Admin!D17&lt;&gt;"",Admin!J17,"")</f>
        <v>7571</v>
      </c>
      <c r="I8" s="45">
        <f>IF(G8="","",H8*F8)</f>
        <v>7571</v>
      </c>
      <c r="J8" s="5"/>
      <c r="K8" s="2"/>
    </row>
    <row r="9" spans="1:11" ht="15.6">
      <c r="A9" s="2"/>
      <c r="C9" s="43" t="str">
        <f>IF(D9="", "", "2")</f>
        <v/>
      </c>
      <c r="D9" s="43" t="str">
        <f>IF('FSE Input'!B25&lt;&gt;"", 'FSE Input'!B25, IF('FSE Input'!B29&lt;&gt;"", 'FSE Input'!B29, ""))</f>
        <v/>
      </c>
      <c r="E9" s="43" t="str">
        <f>IF('FSE Input'!B26&lt;&gt;"", 'FSE Input'!B26, IF('FSE Input'!B30&lt;&gt;"", 'FSE Input'!B30, ""))</f>
        <v/>
      </c>
      <c r="F9" s="40" t="str">
        <f>IF(ISBLANK('FSE Input'!B28),"",'FSE Input'!B28)</f>
        <v/>
      </c>
      <c r="G9" s="65" t="str">
        <f>IF('FSE Input'!B27&lt;&gt;"", 'FSE Input'!B27, IF('FSE Input'!B31&lt;&gt;"", 'FSE Input'!B31, ""))</f>
        <v/>
      </c>
      <c r="H9" s="45" t="str">
        <f>IF(Admin!D18&lt;&gt;"",Admin!J18,"")</f>
        <v/>
      </c>
      <c r="I9" s="45" t="str">
        <f t="shared" ref="I9:I11" si="0">IF(G9="","",H9*F9)</f>
        <v/>
      </c>
      <c r="J9" s="5"/>
      <c r="K9" s="2"/>
    </row>
    <row r="10" spans="1:11" ht="15.6">
      <c r="A10" s="2"/>
      <c r="B10" s="5"/>
      <c r="C10" s="43" t="str">
        <f>IF(D10="", "", "3")</f>
        <v/>
      </c>
      <c r="D10" s="43" t="str">
        <f>IF('FSE Input'!B33&lt;&gt;"", 'FSE Input'!B33, IF('FSE Input'!B37&lt;&gt;"", 'FSE Input'!B37, ""))</f>
        <v/>
      </c>
      <c r="E10" s="43" t="str">
        <f>IF('FSE Input'!B34&lt;&gt;"", 'FSE Input'!B34, IF('FSE Input'!B38&lt;&gt;"", 'FSE Input'!B38, ""))</f>
        <v/>
      </c>
      <c r="F10" s="40" t="str">
        <f>IF(ISBLANK('FSE Input'!B36),"",'FSE Input'!B36)</f>
        <v/>
      </c>
      <c r="G10" s="65" t="str">
        <f>IF('FSE Input'!B35&lt;&gt;"", 'FSE Input'!B35, IF('FSE Input'!B39&lt;&gt;"", 'FSE Input'!B39, ""))</f>
        <v/>
      </c>
      <c r="H10" s="45" t="str">
        <f>IF(Admin!D19&lt;&gt;"",Admin!J19,"")</f>
        <v/>
      </c>
      <c r="I10" s="45" t="str">
        <f t="shared" si="0"/>
        <v/>
      </c>
      <c r="J10" s="5"/>
      <c r="K10" s="2"/>
    </row>
    <row r="11" spans="1:11" ht="15.6">
      <c r="A11" s="2"/>
      <c r="B11" s="5"/>
      <c r="C11" s="43" t="str">
        <f>IF(D11="", "", "4")</f>
        <v/>
      </c>
      <c r="D11" s="43" t="str">
        <f>IF('FSE Input'!B41&lt;&gt;"", 'FSE Input'!B41, IF('FSE Input'!B45&lt;&gt;"", 'FSE Input'!B45, ""))</f>
        <v/>
      </c>
      <c r="E11" s="43" t="str">
        <f>IF('FSE Input'!B42&lt;&gt;"", 'FSE Input'!B42, IF('FSE Input'!B46&lt;&gt;"", 'FSE Input'!B46, ""))</f>
        <v/>
      </c>
      <c r="F11" s="40" t="str">
        <f>IF(ISBLANK('FSE Input'!B44),"",'FSE Input'!B44)</f>
        <v/>
      </c>
      <c r="G11" s="65" t="str">
        <f>IF('FSE Input'!B43&lt;&gt;"", 'FSE Input'!B43, IF('FSE Input'!B47&lt;&gt;"", 'FSE Input'!B47, ""))</f>
        <v/>
      </c>
      <c r="H11" s="45" t="str">
        <f>IF(Admin!D20&lt;&gt;"",Admin!J20,"")</f>
        <v/>
      </c>
      <c r="I11" s="45" t="str">
        <f t="shared" si="0"/>
        <v/>
      </c>
      <c r="J11" s="5"/>
      <c r="K11" s="2"/>
    </row>
    <row r="12" spans="1:11" ht="15.6">
      <c r="A12" s="2"/>
      <c r="B12" s="5"/>
      <c r="C12" s="5"/>
      <c r="D12" s="5"/>
      <c r="E12" s="5"/>
      <c r="F12" s="5"/>
      <c r="G12" s="5"/>
      <c r="H12" s="5"/>
      <c r="I12" s="5"/>
      <c r="J12" s="5"/>
      <c r="K12" s="2"/>
    </row>
    <row r="13" spans="1:11" ht="15.6">
      <c r="A13" s="2"/>
      <c r="B13" s="5"/>
      <c r="C13" s="81" t="s">
        <v>72</v>
      </c>
      <c r="D13" s="82"/>
      <c r="E13" s="82"/>
      <c r="F13" s="82"/>
      <c r="G13" s="82"/>
      <c r="H13" s="83"/>
      <c r="I13" s="11"/>
      <c r="J13" s="5"/>
      <c r="K13" s="2"/>
    </row>
    <row r="14" spans="1:11" ht="15.6">
      <c r="A14" s="2"/>
      <c r="B14" s="5"/>
      <c r="C14" s="81" t="s">
        <v>73</v>
      </c>
      <c r="D14" s="82"/>
      <c r="E14" s="82"/>
      <c r="F14" s="82"/>
      <c r="G14" s="82"/>
      <c r="H14" s="83"/>
      <c r="I14" s="11">
        <f>SUM(I15,I8:I11)</f>
        <v>7571</v>
      </c>
      <c r="J14" s="5"/>
      <c r="K14" s="2"/>
    </row>
    <row r="15" spans="1:11">
      <c r="J15" s="2"/>
      <c r="K15" s="2"/>
    </row>
    <row r="16" spans="1:11">
      <c r="D16" t="s">
        <v>14598</v>
      </c>
    </row>
    <row r="47" ht="33.6" customHeight="1"/>
    <row r="49" spans="1:13" ht="15.6">
      <c r="G49" s="75"/>
      <c r="H49" s="75"/>
      <c r="I49" s="75"/>
    </row>
    <row r="52" spans="1:13" ht="15.6">
      <c r="J52" s="76"/>
      <c r="K52" s="76"/>
      <c r="L52" s="76"/>
      <c r="M52" s="76"/>
    </row>
    <row r="54" spans="1:13" ht="14.4" customHeight="1">
      <c r="A54" s="3"/>
    </row>
    <row r="101" spans="1:13" ht="15.6">
      <c r="G101" s="75" t="e">
        <f>"QUOTE#: "&amp;'FSE Input Old'!$D$3&amp;" "&amp;'FSE Input Old'!$B$3</f>
        <v>#REF!</v>
      </c>
      <c r="H101" s="75"/>
      <c r="I101" s="75"/>
    </row>
    <row r="105" spans="1:13" ht="15.6">
      <c r="K105" s="4"/>
      <c r="L105" s="4"/>
      <c r="M105" s="4"/>
    </row>
    <row r="106" spans="1:13">
      <c r="A106" s="3"/>
    </row>
    <row r="153" spans="7:13" ht="15.6">
      <c r="G153" s="75" t="e">
        <f>"QUOTE#: "&amp;'FSE Input Old'!$D$3&amp;" "&amp;'FSE Input Old'!$B$3</f>
        <v>#REF!</v>
      </c>
      <c r="H153" s="75"/>
      <c r="I153" s="75"/>
    </row>
    <row r="156" spans="7:13" ht="15.6">
      <c r="J156" s="76"/>
      <c r="K156" s="76"/>
      <c r="L156" s="76"/>
      <c r="M156" s="76"/>
    </row>
    <row r="209" spans="1:11">
      <c r="A209" s="77"/>
      <c r="B209" s="78"/>
      <c r="C209" s="78"/>
      <c r="D209" s="78"/>
      <c r="E209" s="78"/>
      <c r="F209" s="78"/>
      <c r="G209" s="78"/>
      <c r="H209" s="78"/>
      <c r="I209" s="78"/>
      <c r="J209" s="78"/>
      <c r="K209" s="78"/>
    </row>
    <row r="210" spans="1:11">
      <c r="A210" s="78"/>
      <c r="B210" s="78"/>
      <c r="C210" s="78"/>
      <c r="D210" s="78"/>
      <c r="E210" s="78"/>
      <c r="F210" s="78"/>
      <c r="G210" s="78"/>
      <c r="H210" s="78"/>
      <c r="I210" s="78"/>
      <c r="J210" s="78"/>
      <c r="K210" s="78"/>
    </row>
    <row r="211" spans="1:11">
      <c r="A211" s="78"/>
      <c r="B211" s="78"/>
      <c r="C211" s="78"/>
      <c r="D211" s="78"/>
      <c r="E211" s="78"/>
      <c r="F211" s="78"/>
      <c r="G211" s="78"/>
      <c r="H211" s="78"/>
      <c r="I211" s="78"/>
      <c r="J211" s="78"/>
      <c r="K211" s="78"/>
    </row>
    <row r="212" spans="1:11">
      <c r="A212" s="78"/>
      <c r="B212" s="78"/>
      <c r="C212" s="78"/>
      <c r="D212" s="78"/>
      <c r="E212" s="78"/>
      <c r="F212" s="78"/>
      <c r="G212" s="78"/>
      <c r="H212" s="78"/>
      <c r="I212" s="78"/>
      <c r="J212" s="78"/>
      <c r="K212" s="78"/>
    </row>
    <row r="213" spans="1:11">
      <c r="A213" s="78"/>
      <c r="B213" s="78"/>
      <c r="C213" s="78"/>
      <c r="D213" s="78"/>
      <c r="E213" s="78"/>
      <c r="F213" s="78"/>
      <c r="G213" s="78"/>
      <c r="H213" s="78"/>
      <c r="I213" s="78"/>
      <c r="J213" s="78"/>
      <c r="K213" s="78"/>
    </row>
    <row r="214" spans="1:11">
      <c r="A214" s="78"/>
      <c r="B214" s="78"/>
      <c r="C214" s="78"/>
      <c r="D214" s="78"/>
      <c r="E214" s="78"/>
      <c r="F214" s="78"/>
      <c r="G214" s="78"/>
      <c r="H214" s="78"/>
      <c r="I214" s="78"/>
      <c r="J214" s="78"/>
      <c r="K214" s="78"/>
    </row>
    <row r="215" spans="1:11">
      <c r="A215" s="78"/>
      <c r="B215" s="78"/>
      <c r="C215" s="78"/>
      <c r="D215" s="78"/>
      <c r="E215" s="78"/>
      <c r="F215" s="78"/>
      <c r="G215" s="78"/>
      <c r="H215" s="78"/>
      <c r="I215" s="78"/>
      <c r="J215" s="78"/>
      <c r="K215" s="78"/>
    </row>
    <row r="216" spans="1:11">
      <c r="A216" s="78"/>
      <c r="B216" s="78"/>
      <c r="C216" s="78"/>
      <c r="D216" s="78"/>
      <c r="E216" s="78"/>
      <c r="F216" s="78"/>
      <c r="G216" s="78"/>
      <c r="H216" s="78"/>
      <c r="I216" s="78"/>
      <c r="J216" s="78"/>
      <c r="K216" s="78"/>
    </row>
    <row r="217" spans="1:11">
      <c r="A217" s="78"/>
      <c r="B217" s="78"/>
      <c r="C217" s="78"/>
      <c r="D217" s="78"/>
      <c r="E217" s="78"/>
      <c r="F217" s="78"/>
      <c r="G217" s="78"/>
      <c r="H217" s="78"/>
      <c r="I217" s="78"/>
      <c r="J217" s="78"/>
      <c r="K217" s="78"/>
    </row>
    <row r="218" spans="1:11">
      <c r="A218" s="78"/>
      <c r="B218" s="78"/>
      <c r="C218" s="78"/>
      <c r="D218" s="78"/>
      <c r="E218" s="78"/>
      <c r="F218" s="78"/>
      <c r="G218" s="78"/>
      <c r="H218" s="78"/>
      <c r="I218" s="78"/>
      <c r="J218" s="78"/>
      <c r="K218" s="78"/>
    </row>
    <row r="219" spans="1:11">
      <c r="A219" s="78"/>
      <c r="B219" s="78"/>
      <c r="C219" s="78"/>
      <c r="D219" s="78"/>
      <c r="E219" s="78"/>
      <c r="F219" s="78"/>
      <c r="G219" s="78"/>
      <c r="H219" s="78"/>
      <c r="I219" s="78"/>
      <c r="J219" s="78"/>
      <c r="K219" s="78"/>
    </row>
    <row r="220" spans="1:11">
      <c r="A220" s="78"/>
      <c r="B220" s="78"/>
      <c r="C220" s="78"/>
      <c r="D220" s="78"/>
      <c r="E220" s="78"/>
      <c r="F220" s="78"/>
      <c r="G220" s="78"/>
      <c r="H220" s="78"/>
      <c r="I220" s="78"/>
      <c r="J220" s="78"/>
      <c r="K220" s="78"/>
    </row>
    <row r="221" spans="1:11">
      <c r="A221" s="78"/>
      <c r="B221" s="78"/>
      <c r="C221" s="78"/>
      <c r="D221" s="78"/>
      <c r="E221" s="78"/>
      <c r="F221" s="78"/>
      <c r="G221" s="78"/>
      <c r="H221" s="78"/>
      <c r="I221" s="78"/>
      <c r="J221" s="78"/>
      <c r="K221" s="78"/>
    </row>
    <row r="222" spans="1:11">
      <c r="A222" s="78"/>
      <c r="B222" s="78"/>
      <c r="C222" s="78"/>
      <c r="D222" s="78"/>
      <c r="E222" s="78"/>
      <c r="F222" s="78"/>
      <c r="G222" s="78"/>
      <c r="H222" s="78"/>
      <c r="I222" s="78"/>
      <c r="J222" s="78"/>
      <c r="K222" s="78"/>
    </row>
    <row r="223" spans="1:11">
      <c r="A223" s="78"/>
      <c r="B223" s="78"/>
      <c r="C223" s="78"/>
      <c r="D223" s="78"/>
      <c r="E223" s="78"/>
      <c r="F223" s="78"/>
      <c r="G223" s="78"/>
      <c r="H223" s="78"/>
      <c r="I223" s="78"/>
      <c r="J223" s="78"/>
      <c r="K223" s="78"/>
    </row>
    <row r="224" spans="1:11">
      <c r="A224" s="78"/>
      <c r="B224" s="78"/>
      <c r="C224" s="78"/>
      <c r="D224" s="78"/>
      <c r="E224" s="78"/>
      <c r="F224" s="78"/>
      <c r="G224" s="78"/>
      <c r="H224" s="78"/>
      <c r="I224" s="78"/>
      <c r="J224" s="78"/>
      <c r="K224" s="78"/>
    </row>
    <row r="225" spans="1:11">
      <c r="A225" s="78"/>
      <c r="B225" s="78"/>
      <c r="C225" s="78"/>
      <c r="D225" s="78"/>
      <c r="E225" s="78"/>
      <c r="F225" s="78"/>
      <c r="G225" s="78"/>
      <c r="H225" s="78"/>
      <c r="I225" s="78"/>
      <c r="J225" s="78"/>
      <c r="K225" s="78"/>
    </row>
    <row r="226" spans="1:11">
      <c r="A226" s="78"/>
      <c r="B226" s="78"/>
      <c r="C226" s="78"/>
      <c r="D226" s="78"/>
      <c r="E226" s="78"/>
      <c r="F226" s="78"/>
      <c r="G226" s="78"/>
      <c r="H226" s="78"/>
      <c r="I226" s="78"/>
      <c r="J226" s="78"/>
      <c r="K226" s="78"/>
    </row>
    <row r="227" spans="1:11">
      <c r="A227" s="78"/>
      <c r="B227" s="78"/>
      <c r="C227" s="78"/>
      <c r="D227" s="78"/>
      <c r="E227" s="78"/>
      <c r="F227" s="78"/>
      <c r="G227" s="78"/>
      <c r="H227" s="78"/>
      <c r="I227" s="78"/>
      <c r="J227" s="78"/>
      <c r="K227" s="78"/>
    </row>
    <row r="228" spans="1:11">
      <c r="A228" s="78"/>
      <c r="B228" s="78"/>
      <c r="C228" s="78"/>
      <c r="D228" s="78"/>
      <c r="E228" s="78"/>
      <c r="F228" s="78"/>
      <c r="G228" s="78"/>
      <c r="H228" s="78"/>
      <c r="I228" s="78"/>
      <c r="J228" s="78"/>
      <c r="K228" s="78"/>
    </row>
    <row r="229" spans="1:11">
      <c r="A229" s="78"/>
      <c r="B229" s="78"/>
      <c r="C229" s="78"/>
      <c r="D229" s="78"/>
      <c r="E229" s="78"/>
      <c r="F229" s="78"/>
      <c r="G229" s="78"/>
      <c r="H229" s="78"/>
      <c r="I229" s="78"/>
      <c r="J229" s="78"/>
      <c r="K229" s="78"/>
    </row>
    <row r="230" spans="1:11">
      <c r="A230" s="78"/>
      <c r="B230" s="78"/>
      <c r="C230" s="78"/>
      <c r="D230" s="78"/>
      <c r="E230" s="78"/>
      <c r="F230" s="78"/>
      <c r="G230" s="78"/>
      <c r="H230" s="78"/>
      <c r="I230" s="78"/>
      <c r="J230" s="78"/>
      <c r="K230" s="78"/>
    </row>
    <row r="231" spans="1:11">
      <c r="A231" s="78"/>
      <c r="B231" s="78"/>
      <c r="C231" s="78"/>
      <c r="D231" s="78"/>
      <c r="E231" s="78"/>
      <c r="F231" s="78"/>
      <c r="G231" s="78"/>
      <c r="H231" s="78"/>
      <c r="I231" s="78"/>
      <c r="J231" s="78"/>
      <c r="K231" s="78"/>
    </row>
    <row r="232" spans="1:11">
      <c r="A232" s="78"/>
      <c r="B232" s="78"/>
      <c r="C232" s="78"/>
      <c r="D232" s="78"/>
      <c r="E232" s="78"/>
      <c r="F232" s="78"/>
      <c r="G232" s="78"/>
      <c r="H232" s="78"/>
      <c r="I232" s="78"/>
      <c r="J232" s="78"/>
      <c r="K232" s="78"/>
    </row>
    <row r="233" spans="1:11">
      <c r="A233" s="78"/>
      <c r="B233" s="78"/>
      <c r="C233" s="78"/>
      <c r="D233" s="78"/>
      <c r="E233" s="78"/>
      <c r="F233" s="78"/>
      <c r="G233" s="78"/>
      <c r="H233" s="78"/>
      <c r="I233" s="78"/>
      <c r="J233" s="78"/>
      <c r="K233" s="78"/>
    </row>
    <row r="234" spans="1:11">
      <c r="A234" s="78"/>
      <c r="B234" s="78"/>
      <c r="C234" s="78"/>
      <c r="D234" s="78"/>
      <c r="E234" s="78"/>
      <c r="F234" s="78"/>
      <c r="G234" s="78"/>
      <c r="H234" s="78"/>
      <c r="I234" s="78"/>
      <c r="J234" s="78"/>
      <c r="K234" s="78"/>
    </row>
    <row r="235" spans="1:11">
      <c r="A235" s="78"/>
      <c r="B235" s="78"/>
      <c r="C235" s="78"/>
      <c r="D235" s="78"/>
      <c r="E235" s="78"/>
      <c r="F235" s="78"/>
      <c r="G235" s="78"/>
      <c r="H235" s="78"/>
      <c r="I235" s="78"/>
      <c r="J235" s="78"/>
      <c r="K235" s="78"/>
    </row>
    <row r="236" spans="1:11">
      <c r="A236" s="78"/>
      <c r="B236" s="78"/>
      <c r="C236" s="78"/>
      <c r="D236" s="78"/>
      <c r="E236" s="78"/>
      <c r="F236" s="78"/>
      <c r="G236" s="78"/>
      <c r="H236" s="78"/>
      <c r="I236" s="78"/>
      <c r="J236" s="78"/>
      <c r="K236" s="78"/>
    </row>
    <row r="237" spans="1:11">
      <c r="A237" s="78"/>
      <c r="B237" s="78"/>
      <c r="C237" s="78"/>
      <c r="D237" s="78"/>
      <c r="E237" s="78"/>
      <c r="F237" s="78"/>
      <c r="G237" s="78"/>
      <c r="H237" s="78"/>
      <c r="I237" s="78"/>
      <c r="J237" s="78"/>
      <c r="K237" s="78"/>
    </row>
    <row r="238" spans="1:11">
      <c r="A238" s="78"/>
      <c r="B238" s="78"/>
      <c r="C238" s="78"/>
      <c r="D238" s="78"/>
      <c r="E238" s="78"/>
      <c r="F238" s="78"/>
      <c r="G238" s="78"/>
      <c r="H238" s="78"/>
      <c r="I238" s="78"/>
      <c r="J238" s="78"/>
      <c r="K238" s="78"/>
    </row>
    <row r="239" spans="1:11">
      <c r="A239" s="78"/>
      <c r="B239" s="78"/>
      <c r="C239" s="78"/>
      <c r="D239" s="78"/>
      <c r="E239" s="78"/>
      <c r="F239" s="78"/>
      <c r="G239" s="78"/>
      <c r="H239" s="78"/>
      <c r="I239" s="78"/>
      <c r="J239" s="78"/>
      <c r="K239" s="78"/>
    </row>
    <row r="240" spans="1:11">
      <c r="A240" s="78"/>
      <c r="B240" s="78"/>
      <c r="C240" s="78"/>
      <c r="D240" s="78"/>
      <c r="E240" s="78"/>
      <c r="F240" s="78"/>
      <c r="G240" s="78"/>
      <c r="H240" s="78"/>
      <c r="I240" s="78"/>
      <c r="J240" s="78"/>
      <c r="K240" s="78"/>
    </row>
    <row r="241" spans="1:11">
      <c r="A241" s="78"/>
      <c r="B241" s="78"/>
      <c r="C241" s="78"/>
      <c r="D241" s="78"/>
      <c r="E241" s="78"/>
      <c r="F241" s="78"/>
      <c r="G241" s="78"/>
      <c r="H241" s="78"/>
      <c r="I241" s="78"/>
      <c r="J241" s="78"/>
      <c r="K241" s="78"/>
    </row>
    <row r="242" spans="1:11">
      <c r="A242" s="78"/>
      <c r="B242" s="78"/>
      <c r="C242" s="78"/>
      <c r="D242" s="78"/>
      <c r="E242" s="78"/>
      <c r="F242" s="78"/>
      <c r="G242" s="78"/>
      <c r="H242" s="78"/>
      <c r="I242" s="78"/>
      <c r="J242" s="78"/>
      <c r="K242" s="78"/>
    </row>
    <row r="243" spans="1:11">
      <c r="A243" s="78"/>
      <c r="B243" s="78"/>
      <c r="C243" s="78"/>
      <c r="D243" s="78"/>
      <c r="E243" s="78"/>
      <c r="F243" s="78"/>
      <c r="G243" s="78"/>
      <c r="H243" s="78"/>
      <c r="I243" s="78"/>
      <c r="J243" s="78"/>
      <c r="K243" s="78"/>
    </row>
    <row r="244" spans="1:11">
      <c r="A244" s="78"/>
      <c r="B244" s="78"/>
      <c r="C244" s="78"/>
      <c r="D244" s="78"/>
      <c r="E244" s="78"/>
      <c r="F244" s="78"/>
      <c r="G244" s="78"/>
      <c r="H244" s="78"/>
      <c r="I244" s="78"/>
      <c r="J244" s="78"/>
      <c r="K244" s="78"/>
    </row>
    <row r="245" spans="1:11">
      <c r="A245" s="78"/>
      <c r="B245" s="78"/>
      <c r="C245" s="78"/>
      <c r="D245" s="78"/>
      <c r="E245" s="78"/>
      <c r="F245" s="78"/>
      <c r="G245" s="78"/>
      <c r="H245" s="78"/>
      <c r="I245" s="78"/>
      <c r="J245" s="78"/>
      <c r="K245" s="78"/>
    </row>
    <row r="246" spans="1:11">
      <c r="A246" s="78"/>
      <c r="B246" s="78"/>
      <c r="C246" s="78"/>
      <c r="D246" s="78"/>
      <c r="E246" s="78"/>
      <c r="F246" s="78"/>
      <c r="G246" s="78"/>
      <c r="H246" s="78"/>
      <c r="I246" s="78"/>
      <c r="J246" s="78"/>
      <c r="K246" s="78"/>
    </row>
    <row r="247" spans="1:11">
      <c r="A247" s="78"/>
      <c r="B247" s="78"/>
      <c r="C247" s="78"/>
      <c r="D247" s="78"/>
      <c r="E247" s="78"/>
      <c r="F247" s="78"/>
      <c r="G247" s="78"/>
      <c r="H247" s="78"/>
      <c r="I247" s="78"/>
      <c r="J247" s="78"/>
      <c r="K247" s="78"/>
    </row>
    <row r="248" spans="1:11">
      <c r="A248" s="78"/>
      <c r="B248" s="78"/>
      <c r="C248" s="78"/>
      <c r="D248" s="78"/>
      <c r="E248" s="78"/>
      <c r="F248" s="78"/>
      <c r="G248" s="78"/>
      <c r="H248" s="78"/>
      <c r="I248" s="78"/>
      <c r="J248" s="78"/>
      <c r="K248" s="78"/>
    </row>
    <row r="249" spans="1:11">
      <c r="A249" s="78"/>
      <c r="B249" s="78"/>
      <c r="C249" s="78"/>
      <c r="D249" s="78"/>
      <c r="E249" s="78"/>
      <c r="F249" s="78"/>
      <c r="G249" s="78"/>
      <c r="H249" s="78"/>
      <c r="I249" s="78"/>
      <c r="J249" s="78"/>
      <c r="K249" s="78"/>
    </row>
    <row r="250" spans="1:11">
      <c r="A250" s="78"/>
      <c r="B250" s="78"/>
      <c r="C250" s="78"/>
      <c r="D250" s="78"/>
      <c r="E250" s="78"/>
      <c r="F250" s="78"/>
      <c r="G250" s="78"/>
      <c r="H250" s="78"/>
      <c r="I250" s="78"/>
      <c r="J250" s="78"/>
      <c r="K250" s="78"/>
    </row>
    <row r="251" spans="1:11">
      <c r="A251" s="78"/>
      <c r="B251" s="78"/>
      <c r="C251" s="78"/>
      <c r="D251" s="78"/>
      <c r="E251" s="78"/>
      <c r="F251" s="78"/>
      <c r="G251" s="78"/>
      <c r="H251" s="78"/>
      <c r="I251" s="78"/>
      <c r="J251" s="78"/>
      <c r="K251" s="78"/>
    </row>
    <row r="252" spans="1:11">
      <c r="A252" s="78"/>
      <c r="B252" s="78"/>
      <c r="C252" s="78"/>
      <c r="D252" s="78"/>
      <c r="E252" s="78"/>
      <c r="F252" s="78"/>
      <c r="G252" s="78"/>
      <c r="H252" s="78"/>
      <c r="I252" s="78"/>
      <c r="J252" s="78"/>
      <c r="K252" s="78"/>
    </row>
    <row r="253" spans="1:11">
      <c r="A253" s="78"/>
      <c r="B253" s="78"/>
      <c r="C253" s="78"/>
      <c r="D253" s="78"/>
      <c r="E253" s="78"/>
      <c r="F253" s="78"/>
      <c r="G253" s="78"/>
      <c r="H253" s="78"/>
      <c r="I253" s="78"/>
      <c r="J253" s="78"/>
      <c r="K253" s="78"/>
    </row>
    <row r="254" spans="1:11">
      <c r="A254" s="78"/>
      <c r="B254" s="78"/>
      <c r="C254" s="78"/>
      <c r="D254" s="78"/>
      <c r="E254" s="78"/>
      <c r="F254" s="78"/>
      <c r="G254" s="78"/>
      <c r="H254" s="78"/>
      <c r="I254" s="78"/>
      <c r="J254" s="78"/>
      <c r="K254" s="78"/>
    </row>
    <row r="255" spans="1:11">
      <c r="A255" s="78"/>
      <c r="B255" s="78"/>
      <c r="C255" s="78"/>
      <c r="D255" s="78"/>
      <c r="E255" s="78"/>
      <c r="F255" s="78"/>
      <c r="G255" s="78"/>
      <c r="H255" s="78"/>
      <c r="I255" s="78"/>
      <c r="J255" s="78"/>
      <c r="K255" s="78"/>
    </row>
    <row r="256" spans="1:11">
      <c r="A256" s="78"/>
      <c r="B256" s="78"/>
      <c r="C256" s="78"/>
      <c r="D256" s="78"/>
      <c r="E256" s="78"/>
      <c r="F256" s="78"/>
      <c r="G256" s="78"/>
      <c r="H256" s="78"/>
      <c r="I256" s="78"/>
      <c r="J256" s="78"/>
      <c r="K256" s="78"/>
    </row>
    <row r="257" spans="1:11">
      <c r="A257" s="78"/>
      <c r="B257" s="78"/>
      <c r="C257" s="78"/>
      <c r="D257" s="78"/>
      <c r="E257" s="78"/>
      <c r="F257" s="78"/>
      <c r="G257" s="78"/>
      <c r="H257" s="78"/>
      <c r="I257" s="78"/>
      <c r="J257" s="78"/>
      <c r="K257" s="78"/>
    </row>
    <row r="258" spans="1:11">
      <c r="A258" s="78"/>
      <c r="B258" s="78"/>
      <c r="C258" s="78"/>
      <c r="D258" s="78"/>
      <c r="E258" s="78"/>
      <c r="F258" s="78"/>
      <c r="G258" s="78"/>
      <c r="H258" s="78"/>
      <c r="I258" s="78"/>
      <c r="J258" s="78"/>
      <c r="K258" s="78"/>
    </row>
    <row r="259" spans="1:11">
      <c r="A259" s="78"/>
      <c r="B259" s="78"/>
      <c r="C259" s="78"/>
      <c r="D259" s="78"/>
      <c r="E259" s="78"/>
      <c r="F259" s="78"/>
      <c r="G259" s="78"/>
      <c r="H259" s="78"/>
      <c r="I259" s="78"/>
      <c r="J259" s="78"/>
      <c r="K259" s="78"/>
    </row>
    <row r="260" spans="1:11">
      <c r="A260" s="78"/>
      <c r="B260" s="78"/>
      <c r="C260" s="78"/>
      <c r="D260" s="78"/>
      <c r="E260" s="78"/>
      <c r="F260" s="78"/>
      <c r="G260" s="78"/>
      <c r="H260" s="78"/>
      <c r="I260" s="78"/>
      <c r="J260" s="78"/>
      <c r="K260" s="78"/>
    </row>
  </sheetData>
  <mergeCells count="10">
    <mergeCell ref="G101:I101"/>
    <mergeCell ref="G153:I153"/>
    <mergeCell ref="J156:M156"/>
    <mergeCell ref="A209:K260"/>
    <mergeCell ref="F2:I2"/>
    <mergeCell ref="C4:F5"/>
    <mergeCell ref="C13:H13"/>
    <mergeCell ref="C14:H14"/>
    <mergeCell ref="G49:I49"/>
    <mergeCell ref="J52:M52"/>
  </mergeCells>
  <pageMargins left="0.7" right="0.7" top="0.75" bottom="0.75" header="0.3" footer="0.3"/>
  <pageSetup scale="86" fitToWidth="0" fitToHeight="0" orientation="portrait" r:id="rId1"/>
  <headerFooter>
    <oddHeader xml:space="preserve">&amp;L&amp;G&amp;R&amp;D
</oddHeader>
    <oddFooter xml:space="preserve">&amp;L
&amp;CCytek Biosciences Inc. | Offices in Fremont, CA 94538. 47215 Lakeview Blvd 
Phone: (510) 657-0102 | Fax: (510) 657-0151 | www.cytekbio.com | email: technical.support@cytekbio.com </oddFooter>
  </headerFooter>
  <drawing r:id="rId2"/>
  <legacyDrawingHF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35D8F0-1F89-4623-A5BE-52A3B7C5B898}">
  <sheetPr codeName="Sheet4">
    <tabColor rgb="FF286FB6"/>
  </sheetPr>
  <dimension ref="A1:M260"/>
  <sheetViews>
    <sheetView showGridLines="0" view="pageLayout" zoomScale="93" zoomScaleNormal="66" zoomScalePageLayoutView="93" workbookViewId="0">
      <selection activeCell="G15" sqref="G15"/>
    </sheetView>
  </sheetViews>
  <sheetFormatPr defaultRowHeight="13.8"/>
  <cols>
    <col min="1" max="1" width="10.3984375" customWidth="1"/>
    <col min="2" max="2" width="5.59765625" customWidth="1"/>
    <col min="3" max="3" width="5.296875" customWidth="1"/>
    <col min="4" max="4" width="26.09765625" customWidth="1"/>
    <col min="5" max="5" width="12.69921875" customWidth="1"/>
    <col min="6" max="6" width="5.296875" customWidth="1"/>
    <col min="7" max="7" width="10.69921875" customWidth="1"/>
    <col min="8" max="8" width="11.8984375" customWidth="1"/>
    <col min="9" max="9" width="12.09765625" customWidth="1"/>
  </cols>
  <sheetData>
    <row r="1" spans="1:11" ht="31.2" customHeight="1">
      <c r="B1" s="4"/>
      <c r="C1" s="8"/>
      <c r="D1" s="8"/>
      <c r="E1" s="8"/>
      <c r="F1" s="8"/>
      <c r="G1" s="8"/>
      <c r="H1" s="4"/>
      <c r="I1" s="4"/>
      <c r="J1" s="4"/>
    </row>
    <row r="2" spans="1:11" ht="18" customHeight="1">
      <c r="B2" s="4"/>
      <c r="C2" s="8" t="str">
        <f>'FSE Input'!E8</f>
        <v>Mike Waring</v>
      </c>
      <c r="D2" s="8"/>
      <c r="E2" s="8"/>
      <c r="F2" s="98" t="e">
        <f>"QUOTE#: "&amp;'FSE Input'!$E$11&amp;" "&amp;'FSE Input'!$E$9</f>
        <v>#REF!</v>
      </c>
      <c r="G2" s="99"/>
      <c r="H2" s="99"/>
      <c r="I2" s="100"/>
      <c r="K2" s="4"/>
    </row>
    <row r="3" spans="1:11" ht="18">
      <c r="A3" s="2"/>
      <c r="B3" s="5"/>
      <c r="C3" s="9" t="e">
        <f>'FSE Input'!E10</f>
        <v>#REF!</v>
      </c>
      <c r="D3" s="9"/>
      <c r="E3" s="9"/>
      <c r="F3" s="9"/>
      <c r="G3" s="9"/>
      <c r="H3" s="5"/>
      <c r="I3" s="5"/>
      <c r="J3" s="5"/>
      <c r="K3" s="2"/>
    </row>
    <row r="4" spans="1:11" ht="18" customHeight="1">
      <c r="A4" s="2"/>
      <c r="B4" s="4"/>
      <c r="C4" s="80" t="e">
        <f>'FSE Input'!E12</f>
        <v>#REF!</v>
      </c>
      <c r="D4" s="80"/>
      <c r="E4" s="80"/>
      <c r="F4" s="80"/>
      <c r="G4" s="8"/>
      <c r="H4" s="4"/>
      <c r="I4" s="4"/>
      <c r="J4" s="5"/>
      <c r="K4" s="2"/>
    </row>
    <row r="5" spans="1:11" ht="15.6" customHeight="1">
      <c r="A5" s="2"/>
      <c r="B5" s="5"/>
      <c r="C5" s="80"/>
      <c r="D5" s="80"/>
      <c r="E5" s="80"/>
      <c r="F5" s="80"/>
      <c r="G5" s="4"/>
      <c r="H5" s="4"/>
      <c r="I5" s="4"/>
      <c r="J5" s="5"/>
      <c r="K5" s="2"/>
    </row>
    <row r="6" spans="1:11" ht="15.6">
      <c r="A6" s="2"/>
      <c r="B6" s="5"/>
      <c r="C6" s="4"/>
      <c r="D6" s="4"/>
      <c r="E6" s="4"/>
      <c r="F6" s="4"/>
      <c r="G6" s="4"/>
      <c r="H6" s="4"/>
      <c r="I6" s="4"/>
      <c r="J6" s="5"/>
      <c r="K6" s="2"/>
    </row>
    <row r="7" spans="1:11" ht="46.8">
      <c r="A7" s="2"/>
      <c r="B7" s="5"/>
      <c r="C7" s="6" t="s">
        <v>65</v>
      </c>
      <c r="D7" s="6" t="s">
        <v>66</v>
      </c>
      <c r="E7" s="7" t="s">
        <v>67</v>
      </c>
      <c r="F7" s="6" t="s">
        <v>68</v>
      </c>
      <c r="G7" s="7" t="s">
        <v>69</v>
      </c>
      <c r="H7" s="7" t="s">
        <v>70</v>
      </c>
      <c r="I7" s="6" t="s">
        <v>71</v>
      </c>
      <c r="J7" s="5"/>
      <c r="K7" s="2"/>
    </row>
    <row r="8" spans="1:11" ht="15.6">
      <c r="A8" s="2"/>
      <c r="B8" s="5"/>
      <c r="C8" s="43" t="str">
        <f>IF(D8="", "", "1")</f>
        <v>1</v>
      </c>
      <c r="D8" s="43" t="str">
        <f>IF('FSE Input'!E17&lt;&gt;"", 'FSE Input'!E17, IF('FSE Input'!E21&lt;&gt;"", 'FSE Input'!E21, ""))</f>
        <v>On-Site Support (2 days)</v>
      </c>
      <c r="E8" s="43">
        <f>IF('FSE Input'!E18&lt;&gt;"", 'FSE Input'!E18, IF('FSE Input'!E22&lt;&gt;"", 'FSE Input'!E22, ""))</f>
        <v>60020</v>
      </c>
      <c r="F8" s="40">
        <f>IF(ISBLANK('FSE Input'!E20),"",'FSE Input'!E20)</f>
        <v>1</v>
      </c>
      <c r="G8" s="65">
        <f>IF('FSE Input'!E19&lt;&gt;"", 'FSE Input'!E19, IF('FSE Input'!E23&lt;&gt;"", 'FSE Input'!E23, ""))</f>
        <v>7571</v>
      </c>
      <c r="H8" s="45">
        <f>IF(Admin!D24&lt;&gt;"",Admin!J24,"")</f>
        <v>7571</v>
      </c>
      <c r="I8" s="45">
        <f>IF(G8="","",H8*F8)</f>
        <v>7571</v>
      </c>
      <c r="J8" s="5"/>
      <c r="K8" s="2"/>
    </row>
    <row r="9" spans="1:11" ht="15.6">
      <c r="A9" s="2"/>
      <c r="C9" s="43" t="str">
        <f>IF(D9="", "", "2")</f>
        <v>2</v>
      </c>
      <c r="D9" s="43" t="str">
        <f>IF('FSE Input'!E25&lt;&gt;"", 'FSE Input'!E25, IF('FSE Input'!E29&lt;&gt;"", 'FSE Input'!E29, ""))</f>
        <v>Flow Cell Body</v>
      </c>
      <c r="E9" s="43" t="str">
        <f>IF('FSE Input'!E26&lt;&gt;"", 'FSE Input'!E26, IF('FSE Input'!E30&lt;&gt;"", 'FSE Input'!E30, ""))</f>
        <v>N0-00011</v>
      </c>
      <c r="F9" s="40">
        <f>IF(ISBLANK('FSE Input'!E28),"",'FSE Input'!E28)</f>
        <v>1</v>
      </c>
      <c r="G9" s="65">
        <f>IF('FSE Input'!E27&lt;&gt;"", 'FSE Input'!E27, IF('FSE Input'!E31&lt;&gt;"", 'FSE Input'!E31, ""))</f>
        <v>268.70999999999998</v>
      </c>
      <c r="H9" s="45" t="e">
        <f>IF(Admin!D25&lt;&gt;"",Admin!J25,"")</f>
        <v>#REF!</v>
      </c>
      <c r="I9" s="45" t="e">
        <f t="shared" ref="I9:I11" si="0">IF(G9="","",H9*F9)</f>
        <v>#REF!</v>
      </c>
      <c r="J9" s="5"/>
      <c r="K9" s="2"/>
    </row>
    <row r="10" spans="1:11" ht="15.6">
      <c r="A10" s="2"/>
      <c r="B10" s="5"/>
      <c r="C10" s="43" t="str">
        <f>IF(D10="", "", "3")</f>
        <v>3</v>
      </c>
      <c r="D10" s="43" t="str">
        <f>IF('FSE Input'!E33&lt;&gt;"", 'FSE Input'!E33, IF('FSE Input'!E37&lt;&gt;"", 'FSE Input'!E37, ""))</f>
        <v>Mounting Plate</v>
      </c>
      <c r="E10" s="43" t="str">
        <f>IF('FSE Input'!E34&lt;&gt;"", 'FSE Input'!E34, IF('FSE Input'!E38&lt;&gt;"", 'FSE Input'!E38, ""))</f>
        <v>N0-00002</v>
      </c>
      <c r="F10" s="40">
        <f>IF(ISBLANK('FSE Input'!E36),"",'FSE Input'!E36)</f>
        <v>1</v>
      </c>
      <c r="G10" s="65">
        <f>IF('FSE Input'!E35&lt;&gt;"", 'FSE Input'!E35, IF('FSE Input'!E39&lt;&gt;"", 'FSE Input'!E39, ""))</f>
        <v>7.76</v>
      </c>
      <c r="H10" s="45" t="e">
        <f>IF(Admin!D26&lt;&gt;"",Admin!J26,"")</f>
        <v>#REF!</v>
      </c>
      <c r="I10" s="45" t="e">
        <f t="shared" si="0"/>
        <v>#REF!</v>
      </c>
      <c r="J10" s="5"/>
      <c r="K10" s="2"/>
    </row>
    <row r="11" spans="1:11" ht="15.6">
      <c r="A11" s="2"/>
      <c r="B11" s="5"/>
      <c r="C11" s="43" t="str">
        <f>IF(D11="", "", "4")</f>
        <v>4</v>
      </c>
      <c r="D11" s="43" t="str">
        <f>IF('FSE Input'!E41&lt;&gt;"", 'FSE Input'!E41, IF('FSE Input'!E45&lt;&gt;"", 'FSE Input'!E45, ""))</f>
        <v>generator</v>
      </c>
      <c r="E11" s="43" t="str">
        <f>IF('FSE Input'!E42&lt;&gt;"", 'FSE Input'!E42, IF('FSE Input'!E46&lt;&gt;"", 'FSE Input'!E46, ""))</f>
        <v>u1093</v>
      </c>
      <c r="F11" s="40">
        <f>IF(ISBLANK('FSE Input'!E44),"",'FSE Input'!E44)</f>
        <v>1</v>
      </c>
      <c r="G11" s="65">
        <f>IF('FSE Input'!E43&lt;&gt;"", 'FSE Input'!E43, IF('FSE Input'!E47&lt;&gt;"", 'FSE Input'!E47, ""))</f>
        <v>800</v>
      </c>
      <c r="H11" s="45" t="e">
        <f>IF(Admin!D27&lt;&gt;"",Admin!J27,"")</f>
        <v>#REF!</v>
      </c>
      <c r="I11" s="45" t="e">
        <f t="shared" si="0"/>
        <v>#REF!</v>
      </c>
      <c r="J11" s="5"/>
      <c r="K11" s="2"/>
    </row>
    <row r="12" spans="1:11" ht="15.6">
      <c r="A12" s="2"/>
      <c r="B12" s="5"/>
      <c r="C12" s="5"/>
      <c r="D12" s="5"/>
      <c r="E12" s="5"/>
      <c r="F12" s="5"/>
      <c r="G12" s="5"/>
      <c r="H12" s="5"/>
      <c r="I12" s="5"/>
      <c r="J12" s="5"/>
      <c r="K12" s="2"/>
    </row>
    <row r="13" spans="1:11" ht="15.6">
      <c r="A13" s="2"/>
      <c r="B13" s="5"/>
      <c r="C13" s="81" t="s">
        <v>72</v>
      </c>
      <c r="D13" s="82"/>
      <c r="E13" s="82"/>
      <c r="F13" s="82"/>
      <c r="G13" s="82"/>
      <c r="H13" s="83"/>
      <c r="I13" s="11"/>
      <c r="J13" s="5"/>
      <c r="K13" s="2"/>
    </row>
    <row r="14" spans="1:11" ht="15.6">
      <c r="A14" s="2"/>
      <c r="B14" s="5"/>
      <c r="C14" s="81" t="s">
        <v>73</v>
      </c>
      <c r="D14" s="82"/>
      <c r="E14" s="82"/>
      <c r="F14" s="82"/>
      <c r="G14" s="82"/>
      <c r="H14" s="83"/>
      <c r="I14" s="11" t="e">
        <f>SUM(I15,I8:I11)</f>
        <v>#REF!</v>
      </c>
      <c r="J14" s="5"/>
      <c r="K14" s="2"/>
    </row>
    <row r="15" spans="1:11">
      <c r="J15" s="2"/>
      <c r="K15" s="2"/>
    </row>
    <row r="47" ht="33.6" customHeight="1"/>
    <row r="49" spans="1:13" ht="15.6">
      <c r="G49" s="75" t="e">
        <f>"QUOTE#: "&amp;'FSE Input Old'!$D$3&amp;" "&amp;'FSE Input Old'!$B$3</f>
        <v>#REF!</v>
      </c>
      <c r="H49" s="75"/>
      <c r="I49" s="75"/>
    </row>
    <row r="52" spans="1:13" ht="15.6">
      <c r="J52" s="76"/>
      <c r="K52" s="76"/>
      <c r="L52" s="76"/>
      <c r="M52" s="76"/>
    </row>
    <row r="54" spans="1:13" ht="14.4" customHeight="1">
      <c r="A54" s="3"/>
    </row>
    <row r="101" spans="1:13" ht="15.6">
      <c r="G101" s="75" t="e">
        <f>"QUOTE#: "&amp;'FSE Input Old'!$D$3&amp;" "&amp;'FSE Input Old'!$B$3</f>
        <v>#REF!</v>
      </c>
      <c r="H101" s="75"/>
      <c r="I101" s="75"/>
    </row>
    <row r="105" spans="1:13" ht="15.6">
      <c r="K105" s="4"/>
      <c r="L105" s="4"/>
      <c r="M105" s="4"/>
    </row>
    <row r="106" spans="1:13">
      <c r="A106" s="3"/>
    </row>
    <row r="153" spans="7:13" ht="15.6">
      <c r="G153" s="75" t="e">
        <f>"QUOTE#: "&amp;'FSE Input Old'!$D$3&amp;" "&amp;'FSE Input Old'!$B$3</f>
        <v>#REF!</v>
      </c>
      <c r="H153" s="75"/>
      <c r="I153" s="75"/>
    </row>
    <row r="156" spans="7:13" ht="15.6">
      <c r="J156" s="76"/>
      <c r="K156" s="76"/>
      <c r="L156" s="76"/>
      <c r="M156" s="76"/>
    </row>
    <row r="209" spans="1:11">
      <c r="A209" s="77"/>
      <c r="B209" s="78"/>
      <c r="C209" s="78"/>
      <c r="D209" s="78"/>
      <c r="E209" s="78"/>
      <c r="F209" s="78"/>
      <c r="G209" s="78"/>
      <c r="H209" s="78"/>
      <c r="I209" s="78"/>
      <c r="J209" s="78"/>
      <c r="K209" s="78"/>
    </row>
    <row r="210" spans="1:11">
      <c r="A210" s="78"/>
      <c r="B210" s="78"/>
      <c r="C210" s="78"/>
      <c r="D210" s="78"/>
      <c r="E210" s="78"/>
      <c r="F210" s="78"/>
      <c r="G210" s="78"/>
      <c r="H210" s="78"/>
      <c r="I210" s="78"/>
      <c r="J210" s="78"/>
      <c r="K210" s="78"/>
    </row>
    <row r="211" spans="1:11">
      <c r="A211" s="78"/>
      <c r="B211" s="78"/>
      <c r="C211" s="78"/>
      <c r="D211" s="78"/>
      <c r="E211" s="78"/>
      <c r="F211" s="78"/>
      <c r="G211" s="78"/>
      <c r="H211" s="78"/>
      <c r="I211" s="78"/>
      <c r="J211" s="78"/>
      <c r="K211" s="78"/>
    </row>
    <row r="212" spans="1:11">
      <c r="A212" s="78"/>
      <c r="B212" s="78"/>
      <c r="C212" s="78"/>
      <c r="D212" s="78"/>
      <c r="E212" s="78"/>
      <c r="F212" s="78"/>
      <c r="G212" s="78"/>
      <c r="H212" s="78"/>
      <c r="I212" s="78"/>
      <c r="J212" s="78"/>
      <c r="K212" s="78"/>
    </row>
    <row r="213" spans="1:11">
      <c r="A213" s="78"/>
      <c r="B213" s="78"/>
      <c r="C213" s="78"/>
      <c r="D213" s="78"/>
      <c r="E213" s="78"/>
      <c r="F213" s="78"/>
      <c r="G213" s="78"/>
      <c r="H213" s="78"/>
      <c r="I213" s="78"/>
      <c r="J213" s="78"/>
      <c r="K213" s="78"/>
    </row>
    <row r="214" spans="1:11">
      <c r="A214" s="78"/>
      <c r="B214" s="78"/>
      <c r="C214" s="78"/>
      <c r="D214" s="78"/>
      <c r="E214" s="78"/>
      <c r="F214" s="78"/>
      <c r="G214" s="78"/>
      <c r="H214" s="78"/>
      <c r="I214" s="78"/>
      <c r="J214" s="78"/>
      <c r="K214" s="78"/>
    </row>
    <row r="215" spans="1:11">
      <c r="A215" s="78"/>
      <c r="B215" s="78"/>
      <c r="C215" s="78"/>
      <c r="D215" s="78"/>
      <c r="E215" s="78"/>
      <c r="F215" s="78"/>
      <c r="G215" s="78"/>
      <c r="H215" s="78"/>
      <c r="I215" s="78"/>
      <c r="J215" s="78"/>
      <c r="K215" s="78"/>
    </row>
    <row r="216" spans="1:11">
      <c r="A216" s="78"/>
      <c r="B216" s="78"/>
      <c r="C216" s="78"/>
      <c r="D216" s="78"/>
      <c r="E216" s="78"/>
      <c r="F216" s="78"/>
      <c r="G216" s="78"/>
      <c r="H216" s="78"/>
      <c r="I216" s="78"/>
      <c r="J216" s="78"/>
      <c r="K216" s="78"/>
    </row>
    <row r="217" spans="1:11">
      <c r="A217" s="78"/>
      <c r="B217" s="78"/>
      <c r="C217" s="78"/>
      <c r="D217" s="78"/>
      <c r="E217" s="78"/>
      <c r="F217" s="78"/>
      <c r="G217" s="78"/>
      <c r="H217" s="78"/>
      <c r="I217" s="78"/>
      <c r="J217" s="78"/>
      <c r="K217" s="78"/>
    </row>
    <row r="218" spans="1:11">
      <c r="A218" s="78"/>
      <c r="B218" s="78"/>
      <c r="C218" s="78"/>
      <c r="D218" s="78"/>
      <c r="E218" s="78"/>
      <c r="F218" s="78"/>
      <c r="G218" s="78"/>
      <c r="H218" s="78"/>
      <c r="I218" s="78"/>
      <c r="J218" s="78"/>
      <c r="K218" s="78"/>
    </row>
    <row r="219" spans="1:11">
      <c r="A219" s="78"/>
      <c r="B219" s="78"/>
      <c r="C219" s="78"/>
      <c r="D219" s="78"/>
      <c r="E219" s="78"/>
      <c r="F219" s="78"/>
      <c r="G219" s="78"/>
      <c r="H219" s="78"/>
      <c r="I219" s="78"/>
      <c r="J219" s="78"/>
      <c r="K219" s="78"/>
    </row>
    <row r="220" spans="1:11">
      <c r="A220" s="78"/>
      <c r="B220" s="78"/>
      <c r="C220" s="78"/>
      <c r="D220" s="78"/>
      <c r="E220" s="78"/>
      <c r="F220" s="78"/>
      <c r="G220" s="78"/>
      <c r="H220" s="78"/>
      <c r="I220" s="78"/>
      <c r="J220" s="78"/>
      <c r="K220" s="78"/>
    </row>
    <row r="221" spans="1:11">
      <c r="A221" s="78"/>
      <c r="B221" s="78"/>
      <c r="C221" s="78"/>
      <c r="D221" s="78"/>
      <c r="E221" s="78"/>
      <c r="F221" s="78"/>
      <c r="G221" s="78"/>
      <c r="H221" s="78"/>
      <c r="I221" s="78"/>
      <c r="J221" s="78"/>
      <c r="K221" s="78"/>
    </row>
    <row r="222" spans="1:11">
      <c r="A222" s="78"/>
      <c r="B222" s="78"/>
      <c r="C222" s="78"/>
      <c r="D222" s="78"/>
      <c r="E222" s="78"/>
      <c r="F222" s="78"/>
      <c r="G222" s="78"/>
      <c r="H222" s="78"/>
      <c r="I222" s="78"/>
      <c r="J222" s="78"/>
      <c r="K222" s="78"/>
    </row>
    <row r="223" spans="1:11">
      <c r="A223" s="78"/>
      <c r="B223" s="78"/>
      <c r="C223" s="78"/>
      <c r="D223" s="78"/>
      <c r="E223" s="78"/>
      <c r="F223" s="78"/>
      <c r="G223" s="78"/>
      <c r="H223" s="78"/>
      <c r="I223" s="78"/>
      <c r="J223" s="78"/>
      <c r="K223" s="78"/>
    </row>
    <row r="224" spans="1:11">
      <c r="A224" s="78"/>
      <c r="B224" s="78"/>
      <c r="C224" s="78"/>
      <c r="D224" s="78"/>
      <c r="E224" s="78"/>
      <c r="F224" s="78"/>
      <c r="G224" s="78"/>
      <c r="H224" s="78"/>
      <c r="I224" s="78"/>
      <c r="J224" s="78"/>
      <c r="K224" s="78"/>
    </row>
    <row r="225" spans="1:11">
      <c r="A225" s="78"/>
      <c r="B225" s="78"/>
      <c r="C225" s="78"/>
      <c r="D225" s="78"/>
      <c r="E225" s="78"/>
      <c r="F225" s="78"/>
      <c r="G225" s="78"/>
      <c r="H225" s="78"/>
      <c r="I225" s="78"/>
      <c r="J225" s="78"/>
      <c r="K225" s="78"/>
    </row>
    <row r="226" spans="1:11">
      <c r="A226" s="78"/>
      <c r="B226" s="78"/>
      <c r="C226" s="78"/>
      <c r="D226" s="78"/>
      <c r="E226" s="78"/>
      <c r="F226" s="78"/>
      <c r="G226" s="78"/>
      <c r="H226" s="78"/>
      <c r="I226" s="78"/>
      <c r="J226" s="78"/>
      <c r="K226" s="78"/>
    </row>
    <row r="227" spans="1:11">
      <c r="A227" s="78"/>
      <c r="B227" s="78"/>
      <c r="C227" s="78"/>
      <c r="D227" s="78"/>
      <c r="E227" s="78"/>
      <c r="F227" s="78"/>
      <c r="G227" s="78"/>
      <c r="H227" s="78"/>
      <c r="I227" s="78"/>
      <c r="J227" s="78"/>
      <c r="K227" s="78"/>
    </row>
    <row r="228" spans="1:11">
      <c r="A228" s="78"/>
      <c r="B228" s="78"/>
      <c r="C228" s="78"/>
      <c r="D228" s="78"/>
      <c r="E228" s="78"/>
      <c r="F228" s="78"/>
      <c r="G228" s="78"/>
      <c r="H228" s="78"/>
      <c r="I228" s="78"/>
      <c r="J228" s="78"/>
      <c r="K228" s="78"/>
    </row>
    <row r="229" spans="1:11">
      <c r="A229" s="78"/>
      <c r="B229" s="78"/>
      <c r="C229" s="78"/>
      <c r="D229" s="78"/>
      <c r="E229" s="78"/>
      <c r="F229" s="78"/>
      <c r="G229" s="78"/>
      <c r="H229" s="78"/>
      <c r="I229" s="78"/>
      <c r="J229" s="78"/>
      <c r="K229" s="78"/>
    </row>
    <row r="230" spans="1:11">
      <c r="A230" s="78"/>
      <c r="B230" s="78"/>
      <c r="C230" s="78"/>
      <c r="D230" s="78"/>
      <c r="E230" s="78"/>
      <c r="F230" s="78"/>
      <c r="G230" s="78"/>
      <c r="H230" s="78"/>
      <c r="I230" s="78"/>
      <c r="J230" s="78"/>
      <c r="K230" s="78"/>
    </row>
    <row r="231" spans="1:11">
      <c r="A231" s="78"/>
      <c r="B231" s="78"/>
      <c r="C231" s="78"/>
      <c r="D231" s="78"/>
      <c r="E231" s="78"/>
      <c r="F231" s="78"/>
      <c r="G231" s="78"/>
      <c r="H231" s="78"/>
      <c r="I231" s="78"/>
      <c r="J231" s="78"/>
      <c r="K231" s="78"/>
    </row>
    <row r="232" spans="1:11">
      <c r="A232" s="78"/>
      <c r="B232" s="78"/>
      <c r="C232" s="78"/>
      <c r="D232" s="78"/>
      <c r="E232" s="78"/>
      <c r="F232" s="78"/>
      <c r="G232" s="78"/>
      <c r="H232" s="78"/>
      <c r="I232" s="78"/>
      <c r="J232" s="78"/>
      <c r="K232" s="78"/>
    </row>
    <row r="233" spans="1:11">
      <c r="A233" s="78"/>
      <c r="B233" s="78"/>
      <c r="C233" s="78"/>
      <c r="D233" s="78"/>
      <c r="E233" s="78"/>
      <c r="F233" s="78"/>
      <c r="G233" s="78"/>
      <c r="H233" s="78"/>
      <c r="I233" s="78"/>
      <c r="J233" s="78"/>
      <c r="K233" s="78"/>
    </row>
    <row r="234" spans="1:11">
      <c r="A234" s="78"/>
      <c r="B234" s="78"/>
      <c r="C234" s="78"/>
      <c r="D234" s="78"/>
      <c r="E234" s="78"/>
      <c r="F234" s="78"/>
      <c r="G234" s="78"/>
      <c r="H234" s="78"/>
      <c r="I234" s="78"/>
      <c r="J234" s="78"/>
      <c r="K234" s="78"/>
    </row>
    <row r="235" spans="1:11">
      <c r="A235" s="78"/>
      <c r="B235" s="78"/>
      <c r="C235" s="78"/>
      <c r="D235" s="78"/>
      <c r="E235" s="78"/>
      <c r="F235" s="78"/>
      <c r="G235" s="78"/>
      <c r="H235" s="78"/>
      <c r="I235" s="78"/>
      <c r="J235" s="78"/>
      <c r="K235" s="78"/>
    </row>
    <row r="236" spans="1:11">
      <c r="A236" s="78"/>
      <c r="B236" s="78"/>
      <c r="C236" s="78"/>
      <c r="D236" s="78"/>
      <c r="E236" s="78"/>
      <c r="F236" s="78"/>
      <c r="G236" s="78"/>
      <c r="H236" s="78"/>
      <c r="I236" s="78"/>
      <c r="J236" s="78"/>
      <c r="K236" s="78"/>
    </row>
    <row r="237" spans="1:11">
      <c r="A237" s="78"/>
      <c r="B237" s="78"/>
      <c r="C237" s="78"/>
      <c r="D237" s="78"/>
      <c r="E237" s="78"/>
      <c r="F237" s="78"/>
      <c r="G237" s="78"/>
      <c r="H237" s="78"/>
      <c r="I237" s="78"/>
      <c r="J237" s="78"/>
      <c r="K237" s="78"/>
    </row>
    <row r="238" spans="1:11">
      <c r="A238" s="78"/>
      <c r="B238" s="78"/>
      <c r="C238" s="78"/>
      <c r="D238" s="78"/>
      <c r="E238" s="78"/>
      <c r="F238" s="78"/>
      <c r="G238" s="78"/>
      <c r="H238" s="78"/>
      <c r="I238" s="78"/>
      <c r="J238" s="78"/>
      <c r="K238" s="78"/>
    </row>
    <row r="239" spans="1:11">
      <c r="A239" s="78"/>
      <c r="B239" s="78"/>
      <c r="C239" s="78"/>
      <c r="D239" s="78"/>
      <c r="E239" s="78"/>
      <c r="F239" s="78"/>
      <c r="G239" s="78"/>
      <c r="H239" s="78"/>
      <c r="I239" s="78"/>
      <c r="J239" s="78"/>
      <c r="K239" s="78"/>
    </row>
    <row r="240" spans="1:11">
      <c r="A240" s="78"/>
      <c r="B240" s="78"/>
      <c r="C240" s="78"/>
      <c r="D240" s="78"/>
      <c r="E240" s="78"/>
      <c r="F240" s="78"/>
      <c r="G240" s="78"/>
      <c r="H240" s="78"/>
      <c r="I240" s="78"/>
      <c r="J240" s="78"/>
      <c r="K240" s="78"/>
    </row>
    <row r="241" spans="1:11">
      <c r="A241" s="78"/>
      <c r="B241" s="78"/>
      <c r="C241" s="78"/>
      <c r="D241" s="78"/>
      <c r="E241" s="78"/>
      <c r="F241" s="78"/>
      <c r="G241" s="78"/>
      <c r="H241" s="78"/>
      <c r="I241" s="78"/>
      <c r="J241" s="78"/>
      <c r="K241" s="78"/>
    </row>
    <row r="242" spans="1:11">
      <c r="A242" s="78"/>
      <c r="B242" s="78"/>
      <c r="C242" s="78"/>
      <c r="D242" s="78"/>
      <c r="E242" s="78"/>
      <c r="F242" s="78"/>
      <c r="G242" s="78"/>
      <c r="H242" s="78"/>
      <c r="I242" s="78"/>
      <c r="J242" s="78"/>
      <c r="K242" s="78"/>
    </row>
    <row r="243" spans="1:11">
      <c r="A243" s="78"/>
      <c r="B243" s="78"/>
      <c r="C243" s="78"/>
      <c r="D243" s="78"/>
      <c r="E243" s="78"/>
      <c r="F243" s="78"/>
      <c r="G243" s="78"/>
      <c r="H243" s="78"/>
      <c r="I243" s="78"/>
      <c r="J243" s="78"/>
      <c r="K243" s="78"/>
    </row>
    <row r="244" spans="1:11">
      <c r="A244" s="78"/>
      <c r="B244" s="78"/>
      <c r="C244" s="78"/>
      <c r="D244" s="78"/>
      <c r="E244" s="78"/>
      <c r="F244" s="78"/>
      <c r="G244" s="78"/>
      <c r="H244" s="78"/>
      <c r="I244" s="78"/>
      <c r="J244" s="78"/>
      <c r="K244" s="78"/>
    </row>
    <row r="245" spans="1:11">
      <c r="A245" s="78"/>
      <c r="B245" s="78"/>
      <c r="C245" s="78"/>
      <c r="D245" s="78"/>
      <c r="E245" s="78"/>
      <c r="F245" s="78"/>
      <c r="G245" s="78"/>
      <c r="H245" s="78"/>
      <c r="I245" s="78"/>
      <c r="J245" s="78"/>
      <c r="K245" s="78"/>
    </row>
    <row r="246" spans="1:11">
      <c r="A246" s="78"/>
      <c r="B246" s="78"/>
      <c r="C246" s="78"/>
      <c r="D246" s="78"/>
      <c r="E246" s="78"/>
      <c r="F246" s="78"/>
      <c r="G246" s="78"/>
      <c r="H246" s="78"/>
      <c r="I246" s="78"/>
      <c r="J246" s="78"/>
      <c r="K246" s="78"/>
    </row>
    <row r="247" spans="1:11">
      <c r="A247" s="78"/>
      <c r="B247" s="78"/>
      <c r="C247" s="78"/>
      <c r="D247" s="78"/>
      <c r="E247" s="78"/>
      <c r="F247" s="78"/>
      <c r="G247" s="78"/>
      <c r="H247" s="78"/>
      <c r="I247" s="78"/>
      <c r="J247" s="78"/>
      <c r="K247" s="78"/>
    </row>
    <row r="248" spans="1:11">
      <c r="A248" s="78"/>
      <c r="B248" s="78"/>
      <c r="C248" s="78"/>
      <c r="D248" s="78"/>
      <c r="E248" s="78"/>
      <c r="F248" s="78"/>
      <c r="G248" s="78"/>
      <c r="H248" s="78"/>
      <c r="I248" s="78"/>
      <c r="J248" s="78"/>
      <c r="K248" s="78"/>
    </row>
    <row r="249" spans="1:11">
      <c r="A249" s="78"/>
      <c r="B249" s="78"/>
      <c r="C249" s="78"/>
      <c r="D249" s="78"/>
      <c r="E249" s="78"/>
      <c r="F249" s="78"/>
      <c r="G249" s="78"/>
      <c r="H249" s="78"/>
      <c r="I249" s="78"/>
      <c r="J249" s="78"/>
      <c r="K249" s="78"/>
    </row>
    <row r="250" spans="1:11">
      <c r="A250" s="78"/>
      <c r="B250" s="78"/>
      <c r="C250" s="78"/>
      <c r="D250" s="78"/>
      <c r="E250" s="78"/>
      <c r="F250" s="78"/>
      <c r="G250" s="78"/>
      <c r="H250" s="78"/>
      <c r="I250" s="78"/>
      <c r="J250" s="78"/>
      <c r="K250" s="78"/>
    </row>
    <row r="251" spans="1:11">
      <c r="A251" s="78"/>
      <c r="B251" s="78"/>
      <c r="C251" s="78"/>
      <c r="D251" s="78"/>
      <c r="E251" s="78"/>
      <c r="F251" s="78"/>
      <c r="G251" s="78"/>
      <c r="H251" s="78"/>
      <c r="I251" s="78"/>
      <c r="J251" s="78"/>
      <c r="K251" s="78"/>
    </row>
    <row r="252" spans="1:11">
      <c r="A252" s="78"/>
      <c r="B252" s="78"/>
      <c r="C252" s="78"/>
      <c r="D252" s="78"/>
      <c r="E252" s="78"/>
      <c r="F252" s="78"/>
      <c r="G252" s="78"/>
      <c r="H252" s="78"/>
      <c r="I252" s="78"/>
      <c r="J252" s="78"/>
      <c r="K252" s="78"/>
    </row>
    <row r="253" spans="1:11">
      <c r="A253" s="78"/>
      <c r="B253" s="78"/>
      <c r="C253" s="78"/>
      <c r="D253" s="78"/>
      <c r="E253" s="78"/>
      <c r="F253" s="78"/>
      <c r="G253" s="78"/>
      <c r="H253" s="78"/>
      <c r="I253" s="78"/>
      <c r="J253" s="78"/>
      <c r="K253" s="78"/>
    </row>
    <row r="254" spans="1:11">
      <c r="A254" s="78"/>
      <c r="B254" s="78"/>
      <c r="C254" s="78"/>
      <c r="D254" s="78"/>
      <c r="E254" s="78"/>
      <c r="F254" s="78"/>
      <c r="G254" s="78"/>
      <c r="H254" s="78"/>
      <c r="I254" s="78"/>
      <c r="J254" s="78"/>
      <c r="K254" s="78"/>
    </row>
    <row r="255" spans="1:11">
      <c r="A255" s="78"/>
      <c r="B255" s="78"/>
      <c r="C255" s="78"/>
      <c r="D255" s="78"/>
      <c r="E255" s="78"/>
      <c r="F255" s="78"/>
      <c r="G255" s="78"/>
      <c r="H255" s="78"/>
      <c r="I255" s="78"/>
      <c r="J255" s="78"/>
      <c r="K255" s="78"/>
    </row>
    <row r="256" spans="1:11">
      <c r="A256" s="78"/>
      <c r="B256" s="78"/>
      <c r="C256" s="78"/>
      <c r="D256" s="78"/>
      <c r="E256" s="78"/>
      <c r="F256" s="78"/>
      <c r="G256" s="78"/>
      <c r="H256" s="78"/>
      <c r="I256" s="78"/>
      <c r="J256" s="78"/>
      <c r="K256" s="78"/>
    </row>
    <row r="257" spans="1:11">
      <c r="A257" s="78"/>
      <c r="B257" s="78"/>
      <c r="C257" s="78"/>
      <c r="D257" s="78"/>
      <c r="E257" s="78"/>
      <c r="F257" s="78"/>
      <c r="G257" s="78"/>
      <c r="H257" s="78"/>
      <c r="I257" s="78"/>
      <c r="J257" s="78"/>
      <c r="K257" s="78"/>
    </row>
    <row r="258" spans="1:11">
      <c r="A258" s="78"/>
      <c r="B258" s="78"/>
      <c r="C258" s="78"/>
      <c r="D258" s="78"/>
      <c r="E258" s="78"/>
      <c r="F258" s="78"/>
      <c r="G258" s="78"/>
      <c r="H258" s="78"/>
      <c r="I258" s="78"/>
      <c r="J258" s="78"/>
      <c r="K258" s="78"/>
    </row>
    <row r="259" spans="1:11">
      <c r="A259" s="78"/>
      <c r="B259" s="78"/>
      <c r="C259" s="78"/>
      <c r="D259" s="78"/>
      <c r="E259" s="78"/>
      <c r="F259" s="78"/>
      <c r="G259" s="78"/>
      <c r="H259" s="78"/>
      <c r="I259" s="78"/>
      <c r="J259" s="78"/>
      <c r="K259" s="78"/>
    </row>
    <row r="260" spans="1:11">
      <c r="A260" s="78"/>
      <c r="B260" s="78"/>
      <c r="C260" s="78"/>
      <c r="D260" s="78"/>
      <c r="E260" s="78"/>
      <c r="F260" s="78"/>
      <c r="G260" s="78"/>
      <c r="H260" s="78"/>
      <c r="I260" s="78"/>
      <c r="J260" s="78"/>
      <c r="K260" s="78"/>
    </row>
  </sheetData>
  <mergeCells count="10">
    <mergeCell ref="G101:I101"/>
    <mergeCell ref="G153:I153"/>
    <mergeCell ref="J156:M156"/>
    <mergeCell ref="A209:K260"/>
    <mergeCell ref="F2:I2"/>
    <mergeCell ref="C4:F5"/>
    <mergeCell ref="C13:H13"/>
    <mergeCell ref="C14:H14"/>
    <mergeCell ref="G49:I49"/>
    <mergeCell ref="J52:M52"/>
  </mergeCells>
  <pageMargins left="0.7" right="0.7" top="0.75" bottom="0.75" header="0.3" footer="0.3"/>
  <pageSetup scale="86" fitToWidth="0" fitToHeight="0" orientation="portrait" r:id="rId1"/>
  <headerFooter>
    <oddHeader xml:space="preserve">&amp;L&amp;G&amp;R&amp;D
</oddHeader>
    <oddFooter xml:space="preserve">&amp;L
&amp;CCytek Biosciences Inc. | Offices in Fremont, CA 94538. 47215 Lakeview Blvd 
Phone: (510) 657-0102 | Fax: (510) 657-0151 | www.cytekbio.com | email: orders@cytekbio.com </oddFooter>
  </headerFooter>
  <drawing r:id="rId2"/>
  <legacyDrawingHF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375B5E-CCAC-4022-8878-141C25235289}">
  <dimension ref="A1:I9636"/>
  <sheetViews>
    <sheetView showGridLines="0" tabSelected="1" workbookViewId="0">
      <selection activeCell="D10" sqref="D10"/>
    </sheetView>
  </sheetViews>
  <sheetFormatPr defaultRowHeight="13.8"/>
  <cols>
    <col min="1" max="1" width="35.19921875" bestFit="1" customWidth="1"/>
    <col min="2" max="2" width="29.5" bestFit="1" customWidth="1"/>
    <col min="3" max="3" width="9.8984375" bestFit="1" customWidth="1"/>
    <col min="4" max="4" width="27.8984375" bestFit="1" customWidth="1"/>
    <col min="5" max="5" width="33.19921875" bestFit="1" customWidth="1"/>
    <col min="6" max="6" width="35.19921875" bestFit="1" customWidth="1"/>
    <col min="7" max="7" width="28.59765625" bestFit="1" customWidth="1"/>
    <col min="8" max="8" width="19.8984375" bestFit="1" customWidth="1"/>
    <col min="9" max="9" width="25.296875" bestFit="1" customWidth="1"/>
  </cols>
  <sheetData>
    <row r="1" spans="1:9">
      <c r="A1" s="107" t="s">
        <v>77</v>
      </c>
      <c r="B1" s="107" t="s">
        <v>14599</v>
      </c>
      <c r="C1" s="107" t="s">
        <v>14600</v>
      </c>
      <c r="D1" s="107" t="s">
        <v>75</v>
      </c>
      <c r="E1" s="107" t="s">
        <v>14601</v>
      </c>
      <c r="F1" s="107" t="s">
        <v>14602</v>
      </c>
      <c r="G1" s="107" t="s">
        <v>14603</v>
      </c>
      <c r="H1" s="107" t="s">
        <v>74</v>
      </c>
      <c r="I1" s="107" t="s">
        <v>76</v>
      </c>
    </row>
    <row r="2" spans="1:9" ht="27.6">
      <c r="A2" s="108" t="s">
        <v>1465</v>
      </c>
      <c r="B2" s="108" t="s">
        <v>14604</v>
      </c>
      <c r="C2" s="109">
        <v>43369</v>
      </c>
      <c r="D2" s="108"/>
      <c r="E2" s="108" t="s">
        <v>14605</v>
      </c>
      <c r="F2" s="108" t="s">
        <v>14606</v>
      </c>
      <c r="G2" s="110"/>
      <c r="H2" s="108"/>
      <c r="I2" s="108"/>
    </row>
    <row r="3" spans="1:9" ht="27.6">
      <c r="A3" s="108" t="s">
        <v>14607</v>
      </c>
      <c r="B3" s="108" t="s">
        <v>14608</v>
      </c>
      <c r="C3" s="109">
        <v>40407</v>
      </c>
      <c r="D3" s="108"/>
      <c r="E3" s="108" t="s">
        <v>14605</v>
      </c>
      <c r="F3" s="108" t="s">
        <v>14609</v>
      </c>
      <c r="G3" s="110"/>
      <c r="H3" s="108"/>
      <c r="I3" s="108"/>
    </row>
    <row r="4" spans="1:9" ht="27.6">
      <c r="A4" s="108" t="s">
        <v>207</v>
      </c>
      <c r="B4" s="108" t="s">
        <v>14610</v>
      </c>
      <c r="C4" s="109">
        <v>43217</v>
      </c>
      <c r="D4" s="108"/>
      <c r="E4" s="108" t="s">
        <v>14611</v>
      </c>
      <c r="F4" s="108" t="s">
        <v>14612</v>
      </c>
      <c r="G4" s="110"/>
      <c r="H4" s="108"/>
      <c r="I4" s="108"/>
    </row>
    <row r="5" spans="1:9" ht="27.6">
      <c r="A5" s="108" t="s">
        <v>14613</v>
      </c>
      <c r="B5" s="108" t="s">
        <v>14614</v>
      </c>
      <c r="C5" s="109">
        <v>38955</v>
      </c>
      <c r="D5" s="108"/>
      <c r="E5" s="108" t="s">
        <v>14605</v>
      </c>
      <c r="F5" s="108" t="s">
        <v>3940</v>
      </c>
      <c r="G5" s="110"/>
      <c r="H5" s="108"/>
      <c r="I5" s="108"/>
    </row>
    <row r="6" spans="1:9">
      <c r="A6" s="108" t="s">
        <v>169</v>
      </c>
      <c r="B6" s="108" t="s">
        <v>14615</v>
      </c>
      <c r="C6" s="109">
        <v>41619</v>
      </c>
      <c r="D6" s="108"/>
      <c r="E6" s="108" t="s">
        <v>14605</v>
      </c>
      <c r="F6" s="108" t="s">
        <v>14616</v>
      </c>
      <c r="G6" s="110"/>
      <c r="H6" s="108"/>
      <c r="I6" s="108"/>
    </row>
    <row r="7" spans="1:9" ht="27.6">
      <c r="A7" s="108" t="s">
        <v>14607</v>
      </c>
      <c r="B7" s="108" t="s">
        <v>14617</v>
      </c>
      <c r="C7" s="109">
        <v>40842</v>
      </c>
      <c r="D7" s="108"/>
      <c r="E7" s="108" t="s">
        <v>14605</v>
      </c>
      <c r="F7" s="108" t="s">
        <v>14618</v>
      </c>
      <c r="G7" s="110"/>
      <c r="H7" s="108"/>
      <c r="I7" s="108"/>
    </row>
    <row r="8" spans="1:9">
      <c r="A8" s="108" t="s">
        <v>169</v>
      </c>
      <c r="B8" s="108" t="s">
        <v>14619</v>
      </c>
      <c r="C8" s="109">
        <v>41855</v>
      </c>
      <c r="D8" s="108"/>
      <c r="E8" s="108" t="s">
        <v>14605</v>
      </c>
      <c r="F8" s="108" t="s">
        <v>14620</v>
      </c>
      <c r="G8" s="110"/>
      <c r="H8" s="108"/>
      <c r="I8" s="108"/>
    </row>
    <row r="9" spans="1:9">
      <c r="A9" s="108" t="s">
        <v>14613</v>
      </c>
      <c r="B9" s="108" t="s">
        <v>14621</v>
      </c>
      <c r="C9" s="109">
        <v>40084</v>
      </c>
      <c r="D9" s="108"/>
      <c r="E9" s="108" t="s">
        <v>14605</v>
      </c>
      <c r="F9" s="108" t="s">
        <v>4898</v>
      </c>
      <c r="G9" s="110"/>
      <c r="H9" s="108"/>
      <c r="I9" s="108"/>
    </row>
    <row r="10" spans="1:9">
      <c r="A10" s="108" t="s">
        <v>14622</v>
      </c>
      <c r="B10" s="108" t="s">
        <v>14623</v>
      </c>
      <c r="C10" s="109">
        <v>40864</v>
      </c>
      <c r="D10" s="108"/>
      <c r="E10" s="108" t="s">
        <v>14605</v>
      </c>
      <c r="F10" s="108" t="s">
        <v>14624</v>
      </c>
      <c r="G10" s="110"/>
      <c r="H10" s="108"/>
      <c r="I10" s="108"/>
    </row>
    <row r="11" spans="1:9">
      <c r="A11" s="108" t="s">
        <v>14613</v>
      </c>
      <c r="B11" s="108" t="s">
        <v>14625</v>
      </c>
      <c r="C11" s="109">
        <v>40835</v>
      </c>
      <c r="D11" s="108"/>
      <c r="E11" s="108" t="s">
        <v>14605</v>
      </c>
      <c r="F11" s="108" t="s">
        <v>14626</v>
      </c>
      <c r="G11" s="110"/>
      <c r="H11" s="108"/>
      <c r="I11" s="108"/>
    </row>
    <row r="12" spans="1:9">
      <c r="A12" s="108" t="s">
        <v>14627</v>
      </c>
      <c r="B12" s="108" t="s">
        <v>14628</v>
      </c>
      <c r="C12" s="109">
        <v>40928</v>
      </c>
      <c r="D12" s="108"/>
      <c r="E12" s="108" t="s">
        <v>14605</v>
      </c>
      <c r="F12" s="108" t="s">
        <v>14629</v>
      </c>
      <c r="G12" s="110"/>
      <c r="H12" s="108"/>
      <c r="I12" s="108"/>
    </row>
    <row r="13" spans="1:9">
      <c r="A13" s="108" t="s">
        <v>14627</v>
      </c>
      <c r="B13" s="108" t="s">
        <v>14630</v>
      </c>
      <c r="C13" s="109">
        <v>40948</v>
      </c>
      <c r="D13" s="108"/>
      <c r="E13" s="108" t="s">
        <v>14605</v>
      </c>
      <c r="F13" s="108" t="s">
        <v>14631</v>
      </c>
      <c r="G13" s="110"/>
      <c r="H13" s="108"/>
      <c r="I13" s="108"/>
    </row>
    <row r="14" spans="1:9">
      <c r="A14" s="108" t="s">
        <v>14622</v>
      </c>
      <c r="B14" s="108" t="s">
        <v>14632</v>
      </c>
      <c r="C14" s="109">
        <v>41103</v>
      </c>
      <c r="D14" s="108"/>
      <c r="E14" s="108" t="s">
        <v>14605</v>
      </c>
      <c r="F14" s="108" t="s">
        <v>14633</v>
      </c>
      <c r="G14" s="110"/>
      <c r="H14" s="108"/>
      <c r="I14" s="108"/>
    </row>
    <row r="15" spans="1:9">
      <c r="A15" s="108" t="s">
        <v>14634</v>
      </c>
      <c r="B15" s="108" t="s">
        <v>14635</v>
      </c>
      <c r="C15" s="109">
        <v>41310</v>
      </c>
      <c r="D15" s="108"/>
      <c r="E15" s="108" t="s">
        <v>14636</v>
      </c>
      <c r="F15" s="108" t="s">
        <v>14637</v>
      </c>
      <c r="G15" s="110"/>
      <c r="H15" s="108"/>
      <c r="I15" s="108"/>
    </row>
    <row r="16" spans="1:9">
      <c r="A16" s="108" t="s">
        <v>14613</v>
      </c>
      <c r="B16" s="108" t="s">
        <v>14638</v>
      </c>
      <c r="C16" s="109">
        <v>41352</v>
      </c>
      <c r="D16" s="108"/>
      <c r="E16" s="108" t="s">
        <v>14605</v>
      </c>
      <c r="F16" s="108" t="s">
        <v>5018</v>
      </c>
      <c r="G16" s="110"/>
      <c r="H16" s="108"/>
      <c r="I16" s="108"/>
    </row>
    <row r="17" spans="1:9">
      <c r="A17" s="108" t="s">
        <v>14622</v>
      </c>
      <c r="B17" s="108" t="s">
        <v>14639</v>
      </c>
      <c r="C17" s="109">
        <v>41481</v>
      </c>
      <c r="D17" s="108"/>
      <c r="E17" s="108" t="s">
        <v>14605</v>
      </c>
      <c r="F17" s="108" t="s">
        <v>14640</v>
      </c>
      <c r="G17" s="110"/>
      <c r="H17" s="108"/>
      <c r="I17" s="108"/>
    </row>
    <row r="18" spans="1:9" ht="27.6">
      <c r="A18" s="108" t="s">
        <v>14634</v>
      </c>
      <c r="B18" s="108" t="s">
        <v>14641</v>
      </c>
      <c r="C18" s="109">
        <v>41570</v>
      </c>
      <c r="D18" s="108"/>
      <c r="E18" s="108" t="s">
        <v>14605</v>
      </c>
      <c r="F18" s="108" t="s">
        <v>691</v>
      </c>
      <c r="G18" s="110"/>
      <c r="H18" s="108"/>
      <c r="I18" s="108"/>
    </row>
    <row r="19" spans="1:9">
      <c r="A19" s="108" t="s">
        <v>14622</v>
      </c>
      <c r="B19" s="108" t="s">
        <v>14642</v>
      </c>
      <c r="C19" s="109">
        <v>41599</v>
      </c>
      <c r="D19" s="108"/>
      <c r="E19" s="108" t="s">
        <v>14605</v>
      </c>
      <c r="F19" s="108" t="s">
        <v>706</v>
      </c>
      <c r="G19" s="110"/>
      <c r="H19" s="108"/>
      <c r="I19" s="108"/>
    </row>
    <row r="20" spans="1:9">
      <c r="A20" s="108" t="s">
        <v>14634</v>
      </c>
      <c r="B20" s="108" t="s">
        <v>14643</v>
      </c>
      <c r="C20" s="109">
        <v>41620</v>
      </c>
      <c r="D20" s="108"/>
      <c r="E20" s="108" t="s">
        <v>14605</v>
      </c>
      <c r="F20" s="108" t="s">
        <v>14644</v>
      </c>
      <c r="G20" s="110"/>
      <c r="H20" s="108"/>
      <c r="I20" s="108"/>
    </row>
    <row r="21" spans="1:9" ht="27.6">
      <c r="A21" s="108" t="s">
        <v>14634</v>
      </c>
      <c r="B21" s="108" t="s">
        <v>14645</v>
      </c>
      <c r="C21" s="109">
        <v>41661</v>
      </c>
      <c r="D21" s="108"/>
      <c r="E21" s="108" t="s">
        <v>14605</v>
      </c>
      <c r="F21" s="108" t="s">
        <v>4000</v>
      </c>
      <c r="G21" s="110"/>
      <c r="H21" s="108"/>
      <c r="I21" s="108"/>
    </row>
    <row r="22" spans="1:9">
      <c r="A22" s="108" t="s">
        <v>14634</v>
      </c>
      <c r="B22" s="108" t="s">
        <v>14646</v>
      </c>
      <c r="C22" s="109">
        <v>41709</v>
      </c>
      <c r="D22" s="108"/>
      <c r="E22" s="108" t="s">
        <v>14605</v>
      </c>
      <c r="F22" s="108" t="s">
        <v>14647</v>
      </c>
      <c r="G22" s="110"/>
      <c r="H22" s="108"/>
      <c r="I22" s="108"/>
    </row>
    <row r="23" spans="1:9">
      <c r="A23" s="108" t="s">
        <v>14634</v>
      </c>
      <c r="B23" s="108" t="s">
        <v>14648</v>
      </c>
      <c r="C23" s="109">
        <v>42205</v>
      </c>
      <c r="D23" s="108"/>
      <c r="E23" s="108" t="s">
        <v>14605</v>
      </c>
      <c r="F23" s="108" t="s">
        <v>14649</v>
      </c>
      <c r="G23" s="110"/>
      <c r="H23" s="108"/>
      <c r="I23" s="108"/>
    </row>
    <row r="24" spans="1:9">
      <c r="A24" s="108" t="s">
        <v>14634</v>
      </c>
      <c r="B24" s="108" t="s">
        <v>14650</v>
      </c>
      <c r="C24" s="109">
        <v>42205</v>
      </c>
      <c r="D24" s="108"/>
      <c r="E24" s="108" t="s">
        <v>14605</v>
      </c>
      <c r="F24" s="108" t="s">
        <v>14649</v>
      </c>
      <c r="G24" s="110"/>
      <c r="H24" s="108"/>
      <c r="I24" s="108"/>
    </row>
    <row r="25" spans="1:9">
      <c r="A25" s="108" t="s">
        <v>14634</v>
      </c>
      <c r="B25" s="108" t="s">
        <v>14651</v>
      </c>
      <c r="C25" s="109">
        <v>42229</v>
      </c>
      <c r="D25" s="108"/>
      <c r="E25" s="108" t="s">
        <v>14605</v>
      </c>
      <c r="F25" s="108" t="s">
        <v>14652</v>
      </c>
      <c r="G25" s="110"/>
      <c r="H25" s="108"/>
      <c r="I25" s="108"/>
    </row>
    <row r="26" spans="1:9">
      <c r="A26" s="108" t="s">
        <v>14634</v>
      </c>
      <c r="B26" s="108" t="s">
        <v>14653</v>
      </c>
      <c r="C26" s="109">
        <v>42297</v>
      </c>
      <c r="D26" s="108"/>
      <c r="E26" s="108" t="s">
        <v>14605</v>
      </c>
      <c r="F26" s="108" t="s">
        <v>14654</v>
      </c>
      <c r="G26" s="110"/>
      <c r="H26" s="108"/>
      <c r="I26" s="108"/>
    </row>
    <row r="27" spans="1:9">
      <c r="A27" s="108" t="s">
        <v>14634</v>
      </c>
      <c r="B27" s="108" t="s">
        <v>14655</v>
      </c>
      <c r="C27" s="109">
        <v>42375</v>
      </c>
      <c r="D27" s="108"/>
      <c r="E27" s="108" t="s">
        <v>14605</v>
      </c>
      <c r="F27" s="108" t="s">
        <v>14656</v>
      </c>
      <c r="G27" s="110"/>
      <c r="H27" s="108"/>
      <c r="I27" s="108"/>
    </row>
    <row r="28" spans="1:9">
      <c r="A28" s="108" t="s">
        <v>169</v>
      </c>
      <c r="B28" s="108" t="s">
        <v>14657</v>
      </c>
      <c r="C28" s="109">
        <v>41700</v>
      </c>
      <c r="D28" s="108"/>
      <c r="E28" s="108" t="s">
        <v>14605</v>
      </c>
      <c r="F28" s="108" t="s">
        <v>14658</v>
      </c>
      <c r="G28" s="110"/>
      <c r="H28" s="108"/>
      <c r="I28" s="108"/>
    </row>
    <row r="29" spans="1:9">
      <c r="A29" s="108" t="s">
        <v>14634</v>
      </c>
      <c r="B29" s="108" t="s">
        <v>14659</v>
      </c>
      <c r="C29" s="109">
        <v>42415</v>
      </c>
      <c r="D29" s="108"/>
      <c r="E29" s="108" t="s">
        <v>14605</v>
      </c>
      <c r="F29" s="108" t="s">
        <v>5227</v>
      </c>
      <c r="G29" s="110"/>
      <c r="H29" s="108"/>
      <c r="I29" s="108"/>
    </row>
    <row r="30" spans="1:9">
      <c r="A30" s="108" t="s">
        <v>14627</v>
      </c>
      <c r="B30" s="108" t="s">
        <v>14660</v>
      </c>
      <c r="C30" s="109">
        <v>42516</v>
      </c>
      <c r="D30" s="108"/>
      <c r="E30" s="108" t="s">
        <v>14605</v>
      </c>
      <c r="F30" s="108" t="s">
        <v>14661</v>
      </c>
      <c r="G30" s="110"/>
      <c r="H30" s="108"/>
      <c r="I30" s="108"/>
    </row>
    <row r="31" spans="1:9">
      <c r="A31" s="108" t="s">
        <v>14662</v>
      </c>
      <c r="B31" s="108" t="s">
        <v>14663</v>
      </c>
      <c r="C31" s="109">
        <v>42649</v>
      </c>
      <c r="D31" s="108"/>
      <c r="E31" s="108" t="s">
        <v>14605</v>
      </c>
      <c r="F31" s="108" t="s">
        <v>14664</v>
      </c>
      <c r="G31" s="110"/>
      <c r="H31" s="108"/>
      <c r="I31" s="108"/>
    </row>
    <row r="32" spans="1:9">
      <c r="A32" s="108" t="s">
        <v>14662</v>
      </c>
      <c r="B32" s="108" t="s">
        <v>14665</v>
      </c>
      <c r="C32" s="109">
        <v>42646</v>
      </c>
      <c r="D32" s="108"/>
      <c r="E32" s="108" t="s">
        <v>14636</v>
      </c>
      <c r="F32" s="108" t="s">
        <v>1519</v>
      </c>
      <c r="G32" s="110"/>
      <c r="H32" s="108"/>
      <c r="I32" s="108"/>
    </row>
    <row r="33" spans="1:9">
      <c r="A33" s="108" t="s">
        <v>14662</v>
      </c>
      <c r="B33" s="108" t="s">
        <v>14666</v>
      </c>
      <c r="C33" s="109">
        <v>42752</v>
      </c>
      <c r="D33" s="108"/>
      <c r="E33" s="108" t="s">
        <v>14605</v>
      </c>
      <c r="F33" s="108" t="s">
        <v>1519</v>
      </c>
      <c r="G33" s="110"/>
      <c r="H33" s="108"/>
      <c r="I33" s="108"/>
    </row>
    <row r="34" spans="1:9" ht="27.6">
      <c r="A34" s="108" t="s">
        <v>14662</v>
      </c>
      <c r="B34" s="108" t="s">
        <v>14667</v>
      </c>
      <c r="C34" s="109">
        <v>42779</v>
      </c>
      <c r="D34" s="108"/>
      <c r="E34" s="108" t="s">
        <v>14605</v>
      </c>
      <c r="F34" s="108" t="s">
        <v>2795</v>
      </c>
      <c r="G34" s="110"/>
      <c r="H34" s="108"/>
      <c r="I34" s="108"/>
    </row>
    <row r="35" spans="1:9" ht="27.6">
      <c r="A35" s="108" t="s">
        <v>14662</v>
      </c>
      <c r="B35" s="108" t="s">
        <v>14668</v>
      </c>
      <c r="C35" s="109">
        <v>42845</v>
      </c>
      <c r="D35" s="108"/>
      <c r="E35" s="108" t="s">
        <v>14605</v>
      </c>
      <c r="F35" s="108" t="s">
        <v>2795</v>
      </c>
      <c r="G35" s="110"/>
      <c r="H35" s="108"/>
      <c r="I35" s="108"/>
    </row>
    <row r="36" spans="1:9" ht="27.6">
      <c r="A36" s="108" t="s">
        <v>14662</v>
      </c>
      <c r="B36" s="108" t="s">
        <v>14669</v>
      </c>
      <c r="C36" s="109">
        <v>42977</v>
      </c>
      <c r="D36" s="108"/>
      <c r="E36" s="108" t="s">
        <v>14605</v>
      </c>
      <c r="F36" s="108" t="s">
        <v>2795</v>
      </c>
      <c r="G36" s="110"/>
      <c r="H36" s="108"/>
      <c r="I36" s="108"/>
    </row>
    <row r="37" spans="1:9">
      <c r="A37" s="108" t="s">
        <v>14662</v>
      </c>
      <c r="B37" s="108" t="s">
        <v>14670</v>
      </c>
      <c r="C37" s="109">
        <v>42912</v>
      </c>
      <c r="D37" s="108"/>
      <c r="E37" s="108" t="s">
        <v>14605</v>
      </c>
      <c r="F37" s="108" t="s">
        <v>4898</v>
      </c>
      <c r="G37" s="110"/>
      <c r="H37" s="108"/>
      <c r="I37" s="108"/>
    </row>
    <row r="38" spans="1:9">
      <c r="A38" s="108" t="s">
        <v>14662</v>
      </c>
      <c r="B38" s="108" t="s">
        <v>14671</v>
      </c>
      <c r="C38" s="109">
        <v>43277</v>
      </c>
      <c r="D38" s="108"/>
      <c r="E38" s="108" t="s">
        <v>14605</v>
      </c>
      <c r="F38" s="108" t="s">
        <v>14672</v>
      </c>
      <c r="G38" s="110"/>
      <c r="H38" s="108"/>
      <c r="I38" s="108"/>
    </row>
    <row r="39" spans="1:9">
      <c r="A39" s="108"/>
      <c r="B39" s="108" t="s">
        <v>14673</v>
      </c>
      <c r="C39" s="109">
        <v>39052</v>
      </c>
      <c r="D39" s="108"/>
      <c r="E39" s="108" t="s">
        <v>14611</v>
      </c>
      <c r="F39" s="108" t="s">
        <v>14674</v>
      </c>
      <c r="G39" s="110"/>
      <c r="H39" s="108"/>
      <c r="I39" s="108"/>
    </row>
    <row r="40" spans="1:9" ht="27.6">
      <c r="A40" s="108"/>
      <c r="B40" s="108" t="s">
        <v>3412</v>
      </c>
      <c r="C40" s="109">
        <v>40014</v>
      </c>
      <c r="D40" s="108"/>
      <c r="E40" s="108" t="s">
        <v>14611</v>
      </c>
      <c r="F40" s="108" t="s">
        <v>3413</v>
      </c>
      <c r="G40" s="110"/>
      <c r="H40" s="108"/>
      <c r="I40" s="108"/>
    </row>
    <row r="41" spans="1:9">
      <c r="A41" s="108" t="s">
        <v>1465</v>
      </c>
      <c r="B41" s="108" t="s">
        <v>3051</v>
      </c>
      <c r="C41" s="109">
        <v>40492</v>
      </c>
      <c r="D41" s="108"/>
      <c r="E41" s="108" t="s">
        <v>14611</v>
      </c>
      <c r="F41" s="108" t="s">
        <v>3044</v>
      </c>
      <c r="G41" s="110"/>
      <c r="H41" s="108"/>
      <c r="I41" s="108"/>
    </row>
    <row r="42" spans="1:9">
      <c r="A42" s="108" t="s">
        <v>1465</v>
      </c>
      <c r="B42" s="108" t="s">
        <v>14675</v>
      </c>
      <c r="C42" s="109">
        <v>40970</v>
      </c>
      <c r="D42" s="108"/>
      <c r="E42" s="108" t="s">
        <v>14611</v>
      </c>
      <c r="F42" s="108" t="s">
        <v>14676</v>
      </c>
      <c r="G42" s="110"/>
      <c r="H42" s="108"/>
      <c r="I42" s="108"/>
    </row>
    <row r="43" spans="1:9" ht="27.6">
      <c r="A43" s="108" t="s">
        <v>1465</v>
      </c>
      <c r="B43" s="108" t="s">
        <v>14677</v>
      </c>
      <c r="C43" s="109">
        <v>41373</v>
      </c>
      <c r="D43" s="108"/>
      <c r="E43" s="108" t="s">
        <v>14611</v>
      </c>
      <c r="F43" s="108" t="s">
        <v>14678</v>
      </c>
      <c r="G43" s="110"/>
      <c r="H43" s="108"/>
      <c r="I43" s="108"/>
    </row>
    <row r="44" spans="1:9" ht="27.6">
      <c r="A44" s="108" t="s">
        <v>14679</v>
      </c>
      <c r="B44" s="108" t="s">
        <v>407</v>
      </c>
      <c r="C44" s="109">
        <v>41297</v>
      </c>
      <c r="D44" s="108"/>
      <c r="E44" s="108" t="s">
        <v>14611</v>
      </c>
      <c r="F44" s="108" t="s">
        <v>394</v>
      </c>
      <c r="G44" s="110"/>
      <c r="H44" s="108"/>
      <c r="I44" s="108"/>
    </row>
    <row r="45" spans="1:9" ht="27.6">
      <c r="A45" s="108"/>
      <c r="B45" s="108" t="s">
        <v>14680</v>
      </c>
      <c r="C45" s="109">
        <v>40955</v>
      </c>
      <c r="D45" s="108"/>
      <c r="E45" s="108" t="s">
        <v>14605</v>
      </c>
      <c r="F45" s="108" t="s">
        <v>14681</v>
      </c>
      <c r="G45" s="110"/>
      <c r="H45" s="108"/>
      <c r="I45" s="108"/>
    </row>
    <row r="46" spans="1:9">
      <c r="A46" s="108"/>
      <c r="B46" s="108" t="s">
        <v>14682</v>
      </c>
      <c r="C46" s="109">
        <v>41353</v>
      </c>
      <c r="D46" s="108"/>
      <c r="E46" s="108" t="s">
        <v>14605</v>
      </c>
      <c r="F46" s="108" t="s">
        <v>14683</v>
      </c>
      <c r="G46" s="110"/>
      <c r="H46" s="108"/>
      <c r="I46" s="108"/>
    </row>
    <row r="47" spans="1:9">
      <c r="A47" s="108" t="s">
        <v>1465</v>
      </c>
      <c r="B47" s="108" t="s">
        <v>14684</v>
      </c>
      <c r="C47" s="109">
        <v>41439</v>
      </c>
      <c r="D47" s="108"/>
      <c r="E47" s="108" t="s">
        <v>14611</v>
      </c>
      <c r="F47" s="108" t="s">
        <v>14685</v>
      </c>
      <c r="G47" s="110"/>
      <c r="H47" s="108"/>
      <c r="I47" s="108"/>
    </row>
    <row r="48" spans="1:9" ht="27.6">
      <c r="A48" s="108"/>
      <c r="B48" s="108" t="s">
        <v>14686</v>
      </c>
      <c r="C48" s="109">
        <v>41338</v>
      </c>
      <c r="D48" s="108"/>
      <c r="E48" s="108" t="s">
        <v>14605</v>
      </c>
      <c r="F48" s="108" t="s">
        <v>14687</v>
      </c>
      <c r="G48" s="110"/>
      <c r="H48" s="108"/>
      <c r="I48" s="108"/>
    </row>
    <row r="49" spans="1:9">
      <c r="A49" s="108"/>
      <c r="B49" s="108" t="s">
        <v>14688</v>
      </c>
      <c r="C49" s="109">
        <v>41540</v>
      </c>
      <c r="D49" s="108"/>
      <c r="E49" s="108" t="s">
        <v>14605</v>
      </c>
      <c r="F49" s="108" t="s">
        <v>14689</v>
      </c>
      <c r="G49" s="110"/>
      <c r="H49" s="108"/>
      <c r="I49" s="108"/>
    </row>
    <row r="50" spans="1:9">
      <c r="A50" s="108" t="s">
        <v>2002</v>
      </c>
      <c r="B50" s="108" t="s">
        <v>1119</v>
      </c>
      <c r="C50" s="109">
        <v>41921</v>
      </c>
      <c r="D50" s="108"/>
      <c r="E50" s="108" t="s">
        <v>14611</v>
      </c>
      <c r="F50" s="108" t="s">
        <v>1106</v>
      </c>
      <c r="G50" s="110"/>
      <c r="H50" s="108"/>
      <c r="I50" s="108"/>
    </row>
    <row r="51" spans="1:9">
      <c r="A51" s="108"/>
      <c r="B51" s="108" t="s">
        <v>1759</v>
      </c>
      <c r="C51" s="109">
        <v>41988</v>
      </c>
      <c r="D51" s="108"/>
      <c r="E51" s="108" t="s">
        <v>14605</v>
      </c>
      <c r="F51" s="108" t="s">
        <v>1756</v>
      </c>
      <c r="G51" s="110"/>
      <c r="H51" s="108"/>
      <c r="I51" s="108"/>
    </row>
    <row r="52" spans="1:9">
      <c r="A52" s="108"/>
      <c r="B52" s="108" t="s">
        <v>1891</v>
      </c>
      <c r="C52" s="109">
        <v>42139</v>
      </c>
      <c r="D52" s="108"/>
      <c r="E52" s="108" t="s">
        <v>14611</v>
      </c>
      <c r="F52" s="108" t="s">
        <v>1890</v>
      </c>
      <c r="G52" s="110"/>
      <c r="H52" s="108"/>
      <c r="I52" s="108"/>
    </row>
    <row r="53" spans="1:9" ht="27.6">
      <c r="A53" s="108" t="s">
        <v>14690</v>
      </c>
      <c r="B53" s="108" t="s">
        <v>3938</v>
      </c>
      <c r="C53" s="109">
        <v>40721</v>
      </c>
      <c r="D53" s="108"/>
      <c r="E53" s="108" t="s">
        <v>14611</v>
      </c>
      <c r="F53" s="108" t="s">
        <v>3922</v>
      </c>
      <c r="G53" s="110"/>
      <c r="H53" s="108"/>
      <c r="I53" s="108"/>
    </row>
    <row r="54" spans="1:9" ht="27.6">
      <c r="A54" s="108" t="s">
        <v>237</v>
      </c>
      <c r="B54" s="108" t="s">
        <v>2413</v>
      </c>
      <c r="C54" s="109">
        <v>40925</v>
      </c>
      <c r="D54" s="108"/>
      <c r="E54" s="108" t="s">
        <v>14611</v>
      </c>
      <c r="F54" s="108" t="s">
        <v>2405</v>
      </c>
      <c r="G54" s="110"/>
      <c r="H54" s="108"/>
      <c r="I54" s="108"/>
    </row>
    <row r="55" spans="1:9">
      <c r="A55" s="108"/>
      <c r="B55" s="108" t="s">
        <v>4752</v>
      </c>
      <c r="C55" s="109">
        <v>41395</v>
      </c>
      <c r="D55" s="108"/>
      <c r="E55" s="108" t="s">
        <v>14611</v>
      </c>
      <c r="F55" s="108" t="s">
        <v>4732</v>
      </c>
      <c r="G55" s="110"/>
      <c r="H55" s="108"/>
      <c r="I55" s="108"/>
    </row>
    <row r="56" spans="1:9">
      <c r="A56" s="108"/>
      <c r="B56" s="108" t="s">
        <v>2683</v>
      </c>
      <c r="C56" s="109">
        <v>41200</v>
      </c>
      <c r="D56" s="108"/>
      <c r="E56" s="108" t="s">
        <v>14611</v>
      </c>
      <c r="F56" s="108" t="s">
        <v>14691</v>
      </c>
      <c r="G56" s="110"/>
      <c r="H56" s="108"/>
      <c r="I56" s="108"/>
    </row>
    <row r="57" spans="1:9" ht="27.6">
      <c r="A57" s="108" t="s">
        <v>14690</v>
      </c>
      <c r="B57" s="108" t="s">
        <v>14692</v>
      </c>
      <c r="C57" s="109">
        <v>41793</v>
      </c>
      <c r="D57" s="108"/>
      <c r="E57" s="108" t="s">
        <v>14611</v>
      </c>
      <c r="F57" s="108" t="s">
        <v>14693</v>
      </c>
      <c r="G57" s="110"/>
      <c r="H57" s="108"/>
      <c r="I57" s="108"/>
    </row>
    <row r="58" spans="1:9">
      <c r="A58" s="108"/>
      <c r="B58" s="108" t="s">
        <v>1905</v>
      </c>
      <c r="C58" s="109">
        <v>41281</v>
      </c>
      <c r="D58" s="108"/>
      <c r="E58" s="108" t="s">
        <v>14611</v>
      </c>
      <c r="F58" s="108" t="s">
        <v>1904</v>
      </c>
      <c r="G58" s="110"/>
      <c r="H58" s="108"/>
      <c r="I58" s="108"/>
    </row>
    <row r="59" spans="1:9" ht="27.6">
      <c r="A59" s="108" t="s">
        <v>14690</v>
      </c>
      <c r="B59" s="108" t="s">
        <v>14694</v>
      </c>
      <c r="C59" s="109">
        <v>41199</v>
      </c>
      <c r="D59" s="108"/>
      <c r="E59" s="108" t="s">
        <v>14611</v>
      </c>
      <c r="F59" s="108" t="s">
        <v>14695</v>
      </c>
      <c r="G59" s="110"/>
      <c r="H59" s="108"/>
      <c r="I59" s="108"/>
    </row>
    <row r="60" spans="1:9">
      <c r="A60" s="108" t="s">
        <v>237</v>
      </c>
      <c r="B60" s="108" t="s">
        <v>4432</v>
      </c>
      <c r="C60" s="109">
        <v>40935</v>
      </c>
      <c r="D60" s="108"/>
      <c r="E60" s="108" t="s">
        <v>14611</v>
      </c>
      <c r="F60" s="108" t="s">
        <v>4431</v>
      </c>
      <c r="G60" s="110"/>
      <c r="H60" s="108"/>
      <c r="I60" s="108"/>
    </row>
    <row r="61" spans="1:9">
      <c r="A61" s="108" t="s">
        <v>237</v>
      </c>
      <c r="B61" s="108" t="s">
        <v>4941</v>
      </c>
      <c r="C61" s="109">
        <v>41206</v>
      </c>
      <c r="D61" s="108"/>
      <c r="E61" s="108" t="s">
        <v>14611</v>
      </c>
      <c r="F61" s="108" t="s">
        <v>4920</v>
      </c>
      <c r="G61" s="110"/>
      <c r="H61" s="108"/>
      <c r="I61" s="108"/>
    </row>
    <row r="62" spans="1:9" ht="27.6">
      <c r="A62" s="108" t="s">
        <v>237</v>
      </c>
      <c r="B62" s="108" t="s">
        <v>14696</v>
      </c>
      <c r="C62" s="109">
        <v>41473</v>
      </c>
      <c r="D62" s="108"/>
      <c r="E62" s="108" t="s">
        <v>14611</v>
      </c>
      <c r="F62" s="108" t="s">
        <v>14697</v>
      </c>
      <c r="G62" s="110"/>
      <c r="H62" s="108"/>
      <c r="I62" s="108"/>
    </row>
    <row r="63" spans="1:9">
      <c r="A63" s="108" t="s">
        <v>237</v>
      </c>
      <c r="B63" s="108" t="s">
        <v>4824</v>
      </c>
      <c r="C63" s="109">
        <v>41309</v>
      </c>
      <c r="D63" s="108"/>
      <c r="E63" s="108" t="s">
        <v>14611</v>
      </c>
      <c r="F63" s="108" t="s">
        <v>4818</v>
      </c>
      <c r="G63" s="110"/>
      <c r="H63" s="108"/>
      <c r="I63" s="108"/>
    </row>
    <row r="64" spans="1:9">
      <c r="A64" s="108"/>
      <c r="B64" s="108" t="s">
        <v>4234</v>
      </c>
      <c r="C64" s="109">
        <v>41000</v>
      </c>
      <c r="D64" s="108"/>
      <c r="E64" s="108" t="s">
        <v>14605</v>
      </c>
      <c r="F64" s="108" t="s">
        <v>4229</v>
      </c>
      <c r="G64" s="110"/>
      <c r="H64" s="108"/>
      <c r="I64" s="108"/>
    </row>
    <row r="65" spans="1:9">
      <c r="A65" s="108"/>
      <c r="B65" s="108" t="s">
        <v>4885</v>
      </c>
      <c r="C65" s="109">
        <v>41135</v>
      </c>
      <c r="D65" s="108"/>
      <c r="E65" s="108" t="s">
        <v>14605</v>
      </c>
      <c r="F65" s="108" t="s">
        <v>4857</v>
      </c>
      <c r="G65" s="110"/>
      <c r="H65" s="108"/>
      <c r="I65" s="108"/>
    </row>
    <row r="66" spans="1:9" ht="27.6">
      <c r="A66" s="108"/>
      <c r="B66" s="108" t="s">
        <v>14698</v>
      </c>
      <c r="C66" s="109">
        <v>41109</v>
      </c>
      <c r="D66" s="108"/>
      <c r="E66" s="108" t="s">
        <v>14605</v>
      </c>
      <c r="F66" s="108" t="s">
        <v>14699</v>
      </c>
      <c r="G66" s="110"/>
      <c r="H66" s="108"/>
      <c r="I66" s="108"/>
    </row>
    <row r="67" spans="1:9">
      <c r="A67" s="108" t="s">
        <v>316</v>
      </c>
      <c r="B67" s="108" t="s">
        <v>14700</v>
      </c>
      <c r="C67" s="109">
        <v>41191</v>
      </c>
      <c r="D67" s="108"/>
      <c r="E67" s="108" t="s">
        <v>14611</v>
      </c>
      <c r="F67" s="108" t="s">
        <v>14701</v>
      </c>
      <c r="G67" s="110"/>
      <c r="H67" s="108"/>
      <c r="I67" s="108"/>
    </row>
    <row r="68" spans="1:9" ht="27.6">
      <c r="A68" s="108"/>
      <c r="B68" s="108" t="s">
        <v>1791</v>
      </c>
      <c r="C68" s="109">
        <v>41480</v>
      </c>
      <c r="D68" s="108"/>
      <c r="E68" s="108" t="s">
        <v>14611</v>
      </c>
      <c r="F68" s="108" t="s">
        <v>1770</v>
      </c>
      <c r="G68" s="110"/>
      <c r="H68" s="108"/>
      <c r="I68" s="108"/>
    </row>
    <row r="69" spans="1:9">
      <c r="A69" s="108"/>
      <c r="B69" s="108" t="s">
        <v>14702</v>
      </c>
      <c r="C69" s="109">
        <v>41386</v>
      </c>
      <c r="D69" s="108"/>
      <c r="E69" s="108" t="s">
        <v>14611</v>
      </c>
      <c r="F69" s="108" t="s">
        <v>14674</v>
      </c>
      <c r="G69" s="110"/>
      <c r="H69" s="108"/>
      <c r="I69" s="108"/>
    </row>
    <row r="70" spans="1:9" ht="27.6">
      <c r="A70" s="108" t="s">
        <v>14690</v>
      </c>
      <c r="B70" s="108" t="s">
        <v>2978</v>
      </c>
      <c r="C70" s="109">
        <v>41501</v>
      </c>
      <c r="D70" s="108"/>
      <c r="E70" s="108" t="s">
        <v>14611</v>
      </c>
      <c r="F70" s="108" t="s">
        <v>2967</v>
      </c>
      <c r="G70" s="110"/>
      <c r="H70" s="108"/>
      <c r="I70" s="108"/>
    </row>
    <row r="71" spans="1:9">
      <c r="A71" s="108" t="s">
        <v>237</v>
      </c>
      <c r="B71" s="108" t="s">
        <v>14703</v>
      </c>
      <c r="C71" s="109">
        <v>42437</v>
      </c>
      <c r="D71" s="108"/>
      <c r="E71" s="108" t="s">
        <v>14611</v>
      </c>
      <c r="F71" s="108" t="s">
        <v>14704</v>
      </c>
      <c r="G71" s="110"/>
      <c r="H71" s="108"/>
      <c r="I71" s="108"/>
    </row>
    <row r="72" spans="1:9" ht="27.6">
      <c r="A72" s="108" t="s">
        <v>237</v>
      </c>
      <c r="B72" s="108" t="s">
        <v>14705</v>
      </c>
      <c r="C72" s="109">
        <v>41473</v>
      </c>
      <c r="D72" s="108"/>
      <c r="E72" s="108" t="s">
        <v>14611</v>
      </c>
      <c r="F72" s="108" t="s">
        <v>14706</v>
      </c>
      <c r="G72" s="110"/>
      <c r="H72" s="108"/>
      <c r="I72" s="108"/>
    </row>
    <row r="73" spans="1:9">
      <c r="A73" s="108" t="s">
        <v>237</v>
      </c>
      <c r="B73" s="108" t="s">
        <v>1095</v>
      </c>
      <c r="C73" s="109">
        <v>41611</v>
      </c>
      <c r="D73" s="108"/>
      <c r="E73" s="108" t="s">
        <v>14611</v>
      </c>
      <c r="F73" s="108" t="s">
        <v>1092</v>
      </c>
      <c r="G73" s="110"/>
      <c r="H73" s="108"/>
      <c r="I73" s="108"/>
    </row>
    <row r="74" spans="1:9">
      <c r="A74" s="108" t="s">
        <v>237</v>
      </c>
      <c r="B74" s="108" t="s">
        <v>4730</v>
      </c>
      <c r="C74" s="109">
        <v>41659</v>
      </c>
      <c r="D74" s="108"/>
      <c r="E74" s="108" t="s">
        <v>14611</v>
      </c>
      <c r="F74" s="108" t="s">
        <v>4702</v>
      </c>
      <c r="G74" s="110"/>
      <c r="H74" s="108"/>
      <c r="I74" s="108"/>
    </row>
    <row r="75" spans="1:9" ht="27.6">
      <c r="A75" s="108" t="s">
        <v>237</v>
      </c>
      <c r="B75" s="108" t="s">
        <v>14707</v>
      </c>
      <c r="C75" s="109">
        <v>41753</v>
      </c>
      <c r="D75" s="108"/>
      <c r="E75" s="108" t="s">
        <v>14611</v>
      </c>
      <c r="F75" s="108" t="s">
        <v>14706</v>
      </c>
      <c r="G75" s="110"/>
      <c r="H75" s="108"/>
      <c r="I75" s="108"/>
    </row>
    <row r="76" spans="1:9">
      <c r="A76" s="108" t="s">
        <v>2002</v>
      </c>
      <c r="B76" s="108" t="s">
        <v>2470</v>
      </c>
      <c r="C76" s="109">
        <v>41496</v>
      </c>
      <c r="D76" s="108"/>
      <c r="E76" s="108" t="s">
        <v>14605</v>
      </c>
      <c r="F76" s="108" t="s">
        <v>2461</v>
      </c>
      <c r="G76" s="110"/>
      <c r="H76" s="108"/>
      <c r="I76" s="108"/>
    </row>
    <row r="77" spans="1:9" ht="27.6">
      <c r="A77" s="108"/>
      <c r="B77" s="108" t="s">
        <v>14708</v>
      </c>
      <c r="C77" s="109">
        <v>41501</v>
      </c>
      <c r="D77" s="108"/>
      <c r="E77" s="108" t="s">
        <v>14605</v>
      </c>
      <c r="F77" s="108" t="s">
        <v>14709</v>
      </c>
      <c r="G77" s="110"/>
      <c r="H77" s="108"/>
      <c r="I77" s="108"/>
    </row>
    <row r="78" spans="1:9">
      <c r="A78" s="108"/>
      <c r="B78" s="108" t="s">
        <v>3234</v>
      </c>
      <c r="C78" s="109">
        <v>41457</v>
      </c>
      <c r="D78" s="108"/>
      <c r="E78" s="108" t="s">
        <v>14605</v>
      </c>
      <c r="F78" s="108" t="s">
        <v>3235</v>
      </c>
      <c r="G78" s="110"/>
      <c r="H78" s="108"/>
      <c r="I78" s="108"/>
    </row>
    <row r="79" spans="1:9" ht="27.6">
      <c r="A79" s="108"/>
      <c r="B79" s="108" t="s">
        <v>1790</v>
      </c>
      <c r="C79" s="109">
        <v>41781</v>
      </c>
      <c r="D79" s="108"/>
      <c r="E79" s="108" t="s">
        <v>14611</v>
      </c>
      <c r="F79" s="108" t="s">
        <v>1770</v>
      </c>
      <c r="G79" s="110"/>
      <c r="H79" s="108"/>
      <c r="I79" s="108"/>
    </row>
    <row r="80" spans="1:9">
      <c r="A80" s="108"/>
      <c r="B80" s="108" t="s">
        <v>140</v>
      </c>
      <c r="C80" s="109">
        <v>41801</v>
      </c>
      <c r="D80" s="108"/>
      <c r="E80" s="108" t="s">
        <v>14611</v>
      </c>
      <c r="F80" s="108" t="s">
        <v>129</v>
      </c>
      <c r="G80" s="110"/>
      <c r="H80" s="108"/>
      <c r="I80" s="108"/>
    </row>
    <row r="81" spans="1:9">
      <c r="A81" s="108"/>
      <c r="B81" s="108" t="s">
        <v>14710</v>
      </c>
      <c r="C81" s="109">
        <v>41809</v>
      </c>
      <c r="D81" s="108"/>
      <c r="E81" s="108" t="s">
        <v>14611</v>
      </c>
      <c r="F81" s="108" t="s">
        <v>14674</v>
      </c>
      <c r="G81" s="110"/>
      <c r="H81" s="108"/>
      <c r="I81" s="108"/>
    </row>
    <row r="82" spans="1:9">
      <c r="A82" s="108"/>
      <c r="B82" s="108" t="s">
        <v>546</v>
      </c>
      <c r="C82" s="109">
        <v>42128</v>
      </c>
      <c r="D82" s="108"/>
      <c r="E82" s="108" t="s">
        <v>14611</v>
      </c>
      <c r="F82" s="108" t="s">
        <v>538</v>
      </c>
      <c r="G82" s="110"/>
      <c r="H82" s="108"/>
      <c r="I82" s="108"/>
    </row>
    <row r="83" spans="1:9">
      <c r="A83" s="108"/>
      <c r="B83" s="108" t="s">
        <v>14711</v>
      </c>
      <c r="C83" s="109">
        <v>41918</v>
      </c>
      <c r="D83" s="108"/>
      <c r="E83" s="108" t="s">
        <v>14611</v>
      </c>
      <c r="F83" s="108" t="s">
        <v>14712</v>
      </c>
      <c r="G83" s="110"/>
      <c r="H83" s="108"/>
      <c r="I83" s="108"/>
    </row>
    <row r="84" spans="1:9">
      <c r="A84" s="108"/>
      <c r="B84" s="108" t="s">
        <v>14713</v>
      </c>
      <c r="C84" s="109">
        <v>42382</v>
      </c>
      <c r="D84" s="108"/>
      <c r="E84" s="108" t="s">
        <v>14611</v>
      </c>
      <c r="F84" s="108" t="s">
        <v>14714</v>
      </c>
      <c r="G84" s="110"/>
      <c r="H84" s="108"/>
      <c r="I84" s="108"/>
    </row>
    <row r="85" spans="1:9">
      <c r="A85" s="108"/>
      <c r="B85" s="108" t="s">
        <v>2671</v>
      </c>
      <c r="C85" s="109">
        <v>41955</v>
      </c>
      <c r="D85" s="108"/>
      <c r="E85" s="108" t="s">
        <v>14611</v>
      </c>
      <c r="F85" s="108" t="s">
        <v>2664</v>
      </c>
      <c r="G85" s="110"/>
      <c r="H85" s="108"/>
      <c r="I85" s="108"/>
    </row>
    <row r="86" spans="1:9" ht="27.6">
      <c r="A86" s="108" t="s">
        <v>14690</v>
      </c>
      <c r="B86" s="108" t="s">
        <v>14715</v>
      </c>
      <c r="C86" s="109">
        <v>41908</v>
      </c>
      <c r="D86" s="108"/>
      <c r="E86" s="108" t="s">
        <v>14611</v>
      </c>
      <c r="F86" s="108" t="s">
        <v>14716</v>
      </c>
      <c r="G86" s="110"/>
      <c r="H86" s="108"/>
      <c r="I86" s="108"/>
    </row>
    <row r="87" spans="1:9" ht="27.6">
      <c r="A87" s="108" t="s">
        <v>14690</v>
      </c>
      <c r="B87" s="108" t="s">
        <v>14717</v>
      </c>
      <c r="C87" s="109">
        <v>41862</v>
      </c>
      <c r="D87" s="108"/>
      <c r="E87" s="108" t="s">
        <v>14611</v>
      </c>
      <c r="F87" s="108" t="s">
        <v>14693</v>
      </c>
      <c r="G87" s="110"/>
      <c r="H87" s="108"/>
      <c r="I87" s="108"/>
    </row>
    <row r="88" spans="1:9" ht="27.6">
      <c r="A88" s="108" t="s">
        <v>14690</v>
      </c>
      <c r="B88" s="108" t="s">
        <v>308</v>
      </c>
      <c r="C88" s="109">
        <v>41858</v>
      </c>
      <c r="D88" s="108"/>
      <c r="E88" s="108" t="s">
        <v>14611</v>
      </c>
      <c r="F88" s="108" t="s">
        <v>306</v>
      </c>
      <c r="G88" s="110"/>
      <c r="H88" s="108"/>
      <c r="I88" s="108"/>
    </row>
    <row r="89" spans="1:9" ht="27.6">
      <c r="A89" s="108" t="s">
        <v>14690</v>
      </c>
      <c r="B89" s="108" t="s">
        <v>2589</v>
      </c>
      <c r="C89" s="109">
        <v>41865</v>
      </c>
      <c r="D89" s="108"/>
      <c r="E89" s="108" t="s">
        <v>14611</v>
      </c>
      <c r="F89" s="108" t="s">
        <v>2552</v>
      </c>
      <c r="G89" s="110"/>
      <c r="H89" s="108"/>
      <c r="I89" s="108"/>
    </row>
    <row r="90" spans="1:9" ht="27.6">
      <c r="A90" s="108" t="s">
        <v>14690</v>
      </c>
      <c r="B90" s="108" t="s">
        <v>14718</v>
      </c>
      <c r="C90" s="109">
        <v>42138</v>
      </c>
      <c r="D90" s="108"/>
      <c r="E90" s="108" t="s">
        <v>14611</v>
      </c>
      <c r="F90" s="108" t="s">
        <v>14719</v>
      </c>
      <c r="G90" s="110"/>
      <c r="H90" s="108"/>
      <c r="I90" s="108"/>
    </row>
    <row r="91" spans="1:9" ht="27.6">
      <c r="A91" s="108" t="s">
        <v>14690</v>
      </c>
      <c r="B91" s="108" t="s">
        <v>14720</v>
      </c>
      <c r="C91" s="109">
        <v>42032</v>
      </c>
      <c r="D91" s="108"/>
      <c r="E91" s="108" t="s">
        <v>14611</v>
      </c>
      <c r="F91" s="108" t="s">
        <v>14721</v>
      </c>
      <c r="G91" s="110"/>
      <c r="H91" s="108"/>
      <c r="I91" s="108"/>
    </row>
    <row r="92" spans="1:9" ht="27.6">
      <c r="A92" s="108" t="s">
        <v>237</v>
      </c>
      <c r="B92" s="108" t="s">
        <v>14722</v>
      </c>
      <c r="C92" s="109">
        <v>41835</v>
      </c>
      <c r="D92" s="108"/>
      <c r="E92" s="108" t="s">
        <v>14723</v>
      </c>
      <c r="F92" s="108" t="s">
        <v>14706</v>
      </c>
      <c r="G92" s="110"/>
      <c r="H92" s="108"/>
      <c r="I92" s="108"/>
    </row>
    <row r="93" spans="1:9">
      <c r="A93" s="108" t="s">
        <v>237</v>
      </c>
      <c r="B93" s="108" t="s">
        <v>14724</v>
      </c>
      <c r="C93" s="109">
        <v>41807</v>
      </c>
      <c r="D93" s="108"/>
      <c r="E93" s="108" t="s">
        <v>14611</v>
      </c>
      <c r="F93" s="108" t="s">
        <v>14725</v>
      </c>
      <c r="G93" s="110"/>
      <c r="H93" s="108"/>
      <c r="I93" s="108"/>
    </row>
    <row r="94" spans="1:9">
      <c r="A94" s="108" t="s">
        <v>237</v>
      </c>
      <c r="B94" s="108" t="s">
        <v>14726</v>
      </c>
      <c r="C94" s="109">
        <v>42317</v>
      </c>
      <c r="D94" s="108"/>
      <c r="E94" s="108" t="s">
        <v>14611</v>
      </c>
      <c r="F94" s="108" t="s">
        <v>14725</v>
      </c>
      <c r="G94" s="110"/>
      <c r="H94" s="108"/>
      <c r="I94" s="108"/>
    </row>
    <row r="95" spans="1:9">
      <c r="A95" s="108"/>
      <c r="B95" s="108" t="s">
        <v>1202</v>
      </c>
      <c r="C95" s="109">
        <v>41961</v>
      </c>
      <c r="D95" s="108"/>
      <c r="E95" s="108" t="s">
        <v>14605</v>
      </c>
      <c r="F95" s="108" t="s">
        <v>1200</v>
      </c>
      <c r="G95" s="110"/>
      <c r="H95" s="108"/>
      <c r="I95" s="108"/>
    </row>
    <row r="96" spans="1:9">
      <c r="A96" s="108"/>
      <c r="B96" s="108" t="s">
        <v>14727</v>
      </c>
      <c r="C96" s="109">
        <v>41983</v>
      </c>
      <c r="D96" s="108"/>
      <c r="E96" s="108" t="s">
        <v>14605</v>
      </c>
      <c r="F96" s="108" t="s">
        <v>14728</v>
      </c>
      <c r="G96" s="110"/>
      <c r="H96" s="108"/>
      <c r="I96" s="108"/>
    </row>
    <row r="97" spans="1:9">
      <c r="A97" s="108"/>
      <c r="B97" s="108" t="s">
        <v>14729</v>
      </c>
      <c r="C97" s="109">
        <v>42137</v>
      </c>
      <c r="D97" s="108"/>
      <c r="E97" s="108" t="s">
        <v>14605</v>
      </c>
      <c r="F97" s="108" t="s">
        <v>14730</v>
      </c>
      <c r="G97" s="110"/>
      <c r="H97" s="108"/>
      <c r="I97" s="108"/>
    </row>
    <row r="98" spans="1:9">
      <c r="A98" s="108"/>
      <c r="B98" s="108" t="s">
        <v>14731</v>
      </c>
      <c r="C98" s="109">
        <v>41829</v>
      </c>
      <c r="D98" s="108"/>
      <c r="E98" s="108" t="s">
        <v>14605</v>
      </c>
      <c r="F98" s="108" t="s">
        <v>14732</v>
      </c>
      <c r="G98" s="110"/>
      <c r="H98" s="108"/>
      <c r="I98" s="108"/>
    </row>
    <row r="99" spans="1:9">
      <c r="A99" s="108"/>
      <c r="B99" s="108" t="s">
        <v>1596</v>
      </c>
      <c r="C99" s="109">
        <v>41738</v>
      </c>
      <c r="D99" s="108"/>
      <c r="E99" s="108" t="s">
        <v>14605</v>
      </c>
      <c r="F99" s="108" t="s">
        <v>1577</v>
      </c>
      <c r="G99" s="110"/>
      <c r="H99" s="108"/>
      <c r="I99" s="108"/>
    </row>
    <row r="100" spans="1:9">
      <c r="A100" s="108"/>
      <c r="B100" s="108" t="s">
        <v>14733</v>
      </c>
      <c r="C100" s="109">
        <v>41851</v>
      </c>
      <c r="D100" s="108"/>
      <c r="E100" s="108" t="s">
        <v>14605</v>
      </c>
      <c r="F100" s="108" t="s">
        <v>14734</v>
      </c>
      <c r="G100" s="110"/>
      <c r="H100" s="108"/>
      <c r="I100" s="108"/>
    </row>
    <row r="101" spans="1:9" ht="27.6">
      <c r="A101" s="108"/>
      <c r="B101" s="108" t="s">
        <v>14735</v>
      </c>
      <c r="C101" s="109">
        <v>42030</v>
      </c>
      <c r="D101" s="108"/>
      <c r="E101" s="108" t="s">
        <v>14605</v>
      </c>
      <c r="F101" s="108" t="s">
        <v>14736</v>
      </c>
      <c r="G101" s="110"/>
      <c r="H101" s="108"/>
      <c r="I101" s="108"/>
    </row>
    <row r="102" spans="1:9" ht="27.6">
      <c r="A102" s="108"/>
      <c r="B102" s="108" t="s">
        <v>14737</v>
      </c>
      <c r="C102" s="109">
        <v>42151</v>
      </c>
      <c r="D102" s="108"/>
      <c r="E102" s="108" t="s">
        <v>14605</v>
      </c>
      <c r="F102" s="108" t="s">
        <v>14738</v>
      </c>
      <c r="G102" s="110"/>
      <c r="H102" s="108"/>
      <c r="I102" s="108"/>
    </row>
    <row r="103" spans="1:9">
      <c r="A103" s="108"/>
      <c r="B103" s="108" t="s">
        <v>1094</v>
      </c>
      <c r="C103" s="109">
        <v>42247</v>
      </c>
      <c r="D103" s="108"/>
      <c r="E103" s="108" t="s">
        <v>14605</v>
      </c>
      <c r="F103" s="108" t="s">
        <v>1092</v>
      </c>
      <c r="G103" s="110"/>
      <c r="H103" s="108"/>
      <c r="I103" s="108"/>
    </row>
    <row r="104" spans="1:9">
      <c r="A104" s="108"/>
      <c r="B104" s="108" t="s">
        <v>14739</v>
      </c>
      <c r="C104" s="109">
        <v>41671</v>
      </c>
      <c r="D104" s="108"/>
      <c r="E104" s="108" t="s">
        <v>14605</v>
      </c>
      <c r="F104" s="108" t="s">
        <v>14730</v>
      </c>
      <c r="G104" s="110"/>
      <c r="H104" s="108"/>
      <c r="I104" s="108"/>
    </row>
    <row r="105" spans="1:9">
      <c r="A105" s="108"/>
      <c r="B105" s="108" t="s">
        <v>1333</v>
      </c>
      <c r="C105" s="109">
        <v>41102</v>
      </c>
      <c r="D105" s="108"/>
      <c r="E105" s="108" t="s">
        <v>14611</v>
      </c>
      <c r="F105" s="108" t="s">
        <v>1329</v>
      </c>
      <c r="G105" s="110"/>
      <c r="H105" s="108"/>
      <c r="I105" s="108"/>
    </row>
    <row r="106" spans="1:9">
      <c r="A106" s="108"/>
      <c r="B106" s="108" t="s">
        <v>14740</v>
      </c>
      <c r="C106" s="109">
        <v>41741</v>
      </c>
      <c r="D106" s="108"/>
      <c r="E106" s="108" t="s">
        <v>14611</v>
      </c>
      <c r="F106" s="108" t="s">
        <v>14741</v>
      </c>
      <c r="G106" s="110"/>
      <c r="H106" s="108"/>
      <c r="I106" s="108"/>
    </row>
    <row r="107" spans="1:9" ht="27.6">
      <c r="A107" s="108" t="s">
        <v>2009</v>
      </c>
      <c r="B107" s="108" t="s">
        <v>2008</v>
      </c>
      <c r="C107" s="109">
        <v>44120</v>
      </c>
      <c r="D107" s="108"/>
      <c r="E107" s="108" t="s">
        <v>14611</v>
      </c>
      <c r="F107" s="108" t="s">
        <v>2006</v>
      </c>
      <c r="G107" s="110"/>
      <c r="H107" s="108"/>
      <c r="I107" s="108"/>
    </row>
    <row r="108" spans="1:9">
      <c r="A108" s="108"/>
      <c r="B108" s="108" t="s">
        <v>14742</v>
      </c>
      <c r="C108" s="109">
        <v>40960</v>
      </c>
      <c r="D108" s="108"/>
      <c r="E108" s="108" t="s">
        <v>14605</v>
      </c>
      <c r="F108" s="108" t="s">
        <v>14743</v>
      </c>
      <c r="G108" s="110"/>
      <c r="H108" s="108"/>
      <c r="I108" s="108"/>
    </row>
    <row r="109" spans="1:9" ht="27.6">
      <c r="A109" s="108" t="s">
        <v>14690</v>
      </c>
      <c r="B109" s="108" t="s">
        <v>3301</v>
      </c>
      <c r="C109" s="109">
        <v>42158</v>
      </c>
      <c r="D109" s="108"/>
      <c r="E109" s="108" t="s">
        <v>14605</v>
      </c>
      <c r="F109" s="108" t="s">
        <v>14744</v>
      </c>
      <c r="G109" s="110"/>
      <c r="H109" s="108"/>
      <c r="I109" s="108"/>
    </row>
    <row r="110" spans="1:9" ht="27.6">
      <c r="A110" s="108" t="s">
        <v>14690</v>
      </c>
      <c r="B110" s="108" t="s">
        <v>2335</v>
      </c>
      <c r="C110" s="109">
        <v>42303</v>
      </c>
      <c r="D110" s="108"/>
      <c r="E110" s="108" t="s">
        <v>14611</v>
      </c>
      <c r="F110" s="108" t="s">
        <v>2251</v>
      </c>
      <c r="G110" s="110"/>
      <c r="H110" s="108"/>
      <c r="I110" s="108"/>
    </row>
    <row r="111" spans="1:9">
      <c r="A111" s="108"/>
      <c r="B111" s="108" t="s">
        <v>1395</v>
      </c>
      <c r="C111" s="109">
        <v>41102</v>
      </c>
      <c r="D111" s="108"/>
      <c r="E111" s="108" t="s">
        <v>14611</v>
      </c>
      <c r="F111" s="108" t="s">
        <v>1394</v>
      </c>
      <c r="G111" s="110"/>
      <c r="H111" s="108"/>
      <c r="I111" s="108"/>
    </row>
    <row r="112" spans="1:9">
      <c r="A112" s="108"/>
      <c r="B112" s="108" t="s">
        <v>14745</v>
      </c>
      <c r="C112" s="109">
        <v>41151</v>
      </c>
      <c r="D112" s="108"/>
      <c r="E112" s="108" t="s">
        <v>14611</v>
      </c>
      <c r="F112" s="108" t="s">
        <v>14746</v>
      </c>
      <c r="G112" s="110"/>
      <c r="H112" s="108"/>
      <c r="I112" s="108"/>
    </row>
    <row r="113" spans="1:9">
      <c r="A113" s="108"/>
      <c r="B113" s="108" t="s">
        <v>4698</v>
      </c>
      <c r="C113" s="109">
        <v>41486</v>
      </c>
      <c r="D113" s="108"/>
      <c r="E113" s="108" t="s">
        <v>14611</v>
      </c>
      <c r="F113" s="108" t="s">
        <v>4696</v>
      </c>
      <c r="G113" s="110"/>
      <c r="H113" s="108"/>
      <c r="I113" s="108"/>
    </row>
    <row r="114" spans="1:9">
      <c r="A114" s="108"/>
      <c r="B114" s="108" t="s">
        <v>14747</v>
      </c>
      <c r="C114" s="109">
        <v>42066</v>
      </c>
      <c r="D114" s="108"/>
      <c r="E114" s="108" t="s">
        <v>14611</v>
      </c>
      <c r="F114" s="108" t="s">
        <v>14748</v>
      </c>
      <c r="G114" s="110"/>
      <c r="H114" s="108"/>
      <c r="I114" s="108"/>
    </row>
    <row r="115" spans="1:9" ht="27.6">
      <c r="A115" s="108"/>
      <c r="B115" s="108" t="s">
        <v>4363</v>
      </c>
      <c r="C115" s="109">
        <v>42478</v>
      </c>
      <c r="D115" s="108"/>
      <c r="E115" s="108" t="s">
        <v>14611</v>
      </c>
      <c r="F115" s="108" t="s">
        <v>4343</v>
      </c>
      <c r="G115" s="110"/>
      <c r="H115" s="108"/>
      <c r="I115" s="108"/>
    </row>
    <row r="116" spans="1:9" ht="27.6">
      <c r="A116" s="108" t="s">
        <v>169</v>
      </c>
      <c r="B116" s="108" t="s">
        <v>14749</v>
      </c>
      <c r="C116" s="109">
        <v>41247</v>
      </c>
      <c r="D116" s="108"/>
      <c r="E116" s="108" t="s">
        <v>14611</v>
      </c>
      <c r="F116" s="108" t="s">
        <v>14750</v>
      </c>
      <c r="G116" s="110"/>
      <c r="H116" s="108"/>
      <c r="I116" s="108"/>
    </row>
    <row r="117" spans="1:9">
      <c r="A117" s="108" t="s">
        <v>169</v>
      </c>
      <c r="B117" s="108" t="s">
        <v>14751</v>
      </c>
      <c r="C117" s="109">
        <v>42325</v>
      </c>
      <c r="D117" s="108"/>
      <c r="E117" s="108" t="s">
        <v>14611</v>
      </c>
      <c r="F117" s="108" t="s">
        <v>14752</v>
      </c>
      <c r="G117" s="110"/>
      <c r="H117" s="108"/>
      <c r="I117" s="108"/>
    </row>
    <row r="118" spans="1:9" ht="27.6">
      <c r="A118" s="108" t="s">
        <v>169</v>
      </c>
      <c r="B118" s="108" t="s">
        <v>14753</v>
      </c>
      <c r="C118" s="109">
        <v>42200</v>
      </c>
      <c r="D118" s="108"/>
      <c r="E118" s="108" t="s">
        <v>14611</v>
      </c>
      <c r="F118" s="108" t="s">
        <v>14754</v>
      </c>
      <c r="G118" s="110"/>
      <c r="H118" s="108"/>
      <c r="I118" s="108"/>
    </row>
    <row r="119" spans="1:9" ht="27.6">
      <c r="A119" s="108" t="s">
        <v>427</v>
      </c>
      <c r="B119" s="108" t="s">
        <v>14755</v>
      </c>
      <c r="C119" s="109">
        <v>42220</v>
      </c>
      <c r="D119" s="108"/>
      <c r="E119" s="108" t="s">
        <v>14605</v>
      </c>
      <c r="F119" s="108" t="s">
        <v>14756</v>
      </c>
      <c r="G119" s="110"/>
      <c r="H119" s="108"/>
      <c r="I119" s="108"/>
    </row>
    <row r="120" spans="1:9" ht="27.6">
      <c r="A120" s="108"/>
      <c r="B120" s="108" t="s">
        <v>14757</v>
      </c>
      <c r="C120" s="109">
        <v>42317</v>
      </c>
      <c r="D120" s="108"/>
      <c r="E120" s="108" t="s">
        <v>14611</v>
      </c>
      <c r="F120" s="108" t="s">
        <v>14758</v>
      </c>
      <c r="G120" s="110"/>
      <c r="H120" s="108"/>
      <c r="I120" s="108"/>
    </row>
    <row r="121" spans="1:9">
      <c r="A121" s="108" t="s">
        <v>169</v>
      </c>
      <c r="B121" s="108" t="s">
        <v>14759</v>
      </c>
      <c r="C121" s="109">
        <v>42819</v>
      </c>
      <c r="D121" s="108"/>
      <c r="E121" s="108" t="s">
        <v>14611</v>
      </c>
      <c r="F121" s="108" t="s">
        <v>14760</v>
      </c>
      <c r="G121" s="110"/>
      <c r="H121" s="108"/>
      <c r="I121" s="108"/>
    </row>
    <row r="122" spans="1:9">
      <c r="A122" s="108" t="s">
        <v>427</v>
      </c>
      <c r="B122" s="108" t="s">
        <v>14761</v>
      </c>
      <c r="C122" s="109">
        <v>42767</v>
      </c>
      <c r="D122" s="108"/>
      <c r="E122" s="108" t="s">
        <v>14605</v>
      </c>
      <c r="F122" s="108" t="s">
        <v>14762</v>
      </c>
      <c r="G122" s="110"/>
      <c r="H122" s="108"/>
      <c r="I122" s="108"/>
    </row>
    <row r="123" spans="1:9">
      <c r="A123" s="108" t="s">
        <v>169</v>
      </c>
      <c r="B123" s="108" t="s">
        <v>14763</v>
      </c>
      <c r="C123" s="109">
        <v>43124</v>
      </c>
      <c r="D123" s="108"/>
      <c r="E123" s="108" t="s">
        <v>14605</v>
      </c>
      <c r="F123" s="108" t="s">
        <v>14764</v>
      </c>
      <c r="G123" s="110"/>
      <c r="H123" s="108"/>
      <c r="I123" s="108"/>
    </row>
    <row r="124" spans="1:9">
      <c r="A124" s="108" t="s">
        <v>169</v>
      </c>
      <c r="B124" s="108" t="s">
        <v>14765</v>
      </c>
      <c r="C124" s="109">
        <v>42982</v>
      </c>
      <c r="D124" s="108"/>
      <c r="E124" s="108" t="s">
        <v>14611</v>
      </c>
      <c r="F124" s="108" t="s">
        <v>14766</v>
      </c>
      <c r="G124" s="110"/>
      <c r="H124" s="108"/>
      <c r="I124" s="108"/>
    </row>
    <row r="125" spans="1:9">
      <c r="A125" s="108" t="s">
        <v>427</v>
      </c>
      <c r="B125" s="108" t="s">
        <v>14767</v>
      </c>
      <c r="C125" s="109">
        <v>44785</v>
      </c>
      <c r="D125" s="108"/>
      <c r="E125" s="108" t="s">
        <v>14605</v>
      </c>
      <c r="F125" s="108" t="s">
        <v>14762</v>
      </c>
      <c r="G125" s="110"/>
      <c r="H125" s="108"/>
      <c r="I125" s="108"/>
    </row>
    <row r="126" spans="1:9">
      <c r="A126" s="108" t="s">
        <v>466</v>
      </c>
      <c r="B126" s="108" t="s">
        <v>4499</v>
      </c>
      <c r="C126" s="109">
        <v>43725</v>
      </c>
      <c r="D126" s="108"/>
      <c r="E126" s="108" t="s">
        <v>14605</v>
      </c>
      <c r="F126" s="108" t="s">
        <v>4494</v>
      </c>
      <c r="G126" s="110"/>
      <c r="H126" s="108"/>
      <c r="I126" s="108"/>
    </row>
    <row r="127" spans="1:9">
      <c r="A127" s="108" t="s">
        <v>468</v>
      </c>
      <c r="B127" s="108" t="s">
        <v>4498</v>
      </c>
      <c r="C127" s="109">
        <v>43725</v>
      </c>
      <c r="D127" s="108"/>
      <c r="E127" s="108" t="s">
        <v>14605</v>
      </c>
      <c r="F127" s="108" t="s">
        <v>4494</v>
      </c>
      <c r="G127" s="110"/>
      <c r="H127" s="108"/>
      <c r="I127" s="108"/>
    </row>
    <row r="128" spans="1:9">
      <c r="A128" s="108" t="s">
        <v>468</v>
      </c>
      <c r="B128" s="108" t="s">
        <v>4497</v>
      </c>
      <c r="C128" s="109">
        <v>43725</v>
      </c>
      <c r="D128" s="108"/>
      <c r="E128" s="108" t="s">
        <v>14605</v>
      </c>
      <c r="F128" s="108" t="s">
        <v>4494</v>
      </c>
      <c r="G128" s="110"/>
      <c r="H128" s="108"/>
      <c r="I128" s="108"/>
    </row>
    <row r="129" spans="1:9">
      <c r="A129" s="108" t="s">
        <v>466</v>
      </c>
      <c r="B129" s="108" t="s">
        <v>4496</v>
      </c>
      <c r="C129" s="109">
        <v>43725</v>
      </c>
      <c r="D129" s="108"/>
      <c r="E129" s="108" t="s">
        <v>14605</v>
      </c>
      <c r="F129" s="108" t="s">
        <v>4494</v>
      </c>
      <c r="G129" s="110"/>
      <c r="H129" s="108"/>
      <c r="I129" s="108"/>
    </row>
    <row r="130" spans="1:9" ht="27.6">
      <c r="A130" s="108" t="s">
        <v>464</v>
      </c>
      <c r="B130" s="108" t="s">
        <v>4495</v>
      </c>
      <c r="C130" s="109">
        <v>43725</v>
      </c>
      <c r="D130" s="108"/>
      <c r="E130" s="108" t="s">
        <v>14605</v>
      </c>
      <c r="F130" s="108" t="s">
        <v>4494</v>
      </c>
      <c r="G130" s="110"/>
      <c r="H130" s="108"/>
      <c r="I130" s="108"/>
    </row>
    <row r="131" spans="1:9" ht="27.6">
      <c r="A131" s="108" t="s">
        <v>464</v>
      </c>
      <c r="B131" s="108" t="s">
        <v>1268</v>
      </c>
      <c r="C131" s="109">
        <v>44041</v>
      </c>
      <c r="D131" s="108"/>
      <c r="E131" s="108" t="s">
        <v>14605</v>
      </c>
      <c r="F131" s="108" t="s">
        <v>1228</v>
      </c>
      <c r="G131" s="110"/>
      <c r="H131" s="108"/>
      <c r="I131" s="108"/>
    </row>
    <row r="132" spans="1:9">
      <c r="A132" s="108" t="s">
        <v>466</v>
      </c>
      <c r="B132" s="108" t="s">
        <v>1267</v>
      </c>
      <c r="C132" s="109">
        <v>44041</v>
      </c>
      <c r="D132" s="108"/>
      <c r="E132" s="108" t="s">
        <v>14605</v>
      </c>
      <c r="F132" s="108" t="s">
        <v>1228</v>
      </c>
      <c r="G132" s="110"/>
      <c r="H132" s="108"/>
      <c r="I132" s="108"/>
    </row>
    <row r="133" spans="1:9">
      <c r="A133" s="108" t="s">
        <v>466</v>
      </c>
      <c r="B133" s="108" t="s">
        <v>1266</v>
      </c>
      <c r="C133" s="109">
        <v>44041</v>
      </c>
      <c r="D133" s="108"/>
      <c r="E133" s="108" t="s">
        <v>14605</v>
      </c>
      <c r="F133" s="108" t="s">
        <v>1228</v>
      </c>
      <c r="G133" s="110"/>
      <c r="H133" s="108"/>
      <c r="I133" s="108"/>
    </row>
    <row r="134" spans="1:9">
      <c r="A134" s="108" t="s">
        <v>468</v>
      </c>
      <c r="B134" s="108" t="s">
        <v>1265</v>
      </c>
      <c r="C134" s="109">
        <v>44041</v>
      </c>
      <c r="D134" s="108"/>
      <c r="E134" s="108" t="s">
        <v>14605</v>
      </c>
      <c r="F134" s="108" t="s">
        <v>1228</v>
      </c>
      <c r="G134" s="110"/>
      <c r="H134" s="108"/>
      <c r="I134" s="108"/>
    </row>
    <row r="135" spans="1:9">
      <c r="A135" s="108" t="s">
        <v>468</v>
      </c>
      <c r="B135" s="108" t="s">
        <v>1264</v>
      </c>
      <c r="C135" s="109">
        <v>44041</v>
      </c>
      <c r="D135" s="108"/>
      <c r="E135" s="108" t="s">
        <v>14605</v>
      </c>
      <c r="F135" s="108" t="s">
        <v>1228</v>
      </c>
      <c r="G135" s="110"/>
      <c r="H135" s="108"/>
      <c r="I135" s="108"/>
    </row>
    <row r="136" spans="1:9">
      <c r="A136" s="108" t="s">
        <v>427</v>
      </c>
      <c r="B136" s="108" t="s">
        <v>14768</v>
      </c>
      <c r="C136" s="109">
        <v>43307</v>
      </c>
      <c r="D136" s="108"/>
      <c r="E136" s="108" t="s">
        <v>14605</v>
      </c>
      <c r="F136" s="108" t="s">
        <v>14769</v>
      </c>
      <c r="G136" s="110"/>
      <c r="H136" s="108"/>
      <c r="I136" s="108"/>
    </row>
    <row r="137" spans="1:9">
      <c r="A137" s="108" t="s">
        <v>468</v>
      </c>
      <c r="B137" s="108" t="s">
        <v>14770</v>
      </c>
      <c r="C137" s="109">
        <v>43726</v>
      </c>
      <c r="D137" s="108"/>
      <c r="E137" s="108" t="s">
        <v>14605</v>
      </c>
      <c r="F137" s="108" t="s">
        <v>14771</v>
      </c>
      <c r="G137" s="110"/>
      <c r="H137" s="108"/>
      <c r="I137" s="108"/>
    </row>
    <row r="138" spans="1:9">
      <c r="A138" s="108" t="s">
        <v>468</v>
      </c>
      <c r="B138" s="108" t="s">
        <v>14772</v>
      </c>
      <c r="C138" s="109">
        <v>43726</v>
      </c>
      <c r="D138" s="108"/>
      <c r="E138" s="108" t="s">
        <v>14605</v>
      </c>
      <c r="F138" s="108" t="s">
        <v>14771</v>
      </c>
      <c r="G138" s="110"/>
      <c r="H138" s="108"/>
      <c r="I138" s="108"/>
    </row>
    <row r="139" spans="1:9">
      <c r="A139" s="108" t="s">
        <v>466</v>
      </c>
      <c r="B139" s="108" t="s">
        <v>14773</v>
      </c>
      <c r="C139" s="109">
        <v>43726</v>
      </c>
      <c r="D139" s="108"/>
      <c r="E139" s="108" t="s">
        <v>14605</v>
      </c>
      <c r="F139" s="108" t="s">
        <v>14771</v>
      </c>
      <c r="G139" s="110"/>
      <c r="H139" s="108"/>
      <c r="I139" s="108"/>
    </row>
    <row r="140" spans="1:9">
      <c r="A140" s="108" t="s">
        <v>466</v>
      </c>
      <c r="B140" s="108" t="s">
        <v>14774</v>
      </c>
      <c r="C140" s="109">
        <v>43726</v>
      </c>
      <c r="D140" s="108"/>
      <c r="E140" s="108" t="s">
        <v>14605</v>
      </c>
      <c r="F140" s="108" t="s">
        <v>14771</v>
      </c>
      <c r="G140" s="110"/>
      <c r="H140" s="108"/>
      <c r="I140" s="108"/>
    </row>
    <row r="141" spans="1:9" ht="27.6">
      <c r="A141" s="108" t="s">
        <v>464</v>
      </c>
      <c r="B141" s="108" t="s">
        <v>14775</v>
      </c>
      <c r="C141" s="109">
        <v>43726</v>
      </c>
      <c r="D141" s="108"/>
      <c r="E141" s="108" t="s">
        <v>14605</v>
      </c>
      <c r="F141" s="108" t="s">
        <v>14771</v>
      </c>
      <c r="G141" s="110"/>
      <c r="H141" s="108"/>
      <c r="I141" s="108"/>
    </row>
    <row r="142" spans="1:9">
      <c r="A142" s="108" t="s">
        <v>468</v>
      </c>
      <c r="B142" s="108" t="s">
        <v>14776</v>
      </c>
      <c r="C142" s="109">
        <v>43706</v>
      </c>
      <c r="D142" s="108"/>
      <c r="E142" s="108" t="s">
        <v>14605</v>
      </c>
      <c r="F142" s="108" t="s">
        <v>14777</v>
      </c>
      <c r="G142" s="110"/>
      <c r="H142" s="108"/>
      <c r="I142" s="108"/>
    </row>
    <row r="143" spans="1:9">
      <c r="A143" s="108" t="s">
        <v>468</v>
      </c>
      <c r="B143" s="108" t="s">
        <v>14778</v>
      </c>
      <c r="C143" s="109">
        <v>43706</v>
      </c>
      <c r="D143" s="108"/>
      <c r="E143" s="108" t="s">
        <v>14605</v>
      </c>
      <c r="F143" s="108" t="s">
        <v>14777</v>
      </c>
      <c r="G143" s="110"/>
      <c r="H143" s="108"/>
      <c r="I143" s="108"/>
    </row>
    <row r="144" spans="1:9">
      <c r="A144" s="108" t="s">
        <v>466</v>
      </c>
      <c r="B144" s="108" t="s">
        <v>14779</v>
      </c>
      <c r="C144" s="109">
        <v>43706</v>
      </c>
      <c r="D144" s="108"/>
      <c r="E144" s="108" t="s">
        <v>14605</v>
      </c>
      <c r="F144" s="108" t="s">
        <v>14777</v>
      </c>
      <c r="G144" s="110"/>
      <c r="H144" s="108"/>
      <c r="I144" s="108"/>
    </row>
    <row r="145" spans="1:9">
      <c r="A145" s="108" t="s">
        <v>466</v>
      </c>
      <c r="B145" s="108" t="s">
        <v>14780</v>
      </c>
      <c r="C145" s="109">
        <v>43706</v>
      </c>
      <c r="D145" s="108"/>
      <c r="E145" s="108" t="s">
        <v>14605</v>
      </c>
      <c r="F145" s="108" t="s">
        <v>14777</v>
      </c>
      <c r="G145" s="110"/>
      <c r="H145" s="108"/>
      <c r="I145" s="108"/>
    </row>
    <row r="146" spans="1:9" ht="27.6">
      <c r="A146" s="108" t="s">
        <v>464</v>
      </c>
      <c r="B146" s="108" t="s">
        <v>14781</v>
      </c>
      <c r="C146" s="109">
        <v>43706</v>
      </c>
      <c r="D146" s="108"/>
      <c r="E146" s="108" t="s">
        <v>14605</v>
      </c>
      <c r="F146" s="108" t="s">
        <v>14777</v>
      </c>
      <c r="G146" s="110"/>
      <c r="H146" s="108"/>
      <c r="I146" s="108"/>
    </row>
    <row r="147" spans="1:9">
      <c r="A147" s="108" t="s">
        <v>468</v>
      </c>
      <c r="B147" s="108" t="s">
        <v>14782</v>
      </c>
      <c r="C147" s="109">
        <v>43703</v>
      </c>
      <c r="D147" s="108"/>
      <c r="E147" s="108" t="s">
        <v>14605</v>
      </c>
      <c r="F147" s="108" t="s">
        <v>14783</v>
      </c>
      <c r="G147" s="110"/>
      <c r="H147" s="108"/>
      <c r="I147" s="108"/>
    </row>
    <row r="148" spans="1:9">
      <c r="A148" s="108" t="s">
        <v>468</v>
      </c>
      <c r="B148" s="108" t="s">
        <v>14784</v>
      </c>
      <c r="C148" s="109">
        <v>43703</v>
      </c>
      <c r="D148" s="108"/>
      <c r="E148" s="108" t="s">
        <v>14605</v>
      </c>
      <c r="F148" s="108" t="s">
        <v>14783</v>
      </c>
      <c r="G148" s="110"/>
      <c r="H148" s="108"/>
      <c r="I148" s="108"/>
    </row>
    <row r="149" spans="1:9">
      <c r="A149" s="108" t="s">
        <v>466</v>
      </c>
      <c r="B149" s="108" t="s">
        <v>14785</v>
      </c>
      <c r="C149" s="109">
        <v>43703</v>
      </c>
      <c r="D149" s="108"/>
      <c r="E149" s="108" t="s">
        <v>14605</v>
      </c>
      <c r="F149" s="108" t="s">
        <v>14783</v>
      </c>
      <c r="G149" s="110"/>
      <c r="H149" s="108"/>
      <c r="I149" s="108"/>
    </row>
    <row r="150" spans="1:9">
      <c r="A150" s="108" t="s">
        <v>466</v>
      </c>
      <c r="B150" s="108" t="s">
        <v>14786</v>
      </c>
      <c r="C150" s="109">
        <v>43703</v>
      </c>
      <c r="D150" s="108"/>
      <c r="E150" s="108" t="s">
        <v>14605</v>
      </c>
      <c r="F150" s="108" t="s">
        <v>14783</v>
      </c>
      <c r="G150" s="110"/>
      <c r="H150" s="108"/>
      <c r="I150" s="108"/>
    </row>
    <row r="151" spans="1:9" ht="27.6">
      <c r="A151" s="108" t="s">
        <v>464</v>
      </c>
      <c r="B151" s="108" t="s">
        <v>14787</v>
      </c>
      <c r="C151" s="109">
        <v>43703</v>
      </c>
      <c r="D151" s="108"/>
      <c r="E151" s="108" t="s">
        <v>14605</v>
      </c>
      <c r="F151" s="108" t="s">
        <v>14783</v>
      </c>
      <c r="G151" s="110"/>
      <c r="H151" s="108"/>
      <c r="I151" s="108"/>
    </row>
    <row r="152" spans="1:9">
      <c r="A152" s="108" t="s">
        <v>468</v>
      </c>
      <c r="B152" s="108" t="s">
        <v>629</v>
      </c>
      <c r="C152" s="109">
        <v>43698</v>
      </c>
      <c r="D152" s="108"/>
      <c r="E152" s="108" t="s">
        <v>14605</v>
      </c>
      <c r="F152" s="108" t="s">
        <v>620</v>
      </c>
      <c r="G152" s="110"/>
      <c r="H152" s="108"/>
      <c r="I152" s="108"/>
    </row>
    <row r="153" spans="1:9">
      <c r="A153" s="108" t="s">
        <v>468</v>
      </c>
      <c r="B153" s="108" t="s">
        <v>628</v>
      </c>
      <c r="C153" s="109">
        <v>43698</v>
      </c>
      <c r="D153" s="108"/>
      <c r="E153" s="108" t="s">
        <v>14605</v>
      </c>
      <c r="F153" s="108" t="s">
        <v>620</v>
      </c>
      <c r="G153" s="110"/>
      <c r="H153" s="108"/>
      <c r="I153" s="108"/>
    </row>
    <row r="154" spans="1:9">
      <c r="A154" s="108" t="s">
        <v>466</v>
      </c>
      <c r="B154" s="108" t="s">
        <v>627</v>
      </c>
      <c r="C154" s="109">
        <v>43698</v>
      </c>
      <c r="D154" s="108"/>
      <c r="E154" s="108" t="s">
        <v>14605</v>
      </c>
      <c r="F154" s="108" t="s">
        <v>620</v>
      </c>
      <c r="G154" s="110"/>
      <c r="H154" s="108"/>
      <c r="I154" s="108"/>
    </row>
    <row r="155" spans="1:9">
      <c r="A155" s="108" t="s">
        <v>466</v>
      </c>
      <c r="B155" s="108" t="s">
        <v>626</v>
      </c>
      <c r="C155" s="109">
        <v>43698</v>
      </c>
      <c r="D155" s="108"/>
      <c r="E155" s="108" t="s">
        <v>14605</v>
      </c>
      <c r="F155" s="108" t="s">
        <v>620</v>
      </c>
      <c r="G155" s="110"/>
      <c r="H155" s="108"/>
      <c r="I155" s="108"/>
    </row>
    <row r="156" spans="1:9" ht="27.6">
      <c r="A156" s="108" t="s">
        <v>464</v>
      </c>
      <c r="B156" s="108" t="s">
        <v>625</v>
      </c>
      <c r="C156" s="109">
        <v>43698</v>
      </c>
      <c r="D156" s="108"/>
      <c r="E156" s="108" t="s">
        <v>14605</v>
      </c>
      <c r="F156" s="108" t="s">
        <v>620</v>
      </c>
      <c r="G156" s="110"/>
      <c r="H156" s="108"/>
      <c r="I156" s="108"/>
    </row>
    <row r="157" spans="1:9">
      <c r="A157" s="108" t="s">
        <v>468</v>
      </c>
      <c r="B157" s="108" t="s">
        <v>1024</v>
      </c>
      <c r="C157" s="109">
        <v>43942</v>
      </c>
      <c r="D157" s="108"/>
      <c r="E157" s="108" t="s">
        <v>14605</v>
      </c>
      <c r="F157" s="108" t="s">
        <v>986</v>
      </c>
      <c r="G157" s="110"/>
      <c r="H157" s="108"/>
      <c r="I157" s="108"/>
    </row>
    <row r="158" spans="1:9">
      <c r="A158" s="108" t="s">
        <v>468</v>
      </c>
      <c r="B158" s="108" t="s">
        <v>1023</v>
      </c>
      <c r="C158" s="109">
        <v>43942</v>
      </c>
      <c r="D158" s="108"/>
      <c r="E158" s="108" t="s">
        <v>14605</v>
      </c>
      <c r="F158" s="108" t="s">
        <v>986</v>
      </c>
      <c r="G158" s="110"/>
      <c r="H158" s="108"/>
      <c r="I158" s="108"/>
    </row>
    <row r="159" spans="1:9">
      <c r="A159" s="108" t="s">
        <v>466</v>
      </c>
      <c r="B159" s="108" t="s">
        <v>1022</v>
      </c>
      <c r="C159" s="109">
        <v>43942</v>
      </c>
      <c r="D159" s="108"/>
      <c r="E159" s="108" t="s">
        <v>14605</v>
      </c>
      <c r="F159" s="108" t="s">
        <v>986</v>
      </c>
      <c r="G159" s="110"/>
      <c r="H159" s="108"/>
      <c r="I159" s="108"/>
    </row>
    <row r="160" spans="1:9">
      <c r="A160" s="108" t="s">
        <v>466</v>
      </c>
      <c r="B160" s="108" t="s">
        <v>1021</v>
      </c>
      <c r="C160" s="109">
        <v>43942</v>
      </c>
      <c r="D160" s="108"/>
      <c r="E160" s="108" t="s">
        <v>14605</v>
      </c>
      <c r="F160" s="108" t="s">
        <v>986</v>
      </c>
      <c r="G160" s="110"/>
      <c r="H160" s="108"/>
      <c r="I160" s="108"/>
    </row>
    <row r="161" spans="1:9" ht="27.6">
      <c r="A161" s="108" t="s">
        <v>464</v>
      </c>
      <c r="B161" s="108" t="s">
        <v>1020</v>
      </c>
      <c r="C161" s="109">
        <v>43942</v>
      </c>
      <c r="D161" s="108"/>
      <c r="E161" s="108" t="s">
        <v>14605</v>
      </c>
      <c r="F161" s="108" t="s">
        <v>986</v>
      </c>
      <c r="G161" s="110"/>
      <c r="H161" s="108"/>
      <c r="I161" s="108"/>
    </row>
    <row r="162" spans="1:9" ht="41.4">
      <c r="A162" s="108" t="s">
        <v>466</v>
      </c>
      <c r="B162" s="108" t="s">
        <v>14788</v>
      </c>
      <c r="C162" s="109">
        <v>43721</v>
      </c>
      <c r="D162" s="108"/>
      <c r="E162" s="108" t="s">
        <v>14605</v>
      </c>
      <c r="F162" s="108" t="s">
        <v>14789</v>
      </c>
      <c r="G162" s="110"/>
      <c r="H162" s="108"/>
      <c r="I162" s="108"/>
    </row>
    <row r="163" spans="1:9" ht="41.4">
      <c r="A163" s="108" t="s">
        <v>468</v>
      </c>
      <c r="B163" s="108" t="s">
        <v>14790</v>
      </c>
      <c r="C163" s="109">
        <v>43721</v>
      </c>
      <c r="D163" s="108"/>
      <c r="E163" s="108" t="s">
        <v>14605</v>
      </c>
      <c r="F163" s="108" t="s">
        <v>14789</v>
      </c>
      <c r="G163" s="110"/>
      <c r="H163" s="108"/>
      <c r="I163" s="108"/>
    </row>
    <row r="164" spans="1:9" ht="41.4">
      <c r="A164" s="108" t="s">
        <v>468</v>
      </c>
      <c r="B164" s="108" t="s">
        <v>14791</v>
      </c>
      <c r="C164" s="109">
        <v>43721</v>
      </c>
      <c r="D164" s="108"/>
      <c r="E164" s="108" t="s">
        <v>14605</v>
      </c>
      <c r="F164" s="108" t="s">
        <v>14789</v>
      </c>
      <c r="G164" s="110"/>
      <c r="H164" s="108"/>
      <c r="I164" s="108"/>
    </row>
    <row r="165" spans="1:9" ht="41.4">
      <c r="A165" s="108" t="s">
        <v>466</v>
      </c>
      <c r="B165" s="108" t="s">
        <v>14792</v>
      </c>
      <c r="C165" s="109">
        <v>43721</v>
      </c>
      <c r="D165" s="108"/>
      <c r="E165" s="108" t="s">
        <v>14605</v>
      </c>
      <c r="F165" s="108" t="s">
        <v>14789</v>
      </c>
      <c r="G165" s="110"/>
      <c r="H165" s="108"/>
      <c r="I165" s="108"/>
    </row>
    <row r="166" spans="1:9" ht="41.4">
      <c r="A166" s="108" t="s">
        <v>464</v>
      </c>
      <c r="B166" s="108" t="s">
        <v>14793</v>
      </c>
      <c r="C166" s="109">
        <v>43721</v>
      </c>
      <c r="D166" s="108"/>
      <c r="E166" s="108" t="s">
        <v>14605</v>
      </c>
      <c r="F166" s="108" t="s">
        <v>14789</v>
      </c>
      <c r="G166" s="110"/>
      <c r="H166" s="108"/>
      <c r="I166" s="108"/>
    </row>
    <row r="167" spans="1:9" ht="27.6">
      <c r="A167" s="108" t="s">
        <v>464</v>
      </c>
      <c r="B167" s="108" t="s">
        <v>4018</v>
      </c>
      <c r="C167" s="109">
        <v>44252</v>
      </c>
      <c r="D167" s="108"/>
      <c r="E167" s="108" t="s">
        <v>14605</v>
      </c>
      <c r="F167" s="108" t="s">
        <v>4014</v>
      </c>
      <c r="G167" s="110"/>
      <c r="H167" s="108"/>
      <c r="I167" s="108"/>
    </row>
    <row r="168" spans="1:9" ht="27.6">
      <c r="A168" s="108" t="s">
        <v>464</v>
      </c>
      <c r="B168" s="108" t="s">
        <v>14794</v>
      </c>
      <c r="C168" s="109">
        <v>43796</v>
      </c>
      <c r="D168" s="108"/>
      <c r="E168" s="108" t="s">
        <v>14605</v>
      </c>
      <c r="F168" s="108" t="s">
        <v>14795</v>
      </c>
      <c r="G168" s="110"/>
      <c r="H168" s="108"/>
      <c r="I168" s="108"/>
    </row>
    <row r="169" spans="1:9">
      <c r="A169" s="108" t="s">
        <v>466</v>
      </c>
      <c r="B169" s="108" t="s">
        <v>14796</v>
      </c>
      <c r="C169" s="109">
        <v>43796</v>
      </c>
      <c r="D169" s="108"/>
      <c r="E169" s="108" t="s">
        <v>14605</v>
      </c>
      <c r="F169" s="108" t="s">
        <v>14795</v>
      </c>
      <c r="G169" s="110"/>
      <c r="H169" s="108"/>
      <c r="I169" s="108"/>
    </row>
    <row r="170" spans="1:9">
      <c r="A170" s="108" t="s">
        <v>466</v>
      </c>
      <c r="B170" s="108" t="s">
        <v>14797</v>
      </c>
      <c r="C170" s="109">
        <v>43796</v>
      </c>
      <c r="D170" s="108"/>
      <c r="E170" s="108" t="s">
        <v>14605</v>
      </c>
      <c r="F170" s="108" t="s">
        <v>14795</v>
      </c>
      <c r="G170" s="110"/>
      <c r="H170" s="108"/>
      <c r="I170" s="108"/>
    </row>
    <row r="171" spans="1:9">
      <c r="A171" s="108" t="s">
        <v>468</v>
      </c>
      <c r="B171" s="108" t="s">
        <v>14798</v>
      </c>
      <c r="C171" s="109">
        <v>43796</v>
      </c>
      <c r="D171" s="108"/>
      <c r="E171" s="108" t="s">
        <v>14605</v>
      </c>
      <c r="F171" s="108" t="s">
        <v>14795</v>
      </c>
      <c r="G171" s="110"/>
      <c r="H171" s="108"/>
      <c r="I171" s="108"/>
    </row>
    <row r="172" spans="1:9">
      <c r="A172" s="108" t="s">
        <v>468</v>
      </c>
      <c r="B172" s="108" t="s">
        <v>14799</v>
      </c>
      <c r="C172" s="109">
        <v>43796</v>
      </c>
      <c r="D172" s="108"/>
      <c r="E172" s="108" t="s">
        <v>14605</v>
      </c>
      <c r="F172" s="108" t="s">
        <v>14795</v>
      </c>
      <c r="G172" s="110"/>
      <c r="H172" s="108"/>
      <c r="I172" s="108"/>
    </row>
    <row r="173" spans="1:9" ht="27.6">
      <c r="A173" s="108" t="s">
        <v>464</v>
      </c>
      <c r="B173" s="108" t="s">
        <v>14800</v>
      </c>
      <c r="C173" s="109">
        <v>43742</v>
      </c>
      <c r="D173" s="108"/>
      <c r="E173" s="108" t="s">
        <v>14605</v>
      </c>
      <c r="F173" s="108" t="s">
        <v>14801</v>
      </c>
      <c r="G173" s="110"/>
      <c r="H173" s="108"/>
      <c r="I173" s="108"/>
    </row>
    <row r="174" spans="1:9">
      <c r="A174" s="108" t="s">
        <v>466</v>
      </c>
      <c r="B174" s="108" t="s">
        <v>14802</v>
      </c>
      <c r="C174" s="109">
        <v>43742</v>
      </c>
      <c r="D174" s="108"/>
      <c r="E174" s="108" t="s">
        <v>14605</v>
      </c>
      <c r="F174" s="108" t="s">
        <v>14801</v>
      </c>
      <c r="G174" s="110"/>
      <c r="H174" s="108"/>
      <c r="I174" s="108"/>
    </row>
    <row r="175" spans="1:9">
      <c r="A175" s="108" t="s">
        <v>466</v>
      </c>
      <c r="B175" s="108" t="s">
        <v>14803</v>
      </c>
      <c r="C175" s="109">
        <v>43742</v>
      </c>
      <c r="D175" s="108"/>
      <c r="E175" s="108" t="s">
        <v>14605</v>
      </c>
      <c r="F175" s="108" t="s">
        <v>14801</v>
      </c>
      <c r="G175" s="110"/>
      <c r="H175" s="108"/>
      <c r="I175" s="108"/>
    </row>
    <row r="176" spans="1:9">
      <c r="A176" s="108" t="s">
        <v>468</v>
      </c>
      <c r="B176" s="108" t="s">
        <v>14804</v>
      </c>
      <c r="C176" s="109">
        <v>43742</v>
      </c>
      <c r="D176" s="108"/>
      <c r="E176" s="108" t="s">
        <v>14605</v>
      </c>
      <c r="F176" s="108" t="s">
        <v>14801</v>
      </c>
      <c r="G176" s="110"/>
      <c r="H176" s="108"/>
      <c r="I176" s="108"/>
    </row>
    <row r="177" spans="1:9">
      <c r="A177" s="108" t="s">
        <v>468</v>
      </c>
      <c r="B177" s="108" t="s">
        <v>14805</v>
      </c>
      <c r="C177" s="109">
        <v>43742</v>
      </c>
      <c r="D177" s="108"/>
      <c r="E177" s="108" t="s">
        <v>14605</v>
      </c>
      <c r="F177" s="108" t="s">
        <v>14801</v>
      </c>
      <c r="G177" s="110"/>
      <c r="H177" s="108"/>
      <c r="I177" s="108"/>
    </row>
    <row r="178" spans="1:9" ht="27.6">
      <c r="A178" s="108" t="s">
        <v>464</v>
      </c>
      <c r="B178" s="108" t="s">
        <v>14806</v>
      </c>
      <c r="C178" s="109">
        <v>43836</v>
      </c>
      <c r="D178" s="108"/>
      <c r="E178" s="108" t="s">
        <v>14605</v>
      </c>
      <c r="F178" s="108" t="s">
        <v>14807</v>
      </c>
      <c r="G178" s="110"/>
      <c r="H178" s="108"/>
      <c r="I178" s="108"/>
    </row>
    <row r="179" spans="1:9" ht="27.6">
      <c r="A179" s="108" t="s">
        <v>466</v>
      </c>
      <c r="B179" s="108" t="s">
        <v>14808</v>
      </c>
      <c r="C179" s="109">
        <v>43836</v>
      </c>
      <c r="D179" s="108"/>
      <c r="E179" s="108" t="s">
        <v>14605</v>
      </c>
      <c r="F179" s="108" t="s">
        <v>14807</v>
      </c>
      <c r="G179" s="110"/>
      <c r="H179" s="108"/>
      <c r="I179" s="108"/>
    </row>
    <row r="180" spans="1:9" ht="27.6">
      <c r="A180" s="108" t="s">
        <v>466</v>
      </c>
      <c r="B180" s="108" t="s">
        <v>14809</v>
      </c>
      <c r="C180" s="109">
        <v>43836</v>
      </c>
      <c r="D180" s="108"/>
      <c r="E180" s="108" t="s">
        <v>14605</v>
      </c>
      <c r="F180" s="108" t="s">
        <v>14807</v>
      </c>
      <c r="G180" s="110"/>
      <c r="H180" s="108"/>
      <c r="I180" s="108"/>
    </row>
    <row r="181" spans="1:9" ht="27.6">
      <c r="A181" s="108" t="s">
        <v>468</v>
      </c>
      <c r="B181" s="108" t="s">
        <v>14810</v>
      </c>
      <c r="C181" s="109">
        <v>43836</v>
      </c>
      <c r="D181" s="108"/>
      <c r="E181" s="108" t="s">
        <v>14605</v>
      </c>
      <c r="F181" s="108" t="s">
        <v>14807</v>
      </c>
      <c r="G181" s="110"/>
      <c r="H181" s="108"/>
      <c r="I181" s="108"/>
    </row>
    <row r="182" spans="1:9" ht="27.6">
      <c r="A182" s="108" t="s">
        <v>468</v>
      </c>
      <c r="B182" s="108" t="s">
        <v>14811</v>
      </c>
      <c r="C182" s="109">
        <v>43836</v>
      </c>
      <c r="D182" s="108"/>
      <c r="E182" s="108" t="s">
        <v>14605</v>
      </c>
      <c r="F182" s="108" t="s">
        <v>14807</v>
      </c>
      <c r="G182" s="110"/>
      <c r="H182" s="108"/>
      <c r="I182" s="108"/>
    </row>
    <row r="183" spans="1:9" ht="27.6">
      <c r="A183" s="108" t="s">
        <v>464</v>
      </c>
      <c r="B183" s="108" t="s">
        <v>14812</v>
      </c>
      <c r="C183" s="109">
        <v>43698</v>
      </c>
      <c r="D183" s="108"/>
      <c r="E183" s="108" t="s">
        <v>14605</v>
      </c>
      <c r="F183" s="108" t="s">
        <v>14813</v>
      </c>
      <c r="G183" s="110"/>
      <c r="H183" s="108"/>
      <c r="I183" s="108"/>
    </row>
    <row r="184" spans="1:9">
      <c r="A184" s="108" t="s">
        <v>466</v>
      </c>
      <c r="B184" s="108" t="s">
        <v>14814</v>
      </c>
      <c r="C184" s="109">
        <v>43698</v>
      </c>
      <c r="D184" s="108"/>
      <c r="E184" s="108" t="s">
        <v>14605</v>
      </c>
      <c r="F184" s="108" t="s">
        <v>14813</v>
      </c>
      <c r="G184" s="110"/>
      <c r="H184" s="108"/>
      <c r="I184" s="108"/>
    </row>
    <row r="185" spans="1:9">
      <c r="A185" s="108" t="s">
        <v>466</v>
      </c>
      <c r="B185" s="108" t="s">
        <v>14815</v>
      </c>
      <c r="C185" s="109">
        <v>43698</v>
      </c>
      <c r="D185" s="108"/>
      <c r="E185" s="108" t="s">
        <v>14605</v>
      </c>
      <c r="F185" s="108" t="s">
        <v>14813</v>
      </c>
      <c r="G185" s="110"/>
      <c r="H185" s="108"/>
      <c r="I185" s="108"/>
    </row>
    <row r="186" spans="1:9">
      <c r="A186" s="108" t="s">
        <v>468</v>
      </c>
      <c r="B186" s="108" t="s">
        <v>14816</v>
      </c>
      <c r="C186" s="109">
        <v>43698</v>
      </c>
      <c r="D186" s="108"/>
      <c r="E186" s="108" t="s">
        <v>14605</v>
      </c>
      <c r="F186" s="108" t="s">
        <v>14813</v>
      </c>
      <c r="G186" s="110"/>
      <c r="H186" s="108"/>
      <c r="I186" s="108"/>
    </row>
    <row r="187" spans="1:9">
      <c r="A187" s="108" t="s">
        <v>468</v>
      </c>
      <c r="B187" s="108" t="s">
        <v>14817</v>
      </c>
      <c r="C187" s="109">
        <v>43698</v>
      </c>
      <c r="D187" s="108"/>
      <c r="E187" s="108" t="s">
        <v>14605</v>
      </c>
      <c r="F187" s="108" t="s">
        <v>14813</v>
      </c>
      <c r="G187" s="110"/>
      <c r="H187" s="108"/>
      <c r="I187" s="108"/>
    </row>
    <row r="188" spans="1:9">
      <c r="A188" s="108" t="s">
        <v>427</v>
      </c>
      <c r="B188" s="108" t="s">
        <v>14818</v>
      </c>
      <c r="C188" s="109">
        <v>43706</v>
      </c>
      <c r="D188" s="108"/>
      <c r="E188" s="108" t="s">
        <v>14605</v>
      </c>
      <c r="F188" s="108" t="s">
        <v>14777</v>
      </c>
      <c r="G188" s="110"/>
      <c r="H188" s="108"/>
      <c r="I188" s="108"/>
    </row>
    <row r="189" spans="1:9">
      <c r="A189" s="108" t="s">
        <v>468</v>
      </c>
      <c r="B189" s="108" t="s">
        <v>14819</v>
      </c>
      <c r="C189" s="109">
        <v>43706</v>
      </c>
      <c r="D189" s="108"/>
      <c r="E189" s="108" t="s">
        <v>14605</v>
      </c>
      <c r="F189" s="108" t="s">
        <v>14777</v>
      </c>
      <c r="G189" s="110"/>
      <c r="H189" s="108"/>
      <c r="I189" s="108"/>
    </row>
    <row r="190" spans="1:9">
      <c r="A190" s="108" t="s">
        <v>468</v>
      </c>
      <c r="B190" s="108" t="s">
        <v>14820</v>
      </c>
      <c r="C190" s="109">
        <v>43706</v>
      </c>
      <c r="D190" s="108"/>
      <c r="E190" s="108" t="s">
        <v>14605</v>
      </c>
      <c r="F190" s="108" t="s">
        <v>14777</v>
      </c>
      <c r="G190" s="110"/>
      <c r="H190" s="108"/>
      <c r="I190" s="108"/>
    </row>
    <row r="191" spans="1:9">
      <c r="A191" s="108" t="s">
        <v>466</v>
      </c>
      <c r="B191" s="108" t="s">
        <v>14821</v>
      </c>
      <c r="C191" s="109">
        <v>43706</v>
      </c>
      <c r="D191" s="108"/>
      <c r="E191" s="108" t="s">
        <v>14605</v>
      </c>
      <c r="F191" s="108" t="s">
        <v>14777</v>
      </c>
      <c r="G191" s="110"/>
      <c r="H191" s="108"/>
      <c r="I191" s="108"/>
    </row>
    <row r="192" spans="1:9">
      <c r="A192" s="108" t="s">
        <v>466</v>
      </c>
      <c r="B192" s="108" t="s">
        <v>14822</v>
      </c>
      <c r="C192" s="109">
        <v>43706</v>
      </c>
      <c r="D192" s="108"/>
      <c r="E192" s="108" t="s">
        <v>14605</v>
      </c>
      <c r="F192" s="108" t="s">
        <v>14777</v>
      </c>
      <c r="G192" s="110"/>
      <c r="H192" s="108"/>
      <c r="I192" s="108"/>
    </row>
    <row r="193" spans="1:9" ht="27.6">
      <c r="A193" s="108" t="s">
        <v>464</v>
      </c>
      <c r="B193" s="108" t="s">
        <v>14823</v>
      </c>
      <c r="C193" s="109">
        <v>43706</v>
      </c>
      <c r="D193" s="108"/>
      <c r="E193" s="108" t="s">
        <v>14605</v>
      </c>
      <c r="F193" s="108" t="s">
        <v>14777</v>
      </c>
      <c r="G193" s="110"/>
      <c r="H193" s="108"/>
      <c r="I193" s="108"/>
    </row>
    <row r="194" spans="1:9">
      <c r="A194" s="108" t="s">
        <v>466</v>
      </c>
      <c r="B194" s="108" t="s">
        <v>2377</v>
      </c>
      <c r="C194" s="109">
        <v>43679</v>
      </c>
      <c r="D194" s="108"/>
      <c r="E194" s="108" t="s">
        <v>14605</v>
      </c>
      <c r="F194" s="108" t="s">
        <v>2372</v>
      </c>
      <c r="G194" s="110"/>
      <c r="H194" s="108"/>
      <c r="I194" s="108"/>
    </row>
    <row r="195" spans="1:9">
      <c r="A195" s="108" t="s">
        <v>468</v>
      </c>
      <c r="B195" s="108" t="s">
        <v>2376</v>
      </c>
      <c r="C195" s="109">
        <v>43679</v>
      </c>
      <c r="D195" s="108"/>
      <c r="E195" s="108" t="s">
        <v>14605</v>
      </c>
      <c r="F195" s="108" t="s">
        <v>2372</v>
      </c>
      <c r="G195" s="110"/>
      <c r="H195" s="108"/>
      <c r="I195" s="108"/>
    </row>
    <row r="196" spans="1:9">
      <c r="A196" s="108" t="s">
        <v>468</v>
      </c>
      <c r="B196" s="108" t="s">
        <v>2375</v>
      </c>
      <c r="C196" s="109">
        <v>43679</v>
      </c>
      <c r="D196" s="108"/>
      <c r="E196" s="108" t="s">
        <v>14605</v>
      </c>
      <c r="F196" s="108" t="s">
        <v>2372</v>
      </c>
      <c r="G196" s="110"/>
      <c r="H196" s="108"/>
      <c r="I196" s="108"/>
    </row>
    <row r="197" spans="1:9">
      <c r="A197" s="108" t="s">
        <v>466</v>
      </c>
      <c r="B197" s="108" t="s">
        <v>2374</v>
      </c>
      <c r="C197" s="109">
        <v>43679</v>
      </c>
      <c r="D197" s="108"/>
      <c r="E197" s="108" t="s">
        <v>14605</v>
      </c>
      <c r="F197" s="108" t="s">
        <v>2372</v>
      </c>
      <c r="G197" s="110"/>
      <c r="H197" s="108"/>
      <c r="I197" s="108"/>
    </row>
    <row r="198" spans="1:9" ht="27.6">
      <c r="A198" s="108" t="s">
        <v>464</v>
      </c>
      <c r="B198" s="108" t="s">
        <v>2373</v>
      </c>
      <c r="C198" s="109">
        <v>43679</v>
      </c>
      <c r="D198" s="108"/>
      <c r="E198" s="108" t="s">
        <v>14605</v>
      </c>
      <c r="F198" s="108" t="s">
        <v>2372</v>
      </c>
      <c r="G198" s="110"/>
      <c r="H198" s="108"/>
      <c r="I198" s="108"/>
    </row>
    <row r="199" spans="1:9" ht="27.6">
      <c r="A199" s="108" t="s">
        <v>464</v>
      </c>
      <c r="B199" s="108" t="s">
        <v>1019</v>
      </c>
      <c r="C199" s="109">
        <v>43698</v>
      </c>
      <c r="D199" s="108"/>
      <c r="E199" s="108" t="s">
        <v>14605</v>
      </c>
      <c r="F199" s="108" t="s">
        <v>986</v>
      </c>
      <c r="G199" s="110"/>
      <c r="H199" s="108"/>
      <c r="I199" s="108"/>
    </row>
    <row r="200" spans="1:9">
      <c r="A200" s="108" t="s">
        <v>468</v>
      </c>
      <c r="B200" s="108" t="s">
        <v>1018</v>
      </c>
      <c r="C200" s="109">
        <v>43698</v>
      </c>
      <c r="D200" s="108"/>
      <c r="E200" s="108" t="s">
        <v>14605</v>
      </c>
      <c r="F200" s="108" t="s">
        <v>986</v>
      </c>
      <c r="G200" s="110"/>
      <c r="H200" s="108"/>
      <c r="I200" s="108"/>
    </row>
    <row r="201" spans="1:9">
      <c r="A201" s="108" t="s">
        <v>468</v>
      </c>
      <c r="B201" s="108" t="s">
        <v>1017</v>
      </c>
      <c r="C201" s="109">
        <v>43698</v>
      </c>
      <c r="D201" s="108"/>
      <c r="E201" s="108" t="s">
        <v>14605</v>
      </c>
      <c r="F201" s="108" t="s">
        <v>986</v>
      </c>
      <c r="G201" s="110"/>
      <c r="H201" s="108"/>
      <c r="I201" s="108"/>
    </row>
    <row r="202" spans="1:9">
      <c r="A202" s="108" t="s">
        <v>466</v>
      </c>
      <c r="B202" s="108" t="s">
        <v>1016</v>
      </c>
      <c r="C202" s="109">
        <v>43698</v>
      </c>
      <c r="D202" s="108"/>
      <c r="E202" s="108" t="s">
        <v>14605</v>
      </c>
      <c r="F202" s="108" t="s">
        <v>986</v>
      </c>
      <c r="G202" s="110"/>
      <c r="H202" s="108"/>
      <c r="I202" s="108"/>
    </row>
    <row r="203" spans="1:9">
      <c r="A203" s="108" t="s">
        <v>466</v>
      </c>
      <c r="B203" s="108" t="s">
        <v>1015</v>
      </c>
      <c r="C203" s="109">
        <v>43698</v>
      </c>
      <c r="D203" s="108"/>
      <c r="E203" s="108" t="s">
        <v>14605</v>
      </c>
      <c r="F203" s="108" t="s">
        <v>986</v>
      </c>
      <c r="G203" s="110"/>
      <c r="H203" s="108"/>
      <c r="I203" s="108"/>
    </row>
    <row r="204" spans="1:9" ht="27.6">
      <c r="A204" s="108" t="s">
        <v>466</v>
      </c>
      <c r="B204" s="108" t="s">
        <v>14824</v>
      </c>
      <c r="C204" s="109">
        <v>43836</v>
      </c>
      <c r="D204" s="108"/>
      <c r="E204" s="108" t="s">
        <v>14605</v>
      </c>
      <c r="F204" s="108" t="s">
        <v>14807</v>
      </c>
      <c r="G204" s="110"/>
      <c r="H204" s="108"/>
      <c r="I204" s="108"/>
    </row>
    <row r="205" spans="1:9" ht="27.6">
      <c r="A205" s="108" t="s">
        <v>464</v>
      </c>
      <c r="B205" s="108" t="s">
        <v>14825</v>
      </c>
      <c r="C205" s="109">
        <v>43836</v>
      </c>
      <c r="D205" s="108"/>
      <c r="E205" s="108" t="s">
        <v>14605</v>
      </c>
      <c r="F205" s="108" t="s">
        <v>14807</v>
      </c>
      <c r="G205" s="110"/>
      <c r="H205" s="108"/>
      <c r="I205" s="108"/>
    </row>
    <row r="206" spans="1:9" ht="27.6">
      <c r="A206" s="108" t="s">
        <v>466</v>
      </c>
      <c r="B206" s="108" t="s">
        <v>14826</v>
      </c>
      <c r="C206" s="109">
        <v>43836</v>
      </c>
      <c r="D206" s="108"/>
      <c r="E206" s="108" t="s">
        <v>14605</v>
      </c>
      <c r="F206" s="108" t="s">
        <v>14807</v>
      </c>
      <c r="G206" s="110"/>
      <c r="H206" s="108"/>
      <c r="I206" s="108"/>
    </row>
    <row r="207" spans="1:9" ht="27.6">
      <c r="A207" s="108" t="s">
        <v>468</v>
      </c>
      <c r="B207" s="108" t="s">
        <v>14827</v>
      </c>
      <c r="C207" s="109">
        <v>43836</v>
      </c>
      <c r="D207" s="108"/>
      <c r="E207" s="108" t="s">
        <v>14605</v>
      </c>
      <c r="F207" s="108" t="s">
        <v>14807</v>
      </c>
      <c r="G207" s="110"/>
      <c r="H207" s="108"/>
      <c r="I207" s="108"/>
    </row>
    <row r="208" spans="1:9" ht="27.6">
      <c r="A208" s="108" t="s">
        <v>468</v>
      </c>
      <c r="B208" s="108" t="s">
        <v>14828</v>
      </c>
      <c r="C208" s="109">
        <v>43836</v>
      </c>
      <c r="D208" s="108"/>
      <c r="E208" s="108" t="s">
        <v>14605</v>
      </c>
      <c r="F208" s="108" t="s">
        <v>14807</v>
      </c>
      <c r="G208" s="110"/>
      <c r="H208" s="108"/>
      <c r="I208" s="108"/>
    </row>
    <row r="209" spans="1:9">
      <c r="A209" s="108" t="s">
        <v>427</v>
      </c>
      <c r="B209" s="108" t="s">
        <v>471</v>
      </c>
      <c r="C209" s="109">
        <v>43738</v>
      </c>
      <c r="D209" s="108"/>
      <c r="E209" s="108" t="s">
        <v>14605</v>
      </c>
      <c r="F209" s="108" t="s">
        <v>461</v>
      </c>
      <c r="G209" s="110"/>
      <c r="H209" s="108"/>
      <c r="I209" s="108"/>
    </row>
    <row r="210" spans="1:9">
      <c r="A210" s="108" t="s">
        <v>466</v>
      </c>
      <c r="B210" s="108" t="s">
        <v>470</v>
      </c>
      <c r="C210" s="109">
        <v>43738</v>
      </c>
      <c r="D210" s="108"/>
      <c r="E210" s="108" t="s">
        <v>14605</v>
      </c>
      <c r="F210" s="108" t="s">
        <v>461</v>
      </c>
      <c r="G210" s="110"/>
      <c r="H210" s="108"/>
      <c r="I210" s="108"/>
    </row>
    <row r="211" spans="1:9">
      <c r="A211" s="108" t="s">
        <v>468</v>
      </c>
      <c r="B211" s="108" t="s">
        <v>469</v>
      </c>
      <c r="C211" s="109">
        <v>43738</v>
      </c>
      <c r="D211" s="108"/>
      <c r="E211" s="108" t="s">
        <v>14605</v>
      </c>
      <c r="F211" s="108" t="s">
        <v>461</v>
      </c>
      <c r="G211" s="110"/>
      <c r="H211" s="108"/>
      <c r="I211" s="108"/>
    </row>
    <row r="212" spans="1:9">
      <c r="A212" s="108" t="s">
        <v>468</v>
      </c>
      <c r="B212" s="108" t="s">
        <v>467</v>
      </c>
      <c r="C212" s="109">
        <v>43738</v>
      </c>
      <c r="D212" s="108"/>
      <c r="E212" s="108" t="s">
        <v>14605</v>
      </c>
      <c r="F212" s="108" t="s">
        <v>461</v>
      </c>
      <c r="G212" s="110"/>
      <c r="H212" s="108"/>
      <c r="I212" s="108"/>
    </row>
    <row r="213" spans="1:9">
      <c r="A213" s="108" t="s">
        <v>466</v>
      </c>
      <c r="B213" s="108" t="s">
        <v>465</v>
      </c>
      <c r="C213" s="109">
        <v>43738</v>
      </c>
      <c r="D213" s="108"/>
      <c r="E213" s="108" t="s">
        <v>14605</v>
      </c>
      <c r="F213" s="108" t="s">
        <v>461</v>
      </c>
      <c r="G213" s="110"/>
      <c r="H213" s="108"/>
      <c r="I213" s="108"/>
    </row>
    <row r="214" spans="1:9" ht="27.6">
      <c r="A214" s="108" t="s">
        <v>464</v>
      </c>
      <c r="B214" s="108" t="s">
        <v>463</v>
      </c>
      <c r="C214" s="109">
        <v>43738</v>
      </c>
      <c r="D214" s="108"/>
      <c r="E214" s="108" t="s">
        <v>14605</v>
      </c>
      <c r="F214" s="108" t="s">
        <v>461</v>
      </c>
      <c r="G214" s="110"/>
      <c r="H214" s="108"/>
      <c r="I214" s="108"/>
    </row>
    <row r="215" spans="1:9">
      <c r="A215" s="108" t="s">
        <v>427</v>
      </c>
      <c r="B215" s="108" t="s">
        <v>462</v>
      </c>
      <c r="C215" s="109">
        <v>43738</v>
      </c>
      <c r="D215" s="108"/>
      <c r="E215" s="108" t="s">
        <v>14605</v>
      </c>
      <c r="F215" s="108" t="s">
        <v>461</v>
      </c>
      <c r="G215" s="110"/>
      <c r="H215" s="108"/>
      <c r="I215" s="108"/>
    </row>
    <row r="216" spans="1:9" ht="27.6">
      <c r="A216" s="108" t="s">
        <v>464</v>
      </c>
      <c r="B216" s="108" t="s">
        <v>14829</v>
      </c>
      <c r="C216" s="109">
        <v>43735</v>
      </c>
      <c r="D216" s="108"/>
      <c r="E216" s="108" t="s">
        <v>14605</v>
      </c>
      <c r="F216" s="108" t="s">
        <v>14762</v>
      </c>
      <c r="G216" s="110"/>
      <c r="H216" s="108"/>
      <c r="I216" s="108"/>
    </row>
    <row r="217" spans="1:9">
      <c r="A217" s="108" t="s">
        <v>466</v>
      </c>
      <c r="B217" s="108" t="s">
        <v>14830</v>
      </c>
      <c r="C217" s="109">
        <v>43735</v>
      </c>
      <c r="D217" s="108"/>
      <c r="E217" s="108" t="s">
        <v>14605</v>
      </c>
      <c r="F217" s="108" t="s">
        <v>14762</v>
      </c>
      <c r="G217" s="110"/>
      <c r="H217" s="108"/>
      <c r="I217" s="108"/>
    </row>
    <row r="218" spans="1:9">
      <c r="A218" s="108" t="s">
        <v>466</v>
      </c>
      <c r="B218" s="108" t="s">
        <v>14831</v>
      </c>
      <c r="C218" s="109">
        <v>43735</v>
      </c>
      <c r="D218" s="108"/>
      <c r="E218" s="108" t="s">
        <v>14605</v>
      </c>
      <c r="F218" s="108" t="s">
        <v>14762</v>
      </c>
      <c r="G218" s="110"/>
      <c r="H218" s="108"/>
      <c r="I218" s="108"/>
    </row>
    <row r="219" spans="1:9">
      <c r="A219" s="108" t="s">
        <v>468</v>
      </c>
      <c r="B219" s="108" t="s">
        <v>14832</v>
      </c>
      <c r="C219" s="109">
        <v>43735</v>
      </c>
      <c r="D219" s="108"/>
      <c r="E219" s="108" t="s">
        <v>14605</v>
      </c>
      <c r="F219" s="108" t="s">
        <v>14762</v>
      </c>
      <c r="G219" s="110"/>
      <c r="H219" s="108"/>
      <c r="I219" s="108"/>
    </row>
    <row r="220" spans="1:9">
      <c r="A220" s="108" t="s">
        <v>468</v>
      </c>
      <c r="B220" s="108" t="s">
        <v>14833</v>
      </c>
      <c r="C220" s="109">
        <v>43735</v>
      </c>
      <c r="D220" s="108"/>
      <c r="E220" s="108" t="s">
        <v>14605</v>
      </c>
      <c r="F220" s="108" t="s">
        <v>14762</v>
      </c>
      <c r="G220" s="110"/>
      <c r="H220" s="108"/>
      <c r="I220" s="108"/>
    </row>
    <row r="221" spans="1:9" ht="27.6">
      <c r="A221" s="108" t="s">
        <v>464</v>
      </c>
      <c r="B221" s="108" t="s">
        <v>14834</v>
      </c>
      <c r="C221" s="109">
        <v>43714</v>
      </c>
      <c r="D221" s="108"/>
      <c r="E221" s="108" t="s">
        <v>14605</v>
      </c>
      <c r="F221" s="108" t="s">
        <v>14835</v>
      </c>
      <c r="G221" s="110"/>
      <c r="H221" s="108"/>
      <c r="I221" s="108"/>
    </row>
    <row r="222" spans="1:9">
      <c r="A222" s="108" t="s">
        <v>466</v>
      </c>
      <c r="B222" s="108" t="s">
        <v>14836</v>
      </c>
      <c r="C222" s="109">
        <v>43714</v>
      </c>
      <c r="D222" s="108"/>
      <c r="E222" s="108" t="s">
        <v>14605</v>
      </c>
      <c r="F222" s="108" t="s">
        <v>14835</v>
      </c>
      <c r="G222" s="110"/>
      <c r="H222" s="108"/>
      <c r="I222" s="108"/>
    </row>
    <row r="223" spans="1:9">
      <c r="A223" s="108" t="s">
        <v>466</v>
      </c>
      <c r="B223" s="108" t="s">
        <v>14837</v>
      </c>
      <c r="C223" s="109">
        <v>43714</v>
      </c>
      <c r="D223" s="108"/>
      <c r="E223" s="108" t="s">
        <v>14605</v>
      </c>
      <c r="F223" s="108" t="s">
        <v>14835</v>
      </c>
      <c r="G223" s="110"/>
      <c r="H223" s="108"/>
      <c r="I223" s="108"/>
    </row>
    <row r="224" spans="1:9">
      <c r="A224" s="108" t="s">
        <v>468</v>
      </c>
      <c r="B224" s="108" t="s">
        <v>14838</v>
      </c>
      <c r="C224" s="109">
        <v>43714</v>
      </c>
      <c r="D224" s="108"/>
      <c r="E224" s="108" t="s">
        <v>14605</v>
      </c>
      <c r="F224" s="108" t="s">
        <v>14835</v>
      </c>
      <c r="G224" s="110"/>
      <c r="H224" s="108"/>
      <c r="I224" s="108"/>
    </row>
    <row r="225" spans="1:9">
      <c r="A225" s="108" t="s">
        <v>468</v>
      </c>
      <c r="B225" s="108" t="s">
        <v>14839</v>
      </c>
      <c r="C225" s="109">
        <v>43714</v>
      </c>
      <c r="D225" s="108"/>
      <c r="E225" s="108" t="s">
        <v>14605</v>
      </c>
      <c r="F225" s="108" t="s">
        <v>14835</v>
      </c>
      <c r="G225" s="110"/>
      <c r="H225" s="108"/>
      <c r="I225" s="108"/>
    </row>
    <row r="226" spans="1:9">
      <c r="A226" s="108" t="s">
        <v>468</v>
      </c>
      <c r="B226" s="108" t="s">
        <v>14840</v>
      </c>
      <c r="C226" s="109">
        <v>43706</v>
      </c>
      <c r="D226" s="108"/>
      <c r="E226" s="108" t="s">
        <v>14605</v>
      </c>
      <c r="F226" s="108" t="s">
        <v>14777</v>
      </c>
      <c r="G226" s="110"/>
      <c r="H226" s="108"/>
      <c r="I226" s="108"/>
    </row>
    <row r="227" spans="1:9">
      <c r="A227" s="108" t="s">
        <v>468</v>
      </c>
      <c r="B227" s="108" t="s">
        <v>14841</v>
      </c>
      <c r="C227" s="109">
        <v>43706</v>
      </c>
      <c r="D227" s="108"/>
      <c r="E227" s="108" t="s">
        <v>14605</v>
      </c>
      <c r="F227" s="108" t="s">
        <v>14777</v>
      </c>
      <c r="G227" s="110"/>
      <c r="H227" s="108"/>
      <c r="I227" s="108"/>
    </row>
    <row r="228" spans="1:9">
      <c r="A228" s="108" t="s">
        <v>466</v>
      </c>
      <c r="B228" s="108" t="s">
        <v>14842</v>
      </c>
      <c r="C228" s="109">
        <v>43706</v>
      </c>
      <c r="D228" s="108"/>
      <c r="E228" s="108" t="s">
        <v>14605</v>
      </c>
      <c r="F228" s="108" t="s">
        <v>14777</v>
      </c>
      <c r="G228" s="110"/>
      <c r="H228" s="108"/>
      <c r="I228" s="108"/>
    </row>
    <row r="229" spans="1:9">
      <c r="A229" s="108" t="s">
        <v>466</v>
      </c>
      <c r="B229" s="108" t="s">
        <v>14843</v>
      </c>
      <c r="C229" s="109">
        <v>43706</v>
      </c>
      <c r="D229" s="108"/>
      <c r="E229" s="108" t="s">
        <v>14605</v>
      </c>
      <c r="F229" s="108" t="s">
        <v>14777</v>
      </c>
      <c r="G229" s="110"/>
      <c r="H229" s="108"/>
      <c r="I229" s="108"/>
    </row>
    <row r="230" spans="1:9" ht="27.6">
      <c r="A230" s="108" t="s">
        <v>464</v>
      </c>
      <c r="B230" s="108" t="s">
        <v>14844</v>
      </c>
      <c r="C230" s="109">
        <v>43706</v>
      </c>
      <c r="D230" s="108"/>
      <c r="E230" s="108" t="s">
        <v>14605</v>
      </c>
      <c r="F230" s="108" t="s">
        <v>14777</v>
      </c>
      <c r="G230" s="110"/>
      <c r="H230" s="108"/>
      <c r="I230" s="108"/>
    </row>
    <row r="231" spans="1:9">
      <c r="A231" s="108" t="s">
        <v>466</v>
      </c>
      <c r="B231" s="108" t="s">
        <v>14845</v>
      </c>
      <c r="C231" s="109">
        <v>43734</v>
      </c>
      <c r="D231" s="108"/>
      <c r="E231" s="108" t="s">
        <v>14605</v>
      </c>
      <c r="F231" s="108" t="s">
        <v>14846</v>
      </c>
      <c r="G231" s="110"/>
      <c r="H231" s="108"/>
      <c r="I231" s="108"/>
    </row>
    <row r="232" spans="1:9" ht="27.6">
      <c r="A232" s="108" t="s">
        <v>464</v>
      </c>
      <c r="B232" s="108" t="s">
        <v>14847</v>
      </c>
      <c r="C232" s="109">
        <v>43734</v>
      </c>
      <c r="D232" s="108"/>
      <c r="E232" s="108" t="s">
        <v>14605</v>
      </c>
      <c r="F232" s="108" t="s">
        <v>14846</v>
      </c>
      <c r="G232" s="110"/>
      <c r="H232" s="108"/>
      <c r="I232" s="108"/>
    </row>
    <row r="233" spans="1:9">
      <c r="A233" s="108" t="s">
        <v>466</v>
      </c>
      <c r="B233" s="108" t="s">
        <v>14848</v>
      </c>
      <c r="C233" s="109">
        <v>43734</v>
      </c>
      <c r="D233" s="108"/>
      <c r="E233" s="108" t="s">
        <v>14605</v>
      </c>
      <c r="F233" s="108" t="s">
        <v>14846</v>
      </c>
      <c r="G233" s="110"/>
      <c r="H233" s="108"/>
      <c r="I233" s="108"/>
    </row>
    <row r="234" spans="1:9">
      <c r="A234" s="108" t="s">
        <v>468</v>
      </c>
      <c r="B234" s="108" t="s">
        <v>14849</v>
      </c>
      <c r="C234" s="109">
        <v>43734</v>
      </c>
      <c r="D234" s="108"/>
      <c r="E234" s="108" t="s">
        <v>14605</v>
      </c>
      <c r="F234" s="108" t="s">
        <v>14846</v>
      </c>
      <c r="G234" s="110"/>
      <c r="H234" s="108"/>
      <c r="I234" s="108"/>
    </row>
    <row r="235" spans="1:9">
      <c r="A235" s="108" t="s">
        <v>468</v>
      </c>
      <c r="B235" s="108" t="s">
        <v>14850</v>
      </c>
      <c r="C235" s="109">
        <v>43734</v>
      </c>
      <c r="D235" s="108"/>
      <c r="E235" s="108" t="s">
        <v>14605</v>
      </c>
      <c r="F235" s="108" t="s">
        <v>14846</v>
      </c>
      <c r="G235" s="110"/>
      <c r="H235" s="108"/>
      <c r="I235" s="108"/>
    </row>
    <row r="236" spans="1:9">
      <c r="A236" s="108" t="s">
        <v>468</v>
      </c>
      <c r="B236" s="108" t="s">
        <v>14851</v>
      </c>
      <c r="C236" s="109">
        <v>43749</v>
      </c>
      <c r="D236" s="108"/>
      <c r="E236" s="108" t="s">
        <v>14605</v>
      </c>
      <c r="F236" s="108" t="s">
        <v>14852</v>
      </c>
      <c r="G236" s="110"/>
      <c r="H236" s="108"/>
      <c r="I236" s="108"/>
    </row>
    <row r="237" spans="1:9">
      <c r="A237" s="108" t="s">
        <v>468</v>
      </c>
      <c r="B237" s="108" t="s">
        <v>14853</v>
      </c>
      <c r="C237" s="109">
        <v>43749</v>
      </c>
      <c r="D237" s="108"/>
      <c r="E237" s="108" t="s">
        <v>14605</v>
      </c>
      <c r="F237" s="108" t="s">
        <v>14852</v>
      </c>
      <c r="G237" s="110"/>
      <c r="H237" s="108"/>
      <c r="I237" s="108"/>
    </row>
    <row r="238" spans="1:9">
      <c r="A238" s="108" t="s">
        <v>466</v>
      </c>
      <c r="B238" s="108" t="s">
        <v>14854</v>
      </c>
      <c r="C238" s="109">
        <v>43749</v>
      </c>
      <c r="D238" s="108"/>
      <c r="E238" s="108" t="s">
        <v>14605</v>
      </c>
      <c r="F238" s="108" t="s">
        <v>14852</v>
      </c>
      <c r="G238" s="110"/>
      <c r="H238" s="108"/>
      <c r="I238" s="108"/>
    </row>
    <row r="239" spans="1:9">
      <c r="A239" s="108" t="s">
        <v>466</v>
      </c>
      <c r="B239" s="108" t="s">
        <v>14855</v>
      </c>
      <c r="C239" s="109">
        <v>43749</v>
      </c>
      <c r="D239" s="108"/>
      <c r="E239" s="108" t="s">
        <v>14605</v>
      </c>
      <c r="F239" s="108" t="s">
        <v>14852</v>
      </c>
      <c r="G239" s="110"/>
      <c r="H239" s="108"/>
      <c r="I239" s="108"/>
    </row>
    <row r="240" spans="1:9" ht="27.6">
      <c r="A240" s="108" t="s">
        <v>464</v>
      </c>
      <c r="B240" s="108" t="s">
        <v>14856</v>
      </c>
      <c r="C240" s="109">
        <v>43749</v>
      </c>
      <c r="D240" s="108"/>
      <c r="E240" s="108" t="s">
        <v>14605</v>
      </c>
      <c r="F240" s="108" t="s">
        <v>14852</v>
      </c>
      <c r="G240" s="110"/>
      <c r="H240" s="108"/>
      <c r="I240" s="108"/>
    </row>
    <row r="241" spans="1:9" ht="27.6">
      <c r="A241" s="108" t="s">
        <v>468</v>
      </c>
      <c r="B241" s="108" t="s">
        <v>14857</v>
      </c>
      <c r="C241" s="109">
        <v>43693</v>
      </c>
      <c r="D241" s="108"/>
      <c r="E241" s="108" t="s">
        <v>14605</v>
      </c>
      <c r="F241" s="108" t="s">
        <v>14858</v>
      </c>
      <c r="G241" s="110"/>
      <c r="H241" s="108"/>
      <c r="I241" s="108"/>
    </row>
    <row r="242" spans="1:9" ht="27.6">
      <c r="A242" s="108" t="s">
        <v>468</v>
      </c>
      <c r="B242" s="108" t="s">
        <v>14859</v>
      </c>
      <c r="C242" s="109">
        <v>43693</v>
      </c>
      <c r="D242" s="108"/>
      <c r="E242" s="108" t="s">
        <v>14605</v>
      </c>
      <c r="F242" s="108" t="s">
        <v>14858</v>
      </c>
      <c r="G242" s="110"/>
      <c r="H242" s="108"/>
      <c r="I242" s="108"/>
    </row>
    <row r="243" spans="1:9" ht="27.6">
      <c r="A243" s="108" t="s">
        <v>466</v>
      </c>
      <c r="B243" s="108" t="s">
        <v>14860</v>
      </c>
      <c r="C243" s="109">
        <v>43693</v>
      </c>
      <c r="D243" s="108"/>
      <c r="E243" s="108" t="s">
        <v>14605</v>
      </c>
      <c r="F243" s="108" t="s">
        <v>14858</v>
      </c>
      <c r="G243" s="110"/>
      <c r="H243" s="108"/>
      <c r="I243" s="108"/>
    </row>
    <row r="244" spans="1:9" ht="27.6">
      <c r="A244" s="108" t="s">
        <v>466</v>
      </c>
      <c r="B244" s="108" t="s">
        <v>14861</v>
      </c>
      <c r="C244" s="109">
        <v>43693</v>
      </c>
      <c r="D244" s="108"/>
      <c r="E244" s="108" t="s">
        <v>14605</v>
      </c>
      <c r="F244" s="108" t="s">
        <v>14858</v>
      </c>
      <c r="G244" s="110"/>
      <c r="H244" s="108"/>
      <c r="I244" s="108"/>
    </row>
    <row r="245" spans="1:9" ht="27.6">
      <c r="A245" s="108" t="s">
        <v>464</v>
      </c>
      <c r="B245" s="108" t="s">
        <v>14862</v>
      </c>
      <c r="C245" s="109">
        <v>43693</v>
      </c>
      <c r="D245" s="108"/>
      <c r="E245" s="108" t="s">
        <v>14605</v>
      </c>
      <c r="F245" s="108" t="s">
        <v>14858</v>
      </c>
      <c r="G245" s="110"/>
      <c r="H245" s="108"/>
      <c r="I245" s="108"/>
    </row>
    <row r="246" spans="1:9">
      <c r="A246" s="108" t="s">
        <v>468</v>
      </c>
      <c r="B246" s="108" t="s">
        <v>14863</v>
      </c>
      <c r="C246" s="109">
        <v>43700</v>
      </c>
      <c r="D246" s="108"/>
      <c r="E246" s="108" t="s">
        <v>14605</v>
      </c>
      <c r="F246" s="108" t="s">
        <v>14864</v>
      </c>
      <c r="G246" s="110"/>
      <c r="H246" s="108"/>
      <c r="I246" s="108"/>
    </row>
    <row r="247" spans="1:9">
      <c r="A247" s="108" t="s">
        <v>468</v>
      </c>
      <c r="B247" s="108" t="s">
        <v>14865</v>
      </c>
      <c r="C247" s="109">
        <v>43700</v>
      </c>
      <c r="D247" s="108"/>
      <c r="E247" s="108" t="s">
        <v>14605</v>
      </c>
      <c r="F247" s="108" t="s">
        <v>14864</v>
      </c>
      <c r="G247" s="110"/>
      <c r="H247" s="108"/>
      <c r="I247" s="108"/>
    </row>
    <row r="248" spans="1:9">
      <c r="A248" s="108" t="s">
        <v>466</v>
      </c>
      <c r="B248" s="108" t="s">
        <v>14866</v>
      </c>
      <c r="C248" s="109">
        <v>43700</v>
      </c>
      <c r="D248" s="108"/>
      <c r="E248" s="108" t="s">
        <v>14605</v>
      </c>
      <c r="F248" s="108" t="s">
        <v>14864</v>
      </c>
      <c r="G248" s="110"/>
      <c r="H248" s="108"/>
      <c r="I248" s="108"/>
    </row>
    <row r="249" spans="1:9">
      <c r="A249" s="108" t="s">
        <v>466</v>
      </c>
      <c r="B249" s="108" t="s">
        <v>14867</v>
      </c>
      <c r="C249" s="109">
        <v>43700</v>
      </c>
      <c r="D249" s="108"/>
      <c r="E249" s="108" t="s">
        <v>14605</v>
      </c>
      <c r="F249" s="108" t="s">
        <v>14864</v>
      </c>
      <c r="G249" s="110"/>
      <c r="H249" s="108"/>
      <c r="I249" s="108"/>
    </row>
    <row r="250" spans="1:9" ht="27.6">
      <c r="A250" s="108" t="s">
        <v>464</v>
      </c>
      <c r="B250" s="108" t="s">
        <v>14868</v>
      </c>
      <c r="C250" s="109">
        <v>43700</v>
      </c>
      <c r="D250" s="108"/>
      <c r="E250" s="108" t="s">
        <v>14605</v>
      </c>
      <c r="F250" s="108" t="s">
        <v>14864</v>
      </c>
      <c r="G250" s="110"/>
      <c r="H250" s="108"/>
      <c r="I250" s="108"/>
    </row>
    <row r="251" spans="1:9" ht="27.6">
      <c r="A251" s="108" t="s">
        <v>14869</v>
      </c>
      <c r="B251" s="108" t="s">
        <v>14870</v>
      </c>
      <c r="C251" s="109">
        <v>44277</v>
      </c>
      <c r="D251" s="108"/>
      <c r="E251" s="108" t="s">
        <v>14605</v>
      </c>
      <c r="F251" s="108" t="s">
        <v>14871</v>
      </c>
      <c r="G251" s="110"/>
      <c r="H251" s="108"/>
      <c r="I251" s="108"/>
    </row>
    <row r="252" spans="1:9">
      <c r="A252" s="108" t="s">
        <v>14634</v>
      </c>
      <c r="B252" s="108" t="s">
        <v>14872</v>
      </c>
      <c r="C252" s="109">
        <v>41542</v>
      </c>
      <c r="D252" s="108"/>
      <c r="E252" s="108" t="s">
        <v>14605</v>
      </c>
      <c r="F252" s="108" t="s">
        <v>286</v>
      </c>
      <c r="G252" s="110"/>
      <c r="H252" s="108"/>
      <c r="I252" s="108"/>
    </row>
    <row r="253" spans="1:9" ht="41.4">
      <c r="A253" s="108"/>
      <c r="B253" s="108" t="s">
        <v>14873</v>
      </c>
      <c r="C253" s="109">
        <v>42431</v>
      </c>
      <c r="D253" s="108"/>
      <c r="E253" s="108" t="s">
        <v>14605</v>
      </c>
      <c r="F253" s="108" t="s">
        <v>14874</v>
      </c>
      <c r="G253" s="110"/>
      <c r="H253" s="108"/>
      <c r="I253" s="108"/>
    </row>
    <row r="254" spans="1:9" ht="27.6">
      <c r="A254" s="108"/>
      <c r="B254" s="108" t="s">
        <v>14875</v>
      </c>
      <c r="C254" s="109">
        <v>43068</v>
      </c>
      <c r="D254" s="108"/>
      <c r="E254" s="108" t="s">
        <v>14605</v>
      </c>
      <c r="F254" s="108" t="s">
        <v>14876</v>
      </c>
      <c r="G254" s="110"/>
      <c r="H254" s="108"/>
      <c r="I254" s="108"/>
    </row>
    <row r="255" spans="1:9">
      <c r="A255" s="108"/>
      <c r="B255" s="108" t="s">
        <v>14877</v>
      </c>
      <c r="C255" s="109">
        <v>43116</v>
      </c>
      <c r="D255" s="108"/>
      <c r="E255" s="108" t="s">
        <v>14605</v>
      </c>
      <c r="F255" s="108" t="s">
        <v>14878</v>
      </c>
      <c r="G255" s="110"/>
      <c r="H255" s="108"/>
      <c r="I255" s="108"/>
    </row>
    <row r="256" spans="1:9" ht="27.6">
      <c r="A256" s="108" t="s">
        <v>14879</v>
      </c>
      <c r="B256" s="108" t="s">
        <v>14880</v>
      </c>
      <c r="C256" s="109">
        <v>41677</v>
      </c>
      <c r="D256" s="108"/>
      <c r="E256" s="108" t="s">
        <v>14605</v>
      </c>
      <c r="F256" s="108" t="s">
        <v>14881</v>
      </c>
      <c r="G256" s="110"/>
      <c r="H256" s="108"/>
      <c r="I256" s="108"/>
    </row>
    <row r="257" spans="1:9">
      <c r="A257" s="108" t="s">
        <v>14879</v>
      </c>
      <c r="B257" s="108" t="s">
        <v>14882</v>
      </c>
      <c r="C257" s="109">
        <v>40835</v>
      </c>
      <c r="D257" s="108"/>
      <c r="E257" s="108" t="s">
        <v>14605</v>
      </c>
      <c r="F257" s="108" t="s">
        <v>14626</v>
      </c>
      <c r="G257" s="110"/>
      <c r="H257" s="108"/>
      <c r="I257" s="108"/>
    </row>
    <row r="258" spans="1:9" ht="27.6">
      <c r="A258" s="108" t="s">
        <v>14879</v>
      </c>
      <c r="B258" s="108" t="s">
        <v>14883</v>
      </c>
      <c r="C258" s="109">
        <v>41159</v>
      </c>
      <c r="D258" s="108"/>
      <c r="E258" s="108" t="s">
        <v>14605</v>
      </c>
      <c r="F258" s="108" t="s">
        <v>4260</v>
      </c>
      <c r="G258" s="110"/>
      <c r="H258" s="108"/>
      <c r="I258" s="108"/>
    </row>
    <row r="259" spans="1:9">
      <c r="A259" s="108" t="s">
        <v>14879</v>
      </c>
      <c r="B259" s="108" t="s">
        <v>14884</v>
      </c>
      <c r="C259" s="109">
        <v>41220</v>
      </c>
      <c r="D259" s="108"/>
      <c r="E259" s="108" t="s">
        <v>14605</v>
      </c>
      <c r="F259" s="108" t="s">
        <v>14885</v>
      </c>
      <c r="G259" s="110"/>
      <c r="H259" s="108"/>
      <c r="I259" s="108"/>
    </row>
    <row r="260" spans="1:9">
      <c r="A260" s="108" t="s">
        <v>14879</v>
      </c>
      <c r="B260" s="108" t="s">
        <v>14886</v>
      </c>
      <c r="C260" s="109">
        <v>41393</v>
      </c>
      <c r="D260" s="108"/>
      <c r="E260" s="108" t="s">
        <v>14605</v>
      </c>
      <c r="F260" s="108" t="s">
        <v>4898</v>
      </c>
      <c r="G260" s="110"/>
      <c r="H260" s="108"/>
      <c r="I260" s="108"/>
    </row>
    <row r="261" spans="1:9">
      <c r="A261" s="108" t="s">
        <v>14879</v>
      </c>
      <c r="B261" s="108" t="s">
        <v>14887</v>
      </c>
      <c r="C261" s="109">
        <v>38443</v>
      </c>
      <c r="D261" s="108"/>
      <c r="E261" s="108" t="s">
        <v>14605</v>
      </c>
      <c r="F261" s="108" t="s">
        <v>14888</v>
      </c>
      <c r="G261" s="110"/>
      <c r="H261" s="108"/>
      <c r="I261" s="108"/>
    </row>
    <row r="262" spans="1:9">
      <c r="A262" s="108" t="s">
        <v>14879</v>
      </c>
      <c r="B262" s="108" t="s">
        <v>14889</v>
      </c>
      <c r="C262" s="109">
        <v>41793</v>
      </c>
      <c r="D262" s="108"/>
      <c r="E262" s="108" t="s">
        <v>14605</v>
      </c>
      <c r="F262" s="108" t="s">
        <v>14890</v>
      </c>
      <c r="G262" s="110"/>
      <c r="H262" s="108"/>
      <c r="I262" s="108"/>
    </row>
    <row r="263" spans="1:9">
      <c r="A263" s="108" t="s">
        <v>14879</v>
      </c>
      <c r="B263" s="108" t="s">
        <v>14891</v>
      </c>
      <c r="C263" s="109">
        <v>42542</v>
      </c>
      <c r="D263" s="108"/>
      <c r="E263" s="108" t="s">
        <v>14605</v>
      </c>
      <c r="F263" s="108" t="s">
        <v>14661</v>
      </c>
      <c r="G263" s="110"/>
      <c r="H263" s="108"/>
      <c r="I263" s="108"/>
    </row>
    <row r="264" spans="1:9">
      <c r="A264" s="108" t="s">
        <v>14879</v>
      </c>
      <c r="B264" s="108" t="s">
        <v>14892</v>
      </c>
      <c r="C264" s="109">
        <v>39174</v>
      </c>
      <c r="D264" s="108"/>
      <c r="E264" s="108" t="s">
        <v>14605</v>
      </c>
      <c r="F264" s="108" t="s">
        <v>5145</v>
      </c>
      <c r="G264" s="110"/>
      <c r="H264" s="108"/>
      <c r="I264" s="108"/>
    </row>
    <row r="265" spans="1:9">
      <c r="A265" s="108" t="s">
        <v>14879</v>
      </c>
      <c r="B265" s="108" t="s">
        <v>14893</v>
      </c>
      <c r="C265" s="109">
        <v>40724</v>
      </c>
      <c r="D265" s="108"/>
      <c r="E265" s="108" t="s">
        <v>14605</v>
      </c>
      <c r="F265" s="108" t="s">
        <v>3794</v>
      </c>
      <c r="G265" s="110"/>
      <c r="H265" s="108"/>
      <c r="I265" s="108"/>
    </row>
    <row r="266" spans="1:9">
      <c r="A266" s="108" t="s">
        <v>14879</v>
      </c>
      <c r="B266" s="108" t="s">
        <v>14894</v>
      </c>
      <c r="C266" s="109">
        <v>40864</v>
      </c>
      <c r="D266" s="108"/>
      <c r="E266" s="108" t="s">
        <v>14605</v>
      </c>
      <c r="F266" s="108" t="s">
        <v>14624</v>
      </c>
      <c r="G266" s="110"/>
      <c r="H266" s="108"/>
      <c r="I266" s="108"/>
    </row>
    <row r="267" spans="1:9">
      <c r="A267" s="108" t="s">
        <v>14879</v>
      </c>
      <c r="B267" s="108" t="s">
        <v>14895</v>
      </c>
      <c r="C267" s="109">
        <v>40700</v>
      </c>
      <c r="D267" s="108"/>
      <c r="E267" s="108" t="s">
        <v>14605</v>
      </c>
      <c r="F267" s="108" t="s">
        <v>1033</v>
      </c>
      <c r="G267" s="110"/>
      <c r="H267" s="108"/>
      <c r="I267" s="108"/>
    </row>
    <row r="268" spans="1:9">
      <c r="A268" s="108" t="s">
        <v>14879</v>
      </c>
      <c r="B268" s="108" t="s">
        <v>14896</v>
      </c>
      <c r="C268" s="109">
        <v>41107</v>
      </c>
      <c r="D268" s="108"/>
      <c r="E268" s="108" t="s">
        <v>14605</v>
      </c>
      <c r="F268" s="108" t="s">
        <v>4501</v>
      </c>
      <c r="G268" s="110"/>
      <c r="H268" s="108"/>
      <c r="I268" s="108"/>
    </row>
    <row r="269" spans="1:9">
      <c r="A269" s="108" t="s">
        <v>316</v>
      </c>
      <c r="B269" s="108" t="s">
        <v>14897</v>
      </c>
      <c r="C269" s="109">
        <v>42207</v>
      </c>
      <c r="D269" s="108"/>
      <c r="E269" s="108" t="s">
        <v>14611</v>
      </c>
      <c r="F269" s="108" t="s">
        <v>14764</v>
      </c>
      <c r="G269" s="110"/>
      <c r="H269" s="108"/>
      <c r="I269" s="108"/>
    </row>
    <row r="270" spans="1:9">
      <c r="A270" s="108"/>
      <c r="B270" s="108" t="s">
        <v>14898</v>
      </c>
      <c r="C270" s="109">
        <v>42270</v>
      </c>
      <c r="D270" s="108"/>
      <c r="E270" s="108" t="s">
        <v>14611</v>
      </c>
      <c r="F270" s="108" t="s">
        <v>14712</v>
      </c>
      <c r="G270" s="110"/>
      <c r="H270" s="108"/>
      <c r="I270" s="108"/>
    </row>
    <row r="271" spans="1:9">
      <c r="A271" s="108"/>
      <c r="B271" s="108" t="s">
        <v>2723</v>
      </c>
      <c r="C271" s="109">
        <v>42725</v>
      </c>
      <c r="D271" s="108"/>
      <c r="E271" s="108" t="s">
        <v>14611</v>
      </c>
      <c r="F271" s="108" t="s">
        <v>2694</v>
      </c>
      <c r="G271" s="110"/>
      <c r="H271" s="108"/>
      <c r="I271" s="108"/>
    </row>
    <row r="272" spans="1:9">
      <c r="A272" s="108"/>
      <c r="B272" s="108" t="s">
        <v>440</v>
      </c>
      <c r="C272" s="109">
        <v>42791</v>
      </c>
      <c r="D272" s="108"/>
      <c r="E272" s="108" t="s">
        <v>14611</v>
      </c>
      <c r="F272" s="108" t="s">
        <v>438</v>
      </c>
      <c r="G272" s="110"/>
      <c r="H272" s="108"/>
      <c r="I272" s="108"/>
    </row>
    <row r="273" spans="1:9">
      <c r="A273" s="108"/>
      <c r="B273" s="108" t="s">
        <v>3411</v>
      </c>
      <c r="C273" s="109">
        <v>42853</v>
      </c>
      <c r="D273" s="108"/>
      <c r="E273" s="108" t="s">
        <v>14611</v>
      </c>
      <c r="F273" s="108" t="s">
        <v>14672</v>
      </c>
      <c r="G273" s="110"/>
      <c r="H273" s="108"/>
      <c r="I273" s="108"/>
    </row>
    <row r="274" spans="1:9" ht="27.6">
      <c r="A274" s="108"/>
      <c r="B274" s="108" t="s">
        <v>14899</v>
      </c>
      <c r="C274" s="109">
        <v>43259</v>
      </c>
      <c r="D274" s="108"/>
      <c r="E274" s="108" t="s">
        <v>14611</v>
      </c>
      <c r="F274" s="108" t="s">
        <v>14900</v>
      </c>
      <c r="G274" s="110"/>
      <c r="H274" s="108"/>
      <c r="I274" s="108"/>
    </row>
    <row r="275" spans="1:9" ht="27.6">
      <c r="A275" s="108" t="s">
        <v>2284</v>
      </c>
      <c r="B275" s="108" t="s">
        <v>2649</v>
      </c>
      <c r="C275" s="109">
        <v>43279</v>
      </c>
      <c r="D275" s="108"/>
      <c r="E275" s="108" t="s">
        <v>14605</v>
      </c>
      <c r="F275" s="108" t="s">
        <v>2622</v>
      </c>
      <c r="G275" s="110"/>
      <c r="H275" s="108"/>
      <c r="I275" s="108"/>
    </row>
    <row r="276" spans="1:9" ht="27.6">
      <c r="A276" s="108" t="s">
        <v>14690</v>
      </c>
      <c r="B276" s="108" t="s">
        <v>14901</v>
      </c>
      <c r="C276" s="109">
        <v>42248</v>
      </c>
      <c r="D276" s="108"/>
      <c r="E276" s="108" t="s">
        <v>14611</v>
      </c>
      <c r="F276" s="108" t="s">
        <v>14902</v>
      </c>
      <c r="G276" s="110"/>
      <c r="H276" s="108"/>
      <c r="I276" s="108"/>
    </row>
    <row r="277" spans="1:9" ht="27.6">
      <c r="A277" s="108" t="s">
        <v>14690</v>
      </c>
      <c r="B277" s="108" t="s">
        <v>4362</v>
      </c>
      <c r="C277" s="109">
        <v>42163</v>
      </c>
      <c r="D277" s="108"/>
      <c r="E277" s="108" t="s">
        <v>14611</v>
      </c>
      <c r="F277" s="108" t="s">
        <v>4343</v>
      </c>
      <c r="G277" s="110"/>
      <c r="H277" s="108"/>
      <c r="I277" s="108"/>
    </row>
    <row r="278" spans="1:9" ht="27.6">
      <c r="A278" s="108" t="s">
        <v>14690</v>
      </c>
      <c r="B278" s="108" t="s">
        <v>14903</v>
      </c>
      <c r="C278" s="109">
        <v>42334</v>
      </c>
      <c r="D278" s="108"/>
      <c r="E278" s="108" t="s">
        <v>14611</v>
      </c>
      <c r="F278" s="108" t="s">
        <v>14904</v>
      </c>
      <c r="G278" s="110"/>
      <c r="H278" s="108"/>
      <c r="I278" s="108"/>
    </row>
    <row r="279" spans="1:9" ht="27.6">
      <c r="A279" s="108" t="s">
        <v>14690</v>
      </c>
      <c r="B279" s="108" t="s">
        <v>764</v>
      </c>
      <c r="C279" s="109">
        <v>42600</v>
      </c>
      <c r="D279" s="108"/>
      <c r="E279" s="108" t="s">
        <v>14611</v>
      </c>
      <c r="F279" s="108" t="s">
        <v>762</v>
      </c>
      <c r="G279" s="110"/>
      <c r="H279" s="108"/>
      <c r="I279" s="108"/>
    </row>
    <row r="280" spans="1:9" ht="27.6">
      <c r="A280" s="108" t="s">
        <v>14690</v>
      </c>
      <c r="B280" s="108" t="s">
        <v>14905</v>
      </c>
      <c r="C280" s="109">
        <v>42635</v>
      </c>
      <c r="D280" s="108"/>
      <c r="E280" s="108" t="s">
        <v>14611</v>
      </c>
      <c r="F280" s="108" t="s">
        <v>14906</v>
      </c>
      <c r="G280" s="110"/>
      <c r="H280" s="108"/>
      <c r="I280" s="108"/>
    </row>
    <row r="281" spans="1:9" ht="27.6">
      <c r="A281" s="108" t="s">
        <v>14690</v>
      </c>
      <c r="B281" s="108" t="s">
        <v>4306</v>
      </c>
      <c r="C281" s="109">
        <v>42857</v>
      </c>
      <c r="D281" s="108"/>
      <c r="E281" s="108" t="s">
        <v>14611</v>
      </c>
      <c r="F281" s="108" t="s">
        <v>4276</v>
      </c>
      <c r="G281" s="110"/>
      <c r="H281" s="108"/>
      <c r="I281" s="108"/>
    </row>
    <row r="282" spans="1:9" ht="27.6">
      <c r="A282" s="108" t="s">
        <v>2284</v>
      </c>
      <c r="B282" s="108" t="s">
        <v>3635</v>
      </c>
      <c r="C282" s="109">
        <v>43089</v>
      </c>
      <c r="D282" s="108"/>
      <c r="E282" s="108" t="s">
        <v>14605</v>
      </c>
      <c r="F282" s="108" t="s">
        <v>3634</v>
      </c>
      <c r="G282" s="110"/>
      <c r="H282" s="108"/>
      <c r="I282" s="108"/>
    </row>
    <row r="283" spans="1:9" ht="27.6">
      <c r="A283" s="108" t="s">
        <v>2284</v>
      </c>
      <c r="B283" s="108" t="s">
        <v>4370</v>
      </c>
      <c r="C283" s="109">
        <v>43887</v>
      </c>
      <c r="D283" s="108"/>
      <c r="E283" s="108" t="s">
        <v>14605</v>
      </c>
      <c r="F283" s="108" t="s">
        <v>4365</v>
      </c>
      <c r="G283" s="110"/>
      <c r="H283" s="108"/>
      <c r="I283" s="108"/>
    </row>
    <row r="284" spans="1:9">
      <c r="A284" s="108" t="s">
        <v>237</v>
      </c>
      <c r="B284" s="108" t="s">
        <v>1093</v>
      </c>
      <c r="C284" s="109">
        <v>42174</v>
      </c>
      <c r="D284" s="108"/>
      <c r="E284" s="108" t="s">
        <v>14611</v>
      </c>
      <c r="F284" s="108" t="s">
        <v>1092</v>
      </c>
      <c r="G284" s="110"/>
      <c r="H284" s="108"/>
      <c r="I284" s="108"/>
    </row>
    <row r="285" spans="1:9">
      <c r="A285" s="108" t="s">
        <v>237</v>
      </c>
      <c r="B285" s="108" t="s">
        <v>14907</v>
      </c>
      <c r="C285" s="109">
        <v>42356</v>
      </c>
      <c r="D285" s="108"/>
      <c r="E285" s="108" t="s">
        <v>14611</v>
      </c>
      <c r="F285" s="108" t="s">
        <v>14908</v>
      </c>
      <c r="G285" s="110"/>
      <c r="H285" s="108"/>
      <c r="I285" s="108"/>
    </row>
    <row r="286" spans="1:9">
      <c r="A286" s="108" t="s">
        <v>237</v>
      </c>
      <c r="B286" s="108" t="s">
        <v>2977</v>
      </c>
      <c r="C286" s="109">
        <v>42310</v>
      </c>
      <c r="D286" s="108"/>
      <c r="E286" s="108" t="s">
        <v>14611</v>
      </c>
      <c r="F286" s="108" t="s">
        <v>2967</v>
      </c>
      <c r="G286" s="110"/>
      <c r="H286" s="108"/>
      <c r="I286" s="108"/>
    </row>
    <row r="287" spans="1:9">
      <c r="A287" s="108" t="s">
        <v>237</v>
      </c>
      <c r="B287" s="108" t="s">
        <v>2680</v>
      </c>
      <c r="C287" s="109">
        <v>42452</v>
      </c>
      <c r="D287" s="108"/>
      <c r="E287" s="108" t="s">
        <v>14611</v>
      </c>
      <c r="F287" s="108" t="s">
        <v>2681</v>
      </c>
      <c r="G287" s="110"/>
      <c r="H287" s="108"/>
      <c r="I287" s="108"/>
    </row>
    <row r="288" spans="1:9">
      <c r="A288" s="108" t="s">
        <v>237</v>
      </c>
      <c r="B288" s="108" t="s">
        <v>14909</v>
      </c>
      <c r="C288" s="109">
        <v>43266</v>
      </c>
      <c r="D288" s="108"/>
      <c r="E288" s="108" t="s">
        <v>14611</v>
      </c>
      <c r="F288" s="108" t="s">
        <v>14910</v>
      </c>
      <c r="G288" s="110"/>
      <c r="H288" s="108"/>
      <c r="I288" s="108"/>
    </row>
    <row r="289" spans="1:9">
      <c r="A289" s="108" t="s">
        <v>237</v>
      </c>
      <c r="B289" s="108" t="s">
        <v>3464</v>
      </c>
      <c r="C289" s="109">
        <v>43529</v>
      </c>
      <c r="D289" s="108"/>
      <c r="E289" s="108" t="s">
        <v>14611</v>
      </c>
      <c r="F289" s="108" t="s">
        <v>3465</v>
      </c>
      <c r="G289" s="110"/>
      <c r="H289" s="108"/>
      <c r="I289" s="108"/>
    </row>
    <row r="290" spans="1:9">
      <c r="A290" s="108" t="s">
        <v>4162</v>
      </c>
      <c r="B290" s="108" t="s">
        <v>4161</v>
      </c>
      <c r="C290" s="109">
        <v>44054</v>
      </c>
      <c r="D290" s="108"/>
      <c r="E290" s="108" t="s">
        <v>14611</v>
      </c>
      <c r="F290" s="108" t="s">
        <v>4151</v>
      </c>
      <c r="G290" s="110"/>
      <c r="H290" s="108"/>
      <c r="I290" s="108"/>
    </row>
    <row r="291" spans="1:9">
      <c r="A291" s="108" t="s">
        <v>571</v>
      </c>
      <c r="B291" s="108" t="s">
        <v>2292</v>
      </c>
      <c r="C291" s="109">
        <v>42277</v>
      </c>
      <c r="D291" s="108"/>
      <c r="E291" s="108" t="s">
        <v>14611</v>
      </c>
      <c r="F291" s="108" t="s">
        <v>2251</v>
      </c>
      <c r="G291" s="110"/>
      <c r="H291" s="108"/>
      <c r="I291" s="108"/>
    </row>
    <row r="292" spans="1:9">
      <c r="A292" s="108" t="s">
        <v>571</v>
      </c>
      <c r="B292" s="108" t="s">
        <v>3761</v>
      </c>
      <c r="C292" s="109">
        <v>43005</v>
      </c>
      <c r="D292" s="108"/>
      <c r="E292" s="108" t="s">
        <v>14611</v>
      </c>
      <c r="F292" s="108" t="s">
        <v>14649</v>
      </c>
      <c r="G292" s="110"/>
      <c r="H292" s="108"/>
      <c r="I292" s="108"/>
    </row>
    <row r="293" spans="1:9" ht="27.6">
      <c r="A293" s="108" t="s">
        <v>2284</v>
      </c>
      <c r="B293" s="108" t="s">
        <v>14911</v>
      </c>
      <c r="C293" s="109">
        <v>43507</v>
      </c>
      <c r="D293" s="108"/>
      <c r="E293" s="108" t="s">
        <v>14605</v>
      </c>
      <c r="F293" s="108" t="s">
        <v>14912</v>
      </c>
      <c r="G293" s="110"/>
      <c r="H293" s="108"/>
      <c r="I293" s="108"/>
    </row>
    <row r="294" spans="1:9">
      <c r="A294" s="108" t="s">
        <v>571</v>
      </c>
      <c r="B294" s="108" t="s">
        <v>1217</v>
      </c>
      <c r="C294" s="109">
        <v>43770</v>
      </c>
      <c r="D294" s="108"/>
      <c r="E294" s="108" t="s">
        <v>14611</v>
      </c>
      <c r="F294" s="108" t="s">
        <v>1213</v>
      </c>
      <c r="G294" s="110"/>
      <c r="H294" s="108"/>
      <c r="I294" s="108"/>
    </row>
    <row r="295" spans="1:9">
      <c r="A295" s="108"/>
      <c r="B295" s="108" t="s">
        <v>202</v>
      </c>
      <c r="C295" s="109">
        <v>42447</v>
      </c>
      <c r="D295" s="108"/>
      <c r="E295" s="108" t="s">
        <v>14611</v>
      </c>
      <c r="F295" s="108" t="s">
        <v>201</v>
      </c>
      <c r="G295" s="110"/>
      <c r="H295" s="108"/>
      <c r="I295" s="108"/>
    </row>
    <row r="296" spans="1:9">
      <c r="A296" s="108" t="s">
        <v>2002</v>
      </c>
      <c r="B296" s="108" t="s">
        <v>3144</v>
      </c>
      <c r="C296" s="109">
        <v>42383</v>
      </c>
      <c r="D296" s="108"/>
      <c r="E296" s="108" t="s">
        <v>14611</v>
      </c>
      <c r="F296" s="108" t="s">
        <v>3145</v>
      </c>
      <c r="G296" s="110"/>
      <c r="H296" s="108"/>
      <c r="I296" s="108"/>
    </row>
    <row r="297" spans="1:9">
      <c r="A297" s="108" t="s">
        <v>2002</v>
      </c>
      <c r="B297" s="108" t="s">
        <v>14913</v>
      </c>
      <c r="C297" s="109">
        <v>42690</v>
      </c>
      <c r="D297" s="108"/>
      <c r="E297" s="108" t="s">
        <v>14611</v>
      </c>
      <c r="F297" s="108" t="s">
        <v>14914</v>
      </c>
      <c r="G297" s="110"/>
      <c r="H297" s="108"/>
      <c r="I297" s="108"/>
    </row>
    <row r="298" spans="1:9">
      <c r="A298" s="108" t="s">
        <v>2002</v>
      </c>
      <c r="B298" s="108" t="s">
        <v>14915</v>
      </c>
      <c r="C298" s="109">
        <v>42926</v>
      </c>
      <c r="D298" s="108"/>
      <c r="E298" s="108" t="s">
        <v>14611</v>
      </c>
      <c r="F298" s="108" t="s">
        <v>14916</v>
      </c>
      <c r="G298" s="110"/>
      <c r="H298" s="108"/>
      <c r="I298" s="108"/>
    </row>
    <row r="299" spans="1:9" ht="27.6">
      <c r="A299" s="108" t="s">
        <v>2284</v>
      </c>
      <c r="B299" s="108" t="s">
        <v>14917</v>
      </c>
      <c r="C299" s="109">
        <v>43272</v>
      </c>
      <c r="D299" s="108"/>
      <c r="E299" s="108" t="s">
        <v>14605</v>
      </c>
      <c r="F299" s="108" t="s">
        <v>14918</v>
      </c>
      <c r="G299" s="110"/>
      <c r="H299" s="108"/>
      <c r="I299" s="108"/>
    </row>
    <row r="300" spans="1:9">
      <c r="A300" s="108" t="s">
        <v>2002</v>
      </c>
      <c r="B300" s="108" t="s">
        <v>4240</v>
      </c>
      <c r="C300" s="109">
        <v>43811</v>
      </c>
      <c r="D300" s="108"/>
      <c r="E300" s="108" t="s">
        <v>14611</v>
      </c>
      <c r="F300" s="108" t="s">
        <v>4236</v>
      </c>
      <c r="G300" s="110"/>
      <c r="H300" s="108"/>
      <c r="I300" s="108"/>
    </row>
    <row r="301" spans="1:9" ht="27.6">
      <c r="A301" s="108" t="s">
        <v>2284</v>
      </c>
      <c r="B301" s="108" t="s">
        <v>14919</v>
      </c>
      <c r="C301" s="109">
        <v>42130</v>
      </c>
      <c r="D301" s="108"/>
      <c r="E301" s="108" t="s">
        <v>14605</v>
      </c>
      <c r="F301" s="108" t="s">
        <v>14920</v>
      </c>
      <c r="G301" s="110"/>
      <c r="H301" s="108"/>
      <c r="I301" s="108"/>
    </row>
    <row r="302" spans="1:9" ht="27.6">
      <c r="A302" s="108" t="s">
        <v>1465</v>
      </c>
      <c r="B302" s="108" t="s">
        <v>893</v>
      </c>
      <c r="C302" s="109">
        <v>42640</v>
      </c>
      <c r="D302" s="108"/>
      <c r="E302" s="108" t="s">
        <v>14611</v>
      </c>
      <c r="F302" s="108" t="s">
        <v>889</v>
      </c>
      <c r="G302" s="110"/>
      <c r="H302" s="108"/>
      <c r="I302" s="108"/>
    </row>
    <row r="303" spans="1:9">
      <c r="A303" s="108" t="s">
        <v>14679</v>
      </c>
      <c r="B303" s="108" t="s">
        <v>1718</v>
      </c>
      <c r="C303" s="109">
        <v>42290</v>
      </c>
      <c r="D303" s="108"/>
      <c r="E303" s="108" t="s">
        <v>14611</v>
      </c>
      <c r="F303" s="108" t="s">
        <v>14921</v>
      </c>
      <c r="G303" s="110"/>
      <c r="H303" s="108"/>
      <c r="I303" s="108"/>
    </row>
    <row r="304" spans="1:9">
      <c r="A304" s="108" t="s">
        <v>923</v>
      </c>
      <c r="B304" s="108" t="s">
        <v>14922</v>
      </c>
      <c r="C304" s="109">
        <v>42219</v>
      </c>
      <c r="D304" s="108"/>
      <c r="E304" s="108" t="s">
        <v>14611</v>
      </c>
      <c r="F304" s="108" t="s">
        <v>14923</v>
      </c>
      <c r="G304" s="110"/>
      <c r="H304" s="108"/>
      <c r="I304" s="108"/>
    </row>
    <row r="305" spans="1:9">
      <c r="A305" s="108" t="s">
        <v>923</v>
      </c>
      <c r="B305" s="108" t="s">
        <v>14924</v>
      </c>
      <c r="C305" s="109">
        <v>42256</v>
      </c>
      <c r="D305" s="108"/>
      <c r="E305" s="108" t="s">
        <v>14611</v>
      </c>
      <c r="F305" s="108" t="s">
        <v>14925</v>
      </c>
      <c r="G305" s="110"/>
      <c r="H305" s="108"/>
      <c r="I305" s="108"/>
    </row>
    <row r="306" spans="1:9">
      <c r="A306" s="108" t="s">
        <v>923</v>
      </c>
      <c r="B306" s="108" t="s">
        <v>4474</v>
      </c>
      <c r="C306" s="109">
        <v>42319</v>
      </c>
      <c r="D306" s="108"/>
      <c r="E306" s="108" t="s">
        <v>14611</v>
      </c>
      <c r="F306" s="108" t="s">
        <v>4470</v>
      </c>
      <c r="G306" s="110"/>
      <c r="H306" s="108"/>
      <c r="I306" s="108"/>
    </row>
    <row r="307" spans="1:9">
      <c r="A307" s="108" t="s">
        <v>237</v>
      </c>
      <c r="B307" s="108" t="s">
        <v>14926</v>
      </c>
      <c r="C307" s="109">
        <v>42395</v>
      </c>
      <c r="D307" s="108"/>
      <c r="E307" s="108" t="s">
        <v>14611</v>
      </c>
      <c r="F307" s="108" t="s">
        <v>14927</v>
      </c>
      <c r="G307" s="110"/>
      <c r="H307" s="108"/>
      <c r="I307" s="108"/>
    </row>
    <row r="308" spans="1:9">
      <c r="A308" s="108" t="s">
        <v>14928</v>
      </c>
      <c r="B308" s="108" t="s">
        <v>2038</v>
      </c>
      <c r="C308" s="109">
        <v>42860</v>
      </c>
      <c r="D308" s="108"/>
      <c r="E308" s="108" t="s">
        <v>14605</v>
      </c>
      <c r="F308" s="108" t="s">
        <v>2013</v>
      </c>
      <c r="G308" s="110"/>
      <c r="H308" s="108"/>
      <c r="I308" s="108"/>
    </row>
    <row r="309" spans="1:9" ht="27.6">
      <c r="A309" s="108" t="s">
        <v>14929</v>
      </c>
      <c r="B309" s="108" t="s">
        <v>2670</v>
      </c>
      <c r="C309" s="109">
        <v>42522</v>
      </c>
      <c r="D309" s="108"/>
      <c r="E309" s="108" t="s">
        <v>14611</v>
      </c>
      <c r="F309" s="108" t="s">
        <v>2664</v>
      </c>
      <c r="G309" s="110"/>
      <c r="H309" s="108"/>
      <c r="I309" s="108"/>
    </row>
    <row r="310" spans="1:9">
      <c r="A310" s="108" t="s">
        <v>14634</v>
      </c>
      <c r="B310" s="108" t="s">
        <v>14930</v>
      </c>
      <c r="C310" s="109">
        <v>40228</v>
      </c>
      <c r="D310" s="108"/>
      <c r="E310" s="108" t="s">
        <v>14605</v>
      </c>
      <c r="F310" s="108" t="s">
        <v>286</v>
      </c>
      <c r="G310" s="110"/>
      <c r="H310" s="108"/>
      <c r="I310" s="108"/>
    </row>
    <row r="311" spans="1:9">
      <c r="A311" s="108" t="s">
        <v>14634</v>
      </c>
      <c r="B311" s="108" t="s">
        <v>14931</v>
      </c>
      <c r="C311" s="109">
        <v>40626</v>
      </c>
      <c r="D311" s="108"/>
      <c r="E311" s="108" t="s">
        <v>14605</v>
      </c>
      <c r="F311" s="108" t="s">
        <v>1570</v>
      </c>
      <c r="G311" s="110"/>
      <c r="H311" s="108"/>
      <c r="I311" s="108"/>
    </row>
    <row r="312" spans="1:9">
      <c r="A312" s="108" t="s">
        <v>237</v>
      </c>
      <c r="B312" s="108" t="s">
        <v>14932</v>
      </c>
      <c r="C312" s="109">
        <v>43439</v>
      </c>
      <c r="D312" s="108"/>
      <c r="E312" s="108" t="s">
        <v>14605</v>
      </c>
      <c r="F312" s="108" t="s">
        <v>14933</v>
      </c>
      <c r="G312" s="110"/>
      <c r="H312" s="108"/>
      <c r="I312" s="108"/>
    </row>
    <row r="313" spans="1:9">
      <c r="A313" s="108" t="s">
        <v>1465</v>
      </c>
      <c r="B313" s="108" t="s">
        <v>14934</v>
      </c>
      <c r="C313" s="109">
        <v>43600</v>
      </c>
      <c r="D313" s="108"/>
      <c r="E313" s="108" t="s">
        <v>14605</v>
      </c>
      <c r="F313" s="108" t="s">
        <v>14935</v>
      </c>
      <c r="G313" s="110"/>
      <c r="H313" s="108"/>
      <c r="I313" s="108"/>
    </row>
    <row r="314" spans="1:9">
      <c r="A314" s="108" t="s">
        <v>2002</v>
      </c>
      <c r="B314" s="108" t="s">
        <v>14936</v>
      </c>
      <c r="C314" s="109">
        <v>43697</v>
      </c>
      <c r="D314" s="108"/>
      <c r="E314" s="108" t="s">
        <v>14605</v>
      </c>
      <c r="F314" s="108" t="s">
        <v>14725</v>
      </c>
      <c r="G314" s="110"/>
      <c r="H314" s="108"/>
      <c r="I314" s="108"/>
    </row>
    <row r="315" spans="1:9" ht="27.6">
      <c r="A315" s="108" t="s">
        <v>14937</v>
      </c>
      <c r="B315" s="108" t="s">
        <v>14938</v>
      </c>
      <c r="C315" s="109">
        <v>45966</v>
      </c>
      <c r="D315" s="108"/>
      <c r="E315" s="108" t="s">
        <v>14605</v>
      </c>
      <c r="F315" s="108" t="s">
        <v>14939</v>
      </c>
      <c r="G315" s="110"/>
      <c r="H315" s="108"/>
      <c r="I315" s="108"/>
    </row>
    <row r="316" spans="1:9" ht="27.6">
      <c r="A316" s="108" t="s">
        <v>14937</v>
      </c>
      <c r="B316" s="108" t="s">
        <v>14940</v>
      </c>
      <c r="C316" s="109">
        <v>46081</v>
      </c>
      <c r="D316" s="108"/>
      <c r="E316" s="108" t="s">
        <v>14605</v>
      </c>
      <c r="F316" s="108" t="s">
        <v>14941</v>
      </c>
      <c r="G316" s="110"/>
      <c r="H316" s="108"/>
      <c r="I316" s="108"/>
    </row>
    <row r="317" spans="1:9">
      <c r="A317" s="108" t="s">
        <v>14942</v>
      </c>
      <c r="B317" s="108" t="s">
        <v>14943</v>
      </c>
      <c r="C317" s="109">
        <v>42446</v>
      </c>
      <c r="D317" s="108"/>
      <c r="E317" s="108" t="s">
        <v>14605</v>
      </c>
      <c r="F317" s="108" t="s">
        <v>14944</v>
      </c>
      <c r="G317" s="110"/>
      <c r="H317" s="108"/>
      <c r="I317" s="108"/>
    </row>
    <row r="318" spans="1:9">
      <c r="A318" s="108"/>
      <c r="B318" s="108" t="s">
        <v>746</v>
      </c>
      <c r="C318" s="109">
        <v>42464</v>
      </c>
      <c r="D318" s="108"/>
      <c r="E318" s="108" t="s">
        <v>14605</v>
      </c>
      <c r="F318" s="108" t="s">
        <v>745</v>
      </c>
      <c r="G318" s="110"/>
      <c r="H318" s="108"/>
      <c r="I318" s="108"/>
    </row>
    <row r="319" spans="1:9">
      <c r="A319" s="108"/>
      <c r="B319" s="108" t="s">
        <v>744</v>
      </c>
      <c r="C319" s="109">
        <v>42464</v>
      </c>
      <c r="D319" s="108"/>
      <c r="E319" s="108" t="s">
        <v>14605</v>
      </c>
      <c r="F319" s="108" t="s">
        <v>745</v>
      </c>
      <c r="G319" s="110"/>
      <c r="H319" s="108"/>
      <c r="I319" s="108"/>
    </row>
    <row r="320" spans="1:9">
      <c r="A320" s="108" t="s">
        <v>14945</v>
      </c>
      <c r="B320" s="108" t="s">
        <v>14946</v>
      </c>
      <c r="C320" s="109">
        <v>40277</v>
      </c>
      <c r="D320" s="108"/>
      <c r="E320" s="108" t="s">
        <v>14605</v>
      </c>
      <c r="F320" s="108" t="s">
        <v>14947</v>
      </c>
      <c r="G320" s="110"/>
      <c r="H320" s="108"/>
      <c r="I320" s="108"/>
    </row>
    <row r="321" spans="1:9">
      <c r="A321" s="108" t="s">
        <v>14945</v>
      </c>
      <c r="B321" s="108" t="s">
        <v>14948</v>
      </c>
      <c r="C321" s="109">
        <v>40864</v>
      </c>
      <c r="D321" s="108"/>
      <c r="E321" s="108" t="s">
        <v>14605</v>
      </c>
      <c r="F321" s="108" t="s">
        <v>14624</v>
      </c>
      <c r="G321" s="110"/>
      <c r="H321" s="108"/>
      <c r="I321" s="108"/>
    </row>
    <row r="322" spans="1:9">
      <c r="A322" s="108"/>
      <c r="B322" s="108" t="s">
        <v>14949</v>
      </c>
      <c r="C322" s="109">
        <v>46245</v>
      </c>
      <c r="D322" s="108"/>
      <c r="E322" s="108" t="s">
        <v>14605</v>
      </c>
      <c r="F322" s="108" t="s">
        <v>14764</v>
      </c>
      <c r="G322" s="110"/>
      <c r="H322" s="108"/>
      <c r="I322" s="108"/>
    </row>
    <row r="323" spans="1:9" ht="27.6">
      <c r="A323" s="108" t="s">
        <v>14950</v>
      </c>
      <c r="B323" s="108" t="s">
        <v>14951</v>
      </c>
      <c r="C323" s="109">
        <v>45693</v>
      </c>
      <c r="D323" s="108"/>
      <c r="E323" s="108" t="s">
        <v>14605</v>
      </c>
      <c r="F323" s="108" t="s">
        <v>4668</v>
      </c>
      <c r="G323" s="110"/>
      <c r="H323" s="108"/>
      <c r="I323" s="108"/>
    </row>
    <row r="324" spans="1:9" ht="27.6">
      <c r="A324" s="108" t="s">
        <v>14950</v>
      </c>
      <c r="B324" s="108" t="s">
        <v>14952</v>
      </c>
      <c r="C324" s="109">
        <v>45707</v>
      </c>
      <c r="D324" s="108"/>
      <c r="E324" s="108" t="s">
        <v>14605</v>
      </c>
      <c r="F324" s="108" t="s">
        <v>14953</v>
      </c>
      <c r="G324" s="110"/>
      <c r="H324" s="108"/>
      <c r="I324" s="108"/>
    </row>
    <row r="325" spans="1:9" ht="27.6">
      <c r="A325" s="108" t="s">
        <v>14950</v>
      </c>
      <c r="B325" s="108" t="s">
        <v>14954</v>
      </c>
      <c r="C325" s="109">
        <v>45727</v>
      </c>
      <c r="D325" s="108"/>
      <c r="E325" s="108" t="s">
        <v>14605</v>
      </c>
      <c r="F325" s="108" t="s">
        <v>4889</v>
      </c>
      <c r="G325" s="110"/>
      <c r="H325" s="108"/>
      <c r="I325" s="108"/>
    </row>
    <row r="326" spans="1:9" ht="27.6">
      <c r="A326" s="108" t="s">
        <v>14950</v>
      </c>
      <c r="B326" s="108" t="s">
        <v>14955</v>
      </c>
      <c r="C326" s="109">
        <v>45881</v>
      </c>
      <c r="D326" s="108"/>
      <c r="E326" s="108" t="s">
        <v>14605</v>
      </c>
      <c r="F326" s="108" t="s">
        <v>14956</v>
      </c>
      <c r="G326" s="110"/>
      <c r="H326" s="108"/>
      <c r="I326" s="108"/>
    </row>
    <row r="327" spans="1:9" ht="27.6">
      <c r="A327" s="108" t="s">
        <v>14950</v>
      </c>
      <c r="B327" s="108" t="s">
        <v>14957</v>
      </c>
      <c r="C327" s="109">
        <v>45916</v>
      </c>
      <c r="D327" s="108"/>
      <c r="E327" s="108" t="s">
        <v>14605</v>
      </c>
      <c r="F327" s="108" t="s">
        <v>4115</v>
      </c>
      <c r="G327" s="110"/>
      <c r="H327" s="108"/>
      <c r="I327" s="108"/>
    </row>
    <row r="328" spans="1:9" ht="27.6">
      <c r="A328" s="108" t="s">
        <v>2002</v>
      </c>
      <c r="B328" s="108" t="s">
        <v>14958</v>
      </c>
      <c r="C328" s="109">
        <v>41302</v>
      </c>
      <c r="D328" s="108"/>
      <c r="E328" s="108" t="s">
        <v>14611</v>
      </c>
      <c r="F328" s="108" t="s">
        <v>14959</v>
      </c>
      <c r="G328" s="110"/>
      <c r="H328" s="108"/>
      <c r="I328" s="108"/>
    </row>
    <row r="329" spans="1:9" ht="27.6">
      <c r="A329" s="108" t="s">
        <v>14950</v>
      </c>
      <c r="B329" s="108" t="s">
        <v>14960</v>
      </c>
      <c r="C329" s="109">
        <v>45896</v>
      </c>
      <c r="D329" s="108"/>
      <c r="E329" s="108" t="s">
        <v>14605</v>
      </c>
      <c r="F329" s="108" t="s">
        <v>4954</v>
      </c>
      <c r="G329" s="110"/>
      <c r="H329" s="108"/>
      <c r="I329" s="108"/>
    </row>
    <row r="330" spans="1:9">
      <c r="A330" s="108" t="s">
        <v>14961</v>
      </c>
      <c r="B330" s="108" t="s">
        <v>14962</v>
      </c>
      <c r="C330" s="109">
        <v>46125</v>
      </c>
      <c r="D330" s="108"/>
      <c r="E330" s="108" t="s">
        <v>14605</v>
      </c>
      <c r="F330" s="108" t="s">
        <v>14764</v>
      </c>
      <c r="G330" s="110"/>
      <c r="H330" s="108"/>
      <c r="I330" s="108"/>
    </row>
    <row r="331" spans="1:9">
      <c r="A331" s="108" t="s">
        <v>14963</v>
      </c>
      <c r="B331" s="108" t="s">
        <v>14964</v>
      </c>
      <c r="C331" s="109">
        <v>46004</v>
      </c>
      <c r="D331" s="108"/>
      <c r="E331" s="108" t="s">
        <v>14605</v>
      </c>
      <c r="F331" s="108" t="s">
        <v>14764</v>
      </c>
      <c r="G331" s="110"/>
      <c r="H331" s="108"/>
      <c r="I331" s="108"/>
    </row>
    <row r="332" spans="1:9">
      <c r="A332" s="108" t="s">
        <v>14965</v>
      </c>
      <c r="B332" s="108" t="s">
        <v>14966</v>
      </c>
      <c r="C332" s="109">
        <v>45985</v>
      </c>
      <c r="D332" s="108"/>
      <c r="E332" s="108" t="s">
        <v>14605</v>
      </c>
      <c r="F332" s="108" t="s">
        <v>14764</v>
      </c>
      <c r="G332" s="110"/>
      <c r="H332" s="108"/>
      <c r="I332" s="108"/>
    </row>
    <row r="333" spans="1:9">
      <c r="A333" s="108" t="s">
        <v>14961</v>
      </c>
      <c r="B333" s="108" t="s">
        <v>14967</v>
      </c>
      <c r="C333" s="109">
        <v>46102</v>
      </c>
      <c r="D333" s="108"/>
      <c r="E333" s="108" t="s">
        <v>14605</v>
      </c>
      <c r="F333" s="108" t="s">
        <v>14764</v>
      </c>
      <c r="G333" s="110"/>
      <c r="H333" s="108"/>
      <c r="I333" s="108"/>
    </row>
    <row r="334" spans="1:9">
      <c r="A334" s="108" t="s">
        <v>14965</v>
      </c>
      <c r="B334" s="108" t="s">
        <v>14968</v>
      </c>
      <c r="C334" s="109">
        <v>46103</v>
      </c>
      <c r="D334" s="108"/>
      <c r="E334" s="108" t="s">
        <v>14605</v>
      </c>
      <c r="F334" s="108" t="s">
        <v>14764</v>
      </c>
      <c r="G334" s="110"/>
      <c r="H334" s="108"/>
      <c r="I334" s="108"/>
    </row>
    <row r="335" spans="1:9" ht="27.6">
      <c r="A335" s="108"/>
      <c r="B335" s="108" t="s">
        <v>14969</v>
      </c>
      <c r="C335" s="109">
        <v>40179</v>
      </c>
      <c r="D335" s="108"/>
      <c r="E335" s="108" t="s">
        <v>14611</v>
      </c>
      <c r="F335" s="108" t="s">
        <v>14970</v>
      </c>
      <c r="G335" s="110"/>
      <c r="H335" s="108"/>
      <c r="I335" s="108"/>
    </row>
    <row r="336" spans="1:9" ht="27.6">
      <c r="A336" s="108" t="s">
        <v>8872</v>
      </c>
      <c r="B336" s="108" t="s">
        <v>14971</v>
      </c>
      <c r="C336" s="109">
        <v>46184</v>
      </c>
      <c r="D336" s="108"/>
      <c r="E336" s="108" t="s">
        <v>14605</v>
      </c>
      <c r="F336" s="108" t="s">
        <v>14972</v>
      </c>
      <c r="G336" s="110"/>
      <c r="H336" s="108"/>
      <c r="I336" s="108"/>
    </row>
    <row r="337" spans="1:9" ht="27.6">
      <c r="A337" s="108" t="s">
        <v>14679</v>
      </c>
      <c r="B337" s="108" t="s">
        <v>14973</v>
      </c>
      <c r="C337" s="109">
        <v>42115</v>
      </c>
      <c r="D337" s="108"/>
      <c r="E337" s="108" t="s">
        <v>14611</v>
      </c>
      <c r="F337" s="108" t="s">
        <v>14974</v>
      </c>
      <c r="G337" s="110"/>
      <c r="H337" s="108"/>
      <c r="I337" s="108"/>
    </row>
    <row r="338" spans="1:9">
      <c r="A338" s="108"/>
      <c r="B338" s="108" t="s">
        <v>14975</v>
      </c>
      <c r="C338" s="109">
        <v>42712</v>
      </c>
      <c r="D338" s="108"/>
      <c r="E338" s="108" t="s">
        <v>14611</v>
      </c>
      <c r="F338" s="108" t="s">
        <v>14976</v>
      </c>
      <c r="G338" s="110"/>
      <c r="H338" s="108"/>
      <c r="I338" s="108"/>
    </row>
    <row r="339" spans="1:9">
      <c r="A339" s="108"/>
      <c r="B339" s="108" t="s">
        <v>14977</v>
      </c>
      <c r="C339" s="109">
        <v>42151</v>
      </c>
      <c r="D339" s="108"/>
      <c r="E339" s="108" t="s">
        <v>14611</v>
      </c>
      <c r="F339" s="108" t="s">
        <v>14748</v>
      </c>
      <c r="G339" s="110"/>
      <c r="H339" s="108"/>
      <c r="I339" s="108"/>
    </row>
    <row r="340" spans="1:9">
      <c r="A340" s="108" t="s">
        <v>14978</v>
      </c>
      <c r="B340" s="108" t="s">
        <v>14979</v>
      </c>
      <c r="C340" s="109">
        <v>37831</v>
      </c>
      <c r="D340" s="108"/>
      <c r="E340" s="108" t="s">
        <v>14605</v>
      </c>
      <c r="F340" s="108" t="s">
        <v>14980</v>
      </c>
      <c r="G340" s="110"/>
      <c r="H340" s="108"/>
      <c r="I340" s="108"/>
    </row>
    <row r="341" spans="1:9">
      <c r="A341" s="108" t="s">
        <v>14978</v>
      </c>
      <c r="B341" s="108" t="s">
        <v>14981</v>
      </c>
      <c r="C341" s="109">
        <v>35096</v>
      </c>
      <c r="D341" s="108"/>
      <c r="E341" s="108" t="s">
        <v>14605</v>
      </c>
      <c r="F341" s="108" t="s">
        <v>433</v>
      </c>
      <c r="G341" s="110"/>
      <c r="H341" s="108"/>
      <c r="I341" s="108"/>
    </row>
    <row r="342" spans="1:9">
      <c r="A342" s="108" t="s">
        <v>14978</v>
      </c>
      <c r="B342" s="108" t="s">
        <v>14982</v>
      </c>
      <c r="C342" s="109">
        <v>40931</v>
      </c>
      <c r="D342" s="108"/>
      <c r="E342" s="108" t="s">
        <v>14605</v>
      </c>
      <c r="F342" s="108" t="s">
        <v>14983</v>
      </c>
      <c r="G342" s="110"/>
      <c r="H342" s="108"/>
      <c r="I342" s="108"/>
    </row>
    <row r="343" spans="1:9" ht="27.6">
      <c r="A343" s="108" t="s">
        <v>14978</v>
      </c>
      <c r="B343" s="108" t="s">
        <v>14984</v>
      </c>
      <c r="C343" s="109">
        <v>41570</v>
      </c>
      <c r="D343" s="108"/>
      <c r="E343" s="108" t="s">
        <v>14605</v>
      </c>
      <c r="F343" s="108" t="s">
        <v>691</v>
      </c>
      <c r="G343" s="110"/>
      <c r="H343" s="108"/>
      <c r="I343" s="108"/>
    </row>
    <row r="344" spans="1:9">
      <c r="A344" s="108" t="s">
        <v>14978</v>
      </c>
      <c r="B344" s="108" t="s">
        <v>14985</v>
      </c>
      <c r="C344" s="109">
        <v>41157</v>
      </c>
      <c r="D344" s="108"/>
      <c r="E344" s="108" t="s">
        <v>14605</v>
      </c>
      <c r="F344" s="108" t="s">
        <v>524</v>
      </c>
      <c r="G344" s="110"/>
      <c r="H344" s="108"/>
      <c r="I344" s="108"/>
    </row>
    <row r="345" spans="1:9">
      <c r="A345" s="108" t="s">
        <v>14978</v>
      </c>
      <c r="B345" s="108" t="s">
        <v>14986</v>
      </c>
      <c r="C345" s="109">
        <v>40948</v>
      </c>
      <c r="D345" s="108"/>
      <c r="E345" s="108" t="s">
        <v>14605</v>
      </c>
      <c r="F345" s="108" t="s">
        <v>14631</v>
      </c>
      <c r="G345" s="110"/>
      <c r="H345" s="108"/>
      <c r="I345" s="108"/>
    </row>
    <row r="346" spans="1:9">
      <c r="A346" s="108" t="s">
        <v>14978</v>
      </c>
      <c r="B346" s="108" t="s">
        <v>14987</v>
      </c>
      <c r="C346" s="109">
        <v>39845</v>
      </c>
      <c r="D346" s="108"/>
      <c r="E346" s="108" t="s">
        <v>14636</v>
      </c>
      <c r="F346" s="108" t="s">
        <v>14988</v>
      </c>
      <c r="G346" s="110"/>
      <c r="H346" s="108"/>
      <c r="I346" s="108"/>
    </row>
    <row r="347" spans="1:9">
      <c r="A347" s="108" t="s">
        <v>14978</v>
      </c>
      <c r="B347" s="108" t="s">
        <v>14989</v>
      </c>
      <c r="C347" s="109">
        <v>38534</v>
      </c>
      <c r="D347" s="108"/>
      <c r="E347" s="108" t="s">
        <v>14636</v>
      </c>
      <c r="F347" s="108" t="s">
        <v>14990</v>
      </c>
      <c r="G347" s="110"/>
      <c r="H347" s="108"/>
      <c r="I347" s="108"/>
    </row>
    <row r="348" spans="1:9" ht="27.6">
      <c r="A348" s="108" t="s">
        <v>14978</v>
      </c>
      <c r="B348" s="108" t="s">
        <v>14991</v>
      </c>
      <c r="C348" s="109">
        <v>41736</v>
      </c>
      <c r="D348" s="108"/>
      <c r="E348" s="108" t="s">
        <v>14605</v>
      </c>
      <c r="F348" s="108" t="s">
        <v>14992</v>
      </c>
      <c r="G348" s="110"/>
      <c r="H348" s="108"/>
      <c r="I348" s="108"/>
    </row>
    <row r="349" spans="1:9">
      <c r="A349" s="108" t="s">
        <v>14978</v>
      </c>
      <c r="B349" s="108" t="s">
        <v>14993</v>
      </c>
      <c r="C349" s="109">
        <v>41145</v>
      </c>
      <c r="D349" s="108"/>
      <c r="E349" s="108" t="s">
        <v>14605</v>
      </c>
      <c r="F349" s="108" t="s">
        <v>14994</v>
      </c>
      <c r="G349" s="110"/>
      <c r="H349" s="108"/>
      <c r="I349" s="108"/>
    </row>
    <row r="350" spans="1:9">
      <c r="A350" s="108" t="s">
        <v>14978</v>
      </c>
      <c r="B350" s="108" t="s">
        <v>14995</v>
      </c>
      <c r="C350" s="109">
        <v>42916</v>
      </c>
      <c r="D350" s="108"/>
      <c r="E350" s="108" t="s">
        <v>14605</v>
      </c>
      <c r="F350" s="108" t="s">
        <v>3687</v>
      </c>
      <c r="G350" s="110"/>
      <c r="H350" s="108"/>
      <c r="I350" s="108"/>
    </row>
    <row r="351" spans="1:9">
      <c r="A351" s="108" t="s">
        <v>14978</v>
      </c>
      <c r="B351" s="108" t="s">
        <v>14996</v>
      </c>
      <c r="C351" s="109">
        <v>41710</v>
      </c>
      <c r="D351" s="108"/>
      <c r="E351" s="108" t="s">
        <v>14605</v>
      </c>
      <c r="F351" s="108" t="s">
        <v>14647</v>
      </c>
      <c r="G351" s="110"/>
      <c r="H351" s="108"/>
      <c r="I351" s="108"/>
    </row>
    <row r="352" spans="1:9">
      <c r="A352" s="108" t="s">
        <v>14978</v>
      </c>
      <c r="B352" s="108" t="s">
        <v>14997</v>
      </c>
      <c r="C352" s="109">
        <v>40687</v>
      </c>
      <c r="D352" s="108"/>
      <c r="E352" s="108" t="s">
        <v>14605</v>
      </c>
      <c r="F352" s="108" t="s">
        <v>4947</v>
      </c>
      <c r="G352" s="110"/>
      <c r="H352" s="108"/>
      <c r="I352" s="108"/>
    </row>
    <row r="353" spans="1:9">
      <c r="A353" s="108" t="s">
        <v>14978</v>
      </c>
      <c r="B353" s="108" t="s">
        <v>14998</v>
      </c>
      <c r="C353" s="109">
        <v>36356</v>
      </c>
      <c r="D353" s="108"/>
      <c r="E353" s="108" t="s">
        <v>14605</v>
      </c>
      <c r="F353" s="108" t="s">
        <v>433</v>
      </c>
      <c r="G353" s="110"/>
      <c r="H353" s="108"/>
      <c r="I353" s="108"/>
    </row>
    <row r="354" spans="1:9">
      <c r="A354" s="108" t="s">
        <v>14978</v>
      </c>
      <c r="B354" s="108" t="s">
        <v>14999</v>
      </c>
      <c r="C354" s="109">
        <v>42837</v>
      </c>
      <c r="D354" s="108"/>
      <c r="E354" s="108" t="s">
        <v>14605</v>
      </c>
      <c r="F354" s="108" t="s">
        <v>15000</v>
      </c>
      <c r="G354" s="110"/>
      <c r="H354" s="108"/>
      <c r="I354" s="108"/>
    </row>
    <row r="355" spans="1:9">
      <c r="A355" s="108" t="s">
        <v>14978</v>
      </c>
      <c r="B355" s="108" t="s">
        <v>15001</v>
      </c>
      <c r="C355" s="109">
        <v>41024</v>
      </c>
      <c r="D355" s="108"/>
      <c r="E355" s="108" t="s">
        <v>14605</v>
      </c>
      <c r="F355" s="108" t="s">
        <v>15002</v>
      </c>
      <c r="G355" s="110"/>
      <c r="H355" s="108"/>
      <c r="I355" s="108"/>
    </row>
    <row r="356" spans="1:9">
      <c r="A356" s="108" t="s">
        <v>14978</v>
      </c>
      <c r="B356" s="108" t="s">
        <v>15003</v>
      </c>
      <c r="C356" s="109">
        <v>42255</v>
      </c>
      <c r="D356" s="108"/>
      <c r="E356" s="108" t="s">
        <v>14636</v>
      </c>
      <c r="F356" s="108" t="s">
        <v>14654</v>
      </c>
      <c r="G356" s="110"/>
      <c r="H356" s="108"/>
      <c r="I356" s="108"/>
    </row>
    <row r="357" spans="1:9">
      <c r="A357" s="108" t="s">
        <v>14978</v>
      </c>
      <c r="B357" s="108" t="s">
        <v>15004</v>
      </c>
      <c r="C357" s="109">
        <v>42151</v>
      </c>
      <c r="D357" s="108"/>
      <c r="E357" s="108" t="s">
        <v>14605</v>
      </c>
      <c r="F357" s="108" t="s">
        <v>15005</v>
      </c>
      <c r="G357" s="110"/>
      <c r="H357" s="108"/>
      <c r="I357" s="108"/>
    </row>
    <row r="358" spans="1:9" ht="27.6">
      <c r="A358" s="108" t="s">
        <v>14978</v>
      </c>
      <c r="B358" s="108" t="s">
        <v>15006</v>
      </c>
      <c r="C358" s="109">
        <v>41661</v>
      </c>
      <c r="D358" s="108"/>
      <c r="E358" s="108" t="s">
        <v>14605</v>
      </c>
      <c r="F358" s="108" t="s">
        <v>4000</v>
      </c>
      <c r="G358" s="110"/>
      <c r="H358" s="108"/>
      <c r="I358" s="108"/>
    </row>
    <row r="359" spans="1:9">
      <c r="A359" s="108" t="s">
        <v>14978</v>
      </c>
      <c r="B359" s="108" t="s">
        <v>15007</v>
      </c>
      <c r="C359" s="109">
        <v>41452</v>
      </c>
      <c r="D359" s="108"/>
      <c r="E359" s="108" t="s">
        <v>14605</v>
      </c>
      <c r="F359" s="108" t="s">
        <v>15008</v>
      </c>
      <c r="G359" s="110"/>
      <c r="H359" s="108"/>
      <c r="I359" s="108"/>
    </row>
    <row r="360" spans="1:9">
      <c r="A360" s="108" t="s">
        <v>14978</v>
      </c>
      <c r="B360" s="108" t="s">
        <v>15009</v>
      </c>
      <c r="C360" s="109">
        <v>41710</v>
      </c>
      <c r="D360" s="108"/>
      <c r="E360" s="108" t="s">
        <v>14605</v>
      </c>
      <c r="F360" s="108" t="s">
        <v>14647</v>
      </c>
      <c r="G360" s="110"/>
      <c r="H360" s="108"/>
      <c r="I360" s="108"/>
    </row>
    <row r="361" spans="1:9">
      <c r="A361" s="108" t="s">
        <v>14978</v>
      </c>
      <c r="B361" s="108" t="s">
        <v>15010</v>
      </c>
      <c r="C361" s="109">
        <v>40809</v>
      </c>
      <c r="D361" s="108"/>
      <c r="E361" s="108" t="s">
        <v>14605</v>
      </c>
      <c r="F361" s="108" t="s">
        <v>14649</v>
      </c>
      <c r="G361" s="110"/>
      <c r="H361" s="108"/>
      <c r="I361" s="108"/>
    </row>
    <row r="362" spans="1:9">
      <c r="A362" s="108" t="s">
        <v>14978</v>
      </c>
      <c r="B362" s="108" t="s">
        <v>15011</v>
      </c>
      <c r="C362" s="109">
        <v>42541</v>
      </c>
      <c r="D362" s="108"/>
      <c r="E362" s="108" t="s">
        <v>14605</v>
      </c>
      <c r="F362" s="108" t="s">
        <v>3056</v>
      </c>
      <c r="G362" s="110"/>
      <c r="H362" s="108"/>
      <c r="I362" s="108"/>
    </row>
    <row r="363" spans="1:9">
      <c r="A363" s="108" t="s">
        <v>14978</v>
      </c>
      <c r="B363" s="108" t="s">
        <v>15012</v>
      </c>
      <c r="C363" s="109">
        <v>42499</v>
      </c>
      <c r="D363" s="108"/>
      <c r="E363" s="108" t="s">
        <v>14605</v>
      </c>
      <c r="F363" s="108" t="s">
        <v>4486</v>
      </c>
      <c r="G363" s="110"/>
      <c r="H363" s="108"/>
      <c r="I363" s="108"/>
    </row>
    <row r="364" spans="1:9" ht="27.6">
      <c r="A364" s="108" t="s">
        <v>14978</v>
      </c>
      <c r="B364" s="108" t="s">
        <v>15013</v>
      </c>
      <c r="C364" s="109">
        <v>43311</v>
      </c>
      <c r="D364" s="108"/>
      <c r="E364" s="108" t="s">
        <v>14605</v>
      </c>
      <c r="F364" s="108" t="s">
        <v>15014</v>
      </c>
      <c r="G364" s="110"/>
      <c r="H364" s="108"/>
      <c r="I364" s="108"/>
    </row>
    <row r="365" spans="1:9">
      <c r="A365" s="108" t="s">
        <v>14978</v>
      </c>
      <c r="B365" s="108" t="s">
        <v>15015</v>
      </c>
      <c r="C365" s="109">
        <v>42872</v>
      </c>
      <c r="D365" s="108"/>
      <c r="E365" s="108" t="s">
        <v>14605</v>
      </c>
      <c r="F365" s="108" t="s">
        <v>1519</v>
      </c>
      <c r="G365" s="110"/>
      <c r="H365" s="108"/>
      <c r="I365" s="108"/>
    </row>
    <row r="366" spans="1:9">
      <c r="A366" s="108" t="s">
        <v>4162</v>
      </c>
      <c r="B366" s="108" t="s">
        <v>15016</v>
      </c>
      <c r="C366" s="109">
        <v>44327</v>
      </c>
      <c r="D366" s="108"/>
      <c r="E366" s="108" t="s">
        <v>14605</v>
      </c>
      <c r="F366" s="108" t="s">
        <v>15017</v>
      </c>
      <c r="G366" s="110"/>
      <c r="H366" s="108"/>
      <c r="I366" s="108"/>
    </row>
    <row r="367" spans="1:9">
      <c r="A367" s="108" t="s">
        <v>571</v>
      </c>
      <c r="B367" s="108" t="s">
        <v>15018</v>
      </c>
      <c r="C367" s="109">
        <v>46080</v>
      </c>
      <c r="D367" s="108"/>
      <c r="E367" s="108" t="s">
        <v>14605</v>
      </c>
      <c r="F367" s="108" t="s">
        <v>3349</v>
      </c>
      <c r="G367" s="110"/>
      <c r="H367" s="108"/>
      <c r="I367" s="108"/>
    </row>
    <row r="368" spans="1:9">
      <c r="A368" s="108" t="s">
        <v>87</v>
      </c>
      <c r="B368" s="108" t="s">
        <v>15019</v>
      </c>
      <c r="C368" s="109">
        <v>45930</v>
      </c>
      <c r="D368" s="108"/>
      <c r="E368" s="108" t="s">
        <v>14605</v>
      </c>
      <c r="F368" s="108" t="s">
        <v>14916</v>
      </c>
      <c r="G368" s="110"/>
      <c r="H368" s="108"/>
      <c r="I368" s="108"/>
    </row>
    <row r="369" spans="1:9">
      <c r="A369" s="108" t="s">
        <v>87</v>
      </c>
      <c r="B369" s="108" t="s">
        <v>15020</v>
      </c>
      <c r="C369" s="109">
        <v>46009</v>
      </c>
      <c r="D369" s="108"/>
      <c r="E369" s="108" t="s">
        <v>14605</v>
      </c>
      <c r="F369" s="108" t="s">
        <v>15021</v>
      </c>
      <c r="G369" s="110"/>
      <c r="H369" s="108"/>
      <c r="I369" s="108"/>
    </row>
    <row r="370" spans="1:9">
      <c r="A370" s="108" t="s">
        <v>181</v>
      </c>
      <c r="B370" s="108" t="s">
        <v>15022</v>
      </c>
      <c r="C370" s="109">
        <v>45946</v>
      </c>
      <c r="D370" s="108"/>
      <c r="E370" s="108" t="s">
        <v>14605</v>
      </c>
      <c r="F370" s="108" t="s">
        <v>15023</v>
      </c>
      <c r="G370" s="110"/>
      <c r="H370" s="108"/>
      <c r="I370" s="108"/>
    </row>
    <row r="371" spans="1:9">
      <c r="A371" s="108" t="s">
        <v>87</v>
      </c>
      <c r="B371" s="108" t="s">
        <v>15024</v>
      </c>
      <c r="C371" s="109">
        <v>46070</v>
      </c>
      <c r="D371" s="108"/>
      <c r="E371" s="108" t="s">
        <v>14605</v>
      </c>
      <c r="F371" s="108" t="s">
        <v>15025</v>
      </c>
      <c r="G371" s="110"/>
      <c r="H371" s="108"/>
      <c r="I371" s="108"/>
    </row>
    <row r="372" spans="1:9">
      <c r="A372" s="108" t="s">
        <v>237</v>
      </c>
      <c r="B372" s="108" t="s">
        <v>15026</v>
      </c>
      <c r="C372" s="109">
        <v>46006</v>
      </c>
      <c r="D372" s="108"/>
      <c r="E372" s="108" t="s">
        <v>14605</v>
      </c>
      <c r="F372" s="108" t="s">
        <v>15027</v>
      </c>
      <c r="G372" s="110"/>
      <c r="H372" s="108"/>
      <c r="I372" s="108"/>
    </row>
    <row r="373" spans="1:9">
      <c r="A373" s="108" t="s">
        <v>571</v>
      </c>
      <c r="B373" s="108" t="s">
        <v>15028</v>
      </c>
      <c r="C373" s="109">
        <v>45971</v>
      </c>
      <c r="D373" s="108"/>
      <c r="E373" s="108" t="s">
        <v>14605</v>
      </c>
      <c r="F373" s="108" t="s">
        <v>15029</v>
      </c>
      <c r="G373" s="110"/>
      <c r="H373" s="108"/>
      <c r="I373" s="108"/>
    </row>
    <row r="374" spans="1:9" ht="27.6">
      <c r="A374" s="108" t="s">
        <v>14690</v>
      </c>
      <c r="B374" s="108" t="s">
        <v>15030</v>
      </c>
      <c r="C374" s="109">
        <v>46086</v>
      </c>
      <c r="D374" s="108"/>
      <c r="E374" s="108" t="s">
        <v>14605</v>
      </c>
      <c r="F374" s="108" t="s">
        <v>15031</v>
      </c>
      <c r="G374" s="110"/>
      <c r="H374" s="108"/>
      <c r="I374" s="108"/>
    </row>
    <row r="375" spans="1:9">
      <c r="A375" s="108" t="s">
        <v>14928</v>
      </c>
      <c r="B375" s="108" t="s">
        <v>15032</v>
      </c>
      <c r="C375" s="109">
        <v>45926</v>
      </c>
      <c r="D375" s="108"/>
      <c r="E375" s="108" t="s">
        <v>14605</v>
      </c>
      <c r="F375" s="108" t="s">
        <v>484</v>
      </c>
      <c r="G375" s="110"/>
      <c r="H375" s="108"/>
      <c r="I375" s="108"/>
    </row>
    <row r="376" spans="1:9">
      <c r="A376" s="108" t="s">
        <v>2002</v>
      </c>
      <c r="B376" s="108" t="s">
        <v>15033</v>
      </c>
      <c r="C376" s="109">
        <v>45917</v>
      </c>
      <c r="D376" s="108"/>
      <c r="E376" s="108" t="s">
        <v>14605</v>
      </c>
      <c r="F376" s="108" t="s">
        <v>15034</v>
      </c>
      <c r="G376" s="110"/>
      <c r="H376" s="108"/>
      <c r="I376" s="108"/>
    </row>
    <row r="377" spans="1:9" ht="41.4">
      <c r="A377" s="108" t="s">
        <v>84</v>
      </c>
      <c r="B377" s="108" t="s">
        <v>15035</v>
      </c>
      <c r="C377" s="109">
        <v>45946</v>
      </c>
      <c r="D377" s="108"/>
      <c r="E377" s="108" t="s">
        <v>14605</v>
      </c>
      <c r="F377" s="108" t="s">
        <v>15036</v>
      </c>
      <c r="G377" s="110"/>
      <c r="H377" s="108"/>
      <c r="I377" s="108"/>
    </row>
    <row r="378" spans="1:9" ht="27.6">
      <c r="A378" s="108" t="s">
        <v>14679</v>
      </c>
      <c r="B378" s="108" t="s">
        <v>15037</v>
      </c>
      <c r="C378" s="109">
        <v>46007</v>
      </c>
      <c r="D378" s="108"/>
      <c r="E378" s="108" t="s">
        <v>14605</v>
      </c>
      <c r="F378" s="108" t="s">
        <v>15038</v>
      </c>
      <c r="G378" s="110"/>
      <c r="H378" s="108"/>
      <c r="I378" s="108"/>
    </row>
    <row r="379" spans="1:9" ht="27.6">
      <c r="A379" s="108" t="s">
        <v>1465</v>
      </c>
      <c r="B379" s="108" t="s">
        <v>15039</v>
      </c>
      <c r="C379" s="109">
        <v>46051</v>
      </c>
      <c r="D379" s="108"/>
      <c r="E379" s="108" t="s">
        <v>14605</v>
      </c>
      <c r="F379" s="108" t="s">
        <v>15040</v>
      </c>
      <c r="G379" s="110"/>
      <c r="H379" s="108"/>
      <c r="I379" s="108"/>
    </row>
    <row r="380" spans="1:9">
      <c r="A380" s="108" t="s">
        <v>571</v>
      </c>
      <c r="B380" s="108" t="s">
        <v>15041</v>
      </c>
      <c r="C380" s="109">
        <v>45972</v>
      </c>
      <c r="D380" s="108"/>
      <c r="E380" s="108" t="s">
        <v>14605</v>
      </c>
      <c r="F380" s="108" t="s">
        <v>15042</v>
      </c>
      <c r="G380" s="110"/>
      <c r="H380" s="108"/>
      <c r="I380" s="108"/>
    </row>
    <row r="381" spans="1:9" ht="27.6">
      <c r="A381" s="108" t="s">
        <v>15043</v>
      </c>
      <c r="B381" s="108" t="s">
        <v>15044</v>
      </c>
      <c r="C381" s="109">
        <v>46044</v>
      </c>
      <c r="D381" s="108"/>
      <c r="E381" s="108" t="s">
        <v>14605</v>
      </c>
      <c r="F381" s="108" t="s">
        <v>15045</v>
      </c>
      <c r="G381" s="110"/>
      <c r="H381" s="108"/>
      <c r="I381" s="108"/>
    </row>
    <row r="382" spans="1:9">
      <c r="A382" s="108" t="s">
        <v>87</v>
      </c>
      <c r="B382" s="108" t="s">
        <v>15046</v>
      </c>
      <c r="C382" s="109">
        <v>46070</v>
      </c>
      <c r="D382" s="108"/>
      <c r="E382" s="108" t="s">
        <v>14605</v>
      </c>
      <c r="F382" s="108" t="s">
        <v>15025</v>
      </c>
      <c r="G382" s="110"/>
      <c r="H382" s="108"/>
      <c r="I382" s="108"/>
    </row>
    <row r="383" spans="1:9" ht="27.6">
      <c r="A383" s="108" t="s">
        <v>14679</v>
      </c>
      <c r="B383" s="108" t="s">
        <v>15047</v>
      </c>
      <c r="C383" s="109">
        <v>46045</v>
      </c>
      <c r="D383" s="108"/>
      <c r="E383" s="108" t="s">
        <v>14605</v>
      </c>
      <c r="F383" s="108" t="s">
        <v>15048</v>
      </c>
      <c r="G383" s="110"/>
      <c r="H383" s="108"/>
      <c r="I383" s="108"/>
    </row>
    <row r="384" spans="1:9">
      <c r="A384" s="108" t="s">
        <v>237</v>
      </c>
      <c r="B384" s="108" t="s">
        <v>15049</v>
      </c>
      <c r="C384" s="109">
        <v>46070</v>
      </c>
      <c r="D384" s="108"/>
      <c r="E384" s="108" t="s">
        <v>14605</v>
      </c>
      <c r="F384" s="108" t="s">
        <v>15025</v>
      </c>
      <c r="G384" s="110"/>
      <c r="H384" s="108"/>
      <c r="I384" s="108"/>
    </row>
    <row r="385" spans="1:9">
      <c r="A385" s="108" t="s">
        <v>237</v>
      </c>
      <c r="B385" s="108" t="s">
        <v>15050</v>
      </c>
      <c r="C385" s="109">
        <v>46050</v>
      </c>
      <c r="D385" s="108"/>
      <c r="E385" s="108" t="s">
        <v>14605</v>
      </c>
      <c r="F385" s="108" t="s">
        <v>15051</v>
      </c>
      <c r="G385" s="110"/>
      <c r="H385" s="108"/>
      <c r="I385" s="108"/>
    </row>
    <row r="386" spans="1:9">
      <c r="A386" s="108" t="s">
        <v>15043</v>
      </c>
      <c r="B386" s="108" t="s">
        <v>15052</v>
      </c>
      <c r="C386" s="109">
        <v>46078</v>
      </c>
      <c r="D386" s="108"/>
      <c r="E386" s="108" t="s">
        <v>14605</v>
      </c>
      <c r="F386" s="108" t="s">
        <v>15053</v>
      </c>
      <c r="G386" s="110"/>
      <c r="H386" s="108"/>
      <c r="I386" s="108"/>
    </row>
    <row r="387" spans="1:9">
      <c r="A387" s="108" t="s">
        <v>571</v>
      </c>
      <c r="B387" s="108" t="s">
        <v>15054</v>
      </c>
      <c r="C387" s="109">
        <v>46087</v>
      </c>
      <c r="D387" s="108"/>
      <c r="E387" s="108" t="s">
        <v>14605</v>
      </c>
      <c r="F387" s="108" t="s">
        <v>15055</v>
      </c>
      <c r="G387" s="110"/>
      <c r="H387" s="108"/>
      <c r="I387" s="108"/>
    </row>
    <row r="388" spans="1:9">
      <c r="A388" s="108" t="s">
        <v>1465</v>
      </c>
      <c r="B388" s="108" t="s">
        <v>15056</v>
      </c>
      <c r="C388" s="109">
        <v>46148</v>
      </c>
      <c r="D388" s="108"/>
      <c r="E388" s="108" t="s">
        <v>14605</v>
      </c>
      <c r="F388" s="108" t="s">
        <v>15057</v>
      </c>
      <c r="G388" s="110"/>
      <c r="H388" s="108"/>
      <c r="I388" s="108"/>
    </row>
    <row r="389" spans="1:9">
      <c r="A389" s="108" t="s">
        <v>87</v>
      </c>
      <c r="B389" s="108" t="s">
        <v>15058</v>
      </c>
      <c r="C389" s="109">
        <v>46037</v>
      </c>
      <c r="D389" s="108"/>
      <c r="E389" s="108" t="s">
        <v>14605</v>
      </c>
      <c r="F389" s="108" t="s">
        <v>4182</v>
      </c>
      <c r="G389" s="110"/>
      <c r="H389" s="108"/>
      <c r="I389" s="108"/>
    </row>
    <row r="390" spans="1:9">
      <c r="A390" s="108" t="s">
        <v>87</v>
      </c>
      <c r="B390" s="108" t="s">
        <v>15059</v>
      </c>
      <c r="C390" s="109">
        <v>46070</v>
      </c>
      <c r="D390" s="108"/>
      <c r="E390" s="108" t="s">
        <v>14605</v>
      </c>
      <c r="F390" s="108" t="s">
        <v>14674</v>
      </c>
      <c r="G390" s="110"/>
      <c r="H390" s="108"/>
      <c r="I390" s="108"/>
    </row>
    <row r="391" spans="1:9">
      <c r="A391" s="108" t="s">
        <v>571</v>
      </c>
      <c r="B391" s="108" t="s">
        <v>15060</v>
      </c>
      <c r="C391" s="109">
        <v>46157</v>
      </c>
      <c r="D391" s="108"/>
      <c r="E391" s="108" t="s">
        <v>14605</v>
      </c>
      <c r="F391" s="108" t="s">
        <v>15061</v>
      </c>
      <c r="G391" s="110"/>
      <c r="H391" s="108"/>
      <c r="I391" s="108"/>
    </row>
    <row r="392" spans="1:9">
      <c r="A392" s="108" t="s">
        <v>237</v>
      </c>
      <c r="B392" s="108" t="s">
        <v>15062</v>
      </c>
      <c r="C392" s="109">
        <v>46227</v>
      </c>
      <c r="D392" s="108"/>
      <c r="E392" s="108" t="s">
        <v>14605</v>
      </c>
      <c r="F392" s="108" t="s">
        <v>15063</v>
      </c>
      <c r="G392" s="110"/>
      <c r="H392" s="108"/>
      <c r="I392" s="108"/>
    </row>
    <row r="393" spans="1:9" ht="27.6">
      <c r="A393" s="108" t="s">
        <v>14690</v>
      </c>
      <c r="B393" s="108" t="s">
        <v>15064</v>
      </c>
      <c r="C393" s="109">
        <v>46220</v>
      </c>
      <c r="D393" s="108"/>
      <c r="E393" s="108" t="s">
        <v>14605</v>
      </c>
      <c r="F393" s="108" t="s">
        <v>15065</v>
      </c>
      <c r="G393" s="110"/>
      <c r="H393" s="108"/>
      <c r="I393" s="108"/>
    </row>
    <row r="394" spans="1:9">
      <c r="A394" s="108" t="s">
        <v>1465</v>
      </c>
      <c r="B394" s="108" t="s">
        <v>15066</v>
      </c>
      <c r="C394" s="109">
        <v>46208</v>
      </c>
      <c r="D394" s="108"/>
      <c r="E394" s="108" t="s">
        <v>14605</v>
      </c>
      <c r="F394" s="108" t="s">
        <v>15067</v>
      </c>
      <c r="G394" s="110"/>
      <c r="H394" s="108"/>
      <c r="I394" s="108"/>
    </row>
    <row r="395" spans="1:9" ht="27.6">
      <c r="A395" s="108" t="s">
        <v>14929</v>
      </c>
      <c r="B395" s="108" t="s">
        <v>15068</v>
      </c>
      <c r="C395" s="109">
        <v>46272</v>
      </c>
      <c r="D395" s="108"/>
      <c r="E395" s="108" t="s">
        <v>14605</v>
      </c>
      <c r="F395" s="108" t="s">
        <v>15069</v>
      </c>
      <c r="G395" s="110"/>
      <c r="H395" s="108"/>
      <c r="I395" s="108"/>
    </row>
    <row r="396" spans="1:9">
      <c r="A396" s="108" t="s">
        <v>87</v>
      </c>
      <c r="B396" s="108" t="s">
        <v>15070</v>
      </c>
      <c r="C396" s="109">
        <v>46265</v>
      </c>
      <c r="D396" s="108"/>
      <c r="E396" s="108" t="s">
        <v>14605</v>
      </c>
      <c r="F396" s="108" t="s">
        <v>15071</v>
      </c>
      <c r="G396" s="110"/>
      <c r="H396" s="108"/>
      <c r="I396" s="108"/>
    </row>
    <row r="397" spans="1:9">
      <c r="A397" s="108"/>
      <c r="B397" s="108" t="s">
        <v>15072</v>
      </c>
      <c r="C397" s="109">
        <v>44278</v>
      </c>
      <c r="D397" s="108"/>
      <c r="E397" s="108" t="s">
        <v>14611</v>
      </c>
      <c r="F397" s="108" t="s">
        <v>14916</v>
      </c>
      <c r="G397" s="110"/>
      <c r="H397" s="108"/>
      <c r="I397" s="108"/>
    </row>
    <row r="398" spans="1:9">
      <c r="A398" s="108" t="s">
        <v>2009</v>
      </c>
      <c r="B398" s="108" t="s">
        <v>15073</v>
      </c>
      <c r="C398" s="109">
        <v>44278</v>
      </c>
      <c r="D398" s="108"/>
      <c r="E398" s="108" t="s">
        <v>14611</v>
      </c>
      <c r="F398" s="108" t="s">
        <v>14916</v>
      </c>
      <c r="G398" s="110"/>
      <c r="H398" s="108"/>
      <c r="I398" s="108"/>
    </row>
    <row r="399" spans="1:9" ht="27.6">
      <c r="A399" s="108" t="s">
        <v>8278</v>
      </c>
      <c r="B399" s="108" t="s">
        <v>15074</v>
      </c>
      <c r="C399" s="109">
        <v>45795</v>
      </c>
      <c r="D399" s="108"/>
      <c r="E399" s="108" t="s">
        <v>14605</v>
      </c>
      <c r="F399" s="108" t="s">
        <v>196</v>
      </c>
      <c r="G399" s="110"/>
      <c r="H399" s="108"/>
      <c r="I399" s="108"/>
    </row>
    <row r="400" spans="1:9" ht="27.6">
      <c r="A400" s="108" t="s">
        <v>15075</v>
      </c>
      <c r="B400" s="108" t="s">
        <v>15076</v>
      </c>
      <c r="C400" s="109">
        <v>45821</v>
      </c>
      <c r="D400" s="108"/>
      <c r="E400" s="108" t="s">
        <v>14605</v>
      </c>
      <c r="F400" s="108" t="s">
        <v>15077</v>
      </c>
      <c r="G400" s="110"/>
      <c r="H400" s="108"/>
      <c r="I400" s="108"/>
    </row>
    <row r="401" spans="1:9" ht="27.6">
      <c r="A401" s="108" t="s">
        <v>15075</v>
      </c>
      <c r="B401" s="108" t="s">
        <v>15078</v>
      </c>
      <c r="C401" s="109">
        <v>45645</v>
      </c>
      <c r="D401" s="108"/>
      <c r="E401" s="108" t="s">
        <v>14605</v>
      </c>
      <c r="F401" s="108" t="s">
        <v>15079</v>
      </c>
      <c r="G401" s="110"/>
      <c r="H401" s="108"/>
      <c r="I401" s="108"/>
    </row>
    <row r="402" spans="1:9" ht="27.6">
      <c r="A402" s="108" t="s">
        <v>15075</v>
      </c>
      <c r="B402" s="108" t="s">
        <v>15080</v>
      </c>
      <c r="C402" s="109">
        <v>45637</v>
      </c>
      <c r="D402" s="108"/>
      <c r="E402" s="108" t="s">
        <v>14605</v>
      </c>
      <c r="F402" s="108" t="s">
        <v>14712</v>
      </c>
      <c r="G402" s="110"/>
      <c r="H402" s="108"/>
      <c r="I402" s="108"/>
    </row>
    <row r="403" spans="1:9" ht="27.6">
      <c r="A403" s="108" t="s">
        <v>15075</v>
      </c>
      <c r="B403" s="108" t="s">
        <v>15081</v>
      </c>
      <c r="C403" s="109">
        <v>45645</v>
      </c>
      <c r="D403" s="108"/>
      <c r="E403" s="108" t="s">
        <v>14605</v>
      </c>
      <c r="F403" s="108" t="s">
        <v>15082</v>
      </c>
      <c r="G403" s="110"/>
      <c r="H403" s="108"/>
      <c r="I403" s="108"/>
    </row>
    <row r="404" spans="1:9" ht="27.6">
      <c r="A404" s="108" t="s">
        <v>15075</v>
      </c>
      <c r="B404" s="108" t="s">
        <v>15083</v>
      </c>
      <c r="C404" s="109">
        <v>45643</v>
      </c>
      <c r="D404" s="108"/>
      <c r="E404" s="108" t="s">
        <v>14605</v>
      </c>
      <c r="F404" s="108" t="s">
        <v>15084</v>
      </c>
      <c r="G404" s="110"/>
      <c r="H404" s="108"/>
      <c r="I404" s="108"/>
    </row>
    <row r="405" spans="1:9" ht="27.6">
      <c r="A405" s="108" t="s">
        <v>15075</v>
      </c>
      <c r="B405" s="108" t="s">
        <v>15085</v>
      </c>
      <c r="C405" s="109">
        <v>45638</v>
      </c>
      <c r="D405" s="108"/>
      <c r="E405" s="108" t="s">
        <v>14605</v>
      </c>
      <c r="F405" s="108" t="s">
        <v>15086</v>
      </c>
      <c r="G405" s="110"/>
      <c r="H405" s="108"/>
      <c r="I405" s="108"/>
    </row>
    <row r="406" spans="1:9" ht="27.6">
      <c r="A406" s="108" t="s">
        <v>15075</v>
      </c>
      <c r="B406" s="108" t="s">
        <v>15087</v>
      </c>
      <c r="C406" s="109">
        <v>45639</v>
      </c>
      <c r="D406" s="108"/>
      <c r="E406" s="108" t="s">
        <v>14605</v>
      </c>
      <c r="F406" s="108" t="s">
        <v>15086</v>
      </c>
      <c r="G406" s="110"/>
      <c r="H406" s="108"/>
      <c r="I406" s="108"/>
    </row>
    <row r="407" spans="1:9" ht="27.6">
      <c r="A407" s="108" t="s">
        <v>15075</v>
      </c>
      <c r="B407" s="108" t="s">
        <v>15088</v>
      </c>
      <c r="C407" s="109">
        <v>45618</v>
      </c>
      <c r="D407" s="108"/>
      <c r="E407" s="108" t="s">
        <v>14605</v>
      </c>
      <c r="F407" s="108" t="s">
        <v>1151</v>
      </c>
      <c r="G407" s="110"/>
      <c r="H407" s="108"/>
      <c r="I407" s="108"/>
    </row>
    <row r="408" spans="1:9" ht="27.6">
      <c r="A408" s="108" t="s">
        <v>15075</v>
      </c>
      <c r="B408" s="108" t="s">
        <v>15089</v>
      </c>
      <c r="C408" s="109">
        <v>45645</v>
      </c>
      <c r="D408" s="108"/>
      <c r="E408" s="108" t="s">
        <v>14605</v>
      </c>
      <c r="F408" s="108" t="s">
        <v>1397</v>
      </c>
      <c r="G408" s="110"/>
      <c r="H408" s="108"/>
      <c r="I408" s="108"/>
    </row>
    <row r="409" spans="1:9" ht="27.6">
      <c r="A409" s="108" t="s">
        <v>15075</v>
      </c>
      <c r="B409" s="108" t="s">
        <v>15090</v>
      </c>
      <c r="C409" s="109">
        <v>45659</v>
      </c>
      <c r="D409" s="108"/>
      <c r="E409" s="108" t="s">
        <v>14605</v>
      </c>
      <c r="F409" s="108" t="s">
        <v>3504</v>
      </c>
      <c r="G409" s="110"/>
      <c r="H409" s="108"/>
      <c r="I409" s="108"/>
    </row>
    <row r="410" spans="1:9" ht="27.6">
      <c r="A410" s="108" t="s">
        <v>15075</v>
      </c>
      <c r="B410" s="108" t="s">
        <v>15091</v>
      </c>
      <c r="C410" s="109">
        <v>45636</v>
      </c>
      <c r="D410" s="108"/>
      <c r="E410" s="108" t="s">
        <v>14605</v>
      </c>
      <c r="F410" s="108" t="s">
        <v>5281</v>
      </c>
      <c r="G410" s="110"/>
      <c r="H410" s="108"/>
      <c r="I410" s="108"/>
    </row>
    <row r="411" spans="1:9" ht="27.6">
      <c r="A411" s="108" t="s">
        <v>15075</v>
      </c>
      <c r="B411" s="108" t="s">
        <v>15092</v>
      </c>
      <c r="C411" s="109">
        <v>45672</v>
      </c>
      <c r="D411" s="108"/>
      <c r="E411" s="108" t="s">
        <v>14605</v>
      </c>
      <c r="F411" s="108" t="s">
        <v>925</v>
      </c>
      <c r="G411" s="110"/>
      <c r="H411" s="108"/>
      <c r="I411" s="108"/>
    </row>
    <row r="412" spans="1:9" ht="27.6">
      <c r="A412" s="108" t="s">
        <v>15075</v>
      </c>
      <c r="B412" s="108" t="s">
        <v>15093</v>
      </c>
      <c r="C412" s="109">
        <v>45641</v>
      </c>
      <c r="D412" s="108"/>
      <c r="E412" s="108" t="s">
        <v>14605</v>
      </c>
      <c r="F412" s="108" t="s">
        <v>14846</v>
      </c>
      <c r="G412" s="110"/>
      <c r="H412" s="108"/>
      <c r="I412" s="108"/>
    </row>
    <row r="413" spans="1:9" ht="27.6">
      <c r="A413" s="108" t="s">
        <v>15075</v>
      </c>
      <c r="B413" s="108" t="s">
        <v>15094</v>
      </c>
      <c r="C413" s="109">
        <v>45641</v>
      </c>
      <c r="D413" s="108"/>
      <c r="E413" s="108" t="s">
        <v>14605</v>
      </c>
      <c r="F413" s="108" t="s">
        <v>14846</v>
      </c>
      <c r="G413" s="110"/>
      <c r="H413" s="108"/>
      <c r="I413" s="108"/>
    </row>
    <row r="414" spans="1:9" ht="27.6">
      <c r="A414" s="108" t="s">
        <v>15075</v>
      </c>
      <c r="B414" s="108" t="s">
        <v>15095</v>
      </c>
      <c r="C414" s="109">
        <v>45673</v>
      </c>
      <c r="D414" s="108"/>
      <c r="E414" s="108" t="s">
        <v>14605</v>
      </c>
      <c r="F414" s="108" t="s">
        <v>4098</v>
      </c>
      <c r="G414" s="110"/>
      <c r="H414" s="108"/>
      <c r="I414" s="108"/>
    </row>
    <row r="415" spans="1:9" ht="27.6">
      <c r="A415" s="108" t="s">
        <v>15075</v>
      </c>
      <c r="B415" s="108" t="s">
        <v>15096</v>
      </c>
      <c r="C415" s="109">
        <v>45663</v>
      </c>
      <c r="D415" s="108"/>
      <c r="E415" s="108" t="s">
        <v>14605</v>
      </c>
      <c r="F415" s="108" t="s">
        <v>15097</v>
      </c>
      <c r="G415" s="110"/>
      <c r="H415" s="108"/>
      <c r="I415" s="108"/>
    </row>
    <row r="416" spans="1:9" ht="27.6">
      <c r="A416" s="108" t="s">
        <v>15075</v>
      </c>
      <c r="B416" s="108" t="s">
        <v>15098</v>
      </c>
      <c r="C416" s="109">
        <v>45649</v>
      </c>
      <c r="D416" s="108"/>
      <c r="E416" s="108" t="s">
        <v>14605</v>
      </c>
      <c r="F416" s="108" t="s">
        <v>15099</v>
      </c>
      <c r="G416" s="110"/>
      <c r="H416" s="108"/>
      <c r="I416" s="108"/>
    </row>
    <row r="417" spans="1:9" ht="27.6">
      <c r="A417" s="108" t="s">
        <v>15075</v>
      </c>
      <c r="B417" s="108" t="s">
        <v>15100</v>
      </c>
      <c r="C417" s="109">
        <v>45824</v>
      </c>
      <c r="D417" s="108"/>
      <c r="E417" s="108" t="s">
        <v>14605</v>
      </c>
      <c r="F417" s="108" t="s">
        <v>933</v>
      </c>
      <c r="G417" s="110"/>
      <c r="H417" s="108"/>
      <c r="I417" s="108"/>
    </row>
    <row r="418" spans="1:9" ht="27.6">
      <c r="A418" s="108" t="s">
        <v>15075</v>
      </c>
      <c r="B418" s="108" t="s">
        <v>15101</v>
      </c>
      <c r="C418" s="109">
        <v>45703</v>
      </c>
      <c r="D418" s="108"/>
      <c r="E418" s="108" t="s">
        <v>14605</v>
      </c>
      <c r="F418" s="108" t="s">
        <v>4920</v>
      </c>
      <c r="G418" s="110"/>
      <c r="H418" s="108"/>
      <c r="I418" s="108"/>
    </row>
    <row r="419" spans="1:9" ht="27.6">
      <c r="A419" s="108" t="s">
        <v>15075</v>
      </c>
      <c r="B419" s="108" t="s">
        <v>15102</v>
      </c>
      <c r="C419" s="109">
        <v>45687</v>
      </c>
      <c r="D419" s="108"/>
      <c r="E419" s="108" t="s">
        <v>14605</v>
      </c>
      <c r="F419" s="108" t="s">
        <v>15103</v>
      </c>
      <c r="G419" s="110"/>
      <c r="H419" s="108"/>
      <c r="I419" s="108"/>
    </row>
    <row r="420" spans="1:9" ht="27.6">
      <c r="A420" s="108" t="s">
        <v>15075</v>
      </c>
      <c r="B420" s="108" t="s">
        <v>15104</v>
      </c>
      <c r="C420" s="109">
        <v>45702</v>
      </c>
      <c r="D420" s="108"/>
      <c r="E420" s="108" t="s">
        <v>14605</v>
      </c>
      <c r="F420" s="108" t="s">
        <v>1193</v>
      </c>
      <c r="G420" s="110"/>
      <c r="H420" s="108"/>
      <c r="I420" s="108"/>
    </row>
    <row r="421" spans="1:9" ht="27.6">
      <c r="A421" s="108" t="s">
        <v>15075</v>
      </c>
      <c r="B421" s="108" t="s">
        <v>15105</v>
      </c>
      <c r="C421" s="109">
        <v>45721</v>
      </c>
      <c r="D421" s="108"/>
      <c r="E421" s="108" t="s">
        <v>14605</v>
      </c>
      <c r="F421" s="108" t="s">
        <v>15106</v>
      </c>
      <c r="G421" s="110"/>
      <c r="H421" s="108"/>
      <c r="I421" s="108"/>
    </row>
    <row r="422" spans="1:9" ht="27.6">
      <c r="A422" s="108" t="s">
        <v>15075</v>
      </c>
      <c r="B422" s="108" t="s">
        <v>15107</v>
      </c>
      <c r="C422" s="109">
        <v>45685</v>
      </c>
      <c r="D422" s="108"/>
      <c r="E422" s="108" t="s">
        <v>14605</v>
      </c>
      <c r="F422" s="108" t="s">
        <v>4202</v>
      </c>
      <c r="G422" s="110"/>
      <c r="H422" s="108"/>
      <c r="I422" s="108"/>
    </row>
    <row r="423" spans="1:9" ht="27.6">
      <c r="A423" s="108" t="s">
        <v>15075</v>
      </c>
      <c r="B423" s="108" t="s">
        <v>15108</v>
      </c>
      <c r="C423" s="109">
        <v>45671</v>
      </c>
      <c r="D423" s="108"/>
      <c r="E423" s="108" t="s">
        <v>14605</v>
      </c>
      <c r="F423" s="108" t="s">
        <v>5300</v>
      </c>
      <c r="G423" s="110"/>
      <c r="H423" s="108"/>
      <c r="I423" s="108"/>
    </row>
    <row r="424" spans="1:9" ht="27.6">
      <c r="A424" s="108" t="s">
        <v>15075</v>
      </c>
      <c r="B424" s="108" t="s">
        <v>15109</v>
      </c>
      <c r="C424" s="109">
        <v>45645</v>
      </c>
      <c r="D424" s="108"/>
      <c r="E424" s="108" t="s">
        <v>14605</v>
      </c>
      <c r="F424" s="108" t="s">
        <v>4182</v>
      </c>
      <c r="G424" s="110"/>
      <c r="H424" s="108"/>
      <c r="I424" s="108"/>
    </row>
    <row r="425" spans="1:9" ht="27.6">
      <c r="A425" s="108" t="s">
        <v>15075</v>
      </c>
      <c r="B425" s="108" t="s">
        <v>15110</v>
      </c>
      <c r="C425" s="109">
        <v>45721</v>
      </c>
      <c r="D425" s="108"/>
      <c r="E425" s="108" t="s">
        <v>14605</v>
      </c>
      <c r="F425" s="108" t="s">
        <v>5057</v>
      </c>
      <c r="G425" s="110"/>
      <c r="H425" s="108"/>
      <c r="I425" s="108"/>
    </row>
    <row r="426" spans="1:9" ht="27.6">
      <c r="A426" s="108" t="s">
        <v>15075</v>
      </c>
      <c r="B426" s="108" t="s">
        <v>15111</v>
      </c>
      <c r="C426" s="109">
        <v>45686</v>
      </c>
      <c r="D426" s="108"/>
      <c r="E426" s="108" t="s">
        <v>14605</v>
      </c>
      <c r="F426" s="108" t="s">
        <v>4898</v>
      </c>
      <c r="G426" s="110"/>
      <c r="H426" s="108"/>
      <c r="I426" s="108"/>
    </row>
    <row r="427" spans="1:9" ht="27.6">
      <c r="A427" s="108" t="s">
        <v>15075</v>
      </c>
      <c r="B427" s="108" t="s">
        <v>15112</v>
      </c>
      <c r="C427" s="109">
        <v>45714</v>
      </c>
      <c r="D427" s="108"/>
      <c r="E427" s="108" t="s">
        <v>14605</v>
      </c>
      <c r="F427" s="108" t="s">
        <v>3991</v>
      </c>
      <c r="G427" s="110"/>
      <c r="H427" s="108"/>
      <c r="I427" s="108"/>
    </row>
    <row r="428" spans="1:9" ht="27.6">
      <c r="A428" s="108" t="s">
        <v>15075</v>
      </c>
      <c r="B428" s="108" t="s">
        <v>15113</v>
      </c>
      <c r="C428" s="109">
        <v>45692</v>
      </c>
      <c r="D428" s="108"/>
      <c r="E428" s="108" t="s">
        <v>14605</v>
      </c>
      <c r="F428" s="108" t="s">
        <v>327</v>
      </c>
      <c r="G428" s="110"/>
      <c r="H428" s="108"/>
      <c r="I428" s="108"/>
    </row>
    <row r="429" spans="1:9" ht="27.6">
      <c r="A429" s="108" t="s">
        <v>15075</v>
      </c>
      <c r="B429" s="108" t="s">
        <v>15114</v>
      </c>
      <c r="C429" s="109">
        <v>45811</v>
      </c>
      <c r="D429" s="108"/>
      <c r="E429" s="108" t="s">
        <v>14605</v>
      </c>
      <c r="F429" s="108" t="s">
        <v>4958</v>
      </c>
      <c r="G429" s="110"/>
      <c r="H429" s="108"/>
      <c r="I429" s="108"/>
    </row>
    <row r="430" spans="1:9" ht="27.6">
      <c r="A430" s="108" t="s">
        <v>15075</v>
      </c>
      <c r="B430" s="108" t="s">
        <v>15115</v>
      </c>
      <c r="C430" s="109">
        <v>45666</v>
      </c>
      <c r="D430" s="108"/>
      <c r="E430" s="108" t="s">
        <v>14605</v>
      </c>
      <c r="F430" s="108" t="s">
        <v>2946</v>
      </c>
      <c r="G430" s="110"/>
      <c r="H430" s="108"/>
      <c r="I430" s="108"/>
    </row>
    <row r="431" spans="1:9" ht="27.6">
      <c r="A431" s="108" t="s">
        <v>15075</v>
      </c>
      <c r="B431" s="108" t="s">
        <v>15116</v>
      </c>
      <c r="C431" s="109">
        <v>45680</v>
      </c>
      <c r="D431" s="108"/>
      <c r="E431" s="108" t="s">
        <v>14605</v>
      </c>
      <c r="F431" s="108" t="s">
        <v>15117</v>
      </c>
      <c r="G431" s="110"/>
      <c r="H431" s="108"/>
      <c r="I431" s="108"/>
    </row>
    <row r="432" spans="1:9" ht="27.6">
      <c r="A432" s="108" t="s">
        <v>15075</v>
      </c>
      <c r="B432" s="108" t="s">
        <v>15118</v>
      </c>
      <c r="C432" s="109">
        <v>45800</v>
      </c>
      <c r="D432" s="108"/>
      <c r="E432" s="108" t="s">
        <v>14605</v>
      </c>
      <c r="F432" s="108" t="s">
        <v>15119</v>
      </c>
      <c r="G432" s="110"/>
      <c r="H432" s="108"/>
      <c r="I432" s="108"/>
    </row>
    <row r="433" spans="1:9" ht="27.6">
      <c r="A433" s="108" t="s">
        <v>15075</v>
      </c>
      <c r="B433" s="108" t="s">
        <v>15120</v>
      </c>
      <c r="C433" s="109">
        <v>45688</v>
      </c>
      <c r="D433" s="108"/>
      <c r="E433" s="108" t="s">
        <v>14605</v>
      </c>
      <c r="F433" s="108" t="s">
        <v>15121</v>
      </c>
      <c r="G433" s="110"/>
      <c r="H433" s="108"/>
      <c r="I433" s="108"/>
    </row>
    <row r="434" spans="1:9" ht="27.6">
      <c r="A434" s="108" t="s">
        <v>15075</v>
      </c>
      <c r="B434" s="108" t="s">
        <v>15122</v>
      </c>
      <c r="C434" s="109">
        <v>45667</v>
      </c>
      <c r="D434" s="108"/>
      <c r="E434" s="108" t="s">
        <v>14605</v>
      </c>
      <c r="F434" s="108" t="s">
        <v>4732</v>
      </c>
      <c r="G434" s="110"/>
      <c r="H434" s="108"/>
      <c r="I434" s="108"/>
    </row>
    <row r="435" spans="1:9" ht="27.6">
      <c r="A435" s="108" t="s">
        <v>15075</v>
      </c>
      <c r="B435" s="108" t="s">
        <v>15123</v>
      </c>
      <c r="C435" s="109">
        <v>45673</v>
      </c>
      <c r="D435" s="108"/>
      <c r="E435" s="108" t="s">
        <v>14605</v>
      </c>
      <c r="F435" s="108" t="s">
        <v>15124</v>
      </c>
      <c r="G435" s="110"/>
      <c r="H435" s="108"/>
      <c r="I435" s="108"/>
    </row>
    <row r="436" spans="1:9" ht="27.6">
      <c r="A436" s="108" t="s">
        <v>15075</v>
      </c>
      <c r="B436" s="108" t="s">
        <v>15125</v>
      </c>
      <c r="C436" s="109">
        <v>45722</v>
      </c>
      <c r="D436" s="108"/>
      <c r="E436" s="108" t="s">
        <v>14605</v>
      </c>
      <c r="F436" s="108" t="s">
        <v>913</v>
      </c>
      <c r="G436" s="110"/>
      <c r="H436" s="108"/>
      <c r="I436" s="108"/>
    </row>
    <row r="437" spans="1:9" ht="27.6">
      <c r="A437" s="108" t="s">
        <v>15075</v>
      </c>
      <c r="B437" s="108" t="s">
        <v>15126</v>
      </c>
      <c r="C437" s="109">
        <v>45737</v>
      </c>
      <c r="D437" s="108"/>
      <c r="E437" s="108" t="s">
        <v>14605</v>
      </c>
      <c r="F437" s="108" t="s">
        <v>111</v>
      </c>
      <c r="G437" s="110"/>
      <c r="H437" s="108"/>
      <c r="I437" s="108"/>
    </row>
    <row r="438" spans="1:9" ht="27.6">
      <c r="A438" s="108" t="s">
        <v>15075</v>
      </c>
      <c r="B438" s="108" t="s">
        <v>15127</v>
      </c>
      <c r="C438" s="109">
        <v>45691</v>
      </c>
      <c r="D438" s="108"/>
      <c r="E438" s="108" t="s">
        <v>14605</v>
      </c>
      <c r="F438" s="108" t="s">
        <v>14672</v>
      </c>
      <c r="G438" s="110"/>
      <c r="H438" s="108"/>
      <c r="I438" s="108"/>
    </row>
    <row r="439" spans="1:9" ht="27.6">
      <c r="A439" s="108" t="s">
        <v>15075</v>
      </c>
      <c r="B439" s="108" t="s">
        <v>15128</v>
      </c>
      <c r="C439" s="109">
        <v>45687</v>
      </c>
      <c r="D439" s="108"/>
      <c r="E439" s="108" t="s">
        <v>14605</v>
      </c>
      <c r="F439" s="108" t="s">
        <v>5138</v>
      </c>
      <c r="G439" s="110"/>
      <c r="H439" s="108"/>
      <c r="I439" s="108"/>
    </row>
    <row r="440" spans="1:9" ht="27.6">
      <c r="A440" s="108" t="s">
        <v>15075</v>
      </c>
      <c r="B440" s="108" t="s">
        <v>15129</v>
      </c>
      <c r="C440" s="109">
        <v>45788</v>
      </c>
      <c r="D440" s="108"/>
      <c r="E440" s="108" t="s">
        <v>14605</v>
      </c>
      <c r="F440" s="108" t="s">
        <v>4151</v>
      </c>
      <c r="G440" s="110"/>
      <c r="H440" s="108"/>
      <c r="I440" s="108"/>
    </row>
    <row r="441" spans="1:9" ht="27.6">
      <c r="A441" s="108" t="s">
        <v>15075</v>
      </c>
      <c r="B441" s="108" t="s">
        <v>15130</v>
      </c>
      <c r="C441" s="109">
        <v>45629</v>
      </c>
      <c r="D441" s="108"/>
      <c r="E441" s="108" t="s">
        <v>14605</v>
      </c>
      <c r="F441" s="108" t="s">
        <v>15097</v>
      </c>
      <c r="G441" s="110"/>
      <c r="H441" s="108"/>
      <c r="I441" s="108"/>
    </row>
    <row r="442" spans="1:9" ht="27.6">
      <c r="A442" s="108" t="s">
        <v>15075</v>
      </c>
      <c r="B442" s="108" t="s">
        <v>15131</v>
      </c>
      <c r="C442" s="109">
        <v>45646</v>
      </c>
      <c r="D442" s="108"/>
      <c r="E442" s="108" t="s">
        <v>14605</v>
      </c>
      <c r="F442" s="108" t="s">
        <v>15132</v>
      </c>
      <c r="G442" s="110"/>
      <c r="H442" s="108"/>
      <c r="I442" s="108"/>
    </row>
    <row r="443" spans="1:9" ht="27.6">
      <c r="A443" s="108" t="s">
        <v>15075</v>
      </c>
      <c r="B443" s="108" t="s">
        <v>15133</v>
      </c>
      <c r="C443" s="109">
        <v>45687</v>
      </c>
      <c r="D443" s="108"/>
      <c r="E443" s="108" t="s">
        <v>14605</v>
      </c>
      <c r="F443" s="108" t="s">
        <v>15134</v>
      </c>
      <c r="G443" s="110"/>
      <c r="H443" s="108"/>
      <c r="I443" s="108"/>
    </row>
    <row r="444" spans="1:9" ht="27.6">
      <c r="A444" s="108" t="s">
        <v>15075</v>
      </c>
      <c r="B444" s="108" t="s">
        <v>15135</v>
      </c>
      <c r="C444" s="109">
        <v>45819</v>
      </c>
      <c r="D444" s="108"/>
      <c r="E444" s="108" t="s">
        <v>14605</v>
      </c>
      <c r="F444" s="108" t="s">
        <v>4966</v>
      </c>
      <c r="G444" s="110"/>
      <c r="H444" s="108"/>
      <c r="I444" s="108"/>
    </row>
    <row r="445" spans="1:9" ht="27.6">
      <c r="A445" s="108" t="s">
        <v>15075</v>
      </c>
      <c r="B445" s="108" t="s">
        <v>15136</v>
      </c>
      <c r="C445" s="109">
        <v>45764</v>
      </c>
      <c r="D445" s="108"/>
      <c r="E445" s="108" t="s">
        <v>14605</v>
      </c>
      <c r="F445" s="108" t="s">
        <v>15137</v>
      </c>
      <c r="G445" s="110"/>
      <c r="H445" s="108"/>
      <c r="I445" s="108"/>
    </row>
    <row r="446" spans="1:9" ht="27.6">
      <c r="A446" s="108" t="s">
        <v>15075</v>
      </c>
      <c r="B446" s="108" t="s">
        <v>15138</v>
      </c>
      <c r="C446" s="109">
        <v>45764</v>
      </c>
      <c r="D446" s="108"/>
      <c r="E446" s="108" t="s">
        <v>14605</v>
      </c>
      <c r="F446" s="108" t="s">
        <v>15137</v>
      </c>
      <c r="G446" s="110"/>
      <c r="H446" s="108"/>
      <c r="I446" s="108"/>
    </row>
    <row r="447" spans="1:9" ht="27.6">
      <c r="A447" s="108" t="s">
        <v>15075</v>
      </c>
      <c r="B447" s="108" t="s">
        <v>15139</v>
      </c>
      <c r="C447" s="109">
        <v>45789</v>
      </c>
      <c r="D447" s="108"/>
      <c r="E447" s="108" t="s">
        <v>14605</v>
      </c>
      <c r="F447" s="108" t="s">
        <v>15140</v>
      </c>
      <c r="G447" s="110"/>
      <c r="H447" s="108"/>
      <c r="I447" s="108"/>
    </row>
    <row r="448" spans="1:9" ht="27.6">
      <c r="A448" s="108" t="s">
        <v>15075</v>
      </c>
      <c r="B448" s="108" t="s">
        <v>15141</v>
      </c>
      <c r="C448" s="109">
        <v>45727</v>
      </c>
      <c r="D448" s="108"/>
      <c r="E448" s="108" t="s">
        <v>14605</v>
      </c>
      <c r="F448" s="108" t="s">
        <v>15142</v>
      </c>
      <c r="G448" s="110"/>
      <c r="H448" s="108"/>
      <c r="I448" s="108"/>
    </row>
    <row r="449" spans="1:9" ht="27.6">
      <c r="A449" s="108" t="s">
        <v>15075</v>
      </c>
      <c r="B449" s="108" t="s">
        <v>15143</v>
      </c>
      <c r="C449" s="109">
        <v>45653</v>
      </c>
      <c r="D449" s="108"/>
      <c r="E449" s="108" t="s">
        <v>14605</v>
      </c>
      <c r="F449" s="108" t="s">
        <v>15144</v>
      </c>
      <c r="G449" s="110"/>
      <c r="H449" s="108"/>
      <c r="I449" s="108"/>
    </row>
    <row r="450" spans="1:9" ht="27.6">
      <c r="A450" s="108" t="s">
        <v>15075</v>
      </c>
      <c r="B450" s="108" t="s">
        <v>15145</v>
      </c>
      <c r="C450" s="109">
        <v>45680</v>
      </c>
      <c r="D450" s="108"/>
      <c r="E450" s="108" t="s">
        <v>14605</v>
      </c>
      <c r="F450" s="108" t="s">
        <v>15146</v>
      </c>
      <c r="G450" s="110"/>
      <c r="H450" s="108"/>
      <c r="I450" s="108"/>
    </row>
    <row r="451" spans="1:9" ht="27.6">
      <c r="A451" s="108" t="s">
        <v>8278</v>
      </c>
      <c r="B451" s="108" t="s">
        <v>15147</v>
      </c>
      <c r="C451" s="109">
        <v>46044</v>
      </c>
      <c r="D451" s="108"/>
      <c r="E451" s="108" t="s">
        <v>14605</v>
      </c>
      <c r="F451" s="108" t="s">
        <v>14674</v>
      </c>
      <c r="G451" s="110"/>
      <c r="H451" s="108"/>
      <c r="I451" s="108"/>
    </row>
    <row r="452" spans="1:9" ht="27.6">
      <c r="A452" s="108" t="s">
        <v>15075</v>
      </c>
      <c r="B452" s="108" t="s">
        <v>15148</v>
      </c>
      <c r="C452" s="109">
        <v>45791</v>
      </c>
      <c r="D452" s="108"/>
      <c r="E452" s="108" t="s">
        <v>14605</v>
      </c>
      <c r="F452" s="108" t="s">
        <v>15149</v>
      </c>
      <c r="G452" s="110"/>
      <c r="H452" s="108"/>
      <c r="I452" s="108"/>
    </row>
    <row r="453" spans="1:9" ht="27.6">
      <c r="A453" s="108" t="s">
        <v>15075</v>
      </c>
      <c r="B453" s="108" t="s">
        <v>15150</v>
      </c>
      <c r="C453" s="109">
        <v>45771</v>
      </c>
      <c r="D453" s="108"/>
      <c r="E453" s="108" t="s">
        <v>14605</v>
      </c>
      <c r="F453" s="108" t="s">
        <v>15151</v>
      </c>
      <c r="G453" s="110"/>
      <c r="H453" s="108"/>
      <c r="I453" s="108"/>
    </row>
    <row r="454" spans="1:9" ht="27.6">
      <c r="A454" s="108" t="s">
        <v>15075</v>
      </c>
      <c r="B454" s="108" t="s">
        <v>15152</v>
      </c>
      <c r="C454" s="109">
        <v>45772</v>
      </c>
      <c r="D454" s="108"/>
      <c r="E454" s="108" t="s">
        <v>14605</v>
      </c>
      <c r="F454" s="108" t="s">
        <v>15151</v>
      </c>
      <c r="G454" s="110"/>
      <c r="H454" s="108"/>
      <c r="I454" s="108"/>
    </row>
    <row r="455" spans="1:9" ht="27.6">
      <c r="A455" s="108" t="s">
        <v>15075</v>
      </c>
      <c r="B455" s="108" t="s">
        <v>15153</v>
      </c>
      <c r="C455" s="109">
        <v>45729</v>
      </c>
      <c r="D455" s="108"/>
      <c r="E455" s="108" t="s">
        <v>14605</v>
      </c>
      <c r="F455" s="108" t="s">
        <v>15137</v>
      </c>
      <c r="G455" s="110"/>
      <c r="H455" s="108"/>
      <c r="I455" s="108"/>
    </row>
    <row r="456" spans="1:9" ht="27.6">
      <c r="A456" s="108" t="s">
        <v>15075</v>
      </c>
      <c r="B456" s="108" t="s">
        <v>15154</v>
      </c>
      <c r="C456" s="109">
        <v>45825</v>
      </c>
      <c r="D456" s="108"/>
      <c r="E456" s="108" t="s">
        <v>14605</v>
      </c>
      <c r="F456" s="108" t="s">
        <v>15155</v>
      </c>
      <c r="G456" s="110"/>
      <c r="H456" s="108"/>
      <c r="I456" s="108"/>
    </row>
    <row r="457" spans="1:9" ht="27.6">
      <c r="A457" s="108" t="s">
        <v>15075</v>
      </c>
      <c r="B457" s="108" t="s">
        <v>15156</v>
      </c>
      <c r="C457" s="109">
        <v>45863</v>
      </c>
      <c r="D457" s="108"/>
      <c r="E457" s="108" t="s">
        <v>14605</v>
      </c>
      <c r="F457" s="108" t="s">
        <v>15157</v>
      </c>
      <c r="G457" s="110"/>
      <c r="H457" s="108"/>
      <c r="I457" s="108"/>
    </row>
    <row r="458" spans="1:9" ht="27.6">
      <c r="A458" s="108" t="s">
        <v>15075</v>
      </c>
      <c r="B458" s="108" t="s">
        <v>15158</v>
      </c>
      <c r="C458" s="109">
        <v>46196</v>
      </c>
      <c r="D458" s="108"/>
      <c r="E458" s="108" t="s">
        <v>14605</v>
      </c>
      <c r="F458" s="108" t="s">
        <v>15159</v>
      </c>
      <c r="G458" s="110"/>
      <c r="H458" s="108"/>
      <c r="I458" s="108"/>
    </row>
    <row r="459" spans="1:9" ht="27.6">
      <c r="A459" s="108" t="s">
        <v>15075</v>
      </c>
      <c r="B459" s="108" t="s">
        <v>15160</v>
      </c>
      <c r="C459" s="109">
        <v>45788</v>
      </c>
      <c r="D459" s="108"/>
      <c r="E459" s="108" t="s">
        <v>14605</v>
      </c>
      <c r="F459" s="108" t="s">
        <v>15161</v>
      </c>
      <c r="G459" s="110"/>
      <c r="H459" s="108"/>
      <c r="I459" s="108"/>
    </row>
    <row r="460" spans="1:9" ht="27.6">
      <c r="A460" s="108" t="s">
        <v>15075</v>
      </c>
      <c r="B460" s="108" t="s">
        <v>15162</v>
      </c>
      <c r="C460" s="109">
        <v>45788</v>
      </c>
      <c r="D460" s="108"/>
      <c r="E460" s="108" t="s">
        <v>14605</v>
      </c>
      <c r="F460" s="108" t="s">
        <v>15161</v>
      </c>
      <c r="G460" s="110"/>
      <c r="H460" s="108"/>
      <c r="I460" s="108"/>
    </row>
    <row r="461" spans="1:9" ht="27.6">
      <c r="A461" s="108" t="s">
        <v>15075</v>
      </c>
      <c r="B461" s="108" t="s">
        <v>15163</v>
      </c>
      <c r="C461" s="109">
        <v>45859</v>
      </c>
      <c r="D461" s="108"/>
      <c r="E461" s="108" t="s">
        <v>14605</v>
      </c>
      <c r="F461" s="108" t="s">
        <v>4164</v>
      </c>
      <c r="G461" s="110"/>
      <c r="H461" s="108"/>
      <c r="I461" s="108"/>
    </row>
    <row r="462" spans="1:9" ht="27.6">
      <c r="A462" s="108" t="s">
        <v>15075</v>
      </c>
      <c r="B462" s="108" t="s">
        <v>15164</v>
      </c>
      <c r="C462" s="109">
        <v>45749</v>
      </c>
      <c r="D462" s="108"/>
      <c r="E462" s="108" t="s">
        <v>14605</v>
      </c>
      <c r="F462" s="108" t="s">
        <v>358</v>
      </c>
      <c r="G462" s="110"/>
      <c r="H462" s="108"/>
      <c r="I462" s="108"/>
    </row>
    <row r="463" spans="1:9" ht="27.6">
      <c r="A463" s="108" t="s">
        <v>15075</v>
      </c>
      <c r="B463" s="108" t="s">
        <v>15165</v>
      </c>
      <c r="C463" s="109">
        <v>45807</v>
      </c>
      <c r="D463" s="108"/>
      <c r="E463" s="108" t="s">
        <v>14605</v>
      </c>
      <c r="F463" s="108" t="s">
        <v>183</v>
      </c>
      <c r="G463" s="110"/>
      <c r="H463" s="108"/>
      <c r="I463" s="108"/>
    </row>
    <row r="464" spans="1:9" ht="27.6">
      <c r="A464" s="108" t="s">
        <v>15075</v>
      </c>
      <c r="B464" s="108" t="s">
        <v>15166</v>
      </c>
      <c r="C464" s="109">
        <v>45674</v>
      </c>
      <c r="D464" s="108"/>
      <c r="E464" s="108" t="s">
        <v>14605</v>
      </c>
      <c r="F464" s="108" t="s">
        <v>15167</v>
      </c>
      <c r="G464" s="110"/>
      <c r="H464" s="108"/>
      <c r="I464" s="108"/>
    </row>
    <row r="465" spans="1:9" ht="27.6">
      <c r="A465" s="108" t="s">
        <v>15075</v>
      </c>
      <c r="B465" s="108" t="s">
        <v>15168</v>
      </c>
      <c r="C465" s="109">
        <v>45756</v>
      </c>
      <c r="D465" s="108"/>
      <c r="E465" s="108" t="s">
        <v>14605</v>
      </c>
      <c r="F465" s="108" t="s">
        <v>15169</v>
      </c>
      <c r="G465" s="110"/>
      <c r="H465" s="108"/>
      <c r="I465" s="108"/>
    </row>
    <row r="466" spans="1:9" ht="27.6">
      <c r="A466" s="108" t="s">
        <v>15075</v>
      </c>
      <c r="B466" s="108" t="s">
        <v>15170</v>
      </c>
      <c r="C466" s="109">
        <v>45715</v>
      </c>
      <c r="D466" s="108"/>
      <c r="E466" s="108" t="s">
        <v>14605</v>
      </c>
      <c r="F466" s="108" t="s">
        <v>14972</v>
      </c>
      <c r="G466" s="110"/>
      <c r="H466" s="108"/>
      <c r="I466" s="108"/>
    </row>
    <row r="467" spans="1:9" ht="27.6">
      <c r="A467" s="108" t="s">
        <v>15075</v>
      </c>
      <c r="B467" s="108" t="s">
        <v>15171</v>
      </c>
      <c r="C467" s="109">
        <v>45803</v>
      </c>
      <c r="D467" s="108"/>
      <c r="E467" s="108" t="s">
        <v>14605</v>
      </c>
      <c r="F467" s="108" t="s">
        <v>15172</v>
      </c>
      <c r="G467" s="110"/>
      <c r="H467" s="108"/>
      <c r="I467" s="108"/>
    </row>
    <row r="468" spans="1:9" ht="27.6">
      <c r="A468" s="108" t="s">
        <v>15075</v>
      </c>
      <c r="B468" s="108" t="s">
        <v>15173</v>
      </c>
      <c r="C468" s="109">
        <v>45750</v>
      </c>
      <c r="D468" s="108"/>
      <c r="E468" s="108" t="s">
        <v>14605</v>
      </c>
      <c r="F468" s="108" t="s">
        <v>14609</v>
      </c>
      <c r="G468" s="110"/>
      <c r="H468" s="108"/>
      <c r="I468" s="108"/>
    </row>
    <row r="469" spans="1:9" ht="27.6">
      <c r="A469" s="108" t="s">
        <v>15075</v>
      </c>
      <c r="B469" s="108" t="s">
        <v>15174</v>
      </c>
      <c r="C469" s="109">
        <v>45943</v>
      </c>
      <c r="D469" s="108"/>
      <c r="E469" s="108" t="s">
        <v>14605</v>
      </c>
      <c r="F469" s="108" t="s">
        <v>15175</v>
      </c>
      <c r="G469" s="110"/>
      <c r="H469" s="108"/>
      <c r="I469" s="108"/>
    </row>
    <row r="470" spans="1:9" ht="27.6">
      <c r="A470" s="108" t="s">
        <v>15075</v>
      </c>
      <c r="B470" s="108" t="s">
        <v>15176</v>
      </c>
      <c r="C470" s="109">
        <v>45706</v>
      </c>
      <c r="D470" s="108"/>
      <c r="E470" s="108" t="s">
        <v>14605</v>
      </c>
      <c r="F470" s="108" t="s">
        <v>1823</v>
      </c>
      <c r="G470" s="110"/>
      <c r="H470" s="108"/>
      <c r="I470" s="108"/>
    </row>
    <row r="471" spans="1:9" ht="27.6">
      <c r="A471" s="108" t="s">
        <v>15075</v>
      </c>
      <c r="B471" s="108" t="s">
        <v>15177</v>
      </c>
      <c r="C471" s="109">
        <v>45868</v>
      </c>
      <c r="D471" s="108"/>
      <c r="E471" s="108" t="s">
        <v>14605</v>
      </c>
      <c r="F471" s="108" t="s">
        <v>1615</v>
      </c>
      <c r="G471" s="110"/>
      <c r="H471" s="108"/>
      <c r="I471" s="108"/>
    </row>
    <row r="472" spans="1:9" ht="27.6">
      <c r="A472" s="108" t="s">
        <v>15075</v>
      </c>
      <c r="B472" s="108" t="s">
        <v>15178</v>
      </c>
      <c r="C472" s="109">
        <v>45819</v>
      </c>
      <c r="D472" s="108"/>
      <c r="E472" s="108" t="s">
        <v>14605</v>
      </c>
      <c r="F472" s="108" t="s">
        <v>1307</v>
      </c>
      <c r="G472" s="110"/>
      <c r="H472" s="108"/>
      <c r="I472" s="108"/>
    </row>
    <row r="473" spans="1:9" ht="27.6">
      <c r="A473" s="108" t="s">
        <v>15075</v>
      </c>
      <c r="B473" s="108" t="s">
        <v>15179</v>
      </c>
      <c r="C473" s="109">
        <v>45735</v>
      </c>
      <c r="D473" s="108"/>
      <c r="E473" s="108" t="s">
        <v>14605</v>
      </c>
      <c r="F473" s="108" t="s">
        <v>3210</v>
      </c>
      <c r="G473" s="110"/>
      <c r="H473" s="108"/>
      <c r="I473" s="108"/>
    </row>
    <row r="474" spans="1:9" ht="27.6">
      <c r="A474" s="108" t="s">
        <v>15075</v>
      </c>
      <c r="B474" s="108" t="s">
        <v>15180</v>
      </c>
      <c r="C474" s="109">
        <v>45748</v>
      </c>
      <c r="D474" s="108"/>
      <c r="E474" s="108" t="s">
        <v>14605</v>
      </c>
      <c r="F474" s="108" t="s">
        <v>1615</v>
      </c>
      <c r="G474" s="110"/>
      <c r="H474" s="108"/>
      <c r="I474" s="108"/>
    </row>
    <row r="475" spans="1:9" ht="27.6">
      <c r="A475" s="108" t="s">
        <v>15075</v>
      </c>
      <c r="B475" s="108" t="s">
        <v>15181</v>
      </c>
      <c r="C475" s="109">
        <v>45888</v>
      </c>
      <c r="D475" s="108"/>
      <c r="E475" s="108" t="s">
        <v>14605</v>
      </c>
      <c r="F475" s="108" t="s">
        <v>1577</v>
      </c>
      <c r="G475" s="110"/>
      <c r="H475" s="108"/>
      <c r="I475" s="108"/>
    </row>
    <row r="476" spans="1:9" ht="27.6">
      <c r="A476" s="108" t="s">
        <v>15075</v>
      </c>
      <c r="B476" s="108" t="s">
        <v>15182</v>
      </c>
      <c r="C476" s="109">
        <v>45911</v>
      </c>
      <c r="D476" s="108"/>
      <c r="E476" s="108" t="s">
        <v>14605</v>
      </c>
      <c r="F476" s="108" t="s">
        <v>2245</v>
      </c>
      <c r="G476" s="110"/>
      <c r="H476" s="108"/>
      <c r="I476" s="108"/>
    </row>
    <row r="477" spans="1:9" ht="27.6">
      <c r="A477" s="108" t="s">
        <v>15075</v>
      </c>
      <c r="B477" s="108" t="s">
        <v>15183</v>
      </c>
      <c r="C477" s="109">
        <v>45743</v>
      </c>
      <c r="D477" s="108"/>
      <c r="E477" s="108" t="s">
        <v>14605</v>
      </c>
      <c r="F477" s="108" t="s">
        <v>15184</v>
      </c>
      <c r="G477" s="110"/>
      <c r="H477" s="108"/>
      <c r="I477" s="108"/>
    </row>
    <row r="478" spans="1:9" ht="27.6">
      <c r="A478" s="108" t="s">
        <v>15075</v>
      </c>
      <c r="B478" s="108" t="s">
        <v>15185</v>
      </c>
      <c r="C478" s="109">
        <v>45742</v>
      </c>
      <c r="D478" s="108"/>
      <c r="E478" s="108" t="s">
        <v>14605</v>
      </c>
      <c r="F478" s="108" t="s">
        <v>1952</v>
      </c>
      <c r="G478" s="110"/>
      <c r="H478" s="108"/>
      <c r="I478" s="108"/>
    </row>
    <row r="479" spans="1:9" ht="27.6">
      <c r="A479" s="108" t="s">
        <v>15075</v>
      </c>
      <c r="B479" s="108" t="s">
        <v>15186</v>
      </c>
      <c r="C479" s="109">
        <v>45909</v>
      </c>
      <c r="D479" s="108"/>
      <c r="E479" s="108" t="s">
        <v>14605</v>
      </c>
      <c r="F479" s="108" t="s">
        <v>845</v>
      </c>
      <c r="G479" s="110"/>
      <c r="H479" s="108"/>
      <c r="I479" s="108"/>
    </row>
    <row r="480" spans="1:9" ht="27.6">
      <c r="A480" s="108" t="s">
        <v>15075</v>
      </c>
      <c r="B480" s="108" t="s">
        <v>15187</v>
      </c>
      <c r="C480" s="109">
        <v>45911</v>
      </c>
      <c r="D480" s="108"/>
      <c r="E480" s="108" t="s">
        <v>14605</v>
      </c>
      <c r="F480" s="108" t="s">
        <v>845</v>
      </c>
      <c r="G480" s="110"/>
      <c r="H480" s="108"/>
      <c r="I480" s="108"/>
    </row>
    <row r="481" spans="1:9" ht="27.6">
      <c r="A481" s="108" t="s">
        <v>15075</v>
      </c>
      <c r="B481" s="108" t="s">
        <v>15188</v>
      </c>
      <c r="C481" s="109">
        <v>45765</v>
      </c>
      <c r="D481" s="108"/>
      <c r="E481" s="108" t="s">
        <v>14605</v>
      </c>
      <c r="F481" s="108" t="s">
        <v>4164</v>
      </c>
      <c r="G481" s="110"/>
      <c r="H481" s="108"/>
      <c r="I481" s="108"/>
    </row>
    <row r="482" spans="1:9" ht="27.6">
      <c r="A482" s="108" t="s">
        <v>15075</v>
      </c>
      <c r="B482" s="108" t="s">
        <v>15189</v>
      </c>
      <c r="C482" s="109">
        <v>45765</v>
      </c>
      <c r="D482" s="108"/>
      <c r="E482" s="108" t="s">
        <v>14605</v>
      </c>
      <c r="F482" s="108" t="s">
        <v>4164</v>
      </c>
      <c r="G482" s="110"/>
      <c r="H482" s="108"/>
      <c r="I482" s="108"/>
    </row>
    <row r="483" spans="1:9" ht="27.6">
      <c r="A483" s="108" t="s">
        <v>15075</v>
      </c>
      <c r="B483" s="108" t="s">
        <v>15190</v>
      </c>
      <c r="C483" s="109">
        <v>45758</v>
      </c>
      <c r="D483" s="108"/>
      <c r="E483" s="108" t="s">
        <v>14605</v>
      </c>
      <c r="F483" s="108" t="s">
        <v>634</v>
      </c>
      <c r="G483" s="110"/>
      <c r="H483" s="108"/>
      <c r="I483" s="108"/>
    </row>
    <row r="484" spans="1:9" ht="27.6">
      <c r="A484" s="108" t="s">
        <v>15075</v>
      </c>
      <c r="B484" s="108" t="s">
        <v>15191</v>
      </c>
      <c r="C484" s="109">
        <v>45758</v>
      </c>
      <c r="D484" s="108"/>
      <c r="E484" s="108" t="s">
        <v>14605</v>
      </c>
      <c r="F484" s="108" t="s">
        <v>1519</v>
      </c>
      <c r="G484" s="110"/>
      <c r="H484" s="108"/>
      <c r="I484" s="108"/>
    </row>
    <row r="485" spans="1:9" ht="27.6">
      <c r="A485" s="108" t="s">
        <v>15075</v>
      </c>
      <c r="B485" s="108" t="s">
        <v>15192</v>
      </c>
      <c r="C485" s="109">
        <v>45856</v>
      </c>
      <c r="D485" s="108"/>
      <c r="E485" s="108" t="s">
        <v>14605</v>
      </c>
      <c r="F485" s="108" t="s">
        <v>15193</v>
      </c>
      <c r="G485" s="110"/>
      <c r="H485" s="108"/>
      <c r="I485" s="108"/>
    </row>
    <row r="486" spans="1:9" ht="27.6">
      <c r="A486" s="108" t="s">
        <v>15075</v>
      </c>
      <c r="B486" s="108" t="s">
        <v>15194</v>
      </c>
      <c r="C486" s="109">
        <v>45788</v>
      </c>
      <c r="D486" s="108"/>
      <c r="E486" s="108" t="s">
        <v>14605</v>
      </c>
      <c r="F486" s="108" t="s">
        <v>15193</v>
      </c>
      <c r="G486" s="110"/>
      <c r="H486" s="108"/>
      <c r="I486" s="108"/>
    </row>
    <row r="487" spans="1:9" ht="27.6">
      <c r="A487" s="108" t="s">
        <v>15075</v>
      </c>
      <c r="B487" s="108" t="s">
        <v>15195</v>
      </c>
      <c r="C487" s="109">
        <v>45772</v>
      </c>
      <c r="D487" s="108"/>
      <c r="E487" s="108" t="s">
        <v>14605</v>
      </c>
      <c r="F487" s="108" t="s">
        <v>4115</v>
      </c>
      <c r="G487" s="110"/>
      <c r="H487" s="108"/>
      <c r="I487" s="108"/>
    </row>
    <row r="488" spans="1:9" ht="27.6">
      <c r="A488" s="108" t="s">
        <v>15075</v>
      </c>
      <c r="B488" s="108" t="s">
        <v>15196</v>
      </c>
      <c r="C488" s="109">
        <v>45895</v>
      </c>
      <c r="D488" s="108"/>
      <c r="E488" s="108" t="s">
        <v>14605</v>
      </c>
      <c r="F488" s="108" t="s">
        <v>15197</v>
      </c>
      <c r="G488" s="110"/>
      <c r="H488" s="108"/>
      <c r="I488" s="108"/>
    </row>
    <row r="489" spans="1:9" ht="27.6">
      <c r="A489" s="108" t="s">
        <v>15075</v>
      </c>
      <c r="B489" s="108" t="s">
        <v>15198</v>
      </c>
      <c r="C489" s="109">
        <v>45798</v>
      </c>
      <c r="D489" s="108"/>
      <c r="E489" s="108" t="s">
        <v>14605</v>
      </c>
      <c r="F489" s="108" t="s">
        <v>15199</v>
      </c>
      <c r="G489" s="110"/>
      <c r="H489" s="108"/>
      <c r="I489" s="108"/>
    </row>
    <row r="490" spans="1:9" ht="27.6">
      <c r="A490" s="108" t="s">
        <v>15075</v>
      </c>
      <c r="B490" s="108" t="s">
        <v>15200</v>
      </c>
      <c r="C490" s="109">
        <v>45813</v>
      </c>
      <c r="D490" s="108"/>
      <c r="E490" s="108" t="s">
        <v>14605</v>
      </c>
      <c r="F490" s="108" t="s">
        <v>15201</v>
      </c>
      <c r="G490" s="110"/>
      <c r="H490" s="108"/>
      <c r="I490" s="108"/>
    </row>
    <row r="491" spans="1:9" ht="27.6">
      <c r="A491" s="108" t="s">
        <v>15075</v>
      </c>
      <c r="B491" s="108" t="s">
        <v>15202</v>
      </c>
      <c r="C491" s="109">
        <v>45838</v>
      </c>
      <c r="D491" s="108"/>
      <c r="E491" s="108" t="s">
        <v>14605</v>
      </c>
      <c r="F491" s="108" t="s">
        <v>15203</v>
      </c>
      <c r="G491" s="110"/>
      <c r="H491" s="108"/>
      <c r="I491" s="108"/>
    </row>
    <row r="492" spans="1:9" ht="27.6">
      <c r="A492" s="108" t="s">
        <v>15075</v>
      </c>
      <c r="B492" s="108" t="s">
        <v>15204</v>
      </c>
      <c r="C492" s="109">
        <v>45878</v>
      </c>
      <c r="D492" s="108"/>
      <c r="E492" s="108" t="s">
        <v>14605</v>
      </c>
      <c r="F492" s="108" t="s">
        <v>15205</v>
      </c>
      <c r="G492" s="110"/>
      <c r="H492" s="108"/>
      <c r="I492" s="108"/>
    </row>
    <row r="493" spans="1:9" ht="27.6">
      <c r="A493" s="108" t="s">
        <v>15075</v>
      </c>
      <c r="B493" s="108" t="s">
        <v>15206</v>
      </c>
      <c r="C493" s="109">
        <v>45847</v>
      </c>
      <c r="D493" s="108"/>
      <c r="E493" s="108" t="s">
        <v>14605</v>
      </c>
      <c r="F493" s="108" t="s">
        <v>15207</v>
      </c>
      <c r="G493" s="110"/>
      <c r="H493" s="108"/>
      <c r="I493" s="108"/>
    </row>
    <row r="494" spans="1:9" ht="27.6">
      <c r="A494" s="108" t="s">
        <v>15075</v>
      </c>
      <c r="B494" s="108" t="s">
        <v>15208</v>
      </c>
      <c r="C494" s="109">
        <v>45712</v>
      </c>
      <c r="D494" s="108"/>
      <c r="E494" s="108" t="s">
        <v>14605</v>
      </c>
      <c r="F494" s="108" t="s">
        <v>15097</v>
      </c>
      <c r="G494" s="110"/>
      <c r="H494" s="108"/>
      <c r="I494" s="108"/>
    </row>
    <row r="495" spans="1:9" ht="27.6">
      <c r="A495" s="108" t="s">
        <v>15075</v>
      </c>
      <c r="B495" s="108" t="s">
        <v>15209</v>
      </c>
      <c r="C495" s="109">
        <v>45806</v>
      </c>
      <c r="D495" s="108"/>
      <c r="E495" s="108" t="s">
        <v>14605</v>
      </c>
      <c r="F495" s="108" t="s">
        <v>3727</v>
      </c>
      <c r="G495" s="110"/>
      <c r="H495" s="108"/>
      <c r="I495" s="108"/>
    </row>
    <row r="496" spans="1:9" ht="27.6">
      <c r="A496" s="108" t="s">
        <v>15075</v>
      </c>
      <c r="B496" s="108" t="s">
        <v>15210</v>
      </c>
      <c r="C496" s="109">
        <v>46056</v>
      </c>
      <c r="D496" s="108"/>
      <c r="E496" s="108" t="s">
        <v>14605</v>
      </c>
      <c r="F496" s="108" t="s">
        <v>2418</v>
      </c>
      <c r="G496" s="110"/>
      <c r="H496" s="108"/>
      <c r="I496" s="108"/>
    </row>
    <row r="497" spans="1:9" ht="27.6">
      <c r="A497" s="108" t="s">
        <v>15075</v>
      </c>
      <c r="B497" s="108" t="s">
        <v>15211</v>
      </c>
      <c r="C497" s="109">
        <v>45748</v>
      </c>
      <c r="D497" s="108"/>
      <c r="E497" s="108" t="s">
        <v>14605</v>
      </c>
      <c r="F497" s="108" t="s">
        <v>1894</v>
      </c>
      <c r="G497" s="110"/>
      <c r="H497" s="108"/>
      <c r="I497" s="108"/>
    </row>
    <row r="498" spans="1:9" ht="27.6">
      <c r="A498" s="108" t="s">
        <v>15075</v>
      </c>
      <c r="B498" s="108" t="s">
        <v>15212</v>
      </c>
      <c r="C498" s="109">
        <v>45764</v>
      </c>
      <c r="D498" s="108"/>
      <c r="E498" s="108" t="s">
        <v>14605</v>
      </c>
      <c r="F498" s="108" t="s">
        <v>4258</v>
      </c>
      <c r="G498" s="110"/>
      <c r="H498" s="108"/>
      <c r="I498" s="108"/>
    </row>
    <row r="499" spans="1:9" ht="27.6">
      <c r="A499" s="108" t="s">
        <v>15075</v>
      </c>
      <c r="B499" s="108" t="s">
        <v>15213</v>
      </c>
      <c r="C499" s="109">
        <v>45749</v>
      </c>
      <c r="D499" s="108"/>
      <c r="E499" s="108" t="s">
        <v>14605</v>
      </c>
      <c r="F499" s="108" t="s">
        <v>4195</v>
      </c>
      <c r="G499" s="110"/>
      <c r="H499" s="108"/>
      <c r="I499" s="108"/>
    </row>
    <row r="500" spans="1:9" ht="27.6">
      <c r="A500" s="108" t="s">
        <v>15075</v>
      </c>
      <c r="B500" s="108" t="s">
        <v>15214</v>
      </c>
      <c r="C500" s="109">
        <v>45916</v>
      </c>
      <c r="D500" s="108"/>
      <c r="E500" s="108" t="s">
        <v>14605</v>
      </c>
      <c r="F500" s="108" t="s">
        <v>4702</v>
      </c>
      <c r="G500" s="110"/>
      <c r="H500" s="108"/>
      <c r="I500" s="108"/>
    </row>
    <row r="501" spans="1:9" ht="27.6">
      <c r="A501" s="108" t="s">
        <v>15075</v>
      </c>
      <c r="B501" s="108" t="s">
        <v>15215</v>
      </c>
      <c r="C501" s="109">
        <v>45916</v>
      </c>
      <c r="D501" s="108"/>
      <c r="E501" s="108" t="s">
        <v>14605</v>
      </c>
      <c r="F501" s="108" t="s">
        <v>4702</v>
      </c>
      <c r="G501" s="110"/>
      <c r="H501" s="108"/>
      <c r="I501" s="108"/>
    </row>
    <row r="502" spans="1:9" ht="27.6">
      <c r="A502" s="108" t="s">
        <v>15075</v>
      </c>
      <c r="B502" s="108" t="s">
        <v>15216</v>
      </c>
      <c r="C502" s="109">
        <v>46124</v>
      </c>
      <c r="D502" s="108"/>
      <c r="E502" s="108" t="s">
        <v>14605</v>
      </c>
      <c r="F502" s="108" t="s">
        <v>1066</v>
      </c>
      <c r="G502" s="110"/>
      <c r="H502" s="108"/>
      <c r="I502" s="108"/>
    </row>
    <row r="503" spans="1:9" ht="27.6">
      <c r="A503" s="108" t="s">
        <v>15075</v>
      </c>
      <c r="B503" s="108" t="s">
        <v>15217</v>
      </c>
      <c r="C503" s="109">
        <v>45819</v>
      </c>
      <c r="D503" s="108"/>
      <c r="E503" s="108" t="s">
        <v>14605</v>
      </c>
      <c r="F503" s="108" t="s">
        <v>2058</v>
      </c>
      <c r="G503" s="110"/>
      <c r="H503" s="108"/>
      <c r="I503" s="108"/>
    </row>
    <row r="504" spans="1:9" ht="27.6">
      <c r="A504" s="108" t="s">
        <v>15075</v>
      </c>
      <c r="B504" s="108" t="s">
        <v>15218</v>
      </c>
      <c r="C504" s="109">
        <v>45777</v>
      </c>
      <c r="D504" s="108"/>
      <c r="E504" s="108" t="s">
        <v>14605</v>
      </c>
      <c r="F504" s="108" t="s">
        <v>4510</v>
      </c>
      <c r="G504" s="110"/>
      <c r="H504" s="108"/>
      <c r="I504" s="108"/>
    </row>
    <row r="505" spans="1:9" ht="27.6">
      <c r="A505" s="108" t="s">
        <v>15075</v>
      </c>
      <c r="B505" s="108" t="s">
        <v>15219</v>
      </c>
      <c r="C505" s="109">
        <v>45840</v>
      </c>
      <c r="D505" s="108"/>
      <c r="E505" s="108" t="s">
        <v>14605</v>
      </c>
      <c r="F505" s="108" t="s">
        <v>15220</v>
      </c>
      <c r="G505" s="110"/>
      <c r="H505" s="108"/>
      <c r="I505" s="108"/>
    </row>
    <row r="506" spans="1:9" ht="27.6">
      <c r="A506" s="108" t="s">
        <v>15075</v>
      </c>
      <c r="B506" s="108" t="s">
        <v>15221</v>
      </c>
      <c r="C506" s="109">
        <v>45826</v>
      </c>
      <c r="D506" s="108"/>
      <c r="E506" s="108" t="s">
        <v>14605</v>
      </c>
      <c r="F506" s="108" t="s">
        <v>15220</v>
      </c>
      <c r="G506" s="110"/>
      <c r="H506" s="108"/>
      <c r="I506" s="108"/>
    </row>
    <row r="507" spans="1:9" ht="27.6">
      <c r="A507" s="108" t="s">
        <v>15075</v>
      </c>
      <c r="B507" s="108" t="s">
        <v>15222</v>
      </c>
      <c r="C507" s="109">
        <v>45748</v>
      </c>
      <c r="D507" s="108"/>
      <c r="E507" s="108" t="s">
        <v>14605</v>
      </c>
      <c r="F507" s="108" t="s">
        <v>15223</v>
      </c>
      <c r="G507" s="110"/>
      <c r="H507" s="108"/>
      <c r="I507" s="108"/>
    </row>
    <row r="508" spans="1:9" ht="27.6">
      <c r="A508" s="108" t="s">
        <v>15075</v>
      </c>
      <c r="B508" s="108" t="s">
        <v>15224</v>
      </c>
      <c r="C508" s="109">
        <v>45749</v>
      </c>
      <c r="D508" s="108"/>
      <c r="E508" s="108" t="s">
        <v>14605</v>
      </c>
      <c r="F508" s="108" t="s">
        <v>15225</v>
      </c>
      <c r="G508" s="110"/>
      <c r="H508" s="108"/>
      <c r="I508" s="108"/>
    </row>
    <row r="509" spans="1:9" ht="27.6">
      <c r="A509" s="108" t="s">
        <v>15075</v>
      </c>
      <c r="B509" s="108" t="s">
        <v>15226</v>
      </c>
      <c r="C509" s="109">
        <v>45755</v>
      </c>
      <c r="D509" s="108"/>
      <c r="E509" s="108" t="s">
        <v>14605</v>
      </c>
      <c r="F509" s="108" t="s">
        <v>15227</v>
      </c>
      <c r="G509" s="110"/>
      <c r="H509" s="108"/>
      <c r="I509" s="108"/>
    </row>
    <row r="510" spans="1:9" ht="27.6">
      <c r="A510" s="108" t="s">
        <v>15075</v>
      </c>
      <c r="B510" s="108" t="s">
        <v>15228</v>
      </c>
      <c r="C510" s="109">
        <v>45777</v>
      </c>
      <c r="D510" s="108"/>
      <c r="E510" s="108" t="s">
        <v>14605</v>
      </c>
      <c r="F510" s="108" t="s">
        <v>4510</v>
      </c>
      <c r="G510" s="110"/>
      <c r="H510" s="108"/>
      <c r="I510" s="108"/>
    </row>
    <row r="511" spans="1:9" ht="27.6">
      <c r="A511" s="108" t="s">
        <v>15075</v>
      </c>
      <c r="B511" s="108" t="s">
        <v>15229</v>
      </c>
      <c r="C511" s="109">
        <v>45804</v>
      </c>
      <c r="D511" s="108"/>
      <c r="E511" s="108" t="s">
        <v>14605</v>
      </c>
      <c r="F511" s="108" t="s">
        <v>1179</v>
      </c>
      <c r="G511" s="110"/>
      <c r="H511" s="108"/>
      <c r="I511" s="108"/>
    </row>
    <row r="512" spans="1:9" ht="27.6">
      <c r="A512" s="108" t="s">
        <v>15075</v>
      </c>
      <c r="B512" s="108" t="s">
        <v>15230</v>
      </c>
      <c r="C512" s="109">
        <v>45839</v>
      </c>
      <c r="D512" s="108"/>
      <c r="E512" s="108" t="s">
        <v>14605</v>
      </c>
      <c r="F512" s="108" t="s">
        <v>15231</v>
      </c>
      <c r="G512" s="110"/>
      <c r="H512" s="108"/>
      <c r="I512" s="108"/>
    </row>
    <row r="513" spans="1:9" ht="27.6">
      <c r="A513" s="108" t="s">
        <v>15075</v>
      </c>
      <c r="B513" s="108" t="s">
        <v>15232</v>
      </c>
      <c r="C513" s="109">
        <v>45840</v>
      </c>
      <c r="D513" s="108"/>
      <c r="E513" s="108" t="s">
        <v>14605</v>
      </c>
      <c r="F513" s="108" t="s">
        <v>1606</v>
      </c>
      <c r="G513" s="110"/>
      <c r="H513" s="108"/>
      <c r="I513" s="108"/>
    </row>
    <row r="514" spans="1:9" ht="27.6">
      <c r="A514" s="108" t="s">
        <v>15075</v>
      </c>
      <c r="B514" s="108" t="s">
        <v>15233</v>
      </c>
      <c r="C514" s="109">
        <v>45840</v>
      </c>
      <c r="D514" s="108"/>
      <c r="E514" s="108" t="s">
        <v>14605</v>
      </c>
      <c r="F514" s="108" t="s">
        <v>1606</v>
      </c>
      <c r="G514" s="110"/>
      <c r="H514" s="108"/>
      <c r="I514" s="108"/>
    </row>
    <row r="515" spans="1:9" ht="27.6">
      <c r="A515" s="108" t="s">
        <v>15075</v>
      </c>
      <c r="B515" s="108" t="s">
        <v>15234</v>
      </c>
      <c r="C515" s="109">
        <v>45819</v>
      </c>
      <c r="D515" s="108"/>
      <c r="E515" s="108" t="s">
        <v>14605</v>
      </c>
      <c r="F515" s="108" t="s">
        <v>3975</v>
      </c>
      <c r="G515" s="110"/>
      <c r="H515" s="108"/>
      <c r="I515" s="108"/>
    </row>
    <row r="516" spans="1:9" ht="27.6">
      <c r="A516" s="108" t="s">
        <v>15075</v>
      </c>
      <c r="B516" s="108" t="s">
        <v>15235</v>
      </c>
      <c r="C516" s="109">
        <v>45838</v>
      </c>
      <c r="D516" s="108"/>
      <c r="E516" s="108" t="s">
        <v>14605</v>
      </c>
      <c r="F516" s="108" t="s">
        <v>220</v>
      </c>
      <c r="G516" s="110"/>
      <c r="H516" s="108"/>
      <c r="I516" s="108"/>
    </row>
    <row r="517" spans="1:9" ht="27.6">
      <c r="A517" s="108" t="s">
        <v>15075</v>
      </c>
      <c r="B517" s="108" t="s">
        <v>15236</v>
      </c>
      <c r="C517" s="109">
        <v>45884</v>
      </c>
      <c r="D517" s="108"/>
      <c r="E517" s="108" t="s">
        <v>14605</v>
      </c>
      <c r="F517" s="108" t="s">
        <v>3333</v>
      </c>
      <c r="G517" s="110"/>
      <c r="H517" s="108"/>
      <c r="I517" s="108"/>
    </row>
    <row r="518" spans="1:9" ht="27.6">
      <c r="A518" s="108" t="s">
        <v>15075</v>
      </c>
      <c r="B518" s="108" t="s">
        <v>15237</v>
      </c>
      <c r="C518" s="109">
        <v>45901</v>
      </c>
      <c r="D518" s="108"/>
      <c r="E518" s="108" t="s">
        <v>14605</v>
      </c>
      <c r="F518" s="108" t="s">
        <v>3333</v>
      </c>
      <c r="G518" s="110"/>
      <c r="H518" s="108"/>
      <c r="I518" s="108"/>
    </row>
    <row r="519" spans="1:9" ht="27.6">
      <c r="A519" s="108" t="s">
        <v>15075</v>
      </c>
      <c r="B519" s="108" t="s">
        <v>15238</v>
      </c>
      <c r="C519" s="109">
        <v>45812</v>
      </c>
      <c r="D519" s="108"/>
      <c r="E519" s="108" t="s">
        <v>14605</v>
      </c>
      <c r="F519" s="108" t="s">
        <v>187</v>
      </c>
      <c r="G519" s="110"/>
      <c r="H519" s="108"/>
      <c r="I519" s="108"/>
    </row>
    <row r="520" spans="1:9" ht="27.6">
      <c r="A520" s="108" t="s">
        <v>15075</v>
      </c>
      <c r="B520" s="108" t="s">
        <v>15239</v>
      </c>
      <c r="C520" s="109">
        <v>45808</v>
      </c>
      <c r="D520" s="108"/>
      <c r="E520" s="108" t="s">
        <v>14605</v>
      </c>
      <c r="F520" s="108" t="s">
        <v>1615</v>
      </c>
      <c r="G520" s="110"/>
      <c r="H520" s="108"/>
      <c r="I520" s="108"/>
    </row>
    <row r="521" spans="1:9" ht="27.6">
      <c r="A521" s="108" t="s">
        <v>15075</v>
      </c>
      <c r="B521" s="108" t="s">
        <v>15240</v>
      </c>
      <c r="C521" s="109">
        <v>45824</v>
      </c>
      <c r="D521" s="108"/>
      <c r="E521" s="108" t="s">
        <v>14605</v>
      </c>
      <c r="F521" s="108" t="s">
        <v>111</v>
      </c>
      <c r="G521" s="110"/>
      <c r="H521" s="108"/>
      <c r="I521" s="108"/>
    </row>
    <row r="522" spans="1:9" ht="27.6">
      <c r="A522" s="108" t="s">
        <v>15075</v>
      </c>
      <c r="B522" s="108" t="s">
        <v>15241</v>
      </c>
      <c r="C522" s="109">
        <v>45879</v>
      </c>
      <c r="D522" s="108"/>
      <c r="E522" s="108" t="s">
        <v>14605</v>
      </c>
      <c r="F522" s="108" t="s">
        <v>14764</v>
      </c>
      <c r="G522" s="110"/>
      <c r="H522" s="108"/>
      <c r="I522" s="108"/>
    </row>
    <row r="523" spans="1:9" ht="27.6">
      <c r="A523" s="108" t="s">
        <v>15075</v>
      </c>
      <c r="B523" s="108" t="s">
        <v>15242</v>
      </c>
      <c r="C523" s="109">
        <v>46098</v>
      </c>
      <c r="D523" s="108"/>
      <c r="E523" s="108" t="s">
        <v>14605</v>
      </c>
      <c r="F523" s="108" t="s">
        <v>15243</v>
      </c>
      <c r="G523" s="110"/>
      <c r="H523" s="108"/>
      <c r="I523" s="108"/>
    </row>
    <row r="524" spans="1:9" ht="27.6">
      <c r="A524" s="108" t="s">
        <v>15075</v>
      </c>
      <c r="B524" s="108" t="s">
        <v>15244</v>
      </c>
      <c r="C524" s="109">
        <v>45901</v>
      </c>
      <c r="D524" s="108"/>
      <c r="E524" s="108" t="s">
        <v>14605</v>
      </c>
      <c r="F524" s="108" t="s">
        <v>3333</v>
      </c>
      <c r="G524" s="110"/>
      <c r="H524" s="108"/>
      <c r="I524" s="108"/>
    </row>
    <row r="525" spans="1:9" ht="27.6">
      <c r="A525" s="108" t="s">
        <v>15075</v>
      </c>
      <c r="B525" s="108" t="s">
        <v>15245</v>
      </c>
      <c r="C525" s="109">
        <v>46007</v>
      </c>
      <c r="D525" s="108"/>
      <c r="E525" s="108" t="s">
        <v>14605</v>
      </c>
      <c r="F525" s="108" t="s">
        <v>15246</v>
      </c>
      <c r="G525" s="110"/>
      <c r="H525" s="108"/>
      <c r="I525" s="108"/>
    </row>
    <row r="526" spans="1:9" ht="27.6">
      <c r="A526" s="108" t="s">
        <v>15075</v>
      </c>
      <c r="B526" s="108" t="s">
        <v>15247</v>
      </c>
      <c r="C526" s="109">
        <v>46054</v>
      </c>
      <c r="D526" s="108"/>
      <c r="E526" s="108" t="s">
        <v>14605</v>
      </c>
      <c r="F526" s="108" t="s">
        <v>15248</v>
      </c>
      <c r="G526" s="110"/>
      <c r="H526" s="108"/>
      <c r="I526" s="108"/>
    </row>
    <row r="527" spans="1:9" ht="27.6">
      <c r="A527" s="108" t="s">
        <v>15075</v>
      </c>
      <c r="B527" s="108" t="s">
        <v>15249</v>
      </c>
      <c r="C527" s="109">
        <v>45881</v>
      </c>
      <c r="D527" s="108"/>
      <c r="E527" s="108" t="s">
        <v>14605</v>
      </c>
      <c r="F527" s="108" t="s">
        <v>4546</v>
      </c>
      <c r="G527" s="110"/>
      <c r="H527" s="108"/>
      <c r="I527" s="108"/>
    </row>
    <row r="528" spans="1:9" ht="27.6">
      <c r="A528" s="108" t="s">
        <v>15075</v>
      </c>
      <c r="B528" s="108" t="s">
        <v>15250</v>
      </c>
      <c r="C528" s="109">
        <v>45817</v>
      </c>
      <c r="D528" s="108"/>
      <c r="E528" s="108" t="s">
        <v>14605</v>
      </c>
      <c r="F528" s="108" t="s">
        <v>15251</v>
      </c>
      <c r="G528" s="110"/>
      <c r="H528" s="108"/>
      <c r="I528" s="108"/>
    </row>
    <row r="529" spans="1:9" ht="27.6">
      <c r="A529" s="108" t="s">
        <v>15075</v>
      </c>
      <c r="B529" s="108" t="s">
        <v>15252</v>
      </c>
      <c r="C529" s="109">
        <v>45807</v>
      </c>
      <c r="D529" s="108"/>
      <c r="E529" s="108" t="s">
        <v>14605</v>
      </c>
      <c r="F529" s="108" t="s">
        <v>3831</v>
      </c>
      <c r="G529" s="110"/>
      <c r="H529" s="108"/>
      <c r="I529" s="108"/>
    </row>
    <row r="530" spans="1:9" ht="27.6">
      <c r="A530" s="108" t="s">
        <v>15075</v>
      </c>
      <c r="B530" s="108" t="s">
        <v>15253</v>
      </c>
      <c r="C530" s="109">
        <v>45929</v>
      </c>
      <c r="D530" s="108"/>
      <c r="E530" s="108" t="s">
        <v>14605</v>
      </c>
      <c r="F530" s="108" t="s">
        <v>2516</v>
      </c>
      <c r="G530" s="110"/>
      <c r="H530" s="108"/>
      <c r="I530" s="108"/>
    </row>
    <row r="531" spans="1:9" ht="27.6">
      <c r="A531" s="108" t="s">
        <v>15075</v>
      </c>
      <c r="B531" s="108" t="s">
        <v>15254</v>
      </c>
      <c r="C531" s="109">
        <v>45890</v>
      </c>
      <c r="D531" s="108"/>
      <c r="E531" s="108" t="s">
        <v>14605</v>
      </c>
      <c r="F531" s="108" t="s">
        <v>15255</v>
      </c>
      <c r="G531" s="110"/>
      <c r="H531" s="108"/>
      <c r="I531" s="108"/>
    </row>
    <row r="532" spans="1:9" ht="27.6">
      <c r="A532" s="108" t="s">
        <v>15075</v>
      </c>
      <c r="B532" s="108" t="s">
        <v>15256</v>
      </c>
      <c r="C532" s="109">
        <v>46009</v>
      </c>
      <c r="D532" s="108"/>
      <c r="E532" s="108" t="s">
        <v>14605</v>
      </c>
      <c r="F532" s="108" t="s">
        <v>15257</v>
      </c>
      <c r="G532" s="110"/>
      <c r="H532" s="108"/>
      <c r="I532" s="108"/>
    </row>
    <row r="533" spans="1:9" ht="27.6">
      <c r="A533" s="108" t="s">
        <v>15075</v>
      </c>
      <c r="B533" s="108" t="s">
        <v>15258</v>
      </c>
      <c r="C533" s="109">
        <v>45945</v>
      </c>
      <c r="D533" s="108"/>
      <c r="E533" s="108" t="s">
        <v>14605</v>
      </c>
      <c r="F533" s="108" t="s">
        <v>15259</v>
      </c>
      <c r="G533" s="110"/>
      <c r="H533" s="108"/>
      <c r="I533" s="108"/>
    </row>
    <row r="534" spans="1:9" ht="27.6">
      <c r="A534" s="108" t="s">
        <v>15075</v>
      </c>
      <c r="B534" s="108" t="s">
        <v>15260</v>
      </c>
      <c r="C534" s="109">
        <v>45929</v>
      </c>
      <c r="D534" s="108"/>
      <c r="E534" s="108" t="s">
        <v>14605</v>
      </c>
      <c r="F534" s="108" t="s">
        <v>15261</v>
      </c>
      <c r="G534" s="110"/>
      <c r="H534" s="108"/>
      <c r="I534" s="108"/>
    </row>
    <row r="535" spans="1:9" ht="27.6">
      <c r="A535" s="108" t="s">
        <v>15075</v>
      </c>
      <c r="B535" s="108" t="s">
        <v>15262</v>
      </c>
      <c r="C535" s="109">
        <v>45999</v>
      </c>
      <c r="D535" s="108"/>
      <c r="E535" s="108" t="s">
        <v>14605</v>
      </c>
      <c r="F535" s="108" t="s">
        <v>15042</v>
      </c>
      <c r="G535" s="110"/>
      <c r="H535" s="108"/>
      <c r="I535" s="108"/>
    </row>
    <row r="536" spans="1:9" ht="27.6">
      <c r="A536" s="108" t="s">
        <v>15075</v>
      </c>
      <c r="B536" s="108" t="s">
        <v>15263</v>
      </c>
      <c r="C536" s="109">
        <v>45999</v>
      </c>
      <c r="D536" s="108"/>
      <c r="E536" s="108" t="s">
        <v>14605</v>
      </c>
      <c r="F536" s="108" t="s">
        <v>15042</v>
      </c>
      <c r="G536" s="110"/>
      <c r="H536" s="108"/>
      <c r="I536" s="108"/>
    </row>
    <row r="537" spans="1:9" ht="27.6">
      <c r="A537" s="108" t="s">
        <v>15075</v>
      </c>
      <c r="B537" s="108" t="s">
        <v>15264</v>
      </c>
      <c r="C537" s="109">
        <v>45891</v>
      </c>
      <c r="D537" s="108"/>
      <c r="E537" s="108" t="s">
        <v>14605</v>
      </c>
      <c r="F537" s="108" t="s">
        <v>15265</v>
      </c>
      <c r="G537" s="110"/>
      <c r="H537" s="108"/>
      <c r="I537" s="108"/>
    </row>
    <row r="538" spans="1:9" ht="27.6">
      <c r="A538" s="108" t="s">
        <v>15075</v>
      </c>
      <c r="B538" s="108" t="s">
        <v>15266</v>
      </c>
      <c r="C538" s="109">
        <v>45895</v>
      </c>
      <c r="D538" s="108"/>
      <c r="E538" s="108" t="s">
        <v>14605</v>
      </c>
      <c r="F538" s="108" t="s">
        <v>15267</v>
      </c>
      <c r="G538" s="110"/>
      <c r="H538" s="108"/>
      <c r="I538" s="108"/>
    </row>
    <row r="539" spans="1:9" ht="27.6">
      <c r="A539" s="108" t="s">
        <v>15075</v>
      </c>
      <c r="B539" s="108" t="s">
        <v>15268</v>
      </c>
      <c r="C539" s="109">
        <v>45819</v>
      </c>
      <c r="D539" s="108"/>
      <c r="E539" s="108" t="s">
        <v>14605</v>
      </c>
      <c r="F539" s="108" t="s">
        <v>15269</v>
      </c>
      <c r="G539" s="110"/>
      <c r="H539" s="108"/>
      <c r="I539" s="108"/>
    </row>
    <row r="540" spans="1:9" ht="27.6">
      <c r="A540" s="108" t="s">
        <v>15075</v>
      </c>
      <c r="B540" s="108" t="s">
        <v>15270</v>
      </c>
      <c r="C540" s="109">
        <v>46044</v>
      </c>
      <c r="D540" s="108"/>
      <c r="E540" s="108" t="s">
        <v>14605</v>
      </c>
      <c r="F540" s="108" t="s">
        <v>3033</v>
      </c>
      <c r="G540" s="110"/>
      <c r="H540" s="108"/>
      <c r="I540" s="108"/>
    </row>
    <row r="541" spans="1:9" ht="27.6">
      <c r="A541" s="108" t="s">
        <v>15075</v>
      </c>
      <c r="B541" s="108" t="s">
        <v>15271</v>
      </c>
      <c r="C541" s="109">
        <v>45867</v>
      </c>
      <c r="D541" s="108"/>
      <c r="E541" s="108" t="s">
        <v>14605</v>
      </c>
      <c r="F541" s="108" t="s">
        <v>4055</v>
      </c>
      <c r="G541" s="110"/>
      <c r="H541" s="108"/>
      <c r="I541" s="108"/>
    </row>
    <row r="542" spans="1:9" ht="27.6">
      <c r="A542" s="108" t="s">
        <v>15075</v>
      </c>
      <c r="B542" s="108" t="s">
        <v>15272</v>
      </c>
      <c r="C542" s="109">
        <v>45854</v>
      </c>
      <c r="D542" s="108"/>
      <c r="E542" s="108" t="s">
        <v>14605</v>
      </c>
      <c r="F542" s="108" t="s">
        <v>1615</v>
      </c>
      <c r="G542" s="110"/>
      <c r="H542" s="108"/>
      <c r="I542" s="108"/>
    </row>
    <row r="543" spans="1:9" ht="27.6">
      <c r="A543" s="108" t="s">
        <v>15075</v>
      </c>
      <c r="B543" s="108" t="s">
        <v>15273</v>
      </c>
      <c r="C543" s="109">
        <v>45867</v>
      </c>
      <c r="D543" s="108"/>
      <c r="E543" s="108" t="s">
        <v>14605</v>
      </c>
      <c r="F543" s="108" t="s">
        <v>292</v>
      </c>
      <c r="G543" s="110"/>
      <c r="H543" s="108"/>
      <c r="I543" s="108"/>
    </row>
    <row r="544" spans="1:9" ht="27.6">
      <c r="A544" s="108" t="s">
        <v>15075</v>
      </c>
      <c r="B544" s="108" t="s">
        <v>15274</v>
      </c>
      <c r="C544" s="109">
        <v>45875</v>
      </c>
      <c r="D544" s="108"/>
      <c r="E544" s="108" t="s">
        <v>15275</v>
      </c>
      <c r="F544" s="108" t="s">
        <v>15276</v>
      </c>
      <c r="G544" s="110"/>
      <c r="H544" s="108"/>
      <c r="I544" s="108"/>
    </row>
    <row r="545" spans="1:9" ht="27.6">
      <c r="A545" s="108" t="s">
        <v>15075</v>
      </c>
      <c r="B545" s="108" t="s">
        <v>15277</v>
      </c>
      <c r="C545" s="109">
        <v>45862</v>
      </c>
      <c r="D545" s="108"/>
      <c r="E545" s="108" t="s">
        <v>14605</v>
      </c>
      <c r="F545" s="108" t="s">
        <v>14649</v>
      </c>
      <c r="G545" s="110"/>
      <c r="H545" s="108"/>
      <c r="I545" s="108"/>
    </row>
    <row r="546" spans="1:9" ht="27.6">
      <c r="A546" s="108" t="s">
        <v>15075</v>
      </c>
      <c r="B546" s="108" t="s">
        <v>15278</v>
      </c>
      <c r="C546" s="109">
        <v>45868</v>
      </c>
      <c r="D546" s="108"/>
      <c r="E546" s="108" t="s">
        <v>14605</v>
      </c>
      <c r="F546" s="108" t="s">
        <v>15097</v>
      </c>
      <c r="G546" s="110"/>
      <c r="H546" s="108"/>
      <c r="I546" s="108"/>
    </row>
    <row r="547" spans="1:9" ht="27.6">
      <c r="A547" s="108" t="s">
        <v>15075</v>
      </c>
      <c r="B547" s="108" t="s">
        <v>15279</v>
      </c>
      <c r="C547" s="109">
        <v>45868</v>
      </c>
      <c r="D547" s="108"/>
      <c r="E547" s="108" t="s">
        <v>14605</v>
      </c>
      <c r="F547" s="108" t="s">
        <v>15280</v>
      </c>
      <c r="G547" s="110"/>
      <c r="H547" s="108"/>
      <c r="I547" s="108"/>
    </row>
    <row r="548" spans="1:9" ht="27.6">
      <c r="A548" s="108" t="s">
        <v>15075</v>
      </c>
      <c r="B548" s="108" t="s">
        <v>15281</v>
      </c>
      <c r="C548" s="109">
        <v>45867</v>
      </c>
      <c r="D548" s="108"/>
      <c r="E548" s="108" t="s">
        <v>14605</v>
      </c>
      <c r="F548" s="108" t="s">
        <v>1322</v>
      </c>
      <c r="G548" s="110"/>
      <c r="H548" s="108"/>
      <c r="I548" s="108"/>
    </row>
    <row r="549" spans="1:9" ht="27.6">
      <c r="A549" s="108" t="s">
        <v>15075</v>
      </c>
      <c r="B549" s="108" t="s">
        <v>15282</v>
      </c>
      <c r="C549" s="109">
        <v>45890</v>
      </c>
      <c r="D549" s="108"/>
      <c r="E549" s="108" t="s">
        <v>14605</v>
      </c>
      <c r="F549" s="108" t="s">
        <v>15255</v>
      </c>
      <c r="G549" s="110"/>
      <c r="H549" s="108"/>
      <c r="I549" s="108"/>
    </row>
    <row r="550" spans="1:9" ht="27.6">
      <c r="A550" s="108" t="s">
        <v>15075</v>
      </c>
      <c r="B550" s="108" t="s">
        <v>15283</v>
      </c>
      <c r="C550" s="109">
        <v>45874</v>
      </c>
      <c r="D550" s="108"/>
      <c r="E550" s="108" t="s">
        <v>14605</v>
      </c>
      <c r="F550" s="108" t="s">
        <v>15284</v>
      </c>
      <c r="G550" s="110"/>
      <c r="H550" s="108"/>
      <c r="I550" s="108"/>
    </row>
    <row r="551" spans="1:9" ht="27.6">
      <c r="A551" s="108" t="s">
        <v>15075</v>
      </c>
      <c r="B551" s="108" t="s">
        <v>15285</v>
      </c>
      <c r="C551" s="109">
        <v>45848</v>
      </c>
      <c r="D551" s="108"/>
      <c r="E551" s="108" t="s">
        <v>14605</v>
      </c>
      <c r="F551" s="108" t="s">
        <v>5145</v>
      </c>
      <c r="G551" s="110"/>
      <c r="H551" s="108"/>
      <c r="I551" s="108"/>
    </row>
    <row r="552" spans="1:9" ht="27.6">
      <c r="A552" s="108" t="s">
        <v>15075</v>
      </c>
      <c r="B552" s="108" t="s">
        <v>15286</v>
      </c>
      <c r="C552" s="109">
        <v>45897</v>
      </c>
      <c r="D552" s="108"/>
      <c r="E552" s="108" t="s">
        <v>14605</v>
      </c>
      <c r="F552" s="108" t="s">
        <v>15287</v>
      </c>
      <c r="G552" s="110"/>
      <c r="H552" s="108"/>
      <c r="I552" s="108"/>
    </row>
    <row r="553" spans="1:9" ht="27.6">
      <c r="A553" s="108" t="s">
        <v>15075</v>
      </c>
      <c r="B553" s="108" t="s">
        <v>15288</v>
      </c>
      <c r="C553" s="109">
        <v>45866</v>
      </c>
      <c r="D553" s="108"/>
      <c r="E553" s="108" t="s">
        <v>14605</v>
      </c>
      <c r="F553" s="108" t="s">
        <v>966</v>
      </c>
      <c r="G553" s="110"/>
      <c r="H553" s="108"/>
      <c r="I553" s="108"/>
    </row>
    <row r="554" spans="1:9" ht="27.6">
      <c r="A554" s="108" t="s">
        <v>15075</v>
      </c>
      <c r="B554" s="108" t="s">
        <v>15289</v>
      </c>
      <c r="C554" s="109">
        <v>45876</v>
      </c>
      <c r="D554" s="108"/>
      <c r="E554" s="108" t="s">
        <v>14605</v>
      </c>
      <c r="F554" s="108" t="s">
        <v>15290</v>
      </c>
      <c r="G554" s="110"/>
      <c r="H554" s="108"/>
      <c r="I554" s="108"/>
    </row>
    <row r="555" spans="1:9" ht="27.6">
      <c r="A555" s="108" t="s">
        <v>15075</v>
      </c>
      <c r="B555" s="108" t="s">
        <v>15291</v>
      </c>
      <c r="C555" s="109">
        <v>45881</v>
      </c>
      <c r="D555" s="108"/>
      <c r="E555" s="108" t="s">
        <v>14605</v>
      </c>
      <c r="F555" s="108" t="s">
        <v>4773</v>
      </c>
      <c r="G555" s="110"/>
      <c r="H555" s="108"/>
      <c r="I555" s="108"/>
    </row>
    <row r="556" spans="1:9" ht="27.6">
      <c r="A556" s="108" t="s">
        <v>15075</v>
      </c>
      <c r="B556" s="108" t="s">
        <v>15292</v>
      </c>
      <c r="C556" s="109">
        <v>45861</v>
      </c>
      <c r="D556" s="108"/>
      <c r="E556" s="108" t="s">
        <v>14605</v>
      </c>
      <c r="F556" s="108" t="s">
        <v>111</v>
      </c>
      <c r="G556" s="110"/>
      <c r="H556" s="108"/>
      <c r="I556" s="108"/>
    </row>
    <row r="557" spans="1:9" ht="27.6">
      <c r="A557" s="108" t="s">
        <v>15075</v>
      </c>
      <c r="B557" s="108" t="s">
        <v>15293</v>
      </c>
      <c r="C557" s="109">
        <v>46084</v>
      </c>
      <c r="D557" s="108"/>
      <c r="E557" s="108" t="s">
        <v>14605</v>
      </c>
      <c r="F557" s="108" t="s">
        <v>5272</v>
      </c>
      <c r="G557" s="110"/>
      <c r="H557" s="108"/>
      <c r="I557" s="108"/>
    </row>
    <row r="558" spans="1:9" ht="27.6">
      <c r="A558" s="108" t="s">
        <v>15075</v>
      </c>
      <c r="B558" s="108" t="s">
        <v>15294</v>
      </c>
      <c r="C558" s="109">
        <v>45853</v>
      </c>
      <c r="D558" s="108"/>
      <c r="E558" s="108" t="s">
        <v>14605</v>
      </c>
      <c r="F558" s="108" t="s">
        <v>15295</v>
      </c>
      <c r="G558" s="110"/>
      <c r="H558" s="108"/>
      <c r="I558" s="108"/>
    </row>
    <row r="559" spans="1:9" ht="27.6">
      <c r="A559" s="108" t="s">
        <v>15075</v>
      </c>
      <c r="B559" s="108" t="s">
        <v>15296</v>
      </c>
      <c r="C559" s="109">
        <v>45868</v>
      </c>
      <c r="D559" s="108"/>
      <c r="E559" s="108" t="s">
        <v>14605</v>
      </c>
      <c r="F559" s="108" t="s">
        <v>15297</v>
      </c>
      <c r="G559" s="110"/>
      <c r="H559" s="108"/>
      <c r="I559" s="108"/>
    </row>
    <row r="560" spans="1:9" ht="27.6">
      <c r="A560" s="108" t="s">
        <v>15075</v>
      </c>
      <c r="B560" s="108" t="s">
        <v>15298</v>
      </c>
      <c r="C560" s="109">
        <v>45927</v>
      </c>
      <c r="D560" s="108"/>
      <c r="E560" s="108" t="s">
        <v>14605</v>
      </c>
      <c r="F560" s="108" t="s">
        <v>15299</v>
      </c>
      <c r="G560" s="110"/>
      <c r="H560" s="108"/>
      <c r="I560" s="108"/>
    </row>
    <row r="561" spans="1:9" ht="27.6">
      <c r="A561" s="108" t="s">
        <v>15075</v>
      </c>
      <c r="B561" s="108" t="s">
        <v>15300</v>
      </c>
      <c r="C561" s="109">
        <v>45870</v>
      </c>
      <c r="D561" s="108"/>
      <c r="E561" s="108" t="s">
        <v>14605</v>
      </c>
      <c r="F561" s="108" t="s">
        <v>2160</v>
      </c>
      <c r="G561" s="110"/>
      <c r="H561" s="108"/>
      <c r="I561" s="108"/>
    </row>
    <row r="562" spans="1:9" ht="27.6">
      <c r="A562" s="108" t="s">
        <v>15075</v>
      </c>
      <c r="B562" s="108" t="s">
        <v>15301</v>
      </c>
      <c r="C562" s="109">
        <v>45870</v>
      </c>
      <c r="D562" s="108"/>
      <c r="E562" s="108" t="s">
        <v>14605</v>
      </c>
      <c r="F562" s="108" t="s">
        <v>2160</v>
      </c>
      <c r="G562" s="110"/>
      <c r="H562" s="108"/>
      <c r="I562" s="108"/>
    </row>
    <row r="563" spans="1:9" ht="27.6">
      <c r="A563" s="108" t="s">
        <v>15075</v>
      </c>
      <c r="B563" s="108" t="s">
        <v>15302</v>
      </c>
      <c r="C563" s="109">
        <v>45967</v>
      </c>
      <c r="D563" s="108"/>
      <c r="E563" s="108" t="s">
        <v>14605</v>
      </c>
      <c r="F563" s="108" t="s">
        <v>15303</v>
      </c>
      <c r="G563" s="110"/>
      <c r="H563" s="108"/>
      <c r="I563" s="108"/>
    </row>
    <row r="564" spans="1:9" ht="27.6">
      <c r="A564" s="108" t="s">
        <v>15075</v>
      </c>
      <c r="B564" s="108" t="s">
        <v>15304</v>
      </c>
      <c r="C564" s="109">
        <v>45929</v>
      </c>
      <c r="D564" s="108"/>
      <c r="E564" s="108" t="s">
        <v>14605</v>
      </c>
      <c r="F564" s="108" t="s">
        <v>4242</v>
      </c>
      <c r="G564" s="110"/>
      <c r="H564" s="108"/>
      <c r="I564" s="108"/>
    </row>
    <row r="565" spans="1:9" ht="27.6">
      <c r="A565" s="108" t="s">
        <v>15075</v>
      </c>
      <c r="B565" s="108" t="s">
        <v>15305</v>
      </c>
      <c r="C565" s="109">
        <v>46114</v>
      </c>
      <c r="D565" s="108"/>
      <c r="E565" s="108" t="s">
        <v>14605</v>
      </c>
      <c r="F565" s="108" t="s">
        <v>2174</v>
      </c>
      <c r="G565" s="110"/>
      <c r="H565" s="108"/>
      <c r="I565" s="108"/>
    </row>
    <row r="566" spans="1:9" ht="27.6">
      <c r="A566" s="108" t="s">
        <v>15075</v>
      </c>
      <c r="B566" s="108" t="s">
        <v>15306</v>
      </c>
      <c r="C566" s="109">
        <v>45876</v>
      </c>
      <c r="D566" s="108"/>
      <c r="E566" s="108" t="s">
        <v>14605</v>
      </c>
      <c r="F566" s="108" t="s">
        <v>15307</v>
      </c>
      <c r="G566" s="110"/>
      <c r="H566" s="108"/>
      <c r="I566" s="108"/>
    </row>
    <row r="567" spans="1:9" ht="27.6">
      <c r="A567" s="108" t="s">
        <v>15075</v>
      </c>
      <c r="B567" s="108" t="s">
        <v>15308</v>
      </c>
      <c r="C567" s="109">
        <v>45987</v>
      </c>
      <c r="D567" s="108"/>
      <c r="E567" s="108" t="s">
        <v>14605</v>
      </c>
      <c r="F567" s="108" t="s">
        <v>2601</v>
      </c>
      <c r="G567" s="110"/>
      <c r="H567" s="108"/>
      <c r="I567" s="108"/>
    </row>
    <row r="568" spans="1:9" ht="27.6">
      <c r="A568" s="108" t="s">
        <v>15075</v>
      </c>
      <c r="B568" s="108" t="s">
        <v>15309</v>
      </c>
      <c r="C568" s="109">
        <v>45902</v>
      </c>
      <c r="D568" s="108"/>
      <c r="E568" s="108" t="s">
        <v>14605</v>
      </c>
      <c r="F568" s="108" t="s">
        <v>15310</v>
      </c>
      <c r="G568" s="110"/>
      <c r="H568" s="108"/>
      <c r="I568" s="108"/>
    </row>
    <row r="569" spans="1:9" ht="27.6">
      <c r="A569" s="108" t="s">
        <v>15075</v>
      </c>
      <c r="B569" s="108" t="s">
        <v>15311</v>
      </c>
      <c r="C569" s="109">
        <v>45888</v>
      </c>
      <c r="D569" s="108"/>
      <c r="E569" s="108" t="s">
        <v>14605</v>
      </c>
      <c r="F569" s="108" t="s">
        <v>2171</v>
      </c>
      <c r="G569" s="110"/>
      <c r="H569" s="108"/>
      <c r="I569" s="108"/>
    </row>
    <row r="570" spans="1:9" ht="27.6">
      <c r="A570" s="108" t="s">
        <v>15075</v>
      </c>
      <c r="B570" s="108" t="s">
        <v>15312</v>
      </c>
      <c r="C570" s="109">
        <v>45993</v>
      </c>
      <c r="D570" s="108"/>
      <c r="E570" s="108" t="s">
        <v>14605</v>
      </c>
      <c r="F570" s="108" t="s">
        <v>2601</v>
      </c>
      <c r="G570" s="110"/>
      <c r="H570" s="108"/>
      <c r="I570" s="108"/>
    </row>
    <row r="571" spans="1:9" ht="27.6">
      <c r="A571" s="108" t="s">
        <v>15075</v>
      </c>
      <c r="B571" s="108" t="s">
        <v>15313</v>
      </c>
      <c r="C571" s="109">
        <v>45903</v>
      </c>
      <c r="D571" s="108"/>
      <c r="E571" s="108" t="s">
        <v>15275</v>
      </c>
      <c r="F571" s="108" t="s">
        <v>15097</v>
      </c>
      <c r="G571" s="110"/>
      <c r="H571" s="108"/>
      <c r="I571" s="108"/>
    </row>
    <row r="572" spans="1:9" ht="27.6">
      <c r="A572" s="108" t="s">
        <v>15075</v>
      </c>
      <c r="B572" s="108" t="s">
        <v>15314</v>
      </c>
      <c r="C572" s="109">
        <v>46044</v>
      </c>
      <c r="D572" s="108"/>
      <c r="E572" s="108" t="s">
        <v>14605</v>
      </c>
      <c r="F572" s="108" t="s">
        <v>4786</v>
      </c>
      <c r="G572" s="110"/>
      <c r="H572" s="108"/>
      <c r="I572" s="108"/>
    </row>
    <row r="573" spans="1:9" ht="27.6">
      <c r="A573" s="108" t="s">
        <v>15075</v>
      </c>
      <c r="B573" s="108" t="s">
        <v>15315</v>
      </c>
      <c r="C573" s="109">
        <v>45917</v>
      </c>
      <c r="D573" s="108"/>
      <c r="E573" s="108" t="s">
        <v>14605</v>
      </c>
      <c r="F573" s="108" t="s">
        <v>129</v>
      </c>
      <c r="G573" s="110"/>
      <c r="H573" s="108"/>
      <c r="I573" s="108"/>
    </row>
    <row r="574" spans="1:9" ht="27.6">
      <c r="A574" s="108" t="s">
        <v>15075</v>
      </c>
      <c r="B574" s="108" t="s">
        <v>15316</v>
      </c>
      <c r="C574" s="109">
        <v>46038</v>
      </c>
      <c r="D574" s="108"/>
      <c r="E574" s="108" t="s">
        <v>14605</v>
      </c>
      <c r="F574" s="108" t="s">
        <v>484</v>
      </c>
      <c r="G574" s="110"/>
      <c r="H574" s="108"/>
      <c r="I574" s="108"/>
    </row>
    <row r="575" spans="1:9" ht="27.6">
      <c r="A575" s="108" t="s">
        <v>15075</v>
      </c>
      <c r="B575" s="108" t="s">
        <v>15317</v>
      </c>
      <c r="C575" s="109">
        <v>45964</v>
      </c>
      <c r="D575" s="108"/>
      <c r="E575" s="108" t="s">
        <v>14605</v>
      </c>
      <c r="F575" s="108" t="s">
        <v>15318</v>
      </c>
      <c r="G575" s="110"/>
      <c r="H575" s="108"/>
      <c r="I575" s="108"/>
    </row>
    <row r="576" spans="1:9" ht="27.6">
      <c r="A576" s="108" t="s">
        <v>15075</v>
      </c>
      <c r="B576" s="108" t="s">
        <v>15319</v>
      </c>
      <c r="C576" s="109">
        <v>45980</v>
      </c>
      <c r="D576" s="108"/>
      <c r="E576" s="108" t="s">
        <v>14605</v>
      </c>
      <c r="F576" s="108" t="s">
        <v>15320</v>
      </c>
      <c r="G576" s="110"/>
      <c r="H576" s="108"/>
      <c r="I576" s="108"/>
    </row>
    <row r="577" spans="1:9" ht="27.6">
      <c r="A577" s="108" t="s">
        <v>15075</v>
      </c>
      <c r="B577" s="108" t="s">
        <v>15321</v>
      </c>
      <c r="C577" s="109">
        <v>45961</v>
      </c>
      <c r="D577" s="108"/>
      <c r="E577" s="108" t="s">
        <v>14605</v>
      </c>
      <c r="F577" s="108" t="s">
        <v>15320</v>
      </c>
      <c r="G577" s="110"/>
      <c r="H577" s="108"/>
      <c r="I577" s="108"/>
    </row>
    <row r="578" spans="1:9" ht="27.6">
      <c r="A578" s="108" t="s">
        <v>15075</v>
      </c>
      <c r="B578" s="108" t="s">
        <v>15322</v>
      </c>
      <c r="C578" s="109">
        <v>45972</v>
      </c>
      <c r="D578" s="108"/>
      <c r="E578" s="108" t="s">
        <v>14605</v>
      </c>
      <c r="F578" s="108" t="s">
        <v>15323</v>
      </c>
      <c r="G578" s="110"/>
      <c r="H578" s="108"/>
      <c r="I578" s="108"/>
    </row>
    <row r="579" spans="1:9" ht="27.6">
      <c r="A579" s="108" t="s">
        <v>15075</v>
      </c>
      <c r="B579" s="108" t="s">
        <v>15324</v>
      </c>
      <c r="C579" s="109">
        <v>46104</v>
      </c>
      <c r="D579" s="108"/>
      <c r="E579" s="108" t="s">
        <v>14605</v>
      </c>
      <c r="F579" s="108" t="s">
        <v>15325</v>
      </c>
      <c r="G579" s="110"/>
      <c r="H579" s="108"/>
      <c r="I579" s="108"/>
    </row>
    <row r="580" spans="1:9" ht="27.6">
      <c r="A580" s="108" t="s">
        <v>15075</v>
      </c>
      <c r="B580" s="108" t="s">
        <v>15326</v>
      </c>
      <c r="C580" s="109">
        <v>46059</v>
      </c>
      <c r="D580" s="108"/>
      <c r="E580" s="108" t="s">
        <v>14605</v>
      </c>
      <c r="F580" s="108" t="s">
        <v>15327</v>
      </c>
      <c r="G580" s="110"/>
      <c r="H580" s="108"/>
      <c r="I580" s="108"/>
    </row>
    <row r="581" spans="1:9" ht="27.6">
      <c r="A581" s="108" t="s">
        <v>15075</v>
      </c>
      <c r="B581" s="108" t="s">
        <v>15328</v>
      </c>
      <c r="C581" s="109">
        <v>45931</v>
      </c>
      <c r="D581" s="108"/>
      <c r="E581" s="108" t="s">
        <v>14605</v>
      </c>
      <c r="F581" s="108" t="s">
        <v>15329</v>
      </c>
      <c r="G581" s="110"/>
      <c r="H581" s="108"/>
      <c r="I581" s="108"/>
    </row>
    <row r="582" spans="1:9" ht="27.6">
      <c r="A582" s="108" t="s">
        <v>15075</v>
      </c>
      <c r="B582" s="108" t="s">
        <v>15330</v>
      </c>
      <c r="C582" s="109">
        <v>45944</v>
      </c>
      <c r="D582" s="108"/>
      <c r="E582" s="108" t="s">
        <v>14605</v>
      </c>
      <c r="F582" s="108" t="s">
        <v>15331</v>
      </c>
      <c r="G582" s="110"/>
      <c r="H582" s="108"/>
      <c r="I582" s="108"/>
    </row>
    <row r="583" spans="1:9" ht="41.4">
      <c r="A583" s="108" t="s">
        <v>15075</v>
      </c>
      <c r="B583" s="108" t="s">
        <v>15332</v>
      </c>
      <c r="C583" s="109">
        <v>45947</v>
      </c>
      <c r="D583" s="108"/>
      <c r="E583" s="108" t="s">
        <v>14605</v>
      </c>
      <c r="F583" s="108" t="s">
        <v>15333</v>
      </c>
      <c r="G583" s="110"/>
      <c r="H583" s="108"/>
      <c r="I583" s="108"/>
    </row>
    <row r="584" spans="1:9" ht="27.6">
      <c r="A584" s="108" t="s">
        <v>15075</v>
      </c>
      <c r="B584" s="108" t="s">
        <v>15334</v>
      </c>
      <c r="C584" s="109">
        <v>45915</v>
      </c>
      <c r="D584" s="108"/>
      <c r="E584" s="108" t="s">
        <v>14605</v>
      </c>
      <c r="F584" s="108" t="s">
        <v>15335</v>
      </c>
      <c r="G584" s="110"/>
      <c r="H584" s="108"/>
      <c r="I584" s="108"/>
    </row>
    <row r="585" spans="1:9" ht="27.6">
      <c r="A585" s="108" t="s">
        <v>15075</v>
      </c>
      <c r="B585" s="108" t="s">
        <v>15336</v>
      </c>
      <c r="C585" s="109">
        <v>46151</v>
      </c>
      <c r="D585" s="108"/>
      <c r="E585" s="108" t="s">
        <v>14605</v>
      </c>
      <c r="F585" s="108" t="s">
        <v>15134</v>
      </c>
      <c r="G585" s="110"/>
      <c r="H585" s="108"/>
      <c r="I585" s="108"/>
    </row>
    <row r="586" spans="1:9" ht="27.6">
      <c r="A586" s="108" t="s">
        <v>15075</v>
      </c>
      <c r="B586" s="108" t="s">
        <v>15337</v>
      </c>
      <c r="C586" s="109">
        <v>46150</v>
      </c>
      <c r="D586" s="108"/>
      <c r="E586" s="108" t="s">
        <v>14605</v>
      </c>
      <c r="F586" s="108" t="s">
        <v>15338</v>
      </c>
      <c r="G586" s="110"/>
      <c r="H586" s="108"/>
      <c r="I586" s="108"/>
    </row>
    <row r="587" spans="1:9" ht="27.6">
      <c r="A587" s="108" t="s">
        <v>15075</v>
      </c>
      <c r="B587" s="108" t="s">
        <v>15339</v>
      </c>
      <c r="C587" s="109">
        <v>45937</v>
      </c>
      <c r="D587" s="108"/>
      <c r="E587" s="108" t="s">
        <v>14605</v>
      </c>
      <c r="F587" s="108" t="s">
        <v>2431</v>
      </c>
      <c r="G587" s="110"/>
      <c r="H587" s="108"/>
      <c r="I587" s="108"/>
    </row>
    <row r="588" spans="1:9" ht="27.6">
      <c r="A588" s="108" t="s">
        <v>15075</v>
      </c>
      <c r="B588" s="108" t="s">
        <v>15340</v>
      </c>
      <c r="C588" s="109">
        <v>46034</v>
      </c>
      <c r="D588" s="108"/>
      <c r="E588" s="108" t="s">
        <v>14605</v>
      </c>
      <c r="F588" s="108" t="s">
        <v>1370</v>
      </c>
      <c r="G588" s="110"/>
      <c r="H588" s="108"/>
      <c r="I588" s="108"/>
    </row>
    <row r="589" spans="1:9" ht="27.6">
      <c r="A589" s="108" t="s">
        <v>15075</v>
      </c>
      <c r="B589" s="108" t="s">
        <v>15341</v>
      </c>
      <c r="C589" s="109">
        <v>46001</v>
      </c>
      <c r="D589" s="108"/>
      <c r="E589" s="108" t="s">
        <v>14605</v>
      </c>
      <c r="F589" s="108" t="s">
        <v>5310</v>
      </c>
      <c r="G589" s="110"/>
      <c r="H589" s="108"/>
      <c r="I589" s="108"/>
    </row>
    <row r="590" spans="1:9" ht="27.6">
      <c r="A590" s="108" t="s">
        <v>15075</v>
      </c>
      <c r="B590" s="108" t="s">
        <v>15342</v>
      </c>
      <c r="C590" s="109">
        <v>45938</v>
      </c>
      <c r="D590" s="108"/>
      <c r="E590" s="108" t="s">
        <v>14605</v>
      </c>
      <c r="F590" s="108" t="s">
        <v>966</v>
      </c>
      <c r="G590" s="110"/>
      <c r="H590" s="108"/>
      <c r="I590" s="108"/>
    </row>
    <row r="591" spans="1:9" ht="27.6">
      <c r="A591" s="108" t="s">
        <v>15075</v>
      </c>
      <c r="B591" s="108" t="s">
        <v>15343</v>
      </c>
      <c r="C591" s="109">
        <v>46085</v>
      </c>
      <c r="D591" s="108"/>
      <c r="E591" s="108" t="s">
        <v>14605</v>
      </c>
      <c r="F591" s="108" t="s">
        <v>15344</v>
      </c>
      <c r="G591" s="110"/>
      <c r="H591" s="108"/>
      <c r="I591" s="108"/>
    </row>
    <row r="592" spans="1:9" ht="27.6">
      <c r="A592" s="108" t="s">
        <v>15075</v>
      </c>
      <c r="B592" s="108" t="s">
        <v>15345</v>
      </c>
      <c r="C592" s="109">
        <v>45966</v>
      </c>
      <c r="D592" s="108"/>
      <c r="E592" s="108" t="s">
        <v>14605</v>
      </c>
      <c r="F592" s="108" t="s">
        <v>14939</v>
      </c>
      <c r="G592" s="110"/>
      <c r="H592" s="108"/>
      <c r="I592" s="108"/>
    </row>
    <row r="593" spans="1:9" ht="41.4">
      <c r="A593" s="108" t="s">
        <v>15075</v>
      </c>
      <c r="B593" s="108" t="s">
        <v>15346</v>
      </c>
      <c r="C593" s="109">
        <v>45945</v>
      </c>
      <c r="D593" s="108"/>
      <c r="E593" s="108" t="s">
        <v>14605</v>
      </c>
      <c r="F593" s="108" t="s">
        <v>15347</v>
      </c>
      <c r="G593" s="110"/>
      <c r="H593" s="108"/>
      <c r="I593" s="108"/>
    </row>
    <row r="594" spans="1:9" ht="27.6">
      <c r="A594" s="108" t="s">
        <v>15075</v>
      </c>
      <c r="B594" s="108" t="s">
        <v>15348</v>
      </c>
      <c r="C594" s="109">
        <v>45971</v>
      </c>
      <c r="D594" s="108"/>
      <c r="E594" s="108" t="s">
        <v>14605</v>
      </c>
      <c r="F594" s="108" t="s">
        <v>15349</v>
      </c>
      <c r="G594" s="110"/>
      <c r="H594" s="108"/>
      <c r="I594" s="108"/>
    </row>
    <row r="595" spans="1:9" ht="27.6">
      <c r="A595" s="108" t="s">
        <v>15075</v>
      </c>
      <c r="B595" s="108" t="s">
        <v>15350</v>
      </c>
      <c r="C595" s="109">
        <v>45994</v>
      </c>
      <c r="D595" s="108"/>
      <c r="E595" s="108" t="s">
        <v>14605</v>
      </c>
      <c r="F595" s="108" t="s">
        <v>14712</v>
      </c>
      <c r="G595" s="110"/>
      <c r="H595" s="108"/>
      <c r="I595" s="108"/>
    </row>
    <row r="596" spans="1:9" ht="27.6">
      <c r="A596" s="108" t="s">
        <v>15075</v>
      </c>
      <c r="B596" s="108" t="s">
        <v>15351</v>
      </c>
      <c r="C596" s="109">
        <v>46044</v>
      </c>
      <c r="D596" s="108"/>
      <c r="E596" s="108" t="s">
        <v>14605</v>
      </c>
      <c r="F596" s="108" t="s">
        <v>15352</v>
      </c>
      <c r="G596" s="110"/>
      <c r="H596" s="108"/>
      <c r="I596" s="108"/>
    </row>
    <row r="597" spans="1:9" ht="27.6">
      <c r="A597" s="108" t="s">
        <v>15075</v>
      </c>
      <c r="B597" s="108" t="s">
        <v>15353</v>
      </c>
      <c r="C597" s="109">
        <v>45988</v>
      </c>
      <c r="D597" s="108"/>
      <c r="E597" s="108" t="s">
        <v>14605</v>
      </c>
      <c r="F597" s="108" t="s">
        <v>2461</v>
      </c>
      <c r="G597" s="110"/>
      <c r="H597" s="108"/>
      <c r="I597" s="108"/>
    </row>
    <row r="598" spans="1:9" ht="27.6">
      <c r="A598" s="108" t="s">
        <v>15075</v>
      </c>
      <c r="B598" s="108" t="s">
        <v>15354</v>
      </c>
      <c r="C598" s="109">
        <v>46204</v>
      </c>
      <c r="D598" s="108"/>
      <c r="E598" s="108" t="s">
        <v>14605</v>
      </c>
      <c r="F598" s="108" t="s">
        <v>15355</v>
      </c>
      <c r="G598" s="110"/>
      <c r="H598" s="108"/>
      <c r="I598" s="108"/>
    </row>
    <row r="599" spans="1:9" ht="27.6">
      <c r="A599" s="108" t="s">
        <v>15075</v>
      </c>
      <c r="B599" s="108" t="s">
        <v>15356</v>
      </c>
      <c r="C599" s="109">
        <v>45989</v>
      </c>
      <c r="D599" s="108"/>
      <c r="E599" s="108" t="s">
        <v>14605</v>
      </c>
      <c r="F599" s="108" t="s">
        <v>15357</v>
      </c>
      <c r="G599" s="110"/>
      <c r="H599" s="108"/>
      <c r="I599" s="108"/>
    </row>
    <row r="600" spans="1:9" ht="27.6">
      <c r="A600" s="108" t="s">
        <v>15075</v>
      </c>
      <c r="B600" s="108" t="s">
        <v>15358</v>
      </c>
      <c r="C600" s="109">
        <v>46027</v>
      </c>
      <c r="D600" s="108"/>
      <c r="E600" s="108" t="s">
        <v>14605</v>
      </c>
      <c r="F600" s="108" t="s">
        <v>15359</v>
      </c>
      <c r="G600" s="110"/>
      <c r="H600" s="108"/>
      <c r="I600" s="108"/>
    </row>
    <row r="601" spans="1:9" ht="27.6">
      <c r="A601" s="108" t="s">
        <v>15075</v>
      </c>
      <c r="B601" s="108" t="s">
        <v>15360</v>
      </c>
      <c r="C601" s="109">
        <v>46063</v>
      </c>
      <c r="D601" s="108"/>
      <c r="E601" s="108" t="s">
        <v>14605</v>
      </c>
      <c r="F601" s="108" t="s">
        <v>15142</v>
      </c>
      <c r="G601" s="110"/>
      <c r="H601" s="108"/>
      <c r="I601" s="108"/>
    </row>
    <row r="602" spans="1:9" ht="27.6">
      <c r="A602" s="108" t="s">
        <v>15075</v>
      </c>
      <c r="B602" s="108" t="s">
        <v>15361</v>
      </c>
      <c r="C602" s="109">
        <v>45994</v>
      </c>
      <c r="D602" s="108"/>
      <c r="E602" s="108" t="s">
        <v>14605</v>
      </c>
      <c r="F602" s="108" t="s">
        <v>15362</v>
      </c>
      <c r="G602" s="110"/>
      <c r="H602" s="108"/>
      <c r="I602" s="108"/>
    </row>
    <row r="603" spans="1:9" ht="27.6">
      <c r="A603" s="108" t="s">
        <v>15075</v>
      </c>
      <c r="B603" s="108" t="s">
        <v>15363</v>
      </c>
      <c r="C603" s="109">
        <v>45992</v>
      </c>
      <c r="D603" s="108"/>
      <c r="E603" s="108" t="s">
        <v>14605</v>
      </c>
      <c r="F603" s="108" t="s">
        <v>15362</v>
      </c>
      <c r="G603" s="110"/>
      <c r="H603" s="108"/>
      <c r="I603" s="108"/>
    </row>
    <row r="604" spans="1:9" ht="27.6">
      <c r="A604" s="108" t="s">
        <v>15075</v>
      </c>
      <c r="B604" s="108" t="s">
        <v>15364</v>
      </c>
      <c r="C604" s="109">
        <v>45983</v>
      </c>
      <c r="D604" s="108"/>
      <c r="E604" s="108" t="s">
        <v>14605</v>
      </c>
      <c r="F604" s="108" t="s">
        <v>15365</v>
      </c>
      <c r="G604" s="110"/>
      <c r="H604" s="108"/>
      <c r="I604" s="108"/>
    </row>
    <row r="605" spans="1:9" ht="27.6">
      <c r="A605" s="108" t="s">
        <v>15075</v>
      </c>
      <c r="B605" s="108" t="s">
        <v>15366</v>
      </c>
      <c r="C605" s="109">
        <v>46036</v>
      </c>
      <c r="D605" s="108"/>
      <c r="E605" s="108" t="s">
        <v>14605</v>
      </c>
      <c r="F605" s="108" t="s">
        <v>15367</v>
      </c>
      <c r="G605" s="110"/>
      <c r="H605" s="108"/>
      <c r="I605" s="108"/>
    </row>
    <row r="606" spans="1:9" ht="27.6">
      <c r="A606" s="108" t="s">
        <v>15075</v>
      </c>
      <c r="B606" s="108" t="s">
        <v>15368</v>
      </c>
      <c r="C606" s="109">
        <v>46142</v>
      </c>
      <c r="D606" s="108"/>
      <c r="E606" s="108" t="s">
        <v>14605</v>
      </c>
      <c r="F606" s="108" t="s">
        <v>15369</v>
      </c>
      <c r="G606" s="110"/>
      <c r="H606" s="108"/>
      <c r="I606" s="108"/>
    </row>
    <row r="607" spans="1:9" ht="27.6">
      <c r="A607" s="108" t="s">
        <v>15075</v>
      </c>
      <c r="B607" s="108" t="s">
        <v>15370</v>
      </c>
      <c r="C607" s="109">
        <v>46112</v>
      </c>
      <c r="D607" s="108"/>
      <c r="E607" s="108" t="s">
        <v>14605</v>
      </c>
      <c r="F607" s="108" t="s">
        <v>4501</v>
      </c>
      <c r="G607" s="110"/>
      <c r="H607" s="108"/>
      <c r="I607" s="108"/>
    </row>
    <row r="608" spans="1:9" ht="27.6">
      <c r="A608" s="108" t="s">
        <v>15075</v>
      </c>
      <c r="B608" s="108" t="s">
        <v>15371</v>
      </c>
      <c r="C608" s="109">
        <v>46129</v>
      </c>
      <c r="D608" s="108"/>
      <c r="E608" s="108" t="s">
        <v>14605</v>
      </c>
      <c r="F608" s="108" t="s">
        <v>3717</v>
      </c>
      <c r="G608" s="110"/>
      <c r="H608" s="108"/>
      <c r="I608" s="108"/>
    </row>
    <row r="609" spans="1:9" ht="27.6">
      <c r="A609" s="108" t="s">
        <v>15075</v>
      </c>
      <c r="B609" s="108" t="s">
        <v>15372</v>
      </c>
      <c r="C609" s="109">
        <v>46080</v>
      </c>
      <c r="D609" s="108"/>
      <c r="E609" s="108" t="s">
        <v>14605</v>
      </c>
      <c r="F609" s="108" t="s">
        <v>484</v>
      </c>
      <c r="G609" s="110"/>
      <c r="H609" s="108"/>
      <c r="I609" s="108"/>
    </row>
    <row r="610" spans="1:9" ht="27.6">
      <c r="A610" s="108" t="s">
        <v>15075</v>
      </c>
      <c r="B610" s="108" t="s">
        <v>15373</v>
      </c>
      <c r="C610" s="109">
        <v>46014</v>
      </c>
      <c r="D610" s="108"/>
      <c r="E610" s="108" t="s">
        <v>14605</v>
      </c>
      <c r="F610" s="108" t="s">
        <v>720</v>
      </c>
      <c r="G610" s="110"/>
      <c r="H610" s="108"/>
      <c r="I610" s="108"/>
    </row>
    <row r="611" spans="1:9" ht="27.6">
      <c r="A611" s="108" t="s">
        <v>15075</v>
      </c>
      <c r="B611" s="108" t="s">
        <v>15374</v>
      </c>
      <c r="C611" s="109">
        <v>46052</v>
      </c>
      <c r="D611" s="108"/>
      <c r="E611" s="108" t="s">
        <v>14605</v>
      </c>
      <c r="F611" s="108" t="s">
        <v>15375</v>
      </c>
      <c r="G611" s="110"/>
      <c r="H611" s="108"/>
      <c r="I611" s="108"/>
    </row>
    <row r="612" spans="1:9" ht="27.6">
      <c r="A612" s="108" t="s">
        <v>15075</v>
      </c>
      <c r="B612" s="108" t="s">
        <v>15376</v>
      </c>
      <c r="C612" s="109">
        <v>46041</v>
      </c>
      <c r="D612" s="108"/>
      <c r="E612" s="108" t="s">
        <v>14605</v>
      </c>
      <c r="F612" s="108" t="s">
        <v>15377</v>
      </c>
      <c r="G612" s="110"/>
      <c r="H612" s="108"/>
      <c r="I612" s="108"/>
    </row>
    <row r="613" spans="1:9" ht="27.6">
      <c r="A613" s="108" t="s">
        <v>15075</v>
      </c>
      <c r="B613" s="108" t="s">
        <v>15378</v>
      </c>
      <c r="C613" s="109">
        <v>46042</v>
      </c>
      <c r="D613" s="108"/>
      <c r="E613" s="108" t="s">
        <v>14605</v>
      </c>
      <c r="F613" s="108" t="s">
        <v>14748</v>
      </c>
      <c r="G613" s="110"/>
      <c r="H613" s="108"/>
      <c r="I613" s="108"/>
    </row>
    <row r="614" spans="1:9" ht="27.6">
      <c r="A614" s="108" t="s">
        <v>15075</v>
      </c>
      <c r="B614" s="108" t="s">
        <v>15379</v>
      </c>
      <c r="C614" s="109">
        <v>46030</v>
      </c>
      <c r="D614" s="108"/>
      <c r="E614" s="108" t="s">
        <v>14605</v>
      </c>
      <c r="F614" s="108" t="s">
        <v>14738</v>
      </c>
      <c r="G614" s="110"/>
      <c r="H614" s="108"/>
      <c r="I614" s="108"/>
    </row>
    <row r="615" spans="1:9" ht="27.6">
      <c r="A615" s="108" t="s">
        <v>15075</v>
      </c>
      <c r="B615" s="108" t="s">
        <v>15380</v>
      </c>
      <c r="C615" s="109">
        <v>46045</v>
      </c>
      <c r="D615" s="108"/>
      <c r="E615" s="108" t="s">
        <v>14605</v>
      </c>
      <c r="F615" s="108" t="s">
        <v>15381</v>
      </c>
      <c r="G615" s="110"/>
      <c r="H615" s="108"/>
      <c r="I615" s="108"/>
    </row>
    <row r="616" spans="1:9" ht="27.6">
      <c r="A616" s="108" t="s">
        <v>15075</v>
      </c>
      <c r="B616" s="108" t="s">
        <v>15382</v>
      </c>
      <c r="C616" s="109">
        <v>46058</v>
      </c>
      <c r="D616" s="108"/>
      <c r="E616" s="108" t="s">
        <v>14605</v>
      </c>
      <c r="F616" s="108" t="s">
        <v>749</v>
      </c>
      <c r="G616" s="110"/>
      <c r="H616" s="108"/>
      <c r="I616" s="108"/>
    </row>
    <row r="617" spans="1:9" ht="27.6">
      <c r="A617" s="108" t="s">
        <v>15075</v>
      </c>
      <c r="B617" s="108" t="s">
        <v>15383</v>
      </c>
      <c r="C617" s="109">
        <v>46055</v>
      </c>
      <c r="D617" s="108"/>
      <c r="E617" s="108" t="s">
        <v>14605</v>
      </c>
      <c r="F617" s="108" t="s">
        <v>15384</v>
      </c>
      <c r="G617" s="110"/>
      <c r="H617" s="108"/>
      <c r="I617" s="108"/>
    </row>
    <row r="618" spans="1:9" ht="27.6">
      <c r="A618" s="108" t="s">
        <v>15075</v>
      </c>
      <c r="B618" s="108" t="s">
        <v>15385</v>
      </c>
      <c r="C618" s="109">
        <v>46085</v>
      </c>
      <c r="D618" s="108"/>
      <c r="E618" s="108" t="s">
        <v>14605</v>
      </c>
      <c r="F618" s="108" t="s">
        <v>15386</v>
      </c>
      <c r="G618" s="110"/>
      <c r="H618" s="108"/>
      <c r="I618" s="108"/>
    </row>
    <row r="619" spans="1:9" ht="27.6">
      <c r="A619" s="108" t="s">
        <v>15075</v>
      </c>
      <c r="B619" s="108" t="s">
        <v>15387</v>
      </c>
      <c r="C619" s="109">
        <v>46110</v>
      </c>
      <c r="D619" s="108"/>
      <c r="E619" s="108" t="s">
        <v>14605</v>
      </c>
      <c r="F619" s="108" t="s">
        <v>15388</v>
      </c>
      <c r="G619" s="110"/>
      <c r="H619" s="108"/>
      <c r="I619" s="108"/>
    </row>
    <row r="620" spans="1:9" ht="27.6">
      <c r="A620" s="108" t="s">
        <v>15075</v>
      </c>
      <c r="B620" s="108" t="s">
        <v>15389</v>
      </c>
      <c r="C620" s="109">
        <v>46121</v>
      </c>
      <c r="D620" s="108"/>
      <c r="E620" s="108" t="s">
        <v>14605</v>
      </c>
      <c r="F620" s="108" t="s">
        <v>15390</v>
      </c>
      <c r="G620" s="110"/>
      <c r="H620" s="108"/>
      <c r="I620" s="108"/>
    </row>
    <row r="621" spans="1:9" ht="27.6">
      <c r="A621" s="108" t="s">
        <v>15075</v>
      </c>
      <c r="B621" s="108" t="s">
        <v>15391</v>
      </c>
      <c r="C621" s="109">
        <v>46056</v>
      </c>
      <c r="D621" s="108"/>
      <c r="E621" s="108" t="s">
        <v>14605</v>
      </c>
      <c r="F621" s="108" t="s">
        <v>15392</v>
      </c>
      <c r="G621" s="110"/>
      <c r="H621" s="108"/>
      <c r="I621" s="108"/>
    </row>
    <row r="622" spans="1:9" ht="27.6">
      <c r="A622" s="108" t="s">
        <v>15075</v>
      </c>
      <c r="B622" s="108" t="s">
        <v>15393</v>
      </c>
      <c r="C622" s="109">
        <v>46031</v>
      </c>
      <c r="D622" s="108"/>
      <c r="E622" s="108" t="s">
        <v>14605</v>
      </c>
      <c r="F622" s="108" t="s">
        <v>4142</v>
      </c>
      <c r="G622" s="110"/>
      <c r="H622" s="108"/>
      <c r="I622" s="108"/>
    </row>
    <row r="623" spans="1:9" ht="27.6">
      <c r="A623" s="108" t="s">
        <v>15075</v>
      </c>
      <c r="B623" s="108" t="s">
        <v>15394</v>
      </c>
      <c r="C623" s="109">
        <v>46119</v>
      </c>
      <c r="D623" s="108"/>
      <c r="E623" s="108" t="s">
        <v>14605</v>
      </c>
      <c r="F623" s="108" t="s">
        <v>1228</v>
      </c>
      <c r="G623" s="110"/>
      <c r="H623" s="108"/>
      <c r="I623" s="108"/>
    </row>
    <row r="624" spans="1:9" ht="27.6">
      <c r="A624" s="108" t="s">
        <v>15075</v>
      </c>
      <c r="B624" s="108" t="s">
        <v>15395</v>
      </c>
      <c r="C624" s="109">
        <v>46113</v>
      </c>
      <c r="D624" s="108"/>
      <c r="E624" s="108" t="s">
        <v>14605</v>
      </c>
      <c r="F624" s="108" t="s">
        <v>559</v>
      </c>
      <c r="G624" s="110"/>
      <c r="H624" s="108"/>
      <c r="I624" s="108"/>
    </row>
    <row r="625" spans="1:9" ht="27.6">
      <c r="A625" s="108" t="s">
        <v>15075</v>
      </c>
      <c r="B625" s="108" t="s">
        <v>15396</v>
      </c>
      <c r="C625" s="109">
        <v>46044</v>
      </c>
      <c r="D625" s="108"/>
      <c r="E625" s="108" t="s">
        <v>14605</v>
      </c>
      <c r="F625" s="108" t="s">
        <v>15397</v>
      </c>
      <c r="G625" s="110"/>
      <c r="H625" s="108"/>
      <c r="I625" s="108"/>
    </row>
    <row r="626" spans="1:9" ht="41.4">
      <c r="A626" s="108" t="s">
        <v>15075</v>
      </c>
      <c r="B626" s="108" t="s">
        <v>15398</v>
      </c>
      <c r="C626" s="109">
        <v>46063</v>
      </c>
      <c r="D626" s="108"/>
      <c r="E626" s="108" t="s">
        <v>14605</v>
      </c>
      <c r="F626" s="108" t="s">
        <v>15399</v>
      </c>
      <c r="G626" s="110"/>
      <c r="H626" s="108"/>
      <c r="I626" s="108"/>
    </row>
    <row r="627" spans="1:9" ht="27.6">
      <c r="A627" s="108" t="s">
        <v>15075</v>
      </c>
      <c r="B627" s="108" t="s">
        <v>15400</v>
      </c>
      <c r="C627" s="109">
        <v>46120</v>
      </c>
      <c r="D627" s="108"/>
      <c r="E627" s="108" t="s">
        <v>14605</v>
      </c>
      <c r="F627" s="108" t="s">
        <v>15331</v>
      </c>
      <c r="G627" s="110"/>
      <c r="H627" s="108"/>
      <c r="I627" s="108"/>
    </row>
    <row r="628" spans="1:9" ht="27.6">
      <c r="A628" s="108" t="s">
        <v>15075</v>
      </c>
      <c r="B628" s="108" t="s">
        <v>15401</v>
      </c>
      <c r="C628" s="109">
        <v>46192</v>
      </c>
      <c r="D628" s="108"/>
      <c r="E628" s="108" t="s">
        <v>14605</v>
      </c>
      <c r="F628" s="108" t="s">
        <v>15140</v>
      </c>
      <c r="G628" s="110"/>
      <c r="H628" s="108"/>
      <c r="I628" s="108"/>
    </row>
    <row r="629" spans="1:9" ht="27.6">
      <c r="A629" s="108" t="s">
        <v>15075</v>
      </c>
      <c r="B629" s="108" t="s">
        <v>15402</v>
      </c>
      <c r="C629" s="109">
        <v>46172</v>
      </c>
      <c r="D629" s="108"/>
      <c r="E629" s="108" t="s">
        <v>14605</v>
      </c>
      <c r="F629" s="108" t="s">
        <v>15403</v>
      </c>
      <c r="G629" s="110"/>
      <c r="H629" s="108"/>
      <c r="I629" s="108"/>
    </row>
    <row r="630" spans="1:9" ht="27.6">
      <c r="A630" s="108" t="s">
        <v>15075</v>
      </c>
      <c r="B630" s="108" t="s">
        <v>15404</v>
      </c>
      <c r="C630" s="109">
        <v>46121</v>
      </c>
      <c r="D630" s="108"/>
      <c r="E630" s="108" t="s">
        <v>14605</v>
      </c>
      <c r="F630" s="108" t="s">
        <v>15405</v>
      </c>
      <c r="G630" s="110"/>
      <c r="H630" s="108"/>
      <c r="I630" s="108"/>
    </row>
    <row r="631" spans="1:9" ht="27.6">
      <c r="A631" s="108" t="s">
        <v>8278</v>
      </c>
      <c r="B631" s="108" t="s">
        <v>15406</v>
      </c>
      <c r="C631" s="109">
        <v>46205</v>
      </c>
      <c r="D631" s="108"/>
      <c r="E631" s="108" t="s">
        <v>14605</v>
      </c>
      <c r="F631" s="108" t="s">
        <v>15407</v>
      </c>
      <c r="G631" s="110"/>
      <c r="H631" s="108"/>
      <c r="I631" s="108"/>
    </row>
    <row r="632" spans="1:9" ht="27.6">
      <c r="A632" s="108" t="s">
        <v>8278</v>
      </c>
      <c r="B632" s="108" t="s">
        <v>15408</v>
      </c>
      <c r="C632" s="109">
        <v>46178</v>
      </c>
      <c r="D632" s="108"/>
      <c r="E632" s="108" t="s">
        <v>14605</v>
      </c>
      <c r="F632" s="108" t="s">
        <v>5018</v>
      </c>
      <c r="G632" s="110"/>
      <c r="H632" s="108"/>
      <c r="I632" s="108"/>
    </row>
    <row r="633" spans="1:9" ht="27.6">
      <c r="A633" s="108" t="s">
        <v>15075</v>
      </c>
      <c r="B633" s="108" t="s">
        <v>15409</v>
      </c>
      <c r="C633" s="109">
        <v>46108</v>
      </c>
      <c r="D633" s="108"/>
      <c r="E633" s="108" t="s">
        <v>14605</v>
      </c>
      <c r="F633" s="108" t="s">
        <v>15410</v>
      </c>
      <c r="G633" s="110"/>
      <c r="H633" s="108"/>
      <c r="I633" s="108"/>
    </row>
    <row r="634" spans="1:9" ht="27.6">
      <c r="A634" s="108" t="s">
        <v>15075</v>
      </c>
      <c r="B634" s="108" t="s">
        <v>15411</v>
      </c>
      <c r="C634" s="109">
        <v>46223</v>
      </c>
      <c r="D634" s="108"/>
      <c r="E634" s="108" t="s">
        <v>14605</v>
      </c>
      <c r="F634" s="108" t="s">
        <v>15412</v>
      </c>
      <c r="G634" s="110"/>
      <c r="H634" s="108"/>
      <c r="I634" s="108"/>
    </row>
    <row r="635" spans="1:9" ht="27.6">
      <c r="A635" s="108" t="s">
        <v>15075</v>
      </c>
      <c r="B635" s="108" t="s">
        <v>15413</v>
      </c>
      <c r="C635" s="109">
        <v>46126</v>
      </c>
      <c r="D635" s="108"/>
      <c r="E635" s="108" t="s">
        <v>14605</v>
      </c>
      <c r="F635" s="108" t="s">
        <v>15414</v>
      </c>
      <c r="G635" s="110"/>
      <c r="H635" s="108"/>
      <c r="I635" s="108"/>
    </row>
    <row r="636" spans="1:9" ht="27.6">
      <c r="A636" s="108" t="s">
        <v>15075</v>
      </c>
      <c r="B636" s="108" t="s">
        <v>15415</v>
      </c>
      <c r="C636" s="109">
        <v>46153</v>
      </c>
      <c r="D636" s="108"/>
      <c r="E636" s="108" t="s">
        <v>14605</v>
      </c>
      <c r="F636" s="108" t="s">
        <v>15416</v>
      </c>
      <c r="G636" s="110"/>
      <c r="H636" s="108"/>
      <c r="I636" s="108"/>
    </row>
    <row r="637" spans="1:9" ht="27.6">
      <c r="A637" s="108" t="s">
        <v>15075</v>
      </c>
      <c r="B637" s="108" t="s">
        <v>15417</v>
      </c>
      <c r="C637" s="109">
        <v>46140</v>
      </c>
      <c r="D637" s="108"/>
      <c r="E637" s="108" t="s">
        <v>14605</v>
      </c>
      <c r="F637" s="108" t="s">
        <v>1066</v>
      </c>
      <c r="G637" s="110"/>
      <c r="H637" s="108"/>
      <c r="I637" s="108"/>
    </row>
    <row r="638" spans="1:9" ht="27.6">
      <c r="A638" s="108" t="s">
        <v>15075</v>
      </c>
      <c r="B638" s="108" t="s">
        <v>15418</v>
      </c>
      <c r="C638" s="109">
        <v>46157</v>
      </c>
      <c r="D638" s="108"/>
      <c r="E638" s="108" t="s">
        <v>14605</v>
      </c>
      <c r="F638" s="108" t="s">
        <v>15419</v>
      </c>
      <c r="G638" s="110"/>
      <c r="H638" s="108"/>
      <c r="I638" s="108"/>
    </row>
    <row r="639" spans="1:9" ht="27.6">
      <c r="A639" s="108" t="s">
        <v>15075</v>
      </c>
      <c r="B639" s="108" t="s">
        <v>15420</v>
      </c>
      <c r="C639" s="109">
        <v>46156</v>
      </c>
      <c r="D639" s="108"/>
      <c r="E639" s="108" t="s">
        <v>14605</v>
      </c>
      <c r="F639" s="108" t="s">
        <v>15421</v>
      </c>
      <c r="G639" s="110"/>
      <c r="H639" s="108"/>
      <c r="I639" s="108"/>
    </row>
    <row r="640" spans="1:9" ht="27.6">
      <c r="A640" s="108" t="s">
        <v>15075</v>
      </c>
      <c r="B640" s="108" t="s">
        <v>15422</v>
      </c>
      <c r="C640" s="109">
        <v>46157</v>
      </c>
      <c r="D640" s="108"/>
      <c r="E640" s="108" t="s">
        <v>14605</v>
      </c>
      <c r="F640" s="108" t="s">
        <v>15423</v>
      </c>
      <c r="G640" s="110"/>
      <c r="H640" s="108"/>
      <c r="I640" s="108"/>
    </row>
    <row r="641" spans="1:9" ht="27.6">
      <c r="A641" s="108" t="s">
        <v>15075</v>
      </c>
      <c r="B641" s="108" t="s">
        <v>15424</v>
      </c>
      <c r="C641" s="109">
        <v>46178</v>
      </c>
      <c r="D641" s="108"/>
      <c r="E641" s="108" t="s">
        <v>14605</v>
      </c>
      <c r="F641" s="108" t="s">
        <v>4835</v>
      </c>
      <c r="G641" s="110"/>
      <c r="H641" s="108"/>
      <c r="I641" s="108"/>
    </row>
    <row r="642" spans="1:9" ht="27.6">
      <c r="A642" s="108" t="s">
        <v>15075</v>
      </c>
      <c r="B642" s="108" t="s">
        <v>15425</v>
      </c>
      <c r="C642" s="109">
        <v>46176</v>
      </c>
      <c r="D642" s="108"/>
      <c r="E642" s="108" t="s">
        <v>14605</v>
      </c>
      <c r="F642" s="108" t="s">
        <v>3522</v>
      </c>
      <c r="G642" s="110"/>
      <c r="H642" s="108"/>
      <c r="I642" s="108"/>
    </row>
    <row r="643" spans="1:9" ht="27.6">
      <c r="A643" s="108" t="s">
        <v>15075</v>
      </c>
      <c r="B643" s="108" t="s">
        <v>15426</v>
      </c>
      <c r="C643" s="109">
        <v>46176</v>
      </c>
      <c r="D643" s="108"/>
      <c r="E643" s="108" t="s">
        <v>14605</v>
      </c>
      <c r="F643" s="108" t="s">
        <v>15427</v>
      </c>
      <c r="G643" s="110"/>
      <c r="H643" s="108"/>
      <c r="I643" s="108"/>
    </row>
    <row r="644" spans="1:9" ht="27.6">
      <c r="A644" s="108" t="s">
        <v>15075</v>
      </c>
      <c r="B644" s="108" t="s">
        <v>15428</v>
      </c>
      <c r="C644" s="109">
        <v>46178</v>
      </c>
      <c r="D644" s="108"/>
      <c r="E644" s="108" t="s">
        <v>14605</v>
      </c>
      <c r="F644" s="108" t="s">
        <v>15318</v>
      </c>
      <c r="G644" s="110"/>
      <c r="H644" s="108"/>
      <c r="I644" s="108"/>
    </row>
    <row r="645" spans="1:9" ht="27.6">
      <c r="A645" s="108" t="s">
        <v>8278</v>
      </c>
      <c r="B645" s="108" t="s">
        <v>15429</v>
      </c>
      <c r="C645" s="109">
        <v>46209</v>
      </c>
      <c r="D645" s="108"/>
      <c r="E645" s="108" t="s">
        <v>14605</v>
      </c>
      <c r="F645" s="108" t="s">
        <v>2956</v>
      </c>
      <c r="G645" s="110"/>
      <c r="H645" s="108"/>
      <c r="I645" s="108"/>
    </row>
    <row r="646" spans="1:9" ht="27.6">
      <c r="A646" s="108" t="s">
        <v>15075</v>
      </c>
      <c r="B646" s="108" t="s">
        <v>15430</v>
      </c>
      <c r="C646" s="109">
        <v>46182</v>
      </c>
      <c r="D646" s="108"/>
      <c r="E646" s="108" t="s">
        <v>14605</v>
      </c>
      <c r="F646" s="108" t="s">
        <v>15431</v>
      </c>
      <c r="G646" s="110"/>
      <c r="H646" s="108"/>
      <c r="I646" s="108"/>
    </row>
    <row r="647" spans="1:9" ht="27.6">
      <c r="A647" s="108" t="s">
        <v>15075</v>
      </c>
      <c r="B647" s="108" t="s">
        <v>15432</v>
      </c>
      <c r="C647" s="109">
        <v>46240</v>
      </c>
      <c r="D647" s="108"/>
      <c r="E647" s="108" t="s">
        <v>14605</v>
      </c>
      <c r="F647" s="108" t="s">
        <v>15433</v>
      </c>
      <c r="G647" s="110"/>
      <c r="H647" s="108"/>
      <c r="I647" s="108"/>
    </row>
    <row r="648" spans="1:9" ht="27.6">
      <c r="A648" s="108" t="s">
        <v>15075</v>
      </c>
      <c r="B648" s="108" t="s">
        <v>15434</v>
      </c>
      <c r="C648" s="109">
        <v>46210</v>
      </c>
      <c r="D648" s="108"/>
      <c r="E648" s="108" t="s">
        <v>14605</v>
      </c>
      <c r="F648" s="108" t="s">
        <v>3895</v>
      </c>
      <c r="G648" s="110"/>
      <c r="H648" s="108"/>
      <c r="I648" s="108"/>
    </row>
    <row r="649" spans="1:9" ht="27.6">
      <c r="A649" s="108" t="s">
        <v>15075</v>
      </c>
      <c r="B649" s="108" t="s">
        <v>15435</v>
      </c>
      <c r="C649" s="109">
        <v>46196</v>
      </c>
      <c r="D649" s="108"/>
      <c r="E649" s="108" t="s">
        <v>14605</v>
      </c>
      <c r="F649" s="108" t="s">
        <v>15436</v>
      </c>
      <c r="G649" s="110"/>
      <c r="H649" s="108"/>
      <c r="I649" s="108"/>
    </row>
    <row r="650" spans="1:9" ht="27.6">
      <c r="A650" s="108" t="s">
        <v>15075</v>
      </c>
      <c r="B650" s="108" t="s">
        <v>15437</v>
      </c>
      <c r="C650" s="109">
        <v>46198</v>
      </c>
      <c r="D650" s="108"/>
      <c r="E650" s="108" t="s">
        <v>14605</v>
      </c>
      <c r="F650" s="108" t="s">
        <v>4124</v>
      </c>
      <c r="G650" s="110"/>
      <c r="H650" s="108"/>
      <c r="I650" s="108"/>
    </row>
    <row r="651" spans="1:9" ht="27.6">
      <c r="A651" s="108" t="s">
        <v>8278</v>
      </c>
      <c r="B651" s="108" t="s">
        <v>15438</v>
      </c>
      <c r="C651" s="109">
        <v>46236</v>
      </c>
      <c r="D651" s="108"/>
      <c r="E651" s="108" t="s">
        <v>14605</v>
      </c>
      <c r="F651" s="108" t="s">
        <v>15439</v>
      </c>
      <c r="G651" s="110"/>
      <c r="H651" s="108"/>
      <c r="I651" s="108"/>
    </row>
    <row r="652" spans="1:9" ht="27.6">
      <c r="A652" s="108" t="s">
        <v>8278</v>
      </c>
      <c r="B652" s="108" t="s">
        <v>15440</v>
      </c>
      <c r="C652" s="109">
        <v>46227</v>
      </c>
      <c r="D652" s="108"/>
      <c r="E652" s="108" t="s">
        <v>14605</v>
      </c>
      <c r="F652" s="108" t="s">
        <v>4947</v>
      </c>
      <c r="G652" s="110"/>
      <c r="H652" s="108"/>
      <c r="I652" s="108"/>
    </row>
    <row r="653" spans="1:9" ht="27.6">
      <c r="A653" s="108" t="s">
        <v>8278</v>
      </c>
      <c r="B653" s="108" t="s">
        <v>15441</v>
      </c>
      <c r="C653" s="109">
        <v>46266</v>
      </c>
      <c r="D653" s="108"/>
      <c r="E653" s="108" t="s">
        <v>14605</v>
      </c>
      <c r="F653" s="108" t="s">
        <v>1770</v>
      </c>
      <c r="G653" s="110"/>
      <c r="H653" s="108"/>
      <c r="I653" s="108"/>
    </row>
    <row r="654" spans="1:9" ht="27.6">
      <c r="A654" s="108" t="s">
        <v>15075</v>
      </c>
      <c r="B654" s="108" t="s">
        <v>15442</v>
      </c>
      <c r="C654" s="109">
        <v>46211</v>
      </c>
      <c r="D654" s="108"/>
      <c r="E654" s="108" t="s">
        <v>14605</v>
      </c>
      <c r="F654" s="108" t="s">
        <v>2475</v>
      </c>
      <c r="G654" s="110"/>
      <c r="H654" s="108"/>
      <c r="I654" s="108"/>
    </row>
    <row r="655" spans="1:9" ht="27.6">
      <c r="A655" s="108" t="s">
        <v>15075</v>
      </c>
      <c r="B655" s="108" t="s">
        <v>15443</v>
      </c>
      <c r="C655" s="109">
        <v>46210</v>
      </c>
      <c r="D655" s="108"/>
      <c r="E655" s="108" t="s">
        <v>14605</v>
      </c>
      <c r="F655" s="108" t="s">
        <v>15444</v>
      </c>
      <c r="G655" s="110"/>
      <c r="H655" s="108"/>
      <c r="I655" s="108"/>
    </row>
    <row r="656" spans="1:9" ht="27.6">
      <c r="A656" s="108" t="s">
        <v>15075</v>
      </c>
      <c r="B656" s="108" t="s">
        <v>15445</v>
      </c>
      <c r="C656" s="109">
        <v>46229</v>
      </c>
      <c r="D656" s="108"/>
      <c r="E656" s="108" t="s">
        <v>14605</v>
      </c>
      <c r="F656" s="108" t="s">
        <v>15446</v>
      </c>
      <c r="G656" s="110"/>
      <c r="H656" s="108"/>
      <c r="I656" s="108"/>
    </row>
    <row r="657" spans="1:9" ht="27.6">
      <c r="A657" s="108" t="s">
        <v>15075</v>
      </c>
      <c r="B657" s="108" t="s">
        <v>15447</v>
      </c>
      <c r="C657" s="109">
        <v>46220</v>
      </c>
      <c r="D657" s="108"/>
      <c r="E657" s="108" t="s">
        <v>14605</v>
      </c>
      <c r="F657" s="108" t="s">
        <v>15448</v>
      </c>
      <c r="G657" s="110"/>
      <c r="H657" s="108"/>
      <c r="I657" s="108"/>
    </row>
    <row r="658" spans="1:9" ht="27.6">
      <c r="A658" s="108" t="s">
        <v>15075</v>
      </c>
      <c r="B658" s="108" t="s">
        <v>15449</v>
      </c>
      <c r="C658" s="109">
        <v>46207</v>
      </c>
      <c r="D658" s="108"/>
      <c r="E658" s="108" t="s">
        <v>14605</v>
      </c>
      <c r="F658" s="108" t="s">
        <v>15450</v>
      </c>
      <c r="G658" s="110"/>
      <c r="H658" s="108"/>
      <c r="I658" s="108"/>
    </row>
    <row r="659" spans="1:9" ht="27.6">
      <c r="A659" s="108" t="s">
        <v>15075</v>
      </c>
      <c r="B659" s="108" t="s">
        <v>15451</v>
      </c>
      <c r="C659" s="109">
        <v>46211</v>
      </c>
      <c r="D659" s="108"/>
      <c r="E659" s="108" t="s">
        <v>14605</v>
      </c>
      <c r="F659" s="108" t="s">
        <v>2475</v>
      </c>
      <c r="G659" s="110"/>
      <c r="H659" s="108"/>
      <c r="I659" s="108"/>
    </row>
    <row r="660" spans="1:9" ht="27.6">
      <c r="A660" s="108" t="s">
        <v>15075</v>
      </c>
      <c r="B660" s="108" t="s">
        <v>15452</v>
      </c>
      <c r="C660" s="109">
        <v>46264</v>
      </c>
      <c r="D660" s="108"/>
      <c r="E660" s="108" t="s">
        <v>14605</v>
      </c>
      <c r="F660" s="108" t="s">
        <v>2224</v>
      </c>
      <c r="G660" s="110"/>
      <c r="H660" s="108"/>
      <c r="I660" s="108"/>
    </row>
    <row r="661" spans="1:9" ht="27.6">
      <c r="A661" s="108" t="s">
        <v>8278</v>
      </c>
      <c r="B661" s="108" t="s">
        <v>15453</v>
      </c>
      <c r="C661" s="109">
        <v>46230</v>
      </c>
      <c r="D661" s="108"/>
      <c r="E661" s="108" t="s">
        <v>14605</v>
      </c>
      <c r="F661" s="108" t="s">
        <v>4005</v>
      </c>
      <c r="G661" s="110"/>
      <c r="H661" s="108"/>
      <c r="I661" s="108"/>
    </row>
    <row r="662" spans="1:9" ht="27.6">
      <c r="A662" s="108" t="s">
        <v>15075</v>
      </c>
      <c r="B662" s="108" t="s">
        <v>15454</v>
      </c>
      <c r="C662" s="109">
        <v>46252</v>
      </c>
      <c r="D662" s="108"/>
      <c r="E662" s="108" t="s">
        <v>14605</v>
      </c>
      <c r="F662" s="108" t="s">
        <v>3119</v>
      </c>
      <c r="G662" s="110"/>
      <c r="H662" s="108"/>
      <c r="I662" s="108"/>
    </row>
    <row r="663" spans="1:9" ht="27.6">
      <c r="A663" s="108" t="s">
        <v>15075</v>
      </c>
      <c r="B663" s="108" t="s">
        <v>15455</v>
      </c>
      <c r="C663" s="109">
        <v>46280</v>
      </c>
      <c r="D663" s="108"/>
      <c r="E663" s="108" t="s">
        <v>14605</v>
      </c>
      <c r="F663" s="108" t="s">
        <v>5298</v>
      </c>
      <c r="G663" s="110"/>
      <c r="H663" s="108"/>
      <c r="I663" s="108"/>
    </row>
    <row r="664" spans="1:9" ht="27.6">
      <c r="A664" s="108" t="s">
        <v>15075</v>
      </c>
      <c r="B664" s="108" t="s">
        <v>15456</v>
      </c>
      <c r="C664" s="109">
        <v>46252</v>
      </c>
      <c r="D664" s="108"/>
      <c r="E664" s="108" t="s">
        <v>14605</v>
      </c>
      <c r="F664" s="108" t="s">
        <v>3119</v>
      </c>
      <c r="G664" s="110"/>
      <c r="H664" s="108"/>
      <c r="I664" s="108"/>
    </row>
    <row r="665" spans="1:9" ht="27.6">
      <c r="A665" s="108" t="s">
        <v>15075</v>
      </c>
      <c r="B665" s="108" t="s">
        <v>15457</v>
      </c>
      <c r="C665" s="109">
        <v>46241</v>
      </c>
      <c r="D665" s="108"/>
      <c r="E665" s="108" t="s">
        <v>14605</v>
      </c>
      <c r="F665" s="108" t="s">
        <v>5281</v>
      </c>
      <c r="G665" s="110"/>
      <c r="H665" s="108"/>
      <c r="I665" s="108"/>
    </row>
    <row r="666" spans="1:9" ht="41.4">
      <c r="A666" s="108" t="s">
        <v>15075</v>
      </c>
      <c r="B666" s="108" t="s">
        <v>15458</v>
      </c>
      <c r="C666" s="109">
        <v>46255</v>
      </c>
      <c r="D666" s="108"/>
      <c r="E666" s="108" t="s">
        <v>14605</v>
      </c>
      <c r="F666" s="108" t="s">
        <v>15459</v>
      </c>
      <c r="G666" s="110"/>
      <c r="H666" s="108"/>
      <c r="I666" s="108"/>
    </row>
    <row r="667" spans="1:9" ht="27.6">
      <c r="A667" s="108" t="s">
        <v>15075</v>
      </c>
      <c r="B667" s="108" t="s">
        <v>15460</v>
      </c>
      <c r="C667" s="109">
        <v>46263</v>
      </c>
      <c r="D667" s="108"/>
      <c r="E667" s="108" t="s">
        <v>14605</v>
      </c>
      <c r="F667" s="108" t="s">
        <v>15461</v>
      </c>
      <c r="G667" s="110"/>
      <c r="H667" s="108"/>
      <c r="I667" s="108"/>
    </row>
    <row r="668" spans="1:9" ht="27.6">
      <c r="A668" s="108" t="s">
        <v>15075</v>
      </c>
      <c r="B668" s="108" t="s">
        <v>15462</v>
      </c>
      <c r="C668" s="109">
        <v>46282</v>
      </c>
      <c r="D668" s="108"/>
      <c r="E668" s="108" t="s">
        <v>14605</v>
      </c>
      <c r="F668" s="108" t="s">
        <v>15463</v>
      </c>
      <c r="G668" s="110"/>
      <c r="H668" s="108"/>
      <c r="I668" s="108"/>
    </row>
    <row r="669" spans="1:9">
      <c r="A669" s="108"/>
      <c r="B669" s="108" t="s">
        <v>15464</v>
      </c>
      <c r="C669" s="109">
        <v>41571</v>
      </c>
      <c r="D669" s="108"/>
      <c r="E669" s="108" t="s">
        <v>14611</v>
      </c>
      <c r="F669" s="108" t="s">
        <v>15465</v>
      </c>
      <c r="G669" s="110"/>
      <c r="H669" s="108"/>
      <c r="I669" s="108"/>
    </row>
    <row r="670" spans="1:9" ht="27.6">
      <c r="A670" s="108"/>
      <c r="B670" s="108" t="s">
        <v>15466</v>
      </c>
      <c r="C670" s="109">
        <v>40937</v>
      </c>
      <c r="D670" s="108"/>
      <c r="E670" s="108" t="s">
        <v>14611</v>
      </c>
      <c r="F670" s="108" t="s">
        <v>15467</v>
      </c>
      <c r="G670" s="110"/>
      <c r="H670" s="108"/>
      <c r="I670" s="108"/>
    </row>
    <row r="671" spans="1:9">
      <c r="A671" s="108"/>
      <c r="B671" s="108" t="s">
        <v>2648</v>
      </c>
      <c r="C671" s="109">
        <v>41287</v>
      </c>
      <c r="D671" s="108"/>
      <c r="E671" s="108" t="s">
        <v>14611</v>
      </c>
      <c r="F671" s="108" t="s">
        <v>2622</v>
      </c>
      <c r="G671" s="110"/>
      <c r="H671" s="108"/>
      <c r="I671" s="108"/>
    </row>
    <row r="672" spans="1:9">
      <c r="A672" s="108"/>
      <c r="B672" s="108" t="s">
        <v>15468</v>
      </c>
      <c r="C672" s="109">
        <v>41571</v>
      </c>
      <c r="D672" s="108"/>
      <c r="E672" s="108" t="s">
        <v>14611</v>
      </c>
      <c r="F672" s="108" t="s">
        <v>15465</v>
      </c>
      <c r="G672" s="110"/>
      <c r="H672" s="108"/>
      <c r="I672" s="108"/>
    </row>
    <row r="673" spans="1:9">
      <c r="A673" s="108"/>
      <c r="B673" s="108" t="s">
        <v>15469</v>
      </c>
      <c r="C673" s="109">
        <v>41625</v>
      </c>
      <c r="D673" s="108"/>
      <c r="E673" s="108" t="s">
        <v>14611</v>
      </c>
      <c r="F673" s="108" t="s">
        <v>15470</v>
      </c>
      <c r="G673" s="110"/>
      <c r="H673" s="108"/>
      <c r="I673" s="108"/>
    </row>
    <row r="674" spans="1:9" ht="27.6">
      <c r="A674" s="108"/>
      <c r="B674" s="108" t="s">
        <v>15471</v>
      </c>
      <c r="C674" s="109">
        <v>41780</v>
      </c>
      <c r="D674" s="108"/>
      <c r="E674" s="108" t="s">
        <v>14611</v>
      </c>
      <c r="F674" s="108" t="s">
        <v>15472</v>
      </c>
      <c r="G674" s="110"/>
      <c r="H674" s="108"/>
      <c r="I674" s="108"/>
    </row>
    <row r="675" spans="1:9">
      <c r="A675" s="108"/>
      <c r="B675" s="108" t="s">
        <v>2669</v>
      </c>
      <c r="C675" s="109">
        <v>41922</v>
      </c>
      <c r="D675" s="108"/>
      <c r="E675" s="108" t="s">
        <v>14611</v>
      </c>
      <c r="F675" s="108" t="s">
        <v>2664</v>
      </c>
      <c r="G675" s="110"/>
      <c r="H675" s="108"/>
      <c r="I675" s="108"/>
    </row>
    <row r="676" spans="1:9" ht="27.6">
      <c r="A676" s="108"/>
      <c r="B676" s="108" t="s">
        <v>15473</v>
      </c>
      <c r="C676" s="109">
        <v>43644</v>
      </c>
      <c r="D676" s="108"/>
      <c r="E676" s="108" t="s">
        <v>14611</v>
      </c>
      <c r="F676" s="108" t="s">
        <v>15474</v>
      </c>
      <c r="G676" s="110"/>
      <c r="H676" s="108"/>
      <c r="I676" s="108"/>
    </row>
    <row r="677" spans="1:9">
      <c r="A677" s="108" t="s">
        <v>227</v>
      </c>
      <c r="B677" s="108" t="s">
        <v>257</v>
      </c>
      <c r="C677" s="109">
        <v>43819</v>
      </c>
      <c r="D677" s="108"/>
      <c r="E677" s="108" t="s">
        <v>14605</v>
      </c>
      <c r="F677" s="108" t="s">
        <v>258</v>
      </c>
      <c r="G677" s="110"/>
      <c r="H677" s="108"/>
      <c r="I677" s="108"/>
    </row>
    <row r="678" spans="1:9">
      <c r="A678" s="108"/>
      <c r="B678" s="108" t="s">
        <v>15475</v>
      </c>
      <c r="C678" s="109">
        <v>41724</v>
      </c>
      <c r="D678" s="108"/>
      <c r="E678" s="108" t="s">
        <v>14611</v>
      </c>
      <c r="F678" s="108" t="s">
        <v>15476</v>
      </c>
      <c r="G678" s="110"/>
      <c r="H678" s="108"/>
      <c r="I678" s="108"/>
    </row>
    <row r="679" spans="1:9" ht="27.6">
      <c r="A679" s="108" t="s">
        <v>2002</v>
      </c>
      <c r="B679" s="108" t="s">
        <v>15477</v>
      </c>
      <c r="C679" s="109">
        <v>41302</v>
      </c>
      <c r="D679" s="108"/>
      <c r="E679" s="108" t="s">
        <v>14611</v>
      </c>
      <c r="F679" s="108" t="s">
        <v>14959</v>
      </c>
      <c r="G679" s="110"/>
      <c r="H679" s="108"/>
      <c r="I679" s="108"/>
    </row>
    <row r="680" spans="1:9" ht="41.4">
      <c r="A680" s="108" t="s">
        <v>15478</v>
      </c>
      <c r="B680" s="108" t="s">
        <v>15479</v>
      </c>
      <c r="C680" s="109">
        <v>45635</v>
      </c>
      <c r="D680" s="108"/>
      <c r="E680" s="108" t="s">
        <v>14605</v>
      </c>
      <c r="F680" s="108" t="s">
        <v>15480</v>
      </c>
      <c r="G680" s="110"/>
      <c r="H680" s="108"/>
      <c r="I680" s="108"/>
    </row>
    <row r="681" spans="1:9" ht="27.6">
      <c r="A681" s="108" t="s">
        <v>15478</v>
      </c>
      <c r="B681" s="108" t="s">
        <v>15481</v>
      </c>
      <c r="C681" s="109">
        <v>45643</v>
      </c>
      <c r="D681" s="108"/>
      <c r="E681" s="108" t="s">
        <v>14605</v>
      </c>
      <c r="F681" s="108" t="s">
        <v>15482</v>
      </c>
      <c r="G681" s="110"/>
      <c r="H681" s="108"/>
      <c r="I681" s="108"/>
    </row>
    <row r="682" spans="1:9" ht="27.6">
      <c r="A682" s="108" t="s">
        <v>15478</v>
      </c>
      <c r="B682" s="108" t="s">
        <v>15483</v>
      </c>
      <c r="C682" s="109">
        <v>45639</v>
      </c>
      <c r="D682" s="108"/>
      <c r="E682" s="108" t="s">
        <v>14605</v>
      </c>
      <c r="F682" s="108" t="s">
        <v>15484</v>
      </c>
      <c r="G682" s="110"/>
      <c r="H682" s="108"/>
      <c r="I682" s="108"/>
    </row>
    <row r="683" spans="1:9" ht="27.6">
      <c r="A683" s="108" t="s">
        <v>15478</v>
      </c>
      <c r="B683" s="108" t="s">
        <v>15485</v>
      </c>
      <c r="C683" s="109">
        <v>45714</v>
      </c>
      <c r="D683" s="108"/>
      <c r="E683" s="108" t="s">
        <v>14605</v>
      </c>
      <c r="F683" s="108" t="s">
        <v>15486</v>
      </c>
      <c r="G683" s="110"/>
      <c r="H683" s="108"/>
      <c r="I683" s="108"/>
    </row>
    <row r="684" spans="1:9" ht="27.6">
      <c r="A684" s="108" t="s">
        <v>15478</v>
      </c>
      <c r="B684" s="108" t="s">
        <v>15487</v>
      </c>
      <c r="C684" s="109">
        <v>45680</v>
      </c>
      <c r="D684" s="108"/>
      <c r="E684" s="108" t="s">
        <v>14605</v>
      </c>
      <c r="F684" s="108" t="s">
        <v>15488</v>
      </c>
      <c r="G684" s="110"/>
      <c r="H684" s="108"/>
      <c r="I684" s="108"/>
    </row>
    <row r="685" spans="1:9" ht="27.6">
      <c r="A685" s="108" t="s">
        <v>15478</v>
      </c>
      <c r="B685" s="108" t="s">
        <v>15489</v>
      </c>
      <c r="C685" s="109">
        <v>45724</v>
      </c>
      <c r="D685" s="108"/>
      <c r="E685" s="108" t="s">
        <v>14605</v>
      </c>
      <c r="F685" s="108" t="s">
        <v>15490</v>
      </c>
      <c r="G685" s="110"/>
      <c r="H685" s="108"/>
      <c r="I685" s="108"/>
    </row>
    <row r="686" spans="1:9" ht="27.6">
      <c r="A686" s="108" t="s">
        <v>15075</v>
      </c>
      <c r="B686" s="108" t="s">
        <v>15491</v>
      </c>
      <c r="C686" s="109">
        <v>45725</v>
      </c>
      <c r="D686" s="108"/>
      <c r="E686" s="108" t="s">
        <v>14605</v>
      </c>
      <c r="F686" s="108" t="s">
        <v>15490</v>
      </c>
      <c r="G686" s="110"/>
      <c r="H686" s="108"/>
      <c r="I686" s="108"/>
    </row>
    <row r="687" spans="1:9" ht="27.6">
      <c r="A687" s="108" t="s">
        <v>15075</v>
      </c>
      <c r="B687" s="108" t="s">
        <v>15492</v>
      </c>
      <c r="C687" s="109">
        <v>45749</v>
      </c>
      <c r="D687" s="108"/>
      <c r="E687" s="108" t="s">
        <v>14605</v>
      </c>
      <c r="F687" s="108" t="s">
        <v>15490</v>
      </c>
      <c r="G687" s="110"/>
      <c r="H687" s="108"/>
      <c r="I687" s="108"/>
    </row>
    <row r="688" spans="1:9" ht="27.6">
      <c r="A688" s="108" t="s">
        <v>15478</v>
      </c>
      <c r="B688" s="108" t="s">
        <v>15493</v>
      </c>
      <c r="C688" s="109">
        <v>45750</v>
      </c>
      <c r="D688" s="108"/>
      <c r="E688" s="108" t="s">
        <v>14605</v>
      </c>
      <c r="F688" s="108" t="s">
        <v>15494</v>
      </c>
      <c r="G688" s="110"/>
      <c r="H688" s="108"/>
      <c r="I688" s="108"/>
    </row>
    <row r="689" spans="1:9" ht="27.6">
      <c r="A689" s="108" t="s">
        <v>15478</v>
      </c>
      <c r="B689" s="108" t="s">
        <v>15495</v>
      </c>
      <c r="C689" s="109">
        <v>45765</v>
      </c>
      <c r="D689" s="108"/>
      <c r="E689" s="108" t="s">
        <v>14605</v>
      </c>
      <c r="F689" s="108" t="s">
        <v>15496</v>
      </c>
      <c r="G689" s="110"/>
      <c r="H689" s="108"/>
      <c r="I689" s="108"/>
    </row>
    <row r="690" spans="1:9" ht="27.6">
      <c r="A690" s="108" t="s">
        <v>15478</v>
      </c>
      <c r="B690" s="108" t="s">
        <v>15497</v>
      </c>
      <c r="C690" s="109">
        <v>45923</v>
      </c>
      <c r="D690" s="108"/>
      <c r="E690" s="108" t="s">
        <v>14605</v>
      </c>
      <c r="F690" s="108" t="s">
        <v>15498</v>
      </c>
      <c r="G690" s="110"/>
      <c r="H690" s="108"/>
      <c r="I690" s="108"/>
    </row>
    <row r="691" spans="1:9" ht="27.6">
      <c r="A691" s="108" t="s">
        <v>15478</v>
      </c>
      <c r="B691" s="108" t="s">
        <v>15499</v>
      </c>
      <c r="C691" s="109">
        <v>45971</v>
      </c>
      <c r="D691" s="108"/>
      <c r="E691" s="108" t="s">
        <v>14605</v>
      </c>
      <c r="F691" s="108" t="s">
        <v>15500</v>
      </c>
      <c r="G691" s="110"/>
      <c r="H691" s="108"/>
      <c r="I691" s="108"/>
    </row>
    <row r="692" spans="1:9" ht="27.6">
      <c r="A692" s="108" t="s">
        <v>15478</v>
      </c>
      <c r="B692" s="108" t="s">
        <v>15501</v>
      </c>
      <c r="C692" s="109">
        <v>45975</v>
      </c>
      <c r="D692" s="108"/>
      <c r="E692" s="108" t="s">
        <v>14605</v>
      </c>
      <c r="F692" s="108" t="s">
        <v>15502</v>
      </c>
      <c r="G692" s="110"/>
      <c r="H692" s="108"/>
      <c r="I692" s="108"/>
    </row>
    <row r="693" spans="1:9" ht="27.6">
      <c r="A693" s="108" t="s">
        <v>15478</v>
      </c>
      <c r="B693" s="108" t="s">
        <v>15503</v>
      </c>
      <c r="C693" s="109">
        <v>45975</v>
      </c>
      <c r="D693" s="108"/>
      <c r="E693" s="108" t="s">
        <v>14605</v>
      </c>
      <c r="F693" s="108" t="s">
        <v>15502</v>
      </c>
      <c r="G693" s="110"/>
      <c r="H693" s="108"/>
      <c r="I693" s="108"/>
    </row>
    <row r="694" spans="1:9" ht="27.6">
      <c r="A694" s="108" t="s">
        <v>15478</v>
      </c>
      <c r="B694" s="108" t="s">
        <v>15504</v>
      </c>
      <c r="C694" s="109">
        <v>46003</v>
      </c>
      <c r="D694" s="108"/>
      <c r="E694" s="108" t="s">
        <v>14605</v>
      </c>
      <c r="F694" s="108" t="s">
        <v>15505</v>
      </c>
      <c r="G694" s="110"/>
      <c r="H694" s="108"/>
      <c r="I694" s="108"/>
    </row>
    <row r="695" spans="1:9" ht="27.6">
      <c r="A695" s="108" t="s">
        <v>15478</v>
      </c>
      <c r="B695" s="108" t="s">
        <v>15506</v>
      </c>
      <c r="C695" s="109">
        <v>46135</v>
      </c>
      <c r="D695" s="108"/>
      <c r="E695" s="108" t="s">
        <v>14605</v>
      </c>
      <c r="F695" s="108" t="s">
        <v>15507</v>
      </c>
      <c r="G695" s="110"/>
      <c r="H695" s="108"/>
      <c r="I695" s="108"/>
    </row>
    <row r="696" spans="1:9" ht="27.6">
      <c r="A696" s="108" t="s">
        <v>15478</v>
      </c>
      <c r="B696" s="108" t="s">
        <v>15508</v>
      </c>
      <c r="C696" s="109">
        <v>46136</v>
      </c>
      <c r="D696" s="108"/>
      <c r="E696" s="108" t="s">
        <v>14605</v>
      </c>
      <c r="F696" s="108" t="s">
        <v>15509</v>
      </c>
      <c r="G696" s="110"/>
      <c r="H696" s="108"/>
      <c r="I696" s="108"/>
    </row>
    <row r="697" spans="1:9" ht="27.6">
      <c r="A697" s="108" t="s">
        <v>15478</v>
      </c>
      <c r="B697" s="108" t="s">
        <v>15510</v>
      </c>
      <c r="C697" s="109">
        <v>46136</v>
      </c>
      <c r="D697" s="108"/>
      <c r="E697" s="108" t="s">
        <v>14605</v>
      </c>
      <c r="F697" s="108" t="s">
        <v>15509</v>
      </c>
      <c r="G697" s="110"/>
      <c r="H697" s="108"/>
      <c r="I697" s="108"/>
    </row>
    <row r="698" spans="1:9" ht="27.6">
      <c r="A698" s="108" t="s">
        <v>14607</v>
      </c>
      <c r="B698" s="108" t="s">
        <v>15511</v>
      </c>
      <c r="C698" s="109">
        <v>38301</v>
      </c>
      <c r="D698" s="108"/>
      <c r="E698" s="108" t="s">
        <v>14611</v>
      </c>
      <c r="F698" s="108" t="s">
        <v>15512</v>
      </c>
      <c r="G698" s="110"/>
      <c r="H698" s="108"/>
      <c r="I698" s="108"/>
    </row>
    <row r="699" spans="1:9">
      <c r="A699" s="108"/>
      <c r="B699" s="108" t="s">
        <v>15513</v>
      </c>
      <c r="C699" s="109">
        <v>38968</v>
      </c>
      <c r="D699" s="108"/>
      <c r="E699" s="108" t="s">
        <v>14611</v>
      </c>
      <c r="F699" s="108" t="s">
        <v>2853</v>
      </c>
      <c r="G699" s="110"/>
      <c r="H699" s="108"/>
      <c r="I699" s="108"/>
    </row>
    <row r="700" spans="1:9" ht="27.6">
      <c r="A700" s="108" t="s">
        <v>14607</v>
      </c>
      <c r="B700" s="108" t="s">
        <v>15514</v>
      </c>
      <c r="C700" s="109">
        <v>37987</v>
      </c>
      <c r="D700" s="108"/>
      <c r="E700" s="108" t="s">
        <v>14611</v>
      </c>
      <c r="F700" s="108" t="s">
        <v>15515</v>
      </c>
      <c r="G700" s="110"/>
      <c r="H700" s="108"/>
      <c r="I700" s="108"/>
    </row>
    <row r="701" spans="1:9">
      <c r="A701" s="108"/>
      <c r="B701" s="108" t="s">
        <v>15516</v>
      </c>
      <c r="C701" s="109">
        <v>39143</v>
      </c>
      <c r="D701" s="108"/>
      <c r="E701" s="108" t="s">
        <v>14611</v>
      </c>
      <c r="F701" s="108" t="s">
        <v>15517</v>
      </c>
      <c r="G701" s="110"/>
      <c r="H701" s="108"/>
      <c r="I701" s="108"/>
    </row>
    <row r="702" spans="1:9">
      <c r="A702" s="108"/>
      <c r="B702" s="108" t="s">
        <v>15518</v>
      </c>
      <c r="C702" s="109">
        <v>38398</v>
      </c>
      <c r="D702" s="108"/>
      <c r="E702" s="108" t="s">
        <v>14611</v>
      </c>
      <c r="F702" s="108" t="s">
        <v>4887</v>
      </c>
      <c r="G702" s="110"/>
      <c r="H702" s="108"/>
      <c r="I702" s="108"/>
    </row>
    <row r="703" spans="1:9">
      <c r="A703" s="108"/>
      <c r="B703" s="108" t="s">
        <v>15519</v>
      </c>
      <c r="C703" s="109">
        <v>39211</v>
      </c>
      <c r="D703" s="108"/>
      <c r="E703" s="108" t="s">
        <v>14611</v>
      </c>
      <c r="F703" s="108" t="s">
        <v>15520</v>
      </c>
      <c r="G703" s="110"/>
      <c r="H703" s="108"/>
      <c r="I703" s="108"/>
    </row>
    <row r="704" spans="1:9" ht="27.6">
      <c r="A704" s="108" t="s">
        <v>14607</v>
      </c>
      <c r="B704" s="108" t="s">
        <v>15521</v>
      </c>
      <c r="C704" s="109">
        <v>38228</v>
      </c>
      <c r="D704" s="108"/>
      <c r="E704" s="108" t="s">
        <v>14611</v>
      </c>
      <c r="F704" s="108" t="s">
        <v>15522</v>
      </c>
      <c r="G704" s="110"/>
      <c r="H704" s="108"/>
      <c r="I704" s="108"/>
    </row>
    <row r="705" spans="1:9" ht="27.6">
      <c r="A705" s="108" t="s">
        <v>14607</v>
      </c>
      <c r="B705" s="108" t="s">
        <v>15523</v>
      </c>
      <c r="C705" s="109">
        <v>39969</v>
      </c>
      <c r="D705" s="108"/>
      <c r="E705" s="108" t="s">
        <v>14611</v>
      </c>
      <c r="F705" s="108" t="s">
        <v>2886</v>
      </c>
      <c r="G705" s="110"/>
      <c r="H705" s="108"/>
      <c r="I705" s="108"/>
    </row>
    <row r="706" spans="1:9">
      <c r="A706" s="108"/>
      <c r="B706" s="108" t="s">
        <v>15524</v>
      </c>
      <c r="C706" s="109">
        <v>38358</v>
      </c>
      <c r="D706" s="108"/>
      <c r="E706" s="108" t="s">
        <v>14611</v>
      </c>
      <c r="F706" s="108" t="s">
        <v>3109</v>
      </c>
      <c r="G706" s="110"/>
      <c r="H706" s="108"/>
      <c r="I706" s="108"/>
    </row>
    <row r="707" spans="1:9">
      <c r="A707" s="108"/>
      <c r="B707" s="108" t="s">
        <v>15525</v>
      </c>
      <c r="C707" s="109">
        <v>38845</v>
      </c>
      <c r="D707" s="108"/>
      <c r="E707" s="108" t="s">
        <v>14611</v>
      </c>
      <c r="F707" s="108" t="s">
        <v>15526</v>
      </c>
      <c r="G707" s="110"/>
      <c r="H707" s="108"/>
      <c r="I707" s="108"/>
    </row>
    <row r="708" spans="1:9" ht="27.6">
      <c r="A708" s="108" t="s">
        <v>14607</v>
      </c>
      <c r="B708" s="108" t="s">
        <v>15527</v>
      </c>
      <c r="C708" s="109">
        <v>38519</v>
      </c>
      <c r="D708" s="108"/>
      <c r="E708" s="108" t="s">
        <v>14611</v>
      </c>
      <c r="F708" s="108" t="s">
        <v>15528</v>
      </c>
      <c r="G708" s="110"/>
      <c r="H708" s="108"/>
      <c r="I708" s="108"/>
    </row>
    <row r="709" spans="1:9" ht="27.6">
      <c r="A709" s="108" t="s">
        <v>14607</v>
      </c>
      <c r="B709" s="108" t="s">
        <v>15529</v>
      </c>
      <c r="C709" s="109">
        <v>38603</v>
      </c>
      <c r="D709" s="108"/>
      <c r="E709" s="108" t="s">
        <v>14611</v>
      </c>
      <c r="F709" s="108" t="s">
        <v>15530</v>
      </c>
      <c r="G709" s="110"/>
      <c r="H709" s="108"/>
      <c r="I709" s="108"/>
    </row>
    <row r="710" spans="1:9" ht="27.6">
      <c r="A710" s="108" t="s">
        <v>14607</v>
      </c>
      <c r="B710" s="108" t="s">
        <v>15531</v>
      </c>
      <c r="C710" s="109">
        <v>38260</v>
      </c>
      <c r="D710" s="108"/>
      <c r="E710" s="108" t="s">
        <v>14611</v>
      </c>
      <c r="F710" s="108" t="s">
        <v>15532</v>
      </c>
      <c r="G710" s="110"/>
      <c r="H710" s="108"/>
      <c r="I710" s="108"/>
    </row>
    <row r="711" spans="1:9">
      <c r="A711" s="108"/>
      <c r="B711" s="108" t="s">
        <v>15533</v>
      </c>
      <c r="C711" s="109">
        <v>40270</v>
      </c>
      <c r="D711" s="108"/>
      <c r="E711" s="108" t="s">
        <v>14611</v>
      </c>
      <c r="F711" s="108" t="s">
        <v>2664</v>
      </c>
      <c r="G711" s="110"/>
      <c r="H711" s="108"/>
      <c r="I711" s="108"/>
    </row>
    <row r="712" spans="1:9" ht="27.6">
      <c r="A712" s="108" t="s">
        <v>14607</v>
      </c>
      <c r="B712" s="108" t="s">
        <v>15534</v>
      </c>
      <c r="C712" s="109">
        <v>38692</v>
      </c>
      <c r="D712" s="108"/>
      <c r="E712" s="108" t="s">
        <v>14611</v>
      </c>
      <c r="F712" s="108" t="s">
        <v>15535</v>
      </c>
      <c r="G712" s="110"/>
      <c r="H712" s="108"/>
      <c r="I712" s="108"/>
    </row>
    <row r="713" spans="1:9" ht="27.6">
      <c r="A713" s="108" t="s">
        <v>14607</v>
      </c>
      <c r="B713" s="108" t="s">
        <v>15536</v>
      </c>
      <c r="C713" s="109">
        <v>38392</v>
      </c>
      <c r="D713" s="108"/>
      <c r="E713" s="108" t="s">
        <v>14611</v>
      </c>
      <c r="F713" s="108" t="s">
        <v>15537</v>
      </c>
      <c r="G713" s="110"/>
      <c r="H713" s="108"/>
      <c r="I713" s="108"/>
    </row>
    <row r="714" spans="1:9">
      <c r="A714" s="108"/>
      <c r="B714" s="108" t="s">
        <v>15538</v>
      </c>
      <c r="C714" s="109">
        <v>39912</v>
      </c>
      <c r="D714" s="108"/>
      <c r="E714" s="108" t="s">
        <v>14611</v>
      </c>
      <c r="F714" s="108" t="s">
        <v>4889</v>
      </c>
      <c r="G714" s="110"/>
      <c r="H714" s="108"/>
      <c r="I714" s="108"/>
    </row>
    <row r="715" spans="1:9" ht="27.6">
      <c r="A715" s="108" t="s">
        <v>14607</v>
      </c>
      <c r="B715" s="108" t="s">
        <v>15539</v>
      </c>
      <c r="C715" s="109">
        <v>38435</v>
      </c>
      <c r="D715" s="108"/>
      <c r="E715" s="108" t="s">
        <v>14611</v>
      </c>
      <c r="F715" s="108" t="s">
        <v>15540</v>
      </c>
      <c r="G715" s="110"/>
      <c r="H715" s="108"/>
      <c r="I715" s="108"/>
    </row>
    <row r="716" spans="1:9" ht="27.6">
      <c r="A716" s="108" t="s">
        <v>14607</v>
      </c>
      <c r="B716" s="108" t="s">
        <v>15541</v>
      </c>
      <c r="C716" s="109">
        <v>38575</v>
      </c>
      <c r="D716" s="108"/>
      <c r="E716" s="108" t="s">
        <v>14611</v>
      </c>
      <c r="F716" s="108" t="s">
        <v>2853</v>
      </c>
      <c r="G716" s="110"/>
      <c r="H716" s="108"/>
      <c r="I716" s="108"/>
    </row>
    <row r="717" spans="1:9">
      <c r="A717" s="108"/>
      <c r="B717" s="108" t="s">
        <v>15542</v>
      </c>
      <c r="C717" s="109">
        <v>38518</v>
      </c>
      <c r="D717" s="108"/>
      <c r="E717" s="108" t="s">
        <v>14611</v>
      </c>
      <c r="F717" s="108" t="s">
        <v>15543</v>
      </c>
      <c r="G717" s="110"/>
      <c r="H717" s="108"/>
      <c r="I717" s="108"/>
    </row>
    <row r="718" spans="1:9" ht="27.6">
      <c r="A718" s="108" t="s">
        <v>14607</v>
      </c>
      <c r="B718" s="108" t="s">
        <v>15544</v>
      </c>
      <c r="C718" s="109">
        <v>38751</v>
      </c>
      <c r="D718" s="108"/>
      <c r="E718" s="108" t="s">
        <v>14611</v>
      </c>
      <c r="F718" s="108" t="s">
        <v>15251</v>
      </c>
      <c r="G718" s="110"/>
      <c r="H718" s="108"/>
      <c r="I718" s="108"/>
    </row>
    <row r="719" spans="1:9" ht="27.6">
      <c r="A719" s="108" t="s">
        <v>14607</v>
      </c>
      <c r="B719" s="108" t="s">
        <v>15545</v>
      </c>
      <c r="C719" s="109">
        <v>38727</v>
      </c>
      <c r="D719" s="108"/>
      <c r="E719" s="108" t="s">
        <v>14611</v>
      </c>
      <c r="F719" s="108" t="s">
        <v>15546</v>
      </c>
      <c r="G719" s="110"/>
      <c r="H719" s="108"/>
      <c r="I719" s="108"/>
    </row>
    <row r="720" spans="1:9" ht="27.6">
      <c r="A720" s="108" t="s">
        <v>14607</v>
      </c>
      <c r="B720" s="108" t="s">
        <v>15547</v>
      </c>
      <c r="C720" s="109">
        <v>38728</v>
      </c>
      <c r="D720" s="108"/>
      <c r="E720" s="108" t="s">
        <v>14611</v>
      </c>
      <c r="F720" s="108" t="s">
        <v>3839</v>
      </c>
      <c r="G720" s="110"/>
      <c r="H720" s="108"/>
      <c r="I720" s="108"/>
    </row>
    <row r="721" spans="1:9" ht="27.6">
      <c r="A721" s="108" t="s">
        <v>14607</v>
      </c>
      <c r="B721" s="108" t="s">
        <v>15548</v>
      </c>
      <c r="C721" s="109">
        <v>38740</v>
      </c>
      <c r="D721" s="108"/>
      <c r="E721" s="108" t="s">
        <v>14611</v>
      </c>
      <c r="F721" s="108" t="s">
        <v>4365</v>
      </c>
      <c r="G721" s="110"/>
      <c r="H721" s="108"/>
      <c r="I721" s="108"/>
    </row>
    <row r="722" spans="1:9" ht="27.6">
      <c r="A722" s="108" t="s">
        <v>14607</v>
      </c>
      <c r="B722" s="108" t="s">
        <v>15549</v>
      </c>
      <c r="C722" s="109">
        <v>39577</v>
      </c>
      <c r="D722" s="108"/>
      <c r="E722" s="108" t="s">
        <v>14611</v>
      </c>
      <c r="F722" s="108" t="s">
        <v>4515</v>
      </c>
      <c r="G722" s="110"/>
      <c r="H722" s="108"/>
      <c r="I722" s="108"/>
    </row>
    <row r="723" spans="1:9" ht="27.6">
      <c r="A723" s="108" t="s">
        <v>14607</v>
      </c>
      <c r="B723" s="108" t="s">
        <v>15550</v>
      </c>
      <c r="C723" s="109">
        <v>40330</v>
      </c>
      <c r="D723" s="108"/>
      <c r="E723" s="108" t="s">
        <v>14611</v>
      </c>
      <c r="F723" s="108" t="s">
        <v>15551</v>
      </c>
      <c r="G723" s="110"/>
      <c r="H723" s="108"/>
      <c r="I723" s="108"/>
    </row>
    <row r="724" spans="1:9">
      <c r="A724" s="108"/>
      <c r="B724" s="108" t="s">
        <v>15552</v>
      </c>
      <c r="C724" s="109">
        <v>40238</v>
      </c>
      <c r="D724" s="108"/>
      <c r="E724" s="108" t="s">
        <v>14611</v>
      </c>
      <c r="F724" s="108" t="s">
        <v>3261</v>
      </c>
      <c r="G724" s="110"/>
      <c r="H724" s="108"/>
      <c r="I724" s="108"/>
    </row>
    <row r="725" spans="1:9" ht="27.6">
      <c r="A725" s="108" t="s">
        <v>14607</v>
      </c>
      <c r="B725" s="108" t="s">
        <v>15553</v>
      </c>
      <c r="C725" s="109">
        <v>41502</v>
      </c>
      <c r="D725" s="108"/>
      <c r="E725" s="108" t="s">
        <v>14611</v>
      </c>
      <c r="F725" s="108" t="s">
        <v>15554</v>
      </c>
      <c r="G725" s="110"/>
      <c r="H725" s="108"/>
      <c r="I725" s="108"/>
    </row>
    <row r="726" spans="1:9" ht="27.6">
      <c r="A726" s="108" t="s">
        <v>14607</v>
      </c>
      <c r="B726" s="108" t="s">
        <v>15555</v>
      </c>
      <c r="C726" s="109">
        <v>39736</v>
      </c>
      <c r="D726" s="108"/>
      <c r="E726" s="108" t="s">
        <v>14611</v>
      </c>
      <c r="F726" s="108" t="s">
        <v>889</v>
      </c>
      <c r="G726" s="110"/>
      <c r="H726" s="108"/>
      <c r="I726" s="108"/>
    </row>
    <row r="727" spans="1:9" ht="27.6">
      <c r="A727" s="108" t="s">
        <v>14607</v>
      </c>
      <c r="B727" s="108" t="s">
        <v>15556</v>
      </c>
      <c r="C727" s="109">
        <v>39874</v>
      </c>
      <c r="D727" s="108"/>
      <c r="E727" s="108" t="s">
        <v>14611</v>
      </c>
      <c r="F727" s="108" t="s">
        <v>1519</v>
      </c>
      <c r="G727" s="110"/>
      <c r="H727" s="108"/>
      <c r="I727" s="108"/>
    </row>
    <row r="728" spans="1:9" ht="27.6">
      <c r="A728" s="108" t="s">
        <v>14607</v>
      </c>
      <c r="B728" s="108" t="s">
        <v>15557</v>
      </c>
      <c r="C728" s="109">
        <v>39959</v>
      </c>
      <c r="D728" s="108"/>
      <c r="E728" s="108" t="s">
        <v>14611</v>
      </c>
      <c r="F728" s="108" t="s">
        <v>1560</v>
      </c>
      <c r="G728" s="110"/>
      <c r="H728" s="108"/>
      <c r="I728" s="108"/>
    </row>
    <row r="729" spans="1:9">
      <c r="A729" s="108"/>
      <c r="B729" s="108" t="s">
        <v>15558</v>
      </c>
      <c r="C729" s="109">
        <v>38756</v>
      </c>
      <c r="D729" s="108"/>
      <c r="E729" s="108" t="s">
        <v>14611</v>
      </c>
      <c r="F729" s="108" t="s">
        <v>15559</v>
      </c>
      <c r="G729" s="110"/>
      <c r="H729" s="108"/>
      <c r="I729" s="108"/>
    </row>
    <row r="730" spans="1:9">
      <c r="A730" s="108"/>
      <c r="B730" s="108" t="s">
        <v>15560</v>
      </c>
      <c r="C730" s="109">
        <v>38764</v>
      </c>
      <c r="D730" s="108"/>
      <c r="E730" s="108" t="s">
        <v>14611</v>
      </c>
      <c r="F730" s="108" t="s">
        <v>242</v>
      </c>
      <c r="G730" s="110"/>
      <c r="H730" s="108"/>
      <c r="I730" s="108"/>
    </row>
    <row r="731" spans="1:9">
      <c r="A731" s="108"/>
      <c r="B731" s="108" t="s">
        <v>15561</v>
      </c>
      <c r="C731" s="109">
        <v>38868</v>
      </c>
      <c r="D731" s="108"/>
      <c r="E731" s="108" t="s">
        <v>14611</v>
      </c>
      <c r="F731" s="108" t="s">
        <v>15562</v>
      </c>
      <c r="G731" s="110"/>
      <c r="H731" s="108"/>
      <c r="I731" s="108"/>
    </row>
    <row r="732" spans="1:9">
      <c r="A732" s="108"/>
      <c r="B732" s="108" t="s">
        <v>15563</v>
      </c>
      <c r="C732" s="109">
        <v>38904</v>
      </c>
      <c r="D732" s="108"/>
      <c r="E732" s="108" t="s">
        <v>14611</v>
      </c>
      <c r="F732" s="108" t="s">
        <v>15564</v>
      </c>
      <c r="G732" s="110"/>
      <c r="H732" s="108"/>
      <c r="I732" s="108"/>
    </row>
    <row r="733" spans="1:9">
      <c r="A733" s="108"/>
      <c r="B733" s="108" t="s">
        <v>15565</v>
      </c>
      <c r="C733" s="109">
        <v>38937</v>
      </c>
      <c r="D733" s="108"/>
      <c r="E733" s="108" t="s">
        <v>14611</v>
      </c>
      <c r="F733" s="108" t="s">
        <v>15566</v>
      </c>
      <c r="G733" s="110"/>
      <c r="H733" s="108"/>
      <c r="I733" s="108"/>
    </row>
    <row r="734" spans="1:9" ht="27.6">
      <c r="A734" s="108"/>
      <c r="B734" s="108" t="s">
        <v>15567</v>
      </c>
      <c r="C734" s="109">
        <v>40068</v>
      </c>
      <c r="D734" s="108"/>
      <c r="E734" s="108" t="s">
        <v>14611</v>
      </c>
      <c r="F734" s="108" t="s">
        <v>4260</v>
      </c>
      <c r="G734" s="110"/>
      <c r="H734" s="108"/>
      <c r="I734" s="108"/>
    </row>
    <row r="735" spans="1:9" ht="41.4">
      <c r="A735" s="108"/>
      <c r="B735" s="108" t="s">
        <v>15568</v>
      </c>
      <c r="C735" s="109">
        <v>39052</v>
      </c>
      <c r="D735" s="108"/>
      <c r="E735" s="108" t="s">
        <v>14611</v>
      </c>
      <c r="F735" s="108" t="s">
        <v>15569</v>
      </c>
      <c r="G735" s="110"/>
      <c r="H735" s="108"/>
      <c r="I735" s="108"/>
    </row>
    <row r="736" spans="1:9">
      <c r="A736" s="108"/>
      <c r="B736" s="108" t="s">
        <v>15570</v>
      </c>
      <c r="C736" s="109">
        <v>39364</v>
      </c>
      <c r="D736" s="108"/>
      <c r="E736" s="108" t="s">
        <v>14611</v>
      </c>
      <c r="F736" s="108" t="s">
        <v>15571</v>
      </c>
      <c r="G736" s="110"/>
      <c r="H736" s="108"/>
      <c r="I736" s="108"/>
    </row>
    <row r="737" spans="1:9">
      <c r="A737" s="108"/>
      <c r="B737" s="108" t="s">
        <v>15572</v>
      </c>
      <c r="C737" s="109">
        <v>39380</v>
      </c>
      <c r="D737" s="108"/>
      <c r="E737" s="108" t="s">
        <v>14611</v>
      </c>
      <c r="F737" s="108" t="s">
        <v>15573</v>
      </c>
      <c r="G737" s="110"/>
      <c r="H737" s="108"/>
      <c r="I737" s="108"/>
    </row>
    <row r="738" spans="1:9">
      <c r="A738" s="108"/>
      <c r="B738" s="108" t="s">
        <v>15574</v>
      </c>
      <c r="C738" s="109">
        <v>39386</v>
      </c>
      <c r="D738" s="108"/>
      <c r="E738" s="108" t="s">
        <v>14611</v>
      </c>
      <c r="F738" s="108" t="s">
        <v>15575</v>
      </c>
      <c r="G738" s="110"/>
      <c r="H738" s="108"/>
      <c r="I738" s="108"/>
    </row>
    <row r="739" spans="1:9">
      <c r="A739" s="108"/>
      <c r="B739" s="108" t="s">
        <v>15576</v>
      </c>
      <c r="C739" s="109">
        <v>39490</v>
      </c>
      <c r="D739" s="108"/>
      <c r="E739" s="108" t="s">
        <v>14611</v>
      </c>
      <c r="F739" s="108" t="s">
        <v>15577</v>
      </c>
      <c r="G739" s="110"/>
      <c r="H739" s="108"/>
      <c r="I739" s="108"/>
    </row>
    <row r="740" spans="1:9">
      <c r="A740" s="108"/>
      <c r="B740" s="108" t="s">
        <v>15578</v>
      </c>
      <c r="C740" s="109">
        <v>39685</v>
      </c>
      <c r="D740" s="108"/>
      <c r="E740" s="108" t="s">
        <v>14611</v>
      </c>
      <c r="F740" s="108" t="s">
        <v>1126</v>
      </c>
      <c r="G740" s="110"/>
      <c r="H740" s="108"/>
      <c r="I740" s="108"/>
    </row>
    <row r="741" spans="1:9">
      <c r="A741" s="108"/>
      <c r="B741" s="108" t="s">
        <v>15579</v>
      </c>
      <c r="C741" s="109">
        <v>39960</v>
      </c>
      <c r="D741" s="108"/>
      <c r="E741" s="108" t="s">
        <v>14611</v>
      </c>
      <c r="F741" s="108" t="s">
        <v>755</v>
      </c>
      <c r="G741" s="110"/>
      <c r="H741" s="108"/>
      <c r="I741" s="108"/>
    </row>
    <row r="742" spans="1:9">
      <c r="A742" s="108"/>
      <c r="B742" s="108" t="s">
        <v>15580</v>
      </c>
      <c r="C742" s="109">
        <v>39945</v>
      </c>
      <c r="D742" s="108"/>
      <c r="E742" s="108" t="s">
        <v>14611</v>
      </c>
      <c r="F742" s="108" t="s">
        <v>3922</v>
      </c>
      <c r="G742" s="110"/>
      <c r="H742" s="108"/>
      <c r="I742" s="108"/>
    </row>
    <row r="743" spans="1:9">
      <c r="A743" s="108"/>
      <c r="B743" s="108" t="s">
        <v>15581</v>
      </c>
      <c r="C743" s="109">
        <v>40094</v>
      </c>
      <c r="D743" s="108"/>
      <c r="E743" s="108" t="s">
        <v>14611</v>
      </c>
      <c r="F743" s="108" t="s">
        <v>3922</v>
      </c>
      <c r="G743" s="110"/>
      <c r="H743" s="108"/>
      <c r="I743" s="108"/>
    </row>
    <row r="744" spans="1:9">
      <c r="A744" s="108"/>
      <c r="B744" s="108" t="s">
        <v>15582</v>
      </c>
      <c r="C744" s="109">
        <v>40289</v>
      </c>
      <c r="D744" s="108"/>
      <c r="E744" s="108" t="s">
        <v>14611</v>
      </c>
      <c r="F744" s="108" t="s">
        <v>15583</v>
      </c>
      <c r="G744" s="110"/>
      <c r="H744" s="108"/>
      <c r="I744" s="108"/>
    </row>
    <row r="745" spans="1:9">
      <c r="A745" s="108"/>
      <c r="B745" s="108" t="s">
        <v>15584</v>
      </c>
      <c r="C745" s="109">
        <v>40357</v>
      </c>
      <c r="D745" s="108"/>
      <c r="E745" s="108" t="s">
        <v>14611</v>
      </c>
      <c r="F745" s="108" t="s">
        <v>15585</v>
      </c>
      <c r="G745" s="110"/>
      <c r="H745" s="108"/>
      <c r="I745" s="108"/>
    </row>
    <row r="746" spans="1:9">
      <c r="A746" s="108"/>
      <c r="B746" s="108" t="s">
        <v>15586</v>
      </c>
      <c r="C746" s="109">
        <v>39162</v>
      </c>
      <c r="D746" s="108"/>
      <c r="E746" s="108" t="s">
        <v>14611</v>
      </c>
      <c r="F746" s="108" t="s">
        <v>15587</v>
      </c>
      <c r="G746" s="110"/>
      <c r="H746" s="108"/>
      <c r="I746" s="108"/>
    </row>
    <row r="747" spans="1:9">
      <c r="A747" s="108"/>
      <c r="B747" s="108" t="s">
        <v>15588</v>
      </c>
      <c r="C747" s="109">
        <v>39296</v>
      </c>
      <c r="D747" s="108"/>
      <c r="E747" s="108" t="s">
        <v>14611</v>
      </c>
      <c r="F747" s="108" t="s">
        <v>15589</v>
      </c>
      <c r="G747" s="110"/>
      <c r="H747" s="108"/>
      <c r="I747" s="108"/>
    </row>
    <row r="748" spans="1:9">
      <c r="A748" s="108"/>
      <c r="B748" s="108" t="s">
        <v>15590</v>
      </c>
      <c r="C748" s="109">
        <v>39561</v>
      </c>
      <c r="D748" s="108"/>
      <c r="E748" s="108" t="s">
        <v>14611</v>
      </c>
      <c r="F748" s="108" t="s">
        <v>15591</v>
      </c>
      <c r="G748" s="110"/>
      <c r="H748" s="108"/>
      <c r="I748" s="108"/>
    </row>
    <row r="749" spans="1:9">
      <c r="A749" s="108"/>
      <c r="B749" s="108" t="s">
        <v>15592</v>
      </c>
      <c r="C749" s="109">
        <v>39562</v>
      </c>
      <c r="D749" s="108"/>
      <c r="E749" s="108" t="s">
        <v>14611</v>
      </c>
      <c r="F749" s="108" t="s">
        <v>15593</v>
      </c>
      <c r="G749" s="110"/>
      <c r="H749" s="108"/>
      <c r="I749" s="108"/>
    </row>
    <row r="750" spans="1:9">
      <c r="A750" s="108"/>
      <c r="B750" s="108" t="s">
        <v>15594</v>
      </c>
      <c r="C750" s="109">
        <v>41487</v>
      </c>
      <c r="D750" s="108"/>
      <c r="E750" s="108" t="s">
        <v>14611</v>
      </c>
      <c r="F750" s="108" t="s">
        <v>14649</v>
      </c>
      <c r="G750" s="110"/>
      <c r="H750" s="108"/>
      <c r="I750" s="108"/>
    </row>
    <row r="751" spans="1:9">
      <c r="A751" s="108"/>
      <c r="B751" s="108" t="s">
        <v>15595</v>
      </c>
      <c r="C751" s="109">
        <v>39661</v>
      </c>
      <c r="D751" s="108"/>
      <c r="E751" s="108" t="s">
        <v>14611</v>
      </c>
      <c r="F751" s="108" t="s">
        <v>15596</v>
      </c>
      <c r="G751" s="110"/>
      <c r="H751" s="108"/>
      <c r="I751" s="108"/>
    </row>
    <row r="752" spans="1:9">
      <c r="A752" s="108"/>
      <c r="B752" s="108" t="s">
        <v>15597</v>
      </c>
      <c r="C752" s="109">
        <v>39674</v>
      </c>
      <c r="D752" s="108"/>
      <c r="E752" s="108" t="s">
        <v>14611</v>
      </c>
      <c r="F752" s="108" t="s">
        <v>4365</v>
      </c>
      <c r="G752" s="110"/>
      <c r="H752" s="108"/>
      <c r="I752" s="108"/>
    </row>
    <row r="753" spans="1:9">
      <c r="A753" s="108"/>
      <c r="B753" s="108" t="s">
        <v>15598</v>
      </c>
      <c r="C753" s="109">
        <v>39734</v>
      </c>
      <c r="D753" s="108"/>
      <c r="E753" s="108" t="s">
        <v>14611</v>
      </c>
      <c r="F753" s="108" t="s">
        <v>2622</v>
      </c>
      <c r="G753" s="110"/>
      <c r="H753" s="108"/>
      <c r="I753" s="108"/>
    </row>
    <row r="754" spans="1:9" ht="27.6">
      <c r="A754" s="108"/>
      <c r="B754" s="108" t="s">
        <v>15599</v>
      </c>
      <c r="C754" s="109">
        <v>39914</v>
      </c>
      <c r="D754" s="108"/>
      <c r="E754" s="108" t="s">
        <v>14611</v>
      </c>
      <c r="F754" s="108" t="s">
        <v>733</v>
      </c>
      <c r="G754" s="110"/>
      <c r="H754" s="108"/>
      <c r="I754" s="108"/>
    </row>
    <row r="755" spans="1:9" ht="27.6">
      <c r="A755" s="108"/>
      <c r="B755" s="108" t="s">
        <v>15600</v>
      </c>
      <c r="C755" s="109">
        <v>39951</v>
      </c>
      <c r="D755" s="108"/>
      <c r="E755" s="108" t="s">
        <v>14611</v>
      </c>
      <c r="F755" s="108" t="s">
        <v>4260</v>
      </c>
      <c r="G755" s="110"/>
      <c r="H755" s="108"/>
      <c r="I755" s="108"/>
    </row>
    <row r="756" spans="1:9">
      <c r="A756" s="108"/>
      <c r="B756" s="108" t="s">
        <v>15601</v>
      </c>
      <c r="C756" s="109">
        <v>39968</v>
      </c>
      <c r="D756" s="108"/>
      <c r="E756" s="108" t="s">
        <v>14611</v>
      </c>
      <c r="F756" s="108" t="s">
        <v>15602</v>
      </c>
      <c r="G756" s="110"/>
      <c r="H756" s="108"/>
      <c r="I756" s="108"/>
    </row>
    <row r="757" spans="1:9">
      <c r="A757" s="108"/>
      <c r="B757" s="108" t="s">
        <v>15603</v>
      </c>
      <c r="C757" s="109">
        <v>40073</v>
      </c>
      <c r="D757" s="108"/>
      <c r="E757" s="108" t="s">
        <v>14611</v>
      </c>
      <c r="F757" s="108" t="s">
        <v>2251</v>
      </c>
      <c r="G757" s="110"/>
      <c r="H757" s="108"/>
      <c r="I757" s="108"/>
    </row>
    <row r="758" spans="1:9">
      <c r="A758" s="108"/>
      <c r="B758" s="108" t="s">
        <v>15604</v>
      </c>
      <c r="C758" s="109">
        <v>40045</v>
      </c>
      <c r="D758" s="108"/>
      <c r="E758" s="108" t="s">
        <v>14611</v>
      </c>
      <c r="F758" s="108" t="s">
        <v>15605</v>
      </c>
      <c r="G758" s="110"/>
      <c r="H758" s="108"/>
      <c r="I758" s="108"/>
    </row>
    <row r="759" spans="1:9" ht="27.6">
      <c r="A759" s="108"/>
      <c r="B759" s="108" t="s">
        <v>15606</v>
      </c>
      <c r="C759" s="109">
        <v>40076</v>
      </c>
      <c r="D759" s="108"/>
      <c r="E759" s="108" t="s">
        <v>14611</v>
      </c>
      <c r="F759" s="108" t="s">
        <v>14900</v>
      </c>
      <c r="G759" s="110"/>
      <c r="H759" s="108"/>
      <c r="I759" s="108"/>
    </row>
    <row r="760" spans="1:9">
      <c r="A760" s="108"/>
      <c r="B760" s="108" t="s">
        <v>15607</v>
      </c>
      <c r="C760" s="109">
        <v>40119</v>
      </c>
      <c r="D760" s="108"/>
      <c r="E760" s="108" t="s">
        <v>14611</v>
      </c>
      <c r="F760" s="108" t="s">
        <v>15608</v>
      </c>
      <c r="G760" s="110"/>
      <c r="H760" s="108"/>
      <c r="I760" s="108"/>
    </row>
    <row r="761" spans="1:9">
      <c r="A761" s="108"/>
      <c r="B761" s="108" t="s">
        <v>15609</v>
      </c>
      <c r="C761" s="109">
        <v>39825</v>
      </c>
      <c r="D761" s="108"/>
      <c r="E761" s="108" t="s">
        <v>14611</v>
      </c>
      <c r="F761" s="108" t="s">
        <v>15610</v>
      </c>
      <c r="G761" s="110"/>
      <c r="H761" s="108"/>
      <c r="I761" s="108"/>
    </row>
    <row r="762" spans="1:9">
      <c r="A762" s="108"/>
      <c r="B762" s="108" t="s">
        <v>15611</v>
      </c>
      <c r="C762" s="109">
        <v>40526</v>
      </c>
      <c r="D762" s="108"/>
      <c r="E762" s="108" t="s">
        <v>14611</v>
      </c>
      <c r="F762" s="108" t="s">
        <v>14701</v>
      </c>
      <c r="G762" s="110"/>
      <c r="H762" s="108"/>
      <c r="I762" s="108"/>
    </row>
    <row r="763" spans="1:9">
      <c r="A763" s="108" t="s">
        <v>237</v>
      </c>
      <c r="B763" s="108" t="s">
        <v>15612</v>
      </c>
      <c r="C763" s="109">
        <v>40085</v>
      </c>
      <c r="D763" s="108"/>
      <c r="E763" s="108" t="s">
        <v>14611</v>
      </c>
      <c r="F763" s="108" t="s">
        <v>1053</v>
      </c>
      <c r="G763" s="110"/>
      <c r="H763" s="108"/>
      <c r="I763" s="108"/>
    </row>
    <row r="764" spans="1:9">
      <c r="A764" s="108" t="s">
        <v>237</v>
      </c>
      <c r="B764" s="108" t="s">
        <v>15613</v>
      </c>
      <c r="C764" s="109">
        <v>40152</v>
      </c>
      <c r="D764" s="108"/>
      <c r="E764" s="108" t="s">
        <v>14611</v>
      </c>
      <c r="F764" s="108" t="s">
        <v>15614</v>
      </c>
      <c r="G764" s="110"/>
      <c r="H764" s="108"/>
      <c r="I764" s="108"/>
    </row>
    <row r="765" spans="1:9">
      <c r="A765" s="108" t="s">
        <v>237</v>
      </c>
      <c r="B765" s="108" t="s">
        <v>15615</v>
      </c>
      <c r="C765" s="109">
        <v>40113</v>
      </c>
      <c r="D765" s="108"/>
      <c r="E765" s="108" t="s">
        <v>14611</v>
      </c>
      <c r="F765" s="108" t="s">
        <v>4973</v>
      </c>
      <c r="G765" s="110"/>
      <c r="H765" s="108"/>
      <c r="I765" s="108"/>
    </row>
    <row r="766" spans="1:9">
      <c r="A766" s="108" t="s">
        <v>237</v>
      </c>
      <c r="B766" s="108" t="s">
        <v>15616</v>
      </c>
      <c r="C766" s="109">
        <v>40140</v>
      </c>
      <c r="D766" s="108"/>
      <c r="E766" s="108" t="s">
        <v>14611</v>
      </c>
      <c r="F766" s="108" t="s">
        <v>5057</v>
      </c>
      <c r="G766" s="110"/>
      <c r="H766" s="108"/>
      <c r="I766" s="108"/>
    </row>
    <row r="767" spans="1:9">
      <c r="A767" s="108" t="s">
        <v>237</v>
      </c>
      <c r="B767" s="108" t="s">
        <v>15617</v>
      </c>
      <c r="C767" s="109">
        <v>40297</v>
      </c>
      <c r="D767" s="108"/>
      <c r="E767" s="108" t="s">
        <v>14611</v>
      </c>
      <c r="F767" s="108" t="s">
        <v>15246</v>
      </c>
      <c r="G767" s="110"/>
      <c r="H767" s="108"/>
      <c r="I767" s="108"/>
    </row>
    <row r="768" spans="1:9">
      <c r="A768" s="108"/>
      <c r="B768" s="108" t="s">
        <v>15618</v>
      </c>
      <c r="C768" s="109">
        <v>40576</v>
      </c>
      <c r="D768" s="108"/>
      <c r="E768" s="108" t="s">
        <v>14611</v>
      </c>
      <c r="F768" s="108" t="s">
        <v>15619</v>
      </c>
      <c r="G768" s="110"/>
      <c r="H768" s="108"/>
      <c r="I768" s="108"/>
    </row>
    <row r="769" spans="1:9" ht="27.6">
      <c r="A769" s="108" t="s">
        <v>237</v>
      </c>
      <c r="B769" s="108" t="s">
        <v>15620</v>
      </c>
      <c r="C769" s="109">
        <v>40303</v>
      </c>
      <c r="D769" s="108"/>
      <c r="E769" s="108" t="s">
        <v>14611</v>
      </c>
      <c r="F769" s="108" t="s">
        <v>15621</v>
      </c>
      <c r="G769" s="110"/>
      <c r="H769" s="108"/>
      <c r="I769" s="108"/>
    </row>
    <row r="770" spans="1:9">
      <c r="A770" s="108" t="s">
        <v>237</v>
      </c>
      <c r="B770" s="108" t="s">
        <v>15622</v>
      </c>
      <c r="C770" s="109">
        <v>40296</v>
      </c>
      <c r="D770" s="108"/>
      <c r="E770" s="108" t="s">
        <v>14611</v>
      </c>
      <c r="F770" s="108" t="s">
        <v>14846</v>
      </c>
      <c r="G770" s="110"/>
      <c r="H770" s="108"/>
      <c r="I770" s="108"/>
    </row>
    <row r="771" spans="1:9">
      <c r="A771" s="108" t="s">
        <v>237</v>
      </c>
      <c r="B771" s="108" t="s">
        <v>15623</v>
      </c>
      <c r="C771" s="109">
        <v>40303</v>
      </c>
      <c r="D771" s="108"/>
      <c r="E771" s="108" t="s">
        <v>14611</v>
      </c>
      <c r="F771" s="108" t="s">
        <v>4818</v>
      </c>
      <c r="G771" s="110"/>
      <c r="H771" s="108"/>
      <c r="I771" s="108"/>
    </row>
    <row r="772" spans="1:9">
      <c r="A772" s="108" t="s">
        <v>237</v>
      </c>
      <c r="B772" s="108" t="s">
        <v>15624</v>
      </c>
      <c r="C772" s="109">
        <v>40326</v>
      </c>
      <c r="D772" s="108"/>
      <c r="E772" s="108" t="s">
        <v>14611</v>
      </c>
      <c r="F772" s="108" t="s">
        <v>15625</v>
      </c>
      <c r="G772" s="110"/>
      <c r="H772" s="108"/>
      <c r="I772" s="108"/>
    </row>
    <row r="773" spans="1:9">
      <c r="A773" s="108" t="s">
        <v>237</v>
      </c>
      <c r="B773" s="108" t="s">
        <v>15626</v>
      </c>
      <c r="C773" s="109">
        <v>40347</v>
      </c>
      <c r="D773" s="108"/>
      <c r="E773" s="108" t="s">
        <v>14611</v>
      </c>
      <c r="F773" s="108" t="s">
        <v>2086</v>
      </c>
      <c r="G773" s="110"/>
      <c r="H773" s="108"/>
      <c r="I773" s="108"/>
    </row>
    <row r="774" spans="1:9">
      <c r="A774" s="108" t="s">
        <v>237</v>
      </c>
      <c r="B774" s="108" t="s">
        <v>15627</v>
      </c>
      <c r="C774" s="109">
        <v>40387</v>
      </c>
      <c r="D774" s="108"/>
      <c r="E774" s="108" t="s">
        <v>14611</v>
      </c>
      <c r="F774" s="108" t="s">
        <v>2431</v>
      </c>
      <c r="G774" s="110"/>
      <c r="H774" s="108"/>
      <c r="I774" s="108"/>
    </row>
    <row r="775" spans="1:9">
      <c r="A775" s="108" t="s">
        <v>237</v>
      </c>
      <c r="B775" s="108" t="s">
        <v>15628</v>
      </c>
      <c r="C775" s="109">
        <v>40414</v>
      </c>
      <c r="D775" s="108"/>
      <c r="E775" s="108" t="s">
        <v>14611</v>
      </c>
      <c r="F775" s="108" t="s">
        <v>2552</v>
      </c>
      <c r="G775" s="110"/>
      <c r="H775" s="108"/>
      <c r="I775" s="108"/>
    </row>
    <row r="776" spans="1:9">
      <c r="A776" s="108" t="s">
        <v>237</v>
      </c>
      <c r="B776" s="108" t="s">
        <v>15629</v>
      </c>
      <c r="C776" s="109">
        <v>40451</v>
      </c>
      <c r="D776" s="108"/>
      <c r="E776" s="108" t="s">
        <v>14611</v>
      </c>
      <c r="F776" s="108" t="s">
        <v>2622</v>
      </c>
      <c r="G776" s="110"/>
      <c r="H776" s="108"/>
      <c r="I776" s="108"/>
    </row>
    <row r="777" spans="1:9">
      <c r="A777" s="108" t="s">
        <v>237</v>
      </c>
      <c r="B777" s="108" t="s">
        <v>15630</v>
      </c>
      <c r="C777" s="109">
        <v>40463</v>
      </c>
      <c r="D777" s="108"/>
      <c r="E777" s="108" t="s">
        <v>14611</v>
      </c>
      <c r="F777" s="108" t="s">
        <v>14902</v>
      </c>
      <c r="G777" s="110"/>
      <c r="H777" s="108"/>
      <c r="I777" s="108"/>
    </row>
    <row r="778" spans="1:9">
      <c r="A778" s="108" t="s">
        <v>237</v>
      </c>
      <c r="B778" s="108" t="s">
        <v>15631</v>
      </c>
      <c r="C778" s="109">
        <v>40455</v>
      </c>
      <c r="D778" s="108"/>
      <c r="E778" s="108" t="s">
        <v>14611</v>
      </c>
      <c r="F778" s="108" t="s">
        <v>4151</v>
      </c>
      <c r="G778" s="110"/>
      <c r="H778" s="108"/>
      <c r="I778" s="108"/>
    </row>
    <row r="779" spans="1:9">
      <c r="A779" s="108" t="s">
        <v>237</v>
      </c>
      <c r="B779" s="108" t="s">
        <v>15632</v>
      </c>
      <c r="C779" s="109">
        <v>41499</v>
      </c>
      <c r="D779" s="108"/>
      <c r="E779" s="108" t="s">
        <v>14611</v>
      </c>
      <c r="F779" s="108" t="s">
        <v>2967</v>
      </c>
      <c r="G779" s="110"/>
      <c r="H779" s="108"/>
      <c r="I779" s="108"/>
    </row>
    <row r="780" spans="1:9">
      <c r="A780" s="108" t="s">
        <v>237</v>
      </c>
      <c r="B780" s="108" t="s">
        <v>15633</v>
      </c>
      <c r="C780" s="109">
        <v>40484</v>
      </c>
      <c r="D780" s="108"/>
      <c r="E780" s="108" t="s">
        <v>14611</v>
      </c>
      <c r="F780" s="108" t="s">
        <v>2622</v>
      </c>
      <c r="G780" s="110"/>
      <c r="H780" s="108"/>
      <c r="I780" s="108"/>
    </row>
    <row r="781" spans="1:9">
      <c r="A781" s="108" t="s">
        <v>237</v>
      </c>
      <c r="B781" s="108" t="s">
        <v>15634</v>
      </c>
      <c r="C781" s="109">
        <v>40817</v>
      </c>
      <c r="D781" s="108"/>
      <c r="E781" s="108" t="s">
        <v>14611</v>
      </c>
      <c r="F781" s="108" t="s">
        <v>2622</v>
      </c>
      <c r="G781" s="110"/>
      <c r="H781" s="108"/>
      <c r="I781" s="108"/>
    </row>
    <row r="782" spans="1:9" ht="27.6">
      <c r="A782" s="108" t="s">
        <v>14690</v>
      </c>
      <c r="B782" s="108" t="s">
        <v>15635</v>
      </c>
      <c r="C782" s="109">
        <v>40207</v>
      </c>
      <c r="D782" s="108"/>
      <c r="E782" s="108" t="s">
        <v>14611</v>
      </c>
      <c r="F782" s="108" t="s">
        <v>15636</v>
      </c>
      <c r="G782" s="110"/>
      <c r="H782" s="108"/>
      <c r="I782" s="108"/>
    </row>
    <row r="783" spans="1:9">
      <c r="A783" s="108" t="s">
        <v>2009</v>
      </c>
      <c r="B783" s="108" t="s">
        <v>15637</v>
      </c>
      <c r="C783" s="109">
        <v>43810</v>
      </c>
      <c r="D783" s="108"/>
      <c r="E783" s="108" t="s">
        <v>14611</v>
      </c>
      <c r="F783" s="108" t="s">
        <v>4130</v>
      </c>
      <c r="G783" s="110"/>
      <c r="H783" s="108"/>
      <c r="I783" s="108"/>
    </row>
    <row r="784" spans="1:9" ht="27.6">
      <c r="A784" s="108"/>
      <c r="B784" s="108" t="s">
        <v>15638</v>
      </c>
      <c r="C784" s="109">
        <v>40453</v>
      </c>
      <c r="D784" s="108"/>
      <c r="E784" s="108" t="s">
        <v>14611</v>
      </c>
      <c r="F784" s="108" t="s">
        <v>15621</v>
      </c>
      <c r="G784" s="110"/>
      <c r="H784" s="108"/>
      <c r="I784" s="108"/>
    </row>
    <row r="785" spans="1:9">
      <c r="A785" s="108"/>
      <c r="B785" s="108" t="s">
        <v>15639</v>
      </c>
      <c r="C785" s="109">
        <v>40269</v>
      </c>
      <c r="D785" s="108"/>
      <c r="E785" s="108" t="s">
        <v>14611</v>
      </c>
      <c r="F785" s="108" t="s">
        <v>15640</v>
      </c>
      <c r="G785" s="110"/>
      <c r="H785" s="108"/>
      <c r="I785" s="108"/>
    </row>
    <row r="786" spans="1:9">
      <c r="A786" s="108"/>
      <c r="B786" s="108" t="s">
        <v>15641</v>
      </c>
      <c r="C786" s="109">
        <v>40535</v>
      </c>
      <c r="D786" s="108"/>
      <c r="E786" s="108" t="s">
        <v>14611</v>
      </c>
      <c r="F786" s="108" t="s">
        <v>15642</v>
      </c>
      <c r="G786" s="110"/>
      <c r="H786" s="108"/>
      <c r="I786" s="108"/>
    </row>
    <row r="787" spans="1:9">
      <c r="A787" s="108"/>
      <c r="B787" s="108" t="s">
        <v>15643</v>
      </c>
      <c r="C787" s="109">
        <v>40473</v>
      </c>
      <c r="D787" s="108"/>
      <c r="E787" s="108" t="s">
        <v>14611</v>
      </c>
      <c r="F787" s="108" t="s">
        <v>3228</v>
      </c>
      <c r="G787" s="110"/>
      <c r="H787" s="108"/>
      <c r="I787" s="108"/>
    </row>
    <row r="788" spans="1:9">
      <c r="A788" s="108"/>
      <c r="B788" s="108" t="s">
        <v>15644</v>
      </c>
      <c r="C788" s="109">
        <v>40498</v>
      </c>
      <c r="D788" s="108"/>
      <c r="E788" s="108" t="s">
        <v>14611</v>
      </c>
      <c r="F788" s="108" t="s">
        <v>15645</v>
      </c>
      <c r="G788" s="110"/>
      <c r="H788" s="108"/>
      <c r="I788" s="108"/>
    </row>
    <row r="789" spans="1:9" ht="27.6">
      <c r="A789" s="108"/>
      <c r="B789" s="108" t="s">
        <v>15646</v>
      </c>
      <c r="C789" s="109">
        <v>40565</v>
      </c>
      <c r="D789" s="108"/>
      <c r="E789" s="108" t="s">
        <v>14611</v>
      </c>
      <c r="F789" s="108" t="s">
        <v>15621</v>
      </c>
      <c r="G789" s="110"/>
      <c r="H789" s="108"/>
      <c r="I789" s="108"/>
    </row>
    <row r="790" spans="1:9">
      <c r="A790" s="108"/>
      <c r="B790" s="108" t="s">
        <v>15647</v>
      </c>
      <c r="C790" s="109">
        <v>40228</v>
      </c>
      <c r="D790" s="108"/>
      <c r="E790" s="108" t="s">
        <v>14611</v>
      </c>
      <c r="F790" s="108" t="s">
        <v>15648</v>
      </c>
      <c r="G790" s="110"/>
      <c r="H790" s="108"/>
      <c r="I790" s="108"/>
    </row>
    <row r="791" spans="1:9" ht="27.6">
      <c r="A791" s="108" t="s">
        <v>14690</v>
      </c>
      <c r="B791" s="108" t="s">
        <v>15649</v>
      </c>
      <c r="C791" s="109">
        <v>40473</v>
      </c>
      <c r="D791" s="108"/>
      <c r="E791" s="108" t="s">
        <v>14611</v>
      </c>
      <c r="F791" s="108" t="s">
        <v>2405</v>
      </c>
      <c r="G791" s="110"/>
      <c r="H791" s="108"/>
      <c r="I791" s="108"/>
    </row>
    <row r="792" spans="1:9">
      <c r="A792" s="108" t="s">
        <v>2002</v>
      </c>
      <c r="B792" s="108" t="s">
        <v>15650</v>
      </c>
      <c r="C792" s="109">
        <v>40576</v>
      </c>
      <c r="D792" s="108"/>
      <c r="E792" s="108" t="s">
        <v>14611</v>
      </c>
      <c r="F792" s="108" t="s">
        <v>2853</v>
      </c>
      <c r="G792" s="110"/>
      <c r="H792" s="108"/>
      <c r="I792" s="108"/>
    </row>
    <row r="793" spans="1:9" ht="27.6">
      <c r="A793" s="108" t="s">
        <v>1465</v>
      </c>
      <c r="B793" s="108" t="s">
        <v>15651</v>
      </c>
      <c r="C793" s="109">
        <v>40512</v>
      </c>
      <c r="D793" s="108"/>
      <c r="E793" s="108" t="s">
        <v>14611</v>
      </c>
      <c r="F793" s="108" t="s">
        <v>15652</v>
      </c>
      <c r="G793" s="110"/>
      <c r="H793" s="108"/>
      <c r="I793" s="108"/>
    </row>
    <row r="794" spans="1:9" ht="27.6">
      <c r="A794" s="108" t="s">
        <v>1465</v>
      </c>
      <c r="B794" s="108" t="s">
        <v>15653</v>
      </c>
      <c r="C794" s="109">
        <v>40914</v>
      </c>
      <c r="D794" s="108"/>
      <c r="E794" s="108" t="s">
        <v>14611</v>
      </c>
      <c r="F794" s="108" t="s">
        <v>15654</v>
      </c>
      <c r="G794" s="110"/>
      <c r="H794" s="108"/>
      <c r="I794" s="108"/>
    </row>
    <row r="795" spans="1:9">
      <c r="A795" s="108" t="s">
        <v>2002</v>
      </c>
      <c r="B795" s="108" t="s">
        <v>15655</v>
      </c>
      <c r="C795" s="109">
        <v>40731</v>
      </c>
      <c r="D795" s="108"/>
      <c r="E795" s="108" t="s">
        <v>14611</v>
      </c>
      <c r="F795" s="108" t="s">
        <v>3922</v>
      </c>
      <c r="G795" s="110"/>
      <c r="H795" s="108"/>
      <c r="I795" s="108"/>
    </row>
    <row r="796" spans="1:9">
      <c r="A796" s="108" t="s">
        <v>2002</v>
      </c>
      <c r="B796" s="108" t="s">
        <v>15656</v>
      </c>
      <c r="C796" s="109">
        <v>40802</v>
      </c>
      <c r="D796" s="108"/>
      <c r="E796" s="108" t="s">
        <v>14611</v>
      </c>
      <c r="F796" s="108" t="s">
        <v>14846</v>
      </c>
      <c r="G796" s="110"/>
      <c r="H796" s="108"/>
      <c r="I796" s="108"/>
    </row>
    <row r="797" spans="1:9">
      <c r="A797" s="108" t="s">
        <v>2002</v>
      </c>
      <c r="B797" s="108" t="s">
        <v>15657</v>
      </c>
      <c r="C797" s="109">
        <v>40830</v>
      </c>
      <c r="D797" s="108"/>
      <c r="E797" s="108" t="s">
        <v>14611</v>
      </c>
      <c r="F797" s="108" t="s">
        <v>15658</v>
      </c>
      <c r="G797" s="110"/>
      <c r="H797" s="108"/>
      <c r="I797" s="108"/>
    </row>
    <row r="798" spans="1:9">
      <c r="A798" s="108" t="s">
        <v>2002</v>
      </c>
      <c r="B798" s="108" t="s">
        <v>15659</v>
      </c>
      <c r="C798" s="109">
        <v>41016</v>
      </c>
      <c r="D798" s="108"/>
      <c r="E798" s="108" t="s">
        <v>14611</v>
      </c>
      <c r="F798" s="108" t="s">
        <v>15660</v>
      </c>
      <c r="G798" s="110"/>
      <c r="H798" s="108"/>
      <c r="I798" s="108"/>
    </row>
    <row r="799" spans="1:9" ht="27.6">
      <c r="A799" s="108" t="s">
        <v>2002</v>
      </c>
      <c r="B799" s="108" t="s">
        <v>15661</v>
      </c>
      <c r="C799" s="109">
        <v>41302</v>
      </c>
      <c r="D799" s="108"/>
      <c r="E799" s="108" t="s">
        <v>14611</v>
      </c>
      <c r="F799" s="108" t="s">
        <v>14959</v>
      </c>
      <c r="G799" s="110"/>
      <c r="H799" s="108"/>
      <c r="I799" s="108"/>
    </row>
    <row r="800" spans="1:9" ht="27.6">
      <c r="A800" s="108" t="s">
        <v>2002</v>
      </c>
      <c r="B800" s="108" t="s">
        <v>15662</v>
      </c>
      <c r="C800" s="109">
        <v>41302</v>
      </c>
      <c r="D800" s="108"/>
      <c r="E800" s="108" t="s">
        <v>14611</v>
      </c>
      <c r="F800" s="108" t="s">
        <v>14959</v>
      </c>
      <c r="G800" s="110"/>
      <c r="H800" s="108"/>
      <c r="I800" s="108"/>
    </row>
    <row r="801" spans="1:9">
      <c r="A801" s="108" t="s">
        <v>1465</v>
      </c>
      <c r="B801" s="108" t="s">
        <v>15663</v>
      </c>
      <c r="C801" s="109">
        <v>41023</v>
      </c>
      <c r="D801" s="108"/>
      <c r="E801" s="108" t="s">
        <v>14611</v>
      </c>
      <c r="F801" s="108" t="s">
        <v>15664</v>
      </c>
      <c r="G801" s="110"/>
      <c r="H801" s="108"/>
      <c r="I801" s="108"/>
    </row>
    <row r="802" spans="1:9" ht="41.4">
      <c r="A802" s="108" t="s">
        <v>1465</v>
      </c>
      <c r="B802" s="108" t="s">
        <v>15665</v>
      </c>
      <c r="C802" s="109">
        <v>41599</v>
      </c>
      <c r="D802" s="108"/>
      <c r="E802" s="108" t="s">
        <v>14611</v>
      </c>
      <c r="F802" s="108" t="s">
        <v>15666</v>
      </c>
      <c r="G802" s="110"/>
      <c r="H802" s="108"/>
      <c r="I802" s="108"/>
    </row>
    <row r="803" spans="1:9" ht="27.6">
      <c r="A803" s="108"/>
      <c r="B803" s="108" t="s">
        <v>15667</v>
      </c>
      <c r="C803" s="109">
        <v>41190</v>
      </c>
      <c r="D803" s="108"/>
      <c r="E803" s="108" t="s">
        <v>14605</v>
      </c>
      <c r="F803" s="108" t="s">
        <v>15668</v>
      </c>
      <c r="G803" s="110"/>
      <c r="H803" s="108"/>
      <c r="I803" s="108"/>
    </row>
    <row r="804" spans="1:9" ht="27.6">
      <c r="A804" s="108" t="s">
        <v>14690</v>
      </c>
      <c r="B804" s="108" t="s">
        <v>15669</v>
      </c>
      <c r="C804" s="109">
        <v>40557</v>
      </c>
      <c r="D804" s="108"/>
      <c r="E804" s="108" t="s">
        <v>14611</v>
      </c>
      <c r="F804" s="108" t="s">
        <v>15670</v>
      </c>
      <c r="G804" s="110"/>
      <c r="H804" s="108"/>
      <c r="I804" s="108"/>
    </row>
    <row r="805" spans="1:9">
      <c r="A805" s="108"/>
      <c r="B805" s="108" t="s">
        <v>15671</v>
      </c>
      <c r="C805" s="109">
        <v>40623</v>
      </c>
      <c r="D805" s="108"/>
      <c r="E805" s="108" t="s">
        <v>14611</v>
      </c>
      <c r="F805" s="108" t="s">
        <v>15672</v>
      </c>
      <c r="G805" s="110"/>
      <c r="H805" s="108"/>
      <c r="I805" s="108"/>
    </row>
    <row r="806" spans="1:9">
      <c r="A806" s="108"/>
      <c r="B806" s="108" t="s">
        <v>15673</v>
      </c>
      <c r="C806" s="109">
        <v>40879</v>
      </c>
      <c r="D806" s="108"/>
      <c r="E806" s="108" t="s">
        <v>14611</v>
      </c>
      <c r="F806" s="108" t="s">
        <v>1053</v>
      </c>
      <c r="G806" s="110"/>
      <c r="H806" s="108"/>
      <c r="I806" s="108"/>
    </row>
    <row r="807" spans="1:9">
      <c r="A807" s="108"/>
      <c r="B807" s="108" t="s">
        <v>15674</v>
      </c>
      <c r="C807" s="109">
        <v>40898</v>
      </c>
      <c r="D807" s="108"/>
      <c r="E807" s="108" t="s">
        <v>14611</v>
      </c>
      <c r="F807" s="108" t="s">
        <v>15532</v>
      </c>
      <c r="G807" s="110"/>
      <c r="H807" s="108"/>
      <c r="I807" s="108"/>
    </row>
    <row r="808" spans="1:9" ht="27.6">
      <c r="A808" s="108" t="s">
        <v>14690</v>
      </c>
      <c r="B808" s="108" t="s">
        <v>15675</v>
      </c>
      <c r="C808" s="109">
        <v>40588</v>
      </c>
      <c r="D808" s="108"/>
      <c r="E808" s="108" t="s">
        <v>14611</v>
      </c>
      <c r="F808" s="108" t="s">
        <v>15676</v>
      </c>
      <c r="G808" s="110"/>
      <c r="H808" s="108"/>
      <c r="I808" s="108"/>
    </row>
    <row r="809" spans="1:9" ht="27.6">
      <c r="A809" s="108" t="s">
        <v>14690</v>
      </c>
      <c r="B809" s="108" t="s">
        <v>15677</v>
      </c>
      <c r="C809" s="109">
        <v>40721</v>
      </c>
      <c r="D809" s="108"/>
      <c r="E809" s="108" t="s">
        <v>14611</v>
      </c>
      <c r="F809" s="108" t="s">
        <v>720</v>
      </c>
      <c r="G809" s="110"/>
      <c r="H809" s="108"/>
      <c r="I809" s="108"/>
    </row>
    <row r="810" spans="1:9" ht="27.6">
      <c r="A810" s="108" t="s">
        <v>14690</v>
      </c>
      <c r="B810" s="108" t="s">
        <v>15678</v>
      </c>
      <c r="C810" s="109">
        <v>40224</v>
      </c>
      <c r="D810" s="108"/>
      <c r="E810" s="108" t="s">
        <v>14611</v>
      </c>
      <c r="F810" s="108" t="s">
        <v>15679</v>
      </c>
      <c r="G810" s="110"/>
      <c r="H810" s="108"/>
      <c r="I810" s="108"/>
    </row>
    <row r="811" spans="1:9" ht="27.6">
      <c r="A811" s="108" t="s">
        <v>14690</v>
      </c>
      <c r="B811" s="108" t="s">
        <v>15680</v>
      </c>
      <c r="C811" s="109">
        <v>40982</v>
      </c>
      <c r="D811" s="108"/>
      <c r="E811" s="108" t="s">
        <v>14611</v>
      </c>
      <c r="F811" s="108" t="s">
        <v>15681</v>
      </c>
      <c r="G811" s="110"/>
      <c r="H811" s="108"/>
      <c r="I811" s="108"/>
    </row>
    <row r="812" spans="1:9">
      <c r="A812" s="108" t="s">
        <v>237</v>
      </c>
      <c r="B812" s="108" t="s">
        <v>15682</v>
      </c>
      <c r="C812" s="109">
        <v>40808</v>
      </c>
      <c r="D812" s="108"/>
      <c r="E812" s="108" t="s">
        <v>14611</v>
      </c>
      <c r="F812" s="108" t="s">
        <v>2529</v>
      </c>
      <c r="G812" s="110"/>
      <c r="H812" s="108"/>
      <c r="I812" s="108"/>
    </row>
    <row r="813" spans="1:9">
      <c r="A813" s="108"/>
      <c r="B813" s="108" t="s">
        <v>15683</v>
      </c>
      <c r="C813" s="109">
        <v>40801</v>
      </c>
      <c r="D813" s="108"/>
      <c r="E813" s="108" t="s">
        <v>14605</v>
      </c>
      <c r="F813" s="108" t="s">
        <v>1092</v>
      </c>
      <c r="G813" s="110"/>
      <c r="H813" s="108"/>
      <c r="I813" s="108"/>
    </row>
    <row r="814" spans="1:9" ht="27.6">
      <c r="A814" s="108" t="s">
        <v>14690</v>
      </c>
      <c r="B814" s="108" t="s">
        <v>15684</v>
      </c>
      <c r="C814" s="109">
        <v>41033</v>
      </c>
      <c r="D814" s="108"/>
      <c r="E814" s="108" t="s">
        <v>14611</v>
      </c>
      <c r="F814" s="108" t="s">
        <v>15685</v>
      </c>
      <c r="G814" s="110"/>
      <c r="H814" s="108"/>
      <c r="I814" s="108"/>
    </row>
    <row r="815" spans="1:9" ht="27.6">
      <c r="A815" s="108" t="s">
        <v>14690</v>
      </c>
      <c r="B815" s="108" t="s">
        <v>15686</v>
      </c>
      <c r="C815" s="109">
        <v>41344</v>
      </c>
      <c r="D815" s="108"/>
      <c r="E815" s="108" t="s">
        <v>14611</v>
      </c>
      <c r="F815" s="108" t="s">
        <v>15687</v>
      </c>
      <c r="G815" s="110"/>
      <c r="H815" s="108"/>
      <c r="I815" s="108"/>
    </row>
    <row r="816" spans="1:9" ht="27.6">
      <c r="A816" s="108" t="s">
        <v>14690</v>
      </c>
      <c r="B816" s="108" t="s">
        <v>15688</v>
      </c>
      <c r="C816" s="109">
        <v>41375</v>
      </c>
      <c r="D816" s="108"/>
      <c r="E816" s="108" t="s">
        <v>14611</v>
      </c>
      <c r="F816" s="108" t="s">
        <v>15689</v>
      </c>
      <c r="G816" s="110"/>
      <c r="H816" s="108"/>
      <c r="I816" s="108"/>
    </row>
    <row r="817" spans="1:9" ht="41.4">
      <c r="A817" s="108" t="s">
        <v>14690</v>
      </c>
      <c r="B817" s="108" t="s">
        <v>15690</v>
      </c>
      <c r="C817" s="109">
        <v>41304</v>
      </c>
      <c r="D817" s="108"/>
      <c r="E817" s="108" t="s">
        <v>14611</v>
      </c>
      <c r="F817" s="108" t="s">
        <v>15691</v>
      </c>
      <c r="G817" s="110"/>
      <c r="H817" s="108"/>
      <c r="I817" s="108"/>
    </row>
    <row r="818" spans="1:9" ht="27.6">
      <c r="A818" s="108" t="s">
        <v>14690</v>
      </c>
      <c r="B818" s="108" t="s">
        <v>15692</v>
      </c>
      <c r="C818" s="109">
        <v>41408</v>
      </c>
      <c r="D818" s="108"/>
      <c r="E818" s="108" t="s">
        <v>14611</v>
      </c>
      <c r="F818" s="108" t="s">
        <v>15086</v>
      </c>
      <c r="G818" s="110"/>
      <c r="H818" s="108"/>
      <c r="I818" s="108"/>
    </row>
    <row r="819" spans="1:9" ht="27.6">
      <c r="A819" s="108" t="s">
        <v>14690</v>
      </c>
      <c r="B819" s="108" t="s">
        <v>15693</v>
      </c>
      <c r="C819" s="109">
        <v>41540</v>
      </c>
      <c r="D819" s="108"/>
      <c r="E819" s="108" t="s">
        <v>14611</v>
      </c>
      <c r="F819" s="108" t="s">
        <v>15694</v>
      </c>
      <c r="G819" s="110"/>
      <c r="H819" s="108"/>
      <c r="I819" s="108"/>
    </row>
    <row r="820" spans="1:9">
      <c r="A820" s="108"/>
      <c r="B820" s="108" t="s">
        <v>15695</v>
      </c>
      <c r="C820" s="109">
        <v>41711</v>
      </c>
      <c r="D820" s="108"/>
      <c r="E820" s="108" t="s">
        <v>14611</v>
      </c>
      <c r="F820" s="108" t="s">
        <v>15696</v>
      </c>
      <c r="G820" s="110"/>
      <c r="H820" s="108"/>
      <c r="I820" s="108"/>
    </row>
    <row r="821" spans="1:9">
      <c r="A821" s="108"/>
      <c r="B821" s="108" t="s">
        <v>15697</v>
      </c>
      <c r="C821" s="109">
        <v>41345</v>
      </c>
      <c r="D821" s="108"/>
      <c r="E821" s="108" t="s">
        <v>14611</v>
      </c>
      <c r="F821" s="108" t="s">
        <v>1719</v>
      </c>
      <c r="G821" s="110"/>
      <c r="H821" s="108"/>
      <c r="I821" s="108"/>
    </row>
    <row r="822" spans="1:9">
      <c r="A822" s="108"/>
      <c r="B822" s="108" t="s">
        <v>15698</v>
      </c>
      <c r="C822" s="109">
        <v>38474</v>
      </c>
      <c r="D822" s="108"/>
      <c r="E822" s="108" t="s">
        <v>14611</v>
      </c>
      <c r="F822" s="108" t="s">
        <v>2664</v>
      </c>
      <c r="G822" s="110"/>
      <c r="H822" s="108"/>
      <c r="I822" s="108"/>
    </row>
    <row r="823" spans="1:9">
      <c r="A823" s="108"/>
      <c r="B823" s="108" t="s">
        <v>15699</v>
      </c>
      <c r="C823" s="109">
        <v>38916</v>
      </c>
      <c r="D823" s="108"/>
      <c r="E823" s="108" t="s">
        <v>14611</v>
      </c>
      <c r="F823" s="108" t="s">
        <v>3794</v>
      </c>
      <c r="G823" s="110"/>
      <c r="H823" s="108"/>
      <c r="I823" s="108"/>
    </row>
    <row r="824" spans="1:9">
      <c r="A824" s="108"/>
      <c r="B824" s="108" t="s">
        <v>15700</v>
      </c>
      <c r="C824" s="109">
        <v>39171</v>
      </c>
      <c r="D824" s="108"/>
      <c r="E824" s="108" t="s">
        <v>14611</v>
      </c>
      <c r="F824" s="108" t="s">
        <v>2664</v>
      </c>
      <c r="G824" s="110"/>
      <c r="H824" s="108"/>
      <c r="I824" s="108"/>
    </row>
    <row r="825" spans="1:9" ht="27.6">
      <c r="A825" s="108" t="s">
        <v>15701</v>
      </c>
      <c r="B825" s="108" t="s">
        <v>15702</v>
      </c>
      <c r="C825" s="109">
        <v>38894</v>
      </c>
      <c r="D825" s="108"/>
      <c r="E825" s="108" t="s">
        <v>14611</v>
      </c>
      <c r="F825" s="108" t="s">
        <v>4229</v>
      </c>
      <c r="G825" s="110"/>
      <c r="H825" s="108"/>
      <c r="I825" s="108"/>
    </row>
    <row r="826" spans="1:9">
      <c r="A826" s="108"/>
      <c r="B826" s="108" t="s">
        <v>15703</v>
      </c>
      <c r="C826" s="109">
        <v>38455</v>
      </c>
      <c r="D826" s="108"/>
      <c r="E826" s="108" t="s">
        <v>14611</v>
      </c>
      <c r="F826" s="108" t="s">
        <v>15704</v>
      </c>
      <c r="G826" s="110"/>
      <c r="H826" s="108"/>
      <c r="I826" s="108"/>
    </row>
    <row r="827" spans="1:9">
      <c r="A827" s="108" t="s">
        <v>15705</v>
      </c>
      <c r="B827" s="108" t="s">
        <v>15706</v>
      </c>
      <c r="C827" s="109">
        <v>38467</v>
      </c>
      <c r="D827" s="108"/>
      <c r="E827" s="108" t="s">
        <v>14611</v>
      </c>
      <c r="F827" s="108" t="s">
        <v>286</v>
      </c>
      <c r="G827" s="110"/>
      <c r="H827" s="108"/>
      <c r="I827" s="108"/>
    </row>
    <row r="828" spans="1:9">
      <c r="A828" s="108"/>
      <c r="B828" s="108" t="s">
        <v>15707</v>
      </c>
      <c r="C828" s="109">
        <v>38464</v>
      </c>
      <c r="D828" s="108"/>
      <c r="E828" s="108" t="s">
        <v>14611</v>
      </c>
      <c r="F828" s="108" t="s">
        <v>1159</v>
      </c>
      <c r="G828" s="110"/>
      <c r="H828" s="108"/>
      <c r="I828" s="108"/>
    </row>
    <row r="829" spans="1:9">
      <c r="A829" s="108"/>
      <c r="B829" s="108" t="s">
        <v>15708</v>
      </c>
      <c r="C829" s="109">
        <v>38477</v>
      </c>
      <c r="D829" s="108"/>
      <c r="E829" s="108" t="s">
        <v>14611</v>
      </c>
      <c r="F829" s="108" t="s">
        <v>720</v>
      </c>
      <c r="G829" s="110"/>
      <c r="H829" s="108"/>
      <c r="I829" s="108"/>
    </row>
    <row r="830" spans="1:9" ht="27.6">
      <c r="A830" s="108" t="s">
        <v>15705</v>
      </c>
      <c r="B830" s="108" t="s">
        <v>15709</v>
      </c>
      <c r="C830" s="109">
        <v>38594</v>
      </c>
      <c r="D830" s="108"/>
      <c r="E830" s="108" t="s">
        <v>14611</v>
      </c>
      <c r="F830" s="108" t="s">
        <v>15710</v>
      </c>
      <c r="G830" s="110"/>
      <c r="H830" s="108"/>
      <c r="I830" s="108"/>
    </row>
    <row r="831" spans="1:9">
      <c r="A831" s="108"/>
      <c r="B831" s="108" t="s">
        <v>15711</v>
      </c>
      <c r="C831" s="109">
        <v>38510</v>
      </c>
      <c r="D831" s="108"/>
      <c r="E831" s="108" t="s">
        <v>14611</v>
      </c>
      <c r="F831" s="108" t="s">
        <v>15712</v>
      </c>
      <c r="G831" s="110"/>
      <c r="H831" s="108"/>
      <c r="I831" s="108"/>
    </row>
    <row r="832" spans="1:9">
      <c r="A832" s="108" t="s">
        <v>15705</v>
      </c>
      <c r="B832" s="108" t="s">
        <v>15713</v>
      </c>
      <c r="C832" s="109">
        <v>39238</v>
      </c>
      <c r="D832" s="108"/>
      <c r="E832" s="108" t="s">
        <v>14611</v>
      </c>
      <c r="F832" s="108" t="s">
        <v>15714</v>
      </c>
      <c r="G832" s="110"/>
      <c r="H832" s="108"/>
      <c r="I832" s="108"/>
    </row>
    <row r="833" spans="1:9" ht="27.6">
      <c r="A833" s="108" t="s">
        <v>15701</v>
      </c>
      <c r="B833" s="108" t="s">
        <v>15715</v>
      </c>
      <c r="C833" s="109">
        <v>39499</v>
      </c>
      <c r="D833" s="108"/>
      <c r="E833" s="108" t="s">
        <v>14611</v>
      </c>
      <c r="F833" s="108" t="s">
        <v>15159</v>
      </c>
      <c r="G833" s="110"/>
      <c r="H833" s="108"/>
      <c r="I833" s="108"/>
    </row>
    <row r="834" spans="1:9">
      <c r="A834" s="108"/>
      <c r="B834" s="108" t="s">
        <v>15716</v>
      </c>
      <c r="C834" s="109">
        <v>38582</v>
      </c>
      <c r="D834" s="108"/>
      <c r="E834" s="108" t="s">
        <v>14611</v>
      </c>
      <c r="F834" s="108" t="s">
        <v>2622</v>
      </c>
      <c r="G834" s="110"/>
      <c r="H834" s="108"/>
      <c r="I834" s="108"/>
    </row>
    <row r="835" spans="1:9" ht="27.6">
      <c r="A835" s="108" t="s">
        <v>15701</v>
      </c>
      <c r="B835" s="108" t="s">
        <v>15717</v>
      </c>
      <c r="C835" s="109">
        <v>39259</v>
      </c>
      <c r="D835" s="108"/>
      <c r="E835" s="108" t="s">
        <v>14611</v>
      </c>
      <c r="F835" s="108" t="s">
        <v>15679</v>
      </c>
      <c r="G835" s="110"/>
      <c r="H835" s="108"/>
      <c r="I835" s="108"/>
    </row>
    <row r="836" spans="1:9" ht="27.6">
      <c r="A836" s="108" t="s">
        <v>15701</v>
      </c>
      <c r="B836" s="108" t="s">
        <v>15718</v>
      </c>
      <c r="C836" s="109">
        <v>38597</v>
      </c>
      <c r="D836" s="108"/>
      <c r="E836" s="108" t="s">
        <v>14611</v>
      </c>
      <c r="F836" s="108" t="s">
        <v>15719</v>
      </c>
      <c r="G836" s="110"/>
      <c r="H836" s="108"/>
      <c r="I836" s="108"/>
    </row>
    <row r="837" spans="1:9" ht="27.6">
      <c r="A837" s="108" t="s">
        <v>15701</v>
      </c>
      <c r="B837" s="108" t="s">
        <v>15720</v>
      </c>
      <c r="C837" s="109">
        <v>38376</v>
      </c>
      <c r="D837" s="108"/>
      <c r="E837" s="108" t="s">
        <v>14611</v>
      </c>
      <c r="F837" s="108" t="s">
        <v>15721</v>
      </c>
      <c r="G837" s="110"/>
      <c r="H837" s="108"/>
      <c r="I837" s="108"/>
    </row>
    <row r="838" spans="1:9">
      <c r="A838" s="108"/>
      <c r="B838" s="108" t="s">
        <v>15722</v>
      </c>
      <c r="C838" s="109">
        <v>38398</v>
      </c>
      <c r="D838" s="108"/>
      <c r="E838" s="108" t="s">
        <v>14611</v>
      </c>
      <c r="F838" s="108" t="s">
        <v>306</v>
      </c>
      <c r="G838" s="110"/>
      <c r="H838" s="108"/>
      <c r="I838" s="108"/>
    </row>
    <row r="839" spans="1:9" ht="27.6">
      <c r="A839" s="108" t="s">
        <v>15701</v>
      </c>
      <c r="B839" s="108" t="s">
        <v>15723</v>
      </c>
      <c r="C839" s="109">
        <v>38562</v>
      </c>
      <c r="D839" s="108"/>
      <c r="E839" s="108" t="s">
        <v>14611</v>
      </c>
      <c r="F839" s="108" t="s">
        <v>4260</v>
      </c>
      <c r="G839" s="110"/>
      <c r="H839" s="108"/>
      <c r="I839" s="108"/>
    </row>
    <row r="840" spans="1:9">
      <c r="A840" s="108"/>
      <c r="B840" s="108" t="s">
        <v>15724</v>
      </c>
      <c r="C840" s="109">
        <v>39433</v>
      </c>
      <c r="D840" s="108"/>
      <c r="E840" s="108" t="s">
        <v>14611</v>
      </c>
      <c r="F840" s="108" t="s">
        <v>14976</v>
      </c>
      <c r="G840" s="110"/>
      <c r="H840" s="108"/>
      <c r="I840" s="108"/>
    </row>
    <row r="841" spans="1:9" ht="27.6">
      <c r="A841" s="108" t="s">
        <v>15701</v>
      </c>
      <c r="B841" s="108" t="s">
        <v>15725</v>
      </c>
      <c r="C841" s="109">
        <v>38698</v>
      </c>
      <c r="D841" s="108"/>
      <c r="E841" s="108" t="s">
        <v>14611</v>
      </c>
      <c r="F841" s="108" t="s">
        <v>15726</v>
      </c>
      <c r="G841" s="110"/>
      <c r="H841" s="108"/>
      <c r="I841" s="108"/>
    </row>
    <row r="842" spans="1:9" ht="27.6">
      <c r="A842" s="108" t="s">
        <v>15701</v>
      </c>
      <c r="B842" s="108" t="s">
        <v>15727</v>
      </c>
      <c r="C842" s="109">
        <v>38474</v>
      </c>
      <c r="D842" s="108"/>
      <c r="E842" s="108" t="s">
        <v>14611</v>
      </c>
      <c r="F842" s="108" t="s">
        <v>3555</v>
      </c>
      <c r="G842" s="110"/>
      <c r="H842" s="108"/>
      <c r="I842" s="108"/>
    </row>
    <row r="843" spans="1:9" ht="27.6">
      <c r="A843" s="108" t="s">
        <v>15701</v>
      </c>
      <c r="B843" s="108" t="s">
        <v>15728</v>
      </c>
      <c r="C843" s="109">
        <v>38769</v>
      </c>
      <c r="D843" s="108"/>
      <c r="E843" s="108" t="s">
        <v>14611</v>
      </c>
      <c r="F843" s="108" t="s">
        <v>15729</v>
      </c>
      <c r="G843" s="110"/>
      <c r="H843" s="108"/>
      <c r="I843" s="108"/>
    </row>
    <row r="844" spans="1:9">
      <c r="A844" s="108" t="s">
        <v>15705</v>
      </c>
      <c r="B844" s="108" t="s">
        <v>15730</v>
      </c>
      <c r="C844" s="109">
        <v>38841</v>
      </c>
      <c r="D844" s="108"/>
      <c r="E844" s="108" t="s">
        <v>14611</v>
      </c>
      <c r="F844" s="108" t="s">
        <v>15731</v>
      </c>
      <c r="G844" s="110"/>
      <c r="H844" s="108"/>
      <c r="I844" s="108"/>
    </row>
    <row r="845" spans="1:9">
      <c r="A845" s="108"/>
      <c r="B845" s="108" t="s">
        <v>15732</v>
      </c>
      <c r="C845" s="109">
        <v>38793</v>
      </c>
      <c r="D845" s="108"/>
      <c r="E845" s="108" t="s">
        <v>14611</v>
      </c>
      <c r="F845" s="108" t="s">
        <v>3817</v>
      </c>
      <c r="G845" s="110"/>
      <c r="H845" s="108"/>
      <c r="I845" s="108"/>
    </row>
    <row r="846" spans="1:9" ht="27.6">
      <c r="A846" s="108" t="s">
        <v>15701</v>
      </c>
      <c r="B846" s="108" t="s">
        <v>15733</v>
      </c>
      <c r="C846" s="109">
        <v>39106</v>
      </c>
      <c r="D846" s="108"/>
      <c r="E846" s="108" t="s">
        <v>14611</v>
      </c>
      <c r="F846" s="108" t="s">
        <v>4448</v>
      </c>
      <c r="G846" s="110"/>
      <c r="H846" s="108"/>
      <c r="I846" s="108"/>
    </row>
    <row r="847" spans="1:9">
      <c r="A847" s="108" t="s">
        <v>15705</v>
      </c>
      <c r="B847" s="108" t="s">
        <v>15734</v>
      </c>
      <c r="C847" s="109">
        <v>38817</v>
      </c>
      <c r="D847" s="108"/>
      <c r="E847" s="108" t="s">
        <v>14611</v>
      </c>
      <c r="F847" s="108" t="s">
        <v>129</v>
      </c>
      <c r="G847" s="110"/>
      <c r="H847" s="108"/>
      <c r="I847" s="108"/>
    </row>
    <row r="848" spans="1:9">
      <c r="A848" s="108" t="s">
        <v>15705</v>
      </c>
      <c r="B848" s="108" t="s">
        <v>15735</v>
      </c>
      <c r="C848" s="109">
        <v>38707</v>
      </c>
      <c r="D848" s="108"/>
      <c r="E848" s="108" t="s">
        <v>14611</v>
      </c>
      <c r="F848" s="108" t="s">
        <v>2853</v>
      </c>
      <c r="G848" s="110"/>
      <c r="H848" s="108"/>
      <c r="I848" s="108"/>
    </row>
    <row r="849" spans="1:9">
      <c r="A849" s="108"/>
      <c r="B849" s="108" t="s">
        <v>15736</v>
      </c>
      <c r="C849" s="109">
        <v>38950</v>
      </c>
      <c r="D849" s="108"/>
      <c r="E849" s="108" t="s">
        <v>14611</v>
      </c>
      <c r="F849" s="108" t="s">
        <v>4236</v>
      </c>
      <c r="G849" s="110"/>
      <c r="H849" s="108"/>
      <c r="I849" s="108"/>
    </row>
    <row r="850" spans="1:9">
      <c r="A850" s="108" t="s">
        <v>15705</v>
      </c>
      <c r="B850" s="108" t="s">
        <v>15737</v>
      </c>
      <c r="C850" s="109">
        <v>38946</v>
      </c>
      <c r="D850" s="108"/>
      <c r="E850" s="108" t="s">
        <v>14611</v>
      </c>
      <c r="F850" s="108" t="s">
        <v>4130</v>
      </c>
      <c r="G850" s="110"/>
      <c r="H850" s="108"/>
      <c r="I850" s="108"/>
    </row>
    <row r="851" spans="1:9" ht="27.6">
      <c r="A851" s="108" t="s">
        <v>15701</v>
      </c>
      <c r="B851" s="108" t="s">
        <v>15738</v>
      </c>
      <c r="C851" s="109">
        <v>39350</v>
      </c>
      <c r="D851" s="108"/>
      <c r="E851" s="108" t="s">
        <v>14611</v>
      </c>
      <c r="F851" s="108" t="s">
        <v>15535</v>
      </c>
      <c r="G851" s="110"/>
      <c r="H851" s="108"/>
      <c r="I851" s="108"/>
    </row>
    <row r="852" spans="1:9">
      <c r="A852" s="108"/>
      <c r="B852" s="108" t="s">
        <v>15739</v>
      </c>
      <c r="C852" s="109">
        <v>38923</v>
      </c>
      <c r="D852" s="108"/>
      <c r="E852" s="108" t="s">
        <v>14611</v>
      </c>
      <c r="F852" s="108" t="s">
        <v>15740</v>
      </c>
      <c r="G852" s="110"/>
      <c r="H852" s="108"/>
      <c r="I852" s="108"/>
    </row>
    <row r="853" spans="1:9">
      <c r="A853" s="108"/>
      <c r="B853" s="108" t="s">
        <v>15741</v>
      </c>
      <c r="C853" s="109">
        <v>38952</v>
      </c>
      <c r="D853" s="108"/>
      <c r="E853" s="108" t="s">
        <v>14611</v>
      </c>
      <c r="F853" s="108" t="s">
        <v>4374</v>
      </c>
      <c r="G853" s="110"/>
      <c r="H853" s="108"/>
      <c r="I853" s="108"/>
    </row>
    <row r="854" spans="1:9" ht="27.6">
      <c r="A854" s="108" t="s">
        <v>15701</v>
      </c>
      <c r="B854" s="108" t="s">
        <v>15742</v>
      </c>
      <c r="C854" s="109">
        <v>39730</v>
      </c>
      <c r="D854" s="108"/>
      <c r="E854" s="108" t="s">
        <v>14611</v>
      </c>
      <c r="F854" s="108" t="s">
        <v>15743</v>
      </c>
      <c r="G854" s="110"/>
      <c r="H854" s="108"/>
      <c r="I854" s="108"/>
    </row>
    <row r="855" spans="1:9" ht="27.6">
      <c r="A855" s="108" t="s">
        <v>15705</v>
      </c>
      <c r="B855" s="108" t="s">
        <v>15744</v>
      </c>
      <c r="C855" s="109">
        <v>39987</v>
      </c>
      <c r="D855" s="108"/>
      <c r="E855" s="108" t="s">
        <v>14611</v>
      </c>
      <c r="F855" s="108" t="s">
        <v>15710</v>
      </c>
      <c r="G855" s="110"/>
      <c r="H855" s="108"/>
      <c r="I855" s="108"/>
    </row>
    <row r="856" spans="1:9" ht="27.6">
      <c r="A856" s="108" t="s">
        <v>15705</v>
      </c>
      <c r="B856" s="108" t="s">
        <v>15745</v>
      </c>
      <c r="C856" s="109">
        <v>38972</v>
      </c>
      <c r="D856" s="108"/>
      <c r="E856" s="108" t="s">
        <v>14611</v>
      </c>
      <c r="F856" s="108" t="s">
        <v>15746</v>
      </c>
      <c r="G856" s="110"/>
      <c r="H856" s="108"/>
      <c r="I856" s="108"/>
    </row>
    <row r="857" spans="1:9" ht="27.6">
      <c r="A857" s="108" t="s">
        <v>15701</v>
      </c>
      <c r="B857" s="108" t="s">
        <v>15747</v>
      </c>
      <c r="C857" s="109">
        <v>38626</v>
      </c>
      <c r="D857" s="108"/>
      <c r="E857" s="108" t="s">
        <v>14611</v>
      </c>
      <c r="F857" s="108" t="s">
        <v>15748</v>
      </c>
      <c r="G857" s="110"/>
      <c r="H857" s="108"/>
      <c r="I857" s="108"/>
    </row>
    <row r="858" spans="1:9" ht="27.6">
      <c r="A858" s="108"/>
      <c r="B858" s="108" t="s">
        <v>15749</v>
      </c>
      <c r="C858" s="109">
        <v>39000</v>
      </c>
      <c r="D858" s="108"/>
      <c r="E858" s="108" t="s">
        <v>14611</v>
      </c>
      <c r="F858" s="108" t="s">
        <v>394</v>
      </c>
      <c r="G858" s="110"/>
      <c r="H858" s="108"/>
      <c r="I858" s="108"/>
    </row>
    <row r="859" spans="1:9" ht="27.6">
      <c r="A859" s="108" t="s">
        <v>15701</v>
      </c>
      <c r="B859" s="108" t="s">
        <v>15750</v>
      </c>
      <c r="C859" s="109">
        <v>38996</v>
      </c>
      <c r="D859" s="108"/>
      <c r="E859" s="108" t="s">
        <v>14611</v>
      </c>
      <c r="F859" s="108" t="s">
        <v>286</v>
      </c>
      <c r="G859" s="110"/>
      <c r="H859" s="108"/>
      <c r="I859" s="108"/>
    </row>
    <row r="860" spans="1:9">
      <c r="A860" s="108"/>
      <c r="B860" s="108" t="s">
        <v>15751</v>
      </c>
      <c r="C860" s="109">
        <v>39052</v>
      </c>
      <c r="D860" s="108"/>
      <c r="E860" s="108" t="s">
        <v>14611</v>
      </c>
      <c r="F860" s="108" t="s">
        <v>4151</v>
      </c>
      <c r="G860" s="110"/>
      <c r="H860" s="108"/>
      <c r="I860" s="108"/>
    </row>
    <row r="861" spans="1:9">
      <c r="A861" s="108"/>
      <c r="B861" s="108" t="s">
        <v>15752</v>
      </c>
      <c r="C861" s="109">
        <v>39093</v>
      </c>
      <c r="D861" s="108"/>
      <c r="E861" s="108" t="s">
        <v>14611</v>
      </c>
      <c r="F861" s="108" t="s">
        <v>2622</v>
      </c>
      <c r="G861" s="110"/>
      <c r="H861" s="108"/>
      <c r="I861" s="108"/>
    </row>
    <row r="862" spans="1:9">
      <c r="A862" s="108" t="s">
        <v>15705</v>
      </c>
      <c r="B862" s="108" t="s">
        <v>15753</v>
      </c>
      <c r="C862" s="109">
        <v>39070</v>
      </c>
      <c r="D862" s="108"/>
      <c r="E862" s="108" t="s">
        <v>14611</v>
      </c>
      <c r="F862" s="108" t="s">
        <v>538</v>
      </c>
      <c r="G862" s="110"/>
      <c r="H862" s="108"/>
      <c r="I862" s="108"/>
    </row>
    <row r="863" spans="1:9" ht="27.6">
      <c r="A863" s="108" t="s">
        <v>15701</v>
      </c>
      <c r="B863" s="108" t="s">
        <v>15754</v>
      </c>
      <c r="C863" s="109">
        <v>40059</v>
      </c>
      <c r="D863" s="108"/>
      <c r="E863" s="108" t="s">
        <v>14611</v>
      </c>
      <c r="F863" s="108" t="s">
        <v>15755</v>
      </c>
      <c r="G863" s="110"/>
      <c r="H863" s="108"/>
      <c r="I863" s="108"/>
    </row>
    <row r="864" spans="1:9">
      <c r="A864" s="108" t="s">
        <v>15756</v>
      </c>
      <c r="B864" s="108" t="s">
        <v>15757</v>
      </c>
      <c r="C864" s="109">
        <v>40544</v>
      </c>
      <c r="D864" s="108"/>
      <c r="E864" s="108" t="s">
        <v>14605</v>
      </c>
      <c r="F864" s="108" t="s">
        <v>15758</v>
      </c>
      <c r="G864" s="110"/>
      <c r="H864" s="108"/>
      <c r="I864" s="108"/>
    </row>
    <row r="865" spans="1:9" ht="27.6">
      <c r="A865" s="108" t="s">
        <v>15759</v>
      </c>
      <c r="B865" s="108" t="s">
        <v>15760</v>
      </c>
      <c r="C865" s="109">
        <v>45875</v>
      </c>
      <c r="D865" s="108"/>
      <c r="E865" s="108" t="s">
        <v>14605</v>
      </c>
      <c r="F865" s="108" t="s">
        <v>15761</v>
      </c>
      <c r="G865" s="110"/>
      <c r="H865" s="108"/>
      <c r="I865" s="108"/>
    </row>
    <row r="866" spans="1:9" ht="27.6">
      <c r="A866" s="108" t="s">
        <v>15759</v>
      </c>
      <c r="B866" s="108" t="s">
        <v>15762</v>
      </c>
      <c r="C866" s="109">
        <v>45644</v>
      </c>
      <c r="D866" s="108"/>
      <c r="E866" s="108" t="s">
        <v>14605</v>
      </c>
      <c r="F866" s="108" t="s">
        <v>15763</v>
      </c>
      <c r="G866" s="110"/>
      <c r="H866" s="108"/>
      <c r="I866" s="108"/>
    </row>
    <row r="867" spans="1:9" ht="27.6">
      <c r="A867" s="108" t="s">
        <v>15759</v>
      </c>
      <c r="B867" s="108" t="s">
        <v>15764</v>
      </c>
      <c r="C867" s="109">
        <v>45673</v>
      </c>
      <c r="D867" s="108"/>
      <c r="E867" s="108" t="s">
        <v>14605</v>
      </c>
      <c r="F867" s="108" t="s">
        <v>15765</v>
      </c>
      <c r="G867" s="110"/>
      <c r="H867" s="108"/>
      <c r="I867" s="108"/>
    </row>
    <row r="868" spans="1:9" ht="27.6">
      <c r="A868" s="108" t="s">
        <v>15759</v>
      </c>
      <c r="B868" s="108" t="s">
        <v>15766</v>
      </c>
      <c r="C868" s="109">
        <v>45971</v>
      </c>
      <c r="D868" s="108"/>
      <c r="E868" s="108" t="s">
        <v>14605</v>
      </c>
      <c r="F868" s="108" t="s">
        <v>15767</v>
      </c>
      <c r="G868" s="110"/>
      <c r="H868" s="108"/>
      <c r="I868" s="108"/>
    </row>
    <row r="869" spans="1:9" ht="27.6">
      <c r="A869" s="108" t="s">
        <v>15759</v>
      </c>
      <c r="B869" s="108" t="s">
        <v>15768</v>
      </c>
      <c r="C869" s="109">
        <v>45756</v>
      </c>
      <c r="D869" s="108"/>
      <c r="E869" s="108" t="s">
        <v>14605</v>
      </c>
      <c r="F869" s="108" t="s">
        <v>15082</v>
      </c>
      <c r="G869" s="110"/>
      <c r="H869" s="108"/>
      <c r="I869" s="108"/>
    </row>
    <row r="870" spans="1:9" ht="27.6">
      <c r="A870" s="108" t="s">
        <v>15759</v>
      </c>
      <c r="B870" s="108" t="s">
        <v>15769</v>
      </c>
      <c r="C870" s="109">
        <v>45971</v>
      </c>
      <c r="D870" s="108"/>
      <c r="E870" s="108" t="s">
        <v>14605</v>
      </c>
      <c r="F870" s="108" t="s">
        <v>15767</v>
      </c>
      <c r="G870" s="110"/>
      <c r="H870" s="108"/>
      <c r="I870" s="108"/>
    </row>
    <row r="871" spans="1:9" ht="27.6">
      <c r="A871" s="108" t="s">
        <v>15759</v>
      </c>
      <c r="B871" s="108" t="s">
        <v>15770</v>
      </c>
      <c r="C871" s="109">
        <v>45971</v>
      </c>
      <c r="D871" s="108"/>
      <c r="E871" s="108" t="s">
        <v>14605</v>
      </c>
      <c r="F871" s="108" t="s">
        <v>15767</v>
      </c>
      <c r="G871" s="110"/>
      <c r="H871" s="108"/>
      <c r="I871" s="108"/>
    </row>
    <row r="872" spans="1:9" ht="27.6">
      <c r="A872" s="108" t="s">
        <v>15759</v>
      </c>
      <c r="B872" s="108" t="s">
        <v>15771</v>
      </c>
      <c r="C872" s="109">
        <v>46001</v>
      </c>
      <c r="D872" s="108"/>
      <c r="E872" s="108" t="s">
        <v>14605</v>
      </c>
      <c r="F872" s="108" t="s">
        <v>15772</v>
      </c>
      <c r="G872" s="110"/>
      <c r="H872" s="108"/>
      <c r="I872" s="108"/>
    </row>
    <row r="873" spans="1:9" ht="27.6">
      <c r="A873" s="108" t="s">
        <v>15075</v>
      </c>
      <c r="B873" s="108" t="s">
        <v>15773</v>
      </c>
      <c r="C873" s="109">
        <v>45901</v>
      </c>
      <c r="D873" s="108"/>
      <c r="E873" s="108" t="s">
        <v>14605</v>
      </c>
      <c r="F873" s="108" t="s">
        <v>3333</v>
      </c>
      <c r="G873" s="110"/>
      <c r="H873" s="108"/>
      <c r="I873" s="108"/>
    </row>
    <row r="874" spans="1:9" ht="27.6">
      <c r="A874" s="108" t="s">
        <v>207</v>
      </c>
      <c r="B874" s="108" t="s">
        <v>15774</v>
      </c>
      <c r="C874" s="109">
        <v>46086</v>
      </c>
      <c r="D874" s="108"/>
      <c r="E874" s="108" t="s">
        <v>14605</v>
      </c>
      <c r="F874" s="108" t="s">
        <v>15775</v>
      </c>
      <c r="G874" s="110"/>
      <c r="H874" s="108"/>
      <c r="I874" s="108"/>
    </row>
    <row r="875" spans="1:9" ht="27.6">
      <c r="A875" s="108" t="s">
        <v>207</v>
      </c>
      <c r="B875" s="108" t="s">
        <v>15776</v>
      </c>
      <c r="C875" s="109">
        <v>45953</v>
      </c>
      <c r="D875" s="108"/>
      <c r="E875" s="108" t="s">
        <v>14605</v>
      </c>
      <c r="F875" s="108" t="s">
        <v>15299</v>
      </c>
      <c r="G875" s="110"/>
      <c r="H875" s="108"/>
      <c r="I875" s="108"/>
    </row>
    <row r="876" spans="1:9" ht="27.6">
      <c r="A876" s="108" t="s">
        <v>207</v>
      </c>
      <c r="B876" s="108" t="s">
        <v>15777</v>
      </c>
      <c r="C876" s="109">
        <v>46128</v>
      </c>
      <c r="D876" s="108"/>
      <c r="E876" s="108" t="s">
        <v>14605</v>
      </c>
      <c r="F876" s="108" t="s">
        <v>15778</v>
      </c>
      <c r="G876" s="110"/>
      <c r="H876" s="108"/>
      <c r="I876" s="108"/>
    </row>
    <row r="877" spans="1:9" ht="27.6">
      <c r="A877" s="108" t="s">
        <v>207</v>
      </c>
      <c r="B877" s="108" t="s">
        <v>15779</v>
      </c>
      <c r="C877" s="109">
        <v>46133</v>
      </c>
      <c r="D877" s="108"/>
      <c r="E877" s="108" t="s">
        <v>14605</v>
      </c>
      <c r="F877" s="108" t="s">
        <v>15780</v>
      </c>
      <c r="G877" s="110"/>
      <c r="H877" s="108"/>
      <c r="I877" s="108"/>
    </row>
    <row r="878" spans="1:9">
      <c r="A878" s="108"/>
      <c r="B878" s="108" t="s">
        <v>15781</v>
      </c>
      <c r="C878" s="109">
        <v>46227</v>
      </c>
      <c r="D878" s="108"/>
      <c r="E878" s="108" t="s">
        <v>14605</v>
      </c>
      <c r="F878" s="108" t="s">
        <v>14764</v>
      </c>
      <c r="G878" s="110"/>
      <c r="H878" s="108"/>
      <c r="I878" s="108"/>
    </row>
    <row r="879" spans="1:9" ht="27.6">
      <c r="A879" s="108" t="s">
        <v>207</v>
      </c>
      <c r="B879" s="108" t="s">
        <v>15782</v>
      </c>
      <c r="C879" s="109">
        <v>46227</v>
      </c>
      <c r="D879" s="108"/>
      <c r="E879" s="108" t="s">
        <v>14605</v>
      </c>
      <c r="F879" s="108" t="s">
        <v>15783</v>
      </c>
      <c r="G879" s="110"/>
      <c r="H879" s="108"/>
      <c r="I879" s="108"/>
    </row>
    <row r="880" spans="1:9" ht="27.6">
      <c r="A880" s="108" t="s">
        <v>207</v>
      </c>
      <c r="B880" s="108" t="s">
        <v>15784</v>
      </c>
      <c r="C880" s="109">
        <v>40179</v>
      </c>
      <c r="D880" s="108"/>
      <c r="E880" s="108" t="s">
        <v>14611</v>
      </c>
      <c r="F880" s="108" t="s">
        <v>15785</v>
      </c>
      <c r="G880" s="110"/>
      <c r="H880" s="108"/>
      <c r="I880" s="108"/>
    </row>
    <row r="881" spans="1:9">
      <c r="A881" s="108"/>
      <c r="B881" s="108" t="s">
        <v>1737</v>
      </c>
      <c r="C881" s="109">
        <v>40199</v>
      </c>
      <c r="D881" s="108"/>
      <c r="E881" s="108" t="s">
        <v>14611</v>
      </c>
      <c r="F881" s="108" t="s">
        <v>1738</v>
      </c>
      <c r="G881" s="110"/>
      <c r="H881" s="108"/>
      <c r="I881" s="108"/>
    </row>
    <row r="882" spans="1:9">
      <c r="A882" s="108"/>
      <c r="B882" s="108" t="s">
        <v>15786</v>
      </c>
      <c r="C882" s="109">
        <v>40239</v>
      </c>
      <c r="D882" s="108"/>
      <c r="E882" s="108" t="s">
        <v>14611</v>
      </c>
      <c r="F882" s="108" t="s">
        <v>15086</v>
      </c>
      <c r="G882" s="110"/>
      <c r="H882" s="108"/>
      <c r="I882" s="108"/>
    </row>
    <row r="883" spans="1:9">
      <c r="A883" s="108"/>
      <c r="B883" s="108" t="s">
        <v>15787</v>
      </c>
      <c r="C883" s="109">
        <v>40255</v>
      </c>
      <c r="D883" s="108"/>
      <c r="E883" s="108" t="s">
        <v>14611</v>
      </c>
      <c r="F883" s="108" t="s">
        <v>15788</v>
      </c>
      <c r="G883" s="110"/>
      <c r="H883" s="108"/>
      <c r="I883" s="108"/>
    </row>
    <row r="884" spans="1:9">
      <c r="A884" s="108"/>
      <c r="B884" s="108" t="s">
        <v>15789</v>
      </c>
      <c r="C884" s="109">
        <v>40361</v>
      </c>
      <c r="D884" s="108"/>
      <c r="E884" s="108" t="s">
        <v>14611</v>
      </c>
      <c r="F884" s="108" t="s">
        <v>15790</v>
      </c>
      <c r="G884" s="110"/>
      <c r="H884" s="108"/>
      <c r="I884" s="108"/>
    </row>
    <row r="885" spans="1:9" ht="27.6">
      <c r="A885" s="108"/>
      <c r="B885" s="108" t="s">
        <v>974</v>
      </c>
      <c r="C885" s="109">
        <v>40296</v>
      </c>
      <c r="D885" s="108"/>
      <c r="E885" s="108" t="s">
        <v>14611</v>
      </c>
      <c r="F885" s="108" t="s">
        <v>966</v>
      </c>
      <c r="G885" s="110"/>
      <c r="H885" s="108"/>
      <c r="I885" s="108"/>
    </row>
    <row r="886" spans="1:9">
      <c r="A886" s="108"/>
      <c r="B886" s="108" t="s">
        <v>2668</v>
      </c>
      <c r="C886" s="109">
        <v>40420</v>
      </c>
      <c r="D886" s="108"/>
      <c r="E886" s="108" t="s">
        <v>14611</v>
      </c>
      <c r="F886" s="108" t="s">
        <v>2664</v>
      </c>
      <c r="G886" s="110"/>
      <c r="H886" s="108"/>
      <c r="I886" s="108"/>
    </row>
    <row r="887" spans="1:9" ht="27.6">
      <c r="A887" s="108" t="s">
        <v>207</v>
      </c>
      <c r="B887" s="108" t="s">
        <v>15791</v>
      </c>
      <c r="C887" s="109">
        <v>40632</v>
      </c>
      <c r="D887" s="108"/>
      <c r="E887" s="108" t="s">
        <v>14611</v>
      </c>
      <c r="F887" s="108" t="s">
        <v>15792</v>
      </c>
      <c r="G887" s="110"/>
      <c r="H887" s="108"/>
      <c r="I887" s="108"/>
    </row>
    <row r="888" spans="1:9">
      <c r="A888" s="108"/>
      <c r="B888" s="108" t="s">
        <v>947</v>
      </c>
      <c r="C888" s="109">
        <v>40527</v>
      </c>
      <c r="D888" s="108"/>
      <c r="E888" s="108" t="s">
        <v>14611</v>
      </c>
      <c r="F888" s="108" t="s">
        <v>933</v>
      </c>
      <c r="G888" s="110"/>
      <c r="H888" s="108"/>
      <c r="I888" s="108"/>
    </row>
    <row r="889" spans="1:9" ht="27.6">
      <c r="A889" s="108"/>
      <c r="B889" s="108" t="s">
        <v>1901</v>
      </c>
      <c r="C889" s="109">
        <v>40570</v>
      </c>
      <c r="D889" s="108"/>
      <c r="E889" s="108" t="s">
        <v>14611</v>
      </c>
      <c r="F889" s="108" t="s">
        <v>1902</v>
      </c>
      <c r="G889" s="110"/>
      <c r="H889" s="108"/>
      <c r="I889" s="108"/>
    </row>
    <row r="890" spans="1:9">
      <c r="A890" s="108"/>
      <c r="B890" s="108" t="s">
        <v>1884</v>
      </c>
      <c r="C890" s="109">
        <v>40626</v>
      </c>
      <c r="D890" s="108"/>
      <c r="E890" s="108" t="s">
        <v>14611</v>
      </c>
      <c r="F890" s="108" t="s">
        <v>1885</v>
      </c>
      <c r="G890" s="110"/>
      <c r="H890" s="108"/>
      <c r="I890" s="108"/>
    </row>
    <row r="891" spans="1:9">
      <c r="A891" s="108"/>
      <c r="B891" s="108" t="s">
        <v>425</v>
      </c>
      <c r="C891" s="109">
        <v>40970</v>
      </c>
      <c r="D891" s="108"/>
      <c r="E891" s="108" t="s">
        <v>14611</v>
      </c>
      <c r="F891" s="108" t="s">
        <v>15793</v>
      </c>
      <c r="G891" s="110"/>
      <c r="H891" s="108"/>
      <c r="I891" s="108"/>
    </row>
    <row r="892" spans="1:9" ht="27.6">
      <c r="A892" s="108" t="s">
        <v>207</v>
      </c>
      <c r="B892" s="108" t="s">
        <v>15794</v>
      </c>
      <c r="C892" s="109">
        <v>42093</v>
      </c>
      <c r="D892" s="108"/>
      <c r="E892" s="108" t="s">
        <v>14611</v>
      </c>
      <c r="F892" s="108" t="s">
        <v>15795</v>
      </c>
      <c r="G892" s="110"/>
      <c r="H892" s="108"/>
      <c r="I892" s="108"/>
    </row>
    <row r="893" spans="1:9">
      <c r="A893" s="108"/>
      <c r="B893" s="108" t="s">
        <v>3775</v>
      </c>
      <c r="C893" s="109">
        <v>42313</v>
      </c>
      <c r="D893" s="108"/>
      <c r="E893" s="108" t="s">
        <v>14605</v>
      </c>
      <c r="F893" s="108" t="s">
        <v>3773</v>
      </c>
      <c r="G893" s="110"/>
      <c r="H893" s="108"/>
      <c r="I893" s="108"/>
    </row>
    <row r="894" spans="1:9">
      <c r="A894" s="108"/>
      <c r="B894" s="108" t="s">
        <v>15796</v>
      </c>
      <c r="C894" s="109">
        <v>43018</v>
      </c>
      <c r="D894" s="108"/>
      <c r="E894" s="108" t="s">
        <v>14611</v>
      </c>
      <c r="F894" s="108" t="s">
        <v>15797</v>
      </c>
      <c r="G894" s="110"/>
      <c r="H894" s="108"/>
      <c r="I894" s="108"/>
    </row>
    <row r="895" spans="1:9">
      <c r="A895" s="108"/>
      <c r="B895" s="108" t="s">
        <v>15798</v>
      </c>
      <c r="C895" s="109">
        <v>44097</v>
      </c>
      <c r="D895" s="108"/>
      <c r="E895" s="108" t="s">
        <v>14611</v>
      </c>
      <c r="F895" s="108" t="s">
        <v>15799</v>
      </c>
      <c r="G895" s="110"/>
      <c r="H895" s="108"/>
      <c r="I895" s="108"/>
    </row>
    <row r="896" spans="1:9" ht="55.2">
      <c r="A896" s="108" t="s">
        <v>13001</v>
      </c>
      <c r="B896" s="108" t="s">
        <v>15800</v>
      </c>
      <c r="C896" s="109">
        <v>46205</v>
      </c>
      <c r="D896" s="108"/>
      <c r="E896" s="108" t="s">
        <v>14605</v>
      </c>
      <c r="F896" s="108" t="s">
        <v>15801</v>
      </c>
      <c r="G896" s="110"/>
      <c r="H896" s="108"/>
      <c r="I896" s="108"/>
    </row>
    <row r="897" spans="1:9" ht="55.2">
      <c r="A897" s="108" t="s">
        <v>12989</v>
      </c>
      <c r="B897" s="108" t="s">
        <v>15802</v>
      </c>
      <c r="C897" s="109">
        <v>46205</v>
      </c>
      <c r="D897" s="108"/>
      <c r="E897" s="108" t="s">
        <v>14605</v>
      </c>
      <c r="F897" s="108" t="s">
        <v>15801</v>
      </c>
      <c r="G897" s="110"/>
      <c r="H897" s="108"/>
      <c r="I897" s="108"/>
    </row>
    <row r="898" spans="1:9" ht="27.6">
      <c r="A898" s="108" t="s">
        <v>207</v>
      </c>
      <c r="B898" s="108" t="s">
        <v>15803</v>
      </c>
      <c r="C898" s="109">
        <v>45735</v>
      </c>
      <c r="D898" s="108"/>
      <c r="E898" s="108" t="s">
        <v>14605</v>
      </c>
      <c r="F898" s="108" t="s">
        <v>15287</v>
      </c>
      <c r="G898" s="110"/>
      <c r="H898" s="108"/>
      <c r="I898" s="108"/>
    </row>
    <row r="899" spans="1:9" ht="27.6">
      <c r="A899" s="108" t="s">
        <v>207</v>
      </c>
      <c r="B899" s="108" t="s">
        <v>15804</v>
      </c>
      <c r="C899" s="109">
        <v>46010</v>
      </c>
      <c r="D899" s="108"/>
      <c r="E899" s="108" t="s">
        <v>14605</v>
      </c>
      <c r="F899" s="108" t="s">
        <v>3782</v>
      </c>
      <c r="G899" s="110"/>
      <c r="H899" s="108"/>
      <c r="I899" s="108"/>
    </row>
    <row r="900" spans="1:9" ht="27.6">
      <c r="A900" s="108" t="s">
        <v>207</v>
      </c>
      <c r="B900" s="108" t="s">
        <v>15805</v>
      </c>
      <c r="C900" s="109">
        <v>45940</v>
      </c>
      <c r="D900" s="108"/>
      <c r="E900" s="108" t="s">
        <v>14605</v>
      </c>
      <c r="F900" s="108" t="s">
        <v>15806</v>
      </c>
      <c r="G900" s="110"/>
      <c r="H900" s="108"/>
      <c r="I900" s="108"/>
    </row>
    <row r="901" spans="1:9" ht="27.6">
      <c r="A901" s="108" t="s">
        <v>207</v>
      </c>
      <c r="B901" s="108" t="s">
        <v>15807</v>
      </c>
      <c r="C901" s="109">
        <v>46176</v>
      </c>
      <c r="D901" s="108"/>
      <c r="E901" s="108" t="s">
        <v>14605</v>
      </c>
      <c r="F901" s="108" t="s">
        <v>15808</v>
      </c>
      <c r="G901" s="110"/>
      <c r="H901" s="108"/>
      <c r="I901" s="108"/>
    </row>
    <row r="902" spans="1:9" ht="27.6">
      <c r="A902" s="108" t="s">
        <v>207</v>
      </c>
      <c r="B902" s="108" t="s">
        <v>15809</v>
      </c>
      <c r="C902" s="109">
        <v>46043</v>
      </c>
      <c r="D902" s="108"/>
      <c r="E902" s="108" t="s">
        <v>14605</v>
      </c>
      <c r="F902" s="108" t="s">
        <v>15810</v>
      </c>
      <c r="G902" s="110"/>
      <c r="H902" s="108"/>
      <c r="I902" s="108"/>
    </row>
    <row r="903" spans="1:9" ht="27.6">
      <c r="A903" s="108" t="s">
        <v>207</v>
      </c>
      <c r="B903" s="108" t="s">
        <v>15811</v>
      </c>
      <c r="C903" s="109">
        <v>46010</v>
      </c>
      <c r="D903" s="108"/>
      <c r="E903" s="108" t="s">
        <v>14605</v>
      </c>
      <c r="F903" s="108" t="s">
        <v>15812</v>
      </c>
      <c r="G903" s="110"/>
      <c r="H903" s="108"/>
      <c r="I903" s="108"/>
    </row>
    <row r="904" spans="1:9" ht="27.6">
      <c r="A904" s="108" t="s">
        <v>207</v>
      </c>
      <c r="B904" s="108" t="s">
        <v>15813</v>
      </c>
      <c r="C904" s="109">
        <v>46142</v>
      </c>
      <c r="D904" s="108"/>
      <c r="E904" s="108" t="s">
        <v>14605</v>
      </c>
      <c r="F904" s="108" t="s">
        <v>933</v>
      </c>
      <c r="G904" s="110"/>
      <c r="H904" s="108"/>
      <c r="I904" s="108"/>
    </row>
    <row r="905" spans="1:9" ht="27.6">
      <c r="A905" s="108" t="s">
        <v>207</v>
      </c>
      <c r="B905" s="108" t="s">
        <v>15814</v>
      </c>
      <c r="C905" s="109">
        <v>46086</v>
      </c>
      <c r="D905" s="108"/>
      <c r="E905" s="108" t="s">
        <v>14605</v>
      </c>
      <c r="F905" s="108" t="s">
        <v>15815</v>
      </c>
      <c r="G905" s="110"/>
      <c r="H905" s="108"/>
      <c r="I905" s="108"/>
    </row>
    <row r="906" spans="1:9" ht="27.6">
      <c r="A906" s="108" t="s">
        <v>207</v>
      </c>
      <c r="B906" s="108" t="s">
        <v>15816</v>
      </c>
      <c r="C906" s="109">
        <v>46112</v>
      </c>
      <c r="D906" s="108"/>
      <c r="E906" s="108" t="s">
        <v>14605</v>
      </c>
      <c r="F906" s="108" t="s">
        <v>15817</v>
      </c>
      <c r="G906" s="110"/>
      <c r="H906" s="108"/>
      <c r="I906" s="108"/>
    </row>
    <row r="907" spans="1:9" ht="27.6">
      <c r="A907" s="108" t="s">
        <v>207</v>
      </c>
      <c r="B907" s="108" t="s">
        <v>15818</v>
      </c>
      <c r="C907" s="109">
        <v>41648</v>
      </c>
      <c r="D907" s="108"/>
      <c r="E907" s="108" t="s">
        <v>14611</v>
      </c>
      <c r="F907" s="108" t="s">
        <v>15819</v>
      </c>
      <c r="G907" s="110"/>
      <c r="H907" s="108"/>
      <c r="I907" s="108"/>
    </row>
    <row r="908" spans="1:9" ht="27.6">
      <c r="A908" s="108" t="s">
        <v>15820</v>
      </c>
      <c r="B908" s="108" t="s">
        <v>15821</v>
      </c>
      <c r="C908" s="109">
        <v>46099</v>
      </c>
      <c r="D908" s="108"/>
      <c r="E908" s="108" t="s">
        <v>14605</v>
      </c>
      <c r="F908" s="108" t="s">
        <v>895</v>
      </c>
      <c r="G908" s="110"/>
      <c r="H908" s="108"/>
      <c r="I908" s="108"/>
    </row>
    <row r="909" spans="1:9" ht="27.6">
      <c r="A909" s="108"/>
      <c r="B909" s="108" t="s">
        <v>5093</v>
      </c>
      <c r="C909" s="109">
        <v>41319</v>
      </c>
      <c r="D909" s="108"/>
      <c r="E909" s="108" t="s">
        <v>14605</v>
      </c>
      <c r="F909" s="108" t="s">
        <v>5071</v>
      </c>
      <c r="G909" s="110"/>
      <c r="H909" s="108"/>
      <c r="I909" s="108"/>
    </row>
    <row r="910" spans="1:9" ht="27.6">
      <c r="A910" s="108" t="s">
        <v>5092</v>
      </c>
      <c r="B910" s="108" t="s">
        <v>5091</v>
      </c>
      <c r="C910" s="109">
        <v>41310</v>
      </c>
      <c r="D910" s="108"/>
      <c r="E910" s="108" t="s">
        <v>15822</v>
      </c>
      <c r="F910" s="108" t="s">
        <v>5071</v>
      </c>
      <c r="G910" s="110"/>
      <c r="H910" s="108"/>
      <c r="I910" s="108"/>
    </row>
    <row r="911" spans="1:9" ht="27.6">
      <c r="A911" s="108"/>
      <c r="B911" s="108" t="s">
        <v>5090</v>
      </c>
      <c r="C911" s="109">
        <v>41310</v>
      </c>
      <c r="D911" s="108"/>
      <c r="E911" s="108" t="s">
        <v>14605</v>
      </c>
      <c r="F911" s="108" t="s">
        <v>5071</v>
      </c>
      <c r="G911" s="110"/>
      <c r="H911" s="108"/>
      <c r="I911" s="108"/>
    </row>
    <row r="912" spans="1:9" ht="27.6">
      <c r="A912" s="108"/>
      <c r="B912" s="108" t="s">
        <v>5089</v>
      </c>
      <c r="C912" s="109">
        <v>41310</v>
      </c>
      <c r="D912" s="108"/>
      <c r="E912" s="108" t="s">
        <v>14611</v>
      </c>
      <c r="F912" s="108" t="s">
        <v>5071</v>
      </c>
      <c r="G912" s="110"/>
      <c r="H912" s="108"/>
      <c r="I912" s="108"/>
    </row>
    <row r="913" spans="1:9" ht="27.6">
      <c r="A913" s="108"/>
      <c r="B913" s="108" t="s">
        <v>5088</v>
      </c>
      <c r="C913" s="109">
        <v>41310</v>
      </c>
      <c r="D913" s="108"/>
      <c r="E913" s="108" t="s">
        <v>15822</v>
      </c>
      <c r="F913" s="108" t="s">
        <v>5071</v>
      </c>
      <c r="G913" s="110"/>
      <c r="H913" s="108"/>
      <c r="I913" s="108"/>
    </row>
    <row r="914" spans="1:9" ht="27.6">
      <c r="A914" s="108"/>
      <c r="B914" s="108" t="s">
        <v>5087</v>
      </c>
      <c r="C914" s="109">
        <v>41310</v>
      </c>
      <c r="D914" s="108"/>
      <c r="E914" s="108" t="s">
        <v>15822</v>
      </c>
      <c r="F914" s="108" t="s">
        <v>5071</v>
      </c>
      <c r="G914" s="110"/>
      <c r="H914" s="108"/>
      <c r="I914" s="108"/>
    </row>
    <row r="915" spans="1:9" ht="27.6">
      <c r="A915" s="108"/>
      <c r="B915" s="108" t="s">
        <v>5086</v>
      </c>
      <c r="C915" s="109">
        <v>41310</v>
      </c>
      <c r="D915" s="108"/>
      <c r="E915" s="108" t="s">
        <v>15822</v>
      </c>
      <c r="F915" s="108" t="s">
        <v>5071</v>
      </c>
      <c r="G915" s="110"/>
      <c r="H915" s="108"/>
      <c r="I915" s="108"/>
    </row>
    <row r="916" spans="1:9" ht="27.6">
      <c r="A916" s="108"/>
      <c r="B916" s="108" t="s">
        <v>5085</v>
      </c>
      <c r="C916" s="109">
        <v>41310</v>
      </c>
      <c r="D916" s="108"/>
      <c r="E916" s="108" t="s">
        <v>15822</v>
      </c>
      <c r="F916" s="108" t="s">
        <v>5071</v>
      </c>
      <c r="G916" s="110"/>
      <c r="H916" s="108"/>
      <c r="I916" s="108"/>
    </row>
    <row r="917" spans="1:9" ht="27.6">
      <c r="A917" s="108"/>
      <c r="B917" s="108" t="s">
        <v>5084</v>
      </c>
      <c r="C917" s="109">
        <v>41310</v>
      </c>
      <c r="D917" s="108"/>
      <c r="E917" s="108" t="s">
        <v>14611</v>
      </c>
      <c r="F917" s="108" t="s">
        <v>5071</v>
      </c>
      <c r="G917" s="110"/>
      <c r="H917" s="108"/>
      <c r="I917" s="108"/>
    </row>
    <row r="918" spans="1:9" ht="27.6">
      <c r="A918" s="108"/>
      <c r="B918" s="108" t="s">
        <v>5083</v>
      </c>
      <c r="C918" s="109">
        <v>41310</v>
      </c>
      <c r="D918" s="108"/>
      <c r="E918" s="108" t="s">
        <v>14611</v>
      </c>
      <c r="F918" s="108" t="s">
        <v>5071</v>
      </c>
      <c r="G918" s="110"/>
      <c r="H918" s="108"/>
      <c r="I918" s="108"/>
    </row>
    <row r="919" spans="1:9" ht="27.6">
      <c r="A919" s="108"/>
      <c r="B919" s="108" t="s">
        <v>5082</v>
      </c>
      <c r="C919" s="109">
        <v>41310</v>
      </c>
      <c r="D919" s="108"/>
      <c r="E919" s="108" t="s">
        <v>15822</v>
      </c>
      <c r="F919" s="108" t="s">
        <v>5071</v>
      </c>
      <c r="G919" s="110"/>
      <c r="H919" s="108"/>
      <c r="I919" s="108"/>
    </row>
    <row r="920" spans="1:9" ht="27.6">
      <c r="A920" s="108"/>
      <c r="B920" s="108" t="s">
        <v>5081</v>
      </c>
      <c r="C920" s="109">
        <v>41310</v>
      </c>
      <c r="D920" s="108"/>
      <c r="E920" s="108" t="s">
        <v>14605</v>
      </c>
      <c r="F920" s="108" t="s">
        <v>5071</v>
      </c>
      <c r="G920" s="110"/>
      <c r="H920" s="108"/>
      <c r="I920" s="108"/>
    </row>
    <row r="921" spans="1:9" ht="27.6">
      <c r="A921" s="108"/>
      <c r="B921" s="108" t="s">
        <v>5080</v>
      </c>
      <c r="C921" s="109">
        <v>41319</v>
      </c>
      <c r="D921" s="108"/>
      <c r="E921" s="108" t="s">
        <v>15822</v>
      </c>
      <c r="F921" s="108" t="s">
        <v>5071</v>
      </c>
      <c r="G921" s="110"/>
      <c r="H921" s="108"/>
      <c r="I921" s="108"/>
    </row>
    <row r="922" spans="1:9" ht="27.6">
      <c r="A922" s="108"/>
      <c r="B922" s="108" t="s">
        <v>5079</v>
      </c>
      <c r="C922" s="109">
        <v>41310</v>
      </c>
      <c r="D922" s="108"/>
      <c r="E922" s="108" t="s">
        <v>14605</v>
      </c>
      <c r="F922" s="108" t="s">
        <v>5071</v>
      </c>
      <c r="G922" s="110"/>
      <c r="H922" s="108"/>
      <c r="I922" s="108"/>
    </row>
    <row r="923" spans="1:9" ht="27.6">
      <c r="A923" s="108"/>
      <c r="B923" s="108" t="s">
        <v>5078</v>
      </c>
      <c r="C923" s="109">
        <v>41310</v>
      </c>
      <c r="D923" s="108"/>
      <c r="E923" s="108" t="s">
        <v>15822</v>
      </c>
      <c r="F923" s="108" t="s">
        <v>5071</v>
      </c>
      <c r="G923" s="110"/>
      <c r="H923" s="108"/>
      <c r="I923" s="108"/>
    </row>
    <row r="924" spans="1:9" ht="27.6">
      <c r="A924" s="108"/>
      <c r="B924" s="108" t="s">
        <v>5077</v>
      </c>
      <c r="C924" s="109">
        <v>41310</v>
      </c>
      <c r="D924" s="108"/>
      <c r="E924" s="108" t="s">
        <v>15822</v>
      </c>
      <c r="F924" s="108" t="s">
        <v>5071</v>
      </c>
      <c r="G924" s="110"/>
      <c r="H924" s="108"/>
      <c r="I924" s="108"/>
    </row>
    <row r="925" spans="1:9" ht="27.6">
      <c r="A925" s="108"/>
      <c r="B925" s="108" t="s">
        <v>5076</v>
      </c>
      <c r="C925" s="109">
        <v>41310</v>
      </c>
      <c r="D925" s="108"/>
      <c r="E925" s="108" t="s">
        <v>15822</v>
      </c>
      <c r="F925" s="108" t="s">
        <v>5071</v>
      </c>
      <c r="G925" s="110"/>
      <c r="H925" s="108"/>
      <c r="I925" s="108"/>
    </row>
    <row r="926" spans="1:9" ht="27.6">
      <c r="A926" s="108"/>
      <c r="B926" s="108" t="s">
        <v>5075</v>
      </c>
      <c r="C926" s="109">
        <v>41310</v>
      </c>
      <c r="D926" s="108"/>
      <c r="E926" s="108" t="s">
        <v>15822</v>
      </c>
      <c r="F926" s="108" t="s">
        <v>5071</v>
      </c>
      <c r="G926" s="110"/>
      <c r="H926" s="108"/>
      <c r="I926" s="108"/>
    </row>
    <row r="927" spans="1:9" ht="27.6">
      <c r="A927" s="108"/>
      <c r="B927" s="108" t="s">
        <v>5074</v>
      </c>
      <c r="C927" s="109">
        <v>41310</v>
      </c>
      <c r="D927" s="108"/>
      <c r="E927" s="108" t="s">
        <v>15822</v>
      </c>
      <c r="F927" s="108" t="s">
        <v>5071</v>
      </c>
      <c r="G927" s="110"/>
      <c r="H927" s="108"/>
      <c r="I927" s="108"/>
    </row>
    <row r="928" spans="1:9" ht="27.6">
      <c r="A928" s="108" t="s">
        <v>5073</v>
      </c>
      <c r="B928" s="108" t="s">
        <v>5072</v>
      </c>
      <c r="C928" s="109">
        <v>41310</v>
      </c>
      <c r="D928" s="108"/>
      <c r="E928" s="108" t="s">
        <v>15822</v>
      </c>
      <c r="F928" s="108" t="s">
        <v>5071</v>
      </c>
      <c r="G928" s="110"/>
      <c r="H928" s="108"/>
      <c r="I928" s="108"/>
    </row>
    <row r="929" spans="1:9" ht="27.6">
      <c r="A929" s="108"/>
      <c r="B929" s="108" t="s">
        <v>5070</v>
      </c>
      <c r="C929" s="109">
        <v>41319</v>
      </c>
      <c r="D929" s="108"/>
      <c r="E929" s="108" t="s">
        <v>14605</v>
      </c>
      <c r="F929" s="108" t="s">
        <v>5071</v>
      </c>
      <c r="G929" s="110"/>
      <c r="H929" s="108"/>
      <c r="I929" s="108"/>
    </row>
    <row r="930" spans="1:9" ht="27.6">
      <c r="A930" s="108" t="s">
        <v>464</v>
      </c>
      <c r="B930" s="108" t="s">
        <v>15823</v>
      </c>
      <c r="C930" s="109">
        <v>43999</v>
      </c>
      <c r="D930" s="108"/>
      <c r="E930" s="108" t="s">
        <v>14605</v>
      </c>
      <c r="F930" s="108" t="s">
        <v>15824</v>
      </c>
      <c r="G930" s="110"/>
      <c r="H930" s="108"/>
      <c r="I930" s="108"/>
    </row>
    <row r="931" spans="1:9">
      <c r="A931" s="108" t="s">
        <v>466</v>
      </c>
      <c r="B931" s="108" t="s">
        <v>15825</v>
      </c>
      <c r="C931" s="109">
        <v>43999</v>
      </c>
      <c r="D931" s="108"/>
      <c r="E931" s="108" t="s">
        <v>14605</v>
      </c>
      <c r="F931" s="108" t="s">
        <v>15824</v>
      </c>
      <c r="G931" s="110"/>
      <c r="H931" s="108"/>
      <c r="I931" s="108"/>
    </row>
    <row r="932" spans="1:9">
      <c r="A932" s="108" t="s">
        <v>466</v>
      </c>
      <c r="B932" s="108" t="s">
        <v>1365</v>
      </c>
      <c r="C932" s="109">
        <v>44007</v>
      </c>
      <c r="D932" s="108"/>
      <c r="E932" s="108" t="s">
        <v>14605</v>
      </c>
      <c r="F932" s="108" t="s">
        <v>1338</v>
      </c>
      <c r="G932" s="110"/>
      <c r="H932" s="108"/>
      <c r="I932" s="108"/>
    </row>
    <row r="933" spans="1:9" ht="27.6">
      <c r="A933" s="108" t="s">
        <v>464</v>
      </c>
      <c r="B933" s="108" t="s">
        <v>15826</v>
      </c>
      <c r="C933" s="109">
        <v>44390</v>
      </c>
      <c r="D933" s="108"/>
      <c r="E933" s="108" t="s">
        <v>14605</v>
      </c>
      <c r="F933" s="108" t="s">
        <v>15827</v>
      </c>
      <c r="G933" s="110"/>
      <c r="H933" s="108"/>
      <c r="I933" s="108"/>
    </row>
    <row r="934" spans="1:9">
      <c r="A934" s="108" t="s">
        <v>466</v>
      </c>
      <c r="B934" s="108" t="s">
        <v>15828</v>
      </c>
      <c r="C934" s="109">
        <v>44390</v>
      </c>
      <c r="D934" s="108"/>
      <c r="E934" s="108" t="s">
        <v>14605</v>
      </c>
      <c r="F934" s="108" t="s">
        <v>15827</v>
      </c>
      <c r="G934" s="110"/>
      <c r="H934" s="108"/>
      <c r="I934" s="108"/>
    </row>
    <row r="935" spans="1:9" ht="27.6">
      <c r="A935" s="108" t="s">
        <v>464</v>
      </c>
      <c r="B935" s="108" t="s">
        <v>15829</v>
      </c>
      <c r="C935" s="109">
        <v>44113</v>
      </c>
      <c r="D935" s="108"/>
      <c r="E935" s="108" t="s">
        <v>14605</v>
      </c>
      <c r="F935" s="108" t="s">
        <v>14813</v>
      </c>
      <c r="G935" s="110"/>
      <c r="H935" s="108"/>
      <c r="I935" s="108"/>
    </row>
    <row r="936" spans="1:9">
      <c r="A936" s="108" t="s">
        <v>466</v>
      </c>
      <c r="B936" s="108" t="s">
        <v>15830</v>
      </c>
      <c r="C936" s="109">
        <v>44113</v>
      </c>
      <c r="D936" s="108"/>
      <c r="E936" s="108" t="s">
        <v>14605</v>
      </c>
      <c r="F936" s="108" t="s">
        <v>14813</v>
      </c>
      <c r="G936" s="110"/>
      <c r="H936" s="108"/>
      <c r="I936" s="108"/>
    </row>
    <row r="937" spans="1:9">
      <c r="A937" s="108" t="s">
        <v>466</v>
      </c>
      <c r="B937" s="108" t="s">
        <v>831</v>
      </c>
      <c r="C937" s="109">
        <v>44187</v>
      </c>
      <c r="D937" s="108"/>
      <c r="E937" s="108" t="s">
        <v>14605</v>
      </c>
      <c r="F937" s="108" t="s">
        <v>826</v>
      </c>
      <c r="G937" s="110"/>
      <c r="H937" s="108"/>
      <c r="I937" s="108"/>
    </row>
    <row r="938" spans="1:9" ht="27.6">
      <c r="A938" s="108" t="s">
        <v>464</v>
      </c>
      <c r="B938" s="108" t="s">
        <v>15831</v>
      </c>
      <c r="C938" s="109">
        <v>44295</v>
      </c>
      <c r="D938" s="108"/>
      <c r="E938" s="108" t="s">
        <v>14605</v>
      </c>
      <c r="F938" s="108" t="s">
        <v>15832</v>
      </c>
      <c r="G938" s="110"/>
      <c r="H938" s="108"/>
      <c r="I938" s="108"/>
    </row>
    <row r="939" spans="1:9">
      <c r="A939" s="108" t="s">
        <v>466</v>
      </c>
      <c r="B939" s="108" t="s">
        <v>15833</v>
      </c>
      <c r="C939" s="109">
        <v>44295</v>
      </c>
      <c r="D939" s="108"/>
      <c r="E939" s="108" t="s">
        <v>14605</v>
      </c>
      <c r="F939" s="108" t="s">
        <v>15832</v>
      </c>
      <c r="G939" s="110"/>
      <c r="H939" s="108"/>
      <c r="I939" s="108"/>
    </row>
    <row r="940" spans="1:9" ht="27.6">
      <c r="A940" s="108" t="s">
        <v>464</v>
      </c>
      <c r="B940" s="108" t="s">
        <v>15834</v>
      </c>
      <c r="C940" s="109">
        <v>44401</v>
      </c>
      <c r="D940" s="108"/>
      <c r="E940" s="108" t="s">
        <v>14605</v>
      </c>
      <c r="F940" s="108" t="s">
        <v>15031</v>
      </c>
      <c r="G940" s="110"/>
      <c r="H940" s="108"/>
      <c r="I940" s="108"/>
    </row>
    <row r="941" spans="1:9">
      <c r="A941" s="108" t="s">
        <v>15835</v>
      </c>
      <c r="B941" s="108" t="s">
        <v>15836</v>
      </c>
      <c r="C941" s="109">
        <v>45957</v>
      </c>
      <c r="D941" s="108"/>
      <c r="E941" s="108" t="s">
        <v>14605</v>
      </c>
      <c r="F941" s="108" t="s">
        <v>15069</v>
      </c>
      <c r="G941" s="110"/>
      <c r="H941" s="108"/>
      <c r="I941" s="108"/>
    </row>
    <row r="942" spans="1:9" ht="27.6">
      <c r="A942" s="108" t="s">
        <v>2232</v>
      </c>
      <c r="B942" s="108" t="s">
        <v>15837</v>
      </c>
      <c r="C942" s="109">
        <v>46008</v>
      </c>
      <c r="D942" s="108"/>
      <c r="E942" s="108" t="s">
        <v>14605</v>
      </c>
      <c r="F942" s="108" t="s">
        <v>15838</v>
      </c>
      <c r="G942" s="110"/>
      <c r="H942" s="108"/>
      <c r="I942" s="108"/>
    </row>
    <row r="943" spans="1:9">
      <c r="A943" s="108" t="s">
        <v>15839</v>
      </c>
      <c r="B943" s="108" t="s">
        <v>15840</v>
      </c>
      <c r="C943" s="109">
        <v>46024</v>
      </c>
      <c r="D943" s="108"/>
      <c r="E943" s="108" t="s">
        <v>14605</v>
      </c>
      <c r="F943" s="108" t="s">
        <v>14712</v>
      </c>
      <c r="G943" s="110"/>
      <c r="H943" s="108"/>
      <c r="I943" s="108"/>
    </row>
    <row r="944" spans="1:9">
      <c r="A944" s="108" t="s">
        <v>15839</v>
      </c>
      <c r="B944" s="108" t="s">
        <v>15841</v>
      </c>
      <c r="C944" s="109">
        <v>46065</v>
      </c>
      <c r="D944" s="108"/>
      <c r="E944" s="108" t="s">
        <v>14605</v>
      </c>
      <c r="F944" s="108" t="s">
        <v>15842</v>
      </c>
      <c r="G944" s="110"/>
      <c r="H944" s="108"/>
      <c r="I944" s="108"/>
    </row>
    <row r="945" spans="1:9">
      <c r="A945" s="108" t="s">
        <v>15839</v>
      </c>
      <c r="B945" s="108" t="s">
        <v>15843</v>
      </c>
      <c r="C945" s="109">
        <v>46105</v>
      </c>
      <c r="D945" s="108"/>
      <c r="E945" s="108" t="s">
        <v>14605</v>
      </c>
      <c r="F945" s="108" t="s">
        <v>15824</v>
      </c>
      <c r="G945" s="110"/>
      <c r="H945" s="108"/>
      <c r="I945" s="108"/>
    </row>
    <row r="946" spans="1:9">
      <c r="A946" s="108" t="s">
        <v>15835</v>
      </c>
      <c r="B946" s="108" t="s">
        <v>15844</v>
      </c>
      <c r="C946" s="109">
        <v>46107</v>
      </c>
      <c r="D946" s="108"/>
      <c r="E946" s="108" t="s">
        <v>14605</v>
      </c>
      <c r="F946" s="108" t="s">
        <v>15845</v>
      </c>
      <c r="G946" s="110"/>
      <c r="H946" s="108"/>
      <c r="I946" s="108"/>
    </row>
    <row r="947" spans="1:9">
      <c r="A947" s="108" t="s">
        <v>15835</v>
      </c>
      <c r="B947" s="108" t="s">
        <v>15846</v>
      </c>
      <c r="C947" s="109">
        <v>46114</v>
      </c>
      <c r="D947" s="108"/>
      <c r="E947" s="108" t="s">
        <v>14605</v>
      </c>
      <c r="F947" s="108" t="s">
        <v>15847</v>
      </c>
      <c r="G947" s="110"/>
      <c r="H947" s="108"/>
      <c r="I947" s="108"/>
    </row>
    <row r="948" spans="1:9">
      <c r="A948" s="108" t="s">
        <v>15839</v>
      </c>
      <c r="B948" s="108" t="s">
        <v>15848</v>
      </c>
      <c r="C948" s="109">
        <v>46176</v>
      </c>
      <c r="D948" s="108"/>
      <c r="E948" s="108" t="s">
        <v>14605</v>
      </c>
      <c r="F948" s="108" t="s">
        <v>15849</v>
      </c>
      <c r="G948" s="110"/>
      <c r="H948" s="108"/>
      <c r="I948" s="108"/>
    </row>
    <row r="949" spans="1:9">
      <c r="A949" s="108" t="s">
        <v>15835</v>
      </c>
      <c r="B949" s="108" t="s">
        <v>15850</v>
      </c>
      <c r="C949" s="109">
        <v>46238</v>
      </c>
      <c r="D949" s="108"/>
      <c r="E949" s="108" t="s">
        <v>14605</v>
      </c>
      <c r="F949" s="108" t="s">
        <v>15851</v>
      </c>
      <c r="G949" s="110"/>
      <c r="H949" s="108"/>
      <c r="I949" s="108"/>
    </row>
    <row r="950" spans="1:9">
      <c r="A950" s="108" t="s">
        <v>15835</v>
      </c>
      <c r="B950" s="108" t="s">
        <v>15852</v>
      </c>
      <c r="C950" s="109">
        <v>46168</v>
      </c>
      <c r="D950" s="108"/>
      <c r="E950" s="108" t="s">
        <v>14605</v>
      </c>
      <c r="F950" s="108" t="s">
        <v>4443</v>
      </c>
      <c r="G950" s="110"/>
      <c r="H950" s="108"/>
      <c r="I950" s="108"/>
    </row>
    <row r="951" spans="1:9">
      <c r="A951" s="108" t="s">
        <v>15835</v>
      </c>
      <c r="B951" s="108" t="s">
        <v>15853</v>
      </c>
      <c r="C951" s="109">
        <v>46155</v>
      </c>
      <c r="D951" s="108"/>
      <c r="E951" s="108" t="s">
        <v>14605</v>
      </c>
      <c r="F951" s="108" t="s">
        <v>15854</v>
      </c>
      <c r="G951" s="110"/>
      <c r="H951" s="108"/>
      <c r="I951" s="108"/>
    </row>
    <row r="952" spans="1:9">
      <c r="A952" s="108" t="s">
        <v>15835</v>
      </c>
      <c r="B952" s="108" t="s">
        <v>15855</v>
      </c>
      <c r="C952" s="109">
        <v>46205</v>
      </c>
      <c r="D952" s="108"/>
      <c r="E952" s="108" t="s">
        <v>14605</v>
      </c>
      <c r="F952" s="108" t="s">
        <v>15856</v>
      </c>
      <c r="G952" s="110"/>
      <c r="H952" s="108"/>
      <c r="I952" s="108"/>
    </row>
    <row r="953" spans="1:9">
      <c r="A953" s="108" t="s">
        <v>15835</v>
      </c>
      <c r="B953" s="108" t="s">
        <v>15857</v>
      </c>
      <c r="C953" s="109">
        <v>46163</v>
      </c>
      <c r="D953" s="108"/>
      <c r="E953" s="108" t="s">
        <v>14605</v>
      </c>
      <c r="F953" s="108" t="s">
        <v>15858</v>
      </c>
      <c r="G953" s="110"/>
      <c r="H953" s="108"/>
      <c r="I953" s="108"/>
    </row>
    <row r="954" spans="1:9">
      <c r="A954" s="108" t="s">
        <v>15859</v>
      </c>
      <c r="B954" s="108" t="s">
        <v>15860</v>
      </c>
      <c r="C954" s="109">
        <v>45876</v>
      </c>
      <c r="D954" s="108"/>
      <c r="E954" s="108" t="s">
        <v>14605</v>
      </c>
      <c r="F954" s="108" t="s">
        <v>15761</v>
      </c>
      <c r="G954" s="110"/>
      <c r="H954" s="108"/>
      <c r="I954" s="108"/>
    </row>
    <row r="955" spans="1:9">
      <c r="A955" s="108" t="s">
        <v>15859</v>
      </c>
      <c r="B955" s="108" t="s">
        <v>15861</v>
      </c>
      <c r="C955" s="109">
        <v>45869</v>
      </c>
      <c r="D955" s="108"/>
      <c r="E955" s="108" t="s">
        <v>14605</v>
      </c>
      <c r="F955" s="108" t="s">
        <v>15761</v>
      </c>
      <c r="G955" s="110"/>
      <c r="H955" s="108"/>
      <c r="I955" s="108"/>
    </row>
    <row r="956" spans="1:9" ht="27.6">
      <c r="A956" s="108" t="s">
        <v>15859</v>
      </c>
      <c r="B956" s="108" t="s">
        <v>15862</v>
      </c>
      <c r="C956" s="109">
        <v>45930</v>
      </c>
      <c r="D956" s="108"/>
      <c r="E956" s="108" t="s">
        <v>14605</v>
      </c>
      <c r="F956" s="108" t="s">
        <v>15772</v>
      </c>
      <c r="G956" s="110"/>
      <c r="H956" s="108"/>
      <c r="I956" s="108"/>
    </row>
    <row r="957" spans="1:9">
      <c r="A957" s="108" t="s">
        <v>15859</v>
      </c>
      <c r="B957" s="108" t="s">
        <v>15863</v>
      </c>
      <c r="C957" s="109">
        <v>45971</v>
      </c>
      <c r="D957" s="108"/>
      <c r="E957" s="108" t="s">
        <v>14605</v>
      </c>
      <c r="F957" s="108" t="s">
        <v>15767</v>
      </c>
      <c r="G957" s="110"/>
      <c r="H957" s="108"/>
      <c r="I957" s="108"/>
    </row>
    <row r="958" spans="1:9">
      <c r="A958" s="108" t="s">
        <v>15859</v>
      </c>
      <c r="B958" s="108" t="s">
        <v>15864</v>
      </c>
      <c r="C958" s="109">
        <v>45971</v>
      </c>
      <c r="D958" s="108"/>
      <c r="E958" s="108" t="s">
        <v>14605</v>
      </c>
      <c r="F958" s="108" t="s">
        <v>15767</v>
      </c>
      <c r="G958" s="110"/>
      <c r="H958" s="108"/>
      <c r="I958" s="108"/>
    </row>
    <row r="959" spans="1:9">
      <c r="A959" s="108" t="s">
        <v>15859</v>
      </c>
      <c r="B959" s="108" t="s">
        <v>15865</v>
      </c>
      <c r="C959" s="109">
        <v>45971</v>
      </c>
      <c r="D959" s="108"/>
      <c r="E959" s="108" t="s">
        <v>14605</v>
      </c>
      <c r="F959" s="108" t="s">
        <v>15767</v>
      </c>
      <c r="G959" s="110"/>
      <c r="H959" s="108"/>
      <c r="I959" s="108"/>
    </row>
    <row r="960" spans="1:9">
      <c r="A960" s="108" t="s">
        <v>15859</v>
      </c>
      <c r="B960" s="108" t="s">
        <v>15866</v>
      </c>
      <c r="C960" s="109">
        <v>46098</v>
      </c>
      <c r="D960" s="108"/>
      <c r="E960" s="108" t="s">
        <v>14605</v>
      </c>
      <c r="F960" s="108" t="s">
        <v>15867</v>
      </c>
      <c r="G960" s="110"/>
      <c r="H960" s="108"/>
      <c r="I960" s="108"/>
    </row>
    <row r="961" spans="1:9" ht="27.6">
      <c r="A961" s="108" t="s">
        <v>8376</v>
      </c>
      <c r="B961" s="108" t="s">
        <v>15868</v>
      </c>
      <c r="C961" s="109">
        <v>46205</v>
      </c>
      <c r="D961" s="108"/>
      <c r="E961" s="108" t="s">
        <v>14605</v>
      </c>
      <c r="F961" s="108" t="s">
        <v>15407</v>
      </c>
      <c r="G961" s="110"/>
      <c r="H961" s="108"/>
      <c r="I961" s="108"/>
    </row>
    <row r="962" spans="1:9" ht="27.6">
      <c r="A962" s="108" t="s">
        <v>15869</v>
      </c>
      <c r="B962" s="108" t="s">
        <v>15870</v>
      </c>
      <c r="C962" s="109">
        <v>45941</v>
      </c>
      <c r="D962" s="108"/>
      <c r="E962" s="108" t="s">
        <v>14605</v>
      </c>
      <c r="F962" s="108" t="s">
        <v>15871</v>
      </c>
      <c r="G962" s="110"/>
      <c r="H962" s="108"/>
      <c r="I962" s="108"/>
    </row>
    <row r="963" spans="1:9" ht="41.4">
      <c r="A963" s="108" t="s">
        <v>15869</v>
      </c>
      <c r="B963" s="108" t="s">
        <v>15872</v>
      </c>
      <c r="C963" s="109">
        <v>45923</v>
      </c>
      <c r="D963" s="108"/>
      <c r="E963" s="108" t="s">
        <v>14605</v>
      </c>
      <c r="F963" s="108" t="s">
        <v>15480</v>
      </c>
      <c r="G963" s="110"/>
      <c r="H963" s="108"/>
      <c r="I963" s="108"/>
    </row>
    <row r="964" spans="1:9" ht="27.6">
      <c r="A964" s="108" t="s">
        <v>15869</v>
      </c>
      <c r="B964" s="108" t="s">
        <v>15873</v>
      </c>
      <c r="C964" s="109">
        <v>45971</v>
      </c>
      <c r="D964" s="108"/>
      <c r="E964" s="108" t="s">
        <v>14605</v>
      </c>
      <c r="F964" s="108" t="s">
        <v>15500</v>
      </c>
      <c r="G964" s="110"/>
      <c r="H964" s="108"/>
      <c r="I964" s="108"/>
    </row>
    <row r="965" spans="1:9" ht="27.6">
      <c r="A965" s="108" t="s">
        <v>15869</v>
      </c>
      <c r="B965" s="108" t="s">
        <v>15874</v>
      </c>
      <c r="C965" s="109">
        <v>45975</v>
      </c>
      <c r="D965" s="108"/>
      <c r="E965" s="108" t="s">
        <v>14605</v>
      </c>
      <c r="F965" s="108" t="s">
        <v>15502</v>
      </c>
      <c r="G965" s="110"/>
      <c r="H965" s="108"/>
      <c r="I965" s="108"/>
    </row>
    <row r="966" spans="1:9" ht="27.6">
      <c r="A966" s="108" t="s">
        <v>15869</v>
      </c>
      <c r="B966" s="108" t="s">
        <v>15875</v>
      </c>
      <c r="C966" s="109">
        <v>45982</v>
      </c>
      <c r="D966" s="108"/>
      <c r="E966" s="108" t="s">
        <v>14605</v>
      </c>
      <c r="F966" s="108" t="s">
        <v>15488</v>
      </c>
      <c r="G966" s="110"/>
      <c r="H966" s="108"/>
      <c r="I966" s="108"/>
    </row>
    <row r="967" spans="1:9" ht="27.6">
      <c r="A967" s="108" t="s">
        <v>15869</v>
      </c>
      <c r="B967" s="108" t="s">
        <v>15876</v>
      </c>
      <c r="C967" s="109">
        <v>46003</v>
      </c>
      <c r="D967" s="108"/>
      <c r="E967" s="108" t="s">
        <v>14605</v>
      </c>
      <c r="F967" s="108" t="s">
        <v>15505</v>
      </c>
      <c r="G967" s="110"/>
      <c r="H967" s="108"/>
      <c r="I967" s="108"/>
    </row>
    <row r="968" spans="1:9" ht="27.6">
      <c r="A968" s="108" t="s">
        <v>15869</v>
      </c>
      <c r="B968" s="108" t="s">
        <v>15877</v>
      </c>
      <c r="C968" s="109">
        <v>46015</v>
      </c>
      <c r="D968" s="108"/>
      <c r="E968" s="108" t="s">
        <v>14605</v>
      </c>
      <c r="F968" s="108" t="s">
        <v>15878</v>
      </c>
      <c r="G968" s="110"/>
      <c r="H968" s="108"/>
      <c r="I968" s="108"/>
    </row>
    <row r="969" spans="1:9" ht="27.6">
      <c r="A969" s="108" t="s">
        <v>15869</v>
      </c>
      <c r="B969" s="108" t="s">
        <v>15879</v>
      </c>
      <c r="C969" s="109">
        <v>46097</v>
      </c>
      <c r="D969" s="108"/>
      <c r="E969" s="108" t="s">
        <v>14605</v>
      </c>
      <c r="F969" s="108" t="s">
        <v>15880</v>
      </c>
      <c r="G969" s="110"/>
      <c r="H969" s="108"/>
      <c r="I969" s="108"/>
    </row>
    <row r="970" spans="1:9">
      <c r="A970" s="108" t="s">
        <v>15869</v>
      </c>
      <c r="B970" s="108" t="s">
        <v>15881</v>
      </c>
      <c r="C970" s="109">
        <v>46135</v>
      </c>
      <c r="D970" s="108"/>
      <c r="E970" s="108" t="s">
        <v>14605</v>
      </c>
      <c r="F970" s="108" t="s">
        <v>15507</v>
      </c>
      <c r="G970" s="110"/>
      <c r="H970" s="108"/>
      <c r="I970" s="108"/>
    </row>
    <row r="971" spans="1:9">
      <c r="A971" s="108" t="s">
        <v>15869</v>
      </c>
      <c r="B971" s="108" t="s">
        <v>15882</v>
      </c>
      <c r="C971" s="109">
        <v>46155</v>
      </c>
      <c r="D971" s="108"/>
      <c r="E971" s="108" t="s">
        <v>14605</v>
      </c>
      <c r="F971" s="108" t="s">
        <v>15854</v>
      </c>
      <c r="G971" s="110"/>
      <c r="H971" s="108"/>
      <c r="I971" s="108"/>
    </row>
    <row r="972" spans="1:9" ht="27.6">
      <c r="A972" s="108" t="s">
        <v>15869</v>
      </c>
      <c r="B972" s="108" t="s">
        <v>15883</v>
      </c>
      <c r="C972" s="109">
        <v>46136</v>
      </c>
      <c r="D972" s="108"/>
      <c r="E972" s="108" t="s">
        <v>14605</v>
      </c>
      <c r="F972" s="108" t="s">
        <v>15509</v>
      </c>
      <c r="G972" s="110"/>
      <c r="H972" s="108"/>
      <c r="I972" s="108"/>
    </row>
    <row r="973" spans="1:9" ht="27.6">
      <c r="A973" s="108" t="s">
        <v>15869</v>
      </c>
      <c r="B973" s="108" t="s">
        <v>15884</v>
      </c>
      <c r="C973" s="109">
        <v>46218</v>
      </c>
      <c r="D973" s="108"/>
      <c r="E973" s="108" t="s">
        <v>14605</v>
      </c>
      <c r="F973" s="108" t="s">
        <v>15885</v>
      </c>
      <c r="G973" s="110"/>
      <c r="H973" s="108"/>
      <c r="I973" s="108"/>
    </row>
    <row r="974" spans="1:9" ht="27.6">
      <c r="A974" s="108" t="s">
        <v>109</v>
      </c>
      <c r="B974" s="108" t="s">
        <v>15886</v>
      </c>
      <c r="C974" s="109">
        <v>46199</v>
      </c>
      <c r="D974" s="108"/>
      <c r="E974" s="108" t="s">
        <v>14605</v>
      </c>
      <c r="F974" s="108" t="s">
        <v>15887</v>
      </c>
      <c r="G974" s="110"/>
      <c r="H974" s="108"/>
      <c r="I974" s="108"/>
    </row>
    <row r="975" spans="1:9" ht="27.6">
      <c r="A975" s="108" t="s">
        <v>109</v>
      </c>
      <c r="B975" s="108" t="s">
        <v>15888</v>
      </c>
      <c r="C975" s="109">
        <v>45977</v>
      </c>
      <c r="D975" s="108"/>
      <c r="E975" s="108" t="s">
        <v>14605</v>
      </c>
      <c r="F975" s="108" t="s">
        <v>4251</v>
      </c>
      <c r="G975" s="110"/>
      <c r="H975" s="108"/>
      <c r="I975" s="108"/>
    </row>
    <row r="976" spans="1:9" ht="27.6">
      <c r="A976" s="108" t="s">
        <v>8247</v>
      </c>
      <c r="B976" s="108" t="s">
        <v>15889</v>
      </c>
      <c r="C976" s="109">
        <v>46082</v>
      </c>
      <c r="D976" s="108"/>
      <c r="E976" s="108" t="s">
        <v>14605</v>
      </c>
      <c r="F976" s="108" t="s">
        <v>15810</v>
      </c>
      <c r="G976" s="110"/>
      <c r="H976" s="108"/>
      <c r="I976" s="108"/>
    </row>
    <row r="977" spans="1:9" ht="27.6">
      <c r="A977" s="108" t="s">
        <v>109</v>
      </c>
      <c r="B977" s="108" t="s">
        <v>15890</v>
      </c>
      <c r="C977" s="109">
        <v>45966</v>
      </c>
      <c r="D977" s="108"/>
      <c r="E977" s="108" t="s">
        <v>14605</v>
      </c>
      <c r="F977" s="108" t="s">
        <v>14939</v>
      </c>
      <c r="G977" s="110"/>
      <c r="H977" s="108"/>
      <c r="I977" s="108"/>
    </row>
    <row r="978" spans="1:9" ht="27.6">
      <c r="A978" s="108" t="s">
        <v>8247</v>
      </c>
      <c r="B978" s="108" t="s">
        <v>15891</v>
      </c>
      <c r="C978" s="109">
        <v>46044</v>
      </c>
      <c r="D978" s="108"/>
      <c r="E978" s="108" t="s">
        <v>14605</v>
      </c>
      <c r="F978" s="108" t="s">
        <v>14674</v>
      </c>
      <c r="G978" s="110"/>
      <c r="H978" s="108"/>
      <c r="I978" s="108"/>
    </row>
    <row r="979" spans="1:9" ht="27.6">
      <c r="A979" s="108" t="s">
        <v>109</v>
      </c>
      <c r="B979" s="108" t="s">
        <v>15892</v>
      </c>
      <c r="C979" s="109">
        <v>46045</v>
      </c>
      <c r="D979" s="108"/>
      <c r="E979" s="108" t="s">
        <v>14605</v>
      </c>
      <c r="F979" s="108" t="s">
        <v>15381</v>
      </c>
      <c r="G979" s="110"/>
      <c r="H979" s="108"/>
      <c r="I979" s="108"/>
    </row>
    <row r="980" spans="1:9" ht="27.6">
      <c r="A980" s="108" t="s">
        <v>109</v>
      </c>
      <c r="B980" s="108" t="s">
        <v>15893</v>
      </c>
      <c r="C980" s="109">
        <v>46231</v>
      </c>
      <c r="D980" s="108"/>
      <c r="E980" s="108" t="s">
        <v>14605</v>
      </c>
      <c r="F980" s="108" t="s">
        <v>15894</v>
      </c>
      <c r="G980" s="110"/>
      <c r="H980" s="108"/>
      <c r="I980" s="108"/>
    </row>
    <row r="981" spans="1:9" ht="27.6">
      <c r="A981" s="108" t="s">
        <v>109</v>
      </c>
      <c r="B981" s="108" t="s">
        <v>15895</v>
      </c>
      <c r="C981" s="109">
        <v>45980</v>
      </c>
      <c r="D981" s="108"/>
      <c r="E981" s="108" t="s">
        <v>14605</v>
      </c>
      <c r="F981" s="108" t="s">
        <v>15320</v>
      </c>
      <c r="G981" s="110"/>
      <c r="H981" s="108"/>
      <c r="I981" s="108"/>
    </row>
    <row r="982" spans="1:9" ht="27.6">
      <c r="A982" s="108" t="s">
        <v>109</v>
      </c>
      <c r="B982" s="108" t="s">
        <v>15896</v>
      </c>
      <c r="C982" s="109">
        <v>45953</v>
      </c>
      <c r="D982" s="108"/>
      <c r="E982" s="108" t="s">
        <v>14605</v>
      </c>
      <c r="F982" s="108" t="s">
        <v>15320</v>
      </c>
      <c r="G982" s="110"/>
      <c r="H982" s="108"/>
      <c r="I982" s="108"/>
    </row>
    <row r="983" spans="1:9" ht="27.6">
      <c r="A983" s="108" t="s">
        <v>1072</v>
      </c>
      <c r="B983" s="108" t="s">
        <v>15897</v>
      </c>
      <c r="C983" s="109">
        <v>45951</v>
      </c>
      <c r="D983" s="108"/>
      <c r="E983" s="108" t="s">
        <v>14605</v>
      </c>
      <c r="F983" s="108" t="s">
        <v>15898</v>
      </c>
      <c r="G983" s="110"/>
      <c r="H983" s="108"/>
      <c r="I983" s="108"/>
    </row>
    <row r="984" spans="1:9" ht="27.6">
      <c r="A984" s="108" t="s">
        <v>109</v>
      </c>
      <c r="B984" s="108" t="s">
        <v>15899</v>
      </c>
      <c r="C984" s="109">
        <v>45972</v>
      </c>
      <c r="D984" s="108"/>
      <c r="E984" s="108" t="s">
        <v>14605</v>
      </c>
      <c r="F984" s="108" t="s">
        <v>15900</v>
      </c>
      <c r="G984" s="110"/>
      <c r="H984" s="108"/>
      <c r="I984" s="108"/>
    </row>
    <row r="985" spans="1:9" ht="27.6">
      <c r="A985" s="108" t="s">
        <v>109</v>
      </c>
      <c r="B985" s="108" t="s">
        <v>15901</v>
      </c>
      <c r="C985" s="109">
        <v>45993</v>
      </c>
      <c r="D985" s="108"/>
      <c r="E985" s="108" t="s">
        <v>14605</v>
      </c>
      <c r="F985" s="108" t="s">
        <v>15352</v>
      </c>
      <c r="G985" s="110"/>
      <c r="H985" s="108"/>
      <c r="I985" s="108"/>
    </row>
    <row r="986" spans="1:9" ht="27.6">
      <c r="A986" s="108" t="s">
        <v>109</v>
      </c>
      <c r="B986" s="108" t="s">
        <v>15902</v>
      </c>
      <c r="C986" s="109">
        <v>46104</v>
      </c>
      <c r="D986" s="108"/>
      <c r="E986" s="108" t="s">
        <v>14605</v>
      </c>
      <c r="F986" s="108" t="s">
        <v>15325</v>
      </c>
      <c r="G986" s="110"/>
      <c r="H986" s="108"/>
      <c r="I986" s="108"/>
    </row>
    <row r="987" spans="1:9" ht="27.6">
      <c r="A987" s="108" t="s">
        <v>109</v>
      </c>
      <c r="B987" s="108" t="s">
        <v>15903</v>
      </c>
      <c r="C987" s="109">
        <v>45895</v>
      </c>
      <c r="D987" s="108"/>
      <c r="E987" s="108" t="s">
        <v>14605</v>
      </c>
      <c r="F987" s="108" t="s">
        <v>15904</v>
      </c>
      <c r="G987" s="110"/>
      <c r="H987" s="108"/>
      <c r="I987" s="108"/>
    </row>
    <row r="988" spans="1:9" ht="27.6">
      <c r="A988" s="108" t="s">
        <v>981</v>
      </c>
      <c r="B988" s="108" t="s">
        <v>15905</v>
      </c>
      <c r="C988" s="109">
        <v>45902</v>
      </c>
      <c r="D988" s="108"/>
      <c r="E988" s="108" t="s">
        <v>14605</v>
      </c>
      <c r="F988" s="108" t="s">
        <v>15310</v>
      </c>
      <c r="G988" s="110"/>
      <c r="H988" s="108"/>
      <c r="I988" s="108"/>
    </row>
    <row r="989" spans="1:9" ht="27.6">
      <c r="A989" s="108" t="s">
        <v>109</v>
      </c>
      <c r="B989" s="108" t="s">
        <v>15906</v>
      </c>
      <c r="C989" s="109">
        <v>46085</v>
      </c>
      <c r="D989" s="108"/>
      <c r="E989" s="108" t="s">
        <v>14605</v>
      </c>
      <c r="F989" s="108" t="s">
        <v>15344</v>
      </c>
      <c r="G989" s="110"/>
      <c r="H989" s="108"/>
      <c r="I989" s="108"/>
    </row>
    <row r="990" spans="1:9" ht="41.4">
      <c r="A990" s="108" t="s">
        <v>109</v>
      </c>
      <c r="B990" s="108" t="s">
        <v>15907</v>
      </c>
      <c r="C990" s="109">
        <v>45945</v>
      </c>
      <c r="D990" s="108"/>
      <c r="E990" s="108" t="s">
        <v>14605</v>
      </c>
      <c r="F990" s="108" t="s">
        <v>15347</v>
      </c>
      <c r="G990" s="110"/>
      <c r="H990" s="108"/>
      <c r="I990" s="108"/>
    </row>
    <row r="991" spans="1:9" ht="27.6">
      <c r="A991" s="108" t="s">
        <v>109</v>
      </c>
      <c r="B991" s="108" t="s">
        <v>15908</v>
      </c>
      <c r="C991" s="109">
        <v>45951</v>
      </c>
      <c r="D991" s="108"/>
      <c r="E991" s="108" t="s">
        <v>14605</v>
      </c>
      <c r="F991" s="108" t="s">
        <v>15909</v>
      </c>
      <c r="G991" s="110"/>
      <c r="H991" s="108"/>
      <c r="I991" s="108"/>
    </row>
    <row r="992" spans="1:9" ht="27.6">
      <c r="A992" s="108" t="s">
        <v>109</v>
      </c>
      <c r="B992" s="108" t="s">
        <v>15910</v>
      </c>
      <c r="C992" s="109">
        <v>46063</v>
      </c>
      <c r="D992" s="108"/>
      <c r="E992" s="108" t="s">
        <v>14605</v>
      </c>
      <c r="F992" s="108" t="s">
        <v>15142</v>
      </c>
      <c r="G992" s="110"/>
      <c r="H992" s="108"/>
      <c r="I992" s="108"/>
    </row>
    <row r="993" spans="1:9" ht="27.6">
      <c r="A993" s="108" t="s">
        <v>981</v>
      </c>
      <c r="B993" s="108" t="s">
        <v>15911</v>
      </c>
      <c r="C993" s="109">
        <v>46001</v>
      </c>
      <c r="D993" s="108"/>
      <c r="E993" s="108" t="s">
        <v>14605</v>
      </c>
      <c r="F993" s="108" t="s">
        <v>15912</v>
      </c>
      <c r="G993" s="110"/>
      <c r="H993" s="108"/>
      <c r="I993" s="108"/>
    </row>
    <row r="994" spans="1:9" ht="27.6">
      <c r="A994" s="108" t="s">
        <v>109</v>
      </c>
      <c r="B994" s="108" t="s">
        <v>15913</v>
      </c>
      <c r="C994" s="109">
        <v>46042</v>
      </c>
      <c r="D994" s="108"/>
      <c r="E994" s="108" t="s">
        <v>14605</v>
      </c>
      <c r="F994" s="108" t="s">
        <v>14748</v>
      </c>
      <c r="G994" s="110"/>
      <c r="H994" s="108"/>
      <c r="I994" s="108"/>
    </row>
    <row r="995" spans="1:9" ht="27.6">
      <c r="A995" s="108" t="s">
        <v>250</v>
      </c>
      <c r="B995" s="108" t="s">
        <v>15914</v>
      </c>
      <c r="C995" s="109">
        <v>45989</v>
      </c>
      <c r="D995" s="108"/>
      <c r="E995" s="108" t="s">
        <v>14605</v>
      </c>
      <c r="F995" s="108" t="s">
        <v>15140</v>
      </c>
      <c r="G995" s="110"/>
      <c r="H995" s="108"/>
      <c r="I995" s="108"/>
    </row>
    <row r="996" spans="1:9" ht="27.6">
      <c r="A996" s="108" t="s">
        <v>981</v>
      </c>
      <c r="B996" s="108" t="s">
        <v>15915</v>
      </c>
      <c r="C996" s="109">
        <v>45977</v>
      </c>
      <c r="D996" s="108"/>
      <c r="E996" s="108" t="s">
        <v>14605</v>
      </c>
      <c r="F996" s="108" t="s">
        <v>15916</v>
      </c>
      <c r="G996" s="110"/>
      <c r="H996" s="108"/>
      <c r="I996" s="108"/>
    </row>
    <row r="997" spans="1:9" ht="27.6">
      <c r="A997" s="108" t="s">
        <v>1072</v>
      </c>
      <c r="B997" s="108" t="s">
        <v>15917</v>
      </c>
      <c r="C997" s="109">
        <v>46056</v>
      </c>
      <c r="D997" s="108"/>
      <c r="E997" s="108" t="s">
        <v>14605</v>
      </c>
      <c r="F997" s="108" t="s">
        <v>15918</v>
      </c>
      <c r="G997" s="110"/>
      <c r="H997" s="108"/>
      <c r="I997" s="108"/>
    </row>
    <row r="998" spans="1:9" ht="27.6">
      <c r="A998" s="108" t="s">
        <v>250</v>
      </c>
      <c r="B998" s="108" t="s">
        <v>15919</v>
      </c>
      <c r="C998" s="109">
        <v>45958</v>
      </c>
      <c r="D998" s="108"/>
      <c r="E998" s="108" t="s">
        <v>14605</v>
      </c>
      <c r="F998" s="108" t="s">
        <v>15920</v>
      </c>
      <c r="G998" s="110"/>
      <c r="H998" s="108"/>
      <c r="I998" s="108"/>
    </row>
    <row r="999" spans="1:9" ht="27.6">
      <c r="A999" s="108" t="s">
        <v>981</v>
      </c>
      <c r="B999" s="108" t="s">
        <v>15921</v>
      </c>
      <c r="C999" s="109">
        <v>45954</v>
      </c>
      <c r="D999" s="108"/>
      <c r="E999" s="108" t="s">
        <v>14605</v>
      </c>
      <c r="F999" s="108" t="s">
        <v>15922</v>
      </c>
      <c r="G999" s="110"/>
      <c r="H999" s="108"/>
      <c r="I999" s="108"/>
    </row>
    <row r="1000" spans="1:9" ht="27.6">
      <c r="A1000" s="108" t="s">
        <v>109</v>
      </c>
      <c r="B1000" s="108" t="s">
        <v>15923</v>
      </c>
      <c r="C1000" s="109">
        <v>46010</v>
      </c>
      <c r="D1000" s="108"/>
      <c r="E1000" s="108" t="s">
        <v>14605</v>
      </c>
      <c r="F1000" s="108" t="s">
        <v>15359</v>
      </c>
      <c r="G1000" s="110"/>
      <c r="H1000" s="108"/>
      <c r="I1000" s="108"/>
    </row>
    <row r="1001" spans="1:9" ht="27.6">
      <c r="A1001" s="108" t="s">
        <v>109</v>
      </c>
      <c r="B1001" s="108" t="s">
        <v>15924</v>
      </c>
      <c r="C1001" s="109">
        <v>46007</v>
      </c>
      <c r="D1001" s="108"/>
      <c r="E1001" s="108" t="s">
        <v>14605</v>
      </c>
      <c r="F1001" s="108" t="s">
        <v>15925</v>
      </c>
      <c r="G1001" s="110"/>
      <c r="H1001" s="108"/>
      <c r="I1001" s="108"/>
    </row>
    <row r="1002" spans="1:9" ht="27.6">
      <c r="A1002" s="108" t="s">
        <v>109</v>
      </c>
      <c r="B1002" s="108" t="s">
        <v>15926</v>
      </c>
      <c r="C1002" s="109">
        <v>46045</v>
      </c>
      <c r="D1002" s="108"/>
      <c r="E1002" s="108" t="s">
        <v>14605</v>
      </c>
      <c r="F1002" s="108" t="s">
        <v>15397</v>
      </c>
      <c r="G1002" s="110"/>
      <c r="H1002" s="108"/>
      <c r="I1002" s="108"/>
    </row>
    <row r="1003" spans="1:9" ht="27.6">
      <c r="A1003" s="108" t="s">
        <v>109</v>
      </c>
      <c r="B1003" s="108" t="s">
        <v>15927</v>
      </c>
      <c r="C1003" s="109">
        <v>46041</v>
      </c>
      <c r="D1003" s="108"/>
      <c r="E1003" s="108" t="s">
        <v>14605</v>
      </c>
      <c r="F1003" s="108" t="s">
        <v>15928</v>
      </c>
      <c r="G1003" s="110"/>
      <c r="H1003" s="108"/>
      <c r="I1003" s="108"/>
    </row>
    <row r="1004" spans="1:9" ht="27.6">
      <c r="A1004" s="108" t="s">
        <v>109</v>
      </c>
      <c r="B1004" s="108" t="s">
        <v>15929</v>
      </c>
      <c r="C1004" s="109">
        <v>46050</v>
      </c>
      <c r="D1004" s="108"/>
      <c r="E1004" s="108" t="s">
        <v>14605</v>
      </c>
      <c r="F1004" s="108" t="s">
        <v>15930</v>
      </c>
      <c r="G1004" s="110"/>
      <c r="H1004" s="108"/>
      <c r="I1004" s="108"/>
    </row>
    <row r="1005" spans="1:9" ht="27.6">
      <c r="A1005" s="108" t="s">
        <v>109</v>
      </c>
      <c r="B1005" s="108" t="s">
        <v>15931</v>
      </c>
      <c r="C1005" s="109">
        <v>46087</v>
      </c>
      <c r="D1005" s="108"/>
      <c r="E1005" s="108" t="s">
        <v>14605</v>
      </c>
      <c r="F1005" s="108" t="s">
        <v>15490</v>
      </c>
      <c r="G1005" s="110"/>
      <c r="H1005" s="108"/>
      <c r="I1005" s="108"/>
    </row>
    <row r="1006" spans="1:9">
      <c r="A1006" s="108" t="s">
        <v>15932</v>
      </c>
      <c r="B1006" s="108" t="s">
        <v>15933</v>
      </c>
      <c r="C1006" s="109">
        <v>46044</v>
      </c>
      <c r="D1006" s="108"/>
      <c r="E1006" s="108" t="s">
        <v>14605</v>
      </c>
      <c r="F1006" s="108" t="s">
        <v>15934</v>
      </c>
      <c r="G1006" s="110"/>
      <c r="H1006" s="108"/>
      <c r="I1006" s="108"/>
    </row>
    <row r="1007" spans="1:9" ht="27.6">
      <c r="A1007" s="108" t="s">
        <v>250</v>
      </c>
      <c r="B1007" s="108" t="s">
        <v>15935</v>
      </c>
      <c r="C1007" s="109">
        <v>46183</v>
      </c>
      <c r="D1007" s="108"/>
      <c r="E1007" s="108" t="s">
        <v>14605</v>
      </c>
      <c r="F1007" s="108" t="s">
        <v>4958</v>
      </c>
      <c r="G1007" s="110"/>
      <c r="H1007" s="108"/>
      <c r="I1007" s="108"/>
    </row>
    <row r="1008" spans="1:9" ht="41.4">
      <c r="A1008" s="108" t="s">
        <v>15932</v>
      </c>
      <c r="B1008" s="108" t="s">
        <v>15936</v>
      </c>
      <c r="C1008" s="109">
        <v>46062</v>
      </c>
      <c r="D1008" s="108"/>
      <c r="E1008" s="108" t="s">
        <v>14605</v>
      </c>
      <c r="F1008" s="108" t="s">
        <v>15399</v>
      </c>
      <c r="G1008" s="110"/>
      <c r="H1008" s="108"/>
      <c r="I1008" s="108"/>
    </row>
    <row r="1009" spans="1:9" ht="27.6">
      <c r="A1009" s="108" t="s">
        <v>109</v>
      </c>
      <c r="B1009" s="108" t="s">
        <v>15937</v>
      </c>
      <c r="C1009" s="109">
        <v>46108</v>
      </c>
      <c r="D1009" s="108"/>
      <c r="E1009" s="108" t="s">
        <v>14605</v>
      </c>
      <c r="F1009" s="108" t="s">
        <v>15410</v>
      </c>
      <c r="G1009" s="110"/>
      <c r="H1009" s="108"/>
      <c r="I1009" s="108"/>
    </row>
    <row r="1010" spans="1:9" ht="27.6">
      <c r="A1010" s="108" t="s">
        <v>109</v>
      </c>
      <c r="B1010" s="108" t="s">
        <v>15938</v>
      </c>
      <c r="C1010" s="109">
        <v>46189</v>
      </c>
      <c r="D1010" s="108"/>
      <c r="E1010" s="108" t="s">
        <v>14605</v>
      </c>
      <c r="F1010" s="108" t="s">
        <v>15140</v>
      </c>
      <c r="G1010" s="110"/>
      <c r="H1010" s="108"/>
      <c r="I1010" s="108"/>
    </row>
    <row r="1011" spans="1:9">
      <c r="A1011" s="108" t="s">
        <v>15932</v>
      </c>
      <c r="B1011" s="108" t="s">
        <v>15939</v>
      </c>
      <c r="C1011" s="109">
        <v>46110</v>
      </c>
      <c r="D1011" s="108"/>
      <c r="E1011" s="108" t="s">
        <v>14605</v>
      </c>
      <c r="F1011" s="108" t="s">
        <v>15388</v>
      </c>
      <c r="G1011" s="110"/>
      <c r="H1011" s="108"/>
      <c r="I1011" s="108"/>
    </row>
    <row r="1012" spans="1:9" ht="27.6">
      <c r="A1012" s="108" t="s">
        <v>15932</v>
      </c>
      <c r="B1012" s="108" t="s">
        <v>15940</v>
      </c>
      <c r="C1012" s="109">
        <v>46126</v>
      </c>
      <c r="D1012" s="108"/>
      <c r="E1012" s="108" t="s">
        <v>14605</v>
      </c>
      <c r="F1012" s="108" t="s">
        <v>15414</v>
      </c>
      <c r="G1012" s="110"/>
      <c r="H1012" s="108"/>
      <c r="I1012" s="108"/>
    </row>
    <row r="1013" spans="1:9" ht="27.6">
      <c r="A1013" s="108" t="s">
        <v>109</v>
      </c>
      <c r="B1013" s="108" t="s">
        <v>15941</v>
      </c>
      <c r="C1013" s="109">
        <v>46227</v>
      </c>
      <c r="D1013" s="108"/>
      <c r="E1013" s="108" t="s">
        <v>14605</v>
      </c>
      <c r="F1013" s="108" t="s">
        <v>15942</v>
      </c>
      <c r="G1013" s="110"/>
      <c r="H1013" s="108"/>
      <c r="I1013" s="108"/>
    </row>
    <row r="1014" spans="1:9" ht="27.6">
      <c r="A1014" s="108" t="s">
        <v>109</v>
      </c>
      <c r="B1014" s="108" t="s">
        <v>15943</v>
      </c>
      <c r="C1014" s="109">
        <v>46151</v>
      </c>
      <c r="D1014" s="108"/>
      <c r="E1014" s="108" t="s">
        <v>14605</v>
      </c>
      <c r="F1014" s="108" t="s">
        <v>15134</v>
      </c>
      <c r="G1014" s="110"/>
      <c r="H1014" s="108"/>
      <c r="I1014" s="108"/>
    </row>
    <row r="1015" spans="1:9">
      <c r="A1015" s="108" t="s">
        <v>15944</v>
      </c>
      <c r="B1015" s="108" t="s">
        <v>15945</v>
      </c>
      <c r="C1015" s="109">
        <v>46182</v>
      </c>
      <c r="D1015" s="108"/>
      <c r="E1015" s="108" t="s">
        <v>14605</v>
      </c>
      <c r="F1015" s="108" t="s">
        <v>15431</v>
      </c>
      <c r="G1015" s="110"/>
      <c r="H1015" s="108"/>
      <c r="I1015" s="108"/>
    </row>
    <row r="1016" spans="1:9" ht="27.6">
      <c r="A1016" s="108" t="s">
        <v>109</v>
      </c>
      <c r="B1016" s="108" t="s">
        <v>15946</v>
      </c>
      <c r="C1016" s="109">
        <v>46157</v>
      </c>
      <c r="D1016" s="108"/>
      <c r="E1016" s="108" t="s">
        <v>14605</v>
      </c>
      <c r="F1016" s="108" t="s">
        <v>15419</v>
      </c>
      <c r="G1016" s="110"/>
      <c r="H1016" s="108"/>
      <c r="I1016" s="108"/>
    </row>
    <row r="1017" spans="1:9" ht="27.6">
      <c r="A1017" s="108" t="s">
        <v>109</v>
      </c>
      <c r="B1017" s="108" t="s">
        <v>15947</v>
      </c>
      <c r="C1017" s="109">
        <v>46172</v>
      </c>
      <c r="D1017" s="108"/>
      <c r="E1017" s="108" t="s">
        <v>14605</v>
      </c>
      <c r="F1017" s="108" t="s">
        <v>15403</v>
      </c>
      <c r="G1017" s="110"/>
      <c r="H1017" s="108"/>
      <c r="I1017" s="108"/>
    </row>
    <row r="1018" spans="1:9" ht="27.6">
      <c r="A1018" s="108" t="s">
        <v>109</v>
      </c>
      <c r="B1018" s="108" t="s">
        <v>15948</v>
      </c>
      <c r="C1018" s="109">
        <v>46210</v>
      </c>
      <c r="D1018" s="108"/>
      <c r="E1018" s="108" t="s">
        <v>14605</v>
      </c>
      <c r="F1018" s="108" t="s">
        <v>15949</v>
      </c>
      <c r="G1018" s="110"/>
      <c r="H1018" s="108"/>
      <c r="I1018" s="108"/>
    </row>
    <row r="1019" spans="1:9" ht="27.6">
      <c r="A1019" s="108" t="s">
        <v>109</v>
      </c>
      <c r="B1019" s="108" t="s">
        <v>15950</v>
      </c>
      <c r="C1019" s="109">
        <v>46156</v>
      </c>
      <c r="D1019" s="108"/>
      <c r="E1019" s="108" t="s">
        <v>14605</v>
      </c>
      <c r="F1019" s="108" t="s">
        <v>15421</v>
      </c>
      <c r="G1019" s="110"/>
      <c r="H1019" s="108"/>
      <c r="I1019" s="108"/>
    </row>
    <row r="1020" spans="1:9" ht="27.6">
      <c r="A1020" s="108" t="s">
        <v>109</v>
      </c>
      <c r="B1020" s="108" t="s">
        <v>15951</v>
      </c>
      <c r="C1020" s="109">
        <v>46240</v>
      </c>
      <c r="D1020" s="108"/>
      <c r="E1020" s="108" t="s">
        <v>14605</v>
      </c>
      <c r="F1020" s="108" t="s">
        <v>15433</v>
      </c>
      <c r="G1020" s="110"/>
      <c r="H1020" s="108"/>
      <c r="I1020" s="108"/>
    </row>
    <row r="1021" spans="1:9" ht="27.6">
      <c r="A1021" s="108" t="s">
        <v>109</v>
      </c>
      <c r="B1021" s="108" t="s">
        <v>15952</v>
      </c>
      <c r="C1021" s="109">
        <v>46207</v>
      </c>
      <c r="D1021" s="108"/>
      <c r="E1021" s="108" t="s">
        <v>14605</v>
      </c>
      <c r="F1021" s="108" t="s">
        <v>15450</v>
      </c>
      <c r="G1021" s="110"/>
      <c r="H1021" s="108"/>
      <c r="I1021" s="108"/>
    </row>
    <row r="1022" spans="1:9" ht="41.4">
      <c r="A1022" s="108" t="s">
        <v>15932</v>
      </c>
      <c r="B1022" s="108" t="s">
        <v>15953</v>
      </c>
      <c r="C1022" s="109">
        <v>46255</v>
      </c>
      <c r="D1022" s="108"/>
      <c r="E1022" s="108" t="s">
        <v>14605</v>
      </c>
      <c r="F1022" s="108" t="s">
        <v>15459</v>
      </c>
      <c r="G1022" s="110"/>
      <c r="H1022" s="108"/>
      <c r="I1022" s="108"/>
    </row>
    <row r="1023" spans="1:9">
      <c r="A1023" s="108" t="s">
        <v>15932</v>
      </c>
      <c r="B1023" s="108" t="s">
        <v>15954</v>
      </c>
      <c r="C1023" s="109">
        <v>46281</v>
      </c>
      <c r="D1023" s="108"/>
      <c r="E1023" s="108" t="s">
        <v>14605</v>
      </c>
      <c r="F1023" s="108" t="s">
        <v>15955</v>
      </c>
      <c r="G1023" s="110"/>
      <c r="H1023" s="108"/>
      <c r="I1023" s="108"/>
    </row>
    <row r="1024" spans="1:9" ht="41.4">
      <c r="A1024" s="108" t="s">
        <v>1465</v>
      </c>
      <c r="B1024" s="108" t="s">
        <v>15956</v>
      </c>
      <c r="C1024" s="109">
        <v>41668</v>
      </c>
      <c r="D1024" s="108"/>
      <c r="E1024" s="108" t="s">
        <v>14605</v>
      </c>
      <c r="F1024" s="108" t="s">
        <v>15957</v>
      </c>
      <c r="G1024" s="110"/>
      <c r="H1024" s="108"/>
      <c r="I1024" s="108"/>
    </row>
    <row r="1025" spans="1:9">
      <c r="A1025" s="108" t="s">
        <v>169</v>
      </c>
      <c r="B1025" s="108" t="s">
        <v>15958</v>
      </c>
      <c r="C1025" s="109">
        <v>43601</v>
      </c>
      <c r="D1025" s="108"/>
      <c r="E1025" s="108" t="s">
        <v>14605</v>
      </c>
      <c r="F1025" s="108" t="s">
        <v>15959</v>
      </c>
      <c r="G1025" s="110"/>
      <c r="H1025" s="108"/>
      <c r="I1025" s="108"/>
    </row>
    <row r="1026" spans="1:9">
      <c r="A1026" s="108" t="s">
        <v>316</v>
      </c>
      <c r="B1026" s="108" t="s">
        <v>15960</v>
      </c>
      <c r="C1026" s="109">
        <v>43481</v>
      </c>
      <c r="D1026" s="108"/>
      <c r="E1026" s="108" t="s">
        <v>14611</v>
      </c>
      <c r="F1026" s="108" t="s">
        <v>14746</v>
      </c>
      <c r="G1026" s="110"/>
      <c r="H1026" s="108"/>
      <c r="I1026" s="108"/>
    </row>
    <row r="1027" spans="1:9" ht="27.6">
      <c r="A1027" s="108" t="s">
        <v>15961</v>
      </c>
      <c r="B1027" s="108" t="s">
        <v>15962</v>
      </c>
      <c r="C1027" s="109">
        <v>41717</v>
      </c>
      <c r="D1027" s="108"/>
      <c r="E1027" s="108" t="s">
        <v>14605</v>
      </c>
      <c r="F1027" s="108" t="s">
        <v>2836</v>
      </c>
      <c r="G1027" s="110"/>
      <c r="H1027" s="108"/>
      <c r="I1027" s="108"/>
    </row>
    <row r="1028" spans="1:9">
      <c r="A1028" s="108" t="s">
        <v>378</v>
      </c>
      <c r="B1028" s="108" t="s">
        <v>15963</v>
      </c>
      <c r="C1028" s="109">
        <v>46079</v>
      </c>
      <c r="D1028" s="108"/>
      <c r="E1028" s="108" t="s">
        <v>14605</v>
      </c>
      <c r="F1028" s="108" t="s">
        <v>15964</v>
      </c>
      <c r="G1028" s="110"/>
      <c r="H1028" s="108"/>
      <c r="I1028" s="108"/>
    </row>
    <row r="1029" spans="1:9">
      <c r="A1029" s="108" t="s">
        <v>15965</v>
      </c>
      <c r="B1029" s="108" t="s">
        <v>15966</v>
      </c>
      <c r="C1029" s="109">
        <v>46259</v>
      </c>
      <c r="D1029" s="108"/>
      <c r="E1029" s="108" t="s">
        <v>14605</v>
      </c>
      <c r="F1029" s="108" t="s">
        <v>14764</v>
      </c>
      <c r="G1029" s="110"/>
      <c r="H1029" s="108"/>
      <c r="I1029" s="108"/>
    </row>
    <row r="1030" spans="1:9">
      <c r="A1030" s="108" t="s">
        <v>378</v>
      </c>
      <c r="B1030" s="108" t="s">
        <v>15967</v>
      </c>
      <c r="C1030" s="109">
        <v>46230</v>
      </c>
      <c r="D1030" s="108"/>
      <c r="E1030" s="108" t="s">
        <v>14605</v>
      </c>
      <c r="F1030" s="108" t="s">
        <v>15968</v>
      </c>
      <c r="G1030" s="110"/>
      <c r="H1030" s="108"/>
      <c r="I1030" s="108"/>
    </row>
    <row r="1031" spans="1:9">
      <c r="A1031" s="108" t="s">
        <v>378</v>
      </c>
      <c r="B1031" s="108" t="s">
        <v>15969</v>
      </c>
      <c r="C1031" s="109">
        <v>46184</v>
      </c>
      <c r="D1031" s="108"/>
      <c r="E1031" s="108" t="s">
        <v>14605</v>
      </c>
      <c r="F1031" s="108" t="s">
        <v>15964</v>
      </c>
      <c r="G1031" s="110"/>
      <c r="H1031" s="108"/>
      <c r="I1031" s="108"/>
    </row>
    <row r="1032" spans="1:9">
      <c r="A1032" s="108" t="s">
        <v>378</v>
      </c>
      <c r="B1032" s="108" t="s">
        <v>15970</v>
      </c>
      <c r="C1032" s="109">
        <v>46225</v>
      </c>
      <c r="D1032" s="108"/>
      <c r="E1032" s="108" t="s">
        <v>14605</v>
      </c>
      <c r="F1032" s="108" t="s">
        <v>15968</v>
      </c>
      <c r="G1032" s="110"/>
      <c r="H1032" s="108"/>
      <c r="I1032" s="108"/>
    </row>
    <row r="1033" spans="1:9">
      <c r="A1033" s="108" t="s">
        <v>378</v>
      </c>
      <c r="B1033" s="108" t="s">
        <v>15971</v>
      </c>
      <c r="C1033" s="109">
        <v>46231</v>
      </c>
      <c r="D1033" s="108"/>
      <c r="E1033" s="108" t="s">
        <v>14605</v>
      </c>
      <c r="F1033" s="108" t="s">
        <v>151</v>
      </c>
      <c r="G1033" s="110"/>
      <c r="H1033" s="108"/>
      <c r="I1033" s="108"/>
    </row>
    <row r="1034" spans="1:9">
      <c r="A1034" s="108" t="s">
        <v>378</v>
      </c>
      <c r="B1034" s="108" t="s">
        <v>15972</v>
      </c>
      <c r="C1034" s="109">
        <v>46240</v>
      </c>
      <c r="D1034" s="108"/>
      <c r="E1034" s="108" t="s">
        <v>14605</v>
      </c>
      <c r="F1034" s="108" t="s">
        <v>2475</v>
      </c>
      <c r="G1034" s="110"/>
      <c r="H1034" s="108"/>
      <c r="I1034" s="108"/>
    </row>
    <row r="1035" spans="1:9">
      <c r="A1035" s="108" t="s">
        <v>378</v>
      </c>
      <c r="B1035" s="108" t="s">
        <v>15973</v>
      </c>
      <c r="C1035" s="109">
        <v>46238</v>
      </c>
      <c r="D1035" s="108"/>
      <c r="E1035" s="108" t="s">
        <v>14605</v>
      </c>
      <c r="F1035" s="108" t="s">
        <v>129</v>
      </c>
      <c r="G1035" s="110"/>
      <c r="H1035" s="108"/>
      <c r="I1035" s="108"/>
    </row>
    <row r="1036" spans="1:9">
      <c r="A1036" s="108" t="s">
        <v>378</v>
      </c>
      <c r="B1036" s="108" t="s">
        <v>15974</v>
      </c>
      <c r="C1036" s="109">
        <v>46189</v>
      </c>
      <c r="D1036" s="108"/>
      <c r="E1036" s="108" t="s">
        <v>14605</v>
      </c>
      <c r="F1036" s="108" t="s">
        <v>15975</v>
      </c>
      <c r="G1036" s="110"/>
      <c r="H1036" s="108"/>
      <c r="I1036" s="108"/>
    </row>
    <row r="1037" spans="1:9">
      <c r="A1037" s="108" t="s">
        <v>15976</v>
      </c>
      <c r="B1037" s="108" t="s">
        <v>15977</v>
      </c>
      <c r="C1037" s="109">
        <v>42850</v>
      </c>
      <c r="D1037" s="108"/>
      <c r="E1037" s="108" t="s">
        <v>14605</v>
      </c>
      <c r="F1037" s="108" t="s">
        <v>15978</v>
      </c>
      <c r="G1037" s="110"/>
      <c r="H1037" s="108"/>
      <c r="I1037" s="108"/>
    </row>
    <row r="1038" spans="1:9" ht="27.6">
      <c r="A1038" s="108" t="s">
        <v>96</v>
      </c>
      <c r="B1038" s="108" t="s">
        <v>15979</v>
      </c>
      <c r="C1038" s="109">
        <v>45991</v>
      </c>
      <c r="D1038" s="108"/>
      <c r="E1038" s="108" t="s">
        <v>14605</v>
      </c>
      <c r="F1038" s="108" t="s">
        <v>15980</v>
      </c>
      <c r="G1038" s="110"/>
      <c r="H1038" s="108"/>
      <c r="I1038" s="108"/>
    </row>
    <row r="1039" spans="1:9" ht="27.6">
      <c r="A1039" s="108" t="s">
        <v>96</v>
      </c>
      <c r="B1039" s="108" t="s">
        <v>15981</v>
      </c>
      <c r="C1039" s="109">
        <v>46229</v>
      </c>
      <c r="D1039" s="108"/>
      <c r="E1039" s="108" t="s">
        <v>14605</v>
      </c>
      <c r="F1039" s="108" t="s">
        <v>15446</v>
      </c>
      <c r="G1039" s="110"/>
      <c r="H1039" s="108"/>
      <c r="I1039" s="108"/>
    </row>
    <row r="1040" spans="1:9" ht="27.6">
      <c r="A1040" s="108" t="s">
        <v>96</v>
      </c>
      <c r="B1040" s="108" t="s">
        <v>15982</v>
      </c>
      <c r="C1040" s="109">
        <v>45923</v>
      </c>
      <c r="D1040" s="108"/>
      <c r="E1040" s="108" t="s">
        <v>14605</v>
      </c>
      <c r="F1040" s="108" t="s">
        <v>15983</v>
      </c>
      <c r="G1040" s="110"/>
      <c r="H1040" s="108"/>
      <c r="I1040" s="108"/>
    </row>
    <row r="1041" spans="1:9" ht="27.6">
      <c r="A1041" s="108" t="s">
        <v>96</v>
      </c>
      <c r="B1041" s="108" t="s">
        <v>15984</v>
      </c>
      <c r="C1041" s="109">
        <v>46050</v>
      </c>
      <c r="D1041" s="108"/>
      <c r="E1041" s="108" t="s">
        <v>14605</v>
      </c>
      <c r="F1041" s="108" t="s">
        <v>15942</v>
      </c>
      <c r="G1041" s="110"/>
      <c r="H1041" s="108"/>
      <c r="I1041" s="108"/>
    </row>
    <row r="1042" spans="1:9" ht="27.6">
      <c r="A1042" s="108" t="s">
        <v>96</v>
      </c>
      <c r="B1042" s="108" t="s">
        <v>15985</v>
      </c>
      <c r="C1042" s="109">
        <v>46127</v>
      </c>
      <c r="D1042" s="108"/>
      <c r="E1042" s="108" t="s">
        <v>14605</v>
      </c>
      <c r="F1042" s="108" t="s">
        <v>15942</v>
      </c>
      <c r="G1042" s="110"/>
      <c r="H1042" s="108"/>
      <c r="I1042" s="108"/>
    </row>
    <row r="1043" spans="1:9" ht="27.6">
      <c r="A1043" s="108" t="s">
        <v>96</v>
      </c>
      <c r="B1043" s="108" t="s">
        <v>15986</v>
      </c>
      <c r="C1043" s="109">
        <v>45933</v>
      </c>
      <c r="D1043" s="108"/>
      <c r="E1043" s="108" t="s">
        <v>14605</v>
      </c>
      <c r="F1043" s="108" t="s">
        <v>15987</v>
      </c>
      <c r="G1043" s="110"/>
      <c r="H1043" s="108"/>
      <c r="I1043" s="108"/>
    </row>
    <row r="1044" spans="1:9" ht="27.6">
      <c r="A1044" s="108" t="s">
        <v>96</v>
      </c>
      <c r="B1044" s="108" t="s">
        <v>15988</v>
      </c>
      <c r="C1044" s="109">
        <v>46100</v>
      </c>
      <c r="D1044" s="108"/>
      <c r="E1044" s="108" t="s">
        <v>14605</v>
      </c>
      <c r="F1044" s="108" t="s">
        <v>15989</v>
      </c>
      <c r="G1044" s="110"/>
      <c r="H1044" s="108"/>
      <c r="I1044" s="108"/>
    </row>
    <row r="1045" spans="1:9">
      <c r="A1045" s="108" t="s">
        <v>15990</v>
      </c>
      <c r="B1045" s="108" t="s">
        <v>15991</v>
      </c>
      <c r="C1045" s="109">
        <v>45898</v>
      </c>
      <c r="D1045" s="108"/>
      <c r="E1045" s="108" t="s">
        <v>14605</v>
      </c>
      <c r="F1045" s="108" t="s">
        <v>15992</v>
      </c>
      <c r="G1045" s="110"/>
      <c r="H1045" s="108"/>
      <c r="I1045" s="108"/>
    </row>
    <row r="1046" spans="1:9">
      <c r="A1046" s="108" t="s">
        <v>15990</v>
      </c>
      <c r="B1046" s="108" t="s">
        <v>15993</v>
      </c>
      <c r="C1046" s="109">
        <v>45839</v>
      </c>
      <c r="D1046" s="108"/>
      <c r="E1046" s="108" t="s">
        <v>14605</v>
      </c>
      <c r="F1046" s="108" t="s">
        <v>15220</v>
      </c>
      <c r="G1046" s="110"/>
      <c r="H1046" s="108"/>
      <c r="I1046" s="108"/>
    </row>
    <row r="1047" spans="1:9" ht="27.6">
      <c r="A1047" s="108" t="s">
        <v>503</v>
      </c>
      <c r="B1047" s="108" t="s">
        <v>15994</v>
      </c>
      <c r="C1047" s="109">
        <v>46032</v>
      </c>
      <c r="D1047" s="108"/>
      <c r="E1047" s="108" t="s">
        <v>14605</v>
      </c>
      <c r="F1047" s="108" t="s">
        <v>4343</v>
      </c>
      <c r="G1047" s="110"/>
      <c r="H1047" s="108"/>
      <c r="I1047" s="108"/>
    </row>
    <row r="1048" spans="1:9">
      <c r="A1048" s="108" t="s">
        <v>15990</v>
      </c>
      <c r="B1048" s="108" t="s">
        <v>15995</v>
      </c>
      <c r="C1048" s="109">
        <v>45966</v>
      </c>
      <c r="D1048" s="108"/>
      <c r="E1048" s="108" t="s">
        <v>14605</v>
      </c>
      <c r="F1048" s="108" t="s">
        <v>15996</v>
      </c>
      <c r="G1048" s="110"/>
      <c r="H1048" s="108"/>
      <c r="I1048" s="108"/>
    </row>
    <row r="1049" spans="1:9" ht="27.6">
      <c r="A1049" s="108" t="s">
        <v>15990</v>
      </c>
      <c r="B1049" s="108" t="s">
        <v>15997</v>
      </c>
      <c r="C1049" s="109">
        <v>46101</v>
      </c>
      <c r="D1049" s="108"/>
      <c r="E1049" s="108" t="s">
        <v>14605</v>
      </c>
      <c r="F1049" s="108" t="s">
        <v>15998</v>
      </c>
      <c r="G1049" s="110"/>
      <c r="H1049" s="108"/>
      <c r="I1049" s="108"/>
    </row>
    <row r="1050" spans="1:9">
      <c r="A1050" s="108" t="s">
        <v>244</v>
      </c>
      <c r="B1050" s="108" t="s">
        <v>15999</v>
      </c>
      <c r="C1050" s="109">
        <v>46030</v>
      </c>
      <c r="D1050" s="108"/>
      <c r="E1050" s="108" t="s">
        <v>14605</v>
      </c>
      <c r="F1050" s="108" t="s">
        <v>16000</v>
      </c>
      <c r="G1050" s="110"/>
      <c r="H1050" s="108"/>
      <c r="I1050" s="108"/>
    </row>
    <row r="1051" spans="1:9">
      <c r="A1051" s="108" t="s">
        <v>15990</v>
      </c>
      <c r="B1051" s="108" t="s">
        <v>16001</v>
      </c>
      <c r="C1051" s="109">
        <v>46016</v>
      </c>
      <c r="D1051" s="108"/>
      <c r="E1051" s="108" t="s">
        <v>14605</v>
      </c>
      <c r="F1051" s="108" t="s">
        <v>4242</v>
      </c>
      <c r="G1051" s="110"/>
      <c r="H1051" s="108"/>
      <c r="I1051" s="108"/>
    </row>
    <row r="1052" spans="1:9">
      <c r="A1052" s="108" t="s">
        <v>15990</v>
      </c>
      <c r="B1052" s="108" t="s">
        <v>16002</v>
      </c>
      <c r="C1052" s="109">
        <v>45959</v>
      </c>
      <c r="D1052" s="108"/>
      <c r="E1052" s="108" t="s">
        <v>14605</v>
      </c>
      <c r="F1052" s="108" t="s">
        <v>4319</v>
      </c>
      <c r="G1052" s="110"/>
      <c r="H1052" s="108"/>
      <c r="I1052" s="108"/>
    </row>
    <row r="1053" spans="1:9" ht="27.6">
      <c r="A1053" s="108" t="s">
        <v>15990</v>
      </c>
      <c r="B1053" s="108" t="s">
        <v>16003</v>
      </c>
      <c r="C1053" s="109">
        <v>46070</v>
      </c>
      <c r="D1053" s="108"/>
      <c r="E1053" s="108" t="s">
        <v>14605</v>
      </c>
      <c r="F1053" s="108" t="s">
        <v>16004</v>
      </c>
      <c r="G1053" s="110"/>
      <c r="H1053" s="108"/>
      <c r="I1053" s="108"/>
    </row>
    <row r="1054" spans="1:9">
      <c r="A1054" s="108" t="s">
        <v>15990</v>
      </c>
      <c r="B1054" s="108" t="s">
        <v>16005</v>
      </c>
      <c r="C1054" s="109">
        <v>46017</v>
      </c>
      <c r="D1054" s="108"/>
      <c r="E1054" s="108" t="s">
        <v>14605</v>
      </c>
      <c r="F1054" s="108" t="s">
        <v>3687</v>
      </c>
      <c r="G1054" s="110"/>
      <c r="H1054" s="108"/>
      <c r="I1054" s="108"/>
    </row>
    <row r="1055" spans="1:9">
      <c r="A1055" s="108" t="s">
        <v>15990</v>
      </c>
      <c r="B1055" s="108" t="s">
        <v>16006</v>
      </c>
      <c r="C1055" s="109">
        <v>46017</v>
      </c>
      <c r="D1055" s="108"/>
      <c r="E1055" s="108" t="s">
        <v>14605</v>
      </c>
      <c r="F1055" s="108" t="s">
        <v>3687</v>
      </c>
      <c r="G1055" s="110"/>
      <c r="H1055" s="108"/>
      <c r="I1055" s="108"/>
    </row>
    <row r="1056" spans="1:9" ht="27.6">
      <c r="A1056" s="108" t="s">
        <v>244</v>
      </c>
      <c r="B1056" s="108" t="s">
        <v>16007</v>
      </c>
      <c r="C1056" s="109">
        <v>46008</v>
      </c>
      <c r="D1056" s="108"/>
      <c r="E1056" s="108" t="s">
        <v>14605</v>
      </c>
      <c r="F1056" s="108" t="s">
        <v>4685</v>
      </c>
      <c r="G1056" s="110"/>
      <c r="H1056" s="108"/>
      <c r="I1056" s="108"/>
    </row>
    <row r="1057" spans="1:9">
      <c r="A1057" s="108" t="s">
        <v>8415</v>
      </c>
      <c r="B1057" s="108" t="s">
        <v>16008</v>
      </c>
      <c r="C1057" s="109">
        <v>46105</v>
      </c>
      <c r="D1057" s="108"/>
      <c r="E1057" s="108" t="s">
        <v>14605</v>
      </c>
      <c r="F1057" s="108" t="s">
        <v>1381</v>
      </c>
      <c r="G1057" s="110"/>
      <c r="H1057" s="108"/>
      <c r="I1057" s="108"/>
    </row>
    <row r="1058" spans="1:9">
      <c r="A1058" s="108" t="s">
        <v>244</v>
      </c>
      <c r="B1058" s="108" t="s">
        <v>16009</v>
      </c>
      <c r="C1058" s="109">
        <v>46227</v>
      </c>
      <c r="D1058" s="108"/>
      <c r="E1058" s="108" t="s">
        <v>14605</v>
      </c>
      <c r="F1058" s="108" t="s">
        <v>3717</v>
      </c>
      <c r="G1058" s="110"/>
      <c r="H1058" s="108"/>
      <c r="I1058" s="108"/>
    </row>
    <row r="1059" spans="1:9">
      <c r="A1059" s="108" t="s">
        <v>15990</v>
      </c>
      <c r="B1059" s="108" t="s">
        <v>16010</v>
      </c>
      <c r="C1059" s="109">
        <v>46017</v>
      </c>
      <c r="D1059" s="108"/>
      <c r="E1059" s="108" t="s">
        <v>14605</v>
      </c>
      <c r="F1059" s="108" t="s">
        <v>3687</v>
      </c>
      <c r="G1059" s="110"/>
      <c r="H1059" s="108"/>
      <c r="I1059" s="108"/>
    </row>
    <row r="1060" spans="1:9" ht="27.6">
      <c r="A1060" s="108" t="s">
        <v>15990</v>
      </c>
      <c r="B1060" s="108" t="s">
        <v>16011</v>
      </c>
      <c r="C1060" s="109">
        <v>46008</v>
      </c>
      <c r="D1060" s="108"/>
      <c r="E1060" s="108" t="s">
        <v>14605</v>
      </c>
      <c r="F1060" s="108" t="s">
        <v>3734</v>
      </c>
      <c r="G1060" s="110"/>
      <c r="H1060" s="108"/>
      <c r="I1060" s="108"/>
    </row>
    <row r="1061" spans="1:9">
      <c r="A1061" s="108" t="s">
        <v>15990</v>
      </c>
      <c r="B1061" s="108" t="s">
        <v>16012</v>
      </c>
      <c r="C1061" s="109">
        <v>46059</v>
      </c>
      <c r="D1061" s="108"/>
      <c r="E1061" s="108" t="s">
        <v>14605</v>
      </c>
      <c r="F1061" s="108" t="s">
        <v>4786</v>
      </c>
      <c r="G1061" s="110"/>
      <c r="H1061" s="108"/>
      <c r="I1061" s="108"/>
    </row>
    <row r="1062" spans="1:9">
      <c r="A1062" s="108" t="s">
        <v>503</v>
      </c>
      <c r="B1062" s="108" t="s">
        <v>16013</v>
      </c>
      <c r="C1062" s="109">
        <v>46171</v>
      </c>
      <c r="D1062" s="108"/>
      <c r="E1062" s="108" t="s">
        <v>14605</v>
      </c>
      <c r="F1062" s="108" t="s">
        <v>679</v>
      </c>
      <c r="G1062" s="110"/>
      <c r="H1062" s="108"/>
      <c r="I1062" s="108"/>
    </row>
    <row r="1063" spans="1:9">
      <c r="A1063" s="108" t="s">
        <v>15990</v>
      </c>
      <c r="B1063" s="108" t="s">
        <v>16014</v>
      </c>
      <c r="C1063" s="109">
        <v>46016</v>
      </c>
      <c r="D1063" s="108"/>
      <c r="E1063" s="108" t="s">
        <v>14605</v>
      </c>
      <c r="F1063" s="108" t="s">
        <v>4045</v>
      </c>
      <c r="G1063" s="110"/>
      <c r="H1063" s="108"/>
      <c r="I1063" s="108"/>
    </row>
    <row r="1064" spans="1:9">
      <c r="A1064" s="108" t="s">
        <v>15990</v>
      </c>
      <c r="B1064" s="108" t="s">
        <v>16015</v>
      </c>
      <c r="C1064" s="109">
        <v>46017</v>
      </c>
      <c r="D1064" s="108"/>
      <c r="E1064" s="108" t="s">
        <v>14605</v>
      </c>
      <c r="F1064" s="108" t="s">
        <v>3687</v>
      </c>
      <c r="G1064" s="110"/>
      <c r="H1064" s="108"/>
      <c r="I1064" s="108"/>
    </row>
    <row r="1065" spans="1:9">
      <c r="A1065" s="108" t="s">
        <v>15990</v>
      </c>
      <c r="B1065" s="108" t="s">
        <v>16016</v>
      </c>
      <c r="C1065" s="109">
        <v>46163</v>
      </c>
      <c r="D1065" s="108"/>
      <c r="E1065" s="108" t="s">
        <v>14605</v>
      </c>
      <c r="F1065" s="108" t="s">
        <v>212</v>
      </c>
      <c r="G1065" s="110"/>
      <c r="H1065" s="108"/>
      <c r="I1065" s="108"/>
    </row>
    <row r="1066" spans="1:9">
      <c r="A1066" s="108" t="s">
        <v>15990</v>
      </c>
      <c r="B1066" s="108" t="s">
        <v>16017</v>
      </c>
      <c r="C1066" s="109">
        <v>46087</v>
      </c>
      <c r="D1066" s="108"/>
      <c r="E1066" s="108" t="s">
        <v>14605</v>
      </c>
      <c r="F1066" s="108" t="s">
        <v>212</v>
      </c>
      <c r="G1066" s="110"/>
      <c r="H1066" s="108"/>
      <c r="I1066" s="108"/>
    </row>
    <row r="1067" spans="1:9">
      <c r="A1067" s="108" t="s">
        <v>15990</v>
      </c>
      <c r="B1067" s="108" t="s">
        <v>16018</v>
      </c>
      <c r="C1067" s="109">
        <v>46121</v>
      </c>
      <c r="D1067" s="108"/>
      <c r="E1067" s="108" t="s">
        <v>14605</v>
      </c>
      <c r="F1067" s="108" t="s">
        <v>3717</v>
      </c>
      <c r="G1067" s="110"/>
      <c r="H1067" s="108"/>
      <c r="I1067" s="108"/>
    </row>
    <row r="1068" spans="1:9">
      <c r="A1068" s="108" t="s">
        <v>15990</v>
      </c>
      <c r="B1068" s="108" t="s">
        <v>16019</v>
      </c>
      <c r="C1068" s="109">
        <v>46035</v>
      </c>
      <c r="D1068" s="108"/>
      <c r="E1068" s="108" t="s">
        <v>14605</v>
      </c>
      <c r="F1068" s="108" t="s">
        <v>5125</v>
      </c>
      <c r="G1068" s="110"/>
      <c r="H1068" s="108"/>
      <c r="I1068" s="108"/>
    </row>
    <row r="1069" spans="1:9">
      <c r="A1069" s="108" t="s">
        <v>15990</v>
      </c>
      <c r="B1069" s="108" t="s">
        <v>16020</v>
      </c>
      <c r="C1069" s="109">
        <v>46098</v>
      </c>
      <c r="D1069" s="108"/>
      <c r="E1069" s="108" t="s">
        <v>14605</v>
      </c>
      <c r="F1069" s="108" t="s">
        <v>895</v>
      </c>
      <c r="G1069" s="110"/>
      <c r="H1069" s="108"/>
      <c r="I1069" s="108"/>
    </row>
    <row r="1070" spans="1:9" ht="27.6">
      <c r="A1070" s="108" t="s">
        <v>503</v>
      </c>
      <c r="B1070" s="108" t="s">
        <v>16021</v>
      </c>
      <c r="C1070" s="109">
        <v>46105</v>
      </c>
      <c r="D1070" s="108"/>
      <c r="E1070" s="108" t="s">
        <v>14605</v>
      </c>
      <c r="F1070" s="108" t="s">
        <v>4685</v>
      </c>
      <c r="G1070" s="110"/>
      <c r="H1070" s="108"/>
      <c r="I1070" s="108"/>
    </row>
    <row r="1071" spans="1:9">
      <c r="A1071" s="108" t="s">
        <v>15990</v>
      </c>
      <c r="B1071" s="108" t="s">
        <v>16022</v>
      </c>
      <c r="C1071" s="109">
        <v>46199</v>
      </c>
      <c r="D1071" s="108"/>
      <c r="E1071" s="108" t="s">
        <v>14605</v>
      </c>
      <c r="F1071" s="108" t="s">
        <v>4732</v>
      </c>
      <c r="G1071" s="110"/>
      <c r="H1071" s="108"/>
      <c r="I1071" s="108"/>
    </row>
    <row r="1072" spans="1:9">
      <c r="A1072" s="108" t="s">
        <v>503</v>
      </c>
      <c r="B1072" s="108" t="s">
        <v>16023</v>
      </c>
      <c r="C1072" s="109">
        <v>46163</v>
      </c>
      <c r="D1072" s="108"/>
      <c r="E1072" s="108" t="s">
        <v>14605</v>
      </c>
      <c r="F1072" s="108" t="s">
        <v>5145</v>
      </c>
      <c r="G1072" s="110"/>
      <c r="H1072" s="108"/>
      <c r="I1072" s="108"/>
    </row>
    <row r="1073" spans="1:9">
      <c r="A1073" s="108" t="s">
        <v>15990</v>
      </c>
      <c r="B1073" s="108" t="s">
        <v>16024</v>
      </c>
      <c r="C1073" s="109">
        <v>46143</v>
      </c>
      <c r="D1073" s="108"/>
      <c r="E1073" s="108" t="s">
        <v>14605</v>
      </c>
      <c r="F1073" s="108" t="s">
        <v>14764</v>
      </c>
      <c r="G1073" s="110"/>
      <c r="H1073" s="108"/>
      <c r="I1073" s="108"/>
    </row>
    <row r="1074" spans="1:9">
      <c r="A1074" s="108" t="s">
        <v>15990</v>
      </c>
      <c r="B1074" s="108" t="s">
        <v>16025</v>
      </c>
      <c r="C1074" s="109">
        <v>46268</v>
      </c>
      <c r="D1074" s="108"/>
      <c r="E1074" s="108" t="s">
        <v>14605</v>
      </c>
      <c r="F1074" s="108" t="s">
        <v>4818</v>
      </c>
      <c r="G1074" s="110"/>
      <c r="H1074" s="108"/>
      <c r="I1074" s="108"/>
    </row>
    <row r="1075" spans="1:9">
      <c r="A1075" s="108" t="s">
        <v>503</v>
      </c>
      <c r="B1075" s="108" t="s">
        <v>16026</v>
      </c>
      <c r="C1075" s="109">
        <v>46203</v>
      </c>
      <c r="D1075" s="108"/>
      <c r="E1075" s="108" t="s">
        <v>14605</v>
      </c>
      <c r="F1075" s="108" t="s">
        <v>2379</v>
      </c>
      <c r="G1075" s="110"/>
      <c r="H1075" s="108"/>
      <c r="I1075" s="108"/>
    </row>
    <row r="1076" spans="1:9">
      <c r="A1076" s="108" t="s">
        <v>15990</v>
      </c>
      <c r="B1076" s="108" t="s">
        <v>16027</v>
      </c>
      <c r="C1076" s="109">
        <v>46244</v>
      </c>
      <c r="D1076" s="108"/>
      <c r="E1076" s="108" t="s">
        <v>14605</v>
      </c>
      <c r="F1076" s="108" t="s">
        <v>5298</v>
      </c>
      <c r="G1076" s="110"/>
      <c r="H1076" s="108"/>
      <c r="I1076" s="108"/>
    </row>
    <row r="1077" spans="1:9">
      <c r="A1077" s="108" t="s">
        <v>15990</v>
      </c>
      <c r="B1077" s="108" t="s">
        <v>16028</v>
      </c>
      <c r="C1077" s="109">
        <v>46247</v>
      </c>
      <c r="D1077" s="108"/>
      <c r="E1077" s="108" t="s">
        <v>14605</v>
      </c>
      <c r="F1077" s="108" t="s">
        <v>5145</v>
      </c>
      <c r="G1077" s="110"/>
      <c r="H1077" s="108"/>
      <c r="I1077" s="108"/>
    </row>
    <row r="1078" spans="1:9">
      <c r="A1078" s="108" t="s">
        <v>15990</v>
      </c>
      <c r="B1078" s="108" t="s">
        <v>16029</v>
      </c>
      <c r="C1078" s="109">
        <v>46253</v>
      </c>
      <c r="D1078" s="108"/>
      <c r="E1078" s="108" t="s">
        <v>14605</v>
      </c>
      <c r="F1078" s="108" t="s">
        <v>2552</v>
      </c>
      <c r="G1078" s="110"/>
      <c r="H1078" s="108"/>
      <c r="I1078" s="108"/>
    </row>
    <row r="1079" spans="1:9" ht="27.6">
      <c r="A1079" s="108" t="s">
        <v>244</v>
      </c>
      <c r="B1079" s="108" t="s">
        <v>16030</v>
      </c>
      <c r="C1079" s="109">
        <v>46255</v>
      </c>
      <c r="D1079" s="108"/>
      <c r="E1079" s="108" t="s">
        <v>14605</v>
      </c>
      <c r="F1079" s="108" t="s">
        <v>4835</v>
      </c>
      <c r="G1079" s="110"/>
      <c r="H1079" s="108"/>
      <c r="I1079" s="108"/>
    </row>
    <row r="1080" spans="1:9">
      <c r="A1080" s="108" t="s">
        <v>8401</v>
      </c>
      <c r="B1080" s="108" t="s">
        <v>16031</v>
      </c>
      <c r="C1080" s="109">
        <v>46268</v>
      </c>
      <c r="D1080" s="108"/>
      <c r="E1080" s="108" t="s">
        <v>14605</v>
      </c>
      <c r="F1080" s="108" t="s">
        <v>5018</v>
      </c>
      <c r="G1080" s="110"/>
      <c r="H1080" s="108"/>
      <c r="I1080" s="108"/>
    </row>
    <row r="1081" spans="1:9">
      <c r="A1081" s="108" t="s">
        <v>503</v>
      </c>
      <c r="B1081" s="108" t="s">
        <v>16032</v>
      </c>
      <c r="C1081" s="109">
        <v>46245</v>
      </c>
      <c r="D1081" s="108"/>
      <c r="E1081" s="108" t="s">
        <v>14605</v>
      </c>
      <c r="F1081" s="108" t="s">
        <v>3895</v>
      </c>
      <c r="G1081" s="110"/>
      <c r="H1081" s="108"/>
      <c r="I1081" s="108"/>
    </row>
    <row r="1082" spans="1:9" ht="27.6">
      <c r="A1082" s="108" t="s">
        <v>16033</v>
      </c>
      <c r="B1082" s="108" t="s">
        <v>16034</v>
      </c>
      <c r="C1082" s="109">
        <v>46171</v>
      </c>
      <c r="D1082" s="108"/>
      <c r="E1082" s="108" t="s">
        <v>14605</v>
      </c>
      <c r="F1082" s="108" t="s">
        <v>16035</v>
      </c>
      <c r="G1082" s="110"/>
      <c r="H1082" s="108"/>
      <c r="I1082" s="108"/>
    </row>
    <row r="1083" spans="1:9">
      <c r="A1083" s="108" t="s">
        <v>14945</v>
      </c>
      <c r="B1083" s="108" t="s">
        <v>16036</v>
      </c>
      <c r="C1083" s="109">
        <v>40200</v>
      </c>
      <c r="D1083" s="108"/>
      <c r="E1083" s="108" t="s">
        <v>14605</v>
      </c>
      <c r="F1083" s="108" t="s">
        <v>2924</v>
      </c>
      <c r="G1083" s="110"/>
      <c r="H1083" s="108"/>
      <c r="I1083" s="108"/>
    </row>
    <row r="1084" spans="1:9" ht="27.6">
      <c r="A1084" s="108" t="s">
        <v>16037</v>
      </c>
      <c r="B1084" s="108" t="s">
        <v>16038</v>
      </c>
      <c r="C1084" s="109">
        <v>45952</v>
      </c>
      <c r="D1084" s="108"/>
      <c r="E1084" s="108" t="s">
        <v>14605</v>
      </c>
      <c r="F1084" s="108" t="s">
        <v>3333</v>
      </c>
      <c r="G1084" s="110"/>
      <c r="H1084" s="108"/>
      <c r="I1084" s="108"/>
    </row>
    <row r="1085" spans="1:9" ht="27.6">
      <c r="A1085" s="108" t="s">
        <v>109</v>
      </c>
      <c r="B1085" s="108" t="s">
        <v>16039</v>
      </c>
      <c r="C1085" s="109">
        <v>45924</v>
      </c>
      <c r="D1085" s="108"/>
      <c r="E1085" s="108" t="s">
        <v>14605</v>
      </c>
      <c r="F1085" s="108" t="s">
        <v>16040</v>
      </c>
      <c r="G1085" s="110"/>
      <c r="H1085" s="108"/>
      <c r="I1085" s="108"/>
    </row>
    <row r="1086" spans="1:9" ht="27.6">
      <c r="A1086" s="108" t="s">
        <v>109</v>
      </c>
      <c r="B1086" s="108" t="s">
        <v>16041</v>
      </c>
      <c r="C1086" s="109">
        <v>45940</v>
      </c>
      <c r="D1086" s="108"/>
      <c r="E1086" s="108" t="s">
        <v>14605</v>
      </c>
      <c r="F1086" s="108" t="s">
        <v>3056</v>
      </c>
      <c r="G1086" s="110"/>
      <c r="H1086" s="108"/>
      <c r="I1086" s="108"/>
    </row>
    <row r="1087" spans="1:9" ht="27.6">
      <c r="A1087" s="108" t="s">
        <v>250</v>
      </c>
      <c r="B1087" s="108" t="s">
        <v>16042</v>
      </c>
      <c r="C1087" s="109">
        <v>46006</v>
      </c>
      <c r="D1087" s="108"/>
      <c r="E1087" s="108" t="s">
        <v>14605</v>
      </c>
      <c r="F1087" s="108" t="s">
        <v>1470</v>
      </c>
      <c r="G1087" s="110"/>
      <c r="H1087" s="108"/>
      <c r="I1087" s="108"/>
    </row>
    <row r="1088" spans="1:9" ht="27.6">
      <c r="A1088" s="108" t="s">
        <v>109</v>
      </c>
      <c r="B1088" s="108" t="s">
        <v>16043</v>
      </c>
      <c r="C1088" s="109">
        <v>45937</v>
      </c>
      <c r="D1088" s="108"/>
      <c r="E1088" s="108" t="s">
        <v>14605</v>
      </c>
      <c r="F1088" s="108" t="s">
        <v>2431</v>
      </c>
      <c r="G1088" s="110"/>
      <c r="H1088" s="108"/>
      <c r="I1088" s="108"/>
    </row>
    <row r="1089" spans="1:9" ht="27.6">
      <c r="A1089" s="108" t="s">
        <v>109</v>
      </c>
      <c r="B1089" s="108" t="s">
        <v>16044</v>
      </c>
      <c r="C1089" s="109">
        <v>46002</v>
      </c>
      <c r="D1089" s="108"/>
      <c r="E1089" s="108" t="s">
        <v>14605</v>
      </c>
      <c r="F1089" s="108" t="s">
        <v>16045</v>
      </c>
      <c r="G1089" s="110"/>
      <c r="H1089" s="108"/>
      <c r="I1089" s="108"/>
    </row>
    <row r="1090" spans="1:9" ht="27.6">
      <c r="A1090" s="108" t="s">
        <v>109</v>
      </c>
      <c r="B1090" s="108" t="s">
        <v>16046</v>
      </c>
      <c r="C1090" s="109">
        <v>45938</v>
      </c>
      <c r="D1090" s="108"/>
      <c r="E1090" s="108" t="s">
        <v>14605</v>
      </c>
      <c r="F1090" s="108" t="s">
        <v>966</v>
      </c>
      <c r="G1090" s="110"/>
      <c r="H1090" s="108"/>
      <c r="I1090" s="108"/>
    </row>
    <row r="1091" spans="1:9" ht="27.6">
      <c r="A1091" s="108" t="s">
        <v>109</v>
      </c>
      <c r="B1091" s="108" t="s">
        <v>16047</v>
      </c>
      <c r="C1091" s="109">
        <v>46239</v>
      </c>
      <c r="D1091" s="108"/>
      <c r="E1091" s="108" t="s">
        <v>14605</v>
      </c>
      <c r="F1091" s="108" t="s">
        <v>16048</v>
      </c>
      <c r="G1091" s="110"/>
      <c r="H1091" s="108"/>
      <c r="I1091" s="108"/>
    </row>
    <row r="1092" spans="1:9" ht="27.6">
      <c r="A1092" s="108" t="s">
        <v>109</v>
      </c>
      <c r="B1092" s="108" t="s">
        <v>16049</v>
      </c>
      <c r="C1092" s="109">
        <v>46030</v>
      </c>
      <c r="D1092" s="108"/>
      <c r="E1092" s="108" t="s">
        <v>14605</v>
      </c>
      <c r="F1092" s="108" t="s">
        <v>14738</v>
      </c>
      <c r="G1092" s="110"/>
      <c r="H1092" s="108"/>
      <c r="I1092" s="108"/>
    </row>
    <row r="1093" spans="1:9" ht="27.6">
      <c r="A1093" s="108" t="s">
        <v>109</v>
      </c>
      <c r="B1093" s="108" t="s">
        <v>16050</v>
      </c>
      <c r="C1093" s="109">
        <v>46161</v>
      </c>
      <c r="D1093" s="108"/>
      <c r="E1093" s="108" t="s">
        <v>14605</v>
      </c>
      <c r="F1093" s="108" t="s">
        <v>16051</v>
      </c>
      <c r="G1093" s="110"/>
      <c r="H1093" s="108"/>
      <c r="I1093" s="108"/>
    </row>
    <row r="1094" spans="1:9" ht="27.6">
      <c r="A1094" s="108" t="s">
        <v>109</v>
      </c>
      <c r="B1094" s="108" t="s">
        <v>16052</v>
      </c>
      <c r="C1094" s="109">
        <v>46044</v>
      </c>
      <c r="D1094" s="108"/>
      <c r="E1094" s="108" t="s">
        <v>14605</v>
      </c>
      <c r="F1094" s="108" t="s">
        <v>1033</v>
      </c>
      <c r="G1094" s="110"/>
      <c r="H1094" s="108"/>
      <c r="I1094" s="108"/>
    </row>
    <row r="1095" spans="1:9" ht="27.6">
      <c r="A1095" s="108" t="s">
        <v>109</v>
      </c>
      <c r="B1095" s="108" t="s">
        <v>16053</v>
      </c>
      <c r="C1095" s="109">
        <v>46178</v>
      </c>
      <c r="D1095" s="108"/>
      <c r="E1095" s="108" t="s">
        <v>14605</v>
      </c>
      <c r="F1095" s="108" t="s">
        <v>4835</v>
      </c>
      <c r="G1095" s="110"/>
      <c r="H1095" s="108"/>
      <c r="I1095" s="108"/>
    </row>
    <row r="1096" spans="1:9" ht="27.6">
      <c r="A1096" s="108" t="s">
        <v>8247</v>
      </c>
      <c r="B1096" s="108" t="s">
        <v>16054</v>
      </c>
      <c r="C1096" s="109">
        <v>46098</v>
      </c>
      <c r="D1096" s="108"/>
      <c r="E1096" s="108" t="s">
        <v>14605</v>
      </c>
      <c r="F1096" s="108" t="s">
        <v>16055</v>
      </c>
      <c r="G1096" s="110"/>
      <c r="H1096" s="108"/>
      <c r="I1096" s="108"/>
    </row>
    <row r="1097" spans="1:9" ht="27.6">
      <c r="A1097" s="108" t="s">
        <v>109</v>
      </c>
      <c r="B1097" s="108" t="s">
        <v>16056</v>
      </c>
      <c r="C1097" s="109">
        <v>45967</v>
      </c>
      <c r="D1097" s="108"/>
      <c r="E1097" s="108" t="s">
        <v>14605</v>
      </c>
      <c r="F1097" s="108" t="s">
        <v>1370</v>
      </c>
      <c r="G1097" s="110"/>
      <c r="H1097" s="108"/>
      <c r="I1097" s="108"/>
    </row>
    <row r="1098" spans="1:9" ht="27.6">
      <c r="A1098" s="108" t="s">
        <v>1072</v>
      </c>
      <c r="B1098" s="108" t="s">
        <v>16057</v>
      </c>
      <c r="C1098" s="109">
        <v>45952</v>
      </c>
      <c r="D1098" s="108"/>
      <c r="E1098" s="108" t="s">
        <v>14605</v>
      </c>
      <c r="F1098" s="108" t="s">
        <v>16058</v>
      </c>
      <c r="G1098" s="110"/>
      <c r="H1098" s="108"/>
      <c r="I1098" s="108"/>
    </row>
    <row r="1099" spans="1:9" ht="27.6">
      <c r="A1099" s="108" t="s">
        <v>109</v>
      </c>
      <c r="B1099" s="108" t="s">
        <v>16059</v>
      </c>
      <c r="C1099" s="109">
        <v>46049</v>
      </c>
      <c r="D1099" s="108"/>
      <c r="E1099" s="108" t="s">
        <v>14605</v>
      </c>
      <c r="F1099" s="108" t="s">
        <v>15942</v>
      </c>
      <c r="G1099" s="110"/>
      <c r="H1099" s="108"/>
      <c r="I1099" s="108"/>
    </row>
    <row r="1100" spans="1:9" ht="27.6">
      <c r="A1100" s="108" t="s">
        <v>109</v>
      </c>
      <c r="B1100" s="108" t="s">
        <v>16060</v>
      </c>
      <c r="C1100" s="109">
        <v>46112</v>
      </c>
      <c r="D1100" s="108"/>
      <c r="E1100" s="108" t="s">
        <v>14605</v>
      </c>
      <c r="F1100" s="108" t="s">
        <v>16061</v>
      </c>
      <c r="G1100" s="110"/>
      <c r="H1100" s="108"/>
      <c r="I1100" s="108"/>
    </row>
    <row r="1101" spans="1:9" ht="27.6">
      <c r="A1101" s="108" t="s">
        <v>250</v>
      </c>
      <c r="B1101" s="108" t="s">
        <v>16062</v>
      </c>
      <c r="C1101" s="109">
        <v>46162</v>
      </c>
      <c r="D1101" s="108"/>
      <c r="E1101" s="108" t="s">
        <v>14605</v>
      </c>
      <c r="F1101" s="108" t="s">
        <v>15989</v>
      </c>
      <c r="G1101" s="110"/>
      <c r="H1101" s="108"/>
      <c r="I1101" s="108"/>
    </row>
    <row r="1102" spans="1:9" ht="27.6">
      <c r="A1102" s="108" t="s">
        <v>250</v>
      </c>
      <c r="B1102" s="108" t="s">
        <v>16063</v>
      </c>
      <c r="C1102" s="109">
        <v>46123</v>
      </c>
      <c r="D1102" s="108"/>
      <c r="E1102" s="108" t="s">
        <v>14605</v>
      </c>
      <c r="F1102" s="108" t="s">
        <v>1066</v>
      </c>
      <c r="G1102" s="110"/>
      <c r="H1102" s="108"/>
      <c r="I1102" s="108"/>
    </row>
    <row r="1103" spans="1:9" ht="27.6">
      <c r="A1103" s="108" t="s">
        <v>250</v>
      </c>
      <c r="B1103" s="108" t="s">
        <v>16064</v>
      </c>
      <c r="C1103" s="109">
        <v>46199</v>
      </c>
      <c r="D1103" s="108"/>
      <c r="E1103" s="108" t="s">
        <v>14605</v>
      </c>
      <c r="F1103" s="108" t="s">
        <v>16065</v>
      </c>
      <c r="G1103" s="110"/>
      <c r="H1103" s="108"/>
      <c r="I1103" s="108"/>
    </row>
    <row r="1104" spans="1:9" ht="27.6">
      <c r="A1104" s="108" t="s">
        <v>16037</v>
      </c>
      <c r="B1104" s="108" t="s">
        <v>16066</v>
      </c>
      <c r="C1104" s="109">
        <v>46007</v>
      </c>
      <c r="D1104" s="108"/>
      <c r="E1104" s="108" t="s">
        <v>14605</v>
      </c>
      <c r="F1104" s="108" t="s">
        <v>749</v>
      </c>
      <c r="G1104" s="110"/>
      <c r="H1104" s="108"/>
      <c r="I1104" s="108"/>
    </row>
    <row r="1105" spans="1:9" ht="27.6">
      <c r="A1105" s="108" t="s">
        <v>250</v>
      </c>
      <c r="B1105" s="108" t="s">
        <v>16067</v>
      </c>
      <c r="C1105" s="109">
        <v>46204</v>
      </c>
      <c r="D1105" s="108"/>
      <c r="E1105" s="108" t="s">
        <v>14605</v>
      </c>
      <c r="F1105" s="108" t="s">
        <v>15355</v>
      </c>
      <c r="G1105" s="110"/>
      <c r="H1105" s="108"/>
      <c r="I1105" s="108"/>
    </row>
    <row r="1106" spans="1:9">
      <c r="A1106" s="108" t="s">
        <v>244</v>
      </c>
      <c r="B1106" s="108" t="s">
        <v>16068</v>
      </c>
      <c r="C1106" s="109">
        <v>45910</v>
      </c>
      <c r="D1106" s="108"/>
      <c r="E1106" s="108" t="s">
        <v>14605</v>
      </c>
      <c r="F1106" s="108" t="s">
        <v>15287</v>
      </c>
      <c r="G1106" s="110"/>
      <c r="H1106" s="108"/>
      <c r="I1106" s="108"/>
    </row>
    <row r="1107" spans="1:9">
      <c r="A1107" s="108" t="s">
        <v>15990</v>
      </c>
      <c r="B1107" s="108" t="s">
        <v>16069</v>
      </c>
      <c r="C1107" s="109">
        <v>46100</v>
      </c>
      <c r="D1107" s="108"/>
      <c r="E1107" s="108" t="s">
        <v>14605</v>
      </c>
      <c r="F1107" s="108" t="s">
        <v>15775</v>
      </c>
      <c r="G1107" s="110"/>
      <c r="H1107" s="108"/>
      <c r="I1107" s="108"/>
    </row>
    <row r="1108" spans="1:9" ht="27.6">
      <c r="A1108" s="108" t="s">
        <v>15990</v>
      </c>
      <c r="B1108" s="108" t="s">
        <v>16070</v>
      </c>
      <c r="C1108" s="109">
        <v>45958</v>
      </c>
      <c r="D1108" s="108"/>
      <c r="E1108" s="108" t="s">
        <v>14605</v>
      </c>
      <c r="F1108" s="108" t="s">
        <v>15299</v>
      </c>
      <c r="G1108" s="110"/>
      <c r="H1108" s="108"/>
      <c r="I1108" s="108"/>
    </row>
    <row r="1109" spans="1:9">
      <c r="A1109" s="108" t="s">
        <v>8413</v>
      </c>
      <c r="B1109" s="108" t="s">
        <v>16071</v>
      </c>
      <c r="C1109" s="109">
        <v>46240</v>
      </c>
      <c r="D1109" s="108"/>
      <c r="E1109" s="108" t="s">
        <v>14605</v>
      </c>
      <c r="F1109" s="108" t="s">
        <v>16048</v>
      </c>
      <c r="G1109" s="110"/>
      <c r="H1109" s="108"/>
      <c r="I1109" s="108"/>
    </row>
    <row r="1110" spans="1:9" ht="27.6">
      <c r="A1110" s="108" t="s">
        <v>15990</v>
      </c>
      <c r="B1110" s="108" t="s">
        <v>16072</v>
      </c>
      <c r="C1110" s="109">
        <v>46206</v>
      </c>
      <c r="D1110" s="108"/>
      <c r="E1110" s="108" t="s">
        <v>14605</v>
      </c>
      <c r="F1110" s="108" t="s">
        <v>15338</v>
      </c>
      <c r="G1110" s="110"/>
      <c r="H1110" s="108"/>
      <c r="I1110" s="108"/>
    </row>
    <row r="1111" spans="1:9" ht="27.6">
      <c r="A1111" s="108" t="s">
        <v>244</v>
      </c>
      <c r="B1111" s="108" t="s">
        <v>16073</v>
      </c>
      <c r="C1111" s="109">
        <v>46016</v>
      </c>
      <c r="D1111" s="108"/>
      <c r="E1111" s="108" t="s">
        <v>14605</v>
      </c>
      <c r="F1111" s="108" t="s">
        <v>15038</v>
      </c>
      <c r="G1111" s="110"/>
      <c r="H1111" s="108"/>
      <c r="I1111" s="108"/>
    </row>
    <row r="1112" spans="1:9">
      <c r="A1112" s="108" t="s">
        <v>15990</v>
      </c>
      <c r="B1112" s="108" t="s">
        <v>16074</v>
      </c>
      <c r="C1112" s="109">
        <v>46055</v>
      </c>
      <c r="D1112" s="108"/>
      <c r="E1112" s="108" t="s">
        <v>14605</v>
      </c>
      <c r="F1112" s="108" t="s">
        <v>15065</v>
      </c>
      <c r="G1112" s="110"/>
      <c r="H1112" s="108"/>
      <c r="I1112" s="108"/>
    </row>
    <row r="1113" spans="1:9" ht="27.6">
      <c r="A1113" s="108" t="s">
        <v>8413</v>
      </c>
      <c r="B1113" s="108" t="s">
        <v>16075</v>
      </c>
      <c r="C1113" s="109">
        <v>46053</v>
      </c>
      <c r="D1113" s="108"/>
      <c r="E1113" s="108" t="s">
        <v>14605</v>
      </c>
      <c r="F1113" s="108" t="s">
        <v>15048</v>
      </c>
      <c r="G1113" s="110"/>
      <c r="H1113" s="108"/>
      <c r="I1113" s="108"/>
    </row>
    <row r="1114" spans="1:9" ht="27.6">
      <c r="A1114" s="108" t="s">
        <v>503</v>
      </c>
      <c r="B1114" s="108" t="s">
        <v>16076</v>
      </c>
      <c r="C1114" s="109">
        <v>46109</v>
      </c>
      <c r="D1114" s="108"/>
      <c r="E1114" s="108" t="s">
        <v>14605</v>
      </c>
      <c r="F1114" s="108" t="s">
        <v>15299</v>
      </c>
      <c r="G1114" s="110"/>
      <c r="H1114" s="108"/>
      <c r="I1114" s="108"/>
    </row>
    <row r="1115" spans="1:9" ht="27.6">
      <c r="A1115" s="108" t="s">
        <v>503</v>
      </c>
      <c r="B1115" s="108" t="s">
        <v>16077</v>
      </c>
      <c r="C1115" s="109">
        <v>46105</v>
      </c>
      <c r="D1115" s="108"/>
      <c r="E1115" s="108" t="s">
        <v>14605</v>
      </c>
      <c r="F1115" s="108" t="s">
        <v>15338</v>
      </c>
      <c r="G1115" s="110"/>
      <c r="H1115" s="108"/>
      <c r="I1115" s="108"/>
    </row>
    <row r="1116" spans="1:9">
      <c r="A1116" s="108" t="s">
        <v>15990</v>
      </c>
      <c r="B1116" s="108" t="s">
        <v>16078</v>
      </c>
      <c r="C1116" s="109">
        <v>46114</v>
      </c>
      <c r="D1116" s="108"/>
      <c r="E1116" s="108" t="s">
        <v>14605</v>
      </c>
      <c r="F1116" s="108" t="s">
        <v>15065</v>
      </c>
      <c r="G1116" s="110"/>
      <c r="H1116" s="108"/>
      <c r="I1116" s="108"/>
    </row>
    <row r="1117" spans="1:9" ht="27.6">
      <c r="A1117" s="108" t="s">
        <v>244</v>
      </c>
      <c r="B1117" s="108" t="s">
        <v>16079</v>
      </c>
      <c r="C1117" s="109">
        <v>46169</v>
      </c>
      <c r="D1117" s="108"/>
      <c r="E1117" s="108" t="s">
        <v>14605</v>
      </c>
      <c r="F1117" s="108" t="s">
        <v>16080</v>
      </c>
      <c r="G1117" s="110"/>
      <c r="H1117" s="108"/>
      <c r="I1117" s="108"/>
    </row>
    <row r="1118" spans="1:9" ht="27.6">
      <c r="A1118" s="108" t="s">
        <v>244</v>
      </c>
      <c r="B1118" s="108" t="s">
        <v>16081</v>
      </c>
      <c r="C1118" s="109">
        <v>46184</v>
      </c>
      <c r="D1118" s="108"/>
      <c r="E1118" s="108" t="s">
        <v>14605</v>
      </c>
      <c r="F1118" s="108" t="s">
        <v>14972</v>
      </c>
      <c r="G1118" s="110"/>
      <c r="H1118" s="108"/>
      <c r="I1118" s="108"/>
    </row>
    <row r="1119" spans="1:9">
      <c r="A1119" s="108" t="s">
        <v>8413</v>
      </c>
      <c r="B1119" s="108" t="s">
        <v>16082</v>
      </c>
      <c r="C1119" s="109">
        <v>46228</v>
      </c>
      <c r="D1119" s="108"/>
      <c r="E1119" s="108" t="s">
        <v>14605</v>
      </c>
      <c r="F1119" s="108" t="s">
        <v>16083</v>
      </c>
      <c r="G1119" s="110"/>
      <c r="H1119" s="108"/>
      <c r="I1119" s="108"/>
    </row>
    <row r="1120" spans="1:9" ht="27.6">
      <c r="A1120" s="108" t="s">
        <v>15990</v>
      </c>
      <c r="B1120" s="108" t="s">
        <v>16084</v>
      </c>
      <c r="C1120" s="109">
        <v>46227</v>
      </c>
      <c r="D1120" s="108"/>
      <c r="E1120" s="108" t="s">
        <v>14605</v>
      </c>
      <c r="F1120" s="108" t="s">
        <v>16085</v>
      </c>
      <c r="G1120" s="110"/>
      <c r="H1120" s="108"/>
      <c r="I1120" s="108"/>
    </row>
    <row r="1121" spans="1:9">
      <c r="A1121" s="108" t="s">
        <v>15990</v>
      </c>
      <c r="B1121" s="108" t="s">
        <v>16086</v>
      </c>
      <c r="C1121" s="109">
        <v>45925</v>
      </c>
      <c r="D1121" s="108"/>
      <c r="E1121" s="108" t="s">
        <v>14605</v>
      </c>
      <c r="F1121" s="108" t="s">
        <v>16087</v>
      </c>
      <c r="G1121" s="110"/>
      <c r="H1121" s="108"/>
      <c r="I1121" s="108"/>
    </row>
    <row r="1122" spans="1:9">
      <c r="A1122" s="108" t="s">
        <v>15990</v>
      </c>
      <c r="B1122" s="108" t="s">
        <v>16088</v>
      </c>
      <c r="C1122" s="109">
        <v>46015</v>
      </c>
      <c r="D1122" s="108"/>
      <c r="E1122" s="108" t="s">
        <v>14605</v>
      </c>
      <c r="F1122" s="108" t="s">
        <v>16089</v>
      </c>
      <c r="G1122" s="110"/>
      <c r="H1122" s="108"/>
      <c r="I1122" s="108"/>
    </row>
    <row r="1123" spans="1:9">
      <c r="A1123" s="108" t="s">
        <v>15990</v>
      </c>
      <c r="B1123" s="108" t="s">
        <v>16090</v>
      </c>
      <c r="C1123" s="109">
        <v>45968</v>
      </c>
      <c r="D1123" s="108"/>
      <c r="E1123" s="108" t="s">
        <v>14605</v>
      </c>
      <c r="F1123" s="108" t="s">
        <v>15349</v>
      </c>
      <c r="G1123" s="110"/>
      <c r="H1123" s="108"/>
      <c r="I1123" s="108"/>
    </row>
    <row r="1124" spans="1:9" ht="27.6">
      <c r="A1124" s="108" t="s">
        <v>15990</v>
      </c>
      <c r="B1124" s="108" t="s">
        <v>16091</v>
      </c>
      <c r="C1124" s="109">
        <v>45966</v>
      </c>
      <c r="D1124" s="108"/>
      <c r="E1124" s="108" t="s">
        <v>14605</v>
      </c>
      <c r="F1124" s="108" t="s">
        <v>16092</v>
      </c>
      <c r="G1124" s="110"/>
      <c r="H1124" s="108"/>
      <c r="I1124" s="108"/>
    </row>
    <row r="1125" spans="1:9">
      <c r="A1125" s="108" t="s">
        <v>244</v>
      </c>
      <c r="B1125" s="108" t="s">
        <v>16093</v>
      </c>
      <c r="C1125" s="109">
        <v>46014</v>
      </c>
      <c r="D1125" s="108"/>
      <c r="E1125" s="108" t="s">
        <v>14605</v>
      </c>
      <c r="F1125" s="108" t="s">
        <v>16051</v>
      </c>
      <c r="G1125" s="110"/>
      <c r="H1125" s="108"/>
      <c r="I1125" s="108"/>
    </row>
    <row r="1126" spans="1:9">
      <c r="A1126" s="108" t="s">
        <v>503</v>
      </c>
      <c r="B1126" s="108" t="s">
        <v>16094</v>
      </c>
      <c r="C1126" s="109">
        <v>45948</v>
      </c>
      <c r="D1126" s="108"/>
      <c r="E1126" s="108" t="s">
        <v>14605</v>
      </c>
      <c r="F1126" s="108" t="s">
        <v>15069</v>
      </c>
      <c r="G1126" s="110"/>
      <c r="H1126" s="108"/>
      <c r="I1126" s="108"/>
    </row>
    <row r="1127" spans="1:9" ht="27.6">
      <c r="A1127" s="108" t="s">
        <v>244</v>
      </c>
      <c r="B1127" s="108" t="s">
        <v>16095</v>
      </c>
      <c r="C1127" s="109">
        <v>45994</v>
      </c>
      <c r="D1127" s="108"/>
      <c r="E1127" s="108" t="s">
        <v>14605</v>
      </c>
      <c r="F1127" s="108" t="s">
        <v>16096</v>
      </c>
      <c r="G1127" s="110"/>
      <c r="H1127" s="108"/>
      <c r="I1127" s="108"/>
    </row>
    <row r="1128" spans="1:9" ht="27.6">
      <c r="A1128" s="108" t="s">
        <v>15990</v>
      </c>
      <c r="B1128" s="108" t="s">
        <v>16097</v>
      </c>
      <c r="C1128" s="109">
        <v>46056</v>
      </c>
      <c r="D1128" s="108"/>
      <c r="E1128" s="108" t="s">
        <v>14605</v>
      </c>
      <c r="F1128" s="108" t="s">
        <v>15772</v>
      </c>
      <c r="G1128" s="110"/>
      <c r="H1128" s="108"/>
      <c r="I1128" s="108"/>
    </row>
    <row r="1129" spans="1:9" ht="27.6">
      <c r="A1129" s="108" t="s">
        <v>15990</v>
      </c>
      <c r="B1129" s="108" t="s">
        <v>16098</v>
      </c>
      <c r="C1129" s="109">
        <v>45959</v>
      </c>
      <c r="D1129" s="108"/>
      <c r="E1129" s="108" t="s">
        <v>14605</v>
      </c>
      <c r="F1129" s="108" t="s">
        <v>16099</v>
      </c>
      <c r="G1129" s="110"/>
      <c r="H1129" s="108"/>
      <c r="I1129" s="108"/>
    </row>
    <row r="1130" spans="1:9" ht="27.6">
      <c r="A1130" s="108" t="s">
        <v>15990</v>
      </c>
      <c r="B1130" s="108" t="s">
        <v>16100</v>
      </c>
      <c r="C1130" s="109">
        <v>46111</v>
      </c>
      <c r="D1130" s="108"/>
      <c r="E1130" s="108" t="s">
        <v>14605</v>
      </c>
      <c r="F1130" s="108" t="s">
        <v>15778</v>
      </c>
      <c r="G1130" s="110"/>
      <c r="H1130" s="108"/>
      <c r="I1130" s="108"/>
    </row>
    <row r="1131" spans="1:9">
      <c r="A1131" s="108" t="s">
        <v>1568</v>
      </c>
      <c r="B1131" s="108" t="s">
        <v>16101</v>
      </c>
      <c r="C1131" s="109">
        <v>46010</v>
      </c>
      <c r="D1131" s="108"/>
      <c r="E1131" s="108" t="s">
        <v>14605</v>
      </c>
      <c r="F1131" s="108" t="s">
        <v>14689</v>
      </c>
      <c r="G1131" s="110"/>
      <c r="H1131" s="108"/>
      <c r="I1131" s="108"/>
    </row>
    <row r="1132" spans="1:9" ht="27.6">
      <c r="A1132" s="108" t="s">
        <v>503</v>
      </c>
      <c r="B1132" s="108" t="s">
        <v>16102</v>
      </c>
      <c r="C1132" s="109">
        <v>46100</v>
      </c>
      <c r="D1132" s="108"/>
      <c r="E1132" s="108" t="s">
        <v>14605</v>
      </c>
      <c r="F1132" s="108" t="s">
        <v>16103</v>
      </c>
      <c r="G1132" s="110"/>
      <c r="H1132" s="108"/>
      <c r="I1132" s="108"/>
    </row>
    <row r="1133" spans="1:9">
      <c r="A1133" s="108" t="s">
        <v>503</v>
      </c>
      <c r="B1133" s="108" t="s">
        <v>16104</v>
      </c>
      <c r="C1133" s="109">
        <v>46113</v>
      </c>
      <c r="D1133" s="108"/>
      <c r="E1133" s="108" t="s">
        <v>14605</v>
      </c>
      <c r="F1133" s="108" t="s">
        <v>16105</v>
      </c>
      <c r="G1133" s="110"/>
      <c r="H1133" s="108"/>
      <c r="I1133" s="108"/>
    </row>
    <row r="1134" spans="1:9" ht="27.6">
      <c r="A1134" s="108" t="s">
        <v>8413</v>
      </c>
      <c r="B1134" s="108" t="s">
        <v>16106</v>
      </c>
      <c r="C1134" s="109">
        <v>45985</v>
      </c>
      <c r="D1134" s="108"/>
      <c r="E1134" s="108" t="s">
        <v>14605</v>
      </c>
      <c r="F1134" s="108" t="s">
        <v>16107</v>
      </c>
      <c r="G1134" s="110"/>
      <c r="H1134" s="108"/>
      <c r="I1134" s="108"/>
    </row>
    <row r="1135" spans="1:9" ht="27.6">
      <c r="A1135" s="108" t="s">
        <v>15990</v>
      </c>
      <c r="B1135" s="108" t="s">
        <v>16108</v>
      </c>
      <c r="C1135" s="109">
        <v>46058</v>
      </c>
      <c r="D1135" s="108"/>
      <c r="E1135" s="108" t="s">
        <v>14605</v>
      </c>
      <c r="F1135" s="108" t="s">
        <v>4958</v>
      </c>
      <c r="G1135" s="110"/>
      <c r="H1135" s="108"/>
      <c r="I1135" s="108"/>
    </row>
    <row r="1136" spans="1:9">
      <c r="A1136" s="108" t="s">
        <v>15990</v>
      </c>
      <c r="B1136" s="108" t="s">
        <v>16109</v>
      </c>
      <c r="C1136" s="109">
        <v>46083</v>
      </c>
      <c r="D1136" s="108"/>
      <c r="E1136" s="108" t="s">
        <v>14605</v>
      </c>
      <c r="F1136" s="108" t="s">
        <v>15964</v>
      </c>
      <c r="G1136" s="110"/>
      <c r="H1136" s="108"/>
      <c r="I1136" s="108"/>
    </row>
    <row r="1137" spans="1:9">
      <c r="A1137" s="108" t="s">
        <v>15990</v>
      </c>
      <c r="B1137" s="108" t="s">
        <v>16110</v>
      </c>
      <c r="C1137" s="109">
        <v>46192</v>
      </c>
      <c r="D1137" s="108"/>
      <c r="E1137" s="108" t="s">
        <v>14605</v>
      </c>
      <c r="F1137" s="108" t="s">
        <v>15942</v>
      </c>
      <c r="G1137" s="110"/>
      <c r="H1137" s="108"/>
      <c r="I1137" s="108"/>
    </row>
    <row r="1138" spans="1:9" ht="27.6">
      <c r="A1138" s="108" t="s">
        <v>244</v>
      </c>
      <c r="B1138" s="108" t="s">
        <v>16111</v>
      </c>
      <c r="C1138" s="109">
        <v>46001</v>
      </c>
      <c r="D1138" s="108"/>
      <c r="E1138" s="108" t="s">
        <v>14605</v>
      </c>
      <c r="F1138" s="108" t="s">
        <v>16112</v>
      </c>
      <c r="G1138" s="110"/>
      <c r="H1138" s="108"/>
      <c r="I1138" s="108"/>
    </row>
    <row r="1139" spans="1:9">
      <c r="A1139" s="108" t="s">
        <v>15990</v>
      </c>
      <c r="B1139" s="108" t="s">
        <v>16113</v>
      </c>
      <c r="C1139" s="109">
        <v>46239</v>
      </c>
      <c r="D1139" s="108"/>
      <c r="E1139" s="108" t="s">
        <v>14605</v>
      </c>
      <c r="F1139" s="108" t="s">
        <v>16114</v>
      </c>
      <c r="G1139" s="110"/>
      <c r="H1139" s="108"/>
      <c r="I1139" s="108"/>
    </row>
    <row r="1140" spans="1:9">
      <c r="A1140" s="108" t="s">
        <v>8413</v>
      </c>
      <c r="B1140" s="108" t="s">
        <v>16115</v>
      </c>
      <c r="C1140" s="109">
        <v>45997</v>
      </c>
      <c r="D1140" s="108"/>
      <c r="E1140" s="108" t="s">
        <v>14605</v>
      </c>
      <c r="F1140" s="108" t="s">
        <v>16116</v>
      </c>
      <c r="G1140" s="110"/>
      <c r="H1140" s="108"/>
      <c r="I1140" s="108"/>
    </row>
    <row r="1141" spans="1:9" ht="27.6">
      <c r="A1141" s="108" t="s">
        <v>15990</v>
      </c>
      <c r="B1141" s="108" t="s">
        <v>16117</v>
      </c>
      <c r="C1141" s="109">
        <v>46037</v>
      </c>
      <c r="D1141" s="108"/>
      <c r="E1141" s="108" t="s">
        <v>14605</v>
      </c>
      <c r="F1141" s="108" t="s">
        <v>16118</v>
      </c>
      <c r="G1141" s="110"/>
      <c r="H1141" s="108"/>
      <c r="I1141" s="108"/>
    </row>
    <row r="1142" spans="1:9" ht="27.6">
      <c r="A1142" s="108" t="s">
        <v>8413</v>
      </c>
      <c r="B1142" s="108" t="s">
        <v>16119</v>
      </c>
      <c r="C1142" s="109">
        <v>46039</v>
      </c>
      <c r="D1142" s="108"/>
      <c r="E1142" s="108" t="s">
        <v>14605</v>
      </c>
      <c r="F1142" s="108" t="s">
        <v>15878</v>
      </c>
      <c r="G1142" s="110"/>
      <c r="H1142" s="108"/>
      <c r="I1142" s="108"/>
    </row>
    <row r="1143" spans="1:9">
      <c r="A1143" s="108" t="s">
        <v>15990</v>
      </c>
      <c r="B1143" s="108" t="s">
        <v>16120</v>
      </c>
      <c r="C1143" s="109">
        <v>46197</v>
      </c>
      <c r="D1143" s="108"/>
      <c r="E1143" s="108" t="s">
        <v>16121</v>
      </c>
      <c r="F1143" s="108" t="s">
        <v>15824</v>
      </c>
      <c r="G1143" s="110"/>
      <c r="H1143" s="108"/>
      <c r="I1143" s="108"/>
    </row>
    <row r="1144" spans="1:9">
      <c r="A1144" s="108" t="s">
        <v>244</v>
      </c>
      <c r="B1144" s="108" t="s">
        <v>16122</v>
      </c>
      <c r="C1144" s="109">
        <v>45994</v>
      </c>
      <c r="D1144" s="108"/>
      <c r="E1144" s="108" t="s">
        <v>14605</v>
      </c>
      <c r="F1144" s="108" t="s">
        <v>16123</v>
      </c>
      <c r="G1144" s="110"/>
      <c r="H1144" s="108"/>
      <c r="I1144" s="108"/>
    </row>
    <row r="1145" spans="1:9">
      <c r="A1145" s="108" t="s">
        <v>8415</v>
      </c>
      <c r="B1145" s="108" t="s">
        <v>16124</v>
      </c>
      <c r="C1145" s="109">
        <v>46006</v>
      </c>
      <c r="D1145" s="108"/>
      <c r="E1145" s="108" t="s">
        <v>14605</v>
      </c>
      <c r="F1145" s="108" t="s">
        <v>15042</v>
      </c>
      <c r="G1145" s="110"/>
      <c r="H1145" s="108"/>
      <c r="I1145" s="108"/>
    </row>
    <row r="1146" spans="1:9" ht="27.6">
      <c r="A1146" s="108" t="s">
        <v>244</v>
      </c>
      <c r="B1146" s="108" t="s">
        <v>16125</v>
      </c>
      <c r="C1146" s="109">
        <v>46064</v>
      </c>
      <c r="D1146" s="108"/>
      <c r="E1146" s="108" t="s">
        <v>14605</v>
      </c>
      <c r="F1146" s="108" t="s">
        <v>16126</v>
      </c>
      <c r="G1146" s="110"/>
      <c r="H1146" s="108"/>
      <c r="I1146" s="108"/>
    </row>
    <row r="1147" spans="1:9" ht="27.6">
      <c r="A1147" s="108" t="s">
        <v>15990</v>
      </c>
      <c r="B1147" s="108" t="s">
        <v>16127</v>
      </c>
      <c r="C1147" s="109">
        <v>46100</v>
      </c>
      <c r="D1147" s="108"/>
      <c r="E1147" s="108" t="s">
        <v>14605</v>
      </c>
      <c r="F1147" s="108" t="s">
        <v>16128</v>
      </c>
      <c r="G1147" s="110"/>
      <c r="H1147" s="108"/>
      <c r="I1147" s="108"/>
    </row>
    <row r="1148" spans="1:9" ht="27.6">
      <c r="A1148" s="108" t="s">
        <v>8413</v>
      </c>
      <c r="B1148" s="108" t="s">
        <v>16129</v>
      </c>
      <c r="C1148" s="109">
        <v>46205</v>
      </c>
      <c r="D1148" s="108"/>
      <c r="E1148" s="108" t="s">
        <v>14605</v>
      </c>
      <c r="F1148" s="108" t="s">
        <v>16130</v>
      </c>
      <c r="G1148" s="110"/>
      <c r="H1148" s="108"/>
      <c r="I1148" s="108"/>
    </row>
    <row r="1149" spans="1:9" ht="27.6">
      <c r="A1149" s="108" t="s">
        <v>16131</v>
      </c>
      <c r="B1149" s="108" t="s">
        <v>16132</v>
      </c>
      <c r="C1149" s="109">
        <v>46101</v>
      </c>
      <c r="D1149" s="108"/>
      <c r="E1149" s="108" t="s">
        <v>14605</v>
      </c>
      <c r="F1149" s="108" t="s">
        <v>16133</v>
      </c>
      <c r="G1149" s="110"/>
      <c r="H1149" s="108"/>
      <c r="I1149" s="108"/>
    </row>
    <row r="1150" spans="1:9" ht="27.6">
      <c r="A1150" s="108" t="s">
        <v>244</v>
      </c>
      <c r="B1150" s="108" t="s">
        <v>16134</v>
      </c>
      <c r="C1150" s="109">
        <v>46136</v>
      </c>
      <c r="D1150" s="108"/>
      <c r="E1150" s="108" t="s">
        <v>14605</v>
      </c>
      <c r="F1150" s="108" t="s">
        <v>16135</v>
      </c>
      <c r="G1150" s="110"/>
      <c r="H1150" s="108"/>
      <c r="I1150" s="108"/>
    </row>
    <row r="1151" spans="1:9">
      <c r="A1151" s="108" t="s">
        <v>15990</v>
      </c>
      <c r="B1151" s="108" t="s">
        <v>16136</v>
      </c>
      <c r="C1151" s="109">
        <v>46198</v>
      </c>
      <c r="D1151" s="108"/>
      <c r="E1151" s="108" t="s">
        <v>14605</v>
      </c>
      <c r="F1151" s="108" t="s">
        <v>16137</v>
      </c>
      <c r="G1151" s="110"/>
      <c r="H1151" s="108"/>
      <c r="I1151" s="108"/>
    </row>
    <row r="1152" spans="1:9">
      <c r="A1152" s="108" t="s">
        <v>15990</v>
      </c>
      <c r="B1152" s="108" t="s">
        <v>16138</v>
      </c>
      <c r="C1152" s="109">
        <v>46239</v>
      </c>
      <c r="D1152" s="108"/>
      <c r="E1152" s="108" t="s">
        <v>14605</v>
      </c>
      <c r="F1152" s="108" t="s">
        <v>16114</v>
      </c>
      <c r="G1152" s="110"/>
      <c r="H1152" s="108"/>
      <c r="I1152" s="108"/>
    </row>
    <row r="1153" spans="1:9">
      <c r="A1153" s="108" t="s">
        <v>503</v>
      </c>
      <c r="B1153" s="108" t="s">
        <v>16139</v>
      </c>
      <c r="C1153" s="109">
        <v>46213</v>
      </c>
      <c r="D1153" s="108"/>
      <c r="E1153" s="108" t="s">
        <v>14605</v>
      </c>
      <c r="F1153" s="108" t="s">
        <v>16140</v>
      </c>
      <c r="G1153" s="110"/>
      <c r="H1153" s="108"/>
      <c r="I1153" s="108"/>
    </row>
    <row r="1154" spans="1:9">
      <c r="A1154" s="108" t="s">
        <v>503</v>
      </c>
      <c r="B1154" s="108" t="s">
        <v>16141</v>
      </c>
      <c r="C1154" s="109">
        <v>46210</v>
      </c>
      <c r="D1154" s="108"/>
      <c r="E1154" s="108" t="s">
        <v>14605</v>
      </c>
      <c r="F1154" s="108" t="s">
        <v>16142</v>
      </c>
      <c r="G1154" s="110"/>
      <c r="H1154" s="108"/>
      <c r="I1154" s="108"/>
    </row>
    <row r="1155" spans="1:9">
      <c r="A1155" s="108" t="s">
        <v>15990</v>
      </c>
      <c r="B1155" s="108" t="s">
        <v>16143</v>
      </c>
      <c r="C1155" s="109">
        <v>46175</v>
      </c>
      <c r="D1155" s="108"/>
      <c r="E1155" s="108" t="s">
        <v>14605</v>
      </c>
      <c r="F1155" s="108" t="s">
        <v>15427</v>
      </c>
      <c r="G1155" s="110"/>
      <c r="H1155" s="108"/>
      <c r="I1155" s="108"/>
    </row>
    <row r="1156" spans="1:9">
      <c r="A1156" s="108" t="s">
        <v>15990</v>
      </c>
      <c r="B1156" s="108" t="s">
        <v>16144</v>
      </c>
      <c r="C1156" s="109">
        <v>46224</v>
      </c>
      <c r="D1156" s="108"/>
      <c r="E1156" s="108" t="s">
        <v>14605</v>
      </c>
      <c r="F1156" s="108" t="s">
        <v>15159</v>
      </c>
      <c r="G1156" s="110"/>
      <c r="H1156" s="108"/>
      <c r="I1156" s="108"/>
    </row>
    <row r="1157" spans="1:9" ht="41.4">
      <c r="A1157" s="108" t="s">
        <v>15990</v>
      </c>
      <c r="B1157" s="108" t="s">
        <v>16145</v>
      </c>
      <c r="C1157" s="109">
        <v>46234</v>
      </c>
      <c r="D1157" s="108"/>
      <c r="E1157" s="108" t="s">
        <v>14605</v>
      </c>
      <c r="F1157" s="108" t="s">
        <v>16146</v>
      </c>
      <c r="G1157" s="110"/>
      <c r="H1157" s="108"/>
      <c r="I1157" s="108"/>
    </row>
    <row r="1158" spans="1:9">
      <c r="A1158" s="108" t="s">
        <v>244</v>
      </c>
      <c r="B1158" s="108" t="s">
        <v>16147</v>
      </c>
      <c r="C1158" s="109">
        <v>46227</v>
      </c>
      <c r="D1158" s="108"/>
      <c r="E1158" s="108" t="s">
        <v>14605</v>
      </c>
      <c r="F1158" s="108" t="s">
        <v>15261</v>
      </c>
      <c r="G1158" s="110"/>
      <c r="H1158" s="108"/>
      <c r="I1158" s="108"/>
    </row>
    <row r="1159" spans="1:9" ht="27.6">
      <c r="A1159" s="108" t="s">
        <v>2002</v>
      </c>
      <c r="B1159" s="108" t="s">
        <v>16148</v>
      </c>
      <c r="C1159" s="109">
        <v>41302</v>
      </c>
      <c r="D1159" s="108"/>
      <c r="E1159" s="108" t="s">
        <v>14611</v>
      </c>
      <c r="F1159" s="108" t="s">
        <v>14959</v>
      </c>
      <c r="G1159" s="110"/>
      <c r="H1159" s="108"/>
      <c r="I1159" s="108"/>
    </row>
    <row r="1160" spans="1:9" ht="27.6">
      <c r="A1160" s="108" t="s">
        <v>16149</v>
      </c>
      <c r="B1160" s="108" t="s">
        <v>16150</v>
      </c>
      <c r="C1160" s="109">
        <v>46014</v>
      </c>
      <c r="D1160" s="108"/>
      <c r="E1160" s="108" t="s">
        <v>14605</v>
      </c>
      <c r="F1160" s="108" t="s">
        <v>4702</v>
      </c>
      <c r="G1160" s="110"/>
      <c r="H1160" s="108"/>
      <c r="I1160" s="108"/>
    </row>
    <row r="1161" spans="1:9" ht="27.6">
      <c r="A1161" s="108" t="s">
        <v>16151</v>
      </c>
      <c r="B1161" s="108" t="s">
        <v>16152</v>
      </c>
      <c r="C1161" s="109">
        <v>45771</v>
      </c>
      <c r="D1161" s="108"/>
      <c r="E1161" s="108" t="s">
        <v>14605</v>
      </c>
      <c r="F1161" s="108" t="s">
        <v>15375</v>
      </c>
      <c r="G1161" s="110"/>
      <c r="H1161" s="108"/>
      <c r="I1161" s="108"/>
    </row>
    <row r="1162" spans="1:9">
      <c r="A1162" s="108" t="s">
        <v>16151</v>
      </c>
      <c r="B1162" s="108" t="s">
        <v>16153</v>
      </c>
      <c r="C1162" s="109">
        <v>46276</v>
      </c>
      <c r="D1162" s="108"/>
      <c r="E1162" s="108" t="s">
        <v>14605</v>
      </c>
      <c r="F1162" s="108" t="s">
        <v>5298</v>
      </c>
      <c r="G1162" s="110"/>
      <c r="H1162" s="108"/>
      <c r="I1162" s="108"/>
    </row>
    <row r="1163" spans="1:9" ht="27.6">
      <c r="A1163" s="108" t="s">
        <v>1102</v>
      </c>
      <c r="B1163" s="108" t="s">
        <v>1687</v>
      </c>
      <c r="C1163" s="109">
        <v>46058</v>
      </c>
      <c r="D1163" s="108"/>
      <c r="E1163" s="108" t="s">
        <v>14605</v>
      </c>
      <c r="F1163" s="108" t="s">
        <v>749</v>
      </c>
      <c r="G1163" s="110"/>
      <c r="H1163" s="108"/>
      <c r="I1163" s="108"/>
    </row>
    <row r="1164" spans="1:9">
      <c r="A1164" s="108" t="s">
        <v>16151</v>
      </c>
      <c r="B1164" s="108" t="s">
        <v>16154</v>
      </c>
      <c r="C1164" s="109">
        <v>46044</v>
      </c>
      <c r="D1164" s="108"/>
      <c r="E1164" s="108" t="s">
        <v>14605</v>
      </c>
      <c r="F1164" s="108" t="s">
        <v>4786</v>
      </c>
      <c r="G1164" s="110"/>
      <c r="H1164" s="108"/>
      <c r="I1164" s="108"/>
    </row>
    <row r="1165" spans="1:9">
      <c r="A1165" s="108" t="s">
        <v>16151</v>
      </c>
      <c r="B1165" s="108" t="s">
        <v>16155</v>
      </c>
      <c r="C1165" s="109">
        <v>45929</v>
      </c>
      <c r="D1165" s="108"/>
      <c r="E1165" s="108" t="s">
        <v>14605</v>
      </c>
      <c r="F1165" s="108" t="s">
        <v>4242</v>
      </c>
      <c r="G1165" s="110"/>
      <c r="H1165" s="108"/>
      <c r="I1165" s="108"/>
    </row>
    <row r="1166" spans="1:9">
      <c r="A1166" s="108" t="s">
        <v>16151</v>
      </c>
      <c r="B1166" s="108" t="s">
        <v>16156</v>
      </c>
      <c r="C1166" s="109">
        <v>46049</v>
      </c>
      <c r="D1166" s="108"/>
      <c r="E1166" s="108" t="s">
        <v>14605</v>
      </c>
      <c r="F1166" s="108" t="s">
        <v>15392</v>
      </c>
      <c r="G1166" s="110"/>
      <c r="H1166" s="108"/>
      <c r="I1166" s="108"/>
    </row>
    <row r="1167" spans="1:9" ht="27.6">
      <c r="A1167" s="108" t="s">
        <v>16151</v>
      </c>
      <c r="B1167" s="108" t="s">
        <v>16157</v>
      </c>
      <c r="C1167" s="109">
        <v>46104</v>
      </c>
      <c r="D1167" s="108"/>
      <c r="E1167" s="108" t="s">
        <v>14605</v>
      </c>
      <c r="F1167" s="108" t="s">
        <v>1615</v>
      </c>
      <c r="G1167" s="110"/>
      <c r="H1167" s="108"/>
      <c r="I1167" s="108"/>
    </row>
    <row r="1168" spans="1:9">
      <c r="A1168" s="108" t="s">
        <v>16151</v>
      </c>
      <c r="B1168" s="108" t="s">
        <v>16158</v>
      </c>
      <c r="C1168" s="109">
        <v>46153</v>
      </c>
      <c r="D1168" s="108"/>
      <c r="E1168" s="108" t="s">
        <v>14605</v>
      </c>
      <c r="F1168" s="108" t="s">
        <v>15416</v>
      </c>
      <c r="G1168" s="110"/>
      <c r="H1168" s="108"/>
      <c r="I1168" s="108"/>
    </row>
    <row r="1169" spans="1:9">
      <c r="A1169" s="108" t="s">
        <v>16151</v>
      </c>
      <c r="B1169" s="108" t="s">
        <v>16159</v>
      </c>
      <c r="C1169" s="109">
        <v>46080</v>
      </c>
      <c r="D1169" s="108"/>
      <c r="E1169" s="108" t="s">
        <v>14605</v>
      </c>
      <c r="F1169" s="108" t="s">
        <v>484</v>
      </c>
      <c r="G1169" s="110"/>
      <c r="H1169" s="108"/>
      <c r="I1169" s="108"/>
    </row>
    <row r="1170" spans="1:9">
      <c r="A1170" s="108" t="s">
        <v>16151</v>
      </c>
      <c r="B1170" s="108" t="s">
        <v>16160</v>
      </c>
      <c r="C1170" s="109">
        <v>46112</v>
      </c>
      <c r="D1170" s="108"/>
      <c r="E1170" s="108" t="s">
        <v>14605</v>
      </c>
      <c r="F1170" s="108" t="s">
        <v>559</v>
      </c>
      <c r="G1170" s="110"/>
      <c r="H1170" s="108"/>
      <c r="I1170" s="108"/>
    </row>
    <row r="1171" spans="1:9">
      <c r="A1171" s="108" t="s">
        <v>16151</v>
      </c>
      <c r="B1171" s="108" t="s">
        <v>16161</v>
      </c>
      <c r="C1171" s="109">
        <v>46120</v>
      </c>
      <c r="D1171" s="108"/>
      <c r="E1171" s="108" t="s">
        <v>14605</v>
      </c>
      <c r="F1171" s="108" t="s">
        <v>15331</v>
      </c>
      <c r="G1171" s="110"/>
      <c r="H1171" s="108"/>
      <c r="I1171" s="108"/>
    </row>
    <row r="1172" spans="1:9">
      <c r="A1172" s="108" t="s">
        <v>16151</v>
      </c>
      <c r="B1172" s="108" t="s">
        <v>16162</v>
      </c>
      <c r="C1172" s="109">
        <v>46129</v>
      </c>
      <c r="D1172" s="108"/>
      <c r="E1172" s="108" t="s">
        <v>14605</v>
      </c>
      <c r="F1172" s="108" t="s">
        <v>3717</v>
      </c>
      <c r="G1172" s="110"/>
      <c r="H1172" s="108"/>
      <c r="I1172" s="108"/>
    </row>
    <row r="1173" spans="1:9">
      <c r="A1173" s="108" t="s">
        <v>16151</v>
      </c>
      <c r="B1173" s="108" t="s">
        <v>16163</v>
      </c>
      <c r="C1173" s="109">
        <v>46181</v>
      </c>
      <c r="D1173" s="108"/>
      <c r="E1173" s="108" t="s">
        <v>14605</v>
      </c>
      <c r="F1173" s="108" t="s">
        <v>1307</v>
      </c>
      <c r="G1173" s="110"/>
      <c r="H1173" s="108"/>
      <c r="I1173" s="108"/>
    </row>
    <row r="1174" spans="1:9">
      <c r="A1174" s="108" t="s">
        <v>16151</v>
      </c>
      <c r="B1174" s="108" t="s">
        <v>16164</v>
      </c>
      <c r="C1174" s="109">
        <v>46213</v>
      </c>
      <c r="D1174" s="108"/>
      <c r="E1174" s="108" t="s">
        <v>14605</v>
      </c>
      <c r="F1174" s="108" t="s">
        <v>15448</v>
      </c>
      <c r="G1174" s="110"/>
      <c r="H1174" s="108"/>
      <c r="I1174" s="108"/>
    </row>
    <row r="1175" spans="1:9">
      <c r="A1175" s="108" t="s">
        <v>16165</v>
      </c>
      <c r="B1175" s="108" t="s">
        <v>16166</v>
      </c>
      <c r="C1175" s="109">
        <v>41306</v>
      </c>
      <c r="D1175" s="108"/>
      <c r="E1175" s="108" t="s">
        <v>14605</v>
      </c>
      <c r="F1175" s="108" t="s">
        <v>14764</v>
      </c>
      <c r="G1175" s="110"/>
      <c r="H1175" s="108"/>
      <c r="I1175" s="108"/>
    </row>
    <row r="1176" spans="1:9">
      <c r="A1176" s="108" t="s">
        <v>16151</v>
      </c>
      <c r="B1176" s="108" t="s">
        <v>16167</v>
      </c>
      <c r="C1176" s="109">
        <v>45527</v>
      </c>
      <c r="D1176" s="108"/>
      <c r="E1176" s="108" t="s">
        <v>14605</v>
      </c>
      <c r="F1176" s="108" t="s">
        <v>15761</v>
      </c>
      <c r="G1176" s="110"/>
      <c r="H1176" s="108"/>
      <c r="I1176" s="108"/>
    </row>
    <row r="1177" spans="1:9" ht="27.6">
      <c r="A1177" s="108" t="s">
        <v>16149</v>
      </c>
      <c r="B1177" s="108" t="s">
        <v>16168</v>
      </c>
      <c r="C1177" s="109">
        <v>46112</v>
      </c>
      <c r="D1177" s="108"/>
      <c r="E1177" s="108" t="s">
        <v>14605</v>
      </c>
      <c r="F1177" s="108" t="s">
        <v>16169</v>
      </c>
      <c r="G1177" s="110"/>
      <c r="H1177" s="108"/>
      <c r="I1177" s="108"/>
    </row>
    <row r="1178" spans="1:9">
      <c r="A1178" s="108" t="s">
        <v>16151</v>
      </c>
      <c r="B1178" s="108" t="s">
        <v>16170</v>
      </c>
      <c r="C1178" s="109">
        <v>45827</v>
      </c>
      <c r="D1178" s="108"/>
      <c r="E1178" s="108" t="s">
        <v>14605</v>
      </c>
      <c r="F1178" s="108" t="s">
        <v>15220</v>
      </c>
      <c r="G1178" s="110"/>
      <c r="H1178" s="108"/>
      <c r="I1178" s="108"/>
    </row>
    <row r="1179" spans="1:9">
      <c r="A1179" s="108" t="s">
        <v>16151</v>
      </c>
      <c r="B1179" s="108" t="s">
        <v>16171</v>
      </c>
      <c r="C1179" s="109">
        <v>45965</v>
      </c>
      <c r="D1179" s="108"/>
      <c r="E1179" s="108" t="s">
        <v>14605</v>
      </c>
      <c r="F1179" s="108" t="s">
        <v>15327</v>
      </c>
      <c r="G1179" s="110"/>
      <c r="H1179" s="108"/>
      <c r="I1179" s="108"/>
    </row>
    <row r="1180" spans="1:9">
      <c r="A1180" s="108" t="s">
        <v>16151</v>
      </c>
      <c r="B1180" s="108" t="s">
        <v>16172</v>
      </c>
      <c r="C1180" s="109">
        <v>46006</v>
      </c>
      <c r="D1180" s="108"/>
      <c r="E1180" s="108" t="s">
        <v>14605</v>
      </c>
      <c r="F1180" s="108" t="s">
        <v>15246</v>
      </c>
      <c r="G1180" s="110"/>
      <c r="H1180" s="108"/>
      <c r="I1180" s="108"/>
    </row>
    <row r="1181" spans="1:9">
      <c r="A1181" s="108" t="s">
        <v>16151</v>
      </c>
      <c r="B1181" s="108" t="s">
        <v>16173</v>
      </c>
      <c r="C1181" s="109">
        <v>45931</v>
      </c>
      <c r="D1181" s="108"/>
      <c r="E1181" s="108" t="s">
        <v>14605</v>
      </c>
      <c r="F1181" s="108" t="s">
        <v>15329</v>
      </c>
      <c r="G1181" s="110"/>
      <c r="H1181" s="108"/>
      <c r="I1181" s="108"/>
    </row>
    <row r="1182" spans="1:9">
      <c r="A1182" s="108" t="s">
        <v>16151</v>
      </c>
      <c r="B1182" s="108" t="s">
        <v>16174</v>
      </c>
      <c r="C1182" s="109">
        <v>45971</v>
      </c>
      <c r="D1182" s="108"/>
      <c r="E1182" s="108" t="s">
        <v>14605</v>
      </c>
      <c r="F1182" s="108" t="s">
        <v>15349</v>
      </c>
      <c r="G1182" s="110"/>
      <c r="H1182" s="108"/>
      <c r="I1182" s="108"/>
    </row>
    <row r="1183" spans="1:9">
      <c r="A1183" s="108" t="s">
        <v>16151</v>
      </c>
      <c r="B1183" s="108" t="s">
        <v>16175</v>
      </c>
      <c r="C1183" s="109">
        <v>45989</v>
      </c>
      <c r="D1183" s="108"/>
      <c r="E1183" s="108" t="s">
        <v>14605</v>
      </c>
      <c r="F1183" s="108" t="s">
        <v>15357</v>
      </c>
      <c r="G1183" s="110"/>
      <c r="H1183" s="108"/>
      <c r="I1183" s="108"/>
    </row>
    <row r="1184" spans="1:9">
      <c r="A1184" s="108" t="s">
        <v>16151</v>
      </c>
      <c r="B1184" s="108" t="s">
        <v>16176</v>
      </c>
      <c r="C1184" s="109">
        <v>46192</v>
      </c>
      <c r="D1184" s="108"/>
      <c r="E1184" s="108" t="s">
        <v>14605</v>
      </c>
      <c r="F1184" s="108" t="s">
        <v>16177</v>
      </c>
      <c r="G1184" s="110"/>
      <c r="H1184" s="108"/>
      <c r="I1184" s="108"/>
    </row>
    <row r="1185" spans="1:9">
      <c r="A1185" s="108" t="s">
        <v>16151</v>
      </c>
      <c r="B1185" s="108" t="s">
        <v>16178</v>
      </c>
      <c r="C1185" s="109">
        <v>46192</v>
      </c>
      <c r="D1185" s="108"/>
      <c r="E1185" s="108" t="s">
        <v>14605</v>
      </c>
      <c r="F1185" s="108" t="s">
        <v>16177</v>
      </c>
      <c r="G1185" s="110"/>
      <c r="H1185" s="108"/>
      <c r="I1185" s="108"/>
    </row>
    <row r="1186" spans="1:9">
      <c r="A1186" s="108" t="s">
        <v>16151</v>
      </c>
      <c r="B1186" s="108" t="s">
        <v>16179</v>
      </c>
      <c r="C1186" s="109">
        <v>46059</v>
      </c>
      <c r="D1186" s="108"/>
      <c r="E1186" s="108" t="s">
        <v>14605</v>
      </c>
      <c r="F1186" s="108" t="s">
        <v>15248</v>
      </c>
      <c r="G1186" s="110"/>
      <c r="H1186" s="108"/>
      <c r="I1186" s="108"/>
    </row>
    <row r="1187" spans="1:9">
      <c r="A1187" s="108" t="s">
        <v>16151</v>
      </c>
      <c r="B1187" s="108" t="s">
        <v>16180</v>
      </c>
      <c r="C1187" s="109">
        <v>45968</v>
      </c>
      <c r="D1187" s="108"/>
      <c r="E1187" s="108" t="s">
        <v>14605</v>
      </c>
      <c r="F1187" s="108" t="s">
        <v>16177</v>
      </c>
      <c r="G1187" s="110"/>
      <c r="H1187" s="108"/>
      <c r="I1187" s="108"/>
    </row>
    <row r="1188" spans="1:9">
      <c r="A1188" s="108" t="s">
        <v>16151</v>
      </c>
      <c r="B1188" s="108" t="s">
        <v>16181</v>
      </c>
      <c r="C1188" s="109">
        <v>45989</v>
      </c>
      <c r="D1188" s="108"/>
      <c r="E1188" s="108" t="s">
        <v>14605</v>
      </c>
      <c r="F1188" s="108" t="s">
        <v>15357</v>
      </c>
      <c r="G1188" s="110"/>
      <c r="H1188" s="108"/>
      <c r="I1188" s="108"/>
    </row>
    <row r="1189" spans="1:9">
      <c r="A1189" s="108" t="s">
        <v>16151</v>
      </c>
      <c r="B1189" s="108" t="s">
        <v>16182</v>
      </c>
      <c r="C1189" s="109">
        <v>46036</v>
      </c>
      <c r="D1189" s="108"/>
      <c r="E1189" s="108" t="s">
        <v>14605</v>
      </c>
      <c r="F1189" s="108" t="s">
        <v>15367</v>
      </c>
      <c r="G1189" s="110"/>
      <c r="H1189" s="108"/>
      <c r="I1189" s="108"/>
    </row>
    <row r="1190" spans="1:9">
      <c r="A1190" s="108" t="s">
        <v>16151</v>
      </c>
      <c r="B1190" s="108" t="s">
        <v>16183</v>
      </c>
      <c r="C1190" s="109">
        <v>46198</v>
      </c>
      <c r="D1190" s="108"/>
      <c r="E1190" s="108" t="s">
        <v>14605</v>
      </c>
      <c r="F1190" s="108" t="s">
        <v>15367</v>
      </c>
      <c r="G1190" s="110"/>
      <c r="H1190" s="108"/>
      <c r="I1190" s="108"/>
    </row>
    <row r="1191" spans="1:9">
      <c r="A1191" s="108" t="s">
        <v>16151</v>
      </c>
      <c r="B1191" s="108" t="s">
        <v>16184</v>
      </c>
      <c r="C1191" s="109">
        <v>46176</v>
      </c>
      <c r="D1191" s="108"/>
      <c r="E1191" s="108" t="s">
        <v>14605</v>
      </c>
      <c r="F1191" s="108" t="s">
        <v>15427</v>
      </c>
      <c r="G1191" s="110"/>
      <c r="H1191" s="108"/>
      <c r="I1191" s="108"/>
    </row>
    <row r="1192" spans="1:9">
      <c r="A1192" s="108" t="s">
        <v>16151</v>
      </c>
      <c r="B1192" s="108" t="s">
        <v>16185</v>
      </c>
      <c r="C1192" s="109">
        <v>46282</v>
      </c>
      <c r="D1192" s="108"/>
      <c r="E1192" s="108" t="s">
        <v>14605</v>
      </c>
      <c r="F1192" s="108" t="s">
        <v>15463</v>
      </c>
      <c r="G1192" s="110"/>
      <c r="H1192" s="108"/>
      <c r="I1192" s="108"/>
    </row>
    <row r="1193" spans="1:9" ht="27.6">
      <c r="A1193" s="108" t="s">
        <v>16151</v>
      </c>
      <c r="B1193" s="108" t="s">
        <v>16186</v>
      </c>
      <c r="C1193" s="109">
        <v>46157</v>
      </c>
      <c r="D1193" s="108"/>
      <c r="E1193" s="108" t="s">
        <v>14605</v>
      </c>
      <c r="F1193" s="108" t="s">
        <v>15423</v>
      </c>
      <c r="G1193" s="110"/>
      <c r="H1193" s="108"/>
      <c r="I1193" s="108"/>
    </row>
    <row r="1194" spans="1:9">
      <c r="A1194" s="108" t="s">
        <v>16151</v>
      </c>
      <c r="B1194" s="108" t="s">
        <v>16187</v>
      </c>
      <c r="C1194" s="109">
        <v>46225</v>
      </c>
      <c r="D1194" s="108"/>
      <c r="E1194" s="108" t="s">
        <v>14605</v>
      </c>
      <c r="F1194" s="108" t="s">
        <v>16188</v>
      </c>
      <c r="G1194" s="110"/>
      <c r="H1194" s="108"/>
      <c r="I1194" s="108"/>
    </row>
    <row r="1195" spans="1:9">
      <c r="A1195" s="108" t="s">
        <v>16189</v>
      </c>
      <c r="B1195" s="108" t="s">
        <v>16190</v>
      </c>
      <c r="C1195" s="109">
        <v>40794</v>
      </c>
      <c r="D1195" s="108"/>
      <c r="E1195" s="108" t="s">
        <v>14605</v>
      </c>
      <c r="F1195" s="108" t="s">
        <v>5145</v>
      </c>
      <c r="G1195" s="110"/>
      <c r="H1195" s="108"/>
      <c r="I1195" s="108"/>
    </row>
    <row r="1196" spans="1:9" ht="27.6">
      <c r="A1196" s="108" t="s">
        <v>16151</v>
      </c>
      <c r="B1196" s="108" t="s">
        <v>16191</v>
      </c>
      <c r="C1196" s="109">
        <v>45927</v>
      </c>
      <c r="D1196" s="108"/>
      <c r="E1196" s="108" t="s">
        <v>14605</v>
      </c>
      <c r="F1196" s="108" t="s">
        <v>15299</v>
      </c>
      <c r="G1196" s="110"/>
      <c r="H1196" s="108"/>
      <c r="I1196" s="108"/>
    </row>
    <row r="1197" spans="1:9" ht="27.6">
      <c r="A1197" s="108" t="s">
        <v>16151</v>
      </c>
      <c r="B1197" s="108" t="s">
        <v>16192</v>
      </c>
      <c r="C1197" s="109">
        <v>46150</v>
      </c>
      <c r="D1197" s="108"/>
      <c r="E1197" s="108" t="s">
        <v>14605</v>
      </c>
      <c r="F1197" s="108" t="s">
        <v>15338</v>
      </c>
      <c r="G1197" s="110"/>
      <c r="H1197" s="108"/>
      <c r="I1197" s="108"/>
    </row>
    <row r="1198" spans="1:9" ht="27.6">
      <c r="A1198" s="108" t="s">
        <v>16151</v>
      </c>
      <c r="B1198" s="108" t="s">
        <v>16193</v>
      </c>
      <c r="C1198" s="109">
        <v>46009</v>
      </c>
      <c r="D1198" s="108"/>
      <c r="E1198" s="108" t="s">
        <v>14605</v>
      </c>
      <c r="F1198" s="108" t="s">
        <v>15257</v>
      </c>
      <c r="G1198" s="110"/>
      <c r="H1198" s="108"/>
      <c r="I1198" s="108"/>
    </row>
    <row r="1199" spans="1:9" ht="27.6">
      <c r="A1199" s="108" t="s">
        <v>16151</v>
      </c>
      <c r="B1199" s="108" t="s">
        <v>16194</v>
      </c>
      <c r="C1199" s="109">
        <v>46028</v>
      </c>
      <c r="D1199" s="108"/>
      <c r="E1199" s="108" t="s">
        <v>14605</v>
      </c>
      <c r="F1199" s="108" t="s">
        <v>15299</v>
      </c>
      <c r="G1199" s="110"/>
      <c r="H1199" s="108"/>
      <c r="I1199" s="108"/>
    </row>
    <row r="1200" spans="1:9" ht="41.4">
      <c r="A1200" s="108" t="s">
        <v>169</v>
      </c>
      <c r="B1200" s="108" t="s">
        <v>16195</v>
      </c>
      <c r="C1200" s="109">
        <v>42877</v>
      </c>
      <c r="D1200" s="108"/>
      <c r="E1200" s="108" t="s">
        <v>14605</v>
      </c>
      <c r="F1200" s="108" t="s">
        <v>16196</v>
      </c>
      <c r="G1200" s="110"/>
      <c r="H1200" s="108"/>
      <c r="I1200" s="108"/>
    </row>
    <row r="1201" spans="1:9">
      <c r="A1201" s="108" t="s">
        <v>16197</v>
      </c>
      <c r="B1201" s="108" t="s">
        <v>16198</v>
      </c>
      <c r="C1201" s="109">
        <v>41921</v>
      </c>
      <c r="D1201" s="108"/>
      <c r="E1201" s="108" t="s">
        <v>14605</v>
      </c>
      <c r="F1201" s="108" t="s">
        <v>4236</v>
      </c>
      <c r="G1201" s="110"/>
      <c r="H1201" s="108"/>
      <c r="I1201" s="108"/>
    </row>
    <row r="1202" spans="1:9" ht="27.6">
      <c r="A1202" s="108" t="s">
        <v>103</v>
      </c>
      <c r="B1202" s="108" t="s">
        <v>16199</v>
      </c>
      <c r="C1202" s="109">
        <v>46031</v>
      </c>
      <c r="D1202" s="108"/>
      <c r="E1202" s="108" t="s">
        <v>14605</v>
      </c>
      <c r="F1202" s="108" t="s">
        <v>4501</v>
      </c>
      <c r="G1202" s="110"/>
      <c r="H1202" s="108"/>
      <c r="I1202" s="108"/>
    </row>
    <row r="1203" spans="1:9" ht="27.6">
      <c r="A1203" s="108" t="s">
        <v>16200</v>
      </c>
      <c r="B1203" s="108" t="s">
        <v>16201</v>
      </c>
      <c r="C1203" s="109">
        <v>40217</v>
      </c>
      <c r="D1203" s="108"/>
      <c r="E1203" s="108" t="s">
        <v>14605</v>
      </c>
      <c r="F1203" s="108" t="s">
        <v>4276</v>
      </c>
      <c r="G1203" s="110"/>
      <c r="H1203" s="108"/>
      <c r="I1203" s="108"/>
    </row>
    <row r="1204" spans="1:9" ht="27.6">
      <c r="A1204" s="108" t="s">
        <v>103</v>
      </c>
      <c r="B1204" s="108" t="s">
        <v>16202</v>
      </c>
      <c r="C1204" s="109">
        <v>46059</v>
      </c>
      <c r="D1204" s="108"/>
      <c r="E1204" s="108" t="s">
        <v>14605</v>
      </c>
      <c r="F1204" s="108" t="s">
        <v>15942</v>
      </c>
      <c r="G1204" s="110"/>
      <c r="H1204" s="108"/>
      <c r="I1204" s="108"/>
    </row>
    <row r="1205" spans="1:9" ht="27.6">
      <c r="A1205" s="108" t="s">
        <v>103</v>
      </c>
      <c r="B1205" s="108" t="s">
        <v>16203</v>
      </c>
      <c r="C1205" s="109">
        <v>46263</v>
      </c>
      <c r="D1205" s="108"/>
      <c r="E1205" s="108" t="s">
        <v>14605</v>
      </c>
      <c r="F1205" s="108" t="s">
        <v>15461</v>
      </c>
      <c r="G1205" s="110"/>
      <c r="H1205" s="108"/>
      <c r="I1205" s="108"/>
    </row>
    <row r="1206" spans="1:9" ht="27.6">
      <c r="A1206" s="108" t="s">
        <v>103</v>
      </c>
      <c r="B1206" s="108" t="s">
        <v>16204</v>
      </c>
      <c r="C1206" s="109">
        <v>45897</v>
      </c>
      <c r="D1206" s="108"/>
      <c r="E1206" s="108" t="s">
        <v>14605</v>
      </c>
      <c r="F1206" s="108" t="s">
        <v>15287</v>
      </c>
      <c r="G1206" s="110"/>
      <c r="H1206" s="108"/>
      <c r="I1206" s="108"/>
    </row>
    <row r="1207" spans="1:9" ht="27.6">
      <c r="A1207" s="108" t="s">
        <v>16033</v>
      </c>
      <c r="B1207" s="108" t="s">
        <v>16205</v>
      </c>
      <c r="C1207" s="109">
        <v>46171</v>
      </c>
      <c r="D1207" s="108"/>
      <c r="E1207" s="108" t="s">
        <v>14605</v>
      </c>
      <c r="F1207" s="108" t="s">
        <v>16206</v>
      </c>
      <c r="G1207" s="110"/>
      <c r="H1207" s="108"/>
      <c r="I1207" s="108"/>
    </row>
    <row r="1208" spans="1:9" ht="27.6">
      <c r="A1208" s="108" t="s">
        <v>16033</v>
      </c>
      <c r="B1208" s="108" t="s">
        <v>16207</v>
      </c>
      <c r="C1208" s="109">
        <v>46226</v>
      </c>
      <c r="D1208" s="108"/>
      <c r="E1208" s="108" t="s">
        <v>14605</v>
      </c>
      <c r="F1208" s="108" t="s">
        <v>15987</v>
      </c>
      <c r="G1208" s="110"/>
      <c r="H1208" s="108"/>
      <c r="I1208" s="108"/>
    </row>
    <row r="1209" spans="1:9">
      <c r="A1209" s="108" t="s">
        <v>121</v>
      </c>
      <c r="B1209" s="108" t="s">
        <v>16208</v>
      </c>
      <c r="C1209" s="109">
        <v>45999</v>
      </c>
      <c r="D1209" s="108"/>
      <c r="E1209" s="108" t="s">
        <v>14605</v>
      </c>
      <c r="F1209" s="108" t="s">
        <v>925</v>
      </c>
      <c r="G1209" s="110"/>
      <c r="H1209" s="108"/>
      <c r="I1209" s="108"/>
    </row>
    <row r="1210" spans="1:9">
      <c r="A1210" s="108" t="s">
        <v>121</v>
      </c>
      <c r="B1210" s="108" t="s">
        <v>16209</v>
      </c>
      <c r="C1210" s="109">
        <v>46163</v>
      </c>
      <c r="D1210" s="108"/>
      <c r="E1210" s="108" t="s">
        <v>14605</v>
      </c>
      <c r="F1210" s="108" t="s">
        <v>15992</v>
      </c>
      <c r="G1210" s="110"/>
      <c r="H1210" s="108"/>
      <c r="I1210" s="108"/>
    </row>
    <row r="1211" spans="1:9">
      <c r="A1211" s="108" t="s">
        <v>121</v>
      </c>
      <c r="B1211" s="108" t="s">
        <v>16210</v>
      </c>
      <c r="C1211" s="109">
        <v>46192</v>
      </c>
      <c r="D1211" s="108"/>
      <c r="E1211" s="108" t="s">
        <v>14605</v>
      </c>
      <c r="F1211" s="108" t="s">
        <v>16211</v>
      </c>
      <c r="G1211" s="110"/>
      <c r="H1211" s="108"/>
      <c r="I1211" s="108"/>
    </row>
    <row r="1212" spans="1:9">
      <c r="A1212" s="108" t="s">
        <v>121</v>
      </c>
      <c r="B1212" s="108" t="s">
        <v>16212</v>
      </c>
      <c r="C1212" s="109">
        <v>46049</v>
      </c>
      <c r="D1212" s="108"/>
      <c r="E1212" s="108" t="s">
        <v>14605</v>
      </c>
      <c r="F1212" s="108" t="s">
        <v>16213</v>
      </c>
      <c r="G1212" s="110"/>
      <c r="H1212" s="108"/>
      <c r="I1212" s="108"/>
    </row>
    <row r="1213" spans="1:9" ht="27.6">
      <c r="A1213" s="108" t="s">
        <v>16214</v>
      </c>
      <c r="B1213" s="108" t="s">
        <v>16215</v>
      </c>
      <c r="C1213" s="109">
        <v>46017</v>
      </c>
      <c r="D1213" s="108"/>
      <c r="E1213" s="108" t="s">
        <v>14605</v>
      </c>
      <c r="F1213" s="108" t="s">
        <v>409</v>
      </c>
      <c r="G1213" s="110"/>
      <c r="H1213" s="108"/>
      <c r="I1213" s="108"/>
    </row>
    <row r="1214" spans="1:9">
      <c r="A1214" s="108" t="s">
        <v>16214</v>
      </c>
      <c r="B1214" s="108" t="s">
        <v>16216</v>
      </c>
      <c r="C1214" s="109">
        <v>45972</v>
      </c>
      <c r="D1214" s="108"/>
      <c r="E1214" s="108" t="s">
        <v>14605</v>
      </c>
      <c r="F1214" s="108" t="s">
        <v>3587</v>
      </c>
      <c r="G1214" s="110"/>
      <c r="H1214" s="108"/>
      <c r="I1214" s="108"/>
    </row>
    <row r="1215" spans="1:9">
      <c r="A1215" s="108" t="s">
        <v>16214</v>
      </c>
      <c r="B1215" s="108" t="s">
        <v>16217</v>
      </c>
      <c r="C1215" s="109">
        <v>45930</v>
      </c>
      <c r="D1215" s="108"/>
      <c r="E1215" s="108" t="s">
        <v>14605</v>
      </c>
      <c r="F1215" s="108" t="s">
        <v>4448</v>
      </c>
      <c r="G1215" s="110"/>
      <c r="H1215" s="108"/>
      <c r="I1215" s="108"/>
    </row>
    <row r="1216" spans="1:9">
      <c r="A1216" s="108" t="s">
        <v>16214</v>
      </c>
      <c r="B1216" s="108" t="s">
        <v>16218</v>
      </c>
      <c r="C1216" s="109">
        <v>46003</v>
      </c>
      <c r="D1216" s="108"/>
      <c r="E1216" s="108" t="s">
        <v>14605</v>
      </c>
      <c r="F1216" s="108" t="s">
        <v>16219</v>
      </c>
      <c r="G1216" s="110"/>
      <c r="H1216" s="108"/>
      <c r="I1216" s="108"/>
    </row>
    <row r="1217" spans="1:9">
      <c r="A1217" s="108" t="s">
        <v>16214</v>
      </c>
      <c r="B1217" s="108" t="s">
        <v>16220</v>
      </c>
      <c r="C1217" s="109">
        <v>45914</v>
      </c>
      <c r="D1217" s="108"/>
      <c r="E1217" s="108" t="s">
        <v>14605</v>
      </c>
      <c r="F1217" s="108" t="s">
        <v>15996</v>
      </c>
      <c r="G1217" s="110"/>
      <c r="H1217" s="108"/>
      <c r="I1217" s="108"/>
    </row>
    <row r="1218" spans="1:9">
      <c r="A1218" s="108" t="s">
        <v>16221</v>
      </c>
      <c r="B1218" s="108" t="s">
        <v>16222</v>
      </c>
      <c r="C1218" s="109">
        <v>45939</v>
      </c>
      <c r="D1218" s="108"/>
      <c r="E1218" s="108" t="s">
        <v>14605</v>
      </c>
      <c r="F1218" s="108" t="s">
        <v>634</v>
      </c>
      <c r="G1218" s="110"/>
      <c r="H1218" s="108"/>
      <c r="I1218" s="108"/>
    </row>
    <row r="1219" spans="1:9">
      <c r="A1219" s="108" t="s">
        <v>16214</v>
      </c>
      <c r="B1219" s="108" t="s">
        <v>16223</v>
      </c>
      <c r="C1219" s="109">
        <v>45930</v>
      </c>
      <c r="D1219" s="108"/>
      <c r="E1219" s="108" t="s">
        <v>14605</v>
      </c>
      <c r="F1219" s="108" t="s">
        <v>2552</v>
      </c>
      <c r="G1219" s="110"/>
      <c r="H1219" s="108"/>
      <c r="I1219" s="108"/>
    </row>
    <row r="1220" spans="1:9">
      <c r="A1220" s="108" t="s">
        <v>16224</v>
      </c>
      <c r="B1220" s="108" t="s">
        <v>16225</v>
      </c>
      <c r="C1220" s="109">
        <v>45944</v>
      </c>
      <c r="D1220" s="108"/>
      <c r="E1220" s="108" t="s">
        <v>14605</v>
      </c>
      <c r="F1220" s="108" t="s">
        <v>16226</v>
      </c>
      <c r="G1220" s="110"/>
      <c r="H1220" s="108"/>
      <c r="I1220" s="108"/>
    </row>
    <row r="1221" spans="1:9" ht="27.6">
      <c r="A1221" s="108" t="s">
        <v>16214</v>
      </c>
      <c r="B1221" s="108" t="s">
        <v>16227</v>
      </c>
      <c r="C1221" s="109">
        <v>45946</v>
      </c>
      <c r="D1221" s="108"/>
      <c r="E1221" s="108" t="s">
        <v>14605</v>
      </c>
      <c r="F1221" s="108" t="s">
        <v>16228</v>
      </c>
      <c r="G1221" s="110"/>
      <c r="H1221" s="108"/>
      <c r="I1221" s="108"/>
    </row>
    <row r="1222" spans="1:9" ht="27.6">
      <c r="A1222" s="108" t="s">
        <v>16214</v>
      </c>
      <c r="B1222" s="108" t="s">
        <v>16229</v>
      </c>
      <c r="C1222" s="109">
        <v>45946</v>
      </c>
      <c r="D1222" s="108"/>
      <c r="E1222" s="108" t="s">
        <v>14605</v>
      </c>
      <c r="F1222" s="108" t="s">
        <v>16228</v>
      </c>
      <c r="G1222" s="110"/>
      <c r="H1222" s="108"/>
      <c r="I1222" s="108"/>
    </row>
    <row r="1223" spans="1:9">
      <c r="A1223" s="108" t="s">
        <v>16214</v>
      </c>
      <c r="B1223" s="108" t="s">
        <v>16230</v>
      </c>
      <c r="C1223" s="109">
        <v>46108</v>
      </c>
      <c r="D1223" s="108"/>
      <c r="E1223" s="108" t="s">
        <v>14605</v>
      </c>
      <c r="F1223" s="108" t="s">
        <v>3210</v>
      </c>
      <c r="G1223" s="110"/>
      <c r="H1223" s="108"/>
      <c r="I1223" s="108"/>
    </row>
    <row r="1224" spans="1:9" ht="27.6">
      <c r="A1224" s="108" t="s">
        <v>16214</v>
      </c>
      <c r="B1224" s="108" t="s">
        <v>16231</v>
      </c>
      <c r="C1224" s="109">
        <v>45960</v>
      </c>
      <c r="D1224" s="108"/>
      <c r="E1224" s="108" t="s">
        <v>14605</v>
      </c>
      <c r="F1224" s="108" t="s">
        <v>16232</v>
      </c>
      <c r="G1224" s="110"/>
      <c r="H1224" s="108"/>
      <c r="I1224" s="108"/>
    </row>
    <row r="1225" spans="1:9">
      <c r="A1225" s="108" t="s">
        <v>16224</v>
      </c>
      <c r="B1225" s="108" t="s">
        <v>16233</v>
      </c>
      <c r="C1225" s="109">
        <v>45964</v>
      </c>
      <c r="D1225" s="108"/>
      <c r="E1225" s="108" t="s">
        <v>14605</v>
      </c>
      <c r="F1225" s="108" t="s">
        <v>16234</v>
      </c>
      <c r="G1225" s="110"/>
      <c r="H1225" s="108"/>
      <c r="I1225" s="108"/>
    </row>
    <row r="1226" spans="1:9">
      <c r="A1226" s="108" t="s">
        <v>16214</v>
      </c>
      <c r="B1226" s="108" t="s">
        <v>16235</v>
      </c>
      <c r="C1226" s="109">
        <v>45953</v>
      </c>
      <c r="D1226" s="108"/>
      <c r="E1226" s="108" t="s">
        <v>14605</v>
      </c>
      <c r="F1226" s="108" t="s">
        <v>16236</v>
      </c>
      <c r="G1226" s="110"/>
      <c r="H1226" s="108"/>
      <c r="I1226" s="108"/>
    </row>
    <row r="1227" spans="1:9">
      <c r="A1227" s="108" t="s">
        <v>16237</v>
      </c>
      <c r="B1227" s="108" t="s">
        <v>16238</v>
      </c>
      <c r="C1227" s="109">
        <v>45965</v>
      </c>
      <c r="D1227" s="108"/>
      <c r="E1227" s="108" t="s">
        <v>14605</v>
      </c>
      <c r="F1227" s="108" t="s">
        <v>14764</v>
      </c>
      <c r="G1227" s="110"/>
      <c r="H1227" s="108"/>
      <c r="I1227" s="108"/>
    </row>
    <row r="1228" spans="1:9">
      <c r="A1228" s="108" t="s">
        <v>16214</v>
      </c>
      <c r="B1228" s="108" t="s">
        <v>16239</v>
      </c>
      <c r="C1228" s="109">
        <v>45974</v>
      </c>
      <c r="D1228" s="108"/>
      <c r="E1228" s="108" t="s">
        <v>14605</v>
      </c>
      <c r="F1228" s="108" t="s">
        <v>14672</v>
      </c>
      <c r="G1228" s="110"/>
      <c r="H1228" s="108"/>
      <c r="I1228" s="108"/>
    </row>
    <row r="1229" spans="1:9">
      <c r="A1229" s="108" t="s">
        <v>16224</v>
      </c>
      <c r="B1229" s="108" t="s">
        <v>16240</v>
      </c>
      <c r="C1229" s="109">
        <v>45972</v>
      </c>
      <c r="D1229" s="108"/>
      <c r="E1229" s="108" t="s">
        <v>14605</v>
      </c>
      <c r="F1229" s="108" t="s">
        <v>2475</v>
      </c>
      <c r="G1229" s="110"/>
      <c r="H1229" s="108"/>
      <c r="I1229" s="108"/>
    </row>
    <row r="1230" spans="1:9" ht="27.6">
      <c r="A1230" s="108" t="s">
        <v>16214</v>
      </c>
      <c r="B1230" s="108" t="s">
        <v>16241</v>
      </c>
      <c r="C1230" s="109">
        <v>46143</v>
      </c>
      <c r="D1230" s="108"/>
      <c r="E1230" s="108" t="s">
        <v>14605</v>
      </c>
      <c r="F1230" s="108" t="s">
        <v>4276</v>
      </c>
      <c r="G1230" s="110"/>
      <c r="H1230" s="108"/>
      <c r="I1230" s="108"/>
    </row>
    <row r="1231" spans="1:9">
      <c r="A1231" s="108" t="s">
        <v>16214</v>
      </c>
      <c r="B1231" s="108" t="s">
        <v>16242</v>
      </c>
      <c r="C1231" s="109">
        <v>46003</v>
      </c>
      <c r="D1231" s="108"/>
      <c r="E1231" s="108" t="s">
        <v>14605</v>
      </c>
      <c r="F1231" s="108" t="s">
        <v>16219</v>
      </c>
      <c r="G1231" s="110"/>
      <c r="H1231" s="108"/>
      <c r="I1231" s="108"/>
    </row>
    <row r="1232" spans="1:9">
      <c r="A1232" s="108" t="s">
        <v>16214</v>
      </c>
      <c r="B1232" s="108" t="s">
        <v>16243</v>
      </c>
      <c r="C1232" s="109">
        <v>45971</v>
      </c>
      <c r="D1232" s="108"/>
      <c r="E1232" s="108" t="s">
        <v>14605</v>
      </c>
      <c r="F1232" s="108" t="s">
        <v>3587</v>
      </c>
      <c r="G1232" s="110"/>
      <c r="H1232" s="108"/>
      <c r="I1232" s="108"/>
    </row>
    <row r="1233" spans="1:9">
      <c r="A1233" s="108" t="s">
        <v>16237</v>
      </c>
      <c r="B1233" s="108" t="s">
        <v>16244</v>
      </c>
      <c r="C1233" s="109">
        <v>46148</v>
      </c>
      <c r="D1233" s="108"/>
      <c r="E1233" s="108" t="s">
        <v>14605</v>
      </c>
      <c r="F1233" s="108" t="s">
        <v>979</v>
      </c>
      <c r="G1233" s="110"/>
      <c r="H1233" s="108"/>
      <c r="I1233" s="108"/>
    </row>
    <row r="1234" spans="1:9">
      <c r="A1234" s="108" t="s">
        <v>16237</v>
      </c>
      <c r="B1234" s="108" t="s">
        <v>16245</v>
      </c>
      <c r="C1234" s="109">
        <v>45973</v>
      </c>
      <c r="D1234" s="108"/>
      <c r="E1234" s="108" t="s">
        <v>14605</v>
      </c>
      <c r="F1234" s="108" t="s">
        <v>14764</v>
      </c>
      <c r="G1234" s="110"/>
      <c r="H1234" s="108"/>
      <c r="I1234" s="108"/>
    </row>
    <row r="1235" spans="1:9" ht="27.6">
      <c r="A1235" s="108" t="s">
        <v>16214</v>
      </c>
      <c r="B1235" s="108" t="s">
        <v>16246</v>
      </c>
      <c r="C1235" s="109">
        <v>46097</v>
      </c>
      <c r="D1235" s="108"/>
      <c r="E1235" s="108" t="s">
        <v>14605</v>
      </c>
      <c r="F1235" s="108" t="s">
        <v>4685</v>
      </c>
      <c r="G1235" s="110"/>
      <c r="H1235" s="108"/>
      <c r="I1235" s="108"/>
    </row>
    <row r="1236" spans="1:9">
      <c r="A1236" s="108" t="s">
        <v>16214</v>
      </c>
      <c r="B1236" s="108" t="s">
        <v>16247</v>
      </c>
      <c r="C1236" s="109">
        <v>45983</v>
      </c>
      <c r="D1236" s="108"/>
      <c r="E1236" s="108" t="s">
        <v>14605</v>
      </c>
      <c r="F1236" s="108" t="s">
        <v>1338</v>
      </c>
      <c r="G1236" s="110"/>
      <c r="H1236" s="108"/>
      <c r="I1236" s="108"/>
    </row>
    <row r="1237" spans="1:9" ht="27.6">
      <c r="A1237" s="108" t="s">
        <v>16214</v>
      </c>
      <c r="B1237" s="108" t="s">
        <v>16248</v>
      </c>
      <c r="C1237" s="109">
        <v>46001</v>
      </c>
      <c r="D1237" s="108"/>
      <c r="E1237" s="108" t="s">
        <v>14605</v>
      </c>
      <c r="F1237" s="108" t="s">
        <v>16249</v>
      </c>
      <c r="G1237" s="110"/>
      <c r="H1237" s="108"/>
      <c r="I1237" s="108"/>
    </row>
    <row r="1238" spans="1:9">
      <c r="A1238" s="108" t="s">
        <v>16214</v>
      </c>
      <c r="B1238" s="108" t="s">
        <v>16250</v>
      </c>
      <c r="C1238" s="109">
        <v>46041</v>
      </c>
      <c r="D1238" s="108"/>
      <c r="E1238" s="108" t="s">
        <v>14605</v>
      </c>
      <c r="F1238" s="108" t="s">
        <v>16251</v>
      </c>
      <c r="G1238" s="110"/>
      <c r="H1238" s="108"/>
      <c r="I1238" s="108"/>
    </row>
    <row r="1239" spans="1:9">
      <c r="A1239" s="108" t="s">
        <v>16214</v>
      </c>
      <c r="B1239" s="108" t="s">
        <v>16252</v>
      </c>
      <c r="C1239" s="109">
        <v>45995</v>
      </c>
      <c r="D1239" s="108"/>
      <c r="E1239" s="108" t="s">
        <v>14605</v>
      </c>
      <c r="F1239" s="108" t="s">
        <v>14672</v>
      </c>
      <c r="G1239" s="110"/>
      <c r="H1239" s="108"/>
      <c r="I1239" s="108"/>
    </row>
    <row r="1240" spans="1:9">
      <c r="A1240" s="108" t="s">
        <v>16214</v>
      </c>
      <c r="B1240" s="108" t="s">
        <v>16253</v>
      </c>
      <c r="C1240" s="109">
        <v>46143</v>
      </c>
      <c r="D1240" s="108"/>
      <c r="E1240" s="108" t="s">
        <v>14605</v>
      </c>
      <c r="F1240" s="108" t="s">
        <v>933</v>
      </c>
      <c r="G1240" s="110"/>
      <c r="H1240" s="108"/>
      <c r="I1240" s="108"/>
    </row>
    <row r="1241" spans="1:9" ht="27.6">
      <c r="A1241" s="108" t="s">
        <v>16214</v>
      </c>
      <c r="B1241" s="108" t="s">
        <v>16254</v>
      </c>
      <c r="C1241" s="109">
        <v>46059</v>
      </c>
      <c r="D1241" s="108"/>
      <c r="E1241" s="108" t="s">
        <v>14605</v>
      </c>
      <c r="F1241" s="108" t="s">
        <v>15295</v>
      </c>
      <c r="G1241" s="110"/>
      <c r="H1241" s="108"/>
      <c r="I1241" s="108"/>
    </row>
    <row r="1242" spans="1:9">
      <c r="A1242" s="108" t="s">
        <v>16214</v>
      </c>
      <c r="B1242" s="108" t="s">
        <v>16255</v>
      </c>
      <c r="C1242" s="109">
        <v>46031</v>
      </c>
      <c r="D1242" s="108"/>
      <c r="E1242" s="108" t="s">
        <v>14605</v>
      </c>
      <c r="F1242" s="108" t="s">
        <v>4857</v>
      </c>
      <c r="G1242" s="110"/>
      <c r="H1242" s="108"/>
      <c r="I1242" s="108"/>
    </row>
    <row r="1243" spans="1:9">
      <c r="A1243" s="108" t="s">
        <v>16221</v>
      </c>
      <c r="B1243" s="108" t="s">
        <v>16256</v>
      </c>
      <c r="C1243" s="109">
        <v>46016</v>
      </c>
      <c r="D1243" s="108"/>
      <c r="E1243" s="108" t="s">
        <v>14605</v>
      </c>
      <c r="F1243" s="108" t="s">
        <v>15161</v>
      </c>
      <c r="G1243" s="110"/>
      <c r="H1243" s="108"/>
      <c r="I1243" s="108"/>
    </row>
    <row r="1244" spans="1:9">
      <c r="A1244" s="108" t="s">
        <v>16214</v>
      </c>
      <c r="B1244" s="108" t="s">
        <v>16257</v>
      </c>
      <c r="C1244" s="109">
        <v>46135</v>
      </c>
      <c r="D1244" s="108"/>
      <c r="E1244" s="108" t="s">
        <v>14605</v>
      </c>
      <c r="F1244" s="108" t="s">
        <v>2379</v>
      </c>
      <c r="G1244" s="110"/>
      <c r="H1244" s="108"/>
      <c r="I1244" s="108"/>
    </row>
    <row r="1245" spans="1:9">
      <c r="A1245" s="108" t="s">
        <v>16214</v>
      </c>
      <c r="B1245" s="108" t="s">
        <v>16258</v>
      </c>
      <c r="C1245" s="109">
        <v>46027</v>
      </c>
      <c r="D1245" s="108"/>
      <c r="E1245" s="108" t="s">
        <v>14605</v>
      </c>
      <c r="F1245" s="108" t="s">
        <v>212</v>
      </c>
      <c r="G1245" s="110"/>
      <c r="H1245" s="108"/>
      <c r="I1245" s="108"/>
    </row>
    <row r="1246" spans="1:9">
      <c r="A1246" s="108" t="s">
        <v>16214</v>
      </c>
      <c r="B1246" s="108" t="s">
        <v>16259</v>
      </c>
      <c r="C1246" s="109">
        <v>46052</v>
      </c>
      <c r="D1246" s="108"/>
      <c r="E1246" s="108" t="s">
        <v>14605</v>
      </c>
      <c r="F1246" s="108" t="s">
        <v>2379</v>
      </c>
      <c r="G1246" s="110"/>
      <c r="H1246" s="108"/>
      <c r="I1246" s="108"/>
    </row>
    <row r="1247" spans="1:9">
      <c r="A1247" s="108" t="s">
        <v>16214</v>
      </c>
      <c r="B1247" s="108" t="s">
        <v>16260</v>
      </c>
      <c r="C1247" s="109">
        <v>46048</v>
      </c>
      <c r="D1247" s="108"/>
      <c r="E1247" s="108" t="s">
        <v>14605</v>
      </c>
      <c r="F1247" s="108" t="s">
        <v>16261</v>
      </c>
      <c r="G1247" s="110"/>
      <c r="H1247" s="108"/>
      <c r="I1247" s="108"/>
    </row>
    <row r="1248" spans="1:9">
      <c r="A1248" s="108" t="s">
        <v>16214</v>
      </c>
      <c r="B1248" s="108" t="s">
        <v>16262</v>
      </c>
      <c r="C1248" s="109">
        <v>46128</v>
      </c>
      <c r="D1248" s="108"/>
      <c r="E1248" s="108" t="s">
        <v>14605</v>
      </c>
      <c r="F1248" s="108" t="s">
        <v>3817</v>
      </c>
      <c r="G1248" s="110"/>
      <c r="H1248" s="108"/>
      <c r="I1248" s="108"/>
    </row>
    <row r="1249" spans="1:9">
      <c r="A1249" s="108" t="s">
        <v>16214</v>
      </c>
      <c r="B1249" s="108" t="s">
        <v>16263</v>
      </c>
      <c r="C1249" s="109">
        <v>46031</v>
      </c>
      <c r="D1249" s="108"/>
      <c r="E1249" s="108" t="s">
        <v>14605</v>
      </c>
      <c r="F1249" s="108" t="s">
        <v>4857</v>
      </c>
      <c r="G1249" s="110"/>
      <c r="H1249" s="108"/>
      <c r="I1249" s="108"/>
    </row>
    <row r="1250" spans="1:9">
      <c r="A1250" s="108" t="s">
        <v>16214</v>
      </c>
      <c r="B1250" s="108" t="s">
        <v>16264</v>
      </c>
      <c r="C1250" s="109">
        <v>46114</v>
      </c>
      <c r="D1250" s="108"/>
      <c r="E1250" s="108" t="s">
        <v>14605</v>
      </c>
      <c r="F1250" s="108" t="s">
        <v>3717</v>
      </c>
      <c r="G1250" s="110"/>
      <c r="H1250" s="108"/>
      <c r="I1250" s="108"/>
    </row>
    <row r="1251" spans="1:9">
      <c r="A1251" s="108" t="s">
        <v>16214</v>
      </c>
      <c r="B1251" s="108" t="s">
        <v>16265</v>
      </c>
      <c r="C1251" s="109">
        <v>46036</v>
      </c>
      <c r="D1251" s="108"/>
      <c r="E1251" s="108" t="s">
        <v>14605</v>
      </c>
      <c r="F1251" s="108" t="s">
        <v>5125</v>
      </c>
      <c r="G1251" s="110"/>
      <c r="H1251" s="108"/>
      <c r="I1251" s="108"/>
    </row>
    <row r="1252" spans="1:9">
      <c r="A1252" s="108" t="s">
        <v>16214</v>
      </c>
      <c r="B1252" s="108" t="s">
        <v>16266</v>
      </c>
      <c r="C1252" s="109">
        <v>46108</v>
      </c>
      <c r="D1252" s="108"/>
      <c r="E1252" s="108" t="s">
        <v>14605</v>
      </c>
      <c r="F1252" s="108" t="s">
        <v>15625</v>
      </c>
      <c r="G1252" s="110"/>
      <c r="H1252" s="108"/>
      <c r="I1252" s="108"/>
    </row>
    <row r="1253" spans="1:9">
      <c r="A1253" s="108" t="s">
        <v>16214</v>
      </c>
      <c r="B1253" s="108" t="s">
        <v>16267</v>
      </c>
      <c r="C1253" s="109">
        <v>46083</v>
      </c>
      <c r="D1253" s="108"/>
      <c r="E1253" s="108" t="s">
        <v>14605</v>
      </c>
      <c r="F1253" s="108" t="s">
        <v>16268</v>
      </c>
      <c r="G1253" s="110"/>
      <c r="H1253" s="108"/>
      <c r="I1253" s="108"/>
    </row>
    <row r="1254" spans="1:9">
      <c r="A1254" s="108" t="s">
        <v>16214</v>
      </c>
      <c r="B1254" s="108" t="s">
        <v>16269</v>
      </c>
      <c r="C1254" s="109">
        <v>46117</v>
      </c>
      <c r="D1254" s="108"/>
      <c r="E1254" s="108" t="s">
        <v>14605</v>
      </c>
      <c r="F1254" s="108" t="s">
        <v>986</v>
      </c>
      <c r="G1254" s="110"/>
      <c r="H1254" s="108"/>
      <c r="I1254" s="108"/>
    </row>
    <row r="1255" spans="1:9">
      <c r="A1255" s="108" t="s">
        <v>16214</v>
      </c>
      <c r="B1255" s="108" t="s">
        <v>16270</v>
      </c>
      <c r="C1255" s="109">
        <v>46089</v>
      </c>
      <c r="D1255" s="108"/>
      <c r="E1255" s="108" t="s">
        <v>14605</v>
      </c>
      <c r="F1255" s="108" t="s">
        <v>986</v>
      </c>
      <c r="G1255" s="110"/>
      <c r="H1255" s="108"/>
      <c r="I1255" s="108"/>
    </row>
    <row r="1256" spans="1:9">
      <c r="A1256" s="108" t="s">
        <v>16214</v>
      </c>
      <c r="B1256" s="108" t="s">
        <v>16271</v>
      </c>
      <c r="C1256" s="109">
        <v>46097</v>
      </c>
      <c r="D1256" s="108"/>
      <c r="E1256" s="108" t="s">
        <v>14605</v>
      </c>
      <c r="F1256" s="108" t="s">
        <v>14764</v>
      </c>
      <c r="G1256" s="110"/>
      <c r="H1256" s="108"/>
      <c r="I1256" s="108"/>
    </row>
    <row r="1257" spans="1:9">
      <c r="A1257" s="108" t="s">
        <v>16214</v>
      </c>
      <c r="B1257" s="108" t="s">
        <v>16272</v>
      </c>
      <c r="C1257" s="109">
        <v>46076</v>
      </c>
      <c r="D1257" s="108"/>
      <c r="E1257" s="108" t="s">
        <v>14605</v>
      </c>
      <c r="F1257" s="108" t="s">
        <v>3727</v>
      </c>
      <c r="G1257" s="110"/>
      <c r="H1257" s="108"/>
      <c r="I1257" s="108"/>
    </row>
    <row r="1258" spans="1:9">
      <c r="A1258" s="108" t="s">
        <v>16214</v>
      </c>
      <c r="B1258" s="108" t="s">
        <v>16273</v>
      </c>
      <c r="C1258" s="109">
        <v>46072</v>
      </c>
      <c r="D1258" s="108"/>
      <c r="E1258" s="108" t="s">
        <v>14605</v>
      </c>
      <c r="F1258" s="108" t="s">
        <v>15303</v>
      </c>
      <c r="G1258" s="110"/>
      <c r="H1258" s="108"/>
      <c r="I1258" s="108"/>
    </row>
    <row r="1259" spans="1:9">
      <c r="A1259" s="108" t="s">
        <v>16214</v>
      </c>
      <c r="B1259" s="108" t="s">
        <v>16274</v>
      </c>
      <c r="C1259" s="109">
        <v>46071</v>
      </c>
      <c r="D1259" s="108"/>
      <c r="E1259" s="108" t="s">
        <v>14605</v>
      </c>
      <c r="F1259" s="108" t="s">
        <v>4732</v>
      </c>
      <c r="G1259" s="110"/>
      <c r="H1259" s="108"/>
      <c r="I1259" s="108"/>
    </row>
    <row r="1260" spans="1:9">
      <c r="A1260" s="108" t="s">
        <v>16214</v>
      </c>
      <c r="B1260" s="108" t="s">
        <v>16275</v>
      </c>
      <c r="C1260" s="109">
        <v>46117</v>
      </c>
      <c r="D1260" s="108"/>
      <c r="E1260" s="108" t="s">
        <v>14605</v>
      </c>
      <c r="F1260" s="108" t="s">
        <v>2606</v>
      </c>
      <c r="G1260" s="110"/>
      <c r="H1260" s="108"/>
      <c r="I1260" s="108"/>
    </row>
    <row r="1261" spans="1:9">
      <c r="A1261" s="108" t="s">
        <v>16221</v>
      </c>
      <c r="B1261" s="108" t="s">
        <v>16276</v>
      </c>
      <c r="C1261" s="109">
        <v>46142</v>
      </c>
      <c r="D1261" s="108"/>
      <c r="E1261" s="108" t="s">
        <v>14605</v>
      </c>
      <c r="F1261" s="108" t="s">
        <v>1519</v>
      </c>
      <c r="G1261" s="110"/>
      <c r="H1261" s="108"/>
      <c r="I1261" s="108"/>
    </row>
    <row r="1262" spans="1:9" ht="27.6">
      <c r="A1262" s="108" t="s">
        <v>16277</v>
      </c>
      <c r="B1262" s="108" t="s">
        <v>16278</v>
      </c>
      <c r="C1262" s="109">
        <v>46035</v>
      </c>
      <c r="D1262" s="108"/>
      <c r="E1262" s="108" t="s">
        <v>14605</v>
      </c>
      <c r="F1262" s="108" t="s">
        <v>16279</v>
      </c>
      <c r="G1262" s="110"/>
      <c r="H1262" s="108"/>
      <c r="I1262" s="108"/>
    </row>
    <row r="1263" spans="1:9">
      <c r="A1263" s="108" t="s">
        <v>16224</v>
      </c>
      <c r="B1263" s="108" t="s">
        <v>16280</v>
      </c>
      <c r="C1263" s="109">
        <v>46092</v>
      </c>
      <c r="D1263" s="108"/>
      <c r="E1263" s="108" t="s">
        <v>14605</v>
      </c>
      <c r="F1263" s="108" t="s">
        <v>3126</v>
      </c>
      <c r="G1263" s="110"/>
      <c r="H1263" s="108"/>
      <c r="I1263" s="108"/>
    </row>
    <row r="1264" spans="1:9">
      <c r="A1264" s="108" t="s">
        <v>16224</v>
      </c>
      <c r="B1264" s="108" t="s">
        <v>16281</v>
      </c>
      <c r="C1264" s="109">
        <v>46090</v>
      </c>
      <c r="D1264" s="108"/>
      <c r="E1264" s="108" t="s">
        <v>14605</v>
      </c>
      <c r="F1264" s="108" t="s">
        <v>3713</v>
      </c>
      <c r="G1264" s="110"/>
      <c r="H1264" s="108"/>
      <c r="I1264" s="108"/>
    </row>
    <row r="1265" spans="1:9">
      <c r="A1265" s="108" t="s">
        <v>16214</v>
      </c>
      <c r="B1265" s="108" t="s">
        <v>16282</v>
      </c>
      <c r="C1265" s="109">
        <v>46143</v>
      </c>
      <c r="D1265" s="108"/>
      <c r="E1265" s="108" t="s">
        <v>14605</v>
      </c>
      <c r="F1265" s="108" t="s">
        <v>3717</v>
      </c>
      <c r="G1265" s="110"/>
      <c r="H1265" s="108"/>
      <c r="I1265" s="108"/>
    </row>
    <row r="1266" spans="1:9">
      <c r="A1266" s="108" t="s">
        <v>16214</v>
      </c>
      <c r="B1266" s="108" t="s">
        <v>16283</v>
      </c>
      <c r="C1266" s="109">
        <v>46219</v>
      </c>
      <c r="D1266" s="108"/>
      <c r="E1266" s="108" t="s">
        <v>14605</v>
      </c>
      <c r="F1266" s="108" t="s">
        <v>15968</v>
      </c>
      <c r="G1266" s="110"/>
      <c r="H1266" s="108"/>
      <c r="I1266" s="108"/>
    </row>
    <row r="1267" spans="1:9">
      <c r="A1267" s="108" t="s">
        <v>16214</v>
      </c>
      <c r="B1267" s="108" t="s">
        <v>16284</v>
      </c>
      <c r="C1267" s="109">
        <v>46136</v>
      </c>
      <c r="D1267" s="108"/>
      <c r="E1267" s="108" t="s">
        <v>14605</v>
      </c>
      <c r="F1267" s="108" t="s">
        <v>212</v>
      </c>
      <c r="G1267" s="110"/>
      <c r="H1267" s="108"/>
      <c r="I1267" s="108"/>
    </row>
    <row r="1268" spans="1:9">
      <c r="A1268" s="108" t="s">
        <v>16214</v>
      </c>
      <c r="B1268" s="108" t="s">
        <v>16285</v>
      </c>
      <c r="C1268" s="109">
        <v>46246</v>
      </c>
      <c r="D1268" s="108"/>
      <c r="E1268" s="108" t="s">
        <v>14605</v>
      </c>
      <c r="F1268" s="108" t="s">
        <v>433</v>
      </c>
      <c r="G1268" s="110"/>
      <c r="H1268" s="108"/>
      <c r="I1268" s="108"/>
    </row>
    <row r="1269" spans="1:9">
      <c r="A1269" s="108" t="s">
        <v>16214</v>
      </c>
      <c r="B1269" s="108" t="s">
        <v>16286</v>
      </c>
      <c r="C1269" s="109">
        <v>46127</v>
      </c>
      <c r="D1269" s="108"/>
      <c r="E1269" s="108" t="s">
        <v>14605</v>
      </c>
      <c r="F1269" s="108" t="s">
        <v>111</v>
      </c>
      <c r="G1269" s="110"/>
      <c r="H1269" s="108"/>
      <c r="I1269" s="108"/>
    </row>
    <row r="1270" spans="1:9">
      <c r="A1270" s="108" t="s">
        <v>16224</v>
      </c>
      <c r="B1270" s="108" t="s">
        <v>16287</v>
      </c>
      <c r="C1270" s="109">
        <v>46160</v>
      </c>
      <c r="D1270" s="108"/>
      <c r="E1270" s="108" t="s">
        <v>14605</v>
      </c>
      <c r="F1270" s="108" t="s">
        <v>16288</v>
      </c>
      <c r="G1270" s="110"/>
      <c r="H1270" s="108"/>
      <c r="I1270" s="108"/>
    </row>
    <row r="1271" spans="1:9">
      <c r="A1271" s="108" t="s">
        <v>16214</v>
      </c>
      <c r="B1271" s="108" t="s">
        <v>16289</v>
      </c>
      <c r="C1271" s="109">
        <v>46146</v>
      </c>
      <c r="D1271" s="108"/>
      <c r="E1271" s="108" t="s">
        <v>14605</v>
      </c>
      <c r="F1271" s="108" t="s">
        <v>151</v>
      </c>
      <c r="G1271" s="110"/>
      <c r="H1271" s="108"/>
      <c r="I1271" s="108"/>
    </row>
    <row r="1272" spans="1:9">
      <c r="A1272" s="108" t="s">
        <v>16214</v>
      </c>
      <c r="B1272" s="108" t="s">
        <v>16290</v>
      </c>
      <c r="C1272" s="109">
        <v>46115</v>
      </c>
      <c r="D1272" s="108"/>
      <c r="E1272" s="108" t="s">
        <v>14605</v>
      </c>
      <c r="F1272" s="108" t="s">
        <v>129</v>
      </c>
      <c r="G1272" s="110"/>
      <c r="H1272" s="108"/>
      <c r="I1272" s="108"/>
    </row>
    <row r="1273" spans="1:9">
      <c r="A1273" s="108" t="s">
        <v>16214</v>
      </c>
      <c r="B1273" s="108" t="s">
        <v>16291</v>
      </c>
      <c r="C1273" s="109">
        <v>46113</v>
      </c>
      <c r="D1273" s="108"/>
      <c r="E1273" s="108" t="s">
        <v>14605</v>
      </c>
      <c r="F1273" s="108" t="s">
        <v>2895</v>
      </c>
      <c r="G1273" s="110"/>
      <c r="H1273" s="108"/>
      <c r="I1273" s="108"/>
    </row>
    <row r="1274" spans="1:9">
      <c r="A1274" s="108" t="s">
        <v>16214</v>
      </c>
      <c r="B1274" s="108" t="s">
        <v>16292</v>
      </c>
      <c r="C1274" s="109">
        <v>46136</v>
      </c>
      <c r="D1274" s="108"/>
      <c r="E1274" s="108" t="s">
        <v>14605</v>
      </c>
      <c r="F1274" s="108" t="s">
        <v>212</v>
      </c>
      <c r="G1274" s="110"/>
      <c r="H1274" s="108"/>
      <c r="I1274" s="108"/>
    </row>
    <row r="1275" spans="1:9">
      <c r="A1275" s="108" t="s">
        <v>16214</v>
      </c>
      <c r="B1275" s="108" t="s">
        <v>16293</v>
      </c>
      <c r="C1275" s="109">
        <v>46120</v>
      </c>
      <c r="D1275" s="108"/>
      <c r="E1275" s="108" t="s">
        <v>14605</v>
      </c>
      <c r="F1275" s="108" t="s">
        <v>212</v>
      </c>
      <c r="G1275" s="110"/>
      <c r="H1275" s="108"/>
      <c r="I1275" s="108"/>
    </row>
    <row r="1276" spans="1:9">
      <c r="A1276" s="108" t="s">
        <v>16214</v>
      </c>
      <c r="B1276" s="108" t="s">
        <v>16294</v>
      </c>
      <c r="C1276" s="109">
        <v>46197</v>
      </c>
      <c r="D1276" s="108"/>
      <c r="E1276" s="108" t="s">
        <v>14605</v>
      </c>
      <c r="F1276" s="108" t="s">
        <v>3855</v>
      </c>
      <c r="G1276" s="110"/>
      <c r="H1276" s="108"/>
      <c r="I1276" s="108"/>
    </row>
    <row r="1277" spans="1:9">
      <c r="A1277" s="108" t="s">
        <v>16214</v>
      </c>
      <c r="B1277" s="108" t="s">
        <v>16295</v>
      </c>
      <c r="C1277" s="109">
        <v>46149</v>
      </c>
      <c r="D1277" s="108"/>
      <c r="E1277" s="108" t="s">
        <v>14605</v>
      </c>
      <c r="F1277" s="108" t="s">
        <v>1322</v>
      </c>
      <c r="G1277" s="110"/>
      <c r="H1277" s="108"/>
      <c r="I1277" s="108"/>
    </row>
    <row r="1278" spans="1:9" ht="27.6">
      <c r="A1278" s="108" t="s">
        <v>16214</v>
      </c>
      <c r="B1278" s="108" t="s">
        <v>16296</v>
      </c>
      <c r="C1278" s="109">
        <v>46145</v>
      </c>
      <c r="D1278" s="108"/>
      <c r="E1278" s="108" t="s">
        <v>14605</v>
      </c>
      <c r="F1278" s="108" t="s">
        <v>4251</v>
      </c>
      <c r="G1278" s="110"/>
      <c r="H1278" s="108"/>
      <c r="I1278" s="108"/>
    </row>
    <row r="1279" spans="1:9">
      <c r="A1279" s="108" t="s">
        <v>16214</v>
      </c>
      <c r="B1279" s="108" t="s">
        <v>16297</v>
      </c>
      <c r="C1279" s="109">
        <v>46192</v>
      </c>
      <c r="D1279" s="108"/>
      <c r="E1279" s="108" t="s">
        <v>14605</v>
      </c>
      <c r="F1279" s="108" t="s">
        <v>16211</v>
      </c>
      <c r="G1279" s="110"/>
      <c r="H1279" s="108"/>
      <c r="I1279" s="108"/>
    </row>
    <row r="1280" spans="1:9">
      <c r="A1280" s="108" t="s">
        <v>16214</v>
      </c>
      <c r="B1280" s="108" t="s">
        <v>16298</v>
      </c>
      <c r="C1280" s="109">
        <v>46161</v>
      </c>
      <c r="D1280" s="108"/>
      <c r="E1280" s="108" t="s">
        <v>14605</v>
      </c>
      <c r="F1280" s="108" t="s">
        <v>1434</v>
      </c>
      <c r="G1280" s="110"/>
      <c r="H1280" s="108"/>
      <c r="I1280" s="108"/>
    </row>
    <row r="1281" spans="1:9">
      <c r="A1281" s="108" t="s">
        <v>16214</v>
      </c>
      <c r="B1281" s="108" t="s">
        <v>16299</v>
      </c>
      <c r="C1281" s="109">
        <v>46212</v>
      </c>
      <c r="D1281" s="108"/>
      <c r="E1281" s="108" t="s">
        <v>14605</v>
      </c>
      <c r="F1281" s="108" t="s">
        <v>16300</v>
      </c>
      <c r="G1281" s="110"/>
      <c r="H1281" s="108"/>
      <c r="I1281" s="108"/>
    </row>
    <row r="1282" spans="1:9">
      <c r="A1282" s="108" t="s">
        <v>16214</v>
      </c>
      <c r="B1282" s="108" t="s">
        <v>16301</v>
      </c>
      <c r="C1282" s="109">
        <v>46195</v>
      </c>
      <c r="D1282" s="108"/>
      <c r="E1282" s="108" t="s">
        <v>14605</v>
      </c>
      <c r="F1282" s="108" t="s">
        <v>4576</v>
      </c>
      <c r="G1282" s="110"/>
      <c r="H1282" s="108"/>
      <c r="I1282" s="108"/>
    </row>
    <row r="1283" spans="1:9">
      <c r="A1283" s="108" t="s">
        <v>121</v>
      </c>
      <c r="B1283" s="108" t="s">
        <v>16302</v>
      </c>
      <c r="C1283" s="109">
        <v>46280</v>
      </c>
      <c r="D1283" s="108"/>
      <c r="E1283" s="108" t="s">
        <v>14605</v>
      </c>
      <c r="F1283" s="108" t="s">
        <v>14764</v>
      </c>
      <c r="G1283" s="110"/>
      <c r="H1283" s="108"/>
      <c r="I1283" s="108"/>
    </row>
    <row r="1284" spans="1:9">
      <c r="A1284" s="108" t="s">
        <v>16214</v>
      </c>
      <c r="B1284" s="108" t="s">
        <v>16303</v>
      </c>
      <c r="C1284" s="109">
        <v>46211</v>
      </c>
      <c r="D1284" s="108"/>
      <c r="E1284" s="108" t="s">
        <v>14605</v>
      </c>
      <c r="F1284" s="108" t="s">
        <v>816</v>
      </c>
      <c r="G1284" s="110"/>
      <c r="H1284" s="108"/>
      <c r="I1284" s="108"/>
    </row>
    <row r="1285" spans="1:9">
      <c r="A1285" s="108" t="s">
        <v>16214</v>
      </c>
      <c r="B1285" s="108" t="s">
        <v>16304</v>
      </c>
      <c r="C1285" s="109">
        <v>46211</v>
      </c>
      <c r="D1285" s="108"/>
      <c r="E1285" s="108" t="s">
        <v>14605</v>
      </c>
      <c r="F1285" s="108" t="s">
        <v>816</v>
      </c>
      <c r="G1285" s="110"/>
      <c r="H1285" s="108"/>
      <c r="I1285" s="108"/>
    </row>
    <row r="1286" spans="1:9">
      <c r="A1286" s="108" t="s">
        <v>16214</v>
      </c>
      <c r="B1286" s="108" t="s">
        <v>16305</v>
      </c>
      <c r="C1286" s="109">
        <v>46219</v>
      </c>
      <c r="D1286" s="108"/>
      <c r="E1286" s="108" t="s">
        <v>14605</v>
      </c>
      <c r="F1286" s="108" t="s">
        <v>16306</v>
      </c>
      <c r="G1286" s="110"/>
      <c r="H1286" s="108"/>
      <c r="I1286" s="108"/>
    </row>
    <row r="1287" spans="1:9">
      <c r="A1287" s="108" t="s">
        <v>16214</v>
      </c>
      <c r="B1287" s="108" t="s">
        <v>16307</v>
      </c>
      <c r="C1287" s="109">
        <v>46276</v>
      </c>
      <c r="D1287" s="108"/>
      <c r="E1287" s="108" t="s">
        <v>14605</v>
      </c>
      <c r="F1287" s="108" t="s">
        <v>16308</v>
      </c>
      <c r="G1287" s="110"/>
      <c r="H1287" s="108"/>
      <c r="I1287" s="108"/>
    </row>
    <row r="1288" spans="1:9">
      <c r="A1288" s="108" t="s">
        <v>16214</v>
      </c>
      <c r="B1288" s="108" t="s">
        <v>16309</v>
      </c>
      <c r="C1288" s="109">
        <v>46227</v>
      </c>
      <c r="D1288" s="108"/>
      <c r="E1288" s="108" t="s">
        <v>14605</v>
      </c>
      <c r="F1288" s="108" t="s">
        <v>4005</v>
      </c>
      <c r="G1288" s="110"/>
      <c r="H1288" s="108"/>
      <c r="I1288" s="108"/>
    </row>
    <row r="1289" spans="1:9">
      <c r="A1289" s="108" t="s">
        <v>16214</v>
      </c>
      <c r="B1289" s="108" t="s">
        <v>16310</v>
      </c>
      <c r="C1289" s="109">
        <v>46209</v>
      </c>
      <c r="D1289" s="108"/>
      <c r="E1289" s="108" t="s">
        <v>14605</v>
      </c>
      <c r="F1289" s="108" t="s">
        <v>3777</v>
      </c>
      <c r="G1289" s="110"/>
      <c r="H1289" s="108"/>
      <c r="I1289" s="108"/>
    </row>
    <row r="1290" spans="1:9">
      <c r="A1290" s="108" t="s">
        <v>16214</v>
      </c>
      <c r="B1290" s="108" t="s">
        <v>16311</v>
      </c>
      <c r="C1290" s="109">
        <v>46231</v>
      </c>
      <c r="D1290" s="108"/>
      <c r="E1290" s="108" t="s">
        <v>14605</v>
      </c>
      <c r="F1290" s="108" t="s">
        <v>16312</v>
      </c>
      <c r="G1290" s="110"/>
      <c r="H1290" s="108"/>
      <c r="I1290" s="108"/>
    </row>
    <row r="1291" spans="1:9">
      <c r="A1291" s="108" t="s">
        <v>16214</v>
      </c>
      <c r="B1291" s="108" t="s">
        <v>16313</v>
      </c>
      <c r="C1291" s="109">
        <v>46232</v>
      </c>
      <c r="D1291" s="108"/>
      <c r="E1291" s="108" t="s">
        <v>14605</v>
      </c>
      <c r="F1291" s="108" t="s">
        <v>4319</v>
      </c>
      <c r="G1291" s="110"/>
      <c r="H1291" s="108"/>
      <c r="I1291" s="108"/>
    </row>
    <row r="1292" spans="1:9">
      <c r="A1292" s="108" t="s">
        <v>16214</v>
      </c>
      <c r="B1292" s="108" t="s">
        <v>16314</v>
      </c>
      <c r="C1292" s="109">
        <v>46216</v>
      </c>
      <c r="D1292" s="108"/>
      <c r="E1292" s="108" t="s">
        <v>14605</v>
      </c>
      <c r="F1292" s="108" t="s">
        <v>904</v>
      </c>
      <c r="G1292" s="110"/>
      <c r="H1292" s="108"/>
      <c r="I1292" s="108"/>
    </row>
    <row r="1293" spans="1:9">
      <c r="A1293" s="108" t="s">
        <v>16224</v>
      </c>
      <c r="B1293" s="108" t="s">
        <v>16315</v>
      </c>
      <c r="C1293" s="109">
        <v>46268</v>
      </c>
      <c r="D1293" s="108"/>
      <c r="E1293" s="108" t="s">
        <v>14605</v>
      </c>
      <c r="F1293" s="108" t="s">
        <v>4546</v>
      </c>
      <c r="G1293" s="110"/>
      <c r="H1293" s="108"/>
      <c r="I1293" s="108"/>
    </row>
    <row r="1294" spans="1:9">
      <c r="A1294" s="108" t="s">
        <v>16214</v>
      </c>
      <c r="B1294" s="108" t="s">
        <v>16316</v>
      </c>
      <c r="C1294" s="109">
        <v>46260</v>
      </c>
      <c r="D1294" s="108"/>
      <c r="E1294" s="108" t="s">
        <v>14605</v>
      </c>
      <c r="F1294" s="108" t="s">
        <v>16317</v>
      </c>
      <c r="G1294" s="110"/>
      <c r="H1294" s="108"/>
      <c r="I1294" s="108"/>
    </row>
    <row r="1295" spans="1:9">
      <c r="A1295" s="108" t="s">
        <v>16214</v>
      </c>
      <c r="B1295" s="108" t="s">
        <v>16318</v>
      </c>
      <c r="C1295" s="109">
        <v>46276</v>
      </c>
      <c r="D1295" s="108"/>
      <c r="E1295" s="108" t="s">
        <v>14605</v>
      </c>
      <c r="F1295" s="108" t="s">
        <v>2967</v>
      </c>
      <c r="G1295" s="110"/>
      <c r="H1295" s="108"/>
      <c r="I1295" s="108"/>
    </row>
    <row r="1296" spans="1:9" ht="27.6">
      <c r="A1296" s="108" t="s">
        <v>16214</v>
      </c>
      <c r="B1296" s="108" t="s">
        <v>16319</v>
      </c>
      <c r="C1296" s="109">
        <v>46282</v>
      </c>
      <c r="D1296" s="108"/>
      <c r="E1296" s="108" t="s">
        <v>14605</v>
      </c>
      <c r="F1296" s="108" t="s">
        <v>2795</v>
      </c>
      <c r="G1296" s="110"/>
      <c r="H1296" s="108"/>
      <c r="I1296" s="108"/>
    </row>
    <row r="1297" spans="1:9">
      <c r="A1297" s="108" t="s">
        <v>16214</v>
      </c>
      <c r="B1297" s="108" t="s">
        <v>16320</v>
      </c>
      <c r="C1297" s="109">
        <v>46279</v>
      </c>
      <c r="D1297" s="108"/>
      <c r="E1297" s="108" t="s">
        <v>14605</v>
      </c>
      <c r="F1297" s="108" t="s">
        <v>14672</v>
      </c>
      <c r="G1297" s="110"/>
      <c r="H1297" s="108"/>
      <c r="I1297" s="108"/>
    </row>
    <row r="1298" spans="1:9">
      <c r="A1298" s="108" t="s">
        <v>16214</v>
      </c>
      <c r="B1298" s="108" t="s">
        <v>16321</v>
      </c>
      <c r="C1298" s="109">
        <v>46283</v>
      </c>
      <c r="D1298" s="108"/>
      <c r="E1298" s="108" t="s">
        <v>14605</v>
      </c>
      <c r="F1298" s="108" t="s">
        <v>16322</v>
      </c>
      <c r="G1298" s="110"/>
      <c r="H1298" s="108"/>
      <c r="I1298" s="108"/>
    </row>
    <row r="1299" spans="1:9">
      <c r="A1299" s="108" t="s">
        <v>16214</v>
      </c>
      <c r="B1299" s="108" t="s">
        <v>16323</v>
      </c>
      <c r="C1299" s="109">
        <v>46268</v>
      </c>
      <c r="D1299" s="108"/>
      <c r="E1299" s="108" t="s">
        <v>14605</v>
      </c>
      <c r="F1299" s="108" t="s">
        <v>4947</v>
      </c>
      <c r="G1299" s="110"/>
      <c r="H1299" s="108"/>
      <c r="I1299" s="108"/>
    </row>
    <row r="1300" spans="1:9" ht="27.6">
      <c r="A1300" s="108" t="s">
        <v>16214</v>
      </c>
      <c r="B1300" s="108" t="s">
        <v>16324</v>
      </c>
      <c r="C1300" s="109">
        <v>45953</v>
      </c>
      <c r="D1300" s="108"/>
      <c r="E1300" s="108" t="s">
        <v>14605</v>
      </c>
      <c r="F1300" s="108" t="s">
        <v>16325</v>
      </c>
      <c r="G1300" s="110"/>
      <c r="H1300" s="108"/>
      <c r="I1300" s="108"/>
    </row>
    <row r="1301" spans="1:9" ht="27.6">
      <c r="A1301" s="108" t="s">
        <v>16214</v>
      </c>
      <c r="B1301" s="108" t="s">
        <v>16326</v>
      </c>
      <c r="C1301" s="109">
        <v>45953</v>
      </c>
      <c r="D1301" s="108"/>
      <c r="E1301" s="108" t="s">
        <v>14605</v>
      </c>
      <c r="F1301" s="108" t="s">
        <v>16325</v>
      </c>
      <c r="G1301" s="110"/>
      <c r="H1301" s="108"/>
      <c r="I1301" s="108"/>
    </row>
    <row r="1302" spans="1:9">
      <c r="A1302" s="108" t="s">
        <v>16214</v>
      </c>
      <c r="B1302" s="108" t="s">
        <v>16327</v>
      </c>
      <c r="C1302" s="109">
        <v>46067</v>
      </c>
      <c r="D1302" s="108"/>
      <c r="E1302" s="108" t="s">
        <v>14605</v>
      </c>
      <c r="F1302" s="108" t="s">
        <v>16328</v>
      </c>
      <c r="G1302" s="110"/>
      <c r="H1302" s="108"/>
      <c r="I1302" s="108"/>
    </row>
    <row r="1303" spans="1:9">
      <c r="A1303" s="108" t="s">
        <v>16221</v>
      </c>
      <c r="B1303" s="108" t="s">
        <v>16329</v>
      </c>
      <c r="C1303" s="109">
        <v>46257</v>
      </c>
      <c r="D1303" s="108"/>
      <c r="E1303" s="108" t="s">
        <v>14605</v>
      </c>
      <c r="F1303" s="108" t="s">
        <v>15989</v>
      </c>
      <c r="G1303" s="110"/>
      <c r="H1303" s="108"/>
      <c r="I1303" s="108"/>
    </row>
    <row r="1304" spans="1:9">
      <c r="A1304" s="108" t="s">
        <v>16224</v>
      </c>
      <c r="B1304" s="108" t="s">
        <v>16330</v>
      </c>
      <c r="C1304" s="109">
        <v>46160</v>
      </c>
      <c r="D1304" s="108"/>
      <c r="E1304" s="108" t="s">
        <v>14605</v>
      </c>
      <c r="F1304" s="108" t="s">
        <v>16051</v>
      </c>
      <c r="G1304" s="110"/>
      <c r="H1304" s="108"/>
      <c r="I1304" s="108"/>
    </row>
    <row r="1305" spans="1:9" ht="27.6">
      <c r="A1305" s="108" t="s">
        <v>16221</v>
      </c>
      <c r="B1305" s="108" t="s">
        <v>16331</v>
      </c>
      <c r="C1305" s="109">
        <v>46184</v>
      </c>
      <c r="D1305" s="108"/>
      <c r="E1305" s="108" t="s">
        <v>14605</v>
      </c>
      <c r="F1305" s="108" t="s">
        <v>4835</v>
      </c>
      <c r="G1305" s="110"/>
      <c r="H1305" s="108"/>
      <c r="I1305" s="108"/>
    </row>
    <row r="1306" spans="1:9">
      <c r="A1306" s="108" t="s">
        <v>16224</v>
      </c>
      <c r="B1306" s="108" t="s">
        <v>16332</v>
      </c>
      <c r="C1306" s="109">
        <v>46177</v>
      </c>
      <c r="D1306" s="108"/>
      <c r="E1306" s="108" t="s">
        <v>14605</v>
      </c>
      <c r="F1306" s="108" t="s">
        <v>16333</v>
      </c>
      <c r="G1306" s="110"/>
      <c r="H1306" s="108"/>
      <c r="I1306" s="108"/>
    </row>
    <row r="1307" spans="1:9" ht="27.6">
      <c r="A1307" s="108" t="s">
        <v>16224</v>
      </c>
      <c r="B1307" s="108" t="s">
        <v>16334</v>
      </c>
      <c r="C1307" s="109">
        <v>46283</v>
      </c>
      <c r="D1307" s="108"/>
      <c r="E1307" s="108" t="s">
        <v>14605</v>
      </c>
      <c r="F1307" s="108" t="s">
        <v>2844</v>
      </c>
      <c r="G1307" s="110"/>
      <c r="H1307" s="108"/>
      <c r="I1307" s="108"/>
    </row>
    <row r="1308" spans="1:9" ht="27.6">
      <c r="A1308" s="108" t="s">
        <v>121</v>
      </c>
      <c r="B1308" s="108" t="s">
        <v>16335</v>
      </c>
      <c r="C1308" s="109">
        <v>45876</v>
      </c>
      <c r="D1308" s="108"/>
      <c r="E1308" s="108" t="s">
        <v>14605</v>
      </c>
      <c r="F1308" s="108" t="s">
        <v>15137</v>
      </c>
      <c r="G1308" s="110"/>
      <c r="H1308" s="108"/>
      <c r="I1308" s="108"/>
    </row>
    <row r="1309" spans="1:9">
      <c r="A1309" s="108" t="s">
        <v>121</v>
      </c>
      <c r="B1309" s="108" t="s">
        <v>16336</v>
      </c>
      <c r="C1309" s="109">
        <v>45895</v>
      </c>
      <c r="D1309" s="108"/>
      <c r="E1309" s="108" t="s">
        <v>14605</v>
      </c>
      <c r="F1309" s="108" t="s">
        <v>15887</v>
      </c>
      <c r="G1309" s="110"/>
      <c r="H1309" s="108"/>
      <c r="I1309" s="108"/>
    </row>
    <row r="1310" spans="1:9">
      <c r="A1310" s="108" t="s">
        <v>16214</v>
      </c>
      <c r="B1310" s="108" t="s">
        <v>16337</v>
      </c>
      <c r="C1310" s="109">
        <v>45919</v>
      </c>
      <c r="D1310" s="108"/>
      <c r="E1310" s="108" t="s">
        <v>14605</v>
      </c>
      <c r="F1310" s="108" t="s">
        <v>15761</v>
      </c>
      <c r="G1310" s="110"/>
      <c r="H1310" s="108"/>
      <c r="I1310" s="108"/>
    </row>
    <row r="1311" spans="1:9">
      <c r="A1311" s="108" t="s">
        <v>16237</v>
      </c>
      <c r="B1311" s="108" t="s">
        <v>16338</v>
      </c>
      <c r="C1311" s="109">
        <v>46009</v>
      </c>
      <c r="D1311" s="108"/>
      <c r="E1311" s="108" t="s">
        <v>14605</v>
      </c>
      <c r="F1311" s="108" t="s">
        <v>14764</v>
      </c>
      <c r="G1311" s="110"/>
      <c r="H1311" s="108"/>
      <c r="I1311" s="108"/>
    </row>
    <row r="1312" spans="1:9">
      <c r="A1312" s="108" t="s">
        <v>16214</v>
      </c>
      <c r="B1312" s="108" t="s">
        <v>16339</v>
      </c>
      <c r="C1312" s="109">
        <v>46171</v>
      </c>
      <c r="D1312" s="108"/>
      <c r="E1312" s="108" t="s">
        <v>14605</v>
      </c>
      <c r="F1312" s="108" t="s">
        <v>15942</v>
      </c>
      <c r="G1312" s="110"/>
      <c r="H1312" s="108"/>
      <c r="I1312" s="108"/>
    </row>
    <row r="1313" spans="1:9">
      <c r="A1313" s="108" t="s">
        <v>16214</v>
      </c>
      <c r="B1313" s="108" t="s">
        <v>16340</v>
      </c>
      <c r="C1313" s="109">
        <v>45961</v>
      </c>
      <c r="D1313" s="108"/>
      <c r="E1313" s="108" t="s">
        <v>14605</v>
      </c>
      <c r="F1313" s="108" t="s">
        <v>15589</v>
      </c>
      <c r="G1313" s="110"/>
      <c r="H1313" s="108"/>
      <c r="I1313" s="108"/>
    </row>
    <row r="1314" spans="1:9">
      <c r="A1314" s="108" t="s">
        <v>16214</v>
      </c>
      <c r="B1314" s="108" t="s">
        <v>16341</v>
      </c>
      <c r="C1314" s="109">
        <v>46114</v>
      </c>
      <c r="D1314" s="108"/>
      <c r="E1314" s="108" t="s">
        <v>14605</v>
      </c>
      <c r="F1314" s="108" t="s">
        <v>16342</v>
      </c>
      <c r="G1314" s="110"/>
      <c r="H1314" s="108"/>
      <c r="I1314" s="108"/>
    </row>
    <row r="1315" spans="1:9">
      <c r="A1315" s="108" t="s">
        <v>16214</v>
      </c>
      <c r="B1315" s="108" t="s">
        <v>16343</v>
      </c>
      <c r="C1315" s="109">
        <v>46080</v>
      </c>
      <c r="D1315" s="108"/>
      <c r="E1315" s="108" t="s">
        <v>14605</v>
      </c>
      <c r="F1315" s="108" t="s">
        <v>15589</v>
      </c>
      <c r="G1315" s="110"/>
      <c r="H1315" s="108"/>
      <c r="I1315" s="108"/>
    </row>
    <row r="1316" spans="1:9">
      <c r="A1316" s="108" t="s">
        <v>16224</v>
      </c>
      <c r="B1316" s="108" t="s">
        <v>16344</v>
      </c>
      <c r="C1316" s="109">
        <v>45954</v>
      </c>
      <c r="D1316" s="108"/>
      <c r="E1316" s="108" t="s">
        <v>14605</v>
      </c>
      <c r="F1316" s="108" t="s">
        <v>16345</v>
      </c>
      <c r="G1316" s="110"/>
      <c r="H1316" s="108"/>
      <c r="I1316" s="108"/>
    </row>
    <row r="1317" spans="1:9">
      <c r="A1317" s="108" t="s">
        <v>16214</v>
      </c>
      <c r="B1317" s="108" t="s">
        <v>16346</v>
      </c>
      <c r="C1317" s="109">
        <v>46003</v>
      </c>
      <c r="D1317" s="108"/>
      <c r="E1317" s="108" t="s">
        <v>14605</v>
      </c>
      <c r="F1317" s="108" t="s">
        <v>15589</v>
      </c>
      <c r="G1317" s="110"/>
      <c r="H1317" s="108"/>
      <c r="I1317" s="108"/>
    </row>
    <row r="1318" spans="1:9">
      <c r="A1318" s="108" t="s">
        <v>16214</v>
      </c>
      <c r="B1318" s="108" t="s">
        <v>16347</v>
      </c>
      <c r="C1318" s="109">
        <v>46035</v>
      </c>
      <c r="D1318" s="108"/>
      <c r="E1318" s="108" t="s">
        <v>14605</v>
      </c>
      <c r="F1318" s="108" t="s">
        <v>15097</v>
      </c>
      <c r="G1318" s="110"/>
      <c r="H1318" s="108"/>
      <c r="I1318" s="108"/>
    </row>
    <row r="1319" spans="1:9">
      <c r="A1319" s="108" t="s">
        <v>16214</v>
      </c>
      <c r="B1319" s="108" t="s">
        <v>16348</v>
      </c>
      <c r="C1319" s="109">
        <v>46014</v>
      </c>
      <c r="D1319" s="108"/>
      <c r="E1319" s="108" t="s">
        <v>14605</v>
      </c>
      <c r="F1319" s="108" t="s">
        <v>15989</v>
      </c>
      <c r="G1319" s="110"/>
      <c r="H1319" s="108"/>
      <c r="I1319" s="108"/>
    </row>
    <row r="1320" spans="1:9">
      <c r="A1320" s="108" t="s">
        <v>16221</v>
      </c>
      <c r="B1320" s="108" t="s">
        <v>16349</v>
      </c>
      <c r="C1320" s="109">
        <v>46048</v>
      </c>
      <c r="D1320" s="108"/>
      <c r="E1320" s="108" t="s">
        <v>16121</v>
      </c>
      <c r="F1320" s="108" t="s">
        <v>16350</v>
      </c>
      <c r="G1320" s="110"/>
      <c r="H1320" s="108"/>
      <c r="I1320" s="108"/>
    </row>
    <row r="1321" spans="1:9" ht="27.6">
      <c r="A1321" s="108" t="s">
        <v>16214</v>
      </c>
      <c r="B1321" s="108" t="s">
        <v>16351</v>
      </c>
      <c r="C1321" s="109">
        <v>46032</v>
      </c>
      <c r="D1321" s="108"/>
      <c r="E1321" s="108" t="s">
        <v>14605</v>
      </c>
      <c r="F1321" s="108" t="s">
        <v>16035</v>
      </c>
      <c r="G1321" s="110"/>
      <c r="H1321" s="108"/>
      <c r="I1321" s="108"/>
    </row>
    <row r="1322" spans="1:9">
      <c r="A1322" s="108" t="s">
        <v>16214</v>
      </c>
      <c r="B1322" s="108" t="s">
        <v>16352</v>
      </c>
      <c r="C1322" s="109">
        <v>46050</v>
      </c>
      <c r="D1322" s="108"/>
      <c r="E1322" s="108" t="s">
        <v>14605</v>
      </c>
      <c r="F1322" s="108" t="s">
        <v>16353</v>
      </c>
      <c r="G1322" s="110"/>
      <c r="H1322" s="108"/>
      <c r="I1322" s="108"/>
    </row>
    <row r="1323" spans="1:9">
      <c r="A1323" s="108" t="s">
        <v>16214</v>
      </c>
      <c r="B1323" s="108" t="s">
        <v>16354</v>
      </c>
      <c r="C1323" s="109">
        <v>46049</v>
      </c>
      <c r="D1323" s="108"/>
      <c r="E1323" s="108" t="s">
        <v>14605</v>
      </c>
      <c r="F1323" s="108" t="s">
        <v>16353</v>
      </c>
      <c r="G1323" s="110"/>
      <c r="H1323" s="108"/>
      <c r="I1323" s="108"/>
    </row>
    <row r="1324" spans="1:9">
      <c r="A1324" s="108" t="s">
        <v>16224</v>
      </c>
      <c r="B1324" s="108" t="s">
        <v>16355</v>
      </c>
      <c r="C1324" s="109">
        <v>46029</v>
      </c>
      <c r="D1324" s="108"/>
      <c r="E1324" s="108" t="s">
        <v>14605</v>
      </c>
      <c r="F1324" s="108" t="s">
        <v>15106</v>
      </c>
      <c r="G1324" s="110"/>
      <c r="H1324" s="108"/>
      <c r="I1324" s="108"/>
    </row>
    <row r="1325" spans="1:9">
      <c r="A1325" s="108" t="s">
        <v>16214</v>
      </c>
      <c r="B1325" s="108" t="s">
        <v>16356</v>
      </c>
      <c r="C1325" s="109">
        <v>46255</v>
      </c>
      <c r="D1325" s="108"/>
      <c r="E1325" s="108" t="s">
        <v>14605</v>
      </c>
      <c r="F1325" s="108" t="s">
        <v>16357</v>
      </c>
      <c r="G1325" s="110"/>
      <c r="H1325" s="108"/>
      <c r="I1325" s="108"/>
    </row>
    <row r="1326" spans="1:9">
      <c r="A1326" s="108" t="s">
        <v>16214</v>
      </c>
      <c r="B1326" s="108" t="s">
        <v>16358</v>
      </c>
      <c r="C1326" s="109">
        <v>46043</v>
      </c>
      <c r="D1326" s="108"/>
      <c r="E1326" s="108" t="s">
        <v>14605</v>
      </c>
      <c r="F1326" s="108" t="s">
        <v>16359</v>
      </c>
      <c r="G1326" s="110"/>
      <c r="H1326" s="108"/>
      <c r="I1326" s="108"/>
    </row>
    <row r="1327" spans="1:9">
      <c r="A1327" s="108" t="s">
        <v>16214</v>
      </c>
      <c r="B1327" s="108" t="s">
        <v>16360</v>
      </c>
      <c r="C1327" s="109">
        <v>46035</v>
      </c>
      <c r="D1327" s="108"/>
      <c r="E1327" s="108" t="s">
        <v>14605</v>
      </c>
      <c r="F1327" s="108" t="s">
        <v>16361</v>
      </c>
      <c r="G1327" s="110"/>
      <c r="H1327" s="108"/>
      <c r="I1327" s="108"/>
    </row>
    <row r="1328" spans="1:9">
      <c r="A1328" s="108" t="s">
        <v>16214</v>
      </c>
      <c r="B1328" s="108" t="s">
        <v>16362</v>
      </c>
      <c r="C1328" s="109">
        <v>46058</v>
      </c>
      <c r="D1328" s="108"/>
      <c r="E1328" s="108" t="s">
        <v>14605</v>
      </c>
      <c r="F1328" s="108" t="s">
        <v>14846</v>
      </c>
      <c r="G1328" s="110"/>
      <c r="H1328" s="108"/>
      <c r="I1328" s="108"/>
    </row>
    <row r="1329" spans="1:9">
      <c r="A1329" s="108" t="s">
        <v>16224</v>
      </c>
      <c r="B1329" s="108" t="s">
        <v>16363</v>
      </c>
      <c r="C1329" s="109">
        <v>46113</v>
      </c>
      <c r="D1329" s="108"/>
      <c r="E1329" s="108" t="s">
        <v>16121</v>
      </c>
      <c r="F1329" s="108" t="s">
        <v>16364</v>
      </c>
      <c r="G1329" s="110"/>
      <c r="H1329" s="108"/>
      <c r="I1329" s="108"/>
    </row>
    <row r="1330" spans="1:9">
      <c r="A1330" s="108" t="s">
        <v>16224</v>
      </c>
      <c r="B1330" s="108" t="s">
        <v>16365</v>
      </c>
      <c r="C1330" s="109">
        <v>46133</v>
      </c>
      <c r="D1330" s="108"/>
      <c r="E1330" s="108" t="s">
        <v>14605</v>
      </c>
      <c r="F1330" s="108" t="s">
        <v>14683</v>
      </c>
      <c r="G1330" s="110"/>
      <c r="H1330" s="108"/>
      <c r="I1330" s="108"/>
    </row>
    <row r="1331" spans="1:9" ht="27.6">
      <c r="A1331" s="108" t="s">
        <v>16214</v>
      </c>
      <c r="B1331" s="108" t="s">
        <v>16366</v>
      </c>
      <c r="C1331" s="109">
        <v>46036</v>
      </c>
      <c r="D1331" s="108"/>
      <c r="E1331" s="108" t="s">
        <v>14605</v>
      </c>
      <c r="F1331" s="108" t="s">
        <v>16367</v>
      </c>
      <c r="G1331" s="110"/>
      <c r="H1331" s="108"/>
      <c r="I1331" s="108"/>
    </row>
    <row r="1332" spans="1:9">
      <c r="A1332" s="108" t="s">
        <v>16224</v>
      </c>
      <c r="B1332" s="108" t="s">
        <v>16368</v>
      </c>
      <c r="C1332" s="109">
        <v>46133</v>
      </c>
      <c r="D1332" s="108"/>
      <c r="E1332" s="108" t="s">
        <v>14605</v>
      </c>
      <c r="F1332" s="108" t="s">
        <v>14683</v>
      </c>
      <c r="G1332" s="110"/>
      <c r="H1332" s="108"/>
      <c r="I1332" s="108"/>
    </row>
    <row r="1333" spans="1:9" ht="27.6">
      <c r="A1333" s="108" t="s">
        <v>16214</v>
      </c>
      <c r="B1333" s="108" t="s">
        <v>16369</v>
      </c>
      <c r="C1333" s="109">
        <v>46059</v>
      </c>
      <c r="D1333" s="108"/>
      <c r="E1333" s="108" t="s">
        <v>14605</v>
      </c>
      <c r="F1333" s="108" t="s">
        <v>15295</v>
      </c>
      <c r="G1333" s="110"/>
      <c r="H1333" s="108"/>
      <c r="I1333" s="108"/>
    </row>
    <row r="1334" spans="1:9">
      <c r="A1334" s="108" t="s">
        <v>16214</v>
      </c>
      <c r="B1334" s="108" t="s">
        <v>16370</v>
      </c>
      <c r="C1334" s="109">
        <v>46063</v>
      </c>
      <c r="D1334" s="108"/>
      <c r="E1334" s="108" t="s">
        <v>14605</v>
      </c>
      <c r="F1334" s="108" t="s">
        <v>15964</v>
      </c>
      <c r="G1334" s="110"/>
      <c r="H1334" s="108"/>
      <c r="I1334" s="108"/>
    </row>
    <row r="1335" spans="1:9" ht="27.6">
      <c r="A1335" s="108" t="s">
        <v>16214</v>
      </c>
      <c r="B1335" s="108" t="s">
        <v>16371</v>
      </c>
      <c r="C1335" s="109">
        <v>46136</v>
      </c>
      <c r="D1335" s="108"/>
      <c r="E1335" s="108" t="s">
        <v>14605</v>
      </c>
      <c r="F1335" s="108" t="s">
        <v>16372</v>
      </c>
      <c r="G1335" s="110"/>
      <c r="H1335" s="108"/>
      <c r="I1335" s="108"/>
    </row>
    <row r="1336" spans="1:9" ht="27.6">
      <c r="A1336" s="108" t="s">
        <v>16214</v>
      </c>
      <c r="B1336" s="108" t="s">
        <v>16373</v>
      </c>
      <c r="C1336" s="109">
        <v>46119</v>
      </c>
      <c r="D1336" s="108"/>
      <c r="E1336" s="108" t="s">
        <v>14605</v>
      </c>
      <c r="F1336" s="108" t="s">
        <v>16374</v>
      </c>
      <c r="G1336" s="110"/>
      <c r="H1336" s="108"/>
      <c r="I1336" s="108"/>
    </row>
    <row r="1337" spans="1:9">
      <c r="A1337" s="108" t="s">
        <v>16214</v>
      </c>
      <c r="B1337" s="108" t="s">
        <v>16375</v>
      </c>
      <c r="C1337" s="109">
        <v>46226</v>
      </c>
      <c r="D1337" s="108"/>
      <c r="E1337" s="108" t="s">
        <v>14605</v>
      </c>
      <c r="F1337" s="108" t="s">
        <v>15159</v>
      </c>
      <c r="G1337" s="110"/>
      <c r="H1337" s="108"/>
      <c r="I1337" s="108"/>
    </row>
    <row r="1338" spans="1:9">
      <c r="A1338" s="108" t="s">
        <v>16214</v>
      </c>
      <c r="B1338" s="108" t="s">
        <v>16376</v>
      </c>
      <c r="C1338" s="109">
        <v>46226</v>
      </c>
      <c r="D1338" s="108"/>
      <c r="E1338" s="108" t="s">
        <v>14605</v>
      </c>
      <c r="F1338" s="108" t="s">
        <v>15159</v>
      </c>
      <c r="G1338" s="110"/>
      <c r="H1338" s="108"/>
      <c r="I1338" s="108"/>
    </row>
    <row r="1339" spans="1:9">
      <c r="A1339" s="108" t="s">
        <v>16224</v>
      </c>
      <c r="B1339" s="108" t="s">
        <v>16377</v>
      </c>
      <c r="C1339" s="109">
        <v>46227</v>
      </c>
      <c r="D1339" s="108"/>
      <c r="E1339" s="108" t="s">
        <v>14605</v>
      </c>
      <c r="F1339" s="108" t="s">
        <v>15261</v>
      </c>
      <c r="G1339" s="110"/>
      <c r="H1339" s="108"/>
      <c r="I1339" s="108"/>
    </row>
    <row r="1340" spans="1:9">
      <c r="A1340" s="108" t="s">
        <v>16214</v>
      </c>
      <c r="B1340" s="108" t="s">
        <v>16378</v>
      </c>
      <c r="C1340" s="109">
        <v>46148</v>
      </c>
      <c r="D1340" s="108"/>
      <c r="E1340" s="108" t="s">
        <v>14605</v>
      </c>
      <c r="F1340" s="108" t="s">
        <v>15140</v>
      </c>
      <c r="G1340" s="110"/>
      <c r="H1340" s="108"/>
      <c r="I1340" s="108"/>
    </row>
    <row r="1341" spans="1:9">
      <c r="A1341" s="108" t="s">
        <v>16224</v>
      </c>
      <c r="B1341" s="108" t="s">
        <v>16379</v>
      </c>
      <c r="C1341" s="109">
        <v>46198</v>
      </c>
      <c r="D1341" s="108"/>
      <c r="E1341" s="108" t="s">
        <v>14605</v>
      </c>
      <c r="F1341" s="108" t="s">
        <v>14956</v>
      </c>
      <c r="G1341" s="110"/>
      <c r="H1341" s="108"/>
      <c r="I1341" s="108"/>
    </row>
    <row r="1342" spans="1:9">
      <c r="A1342" s="108" t="s">
        <v>16214</v>
      </c>
      <c r="B1342" s="108" t="s">
        <v>16380</v>
      </c>
      <c r="C1342" s="109">
        <v>46282</v>
      </c>
      <c r="D1342" s="108"/>
      <c r="E1342" s="108" t="s">
        <v>14605</v>
      </c>
      <c r="F1342" s="108" t="s">
        <v>15763</v>
      </c>
      <c r="G1342" s="110"/>
      <c r="H1342" s="108"/>
      <c r="I1342" s="108"/>
    </row>
    <row r="1343" spans="1:9">
      <c r="A1343" s="108" t="s">
        <v>16214</v>
      </c>
      <c r="B1343" s="108" t="s">
        <v>16381</v>
      </c>
      <c r="C1343" s="109">
        <v>46226</v>
      </c>
      <c r="D1343" s="108"/>
      <c r="E1343" s="108" t="s">
        <v>14605</v>
      </c>
      <c r="F1343" s="108" t="s">
        <v>16382</v>
      </c>
      <c r="G1343" s="110"/>
      <c r="H1343" s="108"/>
      <c r="I1343" s="108"/>
    </row>
    <row r="1344" spans="1:9">
      <c r="A1344" s="108" t="s">
        <v>16214</v>
      </c>
      <c r="B1344" s="108" t="s">
        <v>16383</v>
      </c>
      <c r="C1344" s="109">
        <v>46227</v>
      </c>
      <c r="D1344" s="108"/>
      <c r="E1344" s="108" t="s">
        <v>14605</v>
      </c>
      <c r="F1344" s="108" t="s">
        <v>16382</v>
      </c>
      <c r="G1344" s="110"/>
      <c r="H1344" s="108"/>
      <c r="I1344" s="108"/>
    </row>
    <row r="1345" spans="1:9">
      <c r="A1345" s="108" t="s">
        <v>16214</v>
      </c>
      <c r="B1345" s="108" t="s">
        <v>16384</v>
      </c>
      <c r="C1345" s="109">
        <v>46240</v>
      </c>
      <c r="D1345" s="108"/>
      <c r="E1345" s="108" t="s">
        <v>14605</v>
      </c>
      <c r="F1345" s="108" t="s">
        <v>16385</v>
      </c>
      <c r="G1345" s="110"/>
      <c r="H1345" s="108"/>
      <c r="I1345" s="108"/>
    </row>
    <row r="1346" spans="1:9" ht="27.6">
      <c r="A1346" s="108" t="s">
        <v>16224</v>
      </c>
      <c r="B1346" s="108" t="s">
        <v>16386</v>
      </c>
      <c r="C1346" s="109">
        <v>46262</v>
      </c>
      <c r="D1346" s="108"/>
      <c r="E1346" s="108" t="s">
        <v>14605</v>
      </c>
      <c r="F1346" s="108" t="s">
        <v>16387</v>
      </c>
      <c r="G1346" s="110"/>
      <c r="H1346" s="108"/>
      <c r="I1346" s="108"/>
    </row>
    <row r="1347" spans="1:9" ht="27.6">
      <c r="A1347" s="108" t="s">
        <v>16214</v>
      </c>
      <c r="B1347" s="108" t="s">
        <v>16388</v>
      </c>
      <c r="C1347" s="109">
        <v>46276</v>
      </c>
      <c r="D1347" s="108"/>
      <c r="E1347" s="108" t="s">
        <v>14605</v>
      </c>
      <c r="F1347" s="108" t="s">
        <v>16389</v>
      </c>
      <c r="G1347" s="110"/>
      <c r="H1347" s="108"/>
      <c r="I1347" s="108"/>
    </row>
    <row r="1348" spans="1:9" ht="27.6">
      <c r="A1348" s="108" t="s">
        <v>388</v>
      </c>
      <c r="B1348" s="108" t="s">
        <v>16390</v>
      </c>
      <c r="C1348" s="109">
        <v>46112</v>
      </c>
      <c r="D1348" s="108"/>
      <c r="E1348" s="108" t="s">
        <v>14605</v>
      </c>
      <c r="F1348" s="108" t="s">
        <v>4501</v>
      </c>
      <c r="G1348" s="110"/>
      <c r="H1348" s="108"/>
      <c r="I1348" s="108"/>
    </row>
    <row r="1349" spans="1:9" ht="27.6">
      <c r="A1349" s="108" t="s">
        <v>388</v>
      </c>
      <c r="B1349" s="108" t="s">
        <v>16391</v>
      </c>
      <c r="C1349" s="109">
        <v>45999</v>
      </c>
      <c r="D1349" s="108"/>
      <c r="E1349" s="108" t="s">
        <v>14605</v>
      </c>
      <c r="F1349" s="108" t="s">
        <v>15042</v>
      </c>
      <c r="G1349" s="110"/>
      <c r="H1349" s="108"/>
      <c r="I1349" s="108"/>
    </row>
    <row r="1350" spans="1:9" ht="27.6">
      <c r="A1350" s="108" t="s">
        <v>388</v>
      </c>
      <c r="B1350" s="108" t="s">
        <v>16392</v>
      </c>
      <c r="C1350" s="109">
        <v>45999</v>
      </c>
      <c r="D1350" s="108"/>
      <c r="E1350" s="108" t="s">
        <v>14605</v>
      </c>
      <c r="F1350" s="108" t="s">
        <v>15042</v>
      </c>
      <c r="G1350" s="110"/>
      <c r="H1350" s="108"/>
      <c r="I1350" s="108"/>
    </row>
    <row r="1351" spans="1:9" ht="27.6">
      <c r="A1351" s="108" t="s">
        <v>388</v>
      </c>
      <c r="B1351" s="108" t="s">
        <v>16393</v>
      </c>
      <c r="C1351" s="109">
        <v>46233</v>
      </c>
      <c r="D1351" s="108"/>
      <c r="E1351" s="108" t="s">
        <v>14605</v>
      </c>
      <c r="F1351" s="108" t="s">
        <v>15377</v>
      </c>
      <c r="G1351" s="110"/>
      <c r="H1351" s="108"/>
      <c r="I1351" s="108"/>
    </row>
    <row r="1352" spans="1:9" ht="27.6">
      <c r="A1352" s="108" t="s">
        <v>388</v>
      </c>
      <c r="B1352" s="108" t="s">
        <v>16394</v>
      </c>
      <c r="C1352" s="109">
        <v>46051</v>
      </c>
      <c r="D1352" s="108"/>
      <c r="E1352" s="108" t="s">
        <v>14605</v>
      </c>
      <c r="F1352" s="108" t="s">
        <v>16395</v>
      </c>
      <c r="G1352" s="110"/>
      <c r="H1352" s="108"/>
      <c r="I1352" s="108"/>
    </row>
    <row r="1353" spans="1:9" ht="27.6">
      <c r="A1353" s="108" t="s">
        <v>388</v>
      </c>
      <c r="B1353" s="108" t="s">
        <v>16396</v>
      </c>
      <c r="C1353" s="109">
        <v>46107</v>
      </c>
      <c r="D1353" s="108"/>
      <c r="E1353" s="108" t="s">
        <v>14605</v>
      </c>
      <c r="F1353" s="108" t="s">
        <v>15942</v>
      </c>
      <c r="G1353" s="110"/>
      <c r="H1353" s="108"/>
      <c r="I1353" s="108"/>
    </row>
    <row r="1354" spans="1:9" ht="27.6">
      <c r="A1354" s="108" t="s">
        <v>388</v>
      </c>
      <c r="B1354" s="108" t="s">
        <v>16397</v>
      </c>
      <c r="C1354" s="109">
        <v>45960</v>
      </c>
      <c r="D1354" s="108"/>
      <c r="E1354" s="108" t="s">
        <v>14605</v>
      </c>
      <c r="F1354" s="108" t="s">
        <v>15318</v>
      </c>
      <c r="G1354" s="110"/>
      <c r="H1354" s="108"/>
      <c r="I1354" s="108"/>
    </row>
    <row r="1355" spans="1:9" ht="27.6">
      <c r="A1355" s="108" t="s">
        <v>388</v>
      </c>
      <c r="B1355" s="108" t="s">
        <v>16398</v>
      </c>
      <c r="C1355" s="109">
        <v>46178</v>
      </c>
      <c r="D1355" s="108"/>
      <c r="E1355" s="108" t="s">
        <v>14605</v>
      </c>
      <c r="F1355" s="108" t="s">
        <v>15318</v>
      </c>
      <c r="G1355" s="110"/>
      <c r="H1355" s="108"/>
      <c r="I1355" s="108"/>
    </row>
    <row r="1356" spans="1:9">
      <c r="A1356" s="108" t="s">
        <v>14879</v>
      </c>
      <c r="B1356" s="108" t="s">
        <v>16399</v>
      </c>
      <c r="C1356" s="109">
        <v>41578</v>
      </c>
      <c r="D1356" s="108" t="s">
        <v>16400</v>
      </c>
      <c r="E1356" s="108" t="s">
        <v>14605</v>
      </c>
      <c r="F1356" s="108" t="s">
        <v>979</v>
      </c>
      <c r="G1356" s="109">
        <v>44223</v>
      </c>
      <c r="H1356" s="108"/>
      <c r="I1356" s="108" t="s">
        <v>102</v>
      </c>
    </row>
    <row r="1357" spans="1:9">
      <c r="A1357" s="108" t="s">
        <v>15859</v>
      </c>
      <c r="B1357" s="108" t="s">
        <v>16401</v>
      </c>
      <c r="C1357" s="109">
        <v>45382</v>
      </c>
      <c r="D1357" s="108" t="s">
        <v>16402</v>
      </c>
      <c r="E1357" s="108" t="s">
        <v>14605</v>
      </c>
      <c r="F1357" s="108" t="s">
        <v>15761</v>
      </c>
      <c r="G1357" s="109">
        <v>47666</v>
      </c>
      <c r="H1357" s="108"/>
      <c r="I1357" s="108" t="s">
        <v>95</v>
      </c>
    </row>
    <row r="1358" spans="1:9">
      <c r="A1358" s="108" t="s">
        <v>378</v>
      </c>
      <c r="B1358" s="108" t="s">
        <v>16403</v>
      </c>
      <c r="C1358" s="109">
        <v>46215</v>
      </c>
      <c r="D1358" s="108" t="s">
        <v>16404</v>
      </c>
      <c r="E1358" s="108" t="s">
        <v>14605</v>
      </c>
      <c r="F1358" s="108" t="s">
        <v>15887</v>
      </c>
      <c r="G1358" s="110"/>
      <c r="H1358" s="108"/>
      <c r="I1358" s="108" t="s">
        <v>95</v>
      </c>
    </row>
    <row r="1359" spans="1:9">
      <c r="A1359" s="108" t="s">
        <v>15990</v>
      </c>
      <c r="B1359" s="108" t="s">
        <v>16405</v>
      </c>
      <c r="C1359" s="109">
        <v>46105</v>
      </c>
      <c r="D1359" s="108" t="s">
        <v>16406</v>
      </c>
      <c r="E1359" s="108" t="s">
        <v>14605</v>
      </c>
      <c r="F1359" s="108" t="s">
        <v>16407</v>
      </c>
      <c r="G1359" s="109">
        <v>46866</v>
      </c>
      <c r="H1359" s="108"/>
      <c r="I1359" s="108" t="s">
        <v>95</v>
      </c>
    </row>
    <row r="1360" spans="1:9">
      <c r="A1360" s="108" t="s">
        <v>15990</v>
      </c>
      <c r="B1360" s="108" t="s">
        <v>16408</v>
      </c>
      <c r="C1360" s="109">
        <v>45828</v>
      </c>
      <c r="D1360" s="108" t="s">
        <v>16409</v>
      </c>
      <c r="E1360" s="108" t="s">
        <v>14605</v>
      </c>
      <c r="F1360" s="108" t="s">
        <v>16410</v>
      </c>
      <c r="G1360" s="109">
        <v>47221</v>
      </c>
      <c r="H1360" s="108"/>
      <c r="I1360" s="108" t="s">
        <v>95</v>
      </c>
    </row>
    <row r="1361" spans="1:9" ht="27.6">
      <c r="A1361" s="108" t="s">
        <v>503</v>
      </c>
      <c r="B1361" s="108" t="s">
        <v>16411</v>
      </c>
      <c r="C1361" s="109">
        <v>45786</v>
      </c>
      <c r="D1361" s="108" t="s">
        <v>16412</v>
      </c>
      <c r="E1361" s="108" t="s">
        <v>14605</v>
      </c>
      <c r="F1361" s="108" t="s">
        <v>15375</v>
      </c>
      <c r="G1361" s="109">
        <v>45845</v>
      </c>
      <c r="H1361" s="108"/>
      <c r="I1361" s="108" t="s">
        <v>95</v>
      </c>
    </row>
    <row r="1362" spans="1:9">
      <c r="A1362" s="108" t="s">
        <v>121</v>
      </c>
      <c r="B1362" s="108" t="s">
        <v>119</v>
      </c>
      <c r="C1362" s="109">
        <v>45905</v>
      </c>
      <c r="D1362" s="108" t="s">
        <v>120</v>
      </c>
      <c r="E1362" s="108" t="s">
        <v>14605</v>
      </c>
      <c r="F1362" s="108" t="s">
        <v>111</v>
      </c>
      <c r="G1362" s="109">
        <v>46194</v>
      </c>
      <c r="H1362" s="108"/>
      <c r="I1362" s="108" t="s">
        <v>95</v>
      </c>
    </row>
    <row r="1363" spans="1:9" ht="27.6">
      <c r="A1363" s="108" t="s">
        <v>207</v>
      </c>
      <c r="B1363" s="108" t="s">
        <v>16413</v>
      </c>
      <c r="C1363" s="109">
        <v>41459</v>
      </c>
      <c r="D1363" s="108" t="s">
        <v>16414</v>
      </c>
      <c r="E1363" s="108" t="s">
        <v>14605</v>
      </c>
      <c r="F1363" s="108" t="s">
        <v>15761</v>
      </c>
      <c r="G1363" s="109">
        <v>45808</v>
      </c>
      <c r="H1363" s="108"/>
      <c r="I1363" s="108" t="s">
        <v>117</v>
      </c>
    </row>
    <row r="1364" spans="1:9" ht="27.6">
      <c r="A1364" s="108" t="s">
        <v>207</v>
      </c>
      <c r="B1364" s="108" t="s">
        <v>16415</v>
      </c>
      <c r="C1364" s="109">
        <v>45727</v>
      </c>
      <c r="D1364" s="108" t="s">
        <v>16416</v>
      </c>
      <c r="E1364" s="108" t="s">
        <v>14605</v>
      </c>
      <c r="F1364" s="108" t="s">
        <v>16417</v>
      </c>
      <c r="G1364" s="109">
        <v>46091</v>
      </c>
      <c r="H1364" s="108"/>
      <c r="I1364" s="108" t="s">
        <v>117</v>
      </c>
    </row>
    <row r="1365" spans="1:9" ht="27.6">
      <c r="A1365" s="108" t="s">
        <v>14937</v>
      </c>
      <c r="B1365" s="108" t="s">
        <v>16418</v>
      </c>
      <c r="C1365" s="109">
        <v>45818</v>
      </c>
      <c r="D1365" s="108" t="s">
        <v>16419</v>
      </c>
      <c r="E1365" s="108" t="s">
        <v>14605</v>
      </c>
      <c r="F1365" s="108" t="s">
        <v>16420</v>
      </c>
      <c r="G1365" s="109">
        <v>46183</v>
      </c>
      <c r="H1365" s="108"/>
      <c r="I1365" s="108" t="s">
        <v>108</v>
      </c>
    </row>
    <row r="1366" spans="1:9">
      <c r="A1366" s="108" t="s">
        <v>16421</v>
      </c>
      <c r="B1366" s="108" t="s">
        <v>16422</v>
      </c>
      <c r="C1366" s="109">
        <v>45847</v>
      </c>
      <c r="D1366" s="108" t="s">
        <v>16423</v>
      </c>
      <c r="E1366" s="108" t="s">
        <v>14605</v>
      </c>
      <c r="F1366" s="108" t="s">
        <v>16424</v>
      </c>
      <c r="G1366" s="109">
        <v>46211</v>
      </c>
      <c r="H1366" s="108"/>
      <c r="I1366" s="108" t="s">
        <v>108</v>
      </c>
    </row>
    <row r="1367" spans="1:9">
      <c r="A1367" s="108" t="s">
        <v>571</v>
      </c>
      <c r="B1367" s="108" t="s">
        <v>1299</v>
      </c>
      <c r="C1367" s="109">
        <v>45670</v>
      </c>
      <c r="D1367" s="108" t="s">
        <v>1300</v>
      </c>
      <c r="E1367" s="108" t="s">
        <v>14605</v>
      </c>
      <c r="F1367" s="108" t="s">
        <v>1298</v>
      </c>
      <c r="G1367" s="109">
        <v>46009</v>
      </c>
      <c r="H1367" s="108"/>
      <c r="I1367" s="108" t="s">
        <v>108</v>
      </c>
    </row>
    <row r="1368" spans="1:9" ht="27.6">
      <c r="A1368" s="108" t="s">
        <v>14690</v>
      </c>
      <c r="B1368" s="108" t="s">
        <v>3919</v>
      </c>
      <c r="C1368" s="109">
        <v>45681</v>
      </c>
      <c r="D1368" s="108" t="s">
        <v>3920</v>
      </c>
      <c r="E1368" s="108" t="s">
        <v>14605</v>
      </c>
      <c r="F1368" s="108" t="s">
        <v>16425</v>
      </c>
      <c r="G1368" s="109">
        <v>46040</v>
      </c>
      <c r="H1368" s="108"/>
      <c r="I1368" s="108" t="s">
        <v>108</v>
      </c>
    </row>
    <row r="1369" spans="1:9">
      <c r="A1369" s="108" t="s">
        <v>477</v>
      </c>
      <c r="B1369" s="108" t="s">
        <v>3275</v>
      </c>
      <c r="C1369" s="109">
        <v>45754</v>
      </c>
      <c r="D1369" s="108" t="s">
        <v>3277</v>
      </c>
      <c r="E1369" s="108" t="s">
        <v>14605</v>
      </c>
      <c r="F1369" s="108" t="s">
        <v>3276</v>
      </c>
      <c r="G1369" s="109">
        <v>46132</v>
      </c>
      <c r="H1369" s="108"/>
      <c r="I1369" s="108" t="s">
        <v>108</v>
      </c>
    </row>
    <row r="1370" spans="1:9" ht="27.6">
      <c r="A1370" s="108" t="s">
        <v>1465</v>
      </c>
      <c r="B1370" s="108" t="s">
        <v>16426</v>
      </c>
      <c r="C1370" s="109">
        <v>45642</v>
      </c>
      <c r="D1370" s="108" t="s">
        <v>16427</v>
      </c>
      <c r="E1370" s="108" t="s">
        <v>14605</v>
      </c>
      <c r="F1370" s="108" t="s">
        <v>16428</v>
      </c>
      <c r="G1370" s="109">
        <v>46006</v>
      </c>
      <c r="H1370" s="108"/>
      <c r="I1370" s="108" t="s">
        <v>108</v>
      </c>
    </row>
    <row r="1371" spans="1:9">
      <c r="A1371" s="108" t="s">
        <v>87</v>
      </c>
      <c r="B1371" s="108" t="s">
        <v>3871</v>
      </c>
      <c r="C1371" s="109">
        <v>45629</v>
      </c>
      <c r="D1371" s="108" t="s">
        <v>3872</v>
      </c>
      <c r="E1371" s="108" t="s">
        <v>14605</v>
      </c>
      <c r="F1371" s="108" t="s">
        <v>3856</v>
      </c>
      <c r="G1371" s="109">
        <v>46002</v>
      </c>
      <c r="H1371" s="108"/>
      <c r="I1371" s="108" t="s">
        <v>108</v>
      </c>
    </row>
    <row r="1372" spans="1:9">
      <c r="A1372" s="108" t="s">
        <v>237</v>
      </c>
      <c r="B1372" s="108" t="s">
        <v>3150</v>
      </c>
      <c r="C1372" s="109">
        <v>45644</v>
      </c>
      <c r="D1372" s="108" t="s">
        <v>3152</v>
      </c>
      <c r="E1372" s="108" t="s">
        <v>14605</v>
      </c>
      <c r="F1372" s="108" t="s">
        <v>3151</v>
      </c>
      <c r="G1372" s="109">
        <v>46015</v>
      </c>
      <c r="H1372" s="108"/>
      <c r="I1372" s="108" t="s">
        <v>108</v>
      </c>
    </row>
    <row r="1373" spans="1:9">
      <c r="A1373" s="108" t="s">
        <v>571</v>
      </c>
      <c r="B1373" s="108" t="s">
        <v>16429</v>
      </c>
      <c r="C1373" s="109">
        <v>45795</v>
      </c>
      <c r="D1373" s="108" t="s">
        <v>16430</v>
      </c>
      <c r="E1373" s="108" t="s">
        <v>14605</v>
      </c>
      <c r="F1373" s="108" t="s">
        <v>15027</v>
      </c>
      <c r="G1373" s="109">
        <v>46100</v>
      </c>
      <c r="H1373" s="108"/>
      <c r="I1373" s="108" t="s">
        <v>108</v>
      </c>
    </row>
    <row r="1374" spans="1:9">
      <c r="A1374" s="108" t="s">
        <v>2002</v>
      </c>
      <c r="B1374" s="108" t="s">
        <v>16431</v>
      </c>
      <c r="C1374" s="109">
        <v>45715</v>
      </c>
      <c r="D1374" s="108" t="s">
        <v>16432</v>
      </c>
      <c r="E1374" s="108" t="s">
        <v>14605</v>
      </c>
      <c r="F1374" s="108" t="s">
        <v>16433</v>
      </c>
      <c r="G1374" s="109">
        <v>46040</v>
      </c>
      <c r="H1374" s="108"/>
      <c r="I1374" s="108" t="s">
        <v>108</v>
      </c>
    </row>
    <row r="1375" spans="1:9" ht="27.6">
      <c r="A1375" s="108" t="s">
        <v>14929</v>
      </c>
      <c r="B1375" s="108" t="s">
        <v>16434</v>
      </c>
      <c r="C1375" s="109">
        <v>45715</v>
      </c>
      <c r="D1375" s="108" t="s">
        <v>16435</v>
      </c>
      <c r="E1375" s="108" t="s">
        <v>14605</v>
      </c>
      <c r="F1375" s="108" t="s">
        <v>16436</v>
      </c>
      <c r="G1375" s="109">
        <v>46057</v>
      </c>
      <c r="H1375" s="108"/>
      <c r="I1375" s="108" t="s">
        <v>108</v>
      </c>
    </row>
    <row r="1376" spans="1:9" ht="27.6">
      <c r="A1376" s="108" t="s">
        <v>14690</v>
      </c>
      <c r="B1376" s="108" t="s">
        <v>16437</v>
      </c>
      <c r="C1376" s="109">
        <v>45656</v>
      </c>
      <c r="D1376" s="108" t="s">
        <v>16438</v>
      </c>
      <c r="E1376" s="108" t="s">
        <v>14605</v>
      </c>
      <c r="F1376" s="108" t="s">
        <v>16439</v>
      </c>
      <c r="G1376" s="109">
        <v>46020</v>
      </c>
      <c r="H1376" s="108"/>
      <c r="I1376" s="108" t="s">
        <v>108</v>
      </c>
    </row>
    <row r="1377" spans="1:9">
      <c r="A1377" s="108" t="s">
        <v>87</v>
      </c>
      <c r="B1377" s="108" t="s">
        <v>5314</v>
      </c>
      <c r="C1377" s="109">
        <v>45756</v>
      </c>
      <c r="D1377" s="108" t="s">
        <v>5315</v>
      </c>
      <c r="E1377" s="108" t="s">
        <v>14605</v>
      </c>
      <c r="F1377" s="108" t="s">
        <v>15021</v>
      </c>
      <c r="G1377" s="109">
        <v>46116</v>
      </c>
      <c r="H1377" s="108"/>
      <c r="I1377" s="108" t="s">
        <v>108</v>
      </c>
    </row>
    <row r="1378" spans="1:9">
      <c r="A1378" s="108" t="s">
        <v>2002</v>
      </c>
      <c r="B1378" s="108" t="s">
        <v>16440</v>
      </c>
      <c r="C1378" s="109">
        <v>45715</v>
      </c>
      <c r="D1378" s="108" t="s">
        <v>16441</v>
      </c>
      <c r="E1378" s="108" t="s">
        <v>14605</v>
      </c>
      <c r="F1378" s="108" t="s">
        <v>15023</v>
      </c>
      <c r="G1378" s="109">
        <v>46043</v>
      </c>
      <c r="H1378" s="108"/>
      <c r="I1378" s="108" t="s">
        <v>108</v>
      </c>
    </row>
    <row r="1379" spans="1:9">
      <c r="A1379" s="108" t="s">
        <v>1465</v>
      </c>
      <c r="B1379" s="108" t="s">
        <v>3917</v>
      </c>
      <c r="C1379" s="109">
        <v>45681</v>
      </c>
      <c r="D1379" s="108" t="s">
        <v>3918</v>
      </c>
      <c r="E1379" s="108" t="s">
        <v>14605</v>
      </c>
      <c r="F1379" s="108" t="s">
        <v>16425</v>
      </c>
      <c r="G1379" s="109">
        <v>46045</v>
      </c>
      <c r="H1379" s="108"/>
      <c r="I1379" s="108" t="s">
        <v>108</v>
      </c>
    </row>
    <row r="1380" spans="1:9">
      <c r="A1380" s="108" t="s">
        <v>87</v>
      </c>
      <c r="B1380" s="108" t="s">
        <v>3595</v>
      </c>
      <c r="C1380" s="109">
        <v>45897</v>
      </c>
      <c r="D1380" s="108" t="s">
        <v>3596</v>
      </c>
      <c r="E1380" s="108" t="s">
        <v>14605</v>
      </c>
      <c r="F1380" s="108" t="s">
        <v>3587</v>
      </c>
      <c r="G1380" s="109">
        <v>46277</v>
      </c>
      <c r="H1380" s="108"/>
      <c r="I1380" s="108" t="s">
        <v>108</v>
      </c>
    </row>
    <row r="1381" spans="1:9">
      <c r="A1381" s="108" t="s">
        <v>87</v>
      </c>
      <c r="B1381" s="108" t="s">
        <v>1319</v>
      </c>
      <c r="C1381" s="109">
        <v>45762</v>
      </c>
      <c r="D1381" s="108" t="s">
        <v>1320</v>
      </c>
      <c r="E1381" s="108" t="s">
        <v>14605</v>
      </c>
      <c r="F1381" s="108" t="s">
        <v>1307</v>
      </c>
      <c r="G1381" s="109">
        <v>46139</v>
      </c>
      <c r="H1381" s="108"/>
      <c r="I1381" s="108" t="s">
        <v>108</v>
      </c>
    </row>
    <row r="1382" spans="1:9">
      <c r="A1382" s="108" t="s">
        <v>87</v>
      </c>
      <c r="B1382" s="108" t="s">
        <v>16442</v>
      </c>
      <c r="C1382" s="109">
        <v>45946</v>
      </c>
      <c r="D1382" s="108" t="s">
        <v>16443</v>
      </c>
      <c r="E1382" s="108" t="s">
        <v>14605</v>
      </c>
      <c r="F1382" s="108" t="s">
        <v>16444</v>
      </c>
      <c r="G1382" s="109">
        <v>46277</v>
      </c>
      <c r="H1382" s="108"/>
      <c r="I1382" s="108" t="s">
        <v>108</v>
      </c>
    </row>
    <row r="1383" spans="1:9">
      <c r="A1383" s="108" t="s">
        <v>237</v>
      </c>
      <c r="B1383" s="108" t="s">
        <v>16445</v>
      </c>
      <c r="C1383" s="109">
        <v>45817</v>
      </c>
      <c r="D1383" s="108" t="s">
        <v>16446</v>
      </c>
      <c r="E1383" s="108" t="s">
        <v>14605</v>
      </c>
      <c r="F1383" s="108" t="s">
        <v>16447</v>
      </c>
      <c r="G1383" s="109">
        <v>46128</v>
      </c>
      <c r="H1383" s="108"/>
      <c r="I1383" s="108" t="s">
        <v>108</v>
      </c>
    </row>
    <row r="1384" spans="1:9">
      <c r="A1384" s="108" t="s">
        <v>2002</v>
      </c>
      <c r="B1384" s="108" t="s">
        <v>16448</v>
      </c>
      <c r="C1384" s="109">
        <v>45796</v>
      </c>
      <c r="D1384" s="108" t="s">
        <v>16449</v>
      </c>
      <c r="E1384" s="108" t="s">
        <v>14605</v>
      </c>
      <c r="F1384" s="108" t="s">
        <v>15023</v>
      </c>
      <c r="G1384" s="109">
        <v>46123</v>
      </c>
      <c r="H1384" s="108"/>
      <c r="I1384" s="108" t="s">
        <v>108</v>
      </c>
    </row>
    <row r="1385" spans="1:9" ht="27.6">
      <c r="A1385" s="108" t="s">
        <v>1465</v>
      </c>
      <c r="B1385" s="108" t="s">
        <v>16450</v>
      </c>
      <c r="C1385" s="109">
        <v>45730</v>
      </c>
      <c r="D1385" s="108" t="s">
        <v>16451</v>
      </c>
      <c r="E1385" s="108" t="s">
        <v>14605</v>
      </c>
      <c r="F1385" s="108" t="s">
        <v>15338</v>
      </c>
      <c r="G1385" s="109">
        <v>46092</v>
      </c>
      <c r="H1385" s="108"/>
      <c r="I1385" s="108" t="s">
        <v>108</v>
      </c>
    </row>
    <row r="1386" spans="1:9">
      <c r="A1386" s="108" t="s">
        <v>1465</v>
      </c>
      <c r="B1386" s="108" t="s">
        <v>16452</v>
      </c>
      <c r="C1386" s="109">
        <v>45762</v>
      </c>
      <c r="D1386" s="108" t="s">
        <v>16453</v>
      </c>
      <c r="E1386" s="108" t="s">
        <v>14605</v>
      </c>
      <c r="F1386" s="108" t="s">
        <v>16454</v>
      </c>
      <c r="G1386" s="109">
        <v>46136</v>
      </c>
      <c r="H1386" s="108"/>
      <c r="I1386" s="108" t="s">
        <v>108</v>
      </c>
    </row>
    <row r="1387" spans="1:9" ht="27.6">
      <c r="A1387" s="108" t="s">
        <v>237</v>
      </c>
      <c r="B1387" s="108" t="s">
        <v>16455</v>
      </c>
      <c r="C1387" s="109">
        <v>45741</v>
      </c>
      <c r="D1387" s="108" t="s">
        <v>16456</v>
      </c>
      <c r="E1387" s="108" t="s">
        <v>14605</v>
      </c>
      <c r="F1387" s="108" t="s">
        <v>16457</v>
      </c>
      <c r="G1387" s="109">
        <v>46104</v>
      </c>
      <c r="H1387" s="108"/>
      <c r="I1387" s="108" t="s">
        <v>108</v>
      </c>
    </row>
    <row r="1388" spans="1:9" ht="27.6">
      <c r="A1388" s="108" t="s">
        <v>237</v>
      </c>
      <c r="B1388" s="108" t="s">
        <v>16458</v>
      </c>
      <c r="C1388" s="109">
        <v>45860</v>
      </c>
      <c r="D1388" s="108" t="s">
        <v>16459</v>
      </c>
      <c r="E1388" s="108" t="s">
        <v>14605</v>
      </c>
      <c r="F1388" s="108" t="s">
        <v>16460</v>
      </c>
      <c r="G1388" s="109">
        <v>46223</v>
      </c>
      <c r="H1388" s="108"/>
      <c r="I1388" s="108" t="s">
        <v>108</v>
      </c>
    </row>
    <row r="1389" spans="1:9" ht="27.6">
      <c r="A1389" s="108" t="s">
        <v>14690</v>
      </c>
      <c r="B1389" s="108" t="s">
        <v>16461</v>
      </c>
      <c r="C1389" s="109">
        <v>45945</v>
      </c>
      <c r="D1389" s="108" t="s">
        <v>16462</v>
      </c>
      <c r="E1389" s="108" t="s">
        <v>14605</v>
      </c>
      <c r="F1389" s="108" t="s">
        <v>16463</v>
      </c>
      <c r="G1389" s="109">
        <v>46232</v>
      </c>
      <c r="H1389" s="108"/>
      <c r="I1389" s="108" t="s">
        <v>108</v>
      </c>
    </row>
    <row r="1390" spans="1:9" ht="27.6">
      <c r="A1390" s="108" t="s">
        <v>14679</v>
      </c>
      <c r="B1390" s="108" t="s">
        <v>16464</v>
      </c>
      <c r="C1390" s="109">
        <v>45846</v>
      </c>
      <c r="D1390" s="108" t="s">
        <v>16465</v>
      </c>
      <c r="E1390" s="108" t="s">
        <v>14605</v>
      </c>
      <c r="F1390" s="108" t="s">
        <v>16466</v>
      </c>
      <c r="G1390" s="109">
        <v>46210</v>
      </c>
      <c r="H1390" s="108"/>
      <c r="I1390" s="108" t="s">
        <v>108</v>
      </c>
    </row>
    <row r="1391" spans="1:9">
      <c r="A1391" s="108" t="s">
        <v>1465</v>
      </c>
      <c r="B1391" s="108" t="s">
        <v>5068</v>
      </c>
      <c r="C1391" s="109">
        <v>45860</v>
      </c>
      <c r="D1391" s="108" t="s">
        <v>5069</v>
      </c>
      <c r="E1391" s="108" t="s">
        <v>14605</v>
      </c>
      <c r="F1391" s="108" t="s">
        <v>5057</v>
      </c>
      <c r="G1391" s="109">
        <v>46230</v>
      </c>
      <c r="H1391" s="108"/>
      <c r="I1391" s="108" t="s">
        <v>108</v>
      </c>
    </row>
    <row r="1392" spans="1:9" ht="27.6">
      <c r="A1392" s="108" t="s">
        <v>15075</v>
      </c>
      <c r="B1392" s="108" t="s">
        <v>16467</v>
      </c>
      <c r="C1392" s="109">
        <v>45624</v>
      </c>
      <c r="D1392" s="108" t="s">
        <v>16468</v>
      </c>
      <c r="E1392" s="108" t="s">
        <v>14605</v>
      </c>
      <c r="F1392" s="108" t="s">
        <v>16469</v>
      </c>
      <c r="G1392" s="109">
        <v>46002</v>
      </c>
      <c r="H1392" s="108"/>
      <c r="I1392" s="108" t="s">
        <v>108</v>
      </c>
    </row>
    <row r="1393" spans="1:9" ht="27.6">
      <c r="A1393" s="108" t="s">
        <v>15075</v>
      </c>
      <c r="B1393" s="108" t="s">
        <v>16470</v>
      </c>
      <c r="C1393" s="109">
        <v>45700</v>
      </c>
      <c r="D1393" s="108" t="s">
        <v>16471</v>
      </c>
      <c r="E1393" s="108" t="s">
        <v>14605</v>
      </c>
      <c r="F1393" s="108" t="s">
        <v>15964</v>
      </c>
      <c r="G1393" s="109">
        <v>46031</v>
      </c>
      <c r="H1393" s="108"/>
      <c r="I1393" s="108" t="s">
        <v>108</v>
      </c>
    </row>
    <row r="1394" spans="1:9" ht="27.6">
      <c r="A1394" s="108" t="s">
        <v>15075</v>
      </c>
      <c r="B1394" s="108" t="s">
        <v>16472</v>
      </c>
      <c r="C1394" s="109">
        <v>45755</v>
      </c>
      <c r="D1394" s="108" t="s">
        <v>16473</v>
      </c>
      <c r="E1394" s="108" t="s">
        <v>14605</v>
      </c>
      <c r="F1394" s="108" t="s">
        <v>1770</v>
      </c>
      <c r="G1394" s="109">
        <v>46136</v>
      </c>
      <c r="H1394" s="108"/>
      <c r="I1394" s="108" t="s">
        <v>108</v>
      </c>
    </row>
    <row r="1395" spans="1:9" ht="27.6">
      <c r="A1395" s="108" t="s">
        <v>15075</v>
      </c>
      <c r="B1395" s="108" t="s">
        <v>16474</v>
      </c>
      <c r="C1395" s="109">
        <v>46086</v>
      </c>
      <c r="D1395" s="108" t="s">
        <v>3594</v>
      </c>
      <c r="E1395" s="108" t="s">
        <v>14605</v>
      </c>
      <c r="F1395" s="108" t="s">
        <v>3587</v>
      </c>
      <c r="G1395" s="109">
        <v>46029</v>
      </c>
      <c r="H1395" s="108"/>
      <c r="I1395" s="108" t="s">
        <v>108</v>
      </c>
    </row>
    <row r="1396" spans="1:9" ht="27.6">
      <c r="A1396" s="108" t="s">
        <v>207</v>
      </c>
      <c r="B1396" s="108" t="s">
        <v>16475</v>
      </c>
      <c r="C1396" s="109">
        <v>45695</v>
      </c>
      <c r="D1396" s="108" t="s">
        <v>16476</v>
      </c>
      <c r="E1396" s="108" t="s">
        <v>14605</v>
      </c>
      <c r="F1396" s="108" t="s">
        <v>14846</v>
      </c>
      <c r="G1396" s="109">
        <v>46022</v>
      </c>
      <c r="H1396" s="108"/>
      <c r="I1396" s="108" t="s">
        <v>108</v>
      </c>
    </row>
    <row r="1397" spans="1:9" ht="27.6">
      <c r="A1397" s="108" t="s">
        <v>207</v>
      </c>
      <c r="B1397" s="108" t="s">
        <v>16477</v>
      </c>
      <c r="C1397" s="109">
        <v>45741</v>
      </c>
      <c r="D1397" s="108" t="s">
        <v>16478</v>
      </c>
      <c r="E1397" s="108" t="s">
        <v>14605</v>
      </c>
      <c r="F1397" s="108" t="s">
        <v>16479</v>
      </c>
      <c r="G1397" s="109">
        <v>46036</v>
      </c>
      <c r="H1397" s="108"/>
      <c r="I1397" s="108" t="s">
        <v>108</v>
      </c>
    </row>
    <row r="1398" spans="1:9" ht="27.6">
      <c r="A1398" s="108" t="s">
        <v>207</v>
      </c>
      <c r="B1398" s="108" t="s">
        <v>16480</v>
      </c>
      <c r="C1398" s="109">
        <v>45731</v>
      </c>
      <c r="D1398" s="108" t="s">
        <v>16481</v>
      </c>
      <c r="E1398" s="108" t="s">
        <v>14605</v>
      </c>
      <c r="F1398" s="108" t="s">
        <v>16482</v>
      </c>
      <c r="G1398" s="109">
        <v>46093</v>
      </c>
      <c r="H1398" s="108"/>
      <c r="I1398" s="108" t="s">
        <v>108</v>
      </c>
    </row>
    <row r="1399" spans="1:9" ht="27.6">
      <c r="A1399" s="108" t="s">
        <v>207</v>
      </c>
      <c r="B1399" s="108" t="s">
        <v>16483</v>
      </c>
      <c r="C1399" s="109">
        <v>45736</v>
      </c>
      <c r="D1399" s="108" t="s">
        <v>16484</v>
      </c>
      <c r="E1399" s="108" t="s">
        <v>14605</v>
      </c>
      <c r="F1399" s="108" t="s">
        <v>16469</v>
      </c>
      <c r="G1399" s="109">
        <v>46080</v>
      </c>
      <c r="H1399" s="108"/>
      <c r="I1399" s="108" t="s">
        <v>108</v>
      </c>
    </row>
    <row r="1400" spans="1:9" ht="27.6">
      <c r="A1400" s="108" t="s">
        <v>207</v>
      </c>
      <c r="B1400" s="108" t="s">
        <v>3316</v>
      </c>
      <c r="C1400" s="109">
        <v>45721</v>
      </c>
      <c r="D1400" s="108" t="s">
        <v>3318</v>
      </c>
      <c r="E1400" s="108" t="s">
        <v>14605</v>
      </c>
      <c r="F1400" s="108" t="s">
        <v>3317</v>
      </c>
      <c r="G1400" s="109">
        <v>46040</v>
      </c>
      <c r="H1400" s="108"/>
      <c r="I1400" s="108" t="s">
        <v>108</v>
      </c>
    </row>
    <row r="1401" spans="1:9" ht="27.6">
      <c r="A1401" s="108" t="s">
        <v>207</v>
      </c>
      <c r="B1401" s="108" t="s">
        <v>4219</v>
      </c>
      <c r="C1401" s="109">
        <v>45810</v>
      </c>
      <c r="D1401" s="108" t="s">
        <v>4220</v>
      </c>
      <c r="E1401" s="108" t="s">
        <v>14605</v>
      </c>
      <c r="F1401" s="108" t="s">
        <v>4207</v>
      </c>
      <c r="G1401" s="109">
        <v>46041</v>
      </c>
      <c r="H1401" s="108"/>
      <c r="I1401" s="108" t="s">
        <v>108</v>
      </c>
    </row>
    <row r="1402" spans="1:9" ht="27.6">
      <c r="A1402" s="108" t="s">
        <v>207</v>
      </c>
      <c r="B1402" s="108" t="s">
        <v>16485</v>
      </c>
      <c r="C1402" s="109">
        <v>45770</v>
      </c>
      <c r="D1402" s="108" t="s">
        <v>16486</v>
      </c>
      <c r="E1402" s="108" t="s">
        <v>14605</v>
      </c>
      <c r="F1402" s="108" t="s">
        <v>16142</v>
      </c>
      <c r="G1402" s="109">
        <v>46133</v>
      </c>
      <c r="H1402" s="108"/>
      <c r="I1402" s="108" t="s">
        <v>108</v>
      </c>
    </row>
    <row r="1403" spans="1:9" ht="27.6">
      <c r="A1403" s="108" t="s">
        <v>207</v>
      </c>
      <c r="B1403" s="108" t="s">
        <v>16487</v>
      </c>
      <c r="C1403" s="109">
        <v>45758</v>
      </c>
      <c r="D1403" s="108" t="s">
        <v>16488</v>
      </c>
      <c r="E1403" s="108" t="s">
        <v>14605</v>
      </c>
      <c r="F1403" s="108" t="s">
        <v>16489</v>
      </c>
      <c r="G1403" s="109">
        <v>46134</v>
      </c>
      <c r="H1403" s="108"/>
      <c r="I1403" s="108" t="s">
        <v>108</v>
      </c>
    </row>
    <row r="1404" spans="1:9" ht="27.6">
      <c r="A1404" s="108" t="s">
        <v>169</v>
      </c>
      <c r="B1404" s="108" t="s">
        <v>16490</v>
      </c>
      <c r="C1404" s="109">
        <v>45669</v>
      </c>
      <c r="D1404" s="108" t="s">
        <v>16491</v>
      </c>
      <c r="E1404" s="108" t="s">
        <v>14605</v>
      </c>
      <c r="F1404" s="108" t="s">
        <v>16439</v>
      </c>
      <c r="G1404" s="109">
        <v>46029</v>
      </c>
      <c r="H1404" s="108"/>
      <c r="I1404" s="108" t="s">
        <v>108</v>
      </c>
    </row>
    <row r="1405" spans="1:9" ht="27.6">
      <c r="A1405" s="108" t="s">
        <v>3719</v>
      </c>
      <c r="B1405" s="108" t="s">
        <v>16492</v>
      </c>
      <c r="C1405" s="109">
        <v>45748</v>
      </c>
      <c r="D1405" s="108" t="s">
        <v>16493</v>
      </c>
      <c r="E1405" s="108" t="s">
        <v>14605</v>
      </c>
      <c r="F1405" s="108" t="s">
        <v>16494</v>
      </c>
      <c r="G1405" s="109">
        <v>46085</v>
      </c>
      <c r="H1405" s="108"/>
      <c r="I1405" s="108" t="s">
        <v>108</v>
      </c>
    </row>
    <row r="1406" spans="1:9" ht="27.6">
      <c r="A1406" s="108" t="s">
        <v>2232</v>
      </c>
      <c r="B1406" s="108" t="s">
        <v>16495</v>
      </c>
      <c r="C1406" s="109">
        <v>45840</v>
      </c>
      <c r="D1406" s="108" t="s">
        <v>16496</v>
      </c>
      <c r="E1406" s="108" t="s">
        <v>14605</v>
      </c>
      <c r="F1406" s="108" t="s">
        <v>16497</v>
      </c>
      <c r="G1406" s="109">
        <v>46196</v>
      </c>
      <c r="H1406" s="108"/>
      <c r="I1406" s="108" t="s">
        <v>108</v>
      </c>
    </row>
    <row r="1407" spans="1:9" ht="27.6">
      <c r="A1407" s="108" t="s">
        <v>366</v>
      </c>
      <c r="B1407" s="108" t="s">
        <v>16498</v>
      </c>
      <c r="C1407" s="109">
        <v>45905</v>
      </c>
      <c r="D1407" s="108" t="s">
        <v>16499</v>
      </c>
      <c r="E1407" s="108" t="s">
        <v>14605</v>
      </c>
      <c r="F1407" s="108" t="s">
        <v>16206</v>
      </c>
      <c r="G1407" s="109">
        <v>46247</v>
      </c>
      <c r="H1407" s="108"/>
      <c r="I1407" s="108" t="s">
        <v>108</v>
      </c>
    </row>
    <row r="1408" spans="1:9" ht="27.6">
      <c r="A1408" s="108" t="s">
        <v>2232</v>
      </c>
      <c r="B1408" s="108" t="s">
        <v>16500</v>
      </c>
      <c r="C1408" s="109">
        <v>45841</v>
      </c>
      <c r="D1408" s="108" t="s">
        <v>16501</v>
      </c>
      <c r="E1408" s="108" t="s">
        <v>14605</v>
      </c>
      <c r="F1408" s="108" t="s">
        <v>16502</v>
      </c>
      <c r="G1408" s="109">
        <v>46205</v>
      </c>
      <c r="H1408" s="108"/>
      <c r="I1408" s="108" t="s">
        <v>108</v>
      </c>
    </row>
    <row r="1409" spans="1:9">
      <c r="A1409" s="108" t="s">
        <v>15859</v>
      </c>
      <c r="B1409" s="108" t="s">
        <v>16503</v>
      </c>
      <c r="C1409" s="109">
        <v>45698</v>
      </c>
      <c r="D1409" s="108" t="s">
        <v>16504</v>
      </c>
      <c r="E1409" s="108" t="s">
        <v>14605</v>
      </c>
      <c r="F1409" s="108" t="s">
        <v>15140</v>
      </c>
      <c r="G1409" s="109">
        <v>46025</v>
      </c>
      <c r="H1409" s="108"/>
      <c r="I1409" s="108" t="s">
        <v>108</v>
      </c>
    </row>
    <row r="1410" spans="1:9">
      <c r="A1410" s="108" t="s">
        <v>15859</v>
      </c>
      <c r="B1410" s="108" t="s">
        <v>16505</v>
      </c>
      <c r="C1410" s="109">
        <v>45673</v>
      </c>
      <c r="D1410" s="108" t="s">
        <v>16506</v>
      </c>
      <c r="E1410" s="108" t="s">
        <v>14605</v>
      </c>
      <c r="F1410" s="108" t="s">
        <v>15765</v>
      </c>
      <c r="G1410" s="109">
        <v>46046</v>
      </c>
      <c r="H1410" s="108"/>
      <c r="I1410" s="108" t="s">
        <v>108</v>
      </c>
    </row>
    <row r="1411" spans="1:9" ht="27.6">
      <c r="A1411" s="108" t="s">
        <v>15859</v>
      </c>
      <c r="B1411" s="108" t="s">
        <v>16507</v>
      </c>
      <c r="C1411" s="109">
        <v>45737</v>
      </c>
      <c r="D1411" s="108" t="s">
        <v>16508</v>
      </c>
      <c r="E1411" s="108" t="s">
        <v>14605</v>
      </c>
      <c r="F1411" s="108" t="s">
        <v>15082</v>
      </c>
      <c r="G1411" s="109">
        <v>46105</v>
      </c>
      <c r="H1411" s="108"/>
      <c r="I1411" s="108" t="s">
        <v>108</v>
      </c>
    </row>
    <row r="1412" spans="1:9" ht="27.6">
      <c r="A1412" s="108" t="s">
        <v>15859</v>
      </c>
      <c r="B1412" s="108" t="s">
        <v>16509</v>
      </c>
      <c r="C1412" s="109">
        <v>45754</v>
      </c>
      <c r="D1412" s="108" t="s">
        <v>16510</v>
      </c>
      <c r="E1412" s="108" t="s">
        <v>14605</v>
      </c>
      <c r="F1412" s="108" t="s">
        <v>15082</v>
      </c>
      <c r="G1412" s="109">
        <v>46141</v>
      </c>
      <c r="H1412" s="108"/>
      <c r="I1412" s="108" t="s">
        <v>108</v>
      </c>
    </row>
    <row r="1413" spans="1:9" ht="27.6">
      <c r="A1413" s="108" t="s">
        <v>15869</v>
      </c>
      <c r="B1413" s="108" t="s">
        <v>16511</v>
      </c>
      <c r="C1413" s="109">
        <v>45611</v>
      </c>
      <c r="D1413" s="108" t="s">
        <v>16512</v>
      </c>
      <c r="E1413" s="108" t="s">
        <v>14605</v>
      </c>
      <c r="F1413" s="108" t="s">
        <v>16513</v>
      </c>
      <c r="G1413" s="109">
        <v>45974</v>
      </c>
      <c r="H1413" s="108"/>
      <c r="I1413" s="108" t="s">
        <v>108</v>
      </c>
    </row>
    <row r="1414" spans="1:9" ht="27.6">
      <c r="A1414" s="108" t="s">
        <v>15869</v>
      </c>
      <c r="B1414" s="108" t="s">
        <v>16514</v>
      </c>
      <c r="C1414" s="109">
        <v>45638</v>
      </c>
      <c r="D1414" s="108" t="s">
        <v>16515</v>
      </c>
      <c r="E1414" s="108" t="s">
        <v>14605</v>
      </c>
      <c r="F1414" s="108" t="s">
        <v>16516</v>
      </c>
      <c r="G1414" s="109">
        <v>46002</v>
      </c>
      <c r="H1414" s="108"/>
      <c r="I1414" s="108" t="s">
        <v>108</v>
      </c>
    </row>
    <row r="1415" spans="1:9" ht="41.4">
      <c r="A1415" s="108" t="s">
        <v>15869</v>
      </c>
      <c r="B1415" s="108" t="s">
        <v>16517</v>
      </c>
      <c r="C1415" s="109">
        <v>45635</v>
      </c>
      <c r="D1415" s="108" t="s">
        <v>16518</v>
      </c>
      <c r="E1415" s="108" t="s">
        <v>14605</v>
      </c>
      <c r="F1415" s="108" t="s">
        <v>15480</v>
      </c>
      <c r="G1415" s="109">
        <v>45999</v>
      </c>
      <c r="H1415" s="108"/>
      <c r="I1415" s="108" t="s">
        <v>108</v>
      </c>
    </row>
    <row r="1416" spans="1:9" ht="27.6">
      <c r="A1416" s="108" t="s">
        <v>15869</v>
      </c>
      <c r="B1416" s="108" t="s">
        <v>16519</v>
      </c>
      <c r="C1416" s="109">
        <v>45639</v>
      </c>
      <c r="D1416" s="108" t="s">
        <v>16520</v>
      </c>
      <c r="E1416" s="108" t="s">
        <v>14605</v>
      </c>
      <c r="F1416" s="108" t="s">
        <v>15484</v>
      </c>
      <c r="G1416" s="109">
        <v>46003</v>
      </c>
      <c r="H1416" s="108"/>
      <c r="I1416" s="108" t="s">
        <v>108</v>
      </c>
    </row>
    <row r="1417" spans="1:9" ht="27.6">
      <c r="A1417" s="108" t="s">
        <v>16521</v>
      </c>
      <c r="B1417" s="108" t="s">
        <v>16522</v>
      </c>
      <c r="C1417" s="109">
        <v>45649</v>
      </c>
      <c r="D1417" s="108" t="s">
        <v>16523</v>
      </c>
      <c r="E1417" s="108" t="s">
        <v>14605</v>
      </c>
      <c r="F1417" s="108" t="s">
        <v>16524</v>
      </c>
      <c r="G1417" s="109">
        <v>46013</v>
      </c>
      <c r="H1417" s="108"/>
      <c r="I1417" s="108" t="s">
        <v>108</v>
      </c>
    </row>
    <row r="1418" spans="1:9">
      <c r="A1418" s="108" t="s">
        <v>15869</v>
      </c>
      <c r="B1418" s="108" t="s">
        <v>16525</v>
      </c>
      <c r="C1418" s="109">
        <v>45827</v>
      </c>
      <c r="D1418" s="108" t="s">
        <v>16526</v>
      </c>
      <c r="E1418" s="108" t="s">
        <v>14605</v>
      </c>
      <c r="F1418" s="108" t="s">
        <v>15335</v>
      </c>
      <c r="G1418" s="109">
        <v>46191</v>
      </c>
      <c r="H1418" s="108"/>
      <c r="I1418" s="108" t="s">
        <v>108</v>
      </c>
    </row>
    <row r="1419" spans="1:9" ht="27.6">
      <c r="A1419" s="108" t="s">
        <v>15869</v>
      </c>
      <c r="B1419" s="108" t="s">
        <v>16527</v>
      </c>
      <c r="C1419" s="109">
        <v>45680</v>
      </c>
      <c r="D1419" s="108" t="s">
        <v>16528</v>
      </c>
      <c r="E1419" s="108" t="s">
        <v>14605</v>
      </c>
      <c r="F1419" s="108" t="s">
        <v>15488</v>
      </c>
      <c r="G1419" s="109">
        <v>46043</v>
      </c>
      <c r="H1419" s="108"/>
      <c r="I1419" s="108" t="s">
        <v>108</v>
      </c>
    </row>
    <row r="1420" spans="1:9" ht="27.6">
      <c r="A1420" s="108" t="s">
        <v>15869</v>
      </c>
      <c r="B1420" s="108" t="s">
        <v>16529</v>
      </c>
      <c r="C1420" s="109">
        <v>45674</v>
      </c>
      <c r="D1420" s="108" t="s">
        <v>16530</v>
      </c>
      <c r="E1420" s="108" t="s">
        <v>14605</v>
      </c>
      <c r="F1420" s="108" t="s">
        <v>16531</v>
      </c>
      <c r="G1420" s="109">
        <v>46037</v>
      </c>
      <c r="H1420" s="108"/>
      <c r="I1420" s="108" t="s">
        <v>108</v>
      </c>
    </row>
    <row r="1421" spans="1:9">
      <c r="A1421" s="108" t="s">
        <v>15869</v>
      </c>
      <c r="B1421" s="108" t="s">
        <v>16532</v>
      </c>
      <c r="C1421" s="109">
        <v>45820</v>
      </c>
      <c r="D1421" s="108" t="s">
        <v>16533</v>
      </c>
      <c r="E1421" s="108" t="s">
        <v>14605</v>
      </c>
      <c r="F1421" s="108" t="s">
        <v>15335</v>
      </c>
      <c r="G1421" s="109">
        <v>46184</v>
      </c>
      <c r="H1421" s="108"/>
      <c r="I1421" s="108" t="s">
        <v>108</v>
      </c>
    </row>
    <row r="1422" spans="1:9" ht="27.6">
      <c r="A1422" s="108" t="s">
        <v>15869</v>
      </c>
      <c r="B1422" s="108" t="s">
        <v>16534</v>
      </c>
      <c r="C1422" s="109">
        <v>45736</v>
      </c>
      <c r="D1422" s="108" t="s">
        <v>16535</v>
      </c>
      <c r="E1422" s="108" t="s">
        <v>14605</v>
      </c>
      <c r="F1422" s="108" t="s">
        <v>16536</v>
      </c>
      <c r="G1422" s="109">
        <v>46099</v>
      </c>
      <c r="H1422" s="108"/>
      <c r="I1422" s="108" t="s">
        <v>108</v>
      </c>
    </row>
    <row r="1423" spans="1:9" ht="27.6">
      <c r="A1423" s="108" t="s">
        <v>15869</v>
      </c>
      <c r="B1423" s="108" t="s">
        <v>16537</v>
      </c>
      <c r="C1423" s="109">
        <v>45750</v>
      </c>
      <c r="D1423" s="108" t="s">
        <v>16538</v>
      </c>
      <c r="E1423" s="108" t="s">
        <v>14605</v>
      </c>
      <c r="F1423" s="108" t="s">
        <v>15494</v>
      </c>
      <c r="G1423" s="109">
        <v>46113</v>
      </c>
      <c r="H1423" s="108"/>
      <c r="I1423" s="108" t="s">
        <v>108</v>
      </c>
    </row>
    <row r="1424" spans="1:9">
      <c r="A1424" s="108" t="s">
        <v>15869</v>
      </c>
      <c r="B1424" s="108" t="s">
        <v>16539</v>
      </c>
      <c r="C1424" s="109">
        <v>45827</v>
      </c>
      <c r="D1424" s="108" t="s">
        <v>16540</v>
      </c>
      <c r="E1424" s="108" t="s">
        <v>14605</v>
      </c>
      <c r="F1424" s="108" t="s">
        <v>15335</v>
      </c>
      <c r="G1424" s="109">
        <v>46191</v>
      </c>
      <c r="H1424" s="108"/>
      <c r="I1424" s="108" t="s">
        <v>108</v>
      </c>
    </row>
    <row r="1425" spans="1:9">
      <c r="A1425" s="108" t="s">
        <v>15869</v>
      </c>
      <c r="B1425" s="108" t="s">
        <v>16541</v>
      </c>
      <c r="C1425" s="109">
        <v>45827</v>
      </c>
      <c r="D1425" s="108" t="s">
        <v>16542</v>
      </c>
      <c r="E1425" s="108" t="s">
        <v>14605</v>
      </c>
      <c r="F1425" s="108" t="s">
        <v>15335</v>
      </c>
      <c r="G1425" s="109">
        <v>46191</v>
      </c>
      <c r="H1425" s="108"/>
      <c r="I1425" s="108" t="s">
        <v>108</v>
      </c>
    </row>
    <row r="1426" spans="1:9">
      <c r="A1426" s="108" t="s">
        <v>15869</v>
      </c>
      <c r="B1426" s="108" t="s">
        <v>16543</v>
      </c>
      <c r="C1426" s="109">
        <v>45765</v>
      </c>
      <c r="D1426" s="108" t="s">
        <v>16544</v>
      </c>
      <c r="E1426" s="108" t="s">
        <v>14605</v>
      </c>
      <c r="F1426" s="108" t="s">
        <v>15496</v>
      </c>
      <c r="G1426" s="109">
        <v>46129</v>
      </c>
      <c r="H1426" s="108"/>
      <c r="I1426" s="108" t="s">
        <v>108</v>
      </c>
    </row>
    <row r="1427" spans="1:9" ht="27.6">
      <c r="A1427" s="108" t="s">
        <v>15869</v>
      </c>
      <c r="B1427" s="108" t="s">
        <v>16545</v>
      </c>
      <c r="C1427" s="109">
        <v>45825</v>
      </c>
      <c r="D1427" s="108" t="s">
        <v>16546</v>
      </c>
      <c r="E1427" s="108" t="s">
        <v>14605</v>
      </c>
      <c r="F1427" s="108" t="s">
        <v>16547</v>
      </c>
      <c r="G1427" s="109">
        <v>46189</v>
      </c>
      <c r="H1427" s="108"/>
      <c r="I1427" s="108" t="s">
        <v>108</v>
      </c>
    </row>
    <row r="1428" spans="1:9" ht="27.6">
      <c r="A1428" s="108" t="s">
        <v>16521</v>
      </c>
      <c r="B1428" s="108" t="s">
        <v>16548</v>
      </c>
      <c r="C1428" s="109">
        <v>45850</v>
      </c>
      <c r="D1428" s="108" t="s">
        <v>16549</v>
      </c>
      <c r="E1428" s="108" t="s">
        <v>14605</v>
      </c>
      <c r="F1428" s="108" t="s">
        <v>16550</v>
      </c>
      <c r="G1428" s="109">
        <v>46213</v>
      </c>
      <c r="H1428" s="108"/>
      <c r="I1428" s="108" t="s">
        <v>108</v>
      </c>
    </row>
    <row r="1429" spans="1:9" ht="27.6">
      <c r="A1429" s="108" t="s">
        <v>1072</v>
      </c>
      <c r="B1429" s="108" t="s">
        <v>16551</v>
      </c>
      <c r="C1429" s="109">
        <v>45645</v>
      </c>
      <c r="D1429" s="108" t="s">
        <v>16552</v>
      </c>
      <c r="E1429" s="108" t="s">
        <v>14605</v>
      </c>
      <c r="F1429" s="108" t="s">
        <v>15079</v>
      </c>
      <c r="G1429" s="109">
        <v>46001</v>
      </c>
      <c r="H1429" s="108"/>
      <c r="I1429" s="108" t="s">
        <v>108</v>
      </c>
    </row>
    <row r="1430" spans="1:9" ht="27.6">
      <c r="A1430" s="108" t="s">
        <v>109</v>
      </c>
      <c r="B1430" s="108" t="s">
        <v>1150</v>
      </c>
      <c r="C1430" s="109">
        <v>45618</v>
      </c>
      <c r="D1430" s="108" t="s">
        <v>1152</v>
      </c>
      <c r="E1430" s="108" t="s">
        <v>14605</v>
      </c>
      <c r="F1430" s="108" t="s">
        <v>1151</v>
      </c>
      <c r="G1430" s="109">
        <v>45995</v>
      </c>
      <c r="H1430" s="108"/>
      <c r="I1430" s="108" t="s">
        <v>108</v>
      </c>
    </row>
    <row r="1431" spans="1:9" ht="27.6">
      <c r="A1431" s="108" t="s">
        <v>109</v>
      </c>
      <c r="B1431" s="108" t="s">
        <v>16553</v>
      </c>
      <c r="C1431" s="109">
        <v>45643</v>
      </c>
      <c r="D1431" s="108" t="s">
        <v>16554</v>
      </c>
      <c r="E1431" s="108" t="s">
        <v>14605</v>
      </c>
      <c r="F1431" s="108" t="s">
        <v>15084</v>
      </c>
      <c r="G1431" s="109">
        <v>46012</v>
      </c>
      <c r="H1431" s="108"/>
      <c r="I1431" s="108" t="s">
        <v>108</v>
      </c>
    </row>
    <row r="1432" spans="1:9" ht="27.6">
      <c r="A1432" s="108" t="s">
        <v>109</v>
      </c>
      <c r="B1432" s="108" t="s">
        <v>16555</v>
      </c>
      <c r="C1432" s="109">
        <v>45680</v>
      </c>
      <c r="D1432" s="108" t="s">
        <v>16556</v>
      </c>
      <c r="E1432" s="108" t="s">
        <v>14605</v>
      </c>
      <c r="F1432" s="108" t="s">
        <v>15117</v>
      </c>
      <c r="G1432" s="109">
        <v>46037</v>
      </c>
      <c r="H1432" s="108"/>
      <c r="I1432" s="108" t="s">
        <v>108</v>
      </c>
    </row>
    <row r="1433" spans="1:9" ht="41.4">
      <c r="A1433" s="108" t="s">
        <v>109</v>
      </c>
      <c r="B1433" s="108" t="s">
        <v>16557</v>
      </c>
      <c r="C1433" s="109">
        <v>45672</v>
      </c>
      <c r="D1433" s="108" t="s">
        <v>16558</v>
      </c>
      <c r="E1433" s="108" t="s">
        <v>14605</v>
      </c>
      <c r="F1433" s="108" t="s">
        <v>16559</v>
      </c>
      <c r="G1433" s="109">
        <v>46025</v>
      </c>
      <c r="H1433" s="108"/>
      <c r="I1433" s="108" t="s">
        <v>108</v>
      </c>
    </row>
    <row r="1434" spans="1:9" ht="27.6">
      <c r="A1434" s="108" t="s">
        <v>109</v>
      </c>
      <c r="B1434" s="108" t="s">
        <v>16560</v>
      </c>
      <c r="C1434" s="109">
        <v>45695</v>
      </c>
      <c r="D1434" s="108" t="s">
        <v>16561</v>
      </c>
      <c r="E1434" s="108" t="s">
        <v>14605</v>
      </c>
      <c r="F1434" s="108" t="s">
        <v>15119</v>
      </c>
      <c r="G1434" s="109">
        <v>46037</v>
      </c>
      <c r="H1434" s="108"/>
      <c r="I1434" s="108" t="s">
        <v>108</v>
      </c>
    </row>
    <row r="1435" spans="1:9" ht="27.6">
      <c r="A1435" s="108" t="s">
        <v>109</v>
      </c>
      <c r="B1435" s="108" t="s">
        <v>16562</v>
      </c>
      <c r="C1435" s="109">
        <v>45624</v>
      </c>
      <c r="D1435" s="108" t="s">
        <v>16563</v>
      </c>
      <c r="E1435" s="108" t="s">
        <v>14605</v>
      </c>
      <c r="F1435" s="108" t="s">
        <v>15490</v>
      </c>
      <c r="G1435" s="109">
        <v>47483</v>
      </c>
      <c r="H1435" s="108"/>
      <c r="I1435" s="108" t="s">
        <v>108</v>
      </c>
    </row>
    <row r="1436" spans="1:9" ht="27.6">
      <c r="A1436" s="108" t="s">
        <v>109</v>
      </c>
      <c r="B1436" s="108" t="s">
        <v>16564</v>
      </c>
      <c r="C1436" s="109">
        <v>45644</v>
      </c>
      <c r="D1436" s="108" t="s">
        <v>16565</v>
      </c>
      <c r="E1436" s="108" t="s">
        <v>14605</v>
      </c>
      <c r="F1436" s="108" t="s">
        <v>15132</v>
      </c>
      <c r="G1436" s="109">
        <v>46008</v>
      </c>
      <c r="H1436" s="108"/>
      <c r="I1436" s="108" t="s">
        <v>108</v>
      </c>
    </row>
    <row r="1437" spans="1:9" ht="27.6">
      <c r="A1437" s="108" t="s">
        <v>109</v>
      </c>
      <c r="B1437" s="108" t="s">
        <v>16566</v>
      </c>
      <c r="C1437" s="109">
        <v>45706</v>
      </c>
      <c r="D1437" s="108" t="s">
        <v>16567</v>
      </c>
      <c r="E1437" s="108" t="s">
        <v>14605</v>
      </c>
      <c r="F1437" s="108" t="s">
        <v>14748</v>
      </c>
      <c r="G1437" s="109">
        <v>46078</v>
      </c>
      <c r="H1437" s="108"/>
      <c r="I1437" s="108" t="s">
        <v>108</v>
      </c>
    </row>
    <row r="1438" spans="1:9" ht="27.6">
      <c r="A1438" s="108" t="s">
        <v>109</v>
      </c>
      <c r="B1438" s="108" t="s">
        <v>16568</v>
      </c>
      <c r="C1438" s="109">
        <v>45661</v>
      </c>
      <c r="D1438" s="108" t="s">
        <v>16569</v>
      </c>
      <c r="E1438" s="108" t="s">
        <v>14605</v>
      </c>
      <c r="F1438" s="108" t="s">
        <v>16570</v>
      </c>
      <c r="G1438" s="109">
        <v>46032</v>
      </c>
      <c r="H1438" s="108"/>
      <c r="I1438" s="108" t="s">
        <v>108</v>
      </c>
    </row>
    <row r="1439" spans="1:9" ht="27.6">
      <c r="A1439" s="108" t="s">
        <v>250</v>
      </c>
      <c r="B1439" s="108" t="s">
        <v>16571</v>
      </c>
      <c r="C1439" s="109">
        <v>45628</v>
      </c>
      <c r="D1439" s="108" t="s">
        <v>16572</v>
      </c>
      <c r="E1439" s="108" t="s">
        <v>14605</v>
      </c>
      <c r="F1439" s="108" t="s">
        <v>16573</v>
      </c>
      <c r="G1439" s="109">
        <v>45992</v>
      </c>
      <c r="H1439" s="108"/>
      <c r="I1439" s="108" t="s">
        <v>108</v>
      </c>
    </row>
    <row r="1440" spans="1:9" ht="27.6">
      <c r="A1440" s="108" t="s">
        <v>250</v>
      </c>
      <c r="B1440" s="108" t="s">
        <v>3503</v>
      </c>
      <c r="C1440" s="109">
        <v>45659</v>
      </c>
      <c r="D1440" s="108" t="s">
        <v>3505</v>
      </c>
      <c r="E1440" s="108" t="s">
        <v>14605</v>
      </c>
      <c r="F1440" s="108" t="s">
        <v>3504</v>
      </c>
      <c r="G1440" s="109">
        <v>45998</v>
      </c>
      <c r="H1440" s="108"/>
      <c r="I1440" s="108" t="s">
        <v>108</v>
      </c>
    </row>
    <row r="1441" spans="1:9" ht="27.6">
      <c r="A1441" s="108" t="s">
        <v>109</v>
      </c>
      <c r="B1441" s="108" t="s">
        <v>5028</v>
      </c>
      <c r="C1441" s="109">
        <v>45697</v>
      </c>
      <c r="D1441" s="108" t="s">
        <v>5029</v>
      </c>
      <c r="E1441" s="108" t="s">
        <v>14605</v>
      </c>
      <c r="F1441" s="108" t="s">
        <v>5018</v>
      </c>
      <c r="G1441" s="109">
        <v>46061</v>
      </c>
      <c r="H1441" s="108"/>
      <c r="I1441" s="108" t="s">
        <v>108</v>
      </c>
    </row>
    <row r="1442" spans="1:9" ht="27.6">
      <c r="A1442" s="108" t="s">
        <v>109</v>
      </c>
      <c r="B1442" s="108" t="s">
        <v>4440</v>
      </c>
      <c r="C1442" s="109">
        <v>45670</v>
      </c>
      <c r="D1442" s="108" t="s">
        <v>4441</v>
      </c>
      <c r="E1442" s="108" t="s">
        <v>14605</v>
      </c>
      <c r="F1442" s="108" t="s">
        <v>4434</v>
      </c>
      <c r="G1442" s="109">
        <v>46032</v>
      </c>
      <c r="H1442" s="108"/>
      <c r="I1442" s="108" t="s">
        <v>108</v>
      </c>
    </row>
    <row r="1443" spans="1:9" ht="27.6">
      <c r="A1443" s="108" t="s">
        <v>109</v>
      </c>
      <c r="B1443" s="108" t="s">
        <v>16574</v>
      </c>
      <c r="C1443" s="109">
        <v>45726</v>
      </c>
      <c r="D1443" s="108" t="s">
        <v>16575</v>
      </c>
      <c r="E1443" s="108" t="s">
        <v>14605</v>
      </c>
      <c r="F1443" s="108" t="s">
        <v>16576</v>
      </c>
      <c r="G1443" s="109">
        <v>46073</v>
      </c>
      <c r="H1443" s="108"/>
      <c r="I1443" s="108" t="s">
        <v>108</v>
      </c>
    </row>
    <row r="1444" spans="1:9" ht="27.6">
      <c r="A1444" s="108" t="s">
        <v>109</v>
      </c>
      <c r="B1444" s="108" t="s">
        <v>16577</v>
      </c>
      <c r="C1444" s="109">
        <v>45688</v>
      </c>
      <c r="D1444" s="108" t="s">
        <v>16578</v>
      </c>
      <c r="E1444" s="108" t="s">
        <v>14605</v>
      </c>
      <c r="F1444" s="108" t="s">
        <v>15121</v>
      </c>
      <c r="G1444" s="109">
        <v>46038</v>
      </c>
      <c r="H1444" s="108"/>
      <c r="I1444" s="108" t="s">
        <v>108</v>
      </c>
    </row>
    <row r="1445" spans="1:9" ht="27.6">
      <c r="A1445" s="108" t="s">
        <v>109</v>
      </c>
      <c r="B1445" s="108" t="s">
        <v>16579</v>
      </c>
      <c r="C1445" s="109">
        <v>45713</v>
      </c>
      <c r="D1445" s="108" t="s">
        <v>16580</v>
      </c>
      <c r="E1445" s="108" t="s">
        <v>14605</v>
      </c>
      <c r="F1445" s="108" t="s">
        <v>16581</v>
      </c>
      <c r="G1445" s="109">
        <v>46077</v>
      </c>
      <c r="H1445" s="108"/>
      <c r="I1445" s="108" t="s">
        <v>108</v>
      </c>
    </row>
    <row r="1446" spans="1:9" ht="27.6">
      <c r="A1446" s="108" t="s">
        <v>109</v>
      </c>
      <c r="B1446" s="108" t="s">
        <v>16582</v>
      </c>
      <c r="C1446" s="109">
        <v>45744</v>
      </c>
      <c r="D1446" s="108" t="s">
        <v>16583</v>
      </c>
      <c r="E1446" s="108" t="s">
        <v>14605</v>
      </c>
      <c r="F1446" s="108" t="s">
        <v>15942</v>
      </c>
      <c r="G1446" s="109">
        <v>46040</v>
      </c>
      <c r="H1446" s="108"/>
      <c r="I1446" s="108" t="s">
        <v>108</v>
      </c>
    </row>
    <row r="1447" spans="1:9" ht="27.6">
      <c r="A1447" s="108" t="s">
        <v>109</v>
      </c>
      <c r="B1447" s="108" t="s">
        <v>16584</v>
      </c>
      <c r="C1447" s="109">
        <v>45943</v>
      </c>
      <c r="D1447" s="108" t="s">
        <v>16585</v>
      </c>
      <c r="E1447" s="108" t="s">
        <v>14605</v>
      </c>
      <c r="F1447" s="108" t="s">
        <v>15175</v>
      </c>
      <c r="G1447" s="109">
        <v>46225</v>
      </c>
      <c r="H1447" s="108"/>
      <c r="I1447" s="108" t="s">
        <v>108</v>
      </c>
    </row>
    <row r="1448" spans="1:9" ht="27.6">
      <c r="A1448" s="108" t="s">
        <v>981</v>
      </c>
      <c r="B1448" s="108" t="s">
        <v>16586</v>
      </c>
      <c r="C1448" s="109">
        <v>45651</v>
      </c>
      <c r="D1448" s="108" t="s">
        <v>16587</v>
      </c>
      <c r="E1448" s="108" t="s">
        <v>14605</v>
      </c>
      <c r="F1448" s="108" t="s">
        <v>16588</v>
      </c>
      <c r="G1448" s="109">
        <v>46015</v>
      </c>
      <c r="H1448" s="108"/>
      <c r="I1448" s="108" t="s">
        <v>108</v>
      </c>
    </row>
    <row r="1449" spans="1:9" ht="27.6">
      <c r="A1449" s="108" t="s">
        <v>981</v>
      </c>
      <c r="B1449" s="108" t="s">
        <v>3490</v>
      </c>
      <c r="C1449" s="109">
        <v>45660</v>
      </c>
      <c r="D1449" s="108" t="s">
        <v>3491</v>
      </c>
      <c r="E1449" s="108" t="s">
        <v>14605</v>
      </c>
      <c r="F1449" s="108" t="s">
        <v>16589</v>
      </c>
      <c r="G1449" s="109">
        <v>46032</v>
      </c>
      <c r="H1449" s="108"/>
      <c r="I1449" s="108" t="s">
        <v>108</v>
      </c>
    </row>
    <row r="1450" spans="1:9" ht="27.6">
      <c r="A1450" s="108" t="s">
        <v>1072</v>
      </c>
      <c r="B1450" s="108" t="s">
        <v>4667</v>
      </c>
      <c r="C1450" s="109">
        <v>45693</v>
      </c>
      <c r="D1450" s="108" t="s">
        <v>4669</v>
      </c>
      <c r="E1450" s="108" t="s">
        <v>14605</v>
      </c>
      <c r="F1450" s="108" t="s">
        <v>4668</v>
      </c>
      <c r="G1450" s="109">
        <v>46023</v>
      </c>
      <c r="H1450" s="108"/>
      <c r="I1450" s="108" t="s">
        <v>108</v>
      </c>
    </row>
    <row r="1451" spans="1:9" ht="27.6">
      <c r="A1451" s="108" t="s">
        <v>250</v>
      </c>
      <c r="B1451" s="108" t="s">
        <v>5142</v>
      </c>
      <c r="C1451" s="109">
        <v>45693</v>
      </c>
      <c r="D1451" s="108" t="s">
        <v>5143</v>
      </c>
      <c r="E1451" s="108" t="s">
        <v>14605</v>
      </c>
      <c r="F1451" s="108" t="s">
        <v>5138</v>
      </c>
      <c r="G1451" s="109">
        <v>46029</v>
      </c>
      <c r="H1451" s="108"/>
      <c r="I1451" s="108" t="s">
        <v>108</v>
      </c>
    </row>
    <row r="1452" spans="1:9" ht="27.6">
      <c r="A1452" s="108" t="s">
        <v>250</v>
      </c>
      <c r="B1452" s="108" t="s">
        <v>16590</v>
      </c>
      <c r="C1452" s="109">
        <v>45666</v>
      </c>
      <c r="D1452" s="108" t="s">
        <v>16591</v>
      </c>
      <c r="E1452" s="108" t="s">
        <v>14605</v>
      </c>
      <c r="F1452" s="108" t="s">
        <v>16592</v>
      </c>
      <c r="G1452" s="109">
        <v>46030</v>
      </c>
      <c r="H1452" s="108"/>
      <c r="I1452" s="108" t="s">
        <v>108</v>
      </c>
    </row>
    <row r="1453" spans="1:9" ht="27.6">
      <c r="A1453" s="108" t="s">
        <v>109</v>
      </c>
      <c r="B1453" s="108" t="s">
        <v>1859</v>
      </c>
      <c r="C1453" s="109">
        <v>45672</v>
      </c>
      <c r="D1453" s="108" t="s">
        <v>1860</v>
      </c>
      <c r="E1453" s="108" t="s">
        <v>14605</v>
      </c>
      <c r="F1453" s="108" t="s">
        <v>1853</v>
      </c>
      <c r="G1453" s="109">
        <v>46038</v>
      </c>
      <c r="H1453" s="108"/>
      <c r="I1453" s="108" t="s">
        <v>108</v>
      </c>
    </row>
    <row r="1454" spans="1:9" ht="27.6">
      <c r="A1454" s="108" t="s">
        <v>109</v>
      </c>
      <c r="B1454" s="108" t="s">
        <v>16593</v>
      </c>
      <c r="C1454" s="109">
        <v>45650</v>
      </c>
      <c r="D1454" s="108" t="s">
        <v>16594</v>
      </c>
      <c r="E1454" s="108" t="s">
        <v>14605</v>
      </c>
      <c r="F1454" s="108" t="s">
        <v>16595</v>
      </c>
      <c r="G1454" s="109">
        <v>46014</v>
      </c>
      <c r="H1454" s="108"/>
      <c r="I1454" s="108" t="s">
        <v>108</v>
      </c>
    </row>
    <row r="1455" spans="1:9" ht="27.6">
      <c r="A1455" s="108" t="s">
        <v>109</v>
      </c>
      <c r="B1455" s="108" t="s">
        <v>4159</v>
      </c>
      <c r="C1455" s="109">
        <v>45705</v>
      </c>
      <c r="D1455" s="108" t="s">
        <v>4160</v>
      </c>
      <c r="E1455" s="108" t="s">
        <v>14605</v>
      </c>
      <c r="F1455" s="108" t="s">
        <v>4151</v>
      </c>
      <c r="G1455" s="109">
        <v>46038</v>
      </c>
      <c r="H1455" s="108"/>
      <c r="I1455" s="108" t="s">
        <v>108</v>
      </c>
    </row>
    <row r="1456" spans="1:9" ht="27.6">
      <c r="A1456" s="108" t="s">
        <v>109</v>
      </c>
      <c r="B1456" s="108" t="s">
        <v>362</v>
      </c>
      <c r="C1456" s="109">
        <v>45749</v>
      </c>
      <c r="D1456" s="108" t="s">
        <v>363</v>
      </c>
      <c r="E1456" s="108" t="s">
        <v>14605</v>
      </c>
      <c r="F1456" s="108" t="s">
        <v>358</v>
      </c>
      <c r="G1456" s="109">
        <v>46042</v>
      </c>
      <c r="H1456" s="108"/>
      <c r="I1456" s="108" t="s">
        <v>108</v>
      </c>
    </row>
    <row r="1457" spans="1:9" ht="27.6">
      <c r="A1457" s="108" t="s">
        <v>109</v>
      </c>
      <c r="B1457" s="108" t="s">
        <v>3358</v>
      </c>
      <c r="C1457" s="109">
        <v>45788</v>
      </c>
      <c r="D1457" s="108" t="s">
        <v>3359</v>
      </c>
      <c r="E1457" s="108" t="s">
        <v>14605</v>
      </c>
      <c r="F1457" s="108" t="s">
        <v>15161</v>
      </c>
      <c r="G1457" s="109">
        <v>46040</v>
      </c>
      <c r="H1457" s="108"/>
      <c r="I1457" s="108" t="s">
        <v>108</v>
      </c>
    </row>
    <row r="1458" spans="1:9" ht="27.6">
      <c r="A1458" s="108" t="s">
        <v>109</v>
      </c>
      <c r="B1458" s="108" t="s">
        <v>4172</v>
      </c>
      <c r="C1458" s="109">
        <v>45859</v>
      </c>
      <c r="D1458" s="108" t="s">
        <v>4173</v>
      </c>
      <c r="E1458" s="108" t="s">
        <v>14605</v>
      </c>
      <c r="F1458" s="108" t="s">
        <v>4164</v>
      </c>
      <c r="G1458" s="109">
        <v>46132</v>
      </c>
      <c r="H1458" s="108"/>
      <c r="I1458" s="108" t="s">
        <v>108</v>
      </c>
    </row>
    <row r="1459" spans="1:9" ht="27.6">
      <c r="A1459" s="108" t="s">
        <v>109</v>
      </c>
      <c r="B1459" s="108" t="s">
        <v>1820</v>
      </c>
      <c r="C1459" s="109">
        <v>45687</v>
      </c>
      <c r="D1459" s="108" t="s">
        <v>1821</v>
      </c>
      <c r="E1459" s="108" t="s">
        <v>14605</v>
      </c>
      <c r="F1459" s="108" t="s">
        <v>15134</v>
      </c>
      <c r="G1459" s="109">
        <v>46053</v>
      </c>
      <c r="H1459" s="108"/>
      <c r="I1459" s="108" t="s">
        <v>108</v>
      </c>
    </row>
    <row r="1460" spans="1:9" ht="27.6">
      <c r="A1460" s="108" t="s">
        <v>109</v>
      </c>
      <c r="B1460" s="108" t="s">
        <v>857</v>
      </c>
      <c r="C1460" s="109">
        <v>45909</v>
      </c>
      <c r="D1460" s="108" t="s">
        <v>858</v>
      </c>
      <c r="E1460" s="108" t="s">
        <v>14605</v>
      </c>
      <c r="F1460" s="108" t="s">
        <v>845</v>
      </c>
      <c r="G1460" s="109">
        <v>46131</v>
      </c>
      <c r="H1460" s="108"/>
      <c r="I1460" s="108" t="s">
        <v>108</v>
      </c>
    </row>
    <row r="1461" spans="1:9" ht="27.6">
      <c r="A1461" s="108" t="s">
        <v>1072</v>
      </c>
      <c r="B1461" s="108" t="s">
        <v>16596</v>
      </c>
      <c r="C1461" s="109">
        <v>45902</v>
      </c>
      <c r="D1461" s="108" t="s">
        <v>16597</v>
      </c>
      <c r="E1461" s="108" t="s">
        <v>14605</v>
      </c>
      <c r="F1461" s="108" t="s">
        <v>15261</v>
      </c>
      <c r="G1461" s="109">
        <v>46043</v>
      </c>
      <c r="H1461" s="108"/>
      <c r="I1461" s="108" t="s">
        <v>108</v>
      </c>
    </row>
    <row r="1462" spans="1:9" ht="27.6">
      <c r="A1462" s="108" t="s">
        <v>981</v>
      </c>
      <c r="B1462" s="108" t="s">
        <v>16598</v>
      </c>
      <c r="C1462" s="109">
        <v>45707</v>
      </c>
      <c r="D1462" s="108" t="s">
        <v>16599</v>
      </c>
      <c r="E1462" s="108" t="s">
        <v>14605</v>
      </c>
      <c r="F1462" s="108" t="s">
        <v>14953</v>
      </c>
      <c r="G1462" s="109">
        <v>46051</v>
      </c>
      <c r="H1462" s="108"/>
      <c r="I1462" s="108" t="s">
        <v>108</v>
      </c>
    </row>
    <row r="1463" spans="1:9" ht="27.6">
      <c r="A1463" s="108" t="s">
        <v>109</v>
      </c>
      <c r="B1463" s="108" t="s">
        <v>855</v>
      </c>
      <c r="C1463" s="109">
        <v>45922</v>
      </c>
      <c r="D1463" s="108" t="s">
        <v>856</v>
      </c>
      <c r="E1463" s="108" t="s">
        <v>14605</v>
      </c>
      <c r="F1463" s="108" t="s">
        <v>845</v>
      </c>
      <c r="G1463" s="109">
        <v>46131</v>
      </c>
      <c r="H1463" s="108"/>
      <c r="I1463" s="108" t="s">
        <v>108</v>
      </c>
    </row>
    <row r="1464" spans="1:9" ht="27.6">
      <c r="A1464" s="108" t="s">
        <v>109</v>
      </c>
      <c r="B1464" s="108" t="s">
        <v>4970</v>
      </c>
      <c r="C1464" s="109">
        <v>45788</v>
      </c>
      <c r="D1464" s="108" t="s">
        <v>4971</v>
      </c>
      <c r="E1464" s="108" t="s">
        <v>14605</v>
      </c>
      <c r="F1464" s="108" t="s">
        <v>4966</v>
      </c>
      <c r="G1464" s="109">
        <v>46060</v>
      </c>
      <c r="H1464" s="108"/>
      <c r="I1464" s="108" t="s">
        <v>108</v>
      </c>
    </row>
    <row r="1465" spans="1:9" ht="27.6">
      <c r="A1465" s="108" t="s">
        <v>981</v>
      </c>
      <c r="B1465" s="108" t="s">
        <v>16600</v>
      </c>
      <c r="C1465" s="109">
        <v>45742</v>
      </c>
      <c r="D1465" s="108" t="s">
        <v>16601</v>
      </c>
      <c r="E1465" s="108" t="s">
        <v>14605</v>
      </c>
      <c r="F1465" s="108" t="s">
        <v>16602</v>
      </c>
      <c r="G1465" s="109">
        <v>46106</v>
      </c>
      <c r="H1465" s="108"/>
      <c r="I1465" s="108" t="s">
        <v>108</v>
      </c>
    </row>
    <row r="1466" spans="1:9" ht="27.6">
      <c r="A1466" s="108" t="s">
        <v>109</v>
      </c>
      <c r="B1466" s="108" t="s">
        <v>16603</v>
      </c>
      <c r="C1466" s="109">
        <v>45721</v>
      </c>
      <c r="D1466" s="108" t="s">
        <v>16604</v>
      </c>
      <c r="E1466" s="108" t="s">
        <v>14605</v>
      </c>
      <c r="F1466" s="108" t="s">
        <v>16051</v>
      </c>
      <c r="G1466" s="109">
        <v>46047</v>
      </c>
      <c r="H1466" s="108"/>
      <c r="I1466" s="108" t="s">
        <v>108</v>
      </c>
    </row>
    <row r="1467" spans="1:9" ht="27.6">
      <c r="A1467" s="108" t="s">
        <v>109</v>
      </c>
      <c r="B1467" s="108" t="s">
        <v>4892</v>
      </c>
      <c r="C1467" s="109">
        <v>45728</v>
      </c>
      <c r="D1467" s="108" t="s">
        <v>4893</v>
      </c>
      <c r="E1467" s="108" t="s">
        <v>14605</v>
      </c>
      <c r="F1467" s="108" t="s">
        <v>4889</v>
      </c>
      <c r="G1467" s="109">
        <v>46101</v>
      </c>
      <c r="H1467" s="108"/>
      <c r="I1467" s="108" t="s">
        <v>108</v>
      </c>
    </row>
    <row r="1468" spans="1:9" ht="27.6">
      <c r="A1468" s="108" t="s">
        <v>981</v>
      </c>
      <c r="B1468" s="108" t="s">
        <v>16605</v>
      </c>
      <c r="C1468" s="109">
        <v>45709</v>
      </c>
      <c r="D1468" s="108" t="s">
        <v>16606</v>
      </c>
      <c r="E1468" s="108" t="s">
        <v>14605</v>
      </c>
      <c r="F1468" s="108" t="s">
        <v>16607</v>
      </c>
      <c r="G1468" s="109">
        <v>46072</v>
      </c>
      <c r="H1468" s="108"/>
      <c r="I1468" s="108" t="s">
        <v>108</v>
      </c>
    </row>
    <row r="1469" spans="1:9" ht="27.6">
      <c r="A1469" s="108" t="s">
        <v>109</v>
      </c>
      <c r="B1469" s="108" t="s">
        <v>1186</v>
      </c>
      <c r="C1469" s="109">
        <v>45792</v>
      </c>
      <c r="D1469" s="108" t="s">
        <v>1187</v>
      </c>
      <c r="E1469" s="108" t="s">
        <v>14605</v>
      </c>
      <c r="F1469" s="108" t="s">
        <v>1179</v>
      </c>
      <c r="G1469" s="109">
        <v>46173</v>
      </c>
      <c r="H1469" s="108"/>
      <c r="I1469" s="108" t="s">
        <v>108</v>
      </c>
    </row>
    <row r="1470" spans="1:9" ht="27.6">
      <c r="A1470" s="108" t="s">
        <v>109</v>
      </c>
      <c r="B1470" s="108" t="s">
        <v>126</v>
      </c>
      <c r="C1470" s="109">
        <v>45824</v>
      </c>
      <c r="D1470" s="108" t="s">
        <v>127</v>
      </c>
      <c r="E1470" s="108" t="s">
        <v>14605</v>
      </c>
      <c r="F1470" s="108" t="s">
        <v>111</v>
      </c>
      <c r="G1470" s="109">
        <v>46191</v>
      </c>
      <c r="H1470" s="108"/>
      <c r="I1470" s="108" t="s">
        <v>108</v>
      </c>
    </row>
    <row r="1471" spans="1:9" ht="27.6">
      <c r="A1471" s="108" t="s">
        <v>109</v>
      </c>
      <c r="B1471" s="108" t="s">
        <v>16608</v>
      </c>
      <c r="C1471" s="109">
        <v>45709</v>
      </c>
      <c r="D1471" s="108" t="s">
        <v>16609</v>
      </c>
      <c r="E1471" s="108" t="s">
        <v>14605</v>
      </c>
      <c r="F1471" s="108" t="s">
        <v>16610</v>
      </c>
      <c r="G1471" s="109">
        <v>46072</v>
      </c>
      <c r="H1471" s="108"/>
      <c r="I1471" s="108" t="s">
        <v>108</v>
      </c>
    </row>
    <row r="1472" spans="1:9" ht="27.6">
      <c r="A1472" s="108" t="s">
        <v>109</v>
      </c>
      <c r="B1472" s="108" t="s">
        <v>2244</v>
      </c>
      <c r="C1472" s="109">
        <v>45847</v>
      </c>
      <c r="D1472" s="108" t="s">
        <v>2246</v>
      </c>
      <c r="E1472" s="108" t="s">
        <v>14605</v>
      </c>
      <c r="F1472" s="108" t="s">
        <v>2245</v>
      </c>
      <c r="G1472" s="109">
        <v>46227</v>
      </c>
      <c r="H1472" s="108"/>
      <c r="I1472" s="108" t="s">
        <v>108</v>
      </c>
    </row>
    <row r="1473" spans="1:9" ht="27.6">
      <c r="A1473" s="108" t="s">
        <v>109</v>
      </c>
      <c r="B1473" s="108" t="s">
        <v>16611</v>
      </c>
      <c r="C1473" s="109">
        <v>45740</v>
      </c>
      <c r="D1473" s="108" t="s">
        <v>16612</v>
      </c>
      <c r="E1473" s="108" t="s">
        <v>14605</v>
      </c>
      <c r="F1473" s="108" t="s">
        <v>16613</v>
      </c>
      <c r="G1473" s="109">
        <v>46104</v>
      </c>
      <c r="H1473" s="108"/>
      <c r="I1473" s="108" t="s">
        <v>108</v>
      </c>
    </row>
    <row r="1474" spans="1:9" ht="27.6">
      <c r="A1474" s="108" t="s">
        <v>109</v>
      </c>
      <c r="B1474" s="108" t="s">
        <v>16614</v>
      </c>
      <c r="C1474" s="109">
        <v>45849</v>
      </c>
      <c r="D1474" s="108" t="s">
        <v>16615</v>
      </c>
      <c r="E1474" s="108" t="s">
        <v>14605</v>
      </c>
      <c r="F1474" s="108" t="s">
        <v>15207</v>
      </c>
      <c r="G1474" s="109">
        <v>46225</v>
      </c>
      <c r="H1474" s="108"/>
      <c r="I1474" s="108" t="s">
        <v>108</v>
      </c>
    </row>
    <row r="1475" spans="1:9" ht="27.6">
      <c r="A1475" s="108" t="s">
        <v>109</v>
      </c>
      <c r="B1475" s="108" t="s">
        <v>16616</v>
      </c>
      <c r="C1475" s="109">
        <v>45847</v>
      </c>
      <c r="D1475" s="108" t="s">
        <v>16617</v>
      </c>
      <c r="E1475" s="108" t="s">
        <v>14605</v>
      </c>
      <c r="F1475" s="108" t="s">
        <v>15207</v>
      </c>
      <c r="G1475" s="109">
        <v>46225</v>
      </c>
      <c r="H1475" s="108"/>
      <c r="I1475" s="108" t="s">
        <v>108</v>
      </c>
    </row>
    <row r="1476" spans="1:9" ht="27.6">
      <c r="A1476" s="108" t="s">
        <v>981</v>
      </c>
      <c r="B1476" s="108" t="s">
        <v>16618</v>
      </c>
      <c r="C1476" s="109">
        <v>45827</v>
      </c>
      <c r="D1476" s="108" t="s">
        <v>16619</v>
      </c>
      <c r="E1476" s="108" t="s">
        <v>14605</v>
      </c>
      <c r="F1476" s="108" t="s">
        <v>15335</v>
      </c>
      <c r="G1476" s="109">
        <v>46191</v>
      </c>
      <c r="H1476" s="108"/>
      <c r="I1476" s="108" t="s">
        <v>108</v>
      </c>
    </row>
    <row r="1477" spans="1:9" ht="27.6">
      <c r="A1477" s="108" t="s">
        <v>1072</v>
      </c>
      <c r="B1477" s="108" t="s">
        <v>16620</v>
      </c>
      <c r="C1477" s="109">
        <v>45763</v>
      </c>
      <c r="D1477" s="108" t="s">
        <v>16621</v>
      </c>
      <c r="E1477" s="108" t="s">
        <v>14605</v>
      </c>
      <c r="F1477" s="108" t="s">
        <v>16622</v>
      </c>
      <c r="G1477" s="109">
        <v>46137</v>
      </c>
      <c r="H1477" s="108"/>
      <c r="I1477" s="108" t="s">
        <v>108</v>
      </c>
    </row>
    <row r="1478" spans="1:9" ht="27.6">
      <c r="A1478" s="108" t="s">
        <v>109</v>
      </c>
      <c r="B1478" s="108" t="s">
        <v>16623</v>
      </c>
      <c r="C1478" s="109">
        <v>45835</v>
      </c>
      <c r="D1478" s="108" t="s">
        <v>16624</v>
      </c>
      <c r="E1478" s="108" t="s">
        <v>14605</v>
      </c>
      <c r="F1478" s="108" t="s">
        <v>15203</v>
      </c>
      <c r="G1478" s="109">
        <v>46225</v>
      </c>
      <c r="H1478" s="108"/>
      <c r="I1478" s="108" t="s">
        <v>108</v>
      </c>
    </row>
    <row r="1479" spans="1:9" ht="27.6">
      <c r="A1479" s="108" t="s">
        <v>109</v>
      </c>
      <c r="B1479" s="108" t="s">
        <v>4956</v>
      </c>
      <c r="C1479" s="109">
        <v>45896</v>
      </c>
      <c r="D1479" s="108" t="s">
        <v>4957</v>
      </c>
      <c r="E1479" s="108" t="s">
        <v>14605</v>
      </c>
      <c r="F1479" s="108" t="s">
        <v>4954</v>
      </c>
      <c r="G1479" s="109">
        <v>46232</v>
      </c>
      <c r="H1479" s="108"/>
      <c r="I1479" s="108" t="s">
        <v>108</v>
      </c>
    </row>
    <row r="1480" spans="1:9" ht="27.6">
      <c r="A1480" s="108" t="s">
        <v>109</v>
      </c>
      <c r="B1480" s="108" t="s">
        <v>16625</v>
      </c>
      <c r="C1480" s="109">
        <v>45848</v>
      </c>
      <c r="D1480" s="108" t="s">
        <v>16626</v>
      </c>
      <c r="E1480" s="108" t="s">
        <v>14605</v>
      </c>
      <c r="F1480" s="108" t="s">
        <v>15359</v>
      </c>
      <c r="G1480" s="109">
        <v>46242</v>
      </c>
      <c r="H1480" s="108"/>
      <c r="I1480" s="108" t="s">
        <v>108</v>
      </c>
    </row>
    <row r="1481" spans="1:9" ht="27.6">
      <c r="A1481" s="108" t="s">
        <v>109</v>
      </c>
      <c r="B1481" s="108" t="s">
        <v>16627</v>
      </c>
      <c r="C1481" s="109">
        <v>45820</v>
      </c>
      <c r="D1481" s="108" t="s">
        <v>16628</v>
      </c>
      <c r="E1481" s="108" t="s">
        <v>14605</v>
      </c>
      <c r="F1481" s="108" t="s">
        <v>15509</v>
      </c>
      <c r="G1481" s="109">
        <v>46184</v>
      </c>
      <c r="H1481" s="108"/>
      <c r="I1481" s="108" t="s">
        <v>108</v>
      </c>
    </row>
    <row r="1482" spans="1:9" ht="27.6">
      <c r="A1482" s="108" t="s">
        <v>109</v>
      </c>
      <c r="B1482" s="108" t="s">
        <v>3759</v>
      </c>
      <c r="C1482" s="109">
        <v>45862</v>
      </c>
      <c r="D1482" s="108" t="s">
        <v>3760</v>
      </c>
      <c r="E1482" s="108" t="s">
        <v>14605</v>
      </c>
      <c r="F1482" s="108" t="s">
        <v>14649</v>
      </c>
      <c r="G1482" s="109">
        <v>46218</v>
      </c>
      <c r="H1482" s="108"/>
      <c r="I1482" s="108" t="s">
        <v>108</v>
      </c>
    </row>
    <row r="1483" spans="1:9" ht="27.6">
      <c r="A1483" s="108" t="s">
        <v>109</v>
      </c>
      <c r="B1483" s="108" t="s">
        <v>16629</v>
      </c>
      <c r="C1483" s="109">
        <v>45895</v>
      </c>
      <c r="D1483" s="108" t="s">
        <v>16630</v>
      </c>
      <c r="E1483" s="108" t="s">
        <v>14605</v>
      </c>
      <c r="F1483" s="108" t="s">
        <v>15261</v>
      </c>
      <c r="G1483" s="109">
        <v>46260</v>
      </c>
      <c r="H1483" s="108"/>
      <c r="I1483" s="108" t="s">
        <v>108</v>
      </c>
    </row>
    <row r="1484" spans="1:9" ht="27.6">
      <c r="A1484" s="108" t="s">
        <v>109</v>
      </c>
      <c r="B1484" s="108" t="s">
        <v>16631</v>
      </c>
      <c r="C1484" s="109">
        <v>45875</v>
      </c>
      <c r="D1484" s="108" t="s">
        <v>16632</v>
      </c>
      <c r="E1484" s="108" t="s">
        <v>14605</v>
      </c>
      <c r="F1484" s="108" t="s">
        <v>15276</v>
      </c>
      <c r="G1484" s="109">
        <v>46215</v>
      </c>
      <c r="H1484" s="108"/>
      <c r="I1484" s="108" t="s">
        <v>108</v>
      </c>
    </row>
    <row r="1485" spans="1:9" ht="27.6">
      <c r="A1485" s="108" t="s">
        <v>109</v>
      </c>
      <c r="B1485" s="108" t="s">
        <v>16633</v>
      </c>
      <c r="C1485" s="109">
        <v>45891</v>
      </c>
      <c r="D1485" s="108" t="s">
        <v>16634</v>
      </c>
      <c r="E1485" s="108" t="s">
        <v>14605</v>
      </c>
      <c r="F1485" s="108" t="s">
        <v>15265</v>
      </c>
      <c r="G1485" s="109">
        <v>46264</v>
      </c>
      <c r="H1485" s="108"/>
      <c r="I1485" s="108" t="s">
        <v>108</v>
      </c>
    </row>
    <row r="1486" spans="1:9" ht="27.6">
      <c r="A1486" s="108" t="s">
        <v>109</v>
      </c>
      <c r="B1486" s="108" t="s">
        <v>16635</v>
      </c>
      <c r="C1486" s="109">
        <v>45895</v>
      </c>
      <c r="D1486" s="108" t="s">
        <v>16636</v>
      </c>
      <c r="E1486" s="108" t="s">
        <v>14605</v>
      </c>
      <c r="F1486" s="108" t="s">
        <v>15267</v>
      </c>
      <c r="G1486" s="109">
        <v>46283</v>
      </c>
      <c r="H1486" s="108"/>
      <c r="I1486" s="108" t="s">
        <v>108</v>
      </c>
    </row>
    <row r="1487" spans="1:9">
      <c r="A1487" s="108" t="s">
        <v>378</v>
      </c>
      <c r="B1487" s="108" t="s">
        <v>2507</v>
      </c>
      <c r="C1487" s="109">
        <v>45866</v>
      </c>
      <c r="D1487" s="108" t="s">
        <v>2508</v>
      </c>
      <c r="E1487" s="108" t="s">
        <v>14605</v>
      </c>
      <c r="F1487" s="108" t="s">
        <v>2475</v>
      </c>
      <c r="G1487" s="109">
        <v>46227</v>
      </c>
      <c r="H1487" s="108"/>
      <c r="I1487" s="108" t="s">
        <v>108</v>
      </c>
    </row>
    <row r="1488" spans="1:9">
      <c r="A1488" s="108" t="s">
        <v>378</v>
      </c>
      <c r="B1488" s="108" t="s">
        <v>376</v>
      </c>
      <c r="C1488" s="109">
        <v>45910</v>
      </c>
      <c r="D1488" s="108" t="s">
        <v>377</v>
      </c>
      <c r="E1488" s="108" t="s">
        <v>14605</v>
      </c>
      <c r="F1488" s="108" t="s">
        <v>368</v>
      </c>
      <c r="G1488" s="109">
        <v>46278</v>
      </c>
      <c r="H1488" s="108"/>
      <c r="I1488" s="108" t="s">
        <v>108</v>
      </c>
    </row>
    <row r="1489" spans="1:9" ht="27.6">
      <c r="A1489" s="108" t="s">
        <v>96</v>
      </c>
      <c r="B1489" s="108" t="s">
        <v>16637</v>
      </c>
      <c r="C1489" s="109">
        <v>45814</v>
      </c>
      <c r="D1489" s="108" t="s">
        <v>16638</v>
      </c>
      <c r="E1489" s="108" t="s">
        <v>14605</v>
      </c>
      <c r="F1489" s="108" t="s">
        <v>16639</v>
      </c>
      <c r="G1489" s="109">
        <v>46194</v>
      </c>
      <c r="H1489" s="108"/>
      <c r="I1489" s="108" t="s">
        <v>108</v>
      </c>
    </row>
    <row r="1490" spans="1:9" ht="27.6">
      <c r="A1490" s="108" t="s">
        <v>96</v>
      </c>
      <c r="B1490" s="108" t="s">
        <v>16640</v>
      </c>
      <c r="C1490" s="109">
        <v>45694</v>
      </c>
      <c r="D1490" s="108" t="s">
        <v>16641</v>
      </c>
      <c r="E1490" s="108" t="s">
        <v>14605</v>
      </c>
      <c r="F1490" s="108" t="s">
        <v>16177</v>
      </c>
      <c r="G1490" s="109">
        <v>46034</v>
      </c>
      <c r="H1490" s="108"/>
      <c r="I1490" s="108" t="s">
        <v>108</v>
      </c>
    </row>
    <row r="1491" spans="1:9" ht="27.6">
      <c r="A1491" s="108" t="s">
        <v>96</v>
      </c>
      <c r="B1491" s="108" t="s">
        <v>16642</v>
      </c>
      <c r="C1491" s="109">
        <v>45677</v>
      </c>
      <c r="D1491" s="108" t="s">
        <v>16643</v>
      </c>
      <c r="E1491" s="108" t="s">
        <v>14605</v>
      </c>
      <c r="F1491" s="108" t="s">
        <v>16644</v>
      </c>
      <c r="G1491" s="109">
        <v>46041</v>
      </c>
      <c r="H1491" s="108"/>
      <c r="I1491" s="108" t="s">
        <v>108</v>
      </c>
    </row>
    <row r="1492" spans="1:9" ht="27.6">
      <c r="A1492" s="108" t="s">
        <v>96</v>
      </c>
      <c r="B1492" s="108" t="s">
        <v>16645</v>
      </c>
      <c r="C1492" s="109">
        <v>45747</v>
      </c>
      <c r="D1492" s="108" t="s">
        <v>16646</v>
      </c>
      <c r="E1492" s="108" t="s">
        <v>14605</v>
      </c>
      <c r="F1492" s="108" t="s">
        <v>16177</v>
      </c>
      <c r="G1492" s="109">
        <v>46034</v>
      </c>
      <c r="H1492" s="108"/>
      <c r="I1492" s="108" t="s">
        <v>108</v>
      </c>
    </row>
    <row r="1493" spans="1:9" ht="27.6">
      <c r="A1493" s="108" t="s">
        <v>96</v>
      </c>
      <c r="B1493" s="108" t="s">
        <v>16647</v>
      </c>
      <c r="C1493" s="109">
        <v>45748</v>
      </c>
      <c r="D1493" s="108" t="s">
        <v>16648</v>
      </c>
      <c r="E1493" s="108" t="s">
        <v>14605</v>
      </c>
      <c r="F1493" s="108" t="s">
        <v>16177</v>
      </c>
      <c r="G1493" s="109">
        <v>46034</v>
      </c>
      <c r="H1493" s="108"/>
      <c r="I1493" s="108" t="s">
        <v>108</v>
      </c>
    </row>
    <row r="1494" spans="1:9" ht="27.6">
      <c r="A1494" s="108" t="s">
        <v>96</v>
      </c>
      <c r="B1494" s="108" t="s">
        <v>1822</v>
      </c>
      <c r="C1494" s="109">
        <v>45706</v>
      </c>
      <c r="D1494" s="108" t="s">
        <v>1824</v>
      </c>
      <c r="E1494" s="108" t="s">
        <v>14605</v>
      </c>
      <c r="F1494" s="108" t="s">
        <v>1823</v>
      </c>
      <c r="G1494" s="109">
        <v>46046</v>
      </c>
      <c r="H1494" s="108"/>
      <c r="I1494" s="108" t="s">
        <v>108</v>
      </c>
    </row>
    <row r="1495" spans="1:9" ht="27.6">
      <c r="A1495" s="108" t="s">
        <v>96</v>
      </c>
      <c r="B1495" s="108" t="s">
        <v>16649</v>
      </c>
      <c r="C1495" s="109">
        <v>45755</v>
      </c>
      <c r="D1495" s="108" t="s">
        <v>16650</v>
      </c>
      <c r="E1495" s="108" t="s">
        <v>14605</v>
      </c>
      <c r="F1495" s="108" t="s">
        <v>15227</v>
      </c>
      <c r="G1495" s="109">
        <v>46119</v>
      </c>
      <c r="H1495" s="108"/>
      <c r="I1495" s="108" t="s">
        <v>108</v>
      </c>
    </row>
    <row r="1496" spans="1:9" ht="27.6">
      <c r="A1496" s="108" t="s">
        <v>96</v>
      </c>
      <c r="B1496" s="108" t="s">
        <v>16651</v>
      </c>
      <c r="C1496" s="109">
        <v>45905</v>
      </c>
      <c r="D1496" s="108" t="s">
        <v>16652</v>
      </c>
      <c r="E1496" s="108" t="s">
        <v>14605</v>
      </c>
      <c r="F1496" s="108" t="s">
        <v>15259</v>
      </c>
      <c r="G1496" s="109">
        <v>46254</v>
      </c>
      <c r="H1496" s="108"/>
      <c r="I1496" s="108" t="s">
        <v>108</v>
      </c>
    </row>
    <row r="1497" spans="1:9" ht="27.6">
      <c r="A1497" s="108" t="s">
        <v>96</v>
      </c>
      <c r="B1497" s="108" t="s">
        <v>16653</v>
      </c>
      <c r="C1497" s="109">
        <v>45880</v>
      </c>
      <c r="D1497" s="108" t="s">
        <v>16654</v>
      </c>
      <c r="E1497" s="108" t="s">
        <v>14605</v>
      </c>
      <c r="F1497" s="108" t="s">
        <v>14956</v>
      </c>
      <c r="G1497" s="109">
        <v>46232</v>
      </c>
      <c r="H1497" s="108"/>
      <c r="I1497" s="108" t="s">
        <v>108</v>
      </c>
    </row>
    <row r="1498" spans="1:9">
      <c r="A1498" s="108" t="s">
        <v>15990</v>
      </c>
      <c r="B1498" s="108" t="s">
        <v>4883</v>
      </c>
      <c r="C1498" s="109">
        <v>45778</v>
      </c>
      <c r="D1498" s="108" t="s">
        <v>4884</v>
      </c>
      <c r="E1498" s="108" t="s">
        <v>14605</v>
      </c>
      <c r="F1498" s="108" t="s">
        <v>4857</v>
      </c>
      <c r="G1498" s="109">
        <v>46047</v>
      </c>
      <c r="H1498" s="108"/>
      <c r="I1498" s="108" t="s">
        <v>108</v>
      </c>
    </row>
    <row r="1499" spans="1:9" ht="27.6">
      <c r="A1499" s="108" t="s">
        <v>503</v>
      </c>
      <c r="B1499" s="108" t="s">
        <v>16655</v>
      </c>
      <c r="C1499" s="109">
        <v>45723</v>
      </c>
      <c r="D1499" s="108" t="s">
        <v>16656</v>
      </c>
      <c r="E1499" s="108" t="s">
        <v>14605</v>
      </c>
      <c r="F1499" s="108" t="s">
        <v>14974</v>
      </c>
      <c r="G1499" s="109">
        <v>46039</v>
      </c>
      <c r="H1499" s="108"/>
      <c r="I1499" s="108" t="s">
        <v>108</v>
      </c>
    </row>
    <row r="1500" spans="1:9" ht="27.6">
      <c r="A1500" s="108" t="s">
        <v>15990</v>
      </c>
      <c r="B1500" s="108" t="s">
        <v>16657</v>
      </c>
      <c r="C1500" s="109">
        <v>45975</v>
      </c>
      <c r="D1500" s="108" t="s">
        <v>16658</v>
      </c>
      <c r="E1500" s="108" t="s">
        <v>14605</v>
      </c>
      <c r="F1500" s="108" t="s">
        <v>16659</v>
      </c>
      <c r="G1500" s="109">
        <v>46015</v>
      </c>
      <c r="H1500" s="108"/>
      <c r="I1500" s="108" t="s">
        <v>108</v>
      </c>
    </row>
    <row r="1501" spans="1:9">
      <c r="A1501" s="108" t="s">
        <v>15990</v>
      </c>
      <c r="B1501" s="108" t="s">
        <v>16660</v>
      </c>
      <c r="C1501" s="109">
        <v>45631</v>
      </c>
      <c r="D1501" s="108" t="s">
        <v>16661</v>
      </c>
      <c r="E1501" s="108" t="s">
        <v>14605</v>
      </c>
      <c r="F1501" s="108" t="s">
        <v>15140</v>
      </c>
      <c r="G1501" s="109">
        <v>46012</v>
      </c>
      <c r="H1501" s="108"/>
      <c r="I1501" s="108" t="s">
        <v>108</v>
      </c>
    </row>
    <row r="1502" spans="1:9">
      <c r="A1502" s="108" t="s">
        <v>244</v>
      </c>
      <c r="B1502" s="108" t="s">
        <v>752</v>
      </c>
      <c r="C1502" s="109">
        <v>45637</v>
      </c>
      <c r="D1502" s="108" t="s">
        <v>753</v>
      </c>
      <c r="E1502" s="108" t="s">
        <v>14605</v>
      </c>
      <c r="F1502" s="108" t="s">
        <v>749</v>
      </c>
      <c r="G1502" s="109">
        <v>46012</v>
      </c>
      <c r="H1502" s="108"/>
      <c r="I1502" s="108" t="s">
        <v>108</v>
      </c>
    </row>
    <row r="1503" spans="1:9">
      <c r="A1503" s="108" t="s">
        <v>244</v>
      </c>
      <c r="B1503" s="108" t="s">
        <v>3425</v>
      </c>
      <c r="C1503" s="109">
        <v>45738</v>
      </c>
      <c r="D1503" s="108" t="s">
        <v>3426</v>
      </c>
      <c r="E1503" s="108" t="s">
        <v>14605</v>
      </c>
      <c r="F1503" s="108" t="s">
        <v>16662</v>
      </c>
      <c r="G1503" s="109">
        <v>46023</v>
      </c>
      <c r="H1503" s="108"/>
      <c r="I1503" s="108" t="s">
        <v>108</v>
      </c>
    </row>
    <row r="1504" spans="1:9">
      <c r="A1504" s="108" t="s">
        <v>15990</v>
      </c>
      <c r="B1504" s="108" t="s">
        <v>16663</v>
      </c>
      <c r="C1504" s="109">
        <v>45722</v>
      </c>
      <c r="D1504" s="108" t="s">
        <v>16664</v>
      </c>
      <c r="E1504" s="108" t="s">
        <v>14605</v>
      </c>
      <c r="F1504" s="108" t="s">
        <v>16665</v>
      </c>
      <c r="G1504" s="109">
        <v>46012</v>
      </c>
      <c r="H1504" s="108"/>
      <c r="I1504" s="108" t="s">
        <v>108</v>
      </c>
    </row>
    <row r="1505" spans="1:9" ht="27.6">
      <c r="A1505" s="108" t="s">
        <v>15990</v>
      </c>
      <c r="B1505" s="108" t="s">
        <v>16666</v>
      </c>
      <c r="C1505" s="109">
        <v>45717</v>
      </c>
      <c r="D1505" s="108" t="s">
        <v>16667</v>
      </c>
      <c r="E1505" s="108" t="s">
        <v>14605</v>
      </c>
      <c r="F1505" s="108" t="s">
        <v>16668</v>
      </c>
      <c r="G1505" s="109">
        <v>46446</v>
      </c>
      <c r="H1505" s="108"/>
      <c r="I1505" s="108" t="s">
        <v>108</v>
      </c>
    </row>
    <row r="1506" spans="1:9">
      <c r="A1506" s="108" t="s">
        <v>15990</v>
      </c>
      <c r="B1506" s="108" t="s">
        <v>16669</v>
      </c>
      <c r="C1506" s="109">
        <v>45723</v>
      </c>
      <c r="D1506" s="108" t="s">
        <v>16670</v>
      </c>
      <c r="E1506" s="108" t="s">
        <v>14605</v>
      </c>
      <c r="F1506" s="108" t="s">
        <v>14846</v>
      </c>
      <c r="G1506" s="109">
        <v>46008</v>
      </c>
      <c r="H1506" s="108"/>
      <c r="I1506" s="108" t="s">
        <v>108</v>
      </c>
    </row>
    <row r="1507" spans="1:9">
      <c r="A1507" s="108" t="s">
        <v>8404</v>
      </c>
      <c r="B1507" s="108" t="s">
        <v>16671</v>
      </c>
      <c r="C1507" s="109">
        <v>46030</v>
      </c>
      <c r="D1507" s="108" t="s">
        <v>16672</v>
      </c>
      <c r="E1507" s="108" t="s">
        <v>14605</v>
      </c>
      <c r="F1507" s="108" t="s">
        <v>16673</v>
      </c>
      <c r="G1507" s="109">
        <v>46141</v>
      </c>
      <c r="H1507" s="108"/>
      <c r="I1507" s="108" t="s">
        <v>108</v>
      </c>
    </row>
    <row r="1508" spans="1:9" ht="27.6">
      <c r="A1508" s="108" t="s">
        <v>503</v>
      </c>
      <c r="B1508" s="108" t="s">
        <v>1976</v>
      </c>
      <c r="C1508" s="109">
        <v>45737</v>
      </c>
      <c r="D1508" s="108" t="s">
        <v>1977</v>
      </c>
      <c r="E1508" s="108" t="s">
        <v>14605</v>
      </c>
      <c r="F1508" s="108" t="s">
        <v>16674</v>
      </c>
      <c r="G1508" s="109">
        <v>46016</v>
      </c>
      <c r="H1508" s="108"/>
      <c r="I1508" s="108" t="s">
        <v>108</v>
      </c>
    </row>
    <row r="1509" spans="1:9">
      <c r="A1509" s="108" t="s">
        <v>15990</v>
      </c>
      <c r="B1509" s="108" t="s">
        <v>16675</v>
      </c>
      <c r="C1509" s="109">
        <v>45712</v>
      </c>
      <c r="D1509" s="108" t="s">
        <v>16676</v>
      </c>
      <c r="E1509" s="108" t="s">
        <v>14605</v>
      </c>
      <c r="F1509" s="108" t="s">
        <v>16677</v>
      </c>
      <c r="G1509" s="109">
        <v>46043</v>
      </c>
      <c r="H1509" s="108"/>
      <c r="I1509" s="108" t="s">
        <v>108</v>
      </c>
    </row>
    <row r="1510" spans="1:9">
      <c r="A1510" s="108" t="s">
        <v>15990</v>
      </c>
      <c r="B1510" s="108" t="s">
        <v>16678</v>
      </c>
      <c r="C1510" s="109">
        <v>45827</v>
      </c>
      <c r="D1510" s="108" t="s">
        <v>16679</v>
      </c>
      <c r="E1510" s="108" t="s">
        <v>14605</v>
      </c>
      <c r="F1510" s="108" t="s">
        <v>16680</v>
      </c>
      <c r="G1510" s="109">
        <v>46034</v>
      </c>
      <c r="H1510" s="108"/>
      <c r="I1510" s="108" t="s">
        <v>108</v>
      </c>
    </row>
    <row r="1511" spans="1:9" ht="27.6">
      <c r="A1511" s="108" t="s">
        <v>8413</v>
      </c>
      <c r="B1511" s="108" t="s">
        <v>16681</v>
      </c>
      <c r="C1511" s="109">
        <v>45671</v>
      </c>
      <c r="D1511" s="108" t="s">
        <v>16682</v>
      </c>
      <c r="E1511" s="108" t="s">
        <v>14605</v>
      </c>
      <c r="F1511" s="108" t="s">
        <v>14939</v>
      </c>
      <c r="G1511" s="109">
        <v>46039</v>
      </c>
      <c r="H1511" s="108"/>
      <c r="I1511" s="108" t="s">
        <v>108</v>
      </c>
    </row>
    <row r="1512" spans="1:9">
      <c r="A1512" s="108" t="s">
        <v>15990</v>
      </c>
      <c r="B1512" s="108" t="s">
        <v>3960</v>
      </c>
      <c r="C1512" s="109">
        <v>45721</v>
      </c>
      <c r="D1512" s="108" t="s">
        <v>3961</v>
      </c>
      <c r="E1512" s="108" t="s">
        <v>14605</v>
      </c>
      <c r="F1512" s="108" t="s">
        <v>3953</v>
      </c>
      <c r="G1512" s="109">
        <v>46033</v>
      </c>
      <c r="H1512" s="108"/>
      <c r="I1512" s="108" t="s">
        <v>108</v>
      </c>
    </row>
    <row r="1513" spans="1:9">
      <c r="A1513" s="108" t="s">
        <v>15990</v>
      </c>
      <c r="B1513" s="108" t="s">
        <v>4590</v>
      </c>
      <c r="C1513" s="109">
        <v>45666</v>
      </c>
      <c r="D1513" s="108" t="s">
        <v>4591</v>
      </c>
      <c r="E1513" s="108" t="s">
        <v>14605</v>
      </c>
      <c r="F1513" s="108" t="s">
        <v>4576</v>
      </c>
      <c r="G1513" s="110"/>
      <c r="H1513" s="108"/>
      <c r="I1513" s="108" t="s">
        <v>108</v>
      </c>
    </row>
    <row r="1514" spans="1:9">
      <c r="A1514" s="108" t="s">
        <v>503</v>
      </c>
      <c r="B1514" s="108" t="s">
        <v>1103</v>
      </c>
      <c r="C1514" s="109">
        <v>45762</v>
      </c>
      <c r="D1514" s="108" t="s">
        <v>1104</v>
      </c>
      <c r="E1514" s="108" t="s">
        <v>14605</v>
      </c>
      <c r="F1514" s="108" t="s">
        <v>15106</v>
      </c>
      <c r="G1514" s="109">
        <v>46025</v>
      </c>
      <c r="H1514" s="108"/>
      <c r="I1514" s="108" t="s">
        <v>108</v>
      </c>
    </row>
    <row r="1515" spans="1:9">
      <c r="A1515" s="108" t="s">
        <v>15990</v>
      </c>
      <c r="B1515" s="108" t="s">
        <v>16683</v>
      </c>
      <c r="C1515" s="109">
        <v>45917</v>
      </c>
      <c r="D1515" s="108" t="s">
        <v>16684</v>
      </c>
      <c r="E1515" s="108" t="s">
        <v>14605</v>
      </c>
      <c r="F1515" s="108" t="s">
        <v>16685</v>
      </c>
      <c r="G1515" s="109">
        <v>46214</v>
      </c>
      <c r="H1515" s="108"/>
      <c r="I1515" s="108" t="s">
        <v>108</v>
      </c>
    </row>
    <row r="1516" spans="1:9">
      <c r="A1516" s="108" t="s">
        <v>503</v>
      </c>
      <c r="B1516" s="108" t="s">
        <v>16686</v>
      </c>
      <c r="C1516" s="109">
        <v>45827</v>
      </c>
      <c r="D1516" s="108" t="s">
        <v>16687</v>
      </c>
      <c r="E1516" s="108" t="s">
        <v>14605</v>
      </c>
      <c r="F1516" s="108" t="s">
        <v>16680</v>
      </c>
      <c r="G1516" s="109">
        <v>46051</v>
      </c>
      <c r="H1516" s="108"/>
      <c r="I1516" s="108" t="s">
        <v>108</v>
      </c>
    </row>
    <row r="1517" spans="1:9">
      <c r="A1517" s="108" t="s">
        <v>15990</v>
      </c>
      <c r="B1517" s="108" t="s">
        <v>4881</v>
      </c>
      <c r="C1517" s="109">
        <v>45768</v>
      </c>
      <c r="D1517" s="108" t="s">
        <v>4882</v>
      </c>
      <c r="E1517" s="108" t="s">
        <v>14605</v>
      </c>
      <c r="F1517" s="108" t="s">
        <v>4857</v>
      </c>
      <c r="G1517" s="109">
        <v>46036</v>
      </c>
      <c r="H1517" s="108"/>
      <c r="I1517" s="108" t="s">
        <v>108</v>
      </c>
    </row>
    <row r="1518" spans="1:9">
      <c r="A1518" s="108" t="s">
        <v>15990</v>
      </c>
      <c r="B1518" s="108" t="s">
        <v>4588</v>
      </c>
      <c r="C1518" s="109">
        <v>45784</v>
      </c>
      <c r="D1518" s="108" t="s">
        <v>4589</v>
      </c>
      <c r="E1518" s="108" t="s">
        <v>14605</v>
      </c>
      <c r="F1518" s="108" t="s">
        <v>4576</v>
      </c>
      <c r="G1518" s="110"/>
      <c r="H1518" s="108"/>
      <c r="I1518" s="108" t="s">
        <v>108</v>
      </c>
    </row>
    <row r="1519" spans="1:9">
      <c r="A1519" s="108" t="s">
        <v>15990</v>
      </c>
      <c r="B1519" s="108" t="s">
        <v>217</v>
      </c>
      <c r="C1519" s="109">
        <v>45729</v>
      </c>
      <c r="D1519" s="108" t="s">
        <v>218</v>
      </c>
      <c r="E1519" s="108" t="s">
        <v>14605</v>
      </c>
      <c r="F1519" s="108" t="s">
        <v>212</v>
      </c>
      <c r="G1519" s="109">
        <v>46036</v>
      </c>
      <c r="H1519" s="108"/>
      <c r="I1519" s="108" t="s">
        <v>108</v>
      </c>
    </row>
    <row r="1520" spans="1:9">
      <c r="A1520" s="108" t="s">
        <v>15990</v>
      </c>
      <c r="B1520" s="108" t="s">
        <v>2505</v>
      </c>
      <c r="C1520" s="109">
        <v>45782</v>
      </c>
      <c r="D1520" s="108" t="s">
        <v>2506</v>
      </c>
      <c r="E1520" s="108" t="s">
        <v>14605</v>
      </c>
      <c r="F1520" s="108" t="s">
        <v>2475</v>
      </c>
      <c r="G1520" s="109">
        <v>46041</v>
      </c>
      <c r="H1520" s="108"/>
      <c r="I1520" s="108" t="s">
        <v>108</v>
      </c>
    </row>
    <row r="1521" spans="1:9">
      <c r="A1521" s="108" t="s">
        <v>15990</v>
      </c>
      <c r="B1521" s="108" t="s">
        <v>3455</v>
      </c>
      <c r="C1521" s="109">
        <v>45708</v>
      </c>
      <c r="D1521" s="108" t="s">
        <v>3456</v>
      </c>
      <c r="E1521" s="108" t="s">
        <v>14605</v>
      </c>
      <c r="F1521" s="108" t="s">
        <v>3449</v>
      </c>
      <c r="G1521" s="109">
        <v>46037</v>
      </c>
      <c r="H1521" s="108"/>
      <c r="I1521" s="108" t="s">
        <v>108</v>
      </c>
    </row>
    <row r="1522" spans="1:9">
      <c r="A1522" s="108" t="s">
        <v>15990</v>
      </c>
      <c r="B1522" s="108" t="s">
        <v>4879</v>
      </c>
      <c r="C1522" s="109">
        <v>45674</v>
      </c>
      <c r="D1522" s="108" t="s">
        <v>4880</v>
      </c>
      <c r="E1522" s="108" t="s">
        <v>14605</v>
      </c>
      <c r="F1522" s="108" t="s">
        <v>4857</v>
      </c>
      <c r="G1522" s="109">
        <v>46047</v>
      </c>
      <c r="H1522" s="108"/>
      <c r="I1522" s="108" t="s">
        <v>108</v>
      </c>
    </row>
    <row r="1523" spans="1:9">
      <c r="A1523" s="108" t="s">
        <v>15990</v>
      </c>
      <c r="B1523" s="108" t="s">
        <v>2468</v>
      </c>
      <c r="C1523" s="109">
        <v>45749</v>
      </c>
      <c r="D1523" s="108" t="s">
        <v>2469</v>
      </c>
      <c r="E1523" s="108" t="s">
        <v>14605</v>
      </c>
      <c r="F1523" s="108" t="s">
        <v>2461</v>
      </c>
      <c r="G1523" s="109">
        <v>46053</v>
      </c>
      <c r="H1523" s="108"/>
      <c r="I1523" s="108" t="s">
        <v>108</v>
      </c>
    </row>
    <row r="1524" spans="1:9" ht="27.6">
      <c r="A1524" s="108" t="s">
        <v>15990</v>
      </c>
      <c r="B1524" s="108" t="s">
        <v>3123</v>
      </c>
      <c r="C1524" s="109">
        <v>45735</v>
      </c>
      <c r="D1524" s="108" t="s">
        <v>3124</v>
      </c>
      <c r="E1524" s="108" t="s">
        <v>14605</v>
      </c>
      <c r="F1524" s="108" t="s">
        <v>3119</v>
      </c>
      <c r="G1524" s="109">
        <v>46064</v>
      </c>
      <c r="H1524" s="108"/>
      <c r="I1524" s="108" t="s">
        <v>108</v>
      </c>
    </row>
    <row r="1525" spans="1:9">
      <c r="A1525" s="108" t="s">
        <v>15990</v>
      </c>
      <c r="B1525" s="108" t="s">
        <v>16688</v>
      </c>
      <c r="C1525" s="109">
        <v>45774</v>
      </c>
      <c r="D1525" s="108" t="s">
        <v>16689</v>
      </c>
      <c r="E1525" s="108" t="s">
        <v>14605</v>
      </c>
      <c r="F1525" s="108" t="s">
        <v>16690</v>
      </c>
      <c r="G1525" s="109">
        <v>46137</v>
      </c>
      <c r="H1525" s="108"/>
      <c r="I1525" s="108" t="s">
        <v>108</v>
      </c>
    </row>
    <row r="1526" spans="1:9">
      <c r="A1526" s="108" t="s">
        <v>503</v>
      </c>
      <c r="B1526" s="108" t="s">
        <v>16691</v>
      </c>
      <c r="C1526" s="109">
        <v>45736</v>
      </c>
      <c r="D1526" s="108" t="s">
        <v>16692</v>
      </c>
      <c r="E1526" s="108" t="s">
        <v>14605</v>
      </c>
      <c r="F1526" s="108" t="s">
        <v>15077</v>
      </c>
      <c r="G1526" s="109">
        <v>46103</v>
      </c>
      <c r="H1526" s="108"/>
      <c r="I1526" s="108" t="s">
        <v>108</v>
      </c>
    </row>
    <row r="1527" spans="1:9" ht="27.6">
      <c r="A1527" s="108" t="s">
        <v>244</v>
      </c>
      <c r="B1527" s="108" t="s">
        <v>4271</v>
      </c>
      <c r="C1527" s="109">
        <v>45940</v>
      </c>
      <c r="D1527" s="108" t="s">
        <v>4272</v>
      </c>
      <c r="E1527" s="108" t="s">
        <v>14605</v>
      </c>
      <c r="F1527" s="108" t="s">
        <v>4260</v>
      </c>
      <c r="G1527" s="109">
        <v>46048</v>
      </c>
      <c r="H1527" s="108"/>
      <c r="I1527" s="108" t="s">
        <v>108</v>
      </c>
    </row>
    <row r="1528" spans="1:9">
      <c r="A1528" s="108" t="s">
        <v>15990</v>
      </c>
      <c r="B1528" s="108" t="s">
        <v>4089</v>
      </c>
      <c r="C1528" s="109">
        <v>45797</v>
      </c>
      <c r="D1528" s="108" t="s">
        <v>4090</v>
      </c>
      <c r="E1528" s="108" t="s">
        <v>14605</v>
      </c>
      <c r="F1528" s="108" t="s">
        <v>4074</v>
      </c>
      <c r="G1528" s="109">
        <v>46110</v>
      </c>
      <c r="H1528" s="108"/>
      <c r="I1528" s="108" t="s">
        <v>108</v>
      </c>
    </row>
    <row r="1529" spans="1:9" ht="27.6">
      <c r="A1529" s="108" t="s">
        <v>244</v>
      </c>
      <c r="B1529" s="108" t="s">
        <v>16693</v>
      </c>
      <c r="C1529" s="109">
        <v>45737</v>
      </c>
      <c r="D1529" s="108" t="s">
        <v>16694</v>
      </c>
      <c r="E1529" s="108" t="s">
        <v>14605</v>
      </c>
      <c r="F1529" s="108" t="s">
        <v>16695</v>
      </c>
      <c r="G1529" s="109">
        <v>46101</v>
      </c>
      <c r="H1529" s="108"/>
      <c r="I1529" s="108" t="s">
        <v>108</v>
      </c>
    </row>
    <row r="1530" spans="1:9">
      <c r="A1530" s="108" t="s">
        <v>15990</v>
      </c>
      <c r="B1530" s="108" t="s">
        <v>16696</v>
      </c>
      <c r="C1530" s="109">
        <v>46006</v>
      </c>
      <c r="D1530" s="108" t="s">
        <v>16697</v>
      </c>
      <c r="E1530" s="108" t="s">
        <v>14605</v>
      </c>
      <c r="F1530" s="108" t="s">
        <v>16698</v>
      </c>
      <c r="G1530" s="109">
        <v>46141</v>
      </c>
      <c r="H1530" s="108"/>
      <c r="I1530" s="108" t="s">
        <v>108</v>
      </c>
    </row>
    <row r="1531" spans="1:9" ht="27.6">
      <c r="A1531" s="108" t="s">
        <v>15990</v>
      </c>
      <c r="B1531" s="108" t="s">
        <v>4170</v>
      </c>
      <c r="C1531" s="109">
        <v>46127</v>
      </c>
      <c r="D1531" s="108" t="s">
        <v>4171</v>
      </c>
      <c r="E1531" s="108" t="s">
        <v>14605</v>
      </c>
      <c r="F1531" s="108" t="s">
        <v>4164</v>
      </c>
      <c r="G1531" s="109">
        <v>46265</v>
      </c>
      <c r="H1531" s="108"/>
      <c r="I1531" s="108" t="s">
        <v>108</v>
      </c>
    </row>
    <row r="1532" spans="1:9" ht="27.6">
      <c r="A1532" s="108" t="s">
        <v>15990</v>
      </c>
      <c r="B1532" s="108" t="s">
        <v>4168</v>
      </c>
      <c r="C1532" s="109">
        <v>45765</v>
      </c>
      <c r="D1532" s="108" t="s">
        <v>4169</v>
      </c>
      <c r="E1532" s="108" t="s">
        <v>14605</v>
      </c>
      <c r="F1532" s="108" t="s">
        <v>4164</v>
      </c>
      <c r="G1532" s="109">
        <v>46128</v>
      </c>
      <c r="H1532" s="108"/>
      <c r="I1532" s="108" t="s">
        <v>108</v>
      </c>
    </row>
    <row r="1533" spans="1:9" ht="27.6">
      <c r="A1533" s="108" t="s">
        <v>15990</v>
      </c>
      <c r="B1533" s="108" t="s">
        <v>4199</v>
      </c>
      <c r="C1533" s="109">
        <v>45838</v>
      </c>
      <c r="D1533" s="108" t="s">
        <v>4200</v>
      </c>
      <c r="E1533" s="108" t="s">
        <v>14605</v>
      </c>
      <c r="F1533" s="108" t="s">
        <v>4195</v>
      </c>
      <c r="G1533" s="109">
        <v>46137</v>
      </c>
      <c r="H1533" s="108"/>
      <c r="I1533" s="108" t="s">
        <v>108</v>
      </c>
    </row>
    <row r="1534" spans="1:9">
      <c r="A1534" s="108" t="s">
        <v>244</v>
      </c>
      <c r="B1534" s="108" t="s">
        <v>16699</v>
      </c>
      <c r="C1534" s="109">
        <v>46015</v>
      </c>
      <c r="D1534" s="108" t="s">
        <v>16700</v>
      </c>
      <c r="E1534" s="108" t="s">
        <v>14605</v>
      </c>
      <c r="F1534" s="108" t="s">
        <v>15042</v>
      </c>
      <c r="G1534" s="109">
        <v>46141</v>
      </c>
      <c r="H1534" s="108"/>
      <c r="I1534" s="108" t="s">
        <v>108</v>
      </c>
    </row>
    <row r="1535" spans="1:9">
      <c r="A1535" s="108" t="s">
        <v>244</v>
      </c>
      <c r="B1535" s="108" t="s">
        <v>1375</v>
      </c>
      <c r="C1535" s="109">
        <v>45743</v>
      </c>
      <c r="D1535" s="108" t="s">
        <v>1376</v>
      </c>
      <c r="E1535" s="108" t="s">
        <v>14605</v>
      </c>
      <c r="F1535" s="108" t="s">
        <v>1373</v>
      </c>
      <c r="G1535" s="109">
        <v>46113</v>
      </c>
      <c r="H1535" s="108"/>
      <c r="I1535" s="108" t="s">
        <v>108</v>
      </c>
    </row>
    <row r="1536" spans="1:9">
      <c r="A1536" s="108" t="s">
        <v>244</v>
      </c>
      <c r="B1536" s="108" t="s">
        <v>16701</v>
      </c>
      <c r="C1536" s="109">
        <v>46023</v>
      </c>
      <c r="D1536" s="108" t="s">
        <v>16702</v>
      </c>
      <c r="E1536" s="108" t="s">
        <v>14605</v>
      </c>
      <c r="F1536" s="108" t="s">
        <v>15042</v>
      </c>
      <c r="G1536" s="109">
        <v>46141</v>
      </c>
      <c r="H1536" s="108"/>
      <c r="I1536" s="108" t="s">
        <v>108</v>
      </c>
    </row>
    <row r="1537" spans="1:9">
      <c r="A1537" s="108" t="s">
        <v>15990</v>
      </c>
      <c r="B1537" s="108" t="s">
        <v>16703</v>
      </c>
      <c r="C1537" s="109">
        <v>46044</v>
      </c>
      <c r="D1537" s="108" t="s">
        <v>16704</v>
      </c>
      <c r="E1537" s="108" t="s">
        <v>14605</v>
      </c>
      <c r="F1537" s="108" t="s">
        <v>15220</v>
      </c>
      <c r="G1537" s="109">
        <v>46205</v>
      </c>
      <c r="H1537" s="108"/>
      <c r="I1537" s="108" t="s">
        <v>108</v>
      </c>
    </row>
    <row r="1538" spans="1:9">
      <c r="A1538" s="108" t="s">
        <v>8413</v>
      </c>
      <c r="B1538" s="108" t="s">
        <v>16705</v>
      </c>
      <c r="C1538" s="109">
        <v>46183</v>
      </c>
      <c r="D1538" s="108" t="s">
        <v>16706</v>
      </c>
      <c r="E1538" s="108" t="s">
        <v>14605</v>
      </c>
      <c r="F1538" s="108" t="s">
        <v>15042</v>
      </c>
      <c r="G1538" s="109">
        <v>46141</v>
      </c>
      <c r="H1538" s="108"/>
      <c r="I1538" s="108" t="s">
        <v>108</v>
      </c>
    </row>
    <row r="1539" spans="1:9">
      <c r="A1539" s="108" t="s">
        <v>503</v>
      </c>
      <c r="B1539" s="108" t="s">
        <v>501</v>
      </c>
      <c r="C1539" s="109">
        <v>45799</v>
      </c>
      <c r="D1539" s="108" t="s">
        <v>502</v>
      </c>
      <c r="E1539" s="108" t="s">
        <v>14605</v>
      </c>
      <c r="F1539" s="108" t="s">
        <v>484</v>
      </c>
      <c r="G1539" s="109">
        <v>46137</v>
      </c>
      <c r="H1539" s="108"/>
      <c r="I1539" s="108" t="s">
        <v>108</v>
      </c>
    </row>
    <row r="1540" spans="1:9">
      <c r="A1540" s="108" t="s">
        <v>8415</v>
      </c>
      <c r="B1540" s="108" t="s">
        <v>16707</v>
      </c>
      <c r="C1540" s="109">
        <v>45984</v>
      </c>
      <c r="D1540" s="108" t="s">
        <v>16708</v>
      </c>
      <c r="E1540" s="108" t="s">
        <v>14605</v>
      </c>
      <c r="F1540" s="108" t="s">
        <v>15942</v>
      </c>
      <c r="G1540" s="109">
        <v>46133</v>
      </c>
      <c r="H1540" s="108"/>
      <c r="I1540" s="108" t="s">
        <v>108</v>
      </c>
    </row>
    <row r="1541" spans="1:9">
      <c r="A1541" s="108" t="s">
        <v>15990</v>
      </c>
      <c r="B1541" s="108" t="s">
        <v>16709</v>
      </c>
      <c r="C1541" s="109">
        <v>45897</v>
      </c>
      <c r="D1541" s="108" t="s">
        <v>16710</v>
      </c>
      <c r="E1541" s="108" t="s">
        <v>14605</v>
      </c>
      <c r="F1541" s="108" t="s">
        <v>16711</v>
      </c>
      <c r="G1541" s="109">
        <v>46208</v>
      </c>
      <c r="H1541" s="108"/>
      <c r="I1541" s="108" t="s">
        <v>108</v>
      </c>
    </row>
    <row r="1542" spans="1:9">
      <c r="A1542" s="108" t="s">
        <v>244</v>
      </c>
      <c r="B1542" s="108" t="s">
        <v>1649</v>
      </c>
      <c r="C1542" s="109">
        <v>46134</v>
      </c>
      <c r="D1542" s="108" t="s">
        <v>1650</v>
      </c>
      <c r="E1542" s="108" t="s">
        <v>14605</v>
      </c>
      <c r="F1542" s="108" t="s">
        <v>15243</v>
      </c>
      <c r="G1542" s="109">
        <v>46230</v>
      </c>
      <c r="H1542" s="108"/>
      <c r="I1542" s="108" t="s">
        <v>108</v>
      </c>
    </row>
    <row r="1543" spans="1:9" ht="27.6">
      <c r="A1543" s="108" t="s">
        <v>15990</v>
      </c>
      <c r="B1543" s="108" t="s">
        <v>16712</v>
      </c>
      <c r="C1543" s="109">
        <v>45982</v>
      </c>
      <c r="D1543" s="108" t="s">
        <v>16713</v>
      </c>
      <c r="E1543" s="108" t="s">
        <v>14605</v>
      </c>
      <c r="F1543" s="108" t="s">
        <v>15082</v>
      </c>
      <c r="G1543" s="109">
        <v>46232</v>
      </c>
      <c r="H1543" s="108"/>
      <c r="I1543" s="108" t="s">
        <v>108</v>
      </c>
    </row>
    <row r="1544" spans="1:9">
      <c r="A1544" s="108" t="s">
        <v>15990</v>
      </c>
      <c r="B1544" s="108" t="s">
        <v>3481</v>
      </c>
      <c r="C1544" s="109">
        <v>45967</v>
      </c>
      <c r="D1544" s="108" t="s">
        <v>3482</v>
      </c>
      <c r="E1544" s="108" t="s">
        <v>14605</v>
      </c>
      <c r="F1544" s="108" t="s">
        <v>16714</v>
      </c>
      <c r="G1544" s="109">
        <v>46228</v>
      </c>
      <c r="H1544" s="108"/>
      <c r="I1544" s="108" t="s">
        <v>108</v>
      </c>
    </row>
    <row r="1545" spans="1:9">
      <c r="A1545" s="108" t="s">
        <v>15990</v>
      </c>
      <c r="B1545" s="108" t="s">
        <v>16715</v>
      </c>
      <c r="C1545" s="109">
        <v>45906</v>
      </c>
      <c r="D1545" s="108" t="s">
        <v>16716</v>
      </c>
      <c r="E1545" s="108" t="s">
        <v>14605</v>
      </c>
      <c r="F1545" s="108" t="s">
        <v>3473</v>
      </c>
      <c r="G1545" s="109">
        <v>46285</v>
      </c>
      <c r="H1545" s="108"/>
      <c r="I1545" s="108" t="s">
        <v>108</v>
      </c>
    </row>
    <row r="1546" spans="1:9">
      <c r="A1546" s="108" t="s">
        <v>244</v>
      </c>
      <c r="B1546" s="108" t="s">
        <v>16717</v>
      </c>
      <c r="C1546" s="109">
        <v>45985</v>
      </c>
      <c r="D1546" s="108" t="s">
        <v>16718</v>
      </c>
      <c r="E1546" s="108" t="s">
        <v>14605</v>
      </c>
      <c r="F1546" s="108" t="s">
        <v>15042</v>
      </c>
      <c r="G1546" s="109">
        <v>46228</v>
      </c>
      <c r="H1546" s="108"/>
      <c r="I1546" s="108" t="s">
        <v>108</v>
      </c>
    </row>
    <row r="1547" spans="1:9" ht="27.6">
      <c r="A1547" s="108" t="s">
        <v>15990</v>
      </c>
      <c r="B1547" s="108" t="s">
        <v>3479</v>
      </c>
      <c r="C1547" s="109">
        <v>45974</v>
      </c>
      <c r="D1547" s="108" t="s">
        <v>3480</v>
      </c>
      <c r="E1547" s="108" t="s">
        <v>14605</v>
      </c>
      <c r="F1547" s="108" t="s">
        <v>15987</v>
      </c>
      <c r="G1547" s="109">
        <v>46228</v>
      </c>
      <c r="H1547" s="108"/>
      <c r="I1547" s="108" t="s">
        <v>108</v>
      </c>
    </row>
    <row r="1548" spans="1:9">
      <c r="A1548" s="108" t="s">
        <v>15990</v>
      </c>
      <c r="B1548" s="108" t="s">
        <v>2614</v>
      </c>
      <c r="C1548" s="109">
        <v>46127</v>
      </c>
      <c r="D1548" s="108" t="s">
        <v>2615</v>
      </c>
      <c r="E1548" s="108" t="s">
        <v>14605</v>
      </c>
      <c r="F1548" s="108" t="s">
        <v>2609</v>
      </c>
      <c r="G1548" s="109">
        <v>46254</v>
      </c>
      <c r="H1548" s="108"/>
      <c r="I1548" s="108" t="s">
        <v>108</v>
      </c>
    </row>
    <row r="1549" spans="1:9">
      <c r="A1549" s="108" t="s">
        <v>8413</v>
      </c>
      <c r="B1549" s="108" t="s">
        <v>3428</v>
      </c>
      <c r="C1549" s="109">
        <v>45913</v>
      </c>
      <c r="D1549" s="108" t="s">
        <v>3429</v>
      </c>
      <c r="E1549" s="108" t="s">
        <v>14605</v>
      </c>
      <c r="F1549" s="108" t="s">
        <v>3427</v>
      </c>
      <c r="G1549" s="109">
        <v>46230</v>
      </c>
      <c r="H1549" s="108"/>
      <c r="I1549" s="108" t="s">
        <v>108</v>
      </c>
    </row>
    <row r="1550" spans="1:9">
      <c r="A1550" s="108" t="s">
        <v>244</v>
      </c>
      <c r="B1550" s="108" t="s">
        <v>3869</v>
      </c>
      <c r="C1550" s="109">
        <v>45848</v>
      </c>
      <c r="D1550" s="108" t="s">
        <v>3870</v>
      </c>
      <c r="E1550" s="108" t="s">
        <v>14605</v>
      </c>
      <c r="F1550" s="108" t="s">
        <v>3856</v>
      </c>
      <c r="G1550" s="109">
        <v>46214</v>
      </c>
      <c r="H1550" s="108"/>
      <c r="I1550" s="108" t="s">
        <v>108</v>
      </c>
    </row>
    <row r="1551" spans="1:9">
      <c r="A1551" s="108" t="s">
        <v>8415</v>
      </c>
      <c r="B1551" s="108" t="s">
        <v>1566</v>
      </c>
      <c r="C1551" s="109">
        <v>45960</v>
      </c>
      <c r="D1551" s="108" t="s">
        <v>1567</v>
      </c>
      <c r="E1551" s="108" t="s">
        <v>14605</v>
      </c>
      <c r="F1551" s="108" t="s">
        <v>1562</v>
      </c>
      <c r="G1551" s="109">
        <v>46226</v>
      </c>
      <c r="H1551" s="108"/>
      <c r="I1551" s="108" t="s">
        <v>108</v>
      </c>
    </row>
    <row r="1552" spans="1:9">
      <c r="A1552" s="108" t="s">
        <v>8413</v>
      </c>
      <c r="B1552" s="108" t="s">
        <v>4793</v>
      </c>
      <c r="C1552" s="109">
        <v>45916</v>
      </c>
      <c r="D1552" s="108" t="s">
        <v>4794</v>
      </c>
      <c r="E1552" s="108" t="s">
        <v>14605</v>
      </c>
      <c r="F1552" s="108" t="s">
        <v>4786</v>
      </c>
      <c r="G1552" s="109">
        <v>46232</v>
      </c>
      <c r="H1552" s="108"/>
      <c r="I1552" s="108" t="s">
        <v>108</v>
      </c>
    </row>
    <row r="1553" spans="1:9" ht="27.6">
      <c r="A1553" s="108" t="s">
        <v>109</v>
      </c>
      <c r="B1553" s="108" t="s">
        <v>291</v>
      </c>
      <c r="C1553" s="109">
        <v>45867</v>
      </c>
      <c r="D1553" s="108" t="s">
        <v>293</v>
      </c>
      <c r="E1553" s="108" t="s">
        <v>14605</v>
      </c>
      <c r="F1553" s="108" t="s">
        <v>292</v>
      </c>
      <c r="G1553" s="109">
        <v>46213</v>
      </c>
      <c r="H1553" s="108"/>
      <c r="I1553" s="108" t="s">
        <v>108</v>
      </c>
    </row>
    <row r="1554" spans="1:9" ht="27.6">
      <c r="A1554" s="108" t="s">
        <v>109</v>
      </c>
      <c r="B1554" s="108" t="s">
        <v>4054</v>
      </c>
      <c r="C1554" s="109">
        <v>45867</v>
      </c>
      <c r="D1554" s="108" t="s">
        <v>4056</v>
      </c>
      <c r="E1554" s="108" t="s">
        <v>14605</v>
      </c>
      <c r="F1554" s="108" t="s">
        <v>4055</v>
      </c>
      <c r="G1554" s="109">
        <v>46212</v>
      </c>
      <c r="H1554" s="108"/>
      <c r="I1554" s="108" t="s">
        <v>108</v>
      </c>
    </row>
    <row r="1555" spans="1:9" ht="27.6">
      <c r="A1555" s="108" t="s">
        <v>109</v>
      </c>
      <c r="B1555" s="108" t="s">
        <v>4772</v>
      </c>
      <c r="C1555" s="109">
        <v>45881</v>
      </c>
      <c r="D1555" s="108" t="s">
        <v>4774</v>
      </c>
      <c r="E1555" s="108" t="s">
        <v>14605</v>
      </c>
      <c r="F1555" s="108" t="s">
        <v>4773</v>
      </c>
      <c r="G1555" s="109">
        <v>46224</v>
      </c>
      <c r="H1555" s="108"/>
      <c r="I1555" s="108" t="s">
        <v>108</v>
      </c>
    </row>
    <row r="1556" spans="1:9" ht="27.6">
      <c r="A1556" s="108" t="s">
        <v>109</v>
      </c>
      <c r="B1556" s="108" t="s">
        <v>2036</v>
      </c>
      <c r="C1556" s="109">
        <v>45847</v>
      </c>
      <c r="D1556" s="108" t="s">
        <v>2037</v>
      </c>
      <c r="E1556" s="108" t="s">
        <v>14605</v>
      </c>
      <c r="F1556" s="108" t="s">
        <v>2013</v>
      </c>
      <c r="G1556" s="109">
        <v>46212</v>
      </c>
      <c r="H1556" s="108"/>
      <c r="I1556" s="108" t="s">
        <v>108</v>
      </c>
    </row>
    <row r="1557" spans="1:9" ht="27.6">
      <c r="A1557" s="108" t="s">
        <v>16037</v>
      </c>
      <c r="B1557" s="108" t="s">
        <v>3341</v>
      </c>
      <c r="C1557" s="109">
        <v>45828</v>
      </c>
      <c r="D1557" s="108" t="s">
        <v>3342</v>
      </c>
      <c r="E1557" s="108" t="s">
        <v>14605</v>
      </c>
      <c r="F1557" s="108" t="s">
        <v>3333</v>
      </c>
      <c r="G1557" s="109">
        <v>46195</v>
      </c>
      <c r="H1557" s="108"/>
      <c r="I1557" s="108" t="s">
        <v>108</v>
      </c>
    </row>
    <row r="1558" spans="1:9" ht="27.6">
      <c r="A1558" s="108" t="s">
        <v>16037</v>
      </c>
      <c r="B1558" s="108" t="s">
        <v>3339</v>
      </c>
      <c r="C1558" s="109">
        <v>45833</v>
      </c>
      <c r="D1558" s="108" t="s">
        <v>3340</v>
      </c>
      <c r="E1558" s="108" t="s">
        <v>14605</v>
      </c>
      <c r="F1558" s="108" t="s">
        <v>3333</v>
      </c>
      <c r="G1558" s="109">
        <v>46195</v>
      </c>
      <c r="H1558" s="108"/>
      <c r="I1558" s="108" t="s">
        <v>108</v>
      </c>
    </row>
    <row r="1559" spans="1:9" ht="27.6">
      <c r="A1559" s="108" t="s">
        <v>16037</v>
      </c>
      <c r="B1559" s="108" t="s">
        <v>3337</v>
      </c>
      <c r="C1559" s="109">
        <v>45882</v>
      </c>
      <c r="D1559" s="108" t="s">
        <v>3338</v>
      </c>
      <c r="E1559" s="108" t="s">
        <v>14605</v>
      </c>
      <c r="F1559" s="108" t="s">
        <v>3333</v>
      </c>
      <c r="G1559" s="109">
        <v>46228</v>
      </c>
      <c r="H1559" s="108"/>
      <c r="I1559" s="108" t="s">
        <v>108</v>
      </c>
    </row>
    <row r="1560" spans="1:9" ht="27.6">
      <c r="A1560" s="108" t="s">
        <v>16037</v>
      </c>
      <c r="B1560" s="108" t="s">
        <v>3335</v>
      </c>
      <c r="C1560" s="109">
        <v>45877</v>
      </c>
      <c r="D1560" s="108" t="s">
        <v>3336</v>
      </c>
      <c r="E1560" s="108" t="s">
        <v>14605</v>
      </c>
      <c r="F1560" s="108" t="s">
        <v>3333</v>
      </c>
      <c r="G1560" s="109">
        <v>46228</v>
      </c>
      <c r="H1560" s="108"/>
      <c r="I1560" s="108" t="s">
        <v>108</v>
      </c>
    </row>
    <row r="1561" spans="1:9" ht="27.6">
      <c r="A1561" s="108" t="s">
        <v>250</v>
      </c>
      <c r="B1561" s="108" t="s">
        <v>1715</v>
      </c>
      <c r="C1561" s="109">
        <v>45871</v>
      </c>
      <c r="D1561" s="108" t="s">
        <v>1717</v>
      </c>
      <c r="E1561" s="108" t="s">
        <v>14605</v>
      </c>
      <c r="F1561" s="108" t="s">
        <v>1716</v>
      </c>
      <c r="G1561" s="109">
        <v>46224</v>
      </c>
      <c r="H1561" s="108"/>
      <c r="I1561" s="108" t="s">
        <v>108</v>
      </c>
    </row>
    <row r="1562" spans="1:9" ht="27.6">
      <c r="A1562" s="108" t="s">
        <v>109</v>
      </c>
      <c r="B1562" s="108" t="s">
        <v>124</v>
      </c>
      <c r="C1562" s="109">
        <v>45861</v>
      </c>
      <c r="D1562" s="108" t="s">
        <v>125</v>
      </c>
      <c r="E1562" s="108" t="s">
        <v>14605</v>
      </c>
      <c r="F1562" s="108" t="s">
        <v>111</v>
      </c>
      <c r="G1562" s="109">
        <v>46227</v>
      </c>
      <c r="H1562" s="108"/>
      <c r="I1562" s="108" t="s">
        <v>108</v>
      </c>
    </row>
    <row r="1563" spans="1:9" ht="27.6">
      <c r="A1563" s="108" t="s">
        <v>109</v>
      </c>
      <c r="B1563" s="108" t="s">
        <v>5273</v>
      </c>
      <c r="C1563" s="109">
        <v>46084</v>
      </c>
      <c r="D1563" s="108" t="s">
        <v>5274</v>
      </c>
      <c r="E1563" s="108" t="s">
        <v>14605</v>
      </c>
      <c r="F1563" s="108" t="s">
        <v>5272</v>
      </c>
      <c r="G1563" s="109">
        <v>46232</v>
      </c>
      <c r="H1563" s="108"/>
      <c r="I1563" s="108" t="s">
        <v>108</v>
      </c>
    </row>
    <row r="1564" spans="1:9" ht="27.6">
      <c r="A1564" s="108" t="s">
        <v>1072</v>
      </c>
      <c r="B1564" s="108" t="s">
        <v>4378</v>
      </c>
      <c r="C1564" s="109">
        <v>45852</v>
      </c>
      <c r="D1564" s="108" t="s">
        <v>4379</v>
      </c>
      <c r="E1564" s="108" t="s">
        <v>14605</v>
      </c>
      <c r="F1564" s="108" t="s">
        <v>4374</v>
      </c>
      <c r="G1564" s="109">
        <v>46228</v>
      </c>
      <c r="H1564" s="108"/>
      <c r="I1564" s="108" t="s">
        <v>108</v>
      </c>
    </row>
    <row r="1565" spans="1:9" ht="27.6">
      <c r="A1565" s="108" t="s">
        <v>109</v>
      </c>
      <c r="B1565" s="108" t="s">
        <v>3090</v>
      </c>
      <c r="C1565" s="109">
        <v>45883</v>
      </c>
      <c r="D1565" s="108" t="s">
        <v>3091</v>
      </c>
      <c r="E1565" s="108" t="s">
        <v>14605</v>
      </c>
      <c r="F1565" s="108" t="s">
        <v>3056</v>
      </c>
      <c r="G1565" s="109">
        <v>46259</v>
      </c>
      <c r="H1565" s="108"/>
      <c r="I1565" s="108" t="s">
        <v>108</v>
      </c>
    </row>
    <row r="1566" spans="1:9" ht="27.6">
      <c r="A1566" s="108" t="s">
        <v>503</v>
      </c>
      <c r="B1566" s="108" t="s">
        <v>16719</v>
      </c>
      <c r="C1566" s="109">
        <v>45764</v>
      </c>
      <c r="D1566" s="108" t="s">
        <v>16720</v>
      </c>
      <c r="E1566" s="108" t="s">
        <v>14605</v>
      </c>
      <c r="F1566" s="108" t="s">
        <v>16128</v>
      </c>
      <c r="G1566" s="109">
        <v>46128</v>
      </c>
      <c r="H1566" s="108"/>
      <c r="I1566" s="108" t="s">
        <v>108</v>
      </c>
    </row>
    <row r="1567" spans="1:9">
      <c r="A1567" s="108" t="s">
        <v>503</v>
      </c>
      <c r="B1567" s="108" t="s">
        <v>16721</v>
      </c>
      <c r="C1567" s="109">
        <v>45819</v>
      </c>
      <c r="D1567" s="108" t="s">
        <v>16722</v>
      </c>
      <c r="E1567" s="108" t="s">
        <v>14605</v>
      </c>
      <c r="F1567" s="108" t="s">
        <v>16723</v>
      </c>
      <c r="G1567" s="109">
        <v>46183</v>
      </c>
      <c r="H1567" s="108"/>
      <c r="I1567" s="108" t="s">
        <v>108</v>
      </c>
    </row>
    <row r="1568" spans="1:9" ht="27.6">
      <c r="A1568" s="108" t="s">
        <v>15990</v>
      </c>
      <c r="B1568" s="108" t="s">
        <v>16724</v>
      </c>
      <c r="C1568" s="109">
        <v>45823</v>
      </c>
      <c r="D1568" s="108" t="s">
        <v>16725</v>
      </c>
      <c r="E1568" s="108" t="s">
        <v>14605</v>
      </c>
      <c r="F1568" s="108" t="s">
        <v>15509</v>
      </c>
      <c r="G1568" s="109">
        <v>46185</v>
      </c>
      <c r="H1568" s="108"/>
      <c r="I1568" s="108" t="s">
        <v>108</v>
      </c>
    </row>
    <row r="1569" spans="1:9">
      <c r="A1569" s="108" t="s">
        <v>244</v>
      </c>
      <c r="B1569" s="108" t="s">
        <v>16726</v>
      </c>
      <c r="C1569" s="109">
        <v>45947</v>
      </c>
      <c r="D1569" s="108" t="s">
        <v>16727</v>
      </c>
      <c r="E1569" s="108" t="s">
        <v>14605</v>
      </c>
      <c r="F1569" s="108" t="s">
        <v>16680</v>
      </c>
      <c r="G1569" s="109">
        <v>46221</v>
      </c>
      <c r="H1569" s="108"/>
      <c r="I1569" s="108" t="s">
        <v>108</v>
      </c>
    </row>
    <row r="1570" spans="1:9">
      <c r="A1570" s="108" t="s">
        <v>8413</v>
      </c>
      <c r="B1570" s="108" t="s">
        <v>16728</v>
      </c>
      <c r="C1570" s="109">
        <v>45812</v>
      </c>
      <c r="D1570" s="108" t="s">
        <v>16729</v>
      </c>
      <c r="E1570" s="108" t="s">
        <v>14605</v>
      </c>
      <c r="F1570" s="108" t="s">
        <v>16730</v>
      </c>
      <c r="G1570" s="109">
        <v>46175</v>
      </c>
      <c r="H1570" s="108"/>
      <c r="I1570" s="108" t="s">
        <v>108</v>
      </c>
    </row>
    <row r="1571" spans="1:9">
      <c r="A1571" s="108" t="s">
        <v>16151</v>
      </c>
      <c r="B1571" s="108" t="s">
        <v>16731</v>
      </c>
      <c r="C1571" s="109">
        <v>45643</v>
      </c>
      <c r="D1571" s="108" t="s">
        <v>16732</v>
      </c>
      <c r="E1571" s="108" t="s">
        <v>14605</v>
      </c>
      <c r="F1571" s="108" t="s">
        <v>16359</v>
      </c>
      <c r="G1571" s="109">
        <v>46004</v>
      </c>
      <c r="H1571" s="108"/>
      <c r="I1571" s="108" t="s">
        <v>108</v>
      </c>
    </row>
    <row r="1572" spans="1:9">
      <c r="A1572" s="108" t="s">
        <v>16151</v>
      </c>
      <c r="B1572" s="108" t="s">
        <v>16733</v>
      </c>
      <c r="C1572" s="109">
        <v>45667</v>
      </c>
      <c r="D1572" s="108" t="s">
        <v>16734</v>
      </c>
      <c r="E1572" s="108" t="s">
        <v>14605</v>
      </c>
      <c r="F1572" s="108" t="s">
        <v>4732</v>
      </c>
      <c r="G1572" s="109">
        <v>46038</v>
      </c>
      <c r="H1572" s="108"/>
      <c r="I1572" s="108" t="s">
        <v>108</v>
      </c>
    </row>
    <row r="1573" spans="1:9">
      <c r="A1573" s="108" t="s">
        <v>16151</v>
      </c>
      <c r="B1573" s="108" t="s">
        <v>3257</v>
      </c>
      <c r="C1573" s="109">
        <v>46145</v>
      </c>
      <c r="D1573" s="108" t="s">
        <v>3258</v>
      </c>
      <c r="E1573" s="108" t="s">
        <v>14605</v>
      </c>
      <c r="F1573" s="108" t="s">
        <v>3253</v>
      </c>
      <c r="G1573" s="109">
        <v>46032</v>
      </c>
      <c r="H1573" s="108"/>
      <c r="I1573" s="108" t="s">
        <v>108</v>
      </c>
    </row>
    <row r="1574" spans="1:9">
      <c r="A1574" s="108" t="s">
        <v>16151</v>
      </c>
      <c r="B1574" s="108" t="s">
        <v>16735</v>
      </c>
      <c r="C1574" s="109">
        <v>45639</v>
      </c>
      <c r="D1574" s="108" t="s">
        <v>16736</v>
      </c>
      <c r="E1574" s="108" t="s">
        <v>14605</v>
      </c>
      <c r="F1574" s="108" t="s">
        <v>15086</v>
      </c>
      <c r="G1574" s="109">
        <v>46024</v>
      </c>
      <c r="H1574" s="108"/>
      <c r="I1574" s="108" t="s">
        <v>108</v>
      </c>
    </row>
    <row r="1575" spans="1:9">
      <c r="A1575" s="108" t="s">
        <v>16151</v>
      </c>
      <c r="B1575" s="108" t="s">
        <v>16737</v>
      </c>
      <c r="C1575" s="109">
        <v>45638</v>
      </c>
      <c r="D1575" s="108" t="s">
        <v>16738</v>
      </c>
      <c r="E1575" s="108" t="s">
        <v>14605</v>
      </c>
      <c r="F1575" s="108" t="s">
        <v>15086</v>
      </c>
      <c r="G1575" s="109">
        <v>46024</v>
      </c>
      <c r="H1575" s="108"/>
      <c r="I1575" s="108" t="s">
        <v>108</v>
      </c>
    </row>
    <row r="1576" spans="1:9" ht="27.6">
      <c r="A1576" s="108" t="s">
        <v>16151</v>
      </c>
      <c r="B1576" s="108" t="s">
        <v>16739</v>
      </c>
      <c r="C1576" s="109">
        <v>45709</v>
      </c>
      <c r="D1576" s="108" t="s">
        <v>16740</v>
      </c>
      <c r="E1576" s="108" t="s">
        <v>14605</v>
      </c>
      <c r="F1576" s="108" t="s">
        <v>16741</v>
      </c>
      <c r="G1576" s="109">
        <v>46104</v>
      </c>
      <c r="H1576" s="108"/>
      <c r="I1576" s="108" t="s">
        <v>108</v>
      </c>
    </row>
    <row r="1577" spans="1:9" ht="27.6">
      <c r="A1577" s="108" t="s">
        <v>16151</v>
      </c>
      <c r="B1577" s="108" t="s">
        <v>4101</v>
      </c>
      <c r="C1577" s="109">
        <v>45673</v>
      </c>
      <c r="D1577" s="108" t="s">
        <v>4102</v>
      </c>
      <c r="E1577" s="108" t="s">
        <v>14605</v>
      </c>
      <c r="F1577" s="108" t="s">
        <v>4098</v>
      </c>
      <c r="G1577" s="109">
        <v>46051</v>
      </c>
      <c r="H1577" s="108"/>
      <c r="I1577" s="108" t="s">
        <v>108</v>
      </c>
    </row>
    <row r="1578" spans="1:9">
      <c r="A1578" s="108" t="s">
        <v>16151</v>
      </c>
      <c r="B1578" s="108" t="s">
        <v>16742</v>
      </c>
      <c r="C1578" s="109">
        <v>45644</v>
      </c>
      <c r="D1578" s="108" t="s">
        <v>16743</v>
      </c>
      <c r="E1578" s="108" t="s">
        <v>14605</v>
      </c>
      <c r="F1578" s="108" t="s">
        <v>15763</v>
      </c>
      <c r="G1578" s="109">
        <v>46023</v>
      </c>
      <c r="H1578" s="108"/>
      <c r="I1578" s="108" t="s">
        <v>108</v>
      </c>
    </row>
    <row r="1579" spans="1:9">
      <c r="A1579" s="108" t="s">
        <v>16151</v>
      </c>
      <c r="B1579" s="108" t="s">
        <v>16744</v>
      </c>
      <c r="C1579" s="109">
        <v>45641</v>
      </c>
      <c r="D1579" s="108" t="s">
        <v>16745</v>
      </c>
      <c r="E1579" s="108" t="s">
        <v>14605</v>
      </c>
      <c r="F1579" s="108" t="s">
        <v>14846</v>
      </c>
      <c r="G1579" s="109">
        <v>46008</v>
      </c>
      <c r="H1579" s="108"/>
      <c r="I1579" s="108" t="s">
        <v>108</v>
      </c>
    </row>
    <row r="1580" spans="1:9">
      <c r="A1580" s="108" t="s">
        <v>16151</v>
      </c>
      <c r="B1580" s="108" t="s">
        <v>16746</v>
      </c>
      <c r="C1580" s="109">
        <v>45637</v>
      </c>
      <c r="D1580" s="108" t="s">
        <v>16747</v>
      </c>
      <c r="E1580" s="108" t="s">
        <v>14605</v>
      </c>
      <c r="F1580" s="108" t="s">
        <v>14712</v>
      </c>
      <c r="G1580" s="109">
        <v>46003</v>
      </c>
      <c r="H1580" s="108"/>
      <c r="I1580" s="108" t="s">
        <v>108</v>
      </c>
    </row>
    <row r="1581" spans="1:9">
      <c r="A1581" s="108" t="s">
        <v>16151</v>
      </c>
      <c r="B1581" s="108" t="s">
        <v>16748</v>
      </c>
      <c r="C1581" s="109">
        <v>45629</v>
      </c>
      <c r="D1581" s="108" t="s">
        <v>16749</v>
      </c>
      <c r="E1581" s="108" t="s">
        <v>14605</v>
      </c>
      <c r="F1581" s="108" t="s">
        <v>15097</v>
      </c>
      <c r="G1581" s="109">
        <v>45998</v>
      </c>
      <c r="H1581" s="108"/>
      <c r="I1581" s="108" t="s">
        <v>108</v>
      </c>
    </row>
    <row r="1582" spans="1:9">
      <c r="A1582" s="108" t="s">
        <v>16151</v>
      </c>
      <c r="B1582" s="108" t="s">
        <v>1405</v>
      </c>
      <c r="C1582" s="109">
        <v>45645</v>
      </c>
      <c r="D1582" s="108" t="s">
        <v>1406</v>
      </c>
      <c r="E1582" s="108" t="s">
        <v>14605</v>
      </c>
      <c r="F1582" s="108" t="s">
        <v>1397</v>
      </c>
      <c r="G1582" s="109">
        <v>46003</v>
      </c>
      <c r="H1582" s="108"/>
      <c r="I1582" s="108" t="s">
        <v>108</v>
      </c>
    </row>
    <row r="1583" spans="1:9">
      <c r="A1583" s="108" t="s">
        <v>16151</v>
      </c>
      <c r="B1583" s="108" t="s">
        <v>5280</v>
      </c>
      <c r="C1583" s="109">
        <v>45636</v>
      </c>
      <c r="D1583" s="108" t="s">
        <v>5282</v>
      </c>
      <c r="E1583" s="108" t="s">
        <v>14605</v>
      </c>
      <c r="F1583" s="108" t="s">
        <v>5281</v>
      </c>
      <c r="G1583" s="109">
        <v>46005</v>
      </c>
      <c r="H1583" s="108"/>
      <c r="I1583" s="108" t="s">
        <v>108</v>
      </c>
    </row>
    <row r="1584" spans="1:9">
      <c r="A1584" s="108" t="s">
        <v>16151</v>
      </c>
      <c r="B1584" s="108" t="s">
        <v>16750</v>
      </c>
      <c r="C1584" s="109">
        <v>45663</v>
      </c>
      <c r="D1584" s="108" t="s">
        <v>16751</v>
      </c>
      <c r="E1584" s="108" t="s">
        <v>14605</v>
      </c>
      <c r="F1584" s="108" t="s">
        <v>15097</v>
      </c>
      <c r="G1584" s="109">
        <v>46069</v>
      </c>
      <c r="H1584" s="108"/>
      <c r="I1584" s="108" t="s">
        <v>108</v>
      </c>
    </row>
    <row r="1585" spans="1:9" ht="27.6">
      <c r="A1585" s="108" t="s">
        <v>16151</v>
      </c>
      <c r="B1585" s="108" t="s">
        <v>16752</v>
      </c>
      <c r="C1585" s="109">
        <v>45653</v>
      </c>
      <c r="D1585" s="108" t="s">
        <v>16753</v>
      </c>
      <c r="E1585" s="108" t="s">
        <v>14605</v>
      </c>
      <c r="F1585" s="108" t="s">
        <v>15144</v>
      </c>
      <c r="G1585" s="109">
        <v>46017</v>
      </c>
      <c r="H1585" s="108"/>
      <c r="I1585" s="108" t="s">
        <v>108</v>
      </c>
    </row>
    <row r="1586" spans="1:9">
      <c r="A1586" s="108" t="s">
        <v>16151</v>
      </c>
      <c r="B1586" s="108" t="s">
        <v>924</v>
      </c>
      <c r="C1586" s="109">
        <v>45672</v>
      </c>
      <c r="D1586" s="108" t="s">
        <v>926</v>
      </c>
      <c r="E1586" s="108" t="s">
        <v>14605</v>
      </c>
      <c r="F1586" s="108" t="s">
        <v>925</v>
      </c>
      <c r="G1586" s="109">
        <v>46011</v>
      </c>
      <c r="H1586" s="108"/>
      <c r="I1586" s="108" t="s">
        <v>108</v>
      </c>
    </row>
    <row r="1587" spans="1:9" ht="27.6">
      <c r="A1587" s="108" t="s">
        <v>16151</v>
      </c>
      <c r="B1587" s="108" t="s">
        <v>16754</v>
      </c>
      <c r="C1587" s="109">
        <v>45674</v>
      </c>
      <c r="D1587" s="108" t="s">
        <v>16755</v>
      </c>
      <c r="E1587" s="108" t="s">
        <v>14605</v>
      </c>
      <c r="F1587" s="108" t="s">
        <v>15167</v>
      </c>
      <c r="G1587" s="109">
        <v>46037</v>
      </c>
      <c r="H1587" s="108"/>
      <c r="I1587" s="108" t="s">
        <v>108</v>
      </c>
    </row>
    <row r="1588" spans="1:9">
      <c r="A1588" s="108" t="s">
        <v>16151</v>
      </c>
      <c r="B1588" s="108" t="s">
        <v>16756</v>
      </c>
      <c r="C1588" s="109">
        <v>45712</v>
      </c>
      <c r="D1588" s="108" t="s">
        <v>16757</v>
      </c>
      <c r="E1588" s="108" t="s">
        <v>14605</v>
      </c>
      <c r="F1588" s="108" t="s">
        <v>16758</v>
      </c>
      <c r="G1588" s="109">
        <v>46076</v>
      </c>
      <c r="H1588" s="108"/>
      <c r="I1588" s="108" t="s">
        <v>108</v>
      </c>
    </row>
    <row r="1589" spans="1:9">
      <c r="A1589" s="108" t="s">
        <v>16151</v>
      </c>
      <c r="B1589" s="108" t="s">
        <v>16759</v>
      </c>
      <c r="C1589" s="109">
        <v>45649</v>
      </c>
      <c r="D1589" s="108" t="s">
        <v>16760</v>
      </c>
      <c r="E1589" s="108" t="s">
        <v>14605</v>
      </c>
      <c r="F1589" s="108" t="s">
        <v>15099</v>
      </c>
      <c r="G1589" s="109">
        <v>46024</v>
      </c>
      <c r="H1589" s="108"/>
      <c r="I1589" s="108" t="s">
        <v>108</v>
      </c>
    </row>
    <row r="1590" spans="1:9">
      <c r="A1590" s="108" t="s">
        <v>16151</v>
      </c>
      <c r="B1590" s="108" t="s">
        <v>16761</v>
      </c>
      <c r="C1590" s="109">
        <v>45803</v>
      </c>
      <c r="D1590" s="108" t="s">
        <v>16762</v>
      </c>
      <c r="E1590" s="108" t="s">
        <v>14605</v>
      </c>
      <c r="F1590" s="108" t="s">
        <v>15172</v>
      </c>
      <c r="G1590" s="109">
        <v>46168</v>
      </c>
      <c r="H1590" s="108"/>
      <c r="I1590" s="108" t="s">
        <v>108</v>
      </c>
    </row>
    <row r="1591" spans="1:9">
      <c r="A1591" s="108" t="s">
        <v>16151</v>
      </c>
      <c r="B1591" s="108" t="s">
        <v>16763</v>
      </c>
      <c r="C1591" s="109">
        <v>45694</v>
      </c>
      <c r="D1591" s="108" t="s">
        <v>16764</v>
      </c>
      <c r="E1591" s="108" t="s">
        <v>14605</v>
      </c>
      <c r="F1591" s="108" t="s">
        <v>16765</v>
      </c>
      <c r="G1591" s="109">
        <v>46040</v>
      </c>
      <c r="H1591" s="108"/>
      <c r="I1591" s="108" t="s">
        <v>108</v>
      </c>
    </row>
    <row r="1592" spans="1:9">
      <c r="A1592" s="108" t="s">
        <v>16151</v>
      </c>
      <c r="B1592" s="108" t="s">
        <v>16766</v>
      </c>
      <c r="C1592" s="109">
        <v>45989</v>
      </c>
      <c r="D1592" s="108" t="s">
        <v>16767</v>
      </c>
      <c r="E1592" s="108" t="s">
        <v>14605</v>
      </c>
      <c r="F1592" s="108" t="s">
        <v>15159</v>
      </c>
      <c r="G1592" s="109">
        <v>46225</v>
      </c>
      <c r="H1592" s="108"/>
      <c r="I1592" s="108" t="s">
        <v>108</v>
      </c>
    </row>
    <row r="1593" spans="1:9">
      <c r="A1593" s="108" t="s">
        <v>16151</v>
      </c>
      <c r="B1593" s="108" t="s">
        <v>1192</v>
      </c>
      <c r="C1593" s="109">
        <v>45702</v>
      </c>
      <c r="D1593" s="108" t="s">
        <v>1194</v>
      </c>
      <c r="E1593" s="108" t="s">
        <v>14605</v>
      </c>
      <c r="F1593" s="108" t="s">
        <v>1193</v>
      </c>
      <c r="G1593" s="109">
        <v>46029</v>
      </c>
      <c r="H1593" s="108"/>
      <c r="I1593" s="108" t="s">
        <v>108</v>
      </c>
    </row>
    <row r="1594" spans="1:9">
      <c r="A1594" s="108" t="s">
        <v>16151</v>
      </c>
      <c r="B1594" s="108" t="s">
        <v>16768</v>
      </c>
      <c r="C1594" s="109">
        <v>45709</v>
      </c>
      <c r="D1594" s="108" t="s">
        <v>16769</v>
      </c>
      <c r="E1594" s="108" t="s">
        <v>14605</v>
      </c>
      <c r="F1594" s="108" t="s">
        <v>16770</v>
      </c>
      <c r="G1594" s="109">
        <v>46071</v>
      </c>
      <c r="H1594" s="108"/>
      <c r="I1594" s="108" t="s">
        <v>108</v>
      </c>
    </row>
    <row r="1595" spans="1:9">
      <c r="A1595" s="108" t="s">
        <v>16151</v>
      </c>
      <c r="B1595" s="108" t="s">
        <v>3288</v>
      </c>
      <c r="C1595" s="109">
        <v>45687</v>
      </c>
      <c r="D1595" s="108" t="s">
        <v>3289</v>
      </c>
      <c r="E1595" s="108" t="s">
        <v>14605</v>
      </c>
      <c r="F1595" s="108" t="s">
        <v>15103</v>
      </c>
      <c r="G1595" s="109">
        <v>46029</v>
      </c>
      <c r="H1595" s="108"/>
      <c r="I1595" s="108" t="s">
        <v>108</v>
      </c>
    </row>
    <row r="1596" spans="1:9">
      <c r="A1596" s="108" t="s">
        <v>16151</v>
      </c>
      <c r="B1596" s="108" t="s">
        <v>3593</v>
      </c>
      <c r="C1596" s="109">
        <v>45664</v>
      </c>
      <c r="D1596" s="108" t="s">
        <v>3594</v>
      </c>
      <c r="E1596" s="108" t="s">
        <v>14605</v>
      </c>
      <c r="F1596" s="108" t="s">
        <v>3587</v>
      </c>
      <c r="G1596" s="109">
        <v>46029</v>
      </c>
      <c r="H1596" s="108"/>
      <c r="I1596" s="108" t="s">
        <v>108</v>
      </c>
    </row>
    <row r="1597" spans="1:9">
      <c r="A1597" s="108" t="s">
        <v>16151</v>
      </c>
      <c r="B1597" s="108" t="s">
        <v>16771</v>
      </c>
      <c r="C1597" s="109">
        <v>45691</v>
      </c>
      <c r="D1597" s="108" t="s">
        <v>16471</v>
      </c>
      <c r="E1597" s="108" t="s">
        <v>14605</v>
      </c>
      <c r="F1597" s="108" t="s">
        <v>15964</v>
      </c>
      <c r="G1597" s="109">
        <v>46031</v>
      </c>
      <c r="H1597" s="108"/>
      <c r="I1597" s="108" t="s">
        <v>108</v>
      </c>
    </row>
    <row r="1598" spans="1:9">
      <c r="A1598" s="108" t="s">
        <v>16151</v>
      </c>
      <c r="B1598" s="108" t="s">
        <v>16772</v>
      </c>
      <c r="C1598" s="109">
        <v>45641</v>
      </c>
      <c r="D1598" s="108" t="s">
        <v>16773</v>
      </c>
      <c r="E1598" s="108" t="s">
        <v>14605</v>
      </c>
      <c r="F1598" s="108" t="s">
        <v>14846</v>
      </c>
      <c r="G1598" s="109">
        <v>46008</v>
      </c>
      <c r="H1598" s="108"/>
      <c r="I1598" s="108" t="s">
        <v>108</v>
      </c>
    </row>
    <row r="1599" spans="1:9">
      <c r="A1599" s="108" t="s">
        <v>16151</v>
      </c>
      <c r="B1599" s="108" t="s">
        <v>16774</v>
      </c>
      <c r="C1599" s="109">
        <v>45750</v>
      </c>
      <c r="D1599" s="108" t="s">
        <v>16775</v>
      </c>
      <c r="E1599" s="108" t="s">
        <v>14605</v>
      </c>
      <c r="F1599" s="108" t="s">
        <v>14609</v>
      </c>
      <c r="G1599" s="109">
        <v>46114</v>
      </c>
      <c r="H1599" s="108"/>
      <c r="I1599" s="108" t="s">
        <v>108</v>
      </c>
    </row>
    <row r="1600" spans="1:9">
      <c r="A1600" s="108" t="s">
        <v>16151</v>
      </c>
      <c r="B1600" s="108" t="s">
        <v>4728</v>
      </c>
      <c r="C1600" s="109">
        <v>45916</v>
      </c>
      <c r="D1600" s="108" t="s">
        <v>4729</v>
      </c>
      <c r="E1600" s="108" t="s">
        <v>14605</v>
      </c>
      <c r="F1600" s="108" t="s">
        <v>4702</v>
      </c>
      <c r="G1600" s="109">
        <v>46139</v>
      </c>
      <c r="H1600" s="108"/>
      <c r="I1600" s="108" t="s">
        <v>108</v>
      </c>
    </row>
    <row r="1601" spans="1:9" ht="27.6">
      <c r="A1601" s="108" t="s">
        <v>16151</v>
      </c>
      <c r="B1601" s="108" t="s">
        <v>16776</v>
      </c>
      <c r="C1601" s="109">
        <v>46038</v>
      </c>
      <c r="D1601" s="108" t="s">
        <v>16777</v>
      </c>
      <c r="E1601" s="108" t="s">
        <v>14605</v>
      </c>
      <c r="F1601" s="108" t="s">
        <v>15772</v>
      </c>
      <c r="G1601" s="109">
        <v>46141</v>
      </c>
      <c r="H1601" s="108"/>
      <c r="I1601" s="108" t="s">
        <v>108</v>
      </c>
    </row>
    <row r="1602" spans="1:9">
      <c r="A1602" s="108" t="s">
        <v>16151</v>
      </c>
      <c r="B1602" s="108" t="s">
        <v>331</v>
      </c>
      <c r="C1602" s="109">
        <v>45692</v>
      </c>
      <c r="D1602" s="108" t="s">
        <v>332</v>
      </c>
      <c r="E1602" s="108" t="s">
        <v>14605</v>
      </c>
      <c r="F1602" s="108" t="s">
        <v>327</v>
      </c>
      <c r="G1602" s="109">
        <v>46038</v>
      </c>
      <c r="H1602" s="108"/>
      <c r="I1602" s="108" t="s">
        <v>108</v>
      </c>
    </row>
    <row r="1603" spans="1:9">
      <c r="A1603" s="108" t="s">
        <v>16151</v>
      </c>
      <c r="B1603" s="108" t="s">
        <v>3958</v>
      </c>
      <c r="C1603" s="109">
        <v>45684</v>
      </c>
      <c r="D1603" s="108" t="s">
        <v>3959</v>
      </c>
      <c r="E1603" s="108" t="s">
        <v>14605</v>
      </c>
      <c r="F1603" s="108" t="s">
        <v>3953</v>
      </c>
      <c r="G1603" s="109">
        <v>46033</v>
      </c>
      <c r="H1603" s="108"/>
      <c r="I1603" s="108" t="s">
        <v>108</v>
      </c>
    </row>
    <row r="1604" spans="1:9">
      <c r="A1604" s="108" t="s">
        <v>16151</v>
      </c>
      <c r="B1604" s="108" t="s">
        <v>4192</v>
      </c>
      <c r="C1604" s="109">
        <v>45645</v>
      </c>
      <c r="D1604" s="108" t="s">
        <v>4193</v>
      </c>
      <c r="E1604" s="108" t="s">
        <v>14605</v>
      </c>
      <c r="F1604" s="108" t="s">
        <v>4182</v>
      </c>
      <c r="G1604" s="109">
        <v>46034</v>
      </c>
      <c r="H1604" s="108"/>
      <c r="I1604" s="108" t="s">
        <v>108</v>
      </c>
    </row>
    <row r="1605" spans="1:9" ht="27.6">
      <c r="A1605" s="108" t="s">
        <v>16151</v>
      </c>
      <c r="B1605" s="108" t="s">
        <v>16778</v>
      </c>
      <c r="C1605" s="109">
        <v>45715</v>
      </c>
      <c r="D1605" s="108" t="s">
        <v>16779</v>
      </c>
      <c r="E1605" s="108" t="s">
        <v>14605</v>
      </c>
      <c r="F1605" s="108" t="s">
        <v>14972</v>
      </c>
      <c r="G1605" s="109">
        <v>46078</v>
      </c>
      <c r="H1605" s="108"/>
      <c r="I1605" s="108" t="s">
        <v>108</v>
      </c>
    </row>
    <row r="1606" spans="1:9">
      <c r="A1606" s="108" t="s">
        <v>16151</v>
      </c>
      <c r="B1606" s="108" t="s">
        <v>16780</v>
      </c>
      <c r="C1606" s="109">
        <v>45674</v>
      </c>
      <c r="D1606" s="108" t="s">
        <v>16781</v>
      </c>
      <c r="E1606" s="108" t="s">
        <v>14605</v>
      </c>
      <c r="F1606" s="108" t="s">
        <v>16782</v>
      </c>
      <c r="G1606" s="109">
        <v>46036</v>
      </c>
      <c r="H1606" s="108"/>
      <c r="I1606" s="108" t="s">
        <v>108</v>
      </c>
    </row>
    <row r="1607" spans="1:9" ht="27.6">
      <c r="A1607" s="108" t="s">
        <v>16151</v>
      </c>
      <c r="B1607" s="108" t="s">
        <v>3990</v>
      </c>
      <c r="C1607" s="109">
        <v>45709</v>
      </c>
      <c r="D1607" s="108" t="s">
        <v>3992</v>
      </c>
      <c r="E1607" s="108" t="s">
        <v>14605</v>
      </c>
      <c r="F1607" s="108" t="s">
        <v>3991</v>
      </c>
      <c r="G1607" s="109">
        <v>46037</v>
      </c>
      <c r="H1607" s="108"/>
      <c r="I1607" s="108" t="s">
        <v>108</v>
      </c>
    </row>
    <row r="1608" spans="1:9">
      <c r="A1608" s="108" t="s">
        <v>16151</v>
      </c>
      <c r="B1608" s="108" t="s">
        <v>16783</v>
      </c>
      <c r="C1608" s="109">
        <v>45756</v>
      </c>
      <c r="D1608" s="108" t="s">
        <v>16784</v>
      </c>
      <c r="E1608" s="108" t="s">
        <v>14605</v>
      </c>
      <c r="F1608" s="108" t="s">
        <v>15169</v>
      </c>
      <c r="G1608" s="109">
        <v>46119</v>
      </c>
      <c r="H1608" s="108"/>
      <c r="I1608" s="108" t="s">
        <v>108</v>
      </c>
    </row>
    <row r="1609" spans="1:9" ht="27.6">
      <c r="A1609" s="108" t="s">
        <v>16151</v>
      </c>
      <c r="B1609" s="108" t="s">
        <v>1794</v>
      </c>
      <c r="C1609" s="109">
        <v>45890</v>
      </c>
      <c r="D1609" s="108" t="s">
        <v>1795</v>
      </c>
      <c r="E1609" s="108" t="s">
        <v>14605</v>
      </c>
      <c r="F1609" s="108" t="s">
        <v>15255</v>
      </c>
      <c r="G1609" s="109">
        <v>46248</v>
      </c>
      <c r="H1609" s="108"/>
      <c r="I1609" s="108" t="s">
        <v>108</v>
      </c>
    </row>
    <row r="1610" spans="1:9" ht="27.6">
      <c r="A1610" s="108" t="s">
        <v>16151</v>
      </c>
      <c r="B1610" s="108" t="s">
        <v>4204</v>
      </c>
      <c r="C1610" s="109">
        <v>45685</v>
      </c>
      <c r="D1610" s="108" t="s">
        <v>4205</v>
      </c>
      <c r="E1610" s="108" t="s">
        <v>14605</v>
      </c>
      <c r="F1610" s="108" t="s">
        <v>4202</v>
      </c>
      <c r="G1610" s="109">
        <v>46049</v>
      </c>
      <c r="H1610" s="108"/>
      <c r="I1610" s="108" t="s">
        <v>108</v>
      </c>
    </row>
    <row r="1611" spans="1:9">
      <c r="A1611" s="108" t="s">
        <v>16151</v>
      </c>
      <c r="B1611" s="108" t="s">
        <v>5066</v>
      </c>
      <c r="C1611" s="109">
        <v>45721</v>
      </c>
      <c r="D1611" s="108" t="s">
        <v>5067</v>
      </c>
      <c r="E1611" s="108" t="s">
        <v>14605</v>
      </c>
      <c r="F1611" s="108" t="s">
        <v>5057</v>
      </c>
      <c r="G1611" s="109">
        <v>46036</v>
      </c>
      <c r="H1611" s="108"/>
      <c r="I1611" s="108" t="s">
        <v>108</v>
      </c>
    </row>
    <row r="1612" spans="1:9">
      <c r="A1612" s="108" t="s">
        <v>16151</v>
      </c>
      <c r="B1612" s="108" t="s">
        <v>921</v>
      </c>
      <c r="C1612" s="109">
        <v>45722</v>
      </c>
      <c r="D1612" s="108" t="s">
        <v>922</v>
      </c>
      <c r="E1612" s="108" t="s">
        <v>14605</v>
      </c>
      <c r="F1612" s="108" t="s">
        <v>913</v>
      </c>
      <c r="G1612" s="109">
        <v>46039</v>
      </c>
      <c r="H1612" s="108"/>
      <c r="I1612" s="108" t="s">
        <v>108</v>
      </c>
    </row>
    <row r="1613" spans="1:9" ht="27.6">
      <c r="A1613" s="108" t="s">
        <v>16151</v>
      </c>
      <c r="B1613" s="108" t="s">
        <v>16785</v>
      </c>
      <c r="C1613" s="109">
        <v>45715</v>
      </c>
      <c r="D1613" s="108" t="s">
        <v>16786</v>
      </c>
      <c r="E1613" s="108" t="s">
        <v>14605</v>
      </c>
      <c r="F1613" s="108" t="s">
        <v>14972</v>
      </c>
      <c r="G1613" s="109">
        <v>46079</v>
      </c>
      <c r="H1613" s="108"/>
      <c r="I1613" s="108" t="s">
        <v>108</v>
      </c>
    </row>
    <row r="1614" spans="1:9">
      <c r="A1614" s="108" t="s">
        <v>16151</v>
      </c>
      <c r="B1614" s="108" t="s">
        <v>122</v>
      </c>
      <c r="C1614" s="109">
        <v>45737</v>
      </c>
      <c r="D1614" s="108" t="s">
        <v>123</v>
      </c>
      <c r="E1614" s="108" t="s">
        <v>14605</v>
      </c>
      <c r="F1614" s="108" t="s">
        <v>111</v>
      </c>
      <c r="G1614" s="109">
        <v>46039</v>
      </c>
      <c r="H1614" s="108"/>
      <c r="I1614" s="108" t="s">
        <v>108</v>
      </c>
    </row>
    <row r="1615" spans="1:9">
      <c r="A1615" s="108" t="s">
        <v>16151</v>
      </c>
      <c r="B1615" s="108" t="s">
        <v>3409</v>
      </c>
      <c r="C1615" s="109">
        <v>45674</v>
      </c>
      <c r="D1615" s="108" t="s">
        <v>3410</v>
      </c>
      <c r="E1615" s="108" t="s">
        <v>14605</v>
      </c>
      <c r="F1615" s="108" t="s">
        <v>14672</v>
      </c>
      <c r="G1615" s="109">
        <v>46039</v>
      </c>
      <c r="H1615" s="108"/>
      <c r="I1615" s="108" t="s">
        <v>108</v>
      </c>
    </row>
    <row r="1616" spans="1:9">
      <c r="A1616" s="108" t="s">
        <v>16151</v>
      </c>
      <c r="B1616" s="108" t="s">
        <v>3216</v>
      </c>
      <c r="C1616" s="109">
        <v>45735</v>
      </c>
      <c r="D1616" s="108" t="s">
        <v>3217</v>
      </c>
      <c r="E1616" s="108" t="s">
        <v>14605</v>
      </c>
      <c r="F1616" s="108" t="s">
        <v>3210</v>
      </c>
      <c r="G1616" s="109">
        <v>46110</v>
      </c>
      <c r="H1616" s="108"/>
      <c r="I1616" s="108" t="s">
        <v>108</v>
      </c>
    </row>
    <row r="1617" spans="1:9" ht="27.6">
      <c r="A1617" s="108" t="s">
        <v>16151</v>
      </c>
      <c r="B1617" s="108" t="s">
        <v>4959</v>
      </c>
      <c r="C1617" s="109">
        <v>45811</v>
      </c>
      <c r="D1617" s="108" t="s">
        <v>4960</v>
      </c>
      <c r="E1617" s="108" t="s">
        <v>14605</v>
      </c>
      <c r="F1617" s="108" t="s">
        <v>4958</v>
      </c>
      <c r="G1617" s="109">
        <v>46111</v>
      </c>
      <c r="H1617" s="108"/>
      <c r="I1617" s="108" t="s">
        <v>108</v>
      </c>
    </row>
    <row r="1618" spans="1:9">
      <c r="A1618" s="108" t="s">
        <v>16151</v>
      </c>
      <c r="B1618" s="108" t="s">
        <v>787</v>
      </c>
      <c r="C1618" s="109">
        <v>45742</v>
      </c>
      <c r="D1618" s="108" t="s">
        <v>788</v>
      </c>
      <c r="E1618" s="108" t="s">
        <v>14605</v>
      </c>
      <c r="F1618" s="108" t="s">
        <v>15184</v>
      </c>
      <c r="G1618" s="109">
        <v>46115</v>
      </c>
      <c r="H1618" s="108"/>
      <c r="I1618" s="108" t="s">
        <v>108</v>
      </c>
    </row>
    <row r="1619" spans="1:9" ht="27.6">
      <c r="A1619" s="108" t="s">
        <v>16151</v>
      </c>
      <c r="B1619" s="108" t="s">
        <v>16787</v>
      </c>
      <c r="C1619" s="109">
        <v>45855</v>
      </c>
      <c r="D1619" s="108" t="s">
        <v>16788</v>
      </c>
      <c r="E1619" s="108" t="s">
        <v>14605</v>
      </c>
      <c r="F1619" s="108" t="s">
        <v>15151</v>
      </c>
      <c r="G1619" s="109">
        <v>46244</v>
      </c>
      <c r="H1619" s="108"/>
      <c r="I1619" s="108" t="s">
        <v>108</v>
      </c>
    </row>
    <row r="1620" spans="1:9" ht="27.6">
      <c r="A1620" s="108" t="s">
        <v>16151</v>
      </c>
      <c r="B1620" s="108" t="s">
        <v>4166</v>
      </c>
      <c r="C1620" s="109">
        <v>45765</v>
      </c>
      <c r="D1620" s="108" t="s">
        <v>4167</v>
      </c>
      <c r="E1620" s="108" t="s">
        <v>14605</v>
      </c>
      <c r="F1620" s="108" t="s">
        <v>4164</v>
      </c>
      <c r="G1620" s="109">
        <v>46128</v>
      </c>
      <c r="H1620" s="108"/>
      <c r="I1620" s="108" t="s">
        <v>108</v>
      </c>
    </row>
    <row r="1621" spans="1:9" ht="27.6">
      <c r="A1621" s="108" t="s">
        <v>16151</v>
      </c>
      <c r="B1621" s="108" t="s">
        <v>4197</v>
      </c>
      <c r="C1621" s="109">
        <v>45749</v>
      </c>
      <c r="D1621" s="108" t="s">
        <v>4198</v>
      </c>
      <c r="E1621" s="108" t="s">
        <v>14605</v>
      </c>
      <c r="F1621" s="108" t="s">
        <v>4195</v>
      </c>
      <c r="G1621" s="109">
        <v>46139</v>
      </c>
      <c r="H1621" s="108"/>
      <c r="I1621" s="108" t="s">
        <v>108</v>
      </c>
    </row>
    <row r="1622" spans="1:9">
      <c r="A1622" s="108" t="s">
        <v>16151</v>
      </c>
      <c r="B1622" s="108" t="s">
        <v>1317</v>
      </c>
      <c r="C1622" s="109">
        <v>45756</v>
      </c>
      <c r="D1622" s="108" t="s">
        <v>1318</v>
      </c>
      <c r="E1622" s="108" t="s">
        <v>14605</v>
      </c>
      <c r="F1622" s="108" t="s">
        <v>1307</v>
      </c>
      <c r="G1622" s="109">
        <v>46109</v>
      </c>
      <c r="H1622" s="108"/>
      <c r="I1622" s="108" t="s">
        <v>108</v>
      </c>
    </row>
    <row r="1623" spans="1:9">
      <c r="A1623" s="108" t="s">
        <v>16151</v>
      </c>
      <c r="B1623" s="108" t="s">
        <v>1954</v>
      </c>
      <c r="C1623" s="109">
        <v>45742</v>
      </c>
      <c r="D1623" s="108" t="s">
        <v>1955</v>
      </c>
      <c r="E1623" s="108" t="s">
        <v>14605</v>
      </c>
      <c r="F1623" s="108" t="s">
        <v>1952</v>
      </c>
      <c r="G1623" s="109">
        <v>46122</v>
      </c>
      <c r="H1623" s="108"/>
      <c r="I1623" s="108" t="s">
        <v>108</v>
      </c>
    </row>
    <row r="1624" spans="1:9">
      <c r="A1624" s="108" t="s">
        <v>16151</v>
      </c>
      <c r="B1624" s="108" t="s">
        <v>4912</v>
      </c>
      <c r="C1624" s="109">
        <v>45687</v>
      </c>
      <c r="D1624" s="108" t="s">
        <v>4913</v>
      </c>
      <c r="E1624" s="108" t="s">
        <v>14605</v>
      </c>
      <c r="F1624" s="108" t="s">
        <v>4898</v>
      </c>
      <c r="G1624" s="109">
        <v>46033</v>
      </c>
      <c r="H1624" s="108"/>
      <c r="I1624" s="108" t="s">
        <v>108</v>
      </c>
    </row>
    <row r="1625" spans="1:9">
      <c r="A1625" s="108" t="s">
        <v>16151</v>
      </c>
      <c r="B1625" s="108" t="s">
        <v>4119</v>
      </c>
      <c r="C1625" s="109">
        <v>45772</v>
      </c>
      <c r="D1625" s="108" t="s">
        <v>4120</v>
      </c>
      <c r="E1625" s="108" t="s">
        <v>14605</v>
      </c>
      <c r="F1625" s="108" t="s">
        <v>4115</v>
      </c>
      <c r="G1625" s="109">
        <v>46131</v>
      </c>
      <c r="H1625" s="108"/>
      <c r="I1625" s="108" t="s">
        <v>108</v>
      </c>
    </row>
    <row r="1626" spans="1:9">
      <c r="A1626" s="108" t="s">
        <v>16151</v>
      </c>
      <c r="B1626" s="108" t="s">
        <v>1537</v>
      </c>
      <c r="C1626" s="109">
        <v>45758</v>
      </c>
      <c r="D1626" s="108" t="s">
        <v>1538</v>
      </c>
      <c r="E1626" s="108" t="s">
        <v>14605</v>
      </c>
      <c r="F1626" s="108" t="s">
        <v>1519</v>
      </c>
      <c r="G1626" s="109">
        <v>46130</v>
      </c>
      <c r="H1626" s="108"/>
      <c r="I1626" s="108" t="s">
        <v>108</v>
      </c>
    </row>
    <row r="1627" spans="1:9" ht="27.6">
      <c r="A1627" s="108" t="s">
        <v>16151</v>
      </c>
      <c r="B1627" s="108" t="s">
        <v>2108</v>
      </c>
      <c r="C1627" s="109">
        <v>45769</v>
      </c>
      <c r="D1627" s="108" t="s">
        <v>2109</v>
      </c>
      <c r="E1627" s="108" t="s">
        <v>14605</v>
      </c>
      <c r="F1627" s="108" t="s">
        <v>15193</v>
      </c>
      <c r="G1627" s="109">
        <v>46130</v>
      </c>
      <c r="H1627" s="108"/>
      <c r="I1627" s="108" t="s">
        <v>108</v>
      </c>
    </row>
    <row r="1628" spans="1:9" ht="27.6">
      <c r="A1628" s="108" t="s">
        <v>16151</v>
      </c>
      <c r="B1628" s="108" t="s">
        <v>2106</v>
      </c>
      <c r="C1628" s="109">
        <v>45788</v>
      </c>
      <c r="D1628" s="108" t="s">
        <v>2107</v>
      </c>
      <c r="E1628" s="108" t="s">
        <v>14605</v>
      </c>
      <c r="F1628" s="108" t="s">
        <v>15193</v>
      </c>
      <c r="G1628" s="109">
        <v>46130</v>
      </c>
      <c r="H1628" s="108"/>
      <c r="I1628" s="108" t="s">
        <v>108</v>
      </c>
    </row>
    <row r="1629" spans="1:9" ht="27.6">
      <c r="A1629" s="108" t="s">
        <v>16151</v>
      </c>
      <c r="B1629" s="108" t="s">
        <v>3189</v>
      </c>
      <c r="C1629" s="109">
        <v>45813</v>
      </c>
      <c r="D1629" s="108" t="s">
        <v>3190</v>
      </c>
      <c r="E1629" s="108" t="s">
        <v>14605</v>
      </c>
      <c r="F1629" s="108" t="s">
        <v>3182</v>
      </c>
      <c r="G1629" s="109">
        <v>46186</v>
      </c>
      <c r="H1629" s="108"/>
      <c r="I1629" s="108" t="s">
        <v>108</v>
      </c>
    </row>
    <row r="1630" spans="1:9">
      <c r="A1630" s="108" t="s">
        <v>16151</v>
      </c>
      <c r="B1630" s="108" t="s">
        <v>3088</v>
      </c>
      <c r="C1630" s="109">
        <v>45784</v>
      </c>
      <c r="D1630" s="108" t="s">
        <v>3089</v>
      </c>
      <c r="E1630" s="108" t="s">
        <v>14605</v>
      </c>
      <c r="F1630" s="108" t="s">
        <v>3056</v>
      </c>
      <c r="G1630" s="109">
        <v>46151</v>
      </c>
      <c r="H1630" s="108"/>
      <c r="I1630" s="108" t="s">
        <v>108</v>
      </c>
    </row>
    <row r="1631" spans="1:9" ht="27.6">
      <c r="A1631" s="108" t="s">
        <v>16151</v>
      </c>
      <c r="B1631" s="108" t="s">
        <v>16789</v>
      </c>
      <c r="C1631" s="109">
        <v>45856</v>
      </c>
      <c r="D1631" s="108" t="s">
        <v>16790</v>
      </c>
      <c r="E1631" s="108" t="s">
        <v>14605</v>
      </c>
      <c r="F1631" s="108" t="s">
        <v>15151</v>
      </c>
      <c r="G1631" s="109">
        <v>46244</v>
      </c>
      <c r="H1631" s="108"/>
      <c r="I1631" s="108" t="s">
        <v>108</v>
      </c>
    </row>
    <row r="1632" spans="1:9">
      <c r="A1632" s="108" t="s">
        <v>16151</v>
      </c>
      <c r="B1632" s="108" t="s">
        <v>405</v>
      </c>
      <c r="C1632" s="109">
        <v>45965</v>
      </c>
      <c r="D1632" s="108" t="s">
        <v>406</v>
      </c>
      <c r="E1632" s="108" t="s">
        <v>14605</v>
      </c>
      <c r="F1632" s="108" t="s">
        <v>334</v>
      </c>
      <c r="G1632" s="109">
        <v>46166</v>
      </c>
      <c r="H1632" s="108"/>
      <c r="I1632" s="108" t="s">
        <v>108</v>
      </c>
    </row>
    <row r="1633" spans="1:9" ht="27.6">
      <c r="A1633" s="108" t="s">
        <v>16151</v>
      </c>
      <c r="B1633" s="108" t="s">
        <v>1792</v>
      </c>
      <c r="C1633" s="109">
        <v>45890</v>
      </c>
      <c r="D1633" s="108" t="s">
        <v>1793</v>
      </c>
      <c r="E1633" s="108" t="s">
        <v>14605</v>
      </c>
      <c r="F1633" s="108" t="s">
        <v>15255</v>
      </c>
      <c r="G1633" s="109">
        <v>46248</v>
      </c>
      <c r="H1633" s="108"/>
      <c r="I1633" s="108" t="s">
        <v>108</v>
      </c>
    </row>
    <row r="1634" spans="1:9">
      <c r="A1634" s="108" t="s">
        <v>16151</v>
      </c>
      <c r="B1634" s="108" t="s">
        <v>4726</v>
      </c>
      <c r="C1634" s="109">
        <v>45902</v>
      </c>
      <c r="D1634" s="108" t="s">
        <v>4727</v>
      </c>
      <c r="E1634" s="108" t="s">
        <v>14605</v>
      </c>
      <c r="F1634" s="108" t="s">
        <v>4702</v>
      </c>
      <c r="G1634" s="109">
        <v>46166</v>
      </c>
      <c r="H1634" s="108"/>
      <c r="I1634" s="108" t="s">
        <v>108</v>
      </c>
    </row>
    <row r="1635" spans="1:9">
      <c r="A1635" s="108" t="s">
        <v>16151</v>
      </c>
      <c r="B1635" s="108" t="s">
        <v>2503</v>
      </c>
      <c r="C1635" s="109">
        <v>45755</v>
      </c>
      <c r="D1635" s="108" t="s">
        <v>2504</v>
      </c>
      <c r="E1635" s="108" t="s">
        <v>14605</v>
      </c>
      <c r="F1635" s="108" t="s">
        <v>2475</v>
      </c>
      <c r="G1635" s="109">
        <v>46128</v>
      </c>
      <c r="H1635" s="108"/>
      <c r="I1635" s="108" t="s">
        <v>108</v>
      </c>
    </row>
    <row r="1636" spans="1:9">
      <c r="A1636" s="108" t="s">
        <v>16151</v>
      </c>
      <c r="B1636" s="108" t="s">
        <v>4724</v>
      </c>
      <c r="C1636" s="109">
        <v>45916</v>
      </c>
      <c r="D1636" s="108" t="s">
        <v>4725</v>
      </c>
      <c r="E1636" s="108" t="s">
        <v>14605</v>
      </c>
      <c r="F1636" s="108" t="s">
        <v>4702</v>
      </c>
      <c r="G1636" s="109">
        <v>46139</v>
      </c>
      <c r="H1636" s="108"/>
      <c r="I1636" s="108" t="s">
        <v>108</v>
      </c>
    </row>
    <row r="1637" spans="1:9">
      <c r="A1637" s="108" t="s">
        <v>16151</v>
      </c>
      <c r="B1637" s="108" t="s">
        <v>1647</v>
      </c>
      <c r="C1637" s="109">
        <v>45877</v>
      </c>
      <c r="D1637" s="108" t="s">
        <v>1648</v>
      </c>
      <c r="E1637" s="108" t="s">
        <v>14605</v>
      </c>
      <c r="F1637" s="108" t="s">
        <v>15243</v>
      </c>
      <c r="G1637" s="109">
        <v>46228</v>
      </c>
      <c r="H1637" s="108"/>
      <c r="I1637" s="108" t="s">
        <v>108</v>
      </c>
    </row>
    <row r="1638" spans="1:9">
      <c r="A1638" s="108" t="s">
        <v>16151</v>
      </c>
      <c r="B1638" s="108" t="s">
        <v>186</v>
      </c>
      <c r="C1638" s="109">
        <v>45817</v>
      </c>
      <c r="D1638" s="108" t="s">
        <v>188</v>
      </c>
      <c r="E1638" s="108" t="s">
        <v>14605</v>
      </c>
      <c r="F1638" s="108" t="s">
        <v>187</v>
      </c>
      <c r="G1638" s="109">
        <v>46173</v>
      </c>
      <c r="H1638" s="108"/>
      <c r="I1638" s="108" t="s">
        <v>108</v>
      </c>
    </row>
    <row r="1639" spans="1:9">
      <c r="A1639" s="108" t="s">
        <v>16151</v>
      </c>
      <c r="B1639" s="108" t="s">
        <v>3558</v>
      </c>
      <c r="C1639" s="109">
        <v>45808</v>
      </c>
      <c r="D1639" s="108" t="s">
        <v>3559</v>
      </c>
      <c r="E1639" s="108" t="s">
        <v>14605</v>
      </c>
      <c r="F1639" s="108" t="s">
        <v>15251</v>
      </c>
      <c r="G1639" s="109">
        <v>46173</v>
      </c>
      <c r="H1639" s="108"/>
      <c r="I1639" s="108" t="s">
        <v>108</v>
      </c>
    </row>
    <row r="1640" spans="1:9">
      <c r="A1640" s="108" t="s">
        <v>16151</v>
      </c>
      <c r="B1640" s="108" t="s">
        <v>4556</v>
      </c>
      <c r="C1640" s="109">
        <v>45881</v>
      </c>
      <c r="D1640" s="108" t="s">
        <v>4557</v>
      </c>
      <c r="E1640" s="108" t="s">
        <v>14605</v>
      </c>
      <c r="F1640" s="108" t="s">
        <v>4546</v>
      </c>
      <c r="G1640" s="109">
        <v>46185</v>
      </c>
      <c r="H1640" s="108"/>
      <c r="I1640" s="108" t="s">
        <v>108</v>
      </c>
    </row>
    <row r="1641" spans="1:9" ht="27.6">
      <c r="A1641" s="108" t="s">
        <v>16151</v>
      </c>
      <c r="B1641" s="108" t="s">
        <v>1610</v>
      </c>
      <c r="C1641" s="109">
        <v>45799</v>
      </c>
      <c r="D1641" s="108" t="s">
        <v>1611</v>
      </c>
      <c r="E1641" s="108" t="s">
        <v>14605</v>
      </c>
      <c r="F1641" s="108" t="s">
        <v>1606</v>
      </c>
      <c r="G1641" s="109">
        <v>46176</v>
      </c>
      <c r="H1641" s="108"/>
      <c r="I1641" s="108" t="s">
        <v>108</v>
      </c>
    </row>
    <row r="1642" spans="1:9" ht="27.6">
      <c r="A1642" s="108" t="s">
        <v>16151</v>
      </c>
      <c r="B1642" s="108" t="s">
        <v>1608</v>
      </c>
      <c r="C1642" s="109">
        <v>45797</v>
      </c>
      <c r="D1642" s="108" t="s">
        <v>1609</v>
      </c>
      <c r="E1642" s="108" t="s">
        <v>14605</v>
      </c>
      <c r="F1642" s="108" t="s">
        <v>1606</v>
      </c>
      <c r="G1642" s="109">
        <v>46176</v>
      </c>
      <c r="H1642" s="108"/>
      <c r="I1642" s="108" t="s">
        <v>108</v>
      </c>
    </row>
    <row r="1643" spans="1:9">
      <c r="A1643" s="108" t="s">
        <v>16151</v>
      </c>
      <c r="B1643" s="108" t="s">
        <v>232</v>
      </c>
      <c r="C1643" s="109">
        <v>45834</v>
      </c>
      <c r="D1643" s="108" t="s">
        <v>233</v>
      </c>
      <c r="E1643" s="108" t="s">
        <v>14605</v>
      </c>
      <c r="F1643" s="108" t="s">
        <v>220</v>
      </c>
      <c r="G1643" s="109">
        <v>46192</v>
      </c>
      <c r="H1643" s="108"/>
      <c r="I1643" s="108" t="s">
        <v>108</v>
      </c>
    </row>
    <row r="1644" spans="1:9">
      <c r="A1644" s="108" t="s">
        <v>16151</v>
      </c>
      <c r="B1644" s="108" t="s">
        <v>2526</v>
      </c>
      <c r="C1644" s="109">
        <v>45929</v>
      </c>
      <c r="D1644" s="108" t="s">
        <v>2527</v>
      </c>
      <c r="E1644" s="108" t="s">
        <v>14605</v>
      </c>
      <c r="F1644" s="108" t="s">
        <v>2516</v>
      </c>
      <c r="G1644" s="109">
        <v>46232</v>
      </c>
      <c r="H1644" s="108"/>
      <c r="I1644" s="108" t="s">
        <v>108</v>
      </c>
    </row>
    <row r="1645" spans="1:9">
      <c r="A1645" s="108" t="s">
        <v>16151</v>
      </c>
      <c r="B1645" s="108" t="s">
        <v>2170</v>
      </c>
      <c r="C1645" s="109">
        <v>45888</v>
      </c>
      <c r="D1645" s="108" t="s">
        <v>2172</v>
      </c>
      <c r="E1645" s="108" t="s">
        <v>14605</v>
      </c>
      <c r="F1645" s="108" t="s">
        <v>2171</v>
      </c>
      <c r="G1645" s="109">
        <v>46264</v>
      </c>
      <c r="H1645" s="108"/>
      <c r="I1645" s="108" t="s">
        <v>108</v>
      </c>
    </row>
    <row r="1646" spans="1:9">
      <c r="A1646" s="108" t="s">
        <v>16151</v>
      </c>
      <c r="B1646" s="108" t="s">
        <v>1324</v>
      </c>
      <c r="C1646" s="109">
        <v>45859</v>
      </c>
      <c r="D1646" s="108" t="s">
        <v>1325</v>
      </c>
      <c r="E1646" s="108" t="s">
        <v>14605</v>
      </c>
      <c r="F1646" s="108" t="s">
        <v>1322</v>
      </c>
      <c r="G1646" s="109">
        <v>46229</v>
      </c>
      <c r="H1646" s="108"/>
      <c r="I1646" s="108" t="s">
        <v>108</v>
      </c>
    </row>
    <row r="1647" spans="1:9">
      <c r="A1647" s="108" t="s">
        <v>16151</v>
      </c>
      <c r="B1647" s="108" t="s">
        <v>4049</v>
      </c>
      <c r="C1647" s="109">
        <v>45908</v>
      </c>
      <c r="D1647" s="108" t="s">
        <v>4051</v>
      </c>
      <c r="E1647" s="108" t="s">
        <v>14605</v>
      </c>
      <c r="F1647" s="108" t="s">
        <v>4050</v>
      </c>
      <c r="G1647" s="109">
        <v>46281</v>
      </c>
      <c r="H1647" s="108"/>
      <c r="I1647" s="108" t="s">
        <v>108</v>
      </c>
    </row>
    <row r="1648" spans="1:9">
      <c r="A1648" s="108" t="s">
        <v>16151</v>
      </c>
      <c r="B1648" s="108" t="s">
        <v>3584</v>
      </c>
      <c r="C1648" s="109">
        <v>45968</v>
      </c>
      <c r="D1648" s="108" t="s">
        <v>3585</v>
      </c>
      <c r="E1648" s="108" t="s">
        <v>14605</v>
      </c>
      <c r="F1648" s="108" t="s">
        <v>15303</v>
      </c>
      <c r="G1648" s="109">
        <v>46281</v>
      </c>
      <c r="H1648" s="108"/>
      <c r="I1648" s="108" t="s">
        <v>108</v>
      </c>
    </row>
    <row r="1649" spans="1:9" ht="27.6">
      <c r="A1649" s="108" t="s">
        <v>16151</v>
      </c>
      <c r="B1649" s="108" t="s">
        <v>1627</v>
      </c>
      <c r="C1649" s="109">
        <v>45854</v>
      </c>
      <c r="D1649" s="108" t="s">
        <v>1628</v>
      </c>
      <c r="E1649" s="108" t="s">
        <v>14605</v>
      </c>
      <c r="F1649" s="108" t="s">
        <v>1615</v>
      </c>
      <c r="G1649" s="109">
        <v>46226</v>
      </c>
      <c r="H1649" s="108"/>
      <c r="I1649" s="108" t="s">
        <v>108</v>
      </c>
    </row>
    <row r="1650" spans="1:9" ht="27.6">
      <c r="A1650" s="108" t="s">
        <v>16151</v>
      </c>
      <c r="B1650" s="108" t="s">
        <v>1994</v>
      </c>
      <c r="C1650" s="109">
        <v>45873</v>
      </c>
      <c r="D1650" s="108" t="s">
        <v>1995</v>
      </c>
      <c r="E1650" s="108" t="s">
        <v>14605</v>
      </c>
      <c r="F1650" s="108" t="s">
        <v>15284</v>
      </c>
      <c r="G1650" s="109">
        <v>46250</v>
      </c>
      <c r="H1650" s="108"/>
      <c r="I1650" s="108" t="s">
        <v>108</v>
      </c>
    </row>
    <row r="1651" spans="1:9">
      <c r="A1651" s="108" t="s">
        <v>16151</v>
      </c>
      <c r="B1651" s="108" t="s">
        <v>2190</v>
      </c>
      <c r="C1651" s="109">
        <v>45896</v>
      </c>
      <c r="D1651" s="108" t="s">
        <v>2191</v>
      </c>
      <c r="E1651" s="108" t="s">
        <v>14605</v>
      </c>
      <c r="F1651" s="108" t="s">
        <v>2174</v>
      </c>
      <c r="G1651" s="109">
        <v>46264</v>
      </c>
      <c r="H1651" s="108"/>
      <c r="I1651" s="108" t="s">
        <v>108</v>
      </c>
    </row>
    <row r="1652" spans="1:9">
      <c r="A1652" s="108" t="s">
        <v>16151</v>
      </c>
      <c r="B1652" s="108" t="s">
        <v>2188</v>
      </c>
      <c r="C1652" s="109">
        <v>46114</v>
      </c>
      <c r="D1652" s="108" t="s">
        <v>2189</v>
      </c>
      <c r="E1652" s="108" t="s">
        <v>14605</v>
      </c>
      <c r="F1652" s="108" t="s">
        <v>2174</v>
      </c>
      <c r="G1652" s="109">
        <v>46263</v>
      </c>
      <c r="H1652" s="108"/>
      <c r="I1652" s="108" t="s">
        <v>108</v>
      </c>
    </row>
    <row r="1653" spans="1:9">
      <c r="A1653" s="108" t="s">
        <v>16151</v>
      </c>
      <c r="B1653" s="108" t="s">
        <v>16791</v>
      </c>
      <c r="C1653" s="109">
        <v>45840</v>
      </c>
      <c r="D1653" s="108" t="s">
        <v>16792</v>
      </c>
      <c r="E1653" s="108" t="s">
        <v>14605</v>
      </c>
      <c r="F1653" s="108" t="s">
        <v>15220</v>
      </c>
      <c r="G1653" s="109">
        <v>46141</v>
      </c>
      <c r="H1653" s="108"/>
      <c r="I1653" s="108" t="s">
        <v>108</v>
      </c>
    </row>
    <row r="1654" spans="1:9">
      <c r="A1654" s="108" t="s">
        <v>16151</v>
      </c>
      <c r="B1654" s="108" t="s">
        <v>16793</v>
      </c>
      <c r="C1654" s="109">
        <v>46121</v>
      </c>
      <c r="D1654" s="108" t="s">
        <v>16794</v>
      </c>
      <c r="E1654" s="108" t="s">
        <v>14605</v>
      </c>
      <c r="F1654" s="108" t="s">
        <v>15390</v>
      </c>
      <c r="G1654" s="109">
        <v>46134</v>
      </c>
      <c r="H1654" s="108"/>
      <c r="I1654" s="108" t="s">
        <v>108</v>
      </c>
    </row>
    <row r="1655" spans="1:9">
      <c r="A1655" s="108" t="s">
        <v>16151</v>
      </c>
      <c r="B1655" s="108" t="s">
        <v>16795</v>
      </c>
      <c r="C1655" s="109">
        <v>45790</v>
      </c>
      <c r="D1655" s="108" t="s">
        <v>16796</v>
      </c>
      <c r="E1655" s="108" t="s">
        <v>14605</v>
      </c>
      <c r="F1655" s="108" t="s">
        <v>15149</v>
      </c>
      <c r="G1655" s="109">
        <v>46136</v>
      </c>
      <c r="H1655" s="108"/>
      <c r="I1655" s="108" t="s">
        <v>108</v>
      </c>
    </row>
    <row r="1656" spans="1:9">
      <c r="A1656" s="108" t="s">
        <v>16151</v>
      </c>
      <c r="B1656" s="108" t="s">
        <v>16797</v>
      </c>
      <c r="C1656" s="109">
        <v>45798</v>
      </c>
      <c r="D1656" s="108" t="s">
        <v>16798</v>
      </c>
      <c r="E1656" s="108" t="s">
        <v>14605</v>
      </c>
      <c r="F1656" s="108" t="s">
        <v>15199</v>
      </c>
      <c r="G1656" s="109">
        <v>46177</v>
      </c>
      <c r="H1656" s="108"/>
      <c r="I1656" s="108" t="s">
        <v>108</v>
      </c>
    </row>
    <row r="1657" spans="1:9">
      <c r="A1657" s="108" t="s">
        <v>16151</v>
      </c>
      <c r="B1657" s="108" t="s">
        <v>16799</v>
      </c>
      <c r="C1657" s="109">
        <v>45778</v>
      </c>
      <c r="D1657" s="108" t="s">
        <v>16800</v>
      </c>
      <c r="E1657" s="108" t="s">
        <v>14605</v>
      </c>
      <c r="F1657" s="108" t="s">
        <v>15201</v>
      </c>
      <c r="G1657" s="109">
        <v>46159</v>
      </c>
      <c r="H1657" s="108"/>
      <c r="I1657" s="108" t="s">
        <v>108</v>
      </c>
    </row>
    <row r="1658" spans="1:9" ht="27.6">
      <c r="A1658" s="108" t="s">
        <v>16151</v>
      </c>
      <c r="B1658" s="108" t="s">
        <v>16801</v>
      </c>
      <c r="C1658" s="109">
        <v>45832</v>
      </c>
      <c r="D1658" s="108" t="s">
        <v>16802</v>
      </c>
      <c r="E1658" s="108" t="s">
        <v>14605</v>
      </c>
      <c r="F1658" s="108" t="s">
        <v>16803</v>
      </c>
      <c r="G1658" s="109">
        <v>46201</v>
      </c>
      <c r="H1658" s="108"/>
      <c r="I1658" s="108" t="s">
        <v>108</v>
      </c>
    </row>
    <row r="1659" spans="1:9">
      <c r="A1659" s="108" t="s">
        <v>16151</v>
      </c>
      <c r="B1659" s="108" t="s">
        <v>4512</v>
      </c>
      <c r="C1659" s="109">
        <v>45777</v>
      </c>
      <c r="D1659" s="108" t="s">
        <v>4513</v>
      </c>
      <c r="E1659" s="108" t="s">
        <v>14605</v>
      </c>
      <c r="F1659" s="108" t="s">
        <v>4510</v>
      </c>
      <c r="G1659" s="109">
        <v>46138</v>
      </c>
      <c r="H1659" s="108"/>
      <c r="I1659" s="108" t="s">
        <v>108</v>
      </c>
    </row>
    <row r="1660" spans="1:9">
      <c r="A1660" s="108" t="s">
        <v>16151</v>
      </c>
      <c r="B1660" s="108" t="s">
        <v>16804</v>
      </c>
      <c r="C1660" s="109">
        <v>45785</v>
      </c>
      <c r="D1660" s="108" t="s">
        <v>16805</v>
      </c>
      <c r="E1660" s="108" t="s">
        <v>14605</v>
      </c>
      <c r="F1660" s="108" t="s">
        <v>15983</v>
      </c>
      <c r="G1660" s="109">
        <v>46166</v>
      </c>
      <c r="H1660" s="108"/>
      <c r="I1660" s="108" t="s">
        <v>108</v>
      </c>
    </row>
    <row r="1661" spans="1:9">
      <c r="A1661" s="108" t="s">
        <v>16151</v>
      </c>
      <c r="B1661" s="108" t="s">
        <v>16806</v>
      </c>
      <c r="C1661" s="109">
        <v>45792</v>
      </c>
      <c r="D1661" s="108" t="s">
        <v>16807</v>
      </c>
      <c r="E1661" s="108" t="s">
        <v>14605</v>
      </c>
      <c r="F1661" s="108" t="s">
        <v>15362</v>
      </c>
      <c r="G1661" s="109">
        <v>46170</v>
      </c>
      <c r="H1661" s="108"/>
      <c r="I1661" s="108" t="s">
        <v>108</v>
      </c>
    </row>
    <row r="1662" spans="1:9">
      <c r="A1662" s="108" t="s">
        <v>16151</v>
      </c>
      <c r="B1662" s="108" t="s">
        <v>16808</v>
      </c>
      <c r="C1662" s="109">
        <v>45824</v>
      </c>
      <c r="D1662" s="108" t="s">
        <v>16809</v>
      </c>
      <c r="E1662" s="108" t="s">
        <v>14605</v>
      </c>
      <c r="F1662" s="108" t="s">
        <v>15097</v>
      </c>
      <c r="G1662" s="109">
        <v>46187</v>
      </c>
      <c r="H1662" s="108"/>
      <c r="I1662" s="108" t="s">
        <v>108</v>
      </c>
    </row>
    <row r="1663" spans="1:9">
      <c r="A1663" s="108" t="s">
        <v>16151</v>
      </c>
      <c r="B1663" s="108" t="s">
        <v>16810</v>
      </c>
      <c r="C1663" s="109">
        <v>45868</v>
      </c>
      <c r="D1663" s="108" t="s">
        <v>16811</v>
      </c>
      <c r="E1663" s="108" t="s">
        <v>14605</v>
      </c>
      <c r="F1663" s="108" t="s">
        <v>15280</v>
      </c>
      <c r="G1663" s="109">
        <v>46221</v>
      </c>
      <c r="H1663" s="108"/>
      <c r="I1663" s="108" t="s">
        <v>108</v>
      </c>
    </row>
    <row r="1664" spans="1:9" ht="27.6">
      <c r="A1664" s="108" t="s">
        <v>16151</v>
      </c>
      <c r="B1664" s="108" t="s">
        <v>16812</v>
      </c>
      <c r="C1664" s="109">
        <v>45853</v>
      </c>
      <c r="D1664" s="108" t="s">
        <v>16813</v>
      </c>
      <c r="E1664" s="108" t="s">
        <v>14605</v>
      </c>
      <c r="F1664" s="108" t="s">
        <v>15295</v>
      </c>
      <c r="G1664" s="109">
        <v>46230</v>
      </c>
      <c r="H1664" s="108"/>
      <c r="I1664" s="108" t="s">
        <v>108</v>
      </c>
    </row>
    <row r="1665" spans="1:9">
      <c r="A1665" s="108" t="s">
        <v>16151</v>
      </c>
      <c r="B1665" s="108" t="s">
        <v>16814</v>
      </c>
      <c r="C1665" s="109">
        <v>45868</v>
      </c>
      <c r="D1665" s="108" t="s">
        <v>16815</v>
      </c>
      <c r="E1665" s="108" t="s">
        <v>14605</v>
      </c>
      <c r="F1665" s="108" t="s">
        <v>15297</v>
      </c>
      <c r="G1665" s="109">
        <v>46231</v>
      </c>
      <c r="H1665" s="108"/>
      <c r="I1665" s="108" t="s">
        <v>108</v>
      </c>
    </row>
    <row r="1666" spans="1:9">
      <c r="A1666" s="108" t="s">
        <v>16151</v>
      </c>
      <c r="B1666" s="108" t="s">
        <v>16816</v>
      </c>
      <c r="C1666" s="109">
        <v>45748</v>
      </c>
      <c r="D1666" s="108" t="s">
        <v>16817</v>
      </c>
      <c r="E1666" s="108" t="s">
        <v>14605</v>
      </c>
      <c r="F1666" s="108" t="s">
        <v>15223</v>
      </c>
      <c r="G1666" s="109">
        <v>46112</v>
      </c>
      <c r="H1666" s="108"/>
      <c r="I1666" s="108" t="s">
        <v>108</v>
      </c>
    </row>
    <row r="1667" spans="1:9" ht="27.6">
      <c r="A1667" s="108" t="s">
        <v>16151</v>
      </c>
      <c r="B1667" s="108" t="s">
        <v>16818</v>
      </c>
      <c r="C1667" s="109">
        <v>45749</v>
      </c>
      <c r="D1667" s="108" t="s">
        <v>16819</v>
      </c>
      <c r="E1667" s="108" t="s">
        <v>14605</v>
      </c>
      <c r="F1667" s="108" t="s">
        <v>15225</v>
      </c>
      <c r="G1667" s="109">
        <v>46113</v>
      </c>
      <c r="H1667" s="108"/>
      <c r="I1667" s="108" t="s">
        <v>108</v>
      </c>
    </row>
    <row r="1668" spans="1:9">
      <c r="A1668" s="108" t="s">
        <v>16151</v>
      </c>
      <c r="B1668" s="108" t="s">
        <v>16820</v>
      </c>
      <c r="C1668" s="109">
        <v>45772</v>
      </c>
      <c r="D1668" s="108" t="s">
        <v>16821</v>
      </c>
      <c r="E1668" s="108" t="s">
        <v>14605</v>
      </c>
      <c r="F1668" s="108" t="s">
        <v>16083</v>
      </c>
      <c r="G1668" s="109">
        <v>46136</v>
      </c>
      <c r="H1668" s="108"/>
      <c r="I1668" s="108" t="s">
        <v>108</v>
      </c>
    </row>
    <row r="1669" spans="1:9" ht="27.6">
      <c r="A1669" s="108" t="s">
        <v>16151</v>
      </c>
      <c r="B1669" s="108" t="s">
        <v>16822</v>
      </c>
      <c r="C1669" s="109">
        <v>45839</v>
      </c>
      <c r="D1669" s="108" t="s">
        <v>16823</v>
      </c>
      <c r="E1669" s="108" t="s">
        <v>14605</v>
      </c>
      <c r="F1669" s="108" t="s">
        <v>15231</v>
      </c>
      <c r="G1669" s="109">
        <v>46204</v>
      </c>
      <c r="H1669" s="108"/>
      <c r="I1669" s="108" t="s">
        <v>108</v>
      </c>
    </row>
    <row r="1670" spans="1:9" ht="27.6">
      <c r="A1670" s="108" t="s">
        <v>16151</v>
      </c>
      <c r="B1670" s="108" t="s">
        <v>16824</v>
      </c>
      <c r="C1670" s="109">
        <v>45819</v>
      </c>
      <c r="D1670" s="108" t="s">
        <v>16825</v>
      </c>
      <c r="E1670" s="108" t="s">
        <v>14605</v>
      </c>
      <c r="F1670" s="108" t="s">
        <v>15269</v>
      </c>
      <c r="G1670" s="109">
        <v>46183</v>
      </c>
      <c r="H1670" s="108"/>
      <c r="I1670" s="108" t="s">
        <v>108</v>
      </c>
    </row>
    <row r="1671" spans="1:9" ht="27.6">
      <c r="A1671" s="108" t="s">
        <v>103</v>
      </c>
      <c r="B1671" s="108" t="s">
        <v>643</v>
      </c>
      <c r="C1671" s="109">
        <v>45757</v>
      </c>
      <c r="D1671" s="108" t="s">
        <v>644</v>
      </c>
      <c r="E1671" s="108" t="s">
        <v>14605</v>
      </c>
      <c r="F1671" s="108" t="s">
        <v>634</v>
      </c>
      <c r="G1671" s="109">
        <v>46130</v>
      </c>
      <c r="H1671" s="108"/>
      <c r="I1671" s="108" t="s">
        <v>108</v>
      </c>
    </row>
    <row r="1672" spans="1:9" ht="27.6">
      <c r="A1672" s="108" t="s">
        <v>103</v>
      </c>
      <c r="B1672" s="108" t="s">
        <v>2059</v>
      </c>
      <c r="C1672" s="109">
        <v>45819</v>
      </c>
      <c r="D1672" s="108" t="s">
        <v>2060</v>
      </c>
      <c r="E1672" s="108" t="s">
        <v>14605</v>
      </c>
      <c r="F1672" s="108" t="s">
        <v>2058</v>
      </c>
      <c r="G1672" s="109">
        <v>46158</v>
      </c>
      <c r="H1672" s="108"/>
      <c r="I1672" s="108" t="s">
        <v>108</v>
      </c>
    </row>
    <row r="1673" spans="1:9" ht="27.6">
      <c r="A1673" s="108" t="s">
        <v>103</v>
      </c>
      <c r="B1673" s="108" t="s">
        <v>2945</v>
      </c>
      <c r="C1673" s="109">
        <v>45666</v>
      </c>
      <c r="D1673" s="108" t="s">
        <v>2947</v>
      </c>
      <c r="E1673" s="108" t="s">
        <v>14605</v>
      </c>
      <c r="F1673" s="108" t="s">
        <v>2946</v>
      </c>
      <c r="G1673" s="109">
        <v>46041</v>
      </c>
      <c r="H1673" s="108"/>
      <c r="I1673" s="108" t="s">
        <v>108</v>
      </c>
    </row>
    <row r="1674" spans="1:9" ht="27.6">
      <c r="A1674" s="108" t="s">
        <v>103</v>
      </c>
      <c r="B1674" s="108" t="s">
        <v>16826</v>
      </c>
      <c r="C1674" s="109">
        <v>45982</v>
      </c>
      <c r="D1674" s="108" t="s">
        <v>16827</v>
      </c>
      <c r="E1674" s="108" t="s">
        <v>14605</v>
      </c>
      <c r="F1674" s="108" t="s">
        <v>16828</v>
      </c>
      <c r="G1674" s="109">
        <v>46197</v>
      </c>
      <c r="H1674" s="108"/>
      <c r="I1674" s="108" t="s">
        <v>108</v>
      </c>
    </row>
    <row r="1675" spans="1:9" ht="27.6">
      <c r="A1675" s="108" t="s">
        <v>103</v>
      </c>
      <c r="B1675" s="108" t="s">
        <v>16829</v>
      </c>
      <c r="C1675" s="109">
        <v>45825</v>
      </c>
      <c r="D1675" s="108" t="s">
        <v>16830</v>
      </c>
      <c r="E1675" s="108" t="s">
        <v>14605</v>
      </c>
      <c r="F1675" s="108" t="s">
        <v>16831</v>
      </c>
      <c r="G1675" s="109">
        <v>46189</v>
      </c>
      <c r="H1675" s="108"/>
      <c r="I1675" s="108" t="s">
        <v>108</v>
      </c>
    </row>
    <row r="1676" spans="1:9">
      <c r="A1676" s="108" t="s">
        <v>121</v>
      </c>
      <c r="B1676" s="108" t="s">
        <v>16832</v>
      </c>
      <c r="C1676" s="109">
        <v>45856</v>
      </c>
      <c r="D1676" s="108" t="s">
        <v>16833</v>
      </c>
      <c r="E1676" s="108" t="s">
        <v>14605</v>
      </c>
      <c r="F1676" s="108" t="s">
        <v>15290</v>
      </c>
      <c r="G1676" s="109">
        <v>46228</v>
      </c>
      <c r="H1676" s="108"/>
      <c r="I1676" s="108" t="s">
        <v>108</v>
      </c>
    </row>
    <row r="1677" spans="1:9">
      <c r="A1677" s="108" t="s">
        <v>121</v>
      </c>
      <c r="B1677" s="108" t="s">
        <v>16834</v>
      </c>
      <c r="C1677" s="109">
        <v>45859</v>
      </c>
      <c r="D1677" s="108" t="s">
        <v>16835</v>
      </c>
      <c r="E1677" s="108" t="s">
        <v>14605</v>
      </c>
      <c r="F1677" s="108" t="s">
        <v>15290</v>
      </c>
      <c r="G1677" s="109">
        <v>46228</v>
      </c>
      <c r="H1677" s="108"/>
      <c r="I1677" s="108" t="s">
        <v>108</v>
      </c>
    </row>
    <row r="1678" spans="1:9">
      <c r="A1678" s="108" t="s">
        <v>121</v>
      </c>
      <c r="B1678" s="108" t="s">
        <v>4574</v>
      </c>
      <c r="C1678" s="109">
        <v>45860</v>
      </c>
      <c r="D1678" s="108" t="s">
        <v>4575</v>
      </c>
      <c r="E1678" s="108" t="s">
        <v>14605</v>
      </c>
      <c r="F1678" s="108" t="s">
        <v>4559</v>
      </c>
      <c r="G1678" s="109">
        <v>46229</v>
      </c>
      <c r="H1678" s="108"/>
      <c r="I1678" s="108" t="s">
        <v>108</v>
      </c>
    </row>
    <row r="1679" spans="1:9">
      <c r="A1679" s="108" t="s">
        <v>121</v>
      </c>
      <c r="B1679" s="108" t="s">
        <v>1753</v>
      </c>
      <c r="C1679" s="109">
        <v>45867</v>
      </c>
      <c r="D1679" s="108" t="s">
        <v>1754</v>
      </c>
      <c r="E1679" s="108" t="s">
        <v>14605</v>
      </c>
      <c r="F1679" s="108" t="s">
        <v>1745</v>
      </c>
      <c r="G1679" s="109">
        <v>46227</v>
      </c>
      <c r="H1679" s="108"/>
      <c r="I1679" s="108" t="s">
        <v>108</v>
      </c>
    </row>
    <row r="1680" spans="1:9">
      <c r="A1680" s="108" t="s">
        <v>121</v>
      </c>
      <c r="B1680" s="108" t="s">
        <v>3826</v>
      </c>
      <c r="C1680" s="109">
        <v>45841</v>
      </c>
      <c r="D1680" s="108" t="s">
        <v>3827</v>
      </c>
      <c r="E1680" s="108" t="s">
        <v>14605</v>
      </c>
      <c r="F1680" s="108" t="s">
        <v>3817</v>
      </c>
      <c r="G1680" s="109">
        <v>46227</v>
      </c>
      <c r="H1680" s="108"/>
      <c r="I1680" s="108" t="s">
        <v>108</v>
      </c>
    </row>
    <row r="1681" spans="1:9">
      <c r="A1681" s="108" t="s">
        <v>121</v>
      </c>
      <c r="B1681" s="108" t="s">
        <v>1807</v>
      </c>
      <c r="C1681" s="109">
        <v>46133</v>
      </c>
      <c r="D1681" s="108" t="s">
        <v>1809</v>
      </c>
      <c r="E1681" s="108" t="s">
        <v>14605</v>
      </c>
      <c r="F1681" s="108" t="s">
        <v>1808</v>
      </c>
      <c r="G1681" s="109">
        <v>46226</v>
      </c>
      <c r="H1681" s="108"/>
      <c r="I1681" s="108" t="s">
        <v>108</v>
      </c>
    </row>
    <row r="1682" spans="1:9" ht="27.6">
      <c r="A1682" s="108" t="s">
        <v>121</v>
      </c>
      <c r="B1682" s="108" t="s">
        <v>403</v>
      </c>
      <c r="C1682" s="109">
        <v>45884</v>
      </c>
      <c r="D1682" s="108" t="s">
        <v>404</v>
      </c>
      <c r="E1682" s="108" t="s">
        <v>14605</v>
      </c>
      <c r="F1682" s="108" t="s">
        <v>394</v>
      </c>
      <c r="G1682" s="109">
        <v>46264</v>
      </c>
      <c r="H1682" s="108"/>
      <c r="I1682" s="108" t="s">
        <v>108</v>
      </c>
    </row>
    <row r="1683" spans="1:9" ht="27.6">
      <c r="A1683" s="108" t="s">
        <v>121</v>
      </c>
      <c r="B1683" s="108" t="s">
        <v>1685</v>
      </c>
      <c r="C1683" s="109">
        <v>45922</v>
      </c>
      <c r="D1683" s="108" t="s">
        <v>1686</v>
      </c>
      <c r="E1683" s="108" t="s">
        <v>14605</v>
      </c>
      <c r="F1683" s="108" t="s">
        <v>1681</v>
      </c>
      <c r="G1683" s="109">
        <v>46263</v>
      </c>
      <c r="H1683" s="108"/>
      <c r="I1683" s="108" t="s">
        <v>108</v>
      </c>
    </row>
    <row r="1684" spans="1:9">
      <c r="A1684" s="108" t="s">
        <v>121</v>
      </c>
      <c r="B1684" s="108" t="s">
        <v>16836</v>
      </c>
      <c r="C1684" s="109">
        <v>45912</v>
      </c>
      <c r="D1684" s="108" t="s">
        <v>16837</v>
      </c>
      <c r="E1684" s="108" t="s">
        <v>14605</v>
      </c>
      <c r="F1684" s="108" t="s">
        <v>16410</v>
      </c>
      <c r="G1684" s="109">
        <v>46228</v>
      </c>
      <c r="H1684" s="108"/>
      <c r="I1684" s="108" t="s">
        <v>108</v>
      </c>
    </row>
    <row r="1685" spans="1:9">
      <c r="A1685" s="108" t="s">
        <v>121</v>
      </c>
      <c r="B1685" s="108" t="s">
        <v>16838</v>
      </c>
      <c r="C1685" s="109">
        <v>45889</v>
      </c>
      <c r="D1685" s="108" t="s">
        <v>16839</v>
      </c>
      <c r="E1685" s="108" t="s">
        <v>15275</v>
      </c>
      <c r="F1685" s="108" t="s">
        <v>15942</v>
      </c>
      <c r="G1685" s="109">
        <v>46223</v>
      </c>
      <c r="H1685" s="108"/>
      <c r="I1685" s="108" t="s">
        <v>108</v>
      </c>
    </row>
    <row r="1686" spans="1:9" ht="27.6">
      <c r="A1686" s="108" t="s">
        <v>121</v>
      </c>
      <c r="B1686" s="108" t="s">
        <v>16840</v>
      </c>
      <c r="C1686" s="109">
        <v>45989</v>
      </c>
      <c r="D1686" s="108" t="s">
        <v>16841</v>
      </c>
      <c r="E1686" s="108" t="s">
        <v>14605</v>
      </c>
      <c r="F1686" s="108" t="s">
        <v>15082</v>
      </c>
      <c r="G1686" s="109">
        <v>46232</v>
      </c>
      <c r="H1686" s="108"/>
      <c r="I1686" s="108" t="s">
        <v>108</v>
      </c>
    </row>
    <row r="1687" spans="1:9">
      <c r="A1687" s="108" t="s">
        <v>121</v>
      </c>
      <c r="B1687" s="108" t="s">
        <v>16842</v>
      </c>
      <c r="C1687" s="109">
        <v>45877</v>
      </c>
      <c r="D1687" s="108" t="s">
        <v>16843</v>
      </c>
      <c r="E1687" s="108" t="s">
        <v>14605</v>
      </c>
      <c r="F1687" s="108" t="s">
        <v>16410</v>
      </c>
      <c r="G1687" s="109">
        <v>46228</v>
      </c>
      <c r="H1687" s="108"/>
      <c r="I1687" s="108" t="s">
        <v>108</v>
      </c>
    </row>
    <row r="1688" spans="1:9">
      <c r="A1688" s="108" t="s">
        <v>121</v>
      </c>
      <c r="B1688" s="108" t="s">
        <v>16844</v>
      </c>
      <c r="C1688" s="109">
        <v>45909</v>
      </c>
      <c r="D1688" s="108" t="s">
        <v>16845</v>
      </c>
      <c r="E1688" s="108" t="s">
        <v>14605</v>
      </c>
      <c r="F1688" s="108" t="s">
        <v>16342</v>
      </c>
      <c r="G1688" s="109">
        <v>46232</v>
      </c>
      <c r="H1688" s="108"/>
      <c r="I1688" s="108" t="s">
        <v>108</v>
      </c>
    </row>
    <row r="1689" spans="1:9" ht="27.6">
      <c r="A1689" s="108" t="s">
        <v>121</v>
      </c>
      <c r="B1689" s="108" t="s">
        <v>16846</v>
      </c>
      <c r="C1689" s="109">
        <v>45988</v>
      </c>
      <c r="D1689" s="108" t="s">
        <v>16847</v>
      </c>
      <c r="E1689" s="108" t="s">
        <v>14605</v>
      </c>
      <c r="F1689" s="108" t="s">
        <v>15082</v>
      </c>
      <c r="G1689" s="109">
        <v>46232</v>
      </c>
      <c r="H1689" s="108"/>
      <c r="I1689" s="108" t="s">
        <v>108</v>
      </c>
    </row>
    <row r="1690" spans="1:9" ht="27.6">
      <c r="A1690" s="108" t="s">
        <v>1102</v>
      </c>
      <c r="B1690" s="108" t="s">
        <v>1100</v>
      </c>
      <c r="C1690" s="109">
        <v>45721</v>
      </c>
      <c r="D1690" s="108" t="s">
        <v>1101</v>
      </c>
      <c r="E1690" s="108" t="s">
        <v>14605</v>
      </c>
      <c r="F1690" s="108" t="s">
        <v>15106</v>
      </c>
      <c r="G1690" s="109">
        <v>46031</v>
      </c>
      <c r="H1690" s="108"/>
      <c r="I1690" s="108" t="s">
        <v>108</v>
      </c>
    </row>
    <row r="1691" spans="1:9" ht="27.6">
      <c r="A1691" s="108" t="s">
        <v>388</v>
      </c>
      <c r="B1691" s="108" t="s">
        <v>2916</v>
      </c>
      <c r="C1691" s="109">
        <v>45770</v>
      </c>
      <c r="D1691" s="108" t="s">
        <v>2918</v>
      </c>
      <c r="E1691" s="108" t="s">
        <v>14605</v>
      </c>
      <c r="F1691" s="108" t="s">
        <v>2917</v>
      </c>
      <c r="G1691" s="109">
        <v>46087</v>
      </c>
      <c r="H1691" s="108"/>
      <c r="I1691" s="108" t="s">
        <v>108</v>
      </c>
    </row>
    <row r="1692" spans="1:9" ht="27.6">
      <c r="A1692" s="108" t="s">
        <v>388</v>
      </c>
      <c r="B1692" s="108" t="s">
        <v>16848</v>
      </c>
      <c r="C1692" s="109">
        <v>45677</v>
      </c>
      <c r="D1692" s="108" t="s">
        <v>16849</v>
      </c>
      <c r="E1692" s="108" t="s">
        <v>14605</v>
      </c>
      <c r="F1692" s="108" t="s">
        <v>16850</v>
      </c>
      <c r="G1692" s="109">
        <v>46040</v>
      </c>
      <c r="H1692" s="108"/>
      <c r="I1692" s="108" t="s">
        <v>108</v>
      </c>
    </row>
    <row r="1693" spans="1:9" ht="27.6">
      <c r="A1693" s="108" t="s">
        <v>388</v>
      </c>
      <c r="B1693" s="108" t="s">
        <v>16851</v>
      </c>
      <c r="C1693" s="109">
        <v>45646</v>
      </c>
      <c r="D1693" s="108" t="s">
        <v>16852</v>
      </c>
      <c r="E1693" s="108" t="s">
        <v>14605</v>
      </c>
      <c r="F1693" s="108" t="s">
        <v>15082</v>
      </c>
      <c r="G1693" s="109">
        <v>46015</v>
      </c>
      <c r="H1693" s="108"/>
      <c r="I1693" s="108" t="s">
        <v>108</v>
      </c>
    </row>
    <row r="1694" spans="1:9" ht="27.6">
      <c r="A1694" s="108" t="s">
        <v>388</v>
      </c>
      <c r="B1694" s="108" t="s">
        <v>16853</v>
      </c>
      <c r="C1694" s="109">
        <v>45876</v>
      </c>
      <c r="D1694" s="108" t="s">
        <v>16854</v>
      </c>
      <c r="E1694" s="108" t="s">
        <v>14605</v>
      </c>
      <c r="F1694" s="108" t="s">
        <v>15197</v>
      </c>
      <c r="G1694" s="109">
        <v>46141</v>
      </c>
      <c r="H1694" s="108"/>
      <c r="I1694" s="108" t="s">
        <v>108</v>
      </c>
    </row>
    <row r="1695" spans="1:9" ht="27.6">
      <c r="A1695" s="108" t="s">
        <v>388</v>
      </c>
      <c r="B1695" s="108" t="s">
        <v>3356</v>
      </c>
      <c r="C1695" s="109">
        <v>45788</v>
      </c>
      <c r="D1695" s="108" t="s">
        <v>3357</v>
      </c>
      <c r="E1695" s="108" t="s">
        <v>14605</v>
      </c>
      <c r="F1695" s="108" t="s">
        <v>15161</v>
      </c>
      <c r="G1695" s="109">
        <v>46040</v>
      </c>
      <c r="H1695" s="108"/>
      <c r="I1695" s="108" t="s">
        <v>108</v>
      </c>
    </row>
    <row r="1696" spans="1:9" ht="27.6">
      <c r="A1696" s="108" t="s">
        <v>388</v>
      </c>
      <c r="B1696" s="108" t="s">
        <v>4257</v>
      </c>
      <c r="C1696" s="109">
        <v>45764</v>
      </c>
      <c r="D1696" s="108" t="s">
        <v>4259</v>
      </c>
      <c r="E1696" s="108" t="s">
        <v>14605</v>
      </c>
      <c r="F1696" s="108" t="s">
        <v>4258</v>
      </c>
      <c r="G1696" s="109">
        <v>46138</v>
      </c>
      <c r="H1696" s="108"/>
      <c r="I1696" s="108" t="s">
        <v>108</v>
      </c>
    </row>
    <row r="1697" spans="1:9" ht="27.6">
      <c r="A1697" s="108" t="s">
        <v>388</v>
      </c>
      <c r="B1697" s="108" t="s">
        <v>4123</v>
      </c>
      <c r="C1697" s="109">
        <v>45721</v>
      </c>
      <c r="D1697" s="108" t="s">
        <v>4125</v>
      </c>
      <c r="E1697" s="108" t="s">
        <v>14605</v>
      </c>
      <c r="F1697" s="108" t="s">
        <v>4124</v>
      </c>
      <c r="G1697" s="109">
        <v>46085</v>
      </c>
      <c r="H1697" s="108"/>
      <c r="I1697" s="108" t="s">
        <v>108</v>
      </c>
    </row>
    <row r="1698" spans="1:9">
      <c r="A1698" s="108" t="s">
        <v>16151</v>
      </c>
      <c r="B1698" s="108" t="s">
        <v>2168</v>
      </c>
      <c r="C1698" s="109">
        <v>45873</v>
      </c>
      <c r="D1698" s="108" t="s">
        <v>2169</v>
      </c>
      <c r="E1698" s="108" t="s">
        <v>14605</v>
      </c>
      <c r="F1698" s="108" t="s">
        <v>2160</v>
      </c>
      <c r="G1698" s="109">
        <v>46257</v>
      </c>
      <c r="H1698" s="108"/>
      <c r="I1698" s="108" t="s">
        <v>108</v>
      </c>
    </row>
    <row r="1699" spans="1:9" ht="27.6">
      <c r="A1699" s="108" t="s">
        <v>388</v>
      </c>
      <c r="B1699" s="108" t="s">
        <v>4509</v>
      </c>
      <c r="C1699" s="109">
        <v>45777</v>
      </c>
      <c r="D1699" s="108" t="s">
        <v>4511</v>
      </c>
      <c r="E1699" s="108" t="s">
        <v>14605</v>
      </c>
      <c r="F1699" s="108" t="s">
        <v>4510</v>
      </c>
      <c r="G1699" s="109">
        <v>46124</v>
      </c>
      <c r="H1699" s="108"/>
      <c r="I1699" s="108" t="s">
        <v>108</v>
      </c>
    </row>
    <row r="1700" spans="1:9" ht="27.6">
      <c r="A1700" s="108" t="s">
        <v>388</v>
      </c>
      <c r="B1700" s="108" t="s">
        <v>2751</v>
      </c>
      <c r="C1700" s="109">
        <v>45783</v>
      </c>
      <c r="D1700" s="108" t="s">
        <v>2752</v>
      </c>
      <c r="E1700" s="108" t="s">
        <v>14605</v>
      </c>
      <c r="F1700" s="108" t="s">
        <v>2749</v>
      </c>
      <c r="G1700" s="109">
        <v>46142</v>
      </c>
      <c r="H1700" s="108"/>
      <c r="I1700" s="108" t="s">
        <v>108</v>
      </c>
    </row>
    <row r="1701" spans="1:9" ht="27.6">
      <c r="A1701" s="108" t="s">
        <v>388</v>
      </c>
      <c r="B1701" s="108" t="s">
        <v>16855</v>
      </c>
      <c r="C1701" s="109">
        <v>45876</v>
      </c>
      <c r="D1701" s="108" t="s">
        <v>16856</v>
      </c>
      <c r="E1701" s="108" t="s">
        <v>14605</v>
      </c>
      <c r="F1701" s="108" t="s">
        <v>15307</v>
      </c>
      <c r="G1701" s="109">
        <v>46240</v>
      </c>
      <c r="H1701" s="108"/>
      <c r="I1701" s="108" t="s">
        <v>108</v>
      </c>
    </row>
    <row r="1702" spans="1:9">
      <c r="A1702" s="108" t="s">
        <v>237</v>
      </c>
      <c r="B1702" s="108" t="s">
        <v>16857</v>
      </c>
      <c r="C1702" s="109">
        <v>40436</v>
      </c>
      <c r="D1702" s="108"/>
      <c r="E1702" s="108" t="s">
        <v>14605</v>
      </c>
      <c r="F1702" s="108" t="s">
        <v>15916</v>
      </c>
      <c r="G1702" s="110"/>
      <c r="H1702" s="108" t="s">
        <v>16858</v>
      </c>
      <c r="I1702" s="108"/>
    </row>
    <row r="1703" spans="1:9">
      <c r="A1703" s="108" t="s">
        <v>2002</v>
      </c>
      <c r="B1703" s="108" t="s">
        <v>16859</v>
      </c>
      <c r="C1703" s="109">
        <v>41612</v>
      </c>
      <c r="D1703" s="108"/>
      <c r="E1703" s="108" t="s">
        <v>14605</v>
      </c>
      <c r="F1703" s="108" t="s">
        <v>16860</v>
      </c>
      <c r="G1703" s="110"/>
      <c r="H1703" s="108" t="s">
        <v>16858</v>
      </c>
      <c r="I1703" s="108"/>
    </row>
    <row r="1704" spans="1:9">
      <c r="A1704" s="108" t="s">
        <v>237</v>
      </c>
      <c r="B1704" s="108" t="s">
        <v>16861</v>
      </c>
      <c r="C1704" s="109">
        <v>40769</v>
      </c>
      <c r="D1704" s="108"/>
      <c r="E1704" s="108" t="s">
        <v>14605</v>
      </c>
      <c r="F1704" s="108" t="s">
        <v>15810</v>
      </c>
      <c r="G1704" s="110"/>
      <c r="H1704" s="108" t="s">
        <v>16858</v>
      </c>
      <c r="I1704" s="108"/>
    </row>
    <row r="1705" spans="1:9">
      <c r="A1705" s="108" t="s">
        <v>87</v>
      </c>
      <c r="B1705" s="108" t="s">
        <v>16862</v>
      </c>
      <c r="C1705" s="109">
        <v>41340</v>
      </c>
      <c r="D1705" s="108"/>
      <c r="E1705" s="108" t="s">
        <v>14605</v>
      </c>
      <c r="F1705" s="108" t="s">
        <v>16395</v>
      </c>
      <c r="G1705" s="110"/>
      <c r="H1705" s="108" t="s">
        <v>16858</v>
      </c>
      <c r="I1705" s="108"/>
    </row>
    <row r="1706" spans="1:9">
      <c r="A1706" s="108" t="s">
        <v>237</v>
      </c>
      <c r="B1706" s="108" t="s">
        <v>16863</v>
      </c>
      <c r="C1706" s="109">
        <v>41579</v>
      </c>
      <c r="D1706" s="108"/>
      <c r="E1706" s="108" t="s">
        <v>14605</v>
      </c>
      <c r="F1706" s="108" t="s">
        <v>16361</v>
      </c>
      <c r="G1706" s="110"/>
      <c r="H1706" s="108" t="s">
        <v>16858</v>
      </c>
      <c r="I1706" s="108"/>
    </row>
    <row r="1707" spans="1:9">
      <c r="A1707" s="108" t="s">
        <v>169</v>
      </c>
      <c r="B1707" s="108" t="s">
        <v>16864</v>
      </c>
      <c r="C1707" s="109">
        <v>41253</v>
      </c>
      <c r="D1707" s="108"/>
      <c r="E1707" s="108" t="s">
        <v>14605</v>
      </c>
      <c r="F1707" s="108" t="s">
        <v>16865</v>
      </c>
      <c r="G1707" s="110"/>
      <c r="H1707" s="108" t="s">
        <v>16858</v>
      </c>
      <c r="I1707" s="108"/>
    </row>
    <row r="1708" spans="1:9">
      <c r="A1708" s="108" t="s">
        <v>169</v>
      </c>
      <c r="B1708" s="108" t="s">
        <v>16866</v>
      </c>
      <c r="C1708" s="109">
        <v>41771</v>
      </c>
      <c r="D1708" s="108"/>
      <c r="E1708" s="108" t="s">
        <v>14605</v>
      </c>
      <c r="F1708" s="108" t="s">
        <v>16867</v>
      </c>
      <c r="G1708" s="110"/>
      <c r="H1708" s="108" t="s">
        <v>16858</v>
      </c>
      <c r="I1708" s="108"/>
    </row>
    <row r="1709" spans="1:9">
      <c r="A1709" s="108" t="s">
        <v>169</v>
      </c>
      <c r="B1709" s="108" t="s">
        <v>16868</v>
      </c>
      <c r="C1709" s="109">
        <v>41803</v>
      </c>
      <c r="D1709" s="108"/>
      <c r="E1709" s="108" t="s">
        <v>14605</v>
      </c>
      <c r="F1709" s="108" t="s">
        <v>15916</v>
      </c>
      <c r="G1709" s="110"/>
      <c r="H1709" s="108" t="s">
        <v>16858</v>
      </c>
      <c r="I1709" s="108"/>
    </row>
    <row r="1710" spans="1:9">
      <c r="A1710" s="108" t="s">
        <v>169</v>
      </c>
      <c r="B1710" s="108" t="s">
        <v>16869</v>
      </c>
      <c r="C1710" s="109">
        <v>42137</v>
      </c>
      <c r="D1710" s="108"/>
      <c r="E1710" s="108" t="s">
        <v>14605</v>
      </c>
      <c r="F1710" s="108" t="s">
        <v>16361</v>
      </c>
      <c r="G1710" s="110"/>
      <c r="H1710" s="108" t="s">
        <v>16858</v>
      </c>
      <c r="I1710" s="108"/>
    </row>
    <row r="1711" spans="1:9">
      <c r="A1711" s="108" t="s">
        <v>169</v>
      </c>
      <c r="B1711" s="108" t="s">
        <v>16870</v>
      </c>
      <c r="C1711" s="109">
        <v>42125</v>
      </c>
      <c r="D1711" s="108"/>
      <c r="E1711" s="108" t="s">
        <v>14605</v>
      </c>
      <c r="F1711" s="108" t="s">
        <v>16865</v>
      </c>
      <c r="G1711" s="110"/>
      <c r="H1711" s="108" t="s">
        <v>16858</v>
      </c>
      <c r="I1711" s="108"/>
    </row>
    <row r="1712" spans="1:9">
      <c r="A1712" s="108" t="s">
        <v>169</v>
      </c>
      <c r="B1712" s="108" t="s">
        <v>16871</v>
      </c>
      <c r="C1712" s="109">
        <v>42152</v>
      </c>
      <c r="D1712" s="108"/>
      <c r="E1712" s="108" t="s">
        <v>14605</v>
      </c>
      <c r="F1712" s="108" t="s">
        <v>16865</v>
      </c>
      <c r="G1712" s="110"/>
      <c r="H1712" s="108" t="s">
        <v>16858</v>
      </c>
      <c r="I1712" s="108"/>
    </row>
    <row r="1713" spans="1:9" ht="27.6">
      <c r="A1713" s="108" t="s">
        <v>169</v>
      </c>
      <c r="B1713" s="108" t="s">
        <v>16872</v>
      </c>
      <c r="C1713" s="109">
        <v>42380</v>
      </c>
      <c r="D1713" s="108"/>
      <c r="E1713" s="108" t="s">
        <v>14605</v>
      </c>
      <c r="F1713" s="108" t="s">
        <v>16873</v>
      </c>
      <c r="G1713" s="110"/>
      <c r="H1713" s="108" t="s">
        <v>16858</v>
      </c>
      <c r="I1713" s="108"/>
    </row>
    <row r="1714" spans="1:9">
      <c r="A1714" s="108" t="s">
        <v>169</v>
      </c>
      <c r="B1714" s="108" t="s">
        <v>16874</v>
      </c>
      <c r="C1714" s="109">
        <v>45081</v>
      </c>
      <c r="D1714" s="108"/>
      <c r="E1714" s="108" t="s">
        <v>14605</v>
      </c>
      <c r="F1714" s="108" t="s">
        <v>16875</v>
      </c>
      <c r="G1714" s="110"/>
      <c r="H1714" s="108" t="s">
        <v>16858</v>
      </c>
      <c r="I1714" s="108"/>
    </row>
    <row r="1715" spans="1:9">
      <c r="A1715" s="108" t="s">
        <v>169</v>
      </c>
      <c r="B1715" s="108" t="s">
        <v>16876</v>
      </c>
      <c r="C1715" s="109">
        <v>43346</v>
      </c>
      <c r="D1715" s="108"/>
      <c r="E1715" s="108" t="s">
        <v>14605</v>
      </c>
      <c r="F1715" s="108" t="s">
        <v>16877</v>
      </c>
      <c r="G1715" s="110"/>
      <c r="H1715" s="108" t="s">
        <v>16858</v>
      </c>
      <c r="I1715" s="108"/>
    </row>
    <row r="1716" spans="1:9">
      <c r="A1716" s="108" t="s">
        <v>169</v>
      </c>
      <c r="B1716" s="108" t="s">
        <v>16878</v>
      </c>
      <c r="C1716" s="109">
        <v>43569</v>
      </c>
      <c r="D1716" s="108"/>
      <c r="E1716" s="108" t="s">
        <v>14605</v>
      </c>
      <c r="F1716" s="108" t="s">
        <v>15916</v>
      </c>
      <c r="G1716" s="110"/>
      <c r="H1716" s="108" t="s">
        <v>16858</v>
      </c>
      <c r="I1716" s="108"/>
    </row>
    <row r="1717" spans="1:9">
      <c r="A1717" s="108" t="s">
        <v>169</v>
      </c>
      <c r="B1717" s="108" t="s">
        <v>16879</v>
      </c>
      <c r="C1717" s="109">
        <v>44414</v>
      </c>
      <c r="D1717" s="108"/>
      <c r="E1717" s="108" t="s">
        <v>14605</v>
      </c>
      <c r="F1717" s="108" t="s">
        <v>16875</v>
      </c>
      <c r="G1717" s="110"/>
      <c r="H1717" s="108" t="s">
        <v>16858</v>
      </c>
      <c r="I1717" s="108"/>
    </row>
    <row r="1718" spans="1:9">
      <c r="A1718" s="108" t="s">
        <v>169</v>
      </c>
      <c r="B1718" s="108" t="s">
        <v>16880</v>
      </c>
      <c r="C1718" s="109">
        <v>43924</v>
      </c>
      <c r="D1718" s="108"/>
      <c r="E1718" s="108" t="s">
        <v>14605</v>
      </c>
      <c r="F1718" s="108" t="s">
        <v>16875</v>
      </c>
      <c r="G1718" s="110"/>
      <c r="H1718" s="108" t="s">
        <v>16858</v>
      </c>
      <c r="I1718" s="108"/>
    </row>
    <row r="1719" spans="1:9" ht="27.6">
      <c r="A1719" s="108" t="s">
        <v>87</v>
      </c>
      <c r="B1719" s="108" t="s">
        <v>16881</v>
      </c>
      <c r="C1719" s="109">
        <v>42795</v>
      </c>
      <c r="D1719" s="108"/>
      <c r="E1719" s="108" t="s">
        <v>14605</v>
      </c>
      <c r="F1719" s="108" t="s">
        <v>16873</v>
      </c>
      <c r="G1719" s="110"/>
      <c r="H1719" s="108" t="s">
        <v>16858</v>
      </c>
      <c r="I1719" s="108"/>
    </row>
    <row r="1720" spans="1:9">
      <c r="A1720" s="108" t="s">
        <v>87</v>
      </c>
      <c r="B1720" s="108" t="s">
        <v>16882</v>
      </c>
      <c r="C1720" s="109">
        <v>43407</v>
      </c>
      <c r="D1720" s="108"/>
      <c r="E1720" s="108" t="s">
        <v>14605</v>
      </c>
      <c r="F1720" s="108" t="s">
        <v>16883</v>
      </c>
      <c r="G1720" s="110"/>
      <c r="H1720" s="108" t="s">
        <v>16858</v>
      </c>
      <c r="I1720" s="108"/>
    </row>
    <row r="1721" spans="1:9">
      <c r="A1721" s="108" t="s">
        <v>237</v>
      </c>
      <c r="B1721" s="108" t="s">
        <v>16884</v>
      </c>
      <c r="C1721" s="109">
        <v>42172</v>
      </c>
      <c r="D1721" s="108"/>
      <c r="E1721" s="108" t="s">
        <v>14605</v>
      </c>
      <c r="F1721" s="108" t="s">
        <v>14704</v>
      </c>
      <c r="G1721" s="110"/>
      <c r="H1721" s="108" t="s">
        <v>16858</v>
      </c>
      <c r="I1721" s="108"/>
    </row>
    <row r="1722" spans="1:9">
      <c r="A1722" s="108" t="s">
        <v>571</v>
      </c>
      <c r="B1722" s="108" t="s">
        <v>16885</v>
      </c>
      <c r="C1722" s="109">
        <v>42698</v>
      </c>
      <c r="D1722" s="108"/>
      <c r="E1722" s="108" t="s">
        <v>14605</v>
      </c>
      <c r="F1722" s="108" t="s">
        <v>16886</v>
      </c>
      <c r="G1722" s="110"/>
      <c r="H1722" s="108" t="s">
        <v>16858</v>
      </c>
      <c r="I1722" s="108"/>
    </row>
    <row r="1723" spans="1:9">
      <c r="A1723" s="108" t="s">
        <v>571</v>
      </c>
      <c r="B1723" s="108" t="s">
        <v>16887</v>
      </c>
      <c r="C1723" s="109">
        <v>42048</v>
      </c>
      <c r="D1723" s="108"/>
      <c r="E1723" s="108" t="s">
        <v>14605</v>
      </c>
      <c r="F1723" s="108" t="s">
        <v>16888</v>
      </c>
      <c r="G1723" s="110"/>
      <c r="H1723" s="108" t="s">
        <v>16858</v>
      </c>
      <c r="I1723" s="108"/>
    </row>
    <row r="1724" spans="1:9">
      <c r="A1724" s="108" t="s">
        <v>2002</v>
      </c>
      <c r="B1724" s="108" t="s">
        <v>16889</v>
      </c>
      <c r="C1724" s="109">
        <v>43060</v>
      </c>
      <c r="D1724" s="108"/>
      <c r="E1724" s="108" t="s">
        <v>14605</v>
      </c>
      <c r="F1724" s="108" t="s">
        <v>16890</v>
      </c>
      <c r="G1724" s="110"/>
      <c r="H1724" s="108" t="s">
        <v>16858</v>
      </c>
      <c r="I1724" s="108"/>
    </row>
    <row r="1725" spans="1:9">
      <c r="A1725" s="108" t="s">
        <v>1465</v>
      </c>
      <c r="B1725" s="108" t="s">
        <v>16891</v>
      </c>
      <c r="C1725" s="109">
        <v>42088</v>
      </c>
      <c r="D1725" s="108"/>
      <c r="E1725" s="108" t="s">
        <v>14605</v>
      </c>
      <c r="F1725" s="108" t="s">
        <v>16361</v>
      </c>
      <c r="G1725" s="110"/>
      <c r="H1725" s="108" t="s">
        <v>16858</v>
      </c>
      <c r="I1725" s="108"/>
    </row>
    <row r="1726" spans="1:9">
      <c r="A1726" s="108" t="s">
        <v>1465</v>
      </c>
      <c r="B1726" s="108" t="s">
        <v>16892</v>
      </c>
      <c r="C1726" s="109">
        <v>42864</v>
      </c>
      <c r="D1726" s="108"/>
      <c r="E1726" s="108" t="s">
        <v>14605</v>
      </c>
      <c r="F1726" s="108" t="s">
        <v>16893</v>
      </c>
      <c r="G1726" s="110"/>
      <c r="H1726" s="108" t="s">
        <v>16858</v>
      </c>
      <c r="I1726" s="108"/>
    </row>
    <row r="1727" spans="1:9" ht="27.6">
      <c r="A1727" s="108" t="s">
        <v>14690</v>
      </c>
      <c r="B1727" s="108" t="s">
        <v>16894</v>
      </c>
      <c r="C1727" s="109">
        <v>43182</v>
      </c>
      <c r="D1727" s="108"/>
      <c r="E1727" s="108" t="s">
        <v>14605</v>
      </c>
      <c r="F1727" s="108" t="s">
        <v>16865</v>
      </c>
      <c r="G1727" s="110"/>
      <c r="H1727" s="108" t="s">
        <v>16858</v>
      </c>
      <c r="I1727" s="108"/>
    </row>
    <row r="1728" spans="1:9">
      <c r="A1728" s="108" t="s">
        <v>16151</v>
      </c>
      <c r="B1728" s="108" t="s">
        <v>16895</v>
      </c>
      <c r="C1728" s="109">
        <v>45889</v>
      </c>
      <c r="D1728" s="108"/>
      <c r="E1728" s="108" t="s">
        <v>14605</v>
      </c>
      <c r="F1728" s="108" t="s">
        <v>15992</v>
      </c>
      <c r="G1728" s="110"/>
      <c r="H1728" s="108" t="s">
        <v>16858</v>
      </c>
      <c r="I1728" s="108"/>
    </row>
    <row r="1729" spans="1:9" ht="27.6">
      <c r="A1729" s="108" t="s">
        <v>14950</v>
      </c>
      <c r="B1729" s="108" t="s">
        <v>16896</v>
      </c>
      <c r="C1729" s="109">
        <v>45455</v>
      </c>
      <c r="D1729" s="108"/>
      <c r="E1729" s="108" t="s">
        <v>14605</v>
      </c>
      <c r="F1729" s="108" t="s">
        <v>15280</v>
      </c>
      <c r="G1729" s="110"/>
      <c r="H1729" s="108" t="s">
        <v>16858</v>
      </c>
      <c r="I1729" s="108"/>
    </row>
    <row r="1730" spans="1:9" ht="27.6">
      <c r="A1730" s="108" t="s">
        <v>14950</v>
      </c>
      <c r="B1730" s="108" t="s">
        <v>16897</v>
      </c>
      <c r="C1730" s="109">
        <v>45511</v>
      </c>
      <c r="D1730" s="108"/>
      <c r="E1730" s="108" t="s">
        <v>14605</v>
      </c>
      <c r="F1730" s="108" t="s">
        <v>16898</v>
      </c>
      <c r="G1730" s="110"/>
      <c r="H1730" s="108" t="s">
        <v>16858</v>
      </c>
      <c r="I1730" s="108"/>
    </row>
    <row r="1731" spans="1:9" ht="27.6">
      <c r="A1731" s="108" t="s">
        <v>15075</v>
      </c>
      <c r="B1731" s="108" t="s">
        <v>16899</v>
      </c>
      <c r="C1731" s="109">
        <v>44480</v>
      </c>
      <c r="D1731" s="108"/>
      <c r="E1731" s="108" t="s">
        <v>14605</v>
      </c>
      <c r="F1731" s="108" t="s">
        <v>16900</v>
      </c>
      <c r="G1731" s="110"/>
      <c r="H1731" s="108" t="s">
        <v>16858</v>
      </c>
      <c r="I1731" s="108"/>
    </row>
    <row r="1732" spans="1:9" ht="27.6">
      <c r="A1732" s="108" t="s">
        <v>15075</v>
      </c>
      <c r="B1732" s="108" t="s">
        <v>16901</v>
      </c>
      <c r="C1732" s="109">
        <v>44547</v>
      </c>
      <c r="D1732" s="108"/>
      <c r="E1732" s="108" t="s">
        <v>14605</v>
      </c>
      <c r="F1732" s="108" t="s">
        <v>16902</v>
      </c>
      <c r="G1732" s="110"/>
      <c r="H1732" s="108" t="s">
        <v>16858</v>
      </c>
      <c r="I1732" s="108"/>
    </row>
    <row r="1733" spans="1:9" ht="27.6">
      <c r="A1733" s="108" t="s">
        <v>15075</v>
      </c>
      <c r="B1733" s="108" t="s">
        <v>16903</v>
      </c>
      <c r="C1733" s="109">
        <v>45070</v>
      </c>
      <c r="D1733" s="108"/>
      <c r="E1733" s="108" t="s">
        <v>14605</v>
      </c>
      <c r="F1733" s="108" t="s">
        <v>16904</v>
      </c>
      <c r="G1733" s="110"/>
      <c r="H1733" s="108" t="s">
        <v>16858</v>
      </c>
      <c r="I1733" s="108"/>
    </row>
    <row r="1734" spans="1:9" ht="27.6">
      <c r="A1734" s="108" t="s">
        <v>15075</v>
      </c>
      <c r="B1734" s="108" t="s">
        <v>16905</v>
      </c>
      <c r="C1734" s="109">
        <v>44832</v>
      </c>
      <c r="D1734" s="108"/>
      <c r="E1734" s="108" t="s">
        <v>14605</v>
      </c>
      <c r="F1734" s="108" t="s">
        <v>15362</v>
      </c>
      <c r="G1734" s="110"/>
      <c r="H1734" s="108" t="s">
        <v>16858</v>
      </c>
      <c r="I1734" s="108"/>
    </row>
    <row r="1735" spans="1:9" ht="27.6">
      <c r="A1735" s="108" t="s">
        <v>15075</v>
      </c>
      <c r="B1735" s="108" t="s">
        <v>16906</v>
      </c>
      <c r="C1735" s="109">
        <v>45161</v>
      </c>
      <c r="D1735" s="108"/>
      <c r="E1735" s="108" t="s">
        <v>14605</v>
      </c>
      <c r="F1735" s="108" t="s">
        <v>16907</v>
      </c>
      <c r="G1735" s="110"/>
      <c r="H1735" s="108" t="s">
        <v>16858</v>
      </c>
      <c r="I1735" s="108"/>
    </row>
    <row r="1736" spans="1:9" ht="27.6">
      <c r="A1736" s="108" t="s">
        <v>15075</v>
      </c>
      <c r="B1736" s="108" t="s">
        <v>16908</v>
      </c>
      <c r="C1736" s="109">
        <v>45104</v>
      </c>
      <c r="D1736" s="108"/>
      <c r="E1736" s="108" t="s">
        <v>14605</v>
      </c>
      <c r="F1736" s="108" t="s">
        <v>16909</v>
      </c>
      <c r="G1736" s="110"/>
      <c r="H1736" s="108" t="s">
        <v>16858</v>
      </c>
      <c r="I1736" s="108"/>
    </row>
    <row r="1737" spans="1:9" ht="27.6">
      <c r="A1737" s="108" t="s">
        <v>15075</v>
      </c>
      <c r="B1737" s="108" t="s">
        <v>16910</v>
      </c>
      <c r="C1737" s="109">
        <v>45145</v>
      </c>
      <c r="D1737" s="108"/>
      <c r="E1737" s="108" t="s">
        <v>14605</v>
      </c>
      <c r="F1737" s="108" t="s">
        <v>15295</v>
      </c>
      <c r="G1737" s="110"/>
      <c r="H1737" s="108" t="s">
        <v>16858</v>
      </c>
      <c r="I1737" s="108"/>
    </row>
    <row r="1738" spans="1:9" ht="27.6">
      <c r="A1738" s="108" t="s">
        <v>15075</v>
      </c>
      <c r="B1738" s="108" t="s">
        <v>16911</v>
      </c>
      <c r="C1738" s="109">
        <v>45145</v>
      </c>
      <c r="D1738" s="108"/>
      <c r="E1738" s="108" t="s">
        <v>14605</v>
      </c>
      <c r="F1738" s="108" t="s">
        <v>15295</v>
      </c>
      <c r="G1738" s="110"/>
      <c r="H1738" s="108" t="s">
        <v>16858</v>
      </c>
      <c r="I1738" s="108"/>
    </row>
    <row r="1739" spans="1:9" ht="27.6">
      <c r="A1739" s="108" t="s">
        <v>15075</v>
      </c>
      <c r="B1739" s="108" t="s">
        <v>16912</v>
      </c>
      <c r="C1739" s="109">
        <v>45170</v>
      </c>
      <c r="D1739" s="108"/>
      <c r="E1739" s="108" t="s">
        <v>14605</v>
      </c>
      <c r="F1739" s="108" t="s">
        <v>16913</v>
      </c>
      <c r="G1739" s="110"/>
      <c r="H1739" s="108" t="s">
        <v>16858</v>
      </c>
      <c r="I1739" s="108"/>
    </row>
    <row r="1740" spans="1:9" ht="27.6">
      <c r="A1740" s="108" t="s">
        <v>15075</v>
      </c>
      <c r="B1740" s="108" t="s">
        <v>16914</v>
      </c>
      <c r="C1740" s="109">
        <v>45253</v>
      </c>
      <c r="D1740" s="108"/>
      <c r="E1740" s="108" t="s">
        <v>14605</v>
      </c>
      <c r="F1740" s="108" t="s">
        <v>15916</v>
      </c>
      <c r="G1740" s="110"/>
      <c r="H1740" s="108" t="s">
        <v>16858</v>
      </c>
      <c r="I1740" s="108"/>
    </row>
    <row r="1741" spans="1:9" ht="27.6">
      <c r="A1741" s="108" t="s">
        <v>15075</v>
      </c>
      <c r="B1741" s="108" t="s">
        <v>16915</v>
      </c>
      <c r="C1741" s="109">
        <v>45260</v>
      </c>
      <c r="D1741" s="108"/>
      <c r="E1741" s="108" t="s">
        <v>14605</v>
      </c>
      <c r="F1741" s="108" t="s">
        <v>16916</v>
      </c>
      <c r="G1741" s="110"/>
      <c r="H1741" s="108" t="s">
        <v>16858</v>
      </c>
      <c r="I1741" s="108"/>
    </row>
    <row r="1742" spans="1:9" ht="27.6">
      <c r="A1742" s="108" t="s">
        <v>15075</v>
      </c>
      <c r="B1742" s="108" t="s">
        <v>16917</v>
      </c>
      <c r="C1742" s="109">
        <v>45357</v>
      </c>
      <c r="D1742" s="108"/>
      <c r="E1742" s="108" t="s">
        <v>14605</v>
      </c>
      <c r="F1742" s="108" t="s">
        <v>16918</v>
      </c>
      <c r="G1742" s="110"/>
      <c r="H1742" s="108" t="s">
        <v>16858</v>
      </c>
      <c r="I1742" s="108"/>
    </row>
    <row r="1743" spans="1:9" ht="27.6">
      <c r="A1743" s="108" t="s">
        <v>15075</v>
      </c>
      <c r="B1743" s="108" t="s">
        <v>16919</v>
      </c>
      <c r="C1743" s="109">
        <v>45334</v>
      </c>
      <c r="D1743" s="108"/>
      <c r="E1743" s="108" t="s">
        <v>14605</v>
      </c>
      <c r="F1743" s="108" t="s">
        <v>16920</v>
      </c>
      <c r="G1743" s="110"/>
      <c r="H1743" s="108" t="s">
        <v>16858</v>
      </c>
      <c r="I1743" s="108"/>
    </row>
    <row r="1744" spans="1:9" ht="27.6">
      <c r="A1744" s="108" t="s">
        <v>15075</v>
      </c>
      <c r="B1744" s="108" t="s">
        <v>16921</v>
      </c>
      <c r="C1744" s="109">
        <v>45389</v>
      </c>
      <c r="D1744" s="108"/>
      <c r="E1744" s="108" t="s">
        <v>14605</v>
      </c>
      <c r="F1744" s="108" t="s">
        <v>16922</v>
      </c>
      <c r="G1744" s="110"/>
      <c r="H1744" s="108" t="s">
        <v>16858</v>
      </c>
      <c r="I1744" s="108"/>
    </row>
    <row r="1745" spans="1:9" ht="27.6">
      <c r="A1745" s="108" t="s">
        <v>15075</v>
      </c>
      <c r="B1745" s="108" t="s">
        <v>16923</v>
      </c>
      <c r="C1745" s="109">
        <v>45390</v>
      </c>
      <c r="D1745" s="108"/>
      <c r="E1745" s="108" t="s">
        <v>14605</v>
      </c>
      <c r="F1745" s="108" t="s">
        <v>16922</v>
      </c>
      <c r="G1745" s="110"/>
      <c r="H1745" s="108" t="s">
        <v>16858</v>
      </c>
      <c r="I1745" s="108"/>
    </row>
    <row r="1746" spans="1:9" ht="27.6">
      <c r="A1746" s="108" t="s">
        <v>15075</v>
      </c>
      <c r="B1746" s="108" t="s">
        <v>16924</v>
      </c>
      <c r="C1746" s="109">
        <v>45482</v>
      </c>
      <c r="D1746" s="108"/>
      <c r="E1746" s="108" t="s">
        <v>14605</v>
      </c>
      <c r="F1746" s="108" t="s">
        <v>16188</v>
      </c>
      <c r="G1746" s="110"/>
      <c r="H1746" s="108" t="s">
        <v>16858</v>
      </c>
      <c r="I1746" s="108"/>
    </row>
    <row r="1747" spans="1:9" ht="27.6">
      <c r="A1747" s="108" t="s">
        <v>15075</v>
      </c>
      <c r="B1747" s="108" t="s">
        <v>16925</v>
      </c>
      <c r="C1747" s="109">
        <v>45482</v>
      </c>
      <c r="D1747" s="108"/>
      <c r="E1747" s="108" t="s">
        <v>14605</v>
      </c>
      <c r="F1747" s="108" t="s">
        <v>16188</v>
      </c>
      <c r="G1747" s="110"/>
      <c r="H1747" s="108" t="s">
        <v>16858</v>
      </c>
      <c r="I1747" s="108"/>
    </row>
    <row r="1748" spans="1:9" ht="27.6">
      <c r="A1748" s="108" t="s">
        <v>15075</v>
      </c>
      <c r="B1748" s="108" t="s">
        <v>16926</v>
      </c>
      <c r="C1748" s="109">
        <v>45575</v>
      </c>
      <c r="D1748" s="108"/>
      <c r="E1748" s="108" t="s">
        <v>14605</v>
      </c>
      <c r="F1748" s="108" t="s">
        <v>16927</v>
      </c>
      <c r="G1748" s="110"/>
      <c r="H1748" s="108" t="s">
        <v>16858</v>
      </c>
      <c r="I1748" s="108"/>
    </row>
    <row r="1749" spans="1:9" ht="27.6">
      <c r="A1749" s="108" t="s">
        <v>15075</v>
      </c>
      <c r="B1749" s="108" t="s">
        <v>16928</v>
      </c>
      <c r="C1749" s="109">
        <v>45583</v>
      </c>
      <c r="D1749" s="108"/>
      <c r="E1749" s="108" t="s">
        <v>14605</v>
      </c>
      <c r="F1749" s="108" t="s">
        <v>16900</v>
      </c>
      <c r="G1749" s="110"/>
      <c r="H1749" s="108" t="s">
        <v>16858</v>
      </c>
      <c r="I1749" s="108"/>
    </row>
    <row r="1750" spans="1:9" ht="27.6">
      <c r="A1750" s="108" t="s">
        <v>15075</v>
      </c>
      <c r="B1750" s="108" t="s">
        <v>16929</v>
      </c>
      <c r="C1750" s="109">
        <v>45625</v>
      </c>
      <c r="D1750" s="108"/>
      <c r="E1750" s="108" t="s">
        <v>14605</v>
      </c>
      <c r="F1750" s="108" t="s">
        <v>15280</v>
      </c>
      <c r="G1750" s="110"/>
      <c r="H1750" s="108" t="s">
        <v>16858</v>
      </c>
      <c r="I1750" s="108"/>
    </row>
    <row r="1751" spans="1:9" ht="27.6">
      <c r="A1751" s="108" t="s">
        <v>199</v>
      </c>
      <c r="B1751" s="108" t="s">
        <v>16930</v>
      </c>
      <c r="C1751" s="109">
        <v>40770</v>
      </c>
      <c r="D1751" s="108"/>
      <c r="E1751" s="108" t="s">
        <v>14605</v>
      </c>
      <c r="F1751" s="108" t="s">
        <v>16931</v>
      </c>
      <c r="G1751" s="110"/>
      <c r="H1751" s="108" t="s">
        <v>16858</v>
      </c>
      <c r="I1751" s="108"/>
    </row>
    <row r="1752" spans="1:9" ht="27.6">
      <c r="A1752" s="108" t="s">
        <v>16932</v>
      </c>
      <c r="B1752" s="108" t="s">
        <v>16933</v>
      </c>
      <c r="C1752" s="109">
        <v>40148</v>
      </c>
      <c r="D1752" s="108"/>
      <c r="E1752" s="108" t="s">
        <v>14605</v>
      </c>
      <c r="F1752" s="108" t="s">
        <v>16934</v>
      </c>
      <c r="G1752" s="110"/>
      <c r="H1752" s="108" t="s">
        <v>16858</v>
      </c>
      <c r="I1752" s="108"/>
    </row>
    <row r="1753" spans="1:9" ht="27.6">
      <c r="A1753" s="108" t="s">
        <v>16935</v>
      </c>
      <c r="B1753" s="108" t="s">
        <v>16936</v>
      </c>
      <c r="C1753" s="109">
        <v>40071</v>
      </c>
      <c r="D1753" s="108"/>
      <c r="E1753" s="108" t="s">
        <v>14605</v>
      </c>
      <c r="F1753" s="108" t="s">
        <v>16873</v>
      </c>
      <c r="G1753" s="110"/>
      <c r="H1753" s="108" t="s">
        <v>16858</v>
      </c>
      <c r="I1753" s="108"/>
    </row>
    <row r="1754" spans="1:9" ht="27.6">
      <c r="A1754" s="108" t="s">
        <v>14690</v>
      </c>
      <c r="B1754" s="108" t="s">
        <v>16937</v>
      </c>
      <c r="C1754" s="109">
        <v>40827</v>
      </c>
      <c r="D1754" s="108"/>
      <c r="E1754" s="108" t="s">
        <v>14605</v>
      </c>
      <c r="F1754" s="108" t="s">
        <v>16938</v>
      </c>
      <c r="G1754" s="110"/>
      <c r="H1754" s="108" t="s">
        <v>16858</v>
      </c>
      <c r="I1754" s="108"/>
    </row>
    <row r="1755" spans="1:9" ht="27.6">
      <c r="A1755" s="108" t="s">
        <v>15759</v>
      </c>
      <c r="B1755" s="108" t="s">
        <v>16939</v>
      </c>
      <c r="C1755" s="109">
        <v>45184</v>
      </c>
      <c r="D1755" s="108"/>
      <c r="E1755" s="108" t="s">
        <v>14605</v>
      </c>
      <c r="F1755" s="108" t="s">
        <v>15992</v>
      </c>
      <c r="G1755" s="110"/>
      <c r="H1755" s="108" t="s">
        <v>16858</v>
      </c>
      <c r="I1755" s="108"/>
    </row>
    <row r="1756" spans="1:9" ht="27.6">
      <c r="A1756" s="108" t="s">
        <v>207</v>
      </c>
      <c r="B1756" s="108" t="s">
        <v>16940</v>
      </c>
      <c r="C1756" s="109">
        <v>40154</v>
      </c>
      <c r="D1756" s="108"/>
      <c r="E1756" s="108" t="s">
        <v>14605</v>
      </c>
      <c r="F1756" s="108" t="s">
        <v>16941</v>
      </c>
      <c r="G1756" s="110"/>
      <c r="H1756" s="108" t="s">
        <v>16858</v>
      </c>
      <c r="I1756" s="108"/>
    </row>
    <row r="1757" spans="1:9" ht="27.6">
      <c r="A1757" s="108" t="s">
        <v>207</v>
      </c>
      <c r="B1757" s="108" t="s">
        <v>16942</v>
      </c>
      <c r="C1757" s="109">
        <v>40942</v>
      </c>
      <c r="D1757" s="108"/>
      <c r="E1757" s="108" t="s">
        <v>14605</v>
      </c>
      <c r="F1757" s="108" t="s">
        <v>16943</v>
      </c>
      <c r="G1757" s="110"/>
      <c r="H1757" s="108" t="s">
        <v>16858</v>
      </c>
      <c r="I1757" s="108"/>
    </row>
    <row r="1758" spans="1:9" ht="27.6">
      <c r="A1758" s="108" t="s">
        <v>207</v>
      </c>
      <c r="B1758" s="108" t="s">
        <v>16944</v>
      </c>
      <c r="C1758" s="109">
        <v>40945</v>
      </c>
      <c r="D1758" s="108"/>
      <c r="E1758" s="108" t="s">
        <v>14605</v>
      </c>
      <c r="F1758" s="108" t="s">
        <v>16945</v>
      </c>
      <c r="G1758" s="110"/>
      <c r="H1758" s="108" t="s">
        <v>16858</v>
      </c>
      <c r="I1758" s="108"/>
    </row>
    <row r="1759" spans="1:9">
      <c r="A1759" s="108" t="s">
        <v>118</v>
      </c>
      <c r="B1759" s="108" t="s">
        <v>16946</v>
      </c>
      <c r="C1759" s="109">
        <v>44299</v>
      </c>
      <c r="D1759" s="108"/>
      <c r="E1759" s="108" t="s">
        <v>14605</v>
      </c>
      <c r="F1759" s="108" t="s">
        <v>16947</v>
      </c>
      <c r="G1759" s="110"/>
      <c r="H1759" s="108" t="s">
        <v>16858</v>
      </c>
      <c r="I1759" s="108"/>
    </row>
    <row r="1760" spans="1:9">
      <c r="A1760" s="108" t="s">
        <v>169</v>
      </c>
      <c r="B1760" s="108" t="s">
        <v>16948</v>
      </c>
      <c r="C1760" s="109">
        <v>44274</v>
      </c>
      <c r="D1760" s="108"/>
      <c r="E1760" s="108" t="s">
        <v>14605</v>
      </c>
      <c r="F1760" s="108" t="s">
        <v>16875</v>
      </c>
      <c r="G1760" s="110"/>
      <c r="H1760" s="108" t="s">
        <v>16858</v>
      </c>
      <c r="I1760" s="108"/>
    </row>
    <row r="1761" spans="1:9" ht="27.6">
      <c r="A1761" s="108" t="s">
        <v>109</v>
      </c>
      <c r="B1761" s="108" t="s">
        <v>16949</v>
      </c>
      <c r="C1761" s="109">
        <v>44488</v>
      </c>
      <c r="D1761" s="108" t="s">
        <v>16950</v>
      </c>
      <c r="E1761" s="108" t="s">
        <v>14605</v>
      </c>
      <c r="F1761" s="108" t="s">
        <v>16951</v>
      </c>
      <c r="G1761" s="109">
        <v>47167</v>
      </c>
      <c r="H1761" s="108" t="s">
        <v>16858</v>
      </c>
      <c r="I1761" s="108" t="s">
        <v>102</v>
      </c>
    </row>
    <row r="1762" spans="1:9">
      <c r="A1762" s="108" t="s">
        <v>16151</v>
      </c>
      <c r="B1762" s="108" t="s">
        <v>16952</v>
      </c>
      <c r="C1762" s="109">
        <v>44572</v>
      </c>
      <c r="D1762" s="108" t="s">
        <v>16953</v>
      </c>
      <c r="E1762" s="108" t="s">
        <v>14605</v>
      </c>
      <c r="F1762" s="108" t="s">
        <v>15099</v>
      </c>
      <c r="G1762" s="109">
        <v>46031</v>
      </c>
      <c r="H1762" s="108" t="s">
        <v>16858</v>
      </c>
      <c r="I1762" s="108" t="s">
        <v>102</v>
      </c>
    </row>
    <row r="1763" spans="1:9" ht="27.6">
      <c r="A1763" s="108" t="s">
        <v>16149</v>
      </c>
      <c r="B1763" s="108" t="s">
        <v>16954</v>
      </c>
      <c r="C1763" s="109">
        <v>45145</v>
      </c>
      <c r="D1763" s="108" t="s">
        <v>16955</v>
      </c>
      <c r="E1763" s="108" t="s">
        <v>14605</v>
      </c>
      <c r="F1763" s="108" t="s">
        <v>16913</v>
      </c>
      <c r="G1763" s="109">
        <v>46295</v>
      </c>
      <c r="H1763" s="108" t="s">
        <v>16858</v>
      </c>
      <c r="I1763" s="108" t="s">
        <v>102</v>
      </c>
    </row>
    <row r="1764" spans="1:9">
      <c r="A1764" s="108" t="s">
        <v>16151</v>
      </c>
      <c r="B1764" s="108" t="s">
        <v>16956</v>
      </c>
      <c r="C1764" s="109">
        <v>45532</v>
      </c>
      <c r="D1764" s="108" t="s">
        <v>16957</v>
      </c>
      <c r="E1764" s="108" t="s">
        <v>14605</v>
      </c>
      <c r="F1764" s="108" t="s">
        <v>16188</v>
      </c>
      <c r="G1764" s="109">
        <v>46217</v>
      </c>
      <c r="H1764" s="108" t="s">
        <v>16858</v>
      </c>
      <c r="I1764" s="108" t="s">
        <v>102</v>
      </c>
    </row>
    <row r="1765" spans="1:9">
      <c r="A1765" s="108" t="s">
        <v>16151</v>
      </c>
      <c r="B1765" s="108" t="s">
        <v>16958</v>
      </c>
      <c r="C1765" s="109">
        <v>45477</v>
      </c>
      <c r="D1765" s="108" t="s">
        <v>16959</v>
      </c>
      <c r="E1765" s="108" t="s">
        <v>14605</v>
      </c>
      <c r="F1765" s="108" t="s">
        <v>16188</v>
      </c>
      <c r="G1765" s="109">
        <v>46217</v>
      </c>
      <c r="H1765" s="108" t="s">
        <v>16858</v>
      </c>
      <c r="I1765" s="108" t="s">
        <v>102</v>
      </c>
    </row>
    <row r="1766" spans="1:9">
      <c r="A1766" s="108" t="s">
        <v>8194</v>
      </c>
      <c r="B1766" s="108" t="s">
        <v>16960</v>
      </c>
      <c r="C1766" s="109">
        <v>44354</v>
      </c>
      <c r="D1766" s="108" t="s">
        <v>16961</v>
      </c>
      <c r="E1766" s="108" t="s">
        <v>14605</v>
      </c>
      <c r="F1766" s="108" t="s">
        <v>15992</v>
      </c>
      <c r="G1766" s="109">
        <v>45566</v>
      </c>
      <c r="H1766" s="108" t="s">
        <v>16858</v>
      </c>
      <c r="I1766" s="108" t="s">
        <v>95</v>
      </c>
    </row>
    <row r="1767" spans="1:9">
      <c r="A1767" s="108" t="s">
        <v>8271</v>
      </c>
      <c r="B1767" s="108" t="s">
        <v>16962</v>
      </c>
      <c r="C1767" s="109">
        <v>43592</v>
      </c>
      <c r="D1767" s="108" t="s">
        <v>16963</v>
      </c>
      <c r="E1767" s="108" t="s">
        <v>14605</v>
      </c>
      <c r="F1767" s="108" t="s">
        <v>16964</v>
      </c>
      <c r="G1767" s="109">
        <v>44532</v>
      </c>
      <c r="H1767" s="108" t="s">
        <v>16858</v>
      </c>
      <c r="I1767" s="108" t="s">
        <v>95</v>
      </c>
    </row>
    <row r="1768" spans="1:9" ht="27.6">
      <c r="A1768" s="108" t="s">
        <v>14950</v>
      </c>
      <c r="B1768" s="108" t="s">
        <v>16965</v>
      </c>
      <c r="C1768" s="109">
        <v>44140</v>
      </c>
      <c r="D1768" s="108" t="s">
        <v>16966</v>
      </c>
      <c r="E1768" s="108" t="s">
        <v>14605</v>
      </c>
      <c r="F1768" s="108" t="s">
        <v>16890</v>
      </c>
      <c r="G1768" s="109">
        <v>45934</v>
      </c>
      <c r="H1768" s="108" t="s">
        <v>16858</v>
      </c>
      <c r="I1768" s="108" t="s">
        <v>95</v>
      </c>
    </row>
    <row r="1769" spans="1:9" ht="27.6">
      <c r="A1769" s="108" t="s">
        <v>14950</v>
      </c>
      <c r="B1769" s="108" t="s">
        <v>16967</v>
      </c>
      <c r="C1769" s="109">
        <v>43690</v>
      </c>
      <c r="D1769" s="108" t="s">
        <v>16968</v>
      </c>
      <c r="E1769" s="108" t="s">
        <v>14605</v>
      </c>
      <c r="F1769" s="108" t="s">
        <v>16969</v>
      </c>
      <c r="G1769" s="109">
        <v>45448</v>
      </c>
      <c r="H1769" s="108" t="s">
        <v>16858</v>
      </c>
      <c r="I1769" s="108" t="s">
        <v>95</v>
      </c>
    </row>
    <row r="1770" spans="1:9" ht="27.6">
      <c r="A1770" s="108" t="s">
        <v>14950</v>
      </c>
      <c r="B1770" s="108" t="s">
        <v>16970</v>
      </c>
      <c r="C1770" s="109">
        <v>43767</v>
      </c>
      <c r="D1770" s="108" t="s">
        <v>16971</v>
      </c>
      <c r="E1770" s="108" t="s">
        <v>14605</v>
      </c>
      <c r="F1770" s="108" t="s">
        <v>16972</v>
      </c>
      <c r="G1770" s="109">
        <v>45594</v>
      </c>
      <c r="H1770" s="108" t="s">
        <v>16858</v>
      </c>
      <c r="I1770" s="108" t="s">
        <v>95</v>
      </c>
    </row>
    <row r="1771" spans="1:9" ht="27.6">
      <c r="A1771" s="108" t="s">
        <v>14950</v>
      </c>
      <c r="B1771" s="108" t="s">
        <v>16973</v>
      </c>
      <c r="C1771" s="109">
        <v>43852</v>
      </c>
      <c r="D1771" s="108" t="s">
        <v>16974</v>
      </c>
      <c r="E1771" s="108" t="s">
        <v>14605</v>
      </c>
      <c r="F1771" s="108" t="s">
        <v>16361</v>
      </c>
      <c r="G1771" s="109">
        <v>46042</v>
      </c>
      <c r="H1771" s="108" t="s">
        <v>16858</v>
      </c>
      <c r="I1771" s="108" t="s">
        <v>95</v>
      </c>
    </row>
    <row r="1772" spans="1:9" ht="27.6">
      <c r="A1772" s="108" t="s">
        <v>14950</v>
      </c>
      <c r="B1772" s="108" t="s">
        <v>16975</v>
      </c>
      <c r="C1772" s="109">
        <v>43879</v>
      </c>
      <c r="D1772" s="108" t="s">
        <v>16976</v>
      </c>
      <c r="E1772" s="108" t="s">
        <v>14605</v>
      </c>
      <c r="F1772" s="108" t="s">
        <v>16977</v>
      </c>
      <c r="G1772" s="109">
        <v>46079</v>
      </c>
      <c r="H1772" s="108" t="s">
        <v>16858</v>
      </c>
      <c r="I1772" s="108" t="s">
        <v>95</v>
      </c>
    </row>
    <row r="1773" spans="1:9" ht="27.6">
      <c r="A1773" s="108" t="s">
        <v>14950</v>
      </c>
      <c r="B1773" s="108" t="s">
        <v>16978</v>
      </c>
      <c r="C1773" s="109">
        <v>45090</v>
      </c>
      <c r="D1773" s="108" t="s">
        <v>16979</v>
      </c>
      <c r="E1773" s="108" t="s">
        <v>14605</v>
      </c>
      <c r="F1773" s="108" t="s">
        <v>15992</v>
      </c>
      <c r="G1773" s="109">
        <v>45473</v>
      </c>
      <c r="H1773" s="108" t="s">
        <v>16980</v>
      </c>
      <c r="I1773" s="108" t="s">
        <v>95</v>
      </c>
    </row>
    <row r="1774" spans="1:9" ht="27.6">
      <c r="A1774" s="108" t="s">
        <v>15075</v>
      </c>
      <c r="B1774" s="108" t="s">
        <v>16981</v>
      </c>
      <c r="C1774" s="109">
        <v>44755</v>
      </c>
      <c r="D1774" s="108" t="s">
        <v>16982</v>
      </c>
      <c r="E1774" s="108" t="s">
        <v>14605</v>
      </c>
      <c r="F1774" s="108" t="s">
        <v>16983</v>
      </c>
      <c r="G1774" s="109">
        <v>46198</v>
      </c>
      <c r="H1774" s="108" t="s">
        <v>16858</v>
      </c>
      <c r="I1774" s="108" t="s">
        <v>95</v>
      </c>
    </row>
    <row r="1775" spans="1:9" ht="27.6">
      <c r="A1775" s="108" t="s">
        <v>15075</v>
      </c>
      <c r="B1775" s="108" t="s">
        <v>16984</v>
      </c>
      <c r="C1775" s="109">
        <v>45441</v>
      </c>
      <c r="D1775" s="108" t="s">
        <v>16985</v>
      </c>
      <c r="E1775" s="108" t="s">
        <v>14605</v>
      </c>
      <c r="F1775" s="108" t="s">
        <v>15295</v>
      </c>
      <c r="G1775" s="109">
        <v>45810</v>
      </c>
      <c r="H1775" s="108" t="s">
        <v>16858</v>
      </c>
      <c r="I1775" s="108" t="s">
        <v>95</v>
      </c>
    </row>
    <row r="1776" spans="1:9">
      <c r="A1776" s="108" t="s">
        <v>16986</v>
      </c>
      <c r="B1776" s="108" t="s">
        <v>16987</v>
      </c>
      <c r="C1776" s="109">
        <v>44358</v>
      </c>
      <c r="D1776" s="108" t="s">
        <v>16988</v>
      </c>
      <c r="E1776" s="108" t="s">
        <v>14605</v>
      </c>
      <c r="F1776" s="108" t="s">
        <v>16989</v>
      </c>
      <c r="G1776" s="109">
        <v>45900</v>
      </c>
      <c r="H1776" s="108" t="s">
        <v>16858</v>
      </c>
      <c r="I1776" s="108" t="s">
        <v>95</v>
      </c>
    </row>
    <row r="1777" spans="1:9">
      <c r="A1777" s="108" t="s">
        <v>15859</v>
      </c>
      <c r="B1777" s="108" t="s">
        <v>16990</v>
      </c>
      <c r="C1777" s="109">
        <v>45184</v>
      </c>
      <c r="D1777" s="108" t="s">
        <v>16991</v>
      </c>
      <c r="E1777" s="108" t="s">
        <v>14605</v>
      </c>
      <c r="F1777" s="108" t="s">
        <v>15992</v>
      </c>
      <c r="G1777" s="109">
        <v>45915</v>
      </c>
      <c r="H1777" s="108" t="s">
        <v>16858</v>
      </c>
      <c r="I1777" s="108" t="s">
        <v>95</v>
      </c>
    </row>
    <row r="1778" spans="1:9" ht="27.6">
      <c r="A1778" s="108" t="s">
        <v>109</v>
      </c>
      <c r="B1778" s="108" t="s">
        <v>16992</v>
      </c>
      <c r="C1778" s="109">
        <v>44785</v>
      </c>
      <c r="D1778" s="108" t="s">
        <v>16993</v>
      </c>
      <c r="E1778" s="108" t="s">
        <v>14605</v>
      </c>
      <c r="F1778" s="108" t="s">
        <v>15367</v>
      </c>
      <c r="G1778" s="109">
        <v>45890</v>
      </c>
      <c r="H1778" s="108" t="s">
        <v>16980</v>
      </c>
      <c r="I1778" s="108" t="s">
        <v>95</v>
      </c>
    </row>
    <row r="1779" spans="1:9" ht="27.6">
      <c r="A1779" s="108" t="s">
        <v>109</v>
      </c>
      <c r="B1779" s="108" t="s">
        <v>16994</v>
      </c>
      <c r="C1779" s="109">
        <v>44832</v>
      </c>
      <c r="D1779" s="108" t="s">
        <v>16995</v>
      </c>
      <c r="E1779" s="108" t="s">
        <v>14605</v>
      </c>
      <c r="F1779" s="108" t="s">
        <v>15362</v>
      </c>
      <c r="G1779" s="109">
        <v>45904</v>
      </c>
      <c r="H1779" s="108" t="s">
        <v>16858</v>
      </c>
      <c r="I1779" s="108" t="s">
        <v>95</v>
      </c>
    </row>
    <row r="1780" spans="1:9" ht="27.6">
      <c r="A1780" s="108" t="s">
        <v>109</v>
      </c>
      <c r="B1780" s="108" t="s">
        <v>16996</v>
      </c>
      <c r="C1780" s="109">
        <v>45166</v>
      </c>
      <c r="D1780" s="108" t="s">
        <v>16997</v>
      </c>
      <c r="E1780" s="108" t="s">
        <v>14605</v>
      </c>
      <c r="F1780" s="108" t="s">
        <v>15295</v>
      </c>
      <c r="G1780" s="109">
        <v>46253</v>
      </c>
      <c r="H1780" s="108" t="s">
        <v>16858</v>
      </c>
      <c r="I1780" s="108" t="s">
        <v>95</v>
      </c>
    </row>
    <row r="1781" spans="1:9" ht="27.6">
      <c r="A1781" s="108" t="s">
        <v>981</v>
      </c>
      <c r="B1781" s="108" t="s">
        <v>16998</v>
      </c>
      <c r="C1781" s="109">
        <v>45272</v>
      </c>
      <c r="D1781" s="108" t="s">
        <v>16999</v>
      </c>
      <c r="E1781" s="108" t="s">
        <v>14605</v>
      </c>
      <c r="F1781" s="108" t="s">
        <v>17000</v>
      </c>
      <c r="G1781" s="109">
        <v>46387</v>
      </c>
      <c r="H1781" s="108" t="s">
        <v>16858</v>
      </c>
      <c r="I1781" s="108" t="s">
        <v>95</v>
      </c>
    </row>
    <row r="1782" spans="1:9" ht="27.6">
      <c r="A1782" s="108" t="s">
        <v>109</v>
      </c>
      <c r="B1782" s="108" t="s">
        <v>17001</v>
      </c>
      <c r="C1782" s="109">
        <v>45233</v>
      </c>
      <c r="D1782" s="108" t="s">
        <v>17002</v>
      </c>
      <c r="E1782" s="108" t="s">
        <v>14605</v>
      </c>
      <c r="F1782" s="108" t="s">
        <v>17003</v>
      </c>
      <c r="G1782" s="109">
        <v>45968</v>
      </c>
      <c r="H1782" s="108" t="s">
        <v>16858</v>
      </c>
      <c r="I1782" s="108" t="s">
        <v>95</v>
      </c>
    </row>
    <row r="1783" spans="1:9" ht="27.6">
      <c r="A1783" s="108" t="s">
        <v>109</v>
      </c>
      <c r="B1783" s="108" t="s">
        <v>17004</v>
      </c>
      <c r="C1783" s="109">
        <v>45511</v>
      </c>
      <c r="D1783" s="108" t="s">
        <v>17005</v>
      </c>
      <c r="E1783" s="108" t="s">
        <v>14605</v>
      </c>
      <c r="F1783" s="108" t="s">
        <v>16927</v>
      </c>
      <c r="G1783" s="109">
        <v>46220</v>
      </c>
      <c r="H1783" s="108" t="s">
        <v>16858</v>
      </c>
      <c r="I1783" s="108" t="s">
        <v>95</v>
      </c>
    </row>
    <row r="1784" spans="1:9">
      <c r="A1784" s="108" t="s">
        <v>8194</v>
      </c>
      <c r="B1784" s="108" t="s">
        <v>17006</v>
      </c>
      <c r="C1784" s="109">
        <v>43381</v>
      </c>
      <c r="D1784" s="108" t="s">
        <v>17007</v>
      </c>
      <c r="E1784" s="108" t="s">
        <v>14605</v>
      </c>
      <c r="F1784" s="108" t="s">
        <v>16361</v>
      </c>
      <c r="G1784" s="109">
        <v>46042</v>
      </c>
      <c r="H1784" s="108" t="s">
        <v>16858</v>
      </c>
      <c r="I1784" s="108" t="s">
        <v>95</v>
      </c>
    </row>
    <row r="1785" spans="1:9" ht="27.6">
      <c r="A1785" s="108" t="s">
        <v>16151</v>
      </c>
      <c r="B1785" s="108" t="s">
        <v>17008</v>
      </c>
      <c r="C1785" s="109">
        <v>43622</v>
      </c>
      <c r="D1785" s="108" t="s">
        <v>17009</v>
      </c>
      <c r="E1785" s="108" t="s">
        <v>14605</v>
      </c>
      <c r="F1785" s="108" t="s">
        <v>16977</v>
      </c>
      <c r="G1785" s="109">
        <v>46079</v>
      </c>
      <c r="H1785" s="108" t="s">
        <v>16980</v>
      </c>
      <c r="I1785" s="108" t="s">
        <v>95</v>
      </c>
    </row>
    <row r="1786" spans="1:9" ht="27.6">
      <c r="A1786" s="108" t="s">
        <v>96</v>
      </c>
      <c r="B1786" s="108" t="s">
        <v>17010</v>
      </c>
      <c r="C1786" s="109">
        <v>43690</v>
      </c>
      <c r="D1786" s="108" t="s">
        <v>17011</v>
      </c>
      <c r="E1786" s="108" t="s">
        <v>14605</v>
      </c>
      <c r="F1786" s="108" t="s">
        <v>16969</v>
      </c>
      <c r="G1786" s="109">
        <v>46287</v>
      </c>
      <c r="H1786" s="108" t="s">
        <v>16858</v>
      </c>
      <c r="I1786" s="108" t="s">
        <v>95</v>
      </c>
    </row>
    <row r="1787" spans="1:9">
      <c r="A1787" s="108" t="s">
        <v>16151</v>
      </c>
      <c r="B1787" s="108" t="s">
        <v>17012</v>
      </c>
      <c r="C1787" s="109">
        <v>43747</v>
      </c>
      <c r="D1787" s="108" t="s">
        <v>17013</v>
      </c>
      <c r="E1787" s="108" t="s">
        <v>14605</v>
      </c>
      <c r="F1787" s="108" t="s">
        <v>15916</v>
      </c>
      <c r="G1787" s="109">
        <v>46022</v>
      </c>
      <c r="H1787" s="108" t="s">
        <v>16858</v>
      </c>
      <c r="I1787" s="108" t="s">
        <v>95</v>
      </c>
    </row>
    <row r="1788" spans="1:9" ht="27.6">
      <c r="A1788" s="108" t="s">
        <v>96</v>
      </c>
      <c r="B1788" s="108" t="s">
        <v>17014</v>
      </c>
      <c r="C1788" s="109">
        <v>44133</v>
      </c>
      <c r="D1788" s="108" t="s">
        <v>17015</v>
      </c>
      <c r="E1788" s="108" t="s">
        <v>14605</v>
      </c>
      <c r="F1788" s="108" t="s">
        <v>17016</v>
      </c>
      <c r="G1788" s="109">
        <v>45973</v>
      </c>
      <c r="H1788" s="108" t="s">
        <v>16858</v>
      </c>
      <c r="I1788" s="108" t="s">
        <v>95</v>
      </c>
    </row>
    <row r="1789" spans="1:9" ht="27.6">
      <c r="A1789" s="108" t="s">
        <v>15990</v>
      </c>
      <c r="B1789" s="108" t="s">
        <v>17017</v>
      </c>
      <c r="C1789" s="109">
        <v>44820</v>
      </c>
      <c r="D1789" s="108" t="s">
        <v>17018</v>
      </c>
      <c r="E1789" s="108" t="s">
        <v>14605</v>
      </c>
      <c r="F1789" s="108" t="s">
        <v>15124</v>
      </c>
      <c r="G1789" s="109">
        <v>46049</v>
      </c>
      <c r="H1789" s="108" t="s">
        <v>16858</v>
      </c>
      <c r="I1789" s="108" t="s">
        <v>95</v>
      </c>
    </row>
    <row r="1790" spans="1:9">
      <c r="A1790" s="108" t="s">
        <v>15990</v>
      </c>
      <c r="B1790" s="108" t="s">
        <v>17019</v>
      </c>
      <c r="C1790" s="109">
        <v>44888</v>
      </c>
      <c r="D1790" s="108" t="s">
        <v>17020</v>
      </c>
      <c r="E1790" s="108" t="s">
        <v>14605</v>
      </c>
      <c r="F1790" s="108" t="s">
        <v>15362</v>
      </c>
      <c r="G1790" s="109">
        <v>45925</v>
      </c>
      <c r="H1790" s="108" t="s">
        <v>16858</v>
      </c>
      <c r="I1790" s="108" t="s">
        <v>95</v>
      </c>
    </row>
    <row r="1791" spans="1:9">
      <c r="A1791" s="108" t="s">
        <v>15990</v>
      </c>
      <c r="B1791" s="108" t="s">
        <v>17021</v>
      </c>
      <c r="C1791" s="109">
        <v>44861</v>
      </c>
      <c r="D1791" s="108" t="s">
        <v>17022</v>
      </c>
      <c r="E1791" s="108" t="s">
        <v>14605</v>
      </c>
      <c r="F1791" s="108" t="s">
        <v>15916</v>
      </c>
      <c r="G1791" s="109">
        <v>46022</v>
      </c>
      <c r="H1791" s="108" t="s">
        <v>16858</v>
      </c>
      <c r="I1791" s="108" t="s">
        <v>95</v>
      </c>
    </row>
    <row r="1792" spans="1:9">
      <c r="A1792" s="108" t="s">
        <v>15990</v>
      </c>
      <c r="B1792" s="108" t="s">
        <v>17023</v>
      </c>
      <c r="C1792" s="109">
        <v>45302</v>
      </c>
      <c r="D1792" s="108" t="s">
        <v>17024</v>
      </c>
      <c r="E1792" s="108" t="s">
        <v>14605</v>
      </c>
      <c r="F1792" s="108" t="s">
        <v>17025</v>
      </c>
      <c r="G1792" s="109">
        <v>46030</v>
      </c>
      <c r="H1792" s="108" t="s">
        <v>16980</v>
      </c>
      <c r="I1792" s="108" t="s">
        <v>95</v>
      </c>
    </row>
    <row r="1793" spans="1:9">
      <c r="A1793" s="108" t="s">
        <v>15990</v>
      </c>
      <c r="B1793" s="108" t="s">
        <v>17026</v>
      </c>
      <c r="C1793" s="109">
        <v>45338</v>
      </c>
      <c r="D1793" s="108" t="s">
        <v>17027</v>
      </c>
      <c r="E1793" s="108" t="s">
        <v>14605</v>
      </c>
      <c r="F1793" s="108" t="s">
        <v>16890</v>
      </c>
      <c r="G1793" s="109">
        <v>46030</v>
      </c>
      <c r="H1793" s="108" t="s">
        <v>16858</v>
      </c>
      <c r="I1793" s="108" t="s">
        <v>95</v>
      </c>
    </row>
    <row r="1794" spans="1:9" ht="27.6">
      <c r="A1794" s="108" t="s">
        <v>15990</v>
      </c>
      <c r="B1794" s="108" t="s">
        <v>17028</v>
      </c>
      <c r="C1794" s="109">
        <v>45569</v>
      </c>
      <c r="D1794" s="108" t="s">
        <v>17029</v>
      </c>
      <c r="E1794" s="108" t="s">
        <v>14605</v>
      </c>
      <c r="F1794" s="108" t="s">
        <v>15295</v>
      </c>
      <c r="G1794" s="109">
        <v>46208</v>
      </c>
      <c r="H1794" s="108" t="s">
        <v>16858</v>
      </c>
      <c r="I1794" s="108" t="s">
        <v>95</v>
      </c>
    </row>
    <row r="1795" spans="1:9">
      <c r="A1795" s="108" t="s">
        <v>15990</v>
      </c>
      <c r="B1795" s="108" t="s">
        <v>17030</v>
      </c>
      <c r="C1795" s="109">
        <v>45526</v>
      </c>
      <c r="D1795" s="108" t="s">
        <v>17031</v>
      </c>
      <c r="E1795" s="108" t="s">
        <v>14605</v>
      </c>
      <c r="F1795" s="108" t="s">
        <v>16898</v>
      </c>
      <c r="G1795" s="109">
        <v>47305</v>
      </c>
      <c r="H1795" s="108" t="s">
        <v>16858</v>
      </c>
      <c r="I1795" s="108" t="s">
        <v>95</v>
      </c>
    </row>
    <row r="1796" spans="1:9">
      <c r="A1796" s="108" t="s">
        <v>16151</v>
      </c>
      <c r="B1796" s="108" t="s">
        <v>17032</v>
      </c>
      <c r="C1796" s="109">
        <v>43767</v>
      </c>
      <c r="D1796" s="108" t="s">
        <v>17033</v>
      </c>
      <c r="E1796" s="108" t="s">
        <v>14605</v>
      </c>
      <c r="F1796" s="108" t="s">
        <v>16904</v>
      </c>
      <c r="G1796" s="109">
        <v>45959</v>
      </c>
      <c r="H1796" s="108" t="s">
        <v>16858</v>
      </c>
      <c r="I1796" s="108" t="s">
        <v>95</v>
      </c>
    </row>
    <row r="1797" spans="1:9">
      <c r="A1797" s="108" t="s">
        <v>16151</v>
      </c>
      <c r="B1797" s="108" t="s">
        <v>17034</v>
      </c>
      <c r="C1797" s="109">
        <v>43852</v>
      </c>
      <c r="D1797" s="108" t="s">
        <v>17035</v>
      </c>
      <c r="E1797" s="108" t="s">
        <v>14605</v>
      </c>
      <c r="F1797" s="108" t="s">
        <v>16361</v>
      </c>
      <c r="G1797" s="109">
        <v>46042</v>
      </c>
      <c r="H1797" s="108" t="s">
        <v>16858</v>
      </c>
      <c r="I1797" s="108" t="s">
        <v>95</v>
      </c>
    </row>
    <row r="1798" spans="1:9" ht="27.6">
      <c r="A1798" s="108" t="s">
        <v>16151</v>
      </c>
      <c r="B1798" s="108" t="s">
        <v>17036</v>
      </c>
      <c r="C1798" s="109">
        <v>43879</v>
      </c>
      <c r="D1798" s="108" t="s">
        <v>17037</v>
      </c>
      <c r="E1798" s="108" t="s">
        <v>14605</v>
      </c>
      <c r="F1798" s="108" t="s">
        <v>16977</v>
      </c>
      <c r="G1798" s="109">
        <v>46079</v>
      </c>
      <c r="H1798" s="108" t="s">
        <v>16858</v>
      </c>
      <c r="I1798" s="108" t="s">
        <v>95</v>
      </c>
    </row>
    <row r="1799" spans="1:9">
      <c r="A1799" s="108" t="s">
        <v>16151</v>
      </c>
      <c r="B1799" s="108" t="s">
        <v>17038</v>
      </c>
      <c r="C1799" s="109">
        <v>44284</v>
      </c>
      <c r="D1799" s="108" t="s">
        <v>17039</v>
      </c>
      <c r="E1799" s="108" t="s">
        <v>14605</v>
      </c>
      <c r="F1799" s="108" t="s">
        <v>15362</v>
      </c>
      <c r="G1799" s="109">
        <v>45741</v>
      </c>
      <c r="H1799" s="108" t="s">
        <v>16858</v>
      </c>
      <c r="I1799" s="108" t="s">
        <v>95</v>
      </c>
    </row>
    <row r="1800" spans="1:9">
      <c r="A1800" s="108" t="s">
        <v>16151</v>
      </c>
      <c r="B1800" s="108" t="s">
        <v>17040</v>
      </c>
      <c r="C1800" s="109">
        <v>44466</v>
      </c>
      <c r="D1800" s="108" t="s">
        <v>17041</v>
      </c>
      <c r="E1800" s="108" t="s">
        <v>14605</v>
      </c>
      <c r="F1800" s="108" t="s">
        <v>16900</v>
      </c>
      <c r="G1800" s="109">
        <v>45939</v>
      </c>
      <c r="H1800" s="108" t="s">
        <v>16858</v>
      </c>
      <c r="I1800" s="108" t="s">
        <v>95</v>
      </c>
    </row>
    <row r="1801" spans="1:9">
      <c r="A1801" s="108" t="s">
        <v>16151</v>
      </c>
      <c r="B1801" s="108" t="s">
        <v>17042</v>
      </c>
      <c r="C1801" s="109">
        <v>44476</v>
      </c>
      <c r="D1801" s="108" t="s">
        <v>17043</v>
      </c>
      <c r="E1801" s="108" t="s">
        <v>14605</v>
      </c>
      <c r="F1801" s="108" t="s">
        <v>17044</v>
      </c>
      <c r="G1801" s="109">
        <v>45946</v>
      </c>
      <c r="H1801" s="108" t="s">
        <v>16858</v>
      </c>
      <c r="I1801" s="108" t="s">
        <v>95</v>
      </c>
    </row>
    <row r="1802" spans="1:9">
      <c r="A1802" s="108" t="s">
        <v>16151</v>
      </c>
      <c r="B1802" s="108" t="s">
        <v>17045</v>
      </c>
      <c r="C1802" s="109">
        <v>44547</v>
      </c>
      <c r="D1802" s="108" t="s">
        <v>17046</v>
      </c>
      <c r="E1802" s="108" t="s">
        <v>14605</v>
      </c>
      <c r="F1802" s="108" t="s">
        <v>16902</v>
      </c>
      <c r="G1802" s="109">
        <v>46377</v>
      </c>
      <c r="H1802" s="108" t="s">
        <v>16858</v>
      </c>
      <c r="I1802" s="108" t="s">
        <v>95</v>
      </c>
    </row>
    <row r="1803" spans="1:9">
      <c r="A1803" s="108" t="s">
        <v>16151</v>
      </c>
      <c r="B1803" s="108" t="s">
        <v>17047</v>
      </c>
      <c r="C1803" s="109">
        <v>44749</v>
      </c>
      <c r="D1803" s="108" t="s">
        <v>17048</v>
      </c>
      <c r="E1803" s="108" t="s">
        <v>14605</v>
      </c>
      <c r="F1803" s="108" t="s">
        <v>16898</v>
      </c>
      <c r="G1803" s="109">
        <v>46570</v>
      </c>
      <c r="H1803" s="108" t="s">
        <v>16980</v>
      </c>
      <c r="I1803" s="108" t="s">
        <v>95</v>
      </c>
    </row>
    <row r="1804" spans="1:9">
      <c r="A1804" s="108" t="s">
        <v>16151</v>
      </c>
      <c r="B1804" s="108" t="s">
        <v>17049</v>
      </c>
      <c r="C1804" s="109">
        <v>44739</v>
      </c>
      <c r="D1804" s="108" t="s">
        <v>16982</v>
      </c>
      <c r="E1804" s="108" t="s">
        <v>14605</v>
      </c>
      <c r="F1804" s="108" t="s">
        <v>16983</v>
      </c>
      <c r="G1804" s="109">
        <v>46198</v>
      </c>
      <c r="H1804" s="108" t="s">
        <v>16858</v>
      </c>
      <c r="I1804" s="108" t="s">
        <v>95</v>
      </c>
    </row>
    <row r="1805" spans="1:9">
      <c r="A1805" s="108" t="s">
        <v>16151</v>
      </c>
      <c r="B1805" s="108" t="s">
        <v>17050</v>
      </c>
      <c r="C1805" s="109">
        <v>44995</v>
      </c>
      <c r="D1805" s="108" t="s">
        <v>17051</v>
      </c>
      <c r="E1805" s="108" t="s">
        <v>14605</v>
      </c>
      <c r="F1805" s="108" t="s">
        <v>17052</v>
      </c>
      <c r="G1805" s="109">
        <v>46089</v>
      </c>
      <c r="H1805" s="108" t="s">
        <v>16858</v>
      </c>
      <c r="I1805" s="108" t="s">
        <v>95</v>
      </c>
    </row>
    <row r="1806" spans="1:9">
      <c r="A1806" s="108" t="s">
        <v>16151</v>
      </c>
      <c r="B1806" s="108" t="s">
        <v>17053</v>
      </c>
      <c r="C1806" s="109">
        <v>45049</v>
      </c>
      <c r="D1806" s="108" t="s">
        <v>17054</v>
      </c>
      <c r="E1806" s="108" t="s">
        <v>14605</v>
      </c>
      <c r="F1806" s="108" t="s">
        <v>17055</v>
      </c>
      <c r="G1806" s="109">
        <v>46140</v>
      </c>
      <c r="H1806" s="108" t="s">
        <v>16980</v>
      </c>
      <c r="I1806" s="108" t="s">
        <v>95</v>
      </c>
    </row>
    <row r="1807" spans="1:9">
      <c r="A1807" s="108" t="s">
        <v>16151</v>
      </c>
      <c r="B1807" s="108" t="s">
        <v>17056</v>
      </c>
      <c r="C1807" s="109">
        <v>45104</v>
      </c>
      <c r="D1807" s="108" t="s">
        <v>17057</v>
      </c>
      <c r="E1807" s="108" t="s">
        <v>14605</v>
      </c>
      <c r="F1807" s="108" t="s">
        <v>16909</v>
      </c>
      <c r="G1807" s="109">
        <v>45869</v>
      </c>
      <c r="H1807" s="108" t="s">
        <v>16858</v>
      </c>
      <c r="I1807" s="108" t="s">
        <v>95</v>
      </c>
    </row>
    <row r="1808" spans="1:9" ht="27.6">
      <c r="A1808" s="108" t="s">
        <v>16151</v>
      </c>
      <c r="B1808" s="108" t="s">
        <v>17058</v>
      </c>
      <c r="C1808" s="109">
        <v>45203</v>
      </c>
      <c r="D1808" s="108" t="s">
        <v>17059</v>
      </c>
      <c r="E1808" s="108" t="s">
        <v>14605</v>
      </c>
      <c r="F1808" s="108" t="s">
        <v>16972</v>
      </c>
      <c r="G1808" s="109">
        <v>45935</v>
      </c>
      <c r="H1808" s="108" t="s">
        <v>16858</v>
      </c>
      <c r="I1808" s="108" t="s">
        <v>95</v>
      </c>
    </row>
    <row r="1809" spans="1:9" ht="27.6">
      <c r="A1809" s="108" t="s">
        <v>16151</v>
      </c>
      <c r="B1809" s="108" t="s">
        <v>17060</v>
      </c>
      <c r="C1809" s="109">
        <v>45392</v>
      </c>
      <c r="D1809" s="108" t="s">
        <v>17061</v>
      </c>
      <c r="E1809" s="108" t="s">
        <v>14605</v>
      </c>
      <c r="F1809" s="108" t="s">
        <v>17062</v>
      </c>
      <c r="G1809" s="109">
        <v>46115</v>
      </c>
      <c r="H1809" s="108" t="s">
        <v>16858</v>
      </c>
      <c r="I1809" s="108" t="s">
        <v>95</v>
      </c>
    </row>
    <row r="1810" spans="1:9">
      <c r="A1810" s="108" t="s">
        <v>16151</v>
      </c>
      <c r="B1810" s="108" t="s">
        <v>17063</v>
      </c>
      <c r="C1810" s="109">
        <v>45260</v>
      </c>
      <c r="D1810" s="108" t="s">
        <v>17064</v>
      </c>
      <c r="E1810" s="108" t="s">
        <v>14605</v>
      </c>
      <c r="F1810" s="108" t="s">
        <v>16916</v>
      </c>
      <c r="G1810" s="109">
        <v>46005</v>
      </c>
      <c r="H1810" s="108" t="s">
        <v>16858</v>
      </c>
      <c r="I1810" s="108" t="s">
        <v>95</v>
      </c>
    </row>
    <row r="1811" spans="1:9">
      <c r="A1811" s="108" t="s">
        <v>16151</v>
      </c>
      <c r="B1811" s="108" t="s">
        <v>17065</v>
      </c>
      <c r="C1811" s="109">
        <v>45389</v>
      </c>
      <c r="D1811" s="108" t="s">
        <v>17066</v>
      </c>
      <c r="E1811" s="108" t="s">
        <v>14605</v>
      </c>
      <c r="F1811" s="108" t="s">
        <v>16922</v>
      </c>
      <c r="G1811" s="109">
        <v>46107</v>
      </c>
      <c r="H1811" s="108" t="s">
        <v>16858</v>
      </c>
      <c r="I1811" s="108" t="s">
        <v>95</v>
      </c>
    </row>
    <row r="1812" spans="1:9">
      <c r="A1812" s="108" t="s">
        <v>16151</v>
      </c>
      <c r="B1812" s="108" t="s">
        <v>17067</v>
      </c>
      <c r="C1812" s="109">
        <v>45334</v>
      </c>
      <c r="D1812" s="108" t="s">
        <v>17068</v>
      </c>
      <c r="E1812" s="108" t="s">
        <v>14605</v>
      </c>
      <c r="F1812" s="108" t="s">
        <v>16920</v>
      </c>
      <c r="G1812" s="109">
        <v>46800</v>
      </c>
      <c r="H1812" s="108" t="s">
        <v>16858</v>
      </c>
      <c r="I1812" s="108" t="s">
        <v>95</v>
      </c>
    </row>
    <row r="1813" spans="1:9">
      <c r="A1813" s="108" t="s">
        <v>16151</v>
      </c>
      <c r="B1813" s="108" t="s">
        <v>17069</v>
      </c>
      <c r="C1813" s="109">
        <v>45390</v>
      </c>
      <c r="D1813" s="108" t="s">
        <v>17070</v>
      </c>
      <c r="E1813" s="108" t="s">
        <v>14605</v>
      </c>
      <c r="F1813" s="108" t="s">
        <v>16922</v>
      </c>
      <c r="G1813" s="109">
        <v>46107</v>
      </c>
      <c r="H1813" s="108" t="s">
        <v>16858</v>
      </c>
      <c r="I1813" s="108" t="s">
        <v>95</v>
      </c>
    </row>
    <row r="1814" spans="1:9">
      <c r="A1814" s="108" t="s">
        <v>16151</v>
      </c>
      <c r="B1814" s="108" t="s">
        <v>17071</v>
      </c>
      <c r="C1814" s="109">
        <v>45511</v>
      </c>
      <c r="D1814" s="108" t="s">
        <v>17072</v>
      </c>
      <c r="E1814" s="108" t="s">
        <v>14605</v>
      </c>
      <c r="F1814" s="108" t="s">
        <v>16898</v>
      </c>
      <c r="G1814" s="109">
        <v>47305</v>
      </c>
      <c r="H1814" s="108" t="s">
        <v>16858</v>
      </c>
      <c r="I1814" s="108" t="s">
        <v>95</v>
      </c>
    </row>
    <row r="1815" spans="1:9" ht="27.6">
      <c r="A1815" s="108" t="s">
        <v>16151</v>
      </c>
      <c r="B1815" s="108" t="s">
        <v>17073</v>
      </c>
      <c r="C1815" s="109">
        <v>43374</v>
      </c>
      <c r="D1815" s="108" t="s">
        <v>17074</v>
      </c>
      <c r="E1815" s="108" t="s">
        <v>14605</v>
      </c>
      <c r="F1815" s="108" t="s">
        <v>15295</v>
      </c>
      <c r="G1815" s="109">
        <v>46175</v>
      </c>
      <c r="H1815" s="108" t="s">
        <v>16858</v>
      </c>
      <c r="I1815" s="108" t="s">
        <v>95</v>
      </c>
    </row>
    <row r="1816" spans="1:9">
      <c r="A1816" s="108" t="s">
        <v>16151</v>
      </c>
      <c r="B1816" s="108" t="s">
        <v>17075</v>
      </c>
      <c r="C1816" s="109">
        <v>43392</v>
      </c>
      <c r="D1816" s="108" t="s">
        <v>17076</v>
      </c>
      <c r="E1816" s="108" t="s">
        <v>14605</v>
      </c>
      <c r="F1816" s="108" t="s">
        <v>16890</v>
      </c>
      <c r="G1816" s="109">
        <v>45934</v>
      </c>
      <c r="H1816" s="108" t="s">
        <v>16858</v>
      </c>
      <c r="I1816" s="108" t="s">
        <v>95</v>
      </c>
    </row>
    <row r="1817" spans="1:9" ht="27.6">
      <c r="A1817" s="108" t="s">
        <v>16149</v>
      </c>
      <c r="B1817" s="108" t="s">
        <v>17077</v>
      </c>
      <c r="C1817" s="109">
        <v>44707</v>
      </c>
      <c r="D1817" s="108" t="s">
        <v>17078</v>
      </c>
      <c r="E1817" s="108" t="s">
        <v>14605</v>
      </c>
      <c r="F1817" s="108" t="s">
        <v>16890</v>
      </c>
      <c r="G1817" s="109">
        <v>45944</v>
      </c>
      <c r="H1817" s="108" t="s">
        <v>16858</v>
      </c>
      <c r="I1817" s="108" t="s">
        <v>95</v>
      </c>
    </row>
    <row r="1818" spans="1:9">
      <c r="A1818" s="108" t="s">
        <v>16151</v>
      </c>
      <c r="B1818" s="108" t="s">
        <v>17079</v>
      </c>
      <c r="C1818" s="109">
        <v>43446</v>
      </c>
      <c r="D1818" s="108" t="s">
        <v>17080</v>
      </c>
      <c r="E1818" s="108" t="s">
        <v>14605</v>
      </c>
      <c r="F1818" s="108" t="s">
        <v>16890</v>
      </c>
      <c r="G1818" s="109">
        <v>45934</v>
      </c>
      <c r="H1818" s="108" t="s">
        <v>16858</v>
      </c>
      <c r="I1818" s="108" t="s">
        <v>95</v>
      </c>
    </row>
    <row r="1819" spans="1:9">
      <c r="A1819" s="108" t="s">
        <v>16151</v>
      </c>
      <c r="B1819" s="108" t="s">
        <v>17081</v>
      </c>
      <c r="C1819" s="109">
        <v>43504</v>
      </c>
      <c r="D1819" s="108" t="s">
        <v>17082</v>
      </c>
      <c r="E1819" s="108" t="s">
        <v>14605</v>
      </c>
      <c r="F1819" s="108" t="s">
        <v>16890</v>
      </c>
      <c r="G1819" s="109">
        <v>45934</v>
      </c>
      <c r="H1819" s="108" t="s">
        <v>16858</v>
      </c>
      <c r="I1819" s="108" t="s">
        <v>95</v>
      </c>
    </row>
    <row r="1820" spans="1:9" ht="27.6">
      <c r="A1820" s="108" t="s">
        <v>16151</v>
      </c>
      <c r="B1820" s="108" t="s">
        <v>17083</v>
      </c>
      <c r="C1820" s="109">
        <v>44547</v>
      </c>
      <c r="D1820" s="108" t="s">
        <v>17084</v>
      </c>
      <c r="E1820" s="108" t="s">
        <v>14605</v>
      </c>
      <c r="F1820" s="108" t="s">
        <v>16907</v>
      </c>
      <c r="G1820" s="109">
        <v>46111</v>
      </c>
      <c r="H1820" s="108" t="s">
        <v>16858</v>
      </c>
      <c r="I1820" s="108" t="s">
        <v>95</v>
      </c>
    </row>
    <row r="1821" spans="1:9" ht="27.6">
      <c r="A1821" s="108" t="s">
        <v>16151</v>
      </c>
      <c r="B1821" s="108" t="s">
        <v>17085</v>
      </c>
      <c r="C1821" s="109">
        <v>43500</v>
      </c>
      <c r="D1821" s="108" t="s">
        <v>17086</v>
      </c>
      <c r="E1821" s="108" t="s">
        <v>14605</v>
      </c>
      <c r="F1821" s="108" t="s">
        <v>15295</v>
      </c>
      <c r="G1821" s="109">
        <v>46175</v>
      </c>
      <c r="H1821" s="108" t="s">
        <v>16858</v>
      </c>
      <c r="I1821" s="108" t="s">
        <v>95</v>
      </c>
    </row>
    <row r="1822" spans="1:9" ht="27.6">
      <c r="A1822" s="108" t="s">
        <v>388</v>
      </c>
      <c r="B1822" s="108" t="s">
        <v>17087</v>
      </c>
      <c r="C1822" s="109">
        <v>43523</v>
      </c>
      <c r="D1822" s="108" t="s">
        <v>17088</v>
      </c>
      <c r="E1822" s="108" t="s">
        <v>14605</v>
      </c>
      <c r="F1822" s="108" t="s">
        <v>16964</v>
      </c>
      <c r="G1822" s="109">
        <v>44532</v>
      </c>
      <c r="H1822" s="108" t="s">
        <v>16858</v>
      </c>
      <c r="I1822" s="108" t="s">
        <v>95</v>
      </c>
    </row>
    <row r="1823" spans="1:9">
      <c r="A1823" s="108" t="s">
        <v>118</v>
      </c>
      <c r="B1823" s="108" t="s">
        <v>17089</v>
      </c>
      <c r="C1823" s="109">
        <v>43189</v>
      </c>
      <c r="D1823" s="108" t="s">
        <v>17090</v>
      </c>
      <c r="E1823" s="108" t="s">
        <v>14605</v>
      </c>
      <c r="F1823" s="108" t="s">
        <v>16898</v>
      </c>
      <c r="G1823" s="109">
        <v>46041</v>
      </c>
      <c r="H1823" s="108" t="s">
        <v>16858</v>
      </c>
      <c r="I1823" s="108" t="s">
        <v>206</v>
      </c>
    </row>
    <row r="1824" spans="1:9" ht="27.6">
      <c r="A1824" s="108" t="s">
        <v>109</v>
      </c>
      <c r="B1824" s="108" t="s">
        <v>17091</v>
      </c>
      <c r="C1824" s="109">
        <v>45315</v>
      </c>
      <c r="D1824" s="108" t="s">
        <v>17092</v>
      </c>
      <c r="E1824" s="108" t="s">
        <v>14605</v>
      </c>
      <c r="F1824" s="108" t="s">
        <v>16907</v>
      </c>
      <c r="G1824" s="109">
        <v>46040</v>
      </c>
      <c r="H1824" s="108" t="s">
        <v>16858</v>
      </c>
      <c r="I1824" s="108" t="s">
        <v>133</v>
      </c>
    </row>
    <row r="1825" spans="1:9" ht="27.6">
      <c r="A1825" s="108" t="s">
        <v>15075</v>
      </c>
      <c r="B1825" s="108" t="s">
        <v>17093</v>
      </c>
      <c r="C1825" s="109">
        <v>44476</v>
      </c>
      <c r="D1825" s="108" t="s">
        <v>17094</v>
      </c>
      <c r="E1825" s="108" t="s">
        <v>14605</v>
      </c>
      <c r="F1825" s="108" t="s">
        <v>17044</v>
      </c>
      <c r="G1825" s="109">
        <v>44850</v>
      </c>
      <c r="H1825" s="108" t="s">
        <v>16858</v>
      </c>
      <c r="I1825" s="108" t="s">
        <v>108</v>
      </c>
    </row>
    <row r="1826" spans="1:9" ht="27.6">
      <c r="A1826" s="108" t="s">
        <v>15075</v>
      </c>
      <c r="B1826" s="108" t="s">
        <v>17095</v>
      </c>
      <c r="C1826" s="109">
        <v>44748</v>
      </c>
      <c r="D1826" s="108" t="s">
        <v>17096</v>
      </c>
      <c r="E1826" s="108" t="s">
        <v>14605</v>
      </c>
      <c r="F1826" s="108" t="s">
        <v>16898</v>
      </c>
      <c r="G1826" s="109">
        <v>45109</v>
      </c>
      <c r="H1826" s="108" t="s">
        <v>16980</v>
      </c>
      <c r="I1826" s="108" t="s">
        <v>108</v>
      </c>
    </row>
    <row r="1827" spans="1:9" ht="27.6">
      <c r="A1827" s="108" t="s">
        <v>15075</v>
      </c>
      <c r="B1827" s="108" t="s">
        <v>17097</v>
      </c>
      <c r="C1827" s="109">
        <v>45048</v>
      </c>
      <c r="D1827" s="108" t="s">
        <v>17098</v>
      </c>
      <c r="E1827" s="108" t="s">
        <v>14605</v>
      </c>
      <c r="F1827" s="108" t="s">
        <v>17055</v>
      </c>
      <c r="G1827" s="109">
        <v>45410</v>
      </c>
      <c r="H1827" s="108" t="s">
        <v>16980</v>
      </c>
      <c r="I1827" s="108" t="s">
        <v>108</v>
      </c>
    </row>
    <row r="1828" spans="1:9" ht="27.6">
      <c r="A1828" s="108" t="s">
        <v>8278</v>
      </c>
      <c r="B1828" s="108" t="s">
        <v>17099</v>
      </c>
      <c r="C1828" s="109">
        <v>45117</v>
      </c>
      <c r="D1828" s="108" t="s">
        <v>17100</v>
      </c>
      <c r="E1828" s="108" t="s">
        <v>14605</v>
      </c>
      <c r="F1828" s="108" t="s">
        <v>17052</v>
      </c>
      <c r="G1828" s="109">
        <v>45359</v>
      </c>
      <c r="H1828" s="108" t="s">
        <v>16858</v>
      </c>
      <c r="I1828" s="108" t="s">
        <v>108</v>
      </c>
    </row>
    <row r="1829" spans="1:9" ht="27.6">
      <c r="A1829" s="108" t="s">
        <v>15075</v>
      </c>
      <c r="B1829" s="108" t="s">
        <v>17101</v>
      </c>
      <c r="C1829" s="109">
        <v>45233</v>
      </c>
      <c r="D1829" s="108" t="s">
        <v>17102</v>
      </c>
      <c r="E1829" s="108" t="s">
        <v>14605</v>
      </c>
      <c r="F1829" s="108" t="s">
        <v>17003</v>
      </c>
      <c r="G1829" s="109">
        <v>45616</v>
      </c>
      <c r="H1829" s="108" t="s">
        <v>16858</v>
      </c>
      <c r="I1829" s="108" t="s">
        <v>108</v>
      </c>
    </row>
    <row r="1830" spans="1:9">
      <c r="A1830" s="108" t="s">
        <v>169</v>
      </c>
      <c r="B1830" s="108" t="s">
        <v>17103</v>
      </c>
      <c r="C1830" s="109">
        <v>45009</v>
      </c>
      <c r="D1830" s="108" t="s">
        <v>17104</v>
      </c>
      <c r="E1830" s="108" t="s">
        <v>14605</v>
      </c>
      <c r="F1830" s="108" t="s">
        <v>16875</v>
      </c>
      <c r="G1830" s="109">
        <v>45374</v>
      </c>
      <c r="H1830" s="108" t="s">
        <v>16858</v>
      </c>
      <c r="I1830" s="108" t="s">
        <v>108</v>
      </c>
    </row>
    <row r="1831" spans="1:9">
      <c r="A1831" s="108" t="s">
        <v>169</v>
      </c>
      <c r="B1831" s="108" t="s">
        <v>17105</v>
      </c>
      <c r="C1831" s="109">
        <v>45028</v>
      </c>
      <c r="D1831" s="108" t="s">
        <v>17106</v>
      </c>
      <c r="E1831" s="108" t="s">
        <v>14605</v>
      </c>
      <c r="F1831" s="108" t="s">
        <v>16875</v>
      </c>
      <c r="G1831" s="109">
        <v>45393</v>
      </c>
      <c r="H1831" s="108" t="s">
        <v>16858</v>
      </c>
      <c r="I1831" s="108" t="s">
        <v>108</v>
      </c>
    </row>
    <row r="1832" spans="1:9" ht="27.6">
      <c r="A1832" s="108" t="s">
        <v>109</v>
      </c>
      <c r="B1832" s="108" t="s">
        <v>17107</v>
      </c>
      <c r="C1832" s="109">
        <v>45357</v>
      </c>
      <c r="D1832" s="108" t="s">
        <v>17108</v>
      </c>
      <c r="E1832" s="108" t="s">
        <v>14605</v>
      </c>
      <c r="F1832" s="108" t="s">
        <v>16918</v>
      </c>
      <c r="G1832" s="109">
        <v>45664</v>
      </c>
      <c r="H1832" s="108" t="s">
        <v>16858</v>
      </c>
      <c r="I1832" s="108" t="s">
        <v>108</v>
      </c>
    </row>
    <row r="1833" spans="1:9" ht="27.6">
      <c r="A1833" s="108" t="s">
        <v>16149</v>
      </c>
      <c r="B1833" s="108" t="s">
        <v>17109</v>
      </c>
      <c r="C1833" s="109">
        <v>45653</v>
      </c>
      <c r="D1833" s="108" t="s">
        <v>17110</v>
      </c>
      <c r="E1833" s="108" t="s">
        <v>14605</v>
      </c>
      <c r="F1833" s="108" t="s">
        <v>15280</v>
      </c>
      <c r="G1833" s="109">
        <v>45954</v>
      </c>
      <c r="H1833" s="108" t="s">
        <v>16858</v>
      </c>
      <c r="I1833" s="108" t="s">
        <v>108</v>
      </c>
    </row>
    <row r="1834" spans="1:9">
      <c r="A1834" s="108" t="s">
        <v>16151</v>
      </c>
      <c r="B1834" s="108" t="s">
        <v>17111</v>
      </c>
      <c r="C1834" s="109">
        <v>45581</v>
      </c>
      <c r="D1834" s="108" t="s">
        <v>17112</v>
      </c>
      <c r="E1834" s="108" t="s">
        <v>14605</v>
      </c>
      <c r="F1834" s="108" t="s">
        <v>16900</v>
      </c>
      <c r="G1834" s="109">
        <v>45948</v>
      </c>
      <c r="H1834" s="108" t="s">
        <v>16858</v>
      </c>
      <c r="I1834" s="108" t="s">
        <v>108</v>
      </c>
    </row>
    <row r="1835" spans="1:9">
      <c r="A1835" s="108" t="s">
        <v>1465</v>
      </c>
      <c r="B1835" s="108" t="s">
        <v>17113</v>
      </c>
      <c r="C1835" s="109">
        <v>41190</v>
      </c>
      <c r="D1835" s="108"/>
      <c r="E1835" s="108" t="s">
        <v>14605</v>
      </c>
      <c r="F1835" s="108" t="s">
        <v>17114</v>
      </c>
      <c r="G1835" s="110"/>
      <c r="H1835" s="108" t="s">
        <v>17115</v>
      </c>
      <c r="I1835" s="108"/>
    </row>
    <row r="1836" spans="1:9" ht="27.6">
      <c r="A1836" s="108" t="s">
        <v>14679</v>
      </c>
      <c r="B1836" s="108" t="s">
        <v>17116</v>
      </c>
      <c r="C1836" s="109">
        <v>42004</v>
      </c>
      <c r="D1836" s="108"/>
      <c r="E1836" s="108" t="s">
        <v>14605</v>
      </c>
      <c r="F1836" s="108" t="s">
        <v>17117</v>
      </c>
      <c r="G1836" s="110"/>
      <c r="H1836" s="108" t="s">
        <v>17115</v>
      </c>
      <c r="I1836" s="108"/>
    </row>
    <row r="1837" spans="1:9" ht="27.6">
      <c r="A1837" s="108" t="s">
        <v>14690</v>
      </c>
      <c r="B1837" s="108" t="s">
        <v>17118</v>
      </c>
      <c r="C1837" s="109">
        <v>41011</v>
      </c>
      <c r="D1837" s="108"/>
      <c r="E1837" s="108" t="s">
        <v>14605</v>
      </c>
      <c r="F1837" s="108" t="s">
        <v>17119</v>
      </c>
      <c r="G1837" s="110"/>
      <c r="H1837" s="108" t="s">
        <v>17115</v>
      </c>
      <c r="I1837" s="108"/>
    </row>
    <row r="1838" spans="1:9" ht="27.6">
      <c r="A1838" s="108" t="s">
        <v>237</v>
      </c>
      <c r="B1838" s="108" t="s">
        <v>17120</v>
      </c>
      <c r="C1838" s="109">
        <v>41213</v>
      </c>
      <c r="D1838" s="108"/>
      <c r="E1838" s="108" t="s">
        <v>14605</v>
      </c>
      <c r="F1838" s="108" t="s">
        <v>17121</v>
      </c>
      <c r="G1838" s="110"/>
      <c r="H1838" s="108" t="s">
        <v>17115</v>
      </c>
      <c r="I1838" s="108"/>
    </row>
    <row r="1839" spans="1:9" ht="27.6">
      <c r="A1839" s="108" t="s">
        <v>185</v>
      </c>
      <c r="B1839" s="108" t="s">
        <v>17122</v>
      </c>
      <c r="C1839" s="109">
        <v>41221</v>
      </c>
      <c r="D1839" s="108"/>
      <c r="E1839" s="108" t="s">
        <v>14605</v>
      </c>
      <c r="F1839" s="108" t="s">
        <v>15619</v>
      </c>
      <c r="G1839" s="110"/>
      <c r="H1839" s="108" t="s">
        <v>17115</v>
      </c>
      <c r="I1839" s="108"/>
    </row>
    <row r="1840" spans="1:9">
      <c r="A1840" s="108" t="s">
        <v>169</v>
      </c>
      <c r="B1840" s="108" t="s">
        <v>17123</v>
      </c>
      <c r="C1840" s="109">
        <v>41059</v>
      </c>
      <c r="D1840" s="108"/>
      <c r="E1840" s="108" t="s">
        <v>14605</v>
      </c>
      <c r="F1840" s="108" t="s">
        <v>17124</v>
      </c>
      <c r="G1840" s="110"/>
      <c r="H1840" s="108" t="s">
        <v>17115</v>
      </c>
      <c r="I1840" s="108"/>
    </row>
    <row r="1841" spans="1:9">
      <c r="A1841" s="108" t="s">
        <v>169</v>
      </c>
      <c r="B1841" s="108" t="s">
        <v>17125</v>
      </c>
      <c r="C1841" s="109">
        <v>41268</v>
      </c>
      <c r="D1841" s="108"/>
      <c r="E1841" s="108" t="s">
        <v>14605</v>
      </c>
      <c r="F1841" s="108" t="s">
        <v>17124</v>
      </c>
      <c r="G1841" s="110"/>
      <c r="H1841" s="108" t="s">
        <v>17115</v>
      </c>
      <c r="I1841" s="108"/>
    </row>
    <row r="1842" spans="1:9">
      <c r="A1842" s="108" t="s">
        <v>169</v>
      </c>
      <c r="B1842" s="108" t="s">
        <v>17126</v>
      </c>
      <c r="C1842" s="109">
        <v>41401</v>
      </c>
      <c r="D1842" s="108"/>
      <c r="E1842" s="108" t="s">
        <v>14605</v>
      </c>
      <c r="F1842" s="108" t="s">
        <v>17127</v>
      </c>
      <c r="G1842" s="110"/>
      <c r="H1842" s="108" t="s">
        <v>17115</v>
      </c>
      <c r="I1842" s="108"/>
    </row>
    <row r="1843" spans="1:9" ht="27.6">
      <c r="A1843" s="108" t="s">
        <v>185</v>
      </c>
      <c r="B1843" s="108" t="s">
        <v>17128</v>
      </c>
      <c r="C1843" s="109">
        <v>42916</v>
      </c>
      <c r="D1843" s="108"/>
      <c r="E1843" s="108" t="s">
        <v>14605</v>
      </c>
      <c r="F1843" s="108" t="s">
        <v>17129</v>
      </c>
      <c r="G1843" s="110"/>
      <c r="H1843" s="108" t="s">
        <v>17115</v>
      </c>
      <c r="I1843" s="108"/>
    </row>
    <row r="1844" spans="1:9" ht="27.6">
      <c r="A1844" s="108" t="s">
        <v>17130</v>
      </c>
      <c r="B1844" s="108" t="s">
        <v>17131</v>
      </c>
      <c r="C1844" s="109">
        <v>44155</v>
      </c>
      <c r="D1844" s="108"/>
      <c r="E1844" s="108" t="s">
        <v>14605</v>
      </c>
      <c r="F1844" s="108" t="s">
        <v>17132</v>
      </c>
      <c r="G1844" s="110"/>
      <c r="H1844" s="108" t="s">
        <v>17115</v>
      </c>
      <c r="I1844" s="108"/>
    </row>
    <row r="1845" spans="1:9" ht="27.6">
      <c r="A1845" s="108" t="s">
        <v>15075</v>
      </c>
      <c r="B1845" s="108" t="s">
        <v>17133</v>
      </c>
      <c r="C1845" s="109">
        <v>44964</v>
      </c>
      <c r="D1845" s="108"/>
      <c r="E1845" s="108" t="s">
        <v>14605</v>
      </c>
      <c r="F1845" s="108" t="s">
        <v>17134</v>
      </c>
      <c r="G1845" s="110"/>
      <c r="H1845" s="108" t="s">
        <v>17115</v>
      </c>
      <c r="I1845" s="108"/>
    </row>
    <row r="1846" spans="1:9" ht="27.6">
      <c r="A1846" s="108" t="s">
        <v>15075</v>
      </c>
      <c r="B1846" s="108" t="s">
        <v>17135</v>
      </c>
      <c r="C1846" s="109">
        <v>45019</v>
      </c>
      <c r="D1846" s="108"/>
      <c r="E1846" s="108" t="s">
        <v>14605</v>
      </c>
      <c r="F1846" s="108" t="s">
        <v>17136</v>
      </c>
      <c r="G1846" s="110"/>
      <c r="H1846" s="108" t="s">
        <v>17115</v>
      </c>
      <c r="I1846" s="108"/>
    </row>
    <row r="1847" spans="1:9" ht="27.6">
      <c r="A1847" s="108" t="s">
        <v>15075</v>
      </c>
      <c r="B1847" s="108" t="s">
        <v>17137</v>
      </c>
      <c r="C1847" s="109">
        <v>45063</v>
      </c>
      <c r="D1847" s="108"/>
      <c r="E1847" s="108" t="s">
        <v>14605</v>
      </c>
      <c r="F1847" s="108" t="s">
        <v>17138</v>
      </c>
      <c r="G1847" s="110"/>
      <c r="H1847" s="108" t="s">
        <v>17115</v>
      </c>
      <c r="I1847" s="108"/>
    </row>
    <row r="1848" spans="1:9" ht="27.6">
      <c r="A1848" s="108" t="s">
        <v>15075</v>
      </c>
      <c r="B1848" s="108" t="s">
        <v>17139</v>
      </c>
      <c r="C1848" s="109">
        <v>45089</v>
      </c>
      <c r="D1848" s="108"/>
      <c r="E1848" s="108" t="s">
        <v>14605</v>
      </c>
      <c r="F1848" s="108" t="s">
        <v>17140</v>
      </c>
      <c r="G1848" s="110"/>
      <c r="H1848" s="108" t="s">
        <v>17115</v>
      </c>
      <c r="I1848" s="108"/>
    </row>
    <row r="1849" spans="1:9" ht="27.6">
      <c r="A1849" s="108" t="s">
        <v>15075</v>
      </c>
      <c r="B1849" s="108" t="s">
        <v>17141</v>
      </c>
      <c r="C1849" s="109">
        <v>45114</v>
      </c>
      <c r="D1849" s="108"/>
      <c r="E1849" s="108" t="s">
        <v>14605</v>
      </c>
      <c r="F1849" s="108" t="s">
        <v>17140</v>
      </c>
      <c r="G1849" s="110"/>
      <c r="H1849" s="108" t="s">
        <v>17115</v>
      </c>
      <c r="I1849" s="108"/>
    </row>
    <row r="1850" spans="1:9" ht="27.6">
      <c r="A1850" s="108" t="s">
        <v>15075</v>
      </c>
      <c r="B1850" s="108" t="s">
        <v>17142</v>
      </c>
      <c r="C1850" s="109">
        <v>45119</v>
      </c>
      <c r="D1850" s="108"/>
      <c r="E1850" s="108" t="s">
        <v>14605</v>
      </c>
      <c r="F1850" s="108" t="s">
        <v>17143</v>
      </c>
      <c r="G1850" s="110"/>
      <c r="H1850" s="108" t="s">
        <v>17115</v>
      </c>
      <c r="I1850" s="108"/>
    </row>
    <row r="1851" spans="1:9" ht="27.6">
      <c r="A1851" s="108" t="s">
        <v>15075</v>
      </c>
      <c r="B1851" s="108" t="s">
        <v>17144</v>
      </c>
      <c r="C1851" s="109">
        <v>45497</v>
      </c>
      <c r="D1851" s="108"/>
      <c r="E1851" s="108" t="s">
        <v>14605</v>
      </c>
      <c r="F1851" s="108" t="s">
        <v>17145</v>
      </c>
      <c r="G1851" s="110"/>
      <c r="H1851" s="108" t="s">
        <v>17115</v>
      </c>
      <c r="I1851" s="108"/>
    </row>
    <row r="1852" spans="1:9" ht="27.6">
      <c r="A1852" s="108" t="s">
        <v>14607</v>
      </c>
      <c r="B1852" s="108" t="s">
        <v>17146</v>
      </c>
      <c r="C1852" s="109">
        <v>37574</v>
      </c>
      <c r="D1852" s="108"/>
      <c r="E1852" s="108" t="s">
        <v>14605</v>
      </c>
      <c r="F1852" s="108" t="s">
        <v>3649</v>
      </c>
      <c r="G1852" s="110"/>
      <c r="H1852" s="108" t="s">
        <v>17115</v>
      </c>
      <c r="I1852" s="108"/>
    </row>
    <row r="1853" spans="1:9">
      <c r="A1853" s="108" t="s">
        <v>16935</v>
      </c>
      <c r="B1853" s="108" t="s">
        <v>17147</v>
      </c>
      <c r="C1853" s="109">
        <v>39386</v>
      </c>
      <c r="D1853" s="108"/>
      <c r="E1853" s="108" t="s">
        <v>14605</v>
      </c>
      <c r="F1853" s="108" t="s">
        <v>3649</v>
      </c>
      <c r="G1853" s="110"/>
      <c r="H1853" s="108" t="s">
        <v>17115</v>
      </c>
      <c r="I1853" s="108"/>
    </row>
    <row r="1854" spans="1:9">
      <c r="A1854" s="108" t="s">
        <v>16935</v>
      </c>
      <c r="B1854" s="108" t="s">
        <v>17148</v>
      </c>
      <c r="C1854" s="109">
        <v>39771</v>
      </c>
      <c r="D1854" s="108"/>
      <c r="E1854" s="108" t="s">
        <v>14605</v>
      </c>
      <c r="F1854" s="108" t="s">
        <v>3649</v>
      </c>
      <c r="G1854" s="110"/>
      <c r="H1854" s="108" t="s">
        <v>17115</v>
      </c>
      <c r="I1854" s="108"/>
    </row>
    <row r="1855" spans="1:9">
      <c r="A1855" s="108" t="s">
        <v>16935</v>
      </c>
      <c r="B1855" s="108" t="s">
        <v>17149</v>
      </c>
      <c r="C1855" s="109">
        <v>39995</v>
      </c>
      <c r="D1855" s="108"/>
      <c r="E1855" s="108" t="s">
        <v>14605</v>
      </c>
      <c r="F1855" s="108" t="s">
        <v>17150</v>
      </c>
      <c r="G1855" s="110"/>
      <c r="H1855" s="108" t="s">
        <v>17115</v>
      </c>
      <c r="I1855" s="108"/>
    </row>
    <row r="1856" spans="1:9">
      <c r="A1856" s="108" t="s">
        <v>2002</v>
      </c>
      <c r="B1856" s="108" t="s">
        <v>17151</v>
      </c>
      <c r="C1856" s="109">
        <v>40736</v>
      </c>
      <c r="D1856" s="108"/>
      <c r="E1856" s="108" t="s">
        <v>14605</v>
      </c>
      <c r="F1856" s="108" t="s">
        <v>17132</v>
      </c>
      <c r="G1856" s="110"/>
      <c r="H1856" s="108" t="s">
        <v>17115</v>
      </c>
      <c r="I1856" s="108"/>
    </row>
    <row r="1857" spans="1:9" ht="27.6">
      <c r="A1857" s="108" t="s">
        <v>15705</v>
      </c>
      <c r="B1857" s="108" t="s">
        <v>17152</v>
      </c>
      <c r="C1857" s="109">
        <v>39233</v>
      </c>
      <c r="D1857" s="108"/>
      <c r="E1857" s="108" t="s">
        <v>14605</v>
      </c>
      <c r="F1857" s="108" t="s">
        <v>14699</v>
      </c>
      <c r="G1857" s="110"/>
      <c r="H1857" s="108" t="s">
        <v>17115</v>
      </c>
      <c r="I1857" s="108"/>
    </row>
    <row r="1858" spans="1:9">
      <c r="A1858" s="108" t="s">
        <v>118</v>
      </c>
      <c r="B1858" s="108" t="s">
        <v>17153</v>
      </c>
      <c r="C1858" s="109">
        <v>42325</v>
      </c>
      <c r="D1858" s="108"/>
      <c r="E1858" s="108" t="s">
        <v>14605</v>
      </c>
      <c r="F1858" s="108" t="s">
        <v>14935</v>
      </c>
      <c r="G1858" s="110"/>
      <c r="H1858" s="108" t="s">
        <v>17115</v>
      </c>
      <c r="I1858" s="108"/>
    </row>
    <row r="1859" spans="1:9">
      <c r="A1859" s="108" t="s">
        <v>118</v>
      </c>
      <c r="B1859" s="108" t="s">
        <v>17154</v>
      </c>
      <c r="C1859" s="109">
        <v>44001</v>
      </c>
      <c r="D1859" s="108"/>
      <c r="E1859" s="108" t="s">
        <v>14605</v>
      </c>
      <c r="F1859" s="108" t="s">
        <v>15386</v>
      </c>
      <c r="G1859" s="110"/>
      <c r="H1859" s="108" t="s">
        <v>17115</v>
      </c>
      <c r="I1859" s="108"/>
    </row>
    <row r="1860" spans="1:9">
      <c r="A1860" s="108" t="s">
        <v>169</v>
      </c>
      <c r="B1860" s="108" t="s">
        <v>17155</v>
      </c>
      <c r="C1860" s="109">
        <v>44614</v>
      </c>
      <c r="D1860" s="108"/>
      <c r="E1860" s="108" t="s">
        <v>14605</v>
      </c>
      <c r="F1860" s="108" t="s">
        <v>15386</v>
      </c>
      <c r="G1860" s="110"/>
      <c r="H1860" s="108" t="s">
        <v>17115</v>
      </c>
      <c r="I1860" s="108"/>
    </row>
    <row r="1861" spans="1:9" ht="27.6">
      <c r="A1861" s="108" t="s">
        <v>16151</v>
      </c>
      <c r="B1861" s="108" t="s">
        <v>17156</v>
      </c>
      <c r="C1861" s="109">
        <v>44020</v>
      </c>
      <c r="D1861" s="108"/>
      <c r="E1861" s="108" t="s">
        <v>14605</v>
      </c>
      <c r="F1861" s="108" t="s">
        <v>17140</v>
      </c>
      <c r="G1861" s="110"/>
      <c r="H1861" s="108" t="s">
        <v>17115</v>
      </c>
      <c r="I1861" s="108"/>
    </row>
    <row r="1862" spans="1:9" ht="27.6">
      <c r="A1862" s="108" t="s">
        <v>109</v>
      </c>
      <c r="B1862" s="108" t="s">
        <v>17157</v>
      </c>
      <c r="C1862" s="109">
        <v>44817</v>
      </c>
      <c r="D1862" s="108" t="s">
        <v>17158</v>
      </c>
      <c r="E1862" s="108" t="s">
        <v>14605</v>
      </c>
      <c r="F1862" s="108" t="s">
        <v>15386</v>
      </c>
      <c r="G1862" s="109">
        <v>45991</v>
      </c>
      <c r="H1862" s="108" t="s">
        <v>17115</v>
      </c>
      <c r="I1862" s="108" t="s">
        <v>102</v>
      </c>
    </row>
    <row r="1863" spans="1:9" ht="27.6">
      <c r="A1863" s="108" t="s">
        <v>14950</v>
      </c>
      <c r="B1863" s="108" t="s">
        <v>17159</v>
      </c>
      <c r="C1863" s="109">
        <v>43567</v>
      </c>
      <c r="D1863" s="108" t="s">
        <v>17160</v>
      </c>
      <c r="E1863" s="108" t="s">
        <v>14605</v>
      </c>
      <c r="F1863" s="108" t="s">
        <v>14699</v>
      </c>
      <c r="G1863" s="109">
        <v>45308</v>
      </c>
      <c r="H1863" s="108" t="s">
        <v>17115</v>
      </c>
      <c r="I1863" s="108" t="s">
        <v>95</v>
      </c>
    </row>
    <row r="1864" spans="1:9" ht="27.6">
      <c r="A1864" s="108" t="s">
        <v>109</v>
      </c>
      <c r="B1864" s="108" t="s">
        <v>17161</v>
      </c>
      <c r="C1864" s="109">
        <v>45119</v>
      </c>
      <c r="D1864" s="108" t="s">
        <v>17162</v>
      </c>
      <c r="E1864" s="108" t="s">
        <v>14605</v>
      </c>
      <c r="F1864" s="108" t="s">
        <v>17143</v>
      </c>
      <c r="G1864" s="109">
        <v>46960</v>
      </c>
      <c r="H1864" s="108" t="s">
        <v>17115</v>
      </c>
      <c r="I1864" s="108" t="s">
        <v>95</v>
      </c>
    </row>
    <row r="1865" spans="1:9" ht="27.6">
      <c r="A1865" s="108" t="s">
        <v>388</v>
      </c>
      <c r="B1865" s="108" t="s">
        <v>17163</v>
      </c>
      <c r="C1865" s="109">
        <v>44931</v>
      </c>
      <c r="D1865" s="108" t="s">
        <v>17164</v>
      </c>
      <c r="E1865" s="108" t="s">
        <v>14605</v>
      </c>
      <c r="F1865" s="108" t="s">
        <v>17134</v>
      </c>
      <c r="G1865" s="109">
        <v>46395</v>
      </c>
      <c r="H1865" s="108" t="s">
        <v>17115</v>
      </c>
      <c r="I1865" s="108" t="s">
        <v>95</v>
      </c>
    </row>
    <row r="1866" spans="1:9">
      <c r="A1866" s="108" t="s">
        <v>244</v>
      </c>
      <c r="B1866" s="108" t="s">
        <v>17165</v>
      </c>
      <c r="C1866" s="109">
        <v>44748</v>
      </c>
      <c r="D1866" s="108" t="s">
        <v>17166</v>
      </c>
      <c r="E1866" s="108" t="s">
        <v>14605</v>
      </c>
      <c r="F1866" s="108" t="s">
        <v>17134</v>
      </c>
      <c r="G1866" s="109">
        <v>46212</v>
      </c>
      <c r="H1866" s="108" t="s">
        <v>17115</v>
      </c>
      <c r="I1866" s="108" t="s">
        <v>95</v>
      </c>
    </row>
    <row r="1867" spans="1:9">
      <c r="A1867" s="108" t="s">
        <v>15990</v>
      </c>
      <c r="B1867" s="108" t="s">
        <v>17167</v>
      </c>
      <c r="C1867" s="109">
        <v>45309</v>
      </c>
      <c r="D1867" s="108" t="s">
        <v>17168</v>
      </c>
      <c r="E1867" s="108" t="s">
        <v>14605</v>
      </c>
      <c r="F1867" s="108" t="s">
        <v>17169</v>
      </c>
      <c r="G1867" s="109">
        <v>47136</v>
      </c>
      <c r="H1867" s="108" t="s">
        <v>17115</v>
      </c>
      <c r="I1867" s="108" t="s">
        <v>95</v>
      </c>
    </row>
    <row r="1868" spans="1:9" ht="27.6">
      <c r="A1868" s="108" t="s">
        <v>16151</v>
      </c>
      <c r="B1868" s="108" t="s">
        <v>17170</v>
      </c>
      <c r="C1868" s="109">
        <v>44916</v>
      </c>
      <c r="D1868" s="108" t="s">
        <v>17171</v>
      </c>
      <c r="E1868" s="108" t="s">
        <v>14605</v>
      </c>
      <c r="F1868" s="108" t="s">
        <v>17140</v>
      </c>
      <c r="G1868" s="109">
        <v>46030</v>
      </c>
      <c r="H1868" s="108" t="s">
        <v>17115</v>
      </c>
      <c r="I1868" s="108" t="s">
        <v>95</v>
      </c>
    </row>
    <row r="1869" spans="1:9" ht="27.6">
      <c r="A1869" s="108" t="s">
        <v>103</v>
      </c>
      <c r="B1869" s="108" t="s">
        <v>17172</v>
      </c>
      <c r="C1869" s="109">
        <v>44804</v>
      </c>
      <c r="D1869" s="108" t="s">
        <v>17173</v>
      </c>
      <c r="E1869" s="108" t="s">
        <v>14605</v>
      </c>
      <c r="F1869" s="108" t="s">
        <v>17174</v>
      </c>
      <c r="G1869" s="109">
        <v>45532</v>
      </c>
      <c r="H1869" s="108" t="s">
        <v>17115</v>
      </c>
      <c r="I1869" s="108" t="s">
        <v>95</v>
      </c>
    </row>
    <row r="1870" spans="1:9" ht="27.6">
      <c r="A1870" s="108" t="s">
        <v>16151</v>
      </c>
      <c r="B1870" s="108" t="s">
        <v>17175</v>
      </c>
      <c r="C1870" s="109">
        <v>43473</v>
      </c>
      <c r="D1870" s="108" t="s">
        <v>17176</v>
      </c>
      <c r="E1870" s="108" t="s">
        <v>14605</v>
      </c>
      <c r="F1870" s="108" t="s">
        <v>14699</v>
      </c>
      <c r="G1870" s="109">
        <v>45298</v>
      </c>
      <c r="H1870" s="108" t="s">
        <v>17115</v>
      </c>
      <c r="I1870" s="108" t="s">
        <v>95</v>
      </c>
    </row>
    <row r="1871" spans="1:9" ht="27.6">
      <c r="A1871" s="108" t="s">
        <v>16151</v>
      </c>
      <c r="B1871" s="108" t="s">
        <v>17177</v>
      </c>
      <c r="C1871" s="109">
        <v>44046</v>
      </c>
      <c r="D1871" s="108" t="s">
        <v>17178</v>
      </c>
      <c r="E1871" s="108" t="s">
        <v>14605</v>
      </c>
      <c r="F1871" s="108" t="s">
        <v>17179</v>
      </c>
      <c r="G1871" s="109">
        <v>45140</v>
      </c>
      <c r="H1871" s="108" t="s">
        <v>17115</v>
      </c>
      <c r="I1871" s="108" t="s">
        <v>95</v>
      </c>
    </row>
    <row r="1872" spans="1:9" ht="27.6">
      <c r="A1872" s="108" t="s">
        <v>388</v>
      </c>
      <c r="B1872" s="108" t="s">
        <v>17180</v>
      </c>
      <c r="C1872" s="109">
        <v>44370</v>
      </c>
      <c r="D1872" s="108" t="s">
        <v>17181</v>
      </c>
      <c r="E1872" s="108" t="s">
        <v>14605</v>
      </c>
      <c r="F1872" s="108" t="s">
        <v>17182</v>
      </c>
      <c r="G1872" s="109">
        <v>45128</v>
      </c>
      <c r="H1872" s="108" t="s">
        <v>17115</v>
      </c>
      <c r="I1872" s="108" t="s">
        <v>95</v>
      </c>
    </row>
    <row r="1873" spans="1:9" ht="27.6">
      <c r="A1873" s="108" t="s">
        <v>14690</v>
      </c>
      <c r="B1873" s="108" t="s">
        <v>17183</v>
      </c>
      <c r="C1873" s="109">
        <v>43837</v>
      </c>
      <c r="D1873" s="108" t="s">
        <v>17184</v>
      </c>
      <c r="E1873" s="108" t="s">
        <v>14605</v>
      </c>
      <c r="F1873" s="108" t="s">
        <v>17119</v>
      </c>
      <c r="G1873" s="109">
        <v>46028</v>
      </c>
      <c r="H1873" s="108" t="s">
        <v>17115</v>
      </c>
      <c r="I1873" s="108" t="s">
        <v>280</v>
      </c>
    </row>
    <row r="1874" spans="1:9">
      <c r="A1874" s="108" t="s">
        <v>227</v>
      </c>
      <c r="B1874" s="108" t="s">
        <v>17185</v>
      </c>
      <c r="C1874" s="109">
        <v>42445</v>
      </c>
      <c r="D1874" s="108" t="s">
        <v>17186</v>
      </c>
      <c r="E1874" s="108" t="s">
        <v>14605</v>
      </c>
      <c r="F1874" s="108" t="s">
        <v>17134</v>
      </c>
      <c r="G1874" s="109">
        <v>45903</v>
      </c>
      <c r="H1874" s="108" t="s">
        <v>17115</v>
      </c>
      <c r="I1874" s="108" t="s">
        <v>3876</v>
      </c>
    </row>
    <row r="1875" spans="1:9" ht="27.6">
      <c r="A1875" s="108" t="s">
        <v>109</v>
      </c>
      <c r="B1875" s="108" t="s">
        <v>17187</v>
      </c>
      <c r="C1875" s="109">
        <v>45019</v>
      </c>
      <c r="D1875" s="108" t="s">
        <v>17188</v>
      </c>
      <c r="E1875" s="108" t="s">
        <v>14605</v>
      </c>
      <c r="F1875" s="108" t="s">
        <v>17136</v>
      </c>
      <c r="G1875" s="109">
        <v>46138</v>
      </c>
      <c r="H1875" s="108" t="s">
        <v>17115</v>
      </c>
      <c r="I1875" s="108" t="s">
        <v>133</v>
      </c>
    </row>
    <row r="1876" spans="1:9" ht="27.6">
      <c r="A1876" s="108" t="s">
        <v>16151</v>
      </c>
      <c r="B1876" s="108" t="s">
        <v>17189</v>
      </c>
      <c r="C1876" s="109">
        <v>43724</v>
      </c>
      <c r="D1876" s="108" t="s">
        <v>17190</v>
      </c>
      <c r="E1876" s="108" t="s">
        <v>14605</v>
      </c>
      <c r="F1876" s="108" t="s">
        <v>17191</v>
      </c>
      <c r="G1876" s="109">
        <v>45915</v>
      </c>
      <c r="H1876" s="108" t="s">
        <v>17115</v>
      </c>
      <c r="I1876" s="108" t="s">
        <v>133</v>
      </c>
    </row>
    <row r="1877" spans="1:9">
      <c r="A1877" s="108" t="s">
        <v>16151</v>
      </c>
      <c r="B1877" s="108" t="s">
        <v>17192</v>
      </c>
      <c r="C1877" s="109">
        <v>45497</v>
      </c>
      <c r="D1877" s="108" t="s">
        <v>17193</v>
      </c>
      <c r="E1877" s="108" t="s">
        <v>14605</v>
      </c>
      <c r="F1877" s="108" t="s">
        <v>17145</v>
      </c>
      <c r="G1877" s="109">
        <v>47298</v>
      </c>
      <c r="H1877" s="108" t="s">
        <v>17115</v>
      </c>
      <c r="I1877" s="108" t="s">
        <v>133</v>
      </c>
    </row>
    <row r="1878" spans="1:9" ht="27.6">
      <c r="A1878" s="108" t="s">
        <v>14950</v>
      </c>
      <c r="B1878" s="108" t="s">
        <v>17194</v>
      </c>
      <c r="C1878" s="109">
        <v>43724</v>
      </c>
      <c r="D1878" s="108" t="s">
        <v>17195</v>
      </c>
      <c r="E1878" s="108" t="s">
        <v>14605</v>
      </c>
      <c r="F1878" s="108" t="s">
        <v>17191</v>
      </c>
      <c r="G1878" s="109">
        <v>45550</v>
      </c>
      <c r="H1878" s="108" t="s">
        <v>17115</v>
      </c>
      <c r="I1878" s="108" t="s">
        <v>108</v>
      </c>
    </row>
    <row r="1879" spans="1:9" ht="27.6">
      <c r="A1879" s="108" t="s">
        <v>14950</v>
      </c>
      <c r="B1879" s="108" t="s">
        <v>17196</v>
      </c>
      <c r="C1879" s="109">
        <v>44370</v>
      </c>
      <c r="D1879" s="108" t="s">
        <v>17197</v>
      </c>
      <c r="E1879" s="108" t="s">
        <v>14605</v>
      </c>
      <c r="F1879" s="108" t="s">
        <v>17182</v>
      </c>
      <c r="G1879" s="109">
        <v>44763</v>
      </c>
      <c r="H1879" s="108" t="s">
        <v>17115</v>
      </c>
      <c r="I1879" s="108" t="s">
        <v>108</v>
      </c>
    </row>
    <row r="1880" spans="1:9" ht="27.6">
      <c r="A1880" s="108" t="s">
        <v>250</v>
      </c>
      <c r="B1880" s="108" t="s">
        <v>17198</v>
      </c>
      <c r="C1880" s="109">
        <v>44490</v>
      </c>
      <c r="D1880" s="108" t="s">
        <v>17199</v>
      </c>
      <c r="E1880" s="108" t="s">
        <v>14605</v>
      </c>
      <c r="F1880" s="108" t="s">
        <v>17114</v>
      </c>
      <c r="G1880" s="109">
        <v>44841</v>
      </c>
      <c r="H1880" s="108" t="s">
        <v>17115</v>
      </c>
      <c r="I1880" s="108" t="s">
        <v>108</v>
      </c>
    </row>
    <row r="1881" spans="1:9" ht="27.6">
      <c r="A1881" s="108" t="s">
        <v>109</v>
      </c>
      <c r="B1881" s="108" t="s">
        <v>17200</v>
      </c>
      <c r="C1881" s="109">
        <v>45063</v>
      </c>
      <c r="D1881" s="108" t="s">
        <v>17201</v>
      </c>
      <c r="E1881" s="108" t="s">
        <v>14605</v>
      </c>
      <c r="F1881" s="108" t="s">
        <v>17138</v>
      </c>
      <c r="G1881" s="109">
        <v>45436</v>
      </c>
      <c r="H1881" s="108" t="s">
        <v>17115</v>
      </c>
      <c r="I1881" s="108" t="s">
        <v>108</v>
      </c>
    </row>
    <row r="1882" spans="1:9" ht="27.6">
      <c r="A1882" s="108" t="s">
        <v>96</v>
      </c>
      <c r="B1882" s="108" t="s">
        <v>17202</v>
      </c>
      <c r="C1882" s="109">
        <v>44174</v>
      </c>
      <c r="D1882" s="108" t="s">
        <v>17203</v>
      </c>
      <c r="E1882" s="108" t="s">
        <v>14605</v>
      </c>
      <c r="F1882" s="108" t="s">
        <v>14935</v>
      </c>
      <c r="G1882" s="109">
        <v>44538</v>
      </c>
      <c r="H1882" s="108" t="s">
        <v>17115</v>
      </c>
      <c r="I1882" s="108" t="s">
        <v>108</v>
      </c>
    </row>
    <row r="1883" spans="1:9">
      <c r="A1883" s="108" t="s">
        <v>244</v>
      </c>
      <c r="B1883" s="108" t="s">
        <v>17204</v>
      </c>
      <c r="C1883" s="109">
        <v>44952</v>
      </c>
      <c r="D1883" s="108" t="s">
        <v>17205</v>
      </c>
      <c r="E1883" s="108" t="s">
        <v>14605</v>
      </c>
      <c r="F1883" s="108" t="s">
        <v>17134</v>
      </c>
      <c r="G1883" s="109">
        <v>45303</v>
      </c>
      <c r="H1883" s="108" t="s">
        <v>17115</v>
      </c>
      <c r="I1883" s="108" t="s">
        <v>108</v>
      </c>
    </row>
    <row r="1884" spans="1:9" ht="27.6">
      <c r="A1884" s="108" t="s">
        <v>8404</v>
      </c>
      <c r="B1884" s="108" t="s">
        <v>17206</v>
      </c>
      <c r="C1884" s="109">
        <v>45901</v>
      </c>
      <c r="D1884" s="108" t="s">
        <v>17207</v>
      </c>
      <c r="E1884" s="108" t="s">
        <v>14605</v>
      </c>
      <c r="F1884" s="108" t="s">
        <v>15137</v>
      </c>
      <c r="G1884" s="109">
        <v>45577</v>
      </c>
      <c r="H1884" s="108" t="s">
        <v>17115</v>
      </c>
      <c r="I1884" s="108" t="s">
        <v>108</v>
      </c>
    </row>
    <row r="1885" spans="1:9" ht="27.6">
      <c r="A1885" s="108" t="s">
        <v>244</v>
      </c>
      <c r="B1885" s="108" t="s">
        <v>17208</v>
      </c>
      <c r="C1885" s="109">
        <v>45562</v>
      </c>
      <c r="D1885" s="108" t="s">
        <v>17209</v>
      </c>
      <c r="E1885" s="108" t="s">
        <v>14605</v>
      </c>
      <c r="F1885" s="108" t="s">
        <v>17179</v>
      </c>
      <c r="G1885" s="109">
        <v>45942</v>
      </c>
      <c r="H1885" s="108" t="s">
        <v>17115</v>
      </c>
      <c r="I1885" s="108" t="s">
        <v>108</v>
      </c>
    </row>
    <row r="1886" spans="1:9">
      <c r="A1886" s="108" t="s">
        <v>16151</v>
      </c>
      <c r="B1886" s="108" t="s">
        <v>17210</v>
      </c>
      <c r="C1886" s="109">
        <v>43885</v>
      </c>
      <c r="D1886" s="108" t="s">
        <v>17211</v>
      </c>
      <c r="E1886" s="108" t="s">
        <v>14605</v>
      </c>
      <c r="F1886" s="108" t="s">
        <v>17212</v>
      </c>
      <c r="G1886" s="109">
        <v>44980</v>
      </c>
      <c r="H1886" s="108" t="s">
        <v>17115</v>
      </c>
      <c r="I1886" s="108" t="s">
        <v>108</v>
      </c>
    </row>
    <row r="1887" spans="1:9" ht="27.6">
      <c r="A1887" s="108" t="s">
        <v>16149</v>
      </c>
      <c r="B1887" s="108" t="s">
        <v>17213</v>
      </c>
      <c r="C1887" s="109">
        <v>44887</v>
      </c>
      <c r="D1887" s="108" t="s">
        <v>17214</v>
      </c>
      <c r="E1887" s="108" t="s">
        <v>14605</v>
      </c>
      <c r="F1887" s="108" t="s">
        <v>17215</v>
      </c>
      <c r="G1887" s="109">
        <v>45277</v>
      </c>
      <c r="H1887" s="108" t="s">
        <v>17115</v>
      </c>
      <c r="I1887" s="108" t="s">
        <v>108</v>
      </c>
    </row>
    <row r="1888" spans="1:9" ht="27.6">
      <c r="A1888" s="108" t="s">
        <v>207</v>
      </c>
      <c r="B1888" s="108" t="s">
        <v>17216</v>
      </c>
      <c r="C1888" s="109">
        <v>46016</v>
      </c>
      <c r="D1888" s="108" t="s">
        <v>17217</v>
      </c>
      <c r="E1888" s="108" t="s">
        <v>14605</v>
      </c>
      <c r="F1888" s="108" t="s">
        <v>16680</v>
      </c>
      <c r="G1888" s="109">
        <v>45776</v>
      </c>
      <c r="H1888" s="108" t="s">
        <v>17218</v>
      </c>
      <c r="I1888" s="108" t="s">
        <v>108</v>
      </c>
    </row>
    <row r="1889" spans="1:9" ht="27.6">
      <c r="A1889" s="108" t="s">
        <v>87</v>
      </c>
      <c r="B1889" s="108" t="s">
        <v>17219</v>
      </c>
      <c r="C1889" s="109">
        <v>44271</v>
      </c>
      <c r="D1889" s="108"/>
      <c r="E1889" s="108" t="s">
        <v>14605</v>
      </c>
      <c r="F1889" s="108" t="s">
        <v>17220</v>
      </c>
      <c r="G1889" s="110"/>
      <c r="H1889" s="108" t="s">
        <v>17221</v>
      </c>
      <c r="I1889" s="108"/>
    </row>
    <row r="1890" spans="1:9">
      <c r="A1890" s="108" t="s">
        <v>227</v>
      </c>
      <c r="B1890" s="108" t="s">
        <v>17222</v>
      </c>
      <c r="C1890" s="109">
        <v>44400</v>
      </c>
      <c r="D1890" s="108"/>
      <c r="E1890" s="108" t="s">
        <v>14605</v>
      </c>
      <c r="F1890" s="108" t="s">
        <v>17223</v>
      </c>
      <c r="G1890" s="110"/>
      <c r="H1890" s="108" t="s">
        <v>17221</v>
      </c>
      <c r="I1890" s="108"/>
    </row>
    <row r="1891" spans="1:9" ht="27.6">
      <c r="A1891" s="108" t="s">
        <v>17224</v>
      </c>
      <c r="B1891" s="108" t="s">
        <v>17225</v>
      </c>
      <c r="C1891" s="109">
        <v>41193</v>
      </c>
      <c r="D1891" s="108"/>
      <c r="E1891" s="108" t="s">
        <v>14605</v>
      </c>
      <c r="F1891" s="108" t="s">
        <v>14701</v>
      </c>
      <c r="G1891" s="110"/>
      <c r="H1891" s="108" t="s">
        <v>17226</v>
      </c>
      <c r="I1891" s="108"/>
    </row>
    <row r="1892" spans="1:9">
      <c r="A1892" s="108" t="s">
        <v>1465</v>
      </c>
      <c r="B1892" s="108" t="s">
        <v>17227</v>
      </c>
      <c r="C1892" s="109">
        <v>41023</v>
      </c>
      <c r="D1892" s="108"/>
      <c r="E1892" s="108" t="s">
        <v>14605</v>
      </c>
      <c r="F1892" s="108" t="s">
        <v>17228</v>
      </c>
      <c r="G1892" s="110"/>
      <c r="H1892" s="108" t="s">
        <v>17226</v>
      </c>
      <c r="I1892" s="108"/>
    </row>
    <row r="1893" spans="1:9">
      <c r="A1893" s="108" t="s">
        <v>87</v>
      </c>
      <c r="B1893" s="108" t="s">
        <v>17229</v>
      </c>
      <c r="C1893" s="109">
        <v>40952</v>
      </c>
      <c r="D1893" s="108"/>
      <c r="E1893" s="108" t="s">
        <v>14605</v>
      </c>
      <c r="F1893" s="108" t="s">
        <v>15849</v>
      </c>
      <c r="G1893" s="110"/>
      <c r="H1893" s="108" t="s">
        <v>17226</v>
      </c>
      <c r="I1893" s="108"/>
    </row>
    <row r="1894" spans="1:9" ht="27.6">
      <c r="A1894" s="108" t="s">
        <v>87</v>
      </c>
      <c r="B1894" s="108" t="s">
        <v>17230</v>
      </c>
      <c r="C1894" s="109">
        <v>41309</v>
      </c>
      <c r="D1894" s="108"/>
      <c r="E1894" s="108" t="s">
        <v>14605</v>
      </c>
      <c r="F1894" s="108" t="s">
        <v>15621</v>
      </c>
      <c r="G1894" s="110"/>
      <c r="H1894" s="108" t="s">
        <v>17226</v>
      </c>
      <c r="I1894" s="108"/>
    </row>
    <row r="1895" spans="1:9" ht="27.6">
      <c r="A1895" s="108" t="s">
        <v>87</v>
      </c>
      <c r="B1895" s="108" t="s">
        <v>17231</v>
      </c>
      <c r="C1895" s="109">
        <v>41309</v>
      </c>
      <c r="D1895" s="108"/>
      <c r="E1895" s="108" t="s">
        <v>14605</v>
      </c>
      <c r="F1895" s="108" t="s">
        <v>15621</v>
      </c>
      <c r="G1895" s="110"/>
      <c r="H1895" s="108" t="s">
        <v>17226</v>
      </c>
      <c r="I1895" s="108"/>
    </row>
    <row r="1896" spans="1:9" ht="27.6">
      <c r="A1896" s="108" t="s">
        <v>14690</v>
      </c>
      <c r="B1896" s="108" t="s">
        <v>17232</v>
      </c>
      <c r="C1896" s="109">
        <v>41061</v>
      </c>
      <c r="D1896" s="108"/>
      <c r="E1896" s="108" t="s">
        <v>14605</v>
      </c>
      <c r="F1896" s="108" t="s">
        <v>17233</v>
      </c>
      <c r="G1896" s="110"/>
      <c r="H1896" s="108" t="s">
        <v>17226</v>
      </c>
      <c r="I1896" s="108"/>
    </row>
    <row r="1897" spans="1:9" ht="27.6">
      <c r="A1897" s="108" t="s">
        <v>14690</v>
      </c>
      <c r="B1897" s="108" t="s">
        <v>17234</v>
      </c>
      <c r="C1897" s="109">
        <v>41061</v>
      </c>
      <c r="D1897" s="108"/>
      <c r="E1897" s="108" t="s">
        <v>14605</v>
      </c>
      <c r="F1897" s="108" t="s">
        <v>17233</v>
      </c>
      <c r="G1897" s="110"/>
      <c r="H1897" s="108" t="s">
        <v>17226</v>
      </c>
      <c r="I1897" s="108"/>
    </row>
    <row r="1898" spans="1:9">
      <c r="A1898" s="108" t="s">
        <v>237</v>
      </c>
      <c r="B1898" s="108" t="s">
        <v>17235</v>
      </c>
      <c r="C1898" s="109">
        <v>41729</v>
      </c>
      <c r="D1898" s="108"/>
      <c r="E1898" s="108" t="s">
        <v>14605</v>
      </c>
      <c r="F1898" s="108" t="s">
        <v>14616</v>
      </c>
      <c r="G1898" s="110"/>
      <c r="H1898" s="108" t="s">
        <v>17226</v>
      </c>
      <c r="I1898" s="108"/>
    </row>
    <row r="1899" spans="1:9" ht="27.6">
      <c r="A1899" s="108" t="s">
        <v>14690</v>
      </c>
      <c r="B1899" s="108" t="s">
        <v>17236</v>
      </c>
      <c r="C1899" s="109">
        <v>42243</v>
      </c>
      <c r="D1899" s="108"/>
      <c r="E1899" s="108" t="s">
        <v>14605</v>
      </c>
      <c r="F1899" s="108" t="s">
        <v>14616</v>
      </c>
      <c r="G1899" s="110"/>
      <c r="H1899" s="108" t="s">
        <v>17226</v>
      </c>
      <c r="I1899" s="108"/>
    </row>
    <row r="1900" spans="1:9">
      <c r="A1900" s="108" t="s">
        <v>237</v>
      </c>
      <c r="B1900" s="108" t="s">
        <v>17237</v>
      </c>
      <c r="C1900" s="109">
        <v>42160</v>
      </c>
      <c r="D1900" s="108"/>
      <c r="E1900" s="108" t="s">
        <v>14605</v>
      </c>
      <c r="F1900" s="108" t="s">
        <v>14616</v>
      </c>
      <c r="G1900" s="110"/>
      <c r="H1900" s="108" t="s">
        <v>17226</v>
      </c>
      <c r="I1900" s="108"/>
    </row>
    <row r="1901" spans="1:9">
      <c r="A1901" s="108" t="s">
        <v>237</v>
      </c>
      <c r="B1901" s="108" t="s">
        <v>17238</v>
      </c>
      <c r="C1901" s="109">
        <v>42384</v>
      </c>
      <c r="D1901" s="108"/>
      <c r="E1901" s="108" t="s">
        <v>14605</v>
      </c>
      <c r="F1901" s="108" t="s">
        <v>14616</v>
      </c>
      <c r="G1901" s="110"/>
      <c r="H1901" s="108" t="s">
        <v>17226</v>
      </c>
      <c r="I1901" s="108"/>
    </row>
    <row r="1902" spans="1:9" ht="27.6">
      <c r="A1902" s="108" t="s">
        <v>647</v>
      </c>
      <c r="B1902" s="108" t="s">
        <v>17239</v>
      </c>
      <c r="C1902" s="109">
        <v>42816</v>
      </c>
      <c r="D1902" s="108"/>
      <c r="E1902" s="108" t="s">
        <v>14605</v>
      </c>
      <c r="F1902" s="108" t="s">
        <v>17240</v>
      </c>
      <c r="G1902" s="110"/>
      <c r="H1902" s="108" t="s">
        <v>17226</v>
      </c>
      <c r="I1902" s="108"/>
    </row>
    <row r="1903" spans="1:9" ht="27.6">
      <c r="A1903" s="108" t="s">
        <v>647</v>
      </c>
      <c r="B1903" s="108" t="s">
        <v>17241</v>
      </c>
      <c r="C1903" s="109">
        <v>42083</v>
      </c>
      <c r="D1903" s="108"/>
      <c r="E1903" s="108" t="s">
        <v>14605</v>
      </c>
      <c r="F1903" s="108" t="s">
        <v>17240</v>
      </c>
      <c r="G1903" s="110"/>
      <c r="H1903" s="108" t="s">
        <v>17226</v>
      </c>
      <c r="I1903" s="108"/>
    </row>
    <row r="1904" spans="1:9" ht="27.6">
      <c r="A1904" s="108" t="s">
        <v>185</v>
      </c>
      <c r="B1904" s="108" t="s">
        <v>17242</v>
      </c>
      <c r="C1904" s="109">
        <v>41892</v>
      </c>
      <c r="D1904" s="108"/>
      <c r="E1904" s="108" t="s">
        <v>14605</v>
      </c>
      <c r="F1904" s="108" t="s">
        <v>17243</v>
      </c>
      <c r="G1904" s="110"/>
      <c r="H1904" s="108" t="s">
        <v>17226</v>
      </c>
      <c r="I1904" s="108"/>
    </row>
    <row r="1905" spans="1:9" ht="27.6">
      <c r="A1905" s="108" t="s">
        <v>185</v>
      </c>
      <c r="B1905" s="108" t="s">
        <v>17244</v>
      </c>
      <c r="C1905" s="109">
        <v>41192</v>
      </c>
      <c r="D1905" s="108"/>
      <c r="E1905" s="108" t="s">
        <v>14605</v>
      </c>
      <c r="F1905" s="108" t="s">
        <v>17245</v>
      </c>
      <c r="G1905" s="110"/>
      <c r="H1905" s="108" t="s">
        <v>17226</v>
      </c>
      <c r="I1905" s="108"/>
    </row>
    <row r="1906" spans="1:9" ht="27.6">
      <c r="A1906" s="108" t="s">
        <v>169</v>
      </c>
      <c r="B1906" s="108" t="s">
        <v>17246</v>
      </c>
      <c r="C1906" s="109">
        <v>41682</v>
      </c>
      <c r="D1906" s="108"/>
      <c r="E1906" s="108" t="s">
        <v>14605</v>
      </c>
      <c r="F1906" s="108" t="s">
        <v>17247</v>
      </c>
      <c r="G1906" s="110"/>
      <c r="H1906" s="108" t="s">
        <v>17226</v>
      </c>
      <c r="I1906" s="108"/>
    </row>
    <row r="1907" spans="1:9">
      <c r="A1907" s="108" t="s">
        <v>169</v>
      </c>
      <c r="B1907" s="108" t="s">
        <v>17248</v>
      </c>
      <c r="C1907" s="109">
        <v>42263</v>
      </c>
      <c r="D1907" s="108"/>
      <c r="E1907" s="108" t="s">
        <v>14605</v>
      </c>
      <c r="F1907" s="108" t="s">
        <v>16317</v>
      </c>
      <c r="G1907" s="110"/>
      <c r="H1907" s="108" t="s">
        <v>17226</v>
      </c>
      <c r="I1907" s="108"/>
    </row>
    <row r="1908" spans="1:9">
      <c r="A1908" s="108" t="s">
        <v>169</v>
      </c>
      <c r="B1908" s="108" t="s">
        <v>17249</v>
      </c>
      <c r="C1908" s="109">
        <v>42954</v>
      </c>
      <c r="D1908" s="108"/>
      <c r="E1908" s="108" t="s">
        <v>14605</v>
      </c>
      <c r="F1908" s="108" t="s">
        <v>17250</v>
      </c>
      <c r="G1908" s="110"/>
      <c r="H1908" s="108" t="s">
        <v>17226</v>
      </c>
      <c r="I1908" s="108"/>
    </row>
    <row r="1909" spans="1:9">
      <c r="A1909" s="108" t="s">
        <v>169</v>
      </c>
      <c r="B1909" s="108" t="s">
        <v>17251</v>
      </c>
      <c r="C1909" s="109">
        <v>43157</v>
      </c>
      <c r="D1909" s="108"/>
      <c r="E1909" s="108" t="s">
        <v>14605</v>
      </c>
      <c r="F1909" s="108" t="s">
        <v>17252</v>
      </c>
      <c r="G1909" s="110"/>
      <c r="H1909" s="108" t="s">
        <v>17226</v>
      </c>
      <c r="I1909" s="108"/>
    </row>
    <row r="1910" spans="1:9" ht="27.6">
      <c r="A1910" s="108" t="s">
        <v>14690</v>
      </c>
      <c r="B1910" s="108" t="s">
        <v>17253</v>
      </c>
      <c r="C1910" s="109">
        <v>42242</v>
      </c>
      <c r="D1910" s="108"/>
      <c r="E1910" s="108" t="s">
        <v>14605</v>
      </c>
      <c r="F1910" s="108" t="s">
        <v>14616</v>
      </c>
      <c r="G1910" s="110"/>
      <c r="H1910" s="108" t="s">
        <v>17226</v>
      </c>
      <c r="I1910" s="108"/>
    </row>
    <row r="1911" spans="1:9" ht="27.6">
      <c r="A1911" s="108" t="s">
        <v>14690</v>
      </c>
      <c r="B1911" s="108" t="s">
        <v>17254</v>
      </c>
      <c r="C1911" s="109">
        <v>42127</v>
      </c>
      <c r="D1911" s="108"/>
      <c r="E1911" s="108" t="s">
        <v>14605</v>
      </c>
      <c r="F1911" s="108" t="s">
        <v>17255</v>
      </c>
      <c r="G1911" s="110"/>
      <c r="H1911" s="108" t="s">
        <v>17226</v>
      </c>
      <c r="I1911" s="108"/>
    </row>
    <row r="1912" spans="1:9" ht="27.6">
      <c r="A1912" s="108" t="s">
        <v>14690</v>
      </c>
      <c r="B1912" s="108" t="s">
        <v>17256</v>
      </c>
      <c r="C1912" s="109">
        <v>42726</v>
      </c>
      <c r="D1912" s="108"/>
      <c r="E1912" s="108" t="s">
        <v>14605</v>
      </c>
      <c r="F1912" s="108" t="s">
        <v>17255</v>
      </c>
      <c r="G1912" s="110"/>
      <c r="H1912" s="108" t="s">
        <v>17226</v>
      </c>
      <c r="I1912" s="108"/>
    </row>
    <row r="1913" spans="1:9">
      <c r="A1913" s="108" t="s">
        <v>571</v>
      </c>
      <c r="B1913" s="108" t="s">
        <v>17257</v>
      </c>
      <c r="C1913" s="109">
        <v>42647</v>
      </c>
      <c r="D1913" s="108"/>
      <c r="E1913" s="108" t="s">
        <v>14605</v>
      </c>
      <c r="F1913" s="108" t="s">
        <v>17258</v>
      </c>
      <c r="G1913" s="110"/>
      <c r="H1913" s="108" t="s">
        <v>17226</v>
      </c>
      <c r="I1913" s="108"/>
    </row>
    <row r="1914" spans="1:9" ht="27.6">
      <c r="A1914" s="108" t="s">
        <v>2002</v>
      </c>
      <c r="B1914" s="108" t="s">
        <v>17259</v>
      </c>
      <c r="C1914" s="109">
        <v>43511</v>
      </c>
      <c r="D1914" s="108"/>
      <c r="E1914" s="108" t="s">
        <v>14605</v>
      </c>
      <c r="F1914" s="108" t="s">
        <v>17260</v>
      </c>
      <c r="G1914" s="110"/>
      <c r="H1914" s="108" t="s">
        <v>17226</v>
      </c>
      <c r="I1914" s="108"/>
    </row>
    <row r="1915" spans="1:9">
      <c r="A1915" s="108" t="s">
        <v>1465</v>
      </c>
      <c r="B1915" s="108" t="s">
        <v>17261</v>
      </c>
      <c r="C1915" s="109">
        <v>42130</v>
      </c>
      <c r="D1915" s="108"/>
      <c r="E1915" s="108" t="s">
        <v>14605</v>
      </c>
      <c r="F1915" s="108" t="s">
        <v>14920</v>
      </c>
      <c r="G1915" s="110"/>
      <c r="H1915" s="108" t="s">
        <v>17226</v>
      </c>
      <c r="I1915" s="108"/>
    </row>
    <row r="1916" spans="1:9">
      <c r="A1916" s="108" t="s">
        <v>237</v>
      </c>
      <c r="B1916" s="108" t="s">
        <v>17262</v>
      </c>
      <c r="C1916" s="109">
        <v>41729</v>
      </c>
      <c r="D1916" s="108"/>
      <c r="E1916" s="108" t="s">
        <v>14605</v>
      </c>
      <c r="F1916" s="108" t="s">
        <v>14616</v>
      </c>
      <c r="G1916" s="110"/>
      <c r="H1916" s="108" t="s">
        <v>17226</v>
      </c>
      <c r="I1916" s="108"/>
    </row>
    <row r="1917" spans="1:9" ht="27.6">
      <c r="A1917" s="108" t="s">
        <v>14950</v>
      </c>
      <c r="B1917" s="108" t="s">
        <v>17263</v>
      </c>
      <c r="C1917" s="109">
        <v>45303</v>
      </c>
      <c r="D1917" s="108"/>
      <c r="E1917" s="108" t="s">
        <v>14605</v>
      </c>
      <c r="F1917" s="108" t="s">
        <v>17264</v>
      </c>
      <c r="G1917" s="110"/>
      <c r="H1917" s="108" t="s">
        <v>17226</v>
      </c>
      <c r="I1917" s="108"/>
    </row>
    <row r="1918" spans="1:9">
      <c r="A1918" s="108" t="s">
        <v>87</v>
      </c>
      <c r="B1918" s="108" t="s">
        <v>17265</v>
      </c>
      <c r="C1918" s="109">
        <v>44103</v>
      </c>
      <c r="D1918" s="108"/>
      <c r="E1918" s="108" t="s">
        <v>14605</v>
      </c>
      <c r="F1918" s="108" t="s">
        <v>17240</v>
      </c>
      <c r="G1918" s="110"/>
      <c r="H1918" s="108" t="s">
        <v>17226</v>
      </c>
      <c r="I1918" s="108"/>
    </row>
    <row r="1919" spans="1:9" ht="27.6">
      <c r="A1919" s="108" t="s">
        <v>15075</v>
      </c>
      <c r="B1919" s="108" t="s">
        <v>17266</v>
      </c>
      <c r="C1919" s="109">
        <v>44809</v>
      </c>
      <c r="D1919" s="108"/>
      <c r="E1919" s="108" t="s">
        <v>14605</v>
      </c>
      <c r="F1919" s="108" t="s">
        <v>17267</v>
      </c>
      <c r="G1919" s="110"/>
      <c r="H1919" s="108" t="s">
        <v>17226</v>
      </c>
      <c r="I1919" s="108"/>
    </row>
    <row r="1920" spans="1:9" ht="27.6">
      <c r="A1920" s="108" t="s">
        <v>15075</v>
      </c>
      <c r="B1920" s="108" t="s">
        <v>17268</v>
      </c>
      <c r="C1920" s="109">
        <v>44953</v>
      </c>
      <c r="D1920" s="108"/>
      <c r="E1920" s="108" t="s">
        <v>14605</v>
      </c>
      <c r="F1920" s="108" t="s">
        <v>17233</v>
      </c>
      <c r="G1920" s="110"/>
      <c r="H1920" s="108" t="s">
        <v>17226</v>
      </c>
      <c r="I1920" s="108"/>
    </row>
    <row r="1921" spans="1:9" ht="27.6">
      <c r="A1921" s="108" t="s">
        <v>15075</v>
      </c>
      <c r="B1921" s="108" t="s">
        <v>17269</v>
      </c>
      <c r="C1921" s="109">
        <v>44900</v>
      </c>
      <c r="D1921" s="108"/>
      <c r="E1921" s="108" t="s">
        <v>14605</v>
      </c>
      <c r="F1921" s="108" t="s">
        <v>17270</v>
      </c>
      <c r="G1921" s="110"/>
      <c r="H1921" s="108" t="s">
        <v>17226</v>
      </c>
      <c r="I1921" s="108"/>
    </row>
    <row r="1922" spans="1:9" ht="27.6">
      <c r="A1922" s="108" t="s">
        <v>15075</v>
      </c>
      <c r="B1922" s="108" t="s">
        <v>17271</v>
      </c>
      <c r="C1922" s="109">
        <v>44993</v>
      </c>
      <c r="D1922" s="108"/>
      <c r="E1922" s="108" t="s">
        <v>14605</v>
      </c>
      <c r="F1922" s="108" t="s">
        <v>17272</v>
      </c>
      <c r="G1922" s="110"/>
      <c r="H1922" s="108" t="s">
        <v>17226</v>
      </c>
      <c r="I1922" s="108"/>
    </row>
    <row r="1923" spans="1:9" ht="27.6">
      <c r="A1923" s="108" t="s">
        <v>15075</v>
      </c>
      <c r="B1923" s="108" t="s">
        <v>17273</v>
      </c>
      <c r="C1923" s="109">
        <v>45092</v>
      </c>
      <c r="D1923" s="108"/>
      <c r="E1923" s="108" t="s">
        <v>14605</v>
      </c>
      <c r="F1923" s="108" t="s">
        <v>16317</v>
      </c>
      <c r="G1923" s="110"/>
      <c r="H1923" s="108" t="s">
        <v>17226</v>
      </c>
      <c r="I1923" s="108"/>
    </row>
    <row r="1924" spans="1:9" ht="27.6">
      <c r="A1924" s="108" t="s">
        <v>15075</v>
      </c>
      <c r="B1924" s="108" t="s">
        <v>17274</v>
      </c>
      <c r="C1924" s="109">
        <v>45205</v>
      </c>
      <c r="D1924" s="108"/>
      <c r="E1924" s="108" t="s">
        <v>14605</v>
      </c>
      <c r="F1924" s="108" t="s">
        <v>17275</v>
      </c>
      <c r="G1924" s="110"/>
      <c r="H1924" s="108" t="s">
        <v>17226</v>
      </c>
      <c r="I1924" s="108"/>
    </row>
    <row r="1925" spans="1:9" ht="27.6">
      <c r="A1925" s="108" t="s">
        <v>15075</v>
      </c>
      <c r="B1925" s="108" t="s">
        <v>17276</v>
      </c>
      <c r="C1925" s="109">
        <v>45239</v>
      </c>
      <c r="D1925" s="108"/>
      <c r="E1925" s="108" t="s">
        <v>14605</v>
      </c>
      <c r="F1925" s="108" t="s">
        <v>17277</v>
      </c>
      <c r="G1925" s="110"/>
      <c r="H1925" s="108" t="s">
        <v>17226</v>
      </c>
      <c r="I1925" s="108"/>
    </row>
    <row r="1926" spans="1:9" ht="27.6">
      <c r="A1926" s="108" t="s">
        <v>15075</v>
      </c>
      <c r="B1926" s="108" t="s">
        <v>17278</v>
      </c>
      <c r="C1926" s="109">
        <v>45323</v>
      </c>
      <c r="D1926" s="108"/>
      <c r="E1926" s="108" t="s">
        <v>14605</v>
      </c>
      <c r="F1926" s="108" t="s">
        <v>17279</v>
      </c>
      <c r="G1926" s="110"/>
      <c r="H1926" s="108" t="s">
        <v>17226</v>
      </c>
      <c r="I1926" s="108"/>
    </row>
    <row r="1927" spans="1:9" ht="27.6">
      <c r="A1927" s="108" t="s">
        <v>15075</v>
      </c>
      <c r="B1927" s="108" t="s">
        <v>17280</v>
      </c>
      <c r="C1927" s="109">
        <v>45330</v>
      </c>
      <c r="D1927" s="108"/>
      <c r="E1927" s="108" t="s">
        <v>14605</v>
      </c>
      <c r="F1927" s="108" t="s">
        <v>17279</v>
      </c>
      <c r="G1927" s="110"/>
      <c r="H1927" s="108" t="s">
        <v>17226</v>
      </c>
      <c r="I1927" s="108"/>
    </row>
    <row r="1928" spans="1:9" ht="27.6">
      <c r="A1928" s="108" t="s">
        <v>15075</v>
      </c>
      <c r="B1928" s="108" t="s">
        <v>17281</v>
      </c>
      <c r="C1928" s="109">
        <v>45322</v>
      </c>
      <c r="D1928" s="108"/>
      <c r="E1928" s="108" t="s">
        <v>14605</v>
      </c>
      <c r="F1928" s="108" t="s">
        <v>17282</v>
      </c>
      <c r="G1928" s="110"/>
      <c r="H1928" s="108" t="s">
        <v>17226</v>
      </c>
      <c r="I1928" s="108"/>
    </row>
    <row r="1929" spans="1:9" ht="27.6">
      <c r="A1929" s="108" t="s">
        <v>15075</v>
      </c>
      <c r="B1929" s="108" t="s">
        <v>17283</v>
      </c>
      <c r="C1929" s="109">
        <v>45399</v>
      </c>
      <c r="D1929" s="108"/>
      <c r="E1929" s="108" t="s">
        <v>14605</v>
      </c>
      <c r="F1929" s="108" t="s">
        <v>17284</v>
      </c>
      <c r="G1929" s="110"/>
      <c r="H1929" s="108" t="s">
        <v>17226</v>
      </c>
      <c r="I1929" s="108"/>
    </row>
    <row r="1930" spans="1:9" ht="27.6">
      <c r="A1930" s="108" t="s">
        <v>15075</v>
      </c>
      <c r="B1930" s="108" t="s">
        <v>17285</v>
      </c>
      <c r="C1930" s="109">
        <v>45410</v>
      </c>
      <c r="D1930" s="108"/>
      <c r="E1930" s="108" t="s">
        <v>14605</v>
      </c>
      <c r="F1930" s="108" t="s">
        <v>17284</v>
      </c>
      <c r="G1930" s="110"/>
      <c r="H1930" s="108" t="s">
        <v>17226</v>
      </c>
      <c r="I1930" s="108"/>
    </row>
    <row r="1931" spans="1:9" ht="27.6">
      <c r="A1931" s="108" t="s">
        <v>15075</v>
      </c>
      <c r="B1931" s="108" t="s">
        <v>17286</v>
      </c>
      <c r="C1931" s="109">
        <v>45527</v>
      </c>
      <c r="D1931" s="108"/>
      <c r="E1931" s="108" t="s">
        <v>14605</v>
      </c>
      <c r="F1931" s="108" t="s">
        <v>17287</v>
      </c>
      <c r="G1931" s="110"/>
      <c r="H1931" s="108" t="s">
        <v>17226</v>
      </c>
      <c r="I1931" s="108"/>
    </row>
    <row r="1932" spans="1:9" ht="27.6">
      <c r="A1932" s="108" t="s">
        <v>15075</v>
      </c>
      <c r="B1932" s="108" t="s">
        <v>17288</v>
      </c>
      <c r="C1932" s="109">
        <v>45587</v>
      </c>
      <c r="D1932" s="108"/>
      <c r="E1932" s="108" t="s">
        <v>14605</v>
      </c>
      <c r="F1932" s="108" t="s">
        <v>17289</v>
      </c>
      <c r="G1932" s="110"/>
      <c r="H1932" s="108" t="s">
        <v>17226</v>
      </c>
      <c r="I1932" s="108"/>
    </row>
    <row r="1933" spans="1:9" ht="27.6">
      <c r="A1933" s="108" t="s">
        <v>227</v>
      </c>
      <c r="B1933" s="108" t="s">
        <v>17290</v>
      </c>
      <c r="C1933" s="109">
        <v>41345</v>
      </c>
      <c r="D1933" s="108"/>
      <c r="E1933" s="108" t="s">
        <v>14605</v>
      </c>
      <c r="F1933" s="108" t="s">
        <v>15621</v>
      </c>
      <c r="G1933" s="110"/>
      <c r="H1933" s="108" t="s">
        <v>17226</v>
      </c>
      <c r="I1933" s="108"/>
    </row>
    <row r="1934" spans="1:9" ht="27.6">
      <c r="A1934" s="108" t="s">
        <v>16935</v>
      </c>
      <c r="B1934" s="108" t="s">
        <v>17291</v>
      </c>
      <c r="C1934" s="109">
        <v>39716</v>
      </c>
      <c r="D1934" s="108"/>
      <c r="E1934" s="108" t="s">
        <v>14605</v>
      </c>
      <c r="F1934" s="108" t="s">
        <v>15621</v>
      </c>
      <c r="G1934" s="110"/>
      <c r="H1934" s="108" t="s">
        <v>17226</v>
      </c>
      <c r="I1934" s="108"/>
    </row>
    <row r="1935" spans="1:9">
      <c r="A1935" s="108" t="s">
        <v>16935</v>
      </c>
      <c r="B1935" s="108" t="s">
        <v>17292</v>
      </c>
      <c r="C1935" s="109">
        <v>39757</v>
      </c>
      <c r="D1935" s="108"/>
      <c r="E1935" s="108" t="s">
        <v>14605</v>
      </c>
      <c r="F1935" s="108" t="s">
        <v>17240</v>
      </c>
      <c r="G1935" s="110"/>
      <c r="H1935" s="108" t="s">
        <v>17226</v>
      </c>
      <c r="I1935" s="108"/>
    </row>
    <row r="1936" spans="1:9">
      <c r="A1936" s="108" t="s">
        <v>16935</v>
      </c>
      <c r="B1936" s="108" t="s">
        <v>17293</v>
      </c>
      <c r="C1936" s="109">
        <v>39902</v>
      </c>
      <c r="D1936" s="108"/>
      <c r="E1936" s="108" t="s">
        <v>14605</v>
      </c>
      <c r="F1936" s="108" t="s">
        <v>17233</v>
      </c>
      <c r="G1936" s="110"/>
      <c r="H1936" s="108" t="s">
        <v>17226</v>
      </c>
      <c r="I1936" s="108"/>
    </row>
    <row r="1937" spans="1:9">
      <c r="A1937" s="108" t="s">
        <v>87</v>
      </c>
      <c r="B1937" s="108" t="s">
        <v>17294</v>
      </c>
      <c r="C1937" s="109">
        <v>40560</v>
      </c>
      <c r="D1937" s="108"/>
      <c r="E1937" s="108" t="s">
        <v>14605</v>
      </c>
      <c r="F1937" s="108" t="s">
        <v>17295</v>
      </c>
      <c r="G1937" s="110"/>
      <c r="H1937" s="108" t="s">
        <v>17226</v>
      </c>
      <c r="I1937" s="108"/>
    </row>
    <row r="1938" spans="1:9" ht="27.6">
      <c r="A1938" s="108" t="s">
        <v>14690</v>
      </c>
      <c r="B1938" s="108" t="s">
        <v>17296</v>
      </c>
      <c r="C1938" s="109">
        <v>40588</v>
      </c>
      <c r="D1938" s="108"/>
      <c r="E1938" s="108" t="s">
        <v>14605</v>
      </c>
      <c r="F1938" s="108" t="s">
        <v>17240</v>
      </c>
      <c r="G1938" s="110"/>
      <c r="H1938" s="108" t="s">
        <v>17226</v>
      </c>
      <c r="I1938" s="108"/>
    </row>
    <row r="1939" spans="1:9" ht="27.6">
      <c r="A1939" s="108" t="s">
        <v>14690</v>
      </c>
      <c r="B1939" s="108" t="s">
        <v>17297</v>
      </c>
      <c r="C1939" s="109">
        <v>40606</v>
      </c>
      <c r="D1939" s="108"/>
      <c r="E1939" s="108" t="s">
        <v>14605</v>
      </c>
      <c r="F1939" s="108" t="s">
        <v>17298</v>
      </c>
      <c r="G1939" s="110"/>
      <c r="H1939" s="108" t="s">
        <v>17226</v>
      </c>
      <c r="I1939" s="108"/>
    </row>
    <row r="1940" spans="1:9">
      <c r="A1940" s="108" t="s">
        <v>237</v>
      </c>
      <c r="B1940" s="108" t="s">
        <v>17299</v>
      </c>
      <c r="C1940" s="109">
        <v>40787</v>
      </c>
      <c r="D1940" s="108"/>
      <c r="E1940" s="108" t="s">
        <v>14605</v>
      </c>
      <c r="F1940" s="108" t="s">
        <v>14616</v>
      </c>
      <c r="G1940" s="110"/>
      <c r="H1940" s="108" t="s">
        <v>17226</v>
      </c>
      <c r="I1940" s="108"/>
    </row>
    <row r="1941" spans="1:9">
      <c r="A1941" s="108" t="s">
        <v>237</v>
      </c>
      <c r="B1941" s="108" t="s">
        <v>17300</v>
      </c>
      <c r="C1941" s="109">
        <v>41060</v>
      </c>
      <c r="D1941" s="108"/>
      <c r="E1941" s="108" t="s">
        <v>14605</v>
      </c>
      <c r="F1941" s="108" t="s">
        <v>14616</v>
      </c>
      <c r="G1941" s="110"/>
      <c r="H1941" s="108" t="s">
        <v>17226</v>
      </c>
      <c r="I1941" s="108"/>
    </row>
    <row r="1942" spans="1:9">
      <c r="A1942" s="108" t="s">
        <v>15705</v>
      </c>
      <c r="B1942" s="108" t="s">
        <v>17301</v>
      </c>
      <c r="C1942" s="109">
        <v>39580</v>
      </c>
      <c r="D1942" s="108"/>
      <c r="E1942" s="108" t="s">
        <v>14605</v>
      </c>
      <c r="F1942" s="108" t="s">
        <v>17233</v>
      </c>
      <c r="G1942" s="110"/>
      <c r="H1942" s="108" t="s">
        <v>17226</v>
      </c>
      <c r="I1942" s="108"/>
    </row>
    <row r="1943" spans="1:9">
      <c r="A1943" s="108" t="s">
        <v>118</v>
      </c>
      <c r="B1943" s="108" t="s">
        <v>17302</v>
      </c>
      <c r="C1943" s="109">
        <v>43018</v>
      </c>
      <c r="D1943" s="108"/>
      <c r="E1943" s="108" t="s">
        <v>14605</v>
      </c>
      <c r="F1943" s="108" t="s">
        <v>17233</v>
      </c>
      <c r="G1943" s="110"/>
      <c r="H1943" s="108" t="s">
        <v>17226</v>
      </c>
      <c r="I1943" s="108"/>
    </row>
    <row r="1944" spans="1:9">
      <c r="A1944" s="108" t="s">
        <v>118</v>
      </c>
      <c r="B1944" s="108" t="s">
        <v>17303</v>
      </c>
      <c r="C1944" s="109">
        <v>43256</v>
      </c>
      <c r="D1944" s="108"/>
      <c r="E1944" s="108" t="s">
        <v>14605</v>
      </c>
      <c r="F1944" s="108" t="s">
        <v>17304</v>
      </c>
      <c r="G1944" s="110"/>
      <c r="H1944" s="108" t="s">
        <v>17226</v>
      </c>
      <c r="I1944" s="108"/>
    </row>
    <row r="1945" spans="1:9">
      <c r="A1945" s="108" t="s">
        <v>16151</v>
      </c>
      <c r="B1945" s="108" t="s">
        <v>17305</v>
      </c>
      <c r="C1945" s="109">
        <v>44259</v>
      </c>
      <c r="D1945" s="108" t="s">
        <v>17306</v>
      </c>
      <c r="E1945" s="108" t="s">
        <v>14605</v>
      </c>
      <c r="F1945" s="108" t="s">
        <v>17233</v>
      </c>
      <c r="G1945" s="109">
        <v>45294</v>
      </c>
      <c r="H1945" s="108" t="s">
        <v>17226</v>
      </c>
      <c r="I1945" s="108" t="s">
        <v>102</v>
      </c>
    </row>
    <row r="1946" spans="1:9">
      <c r="A1946" s="108" t="s">
        <v>16151</v>
      </c>
      <c r="B1946" s="108" t="s">
        <v>17307</v>
      </c>
      <c r="C1946" s="109">
        <v>44692</v>
      </c>
      <c r="D1946" s="108" t="s">
        <v>17308</v>
      </c>
      <c r="E1946" s="108" t="s">
        <v>14605</v>
      </c>
      <c r="F1946" s="108" t="s">
        <v>16317</v>
      </c>
      <c r="G1946" s="109">
        <v>46152</v>
      </c>
      <c r="H1946" s="108" t="s">
        <v>17226</v>
      </c>
      <c r="I1946" s="108" t="s">
        <v>102</v>
      </c>
    </row>
    <row r="1947" spans="1:9" ht="27.6">
      <c r="A1947" s="108" t="s">
        <v>103</v>
      </c>
      <c r="B1947" s="108" t="s">
        <v>17309</v>
      </c>
      <c r="C1947" s="109">
        <v>45266</v>
      </c>
      <c r="D1947" s="108" t="s">
        <v>17310</v>
      </c>
      <c r="E1947" s="108" t="s">
        <v>14605</v>
      </c>
      <c r="F1947" s="108" t="s">
        <v>17279</v>
      </c>
      <c r="G1947" s="109">
        <v>46203</v>
      </c>
      <c r="H1947" s="108" t="s">
        <v>17226</v>
      </c>
      <c r="I1947" s="108" t="s">
        <v>102</v>
      </c>
    </row>
    <row r="1948" spans="1:9" ht="27.6">
      <c r="A1948" s="108" t="s">
        <v>103</v>
      </c>
      <c r="B1948" s="108" t="s">
        <v>17311</v>
      </c>
      <c r="C1948" s="109">
        <v>44915</v>
      </c>
      <c r="D1948" s="108" t="s">
        <v>17312</v>
      </c>
      <c r="E1948" s="108" t="s">
        <v>14605</v>
      </c>
      <c r="F1948" s="108" t="s">
        <v>17279</v>
      </c>
      <c r="G1948" s="109">
        <v>46203</v>
      </c>
      <c r="H1948" s="108" t="s">
        <v>17226</v>
      </c>
      <c r="I1948" s="108" t="s">
        <v>102</v>
      </c>
    </row>
    <row r="1949" spans="1:9" ht="27.6">
      <c r="A1949" s="108" t="s">
        <v>388</v>
      </c>
      <c r="B1949" s="108" t="s">
        <v>17313</v>
      </c>
      <c r="C1949" s="109">
        <v>44771</v>
      </c>
      <c r="D1949" s="108" t="s">
        <v>17314</v>
      </c>
      <c r="E1949" s="108" t="s">
        <v>14605</v>
      </c>
      <c r="F1949" s="108" t="s">
        <v>17315</v>
      </c>
      <c r="G1949" s="109">
        <v>45922</v>
      </c>
      <c r="H1949" s="108" t="s">
        <v>17226</v>
      </c>
      <c r="I1949" s="108" t="s">
        <v>102</v>
      </c>
    </row>
    <row r="1950" spans="1:9">
      <c r="A1950" s="108" t="s">
        <v>16986</v>
      </c>
      <c r="B1950" s="108" t="s">
        <v>17316</v>
      </c>
      <c r="C1950" s="109">
        <v>44266</v>
      </c>
      <c r="D1950" s="108" t="s">
        <v>17317</v>
      </c>
      <c r="E1950" s="108" t="s">
        <v>14605</v>
      </c>
      <c r="F1950" s="108" t="s">
        <v>17318</v>
      </c>
      <c r="G1950" s="109">
        <v>46022</v>
      </c>
      <c r="H1950" s="108" t="s">
        <v>17226</v>
      </c>
      <c r="I1950" s="108" t="s">
        <v>95</v>
      </c>
    </row>
    <row r="1951" spans="1:9" ht="27.6">
      <c r="A1951" s="108" t="s">
        <v>109</v>
      </c>
      <c r="B1951" s="108" t="s">
        <v>17319</v>
      </c>
      <c r="C1951" s="109">
        <v>45630</v>
      </c>
      <c r="D1951" s="108" t="s">
        <v>17320</v>
      </c>
      <c r="E1951" s="108" t="s">
        <v>14605</v>
      </c>
      <c r="F1951" s="108" t="s">
        <v>14956</v>
      </c>
      <c r="G1951" s="109">
        <v>46090</v>
      </c>
      <c r="H1951" s="108" t="s">
        <v>17226</v>
      </c>
      <c r="I1951" s="108" t="s">
        <v>95</v>
      </c>
    </row>
    <row r="1952" spans="1:9">
      <c r="A1952" s="108" t="s">
        <v>15990</v>
      </c>
      <c r="B1952" s="108" t="s">
        <v>17321</v>
      </c>
      <c r="C1952" s="109">
        <v>44932</v>
      </c>
      <c r="D1952" s="108" t="s">
        <v>17322</v>
      </c>
      <c r="E1952" s="108" t="s">
        <v>14605</v>
      </c>
      <c r="F1952" s="108" t="s">
        <v>17323</v>
      </c>
      <c r="G1952" s="109">
        <v>46393</v>
      </c>
      <c r="H1952" s="108" t="s">
        <v>17226</v>
      </c>
      <c r="I1952" s="108" t="s">
        <v>95</v>
      </c>
    </row>
    <row r="1953" spans="1:9">
      <c r="A1953" s="108" t="s">
        <v>503</v>
      </c>
      <c r="B1953" s="108" t="s">
        <v>17324</v>
      </c>
      <c r="C1953" s="109">
        <v>45063</v>
      </c>
      <c r="D1953" s="108" t="s">
        <v>17325</v>
      </c>
      <c r="E1953" s="108" t="s">
        <v>14605</v>
      </c>
      <c r="F1953" s="108" t="s">
        <v>17267</v>
      </c>
      <c r="G1953" s="109">
        <v>47241</v>
      </c>
      <c r="H1953" s="108" t="s">
        <v>17226</v>
      </c>
      <c r="I1953" s="108" t="s">
        <v>95</v>
      </c>
    </row>
    <row r="1954" spans="1:9">
      <c r="A1954" s="108" t="s">
        <v>16151</v>
      </c>
      <c r="B1954" s="108" t="s">
        <v>17326</v>
      </c>
      <c r="C1954" s="109">
        <v>45205</v>
      </c>
      <c r="D1954" s="108" t="s">
        <v>17327</v>
      </c>
      <c r="E1954" s="108" t="s">
        <v>14605</v>
      </c>
      <c r="F1954" s="108" t="s">
        <v>17275</v>
      </c>
      <c r="G1954" s="109">
        <v>45944</v>
      </c>
      <c r="H1954" s="108" t="s">
        <v>17226</v>
      </c>
      <c r="I1954" s="108" t="s">
        <v>95</v>
      </c>
    </row>
    <row r="1955" spans="1:9" ht="27.6">
      <c r="A1955" s="108" t="s">
        <v>16151</v>
      </c>
      <c r="B1955" s="108" t="s">
        <v>17328</v>
      </c>
      <c r="C1955" s="109">
        <v>45239</v>
      </c>
      <c r="D1955" s="108" t="s">
        <v>17329</v>
      </c>
      <c r="E1955" s="108" t="s">
        <v>14605</v>
      </c>
      <c r="F1955" s="108" t="s">
        <v>17277</v>
      </c>
      <c r="G1955" s="109">
        <v>46355</v>
      </c>
      <c r="H1955" s="108" t="s">
        <v>17226</v>
      </c>
      <c r="I1955" s="108" t="s">
        <v>95</v>
      </c>
    </row>
    <row r="1956" spans="1:9">
      <c r="A1956" s="108" t="s">
        <v>16151</v>
      </c>
      <c r="B1956" s="108" t="s">
        <v>17330</v>
      </c>
      <c r="C1956" s="109">
        <v>45410</v>
      </c>
      <c r="D1956" s="108" t="s">
        <v>17331</v>
      </c>
      <c r="E1956" s="108" t="s">
        <v>14605</v>
      </c>
      <c r="F1956" s="108" t="s">
        <v>17284</v>
      </c>
      <c r="G1956" s="109">
        <v>46125</v>
      </c>
      <c r="H1956" s="108" t="s">
        <v>17226</v>
      </c>
      <c r="I1956" s="108" t="s">
        <v>95</v>
      </c>
    </row>
    <row r="1957" spans="1:9" ht="27.6">
      <c r="A1957" s="108" t="s">
        <v>16151</v>
      </c>
      <c r="B1957" s="108" t="s">
        <v>17332</v>
      </c>
      <c r="C1957" s="109">
        <v>45322</v>
      </c>
      <c r="D1957" s="108" t="s">
        <v>17333</v>
      </c>
      <c r="E1957" s="108" t="s">
        <v>14605</v>
      </c>
      <c r="F1957" s="108" t="s">
        <v>17282</v>
      </c>
      <c r="G1957" s="109">
        <v>46802</v>
      </c>
      <c r="H1957" s="108" t="s">
        <v>17226</v>
      </c>
      <c r="I1957" s="108" t="s">
        <v>95</v>
      </c>
    </row>
    <row r="1958" spans="1:9">
      <c r="A1958" s="108" t="s">
        <v>16151</v>
      </c>
      <c r="B1958" s="108" t="s">
        <v>17334</v>
      </c>
      <c r="C1958" s="109">
        <v>45401</v>
      </c>
      <c r="D1958" s="108" t="s">
        <v>17335</v>
      </c>
      <c r="E1958" s="108" t="s">
        <v>14605</v>
      </c>
      <c r="F1958" s="108" t="s">
        <v>17284</v>
      </c>
      <c r="G1958" s="109">
        <v>46125</v>
      </c>
      <c r="H1958" s="108" t="s">
        <v>17226</v>
      </c>
      <c r="I1958" s="108" t="s">
        <v>95</v>
      </c>
    </row>
    <row r="1959" spans="1:9" ht="27.6">
      <c r="A1959" s="108" t="s">
        <v>388</v>
      </c>
      <c r="B1959" s="108" t="s">
        <v>17336</v>
      </c>
      <c r="C1959" s="109">
        <v>44041</v>
      </c>
      <c r="D1959" s="108" t="s">
        <v>17337</v>
      </c>
      <c r="E1959" s="108" t="s">
        <v>14605</v>
      </c>
      <c r="F1959" s="108" t="s">
        <v>17270</v>
      </c>
      <c r="G1959" s="109">
        <v>45930</v>
      </c>
      <c r="H1959" s="108" t="s">
        <v>17226</v>
      </c>
      <c r="I1959" s="108" t="s">
        <v>95</v>
      </c>
    </row>
    <row r="1960" spans="1:9" ht="27.6">
      <c r="A1960" s="108" t="s">
        <v>388</v>
      </c>
      <c r="B1960" s="108" t="s">
        <v>17338</v>
      </c>
      <c r="C1960" s="109">
        <v>44754</v>
      </c>
      <c r="D1960" s="108" t="s">
        <v>17339</v>
      </c>
      <c r="E1960" s="108" t="s">
        <v>14605</v>
      </c>
      <c r="F1960" s="108" t="s">
        <v>17267</v>
      </c>
      <c r="G1960" s="109">
        <v>46590</v>
      </c>
      <c r="H1960" s="108" t="s">
        <v>17226</v>
      </c>
      <c r="I1960" s="108" t="s">
        <v>95</v>
      </c>
    </row>
    <row r="1961" spans="1:9" ht="27.6">
      <c r="A1961" s="108" t="s">
        <v>17130</v>
      </c>
      <c r="B1961" s="108" t="s">
        <v>17340</v>
      </c>
      <c r="C1961" s="109">
        <v>44587</v>
      </c>
      <c r="D1961" s="108" t="s">
        <v>17341</v>
      </c>
      <c r="E1961" s="108" t="s">
        <v>14605</v>
      </c>
      <c r="F1961" s="108" t="s">
        <v>17240</v>
      </c>
      <c r="G1961" s="109">
        <v>45683</v>
      </c>
      <c r="H1961" s="108" t="s">
        <v>17226</v>
      </c>
      <c r="I1961" s="108" t="s">
        <v>17342</v>
      </c>
    </row>
    <row r="1962" spans="1:9">
      <c r="A1962" s="108" t="s">
        <v>87</v>
      </c>
      <c r="B1962" s="108" t="s">
        <v>17343</v>
      </c>
      <c r="C1962" s="109">
        <v>43490</v>
      </c>
      <c r="D1962" s="108" t="s">
        <v>17344</v>
      </c>
      <c r="E1962" s="108" t="s">
        <v>14605</v>
      </c>
      <c r="F1962" s="108" t="s">
        <v>17233</v>
      </c>
      <c r="G1962" s="109">
        <v>45657</v>
      </c>
      <c r="H1962" s="108" t="s">
        <v>17226</v>
      </c>
      <c r="I1962" s="108" t="s">
        <v>280</v>
      </c>
    </row>
    <row r="1963" spans="1:9">
      <c r="A1963" s="108" t="s">
        <v>237</v>
      </c>
      <c r="B1963" s="108" t="s">
        <v>17345</v>
      </c>
      <c r="C1963" s="109">
        <v>42613</v>
      </c>
      <c r="D1963" s="108" t="s">
        <v>17346</v>
      </c>
      <c r="E1963" s="108" t="s">
        <v>14605</v>
      </c>
      <c r="F1963" s="108" t="s">
        <v>14927</v>
      </c>
      <c r="G1963" s="109">
        <v>45961</v>
      </c>
      <c r="H1963" s="108" t="s">
        <v>17226</v>
      </c>
      <c r="I1963" s="108" t="s">
        <v>280</v>
      </c>
    </row>
    <row r="1964" spans="1:9">
      <c r="A1964" s="108" t="s">
        <v>237</v>
      </c>
      <c r="B1964" s="108" t="s">
        <v>17347</v>
      </c>
      <c r="C1964" s="109">
        <v>42809</v>
      </c>
      <c r="D1964" s="108" t="s">
        <v>17348</v>
      </c>
      <c r="E1964" s="108" t="s">
        <v>14605</v>
      </c>
      <c r="F1964" s="108" t="s">
        <v>17349</v>
      </c>
      <c r="G1964" s="109">
        <v>45980</v>
      </c>
      <c r="H1964" s="108" t="s">
        <v>17226</v>
      </c>
      <c r="I1964" s="108" t="s">
        <v>280</v>
      </c>
    </row>
    <row r="1965" spans="1:9">
      <c r="A1965" s="108" t="s">
        <v>571</v>
      </c>
      <c r="B1965" s="108" t="s">
        <v>17350</v>
      </c>
      <c r="C1965" s="109">
        <v>43076</v>
      </c>
      <c r="D1965" s="108" t="s">
        <v>17351</v>
      </c>
      <c r="E1965" s="108" t="s">
        <v>14605</v>
      </c>
      <c r="F1965" s="108" t="s">
        <v>17233</v>
      </c>
      <c r="G1965" s="109">
        <v>45657</v>
      </c>
      <c r="H1965" s="108" t="s">
        <v>17226</v>
      </c>
      <c r="I1965" s="108" t="s">
        <v>280</v>
      </c>
    </row>
    <row r="1966" spans="1:9">
      <c r="A1966" s="108" t="s">
        <v>2002</v>
      </c>
      <c r="B1966" s="108" t="s">
        <v>17352</v>
      </c>
      <c r="C1966" s="109">
        <v>42836</v>
      </c>
      <c r="D1966" s="108" t="s">
        <v>17353</v>
      </c>
      <c r="E1966" s="108" t="s">
        <v>14605</v>
      </c>
      <c r="F1966" s="108" t="s">
        <v>17354</v>
      </c>
      <c r="G1966" s="109">
        <v>46089</v>
      </c>
      <c r="H1966" s="108" t="s">
        <v>17226</v>
      </c>
      <c r="I1966" s="108" t="s">
        <v>280</v>
      </c>
    </row>
    <row r="1967" spans="1:9">
      <c r="A1967" s="108" t="s">
        <v>87</v>
      </c>
      <c r="B1967" s="108" t="s">
        <v>17355</v>
      </c>
      <c r="C1967" s="109">
        <v>44127</v>
      </c>
      <c r="D1967" s="108" t="s">
        <v>17356</v>
      </c>
      <c r="E1967" s="108" t="s">
        <v>14605</v>
      </c>
      <c r="F1967" s="108" t="s">
        <v>17233</v>
      </c>
      <c r="G1967" s="109">
        <v>46022</v>
      </c>
      <c r="H1967" s="108" t="s">
        <v>17226</v>
      </c>
      <c r="I1967" s="108" t="s">
        <v>280</v>
      </c>
    </row>
    <row r="1968" spans="1:9">
      <c r="A1968" s="108" t="s">
        <v>87</v>
      </c>
      <c r="B1968" s="108" t="s">
        <v>17357</v>
      </c>
      <c r="C1968" s="109">
        <v>44130</v>
      </c>
      <c r="D1968" s="108" t="s">
        <v>17358</v>
      </c>
      <c r="E1968" s="108" t="s">
        <v>14605</v>
      </c>
      <c r="F1968" s="108" t="s">
        <v>17233</v>
      </c>
      <c r="G1968" s="109">
        <v>46022</v>
      </c>
      <c r="H1968" s="108" t="s">
        <v>17226</v>
      </c>
      <c r="I1968" s="108" t="s">
        <v>280</v>
      </c>
    </row>
    <row r="1969" spans="1:9">
      <c r="A1969" s="108" t="s">
        <v>87</v>
      </c>
      <c r="B1969" s="108" t="s">
        <v>17359</v>
      </c>
      <c r="C1969" s="109">
        <v>44070</v>
      </c>
      <c r="D1969" s="108" t="s">
        <v>17360</v>
      </c>
      <c r="E1969" s="108" t="s">
        <v>14605</v>
      </c>
      <c r="F1969" s="108" t="s">
        <v>17361</v>
      </c>
      <c r="G1969" s="109">
        <v>45530</v>
      </c>
      <c r="H1969" s="108" t="s">
        <v>17226</v>
      </c>
      <c r="I1969" s="108" t="s">
        <v>79</v>
      </c>
    </row>
    <row r="1970" spans="1:9">
      <c r="A1970" s="108" t="s">
        <v>118</v>
      </c>
      <c r="B1970" s="108" t="s">
        <v>17362</v>
      </c>
      <c r="C1970" s="109">
        <v>43248</v>
      </c>
      <c r="D1970" s="108" t="s">
        <v>17363</v>
      </c>
      <c r="E1970" s="108" t="s">
        <v>14605</v>
      </c>
      <c r="F1970" s="108" t="s">
        <v>17240</v>
      </c>
      <c r="G1970" s="109">
        <v>46006</v>
      </c>
      <c r="H1970" s="108" t="s">
        <v>17226</v>
      </c>
      <c r="I1970" s="108" t="s">
        <v>206</v>
      </c>
    </row>
    <row r="1971" spans="1:9">
      <c r="A1971" s="108" t="s">
        <v>118</v>
      </c>
      <c r="B1971" s="108" t="s">
        <v>17364</v>
      </c>
      <c r="C1971" s="109">
        <v>43593</v>
      </c>
      <c r="D1971" s="108" t="s">
        <v>17365</v>
      </c>
      <c r="E1971" s="108" t="s">
        <v>14605</v>
      </c>
      <c r="F1971" s="108" t="s">
        <v>15849</v>
      </c>
      <c r="G1971" s="109">
        <v>46022</v>
      </c>
      <c r="H1971" s="108" t="s">
        <v>17226</v>
      </c>
      <c r="I1971" s="108" t="s">
        <v>117</v>
      </c>
    </row>
    <row r="1972" spans="1:9">
      <c r="A1972" s="108" t="s">
        <v>118</v>
      </c>
      <c r="B1972" s="108" t="s">
        <v>17366</v>
      </c>
      <c r="C1972" s="109">
        <v>43711</v>
      </c>
      <c r="D1972" s="108" t="s">
        <v>17367</v>
      </c>
      <c r="E1972" s="108" t="s">
        <v>14605</v>
      </c>
      <c r="F1972" s="108" t="s">
        <v>17368</v>
      </c>
      <c r="G1972" s="109">
        <v>45930</v>
      </c>
      <c r="H1972" s="108" t="s">
        <v>17226</v>
      </c>
      <c r="I1972" s="108" t="s">
        <v>117</v>
      </c>
    </row>
    <row r="1973" spans="1:9">
      <c r="A1973" s="108" t="s">
        <v>169</v>
      </c>
      <c r="B1973" s="108" t="s">
        <v>17369</v>
      </c>
      <c r="C1973" s="109">
        <v>45139</v>
      </c>
      <c r="D1973" s="108" t="s">
        <v>17370</v>
      </c>
      <c r="E1973" s="108" t="s">
        <v>14605</v>
      </c>
      <c r="F1973" s="108" t="s">
        <v>16317</v>
      </c>
      <c r="G1973" s="109">
        <v>46108</v>
      </c>
      <c r="H1973" s="108" t="s">
        <v>17226</v>
      </c>
      <c r="I1973" s="108" t="s">
        <v>3315</v>
      </c>
    </row>
    <row r="1974" spans="1:9">
      <c r="A1974" s="108" t="s">
        <v>169</v>
      </c>
      <c r="B1974" s="108" t="s">
        <v>17371</v>
      </c>
      <c r="C1974" s="109">
        <v>43899</v>
      </c>
      <c r="D1974" s="108" t="s">
        <v>17372</v>
      </c>
      <c r="E1974" s="108" t="s">
        <v>14605</v>
      </c>
      <c r="F1974" s="108" t="s">
        <v>17275</v>
      </c>
      <c r="G1974" s="109">
        <v>46118</v>
      </c>
      <c r="H1974" s="108" t="s">
        <v>17226</v>
      </c>
      <c r="I1974" s="108" t="s">
        <v>721</v>
      </c>
    </row>
    <row r="1975" spans="1:9">
      <c r="A1975" s="108" t="s">
        <v>169</v>
      </c>
      <c r="B1975" s="108" t="s">
        <v>17373</v>
      </c>
      <c r="C1975" s="109">
        <v>44348</v>
      </c>
      <c r="D1975" s="108" t="s">
        <v>17374</v>
      </c>
      <c r="E1975" s="108" t="s">
        <v>14605</v>
      </c>
      <c r="F1975" s="108" t="s">
        <v>17275</v>
      </c>
      <c r="G1975" s="109">
        <v>46118</v>
      </c>
      <c r="H1975" s="108" t="s">
        <v>17226</v>
      </c>
      <c r="I1975" s="108" t="s">
        <v>721</v>
      </c>
    </row>
    <row r="1976" spans="1:9">
      <c r="A1976" s="108" t="s">
        <v>169</v>
      </c>
      <c r="B1976" s="108" t="s">
        <v>17375</v>
      </c>
      <c r="C1976" s="109">
        <v>43913</v>
      </c>
      <c r="D1976" s="108" t="s">
        <v>17376</v>
      </c>
      <c r="E1976" s="108" t="s">
        <v>14605</v>
      </c>
      <c r="F1976" s="108" t="s">
        <v>17275</v>
      </c>
      <c r="G1976" s="109">
        <v>46118</v>
      </c>
      <c r="H1976" s="108" t="s">
        <v>17226</v>
      </c>
      <c r="I1976" s="108" t="s">
        <v>721</v>
      </c>
    </row>
    <row r="1977" spans="1:9">
      <c r="A1977" s="108" t="s">
        <v>244</v>
      </c>
      <c r="B1977" s="108" t="s">
        <v>17377</v>
      </c>
      <c r="C1977" s="109">
        <v>44939</v>
      </c>
      <c r="D1977" s="108" t="s">
        <v>17378</v>
      </c>
      <c r="E1977" s="108" t="s">
        <v>14605</v>
      </c>
      <c r="F1977" s="108" t="s">
        <v>17379</v>
      </c>
      <c r="G1977" s="109">
        <v>45957</v>
      </c>
      <c r="H1977" s="108" t="s">
        <v>17226</v>
      </c>
      <c r="I1977" s="108" t="s">
        <v>133</v>
      </c>
    </row>
    <row r="1978" spans="1:9">
      <c r="A1978" s="108" t="s">
        <v>15990</v>
      </c>
      <c r="B1978" s="108" t="s">
        <v>17380</v>
      </c>
      <c r="C1978" s="109">
        <v>45303</v>
      </c>
      <c r="D1978" s="108" t="s">
        <v>17381</v>
      </c>
      <c r="E1978" s="108" t="s">
        <v>14605</v>
      </c>
      <c r="F1978" s="108" t="s">
        <v>17264</v>
      </c>
      <c r="G1978" s="109">
        <v>46036</v>
      </c>
      <c r="H1978" s="108" t="s">
        <v>17226</v>
      </c>
      <c r="I1978" s="108" t="s">
        <v>133</v>
      </c>
    </row>
    <row r="1979" spans="1:9">
      <c r="A1979" s="108" t="s">
        <v>16151</v>
      </c>
      <c r="B1979" s="108" t="s">
        <v>17382</v>
      </c>
      <c r="C1979" s="109">
        <v>44377</v>
      </c>
      <c r="D1979" s="108" t="s">
        <v>17383</v>
      </c>
      <c r="E1979" s="108" t="s">
        <v>14605</v>
      </c>
      <c r="F1979" s="108" t="s">
        <v>17272</v>
      </c>
      <c r="G1979" s="109">
        <v>45862</v>
      </c>
      <c r="H1979" s="108" t="s">
        <v>17226</v>
      </c>
      <c r="I1979" s="108" t="s">
        <v>133</v>
      </c>
    </row>
    <row r="1980" spans="1:9">
      <c r="A1980" s="108" t="s">
        <v>16151</v>
      </c>
      <c r="B1980" s="108" t="s">
        <v>17384</v>
      </c>
      <c r="C1980" s="109">
        <v>45303</v>
      </c>
      <c r="D1980" s="108" t="s">
        <v>17385</v>
      </c>
      <c r="E1980" s="108" t="s">
        <v>14605</v>
      </c>
      <c r="F1980" s="108" t="s">
        <v>17264</v>
      </c>
      <c r="G1980" s="109">
        <v>46036</v>
      </c>
      <c r="H1980" s="108" t="s">
        <v>17226</v>
      </c>
      <c r="I1980" s="108" t="s">
        <v>133</v>
      </c>
    </row>
    <row r="1981" spans="1:9" ht="27.6">
      <c r="A1981" s="108" t="s">
        <v>14950</v>
      </c>
      <c r="B1981" s="108" t="s">
        <v>17386</v>
      </c>
      <c r="C1981" s="109">
        <v>45630</v>
      </c>
      <c r="D1981" s="108" t="s">
        <v>17387</v>
      </c>
      <c r="E1981" s="108" t="s">
        <v>14605</v>
      </c>
      <c r="F1981" s="108" t="s">
        <v>14956</v>
      </c>
      <c r="G1981" s="109">
        <v>44771</v>
      </c>
      <c r="H1981" s="108" t="s">
        <v>17226</v>
      </c>
      <c r="I1981" s="108" t="s">
        <v>108</v>
      </c>
    </row>
    <row r="1982" spans="1:9" ht="27.6">
      <c r="A1982" s="108" t="s">
        <v>207</v>
      </c>
      <c r="B1982" s="108" t="s">
        <v>17388</v>
      </c>
      <c r="C1982" s="109">
        <v>45187</v>
      </c>
      <c r="D1982" s="108" t="s">
        <v>17389</v>
      </c>
      <c r="E1982" s="108" t="s">
        <v>14605</v>
      </c>
      <c r="F1982" s="108" t="s">
        <v>15801</v>
      </c>
      <c r="G1982" s="109">
        <v>45552</v>
      </c>
      <c r="H1982" s="108" t="s">
        <v>17226</v>
      </c>
      <c r="I1982" s="108" t="s">
        <v>108</v>
      </c>
    </row>
    <row r="1983" spans="1:9" ht="27.6">
      <c r="A1983" s="108" t="s">
        <v>109</v>
      </c>
      <c r="B1983" s="108" t="s">
        <v>17390</v>
      </c>
      <c r="C1983" s="109">
        <v>44940</v>
      </c>
      <c r="D1983" s="108" t="s">
        <v>17391</v>
      </c>
      <c r="E1983" s="108" t="s">
        <v>14605</v>
      </c>
      <c r="F1983" s="108" t="s">
        <v>17392</v>
      </c>
      <c r="G1983" s="109">
        <v>45303</v>
      </c>
      <c r="H1983" s="108" t="s">
        <v>17226</v>
      </c>
      <c r="I1983" s="108" t="s">
        <v>108</v>
      </c>
    </row>
    <row r="1984" spans="1:9">
      <c r="A1984" s="108" t="s">
        <v>15990</v>
      </c>
      <c r="B1984" s="108" t="s">
        <v>17393</v>
      </c>
      <c r="C1984" s="109">
        <v>44974</v>
      </c>
      <c r="D1984" s="108" t="s">
        <v>17394</v>
      </c>
      <c r="E1984" s="108" t="s">
        <v>14605</v>
      </c>
      <c r="F1984" s="108" t="s">
        <v>17233</v>
      </c>
      <c r="G1984" s="109">
        <v>45338</v>
      </c>
      <c r="H1984" s="108" t="s">
        <v>17226</v>
      </c>
      <c r="I1984" s="108" t="s">
        <v>108</v>
      </c>
    </row>
    <row r="1985" spans="1:9" ht="27.6">
      <c r="A1985" s="108" t="s">
        <v>15990</v>
      </c>
      <c r="B1985" s="108" t="s">
        <v>17395</v>
      </c>
      <c r="C1985" s="109">
        <v>45548</v>
      </c>
      <c r="D1985" s="108" t="s">
        <v>17396</v>
      </c>
      <c r="E1985" s="108" t="s">
        <v>14605</v>
      </c>
      <c r="F1985" s="108" t="s">
        <v>17287</v>
      </c>
      <c r="G1985" s="109">
        <v>45905</v>
      </c>
      <c r="H1985" s="108" t="s">
        <v>17226</v>
      </c>
      <c r="I1985" s="108" t="s">
        <v>108</v>
      </c>
    </row>
    <row r="1986" spans="1:9" ht="27.6">
      <c r="A1986" s="108" t="s">
        <v>16151</v>
      </c>
      <c r="B1986" s="108" t="s">
        <v>17397</v>
      </c>
      <c r="C1986" s="109">
        <v>45527</v>
      </c>
      <c r="D1986" s="108" t="s">
        <v>17398</v>
      </c>
      <c r="E1986" s="108" t="s">
        <v>14605</v>
      </c>
      <c r="F1986" s="108" t="s">
        <v>17287</v>
      </c>
      <c r="G1986" s="109">
        <v>45905</v>
      </c>
      <c r="H1986" s="108" t="s">
        <v>17226</v>
      </c>
      <c r="I1986" s="108" t="s">
        <v>108</v>
      </c>
    </row>
    <row r="1987" spans="1:9">
      <c r="A1987" s="108" t="s">
        <v>16151</v>
      </c>
      <c r="B1987" s="108" t="s">
        <v>17399</v>
      </c>
      <c r="C1987" s="109">
        <v>45587</v>
      </c>
      <c r="D1987" s="108" t="s">
        <v>17400</v>
      </c>
      <c r="E1987" s="108" t="s">
        <v>14605</v>
      </c>
      <c r="F1987" s="108" t="s">
        <v>17289</v>
      </c>
      <c r="G1987" s="109">
        <v>45959</v>
      </c>
      <c r="H1987" s="108" t="s">
        <v>17226</v>
      </c>
      <c r="I1987" s="108" t="s">
        <v>108</v>
      </c>
    </row>
    <row r="1988" spans="1:9">
      <c r="A1988" s="108" t="s">
        <v>1465</v>
      </c>
      <c r="B1988" s="108" t="s">
        <v>17401</v>
      </c>
      <c r="C1988" s="109">
        <v>41880</v>
      </c>
      <c r="D1988" s="108"/>
      <c r="E1988" s="108" t="s">
        <v>14605</v>
      </c>
      <c r="F1988" s="108" t="s">
        <v>17402</v>
      </c>
      <c r="G1988" s="110"/>
      <c r="H1988" s="108" t="s">
        <v>1466</v>
      </c>
      <c r="I1988" s="108"/>
    </row>
    <row r="1989" spans="1:9" ht="27.6">
      <c r="A1989" s="108" t="s">
        <v>14690</v>
      </c>
      <c r="B1989" s="108" t="s">
        <v>17403</v>
      </c>
      <c r="C1989" s="109">
        <v>41597</v>
      </c>
      <c r="D1989" s="108"/>
      <c r="E1989" s="108" t="s">
        <v>14605</v>
      </c>
      <c r="F1989" s="108" t="s">
        <v>17404</v>
      </c>
      <c r="G1989" s="110"/>
      <c r="H1989" s="108" t="s">
        <v>1466</v>
      </c>
      <c r="I1989" s="108"/>
    </row>
    <row r="1990" spans="1:9">
      <c r="A1990" s="108" t="s">
        <v>1465</v>
      </c>
      <c r="B1990" s="108" t="s">
        <v>17405</v>
      </c>
      <c r="C1990" s="109">
        <v>41905</v>
      </c>
      <c r="D1990" s="108"/>
      <c r="E1990" s="108" t="s">
        <v>14605</v>
      </c>
      <c r="F1990" s="108" t="s">
        <v>17406</v>
      </c>
      <c r="G1990" s="110"/>
      <c r="H1990" s="108" t="s">
        <v>1466</v>
      </c>
      <c r="I1990" s="108"/>
    </row>
    <row r="1991" spans="1:9">
      <c r="A1991" s="108" t="s">
        <v>237</v>
      </c>
      <c r="B1991" s="108" t="s">
        <v>17407</v>
      </c>
      <c r="C1991" s="109">
        <v>41176</v>
      </c>
      <c r="D1991" s="108"/>
      <c r="E1991" s="108" t="s">
        <v>14605</v>
      </c>
      <c r="F1991" s="108" t="s">
        <v>17408</v>
      </c>
      <c r="G1991" s="110"/>
      <c r="H1991" s="108" t="s">
        <v>1466</v>
      </c>
      <c r="I1991" s="108"/>
    </row>
    <row r="1992" spans="1:9">
      <c r="A1992" s="108" t="s">
        <v>87</v>
      </c>
      <c r="B1992" s="108" t="s">
        <v>17409</v>
      </c>
      <c r="C1992" s="109">
        <v>42067</v>
      </c>
      <c r="D1992" s="108"/>
      <c r="E1992" s="108" t="s">
        <v>14605</v>
      </c>
      <c r="F1992" s="108" t="s">
        <v>17410</v>
      </c>
      <c r="G1992" s="110"/>
      <c r="H1992" s="108" t="s">
        <v>1466</v>
      </c>
      <c r="I1992" s="108"/>
    </row>
    <row r="1993" spans="1:9" ht="27.6">
      <c r="A1993" s="108" t="s">
        <v>237</v>
      </c>
      <c r="B1993" s="108" t="s">
        <v>17411</v>
      </c>
      <c r="C1993" s="109">
        <v>41914</v>
      </c>
      <c r="D1993" s="108"/>
      <c r="E1993" s="108" t="s">
        <v>14605</v>
      </c>
      <c r="F1993" s="108" t="s">
        <v>17412</v>
      </c>
      <c r="G1993" s="110"/>
      <c r="H1993" s="108" t="s">
        <v>1466</v>
      </c>
      <c r="I1993" s="108"/>
    </row>
    <row r="1994" spans="1:9" ht="27.6">
      <c r="A1994" s="108" t="s">
        <v>14690</v>
      </c>
      <c r="B1994" s="108" t="s">
        <v>17413</v>
      </c>
      <c r="C1994" s="109">
        <v>42639</v>
      </c>
      <c r="D1994" s="108"/>
      <c r="E1994" s="108" t="s">
        <v>14605</v>
      </c>
      <c r="F1994" s="108" t="s">
        <v>17414</v>
      </c>
      <c r="G1994" s="110"/>
      <c r="H1994" s="108" t="s">
        <v>1466</v>
      </c>
      <c r="I1994" s="108"/>
    </row>
    <row r="1995" spans="1:9" ht="27.6">
      <c r="A1995" s="108" t="s">
        <v>237</v>
      </c>
      <c r="B1995" s="108" t="s">
        <v>17415</v>
      </c>
      <c r="C1995" s="109">
        <v>42150</v>
      </c>
      <c r="D1995" s="108"/>
      <c r="E1995" s="108" t="s">
        <v>14605</v>
      </c>
      <c r="F1995" s="108" t="s">
        <v>17416</v>
      </c>
      <c r="G1995" s="110"/>
      <c r="H1995" s="108" t="s">
        <v>1466</v>
      </c>
      <c r="I1995" s="108"/>
    </row>
    <row r="1996" spans="1:9">
      <c r="A1996" s="108" t="s">
        <v>199</v>
      </c>
      <c r="B1996" s="108" t="s">
        <v>17417</v>
      </c>
      <c r="C1996" s="109">
        <v>41914</v>
      </c>
      <c r="D1996" s="108"/>
      <c r="E1996" s="108" t="s">
        <v>14605</v>
      </c>
      <c r="F1996" s="108" t="s">
        <v>17410</v>
      </c>
      <c r="G1996" s="110"/>
      <c r="H1996" s="108" t="s">
        <v>1466</v>
      </c>
      <c r="I1996" s="108"/>
    </row>
    <row r="1997" spans="1:9" ht="27.6">
      <c r="A1997" s="108" t="s">
        <v>199</v>
      </c>
      <c r="B1997" s="108" t="s">
        <v>17418</v>
      </c>
      <c r="C1997" s="109">
        <v>42086</v>
      </c>
      <c r="D1997" s="108"/>
      <c r="E1997" s="108" t="s">
        <v>14605</v>
      </c>
      <c r="F1997" s="108" t="s">
        <v>17419</v>
      </c>
      <c r="G1997" s="110"/>
      <c r="H1997" s="108" t="s">
        <v>1466</v>
      </c>
      <c r="I1997" s="108"/>
    </row>
    <row r="1998" spans="1:9">
      <c r="A1998" s="108" t="s">
        <v>1465</v>
      </c>
      <c r="B1998" s="108" t="s">
        <v>17420</v>
      </c>
      <c r="C1998" s="109">
        <v>41302</v>
      </c>
      <c r="D1998" s="108"/>
      <c r="E1998" s="108" t="s">
        <v>14605</v>
      </c>
      <c r="F1998" s="108" t="s">
        <v>17421</v>
      </c>
      <c r="G1998" s="110"/>
      <c r="H1998" s="108" t="s">
        <v>1466</v>
      </c>
      <c r="I1998" s="108"/>
    </row>
    <row r="1999" spans="1:9">
      <c r="A1999" s="108" t="s">
        <v>87</v>
      </c>
      <c r="B1999" s="108" t="s">
        <v>17422</v>
      </c>
      <c r="C1999" s="109">
        <v>40585</v>
      </c>
      <c r="D1999" s="108"/>
      <c r="E1999" s="108" t="s">
        <v>14605</v>
      </c>
      <c r="F1999" s="108" t="s">
        <v>17408</v>
      </c>
      <c r="G1999" s="110"/>
      <c r="H1999" s="108" t="s">
        <v>1466</v>
      </c>
      <c r="I1999" s="108"/>
    </row>
    <row r="2000" spans="1:9" ht="27.6">
      <c r="A2000" s="108" t="s">
        <v>237</v>
      </c>
      <c r="B2000" s="108" t="s">
        <v>17423</v>
      </c>
      <c r="C2000" s="109">
        <v>43038</v>
      </c>
      <c r="D2000" s="108"/>
      <c r="E2000" s="108" t="s">
        <v>14605</v>
      </c>
      <c r="F2000" s="108" t="s">
        <v>17424</v>
      </c>
      <c r="G2000" s="110"/>
      <c r="H2000" s="108" t="s">
        <v>1466</v>
      </c>
      <c r="I2000" s="108"/>
    </row>
    <row r="2001" spans="1:9" ht="27.6">
      <c r="A2001" s="108" t="s">
        <v>207</v>
      </c>
      <c r="B2001" s="108" t="s">
        <v>17425</v>
      </c>
      <c r="C2001" s="109">
        <v>41794</v>
      </c>
      <c r="D2001" s="108"/>
      <c r="E2001" s="108" t="s">
        <v>14605</v>
      </c>
      <c r="F2001" s="108" t="s">
        <v>17426</v>
      </c>
      <c r="G2001" s="110"/>
      <c r="H2001" s="108" t="s">
        <v>1466</v>
      </c>
      <c r="I2001" s="108"/>
    </row>
    <row r="2002" spans="1:9" ht="27.6">
      <c r="A2002" s="108" t="s">
        <v>207</v>
      </c>
      <c r="B2002" s="108" t="s">
        <v>17427</v>
      </c>
      <c r="C2002" s="109">
        <v>41898</v>
      </c>
      <c r="D2002" s="108"/>
      <c r="E2002" s="108" t="s">
        <v>14605</v>
      </c>
      <c r="F2002" s="108" t="s">
        <v>17428</v>
      </c>
      <c r="G2002" s="110"/>
      <c r="H2002" s="108" t="s">
        <v>1466</v>
      </c>
      <c r="I2002" s="108"/>
    </row>
    <row r="2003" spans="1:9" ht="27.6">
      <c r="A2003" s="108" t="s">
        <v>207</v>
      </c>
      <c r="B2003" s="108" t="s">
        <v>17429</v>
      </c>
      <c r="C2003" s="109">
        <v>42300</v>
      </c>
      <c r="D2003" s="108"/>
      <c r="E2003" s="108" t="s">
        <v>14605</v>
      </c>
      <c r="F2003" s="108" t="s">
        <v>17430</v>
      </c>
      <c r="G2003" s="110"/>
      <c r="H2003" s="108" t="s">
        <v>1466</v>
      </c>
      <c r="I2003" s="108"/>
    </row>
    <row r="2004" spans="1:9" ht="27.6">
      <c r="A2004" s="108" t="s">
        <v>207</v>
      </c>
      <c r="B2004" s="108" t="s">
        <v>17431</v>
      </c>
      <c r="C2004" s="109">
        <v>42933</v>
      </c>
      <c r="D2004" s="108"/>
      <c r="E2004" s="108" t="s">
        <v>14605</v>
      </c>
      <c r="F2004" s="108" t="s">
        <v>17432</v>
      </c>
      <c r="G2004" s="110"/>
      <c r="H2004" s="108" t="s">
        <v>1466</v>
      </c>
      <c r="I2004" s="108"/>
    </row>
    <row r="2005" spans="1:9" ht="27.6">
      <c r="A2005" s="108" t="s">
        <v>118</v>
      </c>
      <c r="B2005" s="108" t="s">
        <v>17433</v>
      </c>
      <c r="C2005" s="109">
        <v>44594</v>
      </c>
      <c r="D2005" s="108" t="s">
        <v>17434</v>
      </c>
      <c r="E2005" s="108" t="s">
        <v>14605</v>
      </c>
      <c r="F2005" s="108" t="s">
        <v>17435</v>
      </c>
      <c r="G2005" s="109">
        <v>45169</v>
      </c>
      <c r="H2005" s="108" t="s">
        <v>1466</v>
      </c>
      <c r="I2005" s="108" t="s">
        <v>108</v>
      </c>
    </row>
    <row r="2006" spans="1:9">
      <c r="A2006" s="108" t="s">
        <v>118</v>
      </c>
      <c r="B2006" s="108" t="s">
        <v>17436</v>
      </c>
      <c r="C2006" s="109">
        <v>44853</v>
      </c>
      <c r="D2006" s="108" t="s">
        <v>17437</v>
      </c>
      <c r="E2006" s="108" t="s">
        <v>14605</v>
      </c>
      <c r="F2006" s="108" t="s">
        <v>17408</v>
      </c>
      <c r="G2006" s="109">
        <v>45217</v>
      </c>
      <c r="H2006" s="108" t="s">
        <v>1466</v>
      </c>
      <c r="I2006" s="108" t="s">
        <v>108</v>
      </c>
    </row>
    <row r="2007" spans="1:9">
      <c r="A2007" s="108" t="s">
        <v>169</v>
      </c>
      <c r="B2007" s="108" t="s">
        <v>17438</v>
      </c>
      <c r="C2007" s="109">
        <v>43808</v>
      </c>
      <c r="D2007" s="108"/>
      <c r="E2007" s="108" t="s">
        <v>14605</v>
      </c>
      <c r="F2007" s="108" t="s">
        <v>17439</v>
      </c>
      <c r="G2007" s="110"/>
      <c r="H2007" s="108" t="s">
        <v>17440</v>
      </c>
      <c r="I2007" s="108"/>
    </row>
    <row r="2008" spans="1:9">
      <c r="A2008" s="108" t="s">
        <v>2002</v>
      </c>
      <c r="B2008" s="108" t="s">
        <v>17441</v>
      </c>
      <c r="C2008" s="109">
        <v>44034</v>
      </c>
      <c r="D2008" s="108"/>
      <c r="E2008" s="108" t="s">
        <v>14605</v>
      </c>
      <c r="F2008" s="108" t="s">
        <v>17439</v>
      </c>
      <c r="G2008" s="110"/>
      <c r="H2008" s="108" t="s">
        <v>17440</v>
      </c>
      <c r="I2008" s="108"/>
    </row>
    <row r="2009" spans="1:9" ht="27.6">
      <c r="A2009" s="108" t="s">
        <v>14929</v>
      </c>
      <c r="B2009" s="108" t="s">
        <v>17442</v>
      </c>
      <c r="C2009" s="109">
        <v>45580</v>
      </c>
      <c r="D2009" s="108" t="s">
        <v>17443</v>
      </c>
      <c r="E2009" s="108" t="s">
        <v>14605</v>
      </c>
      <c r="F2009" s="108" t="s">
        <v>17444</v>
      </c>
      <c r="G2009" s="109">
        <v>45899</v>
      </c>
      <c r="H2009" s="108" t="s">
        <v>17440</v>
      </c>
      <c r="I2009" s="108" t="s">
        <v>108</v>
      </c>
    </row>
    <row r="2010" spans="1:9">
      <c r="A2010" s="108" t="s">
        <v>1465</v>
      </c>
      <c r="B2010" s="108" t="s">
        <v>17445</v>
      </c>
      <c r="C2010" s="109">
        <v>45559</v>
      </c>
      <c r="D2010" s="108" t="s">
        <v>17446</v>
      </c>
      <c r="E2010" s="108" t="s">
        <v>14605</v>
      </c>
      <c r="F2010" s="108" t="s">
        <v>17439</v>
      </c>
      <c r="G2010" s="109">
        <v>45709</v>
      </c>
      <c r="H2010" s="108" t="s">
        <v>17440</v>
      </c>
      <c r="I2010" s="108" t="s">
        <v>108</v>
      </c>
    </row>
    <row r="2011" spans="1:9">
      <c r="A2011" s="108" t="s">
        <v>17447</v>
      </c>
      <c r="B2011" s="108" t="s">
        <v>17448</v>
      </c>
      <c r="C2011" s="109">
        <v>44208</v>
      </c>
      <c r="D2011" s="108"/>
      <c r="E2011" s="108" t="s">
        <v>14605</v>
      </c>
      <c r="F2011" s="108" t="s">
        <v>17449</v>
      </c>
      <c r="G2011" s="110"/>
      <c r="H2011" s="108" t="s">
        <v>17450</v>
      </c>
      <c r="I2011" s="108"/>
    </row>
    <row r="2012" spans="1:9">
      <c r="A2012" s="108" t="s">
        <v>87</v>
      </c>
      <c r="B2012" s="108" t="s">
        <v>4891</v>
      </c>
      <c r="C2012" s="109">
        <v>40654</v>
      </c>
      <c r="D2012" s="108"/>
      <c r="E2012" s="108" t="s">
        <v>14605</v>
      </c>
      <c r="F2012" s="108" t="s">
        <v>4889</v>
      </c>
      <c r="G2012" s="110"/>
      <c r="H2012" s="108" t="s">
        <v>17451</v>
      </c>
      <c r="I2012" s="108"/>
    </row>
    <row r="2013" spans="1:9" ht="27.6">
      <c r="A2013" s="108" t="s">
        <v>185</v>
      </c>
      <c r="B2013" s="108" t="s">
        <v>4699</v>
      </c>
      <c r="C2013" s="109">
        <v>41242</v>
      </c>
      <c r="D2013" s="108"/>
      <c r="E2013" s="108" t="s">
        <v>14605</v>
      </c>
      <c r="F2013" s="108" t="s">
        <v>4700</v>
      </c>
      <c r="G2013" s="110"/>
      <c r="H2013" s="108" t="s">
        <v>17451</v>
      </c>
      <c r="I2013" s="108"/>
    </row>
    <row r="2014" spans="1:9" ht="27.6">
      <c r="A2014" s="108" t="s">
        <v>185</v>
      </c>
      <c r="B2014" s="108" t="s">
        <v>4429</v>
      </c>
      <c r="C2014" s="109">
        <v>41220</v>
      </c>
      <c r="D2014" s="108"/>
      <c r="E2014" s="108" t="s">
        <v>14605</v>
      </c>
      <c r="F2014" s="108" t="s">
        <v>4427</v>
      </c>
      <c r="G2014" s="110"/>
      <c r="H2014" s="108" t="s">
        <v>17451</v>
      </c>
      <c r="I2014" s="108"/>
    </row>
    <row r="2015" spans="1:9" ht="27.6">
      <c r="A2015" s="108" t="s">
        <v>185</v>
      </c>
      <c r="B2015" s="108" t="s">
        <v>1720</v>
      </c>
      <c r="C2015" s="109">
        <v>42691</v>
      </c>
      <c r="D2015" s="108"/>
      <c r="E2015" s="108" t="s">
        <v>14605</v>
      </c>
      <c r="F2015" s="108" t="s">
        <v>1721</v>
      </c>
      <c r="G2015" s="110"/>
      <c r="H2015" s="108" t="s">
        <v>17451</v>
      </c>
      <c r="I2015" s="108"/>
    </row>
    <row r="2016" spans="1:9">
      <c r="A2016" s="108" t="s">
        <v>169</v>
      </c>
      <c r="B2016" s="108" t="s">
        <v>514</v>
      </c>
      <c r="C2016" s="109">
        <v>44091</v>
      </c>
      <c r="D2016" s="108"/>
      <c r="E2016" s="108" t="s">
        <v>14605</v>
      </c>
      <c r="F2016" s="108" t="s">
        <v>515</v>
      </c>
      <c r="G2016" s="110"/>
      <c r="H2016" s="108" t="s">
        <v>17451</v>
      </c>
      <c r="I2016" s="108"/>
    </row>
    <row r="2017" spans="1:9">
      <c r="A2017" s="108" t="s">
        <v>87</v>
      </c>
      <c r="B2017" s="108" t="s">
        <v>547</v>
      </c>
      <c r="C2017" s="109">
        <v>42130</v>
      </c>
      <c r="D2017" s="108"/>
      <c r="E2017" s="108" t="s">
        <v>14605</v>
      </c>
      <c r="F2017" s="108" t="s">
        <v>548</v>
      </c>
      <c r="G2017" s="110"/>
      <c r="H2017" s="108" t="s">
        <v>17451</v>
      </c>
      <c r="I2017" s="108"/>
    </row>
    <row r="2018" spans="1:9" ht="27.6">
      <c r="A2018" s="108" t="s">
        <v>87</v>
      </c>
      <c r="B2018" s="108" t="s">
        <v>3313</v>
      </c>
      <c r="C2018" s="109">
        <v>42397</v>
      </c>
      <c r="D2018" s="108"/>
      <c r="E2018" s="108" t="s">
        <v>14605</v>
      </c>
      <c r="F2018" s="108" t="s">
        <v>3314</v>
      </c>
      <c r="G2018" s="110"/>
      <c r="H2018" s="108" t="s">
        <v>17451</v>
      </c>
      <c r="I2018" s="108"/>
    </row>
    <row r="2019" spans="1:9">
      <c r="A2019" s="108" t="s">
        <v>316</v>
      </c>
      <c r="B2019" s="108" t="s">
        <v>315</v>
      </c>
      <c r="C2019" s="109">
        <v>42710</v>
      </c>
      <c r="D2019" s="108"/>
      <c r="E2019" s="108" t="s">
        <v>14605</v>
      </c>
      <c r="F2019" s="108" t="s">
        <v>17452</v>
      </c>
      <c r="G2019" s="110"/>
      <c r="H2019" s="108" t="s">
        <v>17451</v>
      </c>
      <c r="I2019" s="108"/>
    </row>
    <row r="2020" spans="1:9">
      <c r="A2020" s="108" t="s">
        <v>316</v>
      </c>
      <c r="B2020" s="108" t="s">
        <v>4191</v>
      </c>
      <c r="C2020" s="109">
        <v>43146</v>
      </c>
      <c r="D2020" s="108"/>
      <c r="E2020" s="108" t="s">
        <v>14605</v>
      </c>
      <c r="F2020" s="108" t="s">
        <v>4182</v>
      </c>
      <c r="G2020" s="110"/>
      <c r="H2020" s="108" t="s">
        <v>17451</v>
      </c>
      <c r="I2020" s="108"/>
    </row>
    <row r="2021" spans="1:9" ht="27.6">
      <c r="A2021" s="108" t="s">
        <v>14690</v>
      </c>
      <c r="B2021" s="108" t="s">
        <v>4610</v>
      </c>
      <c r="C2021" s="109">
        <v>42726</v>
      </c>
      <c r="D2021" s="108"/>
      <c r="E2021" s="108" t="s">
        <v>14605</v>
      </c>
      <c r="F2021" s="108" t="s">
        <v>4611</v>
      </c>
      <c r="G2021" s="110"/>
      <c r="H2021" s="108" t="s">
        <v>17451</v>
      </c>
      <c r="I2021" s="108"/>
    </row>
    <row r="2022" spans="1:9">
      <c r="A2022" s="108" t="s">
        <v>237</v>
      </c>
      <c r="B2022" s="108" t="s">
        <v>3756</v>
      </c>
      <c r="C2022" s="109">
        <v>42250</v>
      </c>
      <c r="D2022" s="108"/>
      <c r="E2022" s="108" t="s">
        <v>14605</v>
      </c>
      <c r="F2022" s="108" t="s">
        <v>14649</v>
      </c>
      <c r="G2022" s="110"/>
      <c r="H2022" s="108" t="s">
        <v>17451</v>
      </c>
      <c r="I2022" s="108"/>
    </row>
    <row r="2023" spans="1:9">
      <c r="A2023" s="108" t="s">
        <v>571</v>
      </c>
      <c r="B2023" s="108" t="s">
        <v>2463</v>
      </c>
      <c r="C2023" s="109">
        <v>42443</v>
      </c>
      <c r="D2023" s="108"/>
      <c r="E2023" s="108" t="s">
        <v>14605</v>
      </c>
      <c r="F2023" s="108" t="s">
        <v>2461</v>
      </c>
      <c r="G2023" s="110"/>
      <c r="H2023" s="108" t="s">
        <v>17451</v>
      </c>
      <c r="I2023" s="108"/>
    </row>
    <row r="2024" spans="1:9">
      <c r="A2024" s="108" t="s">
        <v>165</v>
      </c>
      <c r="B2024" s="108" t="s">
        <v>5108</v>
      </c>
      <c r="C2024" s="109">
        <v>43088</v>
      </c>
      <c r="D2024" s="108"/>
      <c r="E2024" s="108" t="s">
        <v>14605</v>
      </c>
      <c r="F2024" s="108" t="s">
        <v>17453</v>
      </c>
      <c r="G2024" s="110"/>
      <c r="H2024" s="108" t="s">
        <v>17451</v>
      </c>
      <c r="I2024" s="108"/>
    </row>
    <row r="2025" spans="1:9">
      <c r="A2025" s="108" t="s">
        <v>477</v>
      </c>
      <c r="B2025" s="108" t="s">
        <v>4121</v>
      </c>
      <c r="C2025" s="109">
        <v>42453</v>
      </c>
      <c r="D2025" s="108"/>
      <c r="E2025" s="108" t="s">
        <v>14605</v>
      </c>
      <c r="F2025" s="108" t="s">
        <v>4122</v>
      </c>
      <c r="G2025" s="110"/>
      <c r="H2025" s="108" t="s">
        <v>17451</v>
      </c>
      <c r="I2025" s="108"/>
    </row>
    <row r="2026" spans="1:9">
      <c r="A2026" s="108" t="s">
        <v>4190</v>
      </c>
      <c r="B2026" s="108" t="s">
        <v>4189</v>
      </c>
      <c r="C2026" s="109">
        <v>42978</v>
      </c>
      <c r="D2026" s="108"/>
      <c r="E2026" s="108" t="s">
        <v>14605</v>
      </c>
      <c r="F2026" s="108" t="s">
        <v>4182</v>
      </c>
      <c r="G2026" s="110"/>
      <c r="H2026" s="108" t="s">
        <v>17451</v>
      </c>
      <c r="I2026" s="108"/>
    </row>
    <row r="2027" spans="1:9" ht="27.6">
      <c r="A2027" s="108" t="s">
        <v>14950</v>
      </c>
      <c r="B2027" s="108" t="s">
        <v>17454</v>
      </c>
      <c r="C2027" s="109">
        <v>44664</v>
      </c>
      <c r="D2027" s="108"/>
      <c r="E2027" s="108" t="s">
        <v>14605</v>
      </c>
      <c r="F2027" s="108" t="s">
        <v>4207</v>
      </c>
      <c r="G2027" s="110"/>
      <c r="H2027" s="108" t="s">
        <v>17451</v>
      </c>
      <c r="I2027" s="108"/>
    </row>
    <row r="2028" spans="1:9" ht="27.6">
      <c r="A2028" s="108" t="s">
        <v>15075</v>
      </c>
      <c r="B2028" s="108" t="s">
        <v>17455</v>
      </c>
      <c r="C2028" s="109">
        <v>44580</v>
      </c>
      <c r="D2028" s="108"/>
      <c r="E2028" s="108" t="s">
        <v>14605</v>
      </c>
      <c r="F2028" s="108" t="s">
        <v>4195</v>
      </c>
      <c r="G2028" s="110"/>
      <c r="H2028" s="108" t="s">
        <v>17451</v>
      </c>
      <c r="I2028" s="108"/>
    </row>
    <row r="2029" spans="1:9" ht="27.6">
      <c r="A2029" s="108" t="s">
        <v>15075</v>
      </c>
      <c r="B2029" s="108" t="s">
        <v>17456</v>
      </c>
      <c r="C2029" s="109">
        <v>44734</v>
      </c>
      <c r="D2029" s="108"/>
      <c r="E2029" s="108" t="s">
        <v>14605</v>
      </c>
      <c r="F2029" s="108" t="s">
        <v>4207</v>
      </c>
      <c r="G2029" s="110"/>
      <c r="H2029" s="108" t="s">
        <v>17451</v>
      </c>
      <c r="I2029" s="108"/>
    </row>
    <row r="2030" spans="1:9" ht="27.6">
      <c r="A2030" s="108" t="s">
        <v>15075</v>
      </c>
      <c r="B2030" s="108" t="s">
        <v>17457</v>
      </c>
      <c r="C2030" s="109">
        <v>44714</v>
      </c>
      <c r="D2030" s="108"/>
      <c r="E2030" s="108" t="s">
        <v>14605</v>
      </c>
      <c r="F2030" s="108" t="s">
        <v>5302</v>
      </c>
      <c r="G2030" s="110"/>
      <c r="H2030" s="108" t="s">
        <v>17451</v>
      </c>
      <c r="I2030" s="108"/>
    </row>
    <row r="2031" spans="1:9" ht="27.6">
      <c r="A2031" s="108" t="s">
        <v>15075</v>
      </c>
      <c r="B2031" s="108" t="s">
        <v>17458</v>
      </c>
      <c r="C2031" s="109">
        <v>44825</v>
      </c>
      <c r="D2031" s="108"/>
      <c r="E2031" s="108" t="s">
        <v>14605</v>
      </c>
      <c r="F2031" s="108" t="s">
        <v>510</v>
      </c>
      <c r="G2031" s="110"/>
      <c r="H2031" s="108" t="s">
        <v>17451</v>
      </c>
      <c r="I2031" s="108"/>
    </row>
    <row r="2032" spans="1:9" ht="27.6">
      <c r="A2032" s="108" t="s">
        <v>15075</v>
      </c>
      <c r="B2032" s="108" t="s">
        <v>17459</v>
      </c>
      <c r="C2032" s="109">
        <v>44888</v>
      </c>
      <c r="D2032" s="108"/>
      <c r="E2032" s="108" t="s">
        <v>14605</v>
      </c>
      <c r="F2032" s="108" t="s">
        <v>3434</v>
      </c>
      <c r="G2032" s="110"/>
      <c r="H2032" s="108" t="s">
        <v>17451</v>
      </c>
      <c r="I2032" s="108"/>
    </row>
    <row r="2033" spans="1:9" ht="27.6">
      <c r="A2033" s="108" t="s">
        <v>15075</v>
      </c>
      <c r="B2033" s="108" t="s">
        <v>17460</v>
      </c>
      <c r="C2033" s="109">
        <v>44936</v>
      </c>
      <c r="D2033" s="108"/>
      <c r="E2033" s="108" t="s">
        <v>14605</v>
      </c>
      <c r="F2033" s="108" t="s">
        <v>2472</v>
      </c>
      <c r="G2033" s="110"/>
      <c r="H2033" s="108" t="s">
        <v>17451</v>
      </c>
      <c r="I2033" s="108"/>
    </row>
    <row r="2034" spans="1:9" ht="27.6">
      <c r="A2034" s="108" t="s">
        <v>15075</v>
      </c>
      <c r="B2034" s="108" t="s">
        <v>17461</v>
      </c>
      <c r="C2034" s="109">
        <v>45014</v>
      </c>
      <c r="D2034" s="108"/>
      <c r="E2034" s="108" t="s">
        <v>14605</v>
      </c>
      <c r="F2034" s="108" t="s">
        <v>3158</v>
      </c>
      <c r="G2034" s="110"/>
      <c r="H2034" s="108" t="s">
        <v>17451</v>
      </c>
      <c r="I2034" s="108"/>
    </row>
    <row r="2035" spans="1:9" ht="27.6">
      <c r="A2035" s="108" t="s">
        <v>15075</v>
      </c>
      <c r="B2035" s="108" t="s">
        <v>17462</v>
      </c>
      <c r="C2035" s="109">
        <v>45573</v>
      </c>
      <c r="D2035" s="108"/>
      <c r="E2035" s="108" t="s">
        <v>14605</v>
      </c>
      <c r="F2035" s="108" t="s">
        <v>2095</v>
      </c>
      <c r="G2035" s="110"/>
      <c r="H2035" s="108" t="s">
        <v>17451</v>
      </c>
      <c r="I2035" s="108"/>
    </row>
    <row r="2036" spans="1:9" ht="27.6">
      <c r="A2036" s="108" t="s">
        <v>15075</v>
      </c>
      <c r="B2036" s="108" t="s">
        <v>17463</v>
      </c>
      <c r="C2036" s="109">
        <v>45146</v>
      </c>
      <c r="D2036" s="108"/>
      <c r="E2036" s="108" t="s">
        <v>14605</v>
      </c>
      <c r="F2036" s="108" t="s">
        <v>4427</v>
      </c>
      <c r="G2036" s="110"/>
      <c r="H2036" s="108" t="s">
        <v>17451</v>
      </c>
      <c r="I2036" s="108"/>
    </row>
    <row r="2037" spans="1:9" ht="27.6">
      <c r="A2037" s="108" t="s">
        <v>15075</v>
      </c>
      <c r="B2037" s="108" t="s">
        <v>17464</v>
      </c>
      <c r="C2037" s="109">
        <v>45055</v>
      </c>
      <c r="D2037" s="108"/>
      <c r="E2037" s="108" t="s">
        <v>14605</v>
      </c>
      <c r="F2037" s="108" t="s">
        <v>17465</v>
      </c>
      <c r="G2037" s="110"/>
      <c r="H2037" s="108" t="s">
        <v>17451</v>
      </c>
      <c r="I2037" s="108"/>
    </row>
    <row r="2038" spans="1:9" ht="27.6">
      <c r="A2038" s="108" t="s">
        <v>15075</v>
      </c>
      <c r="B2038" s="108" t="s">
        <v>17466</v>
      </c>
      <c r="C2038" s="109">
        <v>45181</v>
      </c>
      <c r="D2038" s="108"/>
      <c r="E2038" s="108" t="s">
        <v>14605</v>
      </c>
      <c r="F2038" s="108" t="s">
        <v>4207</v>
      </c>
      <c r="G2038" s="110"/>
      <c r="H2038" s="108" t="s">
        <v>17451</v>
      </c>
      <c r="I2038" s="108"/>
    </row>
    <row r="2039" spans="1:9" ht="27.6">
      <c r="A2039" s="108" t="s">
        <v>15075</v>
      </c>
      <c r="B2039" s="108" t="s">
        <v>17467</v>
      </c>
      <c r="C2039" s="109">
        <v>45153</v>
      </c>
      <c r="D2039" s="108"/>
      <c r="E2039" s="108" t="s">
        <v>14605</v>
      </c>
      <c r="F2039" s="108" t="s">
        <v>785</v>
      </c>
      <c r="G2039" s="110"/>
      <c r="H2039" s="108" t="s">
        <v>17451</v>
      </c>
      <c r="I2039" s="108"/>
    </row>
    <row r="2040" spans="1:9" ht="27.6">
      <c r="A2040" s="108" t="s">
        <v>15075</v>
      </c>
      <c r="B2040" s="108" t="s">
        <v>17468</v>
      </c>
      <c r="C2040" s="109">
        <v>45217</v>
      </c>
      <c r="D2040" s="108"/>
      <c r="E2040" s="108" t="s">
        <v>14605</v>
      </c>
      <c r="F2040" s="108" t="s">
        <v>1129</v>
      </c>
      <c r="G2040" s="110"/>
      <c r="H2040" s="108" t="s">
        <v>17451</v>
      </c>
      <c r="I2040" s="108"/>
    </row>
    <row r="2041" spans="1:9" ht="27.6">
      <c r="A2041" s="108" t="s">
        <v>15075</v>
      </c>
      <c r="B2041" s="108" t="s">
        <v>17469</v>
      </c>
      <c r="C2041" s="109">
        <v>45251</v>
      </c>
      <c r="D2041" s="108"/>
      <c r="E2041" s="108" t="s">
        <v>14605</v>
      </c>
      <c r="F2041" s="108" t="s">
        <v>860</v>
      </c>
      <c r="G2041" s="110"/>
      <c r="H2041" s="108" t="s">
        <v>17451</v>
      </c>
      <c r="I2041" s="108"/>
    </row>
    <row r="2042" spans="1:9" ht="27.6">
      <c r="A2042" s="108" t="s">
        <v>15075</v>
      </c>
      <c r="B2042" s="108" t="s">
        <v>17470</v>
      </c>
      <c r="C2042" s="109">
        <v>45254</v>
      </c>
      <c r="D2042" s="108"/>
      <c r="E2042" s="108" t="s">
        <v>14605</v>
      </c>
      <c r="F2042" s="108" t="s">
        <v>895</v>
      </c>
      <c r="G2042" s="110"/>
      <c r="H2042" s="108" t="s">
        <v>17451</v>
      </c>
      <c r="I2042" s="108"/>
    </row>
    <row r="2043" spans="1:9" ht="27.6">
      <c r="A2043" s="108" t="s">
        <v>15075</v>
      </c>
      <c r="B2043" s="108" t="s">
        <v>17471</v>
      </c>
      <c r="C2043" s="109">
        <v>45350</v>
      </c>
      <c r="D2043" s="108"/>
      <c r="E2043" s="108" t="s">
        <v>14605</v>
      </c>
      <c r="F2043" s="108" t="s">
        <v>4182</v>
      </c>
      <c r="G2043" s="110"/>
      <c r="H2043" s="108" t="s">
        <v>17451</v>
      </c>
      <c r="I2043" s="108"/>
    </row>
    <row r="2044" spans="1:9" ht="27.6">
      <c r="A2044" s="108" t="s">
        <v>15075</v>
      </c>
      <c r="B2044" s="108" t="s">
        <v>17472</v>
      </c>
      <c r="C2044" s="109">
        <v>45427</v>
      </c>
      <c r="D2044" s="108"/>
      <c r="E2044" s="108" t="s">
        <v>14605</v>
      </c>
      <c r="F2044" s="108" t="s">
        <v>4222</v>
      </c>
      <c r="G2044" s="110"/>
      <c r="H2044" s="108" t="s">
        <v>17451</v>
      </c>
      <c r="I2044" s="108"/>
    </row>
    <row r="2045" spans="1:9" ht="27.6">
      <c r="A2045" s="108" t="s">
        <v>15075</v>
      </c>
      <c r="B2045" s="108" t="s">
        <v>17473</v>
      </c>
      <c r="C2045" s="109">
        <v>45408</v>
      </c>
      <c r="D2045" s="108"/>
      <c r="E2045" s="108" t="s">
        <v>14605</v>
      </c>
      <c r="F2045" s="108" t="s">
        <v>271</v>
      </c>
      <c r="G2045" s="110"/>
      <c r="H2045" s="108" t="s">
        <v>17451</v>
      </c>
      <c r="I2045" s="108"/>
    </row>
    <row r="2046" spans="1:9" ht="27.6">
      <c r="A2046" s="108" t="s">
        <v>15075</v>
      </c>
      <c r="B2046" s="108" t="s">
        <v>17474</v>
      </c>
      <c r="C2046" s="109">
        <v>45544</v>
      </c>
      <c r="D2046" s="108"/>
      <c r="E2046" s="108" t="s">
        <v>14605</v>
      </c>
      <c r="F2046" s="108" t="s">
        <v>4895</v>
      </c>
      <c r="G2046" s="110"/>
      <c r="H2046" s="108" t="s">
        <v>17451</v>
      </c>
      <c r="I2046" s="108"/>
    </row>
    <row r="2047" spans="1:9" ht="27.6">
      <c r="A2047" s="108" t="s">
        <v>15075</v>
      </c>
      <c r="B2047" s="108" t="s">
        <v>17475</v>
      </c>
      <c r="C2047" s="109">
        <v>45482</v>
      </c>
      <c r="D2047" s="108"/>
      <c r="E2047" s="108" t="s">
        <v>14605</v>
      </c>
      <c r="F2047" s="108" t="s">
        <v>4889</v>
      </c>
      <c r="G2047" s="110"/>
      <c r="H2047" s="108" t="s">
        <v>17451</v>
      </c>
      <c r="I2047" s="108"/>
    </row>
    <row r="2048" spans="1:9" ht="27.6">
      <c r="A2048" s="108" t="s">
        <v>15075</v>
      </c>
      <c r="B2048" s="108" t="s">
        <v>17476</v>
      </c>
      <c r="C2048" s="109">
        <v>45492</v>
      </c>
      <c r="D2048" s="108"/>
      <c r="E2048" s="108" t="s">
        <v>14605</v>
      </c>
      <c r="F2048" s="108" t="s">
        <v>2461</v>
      </c>
      <c r="G2048" s="110"/>
      <c r="H2048" s="108" t="s">
        <v>17451</v>
      </c>
      <c r="I2048" s="108"/>
    </row>
    <row r="2049" spans="1:9" ht="27.6">
      <c r="A2049" s="108" t="s">
        <v>15075</v>
      </c>
      <c r="B2049" s="108" t="s">
        <v>17477</v>
      </c>
      <c r="C2049" s="109">
        <v>45595</v>
      </c>
      <c r="D2049" s="108"/>
      <c r="E2049" s="108" t="s">
        <v>14605</v>
      </c>
      <c r="F2049" s="108" t="s">
        <v>4112</v>
      </c>
      <c r="G2049" s="110"/>
      <c r="H2049" s="108" t="s">
        <v>17451</v>
      </c>
      <c r="I2049" s="108"/>
    </row>
    <row r="2050" spans="1:9" ht="27.6">
      <c r="A2050" s="108" t="s">
        <v>15075</v>
      </c>
      <c r="B2050" s="108" t="s">
        <v>17478</v>
      </c>
      <c r="C2050" s="109">
        <v>45608</v>
      </c>
      <c r="D2050" s="108"/>
      <c r="E2050" s="108" t="s">
        <v>14605</v>
      </c>
      <c r="F2050" s="108" t="s">
        <v>1868</v>
      </c>
      <c r="G2050" s="110"/>
      <c r="H2050" s="108" t="s">
        <v>17451</v>
      </c>
      <c r="I2050" s="108"/>
    </row>
    <row r="2051" spans="1:9">
      <c r="A2051" s="108" t="s">
        <v>227</v>
      </c>
      <c r="B2051" s="108" t="s">
        <v>2926</v>
      </c>
      <c r="C2051" s="109">
        <v>41653</v>
      </c>
      <c r="D2051" s="108"/>
      <c r="E2051" s="108" t="s">
        <v>14605</v>
      </c>
      <c r="F2051" s="108" t="s">
        <v>2927</v>
      </c>
      <c r="G2051" s="110"/>
      <c r="H2051" s="108" t="s">
        <v>17451</v>
      </c>
      <c r="I2051" s="108"/>
    </row>
    <row r="2052" spans="1:9" ht="27.6">
      <c r="A2052" s="108" t="s">
        <v>14607</v>
      </c>
      <c r="B2052" s="108" t="s">
        <v>17479</v>
      </c>
      <c r="C2052" s="109">
        <v>39910</v>
      </c>
      <c r="D2052" s="108"/>
      <c r="E2052" s="108" t="s">
        <v>14605</v>
      </c>
      <c r="F2052" s="108" t="s">
        <v>15587</v>
      </c>
      <c r="G2052" s="110"/>
      <c r="H2052" s="108" t="s">
        <v>17451</v>
      </c>
      <c r="I2052" s="108"/>
    </row>
    <row r="2053" spans="1:9">
      <c r="A2053" s="108" t="s">
        <v>237</v>
      </c>
      <c r="B2053" s="108" t="s">
        <v>17480</v>
      </c>
      <c r="C2053" s="109">
        <v>40140</v>
      </c>
      <c r="D2053" s="108"/>
      <c r="E2053" s="108" t="s">
        <v>14605</v>
      </c>
      <c r="F2053" s="108" t="s">
        <v>17481</v>
      </c>
      <c r="G2053" s="110"/>
      <c r="H2053" s="108" t="s">
        <v>17451</v>
      </c>
      <c r="I2053" s="108"/>
    </row>
    <row r="2054" spans="1:9">
      <c r="A2054" s="108" t="s">
        <v>237</v>
      </c>
      <c r="B2054" s="108" t="s">
        <v>17482</v>
      </c>
      <c r="C2054" s="109">
        <v>40197</v>
      </c>
      <c r="D2054" s="108"/>
      <c r="E2054" s="108" t="s">
        <v>14605</v>
      </c>
      <c r="F2054" s="108" t="s">
        <v>17481</v>
      </c>
      <c r="G2054" s="110"/>
      <c r="H2054" s="108" t="s">
        <v>17451</v>
      </c>
      <c r="I2054" s="108"/>
    </row>
    <row r="2055" spans="1:9">
      <c r="A2055" s="108" t="s">
        <v>237</v>
      </c>
      <c r="B2055" s="108" t="s">
        <v>17483</v>
      </c>
      <c r="C2055" s="109">
        <v>40380</v>
      </c>
      <c r="D2055" s="108"/>
      <c r="E2055" s="108" t="s">
        <v>14605</v>
      </c>
      <c r="F2055" s="108" t="s">
        <v>17484</v>
      </c>
      <c r="G2055" s="110"/>
      <c r="H2055" s="108" t="s">
        <v>17451</v>
      </c>
      <c r="I2055" s="108"/>
    </row>
    <row r="2056" spans="1:9">
      <c r="A2056" s="108" t="s">
        <v>237</v>
      </c>
      <c r="B2056" s="108" t="s">
        <v>17485</v>
      </c>
      <c r="C2056" s="109">
        <v>40569</v>
      </c>
      <c r="D2056" s="108"/>
      <c r="E2056" s="108" t="s">
        <v>14605</v>
      </c>
      <c r="F2056" s="108" t="s">
        <v>17481</v>
      </c>
      <c r="G2056" s="110"/>
      <c r="H2056" s="108" t="s">
        <v>17451</v>
      </c>
      <c r="I2056" s="108"/>
    </row>
    <row r="2057" spans="1:9">
      <c r="A2057" s="108" t="s">
        <v>237</v>
      </c>
      <c r="B2057" s="108" t="s">
        <v>17486</v>
      </c>
      <c r="C2057" s="109">
        <v>40955</v>
      </c>
      <c r="D2057" s="108"/>
      <c r="E2057" s="108" t="s">
        <v>14605</v>
      </c>
      <c r="F2057" s="108" t="s">
        <v>4510</v>
      </c>
      <c r="G2057" s="110"/>
      <c r="H2057" s="108" t="s">
        <v>17451</v>
      </c>
      <c r="I2057" s="108"/>
    </row>
    <row r="2058" spans="1:9">
      <c r="A2058" s="108" t="s">
        <v>16935</v>
      </c>
      <c r="B2058" s="108" t="s">
        <v>17487</v>
      </c>
      <c r="C2058" s="109">
        <v>38626</v>
      </c>
      <c r="D2058" s="108"/>
      <c r="E2058" s="108" t="s">
        <v>14605</v>
      </c>
      <c r="F2058" s="108" t="s">
        <v>17488</v>
      </c>
      <c r="G2058" s="110"/>
      <c r="H2058" s="108" t="s">
        <v>17451</v>
      </c>
      <c r="I2058" s="108"/>
    </row>
    <row r="2059" spans="1:9" ht="27.6">
      <c r="A2059" s="108" t="s">
        <v>479</v>
      </c>
      <c r="B2059" s="108" t="s">
        <v>3160</v>
      </c>
      <c r="C2059" s="109">
        <v>41010</v>
      </c>
      <c r="D2059" s="108"/>
      <c r="E2059" s="108" t="s">
        <v>14605</v>
      </c>
      <c r="F2059" s="108" t="s">
        <v>3158</v>
      </c>
      <c r="G2059" s="110"/>
      <c r="H2059" s="108" t="s">
        <v>17451</v>
      </c>
      <c r="I2059" s="108"/>
    </row>
    <row r="2060" spans="1:9" ht="27.6">
      <c r="A2060" s="108" t="s">
        <v>207</v>
      </c>
      <c r="B2060" s="108" t="s">
        <v>4149</v>
      </c>
      <c r="C2060" s="109">
        <v>41347</v>
      </c>
      <c r="D2060" s="108"/>
      <c r="E2060" s="108" t="s">
        <v>14605</v>
      </c>
      <c r="F2060" s="108" t="s">
        <v>4142</v>
      </c>
      <c r="G2060" s="110"/>
      <c r="H2060" s="108" t="s">
        <v>17451</v>
      </c>
      <c r="I2060" s="108"/>
    </row>
    <row r="2061" spans="1:9" ht="27.6">
      <c r="A2061" s="108" t="s">
        <v>207</v>
      </c>
      <c r="B2061" s="108" t="s">
        <v>4148</v>
      </c>
      <c r="C2061" s="109">
        <v>41844</v>
      </c>
      <c r="D2061" s="108"/>
      <c r="E2061" s="108" t="s">
        <v>14605</v>
      </c>
      <c r="F2061" s="108" t="s">
        <v>4142</v>
      </c>
      <c r="G2061" s="110"/>
      <c r="H2061" s="108" t="s">
        <v>17451</v>
      </c>
      <c r="I2061" s="108"/>
    </row>
    <row r="2062" spans="1:9" ht="27.6">
      <c r="A2062" s="108" t="s">
        <v>207</v>
      </c>
      <c r="B2062" s="108" t="s">
        <v>1872</v>
      </c>
      <c r="C2062" s="109">
        <v>41842</v>
      </c>
      <c r="D2062" s="108"/>
      <c r="E2062" s="108" t="s">
        <v>14605</v>
      </c>
      <c r="F2062" s="108" t="s">
        <v>1873</v>
      </c>
      <c r="G2062" s="110"/>
      <c r="H2062" s="108" t="s">
        <v>17451</v>
      </c>
      <c r="I2062" s="108"/>
    </row>
    <row r="2063" spans="1:9" ht="27.6">
      <c r="A2063" s="108" t="s">
        <v>207</v>
      </c>
      <c r="B2063" s="108" t="s">
        <v>4955</v>
      </c>
      <c r="C2063" s="109">
        <v>41913</v>
      </c>
      <c r="D2063" s="108"/>
      <c r="E2063" s="108" t="s">
        <v>14605</v>
      </c>
      <c r="F2063" s="108" t="s">
        <v>4954</v>
      </c>
      <c r="G2063" s="110"/>
      <c r="H2063" s="108" t="s">
        <v>17451</v>
      </c>
      <c r="I2063" s="108"/>
    </row>
    <row r="2064" spans="1:9">
      <c r="A2064" s="108" t="s">
        <v>118</v>
      </c>
      <c r="B2064" s="108" t="s">
        <v>4953</v>
      </c>
      <c r="C2064" s="109">
        <v>42403</v>
      </c>
      <c r="D2064" s="108"/>
      <c r="E2064" s="108" t="s">
        <v>14605</v>
      </c>
      <c r="F2064" s="108" t="s">
        <v>4954</v>
      </c>
      <c r="G2064" s="110"/>
      <c r="H2064" s="108" t="s">
        <v>17451</v>
      </c>
      <c r="I2064" s="108"/>
    </row>
    <row r="2065" spans="1:9">
      <c r="A2065" s="108" t="s">
        <v>16151</v>
      </c>
      <c r="B2065" s="108" t="s">
        <v>859</v>
      </c>
      <c r="C2065" s="109">
        <v>45251</v>
      </c>
      <c r="D2065" s="108" t="s">
        <v>861</v>
      </c>
      <c r="E2065" s="108" t="s">
        <v>14605</v>
      </c>
      <c r="F2065" s="108" t="s">
        <v>860</v>
      </c>
      <c r="G2065" s="109">
        <v>47077</v>
      </c>
      <c r="H2065" s="108" t="s">
        <v>17451</v>
      </c>
      <c r="I2065" s="108" t="s">
        <v>862</v>
      </c>
    </row>
    <row r="2066" spans="1:9">
      <c r="A2066" s="108" t="s">
        <v>14978</v>
      </c>
      <c r="B2066" s="108" t="s">
        <v>17489</v>
      </c>
      <c r="C2066" s="109">
        <v>42814</v>
      </c>
      <c r="D2066" s="108" t="s">
        <v>17490</v>
      </c>
      <c r="E2066" s="108" t="s">
        <v>14605</v>
      </c>
      <c r="F2066" s="108" t="s">
        <v>17491</v>
      </c>
      <c r="G2066" s="109">
        <v>44640</v>
      </c>
      <c r="H2066" s="108" t="s">
        <v>17451</v>
      </c>
      <c r="I2066" s="108" t="s">
        <v>102</v>
      </c>
    </row>
    <row r="2067" spans="1:9" ht="27.6">
      <c r="A2067" s="108" t="s">
        <v>109</v>
      </c>
      <c r="B2067" s="108" t="s">
        <v>1128</v>
      </c>
      <c r="C2067" s="109">
        <v>45217</v>
      </c>
      <c r="D2067" s="108" t="s">
        <v>1130</v>
      </c>
      <c r="E2067" s="108" t="s">
        <v>14605</v>
      </c>
      <c r="F2067" s="108" t="s">
        <v>1129</v>
      </c>
      <c r="G2067" s="109">
        <v>45959</v>
      </c>
      <c r="H2067" s="108" t="s">
        <v>17451</v>
      </c>
      <c r="I2067" s="108" t="s">
        <v>102</v>
      </c>
    </row>
    <row r="2068" spans="1:9" ht="27.6">
      <c r="A2068" s="108" t="s">
        <v>15075</v>
      </c>
      <c r="B2068" s="108" t="s">
        <v>17492</v>
      </c>
      <c r="C2068" s="109">
        <v>44469</v>
      </c>
      <c r="D2068" s="108" t="s">
        <v>17493</v>
      </c>
      <c r="E2068" s="108" t="s">
        <v>14605</v>
      </c>
      <c r="F2068" s="108" t="s">
        <v>860</v>
      </c>
      <c r="G2068" s="109">
        <v>45515</v>
      </c>
      <c r="H2068" s="108" t="s">
        <v>17451</v>
      </c>
      <c r="I2068" s="108" t="s">
        <v>95</v>
      </c>
    </row>
    <row r="2069" spans="1:9" ht="27.6">
      <c r="A2069" s="108" t="s">
        <v>15075</v>
      </c>
      <c r="B2069" s="108" t="s">
        <v>17494</v>
      </c>
      <c r="C2069" s="109">
        <v>44428</v>
      </c>
      <c r="D2069" s="108" t="s">
        <v>17495</v>
      </c>
      <c r="E2069" s="108" t="s">
        <v>14605</v>
      </c>
      <c r="F2069" s="108" t="s">
        <v>4696</v>
      </c>
      <c r="G2069" s="109">
        <v>46255</v>
      </c>
      <c r="H2069" s="108" t="s">
        <v>17451</v>
      </c>
      <c r="I2069" s="108" t="s">
        <v>95</v>
      </c>
    </row>
    <row r="2070" spans="1:9" ht="27.6">
      <c r="A2070" s="108" t="s">
        <v>109</v>
      </c>
      <c r="B2070" s="108" t="s">
        <v>4187</v>
      </c>
      <c r="C2070" s="109">
        <v>44179</v>
      </c>
      <c r="D2070" s="108" t="s">
        <v>4188</v>
      </c>
      <c r="E2070" s="108" t="s">
        <v>14605</v>
      </c>
      <c r="F2070" s="108" t="s">
        <v>4182</v>
      </c>
      <c r="G2070" s="109">
        <v>46035</v>
      </c>
      <c r="H2070" s="108" t="s">
        <v>17451</v>
      </c>
      <c r="I2070" s="108" t="s">
        <v>95</v>
      </c>
    </row>
    <row r="2071" spans="1:9" ht="27.6">
      <c r="A2071" s="108" t="s">
        <v>109</v>
      </c>
      <c r="B2071" s="108" t="s">
        <v>4194</v>
      </c>
      <c r="C2071" s="109">
        <v>44580</v>
      </c>
      <c r="D2071" s="108" t="s">
        <v>4196</v>
      </c>
      <c r="E2071" s="108" t="s">
        <v>14605</v>
      </c>
      <c r="F2071" s="108" t="s">
        <v>4195</v>
      </c>
      <c r="G2071" s="109">
        <v>46038</v>
      </c>
      <c r="H2071" s="108" t="s">
        <v>17451</v>
      </c>
      <c r="I2071" s="108" t="s">
        <v>95</v>
      </c>
    </row>
    <row r="2072" spans="1:9" ht="27.6">
      <c r="A2072" s="108" t="s">
        <v>1072</v>
      </c>
      <c r="B2072" s="108" t="s">
        <v>5304</v>
      </c>
      <c r="C2072" s="109">
        <v>45096</v>
      </c>
      <c r="D2072" s="108" t="s">
        <v>5305</v>
      </c>
      <c r="E2072" s="108" t="s">
        <v>14605</v>
      </c>
      <c r="F2072" s="108" t="s">
        <v>5302</v>
      </c>
      <c r="G2072" s="109">
        <v>46191</v>
      </c>
      <c r="H2072" s="108" t="s">
        <v>17451</v>
      </c>
      <c r="I2072" s="108" t="s">
        <v>95</v>
      </c>
    </row>
    <row r="2073" spans="1:9" ht="27.6">
      <c r="A2073" s="108" t="s">
        <v>109</v>
      </c>
      <c r="B2073" s="108" t="s">
        <v>4426</v>
      </c>
      <c r="C2073" s="109">
        <v>45146</v>
      </c>
      <c r="D2073" s="108" t="s">
        <v>4428</v>
      </c>
      <c r="E2073" s="108" t="s">
        <v>14605</v>
      </c>
      <c r="F2073" s="108" t="s">
        <v>4427</v>
      </c>
      <c r="G2073" s="109">
        <v>46627</v>
      </c>
      <c r="H2073" s="108" t="s">
        <v>17451</v>
      </c>
      <c r="I2073" s="108" t="s">
        <v>95</v>
      </c>
    </row>
    <row r="2074" spans="1:9" ht="27.6">
      <c r="A2074" s="108" t="s">
        <v>250</v>
      </c>
      <c r="B2074" s="108" t="s">
        <v>5252</v>
      </c>
      <c r="C2074" s="109">
        <v>45036</v>
      </c>
      <c r="D2074" s="108" t="s">
        <v>5254</v>
      </c>
      <c r="E2074" s="108" t="s">
        <v>14605</v>
      </c>
      <c r="F2074" s="108" t="s">
        <v>5253</v>
      </c>
      <c r="G2074" s="109">
        <v>46873</v>
      </c>
      <c r="H2074" s="108" t="s">
        <v>17451</v>
      </c>
      <c r="I2074" s="108" t="s">
        <v>95</v>
      </c>
    </row>
    <row r="2075" spans="1:9" ht="27.6">
      <c r="A2075" s="108" t="s">
        <v>981</v>
      </c>
      <c r="B2075" s="108" t="s">
        <v>4185</v>
      </c>
      <c r="C2075" s="109">
        <v>45336</v>
      </c>
      <c r="D2075" s="108" t="s">
        <v>4186</v>
      </c>
      <c r="E2075" s="108" t="s">
        <v>14605</v>
      </c>
      <c r="F2075" s="108" t="s">
        <v>4182</v>
      </c>
      <c r="G2075" s="109">
        <v>46818</v>
      </c>
      <c r="H2075" s="108" t="s">
        <v>17451</v>
      </c>
      <c r="I2075" s="108" t="s">
        <v>95</v>
      </c>
    </row>
    <row r="2076" spans="1:9" ht="27.6">
      <c r="A2076" s="108" t="s">
        <v>109</v>
      </c>
      <c r="B2076" s="108" t="s">
        <v>5034</v>
      </c>
      <c r="C2076" s="109">
        <v>45055</v>
      </c>
      <c r="D2076" s="108" t="s">
        <v>5035</v>
      </c>
      <c r="E2076" s="108" t="s">
        <v>14605</v>
      </c>
      <c r="F2076" s="108" t="s">
        <v>17465</v>
      </c>
      <c r="G2076" s="109">
        <v>46166</v>
      </c>
      <c r="H2076" s="108" t="s">
        <v>17451</v>
      </c>
      <c r="I2076" s="108" t="s">
        <v>95</v>
      </c>
    </row>
    <row r="2077" spans="1:9" ht="27.6">
      <c r="A2077" s="108" t="s">
        <v>109</v>
      </c>
      <c r="B2077" s="108" t="s">
        <v>927</v>
      </c>
      <c r="C2077" s="109">
        <v>45218</v>
      </c>
      <c r="D2077" s="108" t="s">
        <v>929</v>
      </c>
      <c r="E2077" s="108" t="s">
        <v>14605</v>
      </c>
      <c r="F2077" s="108" t="s">
        <v>928</v>
      </c>
      <c r="G2077" s="109">
        <v>47068</v>
      </c>
      <c r="H2077" s="108" t="s">
        <v>17451</v>
      </c>
      <c r="I2077" s="108" t="s">
        <v>95</v>
      </c>
    </row>
    <row r="2078" spans="1:9" ht="27.6">
      <c r="A2078" s="108" t="s">
        <v>109</v>
      </c>
      <c r="B2078" s="108" t="s">
        <v>4144</v>
      </c>
      <c r="C2078" s="109">
        <v>45334</v>
      </c>
      <c r="D2078" s="108" t="s">
        <v>4145</v>
      </c>
      <c r="E2078" s="108" t="s">
        <v>14605</v>
      </c>
      <c r="F2078" s="108" t="s">
        <v>4142</v>
      </c>
      <c r="G2078" s="109">
        <v>46070</v>
      </c>
      <c r="H2078" s="108" t="s">
        <v>17451</v>
      </c>
      <c r="I2078" s="108" t="s">
        <v>95</v>
      </c>
    </row>
    <row r="2079" spans="1:9" ht="27.6">
      <c r="A2079" s="108" t="s">
        <v>109</v>
      </c>
      <c r="B2079" s="108" t="s">
        <v>958</v>
      </c>
      <c r="C2079" s="109">
        <v>45315</v>
      </c>
      <c r="D2079" s="108" t="s">
        <v>960</v>
      </c>
      <c r="E2079" s="108" t="s">
        <v>14605</v>
      </c>
      <c r="F2079" s="108" t="s">
        <v>959</v>
      </c>
      <c r="G2079" s="109">
        <v>47138</v>
      </c>
      <c r="H2079" s="108" t="s">
        <v>17451</v>
      </c>
      <c r="I2079" s="108" t="s">
        <v>95</v>
      </c>
    </row>
    <row r="2080" spans="1:9" ht="27.6">
      <c r="A2080" s="108" t="s">
        <v>109</v>
      </c>
      <c r="B2080" s="108" t="s">
        <v>4770</v>
      </c>
      <c r="C2080" s="109">
        <v>45524</v>
      </c>
      <c r="D2080" s="108" t="s">
        <v>4771</v>
      </c>
      <c r="E2080" s="108" t="s">
        <v>14605</v>
      </c>
      <c r="F2080" s="108" t="s">
        <v>16004</v>
      </c>
      <c r="G2080" s="109">
        <v>46230</v>
      </c>
      <c r="H2080" s="108" t="s">
        <v>17451</v>
      </c>
      <c r="I2080" s="108" t="s">
        <v>95</v>
      </c>
    </row>
    <row r="2081" spans="1:9" ht="27.6">
      <c r="A2081" s="108" t="s">
        <v>96</v>
      </c>
      <c r="B2081" s="108" t="s">
        <v>4888</v>
      </c>
      <c r="C2081" s="109">
        <v>44593</v>
      </c>
      <c r="D2081" s="108" t="s">
        <v>4890</v>
      </c>
      <c r="E2081" s="108" t="s">
        <v>14605</v>
      </c>
      <c r="F2081" s="108" t="s">
        <v>4889</v>
      </c>
      <c r="G2081" s="109">
        <v>46800</v>
      </c>
      <c r="H2081" s="108" t="s">
        <v>17451</v>
      </c>
      <c r="I2081" s="108" t="s">
        <v>95</v>
      </c>
    </row>
    <row r="2082" spans="1:9">
      <c r="A2082" s="108" t="s">
        <v>15990</v>
      </c>
      <c r="B2082" s="108" t="s">
        <v>1742</v>
      </c>
      <c r="C2082" s="109">
        <v>44623</v>
      </c>
      <c r="D2082" s="108" t="s">
        <v>1743</v>
      </c>
      <c r="E2082" s="108" t="s">
        <v>14605</v>
      </c>
      <c r="F2082" s="108" t="s">
        <v>1740</v>
      </c>
      <c r="G2082" s="109">
        <v>46385</v>
      </c>
      <c r="H2082" s="108" t="s">
        <v>17451</v>
      </c>
      <c r="I2082" s="108" t="s">
        <v>95</v>
      </c>
    </row>
    <row r="2083" spans="1:9">
      <c r="A2083" s="108" t="s">
        <v>15990</v>
      </c>
      <c r="B2083" s="108" t="s">
        <v>4215</v>
      </c>
      <c r="C2083" s="109">
        <v>45233</v>
      </c>
      <c r="D2083" s="108" t="s">
        <v>4216</v>
      </c>
      <c r="E2083" s="108" t="s">
        <v>14605</v>
      </c>
      <c r="F2083" s="108" t="s">
        <v>4207</v>
      </c>
      <c r="G2083" s="109">
        <v>46963</v>
      </c>
      <c r="H2083" s="108" t="s">
        <v>17451</v>
      </c>
      <c r="I2083" s="108" t="s">
        <v>95</v>
      </c>
    </row>
    <row r="2084" spans="1:9">
      <c r="A2084" s="108" t="s">
        <v>15990</v>
      </c>
      <c r="B2084" s="108" t="s">
        <v>897</v>
      </c>
      <c r="C2084" s="109">
        <v>45322</v>
      </c>
      <c r="D2084" s="108" t="s">
        <v>898</v>
      </c>
      <c r="E2084" s="108" t="s">
        <v>14605</v>
      </c>
      <c r="F2084" s="108" t="s">
        <v>14764</v>
      </c>
      <c r="G2084" s="109">
        <v>46784</v>
      </c>
      <c r="H2084" s="108" t="s">
        <v>17451</v>
      </c>
      <c r="I2084" s="108" t="s">
        <v>95</v>
      </c>
    </row>
    <row r="2085" spans="1:9" ht="27.6">
      <c r="A2085" s="108" t="s">
        <v>503</v>
      </c>
      <c r="B2085" s="108" t="s">
        <v>4226</v>
      </c>
      <c r="C2085" s="109">
        <v>45441</v>
      </c>
      <c r="D2085" s="108" t="s">
        <v>4227</v>
      </c>
      <c r="E2085" s="108" t="s">
        <v>14605</v>
      </c>
      <c r="F2085" s="108" t="s">
        <v>4222</v>
      </c>
      <c r="G2085" s="109">
        <v>47235</v>
      </c>
      <c r="H2085" s="108" t="s">
        <v>17451</v>
      </c>
      <c r="I2085" s="108" t="s">
        <v>95</v>
      </c>
    </row>
    <row r="2086" spans="1:9">
      <c r="A2086" s="108" t="s">
        <v>15990</v>
      </c>
      <c r="B2086" s="108" t="s">
        <v>4183</v>
      </c>
      <c r="C2086" s="109">
        <v>45380</v>
      </c>
      <c r="D2086" s="108" t="s">
        <v>4184</v>
      </c>
      <c r="E2086" s="108" t="s">
        <v>14605</v>
      </c>
      <c r="F2086" s="108" t="s">
        <v>4182</v>
      </c>
      <c r="G2086" s="109">
        <v>47578</v>
      </c>
      <c r="H2086" s="108" t="s">
        <v>17451</v>
      </c>
      <c r="I2086" s="108" t="s">
        <v>95</v>
      </c>
    </row>
    <row r="2087" spans="1:9">
      <c r="A2087" s="108" t="s">
        <v>16151</v>
      </c>
      <c r="B2087" s="108" t="s">
        <v>4213</v>
      </c>
      <c r="C2087" s="109">
        <v>44155</v>
      </c>
      <c r="D2087" s="108" t="s">
        <v>4214</v>
      </c>
      <c r="E2087" s="108" t="s">
        <v>14605</v>
      </c>
      <c r="F2087" s="108" t="s">
        <v>4207</v>
      </c>
      <c r="G2087" s="109">
        <v>45980</v>
      </c>
      <c r="H2087" s="108" t="s">
        <v>17451</v>
      </c>
      <c r="I2087" s="108" t="s">
        <v>95</v>
      </c>
    </row>
    <row r="2088" spans="1:9">
      <c r="A2088" s="108" t="s">
        <v>16151</v>
      </c>
      <c r="B2088" s="108" t="s">
        <v>863</v>
      </c>
      <c r="C2088" s="109">
        <v>44442</v>
      </c>
      <c r="D2088" s="108" t="s">
        <v>864</v>
      </c>
      <c r="E2088" s="108" t="s">
        <v>14605</v>
      </c>
      <c r="F2088" s="108" t="s">
        <v>860</v>
      </c>
      <c r="G2088" s="109">
        <v>46245</v>
      </c>
      <c r="H2088" s="108" t="s">
        <v>17451</v>
      </c>
      <c r="I2088" s="108" t="s">
        <v>95</v>
      </c>
    </row>
    <row r="2089" spans="1:9">
      <c r="A2089" s="108" t="s">
        <v>16151</v>
      </c>
      <c r="B2089" s="108" t="s">
        <v>1739</v>
      </c>
      <c r="C2089" s="109">
        <v>44452</v>
      </c>
      <c r="D2089" s="108" t="s">
        <v>1741</v>
      </c>
      <c r="E2089" s="108" t="s">
        <v>14605</v>
      </c>
      <c r="F2089" s="108" t="s">
        <v>1740</v>
      </c>
      <c r="G2089" s="109">
        <v>46255</v>
      </c>
      <c r="H2089" s="108" t="s">
        <v>17451</v>
      </c>
      <c r="I2089" s="108" t="s">
        <v>95</v>
      </c>
    </row>
    <row r="2090" spans="1:9">
      <c r="A2090" s="108" t="s">
        <v>16151</v>
      </c>
      <c r="B2090" s="108" t="s">
        <v>4141</v>
      </c>
      <c r="C2090" s="109">
        <v>44454</v>
      </c>
      <c r="D2090" s="108" t="s">
        <v>4143</v>
      </c>
      <c r="E2090" s="108" t="s">
        <v>14605</v>
      </c>
      <c r="F2090" s="108" t="s">
        <v>4142</v>
      </c>
      <c r="G2090" s="109">
        <v>46259</v>
      </c>
      <c r="H2090" s="108" t="s">
        <v>17451</v>
      </c>
      <c r="I2090" s="108" t="s">
        <v>95</v>
      </c>
    </row>
    <row r="2091" spans="1:9">
      <c r="A2091" s="108" t="s">
        <v>16151</v>
      </c>
      <c r="B2091" s="108" t="s">
        <v>4695</v>
      </c>
      <c r="C2091" s="109">
        <v>44427</v>
      </c>
      <c r="D2091" s="108" t="s">
        <v>4697</v>
      </c>
      <c r="E2091" s="108" t="s">
        <v>14605</v>
      </c>
      <c r="F2091" s="108" t="s">
        <v>4696</v>
      </c>
      <c r="G2091" s="109">
        <v>46255</v>
      </c>
      <c r="H2091" s="108" t="s">
        <v>17451</v>
      </c>
      <c r="I2091" s="108" t="s">
        <v>95</v>
      </c>
    </row>
    <row r="2092" spans="1:9">
      <c r="A2092" s="108" t="s">
        <v>16151</v>
      </c>
      <c r="B2092" s="108" t="s">
        <v>4211</v>
      </c>
      <c r="C2092" s="109">
        <v>44664</v>
      </c>
      <c r="D2092" s="108" t="s">
        <v>4212</v>
      </c>
      <c r="E2092" s="108" t="s">
        <v>14605</v>
      </c>
      <c r="F2092" s="108" t="s">
        <v>4207</v>
      </c>
      <c r="G2092" s="109">
        <v>46501</v>
      </c>
      <c r="H2092" s="108" t="s">
        <v>17451</v>
      </c>
      <c r="I2092" s="108" t="s">
        <v>95</v>
      </c>
    </row>
    <row r="2093" spans="1:9">
      <c r="A2093" s="108" t="s">
        <v>16151</v>
      </c>
      <c r="B2093" s="108" t="s">
        <v>5301</v>
      </c>
      <c r="C2093" s="109">
        <v>44714</v>
      </c>
      <c r="D2093" s="108" t="s">
        <v>5303</v>
      </c>
      <c r="E2093" s="108" t="s">
        <v>14605</v>
      </c>
      <c r="F2093" s="108" t="s">
        <v>5302</v>
      </c>
      <c r="G2093" s="109">
        <v>46877</v>
      </c>
      <c r="H2093" s="108" t="s">
        <v>17451</v>
      </c>
      <c r="I2093" s="108" t="s">
        <v>95</v>
      </c>
    </row>
    <row r="2094" spans="1:9">
      <c r="A2094" s="108" t="s">
        <v>16151</v>
      </c>
      <c r="B2094" s="108" t="s">
        <v>2471</v>
      </c>
      <c r="C2094" s="109">
        <v>44935</v>
      </c>
      <c r="D2094" s="108" t="s">
        <v>2473</v>
      </c>
      <c r="E2094" s="108" t="s">
        <v>14605</v>
      </c>
      <c r="F2094" s="108" t="s">
        <v>2472</v>
      </c>
      <c r="G2094" s="109">
        <v>46750</v>
      </c>
      <c r="H2094" s="108" t="s">
        <v>17451</v>
      </c>
      <c r="I2094" s="108" t="s">
        <v>95</v>
      </c>
    </row>
    <row r="2095" spans="1:9">
      <c r="A2095" s="108" t="s">
        <v>16151</v>
      </c>
      <c r="B2095" s="108" t="s">
        <v>3157</v>
      </c>
      <c r="C2095" s="109">
        <v>45014</v>
      </c>
      <c r="D2095" s="108" t="s">
        <v>3159</v>
      </c>
      <c r="E2095" s="108" t="s">
        <v>14605</v>
      </c>
      <c r="F2095" s="108" t="s">
        <v>3158</v>
      </c>
      <c r="G2095" s="109">
        <v>46856</v>
      </c>
      <c r="H2095" s="108" t="s">
        <v>17451</v>
      </c>
      <c r="I2095" s="108" t="s">
        <v>95</v>
      </c>
    </row>
    <row r="2096" spans="1:9">
      <c r="A2096" s="108" t="s">
        <v>16151</v>
      </c>
      <c r="B2096" s="108" t="s">
        <v>4209</v>
      </c>
      <c r="C2096" s="109">
        <v>45181</v>
      </c>
      <c r="D2096" s="108" t="s">
        <v>4210</v>
      </c>
      <c r="E2096" s="108" t="s">
        <v>14605</v>
      </c>
      <c r="F2096" s="108" t="s">
        <v>4207</v>
      </c>
      <c r="G2096" s="109">
        <v>46597</v>
      </c>
      <c r="H2096" s="108" t="s">
        <v>17451</v>
      </c>
      <c r="I2096" s="108" t="s">
        <v>95</v>
      </c>
    </row>
    <row r="2097" spans="1:9">
      <c r="A2097" s="108" t="s">
        <v>16151</v>
      </c>
      <c r="B2097" s="108" t="s">
        <v>4206</v>
      </c>
      <c r="C2097" s="109">
        <v>45188</v>
      </c>
      <c r="D2097" s="108" t="s">
        <v>4208</v>
      </c>
      <c r="E2097" s="108" t="s">
        <v>14605</v>
      </c>
      <c r="F2097" s="108" t="s">
        <v>4207</v>
      </c>
      <c r="G2097" s="109">
        <v>47013</v>
      </c>
      <c r="H2097" s="108" t="s">
        <v>17451</v>
      </c>
      <c r="I2097" s="108" t="s">
        <v>95</v>
      </c>
    </row>
    <row r="2098" spans="1:9">
      <c r="A2098" s="108" t="s">
        <v>16151</v>
      </c>
      <c r="B2098" s="108" t="s">
        <v>894</v>
      </c>
      <c r="C2098" s="109">
        <v>45254</v>
      </c>
      <c r="D2098" s="108" t="s">
        <v>896</v>
      </c>
      <c r="E2098" s="108" t="s">
        <v>14605</v>
      </c>
      <c r="F2098" s="108" t="s">
        <v>895</v>
      </c>
      <c r="G2098" s="109">
        <v>46363</v>
      </c>
      <c r="H2098" s="108" t="s">
        <v>17451</v>
      </c>
      <c r="I2098" s="108" t="s">
        <v>95</v>
      </c>
    </row>
    <row r="2099" spans="1:9" ht="27.6">
      <c r="A2099" s="108" t="s">
        <v>16151</v>
      </c>
      <c r="B2099" s="108" t="s">
        <v>17496</v>
      </c>
      <c r="C2099" s="109">
        <v>45380</v>
      </c>
      <c r="D2099" s="108" t="s">
        <v>17497</v>
      </c>
      <c r="E2099" s="108" t="s">
        <v>14605</v>
      </c>
      <c r="F2099" s="108" t="s">
        <v>15137</v>
      </c>
      <c r="G2099" s="109">
        <v>47537</v>
      </c>
      <c r="H2099" s="108" t="s">
        <v>17451</v>
      </c>
      <c r="I2099" s="108" t="s">
        <v>95</v>
      </c>
    </row>
    <row r="2100" spans="1:9">
      <c r="A2100" s="108" t="s">
        <v>16151</v>
      </c>
      <c r="B2100" s="108" t="s">
        <v>270</v>
      </c>
      <c r="C2100" s="109">
        <v>45408</v>
      </c>
      <c r="D2100" s="108" t="s">
        <v>272</v>
      </c>
      <c r="E2100" s="108" t="s">
        <v>14605</v>
      </c>
      <c r="F2100" s="108" t="s">
        <v>271</v>
      </c>
      <c r="G2100" s="109">
        <v>46022</v>
      </c>
      <c r="H2100" s="108" t="s">
        <v>17451</v>
      </c>
      <c r="I2100" s="108" t="s">
        <v>95</v>
      </c>
    </row>
    <row r="2101" spans="1:9" ht="27.6">
      <c r="A2101" s="108" t="s">
        <v>16151</v>
      </c>
      <c r="B2101" s="108" t="s">
        <v>4224</v>
      </c>
      <c r="C2101" s="109">
        <v>45428</v>
      </c>
      <c r="D2101" s="108" t="s">
        <v>4225</v>
      </c>
      <c r="E2101" s="108" t="s">
        <v>14605</v>
      </c>
      <c r="F2101" s="108" t="s">
        <v>4222</v>
      </c>
      <c r="G2101" s="109">
        <v>47272</v>
      </c>
      <c r="H2101" s="108" t="s">
        <v>17451</v>
      </c>
      <c r="I2101" s="108" t="s">
        <v>95</v>
      </c>
    </row>
    <row r="2102" spans="1:9" ht="27.6">
      <c r="A2102" s="108" t="s">
        <v>16151</v>
      </c>
      <c r="B2102" s="108" t="s">
        <v>4221</v>
      </c>
      <c r="C2102" s="109">
        <v>45504</v>
      </c>
      <c r="D2102" s="108" t="s">
        <v>4223</v>
      </c>
      <c r="E2102" s="108" t="s">
        <v>14605</v>
      </c>
      <c r="F2102" s="108" t="s">
        <v>4222</v>
      </c>
      <c r="G2102" s="109">
        <v>47214</v>
      </c>
      <c r="H2102" s="108" t="s">
        <v>17451</v>
      </c>
      <c r="I2102" s="108" t="s">
        <v>95</v>
      </c>
    </row>
    <row r="2103" spans="1:9">
      <c r="A2103" s="108" t="s">
        <v>16151</v>
      </c>
      <c r="B2103" s="108" t="s">
        <v>2460</v>
      </c>
      <c r="C2103" s="109">
        <v>44185</v>
      </c>
      <c r="D2103" s="108" t="s">
        <v>2462</v>
      </c>
      <c r="E2103" s="108" t="s">
        <v>14605</v>
      </c>
      <c r="F2103" s="108" t="s">
        <v>2461</v>
      </c>
      <c r="G2103" s="109">
        <v>47317</v>
      </c>
      <c r="H2103" s="108" t="s">
        <v>17451</v>
      </c>
      <c r="I2103" s="108" t="s">
        <v>95</v>
      </c>
    </row>
    <row r="2104" spans="1:9" ht="27.6">
      <c r="A2104" s="108" t="s">
        <v>388</v>
      </c>
      <c r="B2104" s="108" t="s">
        <v>784</v>
      </c>
      <c r="C2104" s="109">
        <v>45153</v>
      </c>
      <c r="D2104" s="108" t="s">
        <v>786</v>
      </c>
      <c r="E2104" s="108" t="s">
        <v>14605</v>
      </c>
      <c r="F2104" s="108" t="s">
        <v>785</v>
      </c>
      <c r="G2104" s="109">
        <v>47000</v>
      </c>
      <c r="H2104" s="108" t="s">
        <v>17451</v>
      </c>
      <c r="I2104" s="108" t="s">
        <v>95</v>
      </c>
    </row>
    <row r="2105" spans="1:9">
      <c r="A2105" s="108" t="s">
        <v>87</v>
      </c>
      <c r="B2105" s="108" t="s">
        <v>4217</v>
      </c>
      <c r="C2105" s="109">
        <v>43186</v>
      </c>
      <c r="D2105" s="108" t="s">
        <v>4218</v>
      </c>
      <c r="E2105" s="108" t="s">
        <v>14605</v>
      </c>
      <c r="F2105" s="108" t="s">
        <v>4207</v>
      </c>
      <c r="G2105" s="109">
        <v>45377</v>
      </c>
      <c r="H2105" s="108" t="s">
        <v>17451</v>
      </c>
      <c r="I2105" s="108" t="s">
        <v>79</v>
      </c>
    </row>
    <row r="2106" spans="1:9">
      <c r="A2106" s="108" t="s">
        <v>87</v>
      </c>
      <c r="B2106" s="108" t="s">
        <v>871</v>
      </c>
      <c r="C2106" s="109">
        <v>43370</v>
      </c>
      <c r="D2106" s="108" t="s">
        <v>872</v>
      </c>
      <c r="E2106" s="108" t="s">
        <v>14605</v>
      </c>
      <c r="F2106" s="108" t="s">
        <v>860</v>
      </c>
      <c r="G2106" s="109">
        <v>46463</v>
      </c>
      <c r="H2106" s="108" t="s">
        <v>17451</v>
      </c>
      <c r="I2106" s="108" t="s">
        <v>79</v>
      </c>
    </row>
    <row r="2107" spans="1:9">
      <c r="A2107" s="108" t="s">
        <v>87</v>
      </c>
      <c r="B2107" s="108" t="s">
        <v>869</v>
      </c>
      <c r="C2107" s="109">
        <v>43635</v>
      </c>
      <c r="D2107" s="108" t="s">
        <v>870</v>
      </c>
      <c r="E2107" s="108" t="s">
        <v>14605</v>
      </c>
      <c r="F2107" s="108" t="s">
        <v>860</v>
      </c>
      <c r="G2107" s="109">
        <v>46463</v>
      </c>
      <c r="H2107" s="108" t="s">
        <v>17451</v>
      </c>
      <c r="I2107" s="108" t="s">
        <v>79</v>
      </c>
    </row>
    <row r="2108" spans="1:9">
      <c r="A2108" s="108" t="s">
        <v>87</v>
      </c>
      <c r="B2108" s="108" t="s">
        <v>867</v>
      </c>
      <c r="C2108" s="109">
        <v>43678</v>
      </c>
      <c r="D2108" s="108" t="s">
        <v>868</v>
      </c>
      <c r="E2108" s="108" t="s">
        <v>14605</v>
      </c>
      <c r="F2108" s="108" t="s">
        <v>860</v>
      </c>
      <c r="G2108" s="109">
        <v>46463</v>
      </c>
      <c r="H2108" s="108" t="s">
        <v>17451</v>
      </c>
      <c r="I2108" s="108" t="s">
        <v>79</v>
      </c>
    </row>
    <row r="2109" spans="1:9">
      <c r="A2109" s="108" t="s">
        <v>237</v>
      </c>
      <c r="B2109" s="108" t="s">
        <v>3757</v>
      </c>
      <c r="C2109" s="109">
        <v>42025</v>
      </c>
      <c r="D2109" s="108" t="s">
        <v>3758</v>
      </c>
      <c r="E2109" s="108" t="s">
        <v>14605</v>
      </c>
      <c r="F2109" s="108" t="s">
        <v>14649</v>
      </c>
      <c r="G2109" s="109">
        <v>46112</v>
      </c>
      <c r="H2109" s="108" t="s">
        <v>17451</v>
      </c>
      <c r="I2109" s="108" t="s">
        <v>79</v>
      </c>
    </row>
    <row r="2110" spans="1:9">
      <c r="A2110" s="108" t="s">
        <v>571</v>
      </c>
      <c r="B2110" s="108" t="s">
        <v>3754</v>
      </c>
      <c r="C2110" s="109">
        <v>42534</v>
      </c>
      <c r="D2110" s="108" t="s">
        <v>3755</v>
      </c>
      <c r="E2110" s="108" t="s">
        <v>14605</v>
      </c>
      <c r="F2110" s="108" t="s">
        <v>14649</v>
      </c>
      <c r="G2110" s="109">
        <v>46112</v>
      </c>
      <c r="H2110" s="108" t="s">
        <v>17451</v>
      </c>
      <c r="I2110" s="108" t="s">
        <v>79</v>
      </c>
    </row>
    <row r="2111" spans="1:9">
      <c r="A2111" s="108" t="s">
        <v>571</v>
      </c>
      <c r="B2111" s="108" t="s">
        <v>3752</v>
      </c>
      <c r="C2111" s="109">
        <v>43006</v>
      </c>
      <c r="D2111" s="108" t="s">
        <v>3753</v>
      </c>
      <c r="E2111" s="108" t="s">
        <v>14605</v>
      </c>
      <c r="F2111" s="108" t="s">
        <v>14649</v>
      </c>
      <c r="G2111" s="109">
        <v>46112</v>
      </c>
      <c r="H2111" s="108" t="s">
        <v>17451</v>
      </c>
      <c r="I2111" s="108" t="s">
        <v>79</v>
      </c>
    </row>
    <row r="2112" spans="1:9">
      <c r="A2112" s="108" t="s">
        <v>571</v>
      </c>
      <c r="B2112" s="108" t="s">
        <v>273</v>
      </c>
      <c r="C2112" s="109">
        <v>43601</v>
      </c>
      <c r="D2112" s="108" t="s">
        <v>274</v>
      </c>
      <c r="E2112" s="108" t="s">
        <v>14605</v>
      </c>
      <c r="F2112" s="108" t="s">
        <v>271</v>
      </c>
      <c r="G2112" s="109">
        <v>46022</v>
      </c>
      <c r="H2112" s="108" t="s">
        <v>17451</v>
      </c>
      <c r="I2112" s="108" t="s">
        <v>79</v>
      </c>
    </row>
    <row r="2113" spans="1:9">
      <c r="A2113" s="108" t="s">
        <v>1465</v>
      </c>
      <c r="B2113" s="108" t="s">
        <v>778</v>
      </c>
      <c r="C2113" s="109">
        <v>43521</v>
      </c>
      <c r="D2113" s="108" t="s">
        <v>780</v>
      </c>
      <c r="E2113" s="108" t="s">
        <v>14605</v>
      </c>
      <c r="F2113" s="108" t="s">
        <v>779</v>
      </c>
      <c r="G2113" s="109">
        <v>46077</v>
      </c>
      <c r="H2113" s="108" t="s">
        <v>17451</v>
      </c>
      <c r="I2113" s="108" t="s">
        <v>79</v>
      </c>
    </row>
    <row r="2114" spans="1:9">
      <c r="A2114" s="108" t="s">
        <v>87</v>
      </c>
      <c r="B2114" s="108" t="s">
        <v>1539</v>
      </c>
      <c r="C2114" s="109">
        <v>44300</v>
      </c>
      <c r="D2114" s="108" t="s">
        <v>1540</v>
      </c>
      <c r="E2114" s="108" t="s">
        <v>14605</v>
      </c>
      <c r="F2114" s="108" t="s">
        <v>17498</v>
      </c>
      <c r="G2114" s="109">
        <v>46125</v>
      </c>
      <c r="H2114" s="108" t="s">
        <v>17451</v>
      </c>
      <c r="I2114" s="108" t="s">
        <v>79</v>
      </c>
    </row>
    <row r="2115" spans="1:9">
      <c r="A2115" s="108" t="s">
        <v>87</v>
      </c>
      <c r="B2115" s="108" t="s">
        <v>262</v>
      </c>
      <c r="C2115" s="109">
        <v>44329</v>
      </c>
      <c r="D2115" s="108" t="s">
        <v>264</v>
      </c>
      <c r="E2115" s="108" t="s">
        <v>14605</v>
      </c>
      <c r="F2115" s="108" t="s">
        <v>263</v>
      </c>
      <c r="G2115" s="109">
        <v>46155</v>
      </c>
      <c r="H2115" s="108" t="s">
        <v>17451</v>
      </c>
      <c r="I2115" s="108" t="s">
        <v>79</v>
      </c>
    </row>
    <row r="2116" spans="1:9">
      <c r="A2116" s="108" t="s">
        <v>87</v>
      </c>
      <c r="B2116" s="108" t="s">
        <v>865</v>
      </c>
      <c r="C2116" s="109">
        <v>44459</v>
      </c>
      <c r="D2116" s="108" t="s">
        <v>866</v>
      </c>
      <c r="E2116" s="108" t="s">
        <v>14605</v>
      </c>
      <c r="F2116" s="108" t="s">
        <v>860</v>
      </c>
      <c r="G2116" s="109">
        <v>46463</v>
      </c>
      <c r="H2116" s="108" t="s">
        <v>17451</v>
      </c>
      <c r="I2116" s="108" t="s">
        <v>79</v>
      </c>
    </row>
    <row r="2117" spans="1:9" ht="27.6">
      <c r="A2117" s="108" t="s">
        <v>571</v>
      </c>
      <c r="B2117" s="108" t="s">
        <v>2156</v>
      </c>
      <c r="C2117" s="109">
        <v>41877</v>
      </c>
      <c r="D2117" s="108" t="s">
        <v>2158</v>
      </c>
      <c r="E2117" s="108" t="s">
        <v>14605</v>
      </c>
      <c r="F2117" s="108" t="s">
        <v>2157</v>
      </c>
      <c r="G2117" s="109">
        <v>45930</v>
      </c>
      <c r="H2117" s="108" t="s">
        <v>17451</v>
      </c>
      <c r="I2117" s="108" t="s">
        <v>164</v>
      </c>
    </row>
    <row r="2118" spans="1:9" ht="27.6">
      <c r="A2118" s="108" t="s">
        <v>207</v>
      </c>
      <c r="B2118" s="108" t="s">
        <v>2748</v>
      </c>
      <c r="C2118" s="109">
        <v>41319</v>
      </c>
      <c r="D2118" s="108" t="s">
        <v>2750</v>
      </c>
      <c r="E2118" s="108" t="s">
        <v>14605</v>
      </c>
      <c r="F2118" s="108" t="s">
        <v>2749</v>
      </c>
      <c r="G2118" s="109">
        <v>46081</v>
      </c>
      <c r="H2118" s="108" t="s">
        <v>17451</v>
      </c>
      <c r="I2118" s="108" t="s">
        <v>206</v>
      </c>
    </row>
    <row r="2119" spans="1:9">
      <c r="A2119" s="108" t="s">
        <v>118</v>
      </c>
      <c r="B2119" s="108" t="s">
        <v>1166</v>
      </c>
      <c r="C2119" s="109">
        <v>43880</v>
      </c>
      <c r="D2119" s="108" t="s">
        <v>1168</v>
      </c>
      <c r="E2119" s="108" t="s">
        <v>14605</v>
      </c>
      <c r="F2119" s="108" t="s">
        <v>1167</v>
      </c>
      <c r="G2119" s="109">
        <v>46071</v>
      </c>
      <c r="H2119" s="108" t="s">
        <v>17451</v>
      </c>
      <c r="I2119" s="108" t="s">
        <v>206</v>
      </c>
    </row>
    <row r="2120" spans="1:9" ht="27.6">
      <c r="A2120" s="108" t="s">
        <v>207</v>
      </c>
      <c r="B2120" s="108" t="s">
        <v>3436</v>
      </c>
      <c r="C2120" s="109">
        <v>42061</v>
      </c>
      <c r="D2120" s="108" t="s">
        <v>3437</v>
      </c>
      <c r="E2120" s="108" t="s">
        <v>14605</v>
      </c>
      <c r="F2120" s="108" t="s">
        <v>3434</v>
      </c>
      <c r="G2120" s="109">
        <v>45930</v>
      </c>
      <c r="H2120" s="108" t="s">
        <v>17451</v>
      </c>
      <c r="I2120" s="108" t="s">
        <v>117</v>
      </c>
    </row>
    <row r="2121" spans="1:9">
      <c r="A2121" s="108" t="s">
        <v>118</v>
      </c>
      <c r="B2121" s="108" t="s">
        <v>781</v>
      </c>
      <c r="C2121" s="109">
        <v>42913</v>
      </c>
      <c r="D2121" s="108" t="s">
        <v>783</v>
      </c>
      <c r="E2121" s="108" t="s">
        <v>14605</v>
      </c>
      <c r="F2121" s="108" t="s">
        <v>782</v>
      </c>
      <c r="G2121" s="109">
        <v>46199</v>
      </c>
      <c r="H2121" s="108" t="s">
        <v>17451</v>
      </c>
      <c r="I2121" s="108" t="s">
        <v>117</v>
      </c>
    </row>
    <row r="2122" spans="1:9">
      <c r="A2122" s="108" t="s">
        <v>118</v>
      </c>
      <c r="B2122" s="108" t="s">
        <v>3560</v>
      </c>
      <c r="C2122" s="109">
        <v>43532</v>
      </c>
      <c r="D2122" s="108" t="s">
        <v>3561</v>
      </c>
      <c r="E2122" s="108" t="s">
        <v>14605</v>
      </c>
      <c r="F2122" s="108" t="s">
        <v>17499</v>
      </c>
      <c r="G2122" s="109">
        <v>45138</v>
      </c>
      <c r="H2122" s="108" t="s">
        <v>17451</v>
      </c>
      <c r="I2122" s="108" t="s">
        <v>117</v>
      </c>
    </row>
    <row r="2123" spans="1:9">
      <c r="A2123" s="108" t="s">
        <v>118</v>
      </c>
      <c r="B2123" s="108" t="s">
        <v>4126</v>
      </c>
      <c r="C2123" s="109">
        <v>44357</v>
      </c>
      <c r="D2123" s="108" t="s">
        <v>4128</v>
      </c>
      <c r="E2123" s="108" t="s">
        <v>14605</v>
      </c>
      <c r="F2123" s="108" t="s">
        <v>4127</v>
      </c>
      <c r="G2123" s="109">
        <v>46182</v>
      </c>
      <c r="H2123" s="108" t="s">
        <v>17451</v>
      </c>
      <c r="I2123" s="108" t="s">
        <v>117</v>
      </c>
    </row>
    <row r="2124" spans="1:9" ht="27.6">
      <c r="A2124" s="108" t="s">
        <v>207</v>
      </c>
      <c r="B2124" s="108" t="s">
        <v>4146</v>
      </c>
      <c r="C2124" s="109">
        <v>45128</v>
      </c>
      <c r="D2124" s="108" t="s">
        <v>4147</v>
      </c>
      <c r="E2124" s="108" t="s">
        <v>14605</v>
      </c>
      <c r="F2124" s="108" t="s">
        <v>4142</v>
      </c>
      <c r="G2124" s="109">
        <v>46223</v>
      </c>
      <c r="H2124" s="108" t="s">
        <v>17451</v>
      </c>
      <c r="I2124" s="108" t="s">
        <v>117</v>
      </c>
    </row>
    <row r="2125" spans="1:9">
      <c r="A2125" s="108" t="s">
        <v>118</v>
      </c>
      <c r="B2125" s="108" t="s">
        <v>1711</v>
      </c>
      <c r="C2125" s="109">
        <v>43532</v>
      </c>
      <c r="D2125" s="108" t="s">
        <v>1712</v>
      </c>
      <c r="E2125" s="108" t="s">
        <v>14605</v>
      </c>
      <c r="F2125" s="108" t="s">
        <v>17500</v>
      </c>
      <c r="G2125" s="109">
        <v>46112</v>
      </c>
      <c r="H2125" s="108" t="s">
        <v>17451</v>
      </c>
      <c r="I2125" s="108" t="s">
        <v>642</v>
      </c>
    </row>
    <row r="2126" spans="1:9" ht="27.6">
      <c r="A2126" s="108" t="s">
        <v>96</v>
      </c>
      <c r="B2126" s="108" t="s">
        <v>512</v>
      </c>
      <c r="C2126" s="109">
        <v>43342</v>
      </c>
      <c r="D2126" s="108" t="s">
        <v>513</v>
      </c>
      <c r="E2126" s="108" t="s">
        <v>14605</v>
      </c>
      <c r="F2126" s="108" t="s">
        <v>510</v>
      </c>
      <c r="G2126" s="109">
        <v>45897</v>
      </c>
      <c r="H2126" s="108" t="s">
        <v>17451</v>
      </c>
      <c r="I2126" s="108" t="s">
        <v>133</v>
      </c>
    </row>
    <row r="2127" spans="1:9" ht="27.6">
      <c r="A2127" s="108" t="s">
        <v>96</v>
      </c>
      <c r="B2127" s="108" t="s">
        <v>509</v>
      </c>
      <c r="C2127" s="109">
        <v>43342</v>
      </c>
      <c r="D2127" s="108" t="s">
        <v>511</v>
      </c>
      <c r="E2127" s="108" t="s">
        <v>14605</v>
      </c>
      <c r="F2127" s="108" t="s">
        <v>510</v>
      </c>
      <c r="G2127" s="109">
        <v>45897</v>
      </c>
      <c r="H2127" s="108" t="s">
        <v>17451</v>
      </c>
      <c r="I2127" s="108" t="s">
        <v>133</v>
      </c>
    </row>
    <row r="2128" spans="1:9" ht="27.6">
      <c r="A2128" s="108" t="s">
        <v>96</v>
      </c>
      <c r="B2128" s="108" t="s">
        <v>4894</v>
      </c>
      <c r="C2128" s="109">
        <v>45544</v>
      </c>
      <c r="D2128" s="108" t="s">
        <v>4896</v>
      </c>
      <c r="E2128" s="108" t="s">
        <v>14605</v>
      </c>
      <c r="F2128" s="108" t="s">
        <v>4895</v>
      </c>
      <c r="G2128" s="109">
        <v>47266</v>
      </c>
      <c r="H2128" s="108" t="s">
        <v>17451</v>
      </c>
      <c r="I2128" s="108" t="s">
        <v>133</v>
      </c>
    </row>
    <row r="2129" spans="1:9" ht="27.6">
      <c r="A2129" s="108" t="s">
        <v>388</v>
      </c>
      <c r="B2129" s="108" t="s">
        <v>3433</v>
      </c>
      <c r="C2129" s="109">
        <v>44888</v>
      </c>
      <c r="D2129" s="108" t="s">
        <v>3435</v>
      </c>
      <c r="E2129" s="108" t="s">
        <v>14605</v>
      </c>
      <c r="F2129" s="108" t="s">
        <v>3434</v>
      </c>
      <c r="G2129" s="109">
        <v>47093</v>
      </c>
      <c r="H2129" s="108" t="s">
        <v>17451</v>
      </c>
      <c r="I2129" s="108" t="s">
        <v>133</v>
      </c>
    </row>
    <row r="2130" spans="1:9">
      <c r="A2130" s="108" t="s">
        <v>87</v>
      </c>
      <c r="B2130" s="108" t="s">
        <v>4114</v>
      </c>
      <c r="C2130" s="109">
        <v>45495</v>
      </c>
      <c r="D2130" s="108" t="s">
        <v>4116</v>
      </c>
      <c r="E2130" s="108" t="s">
        <v>14605</v>
      </c>
      <c r="F2130" s="108" t="s">
        <v>4115</v>
      </c>
      <c r="G2130" s="109">
        <v>45859</v>
      </c>
      <c r="H2130" s="108" t="s">
        <v>17451</v>
      </c>
      <c r="I2130" s="108" t="s">
        <v>108</v>
      </c>
    </row>
    <row r="2131" spans="1:9" ht="27.6">
      <c r="A2131" s="108" t="s">
        <v>118</v>
      </c>
      <c r="B2131" s="108" t="s">
        <v>3779</v>
      </c>
      <c r="C2131" s="109">
        <v>44950</v>
      </c>
      <c r="D2131" s="108" t="s">
        <v>3780</v>
      </c>
      <c r="E2131" s="108" t="s">
        <v>14605</v>
      </c>
      <c r="F2131" s="108" t="s">
        <v>17501</v>
      </c>
      <c r="G2131" s="109">
        <v>45405</v>
      </c>
      <c r="H2131" s="108" t="s">
        <v>17451</v>
      </c>
      <c r="I2131" s="108" t="s">
        <v>108</v>
      </c>
    </row>
    <row r="2132" spans="1:9" ht="27.6">
      <c r="A2132" s="108" t="s">
        <v>8247</v>
      </c>
      <c r="B2132" s="108" t="s">
        <v>5285</v>
      </c>
      <c r="C2132" s="109">
        <v>45685</v>
      </c>
      <c r="D2132" s="108" t="s">
        <v>5287</v>
      </c>
      <c r="E2132" s="108" t="s">
        <v>14605</v>
      </c>
      <c r="F2132" s="108" t="s">
        <v>5286</v>
      </c>
      <c r="G2132" s="109">
        <v>46043</v>
      </c>
      <c r="H2132" s="108" t="s">
        <v>17451</v>
      </c>
      <c r="I2132" s="108" t="s">
        <v>108</v>
      </c>
    </row>
    <row r="2133" spans="1:9" ht="27.6">
      <c r="A2133" s="108" t="s">
        <v>109</v>
      </c>
      <c r="B2133" s="108" t="s">
        <v>4111</v>
      </c>
      <c r="C2133" s="109">
        <v>45595</v>
      </c>
      <c r="D2133" s="108" t="s">
        <v>4113</v>
      </c>
      <c r="E2133" s="108" t="s">
        <v>14605</v>
      </c>
      <c r="F2133" s="108" t="s">
        <v>4112</v>
      </c>
      <c r="G2133" s="109">
        <v>45947</v>
      </c>
      <c r="H2133" s="108" t="s">
        <v>17451</v>
      </c>
      <c r="I2133" s="108" t="s">
        <v>108</v>
      </c>
    </row>
    <row r="2134" spans="1:9" ht="27.6">
      <c r="A2134" s="108" t="s">
        <v>109</v>
      </c>
      <c r="B2134" s="108" t="s">
        <v>1870</v>
      </c>
      <c r="C2134" s="109">
        <v>45608</v>
      </c>
      <c r="D2134" s="108" t="s">
        <v>1871</v>
      </c>
      <c r="E2134" s="108" t="s">
        <v>14605</v>
      </c>
      <c r="F2134" s="108" t="s">
        <v>1868</v>
      </c>
      <c r="G2134" s="109">
        <v>45970</v>
      </c>
      <c r="H2134" s="108" t="s">
        <v>17451</v>
      </c>
      <c r="I2134" s="108" t="s">
        <v>108</v>
      </c>
    </row>
    <row r="2135" spans="1:9" ht="27.6">
      <c r="A2135" s="108" t="s">
        <v>388</v>
      </c>
      <c r="B2135" s="108" t="s">
        <v>2094</v>
      </c>
      <c r="C2135" s="109">
        <v>45553</v>
      </c>
      <c r="D2135" s="108" t="s">
        <v>2096</v>
      </c>
      <c r="E2135" s="108" t="s">
        <v>14605</v>
      </c>
      <c r="F2135" s="108" t="s">
        <v>2095</v>
      </c>
      <c r="G2135" s="109">
        <v>45865</v>
      </c>
      <c r="H2135" s="108" t="s">
        <v>17451</v>
      </c>
      <c r="I2135" s="108" t="s">
        <v>108</v>
      </c>
    </row>
    <row r="2136" spans="1:9" ht="27.6">
      <c r="A2136" s="108" t="s">
        <v>15990</v>
      </c>
      <c r="B2136" s="108" t="s">
        <v>1867</v>
      </c>
      <c r="C2136" s="109">
        <v>45666</v>
      </c>
      <c r="D2136" s="108" t="s">
        <v>1869</v>
      </c>
      <c r="E2136" s="108" t="s">
        <v>14605</v>
      </c>
      <c r="F2136" s="108" t="s">
        <v>1868</v>
      </c>
      <c r="G2136" s="109">
        <v>45963</v>
      </c>
      <c r="H2136" s="108" t="s">
        <v>17451</v>
      </c>
      <c r="I2136" s="108" t="s">
        <v>108</v>
      </c>
    </row>
    <row r="2137" spans="1:9" ht="27.6">
      <c r="A2137" s="108" t="s">
        <v>1465</v>
      </c>
      <c r="B2137" s="108" t="s">
        <v>17502</v>
      </c>
      <c r="C2137" s="109">
        <v>39008</v>
      </c>
      <c r="D2137" s="108"/>
      <c r="E2137" s="108" t="s">
        <v>14605</v>
      </c>
      <c r="F2137" s="108" t="s">
        <v>17503</v>
      </c>
      <c r="G2137" s="110"/>
      <c r="H2137" s="108" t="s">
        <v>1125</v>
      </c>
      <c r="I2137" s="108"/>
    </row>
    <row r="2138" spans="1:9" ht="27.6">
      <c r="A2138" s="108" t="s">
        <v>16935</v>
      </c>
      <c r="B2138" s="108" t="s">
        <v>17504</v>
      </c>
      <c r="C2138" s="109">
        <v>40146</v>
      </c>
      <c r="D2138" s="108"/>
      <c r="E2138" s="108" t="s">
        <v>14605</v>
      </c>
      <c r="F2138" s="108" t="s">
        <v>14970</v>
      </c>
      <c r="G2138" s="110"/>
      <c r="H2138" s="108" t="s">
        <v>1125</v>
      </c>
      <c r="I2138" s="108"/>
    </row>
    <row r="2139" spans="1:9" ht="27.6">
      <c r="A2139" s="108" t="s">
        <v>16935</v>
      </c>
      <c r="B2139" s="108" t="s">
        <v>17505</v>
      </c>
      <c r="C2139" s="109">
        <v>39917</v>
      </c>
      <c r="D2139" s="108"/>
      <c r="E2139" s="108" t="s">
        <v>14605</v>
      </c>
      <c r="F2139" s="108" t="s">
        <v>17506</v>
      </c>
      <c r="G2139" s="110"/>
      <c r="H2139" s="108" t="s">
        <v>1125</v>
      </c>
      <c r="I2139" s="108"/>
    </row>
    <row r="2140" spans="1:9">
      <c r="A2140" s="108" t="s">
        <v>16935</v>
      </c>
      <c r="B2140" s="108" t="s">
        <v>17507</v>
      </c>
      <c r="C2140" s="109">
        <v>40547</v>
      </c>
      <c r="D2140" s="108"/>
      <c r="E2140" s="108" t="s">
        <v>14605</v>
      </c>
      <c r="F2140" s="108" t="s">
        <v>17508</v>
      </c>
      <c r="G2140" s="110"/>
      <c r="H2140" s="108" t="s">
        <v>1125</v>
      </c>
      <c r="I2140" s="108"/>
    </row>
    <row r="2141" spans="1:9" ht="27.6">
      <c r="A2141" s="108" t="s">
        <v>237</v>
      </c>
      <c r="B2141" s="108" t="s">
        <v>17509</v>
      </c>
      <c r="C2141" s="109">
        <v>41979</v>
      </c>
      <c r="D2141" s="108"/>
      <c r="E2141" s="108" t="s">
        <v>14605</v>
      </c>
      <c r="F2141" s="108" t="s">
        <v>17510</v>
      </c>
      <c r="G2141" s="110"/>
      <c r="H2141" s="108" t="s">
        <v>1125</v>
      </c>
      <c r="I2141" s="108"/>
    </row>
    <row r="2142" spans="1:9">
      <c r="A2142" s="108" t="s">
        <v>237</v>
      </c>
      <c r="B2142" s="108" t="s">
        <v>17511</v>
      </c>
      <c r="C2142" s="109">
        <v>40168</v>
      </c>
      <c r="D2142" s="108"/>
      <c r="E2142" s="108" t="s">
        <v>14605</v>
      </c>
      <c r="F2142" s="108" t="s">
        <v>15427</v>
      </c>
      <c r="G2142" s="110"/>
      <c r="H2142" s="108" t="s">
        <v>1125</v>
      </c>
      <c r="I2142" s="108"/>
    </row>
    <row r="2143" spans="1:9">
      <c r="A2143" s="108" t="s">
        <v>237</v>
      </c>
      <c r="B2143" s="108" t="s">
        <v>17512</v>
      </c>
      <c r="C2143" s="109">
        <v>40176</v>
      </c>
      <c r="D2143" s="108"/>
      <c r="E2143" s="108" t="s">
        <v>14605</v>
      </c>
      <c r="F2143" s="108" t="s">
        <v>17513</v>
      </c>
      <c r="G2143" s="110"/>
      <c r="H2143" s="108" t="s">
        <v>1125</v>
      </c>
      <c r="I2143" s="108"/>
    </row>
    <row r="2144" spans="1:9">
      <c r="A2144" s="108" t="s">
        <v>237</v>
      </c>
      <c r="B2144" s="108" t="s">
        <v>17514</v>
      </c>
      <c r="C2144" s="109">
        <v>40190</v>
      </c>
      <c r="D2144" s="108"/>
      <c r="E2144" s="108" t="s">
        <v>14605</v>
      </c>
      <c r="F2144" s="108" t="s">
        <v>17515</v>
      </c>
      <c r="G2144" s="110"/>
      <c r="H2144" s="108" t="s">
        <v>1125</v>
      </c>
      <c r="I2144" s="108"/>
    </row>
    <row r="2145" spans="1:9" ht="27.6">
      <c r="A2145" s="108" t="s">
        <v>237</v>
      </c>
      <c r="B2145" s="108" t="s">
        <v>17516</v>
      </c>
      <c r="C2145" s="109">
        <v>40410</v>
      </c>
      <c r="D2145" s="108"/>
      <c r="E2145" s="108" t="s">
        <v>14605</v>
      </c>
      <c r="F2145" s="108" t="s">
        <v>17517</v>
      </c>
      <c r="G2145" s="110"/>
      <c r="H2145" s="108" t="s">
        <v>1125</v>
      </c>
      <c r="I2145" s="108"/>
    </row>
    <row r="2146" spans="1:9" ht="27.6">
      <c r="A2146" s="108" t="s">
        <v>237</v>
      </c>
      <c r="B2146" s="108" t="s">
        <v>17518</v>
      </c>
      <c r="C2146" s="109">
        <v>40246</v>
      </c>
      <c r="D2146" s="108"/>
      <c r="E2146" s="108" t="s">
        <v>14605</v>
      </c>
      <c r="F2146" s="108" t="s">
        <v>17519</v>
      </c>
      <c r="G2146" s="110"/>
      <c r="H2146" s="108" t="s">
        <v>1125</v>
      </c>
      <c r="I2146" s="108"/>
    </row>
    <row r="2147" spans="1:9" ht="27.6">
      <c r="A2147" s="108" t="s">
        <v>237</v>
      </c>
      <c r="B2147" s="108" t="s">
        <v>17520</v>
      </c>
      <c r="C2147" s="109">
        <v>41874</v>
      </c>
      <c r="D2147" s="108"/>
      <c r="E2147" s="108" t="s">
        <v>14605</v>
      </c>
      <c r="F2147" s="108" t="s">
        <v>15467</v>
      </c>
      <c r="G2147" s="110"/>
      <c r="H2147" s="108" t="s">
        <v>1125</v>
      </c>
      <c r="I2147" s="108"/>
    </row>
    <row r="2148" spans="1:9">
      <c r="A2148" s="108" t="s">
        <v>237</v>
      </c>
      <c r="B2148" s="108" t="s">
        <v>17521</v>
      </c>
      <c r="C2148" s="109">
        <v>40473</v>
      </c>
      <c r="D2148" s="108"/>
      <c r="E2148" s="108" t="s">
        <v>14605</v>
      </c>
      <c r="F2148" s="108" t="s">
        <v>17522</v>
      </c>
      <c r="G2148" s="110"/>
      <c r="H2148" s="108" t="s">
        <v>1125</v>
      </c>
      <c r="I2148" s="108"/>
    </row>
    <row r="2149" spans="1:9" ht="27.6">
      <c r="A2149" s="108" t="s">
        <v>237</v>
      </c>
      <c r="B2149" s="108" t="s">
        <v>17523</v>
      </c>
      <c r="C2149" s="109">
        <v>40567</v>
      </c>
      <c r="D2149" s="108"/>
      <c r="E2149" s="108" t="s">
        <v>14605</v>
      </c>
      <c r="F2149" s="108" t="s">
        <v>16428</v>
      </c>
      <c r="G2149" s="110"/>
      <c r="H2149" s="108" t="s">
        <v>1125</v>
      </c>
      <c r="I2149" s="108"/>
    </row>
    <row r="2150" spans="1:9" ht="27.6">
      <c r="A2150" s="108" t="s">
        <v>87</v>
      </c>
      <c r="B2150" s="108" t="s">
        <v>17524</v>
      </c>
      <c r="C2150" s="109">
        <v>40401</v>
      </c>
      <c r="D2150" s="108"/>
      <c r="E2150" s="108" t="s">
        <v>14605</v>
      </c>
      <c r="F2150" s="108" t="s">
        <v>17525</v>
      </c>
      <c r="G2150" s="110"/>
      <c r="H2150" s="108" t="s">
        <v>1125</v>
      </c>
      <c r="I2150" s="108"/>
    </row>
    <row r="2151" spans="1:9" ht="27.6">
      <c r="A2151" s="108" t="s">
        <v>1465</v>
      </c>
      <c r="B2151" s="108" t="s">
        <v>17526</v>
      </c>
      <c r="C2151" s="109">
        <v>40914</v>
      </c>
      <c r="D2151" s="108"/>
      <c r="E2151" s="108" t="s">
        <v>14605</v>
      </c>
      <c r="F2151" s="108" t="s">
        <v>15654</v>
      </c>
      <c r="G2151" s="110"/>
      <c r="H2151" s="108" t="s">
        <v>1125</v>
      </c>
      <c r="I2151" s="108"/>
    </row>
    <row r="2152" spans="1:9">
      <c r="A2152" s="108" t="s">
        <v>1465</v>
      </c>
      <c r="B2152" s="108" t="s">
        <v>17527</v>
      </c>
      <c r="C2152" s="109">
        <v>40543</v>
      </c>
      <c r="D2152" s="108"/>
      <c r="E2152" s="108" t="s">
        <v>14605</v>
      </c>
      <c r="F2152" s="108" t="s">
        <v>17528</v>
      </c>
      <c r="G2152" s="110"/>
      <c r="H2152" s="108" t="s">
        <v>1125</v>
      </c>
      <c r="I2152" s="108"/>
    </row>
    <row r="2153" spans="1:9">
      <c r="A2153" s="108" t="s">
        <v>2002</v>
      </c>
      <c r="B2153" s="108" t="s">
        <v>17529</v>
      </c>
      <c r="C2153" s="109">
        <v>40758</v>
      </c>
      <c r="D2153" s="108"/>
      <c r="E2153" s="108" t="s">
        <v>14605</v>
      </c>
      <c r="F2153" s="108" t="s">
        <v>15476</v>
      </c>
      <c r="G2153" s="110"/>
      <c r="H2153" s="108" t="s">
        <v>1125</v>
      </c>
      <c r="I2153" s="108"/>
    </row>
    <row r="2154" spans="1:9" ht="27.6">
      <c r="A2154" s="108" t="s">
        <v>17530</v>
      </c>
      <c r="B2154" s="108" t="s">
        <v>17531</v>
      </c>
      <c r="C2154" s="109">
        <v>40834</v>
      </c>
      <c r="D2154" s="108"/>
      <c r="E2154" s="108" t="s">
        <v>14605</v>
      </c>
      <c r="F2154" s="108" t="s">
        <v>17532</v>
      </c>
      <c r="G2154" s="110"/>
      <c r="H2154" s="108" t="s">
        <v>1125</v>
      </c>
      <c r="I2154" s="108"/>
    </row>
    <row r="2155" spans="1:9" ht="27.6">
      <c r="A2155" s="108" t="s">
        <v>1465</v>
      </c>
      <c r="B2155" s="108" t="s">
        <v>17533</v>
      </c>
      <c r="C2155" s="109">
        <v>40828</v>
      </c>
      <c r="D2155" s="108"/>
      <c r="E2155" s="108" t="s">
        <v>14605</v>
      </c>
      <c r="F2155" s="108" t="s">
        <v>15689</v>
      </c>
      <c r="G2155" s="110"/>
      <c r="H2155" s="108" t="s">
        <v>1125</v>
      </c>
      <c r="I2155" s="108"/>
    </row>
    <row r="2156" spans="1:9">
      <c r="A2156" s="108" t="s">
        <v>2002</v>
      </c>
      <c r="B2156" s="108" t="s">
        <v>17534</v>
      </c>
      <c r="C2156" s="109">
        <v>41016</v>
      </c>
      <c r="D2156" s="108"/>
      <c r="E2156" s="108" t="s">
        <v>14605</v>
      </c>
      <c r="F2156" s="108" t="s">
        <v>15660</v>
      </c>
      <c r="G2156" s="110"/>
      <c r="H2156" s="108" t="s">
        <v>1125</v>
      </c>
      <c r="I2156" s="108"/>
    </row>
    <row r="2157" spans="1:9" ht="27.6">
      <c r="A2157" s="108" t="s">
        <v>2002</v>
      </c>
      <c r="B2157" s="108" t="s">
        <v>17535</v>
      </c>
      <c r="C2157" s="109">
        <v>41087</v>
      </c>
      <c r="D2157" s="108"/>
      <c r="E2157" s="108" t="s">
        <v>14605</v>
      </c>
      <c r="F2157" s="108" t="s">
        <v>17536</v>
      </c>
      <c r="G2157" s="110"/>
      <c r="H2157" s="108" t="s">
        <v>1125</v>
      </c>
      <c r="I2157" s="108"/>
    </row>
    <row r="2158" spans="1:9">
      <c r="A2158" s="108" t="s">
        <v>2002</v>
      </c>
      <c r="B2158" s="108" t="s">
        <v>17537</v>
      </c>
      <c r="C2158" s="109">
        <v>41218</v>
      </c>
      <c r="D2158" s="108"/>
      <c r="E2158" s="108" t="s">
        <v>14605</v>
      </c>
      <c r="F2158" s="108" t="s">
        <v>17538</v>
      </c>
      <c r="G2158" s="110"/>
      <c r="H2158" s="108" t="s">
        <v>1125</v>
      </c>
      <c r="I2158" s="108"/>
    </row>
    <row r="2159" spans="1:9">
      <c r="A2159" s="108" t="s">
        <v>2002</v>
      </c>
      <c r="B2159" s="108" t="s">
        <v>17539</v>
      </c>
      <c r="C2159" s="109">
        <v>41213</v>
      </c>
      <c r="D2159" s="108"/>
      <c r="E2159" s="108" t="s">
        <v>14605</v>
      </c>
      <c r="F2159" s="108" t="s">
        <v>14618</v>
      </c>
      <c r="G2159" s="110"/>
      <c r="H2159" s="108" t="s">
        <v>1125</v>
      </c>
      <c r="I2159" s="108"/>
    </row>
    <row r="2160" spans="1:9" ht="27.6">
      <c r="A2160" s="108" t="s">
        <v>2002</v>
      </c>
      <c r="B2160" s="108" t="s">
        <v>17540</v>
      </c>
      <c r="C2160" s="109">
        <v>41302</v>
      </c>
      <c r="D2160" s="108"/>
      <c r="E2160" s="108" t="s">
        <v>14605</v>
      </c>
      <c r="F2160" s="108" t="s">
        <v>14959</v>
      </c>
      <c r="G2160" s="110"/>
      <c r="H2160" s="108" t="s">
        <v>1125</v>
      </c>
      <c r="I2160" s="108"/>
    </row>
    <row r="2161" spans="1:9">
      <c r="A2161" s="108" t="s">
        <v>2002</v>
      </c>
      <c r="B2161" s="108" t="s">
        <v>17541</v>
      </c>
      <c r="C2161" s="109">
        <v>41523</v>
      </c>
      <c r="D2161" s="108"/>
      <c r="E2161" s="108" t="s">
        <v>14605</v>
      </c>
      <c r="F2161" s="108" t="s">
        <v>17542</v>
      </c>
      <c r="G2161" s="110"/>
      <c r="H2161" s="108" t="s">
        <v>1125</v>
      </c>
      <c r="I2161" s="108"/>
    </row>
    <row r="2162" spans="1:9" ht="27.6">
      <c r="A2162" s="108" t="s">
        <v>2002</v>
      </c>
      <c r="B2162" s="108" t="s">
        <v>17543</v>
      </c>
      <c r="C2162" s="109">
        <v>41895</v>
      </c>
      <c r="D2162" s="108"/>
      <c r="E2162" s="108" t="s">
        <v>14605</v>
      </c>
      <c r="F2162" s="108" t="s">
        <v>17544</v>
      </c>
      <c r="G2162" s="110"/>
      <c r="H2162" s="108" t="s">
        <v>1125</v>
      </c>
      <c r="I2162" s="108"/>
    </row>
    <row r="2163" spans="1:9" ht="27.6">
      <c r="A2163" s="108" t="s">
        <v>2002</v>
      </c>
      <c r="B2163" s="108" t="s">
        <v>17545</v>
      </c>
      <c r="C2163" s="109">
        <v>41746</v>
      </c>
      <c r="D2163" s="108"/>
      <c r="E2163" s="108" t="s">
        <v>14605</v>
      </c>
      <c r="F2163" s="108" t="s">
        <v>17546</v>
      </c>
      <c r="G2163" s="110"/>
      <c r="H2163" s="108" t="s">
        <v>1125</v>
      </c>
      <c r="I2163" s="108"/>
    </row>
    <row r="2164" spans="1:9" ht="27.6">
      <c r="A2164" s="108" t="s">
        <v>1465</v>
      </c>
      <c r="B2164" s="108" t="s">
        <v>17547</v>
      </c>
      <c r="C2164" s="109">
        <v>42147</v>
      </c>
      <c r="D2164" s="108"/>
      <c r="E2164" s="108" t="s">
        <v>14605</v>
      </c>
      <c r="F2164" s="108" t="s">
        <v>15467</v>
      </c>
      <c r="G2164" s="110"/>
      <c r="H2164" s="108" t="s">
        <v>1125</v>
      </c>
      <c r="I2164" s="108"/>
    </row>
    <row r="2165" spans="1:9" ht="27.6">
      <c r="A2165" s="108" t="s">
        <v>1465</v>
      </c>
      <c r="B2165" s="108" t="s">
        <v>17548</v>
      </c>
      <c r="C2165" s="109">
        <v>42016</v>
      </c>
      <c r="D2165" s="108"/>
      <c r="E2165" s="108" t="s">
        <v>14605</v>
      </c>
      <c r="F2165" s="108" t="s">
        <v>17549</v>
      </c>
      <c r="G2165" s="110"/>
      <c r="H2165" s="108" t="s">
        <v>1125</v>
      </c>
      <c r="I2165" s="108"/>
    </row>
    <row r="2166" spans="1:9" ht="27.6">
      <c r="A2166" s="108" t="s">
        <v>1465</v>
      </c>
      <c r="B2166" s="108" t="s">
        <v>17550</v>
      </c>
      <c r="C2166" s="109">
        <v>42330</v>
      </c>
      <c r="D2166" s="108"/>
      <c r="E2166" s="108" t="s">
        <v>14605</v>
      </c>
      <c r="F2166" s="108" t="s">
        <v>15467</v>
      </c>
      <c r="G2166" s="110"/>
      <c r="H2166" s="108" t="s">
        <v>1125</v>
      </c>
      <c r="I2166" s="108"/>
    </row>
    <row r="2167" spans="1:9">
      <c r="A2167" s="108" t="s">
        <v>1465</v>
      </c>
      <c r="B2167" s="108" t="s">
        <v>17551</v>
      </c>
      <c r="C2167" s="109">
        <v>41023</v>
      </c>
      <c r="D2167" s="108"/>
      <c r="E2167" s="108" t="s">
        <v>14605</v>
      </c>
      <c r="F2167" s="108" t="s">
        <v>15664</v>
      </c>
      <c r="G2167" s="110"/>
      <c r="H2167" s="108" t="s">
        <v>1125</v>
      </c>
      <c r="I2167" s="108"/>
    </row>
    <row r="2168" spans="1:9" ht="41.4">
      <c r="A2168" s="108" t="s">
        <v>1465</v>
      </c>
      <c r="B2168" s="108" t="s">
        <v>17552</v>
      </c>
      <c r="C2168" s="109">
        <v>41116</v>
      </c>
      <c r="D2168" s="108"/>
      <c r="E2168" s="108" t="s">
        <v>14605</v>
      </c>
      <c r="F2168" s="108" t="s">
        <v>17553</v>
      </c>
      <c r="G2168" s="110"/>
      <c r="H2168" s="108" t="s">
        <v>1125</v>
      </c>
      <c r="I2168" s="108"/>
    </row>
    <row r="2169" spans="1:9" ht="27.6">
      <c r="A2169" s="108" t="s">
        <v>1465</v>
      </c>
      <c r="B2169" s="108" t="s">
        <v>17554</v>
      </c>
      <c r="C2169" s="109">
        <v>41134</v>
      </c>
      <c r="D2169" s="108"/>
      <c r="E2169" s="108" t="s">
        <v>14605</v>
      </c>
      <c r="F2169" s="108" t="s">
        <v>17555</v>
      </c>
      <c r="G2169" s="110"/>
      <c r="H2169" s="108" t="s">
        <v>1125</v>
      </c>
      <c r="I2169" s="108"/>
    </row>
    <row r="2170" spans="1:9" ht="27.6">
      <c r="A2170" s="108" t="s">
        <v>1465</v>
      </c>
      <c r="B2170" s="108" t="s">
        <v>17556</v>
      </c>
      <c r="C2170" s="109">
        <v>41158</v>
      </c>
      <c r="D2170" s="108"/>
      <c r="E2170" s="108" t="s">
        <v>14605</v>
      </c>
      <c r="F2170" s="108" t="s">
        <v>17557</v>
      </c>
      <c r="G2170" s="110"/>
      <c r="H2170" s="108" t="s">
        <v>1125</v>
      </c>
      <c r="I2170" s="108"/>
    </row>
    <row r="2171" spans="1:9">
      <c r="A2171" s="108" t="s">
        <v>1465</v>
      </c>
      <c r="B2171" s="108" t="s">
        <v>17558</v>
      </c>
      <c r="C2171" s="109">
        <v>41199</v>
      </c>
      <c r="D2171" s="108"/>
      <c r="E2171" s="108" t="s">
        <v>14605</v>
      </c>
      <c r="F2171" s="108" t="s">
        <v>17559</v>
      </c>
      <c r="G2171" s="110"/>
      <c r="H2171" s="108" t="s">
        <v>1125</v>
      </c>
      <c r="I2171" s="108"/>
    </row>
    <row r="2172" spans="1:9">
      <c r="A2172" s="108" t="s">
        <v>1465</v>
      </c>
      <c r="B2172" s="108" t="s">
        <v>17560</v>
      </c>
      <c r="C2172" s="109">
        <v>41243</v>
      </c>
      <c r="D2172" s="108"/>
      <c r="E2172" s="108" t="s">
        <v>14605</v>
      </c>
      <c r="F2172" s="108" t="s">
        <v>17561</v>
      </c>
      <c r="G2172" s="110"/>
      <c r="H2172" s="108" t="s">
        <v>1125</v>
      </c>
      <c r="I2172" s="108"/>
    </row>
    <row r="2173" spans="1:9">
      <c r="A2173" s="108" t="s">
        <v>1465</v>
      </c>
      <c r="B2173" s="108" t="s">
        <v>17562</v>
      </c>
      <c r="C2173" s="109">
        <v>41460</v>
      </c>
      <c r="D2173" s="108"/>
      <c r="E2173" s="108" t="s">
        <v>14605</v>
      </c>
      <c r="F2173" s="108" t="s">
        <v>16142</v>
      </c>
      <c r="G2173" s="110"/>
      <c r="H2173" s="108" t="s">
        <v>1125</v>
      </c>
      <c r="I2173" s="108"/>
    </row>
    <row r="2174" spans="1:9">
      <c r="A2174" s="108" t="s">
        <v>1465</v>
      </c>
      <c r="B2174" s="108" t="s">
        <v>17563</v>
      </c>
      <c r="C2174" s="109">
        <v>41404</v>
      </c>
      <c r="D2174" s="108"/>
      <c r="E2174" s="108" t="s">
        <v>14605</v>
      </c>
      <c r="F2174" s="108" t="s">
        <v>17564</v>
      </c>
      <c r="G2174" s="110"/>
      <c r="H2174" s="108" t="s">
        <v>1125</v>
      </c>
      <c r="I2174" s="108"/>
    </row>
    <row r="2175" spans="1:9" ht="27.6">
      <c r="A2175" s="108" t="s">
        <v>1465</v>
      </c>
      <c r="B2175" s="108" t="s">
        <v>17565</v>
      </c>
      <c r="C2175" s="109">
        <v>41627</v>
      </c>
      <c r="D2175" s="108"/>
      <c r="E2175" s="108" t="s">
        <v>14605</v>
      </c>
      <c r="F2175" s="108" t="s">
        <v>17566</v>
      </c>
      <c r="G2175" s="110"/>
      <c r="H2175" s="108" t="s">
        <v>1125</v>
      </c>
      <c r="I2175" s="108"/>
    </row>
    <row r="2176" spans="1:9" ht="27.6">
      <c r="A2176" s="108" t="s">
        <v>1465</v>
      </c>
      <c r="B2176" s="108" t="s">
        <v>17567</v>
      </c>
      <c r="C2176" s="109">
        <v>41563</v>
      </c>
      <c r="D2176" s="108"/>
      <c r="E2176" s="108" t="s">
        <v>14605</v>
      </c>
      <c r="F2176" s="108" t="s">
        <v>17568</v>
      </c>
      <c r="G2176" s="110"/>
      <c r="H2176" s="108" t="s">
        <v>1125</v>
      </c>
      <c r="I2176" s="108"/>
    </row>
    <row r="2177" spans="1:9" ht="27.6">
      <c r="A2177" s="108" t="s">
        <v>1465</v>
      </c>
      <c r="B2177" s="108" t="s">
        <v>17569</v>
      </c>
      <c r="C2177" s="109">
        <v>41562</v>
      </c>
      <c r="D2177" s="108"/>
      <c r="E2177" s="108" t="s">
        <v>14605</v>
      </c>
      <c r="F2177" s="108" t="s">
        <v>17568</v>
      </c>
      <c r="G2177" s="110"/>
      <c r="H2177" s="108" t="s">
        <v>1125</v>
      </c>
      <c r="I2177" s="108"/>
    </row>
    <row r="2178" spans="1:9" ht="27.6">
      <c r="A2178" s="108" t="s">
        <v>1465</v>
      </c>
      <c r="B2178" s="108" t="s">
        <v>17570</v>
      </c>
      <c r="C2178" s="109">
        <v>41599</v>
      </c>
      <c r="D2178" s="108"/>
      <c r="E2178" s="108" t="s">
        <v>14605</v>
      </c>
      <c r="F2178" s="108" t="s">
        <v>17571</v>
      </c>
      <c r="G2178" s="110"/>
      <c r="H2178" s="108" t="s">
        <v>1125</v>
      </c>
      <c r="I2178" s="108"/>
    </row>
    <row r="2179" spans="1:9" ht="27.6">
      <c r="A2179" s="108" t="s">
        <v>1465</v>
      </c>
      <c r="B2179" s="108" t="s">
        <v>17572</v>
      </c>
      <c r="C2179" s="109">
        <v>41849</v>
      </c>
      <c r="D2179" s="108"/>
      <c r="E2179" s="108" t="s">
        <v>14605</v>
      </c>
      <c r="F2179" s="108" t="s">
        <v>17573</v>
      </c>
      <c r="G2179" s="110"/>
      <c r="H2179" s="108" t="s">
        <v>1125</v>
      </c>
      <c r="I2179" s="108"/>
    </row>
    <row r="2180" spans="1:9" ht="27.6">
      <c r="A2180" s="108" t="s">
        <v>1465</v>
      </c>
      <c r="B2180" s="108" t="s">
        <v>17574</v>
      </c>
      <c r="C2180" s="109">
        <v>41499</v>
      </c>
      <c r="D2180" s="108"/>
      <c r="E2180" s="108" t="s">
        <v>14605</v>
      </c>
      <c r="F2180" s="108" t="s">
        <v>17575</v>
      </c>
      <c r="G2180" s="110"/>
      <c r="H2180" s="108" t="s">
        <v>1125</v>
      </c>
      <c r="I2180" s="108"/>
    </row>
    <row r="2181" spans="1:9">
      <c r="A2181" s="108" t="s">
        <v>1465</v>
      </c>
      <c r="B2181" s="108" t="s">
        <v>17576</v>
      </c>
      <c r="C2181" s="109">
        <v>43410</v>
      </c>
      <c r="D2181" s="108"/>
      <c r="E2181" s="108" t="s">
        <v>14605</v>
      </c>
      <c r="F2181" s="108" t="s">
        <v>17577</v>
      </c>
      <c r="G2181" s="110"/>
      <c r="H2181" s="108" t="s">
        <v>1125</v>
      </c>
      <c r="I2181" s="108"/>
    </row>
    <row r="2182" spans="1:9">
      <c r="A2182" s="108" t="s">
        <v>2002</v>
      </c>
      <c r="B2182" s="108" t="s">
        <v>17578</v>
      </c>
      <c r="C2182" s="109">
        <v>42182</v>
      </c>
      <c r="D2182" s="108"/>
      <c r="E2182" s="108" t="s">
        <v>14605</v>
      </c>
      <c r="F2182" s="108" t="s">
        <v>17579</v>
      </c>
      <c r="G2182" s="110"/>
      <c r="H2182" s="108" t="s">
        <v>1125</v>
      </c>
      <c r="I2182" s="108"/>
    </row>
    <row r="2183" spans="1:9">
      <c r="A2183" s="108" t="s">
        <v>2002</v>
      </c>
      <c r="B2183" s="108" t="s">
        <v>17580</v>
      </c>
      <c r="C2183" s="109">
        <v>41764</v>
      </c>
      <c r="D2183" s="108"/>
      <c r="E2183" s="108" t="s">
        <v>14605</v>
      </c>
      <c r="F2183" s="108" t="s">
        <v>16142</v>
      </c>
      <c r="G2183" s="110"/>
      <c r="H2183" s="108" t="s">
        <v>1125</v>
      </c>
      <c r="I2183" s="108"/>
    </row>
    <row r="2184" spans="1:9" ht="27.6">
      <c r="A2184" s="108" t="s">
        <v>1465</v>
      </c>
      <c r="B2184" s="108" t="s">
        <v>17581</v>
      </c>
      <c r="C2184" s="109">
        <v>41935</v>
      </c>
      <c r="D2184" s="108"/>
      <c r="E2184" s="108" t="s">
        <v>14605</v>
      </c>
      <c r="F2184" s="108" t="s">
        <v>15467</v>
      </c>
      <c r="G2184" s="110"/>
      <c r="H2184" s="108" t="s">
        <v>1125</v>
      </c>
      <c r="I2184" s="108"/>
    </row>
    <row r="2185" spans="1:9" ht="27.6">
      <c r="A2185" s="108" t="s">
        <v>1465</v>
      </c>
      <c r="B2185" s="108" t="s">
        <v>17582</v>
      </c>
      <c r="C2185" s="109">
        <v>41499</v>
      </c>
      <c r="D2185" s="108"/>
      <c r="E2185" s="108" t="s">
        <v>14605</v>
      </c>
      <c r="F2185" s="108" t="s">
        <v>14972</v>
      </c>
      <c r="G2185" s="110"/>
      <c r="H2185" s="108" t="s">
        <v>1125</v>
      </c>
      <c r="I2185" s="108"/>
    </row>
    <row r="2186" spans="1:9">
      <c r="A2186" s="108" t="s">
        <v>1465</v>
      </c>
      <c r="B2186" s="108" t="s">
        <v>17583</v>
      </c>
      <c r="C2186" s="109">
        <v>41544</v>
      </c>
      <c r="D2186" s="108"/>
      <c r="E2186" s="108" t="s">
        <v>14605</v>
      </c>
      <c r="F2186" s="108" t="s">
        <v>16142</v>
      </c>
      <c r="G2186" s="110"/>
      <c r="H2186" s="108" t="s">
        <v>1125</v>
      </c>
      <c r="I2186" s="108"/>
    </row>
    <row r="2187" spans="1:9">
      <c r="A2187" s="108" t="s">
        <v>1465</v>
      </c>
      <c r="B2187" s="108" t="s">
        <v>17584</v>
      </c>
      <c r="C2187" s="109">
        <v>41908</v>
      </c>
      <c r="D2187" s="108"/>
      <c r="E2187" s="108" t="s">
        <v>14605</v>
      </c>
      <c r="F2187" s="108" t="s">
        <v>17585</v>
      </c>
      <c r="G2187" s="110"/>
      <c r="H2187" s="108" t="s">
        <v>1125</v>
      </c>
      <c r="I2187" s="108"/>
    </row>
    <row r="2188" spans="1:9">
      <c r="A2188" s="108" t="s">
        <v>1465</v>
      </c>
      <c r="B2188" s="108" t="s">
        <v>17586</v>
      </c>
      <c r="C2188" s="109">
        <v>41647</v>
      </c>
      <c r="D2188" s="108"/>
      <c r="E2188" s="108" t="s">
        <v>14605</v>
      </c>
      <c r="F2188" s="108" t="s">
        <v>15465</v>
      </c>
      <c r="G2188" s="110"/>
      <c r="H2188" s="108" t="s">
        <v>1125</v>
      </c>
      <c r="I2188" s="108"/>
    </row>
    <row r="2189" spans="1:9" ht="27.6">
      <c r="A2189" s="108" t="s">
        <v>1465</v>
      </c>
      <c r="B2189" s="108" t="s">
        <v>17587</v>
      </c>
      <c r="C2189" s="109">
        <v>41598</v>
      </c>
      <c r="D2189" s="108"/>
      <c r="E2189" s="108" t="s">
        <v>14605</v>
      </c>
      <c r="F2189" s="108" t="s">
        <v>17588</v>
      </c>
      <c r="G2189" s="110"/>
      <c r="H2189" s="108" t="s">
        <v>1125</v>
      </c>
      <c r="I2189" s="108"/>
    </row>
    <row r="2190" spans="1:9">
      <c r="A2190" s="108" t="s">
        <v>1465</v>
      </c>
      <c r="B2190" s="108" t="s">
        <v>17589</v>
      </c>
      <c r="C2190" s="109">
        <v>41730</v>
      </c>
      <c r="D2190" s="108"/>
      <c r="E2190" s="108" t="s">
        <v>14605</v>
      </c>
      <c r="F2190" s="108" t="s">
        <v>17590</v>
      </c>
      <c r="G2190" s="110"/>
      <c r="H2190" s="108" t="s">
        <v>1125</v>
      </c>
      <c r="I2190" s="108"/>
    </row>
    <row r="2191" spans="1:9" ht="27.6">
      <c r="A2191" s="108" t="s">
        <v>1465</v>
      </c>
      <c r="B2191" s="108" t="s">
        <v>17591</v>
      </c>
      <c r="C2191" s="109">
        <v>41660</v>
      </c>
      <c r="D2191" s="108"/>
      <c r="E2191" s="108" t="s">
        <v>14605</v>
      </c>
      <c r="F2191" s="108" t="s">
        <v>17592</v>
      </c>
      <c r="G2191" s="110"/>
      <c r="H2191" s="108" t="s">
        <v>1125</v>
      </c>
      <c r="I2191" s="108"/>
    </row>
    <row r="2192" spans="1:9" ht="27.6">
      <c r="A2192" s="108" t="s">
        <v>1465</v>
      </c>
      <c r="B2192" s="108" t="s">
        <v>17593</v>
      </c>
      <c r="C2192" s="109">
        <v>41780</v>
      </c>
      <c r="D2192" s="108"/>
      <c r="E2192" s="108" t="s">
        <v>14605</v>
      </c>
      <c r="F2192" s="108" t="s">
        <v>16107</v>
      </c>
      <c r="G2192" s="110"/>
      <c r="H2192" s="108" t="s">
        <v>1125</v>
      </c>
      <c r="I2192" s="108"/>
    </row>
    <row r="2193" spans="1:9" ht="27.6">
      <c r="A2193" s="108" t="s">
        <v>1465</v>
      </c>
      <c r="B2193" s="108" t="s">
        <v>17594</v>
      </c>
      <c r="C2193" s="109">
        <v>42322</v>
      </c>
      <c r="D2193" s="108"/>
      <c r="E2193" s="108" t="s">
        <v>14605</v>
      </c>
      <c r="F2193" s="108" t="s">
        <v>17595</v>
      </c>
      <c r="G2193" s="110"/>
      <c r="H2193" s="108" t="s">
        <v>1125</v>
      </c>
      <c r="I2193" s="108"/>
    </row>
    <row r="2194" spans="1:9" ht="27.6">
      <c r="A2194" s="108" t="s">
        <v>1465</v>
      </c>
      <c r="B2194" s="108" t="s">
        <v>17596</v>
      </c>
      <c r="C2194" s="109">
        <v>42706</v>
      </c>
      <c r="D2194" s="108"/>
      <c r="E2194" s="108" t="s">
        <v>14605</v>
      </c>
      <c r="F2194" s="108" t="s">
        <v>17597</v>
      </c>
      <c r="G2194" s="110"/>
      <c r="H2194" s="108" t="s">
        <v>1125</v>
      </c>
      <c r="I2194" s="108"/>
    </row>
    <row r="2195" spans="1:9" ht="27.6">
      <c r="A2195" s="108" t="s">
        <v>1465</v>
      </c>
      <c r="B2195" s="108" t="s">
        <v>17598</v>
      </c>
      <c r="C2195" s="109">
        <v>42147</v>
      </c>
      <c r="D2195" s="108"/>
      <c r="E2195" s="108" t="s">
        <v>14605</v>
      </c>
      <c r="F2195" s="108" t="s">
        <v>17599</v>
      </c>
      <c r="G2195" s="110"/>
      <c r="H2195" s="108" t="s">
        <v>1125</v>
      </c>
      <c r="I2195" s="108"/>
    </row>
    <row r="2196" spans="1:9" ht="27.6">
      <c r="A2196" s="108" t="s">
        <v>1465</v>
      </c>
      <c r="B2196" s="108" t="s">
        <v>17600</v>
      </c>
      <c r="C2196" s="109">
        <v>41659</v>
      </c>
      <c r="D2196" s="108"/>
      <c r="E2196" s="108" t="s">
        <v>14605</v>
      </c>
      <c r="F2196" s="108" t="s">
        <v>17601</v>
      </c>
      <c r="G2196" s="110"/>
      <c r="H2196" s="108" t="s">
        <v>1125</v>
      </c>
      <c r="I2196" s="108"/>
    </row>
    <row r="2197" spans="1:9">
      <c r="A2197" s="108" t="s">
        <v>1465</v>
      </c>
      <c r="B2197" s="108" t="s">
        <v>17602</v>
      </c>
      <c r="C2197" s="109">
        <v>42877</v>
      </c>
      <c r="D2197" s="108"/>
      <c r="E2197" s="108" t="s">
        <v>14605</v>
      </c>
      <c r="F2197" s="108" t="s">
        <v>16142</v>
      </c>
      <c r="G2197" s="110"/>
      <c r="H2197" s="108" t="s">
        <v>1125</v>
      </c>
      <c r="I2197" s="108"/>
    </row>
    <row r="2198" spans="1:9" ht="27.6">
      <c r="A2198" s="108" t="s">
        <v>1465</v>
      </c>
      <c r="B2198" s="108" t="s">
        <v>17603</v>
      </c>
      <c r="C2198" s="109">
        <v>41709</v>
      </c>
      <c r="D2198" s="108"/>
      <c r="E2198" s="108" t="s">
        <v>14605</v>
      </c>
      <c r="F2198" s="108" t="s">
        <v>17604</v>
      </c>
      <c r="G2198" s="110"/>
      <c r="H2198" s="108" t="s">
        <v>1125</v>
      </c>
      <c r="I2198" s="108"/>
    </row>
    <row r="2199" spans="1:9" ht="27.6">
      <c r="A2199" s="108" t="s">
        <v>1465</v>
      </c>
      <c r="B2199" s="108" t="s">
        <v>17605</v>
      </c>
      <c r="C2199" s="109">
        <v>41803</v>
      </c>
      <c r="D2199" s="108"/>
      <c r="E2199" s="108" t="s">
        <v>14605</v>
      </c>
      <c r="F2199" s="108" t="s">
        <v>17606</v>
      </c>
      <c r="G2199" s="110"/>
      <c r="H2199" s="108" t="s">
        <v>1125</v>
      </c>
      <c r="I2199" s="108"/>
    </row>
    <row r="2200" spans="1:9" ht="27.6">
      <c r="A2200" s="108" t="s">
        <v>1465</v>
      </c>
      <c r="B2200" s="108" t="s">
        <v>17607</v>
      </c>
      <c r="C2200" s="109">
        <v>42190</v>
      </c>
      <c r="D2200" s="108"/>
      <c r="E2200" s="108" t="s">
        <v>14605</v>
      </c>
      <c r="F2200" s="108" t="s">
        <v>17568</v>
      </c>
      <c r="G2200" s="110"/>
      <c r="H2200" s="108" t="s">
        <v>1125</v>
      </c>
      <c r="I2200" s="108"/>
    </row>
    <row r="2201" spans="1:9" ht="27.6">
      <c r="A2201" s="108" t="s">
        <v>1465</v>
      </c>
      <c r="B2201" s="108" t="s">
        <v>17608</v>
      </c>
      <c r="C2201" s="109">
        <v>41803</v>
      </c>
      <c r="D2201" s="108"/>
      <c r="E2201" s="108" t="s">
        <v>14605</v>
      </c>
      <c r="F2201" s="108" t="s">
        <v>17606</v>
      </c>
      <c r="G2201" s="110"/>
      <c r="H2201" s="108" t="s">
        <v>1125</v>
      </c>
      <c r="I2201" s="108"/>
    </row>
    <row r="2202" spans="1:9" ht="27.6">
      <c r="A2202" s="108" t="s">
        <v>14679</v>
      </c>
      <c r="B2202" s="108" t="s">
        <v>17609</v>
      </c>
      <c r="C2202" s="109">
        <v>41402</v>
      </c>
      <c r="D2202" s="108"/>
      <c r="E2202" s="108" t="s">
        <v>14605</v>
      </c>
      <c r="F2202" s="108" t="s">
        <v>17610</v>
      </c>
      <c r="G2202" s="110"/>
      <c r="H2202" s="108" t="s">
        <v>1125</v>
      </c>
      <c r="I2202" s="108"/>
    </row>
    <row r="2203" spans="1:9" ht="27.6">
      <c r="A2203" s="108" t="s">
        <v>14679</v>
      </c>
      <c r="B2203" s="108" t="s">
        <v>17611</v>
      </c>
      <c r="C2203" s="109">
        <v>42011</v>
      </c>
      <c r="D2203" s="108"/>
      <c r="E2203" s="108" t="s">
        <v>14605</v>
      </c>
      <c r="F2203" s="108" t="s">
        <v>17612</v>
      </c>
      <c r="G2203" s="110"/>
      <c r="H2203" s="108" t="s">
        <v>1125</v>
      </c>
      <c r="I2203" s="108"/>
    </row>
    <row r="2204" spans="1:9" ht="27.6">
      <c r="A2204" s="108" t="s">
        <v>2002</v>
      </c>
      <c r="B2204" s="108" t="s">
        <v>17613</v>
      </c>
      <c r="C2204" s="109">
        <v>41902</v>
      </c>
      <c r="D2204" s="108"/>
      <c r="E2204" s="108" t="s">
        <v>14605</v>
      </c>
      <c r="F2204" s="108" t="s">
        <v>17614</v>
      </c>
      <c r="G2204" s="110"/>
      <c r="H2204" s="108" t="s">
        <v>1125</v>
      </c>
      <c r="I2204" s="108"/>
    </row>
    <row r="2205" spans="1:9" ht="27.6">
      <c r="A2205" s="108" t="s">
        <v>2002</v>
      </c>
      <c r="B2205" s="108" t="s">
        <v>17615</v>
      </c>
      <c r="C2205" s="109">
        <v>41976</v>
      </c>
      <c r="D2205" s="108"/>
      <c r="E2205" s="108" t="s">
        <v>14605</v>
      </c>
      <c r="F2205" s="108" t="s">
        <v>17616</v>
      </c>
      <c r="G2205" s="110"/>
      <c r="H2205" s="108" t="s">
        <v>1125</v>
      </c>
      <c r="I2205" s="108"/>
    </row>
    <row r="2206" spans="1:9" ht="27.6">
      <c r="A2206" s="108" t="s">
        <v>2002</v>
      </c>
      <c r="B2206" s="108" t="s">
        <v>17617</v>
      </c>
      <c r="C2206" s="109">
        <v>41926</v>
      </c>
      <c r="D2206" s="108"/>
      <c r="E2206" s="108" t="s">
        <v>14605</v>
      </c>
      <c r="F2206" s="108" t="s">
        <v>17618</v>
      </c>
      <c r="G2206" s="110"/>
      <c r="H2206" s="108" t="s">
        <v>1125</v>
      </c>
      <c r="I2206" s="108"/>
    </row>
    <row r="2207" spans="1:9">
      <c r="A2207" s="108" t="s">
        <v>2002</v>
      </c>
      <c r="B2207" s="108" t="s">
        <v>17619</v>
      </c>
      <c r="C2207" s="109">
        <v>42018</v>
      </c>
      <c r="D2207" s="108"/>
      <c r="E2207" s="108" t="s">
        <v>14605</v>
      </c>
      <c r="F2207" s="108" t="s">
        <v>16142</v>
      </c>
      <c r="G2207" s="110"/>
      <c r="H2207" s="108" t="s">
        <v>1125</v>
      </c>
      <c r="I2207" s="108"/>
    </row>
    <row r="2208" spans="1:9" ht="27.6">
      <c r="A2208" s="108" t="s">
        <v>2002</v>
      </c>
      <c r="B2208" s="108" t="s">
        <v>17620</v>
      </c>
      <c r="C2208" s="109">
        <v>42033</v>
      </c>
      <c r="D2208" s="108"/>
      <c r="E2208" s="108" t="s">
        <v>14605</v>
      </c>
      <c r="F2208" s="108" t="s">
        <v>17621</v>
      </c>
      <c r="G2208" s="110"/>
      <c r="H2208" s="108" t="s">
        <v>1125</v>
      </c>
      <c r="I2208" s="108"/>
    </row>
    <row r="2209" spans="1:9" ht="27.6">
      <c r="A2209" s="108" t="s">
        <v>2002</v>
      </c>
      <c r="B2209" s="108" t="s">
        <v>17622</v>
      </c>
      <c r="C2209" s="109">
        <v>42265</v>
      </c>
      <c r="D2209" s="108"/>
      <c r="E2209" s="108" t="s">
        <v>14605</v>
      </c>
      <c r="F2209" s="108" t="s">
        <v>17623</v>
      </c>
      <c r="G2209" s="110"/>
      <c r="H2209" s="108" t="s">
        <v>1125</v>
      </c>
      <c r="I2209" s="108"/>
    </row>
    <row r="2210" spans="1:9">
      <c r="A2210" s="108" t="s">
        <v>1465</v>
      </c>
      <c r="B2210" s="108" t="s">
        <v>17624</v>
      </c>
      <c r="C2210" s="109">
        <v>42163</v>
      </c>
      <c r="D2210" s="108"/>
      <c r="E2210" s="108" t="s">
        <v>14605</v>
      </c>
      <c r="F2210" s="108" t="s">
        <v>17625</v>
      </c>
      <c r="G2210" s="110"/>
      <c r="H2210" s="108" t="s">
        <v>1125</v>
      </c>
      <c r="I2210" s="108"/>
    </row>
    <row r="2211" spans="1:9" ht="27.6">
      <c r="A2211" s="108" t="s">
        <v>1465</v>
      </c>
      <c r="B2211" s="108" t="s">
        <v>17626</v>
      </c>
      <c r="C2211" s="109">
        <v>41711</v>
      </c>
      <c r="D2211" s="108"/>
      <c r="E2211" s="108" t="s">
        <v>14605</v>
      </c>
      <c r="F2211" s="108" t="s">
        <v>17627</v>
      </c>
      <c r="G2211" s="110"/>
      <c r="H2211" s="108" t="s">
        <v>1125</v>
      </c>
      <c r="I2211" s="108"/>
    </row>
    <row r="2212" spans="1:9">
      <c r="A2212" s="108" t="s">
        <v>1465</v>
      </c>
      <c r="B2212" s="108" t="s">
        <v>17628</v>
      </c>
      <c r="C2212" s="109">
        <v>41758</v>
      </c>
      <c r="D2212" s="108"/>
      <c r="E2212" s="108" t="s">
        <v>14605</v>
      </c>
      <c r="F2212" s="108" t="s">
        <v>16083</v>
      </c>
      <c r="G2212" s="110"/>
      <c r="H2212" s="108" t="s">
        <v>1125</v>
      </c>
      <c r="I2212" s="108"/>
    </row>
    <row r="2213" spans="1:9" ht="27.6">
      <c r="A2213" s="108" t="s">
        <v>1465</v>
      </c>
      <c r="B2213" s="108" t="s">
        <v>17629</v>
      </c>
      <c r="C2213" s="109">
        <v>42497</v>
      </c>
      <c r="D2213" s="108"/>
      <c r="E2213" s="108" t="s">
        <v>14605</v>
      </c>
      <c r="F2213" s="108" t="s">
        <v>17630</v>
      </c>
      <c r="G2213" s="110"/>
      <c r="H2213" s="108" t="s">
        <v>1125</v>
      </c>
      <c r="I2213" s="108"/>
    </row>
    <row r="2214" spans="1:9" ht="27.6">
      <c r="A2214" s="108" t="s">
        <v>1465</v>
      </c>
      <c r="B2214" s="108" t="s">
        <v>17631</v>
      </c>
      <c r="C2214" s="109">
        <v>42008</v>
      </c>
      <c r="D2214" s="108"/>
      <c r="E2214" s="108" t="s">
        <v>14605</v>
      </c>
      <c r="F2214" s="108" t="s">
        <v>17632</v>
      </c>
      <c r="G2214" s="110"/>
      <c r="H2214" s="108" t="s">
        <v>1125</v>
      </c>
      <c r="I2214" s="108"/>
    </row>
    <row r="2215" spans="1:9" ht="27.6">
      <c r="A2215" s="108" t="s">
        <v>1465</v>
      </c>
      <c r="B2215" s="108" t="s">
        <v>17633</v>
      </c>
      <c r="C2215" s="109">
        <v>42855</v>
      </c>
      <c r="D2215" s="108"/>
      <c r="E2215" s="108" t="s">
        <v>14605</v>
      </c>
      <c r="F2215" s="108" t="s">
        <v>17634</v>
      </c>
      <c r="G2215" s="110"/>
      <c r="H2215" s="108" t="s">
        <v>1125</v>
      </c>
      <c r="I2215" s="108"/>
    </row>
    <row r="2216" spans="1:9" ht="27.6">
      <c r="A2216" s="108" t="s">
        <v>1465</v>
      </c>
      <c r="B2216" s="108" t="s">
        <v>17635</v>
      </c>
      <c r="C2216" s="109">
        <v>42436</v>
      </c>
      <c r="D2216" s="108"/>
      <c r="E2216" s="108" t="s">
        <v>14605</v>
      </c>
      <c r="F2216" s="108" t="s">
        <v>17636</v>
      </c>
      <c r="G2216" s="110"/>
      <c r="H2216" s="108" t="s">
        <v>1125</v>
      </c>
      <c r="I2216" s="108"/>
    </row>
    <row r="2217" spans="1:9">
      <c r="A2217" s="108" t="s">
        <v>1465</v>
      </c>
      <c r="B2217" s="108" t="s">
        <v>17637</v>
      </c>
      <c r="C2217" s="109">
        <v>41839</v>
      </c>
      <c r="D2217" s="108"/>
      <c r="E2217" s="108" t="s">
        <v>14605</v>
      </c>
      <c r="F2217" s="108" t="s">
        <v>17638</v>
      </c>
      <c r="G2217" s="110"/>
      <c r="H2217" s="108" t="s">
        <v>1125</v>
      </c>
      <c r="I2217" s="108"/>
    </row>
    <row r="2218" spans="1:9" ht="27.6">
      <c r="A2218" s="108" t="s">
        <v>14690</v>
      </c>
      <c r="B2218" s="108" t="s">
        <v>17639</v>
      </c>
      <c r="C2218" s="109">
        <v>42118</v>
      </c>
      <c r="D2218" s="108"/>
      <c r="E2218" s="108" t="s">
        <v>14605</v>
      </c>
      <c r="F2218" s="108" t="s">
        <v>17640</v>
      </c>
      <c r="G2218" s="110"/>
      <c r="H2218" s="108" t="s">
        <v>1125</v>
      </c>
      <c r="I2218" s="108"/>
    </row>
    <row r="2219" spans="1:9">
      <c r="A2219" s="108" t="s">
        <v>1465</v>
      </c>
      <c r="B2219" s="108" t="s">
        <v>17641</v>
      </c>
      <c r="C2219" s="109">
        <v>42167</v>
      </c>
      <c r="D2219" s="108"/>
      <c r="E2219" s="108" t="s">
        <v>14605</v>
      </c>
      <c r="F2219" s="108" t="s">
        <v>17642</v>
      </c>
      <c r="G2219" s="110"/>
      <c r="H2219" s="108" t="s">
        <v>1125</v>
      </c>
      <c r="I2219" s="108"/>
    </row>
    <row r="2220" spans="1:9" ht="27.6">
      <c r="A2220" s="108" t="s">
        <v>1465</v>
      </c>
      <c r="B2220" s="108" t="s">
        <v>17643</v>
      </c>
      <c r="C2220" s="109">
        <v>42076</v>
      </c>
      <c r="D2220" s="108"/>
      <c r="E2220" s="108" t="s">
        <v>14605</v>
      </c>
      <c r="F2220" s="108" t="s">
        <v>14972</v>
      </c>
      <c r="G2220" s="110"/>
      <c r="H2220" s="108" t="s">
        <v>1125</v>
      </c>
      <c r="I2220" s="108"/>
    </row>
    <row r="2221" spans="1:9" ht="27.6">
      <c r="A2221" s="108" t="s">
        <v>1465</v>
      </c>
      <c r="B2221" s="108" t="s">
        <v>17644</v>
      </c>
      <c r="C2221" s="109">
        <v>42076</v>
      </c>
      <c r="D2221" s="108"/>
      <c r="E2221" s="108" t="s">
        <v>14605</v>
      </c>
      <c r="F2221" s="108" t="s">
        <v>14972</v>
      </c>
      <c r="G2221" s="110"/>
      <c r="H2221" s="108" t="s">
        <v>1125</v>
      </c>
      <c r="I2221" s="108"/>
    </row>
    <row r="2222" spans="1:9" ht="41.4">
      <c r="A2222" s="108" t="s">
        <v>1465</v>
      </c>
      <c r="B2222" s="108" t="s">
        <v>17645</v>
      </c>
      <c r="C2222" s="109">
        <v>42072</v>
      </c>
      <c r="D2222" s="108"/>
      <c r="E2222" s="108" t="s">
        <v>14605</v>
      </c>
      <c r="F2222" s="108" t="s">
        <v>17646</v>
      </c>
      <c r="G2222" s="110"/>
      <c r="H2222" s="108" t="s">
        <v>1125</v>
      </c>
      <c r="I2222" s="108"/>
    </row>
    <row r="2223" spans="1:9" ht="27.6">
      <c r="A2223" s="108" t="s">
        <v>1465</v>
      </c>
      <c r="B2223" s="108" t="s">
        <v>17647</v>
      </c>
      <c r="C2223" s="109">
        <v>42462</v>
      </c>
      <c r="D2223" s="108"/>
      <c r="E2223" s="108" t="s">
        <v>14605</v>
      </c>
      <c r="F2223" s="108" t="s">
        <v>17648</v>
      </c>
      <c r="G2223" s="110"/>
      <c r="H2223" s="108" t="s">
        <v>1125</v>
      </c>
      <c r="I2223" s="108"/>
    </row>
    <row r="2224" spans="1:9" ht="27.6">
      <c r="A2224" s="108" t="s">
        <v>1465</v>
      </c>
      <c r="B2224" s="108" t="s">
        <v>17649</v>
      </c>
      <c r="C2224" s="109">
        <v>42224</v>
      </c>
      <c r="D2224" s="108"/>
      <c r="E2224" s="108" t="s">
        <v>14605</v>
      </c>
      <c r="F2224" s="108" t="s">
        <v>17650</v>
      </c>
      <c r="G2224" s="110"/>
      <c r="H2224" s="108" t="s">
        <v>1125</v>
      </c>
      <c r="I2224" s="108"/>
    </row>
    <row r="2225" spans="1:9" ht="27.6">
      <c r="A2225" s="108" t="s">
        <v>14679</v>
      </c>
      <c r="B2225" s="108" t="s">
        <v>17651</v>
      </c>
      <c r="C2225" s="109">
        <v>42014</v>
      </c>
      <c r="D2225" s="108"/>
      <c r="E2225" s="108" t="s">
        <v>14605</v>
      </c>
      <c r="F2225" s="108" t="s">
        <v>17652</v>
      </c>
      <c r="G2225" s="110"/>
      <c r="H2225" s="108" t="s">
        <v>1125</v>
      </c>
      <c r="I2225" s="108"/>
    </row>
    <row r="2226" spans="1:9">
      <c r="A2226" s="108" t="s">
        <v>14679</v>
      </c>
      <c r="B2226" s="108" t="s">
        <v>17653</v>
      </c>
      <c r="C2226" s="109">
        <v>42109</v>
      </c>
      <c r="D2226" s="108"/>
      <c r="E2226" s="108" t="s">
        <v>14605</v>
      </c>
      <c r="F2226" s="108" t="s">
        <v>17654</v>
      </c>
      <c r="G2226" s="110"/>
      <c r="H2226" s="108" t="s">
        <v>1125</v>
      </c>
      <c r="I2226" s="108"/>
    </row>
    <row r="2227" spans="1:9" ht="41.4">
      <c r="A2227" s="108" t="s">
        <v>2002</v>
      </c>
      <c r="B2227" s="108" t="s">
        <v>17655</v>
      </c>
      <c r="C2227" s="109">
        <v>42105</v>
      </c>
      <c r="D2227" s="108"/>
      <c r="E2227" s="108" t="s">
        <v>14605</v>
      </c>
      <c r="F2227" s="108" t="s">
        <v>17656</v>
      </c>
      <c r="G2227" s="110"/>
      <c r="H2227" s="108" t="s">
        <v>1125</v>
      </c>
      <c r="I2227" s="108"/>
    </row>
    <row r="2228" spans="1:9" ht="27.6">
      <c r="A2228" s="108" t="s">
        <v>14690</v>
      </c>
      <c r="B2228" s="108" t="s">
        <v>17657</v>
      </c>
      <c r="C2228" s="109">
        <v>40879</v>
      </c>
      <c r="D2228" s="108"/>
      <c r="E2228" s="108" t="s">
        <v>14605</v>
      </c>
      <c r="F2228" s="108" t="s">
        <v>17658</v>
      </c>
      <c r="G2228" s="110"/>
      <c r="H2228" s="108" t="s">
        <v>1125</v>
      </c>
      <c r="I2228" s="108"/>
    </row>
    <row r="2229" spans="1:9">
      <c r="A2229" s="108" t="s">
        <v>87</v>
      </c>
      <c r="B2229" s="108" t="s">
        <v>17659</v>
      </c>
      <c r="C2229" s="109">
        <v>40885</v>
      </c>
      <c r="D2229" s="108"/>
      <c r="E2229" s="108" t="s">
        <v>14605</v>
      </c>
      <c r="F2229" s="108" t="s">
        <v>17660</v>
      </c>
      <c r="G2229" s="110"/>
      <c r="H2229" s="108" t="s">
        <v>1125</v>
      </c>
      <c r="I2229" s="108"/>
    </row>
    <row r="2230" spans="1:9" ht="27.6">
      <c r="A2230" s="108" t="s">
        <v>14690</v>
      </c>
      <c r="B2230" s="108" t="s">
        <v>17661</v>
      </c>
      <c r="C2230" s="109">
        <v>40794</v>
      </c>
      <c r="D2230" s="108"/>
      <c r="E2230" s="108" t="s">
        <v>14605</v>
      </c>
      <c r="F2230" s="108" t="s">
        <v>17662</v>
      </c>
      <c r="G2230" s="110"/>
      <c r="H2230" s="108" t="s">
        <v>1125</v>
      </c>
      <c r="I2230" s="108"/>
    </row>
    <row r="2231" spans="1:9" ht="27.6">
      <c r="A2231" s="108" t="s">
        <v>14690</v>
      </c>
      <c r="B2231" s="108" t="s">
        <v>17663</v>
      </c>
      <c r="C2231" s="109">
        <v>40826</v>
      </c>
      <c r="D2231" s="108"/>
      <c r="E2231" s="108" t="s">
        <v>14605</v>
      </c>
      <c r="F2231" s="108" t="s">
        <v>16428</v>
      </c>
      <c r="G2231" s="110"/>
      <c r="H2231" s="108" t="s">
        <v>1125</v>
      </c>
      <c r="I2231" s="108"/>
    </row>
    <row r="2232" spans="1:9" ht="27.6">
      <c r="A2232" s="108" t="s">
        <v>14690</v>
      </c>
      <c r="B2232" s="108" t="s">
        <v>17664</v>
      </c>
      <c r="C2232" s="109">
        <v>40849</v>
      </c>
      <c r="D2232" s="108"/>
      <c r="E2232" s="108" t="s">
        <v>14605</v>
      </c>
      <c r="F2232" s="108" t="s">
        <v>17665</v>
      </c>
      <c r="G2232" s="110"/>
      <c r="H2232" s="108" t="s">
        <v>1125</v>
      </c>
      <c r="I2232" s="108"/>
    </row>
    <row r="2233" spans="1:9" ht="27.6">
      <c r="A2233" s="108" t="s">
        <v>14690</v>
      </c>
      <c r="B2233" s="108" t="s">
        <v>17666</v>
      </c>
      <c r="C2233" s="109">
        <v>40982</v>
      </c>
      <c r="D2233" s="108"/>
      <c r="E2233" s="108" t="s">
        <v>14605</v>
      </c>
      <c r="F2233" s="108" t="s">
        <v>15681</v>
      </c>
      <c r="G2233" s="110"/>
      <c r="H2233" s="108" t="s">
        <v>1125</v>
      </c>
      <c r="I2233" s="108"/>
    </row>
    <row r="2234" spans="1:9">
      <c r="A2234" s="108" t="s">
        <v>237</v>
      </c>
      <c r="B2234" s="108" t="s">
        <v>17667</v>
      </c>
      <c r="C2234" s="109">
        <v>40854</v>
      </c>
      <c r="D2234" s="108"/>
      <c r="E2234" s="108" t="s">
        <v>14605</v>
      </c>
      <c r="F2234" s="108" t="s">
        <v>15660</v>
      </c>
      <c r="G2234" s="110"/>
      <c r="H2234" s="108" t="s">
        <v>1125</v>
      </c>
      <c r="I2234" s="108"/>
    </row>
    <row r="2235" spans="1:9" ht="27.6">
      <c r="A2235" s="108" t="s">
        <v>237</v>
      </c>
      <c r="B2235" s="108" t="s">
        <v>17668</v>
      </c>
      <c r="C2235" s="109">
        <v>41005</v>
      </c>
      <c r="D2235" s="108"/>
      <c r="E2235" s="108" t="s">
        <v>14605</v>
      </c>
      <c r="F2235" s="108" t="s">
        <v>17669</v>
      </c>
      <c r="G2235" s="110"/>
      <c r="H2235" s="108" t="s">
        <v>1125</v>
      </c>
      <c r="I2235" s="108"/>
    </row>
    <row r="2236" spans="1:9">
      <c r="A2236" s="108" t="s">
        <v>87</v>
      </c>
      <c r="B2236" s="108" t="s">
        <v>17670</v>
      </c>
      <c r="C2236" s="109">
        <v>41092</v>
      </c>
      <c r="D2236" s="108"/>
      <c r="E2236" s="108" t="s">
        <v>14605</v>
      </c>
      <c r="F2236" s="108" t="s">
        <v>17671</v>
      </c>
      <c r="G2236" s="110"/>
      <c r="H2236" s="108" t="s">
        <v>1125</v>
      </c>
      <c r="I2236" s="108"/>
    </row>
    <row r="2237" spans="1:9" ht="27.6">
      <c r="A2237" s="108" t="s">
        <v>87</v>
      </c>
      <c r="B2237" s="108" t="s">
        <v>17672</v>
      </c>
      <c r="C2237" s="109">
        <v>43007</v>
      </c>
      <c r="D2237" s="108"/>
      <c r="E2237" s="108" t="s">
        <v>14605</v>
      </c>
      <c r="F2237" s="108" t="s">
        <v>17673</v>
      </c>
      <c r="G2237" s="110"/>
      <c r="H2237" s="108" t="s">
        <v>1125</v>
      </c>
      <c r="I2237" s="108"/>
    </row>
    <row r="2238" spans="1:9">
      <c r="A2238" s="108" t="s">
        <v>87</v>
      </c>
      <c r="B2238" s="108" t="s">
        <v>17674</v>
      </c>
      <c r="C2238" s="109">
        <v>42301</v>
      </c>
      <c r="D2238" s="108"/>
      <c r="E2238" s="108" t="s">
        <v>14605</v>
      </c>
      <c r="F2238" s="108" t="s">
        <v>17675</v>
      </c>
      <c r="G2238" s="110"/>
      <c r="H2238" s="108" t="s">
        <v>1125</v>
      </c>
      <c r="I2238" s="108"/>
    </row>
    <row r="2239" spans="1:9">
      <c r="A2239" s="108" t="s">
        <v>87</v>
      </c>
      <c r="B2239" s="108" t="s">
        <v>17676</v>
      </c>
      <c r="C2239" s="109">
        <v>41253</v>
      </c>
      <c r="D2239" s="108"/>
      <c r="E2239" s="108" t="s">
        <v>14605</v>
      </c>
      <c r="F2239" s="108" t="s">
        <v>17677</v>
      </c>
      <c r="G2239" s="110"/>
      <c r="H2239" s="108" t="s">
        <v>1125</v>
      </c>
      <c r="I2239" s="108"/>
    </row>
    <row r="2240" spans="1:9" ht="27.6">
      <c r="A2240" s="108" t="s">
        <v>14690</v>
      </c>
      <c r="B2240" s="108" t="s">
        <v>17678</v>
      </c>
      <c r="C2240" s="109">
        <v>41149</v>
      </c>
      <c r="D2240" s="108"/>
      <c r="E2240" s="108" t="s">
        <v>14605</v>
      </c>
      <c r="F2240" s="108" t="s">
        <v>17508</v>
      </c>
      <c r="G2240" s="110"/>
      <c r="H2240" s="108" t="s">
        <v>1125</v>
      </c>
      <c r="I2240" s="108"/>
    </row>
    <row r="2241" spans="1:9" ht="27.6">
      <c r="A2241" s="108" t="s">
        <v>14690</v>
      </c>
      <c r="B2241" s="108" t="s">
        <v>17679</v>
      </c>
      <c r="C2241" s="109">
        <v>41066</v>
      </c>
      <c r="D2241" s="108"/>
      <c r="E2241" s="108" t="s">
        <v>14605</v>
      </c>
      <c r="F2241" s="108" t="s">
        <v>17680</v>
      </c>
      <c r="G2241" s="110"/>
      <c r="H2241" s="108" t="s">
        <v>1125</v>
      </c>
      <c r="I2241" s="108"/>
    </row>
    <row r="2242" spans="1:9" ht="27.6">
      <c r="A2242" s="108" t="s">
        <v>14690</v>
      </c>
      <c r="B2242" s="108" t="s">
        <v>17681</v>
      </c>
      <c r="C2242" s="109">
        <v>41033</v>
      </c>
      <c r="D2242" s="108"/>
      <c r="E2242" s="108" t="s">
        <v>14605</v>
      </c>
      <c r="F2242" s="108" t="s">
        <v>15685</v>
      </c>
      <c r="G2242" s="110"/>
      <c r="H2242" s="108" t="s">
        <v>1125</v>
      </c>
      <c r="I2242" s="108"/>
    </row>
    <row r="2243" spans="1:9" ht="27.6">
      <c r="A2243" s="108" t="s">
        <v>14690</v>
      </c>
      <c r="B2243" s="108" t="s">
        <v>17682</v>
      </c>
      <c r="C2243" s="109">
        <v>41099</v>
      </c>
      <c r="D2243" s="108"/>
      <c r="E2243" s="108" t="s">
        <v>14605</v>
      </c>
      <c r="F2243" s="108" t="s">
        <v>17671</v>
      </c>
      <c r="G2243" s="110"/>
      <c r="H2243" s="108" t="s">
        <v>1125</v>
      </c>
      <c r="I2243" s="108"/>
    </row>
    <row r="2244" spans="1:9" ht="27.6">
      <c r="A2244" s="108" t="s">
        <v>14690</v>
      </c>
      <c r="B2244" s="108" t="s">
        <v>17683</v>
      </c>
      <c r="C2244" s="109">
        <v>41344</v>
      </c>
      <c r="D2244" s="108"/>
      <c r="E2244" s="108" t="s">
        <v>14605</v>
      </c>
      <c r="F2244" s="108" t="s">
        <v>15687</v>
      </c>
      <c r="G2244" s="110"/>
      <c r="H2244" s="108" t="s">
        <v>1125</v>
      </c>
      <c r="I2244" s="108"/>
    </row>
    <row r="2245" spans="1:9" ht="27.6">
      <c r="A2245" s="108" t="s">
        <v>14690</v>
      </c>
      <c r="B2245" s="108" t="s">
        <v>17684</v>
      </c>
      <c r="C2245" s="109">
        <v>41493</v>
      </c>
      <c r="D2245" s="108"/>
      <c r="E2245" s="108" t="s">
        <v>14605</v>
      </c>
      <c r="F2245" s="108" t="s">
        <v>17685</v>
      </c>
      <c r="G2245" s="110"/>
      <c r="H2245" s="108" t="s">
        <v>1125</v>
      </c>
      <c r="I2245" s="108"/>
    </row>
    <row r="2246" spans="1:9" ht="27.6">
      <c r="A2246" s="108" t="s">
        <v>14690</v>
      </c>
      <c r="B2246" s="108" t="s">
        <v>17686</v>
      </c>
      <c r="C2246" s="109">
        <v>41159</v>
      </c>
      <c r="D2246" s="108"/>
      <c r="E2246" s="108" t="s">
        <v>14605</v>
      </c>
      <c r="F2246" s="108" t="s">
        <v>17687</v>
      </c>
      <c r="G2246" s="110"/>
      <c r="H2246" s="108" t="s">
        <v>1125</v>
      </c>
      <c r="I2246" s="108"/>
    </row>
    <row r="2247" spans="1:9" ht="27.6">
      <c r="A2247" s="108" t="s">
        <v>14690</v>
      </c>
      <c r="B2247" s="108" t="s">
        <v>17688</v>
      </c>
      <c r="C2247" s="109">
        <v>41201</v>
      </c>
      <c r="D2247" s="108"/>
      <c r="E2247" s="108" t="s">
        <v>14605</v>
      </c>
      <c r="F2247" s="108" t="s">
        <v>17689</v>
      </c>
      <c r="G2247" s="110"/>
      <c r="H2247" s="108" t="s">
        <v>1125</v>
      </c>
      <c r="I2247" s="108"/>
    </row>
    <row r="2248" spans="1:9" ht="27.6">
      <c r="A2248" s="108" t="s">
        <v>14690</v>
      </c>
      <c r="B2248" s="108" t="s">
        <v>17690</v>
      </c>
      <c r="C2248" s="109">
        <v>41211</v>
      </c>
      <c r="D2248" s="108"/>
      <c r="E2248" s="108" t="s">
        <v>14605</v>
      </c>
      <c r="F2248" s="108" t="s">
        <v>17658</v>
      </c>
      <c r="G2248" s="110"/>
      <c r="H2248" s="108" t="s">
        <v>1125</v>
      </c>
      <c r="I2248" s="108"/>
    </row>
    <row r="2249" spans="1:9" ht="27.6">
      <c r="A2249" s="108" t="s">
        <v>87</v>
      </c>
      <c r="B2249" s="108" t="s">
        <v>17691</v>
      </c>
      <c r="C2249" s="109">
        <v>41254</v>
      </c>
      <c r="D2249" s="108"/>
      <c r="E2249" s="108" t="s">
        <v>14605</v>
      </c>
      <c r="F2249" s="108" t="s">
        <v>17692</v>
      </c>
      <c r="G2249" s="110"/>
      <c r="H2249" s="108" t="s">
        <v>1125</v>
      </c>
      <c r="I2249" s="108"/>
    </row>
    <row r="2250" spans="1:9" ht="27.6">
      <c r="A2250" s="108" t="s">
        <v>14690</v>
      </c>
      <c r="B2250" s="108" t="s">
        <v>17693</v>
      </c>
      <c r="C2250" s="109">
        <v>41375</v>
      </c>
      <c r="D2250" s="108"/>
      <c r="E2250" s="108" t="s">
        <v>14605</v>
      </c>
      <c r="F2250" s="108" t="s">
        <v>15689</v>
      </c>
      <c r="G2250" s="110"/>
      <c r="H2250" s="108" t="s">
        <v>1125</v>
      </c>
      <c r="I2250" s="108"/>
    </row>
    <row r="2251" spans="1:9" ht="27.6">
      <c r="A2251" s="108" t="s">
        <v>14690</v>
      </c>
      <c r="B2251" s="108" t="s">
        <v>17694</v>
      </c>
      <c r="C2251" s="109">
        <v>41281</v>
      </c>
      <c r="D2251" s="108"/>
      <c r="E2251" s="108" t="s">
        <v>14605</v>
      </c>
      <c r="F2251" s="108" t="s">
        <v>15172</v>
      </c>
      <c r="G2251" s="110"/>
      <c r="H2251" s="108" t="s">
        <v>1125</v>
      </c>
      <c r="I2251" s="108"/>
    </row>
    <row r="2252" spans="1:9" ht="41.4">
      <c r="A2252" s="108" t="s">
        <v>14690</v>
      </c>
      <c r="B2252" s="108" t="s">
        <v>17695</v>
      </c>
      <c r="C2252" s="109">
        <v>41506</v>
      </c>
      <c r="D2252" s="108"/>
      <c r="E2252" s="108" t="s">
        <v>14605</v>
      </c>
      <c r="F2252" s="108" t="s">
        <v>17696</v>
      </c>
      <c r="G2252" s="110"/>
      <c r="H2252" s="108" t="s">
        <v>1125</v>
      </c>
      <c r="I2252" s="108"/>
    </row>
    <row r="2253" spans="1:9" ht="41.4">
      <c r="A2253" s="108" t="s">
        <v>14690</v>
      </c>
      <c r="B2253" s="108" t="s">
        <v>17697</v>
      </c>
      <c r="C2253" s="109">
        <v>41304</v>
      </c>
      <c r="D2253" s="108"/>
      <c r="E2253" s="108" t="s">
        <v>14605</v>
      </c>
      <c r="F2253" s="108" t="s">
        <v>15691</v>
      </c>
      <c r="G2253" s="110"/>
      <c r="H2253" s="108" t="s">
        <v>1125</v>
      </c>
      <c r="I2253" s="108"/>
    </row>
    <row r="2254" spans="1:9" ht="27.6">
      <c r="A2254" s="108" t="s">
        <v>14690</v>
      </c>
      <c r="B2254" s="108" t="s">
        <v>17698</v>
      </c>
      <c r="C2254" s="109">
        <v>41361</v>
      </c>
      <c r="D2254" s="108"/>
      <c r="E2254" s="108" t="s">
        <v>14605</v>
      </c>
      <c r="F2254" s="108" t="s">
        <v>17699</v>
      </c>
      <c r="G2254" s="110"/>
      <c r="H2254" s="108" t="s">
        <v>1125</v>
      </c>
      <c r="I2254" s="108"/>
    </row>
    <row r="2255" spans="1:9" ht="27.6">
      <c r="A2255" s="108" t="s">
        <v>14690</v>
      </c>
      <c r="B2255" s="108" t="s">
        <v>17700</v>
      </c>
      <c r="C2255" s="109">
        <v>41292</v>
      </c>
      <c r="D2255" s="108"/>
      <c r="E2255" s="108" t="s">
        <v>14605</v>
      </c>
      <c r="F2255" s="108" t="s">
        <v>17701</v>
      </c>
      <c r="G2255" s="110"/>
      <c r="H2255" s="108" t="s">
        <v>1125</v>
      </c>
      <c r="I2255" s="108"/>
    </row>
    <row r="2256" spans="1:9" ht="27.6">
      <c r="A2256" s="108" t="s">
        <v>14690</v>
      </c>
      <c r="B2256" s="108" t="s">
        <v>17702</v>
      </c>
      <c r="C2256" s="109">
        <v>41443</v>
      </c>
      <c r="D2256" s="108"/>
      <c r="E2256" s="108" t="s">
        <v>14605</v>
      </c>
      <c r="F2256" s="108" t="s">
        <v>17612</v>
      </c>
      <c r="G2256" s="110"/>
      <c r="H2256" s="108" t="s">
        <v>1125</v>
      </c>
      <c r="I2256" s="108"/>
    </row>
    <row r="2257" spans="1:9" ht="27.6">
      <c r="A2257" s="108" t="s">
        <v>237</v>
      </c>
      <c r="B2257" s="108" t="s">
        <v>17703</v>
      </c>
      <c r="C2257" s="109">
        <v>41047</v>
      </c>
      <c r="D2257" s="108"/>
      <c r="E2257" s="108" t="s">
        <v>14605</v>
      </c>
      <c r="F2257" s="108" t="s">
        <v>17704</v>
      </c>
      <c r="G2257" s="110"/>
      <c r="H2257" s="108" t="s">
        <v>1125</v>
      </c>
      <c r="I2257" s="108"/>
    </row>
    <row r="2258" spans="1:9" ht="41.4">
      <c r="A2258" s="108" t="s">
        <v>237</v>
      </c>
      <c r="B2258" s="108" t="s">
        <v>17705</v>
      </c>
      <c r="C2258" s="109">
        <v>42734</v>
      </c>
      <c r="D2258" s="108"/>
      <c r="E2258" s="108" t="s">
        <v>14605</v>
      </c>
      <c r="F2258" s="108" t="s">
        <v>17706</v>
      </c>
      <c r="G2258" s="110"/>
      <c r="H2258" s="108" t="s">
        <v>1125</v>
      </c>
      <c r="I2258" s="108"/>
    </row>
    <row r="2259" spans="1:9" ht="27.6">
      <c r="A2259" s="108" t="s">
        <v>237</v>
      </c>
      <c r="B2259" s="108" t="s">
        <v>17707</v>
      </c>
      <c r="C2259" s="109">
        <v>42096</v>
      </c>
      <c r="D2259" s="108"/>
      <c r="E2259" s="108" t="s">
        <v>14605</v>
      </c>
      <c r="F2259" s="108" t="s">
        <v>17708</v>
      </c>
      <c r="G2259" s="110"/>
      <c r="H2259" s="108" t="s">
        <v>1125</v>
      </c>
      <c r="I2259" s="108"/>
    </row>
    <row r="2260" spans="1:9" ht="27.6">
      <c r="A2260" s="108" t="s">
        <v>237</v>
      </c>
      <c r="B2260" s="108" t="s">
        <v>17709</v>
      </c>
      <c r="C2260" s="109">
        <v>41085</v>
      </c>
      <c r="D2260" s="108"/>
      <c r="E2260" s="108" t="s">
        <v>14605</v>
      </c>
      <c r="F2260" s="108" t="s">
        <v>17510</v>
      </c>
      <c r="G2260" s="110"/>
      <c r="H2260" s="108" t="s">
        <v>1125</v>
      </c>
      <c r="I2260" s="108"/>
    </row>
    <row r="2261" spans="1:9" ht="27.6">
      <c r="A2261" s="108" t="s">
        <v>237</v>
      </c>
      <c r="B2261" s="108" t="s">
        <v>17710</v>
      </c>
      <c r="C2261" s="109">
        <v>42947</v>
      </c>
      <c r="D2261" s="108"/>
      <c r="E2261" s="108" t="s">
        <v>14605</v>
      </c>
      <c r="F2261" s="108" t="s">
        <v>17711</v>
      </c>
      <c r="G2261" s="110"/>
      <c r="H2261" s="108" t="s">
        <v>1125</v>
      </c>
      <c r="I2261" s="108"/>
    </row>
    <row r="2262" spans="1:9">
      <c r="A2262" s="108" t="s">
        <v>237</v>
      </c>
      <c r="B2262" s="108" t="s">
        <v>17712</v>
      </c>
      <c r="C2262" s="109">
        <v>41366</v>
      </c>
      <c r="D2262" s="108"/>
      <c r="E2262" s="108" t="s">
        <v>14605</v>
      </c>
      <c r="F2262" s="108" t="s">
        <v>17713</v>
      </c>
      <c r="G2262" s="110"/>
      <c r="H2262" s="108" t="s">
        <v>1125</v>
      </c>
      <c r="I2262" s="108"/>
    </row>
    <row r="2263" spans="1:9" ht="27.6">
      <c r="A2263" s="108" t="s">
        <v>237</v>
      </c>
      <c r="B2263" s="108" t="s">
        <v>17714</v>
      </c>
      <c r="C2263" s="109">
        <v>41521</v>
      </c>
      <c r="D2263" s="108"/>
      <c r="E2263" s="108" t="s">
        <v>14605</v>
      </c>
      <c r="F2263" s="108" t="s">
        <v>17715</v>
      </c>
      <c r="G2263" s="110"/>
      <c r="H2263" s="108" t="s">
        <v>1125</v>
      </c>
      <c r="I2263" s="108"/>
    </row>
    <row r="2264" spans="1:9" ht="27.6">
      <c r="A2264" s="108" t="s">
        <v>237</v>
      </c>
      <c r="B2264" s="108" t="s">
        <v>17716</v>
      </c>
      <c r="C2264" s="109">
        <v>41392</v>
      </c>
      <c r="D2264" s="108"/>
      <c r="E2264" s="108" t="s">
        <v>14605</v>
      </c>
      <c r="F2264" s="108" t="s">
        <v>17519</v>
      </c>
      <c r="G2264" s="110"/>
      <c r="H2264" s="108" t="s">
        <v>1125</v>
      </c>
      <c r="I2264" s="108"/>
    </row>
    <row r="2265" spans="1:9" ht="27.6">
      <c r="A2265" s="108" t="s">
        <v>87</v>
      </c>
      <c r="B2265" s="108" t="s">
        <v>17717</v>
      </c>
      <c r="C2265" s="109">
        <v>41467</v>
      </c>
      <c r="D2265" s="108"/>
      <c r="E2265" s="108" t="s">
        <v>14605</v>
      </c>
      <c r="F2265" s="108" t="s">
        <v>17718</v>
      </c>
      <c r="G2265" s="110"/>
      <c r="H2265" s="108" t="s">
        <v>1125</v>
      </c>
      <c r="I2265" s="108"/>
    </row>
    <row r="2266" spans="1:9" ht="27.6">
      <c r="A2266" s="108" t="s">
        <v>87</v>
      </c>
      <c r="B2266" s="108" t="s">
        <v>17719</v>
      </c>
      <c r="C2266" s="109">
        <v>41610</v>
      </c>
      <c r="D2266" s="108"/>
      <c r="E2266" s="108" t="s">
        <v>14605</v>
      </c>
      <c r="F2266" s="108" t="s">
        <v>17720</v>
      </c>
      <c r="G2266" s="110"/>
      <c r="H2266" s="108" t="s">
        <v>1125</v>
      </c>
      <c r="I2266" s="108"/>
    </row>
    <row r="2267" spans="1:9" ht="27.6">
      <c r="A2267" s="108" t="s">
        <v>87</v>
      </c>
      <c r="B2267" s="108" t="s">
        <v>17721</v>
      </c>
      <c r="C2267" s="109">
        <v>41589</v>
      </c>
      <c r="D2267" s="108"/>
      <c r="E2267" s="108" t="s">
        <v>14605</v>
      </c>
      <c r="F2267" s="108" t="s">
        <v>17722</v>
      </c>
      <c r="G2267" s="110"/>
      <c r="H2267" s="108" t="s">
        <v>1125</v>
      </c>
      <c r="I2267" s="108"/>
    </row>
    <row r="2268" spans="1:9" ht="41.4">
      <c r="A2268" s="108" t="s">
        <v>87</v>
      </c>
      <c r="B2268" s="108" t="s">
        <v>17723</v>
      </c>
      <c r="C2268" s="109">
        <v>41600</v>
      </c>
      <c r="D2268" s="108"/>
      <c r="E2268" s="108" t="s">
        <v>14605</v>
      </c>
      <c r="F2268" s="108" t="s">
        <v>17724</v>
      </c>
      <c r="G2268" s="110"/>
      <c r="H2268" s="108" t="s">
        <v>1125</v>
      </c>
      <c r="I2268" s="108"/>
    </row>
    <row r="2269" spans="1:9">
      <c r="A2269" s="108" t="s">
        <v>87</v>
      </c>
      <c r="B2269" s="108" t="s">
        <v>17725</v>
      </c>
      <c r="C2269" s="109">
        <v>41590</v>
      </c>
      <c r="D2269" s="108"/>
      <c r="E2269" s="108" t="s">
        <v>14605</v>
      </c>
      <c r="F2269" s="108" t="s">
        <v>17726</v>
      </c>
      <c r="G2269" s="110"/>
      <c r="H2269" s="108" t="s">
        <v>1125</v>
      </c>
      <c r="I2269" s="108"/>
    </row>
    <row r="2270" spans="1:9" ht="27.6">
      <c r="A2270" s="108" t="s">
        <v>87</v>
      </c>
      <c r="B2270" s="108" t="s">
        <v>17727</v>
      </c>
      <c r="C2270" s="109">
        <v>41648</v>
      </c>
      <c r="D2270" s="108"/>
      <c r="E2270" s="108" t="s">
        <v>14605</v>
      </c>
      <c r="F2270" s="108" t="s">
        <v>17728</v>
      </c>
      <c r="G2270" s="110"/>
      <c r="H2270" s="108" t="s">
        <v>1125</v>
      </c>
      <c r="I2270" s="108"/>
    </row>
    <row r="2271" spans="1:9" ht="27.6">
      <c r="A2271" s="108" t="s">
        <v>87</v>
      </c>
      <c r="B2271" s="108" t="s">
        <v>17729</v>
      </c>
      <c r="C2271" s="109">
        <v>41940</v>
      </c>
      <c r="D2271" s="108"/>
      <c r="E2271" s="108" t="s">
        <v>14605</v>
      </c>
      <c r="F2271" s="108" t="s">
        <v>17730</v>
      </c>
      <c r="G2271" s="110"/>
      <c r="H2271" s="108" t="s">
        <v>1125</v>
      </c>
      <c r="I2271" s="108"/>
    </row>
    <row r="2272" spans="1:9">
      <c r="A2272" s="108" t="s">
        <v>87</v>
      </c>
      <c r="B2272" s="108" t="s">
        <v>17731</v>
      </c>
      <c r="C2272" s="109">
        <v>43364</v>
      </c>
      <c r="D2272" s="108"/>
      <c r="E2272" s="108" t="s">
        <v>14605</v>
      </c>
      <c r="F2272" s="108" t="s">
        <v>14716</v>
      </c>
      <c r="G2272" s="110"/>
      <c r="H2272" s="108" t="s">
        <v>1125</v>
      </c>
      <c r="I2272" s="108"/>
    </row>
    <row r="2273" spans="1:9" ht="27.6">
      <c r="A2273" s="108" t="s">
        <v>14690</v>
      </c>
      <c r="B2273" s="108" t="s">
        <v>17732</v>
      </c>
      <c r="C2273" s="109">
        <v>41459</v>
      </c>
      <c r="D2273" s="108"/>
      <c r="E2273" s="108" t="s">
        <v>14605</v>
      </c>
      <c r="F2273" s="108" t="s">
        <v>17733</v>
      </c>
      <c r="G2273" s="110"/>
      <c r="H2273" s="108" t="s">
        <v>1125</v>
      </c>
      <c r="I2273" s="108"/>
    </row>
    <row r="2274" spans="1:9" ht="27.6">
      <c r="A2274" s="108" t="s">
        <v>14690</v>
      </c>
      <c r="B2274" s="108" t="s">
        <v>1541</v>
      </c>
      <c r="C2274" s="109">
        <v>41694</v>
      </c>
      <c r="D2274" s="108"/>
      <c r="E2274" s="108" t="s">
        <v>14605</v>
      </c>
      <c r="F2274" s="108" t="s">
        <v>17498</v>
      </c>
      <c r="G2274" s="110"/>
      <c r="H2274" s="108" t="s">
        <v>1125</v>
      </c>
      <c r="I2274" s="108"/>
    </row>
    <row r="2275" spans="1:9" ht="27.6">
      <c r="A2275" s="108" t="s">
        <v>14690</v>
      </c>
      <c r="B2275" s="108" t="s">
        <v>17734</v>
      </c>
      <c r="C2275" s="109">
        <v>41456</v>
      </c>
      <c r="D2275" s="108"/>
      <c r="E2275" s="108" t="s">
        <v>14605</v>
      </c>
      <c r="F2275" s="108" t="s">
        <v>17735</v>
      </c>
      <c r="G2275" s="110"/>
      <c r="H2275" s="108" t="s">
        <v>1125</v>
      </c>
      <c r="I2275" s="108"/>
    </row>
    <row r="2276" spans="1:9" ht="27.6">
      <c r="A2276" s="108" t="s">
        <v>14690</v>
      </c>
      <c r="B2276" s="108" t="s">
        <v>17736</v>
      </c>
      <c r="C2276" s="109">
        <v>41540</v>
      </c>
      <c r="D2276" s="108"/>
      <c r="E2276" s="108" t="s">
        <v>14605</v>
      </c>
      <c r="F2276" s="108" t="s">
        <v>15694</v>
      </c>
      <c r="G2276" s="110"/>
      <c r="H2276" s="108" t="s">
        <v>1125</v>
      </c>
      <c r="I2276" s="108"/>
    </row>
    <row r="2277" spans="1:9" ht="27.6">
      <c r="A2277" s="108" t="s">
        <v>14690</v>
      </c>
      <c r="B2277" s="108" t="s">
        <v>17737</v>
      </c>
      <c r="C2277" s="109">
        <v>41470</v>
      </c>
      <c r="D2277" s="108"/>
      <c r="E2277" s="108" t="s">
        <v>14605</v>
      </c>
      <c r="F2277" s="108" t="s">
        <v>17738</v>
      </c>
      <c r="G2277" s="110"/>
      <c r="H2277" s="108" t="s">
        <v>1125</v>
      </c>
      <c r="I2277" s="108"/>
    </row>
    <row r="2278" spans="1:9" ht="27.6">
      <c r="A2278" s="108" t="s">
        <v>14690</v>
      </c>
      <c r="B2278" s="108" t="s">
        <v>17739</v>
      </c>
      <c r="C2278" s="109">
        <v>41478</v>
      </c>
      <c r="D2278" s="108"/>
      <c r="E2278" s="108" t="s">
        <v>14605</v>
      </c>
      <c r="F2278" s="108" t="s">
        <v>17740</v>
      </c>
      <c r="G2278" s="110"/>
      <c r="H2278" s="108" t="s">
        <v>1125</v>
      </c>
      <c r="I2278" s="108"/>
    </row>
    <row r="2279" spans="1:9" ht="27.6">
      <c r="A2279" s="108" t="s">
        <v>14690</v>
      </c>
      <c r="B2279" s="108" t="s">
        <v>17741</v>
      </c>
      <c r="C2279" s="109">
        <v>41955</v>
      </c>
      <c r="D2279" s="108"/>
      <c r="E2279" s="108" t="s">
        <v>14605</v>
      </c>
      <c r="F2279" s="108" t="s">
        <v>17742</v>
      </c>
      <c r="G2279" s="110"/>
      <c r="H2279" s="108" t="s">
        <v>1125</v>
      </c>
      <c r="I2279" s="108"/>
    </row>
    <row r="2280" spans="1:9" ht="27.6">
      <c r="A2280" s="108" t="s">
        <v>14690</v>
      </c>
      <c r="B2280" s="108" t="s">
        <v>17743</v>
      </c>
      <c r="C2280" s="109">
        <v>41571</v>
      </c>
      <c r="D2280" s="108"/>
      <c r="E2280" s="108" t="s">
        <v>14605</v>
      </c>
      <c r="F2280" s="108" t="s">
        <v>17744</v>
      </c>
      <c r="G2280" s="110"/>
      <c r="H2280" s="108" t="s">
        <v>1125</v>
      </c>
      <c r="I2280" s="108"/>
    </row>
    <row r="2281" spans="1:9" ht="27.6">
      <c r="A2281" s="108" t="s">
        <v>14690</v>
      </c>
      <c r="B2281" s="108" t="s">
        <v>17745</v>
      </c>
      <c r="C2281" s="109">
        <v>41456</v>
      </c>
      <c r="D2281" s="108"/>
      <c r="E2281" s="108" t="s">
        <v>14605</v>
      </c>
      <c r="F2281" s="108" t="s">
        <v>17733</v>
      </c>
      <c r="G2281" s="110"/>
      <c r="H2281" s="108" t="s">
        <v>1125</v>
      </c>
      <c r="I2281" s="108"/>
    </row>
    <row r="2282" spans="1:9" ht="27.6">
      <c r="A2282" s="108" t="s">
        <v>14690</v>
      </c>
      <c r="B2282" s="108" t="s">
        <v>17746</v>
      </c>
      <c r="C2282" s="109">
        <v>41711</v>
      </c>
      <c r="D2282" s="108"/>
      <c r="E2282" s="108" t="s">
        <v>14605</v>
      </c>
      <c r="F2282" s="108" t="s">
        <v>15696</v>
      </c>
      <c r="G2282" s="110"/>
      <c r="H2282" s="108" t="s">
        <v>1125</v>
      </c>
      <c r="I2282" s="108"/>
    </row>
    <row r="2283" spans="1:9" ht="27.6">
      <c r="A2283" s="108" t="s">
        <v>14690</v>
      </c>
      <c r="B2283" s="108" t="s">
        <v>17747</v>
      </c>
      <c r="C2283" s="109">
        <v>41590</v>
      </c>
      <c r="D2283" s="108"/>
      <c r="E2283" s="108" t="s">
        <v>14605</v>
      </c>
      <c r="F2283" s="108" t="s">
        <v>16439</v>
      </c>
      <c r="G2283" s="110"/>
      <c r="H2283" s="108" t="s">
        <v>1125</v>
      </c>
      <c r="I2283" s="108"/>
    </row>
    <row r="2284" spans="1:9" ht="27.6">
      <c r="A2284" s="108" t="s">
        <v>14690</v>
      </c>
      <c r="B2284" s="108" t="s">
        <v>17748</v>
      </c>
      <c r="C2284" s="109">
        <v>42015</v>
      </c>
      <c r="D2284" s="108"/>
      <c r="E2284" s="108" t="s">
        <v>14605</v>
      </c>
      <c r="F2284" s="108" t="s">
        <v>17749</v>
      </c>
      <c r="G2284" s="110"/>
      <c r="H2284" s="108" t="s">
        <v>1125</v>
      </c>
      <c r="I2284" s="108"/>
    </row>
    <row r="2285" spans="1:9" ht="27.6">
      <c r="A2285" s="108" t="s">
        <v>14690</v>
      </c>
      <c r="B2285" s="108" t="s">
        <v>17750</v>
      </c>
      <c r="C2285" s="109">
        <v>41604</v>
      </c>
      <c r="D2285" s="108"/>
      <c r="E2285" s="108" t="s">
        <v>14605</v>
      </c>
      <c r="F2285" s="108" t="s">
        <v>17751</v>
      </c>
      <c r="G2285" s="110"/>
      <c r="H2285" s="108" t="s">
        <v>1125</v>
      </c>
      <c r="I2285" s="108"/>
    </row>
    <row r="2286" spans="1:9" ht="27.6">
      <c r="A2286" s="108" t="s">
        <v>14690</v>
      </c>
      <c r="B2286" s="108" t="s">
        <v>17752</v>
      </c>
      <c r="C2286" s="109">
        <v>41631</v>
      </c>
      <c r="D2286" s="108"/>
      <c r="E2286" s="108" t="s">
        <v>14605</v>
      </c>
      <c r="F2286" s="108" t="s">
        <v>17753</v>
      </c>
      <c r="G2286" s="110"/>
      <c r="H2286" s="108" t="s">
        <v>1125</v>
      </c>
      <c r="I2286" s="108"/>
    </row>
    <row r="2287" spans="1:9" ht="27.6">
      <c r="A2287" s="108" t="s">
        <v>14690</v>
      </c>
      <c r="B2287" s="108" t="s">
        <v>17754</v>
      </c>
      <c r="C2287" s="109">
        <v>41653</v>
      </c>
      <c r="D2287" s="108"/>
      <c r="E2287" s="108" t="s">
        <v>14605</v>
      </c>
      <c r="F2287" s="108" t="s">
        <v>14716</v>
      </c>
      <c r="G2287" s="110"/>
      <c r="H2287" s="108" t="s">
        <v>1125</v>
      </c>
      <c r="I2287" s="108"/>
    </row>
    <row r="2288" spans="1:9" ht="27.6">
      <c r="A2288" s="108" t="s">
        <v>14690</v>
      </c>
      <c r="B2288" s="108" t="s">
        <v>17755</v>
      </c>
      <c r="C2288" s="109">
        <v>41696</v>
      </c>
      <c r="D2288" s="108"/>
      <c r="E2288" s="108" t="s">
        <v>14605</v>
      </c>
      <c r="F2288" s="108" t="s">
        <v>17756</v>
      </c>
      <c r="G2288" s="110"/>
      <c r="H2288" s="108" t="s">
        <v>1125</v>
      </c>
      <c r="I2288" s="108"/>
    </row>
    <row r="2289" spans="1:9" ht="27.6">
      <c r="A2289" s="108" t="s">
        <v>14690</v>
      </c>
      <c r="B2289" s="108" t="s">
        <v>17757</v>
      </c>
      <c r="C2289" s="109">
        <v>41708</v>
      </c>
      <c r="D2289" s="108"/>
      <c r="E2289" s="108" t="s">
        <v>14605</v>
      </c>
      <c r="F2289" s="108" t="s">
        <v>17758</v>
      </c>
      <c r="G2289" s="110"/>
      <c r="H2289" s="108" t="s">
        <v>1125</v>
      </c>
      <c r="I2289" s="108"/>
    </row>
    <row r="2290" spans="1:9" ht="27.6">
      <c r="A2290" s="108" t="s">
        <v>14690</v>
      </c>
      <c r="B2290" s="108" t="s">
        <v>17759</v>
      </c>
      <c r="C2290" s="109">
        <v>41939</v>
      </c>
      <c r="D2290" s="108"/>
      <c r="E2290" s="108" t="s">
        <v>14605</v>
      </c>
      <c r="F2290" s="108" t="s">
        <v>17760</v>
      </c>
      <c r="G2290" s="110"/>
      <c r="H2290" s="108" t="s">
        <v>1125</v>
      </c>
      <c r="I2290" s="108"/>
    </row>
    <row r="2291" spans="1:9" ht="27.6">
      <c r="A2291" s="108" t="s">
        <v>14690</v>
      </c>
      <c r="B2291" s="108" t="s">
        <v>17761</v>
      </c>
      <c r="C2291" s="109">
        <v>41739</v>
      </c>
      <c r="D2291" s="108"/>
      <c r="E2291" s="108" t="s">
        <v>14605</v>
      </c>
      <c r="F2291" s="108" t="s">
        <v>17762</v>
      </c>
      <c r="G2291" s="110"/>
      <c r="H2291" s="108" t="s">
        <v>1125</v>
      </c>
      <c r="I2291" s="108"/>
    </row>
    <row r="2292" spans="1:9" ht="27.6">
      <c r="A2292" s="108" t="s">
        <v>14690</v>
      </c>
      <c r="B2292" s="108" t="s">
        <v>17763</v>
      </c>
      <c r="C2292" s="109">
        <v>42816</v>
      </c>
      <c r="D2292" s="108"/>
      <c r="E2292" s="108" t="s">
        <v>14605</v>
      </c>
      <c r="F2292" s="108" t="s">
        <v>17764</v>
      </c>
      <c r="G2292" s="110"/>
      <c r="H2292" s="108" t="s">
        <v>1125</v>
      </c>
      <c r="I2292" s="108"/>
    </row>
    <row r="2293" spans="1:9" ht="27.6">
      <c r="A2293" s="108" t="s">
        <v>14690</v>
      </c>
      <c r="B2293" s="108" t="s">
        <v>17765</v>
      </c>
      <c r="C2293" s="109">
        <v>41697</v>
      </c>
      <c r="D2293" s="108"/>
      <c r="E2293" s="108" t="s">
        <v>14605</v>
      </c>
      <c r="F2293" s="108" t="s">
        <v>17766</v>
      </c>
      <c r="G2293" s="110"/>
      <c r="H2293" s="108" t="s">
        <v>1125</v>
      </c>
      <c r="I2293" s="108"/>
    </row>
    <row r="2294" spans="1:9" ht="27.6">
      <c r="A2294" s="108" t="s">
        <v>14690</v>
      </c>
      <c r="B2294" s="108" t="s">
        <v>17767</v>
      </c>
      <c r="C2294" s="109">
        <v>41857</v>
      </c>
      <c r="D2294" s="108"/>
      <c r="E2294" s="108" t="s">
        <v>14605</v>
      </c>
      <c r="F2294" s="108" t="s">
        <v>17768</v>
      </c>
      <c r="G2294" s="110"/>
      <c r="H2294" s="108" t="s">
        <v>1125</v>
      </c>
      <c r="I2294" s="108"/>
    </row>
    <row r="2295" spans="1:9" ht="27.6">
      <c r="A2295" s="108" t="s">
        <v>237</v>
      </c>
      <c r="B2295" s="108" t="s">
        <v>17769</v>
      </c>
      <c r="C2295" s="109">
        <v>41612</v>
      </c>
      <c r="D2295" s="108"/>
      <c r="E2295" s="108" t="s">
        <v>14605</v>
      </c>
      <c r="F2295" s="108" t="s">
        <v>17770</v>
      </c>
      <c r="G2295" s="110"/>
      <c r="H2295" s="108" t="s">
        <v>1125</v>
      </c>
      <c r="I2295" s="108"/>
    </row>
    <row r="2296" spans="1:9" ht="41.4">
      <c r="A2296" s="108" t="s">
        <v>237</v>
      </c>
      <c r="B2296" s="108" t="s">
        <v>17771</v>
      </c>
      <c r="C2296" s="109">
        <v>41534</v>
      </c>
      <c r="D2296" s="108"/>
      <c r="E2296" s="108" t="s">
        <v>14605</v>
      </c>
      <c r="F2296" s="108" t="s">
        <v>17772</v>
      </c>
      <c r="G2296" s="110"/>
      <c r="H2296" s="108" t="s">
        <v>1125</v>
      </c>
      <c r="I2296" s="108"/>
    </row>
    <row r="2297" spans="1:9" ht="41.4">
      <c r="A2297" s="108" t="s">
        <v>87</v>
      </c>
      <c r="B2297" s="108" t="s">
        <v>17773</v>
      </c>
      <c r="C2297" s="109">
        <v>41949</v>
      </c>
      <c r="D2297" s="108"/>
      <c r="E2297" s="108" t="s">
        <v>14605</v>
      </c>
      <c r="F2297" s="108" t="s">
        <v>17774</v>
      </c>
      <c r="G2297" s="110"/>
      <c r="H2297" s="108" t="s">
        <v>1125</v>
      </c>
      <c r="I2297" s="108"/>
    </row>
    <row r="2298" spans="1:9" ht="27.6">
      <c r="A2298" s="108" t="s">
        <v>87</v>
      </c>
      <c r="B2298" s="108" t="s">
        <v>17775</v>
      </c>
      <c r="C2298" s="109">
        <v>41866</v>
      </c>
      <c r="D2298" s="108"/>
      <c r="E2298" s="108" t="s">
        <v>14605</v>
      </c>
      <c r="F2298" s="108" t="s">
        <v>17776</v>
      </c>
      <c r="G2298" s="110"/>
      <c r="H2298" s="108" t="s">
        <v>1125</v>
      </c>
      <c r="I2298" s="108"/>
    </row>
    <row r="2299" spans="1:9" ht="27.6">
      <c r="A2299" s="108" t="s">
        <v>87</v>
      </c>
      <c r="B2299" s="108" t="s">
        <v>17777</v>
      </c>
      <c r="C2299" s="109">
        <v>41878</v>
      </c>
      <c r="D2299" s="108"/>
      <c r="E2299" s="108" t="s">
        <v>14605</v>
      </c>
      <c r="F2299" s="108" t="s">
        <v>17778</v>
      </c>
      <c r="G2299" s="110"/>
      <c r="H2299" s="108" t="s">
        <v>1125</v>
      </c>
      <c r="I2299" s="108"/>
    </row>
    <row r="2300" spans="1:9" ht="27.6">
      <c r="A2300" s="108" t="s">
        <v>87</v>
      </c>
      <c r="B2300" s="108" t="s">
        <v>17779</v>
      </c>
      <c r="C2300" s="109">
        <v>41827</v>
      </c>
      <c r="D2300" s="108"/>
      <c r="E2300" s="108" t="s">
        <v>14605</v>
      </c>
      <c r="F2300" s="108" t="s">
        <v>17780</v>
      </c>
      <c r="G2300" s="110"/>
      <c r="H2300" s="108" t="s">
        <v>1125</v>
      </c>
      <c r="I2300" s="108"/>
    </row>
    <row r="2301" spans="1:9" ht="27.6">
      <c r="A2301" s="108" t="s">
        <v>87</v>
      </c>
      <c r="B2301" s="108" t="s">
        <v>17781</v>
      </c>
      <c r="C2301" s="109">
        <v>41970</v>
      </c>
      <c r="D2301" s="108"/>
      <c r="E2301" s="108" t="s">
        <v>14605</v>
      </c>
      <c r="F2301" s="108" t="s">
        <v>17722</v>
      </c>
      <c r="G2301" s="110"/>
      <c r="H2301" s="108" t="s">
        <v>1125</v>
      </c>
      <c r="I2301" s="108"/>
    </row>
    <row r="2302" spans="1:9" ht="41.4">
      <c r="A2302" s="108" t="s">
        <v>87</v>
      </c>
      <c r="B2302" s="108" t="s">
        <v>17782</v>
      </c>
      <c r="C2302" s="109">
        <v>43217</v>
      </c>
      <c r="D2302" s="108"/>
      <c r="E2302" s="108" t="s">
        <v>14605</v>
      </c>
      <c r="F2302" s="108" t="s">
        <v>17783</v>
      </c>
      <c r="G2302" s="110"/>
      <c r="H2302" s="108" t="s">
        <v>1125</v>
      </c>
      <c r="I2302" s="108"/>
    </row>
    <row r="2303" spans="1:9" ht="27.6">
      <c r="A2303" s="108" t="s">
        <v>87</v>
      </c>
      <c r="B2303" s="108" t="s">
        <v>17784</v>
      </c>
      <c r="C2303" s="109">
        <v>42447</v>
      </c>
      <c r="D2303" s="108"/>
      <c r="E2303" s="108" t="s">
        <v>14605</v>
      </c>
      <c r="F2303" s="108" t="s">
        <v>17785</v>
      </c>
      <c r="G2303" s="110"/>
      <c r="H2303" s="108" t="s">
        <v>1125</v>
      </c>
      <c r="I2303" s="108"/>
    </row>
    <row r="2304" spans="1:9" ht="27.6">
      <c r="A2304" s="108" t="s">
        <v>14690</v>
      </c>
      <c r="B2304" s="108" t="s">
        <v>17786</v>
      </c>
      <c r="C2304" s="109">
        <v>41729</v>
      </c>
      <c r="D2304" s="108"/>
      <c r="E2304" s="108" t="s">
        <v>14605</v>
      </c>
      <c r="F2304" s="108" t="s">
        <v>17787</v>
      </c>
      <c r="G2304" s="110"/>
      <c r="H2304" s="108" t="s">
        <v>1125</v>
      </c>
      <c r="I2304" s="108"/>
    </row>
    <row r="2305" spans="1:9" ht="27.6">
      <c r="A2305" s="108" t="s">
        <v>14690</v>
      </c>
      <c r="B2305" s="108" t="s">
        <v>17788</v>
      </c>
      <c r="C2305" s="109">
        <v>41887</v>
      </c>
      <c r="D2305" s="108"/>
      <c r="E2305" s="108" t="s">
        <v>14605</v>
      </c>
      <c r="F2305" s="108" t="s">
        <v>17544</v>
      </c>
      <c r="G2305" s="110"/>
      <c r="H2305" s="108" t="s">
        <v>1125</v>
      </c>
      <c r="I2305" s="108"/>
    </row>
    <row r="2306" spans="1:9" ht="27.6">
      <c r="A2306" s="108" t="s">
        <v>14690</v>
      </c>
      <c r="B2306" s="108" t="s">
        <v>17789</v>
      </c>
      <c r="C2306" s="109">
        <v>41750</v>
      </c>
      <c r="D2306" s="108"/>
      <c r="E2306" s="108" t="s">
        <v>14605</v>
      </c>
      <c r="F2306" s="108" t="s">
        <v>17790</v>
      </c>
      <c r="G2306" s="110"/>
      <c r="H2306" s="108" t="s">
        <v>1125</v>
      </c>
      <c r="I2306" s="108"/>
    </row>
    <row r="2307" spans="1:9" ht="27.6">
      <c r="A2307" s="108" t="s">
        <v>14690</v>
      </c>
      <c r="B2307" s="108" t="s">
        <v>17791</v>
      </c>
      <c r="C2307" s="109">
        <v>41814</v>
      </c>
      <c r="D2307" s="108"/>
      <c r="E2307" s="108" t="s">
        <v>14605</v>
      </c>
      <c r="F2307" s="108" t="s">
        <v>17792</v>
      </c>
      <c r="G2307" s="110"/>
      <c r="H2307" s="108" t="s">
        <v>1125</v>
      </c>
      <c r="I2307" s="108"/>
    </row>
    <row r="2308" spans="1:9" ht="27.6">
      <c r="A2308" s="108" t="s">
        <v>14690</v>
      </c>
      <c r="B2308" s="108" t="s">
        <v>17793</v>
      </c>
      <c r="C2308" s="109">
        <v>41873</v>
      </c>
      <c r="D2308" s="108"/>
      <c r="E2308" s="108" t="s">
        <v>14605</v>
      </c>
      <c r="F2308" s="108" t="s">
        <v>17794</v>
      </c>
      <c r="G2308" s="110"/>
      <c r="H2308" s="108" t="s">
        <v>1125</v>
      </c>
      <c r="I2308" s="108"/>
    </row>
    <row r="2309" spans="1:9" ht="27.6">
      <c r="A2309" s="108" t="s">
        <v>14690</v>
      </c>
      <c r="B2309" s="108" t="s">
        <v>17795</v>
      </c>
      <c r="C2309" s="109">
        <v>42014</v>
      </c>
      <c r="D2309" s="108"/>
      <c r="E2309" s="108" t="s">
        <v>14605</v>
      </c>
      <c r="F2309" s="108" t="s">
        <v>17796</v>
      </c>
      <c r="G2309" s="110"/>
      <c r="H2309" s="108" t="s">
        <v>1125</v>
      </c>
      <c r="I2309" s="108"/>
    </row>
    <row r="2310" spans="1:9" ht="27.6">
      <c r="A2310" s="108" t="s">
        <v>14690</v>
      </c>
      <c r="B2310" s="108" t="s">
        <v>17797</v>
      </c>
      <c r="C2310" s="109">
        <v>41926</v>
      </c>
      <c r="D2310" s="108"/>
      <c r="E2310" s="108" t="s">
        <v>14605</v>
      </c>
      <c r="F2310" s="108" t="s">
        <v>17798</v>
      </c>
      <c r="G2310" s="110"/>
      <c r="H2310" s="108" t="s">
        <v>1125</v>
      </c>
      <c r="I2310" s="108"/>
    </row>
    <row r="2311" spans="1:9" ht="27.6">
      <c r="A2311" s="108" t="s">
        <v>14690</v>
      </c>
      <c r="B2311" s="108" t="s">
        <v>17799</v>
      </c>
      <c r="C2311" s="109">
        <v>41922</v>
      </c>
      <c r="D2311" s="108"/>
      <c r="E2311" s="108" t="s">
        <v>14605</v>
      </c>
      <c r="F2311" s="108" t="s">
        <v>17800</v>
      </c>
      <c r="G2311" s="110"/>
      <c r="H2311" s="108" t="s">
        <v>1125</v>
      </c>
      <c r="I2311" s="108"/>
    </row>
    <row r="2312" spans="1:9" ht="27.6">
      <c r="A2312" s="108" t="s">
        <v>14690</v>
      </c>
      <c r="B2312" s="108" t="s">
        <v>17801</v>
      </c>
      <c r="C2312" s="109">
        <v>42014</v>
      </c>
      <c r="D2312" s="108"/>
      <c r="E2312" s="108" t="s">
        <v>14605</v>
      </c>
      <c r="F2312" s="108" t="s">
        <v>17802</v>
      </c>
      <c r="G2312" s="110"/>
      <c r="H2312" s="108" t="s">
        <v>1125</v>
      </c>
      <c r="I2312" s="108"/>
    </row>
    <row r="2313" spans="1:9" ht="27.6">
      <c r="A2313" s="108" t="s">
        <v>14690</v>
      </c>
      <c r="B2313" s="108" t="s">
        <v>17803</v>
      </c>
      <c r="C2313" s="109">
        <v>41905</v>
      </c>
      <c r="D2313" s="108"/>
      <c r="E2313" s="108" t="s">
        <v>14605</v>
      </c>
      <c r="F2313" s="108" t="s">
        <v>17804</v>
      </c>
      <c r="G2313" s="110"/>
      <c r="H2313" s="108" t="s">
        <v>1125</v>
      </c>
      <c r="I2313" s="108"/>
    </row>
    <row r="2314" spans="1:9" ht="27.6">
      <c r="A2314" s="108" t="s">
        <v>14690</v>
      </c>
      <c r="B2314" s="108" t="s">
        <v>17805</v>
      </c>
      <c r="C2314" s="109">
        <v>42259</v>
      </c>
      <c r="D2314" s="108"/>
      <c r="E2314" s="108" t="s">
        <v>14605</v>
      </c>
      <c r="F2314" s="108" t="s">
        <v>17806</v>
      </c>
      <c r="G2314" s="110"/>
      <c r="H2314" s="108" t="s">
        <v>1125</v>
      </c>
      <c r="I2314" s="108"/>
    </row>
    <row r="2315" spans="1:9" ht="27.6">
      <c r="A2315" s="108" t="s">
        <v>14690</v>
      </c>
      <c r="B2315" s="108" t="s">
        <v>17807</v>
      </c>
      <c r="C2315" s="109">
        <v>41935</v>
      </c>
      <c r="D2315" s="108"/>
      <c r="E2315" s="108" t="s">
        <v>14605</v>
      </c>
      <c r="F2315" s="108" t="s">
        <v>17808</v>
      </c>
      <c r="G2315" s="110"/>
      <c r="H2315" s="108" t="s">
        <v>1125</v>
      </c>
      <c r="I2315" s="108"/>
    </row>
    <row r="2316" spans="1:9" ht="41.4">
      <c r="A2316" s="108" t="s">
        <v>14690</v>
      </c>
      <c r="B2316" s="108" t="s">
        <v>17809</v>
      </c>
      <c r="C2316" s="109">
        <v>42266</v>
      </c>
      <c r="D2316" s="108"/>
      <c r="E2316" s="108" t="s">
        <v>14605</v>
      </c>
      <c r="F2316" s="108" t="s">
        <v>17810</v>
      </c>
      <c r="G2316" s="110"/>
      <c r="H2316" s="108" t="s">
        <v>1125</v>
      </c>
      <c r="I2316" s="108"/>
    </row>
    <row r="2317" spans="1:9" ht="27.6">
      <c r="A2317" s="108" t="s">
        <v>14690</v>
      </c>
      <c r="B2317" s="108" t="s">
        <v>17811</v>
      </c>
      <c r="C2317" s="109">
        <v>43121</v>
      </c>
      <c r="D2317" s="108"/>
      <c r="E2317" s="108" t="s">
        <v>14605</v>
      </c>
      <c r="F2317" s="108" t="s">
        <v>17812</v>
      </c>
      <c r="G2317" s="110"/>
      <c r="H2317" s="108" t="s">
        <v>1125</v>
      </c>
      <c r="I2317" s="108"/>
    </row>
    <row r="2318" spans="1:9" ht="27.6">
      <c r="A2318" s="108" t="s">
        <v>14690</v>
      </c>
      <c r="B2318" s="108" t="s">
        <v>17813</v>
      </c>
      <c r="C2318" s="109">
        <v>42021</v>
      </c>
      <c r="D2318" s="108"/>
      <c r="E2318" s="108" t="s">
        <v>14605</v>
      </c>
      <c r="F2318" s="108" t="s">
        <v>14693</v>
      </c>
      <c r="G2318" s="110"/>
      <c r="H2318" s="108" t="s">
        <v>1125</v>
      </c>
      <c r="I2318" s="108"/>
    </row>
    <row r="2319" spans="1:9" ht="27.6">
      <c r="A2319" s="108" t="s">
        <v>14690</v>
      </c>
      <c r="B2319" s="108" t="s">
        <v>17814</v>
      </c>
      <c r="C2319" s="109">
        <v>41859</v>
      </c>
      <c r="D2319" s="108"/>
      <c r="E2319" s="108" t="s">
        <v>14605</v>
      </c>
      <c r="F2319" s="108" t="s">
        <v>17735</v>
      </c>
      <c r="G2319" s="110"/>
      <c r="H2319" s="108" t="s">
        <v>1125</v>
      </c>
      <c r="I2319" s="108"/>
    </row>
    <row r="2320" spans="1:9" ht="27.6">
      <c r="A2320" s="108" t="s">
        <v>14690</v>
      </c>
      <c r="B2320" s="108" t="s">
        <v>17815</v>
      </c>
      <c r="C2320" s="109">
        <v>41971</v>
      </c>
      <c r="D2320" s="108"/>
      <c r="E2320" s="108" t="s">
        <v>14605</v>
      </c>
      <c r="F2320" s="108" t="s">
        <v>14716</v>
      </c>
      <c r="G2320" s="110"/>
      <c r="H2320" s="108" t="s">
        <v>1125</v>
      </c>
      <c r="I2320" s="108"/>
    </row>
    <row r="2321" spans="1:9" ht="27.6">
      <c r="A2321" s="108" t="s">
        <v>14690</v>
      </c>
      <c r="B2321" s="108" t="s">
        <v>17816</v>
      </c>
      <c r="C2321" s="109">
        <v>42264</v>
      </c>
      <c r="D2321" s="108"/>
      <c r="E2321" s="108" t="s">
        <v>14605</v>
      </c>
      <c r="F2321" s="108" t="s">
        <v>17817</v>
      </c>
      <c r="G2321" s="110"/>
      <c r="H2321" s="108" t="s">
        <v>1125</v>
      </c>
      <c r="I2321" s="108"/>
    </row>
    <row r="2322" spans="1:9" ht="27.6">
      <c r="A2322" s="108" t="s">
        <v>14690</v>
      </c>
      <c r="B2322" s="108" t="s">
        <v>17818</v>
      </c>
      <c r="C2322" s="109">
        <v>42049</v>
      </c>
      <c r="D2322" s="108"/>
      <c r="E2322" s="108" t="s">
        <v>14605</v>
      </c>
      <c r="F2322" s="108" t="s">
        <v>17819</v>
      </c>
      <c r="G2322" s="110"/>
      <c r="H2322" s="108" t="s">
        <v>1125</v>
      </c>
      <c r="I2322" s="108"/>
    </row>
    <row r="2323" spans="1:9" ht="27.6">
      <c r="A2323" s="108" t="s">
        <v>14690</v>
      </c>
      <c r="B2323" s="108" t="s">
        <v>17820</v>
      </c>
      <c r="C2323" s="109">
        <v>42118</v>
      </c>
      <c r="D2323" s="108"/>
      <c r="E2323" s="108" t="s">
        <v>14605</v>
      </c>
      <c r="F2323" s="108" t="s">
        <v>14959</v>
      </c>
      <c r="G2323" s="110"/>
      <c r="H2323" s="108" t="s">
        <v>1125</v>
      </c>
      <c r="I2323" s="108"/>
    </row>
    <row r="2324" spans="1:9" ht="27.6">
      <c r="A2324" s="108" t="s">
        <v>14690</v>
      </c>
      <c r="B2324" s="108" t="s">
        <v>17821</v>
      </c>
      <c r="C2324" s="109">
        <v>42688</v>
      </c>
      <c r="D2324" s="108"/>
      <c r="E2324" s="108" t="s">
        <v>14605</v>
      </c>
      <c r="F2324" s="108" t="s">
        <v>17822</v>
      </c>
      <c r="G2324" s="110"/>
      <c r="H2324" s="108" t="s">
        <v>1125</v>
      </c>
      <c r="I2324" s="108"/>
    </row>
    <row r="2325" spans="1:9" ht="27.6">
      <c r="A2325" s="108" t="s">
        <v>237</v>
      </c>
      <c r="B2325" s="108" t="s">
        <v>17823</v>
      </c>
      <c r="C2325" s="109">
        <v>41979</v>
      </c>
      <c r="D2325" s="108"/>
      <c r="E2325" s="108" t="s">
        <v>14605</v>
      </c>
      <c r="F2325" s="108" t="s">
        <v>17824</v>
      </c>
      <c r="G2325" s="110"/>
      <c r="H2325" s="108" t="s">
        <v>1125</v>
      </c>
      <c r="I2325" s="108"/>
    </row>
    <row r="2326" spans="1:9" ht="27.6">
      <c r="A2326" s="108" t="s">
        <v>237</v>
      </c>
      <c r="B2326" s="108" t="s">
        <v>17825</v>
      </c>
      <c r="C2326" s="109">
        <v>42128</v>
      </c>
      <c r="D2326" s="108"/>
      <c r="E2326" s="108" t="s">
        <v>14605</v>
      </c>
      <c r="F2326" s="108" t="s">
        <v>17826</v>
      </c>
      <c r="G2326" s="110"/>
      <c r="H2326" s="108" t="s">
        <v>1125</v>
      </c>
      <c r="I2326" s="108"/>
    </row>
    <row r="2327" spans="1:9">
      <c r="A2327" s="108" t="s">
        <v>237</v>
      </c>
      <c r="B2327" s="108" t="s">
        <v>17827</v>
      </c>
      <c r="C2327" s="109">
        <v>42976</v>
      </c>
      <c r="D2327" s="108"/>
      <c r="E2327" s="108" t="s">
        <v>14605</v>
      </c>
      <c r="F2327" s="108" t="s">
        <v>17798</v>
      </c>
      <c r="G2327" s="110"/>
      <c r="H2327" s="108" t="s">
        <v>1125</v>
      </c>
      <c r="I2327" s="108"/>
    </row>
    <row r="2328" spans="1:9">
      <c r="A2328" s="108" t="s">
        <v>169</v>
      </c>
      <c r="B2328" s="108" t="s">
        <v>17828</v>
      </c>
      <c r="C2328" s="109">
        <v>41094</v>
      </c>
      <c r="D2328" s="108"/>
      <c r="E2328" s="108" t="s">
        <v>14605</v>
      </c>
      <c r="F2328" s="108" t="s">
        <v>15660</v>
      </c>
      <c r="G2328" s="110"/>
      <c r="H2328" s="108" t="s">
        <v>1125</v>
      </c>
      <c r="I2328" s="108"/>
    </row>
    <row r="2329" spans="1:9">
      <c r="A2329" s="108" t="s">
        <v>169</v>
      </c>
      <c r="B2329" s="108" t="s">
        <v>17829</v>
      </c>
      <c r="C2329" s="109">
        <v>41087</v>
      </c>
      <c r="D2329" s="108"/>
      <c r="E2329" s="108" t="s">
        <v>14605</v>
      </c>
      <c r="F2329" s="108" t="s">
        <v>17671</v>
      </c>
      <c r="G2329" s="110"/>
      <c r="H2329" s="108" t="s">
        <v>1125</v>
      </c>
      <c r="I2329" s="108"/>
    </row>
    <row r="2330" spans="1:9" ht="27.6">
      <c r="A2330" s="108" t="s">
        <v>169</v>
      </c>
      <c r="B2330" s="108" t="s">
        <v>17830</v>
      </c>
      <c r="C2330" s="109">
        <v>41141</v>
      </c>
      <c r="D2330" s="108"/>
      <c r="E2330" s="108" t="s">
        <v>14605</v>
      </c>
      <c r="F2330" s="108" t="s">
        <v>15482</v>
      </c>
      <c r="G2330" s="110"/>
      <c r="H2330" s="108" t="s">
        <v>1125</v>
      </c>
      <c r="I2330" s="108"/>
    </row>
    <row r="2331" spans="1:9" ht="27.6">
      <c r="A2331" s="108" t="s">
        <v>169</v>
      </c>
      <c r="B2331" s="108" t="s">
        <v>17831</v>
      </c>
      <c r="C2331" s="109">
        <v>41304</v>
      </c>
      <c r="D2331" s="108"/>
      <c r="E2331" s="108" t="s">
        <v>14605</v>
      </c>
      <c r="F2331" s="108" t="s">
        <v>17735</v>
      </c>
      <c r="G2331" s="110"/>
      <c r="H2331" s="108" t="s">
        <v>1125</v>
      </c>
      <c r="I2331" s="108"/>
    </row>
    <row r="2332" spans="1:9" ht="27.6">
      <c r="A2332" s="108" t="s">
        <v>169</v>
      </c>
      <c r="B2332" s="108" t="s">
        <v>17832</v>
      </c>
      <c r="C2332" s="109">
        <v>42298</v>
      </c>
      <c r="D2332" s="108"/>
      <c r="E2332" s="108" t="s">
        <v>14605</v>
      </c>
      <c r="F2332" s="108" t="s">
        <v>17630</v>
      </c>
      <c r="G2332" s="110"/>
      <c r="H2332" s="108" t="s">
        <v>1125</v>
      </c>
      <c r="I2332" s="108"/>
    </row>
    <row r="2333" spans="1:9">
      <c r="A2333" s="108" t="s">
        <v>169</v>
      </c>
      <c r="B2333" s="108" t="s">
        <v>17833</v>
      </c>
      <c r="C2333" s="109">
        <v>41466</v>
      </c>
      <c r="D2333" s="108"/>
      <c r="E2333" s="108" t="s">
        <v>14605</v>
      </c>
      <c r="F2333" s="108" t="s">
        <v>17834</v>
      </c>
      <c r="G2333" s="110"/>
      <c r="H2333" s="108" t="s">
        <v>1125</v>
      </c>
      <c r="I2333" s="108"/>
    </row>
    <row r="2334" spans="1:9" ht="27.6">
      <c r="A2334" s="108" t="s">
        <v>169</v>
      </c>
      <c r="B2334" s="108" t="s">
        <v>17835</v>
      </c>
      <c r="C2334" s="109">
        <v>41258</v>
      </c>
      <c r="D2334" s="108"/>
      <c r="E2334" s="108" t="s">
        <v>14605</v>
      </c>
      <c r="F2334" s="108" t="s">
        <v>16428</v>
      </c>
      <c r="G2334" s="110"/>
      <c r="H2334" s="108" t="s">
        <v>1125</v>
      </c>
      <c r="I2334" s="108"/>
    </row>
    <row r="2335" spans="1:9" ht="27.6">
      <c r="A2335" s="108" t="s">
        <v>169</v>
      </c>
      <c r="B2335" s="108" t="s">
        <v>17836</v>
      </c>
      <c r="C2335" s="109">
        <v>41375</v>
      </c>
      <c r="D2335" s="108"/>
      <c r="E2335" s="108" t="s">
        <v>14605</v>
      </c>
      <c r="F2335" s="108" t="s">
        <v>17837</v>
      </c>
      <c r="G2335" s="110"/>
      <c r="H2335" s="108" t="s">
        <v>1125</v>
      </c>
      <c r="I2335" s="108"/>
    </row>
    <row r="2336" spans="1:9" ht="27.6">
      <c r="A2336" s="108" t="s">
        <v>169</v>
      </c>
      <c r="B2336" s="108" t="s">
        <v>17838</v>
      </c>
      <c r="C2336" s="109">
        <v>41270</v>
      </c>
      <c r="D2336" s="108"/>
      <c r="E2336" s="108" t="s">
        <v>14605</v>
      </c>
      <c r="F2336" s="108" t="s">
        <v>15467</v>
      </c>
      <c r="G2336" s="110"/>
      <c r="H2336" s="108" t="s">
        <v>1125</v>
      </c>
      <c r="I2336" s="108"/>
    </row>
    <row r="2337" spans="1:9">
      <c r="A2337" s="108" t="s">
        <v>169</v>
      </c>
      <c r="B2337" s="108" t="s">
        <v>17839</v>
      </c>
      <c r="C2337" s="109">
        <v>41251</v>
      </c>
      <c r="D2337" s="108"/>
      <c r="E2337" s="108" t="s">
        <v>14605</v>
      </c>
      <c r="F2337" s="108" t="s">
        <v>17840</v>
      </c>
      <c r="G2337" s="110"/>
      <c r="H2337" s="108" t="s">
        <v>1125</v>
      </c>
      <c r="I2337" s="108"/>
    </row>
    <row r="2338" spans="1:9" ht="27.6">
      <c r="A2338" s="108" t="s">
        <v>169</v>
      </c>
      <c r="B2338" s="108" t="s">
        <v>17841</v>
      </c>
      <c r="C2338" s="109">
        <v>41533</v>
      </c>
      <c r="D2338" s="108"/>
      <c r="E2338" s="108" t="s">
        <v>14605</v>
      </c>
      <c r="F2338" s="108" t="s">
        <v>15467</v>
      </c>
      <c r="G2338" s="110"/>
      <c r="H2338" s="108" t="s">
        <v>1125</v>
      </c>
      <c r="I2338" s="108"/>
    </row>
    <row r="2339" spans="1:9" ht="41.4">
      <c r="A2339" s="108" t="s">
        <v>169</v>
      </c>
      <c r="B2339" s="108" t="s">
        <v>17842</v>
      </c>
      <c r="C2339" s="109">
        <v>41284</v>
      </c>
      <c r="D2339" s="108"/>
      <c r="E2339" s="108" t="s">
        <v>14605</v>
      </c>
      <c r="F2339" s="108" t="s">
        <v>17843</v>
      </c>
      <c r="G2339" s="110"/>
      <c r="H2339" s="108" t="s">
        <v>1125</v>
      </c>
      <c r="I2339" s="108"/>
    </row>
    <row r="2340" spans="1:9">
      <c r="A2340" s="108" t="s">
        <v>169</v>
      </c>
      <c r="B2340" s="108" t="s">
        <v>17844</v>
      </c>
      <c r="C2340" s="109">
        <v>41235</v>
      </c>
      <c r="D2340" s="108"/>
      <c r="E2340" s="108" t="s">
        <v>14605</v>
      </c>
      <c r="F2340" s="108" t="s">
        <v>15476</v>
      </c>
      <c r="G2340" s="110"/>
      <c r="H2340" s="108" t="s">
        <v>1125</v>
      </c>
      <c r="I2340" s="108"/>
    </row>
    <row r="2341" spans="1:9">
      <c r="A2341" s="108" t="s">
        <v>169</v>
      </c>
      <c r="B2341" s="108" t="s">
        <v>17845</v>
      </c>
      <c r="C2341" s="109">
        <v>41334</v>
      </c>
      <c r="D2341" s="108"/>
      <c r="E2341" s="108" t="s">
        <v>14605</v>
      </c>
      <c r="F2341" s="108" t="s">
        <v>16690</v>
      </c>
      <c r="G2341" s="110"/>
      <c r="H2341" s="108" t="s">
        <v>1125</v>
      </c>
      <c r="I2341" s="108"/>
    </row>
    <row r="2342" spans="1:9" ht="27.6">
      <c r="A2342" s="108" t="s">
        <v>169</v>
      </c>
      <c r="B2342" s="108" t="s">
        <v>17846</v>
      </c>
      <c r="C2342" s="109">
        <v>41466</v>
      </c>
      <c r="D2342" s="108"/>
      <c r="E2342" s="108" t="s">
        <v>14605</v>
      </c>
      <c r="F2342" s="108" t="s">
        <v>15048</v>
      </c>
      <c r="G2342" s="110"/>
      <c r="H2342" s="108" t="s">
        <v>1125</v>
      </c>
      <c r="I2342" s="108"/>
    </row>
    <row r="2343" spans="1:9">
      <c r="A2343" s="108" t="s">
        <v>169</v>
      </c>
      <c r="B2343" s="108" t="s">
        <v>17847</v>
      </c>
      <c r="C2343" s="109">
        <v>41430</v>
      </c>
      <c r="D2343" s="108"/>
      <c r="E2343" s="108" t="s">
        <v>14605</v>
      </c>
      <c r="F2343" s="108" t="s">
        <v>17742</v>
      </c>
      <c r="G2343" s="110"/>
      <c r="H2343" s="108" t="s">
        <v>1125</v>
      </c>
      <c r="I2343" s="108"/>
    </row>
    <row r="2344" spans="1:9" ht="27.6">
      <c r="A2344" s="108" t="s">
        <v>169</v>
      </c>
      <c r="B2344" s="108" t="s">
        <v>17848</v>
      </c>
      <c r="C2344" s="109">
        <v>41563</v>
      </c>
      <c r="D2344" s="108"/>
      <c r="E2344" s="108" t="s">
        <v>14605</v>
      </c>
      <c r="F2344" s="108" t="s">
        <v>15694</v>
      </c>
      <c r="G2344" s="110"/>
      <c r="H2344" s="108" t="s">
        <v>1125</v>
      </c>
      <c r="I2344" s="108"/>
    </row>
    <row r="2345" spans="1:9">
      <c r="A2345" s="108" t="s">
        <v>169</v>
      </c>
      <c r="B2345" s="108" t="s">
        <v>17849</v>
      </c>
      <c r="C2345" s="109">
        <v>41488</v>
      </c>
      <c r="D2345" s="108"/>
      <c r="E2345" s="108" t="s">
        <v>14605</v>
      </c>
      <c r="F2345" s="108" t="s">
        <v>15696</v>
      </c>
      <c r="G2345" s="110"/>
      <c r="H2345" s="108" t="s">
        <v>1125</v>
      </c>
      <c r="I2345" s="108"/>
    </row>
    <row r="2346" spans="1:9">
      <c r="A2346" s="108" t="s">
        <v>169</v>
      </c>
      <c r="B2346" s="108" t="s">
        <v>17850</v>
      </c>
      <c r="C2346" s="109">
        <v>41540</v>
      </c>
      <c r="D2346" s="108"/>
      <c r="E2346" s="108" t="s">
        <v>14605</v>
      </c>
      <c r="F2346" s="108" t="s">
        <v>15660</v>
      </c>
      <c r="G2346" s="110"/>
      <c r="H2346" s="108" t="s">
        <v>1125</v>
      </c>
      <c r="I2346" s="108"/>
    </row>
    <row r="2347" spans="1:9" ht="27.6">
      <c r="A2347" s="108" t="s">
        <v>169</v>
      </c>
      <c r="B2347" s="108" t="s">
        <v>17851</v>
      </c>
      <c r="C2347" s="109">
        <v>41843</v>
      </c>
      <c r="D2347" s="108"/>
      <c r="E2347" s="108" t="s">
        <v>14605</v>
      </c>
      <c r="F2347" s="108" t="s">
        <v>17852</v>
      </c>
      <c r="G2347" s="110"/>
      <c r="H2347" s="108" t="s">
        <v>1125</v>
      </c>
      <c r="I2347" s="108"/>
    </row>
    <row r="2348" spans="1:9">
      <c r="A2348" s="108" t="s">
        <v>169</v>
      </c>
      <c r="B2348" s="108" t="s">
        <v>17853</v>
      </c>
      <c r="C2348" s="109">
        <v>41855</v>
      </c>
      <c r="D2348" s="108"/>
      <c r="E2348" s="108" t="s">
        <v>14605</v>
      </c>
      <c r="F2348" s="108" t="s">
        <v>16607</v>
      </c>
      <c r="G2348" s="110"/>
      <c r="H2348" s="108" t="s">
        <v>1125</v>
      </c>
      <c r="I2348" s="108"/>
    </row>
    <row r="2349" spans="1:9">
      <c r="A2349" s="108" t="s">
        <v>169</v>
      </c>
      <c r="B2349" s="108" t="s">
        <v>17854</v>
      </c>
      <c r="C2349" s="109">
        <v>41788</v>
      </c>
      <c r="D2349" s="108"/>
      <c r="E2349" s="108" t="s">
        <v>14605</v>
      </c>
      <c r="F2349" s="108" t="s">
        <v>17855</v>
      </c>
      <c r="G2349" s="110"/>
      <c r="H2349" s="108" t="s">
        <v>1125</v>
      </c>
      <c r="I2349" s="108"/>
    </row>
    <row r="2350" spans="1:9">
      <c r="A2350" s="108" t="s">
        <v>169</v>
      </c>
      <c r="B2350" s="108" t="s">
        <v>17856</v>
      </c>
      <c r="C2350" s="109">
        <v>41894</v>
      </c>
      <c r="D2350" s="108"/>
      <c r="E2350" s="108" t="s">
        <v>14605</v>
      </c>
      <c r="F2350" s="108" t="s">
        <v>17857</v>
      </c>
      <c r="G2350" s="110"/>
      <c r="H2350" s="108" t="s">
        <v>1125</v>
      </c>
      <c r="I2350" s="108"/>
    </row>
    <row r="2351" spans="1:9" ht="27.6">
      <c r="A2351" s="108" t="s">
        <v>169</v>
      </c>
      <c r="B2351" s="108" t="s">
        <v>17858</v>
      </c>
      <c r="C2351" s="109">
        <v>41711</v>
      </c>
      <c r="D2351" s="108"/>
      <c r="E2351" s="108" t="s">
        <v>14605</v>
      </c>
      <c r="F2351" s="108" t="s">
        <v>17627</v>
      </c>
      <c r="G2351" s="110"/>
      <c r="H2351" s="108" t="s">
        <v>1125</v>
      </c>
      <c r="I2351" s="108"/>
    </row>
    <row r="2352" spans="1:9" ht="27.6">
      <c r="A2352" s="108" t="s">
        <v>169</v>
      </c>
      <c r="B2352" s="108" t="s">
        <v>17859</v>
      </c>
      <c r="C2352" s="109">
        <v>42004</v>
      </c>
      <c r="D2352" s="108"/>
      <c r="E2352" s="108" t="s">
        <v>14605</v>
      </c>
      <c r="F2352" s="108" t="s">
        <v>16428</v>
      </c>
      <c r="G2352" s="110"/>
      <c r="H2352" s="108" t="s">
        <v>1125</v>
      </c>
      <c r="I2352" s="108"/>
    </row>
    <row r="2353" spans="1:9">
      <c r="A2353" s="108" t="s">
        <v>169</v>
      </c>
      <c r="B2353" s="108" t="s">
        <v>17860</v>
      </c>
      <c r="C2353" s="109">
        <v>41766</v>
      </c>
      <c r="D2353" s="108"/>
      <c r="E2353" s="108" t="s">
        <v>14605</v>
      </c>
      <c r="F2353" s="108" t="s">
        <v>16142</v>
      </c>
      <c r="G2353" s="110"/>
      <c r="H2353" s="108" t="s">
        <v>1125</v>
      </c>
      <c r="I2353" s="108"/>
    </row>
    <row r="2354" spans="1:9">
      <c r="A2354" s="108" t="s">
        <v>169</v>
      </c>
      <c r="B2354" s="108" t="s">
        <v>17861</v>
      </c>
      <c r="C2354" s="109">
        <v>41908</v>
      </c>
      <c r="D2354" s="108"/>
      <c r="E2354" s="108" t="s">
        <v>14605</v>
      </c>
      <c r="F2354" s="108" t="s">
        <v>16607</v>
      </c>
      <c r="G2354" s="110"/>
      <c r="H2354" s="108" t="s">
        <v>1125</v>
      </c>
      <c r="I2354" s="108"/>
    </row>
    <row r="2355" spans="1:9">
      <c r="A2355" s="108" t="s">
        <v>169</v>
      </c>
      <c r="B2355" s="108" t="s">
        <v>17862</v>
      </c>
      <c r="C2355" s="109">
        <v>41766</v>
      </c>
      <c r="D2355" s="108"/>
      <c r="E2355" s="108" t="s">
        <v>14605</v>
      </c>
      <c r="F2355" s="108" t="s">
        <v>16142</v>
      </c>
      <c r="G2355" s="110"/>
      <c r="H2355" s="108" t="s">
        <v>1125</v>
      </c>
      <c r="I2355" s="108"/>
    </row>
    <row r="2356" spans="1:9">
      <c r="A2356" s="108" t="s">
        <v>169</v>
      </c>
      <c r="B2356" s="108" t="s">
        <v>17863</v>
      </c>
      <c r="C2356" s="109">
        <v>41766</v>
      </c>
      <c r="D2356" s="108"/>
      <c r="E2356" s="108" t="s">
        <v>14605</v>
      </c>
      <c r="F2356" s="108" t="s">
        <v>16142</v>
      </c>
      <c r="G2356" s="110"/>
      <c r="H2356" s="108" t="s">
        <v>1125</v>
      </c>
      <c r="I2356" s="108"/>
    </row>
    <row r="2357" spans="1:9" ht="41.4">
      <c r="A2357" s="108" t="s">
        <v>169</v>
      </c>
      <c r="B2357" s="108" t="s">
        <v>17864</v>
      </c>
      <c r="C2357" s="109">
        <v>41996</v>
      </c>
      <c r="D2357" s="108"/>
      <c r="E2357" s="108" t="s">
        <v>14605</v>
      </c>
      <c r="F2357" s="108" t="s">
        <v>17865</v>
      </c>
      <c r="G2357" s="110"/>
      <c r="H2357" s="108" t="s">
        <v>1125</v>
      </c>
      <c r="I2357" s="108"/>
    </row>
    <row r="2358" spans="1:9" ht="27.6">
      <c r="A2358" s="108" t="s">
        <v>169</v>
      </c>
      <c r="B2358" s="108" t="s">
        <v>17866</v>
      </c>
      <c r="C2358" s="109">
        <v>41941</v>
      </c>
      <c r="D2358" s="108"/>
      <c r="E2358" s="108" t="s">
        <v>14605</v>
      </c>
      <c r="F2358" s="108" t="s">
        <v>17867</v>
      </c>
      <c r="G2358" s="110"/>
      <c r="H2358" s="108" t="s">
        <v>1125</v>
      </c>
      <c r="I2358" s="108"/>
    </row>
    <row r="2359" spans="1:9">
      <c r="A2359" s="108" t="s">
        <v>169</v>
      </c>
      <c r="B2359" s="108" t="s">
        <v>17868</v>
      </c>
      <c r="C2359" s="109">
        <v>42054</v>
      </c>
      <c r="D2359" s="108"/>
      <c r="E2359" s="108" t="s">
        <v>14605</v>
      </c>
      <c r="F2359" s="108" t="s">
        <v>17585</v>
      </c>
      <c r="G2359" s="110"/>
      <c r="H2359" s="108" t="s">
        <v>1125</v>
      </c>
      <c r="I2359" s="108"/>
    </row>
    <row r="2360" spans="1:9" ht="41.4">
      <c r="A2360" s="108" t="s">
        <v>169</v>
      </c>
      <c r="B2360" s="108" t="s">
        <v>17869</v>
      </c>
      <c r="C2360" s="109">
        <v>42128</v>
      </c>
      <c r="D2360" s="108"/>
      <c r="E2360" s="108" t="s">
        <v>14605</v>
      </c>
      <c r="F2360" s="108" t="s">
        <v>17865</v>
      </c>
      <c r="G2360" s="110"/>
      <c r="H2360" s="108" t="s">
        <v>1125</v>
      </c>
      <c r="I2360" s="108"/>
    </row>
    <row r="2361" spans="1:9">
      <c r="A2361" s="108" t="s">
        <v>169</v>
      </c>
      <c r="B2361" s="108" t="s">
        <v>17870</v>
      </c>
      <c r="C2361" s="109">
        <v>41803</v>
      </c>
      <c r="D2361" s="108"/>
      <c r="E2361" s="108" t="s">
        <v>14605</v>
      </c>
      <c r="F2361" s="108" t="s">
        <v>16142</v>
      </c>
      <c r="G2361" s="110"/>
      <c r="H2361" s="108" t="s">
        <v>1125</v>
      </c>
      <c r="I2361" s="108"/>
    </row>
    <row r="2362" spans="1:9">
      <c r="A2362" s="108" t="s">
        <v>169</v>
      </c>
      <c r="B2362" s="108" t="s">
        <v>17871</v>
      </c>
      <c r="C2362" s="109">
        <v>41823</v>
      </c>
      <c r="D2362" s="108"/>
      <c r="E2362" s="108" t="s">
        <v>14605</v>
      </c>
      <c r="F2362" s="108" t="s">
        <v>16142</v>
      </c>
      <c r="G2362" s="110"/>
      <c r="H2362" s="108" t="s">
        <v>1125</v>
      </c>
      <c r="I2362" s="108"/>
    </row>
    <row r="2363" spans="1:9">
      <c r="A2363" s="108" t="s">
        <v>169</v>
      </c>
      <c r="B2363" s="108" t="s">
        <v>17872</v>
      </c>
      <c r="C2363" s="109">
        <v>41800</v>
      </c>
      <c r="D2363" s="108"/>
      <c r="E2363" s="108" t="s">
        <v>14605</v>
      </c>
      <c r="F2363" s="108" t="s">
        <v>17873</v>
      </c>
      <c r="G2363" s="110"/>
      <c r="H2363" s="108" t="s">
        <v>1125</v>
      </c>
      <c r="I2363" s="108"/>
    </row>
    <row r="2364" spans="1:9" ht="27.6">
      <c r="A2364" s="108" t="s">
        <v>169</v>
      </c>
      <c r="B2364" s="108" t="s">
        <v>17874</v>
      </c>
      <c r="C2364" s="109">
        <v>41801</v>
      </c>
      <c r="D2364" s="108"/>
      <c r="E2364" s="108" t="s">
        <v>14605</v>
      </c>
      <c r="F2364" s="108" t="s">
        <v>15482</v>
      </c>
      <c r="G2364" s="110"/>
      <c r="H2364" s="108" t="s">
        <v>1125</v>
      </c>
      <c r="I2364" s="108"/>
    </row>
    <row r="2365" spans="1:9" ht="27.6">
      <c r="A2365" s="108" t="s">
        <v>169</v>
      </c>
      <c r="B2365" s="108" t="s">
        <v>17875</v>
      </c>
      <c r="C2365" s="109">
        <v>41908</v>
      </c>
      <c r="D2365" s="108"/>
      <c r="E2365" s="108" t="s">
        <v>14605</v>
      </c>
      <c r="F2365" s="108" t="s">
        <v>15694</v>
      </c>
      <c r="G2365" s="110"/>
      <c r="H2365" s="108" t="s">
        <v>1125</v>
      </c>
      <c r="I2365" s="108"/>
    </row>
    <row r="2366" spans="1:9">
      <c r="A2366" s="108" t="s">
        <v>169</v>
      </c>
      <c r="B2366" s="108" t="s">
        <v>17876</v>
      </c>
      <c r="C2366" s="109">
        <v>41911</v>
      </c>
      <c r="D2366" s="108"/>
      <c r="E2366" s="108" t="s">
        <v>14605</v>
      </c>
      <c r="F2366" s="108" t="s">
        <v>17877</v>
      </c>
      <c r="G2366" s="110"/>
      <c r="H2366" s="108" t="s">
        <v>1125</v>
      </c>
      <c r="I2366" s="108"/>
    </row>
    <row r="2367" spans="1:9" ht="27.6">
      <c r="A2367" s="108" t="s">
        <v>169</v>
      </c>
      <c r="B2367" s="108" t="s">
        <v>17878</v>
      </c>
      <c r="C2367" s="109">
        <v>41906</v>
      </c>
      <c r="D2367" s="108"/>
      <c r="E2367" s="108" t="s">
        <v>14605</v>
      </c>
      <c r="F2367" s="108" t="s">
        <v>15482</v>
      </c>
      <c r="G2367" s="110"/>
      <c r="H2367" s="108" t="s">
        <v>1125</v>
      </c>
      <c r="I2367" s="108"/>
    </row>
    <row r="2368" spans="1:9" ht="41.4">
      <c r="A2368" s="108" t="s">
        <v>169</v>
      </c>
      <c r="B2368" s="108" t="s">
        <v>17879</v>
      </c>
      <c r="C2368" s="109">
        <v>41962</v>
      </c>
      <c r="D2368" s="108"/>
      <c r="E2368" s="108" t="s">
        <v>14605</v>
      </c>
      <c r="F2368" s="108" t="s">
        <v>17880</v>
      </c>
      <c r="G2368" s="110"/>
      <c r="H2368" s="108" t="s">
        <v>1125</v>
      </c>
      <c r="I2368" s="108"/>
    </row>
    <row r="2369" spans="1:9">
      <c r="A2369" s="108" t="s">
        <v>169</v>
      </c>
      <c r="B2369" s="108" t="s">
        <v>17881</v>
      </c>
      <c r="C2369" s="109">
        <v>41947</v>
      </c>
      <c r="D2369" s="108"/>
      <c r="E2369" s="108" t="s">
        <v>14605</v>
      </c>
      <c r="F2369" s="108" t="s">
        <v>17658</v>
      </c>
      <c r="G2369" s="110"/>
      <c r="H2369" s="108" t="s">
        <v>1125</v>
      </c>
      <c r="I2369" s="108"/>
    </row>
    <row r="2370" spans="1:9">
      <c r="A2370" s="108" t="s">
        <v>169</v>
      </c>
      <c r="B2370" s="108" t="s">
        <v>17882</v>
      </c>
      <c r="C2370" s="109">
        <v>41947</v>
      </c>
      <c r="D2370" s="108"/>
      <c r="E2370" s="108" t="s">
        <v>14605</v>
      </c>
      <c r="F2370" s="108" t="s">
        <v>17658</v>
      </c>
      <c r="G2370" s="110"/>
      <c r="H2370" s="108" t="s">
        <v>1125</v>
      </c>
      <c r="I2370" s="108"/>
    </row>
    <row r="2371" spans="1:9">
      <c r="A2371" s="108" t="s">
        <v>169</v>
      </c>
      <c r="B2371" s="108" t="s">
        <v>17883</v>
      </c>
      <c r="C2371" s="109">
        <v>42003</v>
      </c>
      <c r="D2371" s="108"/>
      <c r="E2371" s="108" t="s">
        <v>14605</v>
      </c>
      <c r="F2371" s="108" t="s">
        <v>16142</v>
      </c>
      <c r="G2371" s="110"/>
      <c r="H2371" s="108" t="s">
        <v>1125</v>
      </c>
      <c r="I2371" s="108"/>
    </row>
    <row r="2372" spans="1:9">
      <c r="A2372" s="108" t="s">
        <v>169</v>
      </c>
      <c r="B2372" s="108" t="s">
        <v>17884</v>
      </c>
      <c r="C2372" s="109">
        <v>42003</v>
      </c>
      <c r="D2372" s="108"/>
      <c r="E2372" s="108" t="s">
        <v>14605</v>
      </c>
      <c r="F2372" s="108" t="s">
        <v>16142</v>
      </c>
      <c r="G2372" s="110"/>
      <c r="H2372" s="108" t="s">
        <v>1125</v>
      </c>
      <c r="I2372" s="108"/>
    </row>
    <row r="2373" spans="1:9">
      <c r="A2373" s="108" t="s">
        <v>169</v>
      </c>
      <c r="B2373" s="108" t="s">
        <v>17885</v>
      </c>
      <c r="C2373" s="109">
        <v>42003</v>
      </c>
      <c r="D2373" s="108"/>
      <c r="E2373" s="108" t="s">
        <v>14605</v>
      </c>
      <c r="F2373" s="108" t="s">
        <v>16142</v>
      </c>
      <c r="G2373" s="110"/>
      <c r="H2373" s="108" t="s">
        <v>1125</v>
      </c>
      <c r="I2373" s="108"/>
    </row>
    <row r="2374" spans="1:9" ht="27.6">
      <c r="A2374" s="108" t="s">
        <v>169</v>
      </c>
      <c r="B2374" s="108" t="s">
        <v>17886</v>
      </c>
      <c r="C2374" s="109">
        <v>42292</v>
      </c>
      <c r="D2374" s="108"/>
      <c r="E2374" s="108" t="s">
        <v>14605</v>
      </c>
      <c r="F2374" s="108" t="s">
        <v>17887</v>
      </c>
      <c r="G2374" s="110"/>
      <c r="H2374" s="108" t="s">
        <v>1125</v>
      </c>
      <c r="I2374" s="108"/>
    </row>
    <row r="2375" spans="1:9" ht="27.6">
      <c r="A2375" s="108" t="s">
        <v>169</v>
      </c>
      <c r="B2375" s="108" t="s">
        <v>17888</v>
      </c>
      <c r="C2375" s="109">
        <v>42426</v>
      </c>
      <c r="D2375" s="108"/>
      <c r="E2375" s="108" t="s">
        <v>14605</v>
      </c>
      <c r="F2375" s="108" t="s">
        <v>17889</v>
      </c>
      <c r="G2375" s="110"/>
      <c r="H2375" s="108" t="s">
        <v>1125</v>
      </c>
      <c r="I2375" s="108"/>
    </row>
    <row r="2376" spans="1:9" ht="27.6">
      <c r="A2376" s="108" t="s">
        <v>169</v>
      </c>
      <c r="B2376" s="108" t="s">
        <v>17890</v>
      </c>
      <c r="C2376" s="109">
        <v>42513</v>
      </c>
      <c r="D2376" s="108"/>
      <c r="E2376" s="108" t="s">
        <v>14605</v>
      </c>
      <c r="F2376" s="108" t="s">
        <v>17630</v>
      </c>
      <c r="G2376" s="110"/>
      <c r="H2376" s="108" t="s">
        <v>1125</v>
      </c>
      <c r="I2376" s="108"/>
    </row>
    <row r="2377" spans="1:9" ht="27.6">
      <c r="A2377" s="108" t="s">
        <v>169</v>
      </c>
      <c r="B2377" s="108" t="s">
        <v>17891</v>
      </c>
      <c r="C2377" s="109">
        <v>42497</v>
      </c>
      <c r="D2377" s="108"/>
      <c r="E2377" s="108" t="s">
        <v>14605</v>
      </c>
      <c r="F2377" s="108" t="s">
        <v>17630</v>
      </c>
      <c r="G2377" s="110"/>
      <c r="H2377" s="108" t="s">
        <v>1125</v>
      </c>
      <c r="I2377" s="108"/>
    </row>
    <row r="2378" spans="1:9">
      <c r="A2378" s="108" t="s">
        <v>169</v>
      </c>
      <c r="B2378" s="108" t="s">
        <v>17892</v>
      </c>
      <c r="C2378" s="109">
        <v>42572</v>
      </c>
      <c r="D2378" s="108"/>
      <c r="E2378" s="108" t="s">
        <v>14605</v>
      </c>
      <c r="F2378" s="108" t="s">
        <v>17893</v>
      </c>
      <c r="G2378" s="110"/>
      <c r="H2378" s="108" t="s">
        <v>1125</v>
      </c>
      <c r="I2378" s="108"/>
    </row>
    <row r="2379" spans="1:9">
      <c r="A2379" s="108" t="s">
        <v>169</v>
      </c>
      <c r="B2379" s="108" t="s">
        <v>17894</v>
      </c>
      <c r="C2379" s="109">
        <v>42776</v>
      </c>
      <c r="D2379" s="108"/>
      <c r="E2379" s="108" t="s">
        <v>14605</v>
      </c>
      <c r="F2379" s="108" t="s">
        <v>17895</v>
      </c>
      <c r="G2379" s="110"/>
      <c r="H2379" s="108" t="s">
        <v>1125</v>
      </c>
      <c r="I2379" s="108"/>
    </row>
    <row r="2380" spans="1:9" ht="27.6">
      <c r="A2380" s="108" t="s">
        <v>169</v>
      </c>
      <c r="B2380" s="108" t="s">
        <v>17896</v>
      </c>
      <c r="C2380" s="109">
        <v>43213</v>
      </c>
      <c r="D2380" s="108"/>
      <c r="E2380" s="108" t="s">
        <v>14605</v>
      </c>
      <c r="F2380" s="108" t="s">
        <v>17897</v>
      </c>
      <c r="G2380" s="110"/>
      <c r="H2380" s="108" t="s">
        <v>1125</v>
      </c>
      <c r="I2380" s="108"/>
    </row>
    <row r="2381" spans="1:9" ht="27.6">
      <c r="A2381" s="108" t="s">
        <v>169</v>
      </c>
      <c r="B2381" s="108" t="s">
        <v>17898</v>
      </c>
      <c r="C2381" s="109">
        <v>43063</v>
      </c>
      <c r="D2381" s="108"/>
      <c r="E2381" s="108" t="s">
        <v>14605</v>
      </c>
      <c r="F2381" s="108" t="s">
        <v>17899</v>
      </c>
      <c r="G2381" s="110"/>
      <c r="H2381" s="108" t="s">
        <v>1125</v>
      </c>
      <c r="I2381" s="108"/>
    </row>
    <row r="2382" spans="1:9" ht="27.6">
      <c r="A2382" s="108" t="s">
        <v>169</v>
      </c>
      <c r="B2382" s="108" t="s">
        <v>17900</v>
      </c>
      <c r="C2382" s="109">
        <v>43185</v>
      </c>
      <c r="D2382" s="108"/>
      <c r="E2382" s="108" t="s">
        <v>14605</v>
      </c>
      <c r="F2382" s="108" t="s">
        <v>17720</v>
      </c>
      <c r="G2382" s="110"/>
      <c r="H2382" s="108" t="s">
        <v>1125</v>
      </c>
      <c r="I2382" s="108"/>
    </row>
    <row r="2383" spans="1:9" ht="41.4">
      <c r="A2383" s="108" t="s">
        <v>169</v>
      </c>
      <c r="B2383" s="108" t="s">
        <v>17901</v>
      </c>
      <c r="C2383" s="109">
        <v>43105</v>
      </c>
      <c r="D2383" s="108"/>
      <c r="E2383" s="108" t="s">
        <v>14605</v>
      </c>
      <c r="F2383" s="108" t="s">
        <v>17902</v>
      </c>
      <c r="G2383" s="110"/>
      <c r="H2383" s="108" t="s">
        <v>1125</v>
      </c>
      <c r="I2383" s="108"/>
    </row>
    <row r="2384" spans="1:9" ht="27.6">
      <c r="A2384" s="108" t="s">
        <v>169</v>
      </c>
      <c r="B2384" s="108" t="s">
        <v>17903</v>
      </c>
      <c r="C2384" s="109">
        <v>43222</v>
      </c>
      <c r="D2384" s="108"/>
      <c r="E2384" s="108" t="s">
        <v>14605</v>
      </c>
      <c r="F2384" s="108" t="s">
        <v>17904</v>
      </c>
      <c r="G2384" s="110"/>
      <c r="H2384" s="108" t="s">
        <v>1125</v>
      </c>
      <c r="I2384" s="108"/>
    </row>
    <row r="2385" spans="1:9" ht="27.6">
      <c r="A2385" s="108" t="s">
        <v>169</v>
      </c>
      <c r="B2385" s="108" t="s">
        <v>17905</v>
      </c>
      <c r="C2385" s="109">
        <v>43141</v>
      </c>
      <c r="D2385" s="108"/>
      <c r="E2385" s="108" t="s">
        <v>14605</v>
      </c>
      <c r="F2385" s="108" t="s">
        <v>17906</v>
      </c>
      <c r="G2385" s="110"/>
      <c r="H2385" s="108" t="s">
        <v>1125</v>
      </c>
      <c r="I2385" s="108"/>
    </row>
    <row r="2386" spans="1:9" ht="27.6">
      <c r="A2386" s="108" t="s">
        <v>169</v>
      </c>
      <c r="B2386" s="108" t="s">
        <v>17907</v>
      </c>
      <c r="C2386" s="109">
        <v>43141</v>
      </c>
      <c r="D2386" s="108"/>
      <c r="E2386" s="108" t="s">
        <v>14605</v>
      </c>
      <c r="F2386" s="108" t="s">
        <v>17906</v>
      </c>
      <c r="G2386" s="110"/>
      <c r="H2386" s="108" t="s">
        <v>1125</v>
      </c>
      <c r="I2386" s="108"/>
    </row>
    <row r="2387" spans="1:9">
      <c r="A2387" s="108" t="s">
        <v>169</v>
      </c>
      <c r="B2387" s="108" t="s">
        <v>17908</v>
      </c>
      <c r="C2387" s="109">
        <v>43178</v>
      </c>
      <c r="D2387" s="108"/>
      <c r="E2387" s="108" t="s">
        <v>14605</v>
      </c>
      <c r="F2387" s="108" t="s">
        <v>16831</v>
      </c>
      <c r="G2387" s="110"/>
      <c r="H2387" s="108" t="s">
        <v>1125</v>
      </c>
      <c r="I2387" s="108"/>
    </row>
    <row r="2388" spans="1:9" ht="27.6">
      <c r="A2388" s="108" t="s">
        <v>169</v>
      </c>
      <c r="B2388" s="108" t="s">
        <v>17909</v>
      </c>
      <c r="C2388" s="109">
        <v>43208</v>
      </c>
      <c r="D2388" s="108"/>
      <c r="E2388" s="108" t="s">
        <v>14605</v>
      </c>
      <c r="F2388" s="108" t="s">
        <v>17910</v>
      </c>
      <c r="G2388" s="110"/>
      <c r="H2388" s="108" t="s">
        <v>1125</v>
      </c>
      <c r="I2388" s="108"/>
    </row>
    <row r="2389" spans="1:9" ht="27.6">
      <c r="A2389" s="108" t="s">
        <v>169</v>
      </c>
      <c r="B2389" s="108" t="s">
        <v>17911</v>
      </c>
      <c r="C2389" s="109">
        <v>43218</v>
      </c>
      <c r="D2389" s="108"/>
      <c r="E2389" s="108" t="s">
        <v>14605</v>
      </c>
      <c r="F2389" s="108" t="s">
        <v>17912</v>
      </c>
      <c r="G2389" s="110"/>
      <c r="H2389" s="108" t="s">
        <v>1125</v>
      </c>
      <c r="I2389" s="108"/>
    </row>
    <row r="2390" spans="1:9">
      <c r="A2390" s="108" t="s">
        <v>169</v>
      </c>
      <c r="B2390" s="108" t="s">
        <v>17913</v>
      </c>
      <c r="C2390" s="109">
        <v>43250</v>
      </c>
      <c r="D2390" s="108"/>
      <c r="E2390" s="108" t="s">
        <v>14605</v>
      </c>
      <c r="F2390" s="108" t="s">
        <v>14612</v>
      </c>
      <c r="G2390" s="110"/>
      <c r="H2390" s="108" t="s">
        <v>1125</v>
      </c>
      <c r="I2390" s="108"/>
    </row>
    <row r="2391" spans="1:9">
      <c r="A2391" s="108" t="s">
        <v>169</v>
      </c>
      <c r="B2391" s="108" t="s">
        <v>17914</v>
      </c>
      <c r="C2391" s="109">
        <v>43279</v>
      </c>
      <c r="D2391" s="108"/>
      <c r="E2391" s="108" t="s">
        <v>14605</v>
      </c>
      <c r="F2391" s="108" t="s">
        <v>17915</v>
      </c>
      <c r="G2391" s="110"/>
      <c r="H2391" s="108" t="s">
        <v>1125</v>
      </c>
      <c r="I2391" s="108"/>
    </row>
    <row r="2392" spans="1:9" ht="27.6">
      <c r="A2392" s="108" t="s">
        <v>169</v>
      </c>
      <c r="B2392" s="108" t="s">
        <v>17916</v>
      </c>
      <c r="C2392" s="109">
        <v>43446</v>
      </c>
      <c r="D2392" s="108"/>
      <c r="E2392" s="108" t="s">
        <v>14605</v>
      </c>
      <c r="F2392" s="108" t="s">
        <v>17525</v>
      </c>
      <c r="G2392" s="110"/>
      <c r="H2392" s="108" t="s">
        <v>1125</v>
      </c>
      <c r="I2392" s="108"/>
    </row>
    <row r="2393" spans="1:9" ht="41.4">
      <c r="A2393" s="108" t="s">
        <v>169</v>
      </c>
      <c r="B2393" s="108" t="s">
        <v>17917</v>
      </c>
      <c r="C2393" s="109">
        <v>43721</v>
      </c>
      <c r="D2393" s="108"/>
      <c r="E2393" s="108" t="s">
        <v>14605</v>
      </c>
      <c r="F2393" s="108" t="s">
        <v>14789</v>
      </c>
      <c r="G2393" s="110"/>
      <c r="H2393" s="108" t="s">
        <v>1125</v>
      </c>
      <c r="I2393" s="108"/>
    </row>
    <row r="2394" spans="1:9">
      <c r="A2394" s="108" t="s">
        <v>169</v>
      </c>
      <c r="B2394" s="108" t="s">
        <v>17918</v>
      </c>
      <c r="C2394" s="109">
        <v>43833</v>
      </c>
      <c r="D2394" s="108"/>
      <c r="E2394" s="108" t="s">
        <v>14605</v>
      </c>
      <c r="F2394" s="108" t="s">
        <v>17919</v>
      </c>
      <c r="G2394" s="110"/>
      <c r="H2394" s="108" t="s">
        <v>1125</v>
      </c>
      <c r="I2394" s="108"/>
    </row>
    <row r="2395" spans="1:9" ht="27.6">
      <c r="A2395" s="108" t="s">
        <v>169</v>
      </c>
      <c r="B2395" s="108" t="s">
        <v>17920</v>
      </c>
      <c r="C2395" s="109">
        <v>43693</v>
      </c>
      <c r="D2395" s="108"/>
      <c r="E2395" s="108" t="s">
        <v>14605</v>
      </c>
      <c r="F2395" s="108" t="s">
        <v>14858</v>
      </c>
      <c r="G2395" s="110"/>
      <c r="H2395" s="108" t="s">
        <v>1125</v>
      </c>
      <c r="I2395" s="108"/>
    </row>
    <row r="2396" spans="1:9" ht="27.6">
      <c r="A2396" s="108" t="s">
        <v>169</v>
      </c>
      <c r="B2396" s="108" t="s">
        <v>17921</v>
      </c>
      <c r="C2396" s="109">
        <v>44379</v>
      </c>
      <c r="D2396" s="108"/>
      <c r="E2396" s="108" t="s">
        <v>14605</v>
      </c>
      <c r="F2396" s="108" t="s">
        <v>17922</v>
      </c>
      <c r="G2396" s="110"/>
      <c r="H2396" s="108" t="s">
        <v>1125</v>
      </c>
      <c r="I2396" s="108"/>
    </row>
    <row r="2397" spans="1:9" ht="27.6">
      <c r="A2397" s="108" t="s">
        <v>14607</v>
      </c>
      <c r="B2397" s="108" t="s">
        <v>17923</v>
      </c>
      <c r="C2397" s="109">
        <v>39695</v>
      </c>
      <c r="D2397" s="108"/>
      <c r="E2397" s="108" t="s">
        <v>14605</v>
      </c>
      <c r="F2397" s="108" t="s">
        <v>17924</v>
      </c>
      <c r="G2397" s="110"/>
      <c r="H2397" s="108" t="s">
        <v>1125</v>
      </c>
      <c r="I2397" s="108"/>
    </row>
    <row r="2398" spans="1:9" ht="41.4">
      <c r="A2398" s="108" t="s">
        <v>571</v>
      </c>
      <c r="B2398" s="108" t="s">
        <v>17925</v>
      </c>
      <c r="C2398" s="109">
        <v>43218</v>
      </c>
      <c r="D2398" s="108"/>
      <c r="E2398" s="108" t="s">
        <v>14605</v>
      </c>
      <c r="F2398" s="108" t="s">
        <v>17706</v>
      </c>
      <c r="G2398" s="110"/>
      <c r="H2398" s="108" t="s">
        <v>1125</v>
      </c>
      <c r="I2398" s="108"/>
    </row>
    <row r="2399" spans="1:9" ht="27.6">
      <c r="A2399" s="108" t="s">
        <v>571</v>
      </c>
      <c r="B2399" s="108" t="s">
        <v>17926</v>
      </c>
      <c r="C2399" s="109">
        <v>41885</v>
      </c>
      <c r="D2399" s="108"/>
      <c r="E2399" s="108" t="s">
        <v>14605</v>
      </c>
      <c r="F2399" s="108" t="s">
        <v>17826</v>
      </c>
      <c r="G2399" s="110"/>
      <c r="H2399" s="108" t="s">
        <v>1125</v>
      </c>
      <c r="I2399" s="108"/>
    </row>
    <row r="2400" spans="1:9" ht="41.4">
      <c r="A2400" s="108" t="s">
        <v>87</v>
      </c>
      <c r="B2400" s="108" t="s">
        <v>17927</v>
      </c>
      <c r="C2400" s="109">
        <v>42371</v>
      </c>
      <c r="D2400" s="108"/>
      <c r="E2400" s="108" t="s">
        <v>14605</v>
      </c>
      <c r="F2400" s="108" t="s">
        <v>17928</v>
      </c>
      <c r="G2400" s="110"/>
      <c r="H2400" s="108" t="s">
        <v>1125</v>
      </c>
      <c r="I2400" s="108"/>
    </row>
    <row r="2401" spans="1:9">
      <c r="A2401" s="108" t="s">
        <v>87</v>
      </c>
      <c r="B2401" s="108" t="s">
        <v>17929</v>
      </c>
      <c r="C2401" s="109">
        <v>42440</v>
      </c>
      <c r="D2401" s="108"/>
      <c r="E2401" s="108" t="s">
        <v>14605</v>
      </c>
      <c r="F2401" s="108" t="s">
        <v>17930</v>
      </c>
      <c r="G2401" s="110"/>
      <c r="H2401" s="108" t="s">
        <v>1125</v>
      </c>
      <c r="I2401" s="108"/>
    </row>
    <row r="2402" spans="1:9" ht="27.6">
      <c r="A2402" s="108" t="s">
        <v>87</v>
      </c>
      <c r="B2402" s="108" t="s">
        <v>17931</v>
      </c>
      <c r="C2402" s="109">
        <v>42859</v>
      </c>
      <c r="D2402" s="108"/>
      <c r="E2402" s="108" t="s">
        <v>14605</v>
      </c>
      <c r="F2402" s="108" t="s">
        <v>17932</v>
      </c>
      <c r="G2402" s="110"/>
      <c r="H2402" s="108" t="s">
        <v>1125</v>
      </c>
      <c r="I2402" s="108"/>
    </row>
    <row r="2403" spans="1:9" ht="27.6">
      <c r="A2403" s="108" t="s">
        <v>316</v>
      </c>
      <c r="B2403" s="108" t="s">
        <v>17933</v>
      </c>
      <c r="C2403" s="109">
        <v>42784</v>
      </c>
      <c r="D2403" s="108"/>
      <c r="E2403" s="108" t="s">
        <v>14605</v>
      </c>
      <c r="F2403" s="108" t="s">
        <v>17934</v>
      </c>
      <c r="G2403" s="110"/>
      <c r="H2403" s="108" t="s">
        <v>1125</v>
      </c>
      <c r="I2403" s="108"/>
    </row>
    <row r="2404" spans="1:9">
      <c r="A2404" s="108" t="s">
        <v>87</v>
      </c>
      <c r="B2404" s="108" t="s">
        <v>17935</v>
      </c>
      <c r="C2404" s="109">
        <v>43245</v>
      </c>
      <c r="D2404" s="108"/>
      <c r="E2404" s="108" t="s">
        <v>14605</v>
      </c>
      <c r="F2404" s="108" t="s">
        <v>15476</v>
      </c>
      <c r="G2404" s="110"/>
      <c r="H2404" s="108" t="s">
        <v>1125</v>
      </c>
      <c r="I2404" s="108"/>
    </row>
    <row r="2405" spans="1:9">
      <c r="A2405" s="108" t="s">
        <v>87</v>
      </c>
      <c r="B2405" s="108" t="s">
        <v>17936</v>
      </c>
      <c r="C2405" s="109">
        <v>42892</v>
      </c>
      <c r="D2405" s="108"/>
      <c r="E2405" s="108" t="s">
        <v>14605</v>
      </c>
      <c r="F2405" s="108" t="s">
        <v>17937</v>
      </c>
      <c r="G2405" s="110"/>
      <c r="H2405" s="108" t="s">
        <v>1125</v>
      </c>
      <c r="I2405" s="108"/>
    </row>
    <row r="2406" spans="1:9" ht="27.6">
      <c r="A2406" s="108" t="s">
        <v>87</v>
      </c>
      <c r="B2406" s="108" t="s">
        <v>17938</v>
      </c>
      <c r="C2406" s="109">
        <v>43127</v>
      </c>
      <c r="D2406" s="108"/>
      <c r="E2406" s="108" t="s">
        <v>14605</v>
      </c>
      <c r="F2406" s="108" t="s">
        <v>17939</v>
      </c>
      <c r="G2406" s="110"/>
      <c r="H2406" s="108" t="s">
        <v>1125</v>
      </c>
      <c r="I2406" s="108"/>
    </row>
    <row r="2407" spans="1:9" ht="41.4">
      <c r="A2407" s="108" t="s">
        <v>87</v>
      </c>
      <c r="B2407" s="108" t="s">
        <v>17940</v>
      </c>
      <c r="C2407" s="109">
        <v>43096</v>
      </c>
      <c r="D2407" s="108"/>
      <c r="E2407" s="108" t="s">
        <v>14605</v>
      </c>
      <c r="F2407" s="108" t="s">
        <v>17941</v>
      </c>
      <c r="G2407" s="110"/>
      <c r="H2407" s="108" t="s">
        <v>1125</v>
      </c>
      <c r="I2407" s="108"/>
    </row>
    <row r="2408" spans="1:9">
      <c r="A2408" s="108" t="s">
        <v>87</v>
      </c>
      <c r="B2408" s="108" t="s">
        <v>17942</v>
      </c>
      <c r="C2408" s="109">
        <v>43277</v>
      </c>
      <c r="D2408" s="108"/>
      <c r="E2408" s="108" t="s">
        <v>14605</v>
      </c>
      <c r="F2408" s="108" t="s">
        <v>14716</v>
      </c>
      <c r="G2408" s="110"/>
      <c r="H2408" s="108" t="s">
        <v>1125</v>
      </c>
      <c r="I2408" s="108"/>
    </row>
    <row r="2409" spans="1:9" ht="41.4">
      <c r="A2409" s="108" t="s">
        <v>87</v>
      </c>
      <c r="B2409" s="108" t="s">
        <v>17943</v>
      </c>
      <c r="C2409" s="109">
        <v>43805</v>
      </c>
      <c r="D2409" s="108"/>
      <c r="E2409" s="108" t="s">
        <v>14605</v>
      </c>
      <c r="F2409" s="108" t="s">
        <v>17944</v>
      </c>
      <c r="G2409" s="110"/>
      <c r="H2409" s="108" t="s">
        <v>1125</v>
      </c>
      <c r="I2409" s="108"/>
    </row>
    <row r="2410" spans="1:9" ht="27.6">
      <c r="A2410" s="108" t="s">
        <v>14690</v>
      </c>
      <c r="B2410" s="108" t="s">
        <v>17945</v>
      </c>
      <c r="C2410" s="109">
        <v>42201</v>
      </c>
      <c r="D2410" s="108"/>
      <c r="E2410" s="108" t="s">
        <v>14605</v>
      </c>
      <c r="F2410" s="108" t="s">
        <v>17735</v>
      </c>
      <c r="G2410" s="110"/>
      <c r="H2410" s="108" t="s">
        <v>1125</v>
      </c>
      <c r="I2410" s="108"/>
    </row>
    <row r="2411" spans="1:9">
      <c r="A2411" s="108" t="s">
        <v>571</v>
      </c>
      <c r="B2411" s="108" t="s">
        <v>17946</v>
      </c>
      <c r="C2411" s="109">
        <v>42147</v>
      </c>
      <c r="D2411" s="108"/>
      <c r="E2411" s="108" t="s">
        <v>14605</v>
      </c>
      <c r="F2411" s="108" t="s">
        <v>14716</v>
      </c>
      <c r="G2411" s="110"/>
      <c r="H2411" s="108" t="s">
        <v>1125</v>
      </c>
      <c r="I2411" s="108"/>
    </row>
    <row r="2412" spans="1:9" ht="27.6">
      <c r="A2412" s="108" t="s">
        <v>14690</v>
      </c>
      <c r="B2412" s="108" t="s">
        <v>17947</v>
      </c>
      <c r="C2412" s="109">
        <v>42441</v>
      </c>
      <c r="D2412" s="108"/>
      <c r="E2412" s="108" t="s">
        <v>14605</v>
      </c>
      <c r="F2412" s="108" t="s">
        <v>17948</v>
      </c>
      <c r="G2412" s="110"/>
      <c r="H2412" s="108" t="s">
        <v>1125</v>
      </c>
      <c r="I2412" s="108"/>
    </row>
    <row r="2413" spans="1:9" ht="27.6">
      <c r="A2413" s="108" t="s">
        <v>14690</v>
      </c>
      <c r="B2413" s="108" t="s">
        <v>17949</v>
      </c>
      <c r="C2413" s="109">
        <v>43217</v>
      </c>
      <c r="D2413" s="108"/>
      <c r="E2413" s="108" t="s">
        <v>14605</v>
      </c>
      <c r="F2413" s="108" t="s">
        <v>15904</v>
      </c>
      <c r="G2413" s="110"/>
      <c r="H2413" s="108" t="s">
        <v>1125</v>
      </c>
      <c r="I2413" s="108"/>
    </row>
    <row r="2414" spans="1:9" ht="27.6">
      <c r="A2414" s="108" t="s">
        <v>14690</v>
      </c>
      <c r="B2414" s="108" t="s">
        <v>17950</v>
      </c>
      <c r="C2414" s="109">
        <v>42392</v>
      </c>
      <c r="D2414" s="108"/>
      <c r="E2414" s="108" t="s">
        <v>14605</v>
      </c>
      <c r="F2414" s="108" t="s">
        <v>15482</v>
      </c>
      <c r="G2414" s="110"/>
      <c r="H2414" s="108" t="s">
        <v>1125</v>
      </c>
      <c r="I2414" s="108"/>
    </row>
    <row r="2415" spans="1:9" ht="27.6">
      <c r="A2415" s="108" t="s">
        <v>14690</v>
      </c>
      <c r="B2415" s="108" t="s">
        <v>17951</v>
      </c>
      <c r="C2415" s="109">
        <v>42209</v>
      </c>
      <c r="D2415" s="108"/>
      <c r="E2415" s="108" t="s">
        <v>14605</v>
      </c>
      <c r="F2415" s="108" t="s">
        <v>15482</v>
      </c>
      <c r="G2415" s="110"/>
      <c r="H2415" s="108" t="s">
        <v>1125</v>
      </c>
      <c r="I2415" s="108"/>
    </row>
    <row r="2416" spans="1:9" ht="27.6">
      <c r="A2416" s="108" t="s">
        <v>14690</v>
      </c>
      <c r="B2416" s="108" t="s">
        <v>17952</v>
      </c>
      <c r="C2416" s="109">
        <v>42392</v>
      </c>
      <c r="D2416" s="108"/>
      <c r="E2416" s="108" t="s">
        <v>14605</v>
      </c>
      <c r="F2416" s="108" t="s">
        <v>17953</v>
      </c>
      <c r="G2416" s="110"/>
      <c r="H2416" s="108" t="s">
        <v>1125</v>
      </c>
      <c r="I2416" s="108"/>
    </row>
    <row r="2417" spans="1:9" ht="27.6">
      <c r="A2417" s="108" t="s">
        <v>14690</v>
      </c>
      <c r="B2417" s="108" t="s">
        <v>17954</v>
      </c>
      <c r="C2417" s="109">
        <v>42447</v>
      </c>
      <c r="D2417" s="108"/>
      <c r="E2417" s="108" t="s">
        <v>14605</v>
      </c>
      <c r="F2417" s="108" t="s">
        <v>17955</v>
      </c>
      <c r="G2417" s="110"/>
      <c r="H2417" s="108" t="s">
        <v>1125</v>
      </c>
      <c r="I2417" s="108"/>
    </row>
    <row r="2418" spans="1:9" ht="27.6">
      <c r="A2418" s="108" t="s">
        <v>14690</v>
      </c>
      <c r="B2418" s="108" t="s">
        <v>17956</v>
      </c>
      <c r="C2418" s="109">
        <v>42455</v>
      </c>
      <c r="D2418" s="108"/>
      <c r="E2418" s="108" t="s">
        <v>14605</v>
      </c>
      <c r="F2418" s="108" t="s">
        <v>14719</v>
      </c>
      <c r="G2418" s="110"/>
      <c r="H2418" s="108" t="s">
        <v>1125</v>
      </c>
      <c r="I2418" s="108"/>
    </row>
    <row r="2419" spans="1:9" ht="27.6">
      <c r="A2419" s="108" t="s">
        <v>14690</v>
      </c>
      <c r="B2419" s="108" t="s">
        <v>17957</v>
      </c>
      <c r="C2419" s="109">
        <v>42499</v>
      </c>
      <c r="D2419" s="108"/>
      <c r="E2419" s="108" t="s">
        <v>14605</v>
      </c>
      <c r="F2419" s="108" t="s">
        <v>17958</v>
      </c>
      <c r="G2419" s="110"/>
      <c r="H2419" s="108" t="s">
        <v>1125</v>
      </c>
      <c r="I2419" s="108"/>
    </row>
    <row r="2420" spans="1:9" ht="27.6">
      <c r="A2420" s="108" t="s">
        <v>14690</v>
      </c>
      <c r="B2420" s="108" t="s">
        <v>17959</v>
      </c>
      <c r="C2420" s="109">
        <v>42551</v>
      </c>
      <c r="D2420" s="108"/>
      <c r="E2420" s="108" t="s">
        <v>14605</v>
      </c>
      <c r="F2420" s="108" t="s">
        <v>17960</v>
      </c>
      <c r="G2420" s="110"/>
      <c r="H2420" s="108" t="s">
        <v>1125</v>
      </c>
      <c r="I2420" s="108"/>
    </row>
    <row r="2421" spans="1:9" ht="27.6">
      <c r="A2421" s="108" t="s">
        <v>14690</v>
      </c>
      <c r="B2421" s="108" t="s">
        <v>17961</v>
      </c>
      <c r="C2421" s="109">
        <v>42479</v>
      </c>
      <c r="D2421" s="108"/>
      <c r="E2421" s="108" t="s">
        <v>14605</v>
      </c>
      <c r="F2421" s="108" t="s">
        <v>17742</v>
      </c>
      <c r="G2421" s="110"/>
      <c r="H2421" s="108" t="s">
        <v>1125</v>
      </c>
      <c r="I2421" s="108"/>
    </row>
    <row r="2422" spans="1:9">
      <c r="A2422" s="108" t="s">
        <v>1465</v>
      </c>
      <c r="B2422" s="108" t="s">
        <v>17962</v>
      </c>
      <c r="C2422" s="109">
        <v>42550</v>
      </c>
      <c r="D2422" s="108"/>
      <c r="E2422" s="108" t="s">
        <v>14605</v>
      </c>
      <c r="F2422" s="108" t="s">
        <v>17963</v>
      </c>
      <c r="G2422" s="110"/>
      <c r="H2422" s="108" t="s">
        <v>1125</v>
      </c>
      <c r="I2422" s="108"/>
    </row>
    <row r="2423" spans="1:9" ht="27.6">
      <c r="A2423" s="108" t="s">
        <v>14690</v>
      </c>
      <c r="B2423" s="108" t="s">
        <v>17964</v>
      </c>
      <c r="C2423" s="109">
        <v>42599</v>
      </c>
      <c r="D2423" s="108"/>
      <c r="E2423" s="108" t="s">
        <v>14605</v>
      </c>
      <c r="F2423" s="108" t="s">
        <v>17965</v>
      </c>
      <c r="G2423" s="110"/>
      <c r="H2423" s="108" t="s">
        <v>1125</v>
      </c>
      <c r="I2423" s="108"/>
    </row>
    <row r="2424" spans="1:9" ht="27.6">
      <c r="A2424" s="108" t="s">
        <v>14690</v>
      </c>
      <c r="B2424" s="108" t="s">
        <v>17966</v>
      </c>
      <c r="C2424" s="109">
        <v>42644</v>
      </c>
      <c r="D2424" s="108"/>
      <c r="E2424" s="108" t="s">
        <v>14605</v>
      </c>
      <c r="F2424" s="108" t="s">
        <v>17967</v>
      </c>
      <c r="G2424" s="110"/>
      <c r="H2424" s="108" t="s">
        <v>1125</v>
      </c>
      <c r="I2424" s="108"/>
    </row>
    <row r="2425" spans="1:9" ht="27.6">
      <c r="A2425" s="108" t="s">
        <v>14690</v>
      </c>
      <c r="B2425" s="108" t="s">
        <v>17968</v>
      </c>
      <c r="C2425" s="109">
        <v>42743</v>
      </c>
      <c r="D2425" s="108"/>
      <c r="E2425" s="108" t="s">
        <v>14605</v>
      </c>
      <c r="F2425" s="108" t="s">
        <v>17969</v>
      </c>
      <c r="G2425" s="110"/>
      <c r="H2425" s="108" t="s">
        <v>1125</v>
      </c>
      <c r="I2425" s="108"/>
    </row>
    <row r="2426" spans="1:9" ht="41.4">
      <c r="A2426" s="108" t="s">
        <v>1465</v>
      </c>
      <c r="B2426" s="108" t="s">
        <v>17970</v>
      </c>
      <c r="C2426" s="109">
        <v>42719</v>
      </c>
      <c r="D2426" s="108"/>
      <c r="E2426" s="108" t="s">
        <v>14605</v>
      </c>
      <c r="F2426" s="108" t="s">
        <v>17971</v>
      </c>
      <c r="G2426" s="110"/>
      <c r="H2426" s="108" t="s">
        <v>1125</v>
      </c>
      <c r="I2426" s="108"/>
    </row>
    <row r="2427" spans="1:9" ht="27.6">
      <c r="A2427" s="108" t="s">
        <v>14690</v>
      </c>
      <c r="B2427" s="108" t="s">
        <v>17972</v>
      </c>
      <c r="C2427" s="109">
        <v>42978</v>
      </c>
      <c r="D2427" s="108"/>
      <c r="E2427" s="108" t="s">
        <v>14605</v>
      </c>
      <c r="F2427" s="108" t="s">
        <v>17973</v>
      </c>
      <c r="G2427" s="110"/>
      <c r="H2427" s="108" t="s">
        <v>1125</v>
      </c>
      <c r="I2427" s="108"/>
    </row>
    <row r="2428" spans="1:9" ht="27.6">
      <c r="A2428" s="108" t="s">
        <v>14690</v>
      </c>
      <c r="B2428" s="108" t="s">
        <v>17974</v>
      </c>
      <c r="C2428" s="109">
        <v>42826</v>
      </c>
      <c r="D2428" s="108"/>
      <c r="E2428" s="108" t="s">
        <v>14605</v>
      </c>
      <c r="F2428" s="108" t="s">
        <v>14972</v>
      </c>
      <c r="G2428" s="110"/>
      <c r="H2428" s="108" t="s">
        <v>1125</v>
      </c>
      <c r="I2428" s="108"/>
    </row>
    <row r="2429" spans="1:9" ht="27.6">
      <c r="A2429" s="108" t="s">
        <v>14690</v>
      </c>
      <c r="B2429" s="108" t="s">
        <v>17975</v>
      </c>
      <c r="C2429" s="109">
        <v>42914</v>
      </c>
      <c r="D2429" s="108"/>
      <c r="E2429" s="108" t="s">
        <v>14605</v>
      </c>
      <c r="F2429" s="108" t="s">
        <v>17976</v>
      </c>
      <c r="G2429" s="110"/>
      <c r="H2429" s="108" t="s">
        <v>1125</v>
      </c>
      <c r="I2429" s="108"/>
    </row>
    <row r="2430" spans="1:9" ht="27.6">
      <c r="A2430" s="108" t="s">
        <v>14690</v>
      </c>
      <c r="B2430" s="108" t="s">
        <v>17977</v>
      </c>
      <c r="C2430" s="109">
        <v>42913</v>
      </c>
      <c r="D2430" s="108"/>
      <c r="E2430" s="108" t="s">
        <v>14605</v>
      </c>
      <c r="F2430" s="108" t="s">
        <v>17978</v>
      </c>
      <c r="G2430" s="110"/>
      <c r="H2430" s="108" t="s">
        <v>1125</v>
      </c>
      <c r="I2430" s="108"/>
    </row>
    <row r="2431" spans="1:9" ht="27.6">
      <c r="A2431" s="108" t="s">
        <v>14690</v>
      </c>
      <c r="B2431" s="108" t="s">
        <v>17979</v>
      </c>
      <c r="C2431" s="109">
        <v>42944</v>
      </c>
      <c r="D2431" s="108"/>
      <c r="E2431" s="108" t="s">
        <v>14605</v>
      </c>
      <c r="F2431" s="108" t="s">
        <v>17980</v>
      </c>
      <c r="G2431" s="110"/>
      <c r="H2431" s="108" t="s">
        <v>1125</v>
      </c>
      <c r="I2431" s="108"/>
    </row>
    <row r="2432" spans="1:9" ht="27.6">
      <c r="A2432" s="108" t="s">
        <v>14690</v>
      </c>
      <c r="B2432" s="108" t="s">
        <v>17981</v>
      </c>
      <c r="C2432" s="109">
        <v>43041</v>
      </c>
      <c r="D2432" s="108"/>
      <c r="E2432" s="108" t="s">
        <v>14605</v>
      </c>
      <c r="F2432" s="108" t="s">
        <v>17982</v>
      </c>
      <c r="G2432" s="110"/>
      <c r="H2432" s="108" t="s">
        <v>1125</v>
      </c>
      <c r="I2432" s="108"/>
    </row>
    <row r="2433" spans="1:9" ht="27.6">
      <c r="A2433" s="108" t="s">
        <v>14690</v>
      </c>
      <c r="B2433" s="108" t="s">
        <v>17983</v>
      </c>
      <c r="C2433" s="109">
        <v>43142</v>
      </c>
      <c r="D2433" s="108"/>
      <c r="E2433" s="108" t="s">
        <v>14605</v>
      </c>
      <c r="F2433" s="108" t="s">
        <v>17984</v>
      </c>
      <c r="G2433" s="110"/>
      <c r="H2433" s="108" t="s">
        <v>1125</v>
      </c>
      <c r="I2433" s="108"/>
    </row>
    <row r="2434" spans="1:9" ht="27.6">
      <c r="A2434" s="108" t="s">
        <v>14690</v>
      </c>
      <c r="B2434" s="108" t="s">
        <v>17985</v>
      </c>
      <c r="C2434" s="109">
        <v>43213</v>
      </c>
      <c r="D2434" s="108"/>
      <c r="E2434" s="108" t="s">
        <v>14605</v>
      </c>
      <c r="F2434" s="108" t="s">
        <v>15427</v>
      </c>
      <c r="G2434" s="110"/>
      <c r="H2434" s="108" t="s">
        <v>1125</v>
      </c>
      <c r="I2434" s="108"/>
    </row>
    <row r="2435" spans="1:9" ht="27.6">
      <c r="A2435" s="108" t="s">
        <v>14690</v>
      </c>
      <c r="B2435" s="108" t="s">
        <v>17986</v>
      </c>
      <c r="C2435" s="109">
        <v>43281</v>
      </c>
      <c r="D2435" s="108"/>
      <c r="E2435" s="108" t="s">
        <v>14605</v>
      </c>
      <c r="F2435" s="108" t="s">
        <v>17987</v>
      </c>
      <c r="G2435" s="110"/>
      <c r="H2435" s="108" t="s">
        <v>1125</v>
      </c>
      <c r="I2435" s="108"/>
    </row>
    <row r="2436" spans="1:9" ht="27.6">
      <c r="A2436" s="108" t="s">
        <v>14690</v>
      </c>
      <c r="B2436" s="108" t="s">
        <v>17988</v>
      </c>
      <c r="C2436" s="109">
        <v>43364</v>
      </c>
      <c r="D2436" s="108"/>
      <c r="E2436" s="108" t="s">
        <v>14605</v>
      </c>
      <c r="F2436" s="108" t="s">
        <v>14716</v>
      </c>
      <c r="G2436" s="110"/>
      <c r="H2436" s="108" t="s">
        <v>1125</v>
      </c>
      <c r="I2436" s="108"/>
    </row>
    <row r="2437" spans="1:9" ht="27.6">
      <c r="A2437" s="108" t="s">
        <v>14690</v>
      </c>
      <c r="B2437" s="108" t="s">
        <v>17989</v>
      </c>
      <c r="C2437" s="109">
        <v>43363</v>
      </c>
      <c r="D2437" s="108"/>
      <c r="E2437" s="108" t="s">
        <v>14605</v>
      </c>
      <c r="F2437" s="108" t="s">
        <v>14716</v>
      </c>
      <c r="G2437" s="110"/>
      <c r="H2437" s="108" t="s">
        <v>1125</v>
      </c>
      <c r="I2437" s="108"/>
    </row>
    <row r="2438" spans="1:9" ht="27.6">
      <c r="A2438" s="108" t="s">
        <v>14690</v>
      </c>
      <c r="B2438" s="108" t="s">
        <v>17990</v>
      </c>
      <c r="C2438" s="109">
        <v>43552</v>
      </c>
      <c r="D2438" s="108"/>
      <c r="E2438" s="108" t="s">
        <v>14605</v>
      </c>
      <c r="F2438" s="108" t="s">
        <v>17991</v>
      </c>
      <c r="G2438" s="110"/>
      <c r="H2438" s="108" t="s">
        <v>1125</v>
      </c>
      <c r="I2438" s="108"/>
    </row>
    <row r="2439" spans="1:9" ht="27.6">
      <c r="A2439" s="108" t="s">
        <v>237</v>
      </c>
      <c r="B2439" s="108" t="s">
        <v>17992</v>
      </c>
      <c r="C2439" s="109">
        <v>42209</v>
      </c>
      <c r="D2439" s="108"/>
      <c r="E2439" s="108" t="s">
        <v>14605</v>
      </c>
      <c r="F2439" s="108" t="s">
        <v>15482</v>
      </c>
      <c r="G2439" s="110"/>
      <c r="H2439" s="108" t="s">
        <v>1125</v>
      </c>
      <c r="I2439" s="108"/>
    </row>
    <row r="2440" spans="1:9" ht="41.4">
      <c r="A2440" s="108" t="s">
        <v>237</v>
      </c>
      <c r="B2440" s="108" t="s">
        <v>17993</v>
      </c>
      <c r="C2440" s="109">
        <v>43644</v>
      </c>
      <c r="D2440" s="108"/>
      <c r="E2440" s="108" t="s">
        <v>14605</v>
      </c>
      <c r="F2440" s="108" t="s">
        <v>17928</v>
      </c>
      <c r="G2440" s="110"/>
      <c r="H2440" s="108" t="s">
        <v>1125</v>
      </c>
      <c r="I2440" s="108"/>
    </row>
    <row r="2441" spans="1:9">
      <c r="A2441" s="108" t="s">
        <v>237</v>
      </c>
      <c r="B2441" s="108" t="s">
        <v>17994</v>
      </c>
      <c r="C2441" s="109">
        <v>43686</v>
      </c>
      <c r="D2441" s="108"/>
      <c r="E2441" s="108" t="s">
        <v>14605</v>
      </c>
      <c r="F2441" s="108" t="s">
        <v>17995</v>
      </c>
      <c r="G2441" s="110"/>
      <c r="H2441" s="108" t="s">
        <v>1125</v>
      </c>
      <c r="I2441" s="108"/>
    </row>
    <row r="2442" spans="1:9" ht="27.6">
      <c r="A2442" s="108" t="s">
        <v>237</v>
      </c>
      <c r="B2442" s="108" t="s">
        <v>17996</v>
      </c>
      <c r="C2442" s="109">
        <v>43805</v>
      </c>
      <c r="D2442" s="108"/>
      <c r="E2442" s="108" t="s">
        <v>14605</v>
      </c>
      <c r="F2442" s="108" t="s">
        <v>17997</v>
      </c>
      <c r="G2442" s="110"/>
      <c r="H2442" s="108" t="s">
        <v>1125</v>
      </c>
      <c r="I2442" s="108"/>
    </row>
    <row r="2443" spans="1:9" ht="41.4">
      <c r="A2443" s="108" t="s">
        <v>571</v>
      </c>
      <c r="B2443" s="108" t="s">
        <v>17998</v>
      </c>
      <c r="C2443" s="109">
        <v>42027</v>
      </c>
      <c r="D2443" s="108"/>
      <c r="E2443" s="108" t="s">
        <v>14605</v>
      </c>
      <c r="F2443" s="108" t="s">
        <v>17999</v>
      </c>
      <c r="G2443" s="110"/>
      <c r="H2443" s="108" t="s">
        <v>1125</v>
      </c>
      <c r="I2443" s="108"/>
    </row>
    <row r="2444" spans="1:9" ht="27.6">
      <c r="A2444" s="108" t="s">
        <v>571</v>
      </c>
      <c r="B2444" s="108" t="s">
        <v>18000</v>
      </c>
      <c r="C2444" s="109">
        <v>41943</v>
      </c>
      <c r="D2444" s="108"/>
      <c r="E2444" s="108" t="s">
        <v>14605</v>
      </c>
      <c r="F2444" s="108" t="s">
        <v>16099</v>
      </c>
      <c r="G2444" s="110"/>
      <c r="H2444" s="108" t="s">
        <v>1125</v>
      </c>
      <c r="I2444" s="108"/>
    </row>
    <row r="2445" spans="1:9" ht="27.6">
      <c r="A2445" s="108" t="s">
        <v>571</v>
      </c>
      <c r="B2445" s="108" t="s">
        <v>18001</v>
      </c>
      <c r="C2445" s="109">
        <v>42228</v>
      </c>
      <c r="D2445" s="108"/>
      <c r="E2445" s="108" t="s">
        <v>14605</v>
      </c>
      <c r="F2445" s="108" t="s">
        <v>17549</v>
      </c>
      <c r="G2445" s="110"/>
      <c r="H2445" s="108" t="s">
        <v>1125</v>
      </c>
      <c r="I2445" s="108"/>
    </row>
    <row r="2446" spans="1:9" ht="27.6">
      <c r="A2446" s="108" t="s">
        <v>571</v>
      </c>
      <c r="B2446" s="108" t="s">
        <v>18002</v>
      </c>
      <c r="C2446" s="109">
        <v>42728</v>
      </c>
      <c r="D2446" s="108"/>
      <c r="E2446" s="108" t="s">
        <v>14605</v>
      </c>
      <c r="F2446" s="108" t="s">
        <v>18003</v>
      </c>
      <c r="G2446" s="110"/>
      <c r="H2446" s="108" t="s">
        <v>1125</v>
      </c>
      <c r="I2446" s="108"/>
    </row>
    <row r="2447" spans="1:9" ht="27.6">
      <c r="A2447" s="108" t="s">
        <v>571</v>
      </c>
      <c r="B2447" s="108" t="s">
        <v>18004</v>
      </c>
      <c r="C2447" s="109">
        <v>43334</v>
      </c>
      <c r="D2447" s="108"/>
      <c r="E2447" s="108" t="s">
        <v>14605</v>
      </c>
      <c r="F2447" s="108" t="s">
        <v>18005</v>
      </c>
      <c r="G2447" s="110"/>
      <c r="H2447" s="108" t="s">
        <v>1125</v>
      </c>
      <c r="I2447" s="108"/>
    </row>
    <row r="2448" spans="1:9" ht="27.6">
      <c r="A2448" s="108" t="s">
        <v>571</v>
      </c>
      <c r="B2448" s="108" t="s">
        <v>18006</v>
      </c>
      <c r="C2448" s="109">
        <v>43545</v>
      </c>
      <c r="D2448" s="108"/>
      <c r="E2448" s="108" t="s">
        <v>14605</v>
      </c>
      <c r="F2448" s="108" t="s">
        <v>17669</v>
      </c>
      <c r="G2448" s="110"/>
      <c r="H2448" s="108" t="s">
        <v>1125</v>
      </c>
      <c r="I2448" s="108"/>
    </row>
    <row r="2449" spans="1:9" ht="27.6">
      <c r="A2449" s="108" t="s">
        <v>923</v>
      </c>
      <c r="B2449" s="108" t="s">
        <v>18007</v>
      </c>
      <c r="C2449" s="109">
        <v>43595</v>
      </c>
      <c r="D2449" s="108"/>
      <c r="E2449" s="108" t="s">
        <v>14605</v>
      </c>
      <c r="F2449" s="108" t="s">
        <v>15687</v>
      </c>
      <c r="G2449" s="110"/>
      <c r="H2449" s="108" t="s">
        <v>1125</v>
      </c>
      <c r="I2449" s="108"/>
    </row>
    <row r="2450" spans="1:9" ht="27.6">
      <c r="A2450" s="108" t="s">
        <v>571</v>
      </c>
      <c r="B2450" s="108" t="s">
        <v>18008</v>
      </c>
      <c r="C2450" s="109">
        <v>43644</v>
      </c>
      <c r="D2450" s="108"/>
      <c r="E2450" s="108" t="s">
        <v>14605</v>
      </c>
      <c r="F2450" s="108" t="s">
        <v>18009</v>
      </c>
      <c r="G2450" s="110"/>
      <c r="H2450" s="108" t="s">
        <v>1125</v>
      </c>
      <c r="I2450" s="108"/>
    </row>
    <row r="2451" spans="1:9" ht="27.6">
      <c r="A2451" s="108" t="s">
        <v>571</v>
      </c>
      <c r="B2451" s="108" t="s">
        <v>18010</v>
      </c>
      <c r="C2451" s="109">
        <v>43686</v>
      </c>
      <c r="D2451" s="108"/>
      <c r="E2451" s="108" t="s">
        <v>14605</v>
      </c>
      <c r="F2451" s="108" t="s">
        <v>18011</v>
      </c>
      <c r="G2451" s="110"/>
      <c r="H2451" s="108" t="s">
        <v>1125</v>
      </c>
      <c r="I2451" s="108"/>
    </row>
    <row r="2452" spans="1:9">
      <c r="A2452" s="108" t="s">
        <v>571</v>
      </c>
      <c r="B2452" s="108" t="s">
        <v>18012</v>
      </c>
      <c r="C2452" s="109">
        <v>43962</v>
      </c>
      <c r="D2452" s="108"/>
      <c r="E2452" s="108" t="s">
        <v>14605</v>
      </c>
      <c r="F2452" s="108" t="s">
        <v>14764</v>
      </c>
      <c r="G2452" s="110"/>
      <c r="H2452" s="108" t="s">
        <v>1125</v>
      </c>
      <c r="I2452" s="108"/>
    </row>
    <row r="2453" spans="1:9" ht="27.6">
      <c r="A2453" s="108" t="s">
        <v>2002</v>
      </c>
      <c r="B2453" s="108" t="s">
        <v>18013</v>
      </c>
      <c r="C2453" s="109">
        <v>42266</v>
      </c>
      <c r="D2453" s="108"/>
      <c r="E2453" s="108" t="s">
        <v>14605</v>
      </c>
      <c r="F2453" s="108" t="s">
        <v>18014</v>
      </c>
      <c r="G2453" s="110"/>
      <c r="H2453" s="108" t="s">
        <v>1125</v>
      </c>
      <c r="I2453" s="108"/>
    </row>
    <row r="2454" spans="1:9" ht="27.6">
      <c r="A2454" s="108" t="s">
        <v>2002</v>
      </c>
      <c r="B2454" s="108" t="s">
        <v>18015</v>
      </c>
      <c r="C2454" s="109">
        <v>42266</v>
      </c>
      <c r="D2454" s="108"/>
      <c r="E2454" s="108" t="s">
        <v>14605</v>
      </c>
      <c r="F2454" s="108" t="s">
        <v>18016</v>
      </c>
      <c r="G2454" s="110"/>
      <c r="H2454" s="108" t="s">
        <v>1125</v>
      </c>
      <c r="I2454" s="108"/>
    </row>
    <row r="2455" spans="1:9" ht="27.6">
      <c r="A2455" s="108" t="s">
        <v>2002</v>
      </c>
      <c r="B2455" s="108" t="s">
        <v>18017</v>
      </c>
      <c r="C2455" s="109">
        <v>42469</v>
      </c>
      <c r="D2455" s="108"/>
      <c r="E2455" s="108" t="s">
        <v>14605</v>
      </c>
      <c r="F2455" s="108" t="s">
        <v>17621</v>
      </c>
      <c r="G2455" s="110"/>
      <c r="H2455" s="108" t="s">
        <v>1125</v>
      </c>
      <c r="I2455" s="108"/>
    </row>
    <row r="2456" spans="1:9">
      <c r="A2456" s="108" t="s">
        <v>2002</v>
      </c>
      <c r="B2456" s="108" t="s">
        <v>18018</v>
      </c>
      <c r="C2456" s="109">
        <v>42357</v>
      </c>
      <c r="D2456" s="108"/>
      <c r="E2456" s="108" t="s">
        <v>14605</v>
      </c>
      <c r="F2456" s="108" t="s">
        <v>16142</v>
      </c>
      <c r="G2456" s="110"/>
      <c r="H2456" s="108" t="s">
        <v>1125</v>
      </c>
      <c r="I2456" s="108"/>
    </row>
    <row r="2457" spans="1:9" ht="41.4">
      <c r="A2457" s="108" t="s">
        <v>2002</v>
      </c>
      <c r="B2457" s="108" t="s">
        <v>18019</v>
      </c>
      <c r="C2457" s="109">
        <v>42436</v>
      </c>
      <c r="D2457" s="108"/>
      <c r="E2457" s="108" t="s">
        <v>14605</v>
      </c>
      <c r="F2457" s="108" t="s">
        <v>18020</v>
      </c>
      <c r="G2457" s="110"/>
      <c r="H2457" s="108" t="s">
        <v>1125</v>
      </c>
      <c r="I2457" s="108"/>
    </row>
    <row r="2458" spans="1:9">
      <c r="A2458" s="108" t="s">
        <v>2002</v>
      </c>
      <c r="B2458" s="108" t="s">
        <v>18021</v>
      </c>
      <c r="C2458" s="109">
        <v>42483</v>
      </c>
      <c r="D2458" s="108"/>
      <c r="E2458" s="108" t="s">
        <v>14605</v>
      </c>
      <c r="F2458" s="108" t="s">
        <v>16142</v>
      </c>
      <c r="G2458" s="110"/>
      <c r="H2458" s="108" t="s">
        <v>1125</v>
      </c>
      <c r="I2458" s="108"/>
    </row>
    <row r="2459" spans="1:9">
      <c r="A2459" s="108" t="s">
        <v>2002</v>
      </c>
      <c r="B2459" s="108" t="s">
        <v>18022</v>
      </c>
      <c r="C2459" s="109">
        <v>42519</v>
      </c>
      <c r="D2459" s="108"/>
      <c r="E2459" s="108" t="s">
        <v>14605</v>
      </c>
      <c r="F2459" s="108" t="s">
        <v>18023</v>
      </c>
      <c r="G2459" s="110"/>
      <c r="H2459" s="108" t="s">
        <v>1125</v>
      </c>
      <c r="I2459" s="108"/>
    </row>
    <row r="2460" spans="1:9" ht="27.6">
      <c r="A2460" s="108" t="s">
        <v>18024</v>
      </c>
      <c r="B2460" s="108" t="s">
        <v>18025</v>
      </c>
      <c r="C2460" s="109">
        <v>42504</v>
      </c>
      <c r="D2460" s="108"/>
      <c r="E2460" s="108" t="s">
        <v>14605</v>
      </c>
      <c r="F2460" s="108" t="s">
        <v>16690</v>
      </c>
      <c r="G2460" s="110"/>
      <c r="H2460" s="108" t="s">
        <v>1125</v>
      </c>
      <c r="I2460" s="108"/>
    </row>
    <row r="2461" spans="1:9" ht="27.6">
      <c r="A2461" s="108" t="s">
        <v>2002</v>
      </c>
      <c r="B2461" s="108" t="s">
        <v>18026</v>
      </c>
      <c r="C2461" s="109">
        <v>42577</v>
      </c>
      <c r="D2461" s="108"/>
      <c r="E2461" s="108" t="s">
        <v>14605</v>
      </c>
      <c r="F2461" s="108" t="s">
        <v>17503</v>
      </c>
      <c r="G2461" s="110"/>
      <c r="H2461" s="108" t="s">
        <v>1125</v>
      </c>
      <c r="I2461" s="108"/>
    </row>
    <row r="2462" spans="1:9" ht="41.4">
      <c r="A2462" s="108" t="s">
        <v>2002</v>
      </c>
      <c r="B2462" s="108" t="s">
        <v>18027</v>
      </c>
      <c r="C2462" s="109">
        <v>42641</v>
      </c>
      <c r="D2462" s="108"/>
      <c r="E2462" s="108" t="s">
        <v>14605</v>
      </c>
      <c r="F2462" s="108" t="s">
        <v>18028</v>
      </c>
      <c r="G2462" s="110"/>
      <c r="H2462" s="108" t="s">
        <v>1125</v>
      </c>
      <c r="I2462" s="108"/>
    </row>
    <row r="2463" spans="1:9" ht="27.6">
      <c r="A2463" s="108" t="s">
        <v>2002</v>
      </c>
      <c r="B2463" s="108" t="s">
        <v>18029</v>
      </c>
      <c r="C2463" s="109">
        <v>42550</v>
      </c>
      <c r="D2463" s="108"/>
      <c r="E2463" s="108" t="s">
        <v>14605</v>
      </c>
      <c r="F2463" s="108" t="s">
        <v>18030</v>
      </c>
      <c r="G2463" s="110"/>
      <c r="H2463" s="108" t="s">
        <v>1125</v>
      </c>
      <c r="I2463" s="108"/>
    </row>
    <row r="2464" spans="1:9">
      <c r="A2464" s="108" t="s">
        <v>2002</v>
      </c>
      <c r="B2464" s="108" t="s">
        <v>18031</v>
      </c>
      <c r="C2464" s="109">
        <v>42929</v>
      </c>
      <c r="D2464" s="108"/>
      <c r="E2464" s="108" t="s">
        <v>14605</v>
      </c>
      <c r="F2464" s="108" t="s">
        <v>17579</v>
      </c>
      <c r="G2464" s="110"/>
      <c r="H2464" s="108" t="s">
        <v>1125</v>
      </c>
      <c r="I2464" s="108"/>
    </row>
    <row r="2465" spans="1:9" ht="27.6">
      <c r="A2465" s="108" t="s">
        <v>2002</v>
      </c>
      <c r="B2465" s="108" t="s">
        <v>18032</v>
      </c>
      <c r="C2465" s="109">
        <v>42980</v>
      </c>
      <c r="D2465" s="108"/>
      <c r="E2465" s="108" t="s">
        <v>14605</v>
      </c>
      <c r="F2465" s="108" t="s">
        <v>18030</v>
      </c>
      <c r="G2465" s="110"/>
      <c r="H2465" s="108" t="s">
        <v>1125</v>
      </c>
      <c r="I2465" s="108"/>
    </row>
    <row r="2466" spans="1:9">
      <c r="A2466" s="108" t="s">
        <v>2002</v>
      </c>
      <c r="B2466" s="108" t="s">
        <v>18033</v>
      </c>
      <c r="C2466" s="109">
        <v>43281</v>
      </c>
      <c r="D2466" s="108"/>
      <c r="E2466" s="108" t="s">
        <v>14605</v>
      </c>
      <c r="F2466" s="108" t="s">
        <v>15476</v>
      </c>
      <c r="G2466" s="110"/>
      <c r="H2466" s="108" t="s">
        <v>1125</v>
      </c>
      <c r="I2466" s="108"/>
    </row>
    <row r="2467" spans="1:9" ht="27.6">
      <c r="A2467" s="108" t="s">
        <v>2002</v>
      </c>
      <c r="B2467" s="108" t="s">
        <v>18034</v>
      </c>
      <c r="C2467" s="109">
        <v>43106</v>
      </c>
      <c r="D2467" s="108"/>
      <c r="E2467" s="108" t="s">
        <v>14605</v>
      </c>
      <c r="F2467" s="108" t="s">
        <v>18035</v>
      </c>
      <c r="G2467" s="110"/>
      <c r="H2467" s="108" t="s">
        <v>1125</v>
      </c>
      <c r="I2467" s="108"/>
    </row>
    <row r="2468" spans="1:9" ht="27.6">
      <c r="A2468" s="108" t="s">
        <v>2002</v>
      </c>
      <c r="B2468" s="108" t="s">
        <v>18036</v>
      </c>
      <c r="C2468" s="109">
        <v>43261</v>
      </c>
      <c r="D2468" s="108"/>
      <c r="E2468" s="108" t="s">
        <v>14605</v>
      </c>
      <c r="F2468" s="108" t="s">
        <v>17510</v>
      </c>
      <c r="G2468" s="110"/>
      <c r="H2468" s="108" t="s">
        <v>1125</v>
      </c>
      <c r="I2468" s="108"/>
    </row>
    <row r="2469" spans="1:9">
      <c r="A2469" s="108" t="s">
        <v>172</v>
      </c>
      <c r="B2469" s="108" t="s">
        <v>18037</v>
      </c>
      <c r="C2469" s="109">
        <v>43189</v>
      </c>
      <c r="D2469" s="108"/>
      <c r="E2469" s="108" t="s">
        <v>14605</v>
      </c>
      <c r="F2469" s="108" t="s">
        <v>18038</v>
      </c>
      <c r="G2469" s="110"/>
      <c r="H2469" s="108" t="s">
        <v>1125</v>
      </c>
      <c r="I2469" s="108"/>
    </row>
    <row r="2470" spans="1:9" ht="27.6">
      <c r="A2470" s="108" t="s">
        <v>2002</v>
      </c>
      <c r="B2470" s="108" t="s">
        <v>18039</v>
      </c>
      <c r="C2470" s="109">
        <v>43245</v>
      </c>
      <c r="D2470" s="108"/>
      <c r="E2470" s="108" t="s">
        <v>14605</v>
      </c>
      <c r="F2470" s="108" t="s">
        <v>18040</v>
      </c>
      <c r="G2470" s="110"/>
      <c r="H2470" s="108" t="s">
        <v>1125</v>
      </c>
      <c r="I2470" s="108"/>
    </row>
    <row r="2471" spans="1:9" ht="27.6">
      <c r="A2471" s="108" t="s">
        <v>2002</v>
      </c>
      <c r="B2471" s="108" t="s">
        <v>18041</v>
      </c>
      <c r="C2471" s="109">
        <v>43263</v>
      </c>
      <c r="D2471" s="108"/>
      <c r="E2471" s="108" t="s">
        <v>14605</v>
      </c>
      <c r="F2471" s="108" t="s">
        <v>18042</v>
      </c>
      <c r="G2471" s="110"/>
      <c r="H2471" s="108" t="s">
        <v>1125</v>
      </c>
      <c r="I2471" s="108"/>
    </row>
    <row r="2472" spans="1:9" ht="27.6">
      <c r="A2472" s="108" t="s">
        <v>2002</v>
      </c>
      <c r="B2472" s="108" t="s">
        <v>18043</v>
      </c>
      <c r="C2472" s="109">
        <v>43423</v>
      </c>
      <c r="D2472" s="108"/>
      <c r="E2472" s="108" t="s">
        <v>14605</v>
      </c>
      <c r="F2472" s="108" t="s">
        <v>18044</v>
      </c>
      <c r="G2472" s="110"/>
      <c r="H2472" s="108" t="s">
        <v>1125</v>
      </c>
      <c r="I2472" s="108"/>
    </row>
    <row r="2473" spans="1:9" ht="27.6">
      <c r="A2473" s="108" t="s">
        <v>2002</v>
      </c>
      <c r="B2473" s="108" t="s">
        <v>18045</v>
      </c>
      <c r="C2473" s="109">
        <v>43451</v>
      </c>
      <c r="D2473" s="108"/>
      <c r="E2473" s="108" t="s">
        <v>14605</v>
      </c>
      <c r="F2473" s="108" t="s">
        <v>18046</v>
      </c>
      <c r="G2473" s="110"/>
      <c r="H2473" s="108" t="s">
        <v>1125</v>
      </c>
      <c r="I2473" s="108"/>
    </row>
    <row r="2474" spans="1:9" ht="41.4">
      <c r="A2474" s="108" t="s">
        <v>2002</v>
      </c>
      <c r="B2474" s="108" t="s">
        <v>18047</v>
      </c>
      <c r="C2474" s="109">
        <v>43571</v>
      </c>
      <c r="D2474" s="108"/>
      <c r="E2474" s="108" t="s">
        <v>14605</v>
      </c>
      <c r="F2474" s="108" t="s">
        <v>18048</v>
      </c>
      <c r="G2474" s="110"/>
      <c r="H2474" s="108" t="s">
        <v>1125</v>
      </c>
      <c r="I2474" s="108"/>
    </row>
    <row r="2475" spans="1:9">
      <c r="A2475" s="108" t="s">
        <v>2002</v>
      </c>
      <c r="B2475" s="108" t="s">
        <v>18049</v>
      </c>
      <c r="C2475" s="109">
        <v>43590</v>
      </c>
      <c r="D2475" s="108"/>
      <c r="E2475" s="108" t="s">
        <v>14605</v>
      </c>
      <c r="F2475" s="108" t="s">
        <v>18050</v>
      </c>
      <c r="G2475" s="110"/>
      <c r="H2475" s="108" t="s">
        <v>1125</v>
      </c>
      <c r="I2475" s="108"/>
    </row>
    <row r="2476" spans="1:9" ht="27.6">
      <c r="A2476" s="108" t="s">
        <v>2002</v>
      </c>
      <c r="B2476" s="108" t="s">
        <v>18051</v>
      </c>
      <c r="C2476" s="109">
        <v>43686</v>
      </c>
      <c r="D2476" s="108"/>
      <c r="E2476" s="108" t="s">
        <v>14605</v>
      </c>
      <c r="F2476" s="108" t="s">
        <v>18030</v>
      </c>
      <c r="G2476" s="110"/>
      <c r="H2476" s="108" t="s">
        <v>1125</v>
      </c>
      <c r="I2476" s="108"/>
    </row>
    <row r="2477" spans="1:9" ht="27.6">
      <c r="A2477" s="108" t="s">
        <v>2002</v>
      </c>
      <c r="B2477" s="108" t="s">
        <v>18052</v>
      </c>
      <c r="C2477" s="109">
        <v>43686</v>
      </c>
      <c r="D2477" s="108"/>
      <c r="E2477" s="108" t="s">
        <v>14605</v>
      </c>
      <c r="F2477" s="108" t="s">
        <v>18030</v>
      </c>
      <c r="G2477" s="110"/>
      <c r="H2477" s="108" t="s">
        <v>1125</v>
      </c>
      <c r="I2477" s="108"/>
    </row>
    <row r="2478" spans="1:9" ht="27.6">
      <c r="A2478" s="108" t="s">
        <v>14690</v>
      </c>
      <c r="B2478" s="108" t="s">
        <v>18053</v>
      </c>
      <c r="C2478" s="109">
        <v>42154</v>
      </c>
      <c r="D2478" s="108"/>
      <c r="E2478" s="108" t="s">
        <v>14605</v>
      </c>
      <c r="F2478" s="108" t="s">
        <v>18054</v>
      </c>
      <c r="G2478" s="110"/>
      <c r="H2478" s="108" t="s">
        <v>1125</v>
      </c>
      <c r="I2478" s="108"/>
    </row>
    <row r="2479" spans="1:9" ht="27.6">
      <c r="A2479" s="108" t="s">
        <v>1465</v>
      </c>
      <c r="B2479" s="108" t="s">
        <v>18055</v>
      </c>
      <c r="C2479" s="109">
        <v>42167</v>
      </c>
      <c r="D2479" s="108"/>
      <c r="E2479" s="108" t="s">
        <v>14605</v>
      </c>
      <c r="F2479" s="108" t="s">
        <v>17568</v>
      </c>
      <c r="G2479" s="110"/>
      <c r="H2479" s="108" t="s">
        <v>1125</v>
      </c>
      <c r="I2479" s="108"/>
    </row>
    <row r="2480" spans="1:9">
      <c r="A2480" s="108" t="s">
        <v>1465</v>
      </c>
      <c r="B2480" s="108" t="s">
        <v>18056</v>
      </c>
      <c r="C2480" s="109">
        <v>42273</v>
      </c>
      <c r="D2480" s="108"/>
      <c r="E2480" s="108" t="s">
        <v>14605</v>
      </c>
      <c r="F2480" s="108" t="s">
        <v>18057</v>
      </c>
      <c r="G2480" s="110"/>
      <c r="H2480" s="108" t="s">
        <v>1125</v>
      </c>
      <c r="I2480" s="108"/>
    </row>
    <row r="2481" spans="1:9">
      <c r="A2481" s="108" t="s">
        <v>1465</v>
      </c>
      <c r="B2481" s="108" t="s">
        <v>18058</v>
      </c>
      <c r="C2481" s="109">
        <v>42294</v>
      </c>
      <c r="D2481" s="108"/>
      <c r="E2481" s="108" t="s">
        <v>14605</v>
      </c>
      <c r="F2481" s="108" t="s">
        <v>18023</v>
      </c>
      <c r="G2481" s="110"/>
      <c r="H2481" s="108" t="s">
        <v>1125</v>
      </c>
      <c r="I2481" s="108"/>
    </row>
    <row r="2482" spans="1:9" ht="27.6">
      <c r="A2482" s="108" t="s">
        <v>1465</v>
      </c>
      <c r="B2482" s="108" t="s">
        <v>18059</v>
      </c>
      <c r="C2482" s="109">
        <v>42357</v>
      </c>
      <c r="D2482" s="108"/>
      <c r="E2482" s="108" t="s">
        <v>14605</v>
      </c>
      <c r="F2482" s="108" t="s">
        <v>18060</v>
      </c>
      <c r="G2482" s="110"/>
      <c r="H2482" s="108" t="s">
        <v>1125</v>
      </c>
      <c r="I2482" s="108"/>
    </row>
    <row r="2483" spans="1:9">
      <c r="A2483" s="108" t="s">
        <v>1465</v>
      </c>
      <c r="B2483" s="108" t="s">
        <v>18061</v>
      </c>
      <c r="C2483" s="109">
        <v>42434</v>
      </c>
      <c r="D2483" s="108"/>
      <c r="E2483" s="108" t="s">
        <v>14605</v>
      </c>
      <c r="F2483" s="108" t="s">
        <v>18062</v>
      </c>
      <c r="G2483" s="110"/>
      <c r="H2483" s="108" t="s">
        <v>1125</v>
      </c>
      <c r="I2483" s="108"/>
    </row>
    <row r="2484" spans="1:9">
      <c r="A2484" s="108" t="s">
        <v>1465</v>
      </c>
      <c r="B2484" s="108" t="s">
        <v>18063</v>
      </c>
      <c r="C2484" s="109">
        <v>42350</v>
      </c>
      <c r="D2484" s="108"/>
      <c r="E2484" s="108" t="s">
        <v>14605</v>
      </c>
      <c r="F2484" s="108" t="s">
        <v>18064</v>
      </c>
      <c r="G2484" s="110"/>
      <c r="H2484" s="108" t="s">
        <v>1125</v>
      </c>
      <c r="I2484" s="108"/>
    </row>
    <row r="2485" spans="1:9">
      <c r="A2485" s="108" t="s">
        <v>1465</v>
      </c>
      <c r="B2485" s="108" t="s">
        <v>18065</v>
      </c>
      <c r="C2485" s="109">
        <v>42462</v>
      </c>
      <c r="D2485" s="108"/>
      <c r="E2485" s="108" t="s">
        <v>14605</v>
      </c>
      <c r="F2485" s="108" t="s">
        <v>18066</v>
      </c>
      <c r="G2485" s="110"/>
      <c r="H2485" s="108" t="s">
        <v>1125</v>
      </c>
      <c r="I2485" s="108"/>
    </row>
    <row r="2486" spans="1:9">
      <c r="A2486" s="108" t="s">
        <v>1465</v>
      </c>
      <c r="B2486" s="108" t="s">
        <v>18067</v>
      </c>
      <c r="C2486" s="109">
        <v>42629</v>
      </c>
      <c r="D2486" s="108"/>
      <c r="E2486" s="108" t="s">
        <v>14605</v>
      </c>
      <c r="F2486" s="108" t="s">
        <v>18068</v>
      </c>
      <c r="G2486" s="110"/>
      <c r="H2486" s="108" t="s">
        <v>1125</v>
      </c>
      <c r="I2486" s="108"/>
    </row>
    <row r="2487" spans="1:9" ht="27.6">
      <c r="A2487" s="108" t="s">
        <v>1465</v>
      </c>
      <c r="B2487" s="108" t="s">
        <v>18069</v>
      </c>
      <c r="C2487" s="109">
        <v>42386</v>
      </c>
      <c r="D2487" s="108"/>
      <c r="E2487" s="108" t="s">
        <v>14605</v>
      </c>
      <c r="F2487" s="108" t="s">
        <v>18070</v>
      </c>
      <c r="G2487" s="110"/>
      <c r="H2487" s="108" t="s">
        <v>1125</v>
      </c>
      <c r="I2487" s="108"/>
    </row>
    <row r="2488" spans="1:9">
      <c r="A2488" s="108" t="s">
        <v>1465</v>
      </c>
      <c r="B2488" s="108" t="s">
        <v>18071</v>
      </c>
      <c r="C2488" s="109">
        <v>42425</v>
      </c>
      <c r="D2488" s="108"/>
      <c r="E2488" s="108" t="s">
        <v>14605</v>
      </c>
      <c r="F2488" s="108" t="s">
        <v>18072</v>
      </c>
      <c r="G2488" s="110"/>
      <c r="H2488" s="108" t="s">
        <v>1125</v>
      </c>
      <c r="I2488" s="108"/>
    </row>
    <row r="2489" spans="1:9" ht="27.6">
      <c r="A2489" s="108" t="s">
        <v>1465</v>
      </c>
      <c r="B2489" s="108" t="s">
        <v>18073</v>
      </c>
      <c r="C2489" s="109">
        <v>42392</v>
      </c>
      <c r="D2489" s="108"/>
      <c r="E2489" s="108" t="s">
        <v>14605</v>
      </c>
      <c r="F2489" s="108" t="s">
        <v>18074</v>
      </c>
      <c r="G2489" s="110"/>
      <c r="H2489" s="108" t="s">
        <v>1125</v>
      </c>
      <c r="I2489" s="108"/>
    </row>
    <row r="2490" spans="1:9">
      <c r="A2490" s="108" t="s">
        <v>1465</v>
      </c>
      <c r="B2490" s="108" t="s">
        <v>18075</v>
      </c>
      <c r="C2490" s="109">
        <v>42443</v>
      </c>
      <c r="D2490" s="108"/>
      <c r="E2490" s="108" t="s">
        <v>14605</v>
      </c>
      <c r="F2490" s="108" t="s">
        <v>17713</v>
      </c>
      <c r="G2490" s="110"/>
      <c r="H2490" s="108" t="s">
        <v>1125</v>
      </c>
      <c r="I2490" s="108"/>
    </row>
    <row r="2491" spans="1:9" ht="41.4">
      <c r="A2491" s="108" t="s">
        <v>1465</v>
      </c>
      <c r="B2491" s="108" t="s">
        <v>18076</v>
      </c>
      <c r="C2491" s="109">
        <v>42427</v>
      </c>
      <c r="D2491" s="108"/>
      <c r="E2491" s="108" t="s">
        <v>14605</v>
      </c>
      <c r="F2491" s="108" t="s">
        <v>18077</v>
      </c>
      <c r="G2491" s="110"/>
      <c r="H2491" s="108" t="s">
        <v>1125</v>
      </c>
      <c r="I2491" s="108"/>
    </row>
    <row r="2492" spans="1:9" ht="27.6">
      <c r="A2492" s="108" t="s">
        <v>1465</v>
      </c>
      <c r="B2492" s="108" t="s">
        <v>18078</v>
      </c>
      <c r="C2492" s="109">
        <v>42511</v>
      </c>
      <c r="D2492" s="108"/>
      <c r="E2492" s="108" t="s">
        <v>14605</v>
      </c>
      <c r="F2492" s="108" t="s">
        <v>18079</v>
      </c>
      <c r="G2492" s="110"/>
      <c r="H2492" s="108" t="s">
        <v>1125</v>
      </c>
      <c r="I2492" s="108"/>
    </row>
    <row r="2493" spans="1:9">
      <c r="A2493" s="108" t="s">
        <v>1465</v>
      </c>
      <c r="B2493" s="108" t="s">
        <v>18080</v>
      </c>
      <c r="C2493" s="109">
        <v>42504</v>
      </c>
      <c r="D2493" s="108"/>
      <c r="E2493" s="108" t="s">
        <v>14605</v>
      </c>
      <c r="F2493" s="108" t="s">
        <v>16690</v>
      </c>
      <c r="G2493" s="110"/>
      <c r="H2493" s="108" t="s">
        <v>1125</v>
      </c>
      <c r="I2493" s="108"/>
    </row>
    <row r="2494" spans="1:9" ht="27.6">
      <c r="A2494" s="108" t="s">
        <v>1465</v>
      </c>
      <c r="B2494" s="108" t="s">
        <v>18081</v>
      </c>
      <c r="C2494" s="109">
        <v>42569</v>
      </c>
      <c r="D2494" s="108"/>
      <c r="E2494" s="108" t="s">
        <v>14605</v>
      </c>
      <c r="F2494" s="108" t="s">
        <v>18082</v>
      </c>
      <c r="G2494" s="110"/>
      <c r="H2494" s="108" t="s">
        <v>1125</v>
      </c>
      <c r="I2494" s="108"/>
    </row>
    <row r="2495" spans="1:9" ht="27.6">
      <c r="A2495" s="108" t="s">
        <v>1465</v>
      </c>
      <c r="B2495" s="108" t="s">
        <v>18083</v>
      </c>
      <c r="C2495" s="109">
        <v>42553</v>
      </c>
      <c r="D2495" s="108"/>
      <c r="E2495" s="108" t="s">
        <v>14605</v>
      </c>
      <c r="F2495" s="108" t="s">
        <v>18084</v>
      </c>
      <c r="G2495" s="110"/>
      <c r="H2495" s="108" t="s">
        <v>1125</v>
      </c>
      <c r="I2495" s="108"/>
    </row>
    <row r="2496" spans="1:9">
      <c r="A2496" s="108" t="s">
        <v>1465</v>
      </c>
      <c r="B2496" s="108" t="s">
        <v>18085</v>
      </c>
      <c r="C2496" s="109">
        <v>42620</v>
      </c>
      <c r="D2496" s="108"/>
      <c r="E2496" s="108" t="s">
        <v>14605</v>
      </c>
      <c r="F2496" s="108" t="s">
        <v>18086</v>
      </c>
      <c r="G2496" s="110"/>
      <c r="H2496" s="108" t="s">
        <v>1125</v>
      </c>
      <c r="I2496" s="108"/>
    </row>
    <row r="2497" spans="1:9">
      <c r="A2497" s="108" t="s">
        <v>1465</v>
      </c>
      <c r="B2497" s="108" t="s">
        <v>18087</v>
      </c>
      <c r="C2497" s="109">
        <v>42688</v>
      </c>
      <c r="D2497" s="108"/>
      <c r="E2497" s="108" t="s">
        <v>14605</v>
      </c>
      <c r="F2497" s="108" t="s">
        <v>18088</v>
      </c>
      <c r="G2497" s="110"/>
      <c r="H2497" s="108" t="s">
        <v>1125</v>
      </c>
      <c r="I2497" s="108"/>
    </row>
    <row r="2498" spans="1:9" ht="41.4">
      <c r="A2498" s="108" t="s">
        <v>1465</v>
      </c>
      <c r="B2498" s="108" t="s">
        <v>18089</v>
      </c>
      <c r="C2498" s="109">
        <v>42722</v>
      </c>
      <c r="D2498" s="108"/>
      <c r="E2498" s="108" t="s">
        <v>14605</v>
      </c>
      <c r="F2498" s="108" t="s">
        <v>18090</v>
      </c>
      <c r="G2498" s="110"/>
      <c r="H2498" s="108" t="s">
        <v>1125</v>
      </c>
      <c r="I2498" s="108"/>
    </row>
    <row r="2499" spans="1:9" ht="27.6">
      <c r="A2499" s="108" t="s">
        <v>1465</v>
      </c>
      <c r="B2499" s="108" t="s">
        <v>18091</v>
      </c>
      <c r="C2499" s="109">
        <v>42721</v>
      </c>
      <c r="D2499" s="108"/>
      <c r="E2499" s="108" t="s">
        <v>14605</v>
      </c>
      <c r="F2499" s="108" t="s">
        <v>18092</v>
      </c>
      <c r="G2499" s="110"/>
      <c r="H2499" s="108" t="s">
        <v>1125</v>
      </c>
      <c r="I2499" s="108"/>
    </row>
    <row r="2500" spans="1:9" ht="27.6">
      <c r="A2500" s="108" t="s">
        <v>1465</v>
      </c>
      <c r="B2500" s="108" t="s">
        <v>18093</v>
      </c>
      <c r="C2500" s="109">
        <v>42775</v>
      </c>
      <c r="D2500" s="108"/>
      <c r="E2500" s="108" t="s">
        <v>14605</v>
      </c>
      <c r="F2500" s="108" t="s">
        <v>18094</v>
      </c>
      <c r="G2500" s="110"/>
      <c r="H2500" s="108" t="s">
        <v>1125</v>
      </c>
      <c r="I2500" s="108"/>
    </row>
    <row r="2501" spans="1:9">
      <c r="A2501" s="108" t="s">
        <v>1465</v>
      </c>
      <c r="B2501" s="108" t="s">
        <v>18095</v>
      </c>
      <c r="C2501" s="109">
        <v>42808</v>
      </c>
      <c r="D2501" s="108"/>
      <c r="E2501" s="108" t="s">
        <v>14605</v>
      </c>
      <c r="F2501" s="108" t="s">
        <v>17590</v>
      </c>
      <c r="G2501" s="110"/>
      <c r="H2501" s="108" t="s">
        <v>1125</v>
      </c>
      <c r="I2501" s="108"/>
    </row>
    <row r="2502" spans="1:9" ht="27.6">
      <c r="A2502" s="108" t="s">
        <v>1465</v>
      </c>
      <c r="B2502" s="108" t="s">
        <v>18096</v>
      </c>
      <c r="C2502" s="109">
        <v>42910</v>
      </c>
      <c r="D2502" s="108"/>
      <c r="E2502" s="108" t="s">
        <v>14605</v>
      </c>
      <c r="F2502" s="108" t="s">
        <v>18097</v>
      </c>
      <c r="G2502" s="110"/>
      <c r="H2502" s="108" t="s">
        <v>1125</v>
      </c>
      <c r="I2502" s="108"/>
    </row>
    <row r="2503" spans="1:9" ht="41.4">
      <c r="A2503" s="108" t="s">
        <v>1465</v>
      </c>
      <c r="B2503" s="108" t="s">
        <v>18098</v>
      </c>
      <c r="C2503" s="109">
        <v>43198</v>
      </c>
      <c r="D2503" s="108"/>
      <c r="E2503" s="108" t="s">
        <v>14605</v>
      </c>
      <c r="F2503" s="108" t="s">
        <v>18099</v>
      </c>
      <c r="G2503" s="110"/>
      <c r="H2503" s="108" t="s">
        <v>1125</v>
      </c>
      <c r="I2503" s="108"/>
    </row>
    <row r="2504" spans="1:9">
      <c r="A2504" s="108" t="s">
        <v>1465</v>
      </c>
      <c r="B2504" s="108" t="s">
        <v>18100</v>
      </c>
      <c r="C2504" s="109">
        <v>43085</v>
      </c>
      <c r="D2504" s="108"/>
      <c r="E2504" s="108" t="s">
        <v>14605</v>
      </c>
      <c r="F2504" s="108" t="s">
        <v>15297</v>
      </c>
      <c r="G2504" s="110"/>
      <c r="H2504" s="108" t="s">
        <v>1125</v>
      </c>
      <c r="I2504" s="108"/>
    </row>
    <row r="2505" spans="1:9">
      <c r="A2505" s="108" t="s">
        <v>1465</v>
      </c>
      <c r="B2505" s="108" t="s">
        <v>18101</v>
      </c>
      <c r="C2505" s="109">
        <v>42965</v>
      </c>
      <c r="D2505" s="108"/>
      <c r="E2505" s="108" t="s">
        <v>14605</v>
      </c>
      <c r="F2505" s="108" t="s">
        <v>18102</v>
      </c>
      <c r="G2505" s="110"/>
      <c r="H2505" s="108" t="s">
        <v>1125</v>
      </c>
      <c r="I2505" s="108"/>
    </row>
    <row r="2506" spans="1:9">
      <c r="A2506" s="108" t="s">
        <v>1465</v>
      </c>
      <c r="B2506" s="108" t="s">
        <v>18103</v>
      </c>
      <c r="C2506" s="109">
        <v>42987</v>
      </c>
      <c r="D2506" s="108"/>
      <c r="E2506" s="108" t="s">
        <v>14605</v>
      </c>
      <c r="F2506" s="108" t="s">
        <v>18104</v>
      </c>
      <c r="G2506" s="110"/>
      <c r="H2506" s="108" t="s">
        <v>1125</v>
      </c>
      <c r="I2506" s="108"/>
    </row>
    <row r="2507" spans="1:9">
      <c r="A2507" s="108" t="s">
        <v>1465</v>
      </c>
      <c r="B2507" s="108" t="s">
        <v>18105</v>
      </c>
      <c r="C2507" s="109">
        <v>43167</v>
      </c>
      <c r="D2507" s="108"/>
      <c r="E2507" s="108" t="s">
        <v>14605</v>
      </c>
      <c r="F2507" s="108" t="s">
        <v>17579</v>
      </c>
      <c r="G2507" s="110"/>
      <c r="H2507" s="108" t="s">
        <v>1125</v>
      </c>
      <c r="I2507" s="108"/>
    </row>
    <row r="2508" spans="1:9">
      <c r="A2508" s="108" t="s">
        <v>1465</v>
      </c>
      <c r="B2508" s="108" t="s">
        <v>18106</v>
      </c>
      <c r="C2508" s="109">
        <v>43168</v>
      </c>
      <c r="D2508" s="108"/>
      <c r="E2508" s="108" t="s">
        <v>14605</v>
      </c>
      <c r="F2508" s="108" t="s">
        <v>18107</v>
      </c>
      <c r="G2508" s="110"/>
      <c r="H2508" s="108" t="s">
        <v>1125</v>
      </c>
      <c r="I2508" s="108"/>
    </row>
    <row r="2509" spans="1:9" ht="27.6">
      <c r="A2509" s="108" t="s">
        <v>1465</v>
      </c>
      <c r="B2509" s="108" t="s">
        <v>18108</v>
      </c>
      <c r="C2509" s="109">
        <v>43186</v>
      </c>
      <c r="D2509" s="108"/>
      <c r="E2509" s="108" t="s">
        <v>14605</v>
      </c>
      <c r="F2509" s="108" t="s">
        <v>18109</v>
      </c>
      <c r="G2509" s="110"/>
      <c r="H2509" s="108" t="s">
        <v>1125</v>
      </c>
      <c r="I2509" s="108"/>
    </row>
    <row r="2510" spans="1:9" ht="27.6">
      <c r="A2510" s="108" t="s">
        <v>1465</v>
      </c>
      <c r="B2510" s="108" t="s">
        <v>18110</v>
      </c>
      <c r="C2510" s="109">
        <v>43189</v>
      </c>
      <c r="D2510" s="108"/>
      <c r="E2510" s="108" t="s">
        <v>14605</v>
      </c>
      <c r="F2510" s="108" t="s">
        <v>18111</v>
      </c>
      <c r="G2510" s="110"/>
      <c r="H2510" s="108" t="s">
        <v>1125</v>
      </c>
      <c r="I2510" s="108"/>
    </row>
    <row r="2511" spans="1:9" ht="27.6">
      <c r="A2511" s="108" t="s">
        <v>1465</v>
      </c>
      <c r="B2511" s="108" t="s">
        <v>18112</v>
      </c>
      <c r="C2511" s="109">
        <v>43232</v>
      </c>
      <c r="D2511" s="108"/>
      <c r="E2511" s="108" t="s">
        <v>14605</v>
      </c>
      <c r="F2511" s="108" t="s">
        <v>18113</v>
      </c>
      <c r="G2511" s="110"/>
      <c r="H2511" s="108" t="s">
        <v>1125</v>
      </c>
      <c r="I2511" s="108"/>
    </row>
    <row r="2512" spans="1:9" ht="27.6">
      <c r="A2512" s="108" t="s">
        <v>1465</v>
      </c>
      <c r="B2512" s="108" t="s">
        <v>18114</v>
      </c>
      <c r="C2512" s="109">
        <v>43232</v>
      </c>
      <c r="D2512" s="108"/>
      <c r="E2512" s="108" t="s">
        <v>14605</v>
      </c>
      <c r="F2512" s="108" t="s">
        <v>18115</v>
      </c>
      <c r="G2512" s="110"/>
      <c r="H2512" s="108" t="s">
        <v>1125</v>
      </c>
      <c r="I2512" s="108"/>
    </row>
    <row r="2513" spans="1:9">
      <c r="A2513" s="108" t="s">
        <v>1465</v>
      </c>
      <c r="B2513" s="108" t="s">
        <v>18116</v>
      </c>
      <c r="C2513" s="109">
        <v>43279</v>
      </c>
      <c r="D2513" s="108"/>
      <c r="E2513" s="108" t="s">
        <v>14605</v>
      </c>
      <c r="F2513" s="108" t="s">
        <v>18117</v>
      </c>
      <c r="G2513" s="110"/>
      <c r="H2513" s="108" t="s">
        <v>1125</v>
      </c>
      <c r="I2513" s="108"/>
    </row>
    <row r="2514" spans="1:9" ht="27.6">
      <c r="A2514" s="108" t="s">
        <v>1465</v>
      </c>
      <c r="B2514" s="108" t="s">
        <v>18118</v>
      </c>
      <c r="C2514" s="109">
        <v>43329</v>
      </c>
      <c r="D2514" s="108"/>
      <c r="E2514" s="108" t="s">
        <v>14605</v>
      </c>
      <c r="F2514" s="108" t="s">
        <v>15694</v>
      </c>
      <c r="G2514" s="110"/>
      <c r="H2514" s="108" t="s">
        <v>1125</v>
      </c>
      <c r="I2514" s="108"/>
    </row>
    <row r="2515" spans="1:9">
      <c r="A2515" s="108" t="s">
        <v>1465</v>
      </c>
      <c r="B2515" s="108" t="s">
        <v>18119</v>
      </c>
      <c r="C2515" s="109">
        <v>43399</v>
      </c>
      <c r="D2515" s="108"/>
      <c r="E2515" s="108" t="s">
        <v>14605</v>
      </c>
      <c r="F2515" s="108" t="s">
        <v>18120</v>
      </c>
      <c r="G2515" s="110"/>
      <c r="H2515" s="108" t="s">
        <v>1125</v>
      </c>
      <c r="I2515" s="108"/>
    </row>
    <row r="2516" spans="1:9">
      <c r="A2516" s="108" t="s">
        <v>1465</v>
      </c>
      <c r="B2516" s="108" t="s">
        <v>18121</v>
      </c>
      <c r="C2516" s="109">
        <v>43446</v>
      </c>
      <c r="D2516" s="108"/>
      <c r="E2516" s="108" t="s">
        <v>14605</v>
      </c>
      <c r="F2516" s="108" t="s">
        <v>18122</v>
      </c>
      <c r="G2516" s="110"/>
      <c r="H2516" s="108" t="s">
        <v>1125</v>
      </c>
      <c r="I2516" s="108"/>
    </row>
    <row r="2517" spans="1:9">
      <c r="A2517" s="108" t="s">
        <v>1465</v>
      </c>
      <c r="B2517" s="108" t="s">
        <v>18123</v>
      </c>
      <c r="C2517" s="109">
        <v>43440</v>
      </c>
      <c r="D2517" s="108"/>
      <c r="E2517" s="108" t="s">
        <v>14605</v>
      </c>
      <c r="F2517" s="108" t="s">
        <v>15427</v>
      </c>
      <c r="G2517" s="110"/>
      <c r="H2517" s="108" t="s">
        <v>1125</v>
      </c>
      <c r="I2517" s="108"/>
    </row>
    <row r="2518" spans="1:9" ht="27.6">
      <c r="A2518" s="108" t="s">
        <v>1465</v>
      </c>
      <c r="B2518" s="108" t="s">
        <v>18124</v>
      </c>
      <c r="C2518" s="109">
        <v>43534</v>
      </c>
      <c r="D2518" s="108"/>
      <c r="E2518" s="108" t="s">
        <v>14605</v>
      </c>
      <c r="F2518" s="108" t="s">
        <v>18125</v>
      </c>
      <c r="G2518" s="110"/>
      <c r="H2518" s="108" t="s">
        <v>1125</v>
      </c>
      <c r="I2518" s="108"/>
    </row>
    <row r="2519" spans="1:9">
      <c r="A2519" s="108" t="s">
        <v>1465</v>
      </c>
      <c r="B2519" s="108" t="s">
        <v>18126</v>
      </c>
      <c r="C2519" s="109">
        <v>43454</v>
      </c>
      <c r="D2519" s="108"/>
      <c r="E2519" s="108" t="s">
        <v>14605</v>
      </c>
      <c r="F2519" s="108" t="s">
        <v>18127</v>
      </c>
      <c r="G2519" s="110"/>
      <c r="H2519" s="108" t="s">
        <v>1125</v>
      </c>
      <c r="I2519" s="108"/>
    </row>
    <row r="2520" spans="1:9">
      <c r="A2520" s="108" t="s">
        <v>1465</v>
      </c>
      <c r="B2520" s="108" t="s">
        <v>18128</v>
      </c>
      <c r="C2520" s="109">
        <v>43441</v>
      </c>
      <c r="D2520" s="108"/>
      <c r="E2520" s="108" t="s">
        <v>14605</v>
      </c>
      <c r="F2520" s="108" t="s">
        <v>17671</v>
      </c>
      <c r="G2520" s="110"/>
      <c r="H2520" s="108" t="s">
        <v>1125</v>
      </c>
      <c r="I2520" s="108"/>
    </row>
    <row r="2521" spans="1:9" ht="27.6">
      <c r="A2521" s="108" t="s">
        <v>1465</v>
      </c>
      <c r="B2521" s="108" t="s">
        <v>18129</v>
      </c>
      <c r="C2521" s="109">
        <v>43578</v>
      </c>
      <c r="D2521" s="108"/>
      <c r="E2521" s="108" t="s">
        <v>14605</v>
      </c>
      <c r="F2521" s="108" t="s">
        <v>18130</v>
      </c>
      <c r="G2521" s="110"/>
      <c r="H2521" s="108" t="s">
        <v>1125</v>
      </c>
      <c r="I2521" s="108"/>
    </row>
    <row r="2522" spans="1:9" ht="41.4">
      <c r="A2522" s="108" t="s">
        <v>1465</v>
      </c>
      <c r="B2522" s="108" t="s">
        <v>18131</v>
      </c>
      <c r="C2522" s="109">
        <v>43583</v>
      </c>
      <c r="D2522" s="108"/>
      <c r="E2522" s="108" t="s">
        <v>14605</v>
      </c>
      <c r="F2522" s="108" t="s">
        <v>17646</v>
      </c>
      <c r="G2522" s="110"/>
      <c r="H2522" s="108" t="s">
        <v>1125</v>
      </c>
      <c r="I2522" s="108"/>
    </row>
    <row r="2523" spans="1:9" ht="27.6">
      <c r="A2523" s="108" t="s">
        <v>1465</v>
      </c>
      <c r="B2523" s="108" t="s">
        <v>18132</v>
      </c>
      <c r="C2523" s="109">
        <v>43598</v>
      </c>
      <c r="D2523" s="108"/>
      <c r="E2523" s="108" t="s">
        <v>14605</v>
      </c>
      <c r="F2523" s="108" t="s">
        <v>18133</v>
      </c>
      <c r="G2523" s="110"/>
      <c r="H2523" s="108" t="s">
        <v>1125</v>
      </c>
      <c r="I2523" s="108"/>
    </row>
    <row r="2524" spans="1:9" ht="27.6">
      <c r="A2524" s="108" t="s">
        <v>1465</v>
      </c>
      <c r="B2524" s="108" t="s">
        <v>18134</v>
      </c>
      <c r="C2524" s="109">
        <v>43686</v>
      </c>
      <c r="D2524" s="108"/>
      <c r="E2524" s="108" t="s">
        <v>14605</v>
      </c>
      <c r="F2524" s="108" t="s">
        <v>18135</v>
      </c>
      <c r="G2524" s="110"/>
      <c r="H2524" s="108" t="s">
        <v>1125</v>
      </c>
      <c r="I2524" s="108"/>
    </row>
    <row r="2525" spans="1:9" ht="27.6">
      <c r="A2525" s="108" t="s">
        <v>1465</v>
      </c>
      <c r="B2525" s="108" t="s">
        <v>18136</v>
      </c>
      <c r="C2525" s="109">
        <v>43938</v>
      </c>
      <c r="D2525" s="108"/>
      <c r="E2525" s="108" t="s">
        <v>14605</v>
      </c>
      <c r="F2525" s="108" t="s">
        <v>18137</v>
      </c>
      <c r="G2525" s="110"/>
      <c r="H2525" s="108" t="s">
        <v>1125</v>
      </c>
      <c r="I2525" s="108"/>
    </row>
    <row r="2526" spans="1:9">
      <c r="A2526" s="108" t="s">
        <v>1465</v>
      </c>
      <c r="B2526" s="108" t="s">
        <v>18138</v>
      </c>
      <c r="C2526" s="109">
        <v>43994</v>
      </c>
      <c r="D2526" s="108"/>
      <c r="E2526" s="108" t="s">
        <v>14605</v>
      </c>
      <c r="F2526" s="108" t="s">
        <v>18139</v>
      </c>
      <c r="G2526" s="110"/>
      <c r="H2526" s="108" t="s">
        <v>1125</v>
      </c>
      <c r="I2526" s="108"/>
    </row>
    <row r="2527" spans="1:9">
      <c r="A2527" s="108" t="s">
        <v>14679</v>
      </c>
      <c r="B2527" s="108" t="s">
        <v>18140</v>
      </c>
      <c r="C2527" s="109">
        <v>42336</v>
      </c>
      <c r="D2527" s="108"/>
      <c r="E2527" s="108" t="s">
        <v>14605</v>
      </c>
      <c r="F2527" s="108" t="s">
        <v>14719</v>
      </c>
      <c r="G2527" s="110"/>
      <c r="H2527" s="108" t="s">
        <v>1125</v>
      </c>
      <c r="I2527" s="108"/>
    </row>
    <row r="2528" spans="1:9" ht="27.6">
      <c r="A2528" s="108" t="s">
        <v>14679</v>
      </c>
      <c r="B2528" s="108" t="s">
        <v>18141</v>
      </c>
      <c r="C2528" s="109">
        <v>43756</v>
      </c>
      <c r="D2528" s="108"/>
      <c r="E2528" s="108" t="s">
        <v>14605</v>
      </c>
      <c r="F2528" s="108" t="s">
        <v>18142</v>
      </c>
      <c r="G2528" s="110"/>
      <c r="H2528" s="108" t="s">
        <v>1125</v>
      </c>
      <c r="I2528" s="108"/>
    </row>
    <row r="2529" spans="1:9">
      <c r="A2529" s="108" t="s">
        <v>18143</v>
      </c>
      <c r="B2529" s="108" t="s">
        <v>18144</v>
      </c>
      <c r="C2529" s="109">
        <v>42421</v>
      </c>
      <c r="D2529" s="108"/>
      <c r="E2529" s="108" t="s">
        <v>14605</v>
      </c>
      <c r="F2529" s="108" t="s">
        <v>18104</v>
      </c>
      <c r="G2529" s="110"/>
      <c r="H2529" s="108" t="s">
        <v>1125</v>
      </c>
      <c r="I2529" s="108"/>
    </row>
    <row r="2530" spans="1:9" ht="27.6">
      <c r="A2530" s="108" t="s">
        <v>18143</v>
      </c>
      <c r="B2530" s="108" t="s">
        <v>18145</v>
      </c>
      <c r="C2530" s="109">
        <v>42921</v>
      </c>
      <c r="D2530" s="108"/>
      <c r="E2530" s="108" t="s">
        <v>14605</v>
      </c>
      <c r="F2530" s="108" t="s">
        <v>15694</v>
      </c>
      <c r="G2530" s="110"/>
      <c r="H2530" s="108" t="s">
        <v>1125</v>
      </c>
      <c r="I2530" s="108"/>
    </row>
    <row r="2531" spans="1:9" ht="27.6">
      <c r="A2531" s="108" t="s">
        <v>923</v>
      </c>
      <c r="B2531" s="108" t="s">
        <v>18146</v>
      </c>
      <c r="C2531" s="109">
        <v>42322</v>
      </c>
      <c r="D2531" s="108"/>
      <c r="E2531" s="108" t="s">
        <v>14605</v>
      </c>
      <c r="F2531" s="108" t="s">
        <v>17934</v>
      </c>
      <c r="G2531" s="110"/>
      <c r="H2531" s="108" t="s">
        <v>1125</v>
      </c>
      <c r="I2531" s="108"/>
    </row>
    <row r="2532" spans="1:9" ht="27.6">
      <c r="A2532" s="108" t="s">
        <v>923</v>
      </c>
      <c r="B2532" s="108" t="s">
        <v>18147</v>
      </c>
      <c r="C2532" s="109">
        <v>43458</v>
      </c>
      <c r="D2532" s="108"/>
      <c r="E2532" s="108" t="s">
        <v>14605</v>
      </c>
      <c r="F2532" s="108" t="s">
        <v>18148</v>
      </c>
      <c r="G2532" s="110"/>
      <c r="H2532" s="108" t="s">
        <v>1125</v>
      </c>
      <c r="I2532" s="108"/>
    </row>
    <row r="2533" spans="1:9">
      <c r="A2533" s="108" t="s">
        <v>18149</v>
      </c>
      <c r="B2533" s="108" t="s">
        <v>18150</v>
      </c>
      <c r="C2533" s="109">
        <v>43273</v>
      </c>
      <c r="D2533" s="108"/>
      <c r="E2533" s="108" t="s">
        <v>14605</v>
      </c>
      <c r="F2533" s="108" t="s">
        <v>15696</v>
      </c>
      <c r="G2533" s="110"/>
      <c r="H2533" s="108" t="s">
        <v>1125</v>
      </c>
      <c r="I2533" s="108"/>
    </row>
    <row r="2534" spans="1:9">
      <c r="A2534" s="108" t="s">
        <v>2623</v>
      </c>
      <c r="B2534" s="108" t="s">
        <v>18151</v>
      </c>
      <c r="C2534" s="109">
        <v>44029</v>
      </c>
      <c r="D2534" s="108"/>
      <c r="E2534" s="108" t="s">
        <v>14605</v>
      </c>
      <c r="F2534" s="108" t="s">
        <v>18152</v>
      </c>
      <c r="G2534" s="110"/>
      <c r="H2534" s="108" t="s">
        <v>1125</v>
      </c>
      <c r="I2534" s="108"/>
    </row>
    <row r="2535" spans="1:9" ht="27.6">
      <c r="A2535" s="108" t="s">
        <v>477</v>
      </c>
      <c r="B2535" s="108" t="s">
        <v>18153</v>
      </c>
      <c r="C2535" s="109">
        <v>43516</v>
      </c>
      <c r="D2535" s="108"/>
      <c r="E2535" s="108" t="s">
        <v>14605</v>
      </c>
      <c r="F2535" s="108" t="s">
        <v>18154</v>
      </c>
      <c r="G2535" s="110"/>
      <c r="H2535" s="108" t="s">
        <v>1125</v>
      </c>
      <c r="I2535" s="108"/>
    </row>
    <row r="2536" spans="1:9" ht="27.6">
      <c r="A2536" s="108" t="s">
        <v>14929</v>
      </c>
      <c r="B2536" s="108" t="s">
        <v>18155</v>
      </c>
      <c r="C2536" s="109">
        <v>43756</v>
      </c>
      <c r="D2536" s="108"/>
      <c r="E2536" s="108" t="s">
        <v>14605</v>
      </c>
      <c r="F2536" s="108" t="s">
        <v>18156</v>
      </c>
      <c r="G2536" s="110"/>
      <c r="H2536" s="108" t="s">
        <v>1125</v>
      </c>
      <c r="I2536" s="108"/>
    </row>
    <row r="2537" spans="1:9" ht="27.6">
      <c r="A2537" s="108" t="s">
        <v>571</v>
      </c>
      <c r="B2537" s="108" t="s">
        <v>18157</v>
      </c>
      <c r="C2537" s="109">
        <v>42175</v>
      </c>
      <c r="D2537" s="108"/>
      <c r="E2537" s="108" t="s">
        <v>14605</v>
      </c>
      <c r="F2537" s="108" t="s">
        <v>15467</v>
      </c>
      <c r="G2537" s="110"/>
      <c r="H2537" s="108" t="s">
        <v>1125</v>
      </c>
      <c r="I2537" s="108"/>
    </row>
    <row r="2538" spans="1:9" ht="27.6">
      <c r="A2538" s="108" t="s">
        <v>14607</v>
      </c>
      <c r="B2538" s="108" t="s">
        <v>18158</v>
      </c>
      <c r="C2538" s="109">
        <v>40148</v>
      </c>
      <c r="D2538" s="108"/>
      <c r="E2538" s="108" t="s">
        <v>14605</v>
      </c>
      <c r="F2538" s="108" t="s">
        <v>18159</v>
      </c>
      <c r="G2538" s="110"/>
      <c r="H2538" s="108" t="s">
        <v>1125</v>
      </c>
      <c r="I2538" s="108"/>
    </row>
    <row r="2539" spans="1:9" ht="27.6">
      <c r="A2539" s="108" t="s">
        <v>15478</v>
      </c>
      <c r="B2539" s="108" t="s">
        <v>18160</v>
      </c>
      <c r="C2539" s="109">
        <v>45058</v>
      </c>
      <c r="D2539" s="108"/>
      <c r="E2539" s="108" t="s">
        <v>14605</v>
      </c>
      <c r="F2539" s="108" t="s">
        <v>15490</v>
      </c>
      <c r="G2539" s="110"/>
      <c r="H2539" s="108" t="s">
        <v>1125</v>
      </c>
      <c r="I2539" s="108"/>
    </row>
    <row r="2540" spans="1:9" ht="27.6">
      <c r="A2540" s="108" t="s">
        <v>16421</v>
      </c>
      <c r="B2540" s="108" t="s">
        <v>18161</v>
      </c>
      <c r="C2540" s="109">
        <v>44489</v>
      </c>
      <c r="D2540" s="108"/>
      <c r="E2540" s="108" t="s">
        <v>14605</v>
      </c>
      <c r="F2540" s="108" t="s">
        <v>18162</v>
      </c>
      <c r="G2540" s="110"/>
      <c r="H2540" s="108" t="s">
        <v>1125</v>
      </c>
      <c r="I2540" s="108"/>
    </row>
    <row r="2541" spans="1:9" ht="27.6">
      <c r="A2541" s="108" t="s">
        <v>16986</v>
      </c>
      <c r="B2541" s="108" t="s">
        <v>18163</v>
      </c>
      <c r="C2541" s="109">
        <v>46098</v>
      </c>
      <c r="D2541" s="108"/>
      <c r="E2541" s="108" t="s">
        <v>14605</v>
      </c>
      <c r="F2541" s="108" t="s">
        <v>18164</v>
      </c>
      <c r="G2541" s="110"/>
      <c r="H2541" s="108" t="s">
        <v>1125</v>
      </c>
      <c r="I2541" s="108"/>
    </row>
    <row r="2542" spans="1:9" ht="27.6">
      <c r="A2542" s="108" t="s">
        <v>237</v>
      </c>
      <c r="B2542" s="108" t="s">
        <v>18165</v>
      </c>
      <c r="C2542" s="109">
        <v>42794</v>
      </c>
      <c r="D2542" s="108"/>
      <c r="E2542" s="108" t="s">
        <v>14605</v>
      </c>
      <c r="F2542" s="108" t="s">
        <v>15467</v>
      </c>
      <c r="G2542" s="110"/>
      <c r="H2542" s="108" t="s">
        <v>1125</v>
      </c>
      <c r="I2542" s="108"/>
    </row>
    <row r="2543" spans="1:9" ht="27.6">
      <c r="A2543" s="108" t="s">
        <v>14950</v>
      </c>
      <c r="B2543" s="108" t="s">
        <v>18166</v>
      </c>
      <c r="C2543" s="109">
        <v>43425</v>
      </c>
      <c r="D2543" s="108"/>
      <c r="E2543" s="108" t="s">
        <v>14605</v>
      </c>
      <c r="F2543" s="108" t="s">
        <v>15419</v>
      </c>
      <c r="G2543" s="110"/>
      <c r="H2543" s="108" t="s">
        <v>1125</v>
      </c>
      <c r="I2543" s="108"/>
    </row>
    <row r="2544" spans="1:9" ht="27.6">
      <c r="A2544" s="108" t="s">
        <v>17130</v>
      </c>
      <c r="B2544" s="108" t="s">
        <v>18167</v>
      </c>
      <c r="C2544" s="109">
        <v>43973</v>
      </c>
      <c r="D2544" s="108"/>
      <c r="E2544" s="108" t="s">
        <v>14605</v>
      </c>
      <c r="F2544" s="108" t="s">
        <v>17549</v>
      </c>
      <c r="G2544" s="110"/>
      <c r="H2544" s="108" t="s">
        <v>1125</v>
      </c>
      <c r="I2544" s="108"/>
    </row>
    <row r="2545" spans="1:9" ht="27.6">
      <c r="A2545" s="108" t="s">
        <v>17130</v>
      </c>
      <c r="B2545" s="108" t="s">
        <v>18168</v>
      </c>
      <c r="C2545" s="109">
        <v>44295</v>
      </c>
      <c r="D2545" s="108"/>
      <c r="E2545" s="108" t="s">
        <v>14605</v>
      </c>
      <c r="F2545" s="108" t="s">
        <v>17549</v>
      </c>
      <c r="G2545" s="110"/>
      <c r="H2545" s="108" t="s">
        <v>1125</v>
      </c>
      <c r="I2545" s="108"/>
    </row>
    <row r="2546" spans="1:9" ht="27.6">
      <c r="A2546" s="108" t="s">
        <v>17130</v>
      </c>
      <c r="B2546" s="108" t="s">
        <v>18169</v>
      </c>
      <c r="C2546" s="109">
        <v>44329</v>
      </c>
      <c r="D2546" s="108"/>
      <c r="E2546" s="108" t="s">
        <v>14605</v>
      </c>
      <c r="F2546" s="108" t="s">
        <v>18170</v>
      </c>
      <c r="G2546" s="110"/>
      <c r="H2546" s="108" t="s">
        <v>1125</v>
      </c>
      <c r="I2546" s="108"/>
    </row>
    <row r="2547" spans="1:9" ht="27.6">
      <c r="A2547" s="108" t="s">
        <v>1465</v>
      </c>
      <c r="B2547" s="108" t="s">
        <v>18171</v>
      </c>
      <c r="C2547" s="109">
        <v>44036</v>
      </c>
      <c r="D2547" s="108"/>
      <c r="E2547" s="108" t="s">
        <v>14605</v>
      </c>
      <c r="F2547" s="108" t="s">
        <v>18172</v>
      </c>
      <c r="G2547" s="110"/>
      <c r="H2547" s="108" t="s">
        <v>1125</v>
      </c>
      <c r="I2547" s="108"/>
    </row>
    <row r="2548" spans="1:9" ht="27.6">
      <c r="A2548" s="108" t="s">
        <v>87</v>
      </c>
      <c r="B2548" s="108" t="s">
        <v>18173</v>
      </c>
      <c r="C2548" s="109">
        <v>44068</v>
      </c>
      <c r="D2548" s="108"/>
      <c r="E2548" s="108" t="s">
        <v>14605</v>
      </c>
      <c r="F2548" s="108" t="s">
        <v>18174</v>
      </c>
      <c r="G2548" s="110"/>
      <c r="H2548" s="108" t="s">
        <v>1125</v>
      </c>
      <c r="I2548" s="108"/>
    </row>
    <row r="2549" spans="1:9" ht="41.4">
      <c r="A2549" s="108" t="s">
        <v>87</v>
      </c>
      <c r="B2549" s="108" t="s">
        <v>18175</v>
      </c>
      <c r="C2549" s="109">
        <v>44022</v>
      </c>
      <c r="D2549" s="108"/>
      <c r="E2549" s="108" t="s">
        <v>14605</v>
      </c>
      <c r="F2549" s="108" t="s">
        <v>17928</v>
      </c>
      <c r="G2549" s="110"/>
      <c r="H2549" s="108" t="s">
        <v>1125</v>
      </c>
      <c r="I2549" s="108"/>
    </row>
    <row r="2550" spans="1:9" ht="27.6">
      <c r="A2550" s="108" t="s">
        <v>18024</v>
      </c>
      <c r="B2550" s="108" t="s">
        <v>18176</v>
      </c>
      <c r="C2550" s="109">
        <v>44201</v>
      </c>
      <c r="D2550" s="108"/>
      <c r="E2550" s="108" t="s">
        <v>14605</v>
      </c>
      <c r="F2550" s="108" t="s">
        <v>16690</v>
      </c>
      <c r="G2550" s="110"/>
      <c r="H2550" s="108" t="s">
        <v>1125</v>
      </c>
      <c r="I2550" s="108"/>
    </row>
    <row r="2551" spans="1:9">
      <c r="A2551" s="108" t="s">
        <v>1465</v>
      </c>
      <c r="B2551" s="108" t="s">
        <v>18177</v>
      </c>
      <c r="C2551" s="109">
        <v>44113</v>
      </c>
      <c r="D2551" s="108"/>
      <c r="E2551" s="108" t="s">
        <v>14605</v>
      </c>
      <c r="F2551" s="108" t="s">
        <v>18127</v>
      </c>
      <c r="G2551" s="110"/>
      <c r="H2551" s="108" t="s">
        <v>1125</v>
      </c>
      <c r="I2551" s="108"/>
    </row>
    <row r="2552" spans="1:9" ht="27.6">
      <c r="A2552" s="108" t="s">
        <v>571</v>
      </c>
      <c r="B2552" s="108" t="s">
        <v>18178</v>
      </c>
      <c r="C2552" s="109">
        <v>44089</v>
      </c>
      <c r="D2552" s="108"/>
      <c r="E2552" s="108" t="s">
        <v>14605</v>
      </c>
      <c r="F2552" s="108" t="s">
        <v>15904</v>
      </c>
      <c r="G2552" s="110"/>
      <c r="H2552" s="108" t="s">
        <v>1125</v>
      </c>
      <c r="I2552" s="108"/>
    </row>
    <row r="2553" spans="1:9" ht="27.6">
      <c r="A2553" s="108" t="s">
        <v>14690</v>
      </c>
      <c r="B2553" s="108" t="s">
        <v>18179</v>
      </c>
      <c r="C2553" s="109">
        <v>44113</v>
      </c>
      <c r="D2553" s="108"/>
      <c r="E2553" s="108" t="s">
        <v>14605</v>
      </c>
      <c r="F2553" s="108" t="s">
        <v>17711</v>
      </c>
      <c r="G2553" s="110"/>
      <c r="H2553" s="108" t="s">
        <v>1125</v>
      </c>
      <c r="I2553" s="108"/>
    </row>
    <row r="2554" spans="1:9" ht="41.4">
      <c r="A2554" s="108" t="s">
        <v>18180</v>
      </c>
      <c r="B2554" s="108" t="s">
        <v>18181</v>
      </c>
      <c r="C2554" s="109">
        <v>44127</v>
      </c>
      <c r="D2554" s="108"/>
      <c r="E2554" s="108" t="s">
        <v>14605</v>
      </c>
      <c r="F2554" s="108" t="s">
        <v>17902</v>
      </c>
      <c r="G2554" s="110"/>
      <c r="H2554" s="108" t="s">
        <v>1125</v>
      </c>
      <c r="I2554" s="108"/>
    </row>
    <row r="2555" spans="1:9" ht="27.6">
      <c r="A2555" s="108" t="s">
        <v>87</v>
      </c>
      <c r="B2555" s="108" t="s">
        <v>18182</v>
      </c>
      <c r="C2555" s="109">
        <v>44092</v>
      </c>
      <c r="D2555" s="108"/>
      <c r="E2555" s="108" t="s">
        <v>14605</v>
      </c>
      <c r="F2555" s="108" t="s">
        <v>17939</v>
      </c>
      <c r="G2555" s="110"/>
      <c r="H2555" s="108" t="s">
        <v>1125</v>
      </c>
      <c r="I2555" s="108"/>
    </row>
    <row r="2556" spans="1:9" ht="27.6">
      <c r="A2556" s="108" t="s">
        <v>14690</v>
      </c>
      <c r="B2556" s="108" t="s">
        <v>18183</v>
      </c>
      <c r="C2556" s="109">
        <v>44134</v>
      </c>
      <c r="D2556" s="108"/>
      <c r="E2556" s="108" t="s">
        <v>14605</v>
      </c>
      <c r="F2556" s="108" t="s">
        <v>18184</v>
      </c>
      <c r="G2556" s="110"/>
      <c r="H2556" s="108" t="s">
        <v>1125</v>
      </c>
      <c r="I2556" s="108"/>
    </row>
    <row r="2557" spans="1:9" ht="27.6">
      <c r="A2557" s="108" t="s">
        <v>571</v>
      </c>
      <c r="B2557" s="108" t="s">
        <v>18185</v>
      </c>
      <c r="C2557" s="109">
        <v>44267</v>
      </c>
      <c r="D2557" s="108"/>
      <c r="E2557" s="108" t="s">
        <v>14605</v>
      </c>
      <c r="F2557" s="108" t="s">
        <v>18186</v>
      </c>
      <c r="G2557" s="110"/>
      <c r="H2557" s="108" t="s">
        <v>1125</v>
      </c>
      <c r="I2557" s="108"/>
    </row>
    <row r="2558" spans="1:9">
      <c r="A2558" s="108" t="s">
        <v>4190</v>
      </c>
      <c r="B2558" s="108" t="s">
        <v>18187</v>
      </c>
      <c r="C2558" s="109">
        <v>44260</v>
      </c>
      <c r="D2558" s="108"/>
      <c r="E2558" s="108" t="s">
        <v>14605</v>
      </c>
      <c r="F2558" s="108" t="s">
        <v>18188</v>
      </c>
      <c r="G2558" s="110"/>
      <c r="H2558" s="108" t="s">
        <v>1125</v>
      </c>
      <c r="I2558" s="108"/>
    </row>
    <row r="2559" spans="1:9" ht="27.6">
      <c r="A2559" s="108" t="s">
        <v>87</v>
      </c>
      <c r="B2559" s="108" t="s">
        <v>18189</v>
      </c>
      <c r="C2559" s="109">
        <v>44260</v>
      </c>
      <c r="D2559" s="108"/>
      <c r="E2559" s="108" t="s">
        <v>14605</v>
      </c>
      <c r="F2559" s="108" t="s">
        <v>17932</v>
      </c>
      <c r="G2559" s="110"/>
      <c r="H2559" s="108" t="s">
        <v>1125</v>
      </c>
      <c r="I2559" s="108"/>
    </row>
    <row r="2560" spans="1:9" ht="41.4">
      <c r="A2560" s="108" t="s">
        <v>87</v>
      </c>
      <c r="B2560" s="108" t="s">
        <v>18190</v>
      </c>
      <c r="C2560" s="109">
        <v>44260</v>
      </c>
      <c r="D2560" s="108"/>
      <c r="E2560" s="108" t="s">
        <v>14605</v>
      </c>
      <c r="F2560" s="108" t="s">
        <v>17928</v>
      </c>
      <c r="G2560" s="110"/>
      <c r="H2560" s="108" t="s">
        <v>1125</v>
      </c>
      <c r="I2560" s="108"/>
    </row>
    <row r="2561" spans="1:9" ht="27.6">
      <c r="A2561" s="108" t="s">
        <v>571</v>
      </c>
      <c r="B2561" s="108" t="s">
        <v>18191</v>
      </c>
      <c r="C2561" s="109">
        <v>44267</v>
      </c>
      <c r="D2561" s="108"/>
      <c r="E2561" s="108" t="s">
        <v>14605</v>
      </c>
      <c r="F2561" s="108" t="s">
        <v>18192</v>
      </c>
      <c r="G2561" s="110"/>
      <c r="H2561" s="108" t="s">
        <v>1125</v>
      </c>
      <c r="I2561" s="108"/>
    </row>
    <row r="2562" spans="1:9" ht="27.6">
      <c r="A2562" s="108" t="s">
        <v>571</v>
      </c>
      <c r="B2562" s="108" t="s">
        <v>18193</v>
      </c>
      <c r="C2562" s="109">
        <v>44274</v>
      </c>
      <c r="D2562" s="108"/>
      <c r="E2562" s="108" t="s">
        <v>14605</v>
      </c>
      <c r="F2562" s="108" t="s">
        <v>18194</v>
      </c>
      <c r="G2562" s="110"/>
      <c r="H2562" s="108" t="s">
        <v>1125</v>
      </c>
      <c r="I2562" s="108"/>
    </row>
    <row r="2563" spans="1:9" ht="27.6">
      <c r="A2563" s="108" t="s">
        <v>923</v>
      </c>
      <c r="B2563" s="108" t="s">
        <v>18195</v>
      </c>
      <c r="C2563" s="109">
        <v>44368</v>
      </c>
      <c r="D2563" s="108"/>
      <c r="E2563" s="108" t="s">
        <v>14605</v>
      </c>
      <c r="F2563" s="108" t="s">
        <v>18196</v>
      </c>
      <c r="G2563" s="110"/>
      <c r="H2563" s="108" t="s">
        <v>1125</v>
      </c>
      <c r="I2563" s="108"/>
    </row>
    <row r="2564" spans="1:9" ht="27.6">
      <c r="A2564" s="108" t="s">
        <v>14690</v>
      </c>
      <c r="B2564" s="108" t="s">
        <v>18197</v>
      </c>
      <c r="C2564" s="109">
        <v>44379</v>
      </c>
      <c r="D2564" s="108"/>
      <c r="E2564" s="108" t="s">
        <v>14605</v>
      </c>
      <c r="F2564" s="108" t="s">
        <v>17711</v>
      </c>
      <c r="G2564" s="110"/>
      <c r="H2564" s="108" t="s">
        <v>1125</v>
      </c>
      <c r="I2564" s="108"/>
    </row>
    <row r="2565" spans="1:9" ht="27.6">
      <c r="A2565" s="108" t="s">
        <v>14690</v>
      </c>
      <c r="B2565" s="108" t="s">
        <v>18198</v>
      </c>
      <c r="C2565" s="109">
        <v>44386</v>
      </c>
      <c r="D2565" s="108"/>
      <c r="E2565" s="108" t="s">
        <v>14605</v>
      </c>
      <c r="F2565" s="108" t="s">
        <v>18127</v>
      </c>
      <c r="G2565" s="110"/>
      <c r="H2565" s="108" t="s">
        <v>1125</v>
      </c>
      <c r="I2565" s="108"/>
    </row>
    <row r="2566" spans="1:9">
      <c r="A2566" s="108" t="s">
        <v>571</v>
      </c>
      <c r="B2566" s="108" t="s">
        <v>18199</v>
      </c>
      <c r="C2566" s="109">
        <v>44410</v>
      </c>
      <c r="D2566" s="108"/>
      <c r="E2566" s="108" t="s">
        <v>14605</v>
      </c>
      <c r="F2566" s="108" t="s">
        <v>18200</v>
      </c>
      <c r="G2566" s="110"/>
      <c r="H2566" s="108" t="s">
        <v>1125</v>
      </c>
      <c r="I2566" s="108"/>
    </row>
    <row r="2567" spans="1:9" ht="27.6">
      <c r="A2567" s="108" t="s">
        <v>571</v>
      </c>
      <c r="B2567" s="108" t="s">
        <v>18201</v>
      </c>
      <c r="C2567" s="109">
        <v>44462</v>
      </c>
      <c r="D2567" s="108"/>
      <c r="E2567" s="108" t="s">
        <v>14605</v>
      </c>
      <c r="F2567" s="108" t="s">
        <v>18003</v>
      </c>
      <c r="G2567" s="110"/>
      <c r="H2567" s="108" t="s">
        <v>1125</v>
      </c>
      <c r="I2567" s="108"/>
    </row>
    <row r="2568" spans="1:9" ht="27.6">
      <c r="A2568" s="108" t="s">
        <v>1465</v>
      </c>
      <c r="B2568" s="108" t="s">
        <v>18202</v>
      </c>
      <c r="C2568" s="109">
        <v>44425</v>
      </c>
      <c r="D2568" s="108"/>
      <c r="E2568" s="108" t="s">
        <v>14605</v>
      </c>
      <c r="F2568" s="108" t="s">
        <v>18203</v>
      </c>
      <c r="G2568" s="110"/>
      <c r="H2568" s="108" t="s">
        <v>1125</v>
      </c>
      <c r="I2568" s="108"/>
    </row>
    <row r="2569" spans="1:9" ht="27.6">
      <c r="A2569" s="108" t="s">
        <v>571</v>
      </c>
      <c r="B2569" s="108" t="s">
        <v>18204</v>
      </c>
      <c r="C2569" s="109">
        <v>44965</v>
      </c>
      <c r="D2569" s="108"/>
      <c r="E2569" s="108" t="s">
        <v>14605</v>
      </c>
      <c r="F2569" s="108" t="s">
        <v>18205</v>
      </c>
      <c r="G2569" s="110"/>
      <c r="H2569" s="108" t="s">
        <v>1125</v>
      </c>
      <c r="I2569" s="108"/>
    </row>
    <row r="2570" spans="1:9" ht="27.6">
      <c r="A2570" s="108" t="s">
        <v>1465</v>
      </c>
      <c r="B2570" s="108" t="s">
        <v>18206</v>
      </c>
      <c r="C2570" s="109">
        <v>44491</v>
      </c>
      <c r="D2570" s="108"/>
      <c r="E2570" s="108" t="s">
        <v>14605</v>
      </c>
      <c r="F2570" s="108" t="s">
        <v>17601</v>
      </c>
      <c r="G2570" s="110"/>
      <c r="H2570" s="108" t="s">
        <v>1125</v>
      </c>
      <c r="I2570" s="108"/>
    </row>
    <row r="2571" spans="1:9" ht="27.6">
      <c r="A2571" s="108" t="s">
        <v>571</v>
      </c>
      <c r="B2571" s="108" t="s">
        <v>18207</v>
      </c>
      <c r="C2571" s="109">
        <v>44455</v>
      </c>
      <c r="D2571" s="108"/>
      <c r="E2571" s="108" t="s">
        <v>14605</v>
      </c>
      <c r="F2571" s="108" t="s">
        <v>18003</v>
      </c>
      <c r="G2571" s="110"/>
      <c r="H2571" s="108" t="s">
        <v>1125</v>
      </c>
      <c r="I2571" s="108"/>
    </row>
    <row r="2572" spans="1:9" ht="27.6">
      <c r="A2572" s="108" t="s">
        <v>571</v>
      </c>
      <c r="B2572" s="108" t="s">
        <v>18208</v>
      </c>
      <c r="C2572" s="109">
        <v>44455</v>
      </c>
      <c r="D2572" s="108"/>
      <c r="E2572" s="108" t="s">
        <v>14605</v>
      </c>
      <c r="F2572" s="108" t="s">
        <v>18003</v>
      </c>
      <c r="G2572" s="110"/>
      <c r="H2572" s="108" t="s">
        <v>1125</v>
      </c>
      <c r="I2572" s="108"/>
    </row>
    <row r="2573" spans="1:9" ht="27.6">
      <c r="A2573" s="108" t="s">
        <v>1465</v>
      </c>
      <c r="B2573" s="108" t="s">
        <v>18209</v>
      </c>
      <c r="C2573" s="109">
        <v>45016</v>
      </c>
      <c r="D2573" s="108"/>
      <c r="E2573" s="108" t="s">
        <v>14605</v>
      </c>
      <c r="F2573" s="108" t="s">
        <v>18210</v>
      </c>
      <c r="G2573" s="110"/>
      <c r="H2573" s="108" t="s">
        <v>1125</v>
      </c>
      <c r="I2573" s="108"/>
    </row>
    <row r="2574" spans="1:9" ht="27.6">
      <c r="A2574" s="108" t="s">
        <v>1465</v>
      </c>
      <c r="B2574" s="108" t="s">
        <v>18211</v>
      </c>
      <c r="C2574" s="109">
        <v>44721</v>
      </c>
      <c r="D2574" s="108"/>
      <c r="E2574" s="108" t="s">
        <v>14605</v>
      </c>
      <c r="F2574" s="108" t="s">
        <v>18212</v>
      </c>
      <c r="G2574" s="110"/>
      <c r="H2574" s="108" t="s">
        <v>1125</v>
      </c>
      <c r="I2574" s="108"/>
    </row>
    <row r="2575" spans="1:9">
      <c r="A2575" s="108" t="s">
        <v>923</v>
      </c>
      <c r="B2575" s="108" t="s">
        <v>18213</v>
      </c>
      <c r="C2575" s="109">
        <v>44687</v>
      </c>
      <c r="D2575" s="108"/>
      <c r="E2575" s="108" t="s">
        <v>14605</v>
      </c>
      <c r="F2575" s="108" t="s">
        <v>14719</v>
      </c>
      <c r="G2575" s="110"/>
      <c r="H2575" s="108" t="s">
        <v>1125</v>
      </c>
      <c r="I2575" s="108"/>
    </row>
    <row r="2576" spans="1:9" ht="27.6">
      <c r="A2576" s="108" t="s">
        <v>1465</v>
      </c>
      <c r="B2576" s="108" t="s">
        <v>18214</v>
      </c>
      <c r="C2576" s="109">
        <v>45125</v>
      </c>
      <c r="D2576" s="108"/>
      <c r="E2576" s="108" t="s">
        <v>14605</v>
      </c>
      <c r="F2576" s="108" t="s">
        <v>18215</v>
      </c>
      <c r="G2576" s="110"/>
      <c r="H2576" s="108" t="s">
        <v>1125</v>
      </c>
      <c r="I2576" s="108"/>
    </row>
    <row r="2577" spans="1:9" ht="27.6">
      <c r="A2577" s="108" t="s">
        <v>571</v>
      </c>
      <c r="B2577" s="108" t="s">
        <v>18216</v>
      </c>
      <c r="C2577" s="109">
        <v>45152</v>
      </c>
      <c r="D2577" s="108"/>
      <c r="E2577" s="108" t="s">
        <v>14605</v>
      </c>
      <c r="F2577" s="108" t="s">
        <v>15490</v>
      </c>
      <c r="G2577" s="110"/>
      <c r="H2577" s="108" t="s">
        <v>1125</v>
      </c>
      <c r="I2577" s="108"/>
    </row>
    <row r="2578" spans="1:9" ht="27.6">
      <c r="A2578" s="108" t="s">
        <v>571</v>
      </c>
      <c r="B2578" s="108" t="s">
        <v>18217</v>
      </c>
      <c r="C2578" s="109">
        <v>45418</v>
      </c>
      <c r="D2578" s="108"/>
      <c r="E2578" s="108" t="s">
        <v>14605</v>
      </c>
      <c r="F2578" s="108" t="s">
        <v>18218</v>
      </c>
      <c r="G2578" s="110"/>
      <c r="H2578" s="108" t="s">
        <v>1125</v>
      </c>
      <c r="I2578" s="108"/>
    </row>
    <row r="2579" spans="1:9" ht="27.6">
      <c r="A2579" s="108" t="s">
        <v>15075</v>
      </c>
      <c r="B2579" s="108" t="s">
        <v>18219</v>
      </c>
      <c r="C2579" s="109">
        <v>44365</v>
      </c>
      <c r="D2579" s="108"/>
      <c r="E2579" s="108" t="s">
        <v>14605</v>
      </c>
      <c r="F2579" s="108" t="s">
        <v>18220</v>
      </c>
      <c r="G2579" s="110"/>
      <c r="H2579" s="108" t="s">
        <v>1125</v>
      </c>
      <c r="I2579" s="108"/>
    </row>
    <row r="2580" spans="1:9" ht="27.6">
      <c r="A2580" s="108" t="s">
        <v>15075</v>
      </c>
      <c r="B2580" s="108" t="s">
        <v>18221</v>
      </c>
      <c r="C2580" s="109">
        <v>44526</v>
      </c>
      <c r="D2580" s="108"/>
      <c r="E2580" s="108" t="s">
        <v>14605</v>
      </c>
      <c r="F2580" s="108" t="s">
        <v>18222</v>
      </c>
      <c r="G2580" s="110"/>
      <c r="H2580" s="108" t="s">
        <v>1125</v>
      </c>
      <c r="I2580" s="108"/>
    </row>
    <row r="2581" spans="1:9" ht="27.6">
      <c r="A2581" s="108" t="s">
        <v>15478</v>
      </c>
      <c r="B2581" s="108" t="s">
        <v>18223</v>
      </c>
      <c r="C2581" s="109">
        <v>45182</v>
      </c>
      <c r="D2581" s="108"/>
      <c r="E2581" s="108" t="s">
        <v>14605</v>
      </c>
      <c r="F2581" s="108" t="s">
        <v>18224</v>
      </c>
      <c r="G2581" s="110"/>
      <c r="H2581" s="108" t="s">
        <v>1125</v>
      </c>
      <c r="I2581" s="108"/>
    </row>
    <row r="2582" spans="1:9" ht="27.6">
      <c r="A2582" s="108" t="s">
        <v>15075</v>
      </c>
      <c r="B2582" s="108" t="s">
        <v>18225</v>
      </c>
      <c r="C2582" s="109">
        <v>44551</v>
      </c>
      <c r="D2582" s="108"/>
      <c r="E2582" s="108" t="s">
        <v>14605</v>
      </c>
      <c r="F2582" s="108" t="s">
        <v>18226</v>
      </c>
      <c r="G2582" s="110"/>
      <c r="H2582" s="108" t="s">
        <v>1125</v>
      </c>
      <c r="I2582" s="108"/>
    </row>
    <row r="2583" spans="1:9" ht="27.6">
      <c r="A2583" s="108" t="s">
        <v>15075</v>
      </c>
      <c r="B2583" s="108" t="s">
        <v>18227</v>
      </c>
      <c r="C2583" s="109">
        <v>44774</v>
      </c>
      <c r="D2583" s="108"/>
      <c r="E2583" s="108" t="s">
        <v>14605</v>
      </c>
      <c r="F2583" s="108" t="s">
        <v>18228</v>
      </c>
      <c r="G2583" s="110"/>
      <c r="H2583" s="108" t="s">
        <v>1125</v>
      </c>
      <c r="I2583" s="108"/>
    </row>
    <row r="2584" spans="1:9" ht="27.6">
      <c r="A2584" s="108" t="s">
        <v>15075</v>
      </c>
      <c r="B2584" s="108" t="s">
        <v>18229</v>
      </c>
      <c r="C2584" s="109">
        <v>44853</v>
      </c>
      <c r="D2584" s="108"/>
      <c r="E2584" s="108" t="s">
        <v>14605</v>
      </c>
      <c r="F2584" s="108" t="s">
        <v>17722</v>
      </c>
      <c r="G2584" s="110"/>
      <c r="H2584" s="108" t="s">
        <v>1125</v>
      </c>
      <c r="I2584" s="108"/>
    </row>
    <row r="2585" spans="1:9" ht="27.6">
      <c r="A2585" s="108" t="s">
        <v>15075</v>
      </c>
      <c r="B2585" s="108" t="s">
        <v>18230</v>
      </c>
      <c r="C2585" s="109">
        <v>45053</v>
      </c>
      <c r="D2585" s="108"/>
      <c r="E2585" s="108" t="s">
        <v>14605</v>
      </c>
      <c r="F2585" s="108" t="s">
        <v>18231</v>
      </c>
      <c r="G2585" s="110"/>
      <c r="H2585" s="108" t="s">
        <v>1125</v>
      </c>
      <c r="I2585" s="108"/>
    </row>
    <row r="2586" spans="1:9" ht="27.6">
      <c r="A2586" s="108" t="s">
        <v>15075</v>
      </c>
      <c r="B2586" s="108" t="s">
        <v>18232</v>
      </c>
      <c r="C2586" s="109">
        <v>45083</v>
      </c>
      <c r="D2586" s="108"/>
      <c r="E2586" s="108" t="s">
        <v>14605</v>
      </c>
      <c r="F2586" s="108" t="s">
        <v>18233</v>
      </c>
      <c r="G2586" s="110"/>
      <c r="H2586" s="108" t="s">
        <v>1125</v>
      </c>
      <c r="I2586" s="108"/>
    </row>
    <row r="2587" spans="1:9" ht="27.6">
      <c r="A2587" s="108" t="s">
        <v>15075</v>
      </c>
      <c r="B2587" s="108" t="s">
        <v>18234</v>
      </c>
      <c r="C2587" s="109">
        <v>45071</v>
      </c>
      <c r="D2587" s="108"/>
      <c r="E2587" s="108" t="s">
        <v>14605</v>
      </c>
      <c r="F2587" s="108" t="s">
        <v>15775</v>
      </c>
      <c r="G2587" s="110"/>
      <c r="H2587" s="108" t="s">
        <v>18235</v>
      </c>
      <c r="I2587" s="108"/>
    </row>
    <row r="2588" spans="1:9" ht="27.6">
      <c r="A2588" s="108" t="s">
        <v>15075</v>
      </c>
      <c r="B2588" s="108" t="s">
        <v>18236</v>
      </c>
      <c r="C2588" s="109">
        <v>45057</v>
      </c>
      <c r="D2588" s="108"/>
      <c r="E2588" s="108" t="s">
        <v>14605</v>
      </c>
      <c r="F2588" s="108" t="s">
        <v>18237</v>
      </c>
      <c r="G2588" s="110"/>
      <c r="H2588" s="108" t="s">
        <v>1125</v>
      </c>
      <c r="I2588" s="108"/>
    </row>
    <row r="2589" spans="1:9" ht="27.6">
      <c r="A2589" s="108" t="s">
        <v>15075</v>
      </c>
      <c r="B2589" s="108" t="s">
        <v>18238</v>
      </c>
      <c r="C2589" s="109">
        <v>45057</v>
      </c>
      <c r="D2589" s="108"/>
      <c r="E2589" s="108" t="s">
        <v>14605</v>
      </c>
      <c r="F2589" s="108" t="s">
        <v>18239</v>
      </c>
      <c r="G2589" s="110"/>
      <c r="H2589" s="108" t="s">
        <v>1125</v>
      </c>
      <c r="I2589" s="108"/>
    </row>
    <row r="2590" spans="1:9" ht="27.6">
      <c r="A2590" s="108" t="s">
        <v>15075</v>
      </c>
      <c r="B2590" s="108" t="s">
        <v>18240</v>
      </c>
      <c r="C2590" s="109">
        <v>45072</v>
      </c>
      <c r="D2590" s="108"/>
      <c r="E2590" s="108" t="s">
        <v>14605</v>
      </c>
      <c r="F2590" s="108" t="s">
        <v>16723</v>
      </c>
      <c r="G2590" s="110"/>
      <c r="H2590" s="108" t="s">
        <v>1125</v>
      </c>
      <c r="I2590" s="108"/>
    </row>
    <row r="2591" spans="1:9" ht="27.6">
      <c r="A2591" s="108" t="s">
        <v>15075</v>
      </c>
      <c r="B2591" s="108" t="s">
        <v>18241</v>
      </c>
      <c r="C2591" s="109">
        <v>45132</v>
      </c>
      <c r="D2591" s="108"/>
      <c r="E2591" s="108" t="s">
        <v>14605</v>
      </c>
      <c r="F2591" s="108" t="s">
        <v>15808</v>
      </c>
      <c r="G2591" s="110"/>
      <c r="H2591" s="108" t="s">
        <v>1125</v>
      </c>
      <c r="I2591" s="108"/>
    </row>
    <row r="2592" spans="1:9" ht="27.6">
      <c r="A2592" s="108" t="s">
        <v>15075</v>
      </c>
      <c r="B2592" s="108" t="s">
        <v>18242</v>
      </c>
      <c r="C2592" s="109">
        <v>45035</v>
      </c>
      <c r="D2592" s="108"/>
      <c r="E2592" s="108" t="s">
        <v>14605</v>
      </c>
      <c r="F2592" s="108" t="s">
        <v>18243</v>
      </c>
      <c r="G2592" s="110"/>
      <c r="H2592" s="108" t="s">
        <v>1125</v>
      </c>
      <c r="I2592" s="108"/>
    </row>
    <row r="2593" spans="1:9" ht="27.6">
      <c r="A2593" s="108" t="s">
        <v>15075</v>
      </c>
      <c r="B2593" s="108" t="s">
        <v>18244</v>
      </c>
      <c r="C2593" s="109">
        <v>45251</v>
      </c>
      <c r="D2593" s="108"/>
      <c r="E2593" s="108" t="s">
        <v>14605</v>
      </c>
      <c r="F2593" s="108" t="s">
        <v>15488</v>
      </c>
      <c r="G2593" s="110"/>
      <c r="H2593" s="108" t="s">
        <v>1125</v>
      </c>
      <c r="I2593" s="108"/>
    </row>
    <row r="2594" spans="1:9" ht="27.6">
      <c r="A2594" s="108" t="s">
        <v>15075</v>
      </c>
      <c r="B2594" s="108" t="s">
        <v>18245</v>
      </c>
      <c r="C2594" s="109">
        <v>45104</v>
      </c>
      <c r="D2594" s="108"/>
      <c r="E2594" s="108" t="s">
        <v>14605</v>
      </c>
      <c r="F2594" s="108" t="s">
        <v>18246</v>
      </c>
      <c r="G2594" s="110"/>
      <c r="H2594" s="108" t="s">
        <v>1125</v>
      </c>
      <c r="I2594" s="108"/>
    </row>
    <row r="2595" spans="1:9" ht="27.6">
      <c r="A2595" s="108" t="s">
        <v>15075</v>
      </c>
      <c r="B2595" s="108" t="s">
        <v>18247</v>
      </c>
      <c r="C2595" s="109">
        <v>45063</v>
      </c>
      <c r="D2595" s="108"/>
      <c r="E2595" s="108" t="s">
        <v>14605</v>
      </c>
      <c r="F2595" s="108" t="s">
        <v>15038</v>
      </c>
      <c r="G2595" s="110"/>
      <c r="H2595" s="108" t="s">
        <v>1125</v>
      </c>
      <c r="I2595" s="108"/>
    </row>
    <row r="2596" spans="1:9" ht="27.6">
      <c r="A2596" s="108" t="s">
        <v>15075</v>
      </c>
      <c r="B2596" s="108" t="s">
        <v>18248</v>
      </c>
      <c r="C2596" s="109">
        <v>45077</v>
      </c>
      <c r="D2596" s="108"/>
      <c r="E2596" s="108" t="s">
        <v>14605</v>
      </c>
      <c r="F2596" s="108" t="s">
        <v>18249</v>
      </c>
      <c r="G2596" s="110"/>
      <c r="H2596" s="108" t="s">
        <v>1125</v>
      </c>
      <c r="I2596" s="108"/>
    </row>
    <row r="2597" spans="1:9" ht="27.6">
      <c r="A2597" s="108" t="s">
        <v>15075</v>
      </c>
      <c r="B2597" s="108" t="s">
        <v>18250</v>
      </c>
      <c r="C2597" s="109">
        <v>45135</v>
      </c>
      <c r="D2597" s="108"/>
      <c r="E2597" s="108" t="s">
        <v>14605</v>
      </c>
      <c r="F2597" s="108" t="s">
        <v>15310</v>
      </c>
      <c r="G2597" s="110"/>
      <c r="H2597" s="108" t="s">
        <v>1125</v>
      </c>
      <c r="I2597" s="108"/>
    </row>
    <row r="2598" spans="1:9" ht="27.6">
      <c r="A2598" s="108" t="s">
        <v>15075</v>
      </c>
      <c r="B2598" s="108" t="s">
        <v>18251</v>
      </c>
      <c r="C2598" s="109">
        <v>45138</v>
      </c>
      <c r="D2598" s="108"/>
      <c r="E2598" s="108" t="s">
        <v>14605</v>
      </c>
      <c r="F2598" s="108" t="s">
        <v>18252</v>
      </c>
      <c r="G2598" s="110"/>
      <c r="H2598" s="108" t="s">
        <v>1125</v>
      </c>
      <c r="I2598" s="108"/>
    </row>
    <row r="2599" spans="1:9" ht="27.6">
      <c r="A2599" s="108" t="s">
        <v>15075</v>
      </c>
      <c r="B2599" s="108" t="s">
        <v>18253</v>
      </c>
      <c r="C2599" s="109">
        <v>45259</v>
      </c>
      <c r="D2599" s="108"/>
      <c r="E2599" s="108" t="s">
        <v>14605</v>
      </c>
      <c r="F2599" s="108" t="s">
        <v>18254</v>
      </c>
      <c r="G2599" s="110"/>
      <c r="H2599" s="108" t="s">
        <v>1125</v>
      </c>
      <c r="I2599" s="108"/>
    </row>
    <row r="2600" spans="1:9" ht="27.6">
      <c r="A2600" s="108" t="s">
        <v>15075</v>
      </c>
      <c r="B2600" s="108" t="s">
        <v>18255</v>
      </c>
      <c r="C2600" s="109">
        <v>45278</v>
      </c>
      <c r="D2600" s="108"/>
      <c r="E2600" s="108" t="s">
        <v>14605</v>
      </c>
      <c r="F2600" s="108" t="s">
        <v>18256</v>
      </c>
      <c r="G2600" s="110"/>
      <c r="H2600" s="108" t="s">
        <v>1125</v>
      </c>
      <c r="I2600" s="108"/>
    </row>
    <row r="2601" spans="1:9" ht="27.6">
      <c r="A2601" s="108" t="s">
        <v>15075</v>
      </c>
      <c r="B2601" s="108" t="s">
        <v>18257</v>
      </c>
      <c r="C2601" s="109">
        <v>45362</v>
      </c>
      <c r="D2601" s="108"/>
      <c r="E2601" s="108" t="s">
        <v>14605</v>
      </c>
      <c r="F2601" s="108" t="s">
        <v>18258</v>
      </c>
      <c r="G2601" s="110"/>
      <c r="H2601" s="108" t="s">
        <v>1125</v>
      </c>
      <c r="I2601" s="108"/>
    </row>
    <row r="2602" spans="1:9" ht="27.6">
      <c r="A2602" s="108" t="s">
        <v>15075</v>
      </c>
      <c r="B2602" s="108" t="s">
        <v>18259</v>
      </c>
      <c r="C2602" s="109">
        <v>45279</v>
      </c>
      <c r="D2602" s="108"/>
      <c r="E2602" s="108" t="s">
        <v>14605</v>
      </c>
      <c r="F2602" s="108" t="s">
        <v>18256</v>
      </c>
      <c r="G2602" s="110"/>
      <c r="H2602" s="108" t="s">
        <v>1125</v>
      </c>
      <c r="I2602" s="108"/>
    </row>
    <row r="2603" spans="1:9" ht="27.6">
      <c r="A2603" s="108" t="s">
        <v>15075</v>
      </c>
      <c r="B2603" s="108" t="s">
        <v>18260</v>
      </c>
      <c r="C2603" s="109">
        <v>45408</v>
      </c>
      <c r="D2603" s="108"/>
      <c r="E2603" s="108" t="s">
        <v>14605</v>
      </c>
      <c r="F2603" s="108" t="s">
        <v>18261</v>
      </c>
      <c r="G2603" s="110"/>
      <c r="H2603" s="108" t="s">
        <v>1125</v>
      </c>
      <c r="I2603" s="108"/>
    </row>
    <row r="2604" spans="1:9" ht="27.6">
      <c r="A2604" s="108" t="s">
        <v>15075</v>
      </c>
      <c r="B2604" s="108" t="s">
        <v>18262</v>
      </c>
      <c r="C2604" s="109">
        <v>45343</v>
      </c>
      <c r="D2604" s="108"/>
      <c r="E2604" s="108" t="s">
        <v>14605</v>
      </c>
      <c r="F2604" s="108" t="s">
        <v>17652</v>
      </c>
      <c r="G2604" s="110"/>
      <c r="H2604" s="108" t="s">
        <v>1125</v>
      </c>
      <c r="I2604" s="108"/>
    </row>
    <row r="2605" spans="1:9" ht="27.6">
      <c r="A2605" s="108" t="s">
        <v>15075</v>
      </c>
      <c r="B2605" s="108" t="s">
        <v>18263</v>
      </c>
      <c r="C2605" s="109">
        <v>45353</v>
      </c>
      <c r="D2605" s="108"/>
      <c r="E2605" s="108" t="s">
        <v>14605</v>
      </c>
      <c r="F2605" s="108" t="s">
        <v>16690</v>
      </c>
      <c r="G2605" s="110"/>
      <c r="H2605" s="108" t="s">
        <v>1125</v>
      </c>
      <c r="I2605" s="108"/>
    </row>
    <row r="2606" spans="1:9" ht="27.6">
      <c r="A2606" s="108" t="s">
        <v>15075</v>
      </c>
      <c r="B2606" s="108" t="s">
        <v>18264</v>
      </c>
      <c r="C2606" s="109">
        <v>45345</v>
      </c>
      <c r="D2606" s="108"/>
      <c r="E2606" s="108" t="s">
        <v>14605</v>
      </c>
      <c r="F2606" s="108" t="s">
        <v>18265</v>
      </c>
      <c r="G2606" s="110"/>
      <c r="H2606" s="108" t="s">
        <v>1125</v>
      </c>
      <c r="I2606" s="108"/>
    </row>
    <row r="2607" spans="1:9" ht="27.6">
      <c r="A2607" s="108" t="s">
        <v>15075</v>
      </c>
      <c r="B2607" s="108" t="s">
        <v>18266</v>
      </c>
      <c r="C2607" s="109">
        <v>45372</v>
      </c>
      <c r="D2607" s="108"/>
      <c r="E2607" s="108" t="s">
        <v>14605</v>
      </c>
      <c r="F2607" s="108" t="s">
        <v>18267</v>
      </c>
      <c r="G2607" s="110"/>
      <c r="H2607" s="108" t="s">
        <v>1125</v>
      </c>
      <c r="I2607" s="108"/>
    </row>
    <row r="2608" spans="1:9" ht="27.6">
      <c r="A2608" s="108" t="s">
        <v>15075</v>
      </c>
      <c r="B2608" s="108" t="s">
        <v>18268</v>
      </c>
      <c r="C2608" s="109">
        <v>45401</v>
      </c>
      <c r="D2608" s="108"/>
      <c r="E2608" s="108" t="s">
        <v>14605</v>
      </c>
      <c r="F2608" s="108" t="s">
        <v>18156</v>
      </c>
      <c r="G2608" s="110"/>
      <c r="H2608" s="108" t="s">
        <v>1125</v>
      </c>
      <c r="I2608" s="108"/>
    </row>
    <row r="2609" spans="1:9" ht="27.6">
      <c r="A2609" s="108" t="s">
        <v>15075</v>
      </c>
      <c r="B2609" s="108" t="s">
        <v>18269</v>
      </c>
      <c r="C2609" s="109">
        <v>45512</v>
      </c>
      <c r="D2609" s="108"/>
      <c r="E2609" s="108" t="s">
        <v>14605</v>
      </c>
      <c r="F2609" s="108" t="s">
        <v>15775</v>
      </c>
      <c r="G2609" s="110"/>
      <c r="H2609" s="108" t="s">
        <v>1125</v>
      </c>
      <c r="I2609" s="108"/>
    </row>
    <row r="2610" spans="1:9" ht="27.6">
      <c r="A2610" s="108" t="s">
        <v>15075</v>
      </c>
      <c r="B2610" s="108" t="s">
        <v>18270</v>
      </c>
      <c r="C2610" s="109">
        <v>45477</v>
      </c>
      <c r="D2610" s="108"/>
      <c r="E2610" s="108" t="s">
        <v>14605</v>
      </c>
      <c r="F2610" s="108" t="s">
        <v>15909</v>
      </c>
      <c r="G2610" s="110"/>
      <c r="H2610" s="108" t="s">
        <v>1125</v>
      </c>
      <c r="I2610" s="108"/>
    </row>
    <row r="2611" spans="1:9" ht="27.6">
      <c r="A2611" s="108" t="s">
        <v>15075</v>
      </c>
      <c r="B2611" s="108" t="s">
        <v>18271</v>
      </c>
      <c r="C2611" s="109">
        <v>45477</v>
      </c>
      <c r="D2611" s="108"/>
      <c r="E2611" s="108" t="s">
        <v>14605</v>
      </c>
      <c r="F2611" s="108" t="s">
        <v>18272</v>
      </c>
      <c r="G2611" s="110"/>
      <c r="H2611" s="108" t="s">
        <v>1125</v>
      </c>
      <c r="I2611" s="108"/>
    </row>
    <row r="2612" spans="1:9" ht="27.6">
      <c r="A2612" s="108" t="s">
        <v>15075</v>
      </c>
      <c r="B2612" s="108" t="s">
        <v>18273</v>
      </c>
      <c r="C2612" s="109">
        <v>45558</v>
      </c>
      <c r="D2612" s="108"/>
      <c r="E2612" s="108" t="s">
        <v>14605</v>
      </c>
      <c r="F2612" s="108" t="s">
        <v>18159</v>
      </c>
      <c r="G2612" s="110"/>
      <c r="H2612" s="108" t="s">
        <v>1125</v>
      </c>
      <c r="I2612" s="108"/>
    </row>
    <row r="2613" spans="1:9" ht="27.6">
      <c r="A2613" s="108" t="s">
        <v>15075</v>
      </c>
      <c r="B2613" s="108" t="s">
        <v>18274</v>
      </c>
      <c r="C2613" s="109">
        <v>45534</v>
      </c>
      <c r="D2613" s="108"/>
      <c r="E2613" s="108" t="s">
        <v>14605</v>
      </c>
      <c r="F2613" s="108" t="s">
        <v>15775</v>
      </c>
      <c r="G2613" s="110"/>
      <c r="H2613" s="108" t="s">
        <v>1125</v>
      </c>
      <c r="I2613" s="108"/>
    </row>
    <row r="2614" spans="1:9" ht="27.6">
      <c r="A2614" s="108" t="s">
        <v>15075</v>
      </c>
      <c r="B2614" s="108" t="s">
        <v>18275</v>
      </c>
      <c r="C2614" s="109">
        <v>45586</v>
      </c>
      <c r="D2614" s="108"/>
      <c r="E2614" s="108" t="s">
        <v>14605</v>
      </c>
      <c r="F2614" s="108" t="s">
        <v>15775</v>
      </c>
      <c r="G2614" s="110"/>
      <c r="H2614" s="108" t="s">
        <v>1125</v>
      </c>
      <c r="I2614" s="108"/>
    </row>
    <row r="2615" spans="1:9" ht="27.6">
      <c r="A2615" s="108" t="s">
        <v>15075</v>
      </c>
      <c r="B2615" s="108" t="s">
        <v>18276</v>
      </c>
      <c r="C2615" s="109">
        <v>45590</v>
      </c>
      <c r="D2615" s="108"/>
      <c r="E2615" s="108" t="s">
        <v>14605</v>
      </c>
      <c r="F2615" s="108" t="s">
        <v>17976</v>
      </c>
      <c r="G2615" s="110"/>
      <c r="H2615" s="108" t="s">
        <v>1125</v>
      </c>
      <c r="I2615" s="108"/>
    </row>
    <row r="2616" spans="1:9" ht="27.6">
      <c r="A2616" s="108" t="s">
        <v>227</v>
      </c>
      <c r="B2616" s="108" t="s">
        <v>18277</v>
      </c>
      <c r="C2616" s="109">
        <v>41994</v>
      </c>
      <c r="D2616" s="108"/>
      <c r="E2616" s="108" t="s">
        <v>14605</v>
      </c>
      <c r="F2616" s="108" t="s">
        <v>17549</v>
      </c>
      <c r="G2616" s="110"/>
      <c r="H2616" s="108" t="s">
        <v>1125</v>
      </c>
      <c r="I2616" s="108"/>
    </row>
    <row r="2617" spans="1:9" ht="27.6">
      <c r="A2617" s="108" t="s">
        <v>227</v>
      </c>
      <c r="B2617" s="108" t="s">
        <v>18278</v>
      </c>
      <c r="C2617" s="109">
        <v>41994</v>
      </c>
      <c r="D2617" s="108"/>
      <c r="E2617" s="108" t="s">
        <v>14605</v>
      </c>
      <c r="F2617" s="108" t="s">
        <v>15467</v>
      </c>
      <c r="G2617" s="110"/>
      <c r="H2617" s="108" t="s">
        <v>1125</v>
      </c>
      <c r="I2617" s="108"/>
    </row>
    <row r="2618" spans="1:9" ht="41.4">
      <c r="A2618" s="108" t="s">
        <v>227</v>
      </c>
      <c r="B2618" s="108" t="s">
        <v>18279</v>
      </c>
      <c r="C2618" s="109">
        <v>41397</v>
      </c>
      <c r="D2618" s="108"/>
      <c r="E2618" s="108" t="s">
        <v>14605</v>
      </c>
      <c r="F2618" s="108" t="s">
        <v>18280</v>
      </c>
      <c r="G2618" s="110"/>
      <c r="H2618" s="108" t="s">
        <v>1125</v>
      </c>
      <c r="I2618" s="108"/>
    </row>
    <row r="2619" spans="1:9" ht="27.6">
      <c r="A2619" s="108" t="s">
        <v>227</v>
      </c>
      <c r="B2619" s="108" t="s">
        <v>18281</v>
      </c>
      <c r="C2619" s="109">
        <v>41632</v>
      </c>
      <c r="D2619" s="108"/>
      <c r="E2619" s="108" t="s">
        <v>14605</v>
      </c>
      <c r="F2619" s="108" t="s">
        <v>15467</v>
      </c>
      <c r="G2619" s="110"/>
      <c r="H2619" s="108" t="s">
        <v>1125</v>
      </c>
      <c r="I2619" s="108"/>
    </row>
    <row r="2620" spans="1:9" ht="27.6">
      <c r="A2620" s="108" t="s">
        <v>227</v>
      </c>
      <c r="B2620" s="108" t="s">
        <v>18282</v>
      </c>
      <c r="C2620" s="109">
        <v>41530</v>
      </c>
      <c r="D2620" s="108"/>
      <c r="E2620" s="108" t="s">
        <v>14605</v>
      </c>
      <c r="F2620" s="108" t="s">
        <v>15467</v>
      </c>
      <c r="G2620" s="110"/>
      <c r="H2620" s="108" t="s">
        <v>1125</v>
      </c>
      <c r="I2620" s="108"/>
    </row>
    <row r="2621" spans="1:9" ht="27.6">
      <c r="A2621" s="108" t="s">
        <v>227</v>
      </c>
      <c r="B2621" s="108" t="s">
        <v>18283</v>
      </c>
      <c r="C2621" s="109">
        <v>41771</v>
      </c>
      <c r="D2621" s="108"/>
      <c r="E2621" s="108" t="s">
        <v>14605</v>
      </c>
      <c r="F2621" s="108" t="s">
        <v>18246</v>
      </c>
      <c r="G2621" s="110"/>
      <c r="H2621" s="108" t="s">
        <v>1125</v>
      </c>
      <c r="I2621" s="108"/>
    </row>
    <row r="2622" spans="1:9">
      <c r="A2622" s="108" t="s">
        <v>227</v>
      </c>
      <c r="B2622" s="108" t="s">
        <v>18284</v>
      </c>
      <c r="C2622" s="109">
        <v>41718</v>
      </c>
      <c r="D2622" s="108"/>
      <c r="E2622" s="108" t="s">
        <v>14605</v>
      </c>
      <c r="F2622" s="108" t="s">
        <v>17798</v>
      </c>
      <c r="G2622" s="110"/>
      <c r="H2622" s="108" t="s">
        <v>1125</v>
      </c>
      <c r="I2622" s="108"/>
    </row>
    <row r="2623" spans="1:9">
      <c r="A2623" s="108" t="s">
        <v>227</v>
      </c>
      <c r="B2623" s="108" t="s">
        <v>18285</v>
      </c>
      <c r="C2623" s="109">
        <v>41813</v>
      </c>
      <c r="D2623" s="108"/>
      <c r="E2623" s="108" t="s">
        <v>14605</v>
      </c>
      <c r="F2623" s="108" t="s">
        <v>17840</v>
      </c>
      <c r="G2623" s="110"/>
      <c r="H2623" s="108" t="s">
        <v>1125</v>
      </c>
      <c r="I2623" s="108"/>
    </row>
    <row r="2624" spans="1:9" ht="27.6">
      <c r="A2624" s="108" t="s">
        <v>227</v>
      </c>
      <c r="B2624" s="108" t="s">
        <v>18286</v>
      </c>
      <c r="C2624" s="109">
        <v>41582</v>
      </c>
      <c r="D2624" s="108"/>
      <c r="E2624" s="108" t="s">
        <v>14605</v>
      </c>
      <c r="F2624" s="108" t="s">
        <v>15467</v>
      </c>
      <c r="G2624" s="110"/>
      <c r="H2624" s="108" t="s">
        <v>1125</v>
      </c>
      <c r="I2624" s="108"/>
    </row>
    <row r="2625" spans="1:9">
      <c r="A2625" s="108" t="s">
        <v>227</v>
      </c>
      <c r="B2625" s="108" t="s">
        <v>18287</v>
      </c>
      <c r="C2625" s="109">
        <v>41571</v>
      </c>
      <c r="D2625" s="108"/>
      <c r="E2625" s="108" t="s">
        <v>14605</v>
      </c>
      <c r="F2625" s="108" t="s">
        <v>15465</v>
      </c>
      <c r="G2625" s="110"/>
      <c r="H2625" s="108" t="s">
        <v>1125</v>
      </c>
      <c r="I2625" s="108"/>
    </row>
    <row r="2626" spans="1:9" ht="27.6">
      <c r="A2626" s="108" t="s">
        <v>227</v>
      </c>
      <c r="B2626" s="108" t="s">
        <v>18288</v>
      </c>
      <c r="C2626" s="109">
        <v>41789</v>
      </c>
      <c r="D2626" s="108"/>
      <c r="E2626" s="108" t="s">
        <v>14605</v>
      </c>
      <c r="F2626" s="108" t="s">
        <v>15472</v>
      </c>
      <c r="G2626" s="110"/>
      <c r="H2626" s="108" t="s">
        <v>1125</v>
      </c>
      <c r="I2626" s="108"/>
    </row>
    <row r="2627" spans="1:9" ht="27.6">
      <c r="A2627" s="108" t="s">
        <v>227</v>
      </c>
      <c r="B2627" s="108" t="s">
        <v>18289</v>
      </c>
      <c r="C2627" s="109">
        <v>41835</v>
      </c>
      <c r="D2627" s="108"/>
      <c r="E2627" s="108" t="s">
        <v>14605</v>
      </c>
      <c r="F2627" s="108" t="s">
        <v>17715</v>
      </c>
      <c r="G2627" s="110"/>
      <c r="H2627" s="108" t="s">
        <v>1125</v>
      </c>
      <c r="I2627" s="108"/>
    </row>
    <row r="2628" spans="1:9" ht="27.6">
      <c r="A2628" s="108" t="s">
        <v>227</v>
      </c>
      <c r="B2628" s="108" t="s">
        <v>18290</v>
      </c>
      <c r="C2628" s="109">
        <v>42189</v>
      </c>
      <c r="D2628" s="108"/>
      <c r="E2628" s="108" t="s">
        <v>14605</v>
      </c>
      <c r="F2628" s="108" t="s">
        <v>18291</v>
      </c>
      <c r="G2628" s="110"/>
      <c r="H2628" s="108" t="s">
        <v>1125</v>
      </c>
      <c r="I2628" s="108"/>
    </row>
    <row r="2629" spans="1:9" ht="27.6">
      <c r="A2629" s="108" t="s">
        <v>227</v>
      </c>
      <c r="B2629" s="108" t="s">
        <v>18292</v>
      </c>
      <c r="C2629" s="109">
        <v>42020</v>
      </c>
      <c r="D2629" s="108"/>
      <c r="E2629" s="108" t="s">
        <v>14605</v>
      </c>
      <c r="F2629" s="108" t="s">
        <v>15467</v>
      </c>
      <c r="G2629" s="110"/>
      <c r="H2629" s="108" t="s">
        <v>1125</v>
      </c>
      <c r="I2629" s="108"/>
    </row>
    <row r="2630" spans="1:9">
      <c r="A2630" s="108" t="s">
        <v>227</v>
      </c>
      <c r="B2630" s="108" t="s">
        <v>18293</v>
      </c>
      <c r="C2630" s="109">
        <v>41927</v>
      </c>
      <c r="D2630" s="108"/>
      <c r="E2630" s="108" t="s">
        <v>14605</v>
      </c>
      <c r="F2630" s="108" t="s">
        <v>17742</v>
      </c>
      <c r="G2630" s="110"/>
      <c r="H2630" s="108" t="s">
        <v>1125</v>
      </c>
      <c r="I2630" s="108"/>
    </row>
    <row r="2631" spans="1:9" ht="27.6">
      <c r="A2631" s="108" t="s">
        <v>227</v>
      </c>
      <c r="B2631" s="108" t="s">
        <v>18294</v>
      </c>
      <c r="C2631" s="109">
        <v>42182</v>
      </c>
      <c r="D2631" s="108"/>
      <c r="E2631" s="108" t="s">
        <v>14605</v>
      </c>
      <c r="F2631" s="108" t="s">
        <v>18295</v>
      </c>
      <c r="G2631" s="110"/>
      <c r="H2631" s="108" t="s">
        <v>1125</v>
      </c>
      <c r="I2631" s="108"/>
    </row>
    <row r="2632" spans="1:9" ht="27.6">
      <c r="A2632" s="108" t="s">
        <v>227</v>
      </c>
      <c r="B2632" s="108" t="s">
        <v>18296</v>
      </c>
      <c r="C2632" s="109">
        <v>42209</v>
      </c>
      <c r="D2632" s="108"/>
      <c r="E2632" s="108" t="s">
        <v>14605</v>
      </c>
      <c r="F2632" s="108" t="s">
        <v>15694</v>
      </c>
      <c r="G2632" s="110"/>
      <c r="H2632" s="108" t="s">
        <v>1125</v>
      </c>
      <c r="I2632" s="108"/>
    </row>
    <row r="2633" spans="1:9" ht="27.6">
      <c r="A2633" s="108" t="s">
        <v>227</v>
      </c>
      <c r="B2633" s="108" t="s">
        <v>18297</v>
      </c>
      <c r="C2633" s="109">
        <v>42048</v>
      </c>
      <c r="D2633" s="108"/>
      <c r="E2633" s="108" t="s">
        <v>14605</v>
      </c>
      <c r="F2633" s="108" t="s">
        <v>15694</v>
      </c>
      <c r="G2633" s="110"/>
      <c r="H2633" s="108" t="s">
        <v>1125</v>
      </c>
      <c r="I2633" s="108"/>
    </row>
    <row r="2634" spans="1:9">
      <c r="A2634" s="108" t="s">
        <v>227</v>
      </c>
      <c r="B2634" s="108" t="s">
        <v>18298</v>
      </c>
      <c r="C2634" s="109">
        <v>42449</v>
      </c>
      <c r="D2634" s="108"/>
      <c r="E2634" s="108" t="s">
        <v>14605</v>
      </c>
      <c r="F2634" s="108" t="s">
        <v>18299</v>
      </c>
      <c r="G2634" s="110"/>
      <c r="H2634" s="108" t="s">
        <v>1125</v>
      </c>
      <c r="I2634" s="108"/>
    </row>
    <row r="2635" spans="1:9">
      <c r="A2635" s="108" t="s">
        <v>227</v>
      </c>
      <c r="B2635" s="108" t="s">
        <v>2621</v>
      </c>
      <c r="C2635" s="109">
        <v>42294</v>
      </c>
      <c r="D2635" s="108"/>
      <c r="E2635" s="108" t="s">
        <v>14605</v>
      </c>
      <c r="F2635" s="108" t="s">
        <v>2622</v>
      </c>
      <c r="G2635" s="110"/>
      <c r="H2635" s="108" t="s">
        <v>1125</v>
      </c>
      <c r="I2635" s="108"/>
    </row>
    <row r="2636" spans="1:9" ht="27.6">
      <c r="A2636" s="108" t="s">
        <v>227</v>
      </c>
      <c r="B2636" s="108" t="s">
        <v>18300</v>
      </c>
      <c r="C2636" s="109">
        <v>42560</v>
      </c>
      <c r="D2636" s="108"/>
      <c r="E2636" s="108" t="s">
        <v>14605</v>
      </c>
      <c r="F2636" s="108" t="s">
        <v>17680</v>
      </c>
      <c r="G2636" s="110"/>
      <c r="H2636" s="108" t="s">
        <v>1125</v>
      </c>
      <c r="I2636" s="108"/>
    </row>
    <row r="2637" spans="1:9">
      <c r="A2637" s="108" t="s">
        <v>227</v>
      </c>
      <c r="B2637" s="108" t="s">
        <v>18301</v>
      </c>
      <c r="C2637" s="109">
        <v>42321</v>
      </c>
      <c r="D2637" s="108"/>
      <c r="E2637" s="108" t="s">
        <v>14605</v>
      </c>
      <c r="F2637" s="108" t="s">
        <v>18302</v>
      </c>
      <c r="G2637" s="110"/>
      <c r="H2637" s="108" t="s">
        <v>1125</v>
      </c>
      <c r="I2637" s="108"/>
    </row>
    <row r="2638" spans="1:9">
      <c r="A2638" s="108" t="s">
        <v>227</v>
      </c>
      <c r="B2638" s="108" t="s">
        <v>18303</v>
      </c>
      <c r="C2638" s="109">
        <v>42880</v>
      </c>
      <c r="D2638" s="108"/>
      <c r="E2638" s="108" t="s">
        <v>14605</v>
      </c>
      <c r="F2638" s="108" t="s">
        <v>17976</v>
      </c>
      <c r="G2638" s="110"/>
      <c r="H2638" s="108" t="s">
        <v>1125</v>
      </c>
      <c r="I2638" s="108"/>
    </row>
    <row r="2639" spans="1:9">
      <c r="A2639" s="108" t="s">
        <v>227</v>
      </c>
      <c r="B2639" s="108" t="s">
        <v>18304</v>
      </c>
      <c r="C2639" s="109">
        <v>42351</v>
      </c>
      <c r="D2639" s="108"/>
      <c r="E2639" s="108" t="s">
        <v>14605</v>
      </c>
      <c r="F2639" s="108" t="s">
        <v>18305</v>
      </c>
      <c r="G2639" s="110"/>
      <c r="H2639" s="108" t="s">
        <v>1125</v>
      </c>
      <c r="I2639" s="108"/>
    </row>
    <row r="2640" spans="1:9" ht="27.6">
      <c r="A2640" s="108" t="s">
        <v>227</v>
      </c>
      <c r="B2640" s="108" t="s">
        <v>18306</v>
      </c>
      <c r="C2640" s="109">
        <v>42619</v>
      </c>
      <c r="D2640" s="108"/>
      <c r="E2640" s="108" t="s">
        <v>14605</v>
      </c>
      <c r="F2640" s="108" t="s">
        <v>18307</v>
      </c>
      <c r="G2640" s="110"/>
      <c r="H2640" s="108" t="s">
        <v>1125</v>
      </c>
      <c r="I2640" s="108"/>
    </row>
    <row r="2641" spans="1:9" ht="27.6">
      <c r="A2641" s="108" t="s">
        <v>227</v>
      </c>
      <c r="B2641" s="108" t="s">
        <v>18308</v>
      </c>
      <c r="C2641" s="109">
        <v>42637</v>
      </c>
      <c r="D2641" s="108"/>
      <c r="E2641" s="108" t="s">
        <v>14605</v>
      </c>
      <c r="F2641" s="108" t="s">
        <v>18309</v>
      </c>
      <c r="G2641" s="110"/>
      <c r="H2641" s="108" t="s">
        <v>1125</v>
      </c>
      <c r="I2641" s="108"/>
    </row>
    <row r="2642" spans="1:9">
      <c r="A2642" s="108" t="s">
        <v>227</v>
      </c>
      <c r="B2642" s="108" t="s">
        <v>18310</v>
      </c>
      <c r="C2642" s="109">
        <v>42549</v>
      </c>
      <c r="D2642" s="108"/>
      <c r="E2642" s="108" t="s">
        <v>14605</v>
      </c>
      <c r="F2642" s="108" t="s">
        <v>18057</v>
      </c>
      <c r="G2642" s="110"/>
      <c r="H2642" s="108" t="s">
        <v>1125</v>
      </c>
      <c r="I2642" s="108"/>
    </row>
    <row r="2643" spans="1:9">
      <c r="A2643" s="108" t="s">
        <v>227</v>
      </c>
      <c r="B2643" s="108" t="s">
        <v>18311</v>
      </c>
      <c r="C2643" s="109">
        <v>42549</v>
      </c>
      <c r="D2643" s="108"/>
      <c r="E2643" s="108" t="s">
        <v>14605</v>
      </c>
      <c r="F2643" s="108" t="s">
        <v>18312</v>
      </c>
      <c r="G2643" s="110"/>
      <c r="H2643" s="108" t="s">
        <v>1125</v>
      </c>
      <c r="I2643" s="108"/>
    </row>
    <row r="2644" spans="1:9" ht="41.4">
      <c r="A2644" s="108" t="s">
        <v>227</v>
      </c>
      <c r="B2644" s="108" t="s">
        <v>18313</v>
      </c>
      <c r="C2644" s="109">
        <v>42588</v>
      </c>
      <c r="D2644" s="108"/>
      <c r="E2644" s="108" t="s">
        <v>14605</v>
      </c>
      <c r="F2644" s="108" t="s">
        <v>17656</v>
      </c>
      <c r="G2644" s="110"/>
      <c r="H2644" s="108" t="s">
        <v>1125</v>
      </c>
      <c r="I2644" s="108"/>
    </row>
    <row r="2645" spans="1:9" ht="41.4">
      <c r="A2645" s="108" t="s">
        <v>227</v>
      </c>
      <c r="B2645" s="108" t="s">
        <v>18314</v>
      </c>
      <c r="C2645" s="109">
        <v>42823</v>
      </c>
      <c r="D2645" s="108"/>
      <c r="E2645" s="108" t="s">
        <v>14605</v>
      </c>
      <c r="F2645" s="108" t="s">
        <v>18315</v>
      </c>
      <c r="G2645" s="110"/>
      <c r="H2645" s="108" t="s">
        <v>1125</v>
      </c>
      <c r="I2645" s="108"/>
    </row>
    <row r="2646" spans="1:9">
      <c r="A2646" s="108" t="s">
        <v>227</v>
      </c>
      <c r="B2646" s="108" t="s">
        <v>18316</v>
      </c>
      <c r="C2646" s="109">
        <v>42733</v>
      </c>
      <c r="D2646" s="108"/>
      <c r="E2646" s="108" t="s">
        <v>14605</v>
      </c>
      <c r="F2646" s="108" t="s">
        <v>18317</v>
      </c>
      <c r="G2646" s="110"/>
      <c r="H2646" s="108" t="s">
        <v>1125</v>
      </c>
      <c r="I2646" s="108"/>
    </row>
    <row r="2647" spans="1:9" ht="41.4">
      <c r="A2647" s="108" t="s">
        <v>227</v>
      </c>
      <c r="B2647" s="108" t="s">
        <v>18318</v>
      </c>
      <c r="C2647" s="109">
        <v>42823</v>
      </c>
      <c r="D2647" s="108"/>
      <c r="E2647" s="108" t="s">
        <v>14605</v>
      </c>
      <c r="F2647" s="108" t="s">
        <v>18319</v>
      </c>
      <c r="G2647" s="110"/>
      <c r="H2647" s="108" t="s">
        <v>1125</v>
      </c>
      <c r="I2647" s="108"/>
    </row>
    <row r="2648" spans="1:9" ht="41.4">
      <c r="A2648" s="108" t="s">
        <v>227</v>
      </c>
      <c r="B2648" s="108" t="s">
        <v>18320</v>
      </c>
      <c r="C2648" s="109">
        <v>42856</v>
      </c>
      <c r="D2648" s="108"/>
      <c r="E2648" s="108" t="s">
        <v>14605</v>
      </c>
      <c r="F2648" s="108" t="s">
        <v>17646</v>
      </c>
      <c r="G2648" s="110"/>
      <c r="H2648" s="108" t="s">
        <v>1125</v>
      </c>
      <c r="I2648" s="108"/>
    </row>
    <row r="2649" spans="1:9">
      <c r="A2649" s="108" t="s">
        <v>227</v>
      </c>
      <c r="B2649" s="108" t="s">
        <v>18321</v>
      </c>
      <c r="C2649" s="109">
        <v>42812</v>
      </c>
      <c r="D2649" s="108"/>
      <c r="E2649" s="108" t="s">
        <v>14605</v>
      </c>
      <c r="F2649" s="108" t="s">
        <v>15696</v>
      </c>
      <c r="G2649" s="110"/>
      <c r="H2649" s="108" t="s">
        <v>1125</v>
      </c>
      <c r="I2649" s="108"/>
    </row>
    <row r="2650" spans="1:9">
      <c r="A2650" s="108" t="s">
        <v>227</v>
      </c>
      <c r="B2650" s="108" t="s">
        <v>18322</v>
      </c>
      <c r="C2650" s="109">
        <v>42918</v>
      </c>
      <c r="D2650" s="108"/>
      <c r="E2650" s="108" t="s">
        <v>14605</v>
      </c>
      <c r="F2650" s="108" t="s">
        <v>18323</v>
      </c>
      <c r="G2650" s="110"/>
      <c r="H2650" s="108" t="s">
        <v>1125</v>
      </c>
      <c r="I2650" s="108"/>
    </row>
    <row r="2651" spans="1:9" ht="27.6">
      <c r="A2651" s="108" t="s">
        <v>227</v>
      </c>
      <c r="B2651" s="108" t="s">
        <v>18324</v>
      </c>
      <c r="C2651" s="109">
        <v>43063</v>
      </c>
      <c r="D2651" s="108"/>
      <c r="E2651" s="108" t="s">
        <v>14605</v>
      </c>
      <c r="F2651" s="108" t="s">
        <v>18325</v>
      </c>
      <c r="G2651" s="110"/>
      <c r="H2651" s="108" t="s">
        <v>1125</v>
      </c>
      <c r="I2651" s="108"/>
    </row>
    <row r="2652" spans="1:9">
      <c r="A2652" s="108" t="s">
        <v>227</v>
      </c>
      <c r="B2652" s="108" t="s">
        <v>18326</v>
      </c>
      <c r="C2652" s="109">
        <v>43022</v>
      </c>
      <c r="D2652" s="108"/>
      <c r="E2652" s="108" t="s">
        <v>14605</v>
      </c>
      <c r="F2652" s="108" t="s">
        <v>18086</v>
      </c>
      <c r="G2652" s="110"/>
      <c r="H2652" s="108" t="s">
        <v>1125</v>
      </c>
      <c r="I2652" s="108"/>
    </row>
    <row r="2653" spans="1:9" ht="27.6">
      <c r="A2653" s="108" t="s">
        <v>227</v>
      </c>
      <c r="B2653" s="108" t="s">
        <v>18327</v>
      </c>
      <c r="C2653" s="109">
        <v>43083</v>
      </c>
      <c r="D2653" s="108"/>
      <c r="E2653" s="108" t="s">
        <v>14605</v>
      </c>
      <c r="F2653" s="108" t="s">
        <v>18328</v>
      </c>
      <c r="G2653" s="110"/>
      <c r="H2653" s="108" t="s">
        <v>1125</v>
      </c>
      <c r="I2653" s="108"/>
    </row>
    <row r="2654" spans="1:9">
      <c r="A2654" s="108" t="s">
        <v>227</v>
      </c>
      <c r="B2654" s="108" t="s">
        <v>18329</v>
      </c>
      <c r="C2654" s="109">
        <v>43056</v>
      </c>
      <c r="D2654" s="108"/>
      <c r="E2654" s="108" t="s">
        <v>14605</v>
      </c>
      <c r="F2654" s="108" t="s">
        <v>18330</v>
      </c>
      <c r="G2654" s="110"/>
      <c r="H2654" s="108" t="s">
        <v>1125</v>
      </c>
      <c r="I2654" s="108"/>
    </row>
    <row r="2655" spans="1:9" ht="27.6">
      <c r="A2655" s="108" t="s">
        <v>227</v>
      </c>
      <c r="B2655" s="108" t="s">
        <v>18331</v>
      </c>
      <c r="C2655" s="109">
        <v>43251</v>
      </c>
      <c r="D2655" s="108"/>
      <c r="E2655" s="108" t="s">
        <v>14605</v>
      </c>
      <c r="F2655" s="108" t="s">
        <v>18332</v>
      </c>
      <c r="G2655" s="110"/>
      <c r="H2655" s="108" t="s">
        <v>1125</v>
      </c>
      <c r="I2655" s="108"/>
    </row>
    <row r="2656" spans="1:9" ht="27.6">
      <c r="A2656" s="108" t="s">
        <v>227</v>
      </c>
      <c r="B2656" s="108" t="s">
        <v>18333</v>
      </c>
      <c r="C2656" s="109">
        <v>43090</v>
      </c>
      <c r="D2656" s="108"/>
      <c r="E2656" s="108" t="s">
        <v>14605</v>
      </c>
      <c r="F2656" s="108" t="s">
        <v>18334</v>
      </c>
      <c r="G2656" s="110"/>
      <c r="H2656" s="108" t="s">
        <v>1125</v>
      </c>
      <c r="I2656" s="108"/>
    </row>
    <row r="2657" spans="1:9">
      <c r="A2657" s="108" t="s">
        <v>227</v>
      </c>
      <c r="B2657" s="108" t="s">
        <v>18335</v>
      </c>
      <c r="C2657" s="109">
        <v>43446</v>
      </c>
      <c r="D2657" s="108"/>
      <c r="E2657" s="108" t="s">
        <v>14605</v>
      </c>
      <c r="F2657" s="108" t="s">
        <v>16831</v>
      </c>
      <c r="G2657" s="110"/>
      <c r="H2657" s="108" t="s">
        <v>1125</v>
      </c>
      <c r="I2657" s="108"/>
    </row>
    <row r="2658" spans="1:9">
      <c r="A2658" s="108" t="s">
        <v>227</v>
      </c>
      <c r="B2658" s="108" t="s">
        <v>18336</v>
      </c>
      <c r="C2658" s="109">
        <v>43096</v>
      </c>
      <c r="D2658" s="108"/>
      <c r="E2658" s="108" t="s">
        <v>14605</v>
      </c>
      <c r="F2658" s="108" t="s">
        <v>18127</v>
      </c>
      <c r="G2658" s="110"/>
      <c r="H2658" s="108" t="s">
        <v>1125</v>
      </c>
      <c r="I2658" s="108"/>
    </row>
    <row r="2659" spans="1:9" ht="27.6">
      <c r="A2659" s="108" t="s">
        <v>227</v>
      </c>
      <c r="B2659" s="108" t="s">
        <v>18337</v>
      </c>
      <c r="C2659" s="109">
        <v>43176</v>
      </c>
      <c r="D2659" s="108"/>
      <c r="E2659" s="108" t="s">
        <v>14605</v>
      </c>
      <c r="F2659" s="108" t="s">
        <v>15689</v>
      </c>
      <c r="G2659" s="110"/>
      <c r="H2659" s="108" t="s">
        <v>1125</v>
      </c>
      <c r="I2659" s="108"/>
    </row>
    <row r="2660" spans="1:9" ht="27.6">
      <c r="A2660" s="108" t="s">
        <v>227</v>
      </c>
      <c r="B2660" s="108" t="s">
        <v>18338</v>
      </c>
      <c r="C2660" s="109">
        <v>43433</v>
      </c>
      <c r="D2660" s="108"/>
      <c r="E2660" s="108" t="s">
        <v>14605</v>
      </c>
      <c r="F2660" s="108" t="s">
        <v>18339</v>
      </c>
      <c r="G2660" s="110"/>
      <c r="H2660" s="108" t="s">
        <v>1125</v>
      </c>
      <c r="I2660" s="108"/>
    </row>
    <row r="2661" spans="1:9" ht="27.6">
      <c r="A2661" s="108" t="s">
        <v>227</v>
      </c>
      <c r="B2661" s="108" t="s">
        <v>18340</v>
      </c>
      <c r="C2661" s="109">
        <v>43638</v>
      </c>
      <c r="D2661" s="108"/>
      <c r="E2661" s="108" t="s">
        <v>14605</v>
      </c>
      <c r="F2661" s="108" t="s">
        <v>18341</v>
      </c>
      <c r="G2661" s="110"/>
      <c r="H2661" s="108" t="s">
        <v>1125</v>
      </c>
      <c r="I2661" s="108"/>
    </row>
    <row r="2662" spans="1:9" ht="27.6">
      <c r="A2662" s="108" t="s">
        <v>227</v>
      </c>
      <c r="B2662" s="108" t="s">
        <v>18342</v>
      </c>
      <c r="C2662" s="109">
        <v>43579</v>
      </c>
      <c r="D2662" s="108"/>
      <c r="E2662" s="108" t="s">
        <v>14605</v>
      </c>
      <c r="F2662" s="108" t="s">
        <v>18343</v>
      </c>
      <c r="G2662" s="110"/>
      <c r="H2662" s="108" t="s">
        <v>1125</v>
      </c>
      <c r="I2662" s="108"/>
    </row>
    <row r="2663" spans="1:9" ht="27.6">
      <c r="A2663" s="108" t="s">
        <v>227</v>
      </c>
      <c r="B2663" s="108" t="s">
        <v>18344</v>
      </c>
      <c r="C2663" s="109">
        <v>43717</v>
      </c>
      <c r="D2663" s="108"/>
      <c r="E2663" s="108" t="s">
        <v>14605</v>
      </c>
      <c r="F2663" s="108" t="s">
        <v>18345</v>
      </c>
      <c r="G2663" s="110"/>
      <c r="H2663" s="108" t="s">
        <v>1125</v>
      </c>
      <c r="I2663" s="108"/>
    </row>
    <row r="2664" spans="1:9" ht="27.6">
      <c r="A2664" s="108" t="s">
        <v>227</v>
      </c>
      <c r="B2664" s="108" t="s">
        <v>18346</v>
      </c>
      <c r="C2664" s="109">
        <v>43766</v>
      </c>
      <c r="D2664" s="108"/>
      <c r="E2664" s="108" t="s">
        <v>14605</v>
      </c>
      <c r="F2664" s="108" t="s">
        <v>15474</v>
      </c>
      <c r="G2664" s="110"/>
      <c r="H2664" s="108" t="s">
        <v>1125</v>
      </c>
      <c r="I2664" s="108"/>
    </row>
    <row r="2665" spans="1:9">
      <c r="A2665" s="108" t="s">
        <v>227</v>
      </c>
      <c r="B2665" s="108" t="s">
        <v>18347</v>
      </c>
      <c r="C2665" s="109">
        <v>44449</v>
      </c>
      <c r="D2665" s="108"/>
      <c r="E2665" s="108" t="s">
        <v>14605</v>
      </c>
      <c r="F2665" s="108" t="s">
        <v>18348</v>
      </c>
      <c r="G2665" s="110"/>
      <c r="H2665" s="108" t="s">
        <v>1125</v>
      </c>
      <c r="I2665" s="108"/>
    </row>
    <row r="2666" spans="1:9">
      <c r="A2666" s="108" t="s">
        <v>227</v>
      </c>
      <c r="B2666" s="108" t="s">
        <v>18349</v>
      </c>
      <c r="C2666" s="109">
        <v>44477</v>
      </c>
      <c r="D2666" s="108"/>
      <c r="E2666" s="108" t="s">
        <v>14605</v>
      </c>
      <c r="F2666" s="108" t="s">
        <v>16602</v>
      </c>
      <c r="G2666" s="110"/>
      <c r="H2666" s="108" t="s">
        <v>1125</v>
      </c>
      <c r="I2666" s="108"/>
    </row>
    <row r="2667" spans="1:9" ht="27.6">
      <c r="A2667" s="108" t="s">
        <v>227</v>
      </c>
      <c r="B2667" s="108" t="s">
        <v>18350</v>
      </c>
      <c r="C2667" s="109">
        <v>44417</v>
      </c>
      <c r="D2667" s="108"/>
      <c r="E2667" s="108" t="s">
        <v>14605</v>
      </c>
      <c r="F2667" s="108" t="s">
        <v>18351</v>
      </c>
      <c r="G2667" s="110"/>
      <c r="H2667" s="108" t="s">
        <v>1125</v>
      </c>
      <c r="I2667" s="108"/>
    </row>
    <row r="2668" spans="1:9" ht="27.6">
      <c r="A2668" s="108" t="s">
        <v>15075</v>
      </c>
      <c r="B2668" s="108" t="s">
        <v>18352</v>
      </c>
      <c r="C2668" s="109">
        <v>44798</v>
      </c>
      <c r="D2668" s="108"/>
      <c r="E2668" s="108" t="s">
        <v>14605</v>
      </c>
      <c r="F2668" s="108" t="s">
        <v>16099</v>
      </c>
      <c r="G2668" s="110"/>
      <c r="H2668" s="108" t="s">
        <v>1125</v>
      </c>
      <c r="I2668" s="108"/>
    </row>
    <row r="2669" spans="1:9" ht="27.6">
      <c r="A2669" s="108" t="s">
        <v>15478</v>
      </c>
      <c r="B2669" s="108" t="s">
        <v>18353</v>
      </c>
      <c r="C2669" s="109">
        <v>44868</v>
      </c>
      <c r="D2669" s="108"/>
      <c r="E2669" s="108" t="s">
        <v>14605</v>
      </c>
      <c r="F2669" s="108" t="s">
        <v>18354</v>
      </c>
      <c r="G2669" s="110"/>
      <c r="H2669" s="108" t="s">
        <v>1125</v>
      </c>
      <c r="I2669" s="108"/>
    </row>
    <row r="2670" spans="1:9" ht="27.6">
      <c r="A2670" s="108" t="s">
        <v>15478</v>
      </c>
      <c r="B2670" s="108" t="s">
        <v>18355</v>
      </c>
      <c r="C2670" s="109">
        <v>44845</v>
      </c>
      <c r="D2670" s="108"/>
      <c r="E2670" s="108" t="s">
        <v>14605</v>
      </c>
      <c r="F2670" s="108" t="s">
        <v>18356</v>
      </c>
      <c r="G2670" s="110"/>
      <c r="H2670" s="108" t="s">
        <v>1125</v>
      </c>
      <c r="I2670" s="108"/>
    </row>
    <row r="2671" spans="1:9" ht="27.6">
      <c r="A2671" s="108" t="s">
        <v>15478</v>
      </c>
      <c r="B2671" s="108" t="s">
        <v>18357</v>
      </c>
      <c r="C2671" s="109">
        <v>45769</v>
      </c>
      <c r="D2671" s="108"/>
      <c r="E2671" s="108" t="s">
        <v>14605</v>
      </c>
      <c r="F2671" s="108" t="s">
        <v>18358</v>
      </c>
      <c r="G2671" s="110"/>
      <c r="H2671" s="108" t="s">
        <v>1125</v>
      </c>
      <c r="I2671" s="108"/>
    </row>
    <row r="2672" spans="1:9" ht="27.6">
      <c r="A2672" s="108" t="s">
        <v>15478</v>
      </c>
      <c r="B2672" s="108" t="s">
        <v>18359</v>
      </c>
      <c r="C2672" s="109">
        <v>45784</v>
      </c>
      <c r="D2672" s="108"/>
      <c r="E2672" s="108" t="s">
        <v>14605</v>
      </c>
      <c r="F2672" s="108" t="s">
        <v>18360</v>
      </c>
      <c r="G2672" s="110"/>
      <c r="H2672" s="108" t="s">
        <v>1125</v>
      </c>
      <c r="I2672" s="108"/>
    </row>
    <row r="2673" spans="1:9" ht="27.6">
      <c r="A2673" s="108" t="s">
        <v>15478</v>
      </c>
      <c r="B2673" s="108" t="s">
        <v>18361</v>
      </c>
      <c r="C2673" s="109">
        <v>46219</v>
      </c>
      <c r="D2673" s="108"/>
      <c r="E2673" s="108" t="s">
        <v>14605</v>
      </c>
      <c r="F2673" s="108" t="s">
        <v>15885</v>
      </c>
      <c r="G2673" s="110"/>
      <c r="H2673" s="108" t="s">
        <v>1125</v>
      </c>
      <c r="I2673" s="108"/>
    </row>
    <row r="2674" spans="1:9" ht="27.6">
      <c r="A2674" s="108" t="s">
        <v>15478</v>
      </c>
      <c r="B2674" s="108" t="s">
        <v>18362</v>
      </c>
      <c r="C2674" s="109">
        <v>44938</v>
      </c>
      <c r="D2674" s="108"/>
      <c r="E2674" s="108" t="s">
        <v>14605</v>
      </c>
      <c r="F2674" s="108" t="s">
        <v>18363</v>
      </c>
      <c r="G2674" s="110"/>
      <c r="H2674" s="108" t="s">
        <v>1125</v>
      </c>
      <c r="I2674" s="108"/>
    </row>
    <row r="2675" spans="1:9" ht="27.6">
      <c r="A2675" s="108" t="s">
        <v>15478</v>
      </c>
      <c r="B2675" s="108" t="s">
        <v>18364</v>
      </c>
      <c r="C2675" s="109">
        <v>44984</v>
      </c>
      <c r="D2675" s="108"/>
      <c r="E2675" s="108" t="s">
        <v>14605</v>
      </c>
      <c r="F2675" s="108" t="s">
        <v>18365</v>
      </c>
      <c r="G2675" s="110"/>
      <c r="H2675" s="108" t="s">
        <v>1125</v>
      </c>
      <c r="I2675" s="108"/>
    </row>
    <row r="2676" spans="1:9" ht="27.6">
      <c r="A2676" s="108" t="s">
        <v>15478</v>
      </c>
      <c r="B2676" s="108" t="s">
        <v>18366</v>
      </c>
      <c r="C2676" s="109">
        <v>45036</v>
      </c>
      <c r="D2676" s="108"/>
      <c r="E2676" s="108" t="s">
        <v>14605</v>
      </c>
      <c r="F2676" s="108" t="s">
        <v>18367</v>
      </c>
      <c r="G2676" s="110"/>
      <c r="H2676" s="108" t="s">
        <v>1125</v>
      </c>
      <c r="I2676" s="108"/>
    </row>
    <row r="2677" spans="1:9" ht="27.6">
      <c r="A2677" s="108" t="s">
        <v>15478</v>
      </c>
      <c r="B2677" s="108" t="s">
        <v>18368</v>
      </c>
      <c r="C2677" s="109">
        <v>45058</v>
      </c>
      <c r="D2677" s="108"/>
      <c r="E2677" s="108" t="s">
        <v>14605</v>
      </c>
      <c r="F2677" s="108" t="s">
        <v>15490</v>
      </c>
      <c r="G2677" s="110"/>
      <c r="H2677" s="108" t="s">
        <v>1125</v>
      </c>
      <c r="I2677" s="108"/>
    </row>
    <row r="2678" spans="1:9" ht="27.6">
      <c r="A2678" s="108" t="s">
        <v>15478</v>
      </c>
      <c r="B2678" s="108" t="s">
        <v>18369</v>
      </c>
      <c r="C2678" s="109">
        <v>45058</v>
      </c>
      <c r="D2678" s="108"/>
      <c r="E2678" s="108" t="s">
        <v>14605</v>
      </c>
      <c r="F2678" s="108" t="s">
        <v>15490</v>
      </c>
      <c r="G2678" s="110"/>
      <c r="H2678" s="108" t="s">
        <v>1125</v>
      </c>
      <c r="I2678" s="108"/>
    </row>
    <row r="2679" spans="1:9" ht="27.6">
      <c r="A2679" s="108" t="s">
        <v>15478</v>
      </c>
      <c r="B2679" s="108" t="s">
        <v>18370</v>
      </c>
      <c r="C2679" s="109">
        <v>45130</v>
      </c>
      <c r="D2679" s="108"/>
      <c r="E2679" s="108" t="s">
        <v>14605</v>
      </c>
      <c r="F2679" s="108" t="s">
        <v>18371</v>
      </c>
      <c r="G2679" s="110"/>
      <c r="H2679" s="108" t="s">
        <v>1125</v>
      </c>
      <c r="I2679" s="108"/>
    </row>
    <row r="2680" spans="1:9" ht="27.6">
      <c r="A2680" s="108" t="s">
        <v>15478</v>
      </c>
      <c r="B2680" s="108" t="s">
        <v>18372</v>
      </c>
      <c r="C2680" s="109">
        <v>45151</v>
      </c>
      <c r="D2680" s="108"/>
      <c r="E2680" s="108" t="s">
        <v>14605</v>
      </c>
      <c r="F2680" s="108" t="s">
        <v>18373</v>
      </c>
      <c r="G2680" s="110"/>
      <c r="H2680" s="108" t="s">
        <v>1125</v>
      </c>
      <c r="I2680" s="108"/>
    </row>
    <row r="2681" spans="1:9" ht="27.6">
      <c r="A2681" s="108" t="s">
        <v>15478</v>
      </c>
      <c r="B2681" s="108" t="s">
        <v>18374</v>
      </c>
      <c r="C2681" s="109">
        <v>45178</v>
      </c>
      <c r="D2681" s="108"/>
      <c r="E2681" s="108" t="s">
        <v>14605</v>
      </c>
      <c r="F2681" s="108" t="s">
        <v>17590</v>
      </c>
      <c r="G2681" s="110"/>
      <c r="H2681" s="108" t="s">
        <v>1125</v>
      </c>
      <c r="I2681" s="108"/>
    </row>
    <row r="2682" spans="1:9" ht="27.6">
      <c r="A2682" s="108" t="s">
        <v>15478</v>
      </c>
      <c r="B2682" s="108" t="s">
        <v>18375</v>
      </c>
      <c r="C2682" s="109">
        <v>45209</v>
      </c>
      <c r="D2682" s="108"/>
      <c r="E2682" s="108" t="s">
        <v>14605</v>
      </c>
      <c r="F2682" s="108" t="s">
        <v>18376</v>
      </c>
      <c r="G2682" s="110"/>
      <c r="H2682" s="108" t="s">
        <v>1125</v>
      </c>
      <c r="I2682" s="108"/>
    </row>
    <row r="2683" spans="1:9" ht="27.6">
      <c r="A2683" s="108" t="s">
        <v>15478</v>
      </c>
      <c r="B2683" s="108" t="s">
        <v>18377</v>
      </c>
      <c r="C2683" s="109">
        <v>45295</v>
      </c>
      <c r="D2683" s="108"/>
      <c r="E2683" s="108" t="s">
        <v>14605</v>
      </c>
      <c r="F2683" s="108" t="s">
        <v>18378</v>
      </c>
      <c r="G2683" s="110"/>
      <c r="H2683" s="108" t="s">
        <v>1125</v>
      </c>
      <c r="I2683" s="108"/>
    </row>
    <row r="2684" spans="1:9" ht="27.6">
      <c r="A2684" s="108" t="s">
        <v>15478</v>
      </c>
      <c r="B2684" s="108" t="s">
        <v>18379</v>
      </c>
      <c r="C2684" s="109">
        <v>45314</v>
      </c>
      <c r="D2684" s="108"/>
      <c r="E2684" s="108" t="s">
        <v>14605</v>
      </c>
      <c r="F2684" s="108" t="s">
        <v>18380</v>
      </c>
      <c r="G2684" s="110"/>
      <c r="H2684" s="108" t="s">
        <v>1125</v>
      </c>
      <c r="I2684" s="108"/>
    </row>
    <row r="2685" spans="1:9" ht="27.6">
      <c r="A2685" s="108" t="s">
        <v>15478</v>
      </c>
      <c r="B2685" s="108" t="s">
        <v>18381</v>
      </c>
      <c r="C2685" s="109">
        <v>45383</v>
      </c>
      <c r="D2685" s="108"/>
      <c r="E2685" s="108" t="s">
        <v>14605</v>
      </c>
      <c r="F2685" s="108" t="s">
        <v>18382</v>
      </c>
      <c r="G2685" s="110"/>
      <c r="H2685" s="108" t="s">
        <v>1125</v>
      </c>
      <c r="I2685" s="108"/>
    </row>
    <row r="2686" spans="1:9" ht="27.6">
      <c r="A2686" s="108" t="s">
        <v>15478</v>
      </c>
      <c r="B2686" s="108" t="s">
        <v>18383</v>
      </c>
      <c r="C2686" s="109">
        <v>45497</v>
      </c>
      <c r="D2686" s="108"/>
      <c r="E2686" s="108" t="s">
        <v>14605</v>
      </c>
      <c r="F2686" s="108" t="s">
        <v>18384</v>
      </c>
      <c r="G2686" s="110"/>
      <c r="H2686" s="108" t="s">
        <v>1125</v>
      </c>
      <c r="I2686" s="108"/>
    </row>
    <row r="2687" spans="1:9" ht="27.6">
      <c r="A2687" s="108" t="s">
        <v>15478</v>
      </c>
      <c r="B2687" s="108" t="s">
        <v>18385</v>
      </c>
      <c r="C2687" s="109">
        <v>45476</v>
      </c>
      <c r="D2687" s="108"/>
      <c r="E2687" s="108" t="s">
        <v>14605</v>
      </c>
      <c r="F2687" s="108" t="s">
        <v>18386</v>
      </c>
      <c r="G2687" s="110"/>
      <c r="H2687" s="108" t="s">
        <v>1125</v>
      </c>
      <c r="I2687" s="108"/>
    </row>
    <row r="2688" spans="1:9" ht="27.6">
      <c r="A2688" s="108" t="s">
        <v>15478</v>
      </c>
      <c r="B2688" s="108" t="s">
        <v>18387</v>
      </c>
      <c r="C2688" s="109">
        <v>46108</v>
      </c>
      <c r="D2688" s="108"/>
      <c r="E2688" s="108" t="s">
        <v>14605</v>
      </c>
      <c r="F2688" s="108" t="s">
        <v>18388</v>
      </c>
      <c r="G2688" s="110"/>
      <c r="H2688" s="108" t="s">
        <v>1125</v>
      </c>
      <c r="I2688" s="108"/>
    </row>
    <row r="2689" spans="1:9" ht="27.6">
      <c r="A2689" s="108" t="s">
        <v>15478</v>
      </c>
      <c r="B2689" s="108" t="s">
        <v>18389</v>
      </c>
      <c r="C2689" s="109">
        <v>45491</v>
      </c>
      <c r="D2689" s="108"/>
      <c r="E2689" s="108" t="s">
        <v>14605</v>
      </c>
      <c r="F2689" s="108" t="s">
        <v>18390</v>
      </c>
      <c r="G2689" s="110"/>
      <c r="H2689" s="108" t="s">
        <v>1125</v>
      </c>
      <c r="I2689" s="108"/>
    </row>
    <row r="2690" spans="1:9" ht="41.4">
      <c r="A2690" s="108" t="s">
        <v>15478</v>
      </c>
      <c r="B2690" s="108" t="s">
        <v>18391</v>
      </c>
      <c r="C2690" s="109">
        <v>45581</v>
      </c>
      <c r="D2690" s="108"/>
      <c r="E2690" s="108" t="s">
        <v>14605</v>
      </c>
      <c r="F2690" s="108" t="s">
        <v>18392</v>
      </c>
      <c r="G2690" s="110"/>
      <c r="H2690" s="108" t="s">
        <v>1125</v>
      </c>
      <c r="I2690" s="108"/>
    </row>
    <row r="2691" spans="1:9" ht="27.6">
      <c r="A2691" s="108" t="s">
        <v>15478</v>
      </c>
      <c r="B2691" s="108" t="s">
        <v>18393</v>
      </c>
      <c r="C2691" s="109">
        <v>45589</v>
      </c>
      <c r="D2691" s="108"/>
      <c r="E2691" s="108" t="s">
        <v>14605</v>
      </c>
      <c r="F2691" s="108" t="s">
        <v>18035</v>
      </c>
      <c r="G2691" s="110"/>
      <c r="H2691" s="108" t="s">
        <v>1125</v>
      </c>
      <c r="I2691" s="108"/>
    </row>
    <row r="2692" spans="1:9" ht="27.6">
      <c r="A2692" s="108" t="s">
        <v>14607</v>
      </c>
      <c r="B2692" s="108" t="s">
        <v>18394</v>
      </c>
      <c r="C2692" s="109">
        <v>40410</v>
      </c>
      <c r="D2692" s="108"/>
      <c r="E2692" s="108" t="s">
        <v>14605</v>
      </c>
      <c r="F2692" s="108" t="s">
        <v>17517</v>
      </c>
      <c r="G2692" s="110"/>
      <c r="H2692" s="108" t="s">
        <v>1125</v>
      </c>
      <c r="I2692" s="108"/>
    </row>
    <row r="2693" spans="1:9" ht="27.6">
      <c r="A2693" s="108" t="s">
        <v>14607</v>
      </c>
      <c r="B2693" s="108" t="s">
        <v>18395</v>
      </c>
      <c r="C2693" s="109">
        <v>40410</v>
      </c>
      <c r="D2693" s="108"/>
      <c r="E2693" s="108" t="s">
        <v>14605</v>
      </c>
      <c r="F2693" s="108" t="s">
        <v>17517</v>
      </c>
      <c r="G2693" s="110"/>
      <c r="H2693" s="108" t="s">
        <v>1125</v>
      </c>
      <c r="I2693" s="108"/>
    </row>
    <row r="2694" spans="1:9" ht="27.6">
      <c r="A2694" s="108" t="s">
        <v>14607</v>
      </c>
      <c r="B2694" s="108" t="s">
        <v>18396</v>
      </c>
      <c r="C2694" s="109">
        <v>40190</v>
      </c>
      <c r="D2694" s="108"/>
      <c r="E2694" s="108" t="s">
        <v>14605</v>
      </c>
      <c r="F2694" s="108" t="s">
        <v>17515</v>
      </c>
      <c r="G2694" s="110"/>
      <c r="H2694" s="108" t="s">
        <v>1125</v>
      </c>
      <c r="I2694" s="108"/>
    </row>
    <row r="2695" spans="1:9" ht="27.6">
      <c r="A2695" s="108" t="s">
        <v>18397</v>
      </c>
      <c r="B2695" s="108" t="s">
        <v>18398</v>
      </c>
      <c r="C2695" s="109">
        <v>40124</v>
      </c>
      <c r="D2695" s="108"/>
      <c r="E2695" s="108" t="s">
        <v>14605</v>
      </c>
      <c r="F2695" s="108" t="s">
        <v>16142</v>
      </c>
      <c r="G2695" s="110"/>
      <c r="H2695" s="108" t="s">
        <v>1125</v>
      </c>
      <c r="I2695" s="108"/>
    </row>
    <row r="2696" spans="1:9" ht="27.6">
      <c r="A2696" s="108" t="s">
        <v>18397</v>
      </c>
      <c r="B2696" s="108" t="s">
        <v>18399</v>
      </c>
      <c r="C2696" s="109">
        <v>39953</v>
      </c>
      <c r="D2696" s="108"/>
      <c r="E2696" s="108" t="s">
        <v>14605</v>
      </c>
      <c r="F2696" s="108" t="s">
        <v>18400</v>
      </c>
      <c r="G2696" s="110"/>
      <c r="H2696" s="108" t="s">
        <v>1125</v>
      </c>
      <c r="I2696" s="108"/>
    </row>
    <row r="2697" spans="1:9" ht="27.6">
      <c r="A2697" s="108" t="s">
        <v>18397</v>
      </c>
      <c r="B2697" s="108" t="s">
        <v>18401</v>
      </c>
      <c r="C2697" s="109">
        <v>40101</v>
      </c>
      <c r="D2697" s="108"/>
      <c r="E2697" s="108" t="s">
        <v>14605</v>
      </c>
      <c r="F2697" s="108" t="s">
        <v>18402</v>
      </c>
      <c r="G2697" s="110"/>
      <c r="H2697" s="108" t="s">
        <v>1125</v>
      </c>
      <c r="I2697" s="108"/>
    </row>
    <row r="2698" spans="1:9" ht="41.4">
      <c r="A2698" s="108" t="s">
        <v>18397</v>
      </c>
      <c r="B2698" s="108" t="s">
        <v>18403</v>
      </c>
      <c r="C2698" s="109">
        <v>40569</v>
      </c>
      <c r="D2698" s="108"/>
      <c r="E2698" s="108" t="s">
        <v>14605</v>
      </c>
      <c r="F2698" s="108" t="s">
        <v>18404</v>
      </c>
      <c r="G2698" s="110"/>
      <c r="H2698" s="108" t="s">
        <v>1125</v>
      </c>
      <c r="I2698" s="108"/>
    </row>
    <row r="2699" spans="1:9" ht="27.6">
      <c r="A2699" s="108" t="s">
        <v>18397</v>
      </c>
      <c r="B2699" s="108" t="s">
        <v>18405</v>
      </c>
      <c r="C2699" s="109">
        <v>40765</v>
      </c>
      <c r="D2699" s="108"/>
      <c r="E2699" s="108" t="s">
        <v>14605</v>
      </c>
      <c r="F2699" s="108" t="s">
        <v>17590</v>
      </c>
      <c r="G2699" s="110"/>
      <c r="H2699" s="108" t="s">
        <v>1125</v>
      </c>
      <c r="I2699" s="108"/>
    </row>
    <row r="2700" spans="1:9" ht="27.6">
      <c r="A2700" s="108" t="s">
        <v>16935</v>
      </c>
      <c r="B2700" s="108" t="s">
        <v>18406</v>
      </c>
      <c r="C2700" s="109">
        <v>40049</v>
      </c>
      <c r="D2700" s="108"/>
      <c r="E2700" s="108" t="s">
        <v>14605</v>
      </c>
      <c r="F2700" s="108" t="s">
        <v>14970</v>
      </c>
      <c r="G2700" s="110"/>
      <c r="H2700" s="108" t="s">
        <v>1125</v>
      </c>
      <c r="I2700" s="108"/>
    </row>
    <row r="2701" spans="1:9">
      <c r="A2701" s="108" t="s">
        <v>16935</v>
      </c>
      <c r="B2701" s="108" t="s">
        <v>18407</v>
      </c>
      <c r="C2701" s="109">
        <v>39920</v>
      </c>
      <c r="D2701" s="108"/>
      <c r="E2701" s="108" t="s">
        <v>14605</v>
      </c>
      <c r="F2701" s="108" t="s">
        <v>17924</v>
      </c>
      <c r="G2701" s="110"/>
      <c r="H2701" s="108" t="s">
        <v>1125</v>
      </c>
      <c r="I2701" s="108"/>
    </row>
    <row r="2702" spans="1:9" ht="41.4">
      <c r="A2702" s="108" t="s">
        <v>87</v>
      </c>
      <c r="B2702" s="108" t="s">
        <v>18408</v>
      </c>
      <c r="C2702" s="109">
        <v>40561</v>
      </c>
      <c r="D2702" s="108"/>
      <c r="E2702" s="108" t="s">
        <v>14605</v>
      </c>
      <c r="F2702" s="108" t="s">
        <v>18409</v>
      </c>
      <c r="G2702" s="110"/>
      <c r="H2702" s="108" t="s">
        <v>1125</v>
      </c>
      <c r="I2702" s="108"/>
    </row>
    <row r="2703" spans="1:9" ht="27.6">
      <c r="A2703" s="108" t="s">
        <v>1465</v>
      </c>
      <c r="B2703" s="108" t="s">
        <v>18410</v>
      </c>
      <c r="C2703" s="109">
        <v>40646</v>
      </c>
      <c r="D2703" s="108"/>
      <c r="E2703" s="108" t="s">
        <v>14605</v>
      </c>
      <c r="F2703" s="108" t="s">
        <v>18411</v>
      </c>
      <c r="G2703" s="110"/>
      <c r="H2703" s="108" t="s">
        <v>1125</v>
      </c>
      <c r="I2703" s="108"/>
    </row>
    <row r="2704" spans="1:9">
      <c r="A2704" s="108" t="s">
        <v>87</v>
      </c>
      <c r="B2704" s="108" t="s">
        <v>18412</v>
      </c>
      <c r="C2704" s="109">
        <v>40745</v>
      </c>
      <c r="D2704" s="108"/>
      <c r="E2704" s="108" t="s">
        <v>14605</v>
      </c>
      <c r="F2704" s="108" t="s">
        <v>18413</v>
      </c>
      <c r="G2704" s="110"/>
      <c r="H2704" s="108" t="s">
        <v>1125</v>
      </c>
      <c r="I2704" s="108"/>
    </row>
    <row r="2705" spans="1:9" ht="27.6">
      <c r="A2705" s="108" t="s">
        <v>87</v>
      </c>
      <c r="B2705" s="108" t="s">
        <v>18414</v>
      </c>
      <c r="C2705" s="109">
        <v>40883</v>
      </c>
      <c r="D2705" s="108"/>
      <c r="E2705" s="108" t="s">
        <v>14605</v>
      </c>
      <c r="F2705" s="108" t="s">
        <v>18415</v>
      </c>
      <c r="G2705" s="110"/>
      <c r="H2705" s="108" t="s">
        <v>1125</v>
      </c>
      <c r="I2705" s="108"/>
    </row>
    <row r="2706" spans="1:9" ht="27.6">
      <c r="A2706" s="108" t="s">
        <v>14690</v>
      </c>
      <c r="B2706" s="108" t="s">
        <v>18416</v>
      </c>
      <c r="C2706" s="109">
        <v>40781</v>
      </c>
      <c r="D2706" s="108"/>
      <c r="E2706" s="108" t="s">
        <v>14605</v>
      </c>
      <c r="F2706" s="108" t="s">
        <v>16428</v>
      </c>
      <c r="G2706" s="110"/>
      <c r="H2706" s="108" t="s">
        <v>1125</v>
      </c>
      <c r="I2706" s="108"/>
    </row>
    <row r="2707" spans="1:9" ht="27.6">
      <c r="A2707" s="108" t="s">
        <v>14690</v>
      </c>
      <c r="B2707" s="108" t="s">
        <v>18417</v>
      </c>
      <c r="C2707" s="109">
        <v>40842</v>
      </c>
      <c r="D2707" s="108"/>
      <c r="E2707" s="108" t="s">
        <v>14605</v>
      </c>
      <c r="F2707" s="108" t="s">
        <v>18117</v>
      </c>
      <c r="G2707" s="110"/>
      <c r="H2707" s="108" t="s">
        <v>1125</v>
      </c>
      <c r="I2707" s="108"/>
    </row>
    <row r="2708" spans="1:9" ht="27.6">
      <c r="A2708" s="108" t="s">
        <v>237</v>
      </c>
      <c r="B2708" s="108" t="s">
        <v>18418</v>
      </c>
      <c r="C2708" s="109">
        <v>40440</v>
      </c>
      <c r="D2708" s="108"/>
      <c r="E2708" s="108" t="s">
        <v>14605</v>
      </c>
      <c r="F2708" s="108" t="s">
        <v>18419</v>
      </c>
      <c r="G2708" s="110"/>
      <c r="H2708" s="108" t="s">
        <v>1125</v>
      </c>
      <c r="I2708" s="108"/>
    </row>
    <row r="2709" spans="1:9" ht="27.6">
      <c r="A2709" s="108" t="s">
        <v>237</v>
      </c>
      <c r="B2709" s="108" t="s">
        <v>18420</v>
      </c>
      <c r="C2709" s="109">
        <v>40676</v>
      </c>
      <c r="D2709" s="108"/>
      <c r="E2709" s="108" t="s">
        <v>14605</v>
      </c>
      <c r="F2709" s="108" t="s">
        <v>17704</v>
      </c>
      <c r="G2709" s="110"/>
      <c r="H2709" s="108" t="s">
        <v>1125</v>
      </c>
      <c r="I2709" s="108"/>
    </row>
    <row r="2710" spans="1:9" ht="27.6">
      <c r="A2710" s="108" t="s">
        <v>207</v>
      </c>
      <c r="B2710" s="108" t="s">
        <v>18421</v>
      </c>
      <c r="C2710" s="109">
        <v>41935</v>
      </c>
      <c r="D2710" s="108"/>
      <c r="E2710" s="108" t="s">
        <v>14605</v>
      </c>
      <c r="F2710" s="108" t="s">
        <v>16099</v>
      </c>
      <c r="G2710" s="110"/>
      <c r="H2710" s="108" t="s">
        <v>1125</v>
      </c>
      <c r="I2710" s="108"/>
    </row>
    <row r="2711" spans="1:9">
      <c r="A2711" s="108" t="s">
        <v>118</v>
      </c>
      <c r="B2711" s="108" t="s">
        <v>18422</v>
      </c>
      <c r="C2711" s="109">
        <v>42339</v>
      </c>
      <c r="D2711" s="108"/>
      <c r="E2711" s="108" t="s">
        <v>14605</v>
      </c>
      <c r="F2711" s="108" t="s">
        <v>17877</v>
      </c>
      <c r="G2711" s="110"/>
      <c r="H2711" s="108" t="s">
        <v>1125</v>
      </c>
      <c r="I2711" s="108"/>
    </row>
    <row r="2712" spans="1:9" ht="27.6">
      <c r="A2712" s="108" t="s">
        <v>207</v>
      </c>
      <c r="B2712" s="108" t="s">
        <v>18423</v>
      </c>
      <c r="C2712" s="109">
        <v>41687</v>
      </c>
      <c r="D2712" s="108"/>
      <c r="E2712" s="108" t="s">
        <v>14605</v>
      </c>
      <c r="F2712" s="108" t="s">
        <v>18424</v>
      </c>
      <c r="G2712" s="110"/>
      <c r="H2712" s="108" t="s">
        <v>1125</v>
      </c>
      <c r="I2712" s="108"/>
    </row>
    <row r="2713" spans="1:9">
      <c r="A2713" s="108" t="s">
        <v>118</v>
      </c>
      <c r="B2713" s="108" t="s">
        <v>18425</v>
      </c>
      <c r="C2713" s="109">
        <v>42791</v>
      </c>
      <c r="D2713" s="108"/>
      <c r="E2713" s="108" t="s">
        <v>14605</v>
      </c>
      <c r="F2713" s="108" t="s">
        <v>15808</v>
      </c>
      <c r="G2713" s="110"/>
      <c r="H2713" s="108" t="s">
        <v>1125</v>
      </c>
      <c r="I2713" s="108"/>
    </row>
    <row r="2714" spans="1:9" ht="41.4">
      <c r="A2714" s="108" t="s">
        <v>118</v>
      </c>
      <c r="B2714" s="108" t="s">
        <v>18426</v>
      </c>
      <c r="C2714" s="109">
        <v>41996</v>
      </c>
      <c r="D2714" s="108"/>
      <c r="E2714" s="108" t="s">
        <v>14605</v>
      </c>
      <c r="F2714" s="108" t="s">
        <v>17865</v>
      </c>
      <c r="G2714" s="110"/>
      <c r="H2714" s="108" t="s">
        <v>1125</v>
      </c>
      <c r="I2714" s="108"/>
    </row>
    <row r="2715" spans="1:9">
      <c r="A2715" s="108" t="s">
        <v>118</v>
      </c>
      <c r="B2715" s="108" t="s">
        <v>18427</v>
      </c>
      <c r="C2715" s="109">
        <v>42079</v>
      </c>
      <c r="D2715" s="108"/>
      <c r="E2715" s="108" t="s">
        <v>14605</v>
      </c>
      <c r="F2715" s="108" t="s">
        <v>17508</v>
      </c>
      <c r="G2715" s="110"/>
      <c r="H2715" s="108" t="s">
        <v>1125</v>
      </c>
      <c r="I2715" s="108"/>
    </row>
    <row r="2716" spans="1:9" ht="27.6">
      <c r="A2716" s="108" t="s">
        <v>207</v>
      </c>
      <c r="B2716" s="108" t="s">
        <v>18428</v>
      </c>
      <c r="C2716" s="109">
        <v>42181</v>
      </c>
      <c r="D2716" s="108"/>
      <c r="E2716" s="108" t="s">
        <v>14605</v>
      </c>
      <c r="F2716" s="108" t="s">
        <v>18429</v>
      </c>
      <c r="G2716" s="110"/>
      <c r="H2716" s="108" t="s">
        <v>1125</v>
      </c>
      <c r="I2716" s="108"/>
    </row>
    <row r="2717" spans="1:9" ht="27.6">
      <c r="A2717" s="108" t="s">
        <v>118</v>
      </c>
      <c r="B2717" s="108" t="s">
        <v>18430</v>
      </c>
      <c r="C2717" s="109">
        <v>42152</v>
      </c>
      <c r="D2717" s="108"/>
      <c r="E2717" s="108" t="s">
        <v>14605</v>
      </c>
      <c r="F2717" s="108" t="s">
        <v>18431</v>
      </c>
      <c r="G2717" s="110"/>
      <c r="H2717" s="108" t="s">
        <v>1125</v>
      </c>
      <c r="I2717" s="108"/>
    </row>
    <row r="2718" spans="1:9" ht="27.6">
      <c r="A2718" s="108" t="s">
        <v>207</v>
      </c>
      <c r="B2718" s="108" t="s">
        <v>18432</v>
      </c>
      <c r="C2718" s="109">
        <v>42216</v>
      </c>
      <c r="D2718" s="108"/>
      <c r="E2718" s="108" t="s">
        <v>14605</v>
      </c>
      <c r="F2718" s="108" t="s">
        <v>14970</v>
      </c>
      <c r="G2718" s="110"/>
      <c r="H2718" s="108" t="s">
        <v>1125</v>
      </c>
      <c r="I2718" s="108"/>
    </row>
    <row r="2719" spans="1:9" ht="27.6">
      <c r="A2719" s="108" t="s">
        <v>118</v>
      </c>
      <c r="B2719" s="108" t="s">
        <v>18433</v>
      </c>
      <c r="C2719" s="109">
        <v>42321</v>
      </c>
      <c r="D2719" s="108"/>
      <c r="E2719" s="108" t="s">
        <v>14605</v>
      </c>
      <c r="F2719" s="108" t="s">
        <v>15904</v>
      </c>
      <c r="G2719" s="110"/>
      <c r="H2719" s="108" t="s">
        <v>1125</v>
      </c>
      <c r="I2719" s="108"/>
    </row>
    <row r="2720" spans="1:9" ht="27.6">
      <c r="A2720" s="108" t="s">
        <v>207</v>
      </c>
      <c r="B2720" s="108" t="s">
        <v>18434</v>
      </c>
      <c r="C2720" s="109">
        <v>43462</v>
      </c>
      <c r="D2720" s="108"/>
      <c r="E2720" s="108" t="s">
        <v>14605</v>
      </c>
      <c r="F2720" s="108" t="s">
        <v>18435</v>
      </c>
      <c r="G2720" s="110"/>
      <c r="H2720" s="108" t="s">
        <v>1125</v>
      </c>
      <c r="I2720" s="108"/>
    </row>
    <row r="2721" spans="1:9">
      <c r="A2721" s="108" t="s">
        <v>118</v>
      </c>
      <c r="B2721" s="108" t="s">
        <v>18436</v>
      </c>
      <c r="C2721" s="109">
        <v>42645</v>
      </c>
      <c r="D2721" s="108"/>
      <c r="E2721" s="108" t="s">
        <v>14605</v>
      </c>
      <c r="F2721" s="108" t="s">
        <v>17919</v>
      </c>
      <c r="G2721" s="110"/>
      <c r="H2721" s="108" t="s">
        <v>1125</v>
      </c>
      <c r="I2721" s="108"/>
    </row>
    <row r="2722" spans="1:9" ht="27.6">
      <c r="A2722" s="108" t="s">
        <v>118</v>
      </c>
      <c r="B2722" s="108" t="s">
        <v>18437</v>
      </c>
      <c r="C2722" s="109">
        <v>42588</v>
      </c>
      <c r="D2722" s="108"/>
      <c r="E2722" s="108" t="s">
        <v>14605</v>
      </c>
      <c r="F2722" s="108" t="s">
        <v>18438</v>
      </c>
      <c r="G2722" s="110"/>
      <c r="H2722" s="108" t="s">
        <v>1125</v>
      </c>
      <c r="I2722" s="108"/>
    </row>
    <row r="2723" spans="1:9" ht="27.6">
      <c r="A2723" s="108" t="s">
        <v>118</v>
      </c>
      <c r="B2723" s="108" t="s">
        <v>18439</v>
      </c>
      <c r="C2723" s="109">
        <v>42735</v>
      </c>
      <c r="D2723" s="108"/>
      <c r="E2723" s="108" t="s">
        <v>14605</v>
      </c>
      <c r="F2723" s="108" t="s">
        <v>17557</v>
      </c>
      <c r="G2723" s="110"/>
      <c r="H2723" s="108" t="s">
        <v>1125</v>
      </c>
      <c r="I2723" s="108"/>
    </row>
    <row r="2724" spans="1:9" ht="27.6">
      <c r="A2724" s="108" t="s">
        <v>207</v>
      </c>
      <c r="B2724" s="108" t="s">
        <v>18440</v>
      </c>
      <c r="C2724" s="109">
        <v>42504</v>
      </c>
      <c r="D2724" s="108"/>
      <c r="E2724" s="108" t="s">
        <v>14605</v>
      </c>
      <c r="F2724" s="108" t="s">
        <v>18441</v>
      </c>
      <c r="G2724" s="110"/>
      <c r="H2724" s="108" t="s">
        <v>1125</v>
      </c>
      <c r="I2724" s="108"/>
    </row>
    <row r="2725" spans="1:9">
      <c r="A2725" s="108" t="s">
        <v>118</v>
      </c>
      <c r="B2725" s="108" t="s">
        <v>18442</v>
      </c>
      <c r="C2725" s="109">
        <v>42880</v>
      </c>
      <c r="D2725" s="108"/>
      <c r="E2725" s="108" t="s">
        <v>14605</v>
      </c>
      <c r="F2725" s="108" t="s">
        <v>14716</v>
      </c>
      <c r="G2725" s="110"/>
      <c r="H2725" s="108" t="s">
        <v>1125</v>
      </c>
      <c r="I2725" s="108"/>
    </row>
    <row r="2726" spans="1:9">
      <c r="A2726" s="108" t="s">
        <v>118</v>
      </c>
      <c r="B2726" s="108" t="s">
        <v>18443</v>
      </c>
      <c r="C2726" s="109">
        <v>42993</v>
      </c>
      <c r="D2726" s="108"/>
      <c r="E2726" s="108" t="s">
        <v>14605</v>
      </c>
      <c r="F2726" s="108" t="s">
        <v>18117</v>
      </c>
      <c r="G2726" s="110"/>
      <c r="H2726" s="108" t="s">
        <v>1125</v>
      </c>
      <c r="I2726" s="108"/>
    </row>
    <row r="2727" spans="1:9">
      <c r="A2727" s="108" t="s">
        <v>118</v>
      </c>
      <c r="B2727" s="108" t="s">
        <v>18444</v>
      </c>
      <c r="C2727" s="109">
        <v>42637</v>
      </c>
      <c r="D2727" s="108"/>
      <c r="E2727" s="108" t="s">
        <v>14605</v>
      </c>
      <c r="F2727" s="108" t="s">
        <v>18445</v>
      </c>
      <c r="G2727" s="110"/>
      <c r="H2727" s="108" t="s">
        <v>1125</v>
      </c>
      <c r="I2727" s="108"/>
    </row>
    <row r="2728" spans="1:9" ht="27.6">
      <c r="A2728" s="108" t="s">
        <v>118</v>
      </c>
      <c r="B2728" s="108" t="s">
        <v>18446</v>
      </c>
      <c r="C2728" s="109">
        <v>43056</v>
      </c>
      <c r="D2728" s="108"/>
      <c r="E2728" s="108" t="s">
        <v>14605</v>
      </c>
      <c r="F2728" s="108" t="s">
        <v>18447</v>
      </c>
      <c r="G2728" s="110"/>
      <c r="H2728" s="108" t="s">
        <v>1125</v>
      </c>
      <c r="I2728" s="108"/>
    </row>
    <row r="2729" spans="1:9">
      <c r="A2729" s="108" t="s">
        <v>118</v>
      </c>
      <c r="B2729" s="108" t="s">
        <v>18448</v>
      </c>
      <c r="C2729" s="109">
        <v>43197</v>
      </c>
      <c r="D2729" s="108"/>
      <c r="E2729" s="108" t="s">
        <v>14605</v>
      </c>
      <c r="F2729" s="108" t="s">
        <v>18449</v>
      </c>
      <c r="G2729" s="110"/>
      <c r="H2729" s="108" t="s">
        <v>1125</v>
      </c>
      <c r="I2729" s="108"/>
    </row>
    <row r="2730" spans="1:9" ht="27.6">
      <c r="A2730" s="108" t="s">
        <v>118</v>
      </c>
      <c r="B2730" s="108" t="s">
        <v>18450</v>
      </c>
      <c r="C2730" s="109">
        <v>43188</v>
      </c>
      <c r="D2730" s="108"/>
      <c r="E2730" s="108" t="s">
        <v>14605</v>
      </c>
      <c r="F2730" s="108" t="s">
        <v>17910</v>
      </c>
      <c r="G2730" s="110"/>
      <c r="H2730" s="108" t="s">
        <v>1125</v>
      </c>
      <c r="I2730" s="108"/>
    </row>
    <row r="2731" spans="1:9">
      <c r="A2731" s="108" t="s">
        <v>118</v>
      </c>
      <c r="B2731" s="108" t="s">
        <v>18451</v>
      </c>
      <c r="C2731" s="109">
        <v>43188</v>
      </c>
      <c r="D2731" s="108"/>
      <c r="E2731" s="108" t="s">
        <v>14605</v>
      </c>
      <c r="F2731" s="108" t="s">
        <v>15696</v>
      </c>
      <c r="G2731" s="110"/>
      <c r="H2731" s="108" t="s">
        <v>1125</v>
      </c>
      <c r="I2731" s="108"/>
    </row>
    <row r="2732" spans="1:9">
      <c r="A2732" s="108" t="s">
        <v>118</v>
      </c>
      <c r="B2732" s="108" t="s">
        <v>18452</v>
      </c>
      <c r="C2732" s="109">
        <v>43334</v>
      </c>
      <c r="D2732" s="108"/>
      <c r="E2732" s="108" t="s">
        <v>14605</v>
      </c>
      <c r="F2732" s="108" t="s">
        <v>17919</v>
      </c>
      <c r="G2732" s="110"/>
      <c r="H2732" s="108" t="s">
        <v>1125</v>
      </c>
      <c r="I2732" s="108"/>
    </row>
    <row r="2733" spans="1:9" ht="27.6">
      <c r="A2733" s="108" t="s">
        <v>118</v>
      </c>
      <c r="B2733" s="108" t="s">
        <v>18453</v>
      </c>
      <c r="C2733" s="109">
        <v>43438</v>
      </c>
      <c r="D2733" s="108"/>
      <c r="E2733" s="108" t="s">
        <v>14605</v>
      </c>
      <c r="F2733" s="108" t="s">
        <v>16428</v>
      </c>
      <c r="G2733" s="110"/>
      <c r="H2733" s="108" t="s">
        <v>1125</v>
      </c>
      <c r="I2733" s="108"/>
    </row>
    <row r="2734" spans="1:9" ht="27.6">
      <c r="A2734" s="108" t="s">
        <v>207</v>
      </c>
      <c r="B2734" s="108" t="s">
        <v>18454</v>
      </c>
      <c r="C2734" s="109">
        <v>43459</v>
      </c>
      <c r="D2734" s="108"/>
      <c r="E2734" s="108" t="s">
        <v>14605</v>
      </c>
      <c r="F2734" s="108" t="s">
        <v>18455</v>
      </c>
      <c r="G2734" s="110"/>
      <c r="H2734" s="108" t="s">
        <v>1125</v>
      </c>
      <c r="I2734" s="108"/>
    </row>
    <row r="2735" spans="1:9">
      <c r="A2735" s="108" t="s">
        <v>118</v>
      </c>
      <c r="B2735" s="108" t="s">
        <v>18456</v>
      </c>
      <c r="C2735" s="109">
        <v>43640</v>
      </c>
      <c r="D2735" s="108"/>
      <c r="E2735" s="108" t="s">
        <v>14605</v>
      </c>
      <c r="F2735" s="108" t="s">
        <v>15775</v>
      </c>
      <c r="G2735" s="110"/>
      <c r="H2735" s="108" t="s">
        <v>1125</v>
      </c>
      <c r="I2735" s="108"/>
    </row>
    <row r="2736" spans="1:9">
      <c r="A2736" s="108" t="s">
        <v>118</v>
      </c>
      <c r="B2736" s="108" t="s">
        <v>18457</v>
      </c>
      <c r="C2736" s="109">
        <v>43675</v>
      </c>
      <c r="D2736" s="108"/>
      <c r="E2736" s="108" t="s">
        <v>14605</v>
      </c>
      <c r="F2736" s="108" t="s">
        <v>18458</v>
      </c>
      <c r="G2736" s="110"/>
      <c r="H2736" s="108" t="s">
        <v>1125</v>
      </c>
      <c r="I2736" s="108"/>
    </row>
    <row r="2737" spans="1:9" ht="27.6">
      <c r="A2737" s="108" t="s">
        <v>118</v>
      </c>
      <c r="B2737" s="108" t="s">
        <v>18459</v>
      </c>
      <c r="C2737" s="109">
        <v>43794</v>
      </c>
      <c r="D2737" s="108"/>
      <c r="E2737" s="108" t="s">
        <v>14605</v>
      </c>
      <c r="F2737" s="108" t="s">
        <v>15785</v>
      </c>
      <c r="G2737" s="110"/>
      <c r="H2737" s="108" t="s">
        <v>1125</v>
      </c>
      <c r="I2737" s="108"/>
    </row>
    <row r="2738" spans="1:9" ht="27.6">
      <c r="A2738" s="108" t="s">
        <v>118</v>
      </c>
      <c r="B2738" s="108" t="s">
        <v>18460</v>
      </c>
      <c r="C2738" s="109">
        <v>43813</v>
      </c>
      <c r="D2738" s="108"/>
      <c r="E2738" s="108" t="s">
        <v>14605</v>
      </c>
      <c r="F2738" s="108" t="s">
        <v>15687</v>
      </c>
      <c r="G2738" s="110"/>
      <c r="H2738" s="108" t="s">
        <v>1125</v>
      </c>
      <c r="I2738" s="108"/>
    </row>
    <row r="2739" spans="1:9">
      <c r="A2739" s="108" t="s">
        <v>118</v>
      </c>
      <c r="B2739" s="108" t="s">
        <v>18461</v>
      </c>
      <c r="C2739" s="109">
        <v>44168</v>
      </c>
      <c r="D2739" s="108"/>
      <c r="E2739" s="108" t="s">
        <v>14605</v>
      </c>
      <c r="F2739" s="108" t="s">
        <v>18462</v>
      </c>
      <c r="G2739" s="110"/>
      <c r="H2739" s="108" t="s">
        <v>1125</v>
      </c>
      <c r="I2739" s="108"/>
    </row>
    <row r="2740" spans="1:9" ht="27.6">
      <c r="A2740" s="108" t="s">
        <v>118</v>
      </c>
      <c r="B2740" s="108" t="s">
        <v>18463</v>
      </c>
      <c r="C2740" s="109">
        <v>43920</v>
      </c>
      <c r="D2740" s="108"/>
      <c r="E2740" s="108" t="s">
        <v>14605</v>
      </c>
      <c r="F2740" s="108" t="s">
        <v>15689</v>
      </c>
      <c r="G2740" s="110"/>
      <c r="H2740" s="108" t="s">
        <v>1125</v>
      </c>
      <c r="I2740" s="108"/>
    </row>
    <row r="2741" spans="1:9" ht="27.6">
      <c r="A2741" s="108" t="s">
        <v>118</v>
      </c>
      <c r="B2741" s="108" t="s">
        <v>18464</v>
      </c>
      <c r="C2741" s="109">
        <v>43816</v>
      </c>
      <c r="D2741" s="108"/>
      <c r="E2741" s="108" t="s">
        <v>14605</v>
      </c>
      <c r="F2741" s="108" t="s">
        <v>17687</v>
      </c>
      <c r="G2741" s="110"/>
      <c r="H2741" s="108" t="s">
        <v>1125</v>
      </c>
      <c r="I2741" s="108"/>
    </row>
    <row r="2742" spans="1:9" ht="27.6">
      <c r="A2742" s="108" t="s">
        <v>118</v>
      </c>
      <c r="B2742" s="108" t="s">
        <v>18465</v>
      </c>
      <c r="C2742" s="109">
        <v>44152</v>
      </c>
      <c r="D2742" s="108"/>
      <c r="E2742" s="108" t="s">
        <v>14605</v>
      </c>
      <c r="F2742" s="108" t="s">
        <v>18466</v>
      </c>
      <c r="G2742" s="110"/>
      <c r="H2742" s="108" t="s">
        <v>1125</v>
      </c>
      <c r="I2742" s="108"/>
    </row>
    <row r="2743" spans="1:9" ht="27.6">
      <c r="A2743" s="108" t="s">
        <v>118</v>
      </c>
      <c r="B2743" s="108" t="s">
        <v>18467</v>
      </c>
      <c r="C2743" s="109">
        <v>44173</v>
      </c>
      <c r="D2743" s="108"/>
      <c r="E2743" s="108" t="s">
        <v>14605</v>
      </c>
      <c r="F2743" s="108" t="s">
        <v>17718</v>
      </c>
      <c r="G2743" s="110"/>
      <c r="H2743" s="108" t="s">
        <v>1125</v>
      </c>
      <c r="I2743" s="108"/>
    </row>
    <row r="2744" spans="1:9">
      <c r="A2744" s="108" t="s">
        <v>118</v>
      </c>
      <c r="B2744" s="108" t="s">
        <v>18468</v>
      </c>
      <c r="C2744" s="109">
        <v>44350</v>
      </c>
      <c r="D2744" s="108"/>
      <c r="E2744" s="108" t="s">
        <v>14605</v>
      </c>
      <c r="F2744" s="108" t="s">
        <v>17658</v>
      </c>
      <c r="G2744" s="110"/>
      <c r="H2744" s="108" t="s">
        <v>1125</v>
      </c>
      <c r="I2744" s="108"/>
    </row>
    <row r="2745" spans="1:9" ht="27.6">
      <c r="A2745" s="108" t="s">
        <v>169</v>
      </c>
      <c r="B2745" s="108" t="s">
        <v>18469</v>
      </c>
      <c r="C2745" s="109">
        <v>43777</v>
      </c>
      <c r="D2745" s="108"/>
      <c r="E2745" s="108" t="s">
        <v>14605</v>
      </c>
      <c r="F2745" s="108" t="s">
        <v>18470</v>
      </c>
      <c r="G2745" s="110"/>
      <c r="H2745" s="108" t="s">
        <v>1125</v>
      </c>
      <c r="I2745" s="108"/>
    </row>
    <row r="2746" spans="1:9" ht="41.4">
      <c r="A2746" s="108" t="s">
        <v>169</v>
      </c>
      <c r="B2746" s="108" t="s">
        <v>18471</v>
      </c>
      <c r="C2746" s="109">
        <v>43784</v>
      </c>
      <c r="D2746" s="108"/>
      <c r="E2746" s="108" t="s">
        <v>14605</v>
      </c>
      <c r="F2746" s="108" t="s">
        <v>18472</v>
      </c>
      <c r="G2746" s="110"/>
      <c r="H2746" s="108" t="s">
        <v>1125</v>
      </c>
      <c r="I2746" s="108"/>
    </row>
    <row r="2747" spans="1:9" ht="41.4">
      <c r="A2747" s="108" t="s">
        <v>169</v>
      </c>
      <c r="B2747" s="108" t="s">
        <v>18473</v>
      </c>
      <c r="C2747" s="109">
        <v>43784</v>
      </c>
      <c r="D2747" s="108"/>
      <c r="E2747" s="108" t="s">
        <v>14605</v>
      </c>
      <c r="F2747" s="108" t="s">
        <v>18472</v>
      </c>
      <c r="G2747" s="110"/>
      <c r="H2747" s="108" t="s">
        <v>1125</v>
      </c>
      <c r="I2747" s="108"/>
    </row>
    <row r="2748" spans="1:9" ht="41.4">
      <c r="A2748" s="108" t="s">
        <v>169</v>
      </c>
      <c r="B2748" s="108" t="s">
        <v>18474</v>
      </c>
      <c r="C2748" s="109">
        <v>43784</v>
      </c>
      <c r="D2748" s="108"/>
      <c r="E2748" s="108" t="s">
        <v>14605</v>
      </c>
      <c r="F2748" s="108" t="s">
        <v>18472</v>
      </c>
      <c r="G2748" s="110"/>
      <c r="H2748" s="108" t="s">
        <v>1125</v>
      </c>
      <c r="I2748" s="108"/>
    </row>
    <row r="2749" spans="1:9">
      <c r="A2749" s="108" t="s">
        <v>169</v>
      </c>
      <c r="B2749" s="108" t="s">
        <v>18475</v>
      </c>
      <c r="C2749" s="109">
        <v>43990</v>
      </c>
      <c r="D2749" s="108"/>
      <c r="E2749" s="108" t="s">
        <v>14605</v>
      </c>
      <c r="F2749" s="108" t="s">
        <v>18117</v>
      </c>
      <c r="G2749" s="110"/>
      <c r="H2749" s="108" t="s">
        <v>1125</v>
      </c>
      <c r="I2749" s="108"/>
    </row>
    <row r="2750" spans="1:9" ht="27.6">
      <c r="A2750" s="108" t="s">
        <v>169</v>
      </c>
      <c r="B2750" s="108" t="s">
        <v>18476</v>
      </c>
      <c r="C2750" s="109">
        <v>43815</v>
      </c>
      <c r="D2750" s="108"/>
      <c r="E2750" s="108" t="s">
        <v>14605</v>
      </c>
      <c r="F2750" s="108" t="s">
        <v>18477</v>
      </c>
      <c r="G2750" s="110"/>
      <c r="H2750" s="108" t="s">
        <v>1125</v>
      </c>
      <c r="I2750" s="108"/>
    </row>
    <row r="2751" spans="1:9" ht="27.6">
      <c r="A2751" s="108" t="s">
        <v>169</v>
      </c>
      <c r="B2751" s="108" t="s">
        <v>18478</v>
      </c>
      <c r="C2751" s="109">
        <v>43815</v>
      </c>
      <c r="D2751" s="108"/>
      <c r="E2751" s="108" t="s">
        <v>14605</v>
      </c>
      <c r="F2751" s="108" t="s">
        <v>18477</v>
      </c>
      <c r="G2751" s="110"/>
      <c r="H2751" s="108" t="s">
        <v>1125</v>
      </c>
      <c r="I2751" s="108"/>
    </row>
    <row r="2752" spans="1:9" ht="27.6">
      <c r="A2752" s="108" t="s">
        <v>169</v>
      </c>
      <c r="B2752" s="108" t="s">
        <v>18479</v>
      </c>
      <c r="C2752" s="109">
        <v>43917</v>
      </c>
      <c r="D2752" s="108"/>
      <c r="E2752" s="108" t="s">
        <v>14605</v>
      </c>
      <c r="F2752" s="108" t="s">
        <v>18480</v>
      </c>
      <c r="G2752" s="110"/>
      <c r="H2752" s="108" t="s">
        <v>1125</v>
      </c>
      <c r="I2752" s="108"/>
    </row>
    <row r="2753" spans="1:9" ht="27.6">
      <c r="A2753" s="108" t="s">
        <v>169</v>
      </c>
      <c r="B2753" s="108" t="s">
        <v>18481</v>
      </c>
      <c r="C2753" s="109">
        <v>43815</v>
      </c>
      <c r="D2753" s="108"/>
      <c r="E2753" s="108" t="s">
        <v>14605</v>
      </c>
      <c r="F2753" s="108" t="s">
        <v>18482</v>
      </c>
      <c r="G2753" s="110"/>
      <c r="H2753" s="108" t="s">
        <v>1125</v>
      </c>
      <c r="I2753" s="108"/>
    </row>
    <row r="2754" spans="1:9" ht="27.6">
      <c r="A2754" s="108" t="s">
        <v>169</v>
      </c>
      <c r="B2754" s="108" t="s">
        <v>18483</v>
      </c>
      <c r="C2754" s="109">
        <v>43815</v>
      </c>
      <c r="D2754" s="108"/>
      <c r="E2754" s="108" t="s">
        <v>14605</v>
      </c>
      <c r="F2754" s="108" t="s">
        <v>18482</v>
      </c>
      <c r="G2754" s="110"/>
      <c r="H2754" s="108" t="s">
        <v>1125</v>
      </c>
      <c r="I2754" s="108"/>
    </row>
    <row r="2755" spans="1:9" ht="27.6">
      <c r="A2755" s="108" t="s">
        <v>169</v>
      </c>
      <c r="B2755" s="108" t="s">
        <v>18484</v>
      </c>
      <c r="C2755" s="109">
        <v>44344</v>
      </c>
      <c r="D2755" s="108"/>
      <c r="E2755" s="108" t="s">
        <v>14605</v>
      </c>
      <c r="F2755" s="108" t="s">
        <v>18485</v>
      </c>
      <c r="G2755" s="110"/>
      <c r="H2755" s="108" t="s">
        <v>1125</v>
      </c>
      <c r="I2755" s="108"/>
    </row>
    <row r="2756" spans="1:9" ht="41.4">
      <c r="A2756" s="108" t="s">
        <v>169</v>
      </c>
      <c r="B2756" s="108" t="s">
        <v>18486</v>
      </c>
      <c r="C2756" s="109">
        <v>44344</v>
      </c>
      <c r="D2756" s="108"/>
      <c r="E2756" s="108" t="s">
        <v>14605</v>
      </c>
      <c r="F2756" s="108" t="s">
        <v>18472</v>
      </c>
      <c r="G2756" s="110"/>
      <c r="H2756" s="108" t="s">
        <v>1125</v>
      </c>
      <c r="I2756" s="108"/>
    </row>
    <row r="2757" spans="1:9" ht="27.6">
      <c r="A2757" s="108" t="s">
        <v>169</v>
      </c>
      <c r="B2757" s="108" t="s">
        <v>18487</v>
      </c>
      <c r="C2757" s="109">
        <v>44116</v>
      </c>
      <c r="D2757" s="108"/>
      <c r="E2757" s="108" t="s">
        <v>14605</v>
      </c>
      <c r="F2757" s="108" t="s">
        <v>18488</v>
      </c>
      <c r="G2757" s="110"/>
      <c r="H2757" s="108" t="s">
        <v>1125</v>
      </c>
      <c r="I2757" s="108"/>
    </row>
    <row r="2758" spans="1:9">
      <c r="A2758" s="108" t="s">
        <v>169</v>
      </c>
      <c r="B2758" s="108" t="s">
        <v>18489</v>
      </c>
      <c r="C2758" s="109">
        <v>44183</v>
      </c>
      <c r="D2758" s="108"/>
      <c r="E2758" s="108" t="s">
        <v>14605</v>
      </c>
      <c r="F2758" s="108" t="s">
        <v>18490</v>
      </c>
      <c r="G2758" s="110"/>
      <c r="H2758" s="108" t="s">
        <v>1125</v>
      </c>
      <c r="I2758" s="108"/>
    </row>
    <row r="2759" spans="1:9">
      <c r="A2759" s="108" t="s">
        <v>169</v>
      </c>
      <c r="B2759" s="108" t="s">
        <v>18491</v>
      </c>
      <c r="C2759" s="109">
        <v>44183</v>
      </c>
      <c r="D2759" s="108"/>
      <c r="E2759" s="108" t="s">
        <v>14605</v>
      </c>
      <c r="F2759" s="108" t="s">
        <v>18490</v>
      </c>
      <c r="G2759" s="110"/>
      <c r="H2759" s="108" t="s">
        <v>1125</v>
      </c>
      <c r="I2759" s="108"/>
    </row>
    <row r="2760" spans="1:9" ht="41.4">
      <c r="A2760" s="108" t="s">
        <v>169</v>
      </c>
      <c r="B2760" s="108" t="s">
        <v>18492</v>
      </c>
      <c r="C2760" s="109">
        <v>44183</v>
      </c>
      <c r="D2760" s="108"/>
      <c r="E2760" s="108" t="s">
        <v>14605</v>
      </c>
      <c r="F2760" s="108" t="s">
        <v>18493</v>
      </c>
      <c r="G2760" s="110"/>
      <c r="H2760" s="108" t="s">
        <v>1125</v>
      </c>
      <c r="I2760" s="108"/>
    </row>
    <row r="2761" spans="1:9" ht="27.6">
      <c r="A2761" s="108" t="s">
        <v>169</v>
      </c>
      <c r="B2761" s="108" t="s">
        <v>18494</v>
      </c>
      <c r="C2761" s="109">
        <v>44281</v>
      </c>
      <c r="D2761" s="108"/>
      <c r="E2761" s="108" t="s">
        <v>14605</v>
      </c>
      <c r="F2761" s="108" t="s">
        <v>18495</v>
      </c>
      <c r="G2761" s="110"/>
      <c r="H2761" s="108" t="s">
        <v>1125</v>
      </c>
      <c r="I2761" s="108"/>
    </row>
    <row r="2762" spans="1:9">
      <c r="A2762" s="108" t="s">
        <v>169</v>
      </c>
      <c r="B2762" s="108" t="s">
        <v>18496</v>
      </c>
      <c r="C2762" s="109">
        <v>44383</v>
      </c>
      <c r="D2762" s="108"/>
      <c r="E2762" s="108" t="s">
        <v>14605</v>
      </c>
      <c r="F2762" s="108" t="s">
        <v>18497</v>
      </c>
      <c r="G2762" s="110"/>
      <c r="H2762" s="108" t="s">
        <v>1125</v>
      </c>
      <c r="I2762" s="108"/>
    </row>
    <row r="2763" spans="1:9" ht="27.6">
      <c r="A2763" s="108" t="s">
        <v>169</v>
      </c>
      <c r="B2763" s="108" t="s">
        <v>18498</v>
      </c>
      <c r="C2763" s="109">
        <v>44351</v>
      </c>
      <c r="D2763" s="108"/>
      <c r="E2763" s="108" t="s">
        <v>14605</v>
      </c>
      <c r="F2763" s="108" t="s">
        <v>18499</v>
      </c>
      <c r="G2763" s="110"/>
      <c r="H2763" s="108" t="s">
        <v>1125</v>
      </c>
      <c r="I2763" s="108"/>
    </row>
    <row r="2764" spans="1:9">
      <c r="A2764" s="108" t="s">
        <v>169</v>
      </c>
      <c r="B2764" s="108" t="s">
        <v>18500</v>
      </c>
      <c r="C2764" s="109">
        <v>44351</v>
      </c>
      <c r="D2764" s="108"/>
      <c r="E2764" s="108" t="s">
        <v>14605</v>
      </c>
      <c r="F2764" s="108" t="s">
        <v>18501</v>
      </c>
      <c r="G2764" s="110"/>
      <c r="H2764" s="108" t="s">
        <v>1125</v>
      </c>
      <c r="I2764" s="108"/>
    </row>
    <row r="2765" spans="1:9">
      <c r="A2765" s="108" t="s">
        <v>169</v>
      </c>
      <c r="B2765" s="108" t="s">
        <v>18502</v>
      </c>
      <c r="C2765" s="109">
        <v>44358</v>
      </c>
      <c r="D2765" s="108"/>
      <c r="E2765" s="108" t="s">
        <v>14605</v>
      </c>
      <c r="F2765" s="108" t="s">
        <v>18503</v>
      </c>
      <c r="G2765" s="110"/>
      <c r="H2765" s="108" t="s">
        <v>1125</v>
      </c>
      <c r="I2765" s="108"/>
    </row>
    <row r="2766" spans="1:9" ht="41.4">
      <c r="A2766" s="108" t="s">
        <v>169</v>
      </c>
      <c r="B2766" s="108" t="s">
        <v>18504</v>
      </c>
      <c r="C2766" s="109">
        <v>44449</v>
      </c>
      <c r="D2766" s="108"/>
      <c r="E2766" s="108" t="s">
        <v>14605</v>
      </c>
      <c r="F2766" s="108" t="s">
        <v>18472</v>
      </c>
      <c r="G2766" s="110"/>
      <c r="H2766" s="108" t="s">
        <v>1125</v>
      </c>
      <c r="I2766" s="108"/>
    </row>
    <row r="2767" spans="1:9">
      <c r="A2767" s="108" t="s">
        <v>169</v>
      </c>
      <c r="B2767" s="108" t="s">
        <v>18505</v>
      </c>
      <c r="C2767" s="109">
        <v>44456</v>
      </c>
      <c r="D2767" s="108"/>
      <c r="E2767" s="108" t="s">
        <v>14605</v>
      </c>
      <c r="F2767" s="108" t="s">
        <v>18506</v>
      </c>
      <c r="G2767" s="110"/>
      <c r="H2767" s="108" t="s">
        <v>1125</v>
      </c>
      <c r="I2767" s="108"/>
    </row>
    <row r="2768" spans="1:9" ht="41.4">
      <c r="A2768" s="108" t="s">
        <v>169</v>
      </c>
      <c r="B2768" s="108" t="s">
        <v>18507</v>
      </c>
      <c r="C2768" s="109">
        <v>44449</v>
      </c>
      <c r="D2768" s="108"/>
      <c r="E2768" s="108" t="s">
        <v>14605</v>
      </c>
      <c r="F2768" s="108" t="s">
        <v>18472</v>
      </c>
      <c r="G2768" s="110"/>
      <c r="H2768" s="108" t="s">
        <v>1125</v>
      </c>
      <c r="I2768" s="108"/>
    </row>
    <row r="2769" spans="1:9" ht="27.6">
      <c r="A2769" s="108" t="s">
        <v>169</v>
      </c>
      <c r="B2769" s="108" t="s">
        <v>18508</v>
      </c>
      <c r="C2769" s="109">
        <v>44459</v>
      </c>
      <c r="D2769" s="108"/>
      <c r="E2769" s="108" t="s">
        <v>14605</v>
      </c>
      <c r="F2769" s="108" t="s">
        <v>17699</v>
      </c>
      <c r="G2769" s="110"/>
      <c r="H2769" s="108" t="s">
        <v>1125</v>
      </c>
      <c r="I2769" s="108"/>
    </row>
    <row r="2770" spans="1:9" ht="41.4">
      <c r="A2770" s="108" t="s">
        <v>169</v>
      </c>
      <c r="B2770" s="108" t="s">
        <v>18509</v>
      </c>
      <c r="C2770" s="109">
        <v>44497</v>
      </c>
      <c r="D2770" s="108"/>
      <c r="E2770" s="108" t="s">
        <v>14605</v>
      </c>
      <c r="F2770" s="108" t="s">
        <v>18472</v>
      </c>
      <c r="G2770" s="110"/>
      <c r="H2770" s="108" t="s">
        <v>1125</v>
      </c>
      <c r="I2770" s="108"/>
    </row>
    <row r="2771" spans="1:9" ht="41.4">
      <c r="A2771" s="108" t="s">
        <v>169</v>
      </c>
      <c r="B2771" s="108" t="s">
        <v>18510</v>
      </c>
      <c r="C2771" s="109">
        <v>44497</v>
      </c>
      <c r="D2771" s="108"/>
      <c r="E2771" s="108" t="s">
        <v>14605</v>
      </c>
      <c r="F2771" s="108" t="s">
        <v>18472</v>
      </c>
      <c r="G2771" s="110"/>
      <c r="H2771" s="108" t="s">
        <v>1125</v>
      </c>
      <c r="I2771" s="108"/>
    </row>
    <row r="2772" spans="1:9" ht="27.6">
      <c r="A2772" s="108" t="s">
        <v>169</v>
      </c>
      <c r="B2772" s="108" t="s">
        <v>18511</v>
      </c>
      <c r="C2772" s="109">
        <v>45002</v>
      </c>
      <c r="D2772" s="108"/>
      <c r="E2772" s="108" t="s">
        <v>14605</v>
      </c>
      <c r="F2772" s="108" t="s">
        <v>18512</v>
      </c>
      <c r="G2772" s="110"/>
      <c r="H2772" s="108" t="s">
        <v>1125</v>
      </c>
      <c r="I2772" s="108"/>
    </row>
    <row r="2773" spans="1:9">
      <c r="A2773" s="108" t="s">
        <v>169</v>
      </c>
      <c r="B2773" s="108" t="s">
        <v>18513</v>
      </c>
      <c r="C2773" s="109">
        <v>45107</v>
      </c>
      <c r="D2773" s="108"/>
      <c r="E2773" s="108" t="s">
        <v>14605</v>
      </c>
      <c r="F2773" s="108" t="s">
        <v>18514</v>
      </c>
      <c r="G2773" s="110"/>
      <c r="H2773" s="108" t="s">
        <v>1125</v>
      </c>
      <c r="I2773" s="108"/>
    </row>
    <row r="2774" spans="1:9" ht="27.6">
      <c r="A2774" s="108" t="s">
        <v>15869</v>
      </c>
      <c r="B2774" s="108" t="s">
        <v>18515</v>
      </c>
      <c r="C2774" s="109">
        <v>46108</v>
      </c>
      <c r="D2774" s="108"/>
      <c r="E2774" s="108" t="s">
        <v>14605</v>
      </c>
      <c r="F2774" s="108" t="s">
        <v>18388</v>
      </c>
      <c r="G2774" s="110"/>
      <c r="H2774" s="108" t="s">
        <v>1125</v>
      </c>
      <c r="I2774" s="108"/>
    </row>
    <row r="2775" spans="1:9" ht="27.6">
      <c r="A2775" s="108" t="s">
        <v>109</v>
      </c>
      <c r="B2775" s="108" t="s">
        <v>18516</v>
      </c>
      <c r="C2775" s="109">
        <v>46196</v>
      </c>
      <c r="D2775" s="108"/>
      <c r="E2775" s="108" t="s">
        <v>14605</v>
      </c>
      <c r="F2775" s="108" t="s">
        <v>15436</v>
      </c>
      <c r="G2775" s="110"/>
      <c r="H2775" s="108" t="s">
        <v>1125</v>
      </c>
      <c r="I2775" s="108"/>
    </row>
    <row r="2776" spans="1:9" ht="27.6">
      <c r="A2776" s="108" t="s">
        <v>15075</v>
      </c>
      <c r="B2776" s="108" t="s">
        <v>18517</v>
      </c>
      <c r="C2776" s="109">
        <v>44933</v>
      </c>
      <c r="D2776" s="108"/>
      <c r="E2776" s="108" t="s">
        <v>14605</v>
      </c>
      <c r="F2776" s="108" t="s">
        <v>16099</v>
      </c>
      <c r="G2776" s="110"/>
      <c r="H2776" s="108" t="s">
        <v>1125</v>
      </c>
      <c r="I2776" s="108"/>
    </row>
    <row r="2777" spans="1:9" ht="27.6">
      <c r="A2777" s="108" t="s">
        <v>96</v>
      </c>
      <c r="B2777" s="108" t="s">
        <v>18518</v>
      </c>
      <c r="C2777" s="109">
        <v>46108</v>
      </c>
      <c r="D2777" s="108"/>
      <c r="E2777" s="108" t="s">
        <v>14605</v>
      </c>
      <c r="F2777" s="108" t="s">
        <v>18519</v>
      </c>
      <c r="G2777" s="110"/>
      <c r="H2777" s="108" t="s">
        <v>1125</v>
      </c>
      <c r="I2777" s="108"/>
    </row>
    <row r="2778" spans="1:9">
      <c r="A2778" s="108" t="s">
        <v>16151</v>
      </c>
      <c r="B2778" s="108" t="s">
        <v>18520</v>
      </c>
      <c r="C2778" s="109">
        <v>46021</v>
      </c>
      <c r="D2778" s="108"/>
      <c r="E2778" s="108" t="s">
        <v>14605</v>
      </c>
      <c r="F2778" s="108" t="s">
        <v>15427</v>
      </c>
      <c r="G2778" s="110"/>
      <c r="H2778" s="108" t="s">
        <v>1125</v>
      </c>
      <c r="I2778" s="108"/>
    </row>
    <row r="2779" spans="1:9" ht="27.6">
      <c r="A2779" s="108" t="s">
        <v>1828</v>
      </c>
      <c r="B2779" s="108" t="s">
        <v>18521</v>
      </c>
      <c r="C2779" s="109">
        <v>43969</v>
      </c>
      <c r="D2779" s="108" t="s">
        <v>18522</v>
      </c>
      <c r="E2779" s="108" t="s">
        <v>14605</v>
      </c>
      <c r="F2779" s="108" t="s">
        <v>18523</v>
      </c>
      <c r="G2779" s="109">
        <v>45806</v>
      </c>
      <c r="H2779" s="108" t="s">
        <v>1125</v>
      </c>
      <c r="I2779" s="108" t="s">
        <v>95</v>
      </c>
    </row>
    <row r="2780" spans="1:9">
      <c r="A2780" s="108" t="s">
        <v>1828</v>
      </c>
      <c r="B2780" s="108" t="s">
        <v>18524</v>
      </c>
      <c r="C2780" s="109">
        <v>44140</v>
      </c>
      <c r="D2780" s="108" t="s">
        <v>18525</v>
      </c>
      <c r="E2780" s="108" t="s">
        <v>14605</v>
      </c>
      <c r="F2780" s="108" t="s">
        <v>18526</v>
      </c>
      <c r="G2780" s="109">
        <v>45235</v>
      </c>
      <c r="H2780" s="108" t="s">
        <v>1125</v>
      </c>
      <c r="I2780" s="108" t="s">
        <v>95</v>
      </c>
    </row>
    <row r="2781" spans="1:9">
      <c r="A2781" s="108" t="s">
        <v>14937</v>
      </c>
      <c r="B2781" s="108" t="s">
        <v>18527</v>
      </c>
      <c r="C2781" s="109">
        <v>44679</v>
      </c>
      <c r="D2781" s="108" t="s">
        <v>18528</v>
      </c>
      <c r="E2781" s="108" t="s">
        <v>14605</v>
      </c>
      <c r="F2781" s="108" t="s">
        <v>18529</v>
      </c>
      <c r="G2781" s="109">
        <v>46139</v>
      </c>
      <c r="H2781" s="108" t="s">
        <v>1125</v>
      </c>
      <c r="I2781" s="108" t="s">
        <v>95</v>
      </c>
    </row>
    <row r="2782" spans="1:9" ht="27.6">
      <c r="A2782" s="108" t="s">
        <v>14937</v>
      </c>
      <c r="B2782" s="108" t="s">
        <v>18530</v>
      </c>
      <c r="C2782" s="109">
        <v>44736</v>
      </c>
      <c r="D2782" s="108" t="s">
        <v>18531</v>
      </c>
      <c r="E2782" s="108" t="s">
        <v>14605</v>
      </c>
      <c r="F2782" s="108" t="s">
        <v>18532</v>
      </c>
      <c r="G2782" s="109">
        <v>45831</v>
      </c>
      <c r="H2782" s="108" t="s">
        <v>1125</v>
      </c>
      <c r="I2782" s="108" t="s">
        <v>95</v>
      </c>
    </row>
    <row r="2783" spans="1:9" ht="27.6">
      <c r="A2783" s="108" t="s">
        <v>14937</v>
      </c>
      <c r="B2783" s="108" t="s">
        <v>18533</v>
      </c>
      <c r="C2783" s="109">
        <v>45221</v>
      </c>
      <c r="D2783" s="108" t="s">
        <v>18534</v>
      </c>
      <c r="E2783" s="108" t="s">
        <v>14605</v>
      </c>
      <c r="F2783" s="108" t="s">
        <v>16420</v>
      </c>
      <c r="G2783" s="109">
        <v>45949</v>
      </c>
      <c r="H2783" s="108" t="s">
        <v>1125</v>
      </c>
      <c r="I2783" s="108" t="s">
        <v>95</v>
      </c>
    </row>
    <row r="2784" spans="1:9" ht="27.6">
      <c r="A2784" s="108" t="s">
        <v>14937</v>
      </c>
      <c r="B2784" s="108" t="s">
        <v>18535</v>
      </c>
      <c r="C2784" s="109">
        <v>45281</v>
      </c>
      <c r="D2784" s="108" t="s">
        <v>18536</v>
      </c>
      <c r="E2784" s="108" t="s">
        <v>14605</v>
      </c>
      <c r="F2784" s="108" t="s">
        <v>16420</v>
      </c>
      <c r="G2784" s="109">
        <v>46011</v>
      </c>
      <c r="H2784" s="108" t="s">
        <v>1125</v>
      </c>
      <c r="I2784" s="108" t="s">
        <v>95</v>
      </c>
    </row>
    <row r="2785" spans="1:9" ht="27.6">
      <c r="A2785" s="108" t="s">
        <v>16421</v>
      </c>
      <c r="B2785" s="108" t="s">
        <v>18537</v>
      </c>
      <c r="C2785" s="109">
        <v>45311</v>
      </c>
      <c r="D2785" s="108" t="s">
        <v>18538</v>
      </c>
      <c r="E2785" s="108" t="s">
        <v>14605</v>
      </c>
      <c r="F2785" s="108" t="s">
        <v>18539</v>
      </c>
      <c r="G2785" s="109">
        <v>46040</v>
      </c>
      <c r="H2785" s="108" t="s">
        <v>1125</v>
      </c>
      <c r="I2785" s="108" t="s">
        <v>95</v>
      </c>
    </row>
    <row r="2786" spans="1:9" ht="27.6">
      <c r="A2786" s="108" t="s">
        <v>14950</v>
      </c>
      <c r="B2786" s="108" t="s">
        <v>18540</v>
      </c>
      <c r="C2786" s="109">
        <v>43737</v>
      </c>
      <c r="D2786" s="108" t="s">
        <v>18541</v>
      </c>
      <c r="E2786" s="108" t="s">
        <v>14605</v>
      </c>
      <c r="F2786" s="108" t="s">
        <v>18542</v>
      </c>
      <c r="G2786" s="109">
        <v>45561</v>
      </c>
      <c r="H2786" s="108" t="s">
        <v>1125</v>
      </c>
      <c r="I2786" s="108" t="s">
        <v>95</v>
      </c>
    </row>
    <row r="2787" spans="1:9" ht="27.6">
      <c r="A2787" s="108" t="s">
        <v>1828</v>
      </c>
      <c r="B2787" s="108" t="s">
        <v>18543</v>
      </c>
      <c r="C2787" s="109">
        <v>42872</v>
      </c>
      <c r="D2787" s="108" t="s">
        <v>18544</v>
      </c>
      <c r="E2787" s="108" t="s">
        <v>14605</v>
      </c>
      <c r="F2787" s="108" t="s">
        <v>16099</v>
      </c>
      <c r="G2787" s="109">
        <v>44697</v>
      </c>
      <c r="H2787" s="108" t="s">
        <v>1125</v>
      </c>
      <c r="I2787" s="108" t="s">
        <v>95</v>
      </c>
    </row>
    <row r="2788" spans="1:9" ht="27.6">
      <c r="A2788" s="108" t="s">
        <v>15075</v>
      </c>
      <c r="B2788" s="108" t="s">
        <v>18545</v>
      </c>
      <c r="C2788" s="109">
        <v>44418</v>
      </c>
      <c r="D2788" s="108" t="s">
        <v>18546</v>
      </c>
      <c r="E2788" s="108" t="s">
        <v>14605</v>
      </c>
      <c r="F2788" s="108" t="s">
        <v>18547</v>
      </c>
      <c r="G2788" s="109">
        <v>45156</v>
      </c>
      <c r="H2788" s="108" t="s">
        <v>1125</v>
      </c>
      <c r="I2788" s="108" t="s">
        <v>95</v>
      </c>
    </row>
    <row r="2789" spans="1:9" ht="27.6">
      <c r="A2789" s="108" t="s">
        <v>15869</v>
      </c>
      <c r="B2789" s="108" t="s">
        <v>18548</v>
      </c>
      <c r="C2789" s="109">
        <v>43696</v>
      </c>
      <c r="D2789" s="108" t="s">
        <v>18549</v>
      </c>
      <c r="E2789" s="108" t="s">
        <v>14605</v>
      </c>
      <c r="F2789" s="108" t="s">
        <v>18547</v>
      </c>
      <c r="G2789" s="109">
        <v>45378</v>
      </c>
      <c r="H2789" s="108" t="s">
        <v>1125</v>
      </c>
      <c r="I2789" s="108" t="s">
        <v>95</v>
      </c>
    </row>
    <row r="2790" spans="1:9" ht="27.6">
      <c r="A2790" s="108" t="s">
        <v>250</v>
      </c>
      <c r="B2790" s="108" t="s">
        <v>18550</v>
      </c>
      <c r="C2790" s="109">
        <v>44056</v>
      </c>
      <c r="D2790" s="108" t="s">
        <v>18551</v>
      </c>
      <c r="E2790" s="108" t="s">
        <v>14605</v>
      </c>
      <c r="F2790" s="108" t="s">
        <v>15484</v>
      </c>
      <c r="G2790" s="109">
        <v>45881</v>
      </c>
      <c r="H2790" s="108" t="s">
        <v>1125</v>
      </c>
      <c r="I2790" s="108" t="s">
        <v>95</v>
      </c>
    </row>
    <row r="2791" spans="1:9" ht="27.6">
      <c r="A2791" s="108" t="s">
        <v>15869</v>
      </c>
      <c r="B2791" s="108" t="s">
        <v>18552</v>
      </c>
      <c r="C2791" s="109">
        <v>43917</v>
      </c>
      <c r="D2791" s="108" t="s">
        <v>18553</v>
      </c>
      <c r="E2791" s="108" t="s">
        <v>14605</v>
      </c>
      <c r="F2791" s="108" t="s">
        <v>18547</v>
      </c>
      <c r="G2791" s="109">
        <v>45899</v>
      </c>
      <c r="H2791" s="108" t="s">
        <v>1125</v>
      </c>
      <c r="I2791" s="108" t="s">
        <v>95</v>
      </c>
    </row>
    <row r="2792" spans="1:9" ht="41.4">
      <c r="A2792" s="108" t="s">
        <v>15859</v>
      </c>
      <c r="B2792" s="108" t="s">
        <v>18554</v>
      </c>
      <c r="C2792" s="109">
        <v>44556</v>
      </c>
      <c r="D2792" s="108" t="s">
        <v>18555</v>
      </c>
      <c r="E2792" s="108" t="s">
        <v>14605</v>
      </c>
      <c r="F2792" s="108" t="s">
        <v>15480</v>
      </c>
      <c r="G2792" s="109">
        <v>47508</v>
      </c>
      <c r="H2792" s="108" t="s">
        <v>1125</v>
      </c>
      <c r="I2792" s="108" t="s">
        <v>95</v>
      </c>
    </row>
    <row r="2793" spans="1:9" ht="27.6">
      <c r="A2793" s="108" t="s">
        <v>16986</v>
      </c>
      <c r="B2793" s="108" t="s">
        <v>18556</v>
      </c>
      <c r="C2793" s="109">
        <v>43981</v>
      </c>
      <c r="D2793" s="108" t="s">
        <v>18557</v>
      </c>
      <c r="E2793" s="108" t="s">
        <v>14605</v>
      </c>
      <c r="F2793" s="108" t="s">
        <v>16099</v>
      </c>
      <c r="G2793" s="109">
        <v>46236</v>
      </c>
      <c r="H2793" s="108" t="s">
        <v>18558</v>
      </c>
      <c r="I2793" s="108" t="s">
        <v>95</v>
      </c>
    </row>
    <row r="2794" spans="1:9" ht="27.6">
      <c r="A2794" s="108" t="s">
        <v>15869</v>
      </c>
      <c r="B2794" s="108" t="s">
        <v>18559</v>
      </c>
      <c r="C2794" s="109">
        <v>44218</v>
      </c>
      <c r="D2794" s="108" t="s">
        <v>18560</v>
      </c>
      <c r="E2794" s="108" t="s">
        <v>14605</v>
      </c>
      <c r="F2794" s="108" t="s">
        <v>16099</v>
      </c>
      <c r="G2794" s="109">
        <v>46236</v>
      </c>
      <c r="H2794" s="108" t="s">
        <v>1125</v>
      </c>
      <c r="I2794" s="108" t="s">
        <v>95</v>
      </c>
    </row>
    <row r="2795" spans="1:9" ht="27.6">
      <c r="A2795" s="108" t="s">
        <v>15869</v>
      </c>
      <c r="B2795" s="108" t="s">
        <v>18561</v>
      </c>
      <c r="C2795" s="109">
        <v>44174</v>
      </c>
      <c r="D2795" s="108" t="s">
        <v>18562</v>
      </c>
      <c r="E2795" s="108" t="s">
        <v>14605</v>
      </c>
      <c r="F2795" s="108" t="s">
        <v>18563</v>
      </c>
      <c r="G2795" s="109">
        <v>45633</v>
      </c>
      <c r="H2795" s="108" t="s">
        <v>1125</v>
      </c>
      <c r="I2795" s="108" t="s">
        <v>95</v>
      </c>
    </row>
    <row r="2796" spans="1:9" ht="27.6">
      <c r="A2796" s="108" t="s">
        <v>15869</v>
      </c>
      <c r="B2796" s="108" t="s">
        <v>18564</v>
      </c>
      <c r="C2796" s="109">
        <v>44193</v>
      </c>
      <c r="D2796" s="108" t="s">
        <v>18565</v>
      </c>
      <c r="E2796" s="108" t="s">
        <v>14605</v>
      </c>
      <c r="F2796" s="108" t="s">
        <v>18566</v>
      </c>
      <c r="G2796" s="109">
        <v>45754</v>
      </c>
      <c r="H2796" s="108" t="s">
        <v>1125</v>
      </c>
      <c r="I2796" s="108" t="s">
        <v>95</v>
      </c>
    </row>
    <row r="2797" spans="1:9">
      <c r="A2797" s="108" t="s">
        <v>15869</v>
      </c>
      <c r="B2797" s="108" t="s">
        <v>18567</v>
      </c>
      <c r="C2797" s="109">
        <v>44264</v>
      </c>
      <c r="D2797" s="108" t="s">
        <v>18568</v>
      </c>
      <c r="E2797" s="108" t="s">
        <v>14605</v>
      </c>
      <c r="F2797" s="108" t="s">
        <v>18354</v>
      </c>
      <c r="G2797" s="109">
        <v>45849</v>
      </c>
      <c r="H2797" s="108" t="s">
        <v>1125</v>
      </c>
      <c r="I2797" s="108" t="s">
        <v>95</v>
      </c>
    </row>
    <row r="2798" spans="1:9">
      <c r="A2798" s="108" t="s">
        <v>15859</v>
      </c>
      <c r="B2798" s="108" t="s">
        <v>18569</v>
      </c>
      <c r="C2798" s="109">
        <v>43601</v>
      </c>
      <c r="D2798" s="108" t="s">
        <v>18570</v>
      </c>
      <c r="E2798" s="108" t="s">
        <v>14605</v>
      </c>
      <c r="F2798" s="108" t="s">
        <v>16782</v>
      </c>
      <c r="G2798" s="109">
        <v>45619</v>
      </c>
      <c r="H2798" s="108" t="s">
        <v>1125</v>
      </c>
      <c r="I2798" s="108" t="s">
        <v>95</v>
      </c>
    </row>
    <row r="2799" spans="1:9">
      <c r="A2799" s="108" t="s">
        <v>15869</v>
      </c>
      <c r="B2799" s="108" t="s">
        <v>18571</v>
      </c>
      <c r="C2799" s="109">
        <v>44371</v>
      </c>
      <c r="D2799" s="108" t="s">
        <v>18572</v>
      </c>
      <c r="E2799" s="108" t="s">
        <v>14605</v>
      </c>
      <c r="F2799" s="108" t="s">
        <v>15287</v>
      </c>
      <c r="G2799" s="109">
        <v>44728</v>
      </c>
      <c r="H2799" s="108" t="s">
        <v>1125</v>
      </c>
      <c r="I2799" s="108" t="s">
        <v>95</v>
      </c>
    </row>
    <row r="2800" spans="1:9" ht="27.6">
      <c r="A2800" s="108" t="s">
        <v>15869</v>
      </c>
      <c r="B2800" s="108" t="s">
        <v>18573</v>
      </c>
      <c r="C2800" s="109">
        <v>44309</v>
      </c>
      <c r="D2800" s="108" t="s">
        <v>18574</v>
      </c>
      <c r="E2800" s="108" t="s">
        <v>14605</v>
      </c>
      <c r="F2800" s="108" t="s">
        <v>16099</v>
      </c>
      <c r="G2800" s="109">
        <v>46236</v>
      </c>
      <c r="H2800" s="108" t="s">
        <v>1125</v>
      </c>
      <c r="I2800" s="108" t="s">
        <v>95</v>
      </c>
    </row>
    <row r="2801" spans="1:9" ht="27.6">
      <c r="A2801" s="108" t="s">
        <v>16521</v>
      </c>
      <c r="B2801" s="108" t="s">
        <v>18575</v>
      </c>
      <c r="C2801" s="109">
        <v>44533</v>
      </c>
      <c r="D2801" s="108" t="s">
        <v>18576</v>
      </c>
      <c r="E2801" s="108" t="s">
        <v>14605</v>
      </c>
      <c r="F2801" s="108" t="s">
        <v>18363</v>
      </c>
      <c r="G2801" s="109">
        <v>46358</v>
      </c>
      <c r="H2801" s="108" t="s">
        <v>1125</v>
      </c>
      <c r="I2801" s="108" t="s">
        <v>95</v>
      </c>
    </row>
    <row r="2802" spans="1:9" ht="27.6">
      <c r="A2802" s="108" t="s">
        <v>15869</v>
      </c>
      <c r="B2802" s="108" t="s">
        <v>18577</v>
      </c>
      <c r="C2802" s="109">
        <v>44566</v>
      </c>
      <c r="D2802" s="108" t="s">
        <v>18578</v>
      </c>
      <c r="E2802" s="108" t="s">
        <v>14605</v>
      </c>
      <c r="F2802" s="108" t="s">
        <v>18579</v>
      </c>
      <c r="G2802" s="109">
        <v>45900</v>
      </c>
      <c r="H2802" s="108" t="s">
        <v>1125</v>
      </c>
      <c r="I2802" s="108" t="s">
        <v>95</v>
      </c>
    </row>
    <row r="2803" spans="1:9" ht="27.6">
      <c r="A2803" s="108" t="s">
        <v>15869</v>
      </c>
      <c r="B2803" s="108" t="s">
        <v>18580</v>
      </c>
      <c r="C2803" s="109">
        <v>44498</v>
      </c>
      <c r="D2803" s="108" t="s">
        <v>18581</v>
      </c>
      <c r="E2803" s="108" t="s">
        <v>14605</v>
      </c>
      <c r="F2803" s="108" t="s">
        <v>18579</v>
      </c>
      <c r="G2803" s="109">
        <v>46092</v>
      </c>
      <c r="H2803" s="108" t="s">
        <v>1125</v>
      </c>
      <c r="I2803" s="108" t="s">
        <v>95</v>
      </c>
    </row>
    <row r="2804" spans="1:9" ht="27.6">
      <c r="A2804" s="108" t="s">
        <v>15869</v>
      </c>
      <c r="B2804" s="108" t="s">
        <v>18582</v>
      </c>
      <c r="C2804" s="109">
        <v>44506</v>
      </c>
      <c r="D2804" s="108" t="s">
        <v>18583</v>
      </c>
      <c r="E2804" s="108" t="s">
        <v>14605</v>
      </c>
      <c r="F2804" s="108" t="s">
        <v>18584</v>
      </c>
      <c r="G2804" s="109">
        <v>45888</v>
      </c>
      <c r="H2804" s="108" t="s">
        <v>1125</v>
      </c>
      <c r="I2804" s="108" t="s">
        <v>95</v>
      </c>
    </row>
    <row r="2805" spans="1:9" ht="27.6">
      <c r="A2805" s="108" t="s">
        <v>18585</v>
      </c>
      <c r="B2805" s="108" t="s">
        <v>18586</v>
      </c>
      <c r="C2805" s="109">
        <v>44551</v>
      </c>
      <c r="D2805" s="108" t="s">
        <v>18587</v>
      </c>
      <c r="E2805" s="108" t="s">
        <v>14605</v>
      </c>
      <c r="F2805" s="108" t="s">
        <v>18226</v>
      </c>
      <c r="G2805" s="109">
        <v>45545</v>
      </c>
      <c r="H2805" s="108" t="s">
        <v>1125</v>
      </c>
      <c r="I2805" s="108" t="s">
        <v>95</v>
      </c>
    </row>
    <row r="2806" spans="1:9" ht="27.6">
      <c r="A2806" s="108" t="s">
        <v>15869</v>
      </c>
      <c r="B2806" s="108" t="s">
        <v>18588</v>
      </c>
      <c r="C2806" s="109">
        <v>44588</v>
      </c>
      <c r="D2806" s="108" t="s">
        <v>18589</v>
      </c>
      <c r="E2806" s="108" t="s">
        <v>14605</v>
      </c>
      <c r="F2806" s="108" t="s">
        <v>18243</v>
      </c>
      <c r="G2806" s="109">
        <v>46069</v>
      </c>
      <c r="H2806" s="108" t="s">
        <v>1125</v>
      </c>
      <c r="I2806" s="108" t="s">
        <v>95</v>
      </c>
    </row>
    <row r="2807" spans="1:9" ht="27.6">
      <c r="A2807" s="108" t="s">
        <v>15869</v>
      </c>
      <c r="B2807" s="108" t="s">
        <v>18590</v>
      </c>
      <c r="C2807" s="109">
        <v>44638</v>
      </c>
      <c r="D2807" s="108" t="s">
        <v>18591</v>
      </c>
      <c r="E2807" s="108" t="s">
        <v>14605</v>
      </c>
      <c r="F2807" s="108" t="s">
        <v>18592</v>
      </c>
      <c r="G2807" s="109">
        <v>45613</v>
      </c>
      <c r="H2807" s="108" t="s">
        <v>1125</v>
      </c>
      <c r="I2807" s="108" t="s">
        <v>95</v>
      </c>
    </row>
    <row r="2808" spans="1:9" ht="27.6">
      <c r="A2808" s="108" t="s">
        <v>15869</v>
      </c>
      <c r="B2808" s="108" t="s">
        <v>18593</v>
      </c>
      <c r="C2808" s="109">
        <v>44733</v>
      </c>
      <c r="D2808" s="108" t="s">
        <v>18594</v>
      </c>
      <c r="E2808" s="108" t="s">
        <v>14605</v>
      </c>
      <c r="F2808" s="108" t="s">
        <v>18595</v>
      </c>
      <c r="G2808" s="109">
        <v>45828</v>
      </c>
      <c r="H2808" s="108" t="s">
        <v>1125</v>
      </c>
      <c r="I2808" s="108" t="s">
        <v>95</v>
      </c>
    </row>
    <row r="2809" spans="1:9" ht="27.6">
      <c r="A2809" s="108" t="s">
        <v>16521</v>
      </c>
      <c r="B2809" s="108" t="s">
        <v>18596</v>
      </c>
      <c r="C2809" s="109">
        <v>44607</v>
      </c>
      <c r="D2809" s="108" t="s">
        <v>18597</v>
      </c>
      <c r="E2809" s="108" t="s">
        <v>14605</v>
      </c>
      <c r="F2809" s="108" t="s">
        <v>18598</v>
      </c>
      <c r="G2809" s="109">
        <v>45702</v>
      </c>
      <c r="H2809" s="108" t="s">
        <v>1125</v>
      </c>
      <c r="I2809" s="108" t="s">
        <v>95</v>
      </c>
    </row>
    <row r="2810" spans="1:9" ht="27.6">
      <c r="A2810" s="108" t="s">
        <v>15869</v>
      </c>
      <c r="B2810" s="108" t="s">
        <v>18599</v>
      </c>
      <c r="C2810" s="109">
        <v>44729</v>
      </c>
      <c r="D2810" s="108" t="s">
        <v>18600</v>
      </c>
      <c r="E2810" s="108" t="s">
        <v>14605</v>
      </c>
      <c r="F2810" s="108" t="s">
        <v>18601</v>
      </c>
      <c r="G2810" s="109">
        <v>45459</v>
      </c>
      <c r="H2810" s="108" t="s">
        <v>1125</v>
      </c>
      <c r="I2810" s="108" t="s">
        <v>95</v>
      </c>
    </row>
    <row r="2811" spans="1:9" ht="27.6">
      <c r="A2811" s="108" t="s">
        <v>15869</v>
      </c>
      <c r="B2811" s="108" t="s">
        <v>18602</v>
      </c>
      <c r="C2811" s="109">
        <v>44744</v>
      </c>
      <c r="D2811" s="108" t="s">
        <v>18603</v>
      </c>
      <c r="E2811" s="108" t="s">
        <v>14605</v>
      </c>
      <c r="F2811" s="108" t="s">
        <v>18604</v>
      </c>
      <c r="G2811" s="109">
        <v>45474</v>
      </c>
      <c r="H2811" s="108" t="s">
        <v>1125</v>
      </c>
      <c r="I2811" s="108" t="s">
        <v>95</v>
      </c>
    </row>
    <row r="2812" spans="1:9" ht="27.6">
      <c r="A2812" s="108" t="s">
        <v>15869</v>
      </c>
      <c r="B2812" s="108" t="s">
        <v>18605</v>
      </c>
      <c r="C2812" s="109">
        <v>44769</v>
      </c>
      <c r="D2812" s="108" t="s">
        <v>18606</v>
      </c>
      <c r="E2812" s="108" t="s">
        <v>14605</v>
      </c>
      <c r="F2812" s="108" t="s">
        <v>15038</v>
      </c>
      <c r="G2812" s="109">
        <v>45864</v>
      </c>
      <c r="H2812" s="108" t="s">
        <v>1125</v>
      </c>
      <c r="I2812" s="108" t="s">
        <v>95</v>
      </c>
    </row>
    <row r="2813" spans="1:9" ht="27.6">
      <c r="A2813" s="108" t="s">
        <v>15869</v>
      </c>
      <c r="B2813" s="108" t="s">
        <v>18607</v>
      </c>
      <c r="C2813" s="109">
        <v>44992</v>
      </c>
      <c r="D2813" s="108" t="s">
        <v>18608</v>
      </c>
      <c r="E2813" s="108" t="s">
        <v>14605</v>
      </c>
      <c r="F2813" s="108" t="s">
        <v>18609</v>
      </c>
      <c r="G2813" s="109">
        <v>45933</v>
      </c>
      <c r="H2813" s="108" t="s">
        <v>1125</v>
      </c>
      <c r="I2813" s="108" t="s">
        <v>95</v>
      </c>
    </row>
    <row r="2814" spans="1:9" ht="27.6">
      <c r="A2814" s="108" t="s">
        <v>15869</v>
      </c>
      <c r="B2814" s="108" t="s">
        <v>18610</v>
      </c>
      <c r="C2814" s="109">
        <v>44980</v>
      </c>
      <c r="D2814" s="108" t="s">
        <v>18611</v>
      </c>
      <c r="E2814" s="108" t="s">
        <v>14605</v>
      </c>
      <c r="F2814" s="108" t="s">
        <v>18519</v>
      </c>
      <c r="G2814" s="109">
        <v>45933</v>
      </c>
      <c r="H2814" s="108" t="s">
        <v>1125</v>
      </c>
      <c r="I2814" s="108" t="s">
        <v>95</v>
      </c>
    </row>
    <row r="2815" spans="1:9" ht="27.6">
      <c r="A2815" s="108" t="s">
        <v>15869</v>
      </c>
      <c r="B2815" s="108" t="s">
        <v>18612</v>
      </c>
      <c r="C2815" s="109">
        <v>45036</v>
      </c>
      <c r="D2815" s="108" t="s">
        <v>18613</v>
      </c>
      <c r="E2815" s="108" t="s">
        <v>14605</v>
      </c>
      <c r="F2815" s="108" t="s">
        <v>15048</v>
      </c>
      <c r="G2815" s="109">
        <v>45766</v>
      </c>
      <c r="H2815" s="108" t="s">
        <v>1125</v>
      </c>
      <c r="I2815" s="108" t="s">
        <v>95</v>
      </c>
    </row>
    <row r="2816" spans="1:9" ht="27.6">
      <c r="A2816" s="108" t="s">
        <v>16521</v>
      </c>
      <c r="B2816" s="108" t="s">
        <v>18614</v>
      </c>
      <c r="C2816" s="109">
        <v>44791</v>
      </c>
      <c r="D2816" s="108" t="s">
        <v>18615</v>
      </c>
      <c r="E2816" s="108" t="s">
        <v>14605</v>
      </c>
      <c r="F2816" s="108" t="s">
        <v>18616</v>
      </c>
      <c r="G2816" s="109">
        <v>45884</v>
      </c>
      <c r="H2816" s="108" t="s">
        <v>1125</v>
      </c>
      <c r="I2816" s="108" t="s">
        <v>95</v>
      </c>
    </row>
    <row r="2817" spans="1:9">
      <c r="A2817" s="108" t="s">
        <v>15869</v>
      </c>
      <c r="B2817" s="108" t="s">
        <v>18617</v>
      </c>
      <c r="C2817" s="109">
        <v>45106</v>
      </c>
      <c r="D2817" s="108" t="s">
        <v>18618</v>
      </c>
      <c r="E2817" s="108" t="s">
        <v>14605</v>
      </c>
      <c r="F2817" s="108" t="s">
        <v>18619</v>
      </c>
      <c r="G2817" s="109">
        <v>45953</v>
      </c>
      <c r="H2817" s="108" t="s">
        <v>1125</v>
      </c>
      <c r="I2817" s="108" t="s">
        <v>95</v>
      </c>
    </row>
    <row r="2818" spans="1:9" ht="27.6">
      <c r="A2818" s="108" t="s">
        <v>15869</v>
      </c>
      <c r="B2818" s="108" t="s">
        <v>18620</v>
      </c>
      <c r="C2818" s="109">
        <v>44984</v>
      </c>
      <c r="D2818" s="108" t="s">
        <v>18621</v>
      </c>
      <c r="E2818" s="108" t="s">
        <v>14605</v>
      </c>
      <c r="F2818" s="108" t="s">
        <v>18365</v>
      </c>
      <c r="G2818" s="109">
        <v>46079</v>
      </c>
      <c r="H2818" s="108" t="s">
        <v>1125</v>
      </c>
      <c r="I2818" s="108" t="s">
        <v>95</v>
      </c>
    </row>
    <row r="2819" spans="1:9" ht="27.6">
      <c r="A2819" s="108" t="s">
        <v>15869</v>
      </c>
      <c r="B2819" s="108" t="s">
        <v>18622</v>
      </c>
      <c r="C2819" s="109">
        <v>45295</v>
      </c>
      <c r="D2819" s="108" t="s">
        <v>18623</v>
      </c>
      <c r="E2819" s="108" t="s">
        <v>14605</v>
      </c>
      <c r="F2819" s="108" t="s">
        <v>18378</v>
      </c>
      <c r="G2819" s="109">
        <v>46025</v>
      </c>
      <c r="H2819" s="108" t="s">
        <v>1125</v>
      </c>
      <c r="I2819" s="108" t="s">
        <v>95</v>
      </c>
    </row>
    <row r="2820" spans="1:9">
      <c r="A2820" s="108" t="s">
        <v>15869</v>
      </c>
      <c r="B2820" s="108" t="s">
        <v>18624</v>
      </c>
      <c r="C2820" s="109">
        <v>45297</v>
      </c>
      <c r="D2820" s="108" t="s">
        <v>18625</v>
      </c>
      <c r="E2820" s="108" t="s">
        <v>14605</v>
      </c>
      <c r="F2820" s="108" t="s">
        <v>18626</v>
      </c>
      <c r="G2820" s="109">
        <v>47121</v>
      </c>
      <c r="H2820" s="108" t="s">
        <v>1125</v>
      </c>
      <c r="I2820" s="108" t="s">
        <v>95</v>
      </c>
    </row>
    <row r="2821" spans="1:9" ht="27.6">
      <c r="A2821" s="108" t="s">
        <v>16521</v>
      </c>
      <c r="B2821" s="108" t="s">
        <v>18627</v>
      </c>
      <c r="C2821" s="109">
        <v>44938</v>
      </c>
      <c r="D2821" s="108" t="s">
        <v>18628</v>
      </c>
      <c r="E2821" s="108" t="s">
        <v>14605</v>
      </c>
      <c r="F2821" s="108" t="s">
        <v>15486</v>
      </c>
      <c r="G2821" s="109">
        <v>46033</v>
      </c>
      <c r="H2821" s="108" t="s">
        <v>1125</v>
      </c>
      <c r="I2821" s="108" t="s">
        <v>95</v>
      </c>
    </row>
    <row r="2822" spans="1:9" ht="27.6">
      <c r="A2822" s="108" t="s">
        <v>15869</v>
      </c>
      <c r="B2822" s="108" t="s">
        <v>18629</v>
      </c>
      <c r="C2822" s="109">
        <v>45130</v>
      </c>
      <c r="D2822" s="108" t="s">
        <v>18630</v>
      </c>
      <c r="E2822" s="108" t="s">
        <v>14605</v>
      </c>
      <c r="F2822" s="108" t="s">
        <v>18371</v>
      </c>
      <c r="G2822" s="109">
        <v>45858</v>
      </c>
      <c r="H2822" s="108" t="s">
        <v>1125</v>
      </c>
      <c r="I2822" s="108" t="s">
        <v>95</v>
      </c>
    </row>
    <row r="2823" spans="1:9" ht="27.6">
      <c r="A2823" s="108" t="s">
        <v>15869</v>
      </c>
      <c r="B2823" s="108" t="s">
        <v>18631</v>
      </c>
      <c r="C2823" s="109">
        <v>45151</v>
      </c>
      <c r="D2823" s="108" t="s">
        <v>18632</v>
      </c>
      <c r="E2823" s="108" t="s">
        <v>14605</v>
      </c>
      <c r="F2823" s="108" t="s">
        <v>18373</v>
      </c>
      <c r="G2823" s="109">
        <v>45879</v>
      </c>
      <c r="H2823" s="108" t="s">
        <v>1125</v>
      </c>
      <c r="I2823" s="108" t="s">
        <v>95</v>
      </c>
    </row>
    <row r="2824" spans="1:9">
      <c r="A2824" s="108" t="s">
        <v>15869</v>
      </c>
      <c r="B2824" s="108" t="s">
        <v>18633</v>
      </c>
      <c r="C2824" s="109">
        <v>45159</v>
      </c>
      <c r="D2824" s="108" t="s">
        <v>18634</v>
      </c>
      <c r="E2824" s="108" t="s">
        <v>14605</v>
      </c>
      <c r="F2824" s="108" t="s">
        <v>18635</v>
      </c>
      <c r="G2824" s="109">
        <v>45889</v>
      </c>
      <c r="H2824" s="108" t="s">
        <v>1125</v>
      </c>
      <c r="I2824" s="108" t="s">
        <v>95</v>
      </c>
    </row>
    <row r="2825" spans="1:9">
      <c r="A2825" s="108" t="s">
        <v>15869</v>
      </c>
      <c r="B2825" s="108" t="s">
        <v>18636</v>
      </c>
      <c r="C2825" s="109">
        <v>45178</v>
      </c>
      <c r="D2825" s="108" t="s">
        <v>18637</v>
      </c>
      <c r="E2825" s="108" t="s">
        <v>14605</v>
      </c>
      <c r="F2825" s="108" t="s">
        <v>17590</v>
      </c>
      <c r="G2825" s="109">
        <v>46271</v>
      </c>
      <c r="H2825" s="108" t="s">
        <v>1125</v>
      </c>
      <c r="I2825" s="108" t="s">
        <v>95</v>
      </c>
    </row>
    <row r="2826" spans="1:9" ht="27.6">
      <c r="A2826" s="108" t="s">
        <v>15869</v>
      </c>
      <c r="B2826" s="108" t="s">
        <v>18638</v>
      </c>
      <c r="C2826" s="109">
        <v>45261</v>
      </c>
      <c r="D2826" s="108" t="s">
        <v>18639</v>
      </c>
      <c r="E2826" s="108" t="s">
        <v>14605</v>
      </c>
      <c r="F2826" s="108" t="s">
        <v>15509</v>
      </c>
      <c r="G2826" s="109">
        <v>46355</v>
      </c>
      <c r="H2826" s="108" t="s">
        <v>1125</v>
      </c>
      <c r="I2826" s="108" t="s">
        <v>95</v>
      </c>
    </row>
    <row r="2827" spans="1:9" ht="27.6">
      <c r="A2827" s="108" t="s">
        <v>16521</v>
      </c>
      <c r="B2827" s="108" t="s">
        <v>18640</v>
      </c>
      <c r="C2827" s="109">
        <v>45288</v>
      </c>
      <c r="D2827" s="108" t="s">
        <v>18641</v>
      </c>
      <c r="E2827" s="108" t="s">
        <v>14605</v>
      </c>
      <c r="F2827" s="108" t="s">
        <v>16135</v>
      </c>
      <c r="G2827" s="109">
        <v>46383</v>
      </c>
      <c r="H2827" s="108" t="s">
        <v>1125</v>
      </c>
      <c r="I2827" s="108" t="s">
        <v>95</v>
      </c>
    </row>
    <row r="2828" spans="1:9" ht="27.6">
      <c r="A2828" s="108" t="s">
        <v>15869</v>
      </c>
      <c r="B2828" s="108" t="s">
        <v>18642</v>
      </c>
      <c r="C2828" s="109">
        <v>45314</v>
      </c>
      <c r="D2828" s="108" t="s">
        <v>18643</v>
      </c>
      <c r="E2828" s="108" t="s">
        <v>14605</v>
      </c>
      <c r="F2828" s="108" t="s">
        <v>18380</v>
      </c>
      <c r="G2828" s="109">
        <v>46408</v>
      </c>
      <c r="H2828" s="108" t="s">
        <v>1125</v>
      </c>
      <c r="I2828" s="108" t="s">
        <v>95</v>
      </c>
    </row>
    <row r="2829" spans="1:9" ht="27.6">
      <c r="A2829" s="108" t="s">
        <v>15869</v>
      </c>
      <c r="B2829" s="108" t="s">
        <v>18644</v>
      </c>
      <c r="C2829" s="109">
        <v>45372</v>
      </c>
      <c r="D2829" s="108" t="s">
        <v>18645</v>
      </c>
      <c r="E2829" s="108" t="s">
        <v>14605</v>
      </c>
      <c r="F2829" s="108" t="s">
        <v>18267</v>
      </c>
      <c r="G2829" s="109">
        <v>46832</v>
      </c>
      <c r="H2829" s="108" t="s">
        <v>1125</v>
      </c>
      <c r="I2829" s="108" t="s">
        <v>95</v>
      </c>
    </row>
    <row r="2830" spans="1:9" ht="27.6">
      <c r="A2830" s="108" t="s">
        <v>15869</v>
      </c>
      <c r="B2830" s="108" t="s">
        <v>18646</v>
      </c>
      <c r="C2830" s="109">
        <v>45383</v>
      </c>
      <c r="D2830" s="108" t="s">
        <v>18647</v>
      </c>
      <c r="E2830" s="108" t="s">
        <v>14605</v>
      </c>
      <c r="F2830" s="108" t="s">
        <v>18382</v>
      </c>
      <c r="G2830" s="109">
        <v>46477</v>
      </c>
      <c r="H2830" s="108" t="s">
        <v>1125</v>
      </c>
      <c r="I2830" s="108" t="s">
        <v>95</v>
      </c>
    </row>
    <row r="2831" spans="1:9" ht="27.6">
      <c r="A2831" s="108" t="s">
        <v>15869</v>
      </c>
      <c r="B2831" s="108" t="s">
        <v>18648</v>
      </c>
      <c r="C2831" s="109">
        <v>45397</v>
      </c>
      <c r="D2831" s="108" t="s">
        <v>18649</v>
      </c>
      <c r="E2831" s="108" t="s">
        <v>14605</v>
      </c>
      <c r="F2831" s="108" t="s">
        <v>15880</v>
      </c>
      <c r="G2831" s="109">
        <v>46126</v>
      </c>
      <c r="H2831" s="108" t="s">
        <v>1125</v>
      </c>
      <c r="I2831" s="108" t="s">
        <v>95</v>
      </c>
    </row>
    <row r="2832" spans="1:9" ht="27.6">
      <c r="A2832" s="108" t="s">
        <v>15869</v>
      </c>
      <c r="B2832" s="108" t="s">
        <v>18650</v>
      </c>
      <c r="C2832" s="109">
        <v>45476</v>
      </c>
      <c r="D2832" s="108" t="s">
        <v>18651</v>
      </c>
      <c r="E2832" s="108" t="s">
        <v>14605</v>
      </c>
      <c r="F2832" s="108" t="s">
        <v>18386</v>
      </c>
      <c r="G2832" s="109">
        <v>46205</v>
      </c>
      <c r="H2832" s="108" t="s">
        <v>1125</v>
      </c>
      <c r="I2832" s="108" t="s">
        <v>95</v>
      </c>
    </row>
    <row r="2833" spans="1:9" ht="27.6">
      <c r="A2833" s="108" t="s">
        <v>16986</v>
      </c>
      <c r="B2833" s="108" t="s">
        <v>18652</v>
      </c>
      <c r="C2833" s="109">
        <v>43783</v>
      </c>
      <c r="D2833" s="108" t="s">
        <v>18653</v>
      </c>
      <c r="E2833" s="108" t="s">
        <v>14605</v>
      </c>
      <c r="F2833" s="108" t="s">
        <v>16099</v>
      </c>
      <c r="G2833" s="109">
        <v>46236</v>
      </c>
      <c r="H2833" s="108" t="s">
        <v>1125</v>
      </c>
      <c r="I2833" s="108" t="s">
        <v>95</v>
      </c>
    </row>
    <row r="2834" spans="1:9" ht="27.6">
      <c r="A2834" s="108" t="s">
        <v>16151</v>
      </c>
      <c r="B2834" s="108" t="s">
        <v>18654</v>
      </c>
      <c r="C2834" s="109">
        <v>44375</v>
      </c>
      <c r="D2834" s="108" t="s">
        <v>18655</v>
      </c>
      <c r="E2834" s="108" t="s">
        <v>14605</v>
      </c>
      <c r="F2834" s="108" t="s">
        <v>16099</v>
      </c>
      <c r="G2834" s="109">
        <v>45548</v>
      </c>
      <c r="H2834" s="108" t="s">
        <v>1125</v>
      </c>
      <c r="I2834" s="108" t="s">
        <v>95</v>
      </c>
    </row>
    <row r="2835" spans="1:9" ht="27.6">
      <c r="A2835" s="108" t="s">
        <v>109</v>
      </c>
      <c r="B2835" s="108" t="s">
        <v>18656</v>
      </c>
      <c r="C2835" s="109">
        <v>44736</v>
      </c>
      <c r="D2835" s="108" t="s">
        <v>18657</v>
      </c>
      <c r="E2835" s="108" t="s">
        <v>14605</v>
      </c>
      <c r="F2835" s="108" t="s">
        <v>17722</v>
      </c>
      <c r="G2835" s="109">
        <v>45466</v>
      </c>
      <c r="H2835" s="108" t="s">
        <v>1125</v>
      </c>
      <c r="I2835" s="108" t="s">
        <v>95</v>
      </c>
    </row>
    <row r="2836" spans="1:9" ht="27.6">
      <c r="A2836" s="108" t="s">
        <v>109</v>
      </c>
      <c r="B2836" s="108" t="s">
        <v>18658</v>
      </c>
      <c r="C2836" s="109">
        <v>44728</v>
      </c>
      <c r="D2836" s="108" t="s">
        <v>18659</v>
      </c>
      <c r="E2836" s="108" t="s">
        <v>14605</v>
      </c>
      <c r="F2836" s="108" t="s">
        <v>18660</v>
      </c>
      <c r="G2836" s="109">
        <v>45823</v>
      </c>
      <c r="H2836" s="108" t="s">
        <v>1125</v>
      </c>
      <c r="I2836" s="108" t="s">
        <v>95</v>
      </c>
    </row>
    <row r="2837" spans="1:9" ht="27.6">
      <c r="A2837" s="108" t="s">
        <v>109</v>
      </c>
      <c r="B2837" s="108" t="s">
        <v>18661</v>
      </c>
      <c r="C2837" s="109">
        <v>44902</v>
      </c>
      <c r="D2837" s="108" t="s">
        <v>18662</v>
      </c>
      <c r="E2837" s="108" t="s">
        <v>14605</v>
      </c>
      <c r="F2837" s="108" t="s">
        <v>18663</v>
      </c>
      <c r="G2837" s="109">
        <v>45631</v>
      </c>
      <c r="H2837" s="108" t="s">
        <v>1125</v>
      </c>
      <c r="I2837" s="108" t="s">
        <v>95</v>
      </c>
    </row>
    <row r="2838" spans="1:9" ht="27.6">
      <c r="A2838" s="108" t="s">
        <v>109</v>
      </c>
      <c r="B2838" s="108" t="s">
        <v>18664</v>
      </c>
      <c r="C2838" s="109">
        <v>44941</v>
      </c>
      <c r="D2838" s="108" t="s">
        <v>18665</v>
      </c>
      <c r="E2838" s="108" t="s">
        <v>14605</v>
      </c>
      <c r="F2838" s="108" t="s">
        <v>18666</v>
      </c>
      <c r="G2838" s="109">
        <v>45669</v>
      </c>
      <c r="H2838" s="108" t="s">
        <v>1125</v>
      </c>
      <c r="I2838" s="108" t="s">
        <v>95</v>
      </c>
    </row>
    <row r="2839" spans="1:9" ht="27.6">
      <c r="A2839" s="108" t="s">
        <v>109</v>
      </c>
      <c r="B2839" s="108" t="s">
        <v>18667</v>
      </c>
      <c r="C2839" s="109">
        <v>44978</v>
      </c>
      <c r="D2839" s="108" t="s">
        <v>18668</v>
      </c>
      <c r="E2839" s="108" t="s">
        <v>14605</v>
      </c>
      <c r="F2839" s="108" t="s">
        <v>18669</v>
      </c>
      <c r="G2839" s="109">
        <v>45708</v>
      </c>
      <c r="H2839" s="108" t="s">
        <v>1125</v>
      </c>
      <c r="I2839" s="108" t="s">
        <v>95</v>
      </c>
    </row>
    <row r="2840" spans="1:9" ht="27.6">
      <c r="A2840" s="108" t="s">
        <v>109</v>
      </c>
      <c r="B2840" s="108" t="s">
        <v>18670</v>
      </c>
      <c r="C2840" s="109">
        <v>45131</v>
      </c>
      <c r="D2840" s="108" t="s">
        <v>18671</v>
      </c>
      <c r="E2840" s="108" t="s">
        <v>14605</v>
      </c>
      <c r="F2840" s="108" t="s">
        <v>18672</v>
      </c>
      <c r="G2840" s="109">
        <v>46226</v>
      </c>
      <c r="H2840" s="108" t="s">
        <v>1125</v>
      </c>
      <c r="I2840" s="108" t="s">
        <v>95</v>
      </c>
    </row>
    <row r="2841" spans="1:9" ht="27.6">
      <c r="A2841" s="108" t="s">
        <v>109</v>
      </c>
      <c r="B2841" s="108" t="s">
        <v>18673</v>
      </c>
      <c r="C2841" s="109">
        <v>45434</v>
      </c>
      <c r="D2841" s="108" t="s">
        <v>18674</v>
      </c>
      <c r="E2841" s="108" t="s">
        <v>14605</v>
      </c>
      <c r="F2841" s="108" t="s">
        <v>18675</v>
      </c>
      <c r="G2841" s="109">
        <v>46528</v>
      </c>
      <c r="H2841" s="108" t="s">
        <v>1125</v>
      </c>
      <c r="I2841" s="108" t="s">
        <v>95</v>
      </c>
    </row>
    <row r="2842" spans="1:9" ht="27.6">
      <c r="A2842" s="108" t="s">
        <v>109</v>
      </c>
      <c r="B2842" s="108" t="s">
        <v>18676</v>
      </c>
      <c r="C2842" s="109">
        <v>45465</v>
      </c>
      <c r="D2842" s="108" t="s">
        <v>18677</v>
      </c>
      <c r="E2842" s="108" t="s">
        <v>14605</v>
      </c>
      <c r="F2842" s="108" t="s">
        <v>14972</v>
      </c>
      <c r="G2842" s="109">
        <v>46558</v>
      </c>
      <c r="H2842" s="108" t="s">
        <v>1125</v>
      </c>
      <c r="I2842" s="108" t="s">
        <v>95</v>
      </c>
    </row>
    <row r="2843" spans="1:9" ht="27.6">
      <c r="A2843" s="108" t="s">
        <v>109</v>
      </c>
      <c r="B2843" s="108" t="s">
        <v>18678</v>
      </c>
      <c r="C2843" s="109">
        <v>45468</v>
      </c>
      <c r="D2843" s="108" t="s">
        <v>18679</v>
      </c>
      <c r="E2843" s="108" t="s">
        <v>14605</v>
      </c>
      <c r="F2843" s="108" t="s">
        <v>14972</v>
      </c>
      <c r="G2843" s="109">
        <v>46561</v>
      </c>
      <c r="H2843" s="108" t="s">
        <v>1125</v>
      </c>
      <c r="I2843" s="108" t="s">
        <v>95</v>
      </c>
    </row>
    <row r="2844" spans="1:9" ht="27.6">
      <c r="A2844" s="108" t="s">
        <v>388</v>
      </c>
      <c r="B2844" s="108" t="s">
        <v>18680</v>
      </c>
      <c r="C2844" s="109">
        <v>43284</v>
      </c>
      <c r="D2844" s="108" t="s">
        <v>18681</v>
      </c>
      <c r="E2844" s="108" t="s">
        <v>14605</v>
      </c>
      <c r="F2844" s="108" t="s">
        <v>18682</v>
      </c>
      <c r="G2844" s="109">
        <v>46237</v>
      </c>
      <c r="H2844" s="108" t="s">
        <v>1125</v>
      </c>
      <c r="I2844" s="108" t="s">
        <v>95</v>
      </c>
    </row>
    <row r="2845" spans="1:9" ht="27.6">
      <c r="A2845" s="108" t="s">
        <v>16151</v>
      </c>
      <c r="B2845" s="108" t="s">
        <v>18683</v>
      </c>
      <c r="C2845" s="109">
        <v>43674</v>
      </c>
      <c r="D2845" s="108" t="s">
        <v>18684</v>
      </c>
      <c r="E2845" s="108" t="s">
        <v>14605</v>
      </c>
      <c r="F2845" s="108" t="s">
        <v>17722</v>
      </c>
      <c r="G2845" s="109">
        <v>46445</v>
      </c>
      <c r="H2845" s="108" t="s">
        <v>1125</v>
      </c>
      <c r="I2845" s="108" t="s">
        <v>95</v>
      </c>
    </row>
    <row r="2846" spans="1:9" ht="27.6">
      <c r="A2846" s="108" t="s">
        <v>96</v>
      </c>
      <c r="B2846" s="108" t="s">
        <v>18685</v>
      </c>
      <c r="C2846" s="109">
        <v>43788</v>
      </c>
      <c r="D2846" s="108" t="s">
        <v>18686</v>
      </c>
      <c r="E2846" s="108" t="s">
        <v>14605</v>
      </c>
      <c r="F2846" s="108" t="s">
        <v>18687</v>
      </c>
      <c r="G2846" s="109">
        <v>45900</v>
      </c>
      <c r="H2846" s="108" t="s">
        <v>1125</v>
      </c>
      <c r="I2846" s="108" t="s">
        <v>95</v>
      </c>
    </row>
    <row r="2847" spans="1:9" ht="27.6">
      <c r="A2847" s="108" t="s">
        <v>96</v>
      </c>
      <c r="B2847" s="108" t="s">
        <v>18688</v>
      </c>
      <c r="C2847" s="109">
        <v>44001</v>
      </c>
      <c r="D2847" s="108" t="s">
        <v>18689</v>
      </c>
      <c r="E2847" s="108" t="s">
        <v>14605</v>
      </c>
      <c r="F2847" s="108" t="s">
        <v>18690</v>
      </c>
      <c r="G2847" s="109">
        <v>44730</v>
      </c>
      <c r="H2847" s="108" t="s">
        <v>1125</v>
      </c>
      <c r="I2847" s="108" t="s">
        <v>95</v>
      </c>
    </row>
    <row r="2848" spans="1:9" ht="41.4">
      <c r="A2848" s="108" t="s">
        <v>96</v>
      </c>
      <c r="B2848" s="108" t="s">
        <v>18691</v>
      </c>
      <c r="C2848" s="109">
        <v>44148</v>
      </c>
      <c r="D2848" s="108" t="s">
        <v>18692</v>
      </c>
      <c r="E2848" s="108" t="s">
        <v>14605</v>
      </c>
      <c r="F2848" s="108" t="s">
        <v>18693</v>
      </c>
      <c r="G2848" s="109">
        <v>45973</v>
      </c>
      <c r="H2848" s="108" t="s">
        <v>1125</v>
      </c>
      <c r="I2848" s="108" t="s">
        <v>95</v>
      </c>
    </row>
    <row r="2849" spans="1:9" ht="27.6">
      <c r="A2849" s="108" t="s">
        <v>96</v>
      </c>
      <c r="B2849" s="108" t="s">
        <v>18694</v>
      </c>
      <c r="C2849" s="109">
        <v>44300</v>
      </c>
      <c r="D2849" s="108" t="s">
        <v>18695</v>
      </c>
      <c r="E2849" s="108" t="s">
        <v>14605</v>
      </c>
      <c r="F2849" s="108" t="s">
        <v>18220</v>
      </c>
      <c r="G2849" s="109">
        <v>46172</v>
      </c>
      <c r="H2849" s="108" t="s">
        <v>1125</v>
      </c>
      <c r="I2849" s="108" t="s">
        <v>95</v>
      </c>
    </row>
    <row r="2850" spans="1:9" ht="41.4">
      <c r="A2850" s="108" t="s">
        <v>96</v>
      </c>
      <c r="B2850" s="108" t="s">
        <v>18696</v>
      </c>
      <c r="C2850" s="109">
        <v>44344</v>
      </c>
      <c r="D2850" s="108" t="s">
        <v>18697</v>
      </c>
      <c r="E2850" s="108" t="s">
        <v>14605</v>
      </c>
      <c r="F2850" s="108" t="s">
        <v>18693</v>
      </c>
      <c r="G2850" s="109">
        <v>46169</v>
      </c>
      <c r="H2850" s="108" t="s">
        <v>1125</v>
      </c>
      <c r="I2850" s="108" t="s">
        <v>95</v>
      </c>
    </row>
    <row r="2851" spans="1:9" ht="27.6">
      <c r="A2851" s="108" t="s">
        <v>96</v>
      </c>
      <c r="B2851" s="108" t="s">
        <v>18698</v>
      </c>
      <c r="C2851" s="109">
        <v>44875</v>
      </c>
      <c r="D2851" s="108" t="s">
        <v>18699</v>
      </c>
      <c r="E2851" s="108" t="s">
        <v>14605</v>
      </c>
      <c r="F2851" s="108" t="s">
        <v>18700</v>
      </c>
      <c r="G2851" s="109">
        <v>45969</v>
      </c>
      <c r="H2851" s="108" t="s">
        <v>1125</v>
      </c>
      <c r="I2851" s="108" t="s">
        <v>95</v>
      </c>
    </row>
    <row r="2852" spans="1:9" ht="27.6">
      <c r="A2852" s="108" t="s">
        <v>96</v>
      </c>
      <c r="B2852" s="108" t="s">
        <v>18701</v>
      </c>
      <c r="C2852" s="109">
        <v>44858</v>
      </c>
      <c r="D2852" s="108" t="s">
        <v>18702</v>
      </c>
      <c r="E2852" s="108" t="s">
        <v>14605</v>
      </c>
      <c r="F2852" s="108" t="s">
        <v>18703</v>
      </c>
      <c r="G2852" s="109">
        <v>46683</v>
      </c>
      <c r="H2852" s="108" t="s">
        <v>1125</v>
      </c>
      <c r="I2852" s="108" t="s">
        <v>95</v>
      </c>
    </row>
    <row r="2853" spans="1:9">
      <c r="A2853" s="108" t="s">
        <v>16151</v>
      </c>
      <c r="B2853" s="108" t="s">
        <v>18704</v>
      </c>
      <c r="C2853" s="109">
        <v>45274</v>
      </c>
      <c r="D2853" s="108" t="s">
        <v>18705</v>
      </c>
      <c r="E2853" s="108" t="s">
        <v>14605</v>
      </c>
      <c r="F2853" s="108" t="s">
        <v>18261</v>
      </c>
      <c r="G2853" s="109">
        <v>47221</v>
      </c>
      <c r="H2853" s="108" t="s">
        <v>1125</v>
      </c>
      <c r="I2853" s="108" t="s">
        <v>95</v>
      </c>
    </row>
    <row r="2854" spans="1:9" ht="27.6">
      <c r="A2854" s="108" t="s">
        <v>96</v>
      </c>
      <c r="B2854" s="108" t="s">
        <v>18706</v>
      </c>
      <c r="C2854" s="109">
        <v>45056</v>
      </c>
      <c r="D2854" s="108" t="s">
        <v>18707</v>
      </c>
      <c r="E2854" s="108" t="s">
        <v>14605</v>
      </c>
      <c r="F2854" s="108" t="s">
        <v>16723</v>
      </c>
      <c r="G2854" s="109">
        <v>46151</v>
      </c>
      <c r="H2854" s="108" t="s">
        <v>1125</v>
      </c>
      <c r="I2854" s="108" t="s">
        <v>95</v>
      </c>
    </row>
    <row r="2855" spans="1:9" ht="27.6">
      <c r="A2855" s="108" t="s">
        <v>96</v>
      </c>
      <c r="B2855" s="108" t="s">
        <v>18708</v>
      </c>
      <c r="C2855" s="109">
        <v>45020</v>
      </c>
      <c r="D2855" s="108" t="s">
        <v>18709</v>
      </c>
      <c r="E2855" s="108" t="s">
        <v>14605</v>
      </c>
      <c r="F2855" s="108" t="s">
        <v>18710</v>
      </c>
      <c r="G2855" s="109">
        <v>46115</v>
      </c>
      <c r="H2855" s="108" t="s">
        <v>18235</v>
      </c>
      <c r="I2855" s="108" t="s">
        <v>95</v>
      </c>
    </row>
    <row r="2856" spans="1:9" ht="27.6">
      <c r="A2856" s="108" t="s">
        <v>96</v>
      </c>
      <c r="B2856" s="108" t="s">
        <v>18711</v>
      </c>
      <c r="C2856" s="109">
        <v>45168</v>
      </c>
      <c r="D2856" s="108" t="s">
        <v>18712</v>
      </c>
      <c r="E2856" s="108" t="s">
        <v>14605</v>
      </c>
      <c r="F2856" s="108" t="s">
        <v>18713</v>
      </c>
      <c r="G2856" s="109">
        <v>46262</v>
      </c>
      <c r="H2856" s="108" t="s">
        <v>1125</v>
      </c>
      <c r="I2856" s="108" t="s">
        <v>95</v>
      </c>
    </row>
    <row r="2857" spans="1:9" ht="27.6">
      <c r="A2857" s="108" t="s">
        <v>96</v>
      </c>
      <c r="B2857" s="108" t="s">
        <v>18714</v>
      </c>
      <c r="C2857" s="109">
        <v>45111</v>
      </c>
      <c r="D2857" s="108" t="s">
        <v>18715</v>
      </c>
      <c r="E2857" s="108" t="s">
        <v>14605</v>
      </c>
      <c r="F2857" s="108" t="s">
        <v>18716</v>
      </c>
      <c r="G2857" s="109">
        <v>46025</v>
      </c>
      <c r="H2857" s="108" t="s">
        <v>1125</v>
      </c>
      <c r="I2857" s="108" t="s">
        <v>95</v>
      </c>
    </row>
    <row r="2858" spans="1:9">
      <c r="A2858" s="108" t="s">
        <v>15990</v>
      </c>
      <c r="B2858" s="108" t="s">
        <v>18717</v>
      </c>
      <c r="C2858" s="109">
        <v>45443</v>
      </c>
      <c r="D2858" s="108" t="s">
        <v>18718</v>
      </c>
      <c r="E2858" s="108" t="s">
        <v>14605</v>
      </c>
      <c r="F2858" s="108" t="s">
        <v>15808</v>
      </c>
      <c r="G2858" s="109">
        <v>46537</v>
      </c>
      <c r="H2858" s="108" t="s">
        <v>1125</v>
      </c>
      <c r="I2858" s="108" t="s">
        <v>95</v>
      </c>
    </row>
    <row r="2859" spans="1:9" ht="27.6">
      <c r="A2859" s="108" t="s">
        <v>15990</v>
      </c>
      <c r="B2859" s="108" t="s">
        <v>18719</v>
      </c>
      <c r="C2859" s="109">
        <v>44773</v>
      </c>
      <c r="D2859" s="108" t="s">
        <v>18720</v>
      </c>
      <c r="E2859" s="108" t="s">
        <v>14605</v>
      </c>
      <c r="F2859" s="108" t="s">
        <v>18721</v>
      </c>
      <c r="G2859" s="109">
        <v>46618</v>
      </c>
      <c r="H2859" s="108" t="s">
        <v>1125</v>
      </c>
      <c r="I2859" s="108" t="s">
        <v>95</v>
      </c>
    </row>
    <row r="2860" spans="1:9" ht="27.6">
      <c r="A2860" s="108" t="s">
        <v>15990</v>
      </c>
      <c r="B2860" s="108" t="s">
        <v>18722</v>
      </c>
      <c r="C2860" s="109">
        <v>44785</v>
      </c>
      <c r="D2860" s="108" t="s">
        <v>18723</v>
      </c>
      <c r="E2860" s="108" t="s">
        <v>14605</v>
      </c>
      <c r="F2860" s="108" t="s">
        <v>15490</v>
      </c>
      <c r="G2860" s="109">
        <v>46842</v>
      </c>
      <c r="H2860" s="108" t="s">
        <v>1125</v>
      </c>
      <c r="I2860" s="108" t="s">
        <v>95</v>
      </c>
    </row>
    <row r="2861" spans="1:9">
      <c r="A2861" s="108" t="s">
        <v>15990</v>
      </c>
      <c r="B2861" s="108" t="s">
        <v>18724</v>
      </c>
      <c r="C2861" s="109">
        <v>45016</v>
      </c>
      <c r="D2861" s="108" t="s">
        <v>18725</v>
      </c>
      <c r="E2861" s="108" t="s">
        <v>14605</v>
      </c>
      <c r="F2861" s="108" t="s">
        <v>16723</v>
      </c>
      <c r="G2861" s="109">
        <v>46842</v>
      </c>
      <c r="H2861" s="108" t="s">
        <v>1125</v>
      </c>
      <c r="I2861" s="108" t="s">
        <v>95</v>
      </c>
    </row>
    <row r="2862" spans="1:9" ht="27.6">
      <c r="A2862" s="108" t="s">
        <v>244</v>
      </c>
      <c r="B2862" s="108" t="s">
        <v>18726</v>
      </c>
      <c r="C2862" s="109">
        <v>45081</v>
      </c>
      <c r="D2862" s="108" t="s">
        <v>18727</v>
      </c>
      <c r="E2862" s="108" t="s">
        <v>14605</v>
      </c>
      <c r="F2862" s="108" t="s">
        <v>18728</v>
      </c>
      <c r="G2862" s="109">
        <v>46174</v>
      </c>
      <c r="H2862" s="108" t="s">
        <v>1125</v>
      </c>
      <c r="I2862" s="108" t="s">
        <v>95</v>
      </c>
    </row>
    <row r="2863" spans="1:9" ht="27.6">
      <c r="A2863" s="108" t="s">
        <v>15990</v>
      </c>
      <c r="B2863" s="108" t="s">
        <v>18729</v>
      </c>
      <c r="C2863" s="109">
        <v>45443</v>
      </c>
      <c r="D2863" s="108" t="s">
        <v>18730</v>
      </c>
      <c r="E2863" s="108" t="s">
        <v>14605</v>
      </c>
      <c r="F2863" s="108" t="s">
        <v>18731</v>
      </c>
      <c r="G2863" s="109">
        <v>47267</v>
      </c>
      <c r="H2863" s="108" t="s">
        <v>1125</v>
      </c>
      <c r="I2863" s="108" t="s">
        <v>95</v>
      </c>
    </row>
    <row r="2864" spans="1:9">
      <c r="A2864" s="108" t="s">
        <v>244</v>
      </c>
      <c r="B2864" s="108" t="s">
        <v>18732</v>
      </c>
      <c r="C2864" s="109">
        <v>45142</v>
      </c>
      <c r="D2864" s="108" t="s">
        <v>18733</v>
      </c>
      <c r="E2864" s="108" t="s">
        <v>14605</v>
      </c>
      <c r="F2864" s="108" t="s">
        <v>16723</v>
      </c>
      <c r="G2864" s="109">
        <v>46236</v>
      </c>
      <c r="H2864" s="108" t="s">
        <v>18235</v>
      </c>
      <c r="I2864" s="108" t="s">
        <v>95</v>
      </c>
    </row>
    <row r="2865" spans="1:9">
      <c r="A2865" s="108" t="s">
        <v>15990</v>
      </c>
      <c r="B2865" s="108" t="s">
        <v>18734</v>
      </c>
      <c r="C2865" s="109">
        <v>45133</v>
      </c>
      <c r="D2865" s="108" t="s">
        <v>18735</v>
      </c>
      <c r="E2865" s="108" t="s">
        <v>14605</v>
      </c>
      <c r="F2865" s="108" t="s">
        <v>16723</v>
      </c>
      <c r="G2865" s="109">
        <v>46227</v>
      </c>
      <c r="H2865" s="108" t="s">
        <v>1125</v>
      </c>
      <c r="I2865" s="108" t="s">
        <v>95</v>
      </c>
    </row>
    <row r="2866" spans="1:9" ht="27.6">
      <c r="A2866" s="108" t="s">
        <v>503</v>
      </c>
      <c r="B2866" s="108" t="s">
        <v>18736</v>
      </c>
      <c r="C2866" s="109">
        <v>45396</v>
      </c>
      <c r="D2866" s="108" t="s">
        <v>18737</v>
      </c>
      <c r="E2866" s="108" t="s">
        <v>14605</v>
      </c>
      <c r="F2866" s="108" t="s">
        <v>18738</v>
      </c>
      <c r="G2866" s="109">
        <v>47219</v>
      </c>
      <c r="H2866" s="108" t="s">
        <v>1125</v>
      </c>
      <c r="I2866" s="108" t="s">
        <v>95</v>
      </c>
    </row>
    <row r="2867" spans="1:9" ht="27.6">
      <c r="A2867" s="108" t="s">
        <v>244</v>
      </c>
      <c r="B2867" s="108" t="s">
        <v>18739</v>
      </c>
      <c r="C2867" s="109">
        <v>45193</v>
      </c>
      <c r="D2867" s="108" t="s">
        <v>18740</v>
      </c>
      <c r="E2867" s="108" t="s">
        <v>14605</v>
      </c>
      <c r="F2867" s="108" t="s">
        <v>18741</v>
      </c>
      <c r="G2867" s="109">
        <v>45922</v>
      </c>
      <c r="H2867" s="108" t="s">
        <v>1125</v>
      </c>
      <c r="I2867" s="108" t="s">
        <v>95</v>
      </c>
    </row>
    <row r="2868" spans="1:9" ht="27.6">
      <c r="A2868" s="108" t="s">
        <v>244</v>
      </c>
      <c r="B2868" s="108" t="s">
        <v>18742</v>
      </c>
      <c r="C2868" s="109">
        <v>45398</v>
      </c>
      <c r="D2868" s="108" t="s">
        <v>18743</v>
      </c>
      <c r="E2868" s="108" t="s">
        <v>14605</v>
      </c>
      <c r="F2868" s="108" t="s">
        <v>18265</v>
      </c>
      <c r="G2868" s="109">
        <v>46492</v>
      </c>
      <c r="H2868" s="108" t="s">
        <v>1125</v>
      </c>
      <c r="I2868" s="108" t="s">
        <v>95</v>
      </c>
    </row>
    <row r="2869" spans="1:9" ht="27.6">
      <c r="A2869" s="108" t="s">
        <v>15990</v>
      </c>
      <c r="B2869" s="108" t="s">
        <v>18744</v>
      </c>
      <c r="C2869" s="109">
        <v>45247</v>
      </c>
      <c r="D2869" s="108" t="s">
        <v>18745</v>
      </c>
      <c r="E2869" s="108" t="s">
        <v>14605</v>
      </c>
      <c r="F2869" s="108" t="s">
        <v>15488</v>
      </c>
      <c r="G2869" s="109">
        <v>46342</v>
      </c>
      <c r="H2869" s="108" t="s">
        <v>18235</v>
      </c>
      <c r="I2869" s="108" t="s">
        <v>95</v>
      </c>
    </row>
    <row r="2870" spans="1:9">
      <c r="A2870" s="108" t="s">
        <v>16151</v>
      </c>
      <c r="B2870" s="108" t="s">
        <v>18746</v>
      </c>
      <c r="C2870" s="109">
        <v>44064</v>
      </c>
      <c r="D2870" s="108" t="s">
        <v>18747</v>
      </c>
      <c r="E2870" s="108" t="s">
        <v>14605</v>
      </c>
      <c r="F2870" s="108" t="s">
        <v>18256</v>
      </c>
      <c r="G2870" s="109">
        <v>46252</v>
      </c>
      <c r="H2870" s="108" t="s">
        <v>1125</v>
      </c>
      <c r="I2870" s="108" t="s">
        <v>95</v>
      </c>
    </row>
    <row r="2871" spans="1:9">
      <c r="A2871" s="108" t="s">
        <v>16151</v>
      </c>
      <c r="B2871" s="108" t="s">
        <v>18748</v>
      </c>
      <c r="C2871" s="109">
        <v>43945</v>
      </c>
      <c r="D2871" s="108" t="s">
        <v>18749</v>
      </c>
      <c r="E2871" s="108" t="s">
        <v>14605</v>
      </c>
      <c r="F2871" s="108" t="s">
        <v>18256</v>
      </c>
      <c r="G2871" s="109">
        <v>46218</v>
      </c>
      <c r="H2871" s="108" t="s">
        <v>1125</v>
      </c>
      <c r="I2871" s="108" t="s">
        <v>95</v>
      </c>
    </row>
    <row r="2872" spans="1:9" ht="27.6">
      <c r="A2872" s="108" t="s">
        <v>16151</v>
      </c>
      <c r="B2872" s="108" t="s">
        <v>18750</v>
      </c>
      <c r="C2872" s="109">
        <v>44012</v>
      </c>
      <c r="D2872" s="108" t="s">
        <v>18751</v>
      </c>
      <c r="E2872" s="108" t="s">
        <v>14605</v>
      </c>
      <c r="F2872" s="108" t="s">
        <v>18721</v>
      </c>
      <c r="G2872" s="109">
        <v>45472</v>
      </c>
      <c r="H2872" s="108" t="s">
        <v>1125</v>
      </c>
      <c r="I2872" s="108" t="s">
        <v>95</v>
      </c>
    </row>
    <row r="2873" spans="1:9">
      <c r="A2873" s="108" t="s">
        <v>16151</v>
      </c>
      <c r="B2873" s="108" t="s">
        <v>18752</v>
      </c>
      <c r="C2873" s="109">
        <v>44160</v>
      </c>
      <c r="D2873" s="108" t="s">
        <v>18753</v>
      </c>
      <c r="E2873" s="108" t="s">
        <v>14605</v>
      </c>
      <c r="F2873" s="108" t="s">
        <v>15365</v>
      </c>
      <c r="G2873" s="109">
        <v>44957</v>
      </c>
      <c r="H2873" s="108" t="s">
        <v>1125</v>
      </c>
      <c r="I2873" s="108" t="s">
        <v>95</v>
      </c>
    </row>
    <row r="2874" spans="1:9" ht="41.4">
      <c r="A2874" s="108" t="s">
        <v>16151</v>
      </c>
      <c r="B2874" s="108" t="s">
        <v>18754</v>
      </c>
      <c r="C2874" s="109">
        <v>44260</v>
      </c>
      <c r="D2874" s="108" t="s">
        <v>18755</v>
      </c>
      <c r="E2874" s="108" t="s">
        <v>14605</v>
      </c>
      <c r="F2874" s="108" t="s">
        <v>16146</v>
      </c>
      <c r="G2874" s="109">
        <v>45300</v>
      </c>
      <c r="H2874" s="108" t="s">
        <v>1125</v>
      </c>
      <c r="I2874" s="108" t="s">
        <v>95</v>
      </c>
    </row>
    <row r="2875" spans="1:9" ht="27.6">
      <c r="A2875" s="108" t="s">
        <v>16151</v>
      </c>
      <c r="B2875" s="108" t="s">
        <v>18756</v>
      </c>
      <c r="C2875" s="109">
        <v>44766</v>
      </c>
      <c r="D2875" s="108" t="s">
        <v>18757</v>
      </c>
      <c r="E2875" s="108" t="s">
        <v>14605</v>
      </c>
      <c r="F2875" s="108" t="s">
        <v>18758</v>
      </c>
      <c r="G2875" s="109">
        <v>45859</v>
      </c>
      <c r="H2875" s="108" t="s">
        <v>1125</v>
      </c>
      <c r="I2875" s="108" t="s">
        <v>95</v>
      </c>
    </row>
    <row r="2876" spans="1:9">
      <c r="A2876" s="108" t="s">
        <v>16151</v>
      </c>
      <c r="B2876" s="108" t="s">
        <v>18759</v>
      </c>
      <c r="C2876" s="109">
        <v>44689</v>
      </c>
      <c r="D2876" s="108" t="s">
        <v>18760</v>
      </c>
      <c r="E2876" s="108" t="s">
        <v>14605</v>
      </c>
      <c r="F2876" s="108" t="s">
        <v>15775</v>
      </c>
      <c r="G2876" s="109">
        <v>46147</v>
      </c>
      <c r="H2876" s="108" t="s">
        <v>1125</v>
      </c>
      <c r="I2876" s="108" t="s">
        <v>95</v>
      </c>
    </row>
    <row r="2877" spans="1:9" ht="27.6">
      <c r="A2877" s="108" t="s">
        <v>16151</v>
      </c>
      <c r="B2877" s="108" t="s">
        <v>18761</v>
      </c>
      <c r="C2877" s="109">
        <v>44725</v>
      </c>
      <c r="D2877" s="108" t="s">
        <v>18762</v>
      </c>
      <c r="E2877" s="108" t="s">
        <v>14605</v>
      </c>
      <c r="F2877" s="108" t="s">
        <v>18763</v>
      </c>
      <c r="G2877" s="109">
        <v>45820</v>
      </c>
      <c r="H2877" s="108" t="s">
        <v>1125</v>
      </c>
      <c r="I2877" s="108" t="s">
        <v>95</v>
      </c>
    </row>
    <row r="2878" spans="1:9">
      <c r="A2878" s="108" t="s">
        <v>16151</v>
      </c>
      <c r="B2878" s="108" t="s">
        <v>18764</v>
      </c>
      <c r="C2878" s="109">
        <v>45072</v>
      </c>
      <c r="D2878" s="108" t="s">
        <v>18765</v>
      </c>
      <c r="E2878" s="108" t="s">
        <v>14605</v>
      </c>
      <c r="F2878" s="108" t="s">
        <v>16723</v>
      </c>
      <c r="G2878" s="109">
        <v>46898</v>
      </c>
      <c r="H2878" s="108" t="s">
        <v>1125</v>
      </c>
      <c r="I2878" s="108" t="s">
        <v>95</v>
      </c>
    </row>
    <row r="2879" spans="1:9">
      <c r="A2879" s="108" t="s">
        <v>16151</v>
      </c>
      <c r="B2879" s="108" t="s">
        <v>18766</v>
      </c>
      <c r="C2879" s="109">
        <v>44897</v>
      </c>
      <c r="D2879" s="108" t="s">
        <v>18767</v>
      </c>
      <c r="E2879" s="108" t="s">
        <v>14605</v>
      </c>
      <c r="F2879" s="108" t="s">
        <v>16723</v>
      </c>
      <c r="G2879" s="109">
        <v>46722</v>
      </c>
      <c r="H2879" s="108" t="s">
        <v>1125</v>
      </c>
      <c r="I2879" s="108" t="s">
        <v>95</v>
      </c>
    </row>
    <row r="2880" spans="1:9">
      <c r="A2880" s="108" t="s">
        <v>16151</v>
      </c>
      <c r="B2880" s="108" t="s">
        <v>18768</v>
      </c>
      <c r="C2880" s="109">
        <v>45053</v>
      </c>
      <c r="D2880" s="108" t="s">
        <v>18769</v>
      </c>
      <c r="E2880" s="108" t="s">
        <v>14605</v>
      </c>
      <c r="F2880" s="108" t="s">
        <v>18231</v>
      </c>
      <c r="G2880" s="109">
        <v>46147</v>
      </c>
      <c r="H2880" s="108" t="s">
        <v>1125</v>
      </c>
      <c r="I2880" s="108" t="s">
        <v>95</v>
      </c>
    </row>
    <row r="2881" spans="1:9" ht="27.6">
      <c r="A2881" s="108" t="s">
        <v>16151</v>
      </c>
      <c r="B2881" s="108" t="s">
        <v>18770</v>
      </c>
      <c r="C2881" s="109">
        <v>44961</v>
      </c>
      <c r="D2881" s="108" t="s">
        <v>18771</v>
      </c>
      <c r="E2881" s="108" t="s">
        <v>14605</v>
      </c>
      <c r="F2881" s="108" t="s">
        <v>18222</v>
      </c>
      <c r="G2881" s="109">
        <v>46183</v>
      </c>
      <c r="H2881" s="108" t="s">
        <v>1125</v>
      </c>
      <c r="I2881" s="108" t="s">
        <v>95</v>
      </c>
    </row>
    <row r="2882" spans="1:9" ht="27.6">
      <c r="A2882" s="108" t="s">
        <v>16151</v>
      </c>
      <c r="B2882" s="108" t="s">
        <v>18772</v>
      </c>
      <c r="C2882" s="109">
        <v>45036</v>
      </c>
      <c r="D2882" s="108" t="s">
        <v>18773</v>
      </c>
      <c r="E2882" s="108" t="s">
        <v>14605</v>
      </c>
      <c r="F2882" s="108" t="s">
        <v>18774</v>
      </c>
      <c r="G2882" s="109">
        <v>46131</v>
      </c>
      <c r="H2882" s="108" t="s">
        <v>1125</v>
      </c>
      <c r="I2882" s="108" t="s">
        <v>95</v>
      </c>
    </row>
    <row r="2883" spans="1:9" ht="27.6">
      <c r="A2883" s="108" t="s">
        <v>16151</v>
      </c>
      <c r="B2883" s="108" t="s">
        <v>18775</v>
      </c>
      <c r="C2883" s="109">
        <v>45051</v>
      </c>
      <c r="D2883" s="108" t="s">
        <v>18776</v>
      </c>
      <c r="E2883" s="108" t="s">
        <v>14605</v>
      </c>
      <c r="F2883" s="108" t="s">
        <v>15038</v>
      </c>
      <c r="G2883" s="109">
        <v>46146</v>
      </c>
      <c r="H2883" s="108" t="s">
        <v>1125</v>
      </c>
      <c r="I2883" s="108" t="s">
        <v>95</v>
      </c>
    </row>
    <row r="2884" spans="1:9">
      <c r="A2884" s="108" t="s">
        <v>16151</v>
      </c>
      <c r="B2884" s="108" t="s">
        <v>18777</v>
      </c>
      <c r="C2884" s="109">
        <v>45083</v>
      </c>
      <c r="D2884" s="108" t="s">
        <v>18778</v>
      </c>
      <c r="E2884" s="108" t="s">
        <v>14605</v>
      </c>
      <c r="F2884" s="108" t="s">
        <v>18233</v>
      </c>
      <c r="G2884" s="109">
        <v>46909</v>
      </c>
      <c r="H2884" s="108" t="s">
        <v>1125</v>
      </c>
      <c r="I2884" s="108" t="s">
        <v>95</v>
      </c>
    </row>
    <row r="2885" spans="1:9" ht="27.6">
      <c r="A2885" s="108" t="s">
        <v>16151</v>
      </c>
      <c r="B2885" s="108" t="s">
        <v>18779</v>
      </c>
      <c r="C2885" s="109">
        <v>45001</v>
      </c>
      <c r="D2885" s="108" t="s">
        <v>18780</v>
      </c>
      <c r="E2885" s="108" t="s">
        <v>14605</v>
      </c>
      <c r="F2885" s="108" t="s">
        <v>16126</v>
      </c>
      <c r="G2885" s="109">
        <v>46888</v>
      </c>
      <c r="H2885" s="108" t="s">
        <v>1125</v>
      </c>
      <c r="I2885" s="108" t="s">
        <v>95</v>
      </c>
    </row>
    <row r="2886" spans="1:9" ht="27.6">
      <c r="A2886" s="108" t="s">
        <v>16151</v>
      </c>
      <c r="B2886" s="108" t="s">
        <v>18781</v>
      </c>
      <c r="C2886" s="109">
        <v>45008</v>
      </c>
      <c r="D2886" s="108" t="s">
        <v>18782</v>
      </c>
      <c r="E2886" s="108" t="s">
        <v>14605</v>
      </c>
      <c r="F2886" s="108" t="s">
        <v>16126</v>
      </c>
      <c r="G2886" s="109">
        <v>46926</v>
      </c>
      <c r="H2886" s="108" t="s">
        <v>1125</v>
      </c>
      <c r="I2886" s="108" t="s">
        <v>95</v>
      </c>
    </row>
    <row r="2887" spans="1:9">
      <c r="A2887" s="108" t="s">
        <v>16151</v>
      </c>
      <c r="B2887" s="108" t="s">
        <v>18783</v>
      </c>
      <c r="C2887" s="109">
        <v>45132</v>
      </c>
      <c r="D2887" s="108" t="s">
        <v>18784</v>
      </c>
      <c r="E2887" s="108" t="s">
        <v>14605</v>
      </c>
      <c r="F2887" s="108" t="s">
        <v>15808</v>
      </c>
      <c r="G2887" s="109">
        <v>46227</v>
      </c>
      <c r="H2887" s="108" t="s">
        <v>1125</v>
      </c>
      <c r="I2887" s="108" t="s">
        <v>95</v>
      </c>
    </row>
    <row r="2888" spans="1:9">
      <c r="A2888" s="108" t="s">
        <v>16151</v>
      </c>
      <c r="B2888" s="108" t="s">
        <v>18785</v>
      </c>
      <c r="C2888" s="109">
        <v>45057</v>
      </c>
      <c r="D2888" s="108" t="s">
        <v>18786</v>
      </c>
      <c r="E2888" s="108" t="s">
        <v>14605</v>
      </c>
      <c r="F2888" s="108" t="s">
        <v>18237</v>
      </c>
      <c r="G2888" s="109">
        <v>46150</v>
      </c>
      <c r="H2888" s="108" t="s">
        <v>1125</v>
      </c>
      <c r="I2888" s="108" t="s">
        <v>95</v>
      </c>
    </row>
    <row r="2889" spans="1:9">
      <c r="A2889" s="108" t="s">
        <v>16151</v>
      </c>
      <c r="B2889" s="108" t="s">
        <v>18787</v>
      </c>
      <c r="C2889" s="109">
        <v>45029</v>
      </c>
      <c r="D2889" s="108" t="s">
        <v>18788</v>
      </c>
      <c r="E2889" s="108" t="s">
        <v>14605</v>
      </c>
      <c r="F2889" s="108" t="s">
        <v>15172</v>
      </c>
      <c r="G2889" s="109">
        <v>46855</v>
      </c>
      <c r="H2889" s="108" t="s">
        <v>1125</v>
      </c>
      <c r="I2889" s="108" t="s">
        <v>95</v>
      </c>
    </row>
    <row r="2890" spans="1:9">
      <c r="A2890" s="108" t="s">
        <v>16151</v>
      </c>
      <c r="B2890" s="108" t="s">
        <v>18789</v>
      </c>
      <c r="C2890" s="109">
        <v>45071</v>
      </c>
      <c r="D2890" s="108" t="s">
        <v>18790</v>
      </c>
      <c r="E2890" s="108" t="s">
        <v>14605</v>
      </c>
      <c r="F2890" s="108" t="s">
        <v>15775</v>
      </c>
      <c r="G2890" s="109">
        <v>46531</v>
      </c>
      <c r="H2890" s="108" t="s">
        <v>18235</v>
      </c>
      <c r="I2890" s="108" t="s">
        <v>95</v>
      </c>
    </row>
    <row r="2891" spans="1:9" ht="27.6">
      <c r="A2891" s="108" t="s">
        <v>16151</v>
      </c>
      <c r="B2891" s="108" t="s">
        <v>18791</v>
      </c>
      <c r="C2891" s="109">
        <v>45056</v>
      </c>
      <c r="D2891" s="108" t="s">
        <v>18792</v>
      </c>
      <c r="E2891" s="108" t="s">
        <v>14605</v>
      </c>
      <c r="F2891" s="108" t="s">
        <v>18239</v>
      </c>
      <c r="G2891" s="109">
        <v>46152</v>
      </c>
      <c r="H2891" s="108" t="s">
        <v>1125</v>
      </c>
      <c r="I2891" s="108" t="s">
        <v>95</v>
      </c>
    </row>
    <row r="2892" spans="1:9" ht="27.6">
      <c r="A2892" s="108" t="s">
        <v>16151</v>
      </c>
      <c r="B2892" s="108" t="s">
        <v>18793</v>
      </c>
      <c r="C2892" s="109">
        <v>45251</v>
      </c>
      <c r="D2892" s="108" t="s">
        <v>18794</v>
      </c>
      <c r="E2892" s="108" t="s">
        <v>14605</v>
      </c>
      <c r="F2892" s="108" t="s">
        <v>15488</v>
      </c>
      <c r="G2892" s="109">
        <v>46346</v>
      </c>
      <c r="H2892" s="108" t="s">
        <v>1125</v>
      </c>
      <c r="I2892" s="108" t="s">
        <v>95</v>
      </c>
    </row>
    <row r="2893" spans="1:9" ht="27.6">
      <c r="A2893" s="108" t="s">
        <v>16151</v>
      </c>
      <c r="B2893" s="108" t="s">
        <v>18795</v>
      </c>
      <c r="C2893" s="109">
        <v>45105</v>
      </c>
      <c r="D2893" s="108" t="s">
        <v>18796</v>
      </c>
      <c r="E2893" s="108" t="s">
        <v>14605</v>
      </c>
      <c r="F2893" s="108" t="s">
        <v>15490</v>
      </c>
      <c r="G2893" s="109">
        <v>46900</v>
      </c>
      <c r="H2893" s="108" t="s">
        <v>1125</v>
      </c>
      <c r="I2893" s="108" t="s">
        <v>95</v>
      </c>
    </row>
    <row r="2894" spans="1:9" ht="27.6">
      <c r="A2894" s="108" t="s">
        <v>16151</v>
      </c>
      <c r="B2894" s="108" t="s">
        <v>18797</v>
      </c>
      <c r="C2894" s="109">
        <v>45306</v>
      </c>
      <c r="D2894" s="108" t="s">
        <v>18798</v>
      </c>
      <c r="E2894" s="108" t="s">
        <v>14605</v>
      </c>
      <c r="F2894" s="108" t="s">
        <v>18246</v>
      </c>
      <c r="G2894" s="109">
        <v>47132</v>
      </c>
      <c r="H2894" s="108" t="s">
        <v>1125</v>
      </c>
      <c r="I2894" s="108" t="s">
        <v>95</v>
      </c>
    </row>
    <row r="2895" spans="1:9">
      <c r="A2895" s="108" t="s">
        <v>16151</v>
      </c>
      <c r="B2895" s="108" t="s">
        <v>18799</v>
      </c>
      <c r="C2895" s="109">
        <v>45225</v>
      </c>
      <c r="D2895" s="108" t="s">
        <v>18800</v>
      </c>
      <c r="E2895" s="108" t="s">
        <v>14605</v>
      </c>
      <c r="F2895" s="108" t="s">
        <v>18672</v>
      </c>
      <c r="G2895" s="109">
        <v>45955</v>
      </c>
      <c r="H2895" s="108" t="s">
        <v>1125</v>
      </c>
      <c r="I2895" s="108" t="s">
        <v>95</v>
      </c>
    </row>
    <row r="2896" spans="1:9" ht="27.6">
      <c r="A2896" s="108" t="s">
        <v>16151</v>
      </c>
      <c r="B2896" s="108" t="s">
        <v>18801</v>
      </c>
      <c r="C2896" s="109">
        <v>45259</v>
      </c>
      <c r="D2896" s="108" t="s">
        <v>18802</v>
      </c>
      <c r="E2896" s="108" t="s">
        <v>14605</v>
      </c>
      <c r="F2896" s="108" t="s">
        <v>18254</v>
      </c>
      <c r="G2896" s="109">
        <v>46354</v>
      </c>
      <c r="H2896" s="108" t="s">
        <v>1125</v>
      </c>
      <c r="I2896" s="108" t="s">
        <v>95</v>
      </c>
    </row>
    <row r="2897" spans="1:9">
      <c r="A2897" s="108" t="s">
        <v>16151</v>
      </c>
      <c r="B2897" s="108" t="s">
        <v>18803</v>
      </c>
      <c r="C2897" s="109">
        <v>45362</v>
      </c>
      <c r="D2897" s="108" t="s">
        <v>18804</v>
      </c>
      <c r="E2897" s="108" t="s">
        <v>14605</v>
      </c>
      <c r="F2897" s="108" t="s">
        <v>18258</v>
      </c>
      <c r="G2897" s="109">
        <v>49013</v>
      </c>
      <c r="H2897" s="108" t="s">
        <v>1125</v>
      </c>
      <c r="I2897" s="108" t="s">
        <v>95</v>
      </c>
    </row>
    <row r="2898" spans="1:9">
      <c r="A2898" s="108" t="s">
        <v>16151</v>
      </c>
      <c r="B2898" s="108" t="s">
        <v>18805</v>
      </c>
      <c r="C2898" s="109">
        <v>45353</v>
      </c>
      <c r="D2898" s="108" t="s">
        <v>18806</v>
      </c>
      <c r="E2898" s="108" t="s">
        <v>14605</v>
      </c>
      <c r="F2898" s="108" t="s">
        <v>16690</v>
      </c>
      <c r="G2898" s="109">
        <v>47177</v>
      </c>
      <c r="H2898" s="108" t="s">
        <v>1125</v>
      </c>
      <c r="I2898" s="108" t="s">
        <v>95</v>
      </c>
    </row>
    <row r="2899" spans="1:9" ht="27.6">
      <c r="A2899" s="108" t="s">
        <v>16151</v>
      </c>
      <c r="B2899" s="108" t="s">
        <v>18807</v>
      </c>
      <c r="C2899" s="109">
        <v>45379</v>
      </c>
      <c r="D2899" s="108" t="s">
        <v>18808</v>
      </c>
      <c r="E2899" s="108" t="s">
        <v>14605</v>
      </c>
      <c r="F2899" s="108" t="s">
        <v>18809</v>
      </c>
      <c r="G2899" s="109">
        <v>46107</v>
      </c>
      <c r="H2899" s="108" t="s">
        <v>1125</v>
      </c>
      <c r="I2899" s="108" t="s">
        <v>95</v>
      </c>
    </row>
    <row r="2900" spans="1:9">
      <c r="A2900" s="108" t="s">
        <v>16151</v>
      </c>
      <c r="B2900" s="108" t="s">
        <v>18810</v>
      </c>
      <c r="C2900" s="109">
        <v>45408</v>
      </c>
      <c r="D2900" s="108" t="s">
        <v>18811</v>
      </c>
      <c r="E2900" s="108" t="s">
        <v>14605</v>
      </c>
      <c r="F2900" s="108" t="s">
        <v>15169</v>
      </c>
      <c r="G2900" s="109">
        <v>46501</v>
      </c>
      <c r="H2900" s="108" t="s">
        <v>1125</v>
      </c>
      <c r="I2900" s="108" t="s">
        <v>95</v>
      </c>
    </row>
    <row r="2901" spans="1:9">
      <c r="A2901" s="108" t="s">
        <v>16151</v>
      </c>
      <c r="B2901" s="108" t="s">
        <v>18812</v>
      </c>
      <c r="C2901" s="109">
        <v>45419</v>
      </c>
      <c r="D2901" s="108" t="s">
        <v>18813</v>
      </c>
      <c r="E2901" s="108" t="s">
        <v>14605</v>
      </c>
      <c r="F2901" s="108" t="s">
        <v>15476</v>
      </c>
      <c r="G2901" s="109">
        <v>46513</v>
      </c>
      <c r="H2901" s="108" t="s">
        <v>1125</v>
      </c>
      <c r="I2901" s="108" t="s">
        <v>95</v>
      </c>
    </row>
    <row r="2902" spans="1:9">
      <c r="A2902" s="108" t="s">
        <v>16151</v>
      </c>
      <c r="B2902" s="108" t="s">
        <v>18814</v>
      </c>
      <c r="C2902" s="109">
        <v>45512</v>
      </c>
      <c r="D2902" s="108" t="s">
        <v>18815</v>
      </c>
      <c r="E2902" s="108" t="s">
        <v>14605</v>
      </c>
      <c r="F2902" s="108" t="s">
        <v>15775</v>
      </c>
      <c r="G2902" s="109">
        <v>46971</v>
      </c>
      <c r="H2902" s="108" t="s">
        <v>1125</v>
      </c>
      <c r="I2902" s="108" t="s">
        <v>95</v>
      </c>
    </row>
    <row r="2903" spans="1:9" ht="27.6">
      <c r="A2903" s="108" t="s">
        <v>388</v>
      </c>
      <c r="B2903" s="108" t="s">
        <v>18816</v>
      </c>
      <c r="C2903" s="109">
        <v>43734</v>
      </c>
      <c r="D2903" s="108" t="s">
        <v>18817</v>
      </c>
      <c r="E2903" s="108" t="s">
        <v>14605</v>
      </c>
      <c r="F2903" s="108" t="s">
        <v>18818</v>
      </c>
      <c r="G2903" s="109">
        <v>46756</v>
      </c>
      <c r="H2903" s="108" t="s">
        <v>1125</v>
      </c>
      <c r="I2903" s="108" t="s">
        <v>95</v>
      </c>
    </row>
    <row r="2904" spans="1:9" ht="41.4">
      <c r="A2904" s="108" t="s">
        <v>388</v>
      </c>
      <c r="B2904" s="108" t="s">
        <v>18819</v>
      </c>
      <c r="C2904" s="109">
        <v>44190</v>
      </c>
      <c r="D2904" s="108" t="s">
        <v>18820</v>
      </c>
      <c r="E2904" s="108" t="s">
        <v>14605</v>
      </c>
      <c r="F2904" s="108" t="s">
        <v>18821</v>
      </c>
      <c r="G2904" s="109">
        <v>45283</v>
      </c>
      <c r="H2904" s="108" t="s">
        <v>1125</v>
      </c>
      <c r="I2904" s="108" t="s">
        <v>95</v>
      </c>
    </row>
    <row r="2905" spans="1:9" ht="27.6">
      <c r="A2905" s="108" t="s">
        <v>388</v>
      </c>
      <c r="B2905" s="108" t="s">
        <v>18822</v>
      </c>
      <c r="C2905" s="109">
        <v>44362</v>
      </c>
      <c r="D2905" s="108" t="s">
        <v>18823</v>
      </c>
      <c r="E2905" s="108" t="s">
        <v>14605</v>
      </c>
      <c r="F2905" s="108" t="s">
        <v>18824</v>
      </c>
      <c r="G2905" s="109">
        <v>45959</v>
      </c>
      <c r="H2905" s="108" t="s">
        <v>1125</v>
      </c>
      <c r="I2905" s="108" t="s">
        <v>95</v>
      </c>
    </row>
    <row r="2906" spans="1:9" ht="27.6">
      <c r="A2906" s="108" t="s">
        <v>388</v>
      </c>
      <c r="B2906" s="108" t="s">
        <v>18825</v>
      </c>
      <c r="C2906" s="109">
        <v>44770</v>
      </c>
      <c r="D2906" s="108" t="s">
        <v>18826</v>
      </c>
      <c r="E2906" s="108" t="s">
        <v>14605</v>
      </c>
      <c r="F2906" s="108" t="s">
        <v>18827</v>
      </c>
      <c r="G2906" s="109">
        <v>45500</v>
      </c>
      <c r="H2906" s="108" t="s">
        <v>18235</v>
      </c>
      <c r="I2906" s="108" t="s">
        <v>95</v>
      </c>
    </row>
    <row r="2907" spans="1:9" ht="27.6">
      <c r="A2907" s="108" t="s">
        <v>388</v>
      </c>
      <c r="B2907" s="108" t="s">
        <v>18828</v>
      </c>
      <c r="C2907" s="109">
        <v>44972</v>
      </c>
      <c r="D2907" s="108" t="s">
        <v>18829</v>
      </c>
      <c r="E2907" s="108" t="s">
        <v>14605</v>
      </c>
      <c r="F2907" s="108" t="s">
        <v>18830</v>
      </c>
      <c r="G2907" s="109">
        <v>45702</v>
      </c>
      <c r="H2907" s="108" t="s">
        <v>1125</v>
      </c>
      <c r="I2907" s="108" t="s">
        <v>95</v>
      </c>
    </row>
    <row r="2908" spans="1:9" ht="27.6">
      <c r="A2908" s="108" t="s">
        <v>388</v>
      </c>
      <c r="B2908" s="108" t="s">
        <v>18831</v>
      </c>
      <c r="C2908" s="109">
        <v>45238</v>
      </c>
      <c r="D2908" s="108" t="s">
        <v>18832</v>
      </c>
      <c r="E2908" s="108" t="s">
        <v>14605</v>
      </c>
      <c r="F2908" s="108" t="s">
        <v>16723</v>
      </c>
      <c r="G2908" s="109">
        <v>45968</v>
      </c>
      <c r="H2908" s="108" t="s">
        <v>1125</v>
      </c>
      <c r="I2908" s="108" t="s">
        <v>95</v>
      </c>
    </row>
    <row r="2909" spans="1:9" ht="27.6">
      <c r="A2909" s="108" t="s">
        <v>388</v>
      </c>
      <c r="B2909" s="108" t="s">
        <v>18833</v>
      </c>
      <c r="C2909" s="109">
        <v>45709</v>
      </c>
      <c r="D2909" s="108" t="s">
        <v>18834</v>
      </c>
      <c r="E2909" s="108" t="s">
        <v>14605</v>
      </c>
      <c r="F2909" s="108" t="s">
        <v>15427</v>
      </c>
      <c r="G2909" s="109">
        <v>46418</v>
      </c>
      <c r="H2909" s="108" t="s">
        <v>1125</v>
      </c>
      <c r="I2909" s="108" t="s">
        <v>95</v>
      </c>
    </row>
    <row r="2910" spans="1:9" ht="27.6">
      <c r="A2910" s="108" t="s">
        <v>388</v>
      </c>
      <c r="B2910" s="108" t="s">
        <v>18835</v>
      </c>
      <c r="C2910" s="109">
        <v>45343</v>
      </c>
      <c r="D2910" s="108" t="s">
        <v>18836</v>
      </c>
      <c r="E2910" s="108" t="s">
        <v>14605</v>
      </c>
      <c r="F2910" s="108" t="s">
        <v>17652</v>
      </c>
      <c r="G2910" s="109">
        <v>46438</v>
      </c>
      <c r="H2910" s="108" t="s">
        <v>1125</v>
      </c>
      <c r="I2910" s="108" t="s">
        <v>95</v>
      </c>
    </row>
    <row r="2911" spans="1:9" ht="27.6">
      <c r="A2911" s="108" t="s">
        <v>388</v>
      </c>
      <c r="B2911" s="108" t="s">
        <v>18837</v>
      </c>
      <c r="C2911" s="109">
        <v>45344</v>
      </c>
      <c r="D2911" s="108" t="s">
        <v>18838</v>
      </c>
      <c r="E2911" s="108" t="s">
        <v>14605</v>
      </c>
      <c r="F2911" s="108" t="s">
        <v>18839</v>
      </c>
      <c r="G2911" s="109">
        <v>46439</v>
      </c>
      <c r="H2911" s="108" t="s">
        <v>1125</v>
      </c>
      <c r="I2911" s="108" t="s">
        <v>95</v>
      </c>
    </row>
    <row r="2912" spans="1:9" ht="27.6">
      <c r="A2912" s="108" t="s">
        <v>388</v>
      </c>
      <c r="B2912" s="108" t="s">
        <v>18840</v>
      </c>
      <c r="C2912" s="109">
        <v>45401</v>
      </c>
      <c r="D2912" s="108" t="s">
        <v>18841</v>
      </c>
      <c r="E2912" s="108" t="s">
        <v>14605</v>
      </c>
      <c r="F2912" s="108" t="s">
        <v>18156</v>
      </c>
      <c r="G2912" s="109">
        <v>46494</v>
      </c>
      <c r="H2912" s="108" t="s">
        <v>1125</v>
      </c>
      <c r="I2912" s="108" t="s">
        <v>95</v>
      </c>
    </row>
    <row r="2913" spans="1:9" ht="27.6">
      <c r="A2913" s="108" t="s">
        <v>14690</v>
      </c>
      <c r="B2913" s="108" t="s">
        <v>18842</v>
      </c>
      <c r="C2913" s="109">
        <v>42035</v>
      </c>
      <c r="D2913" s="108" t="s">
        <v>18843</v>
      </c>
      <c r="E2913" s="108" t="s">
        <v>14605</v>
      </c>
      <c r="F2913" s="108" t="s">
        <v>17669</v>
      </c>
      <c r="G2913" s="109">
        <v>45396</v>
      </c>
      <c r="H2913" s="108" t="s">
        <v>1125</v>
      </c>
      <c r="I2913" s="108" t="s">
        <v>79</v>
      </c>
    </row>
    <row r="2914" spans="1:9" ht="27.6">
      <c r="A2914" s="108" t="s">
        <v>14690</v>
      </c>
      <c r="B2914" s="108" t="s">
        <v>18844</v>
      </c>
      <c r="C2914" s="109">
        <v>43686</v>
      </c>
      <c r="D2914" s="108" t="s">
        <v>18845</v>
      </c>
      <c r="E2914" s="108" t="s">
        <v>14605</v>
      </c>
      <c r="F2914" s="108" t="s">
        <v>17669</v>
      </c>
      <c r="G2914" s="109">
        <v>45396</v>
      </c>
      <c r="H2914" s="108" t="s">
        <v>1125</v>
      </c>
      <c r="I2914" s="108" t="s">
        <v>79</v>
      </c>
    </row>
    <row r="2915" spans="1:9" ht="27.6">
      <c r="A2915" s="108" t="s">
        <v>571</v>
      </c>
      <c r="B2915" s="108" t="s">
        <v>18846</v>
      </c>
      <c r="C2915" s="109">
        <v>42386</v>
      </c>
      <c r="D2915" s="108" t="s">
        <v>18847</v>
      </c>
      <c r="E2915" s="108" t="s">
        <v>14605</v>
      </c>
      <c r="F2915" s="108" t="s">
        <v>17669</v>
      </c>
      <c r="G2915" s="109">
        <v>45396</v>
      </c>
      <c r="H2915" s="108" t="s">
        <v>1125</v>
      </c>
      <c r="I2915" s="108" t="s">
        <v>79</v>
      </c>
    </row>
    <row r="2916" spans="1:9">
      <c r="A2916" s="108" t="s">
        <v>87</v>
      </c>
      <c r="B2916" s="108" t="s">
        <v>18848</v>
      </c>
      <c r="C2916" s="109">
        <v>44465</v>
      </c>
      <c r="D2916" s="108" t="s">
        <v>18849</v>
      </c>
      <c r="E2916" s="108" t="s">
        <v>14605</v>
      </c>
      <c r="F2916" s="108" t="s">
        <v>18850</v>
      </c>
      <c r="G2916" s="109">
        <v>46168</v>
      </c>
      <c r="H2916" s="108" t="s">
        <v>1125</v>
      </c>
      <c r="I2916" s="108" t="s">
        <v>79</v>
      </c>
    </row>
    <row r="2917" spans="1:9">
      <c r="A2917" s="108" t="s">
        <v>87</v>
      </c>
      <c r="B2917" s="108" t="s">
        <v>18851</v>
      </c>
      <c r="C2917" s="109">
        <v>44465</v>
      </c>
      <c r="D2917" s="108" t="s">
        <v>18852</v>
      </c>
      <c r="E2917" s="108" t="s">
        <v>14605</v>
      </c>
      <c r="F2917" s="108" t="s">
        <v>18850</v>
      </c>
      <c r="G2917" s="109">
        <v>46168</v>
      </c>
      <c r="H2917" s="108" t="s">
        <v>1125</v>
      </c>
      <c r="I2917" s="108" t="s">
        <v>79</v>
      </c>
    </row>
    <row r="2918" spans="1:9" ht="27.6">
      <c r="A2918" s="108" t="s">
        <v>477</v>
      </c>
      <c r="B2918" s="108" t="s">
        <v>18853</v>
      </c>
      <c r="C2918" s="109">
        <v>44931</v>
      </c>
      <c r="D2918" s="108" t="s">
        <v>18854</v>
      </c>
      <c r="E2918" s="108" t="s">
        <v>14605</v>
      </c>
      <c r="F2918" s="108" t="s">
        <v>18855</v>
      </c>
      <c r="G2918" s="109">
        <v>46029</v>
      </c>
      <c r="H2918" s="108" t="s">
        <v>1125</v>
      </c>
      <c r="I2918" s="108" t="s">
        <v>79</v>
      </c>
    </row>
    <row r="2919" spans="1:9">
      <c r="A2919" s="108" t="s">
        <v>1465</v>
      </c>
      <c r="B2919" s="108" t="s">
        <v>18856</v>
      </c>
      <c r="C2919" s="109">
        <v>45447</v>
      </c>
      <c r="D2919" s="108" t="s">
        <v>18857</v>
      </c>
      <c r="E2919" s="108" t="s">
        <v>14605</v>
      </c>
      <c r="F2919" s="108" t="s">
        <v>15476</v>
      </c>
      <c r="G2919" s="109">
        <v>46541</v>
      </c>
      <c r="H2919" s="108" t="s">
        <v>1125</v>
      </c>
      <c r="I2919" s="108" t="s">
        <v>79</v>
      </c>
    </row>
    <row r="2920" spans="1:9">
      <c r="A2920" s="108" t="s">
        <v>227</v>
      </c>
      <c r="B2920" s="108" t="s">
        <v>18858</v>
      </c>
      <c r="C2920" s="109">
        <v>42083</v>
      </c>
      <c r="D2920" s="108" t="s">
        <v>18859</v>
      </c>
      <c r="E2920" s="108" t="s">
        <v>14605</v>
      </c>
      <c r="F2920" s="108" t="s">
        <v>16142</v>
      </c>
      <c r="G2920" s="109">
        <v>45348</v>
      </c>
      <c r="H2920" s="108" t="s">
        <v>1125</v>
      </c>
      <c r="I2920" s="108" t="s">
        <v>18860</v>
      </c>
    </row>
    <row r="2921" spans="1:9" ht="27.6">
      <c r="A2921" s="108" t="s">
        <v>118</v>
      </c>
      <c r="B2921" s="108" t="s">
        <v>18861</v>
      </c>
      <c r="C2921" s="109">
        <v>43352</v>
      </c>
      <c r="D2921" s="108" t="s">
        <v>18862</v>
      </c>
      <c r="E2921" s="108" t="s">
        <v>14605</v>
      </c>
      <c r="F2921" s="108" t="s">
        <v>18512</v>
      </c>
      <c r="G2921" s="109">
        <v>45177</v>
      </c>
      <c r="H2921" s="108" t="s">
        <v>1125</v>
      </c>
      <c r="I2921" s="108" t="s">
        <v>18860</v>
      </c>
    </row>
    <row r="2922" spans="1:9" ht="27.6">
      <c r="A2922" s="108" t="s">
        <v>207</v>
      </c>
      <c r="B2922" s="108" t="s">
        <v>18863</v>
      </c>
      <c r="C2922" s="109">
        <v>43537</v>
      </c>
      <c r="D2922" s="108" t="s">
        <v>18864</v>
      </c>
      <c r="E2922" s="108" t="s">
        <v>14605</v>
      </c>
      <c r="F2922" s="108" t="s">
        <v>14972</v>
      </c>
      <c r="G2922" s="109">
        <v>45363</v>
      </c>
      <c r="H2922" s="108" t="s">
        <v>1125</v>
      </c>
      <c r="I2922" s="108" t="s">
        <v>117</v>
      </c>
    </row>
    <row r="2923" spans="1:9" ht="27.6">
      <c r="A2923" s="108" t="s">
        <v>207</v>
      </c>
      <c r="B2923" s="108" t="s">
        <v>18865</v>
      </c>
      <c r="C2923" s="109">
        <v>43617</v>
      </c>
      <c r="D2923" s="108" t="s">
        <v>18866</v>
      </c>
      <c r="E2923" s="108" t="s">
        <v>14605</v>
      </c>
      <c r="F2923" s="108" t="s">
        <v>15223</v>
      </c>
      <c r="G2923" s="109">
        <v>45441</v>
      </c>
      <c r="H2923" s="108" t="s">
        <v>1125</v>
      </c>
      <c r="I2923" s="108" t="s">
        <v>117</v>
      </c>
    </row>
    <row r="2924" spans="1:9">
      <c r="A2924" s="108" t="s">
        <v>118</v>
      </c>
      <c r="B2924" s="108" t="s">
        <v>18867</v>
      </c>
      <c r="C2924" s="109">
        <v>43812</v>
      </c>
      <c r="D2924" s="108" t="s">
        <v>18868</v>
      </c>
      <c r="E2924" s="108" t="s">
        <v>14605</v>
      </c>
      <c r="F2924" s="108" t="s">
        <v>16058</v>
      </c>
      <c r="G2924" s="109">
        <v>45638</v>
      </c>
      <c r="H2924" s="108" t="s">
        <v>1125</v>
      </c>
      <c r="I2924" s="108" t="s">
        <v>117</v>
      </c>
    </row>
    <row r="2925" spans="1:9" ht="27.6">
      <c r="A2925" s="108" t="s">
        <v>118</v>
      </c>
      <c r="B2925" s="108" t="s">
        <v>18869</v>
      </c>
      <c r="C2925" s="109">
        <v>44680</v>
      </c>
      <c r="D2925" s="108" t="s">
        <v>18870</v>
      </c>
      <c r="E2925" s="108" t="s">
        <v>14605</v>
      </c>
      <c r="F2925" s="108" t="s">
        <v>18429</v>
      </c>
      <c r="G2925" s="109">
        <v>45775</v>
      </c>
      <c r="H2925" s="108" t="s">
        <v>1125</v>
      </c>
      <c r="I2925" s="108" t="s">
        <v>117</v>
      </c>
    </row>
    <row r="2926" spans="1:9" ht="27.6">
      <c r="A2926" s="108" t="s">
        <v>207</v>
      </c>
      <c r="B2926" s="108" t="s">
        <v>18871</v>
      </c>
      <c r="C2926" s="109">
        <v>45036</v>
      </c>
      <c r="D2926" s="108" t="s">
        <v>18872</v>
      </c>
      <c r="E2926" s="108" t="s">
        <v>14605</v>
      </c>
      <c r="F2926" s="108" t="s">
        <v>16690</v>
      </c>
      <c r="G2926" s="109">
        <v>45766</v>
      </c>
      <c r="H2926" s="108" t="s">
        <v>1125</v>
      </c>
      <c r="I2926" s="108" t="s">
        <v>117</v>
      </c>
    </row>
    <row r="2927" spans="1:9" ht="27.6">
      <c r="A2927" s="108" t="s">
        <v>207</v>
      </c>
      <c r="B2927" s="108" t="s">
        <v>18873</v>
      </c>
      <c r="C2927" s="109">
        <v>45093</v>
      </c>
      <c r="D2927" s="108" t="s">
        <v>18874</v>
      </c>
      <c r="E2927" s="108" t="s">
        <v>14605</v>
      </c>
      <c r="F2927" s="108" t="s">
        <v>17756</v>
      </c>
      <c r="G2927" s="109">
        <v>46188</v>
      </c>
      <c r="H2927" s="108" t="s">
        <v>1125</v>
      </c>
      <c r="I2927" s="108" t="s">
        <v>117</v>
      </c>
    </row>
    <row r="2928" spans="1:9" ht="27.6">
      <c r="A2928" s="108" t="s">
        <v>207</v>
      </c>
      <c r="B2928" s="108" t="s">
        <v>18875</v>
      </c>
      <c r="C2928" s="109">
        <v>45072</v>
      </c>
      <c r="D2928" s="108" t="s">
        <v>18876</v>
      </c>
      <c r="E2928" s="108" t="s">
        <v>14605</v>
      </c>
      <c r="F2928" s="108" t="s">
        <v>17852</v>
      </c>
      <c r="G2928" s="109">
        <v>46167</v>
      </c>
      <c r="H2928" s="108" t="s">
        <v>1125</v>
      </c>
      <c r="I2928" s="108" t="s">
        <v>117</v>
      </c>
    </row>
    <row r="2929" spans="1:9" ht="27.6">
      <c r="A2929" s="108" t="s">
        <v>207</v>
      </c>
      <c r="B2929" s="108" t="s">
        <v>18877</v>
      </c>
      <c r="C2929" s="109">
        <v>45282</v>
      </c>
      <c r="D2929" s="108" t="s">
        <v>18878</v>
      </c>
      <c r="E2929" s="108" t="s">
        <v>14605</v>
      </c>
      <c r="F2929" s="108" t="s">
        <v>15427</v>
      </c>
      <c r="G2929" s="109">
        <v>46376</v>
      </c>
      <c r="H2929" s="108" t="s">
        <v>1125</v>
      </c>
      <c r="I2929" s="108" t="s">
        <v>117</v>
      </c>
    </row>
    <row r="2930" spans="1:9" ht="27.6">
      <c r="A2930" s="108" t="s">
        <v>207</v>
      </c>
      <c r="B2930" s="108" t="s">
        <v>18879</v>
      </c>
      <c r="C2930" s="109">
        <v>45426</v>
      </c>
      <c r="D2930" s="108" t="s">
        <v>18880</v>
      </c>
      <c r="E2930" s="108" t="s">
        <v>14605</v>
      </c>
      <c r="F2930" s="108" t="s">
        <v>16613</v>
      </c>
      <c r="G2930" s="109">
        <v>45790</v>
      </c>
      <c r="H2930" s="108" t="s">
        <v>1125</v>
      </c>
      <c r="I2930" s="108" t="s">
        <v>117</v>
      </c>
    </row>
    <row r="2931" spans="1:9" ht="27.6">
      <c r="A2931" s="108" t="s">
        <v>169</v>
      </c>
      <c r="B2931" s="108" t="s">
        <v>18881</v>
      </c>
      <c r="C2931" s="109">
        <v>43819</v>
      </c>
      <c r="D2931" s="108" t="s">
        <v>18882</v>
      </c>
      <c r="E2931" s="108" t="s">
        <v>14605</v>
      </c>
      <c r="F2931" s="108" t="s">
        <v>18883</v>
      </c>
      <c r="G2931" s="109">
        <v>46042</v>
      </c>
      <c r="H2931" s="108" t="s">
        <v>1125</v>
      </c>
      <c r="I2931" s="108" t="s">
        <v>721</v>
      </c>
    </row>
    <row r="2932" spans="1:9" ht="27.6">
      <c r="A2932" s="108" t="s">
        <v>1828</v>
      </c>
      <c r="B2932" s="108" t="s">
        <v>18884</v>
      </c>
      <c r="C2932" s="109">
        <v>43692</v>
      </c>
      <c r="D2932" s="108" t="s">
        <v>18885</v>
      </c>
      <c r="E2932" s="108" t="s">
        <v>14605</v>
      </c>
      <c r="F2932" s="108" t="s">
        <v>15894</v>
      </c>
      <c r="G2932" s="109">
        <v>44422</v>
      </c>
      <c r="H2932" s="108" t="s">
        <v>1125</v>
      </c>
      <c r="I2932" s="108" t="s">
        <v>108</v>
      </c>
    </row>
    <row r="2933" spans="1:9" ht="27.6">
      <c r="A2933" s="108" t="s">
        <v>16421</v>
      </c>
      <c r="B2933" s="108" t="s">
        <v>18886</v>
      </c>
      <c r="C2933" s="109">
        <v>44820</v>
      </c>
      <c r="D2933" s="108" t="s">
        <v>18887</v>
      </c>
      <c r="E2933" s="108" t="s">
        <v>14605</v>
      </c>
      <c r="F2933" s="108" t="s">
        <v>18888</v>
      </c>
      <c r="G2933" s="109">
        <v>45365</v>
      </c>
      <c r="H2933" s="108" t="s">
        <v>1125</v>
      </c>
      <c r="I2933" s="108" t="s">
        <v>108</v>
      </c>
    </row>
    <row r="2934" spans="1:9" ht="27.6">
      <c r="A2934" s="108" t="s">
        <v>1828</v>
      </c>
      <c r="B2934" s="108" t="s">
        <v>18889</v>
      </c>
      <c r="C2934" s="109">
        <v>43161</v>
      </c>
      <c r="D2934" s="108" t="s">
        <v>18890</v>
      </c>
      <c r="E2934" s="108" t="s">
        <v>14605</v>
      </c>
      <c r="F2934" s="108" t="s">
        <v>18891</v>
      </c>
      <c r="G2934" s="109">
        <v>43525</v>
      </c>
      <c r="H2934" s="108" t="s">
        <v>1125</v>
      </c>
      <c r="I2934" s="108" t="s">
        <v>108</v>
      </c>
    </row>
    <row r="2935" spans="1:9" ht="27.6">
      <c r="A2935" s="108" t="s">
        <v>14937</v>
      </c>
      <c r="B2935" s="108" t="s">
        <v>18892</v>
      </c>
      <c r="C2935" s="109">
        <v>43187</v>
      </c>
      <c r="D2935" s="108" t="s">
        <v>18893</v>
      </c>
      <c r="E2935" s="108" t="s">
        <v>14605</v>
      </c>
      <c r="F2935" s="108" t="s">
        <v>18894</v>
      </c>
      <c r="G2935" s="109">
        <v>43551</v>
      </c>
      <c r="H2935" s="108" t="s">
        <v>1125</v>
      </c>
      <c r="I2935" s="108" t="s">
        <v>108</v>
      </c>
    </row>
    <row r="2936" spans="1:9">
      <c r="A2936" s="108" t="s">
        <v>14937</v>
      </c>
      <c r="B2936" s="108" t="s">
        <v>18895</v>
      </c>
      <c r="C2936" s="109">
        <v>43212</v>
      </c>
      <c r="D2936" s="108" t="s">
        <v>18896</v>
      </c>
      <c r="E2936" s="108" t="s">
        <v>14605</v>
      </c>
      <c r="F2936" s="108" t="s">
        <v>16083</v>
      </c>
      <c r="G2936" s="109">
        <v>45037</v>
      </c>
      <c r="H2936" s="108" t="s">
        <v>1125</v>
      </c>
      <c r="I2936" s="108" t="s">
        <v>108</v>
      </c>
    </row>
    <row r="2937" spans="1:9" ht="27.6">
      <c r="A2937" s="108" t="s">
        <v>1828</v>
      </c>
      <c r="B2937" s="108" t="s">
        <v>18897</v>
      </c>
      <c r="C2937" s="109">
        <v>43257</v>
      </c>
      <c r="D2937" s="108" t="s">
        <v>18898</v>
      </c>
      <c r="E2937" s="108" t="s">
        <v>14605</v>
      </c>
      <c r="F2937" s="108" t="s">
        <v>18899</v>
      </c>
      <c r="G2937" s="109">
        <v>43621</v>
      </c>
      <c r="H2937" s="108" t="s">
        <v>1125</v>
      </c>
      <c r="I2937" s="108" t="s">
        <v>108</v>
      </c>
    </row>
    <row r="2938" spans="1:9" ht="27.6">
      <c r="A2938" s="108" t="s">
        <v>1828</v>
      </c>
      <c r="B2938" s="108" t="s">
        <v>18900</v>
      </c>
      <c r="C2938" s="109">
        <v>43784</v>
      </c>
      <c r="D2938" s="108" t="s">
        <v>18901</v>
      </c>
      <c r="E2938" s="108" t="s">
        <v>14605</v>
      </c>
      <c r="F2938" s="108" t="s">
        <v>18902</v>
      </c>
      <c r="G2938" s="109">
        <v>44149</v>
      </c>
      <c r="H2938" s="108" t="s">
        <v>1125</v>
      </c>
      <c r="I2938" s="108" t="s">
        <v>108</v>
      </c>
    </row>
    <row r="2939" spans="1:9">
      <c r="A2939" s="108" t="s">
        <v>1828</v>
      </c>
      <c r="B2939" s="108" t="s">
        <v>18903</v>
      </c>
      <c r="C2939" s="109">
        <v>43816</v>
      </c>
      <c r="D2939" s="108" t="s">
        <v>18904</v>
      </c>
      <c r="E2939" s="108" t="s">
        <v>14605</v>
      </c>
      <c r="F2939" s="108" t="s">
        <v>18905</v>
      </c>
      <c r="G2939" s="109">
        <v>44191</v>
      </c>
      <c r="H2939" s="108" t="s">
        <v>1125</v>
      </c>
      <c r="I2939" s="108" t="s">
        <v>108</v>
      </c>
    </row>
    <row r="2940" spans="1:9">
      <c r="A2940" s="108" t="s">
        <v>1828</v>
      </c>
      <c r="B2940" s="108" t="s">
        <v>18906</v>
      </c>
      <c r="C2940" s="109">
        <v>43942</v>
      </c>
      <c r="D2940" s="108" t="s">
        <v>18907</v>
      </c>
      <c r="E2940" s="108" t="s">
        <v>14605</v>
      </c>
      <c r="F2940" s="108" t="s">
        <v>18908</v>
      </c>
      <c r="G2940" s="109">
        <v>44306</v>
      </c>
      <c r="H2940" s="108" t="s">
        <v>1125</v>
      </c>
      <c r="I2940" s="108" t="s">
        <v>108</v>
      </c>
    </row>
    <row r="2941" spans="1:9">
      <c r="A2941" s="108" t="s">
        <v>14937</v>
      </c>
      <c r="B2941" s="108" t="s">
        <v>18909</v>
      </c>
      <c r="C2941" s="109">
        <v>43805</v>
      </c>
      <c r="D2941" s="108" t="s">
        <v>18910</v>
      </c>
      <c r="E2941" s="108" t="s">
        <v>14605</v>
      </c>
      <c r="F2941" s="108" t="s">
        <v>16424</v>
      </c>
      <c r="G2941" s="109">
        <v>45631</v>
      </c>
      <c r="H2941" s="108" t="s">
        <v>1125</v>
      </c>
      <c r="I2941" s="108" t="s">
        <v>108</v>
      </c>
    </row>
    <row r="2942" spans="1:9">
      <c r="A2942" s="108" t="s">
        <v>1828</v>
      </c>
      <c r="B2942" s="108" t="s">
        <v>18911</v>
      </c>
      <c r="C2942" s="109">
        <v>43973</v>
      </c>
      <c r="D2942" s="108" t="s">
        <v>18912</v>
      </c>
      <c r="E2942" s="108" t="s">
        <v>14605</v>
      </c>
      <c r="F2942" s="108" t="s">
        <v>18913</v>
      </c>
      <c r="G2942" s="109">
        <v>44337</v>
      </c>
      <c r="H2942" s="108" t="s">
        <v>1125</v>
      </c>
      <c r="I2942" s="108" t="s">
        <v>108</v>
      </c>
    </row>
    <row r="2943" spans="1:9" ht="27.6">
      <c r="A2943" s="108" t="s">
        <v>18914</v>
      </c>
      <c r="B2943" s="108" t="s">
        <v>18915</v>
      </c>
      <c r="C2943" s="109">
        <v>43804</v>
      </c>
      <c r="D2943" s="108" t="s">
        <v>18916</v>
      </c>
      <c r="E2943" s="108" t="s">
        <v>14605</v>
      </c>
      <c r="F2943" s="108" t="s">
        <v>18917</v>
      </c>
      <c r="G2943" s="109">
        <v>44169</v>
      </c>
      <c r="H2943" s="108" t="s">
        <v>1125</v>
      </c>
      <c r="I2943" s="108" t="s">
        <v>108</v>
      </c>
    </row>
    <row r="2944" spans="1:9" ht="41.4">
      <c r="A2944" s="108" t="s">
        <v>1828</v>
      </c>
      <c r="B2944" s="108" t="s">
        <v>18918</v>
      </c>
      <c r="C2944" s="109">
        <v>43977</v>
      </c>
      <c r="D2944" s="108" t="s">
        <v>18919</v>
      </c>
      <c r="E2944" s="108" t="s">
        <v>14605</v>
      </c>
      <c r="F2944" s="108" t="s">
        <v>15480</v>
      </c>
      <c r="G2944" s="109">
        <v>44341</v>
      </c>
      <c r="H2944" s="108" t="s">
        <v>1125</v>
      </c>
      <c r="I2944" s="108" t="s">
        <v>108</v>
      </c>
    </row>
    <row r="2945" spans="1:9" ht="27.6">
      <c r="A2945" s="108" t="s">
        <v>1828</v>
      </c>
      <c r="B2945" s="108" t="s">
        <v>18920</v>
      </c>
      <c r="C2945" s="109">
        <v>44050</v>
      </c>
      <c r="D2945" s="108" t="s">
        <v>18921</v>
      </c>
      <c r="E2945" s="108" t="s">
        <v>14605</v>
      </c>
      <c r="F2945" s="108" t="s">
        <v>18922</v>
      </c>
      <c r="G2945" s="109">
        <v>44414</v>
      </c>
      <c r="H2945" s="108" t="s">
        <v>1125</v>
      </c>
      <c r="I2945" s="108" t="s">
        <v>108</v>
      </c>
    </row>
    <row r="2946" spans="1:9" ht="27.6">
      <c r="A2946" s="108" t="s">
        <v>14937</v>
      </c>
      <c r="B2946" s="108" t="s">
        <v>18923</v>
      </c>
      <c r="C2946" s="109">
        <v>44076</v>
      </c>
      <c r="D2946" s="108" t="s">
        <v>18924</v>
      </c>
      <c r="E2946" s="108" t="s">
        <v>14605</v>
      </c>
      <c r="F2946" s="108" t="s">
        <v>18925</v>
      </c>
      <c r="G2946" s="109">
        <v>45170</v>
      </c>
      <c r="H2946" s="108" t="s">
        <v>1125</v>
      </c>
      <c r="I2946" s="108" t="s">
        <v>108</v>
      </c>
    </row>
    <row r="2947" spans="1:9" ht="27.6">
      <c r="A2947" s="108" t="s">
        <v>1828</v>
      </c>
      <c r="B2947" s="108" t="s">
        <v>18926</v>
      </c>
      <c r="C2947" s="109">
        <v>44054</v>
      </c>
      <c r="D2947" s="108" t="s">
        <v>18927</v>
      </c>
      <c r="E2947" s="108" t="s">
        <v>14605</v>
      </c>
      <c r="F2947" s="108" t="s">
        <v>16099</v>
      </c>
      <c r="G2947" s="109">
        <v>45990</v>
      </c>
      <c r="H2947" s="108" t="s">
        <v>1125</v>
      </c>
      <c r="I2947" s="108" t="s">
        <v>108</v>
      </c>
    </row>
    <row r="2948" spans="1:9" ht="27.6">
      <c r="A2948" s="108" t="s">
        <v>18928</v>
      </c>
      <c r="B2948" s="108" t="s">
        <v>18929</v>
      </c>
      <c r="C2948" s="109">
        <v>44219</v>
      </c>
      <c r="D2948" s="108" t="s">
        <v>18930</v>
      </c>
      <c r="E2948" s="108" t="s">
        <v>14605</v>
      </c>
      <c r="F2948" s="108" t="s">
        <v>18931</v>
      </c>
      <c r="G2948" s="109">
        <v>45313</v>
      </c>
      <c r="H2948" s="108" t="s">
        <v>1125</v>
      </c>
      <c r="I2948" s="108" t="s">
        <v>108</v>
      </c>
    </row>
    <row r="2949" spans="1:9">
      <c r="A2949" s="108" t="s">
        <v>16421</v>
      </c>
      <c r="B2949" s="108" t="s">
        <v>18932</v>
      </c>
      <c r="C2949" s="109">
        <v>44397</v>
      </c>
      <c r="D2949" s="108" t="s">
        <v>18933</v>
      </c>
      <c r="E2949" s="108" t="s">
        <v>14605</v>
      </c>
      <c r="F2949" s="108" t="s">
        <v>15431</v>
      </c>
      <c r="G2949" s="109">
        <v>44761</v>
      </c>
      <c r="H2949" s="108" t="s">
        <v>1125</v>
      </c>
      <c r="I2949" s="108" t="s">
        <v>108</v>
      </c>
    </row>
    <row r="2950" spans="1:9" ht="27.6">
      <c r="A2950" s="108" t="s">
        <v>16421</v>
      </c>
      <c r="B2950" s="108" t="s">
        <v>18934</v>
      </c>
      <c r="C2950" s="109">
        <v>44158</v>
      </c>
      <c r="D2950" s="108" t="s">
        <v>18935</v>
      </c>
      <c r="E2950" s="108" t="s">
        <v>14605</v>
      </c>
      <c r="F2950" s="108" t="s">
        <v>18936</v>
      </c>
      <c r="G2950" s="109">
        <v>44522</v>
      </c>
      <c r="H2950" s="108" t="s">
        <v>1125</v>
      </c>
      <c r="I2950" s="108" t="s">
        <v>108</v>
      </c>
    </row>
    <row r="2951" spans="1:9" ht="27.6">
      <c r="A2951" s="108" t="s">
        <v>14937</v>
      </c>
      <c r="B2951" s="108" t="s">
        <v>18937</v>
      </c>
      <c r="C2951" s="109">
        <v>44572</v>
      </c>
      <c r="D2951" s="108" t="s">
        <v>18938</v>
      </c>
      <c r="E2951" s="108" t="s">
        <v>14605</v>
      </c>
      <c r="F2951" s="108" t="s">
        <v>18939</v>
      </c>
      <c r="G2951" s="109">
        <v>46397</v>
      </c>
      <c r="H2951" s="108" t="s">
        <v>1125</v>
      </c>
      <c r="I2951" s="108" t="s">
        <v>108</v>
      </c>
    </row>
    <row r="2952" spans="1:9">
      <c r="A2952" s="108" t="s">
        <v>14937</v>
      </c>
      <c r="B2952" s="108" t="s">
        <v>18940</v>
      </c>
      <c r="C2952" s="109">
        <v>44432</v>
      </c>
      <c r="D2952" s="108" t="s">
        <v>18941</v>
      </c>
      <c r="E2952" s="108" t="s">
        <v>14605</v>
      </c>
      <c r="F2952" s="108" t="s">
        <v>18942</v>
      </c>
      <c r="G2952" s="109">
        <v>44796</v>
      </c>
      <c r="H2952" s="108" t="s">
        <v>1125</v>
      </c>
      <c r="I2952" s="108" t="s">
        <v>108</v>
      </c>
    </row>
    <row r="2953" spans="1:9">
      <c r="A2953" s="108" t="s">
        <v>1828</v>
      </c>
      <c r="B2953" s="108" t="s">
        <v>18943</v>
      </c>
      <c r="C2953" s="109">
        <v>44118</v>
      </c>
      <c r="D2953" s="108" t="s">
        <v>18944</v>
      </c>
      <c r="E2953" s="108" t="s">
        <v>14605</v>
      </c>
      <c r="F2953" s="108" t="s">
        <v>18526</v>
      </c>
      <c r="G2953" s="109">
        <v>45212</v>
      </c>
      <c r="H2953" s="108" t="s">
        <v>1125</v>
      </c>
      <c r="I2953" s="108" t="s">
        <v>108</v>
      </c>
    </row>
    <row r="2954" spans="1:9" ht="27.6">
      <c r="A2954" s="108" t="s">
        <v>18914</v>
      </c>
      <c r="B2954" s="108" t="s">
        <v>18945</v>
      </c>
      <c r="C2954" s="109">
        <v>44202</v>
      </c>
      <c r="D2954" s="108" t="s">
        <v>18946</v>
      </c>
      <c r="E2954" s="108" t="s">
        <v>14605</v>
      </c>
      <c r="F2954" s="108" t="s">
        <v>18922</v>
      </c>
      <c r="G2954" s="109">
        <v>44566</v>
      </c>
      <c r="H2954" s="108" t="s">
        <v>1125</v>
      </c>
      <c r="I2954" s="108" t="s">
        <v>108</v>
      </c>
    </row>
    <row r="2955" spans="1:9" ht="41.4">
      <c r="A2955" s="108" t="s">
        <v>16421</v>
      </c>
      <c r="B2955" s="108" t="s">
        <v>18947</v>
      </c>
      <c r="C2955" s="109">
        <v>44211</v>
      </c>
      <c r="D2955" s="108" t="s">
        <v>18948</v>
      </c>
      <c r="E2955" s="108" t="s">
        <v>14605</v>
      </c>
      <c r="F2955" s="108" t="s">
        <v>18949</v>
      </c>
      <c r="G2955" s="109">
        <v>44575</v>
      </c>
      <c r="H2955" s="108" t="s">
        <v>1125</v>
      </c>
      <c r="I2955" s="108" t="s">
        <v>108</v>
      </c>
    </row>
    <row r="2956" spans="1:9">
      <c r="A2956" s="108" t="s">
        <v>16421</v>
      </c>
      <c r="B2956" s="108" t="s">
        <v>18950</v>
      </c>
      <c r="C2956" s="109">
        <v>44210</v>
      </c>
      <c r="D2956" s="108" t="s">
        <v>18951</v>
      </c>
      <c r="E2956" s="108" t="s">
        <v>14605</v>
      </c>
      <c r="F2956" s="108" t="s">
        <v>18952</v>
      </c>
      <c r="G2956" s="109">
        <v>44574</v>
      </c>
      <c r="H2956" s="108" t="s">
        <v>1125</v>
      </c>
      <c r="I2956" s="108" t="s">
        <v>108</v>
      </c>
    </row>
    <row r="2957" spans="1:9" ht="27.6">
      <c r="A2957" s="108" t="s">
        <v>18953</v>
      </c>
      <c r="B2957" s="108" t="s">
        <v>18954</v>
      </c>
      <c r="C2957" s="109">
        <v>44267</v>
      </c>
      <c r="D2957" s="108" t="s">
        <v>18955</v>
      </c>
      <c r="E2957" s="108" t="s">
        <v>14605</v>
      </c>
      <c r="F2957" s="108" t="s">
        <v>18956</v>
      </c>
      <c r="G2957" s="109">
        <v>44631</v>
      </c>
      <c r="H2957" s="108" t="s">
        <v>1125</v>
      </c>
      <c r="I2957" s="108" t="s">
        <v>108</v>
      </c>
    </row>
    <row r="2958" spans="1:9" ht="27.6">
      <c r="A2958" s="108" t="s">
        <v>16421</v>
      </c>
      <c r="B2958" s="108" t="s">
        <v>18957</v>
      </c>
      <c r="C2958" s="109">
        <v>44286</v>
      </c>
      <c r="D2958" s="108" t="s">
        <v>18958</v>
      </c>
      <c r="E2958" s="108" t="s">
        <v>14605</v>
      </c>
      <c r="F2958" s="108" t="s">
        <v>18959</v>
      </c>
      <c r="G2958" s="109">
        <v>44650</v>
      </c>
      <c r="H2958" s="108" t="s">
        <v>1125</v>
      </c>
      <c r="I2958" s="108" t="s">
        <v>108</v>
      </c>
    </row>
    <row r="2959" spans="1:9" ht="27.6">
      <c r="A2959" s="108" t="s">
        <v>18914</v>
      </c>
      <c r="B2959" s="108" t="s">
        <v>18960</v>
      </c>
      <c r="C2959" s="109">
        <v>44308</v>
      </c>
      <c r="D2959" s="108" t="s">
        <v>18961</v>
      </c>
      <c r="E2959" s="108" t="s">
        <v>14605</v>
      </c>
      <c r="F2959" s="108" t="s">
        <v>18962</v>
      </c>
      <c r="G2959" s="109">
        <v>44671</v>
      </c>
      <c r="H2959" s="108" t="s">
        <v>1125</v>
      </c>
      <c r="I2959" s="108" t="s">
        <v>108</v>
      </c>
    </row>
    <row r="2960" spans="1:9">
      <c r="A2960" s="108" t="s">
        <v>14937</v>
      </c>
      <c r="B2960" s="108" t="s">
        <v>18963</v>
      </c>
      <c r="C2960" s="109">
        <v>44441</v>
      </c>
      <c r="D2960" s="108" t="s">
        <v>18964</v>
      </c>
      <c r="E2960" s="108" t="s">
        <v>14605</v>
      </c>
      <c r="F2960" s="108" t="s">
        <v>18942</v>
      </c>
      <c r="G2960" s="109">
        <v>44805</v>
      </c>
      <c r="H2960" s="108" t="s">
        <v>1125</v>
      </c>
      <c r="I2960" s="108" t="s">
        <v>108</v>
      </c>
    </row>
    <row r="2961" spans="1:9" ht="27.6">
      <c r="A2961" s="108" t="s">
        <v>18914</v>
      </c>
      <c r="B2961" s="108" t="s">
        <v>18965</v>
      </c>
      <c r="C2961" s="109">
        <v>44397</v>
      </c>
      <c r="D2961" s="108" t="s">
        <v>18966</v>
      </c>
      <c r="E2961" s="108" t="s">
        <v>14605</v>
      </c>
      <c r="F2961" s="108" t="s">
        <v>18922</v>
      </c>
      <c r="G2961" s="109">
        <v>44761</v>
      </c>
      <c r="H2961" s="108" t="s">
        <v>1125</v>
      </c>
      <c r="I2961" s="108" t="s">
        <v>108</v>
      </c>
    </row>
    <row r="2962" spans="1:9" ht="27.6">
      <c r="A2962" s="108" t="s">
        <v>16421</v>
      </c>
      <c r="B2962" s="108" t="s">
        <v>18967</v>
      </c>
      <c r="C2962" s="109">
        <v>44365</v>
      </c>
      <c r="D2962" s="108" t="s">
        <v>18968</v>
      </c>
      <c r="E2962" s="108" t="s">
        <v>14605</v>
      </c>
      <c r="F2962" s="108" t="s">
        <v>18969</v>
      </c>
      <c r="G2962" s="109">
        <v>44729</v>
      </c>
      <c r="H2962" s="108" t="s">
        <v>1125</v>
      </c>
      <c r="I2962" s="108" t="s">
        <v>108</v>
      </c>
    </row>
    <row r="2963" spans="1:9" ht="27.6">
      <c r="A2963" s="108" t="s">
        <v>16421</v>
      </c>
      <c r="B2963" s="108" t="s">
        <v>18970</v>
      </c>
      <c r="C2963" s="109">
        <v>44371</v>
      </c>
      <c r="D2963" s="108" t="s">
        <v>18971</v>
      </c>
      <c r="E2963" s="108" t="s">
        <v>14605</v>
      </c>
      <c r="F2963" s="108" t="s">
        <v>18162</v>
      </c>
      <c r="G2963" s="109">
        <v>44735</v>
      </c>
      <c r="H2963" s="108" t="s">
        <v>1125</v>
      </c>
      <c r="I2963" s="108" t="s">
        <v>108</v>
      </c>
    </row>
    <row r="2964" spans="1:9" ht="27.6">
      <c r="A2964" s="108" t="s">
        <v>16421</v>
      </c>
      <c r="B2964" s="108" t="s">
        <v>18972</v>
      </c>
      <c r="C2964" s="109">
        <v>44427</v>
      </c>
      <c r="D2964" s="108" t="s">
        <v>18973</v>
      </c>
      <c r="E2964" s="108" t="s">
        <v>14605</v>
      </c>
      <c r="F2964" s="108" t="s">
        <v>18162</v>
      </c>
      <c r="G2964" s="109">
        <v>44791</v>
      </c>
      <c r="H2964" s="108" t="s">
        <v>1125</v>
      </c>
      <c r="I2964" s="108" t="s">
        <v>108</v>
      </c>
    </row>
    <row r="2965" spans="1:9" ht="27.6">
      <c r="A2965" s="108" t="s">
        <v>16421</v>
      </c>
      <c r="B2965" s="108" t="s">
        <v>18974</v>
      </c>
      <c r="C2965" s="109">
        <v>44426</v>
      </c>
      <c r="D2965" s="108" t="s">
        <v>18975</v>
      </c>
      <c r="E2965" s="108" t="s">
        <v>14605</v>
      </c>
      <c r="F2965" s="108" t="s">
        <v>18162</v>
      </c>
      <c r="G2965" s="109">
        <v>44790</v>
      </c>
      <c r="H2965" s="108" t="s">
        <v>1125</v>
      </c>
      <c r="I2965" s="108" t="s">
        <v>108</v>
      </c>
    </row>
    <row r="2966" spans="1:9" ht="27.6">
      <c r="A2966" s="108" t="s">
        <v>16421</v>
      </c>
      <c r="B2966" s="108" t="s">
        <v>18976</v>
      </c>
      <c r="C2966" s="109">
        <v>44478</v>
      </c>
      <c r="D2966" s="108" t="s">
        <v>18977</v>
      </c>
      <c r="E2966" s="108" t="s">
        <v>14605</v>
      </c>
      <c r="F2966" s="108" t="s">
        <v>18162</v>
      </c>
      <c r="G2966" s="109">
        <v>44842</v>
      </c>
      <c r="H2966" s="108" t="s">
        <v>1125</v>
      </c>
      <c r="I2966" s="108" t="s">
        <v>108</v>
      </c>
    </row>
    <row r="2967" spans="1:9" ht="27.6">
      <c r="A2967" s="108" t="s">
        <v>18914</v>
      </c>
      <c r="B2967" s="108" t="s">
        <v>18978</v>
      </c>
      <c r="C2967" s="109">
        <v>44420</v>
      </c>
      <c r="D2967" s="108" t="s">
        <v>18979</v>
      </c>
      <c r="E2967" s="108" t="s">
        <v>14605</v>
      </c>
      <c r="F2967" s="108" t="s">
        <v>18922</v>
      </c>
      <c r="G2967" s="109">
        <v>44784</v>
      </c>
      <c r="H2967" s="108" t="s">
        <v>1125</v>
      </c>
      <c r="I2967" s="108" t="s">
        <v>108</v>
      </c>
    </row>
    <row r="2968" spans="1:9" ht="41.4">
      <c r="A2968" s="108" t="s">
        <v>18914</v>
      </c>
      <c r="B2968" s="108" t="s">
        <v>18980</v>
      </c>
      <c r="C2968" s="109">
        <v>44499</v>
      </c>
      <c r="D2968" s="108" t="s">
        <v>18981</v>
      </c>
      <c r="E2968" s="108" t="s">
        <v>14605</v>
      </c>
      <c r="F2968" s="108" t="s">
        <v>18949</v>
      </c>
      <c r="G2968" s="109">
        <v>44860</v>
      </c>
      <c r="H2968" s="108" t="s">
        <v>1125</v>
      </c>
      <c r="I2968" s="108" t="s">
        <v>108</v>
      </c>
    </row>
    <row r="2969" spans="1:9">
      <c r="A2969" s="108" t="s">
        <v>18914</v>
      </c>
      <c r="B2969" s="108" t="s">
        <v>18982</v>
      </c>
      <c r="C2969" s="109">
        <v>44869</v>
      </c>
      <c r="D2969" s="108" t="s">
        <v>18983</v>
      </c>
      <c r="E2969" s="108" t="s">
        <v>14605</v>
      </c>
      <c r="F2969" s="108" t="s">
        <v>18984</v>
      </c>
      <c r="G2969" s="109">
        <v>44859</v>
      </c>
      <c r="H2969" s="108" t="s">
        <v>1125</v>
      </c>
      <c r="I2969" s="108" t="s">
        <v>108</v>
      </c>
    </row>
    <row r="2970" spans="1:9" ht="27.6">
      <c r="A2970" s="108" t="s">
        <v>16421</v>
      </c>
      <c r="B2970" s="108" t="s">
        <v>18985</v>
      </c>
      <c r="C2970" s="109">
        <v>44800</v>
      </c>
      <c r="D2970" s="108" t="s">
        <v>18986</v>
      </c>
      <c r="E2970" s="108" t="s">
        <v>14605</v>
      </c>
      <c r="F2970" s="108" t="s">
        <v>18162</v>
      </c>
      <c r="G2970" s="109">
        <v>45163</v>
      </c>
      <c r="H2970" s="108" t="s">
        <v>1125</v>
      </c>
      <c r="I2970" s="108" t="s">
        <v>108</v>
      </c>
    </row>
    <row r="2971" spans="1:9" ht="27.6">
      <c r="A2971" s="108" t="s">
        <v>16421</v>
      </c>
      <c r="B2971" s="108" t="s">
        <v>18987</v>
      </c>
      <c r="C2971" s="109">
        <v>44538</v>
      </c>
      <c r="D2971" s="108" t="s">
        <v>18988</v>
      </c>
      <c r="E2971" s="108" t="s">
        <v>14605</v>
      </c>
      <c r="F2971" s="108" t="s">
        <v>18989</v>
      </c>
      <c r="G2971" s="109">
        <v>44903</v>
      </c>
      <c r="H2971" s="108" t="s">
        <v>1125</v>
      </c>
      <c r="I2971" s="108" t="s">
        <v>108</v>
      </c>
    </row>
    <row r="2972" spans="1:9" ht="27.6">
      <c r="A2972" s="108" t="s">
        <v>16421</v>
      </c>
      <c r="B2972" s="108" t="s">
        <v>18990</v>
      </c>
      <c r="C2972" s="109">
        <v>44494</v>
      </c>
      <c r="D2972" s="108" t="s">
        <v>18991</v>
      </c>
      <c r="E2972" s="108" t="s">
        <v>14605</v>
      </c>
      <c r="F2972" s="108" t="s">
        <v>18162</v>
      </c>
      <c r="G2972" s="109">
        <v>44858</v>
      </c>
      <c r="H2972" s="108" t="s">
        <v>1125</v>
      </c>
      <c r="I2972" s="108" t="s">
        <v>108</v>
      </c>
    </row>
    <row r="2973" spans="1:9" ht="27.6">
      <c r="A2973" s="108" t="s">
        <v>16421</v>
      </c>
      <c r="B2973" s="108" t="s">
        <v>18992</v>
      </c>
      <c r="C2973" s="109">
        <v>44478</v>
      </c>
      <c r="D2973" s="108" t="s">
        <v>18993</v>
      </c>
      <c r="E2973" s="108" t="s">
        <v>14605</v>
      </c>
      <c r="F2973" s="108" t="s">
        <v>18922</v>
      </c>
      <c r="G2973" s="109">
        <v>44842</v>
      </c>
      <c r="H2973" s="108" t="s">
        <v>1125</v>
      </c>
      <c r="I2973" s="108" t="s">
        <v>108</v>
      </c>
    </row>
    <row r="2974" spans="1:9" ht="27.6">
      <c r="A2974" s="108" t="s">
        <v>16421</v>
      </c>
      <c r="B2974" s="108" t="s">
        <v>18994</v>
      </c>
      <c r="C2974" s="109">
        <v>44496</v>
      </c>
      <c r="D2974" s="108" t="s">
        <v>18995</v>
      </c>
      <c r="E2974" s="108" t="s">
        <v>14605</v>
      </c>
      <c r="F2974" s="108" t="s">
        <v>18996</v>
      </c>
      <c r="G2974" s="109">
        <v>44861</v>
      </c>
      <c r="H2974" s="108" t="s">
        <v>1125</v>
      </c>
      <c r="I2974" s="108" t="s">
        <v>108</v>
      </c>
    </row>
    <row r="2975" spans="1:9" ht="41.4">
      <c r="A2975" s="108" t="s">
        <v>16421</v>
      </c>
      <c r="B2975" s="108" t="s">
        <v>18997</v>
      </c>
      <c r="C2975" s="109">
        <v>44503</v>
      </c>
      <c r="D2975" s="108" t="s">
        <v>18998</v>
      </c>
      <c r="E2975" s="108" t="s">
        <v>14605</v>
      </c>
      <c r="F2975" s="108" t="s">
        <v>18949</v>
      </c>
      <c r="G2975" s="109">
        <v>44867</v>
      </c>
      <c r="H2975" s="108" t="s">
        <v>1125</v>
      </c>
      <c r="I2975" s="108" t="s">
        <v>108</v>
      </c>
    </row>
    <row r="2976" spans="1:9" ht="27.6">
      <c r="A2976" s="108" t="s">
        <v>16421</v>
      </c>
      <c r="B2976" s="108" t="s">
        <v>18999</v>
      </c>
      <c r="C2976" s="109">
        <v>44536</v>
      </c>
      <c r="D2976" s="108" t="s">
        <v>19000</v>
      </c>
      <c r="E2976" s="108" t="s">
        <v>14605</v>
      </c>
      <c r="F2976" s="108" t="s">
        <v>18162</v>
      </c>
      <c r="G2976" s="109">
        <v>44901</v>
      </c>
      <c r="H2976" s="108" t="s">
        <v>1125</v>
      </c>
      <c r="I2976" s="108" t="s">
        <v>108</v>
      </c>
    </row>
    <row r="2977" spans="1:9" ht="27.6">
      <c r="A2977" s="108" t="s">
        <v>16421</v>
      </c>
      <c r="B2977" s="108" t="s">
        <v>19001</v>
      </c>
      <c r="C2977" s="109">
        <v>44525</v>
      </c>
      <c r="D2977" s="108" t="s">
        <v>19002</v>
      </c>
      <c r="E2977" s="108" t="s">
        <v>14605</v>
      </c>
      <c r="F2977" s="108" t="s">
        <v>18162</v>
      </c>
      <c r="G2977" s="109">
        <v>44889</v>
      </c>
      <c r="H2977" s="108" t="s">
        <v>1125</v>
      </c>
      <c r="I2977" s="108" t="s">
        <v>108</v>
      </c>
    </row>
    <row r="2978" spans="1:9" ht="27.6">
      <c r="A2978" s="108" t="s">
        <v>16421</v>
      </c>
      <c r="B2978" s="108" t="s">
        <v>19003</v>
      </c>
      <c r="C2978" s="109">
        <v>44658</v>
      </c>
      <c r="D2978" s="108" t="s">
        <v>19004</v>
      </c>
      <c r="E2978" s="108" t="s">
        <v>14605</v>
      </c>
      <c r="F2978" s="108" t="s">
        <v>19005</v>
      </c>
      <c r="G2978" s="109">
        <v>45022</v>
      </c>
      <c r="H2978" s="108" t="s">
        <v>1125</v>
      </c>
      <c r="I2978" s="108" t="s">
        <v>108</v>
      </c>
    </row>
    <row r="2979" spans="1:9" ht="27.6">
      <c r="A2979" s="108" t="s">
        <v>16421</v>
      </c>
      <c r="B2979" s="108" t="s">
        <v>19006</v>
      </c>
      <c r="C2979" s="109">
        <v>44557</v>
      </c>
      <c r="D2979" s="108" t="s">
        <v>19007</v>
      </c>
      <c r="E2979" s="108" t="s">
        <v>14605</v>
      </c>
      <c r="F2979" s="108" t="s">
        <v>18162</v>
      </c>
      <c r="G2979" s="109">
        <v>44919</v>
      </c>
      <c r="H2979" s="108" t="s">
        <v>1125</v>
      </c>
      <c r="I2979" s="108" t="s">
        <v>108</v>
      </c>
    </row>
    <row r="2980" spans="1:9" ht="41.4">
      <c r="A2980" s="108" t="s">
        <v>16421</v>
      </c>
      <c r="B2980" s="108" t="s">
        <v>19008</v>
      </c>
      <c r="C2980" s="109">
        <v>44572</v>
      </c>
      <c r="D2980" s="108" t="s">
        <v>19009</v>
      </c>
      <c r="E2980" s="108" t="s">
        <v>14605</v>
      </c>
      <c r="F2980" s="108" t="s">
        <v>18949</v>
      </c>
      <c r="G2980" s="109">
        <v>44936</v>
      </c>
      <c r="H2980" s="108" t="s">
        <v>1125</v>
      </c>
      <c r="I2980" s="108" t="s">
        <v>108</v>
      </c>
    </row>
    <row r="2981" spans="1:9">
      <c r="A2981" s="108" t="s">
        <v>19010</v>
      </c>
      <c r="B2981" s="108" t="s">
        <v>19011</v>
      </c>
      <c r="C2981" s="109">
        <v>44580</v>
      </c>
      <c r="D2981" s="108" t="s">
        <v>19012</v>
      </c>
      <c r="E2981" s="108" t="s">
        <v>14605</v>
      </c>
      <c r="F2981" s="108" t="s">
        <v>15431</v>
      </c>
      <c r="G2981" s="109">
        <v>44944</v>
      </c>
      <c r="H2981" s="108" t="s">
        <v>1125</v>
      </c>
      <c r="I2981" s="108" t="s">
        <v>108</v>
      </c>
    </row>
    <row r="2982" spans="1:9" ht="27.6">
      <c r="A2982" s="108" t="s">
        <v>16421</v>
      </c>
      <c r="B2982" s="108" t="s">
        <v>19013</v>
      </c>
      <c r="C2982" s="109">
        <v>44580</v>
      </c>
      <c r="D2982" s="108" t="s">
        <v>19014</v>
      </c>
      <c r="E2982" s="108" t="s">
        <v>14605</v>
      </c>
      <c r="F2982" s="108" t="s">
        <v>18162</v>
      </c>
      <c r="G2982" s="109">
        <v>44944</v>
      </c>
      <c r="H2982" s="108" t="s">
        <v>1125</v>
      </c>
      <c r="I2982" s="108" t="s">
        <v>108</v>
      </c>
    </row>
    <row r="2983" spans="1:9" ht="27.6">
      <c r="A2983" s="108" t="s">
        <v>1828</v>
      </c>
      <c r="B2983" s="108" t="s">
        <v>19015</v>
      </c>
      <c r="C2983" s="109">
        <v>44576</v>
      </c>
      <c r="D2983" s="108" t="s">
        <v>19016</v>
      </c>
      <c r="E2983" s="108" t="s">
        <v>14605</v>
      </c>
      <c r="F2983" s="108" t="s">
        <v>18162</v>
      </c>
      <c r="G2983" s="109">
        <v>44937</v>
      </c>
      <c r="H2983" s="108" t="s">
        <v>1125</v>
      </c>
      <c r="I2983" s="108" t="s">
        <v>108</v>
      </c>
    </row>
    <row r="2984" spans="1:9" ht="27.6">
      <c r="A2984" s="108" t="s">
        <v>16421</v>
      </c>
      <c r="B2984" s="108" t="s">
        <v>19017</v>
      </c>
      <c r="C2984" s="109">
        <v>44606</v>
      </c>
      <c r="D2984" s="108" t="s">
        <v>19018</v>
      </c>
      <c r="E2984" s="108" t="s">
        <v>14605</v>
      </c>
      <c r="F2984" s="108" t="s">
        <v>18162</v>
      </c>
      <c r="G2984" s="109">
        <v>44970</v>
      </c>
      <c r="H2984" s="108" t="s">
        <v>1125</v>
      </c>
      <c r="I2984" s="108" t="s">
        <v>108</v>
      </c>
    </row>
    <row r="2985" spans="1:9" ht="27.6">
      <c r="A2985" s="108" t="s">
        <v>16421</v>
      </c>
      <c r="B2985" s="108" t="s">
        <v>19019</v>
      </c>
      <c r="C2985" s="109">
        <v>44609</v>
      </c>
      <c r="D2985" s="108" t="s">
        <v>19020</v>
      </c>
      <c r="E2985" s="108" t="s">
        <v>14605</v>
      </c>
      <c r="F2985" s="108" t="s">
        <v>18162</v>
      </c>
      <c r="G2985" s="109">
        <v>44973</v>
      </c>
      <c r="H2985" s="108" t="s">
        <v>1125</v>
      </c>
      <c r="I2985" s="108" t="s">
        <v>108</v>
      </c>
    </row>
    <row r="2986" spans="1:9" ht="27.6">
      <c r="A2986" s="108" t="s">
        <v>16421</v>
      </c>
      <c r="B2986" s="108" t="s">
        <v>19021</v>
      </c>
      <c r="C2986" s="109">
        <v>44613</v>
      </c>
      <c r="D2986" s="108" t="s">
        <v>19022</v>
      </c>
      <c r="E2986" s="108" t="s">
        <v>14605</v>
      </c>
      <c r="F2986" s="108" t="s">
        <v>18162</v>
      </c>
      <c r="G2986" s="109">
        <v>44977</v>
      </c>
      <c r="H2986" s="108" t="s">
        <v>1125</v>
      </c>
      <c r="I2986" s="108" t="s">
        <v>108</v>
      </c>
    </row>
    <row r="2987" spans="1:9" ht="27.6">
      <c r="A2987" s="108" t="s">
        <v>16421</v>
      </c>
      <c r="B2987" s="108" t="s">
        <v>19023</v>
      </c>
      <c r="C2987" s="109">
        <v>44825</v>
      </c>
      <c r="D2987" s="108" t="s">
        <v>19024</v>
      </c>
      <c r="E2987" s="108" t="s">
        <v>14605</v>
      </c>
      <c r="F2987" s="108" t="s">
        <v>18162</v>
      </c>
      <c r="G2987" s="109">
        <v>45188</v>
      </c>
      <c r="H2987" s="108" t="s">
        <v>1125</v>
      </c>
      <c r="I2987" s="108" t="s">
        <v>108</v>
      </c>
    </row>
    <row r="2988" spans="1:9" ht="27.6">
      <c r="A2988" s="108" t="s">
        <v>16421</v>
      </c>
      <c r="B2988" s="108" t="s">
        <v>19025</v>
      </c>
      <c r="C2988" s="109">
        <v>44698</v>
      </c>
      <c r="D2988" s="108" t="s">
        <v>19026</v>
      </c>
      <c r="E2988" s="108" t="s">
        <v>14605</v>
      </c>
      <c r="F2988" s="108" t="s">
        <v>18162</v>
      </c>
      <c r="G2988" s="109">
        <v>45062</v>
      </c>
      <c r="H2988" s="108" t="s">
        <v>1125</v>
      </c>
      <c r="I2988" s="108" t="s">
        <v>108</v>
      </c>
    </row>
    <row r="2989" spans="1:9">
      <c r="A2989" s="108" t="s">
        <v>14937</v>
      </c>
      <c r="B2989" s="108" t="s">
        <v>19027</v>
      </c>
      <c r="C2989" s="109">
        <v>44716</v>
      </c>
      <c r="D2989" s="108" t="s">
        <v>19028</v>
      </c>
      <c r="E2989" s="108" t="s">
        <v>14605</v>
      </c>
      <c r="F2989" s="108" t="s">
        <v>18716</v>
      </c>
      <c r="G2989" s="109">
        <v>45079</v>
      </c>
      <c r="H2989" s="108" t="s">
        <v>1125</v>
      </c>
      <c r="I2989" s="108" t="s">
        <v>108</v>
      </c>
    </row>
    <row r="2990" spans="1:9" ht="27.6">
      <c r="A2990" s="108" t="s">
        <v>16421</v>
      </c>
      <c r="B2990" s="108" t="s">
        <v>19029</v>
      </c>
      <c r="C2990" s="109">
        <v>44875</v>
      </c>
      <c r="D2990" s="108" t="s">
        <v>19030</v>
      </c>
      <c r="E2990" s="108" t="s">
        <v>14605</v>
      </c>
      <c r="F2990" s="108" t="s">
        <v>18162</v>
      </c>
      <c r="G2990" s="109">
        <v>45121</v>
      </c>
      <c r="H2990" s="108" t="s">
        <v>1125</v>
      </c>
      <c r="I2990" s="108" t="s">
        <v>108</v>
      </c>
    </row>
    <row r="2991" spans="1:9">
      <c r="A2991" s="108" t="s">
        <v>16421</v>
      </c>
      <c r="B2991" s="108" t="s">
        <v>19031</v>
      </c>
      <c r="C2991" s="109">
        <v>44846</v>
      </c>
      <c r="D2991" s="108" t="s">
        <v>19032</v>
      </c>
      <c r="E2991" s="108" t="s">
        <v>14605</v>
      </c>
      <c r="F2991" s="108" t="s">
        <v>19033</v>
      </c>
      <c r="G2991" s="109">
        <v>45210</v>
      </c>
      <c r="H2991" s="108" t="s">
        <v>1125</v>
      </c>
      <c r="I2991" s="108" t="s">
        <v>108</v>
      </c>
    </row>
    <row r="2992" spans="1:9" ht="27.6">
      <c r="A2992" s="108" t="s">
        <v>1828</v>
      </c>
      <c r="B2992" s="108" t="s">
        <v>19034</v>
      </c>
      <c r="C2992" s="109">
        <v>44712</v>
      </c>
      <c r="D2992" s="108" t="s">
        <v>19035</v>
      </c>
      <c r="E2992" s="108" t="s">
        <v>14605</v>
      </c>
      <c r="F2992" s="108" t="s">
        <v>18162</v>
      </c>
      <c r="G2992" s="109">
        <v>45076</v>
      </c>
      <c r="H2992" s="108" t="s">
        <v>1125</v>
      </c>
      <c r="I2992" s="108" t="s">
        <v>108</v>
      </c>
    </row>
    <row r="2993" spans="1:9" ht="27.6">
      <c r="A2993" s="108" t="s">
        <v>16421</v>
      </c>
      <c r="B2993" s="108" t="s">
        <v>19036</v>
      </c>
      <c r="C2993" s="109">
        <v>45028</v>
      </c>
      <c r="D2993" s="108" t="s">
        <v>19037</v>
      </c>
      <c r="E2993" s="108" t="s">
        <v>14605</v>
      </c>
      <c r="F2993" s="108" t="s">
        <v>19038</v>
      </c>
      <c r="G2993" s="109">
        <v>45393</v>
      </c>
      <c r="H2993" s="108" t="s">
        <v>1125</v>
      </c>
      <c r="I2993" s="108" t="s">
        <v>108</v>
      </c>
    </row>
    <row r="2994" spans="1:9" ht="27.6">
      <c r="A2994" s="108" t="s">
        <v>16421</v>
      </c>
      <c r="B2994" s="108" t="s">
        <v>19039</v>
      </c>
      <c r="C2994" s="109">
        <v>44778</v>
      </c>
      <c r="D2994" s="108" t="s">
        <v>19040</v>
      </c>
      <c r="E2994" s="108" t="s">
        <v>14605</v>
      </c>
      <c r="F2994" s="108" t="s">
        <v>18162</v>
      </c>
      <c r="G2994" s="109">
        <v>45142</v>
      </c>
      <c r="H2994" s="108" t="s">
        <v>1125</v>
      </c>
      <c r="I2994" s="108" t="s">
        <v>108</v>
      </c>
    </row>
    <row r="2995" spans="1:9" ht="27.6">
      <c r="A2995" s="108" t="s">
        <v>16421</v>
      </c>
      <c r="B2995" s="108" t="s">
        <v>19041</v>
      </c>
      <c r="C2995" s="109">
        <v>44791</v>
      </c>
      <c r="D2995" s="108" t="s">
        <v>19042</v>
      </c>
      <c r="E2995" s="108" t="s">
        <v>14605</v>
      </c>
      <c r="F2995" s="108" t="s">
        <v>18162</v>
      </c>
      <c r="G2995" s="109">
        <v>45155</v>
      </c>
      <c r="H2995" s="108" t="s">
        <v>18235</v>
      </c>
      <c r="I2995" s="108" t="s">
        <v>108</v>
      </c>
    </row>
    <row r="2996" spans="1:9" ht="27.6">
      <c r="A2996" s="108" t="s">
        <v>14937</v>
      </c>
      <c r="B2996" s="108" t="s">
        <v>19043</v>
      </c>
      <c r="C2996" s="109">
        <v>45072</v>
      </c>
      <c r="D2996" s="108" t="s">
        <v>19044</v>
      </c>
      <c r="E2996" s="108" t="s">
        <v>14605</v>
      </c>
      <c r="F2996" s="108" t="s">
        <v>19045</v>
      </c>
      <c r="G2996" s="109">
        <v>45435</v>
      </c>
      <c r="H2996" s="108" t="s">
        <v>1125</v>
      </c>
      <c r="I2996" s="108" t="s">
        <v>108</v>
      </c>
    </row>
    <row r="2997" spans="1:9" ht="27.6">
      <c r="A2997" s="108" t="s">
        <v>14937</v>
      </c>
      <c r="B2997" s="108" t="s">
        <v>19046</v>
      </c>
      <c r="C2997" s="109">
        <v>45007</v>
      </c>
      <c r="D2997" s="108" t="s">
        <v>19047</v>
      </c>
      <c r="E2997" s="108" t="s">
        <v>14605</v>
      </c>
      <c r="F2997" s="108" t="s">
        <v>19048</v>
      </c>
      <c r="G2997" s="109">
        <v>45371</v>
      </c>
      <c r="H2997" s="108" t="s">
        <v>1125</v>
      </c>
      <c r="I2997" s="108" t="s">
        <v>108</v>
      </c>
    </row>
    <row r="2998" spans="1:9" ht="27.6">
      <c r="A2998" s="108" t="s">
        <v>14937</v>
      </c>
      <c r="B2998" s="108" t="s">
        <v>19049</v>
      </c>
      <c r="C2998" s="109">
        <v>44757</v>
      </c>
      <c r="D2998" s="108" t="s">
        <v>19050</v>
      </c>
      <c r="E2998" s="108" t="s">
        <v>14605</v>
      </c>
      <c r="F2998" s="108" t="s">
        <v>18936</v>
      </c>
      <c r="G2998" s="109">
        <v>45121</v>
      </c>
      <c r="H2998" s="108" t="s">
        <v>1125</v>
      </c>
      <c r="I2998" s="108" t="s">
        <v>108</v>
      </c>
    </row>
    <row r="2999" spans="1:9" ht="27.6">
      <c r="A2999" s="108" t="s">
        <v>14937</v>
      </c>
      <c r="B2999" s="108" t="s">
        <v>19051</v>
      </c>
      <c r="C2999" s="109">
        <v>44796</v>
      </c>
      <c r="D2999" s="108" t="s">
        <v>19052</v>
      </c>
      <c r="E2999" s="108" t="s">
        <v>14605</v>
      </c>
      <c r="F2999" s="108" t="s">
        <v>19053</v>
      </c>
      <c r="G2999" s="109">
        <v>45160</v>
      </c>
      <c r="H2999" s="108" t="s">
        <v>1125</v>
      </c>
      <c r="I2999" s="108" t="s">
        <v>108</v>
      </c>
    </row>
    <row r="3000" spans="1:9" ht="27.6">
      <c r="A3000" s="108" t="s">
        <v>14937</v>
      </c>
      <c r="B3000" s="108" t="s">
        <v>19054</v>
      </c>
      <c r="C3000" s="109">
        <v>44798</v>
      </c>
      <c r="D3000" s="108" t="s">
        <v>19055</v>
      </c>
      <c r="E3000" s="108" t="s">
        <v>14605</v>
      </c>
      <c r="F3000" s="108" t="s">
        <v>15490</v>
      </c>
      <c r="G3000" s="109">
        <v>46622</v>
      </c>
      <c r="H3000" s="108" t="s">
        <v>1125</v>
      </c>
      <c r="I3000" s="108" t="s">
        <v>108</v>
      </c>
    </row>
    <row r="3001" spans="1:9">
      <c r="A3001" s="108" t="s">
        <v>14937</v>
      </c>
      <c r="B3001" s="108" t="s">
        <v>19056</v>
      </c>
      <c r="C3001" s="109">
        <v>45008</v>
      </c>
      <c r="D3001" s="108" t="s">
        <v>19057</v>
      </c>
      <c r="E3001" s="108" t="s">
        <v>14605</v>
      </c>
      <c r="F3001" s="108" t="s">
        <v>18358</v>
      </c>
      <c r="G3001" s="109">
        <v>45373</v>
      </c>
      <c r="H3001" s="108" t="s">
        <v>1125</v>
      </c>
      <c r="I3001" s="108" t="s">
        <v>108</v>
      </c>
    </row>
    <row r="3002" spans="1:9" ht="27.6">
      <c r="A3002" s="108" t="s">
        <v>14937</v>
      </c>
      <c r="B3002" s="108" t="s">
        <v>19058</v>
      </c>
      <c r="C3002" s="109">
        <v>45105</v>
      </c>
      <c r="D3002" s="108" t="s">
        <v>19059</v>
      </c>
      <c r="E3002" s="108" t="s">
        <v>14605</v>
      </c>
      <c r="F3002" s="108" t="s">
        <v>15885</v>
      </c>
      <c r="G3002" s="109">
        <v>45470</v>
      </c>
      <c r="H3002" s="108" t="s">
        <v>1125</v>
      </c>
      <c r="I3002" s="108" t="s">
        <v>108</v>
      </c>
    </row>
    <row r="3003" spans="1:9" ht="27.6">
      <c r="A3003" s="108" t="s">
        <v>14937</v>
      </c>
      <c r="B3003" s="108" t="s">
        <v>19060</v>
      </c>
      <c r="C3003" s="109">
        <v>45437</v>
      </c>
      <c r="D3003" s="108" t="s">
        <v>19061</v>
      </c>
      <c r="E3003" s="108" t="s">
        <v>14605</v>
      </c>
      <c r="F3003" s="108" t="s">
        <v>19062</v>
      </c>
      <c r="G3003" s="109">
        <v>45798</v>
      </c>
      <c r="H3003" s="108" t="s">
        <v>1125</v>
      </c>
      <c r="I3003" s="108" t="s">
        <v>108</v>
      </c>
    </row>
    <row r="3004" spans="1:9">
      <c r="A3004" s="108" t="s">
        <v>14937</v>
      </c>
      <c r="B3004" s="108" t="s">
        <v>19063</v>
      </c>
      <c r="C3004" s="109">
        <v>44865</v>
      </c>
      <c r="D3004" s="108" t="s">
        <v>19064</v>
      </c>
      <c r="E3004" s="108" t="s">
        <v>14605</v>
      </c>
      <c r="F3004" s="108" t="s">
        <v>19065</v>
      </c>
      <c r="G3004" s="109">
        <v>45229</v>
      </c>
      <c r="H3004" s="108" t="s">
        <v>1125</v>
      </c>
      <c r="I3004" s="108" t="s">
        <v>108</v>
      </c>
    </row>
    <row r="3005" spans="1:9">
      <c r="A3005" s="108" t="s">
        <v>14937</v>
      </c>
      <c r="B3005" s="108" t="s">
        <v>19066</v>
      </c>
      <c r="C3005" s="109">
        <v>45617</v>
      </c>
      <c r="D3005" s="108" t="s">
        <v>19067</v>
      </c>
      <c r="E3005" s="108" t="s">
        <v>14605</v>
      </c>
      <c r="F3005" s="108" t="s">
        <v>19068</v>
      </c>
      <c r="G3005" s="109">
        <v>45981</v>
      </c>
      <c r="H3005" s="108" t="s">
        <v>1125</v>
      </c>
      <c r="I3005" s="108" t="s">
        <v>108</v>
      </c>
    </row>
    <row r="3006" spans="1:9" ht="27.6">
      <c r="A3006" s="108" t="s">
        <v>14937</v>
      </c>
      <c r="B3006" s="108" t="s">
        <v>19069</v>
      </c>
      <c r="C3006" s="109">
        <v>45168</v>
      </c>
      <c r="D3006" s="108" t="s">
        <v>19070</v>
      </c>
      <c r="E3006" s="108" t="s">
        <v>14605</v>
      </c>
      <c r="F3006" s="108" t="s">
        <v>19071</v>
      </c>
      <c r="G3006" s="109">
        <v>45532</v>
      </c>
      <c r="H3006" s="108" t="s">
        <v>1125</v>
      </c>
      <c r="I3006" s="108" t="s">
        <v>108</v>
      </c>
    </row>
    <row r="3007" spans="1:9" ht="27.6">
      <c r="A3007" s="108" t="s">
        <v>14937</v>
      </c>
      <c r="B3007" s="108" t="s">
        <v>19072</v>
      </c>
      <c r="C3007" s="109">
        <v>45210</v>
      </c>
      <c r="D3007" s="108" t="s">
        <v>19073</v>
      </c>
      <c r="E3007" s="108" t="s">
        <v>14605</v>
      </c>
      <c r="F3007" s="108" t="s">
        <v>19074</v>
      </c>
      <c r="G3007" s="109">
        <v>45573</v>
      </c>
      <c r="H3007" s="108" t="s">
        <v>1125</v>
      </c>
      <c r="I3007" s="108" t="s">
        <v>108</v>
      </c>
    </row>
    <row r="3008" spans="1:9">
      <c r="A3008" s="108" t="s">
        <v>19010</v>
      </c>
      <c r="B3008" s="108" t="s">
        <v>19075</v>
      </c>
      <c r="C3008" s="109">
        <v>45037</v>
      </c>
      <c r="D3008" s="108" t="s">
        <v>19076</v>
      </c>
      <c r="E3008" s="108" t="s">
        <v>14605</v>
      </c>
      <c r="F3008" s="108" t="s">
        <v>19077</v>
      </c>
      <c r="G3008" s="109">
        <v>45401</v>
      </c>
      <c r="H3008" s="108" t="s">
        <v>1125</v>
      </c>
      <c r="I3008" s="108" t="s">
        <v>108</v>
      </c>
    </row>
    <row r="3009" spans="1:9" ht="27.6">
      <c r="A3009" s="108" t="s">
        <v>19010</v>
      </c>
      <c r="B3009" s="108" t="s">
        <v>19078</v>
      </c>
      <c r="C3009" s="109">
        <v>45169</v>
      </c>
      <c r="D3009" s="108" t="s">
        <v>19079</v>
      </c>
      <c r="E3009" s="108" t="s">
        <v>14605</v>
      </c>
      <c r="F3009" s="108" t="s">
        <v>18713</v>
      </c>
      <c r="G3009" s="109">
        <v>45534</v>
      </c>
      <c r="H3009" s="108" t="s">
        <v>1125</v>
      </c>
      <c r="I3009" s="108" t="s">
        <v>108</v>
      </c>
    </row>
    <row r="3010" spans="1:9" ht="27.6">
      <c r="A3010" s="108" t="s">
        <v>14937</v>
      </c>
      <c r="B3010" s="108" t="s">
        <v>19080</v>
      </c>
      <c r="C3010" s="109">
        <v>45184</v>
      </c>
      <c r="D3010" s="108" t="s">
        <v>19081</v>
      </c>
      <c r="E3010" s="108" t="s">
        <v>14605</v>
      </c>
      <c r="F3010" s="108" t="s">
        <v>18598</v>
      </c>
      <c r="G3010" s="109">
        <v>45548</v>
      </c>
      <c r="H3010" s="108" t="s">
        <v>1125</v>
      </c>
      <c r="I3010" s="108" t="s">
        <v>108</v>
      </c>
    </row>
    <row r="3011" spans="1:9" ht="27.6">
      <c r="A3011" s="108" t="s">
        <v>14937</v>
      </c>
      <c r="B3011" s="108" t="s">
        <v>19082</v>
      </c>
      <c r="C3011" s="109">
        <v>45184</v>
      </c>
      <c r="D3011" s="108" t="s">
        <v>19083</v>
      </c>
      <c r="E3011" s="108" t="s">
        <v>14605</v>
      </c>
      <c r="F3011" s="108" t="s">
        <v>18917</v>
      </c>
      <c r="G3011" s="109">
        <v>45547</v>
      </c>
      <c r="H3011" s="108" t="s">
        <v>1125</v>
      </c>
      <c r="I3011" s="108" t="s">
        <v>108</v>
      </c>
    </row>
    <row r="3012" spans="1:9" ht="27.6">
      <c r="A3012" s="108" t="s">
        <v>14950</v>
      </c>
      <c r="B3012" s="108" t="s">
        <v>19084</v>
      </c>
      <c r="C3012" s="109">
        <v>43621</v>
      </c>
      <c r="D3012" s="108" t="s">
        <v>19085</v>
      </c>
      <c r="E3012" s="108" t="s">
        <v>14605</v>
      </c>
      <c r="F3012" s="108" t="s">
        <v>18731</v>
      </c>
      <c r="G3012" s="109">
        <v>45447</v>
      </c>
      <c r="H3012" s="108" t="s">
        <v>1125</v>
      </c>
      <c r="I3012" s="108" t="s">
        <v>108</v>
      </c>
    </row>
    <row r="3013" spans="1:9" ht="27.6">
      <c r="A3013" s="108" t="s">
        <v>14950</v>
      </c>
      <c r="B3013" s="108" t="s">
        <v>19086</v>
      </c>
      <c r="C3013" s="109">
        <v>44001</v>
      </c>
      <c r="D3013" s="108" t="s">
        <v>19087</v>
      </c>
      <c r="E3013" s="108" t="s">
        <v>14605</v>
      </c>
      <c r="F3013" s="108" t="s">
        <v>18690</v>
      </c>
      <c r="G3013" s="109">
        <v>44730</v>
      </c>
      <c r="H3013" s="108" t="s">
        <v>1125</v>
      </c>
      <c r="I3013" s="108" t="s">
        <v>108</v>
      </c>
    </row>
    <row r="3014" spans="1:9" ht="27.6">
      <c r="A3014" s="108" t="s">
        <v>14950</v>
      </c>
      <c r="B3014" s="108" t="s">
        <v>19088</v>
      </c>
      <c r="C3014" s="109">
        <v>43950</v>
      </c>
      <c r="D3014" s="108" t="s">
        <v>19089</v>
      </c>
      <c r="E3014" s="108" t="s">
        <v>14605</v>
      </c>
      <c r="F3014" s="108" t="s">
        <v>19090</v>
      </c>
      <c r="G3014" s="109">
        <v>45045</v>
      </c>
      <c r="H3014" s="108" t="s">
        <v>1125</v>
      </c>
      <c r="I3014" s="108" t="s">
        <v>108</v>
      </c>
    </row>
    <row r="3015" spans="1:9" ht="27.6">
      <c r="A3015" s="108" t="s">
        <v>14950</v>
      </c>
      <c r="B3015" s="108" t="s">
        <v>19091</v>
      </c>
      <c r="C3015" s="109">
        <v>44481</v>
      </c>
      <c r="D3015" s="108" t="s">
        <v>19092</v>
      </c>
      <c r="E3015" s="108" t="s">
        <v>14605</v>
      </c>
      <c r="F3015" s="108" t="s">
        <v>19093</v>
      </c>
      <c r="G3015" s="109">
        <v>44752</v>
      </c>
      <c r="H3015" s="108" t="s">
        <v>1125</v>
      </c>
      <c r="I3015" s="108" t="s">
        <v>108</v>
      </c>
    </row>
    <row r="3016" spans="1:9" ht="41.4">
      <c r="A3016" s="108" t="s">
        <v>14950</v>
      </c>
      <c r="B3016" s="108" t="s">
        <v>19094</v>
      </c>
      <c r="C3016" s="109">
        <v>43936</v>
      </c>
      <c r="D3016" s="108" t="s">
        <v>19095</v>
      </c>
      <c r="E3016" s="108" t="s">
        <v>14605</v>
      </c>
      <c r="F3016" s="108" t="s">
        <v>19096</v>
      </c>
      <c r="G3016" s="109">
        <v>44665</v>
      </c>
      <c r="H3016" s="108" t="s">
        <v>1125</v>
      </c>
      <c r="I3016" s="108" t="s">
        <v>108</v>
      </c>
    </row>
    <row r="3017" spans="1:9" ht="27.6">
      <c r="A3017" s="108" t="s">
        <v>14950</v>
      </c>
      <c r="B3017" s="108" t="s">
        <v>19097</v>
      </c>
      <c r="C3017" s="109">
        <v>44022</v>
      </c>
      <c r="D3017" s="108" t="s">
        <v>19098</v>
      </c>
      <c r="E3017" s="108" t="s">
        <v>14605</v>
      </c>
      <c r="F3017" s="108" t="s">
        <v>19099</v>
      </c>
      <c r="G3017" s="109">
        <v>44751</v>
      </c>
      <c r="H3017" s="108" t="s">
        <v>1125</v>
      </c>
      <c r="I3017" s="108" t="s">
        <v>108</v>
      </c>
    </row>
    <row r="3018" spans="1:9" ht="41.4">
      <c r="A3018" s="108" t="s">
        <v>14950</v>
      </c>
      <c r="B3018" s="108" t="s">
        <v>19100</v>
      </c>
      <c r="C3018" s="109">
        <v>44174</v>
      </c>
      <c r="D3018" s="108" t="s">
        <v>19101</v>
      </c>
      <c r="E3018" s="108" t="s">
        <v>14605</v>
      </c>
      <c r="F3018" s="108" t="s">
        <v>18693</v>
      </c>
      <c r="G3018" s="109">
        <v>45608</v>
      </c>
      <c r="H3018" s="108" t="s">
        <v>1125</v>
      </c>
      <c r="I3018" s="108" t="s">
        <v>108</v>
      </c>
    </row>
    <row r="3019" spans="1:9" ht="41.4">
      <c r="A3019" s="108" t="s">
        <v>14950</v>
      </c>
      <c r="B3019" s="108" t="s">
        <v>19102</v>
      </c>
      <c r="C3019" s="109">
        <v>44344</v>
      </c>
      <c r="D3019" s="108" t="s">
        <v>19103</v>
      </c>
      <c r="E3019" s="108" t="s">
        <v>14605</v>
      </c>
      <c r="F3019" s="108" t="s">
        <v>18693</v>
      </c>
      <c r="G3019" s="109">
        <v>45073</v>
      </c>
      <c r="H3019" s="108" t="s">
        <v>1125</v>
      </c>
      <c r="I3019" s="108" t="s">
        <v>108</v>
      </c>
    </row>
    <row r="3020" spans="1:9" ht="27.6">
      <c r="A3020" s="108" t="s">
        <v>14950</v>
      </c>
      <c r="B3020" s="108" t="s">
        <v>19104</v>
      </c>
      <c r="C3020" s="109">
        <v>44368</v>
      </c>
      <c r="D3020" s="108" t="s">
        <v>19105</v>
      </c>
      <c r="E3020" s="108" t="s">
        <v>14605</v>
      </c>
      <c r="F3020" s="108" t="s">
        <v>19106</v>
      </c>
      <c r="G3020" s="109">
        <v>45463</v>
      </c>
      <c r="H3020" s="108" t="s">
        <v>1125</v>
      </c>
      <c r="I3020" s="108" t="s">
        <v>108</v>
      </c>
    </row>
    <row r="3021" spans="1:9" ht="27.6">
      <c r="A3021" s="108" t="s">
        <v>14950</v>
      </c>
      <c r="B3021" s="108" t="s">
        <v>19107</v>
      </c>
      <c r="C3021" s="109">
        <v>44405</v>
      </c>
      <c r="D3021" s="108" t="s">
        <v>19108</v>
      </c>
      <c r="E3021" s="108" t="s">
        <v>14605</v>
      </c>
      <c r="F3021" s="108" t="s">
        <v>18237</v>
      </c>
      <c r="G3021" s="109">
        <v>45500</v>
      </c>
      <c r="H3021" s="108" t="s">
        <v>1125</v>
      </c>
      <c r="I3021" s="108" t="s">
        <v>108</v>
      </c>
    </row>
    <row r="3022" spans="1:9" ht="27.6">
      <c r="A3022" s="108" t="s">
        <v>14950</v>
      </c>
      <c r="B3022" s="108" t="s">
        <v>19109</v>
      </c>
      <c r="C3022" s="109">
        <v>44525</v>
      </c>
      <c r="D3022" s="108" t="s">
        <v>19110</v>
      </c>
      <c r="E3022" s="108" t="s">
        <v>14605</v>
      </c>
      <c r="F3022" s="108" t="s">
        <v>19106</v>
      </c>
      <c r="G3022" s="109">
        <v>45620</v>
      </c>
      <c r="H3022" s="108" t="s">
        <v>1125</v>
      </c>
      <c r="I3022" s="108" t="s">
        <v>108</v>
      </c>
    </row>
    <row r="3023" spans="1:9" ht="27.6">
      <c r="A3023" s="108" t="s">
        <v>17130</v>
      </c>
      <c r="B3023" s="108" t="s">
        <v>19111</v>
      </c>
      <c r="C3023" s="109">
        <v>44997</v>
      </c>
      <c r="D3023" s="108" t="s">
        <v>19112</v>
      </c>
      <c r="E3023" s="108" t="s">
        <v>14605</v>
      </c>
      <c r="F3023" s="108" t="s">
        <v>16602</v>
      </c>
      <c r="G3023" s="109">
        <v>45362</v>
      </c>
      <c r="H3023" s="108" t="s">
        <v>1125</v>
      </c>
      <c r="I3023" s="108" t="s">
        <v>108</v>
      </c>
    </row>
    <row r="3024" spans="1:9" ht="27.6">
      <c r="A3024" s="108" t="s">
        <v>1591</v>
      </c>
      <c r="B3024" s="108" t="s">
        <v>19113</v>
      </c>
      <c r="C3024" s="109">
        <v>45090</v>
      </c>
      <c r="D3024" s="108" t="s">
        <v>19114</v>
      </c>
      <c r="E3024" s="108" t="s">
        <v>14605</v>
      </c>
      <c r="F3024" s="108" t="s">
        <v>19115</v>
      </c>
      <c r="G3024" s="109">
        <v>45455</v>
      </c>
      <c r="H3024" s="108" t="s">
        <v>1125</v>
      </c>
      <c r="I3024" s="108" t="s">
        <v>108</v>
      </c>
    </row>
    <row r="3025" spans="1:9" ht="41.4">
      <c r="A3025" s="108" t="s">
        <v>1828</v>
      </c>
      <c r="B3025" s="108" t="s">
        <v>19116</v>
      </c>
      <c r="C3025" s="109">
        <v>43248</v>
      </c>
      <c r="D3025" s="108" t="s">
        <v>19117</v>
      </c>
      <c r="E3025" s="108" t="s">
        <v>14605</v>
      </c>
      <c r="F3025" s="108" t="s">
        <v>19118</v>
      </c>
      <c r="G3025" s="109">
        <v>43978</v>
      </c>
      <c r="H3025" s="108" t="s">
        <v>1125</v>
      </c>
      <c r="I3025" s="108" t="s">
        <v>108</v>
      </c>
    </row>
    <row r="3026" spans="1:9" ht="27.6">
      <c r="A3026" s="108" t="s">
        <v>14978</v>
      </c>
      <c r="B3026" s="108" t="s">
        <v>19119</v>
      </c>
      <c r="C3026" s="109">
        <v>43305</v>
      </c>
      <c r="D3026" s="108" t="s">
        <v>19120</v>
      </c>
      <c r="E3026" s="108" t="s">
        <v>14605</v>
      </c>
      <c r="F3026" s="108" t="s">
        <v>18675</v>
      </c>
      <c r="G3026" s="109">
        <v>43669</v>
      </c>
      <c r="H3026" s="108" t="s">
        <v>1125</v>
      </c>
      <c r="I3026" s="108" t="s">
        <v>108</v>
      </c>
    </row>
    <row r="3027" spans="1:9" ht="27.6">
      <c r="A3027" s="108" t="s">
        <v>18149</v>
      </c>
      <c r="B3027" s="108" t="s">
        <v>19121</v>
      </c>
      <c r="C3027" s="109">
        <v>44379</v>
      </c>
      <c r="D3027" s="108" t="s">
        <v>19122</v>
      </c>
      <c r="E3027" s="108" t="s">
        <v>14605</v>
      </c>
      <c r="F3027" s="108" t="s">
        <v>16099</v>
      </c>
      <c r="G3027" s="109">
        <v>46383</v>
      </c>
      <c r="H3027" s="108" t="s">
        <v>1125</v>
      </c>
      <c r="I3027" s="108" t="s">
        <v>108</v>
      </c>
    </row>
    <row r="3028" spans="1:9" ht="27.6">
      <c r="A3028" s="108" t="s">
        <v>2002</v>
      </c>
      <c r="B3028" s="108" t="s">
        <v>19123</v>
      </c>
      <c r="C3028" s="109">
        <v>44869</v>
      </c>
      <c r="D3028" s="108" t="s">
        <v>19124</v>
      </c>
      <c r="E3028" s="108" t="s">
        <v>14605</v>
      </c>
      <c r="F3028" s="108" t="s">
        <v>19125</v>
      </c>
      <c r="G3028" s="109">
        <v>45148</v>
      </c>
      <c r="H3028" s="108" t="s">
        <v>1125</v>
      </c>
      <c r="I3028" s="108" t="s">
        <v>108</v>
      </c>
    </row>
    <row r="3029" spans="1:9" ht="27.6">
      <c r="A3029" s="108" t="s">
        <v>571</v>
      </c>
      <c r="B3029" s="108" t="s">
        <v>19126</v>
      </c>
      <c r="C3029" s="109">
        <v>45016</v>
      </c>
      <c r="D3029" s="108" t="s">
        <v>19127</v>
      </c>
      <c r="E3029" s="108" t="s">
        <v>14605</v>
      </c>
      <c r="F3029" s="108" t="s">
        <v>18210</v>
      </c>
      <c r="G3029" s="109">
        <v>45381</v>
      </c>
      <c r="H3029" s="108" t="s">
        <v>1125</v>
      </c>
      <c r="I3029" s="108" t="s">
        <v>108</v>
      </c>
    </row>
    <row r="3030" spans="1:9">
      <c r="A3030" s="108" t="s">
        <v>1465</v>
      </c>
      <c r="B3030" s="108" t="s">
        <v>19128</v>
      </c>
      <c r="C3030" s="109">
        <v>45132</v>
      </c>
      <c r="D3030" s="108" t="s">
        <v>19129</v>
      </c>
      <c r="E3030" s="108" t="s">
        <v>14605</v>
      </c>
      <c r="F3030" s="108" t="s">
        <v>18233</v>
      </c>
      <c r="G3030" s="109">
        <v>45156</v>
      </c>
      <c r="H3030" s="108" t="s">
        <v>1125</v>
      </c>
      <c r="I3030" s="108" t="s">
        <v>108</v>
      </c>
    </row>
    <row r="3031" spans="1:9" ht="27.6">
      <c r="A3031" s="108" t="s">
        <v>14679</v>
      </c>
      <c r="B3031" s="108" t="s">
        <v>19130</v>
      </c>
      <c r="C3031" s="109">
        <v>44967</v>
      </c>
      <c r="D3031" s="108" t="s">
        <v>19131</v>
      </c>
      <c r="E3031" s="108" t="s">
        <v>14605</v>
      </c>
      <c r="F3031" s="108" t="s">
        <v>17630</v>
      </c>
      <c r="G3031" s="109">
        <v>45156</v>
      </c>
      <c r="H3031" s="108" t="s">
        <v>1125</v>
      </c>
      <c r="I3031" s="108" t="s">
        <v>108</v>
      </c>
    </row>
    <row r="3032" spans="1:9" ht="27.6">
      <c r="A3032" s="108" t="s">
        <v>1465</v>
      </c>
      <c r="B3032" s="108" t="s">
        <v>19132</v>
      </c>
      <c r="C3032" s="109">
        <v>44971</v>
      </c>
      <c r="D3032" s="108" t="s">
        <v>19133</v>
      </c>
      <c r="E3032" s="108" t="s">
        <v>14605</v>
      </c>
      <c r="F3032" s="108" t="s">
        <v>18827</v>
      </c>
      <c r="G3032" s="109">
        <v>45233</v>
      </c>
      <c r="H3032" s="108" t="s">
        <v>1125</v>
      </c>
      <c r="I3032" s="108" t="s">
        <v>108</v>
      </c>
    </row>
    <row r="3033" spans="1:9">
      <c r="A3033" s="108" t="s">
        <v>1465</v>
      </c>
      <c r="B3033" s="108" t="s">
        <v>19134</v>
      </c>
      <c r="C3033" s="109">
        <v>45247</v>
      </c>
      <c r="D3033" s="108" t="s">
        <v>19135</v>
      </c>
      <c r="E3033" s="108" t="s">
        <v>14605</v>
      </c>
      <c r="F3033" s="108" t="s">
        <v>15476</v>
      </c>
      <c r="G3033" s="109">
        <v>45610</v>
      </c>
      <c r="H3033" s="108" t="s">
        <v>1125</v>
      </c>
      <c r="I3033" s="108" t="s">
        <v>108</v>
      </c>
    </row>
    <row r="3034" spans="1:9" ht="27.6">
      <c r="A3034" s="108" t="s">
        <v>571</v>
      </c>
      <c r="B3034" s="108" t="s">
        <v>19136</v>
      </c>
      <c r="C3034" s="109">
        <v>45005</v>
      </c>
      <c r="D3034" s="108" t="s">
        <v>19137</v>
      </c>
      <c r="E3034" s="108" t="s">
        <v>14605</v>
      </c>
      <c r="F3034" s="108" t="s">
        <v>19138</v>
      </c>
      <c r="G3034" s="109">
        <v>45287</v>
      </c>
      <c r="H3034" s="108" t="s">
        <v>1125</v>
      </c>
      <c r="I3034" s="108" t="s">
        <v>108</v>
      </c>
    </row>
    <row r="3035" spans="1:9">
      <c r="A3035" s="108" t="s">
        <v>571</v>
      </c>
      <c r="B3035" s="108" t="s">
        <v>19139</v>
      </c>
      <c r="C3035" s="109">
        <v>45230</v>
      </c>
      <c r="D3035" s="108" t="s">
        <v>19140</v>
      </c>
      <c r="E3035" s="108" t="s">
        <v>14605</v>
      </c>
      <c r="F3035" s="108" t="s">
        <v>16602</v>
      </c>
      <c r="G3035" s="109">
        <v>45594</v>
      </c>
      <c r="H3035" s="108" t="s">
        <v>1125</v>
      </c>
      <c r="I3035" s="108" t="s">
        <v>108</v>
      </c>
    </row>
    <row r="3036" spans="1:9" ht="27.6">
      <c r="A3036" s="108" t="s">
        <v>14929</v>
      </c>
      <c r="B3036" s="108" t="s">
        <v>19141</v>
      </c>
      <c r="C3036" s="109">
        <v>44972</v>
      </c>
      <c r="D3036" s="108" t="s">
        <v>19142</v>
      </c>
      <c r="E3036" s="108" t="s">
        <v>14605</v>
      </c>
      <c r="F3036" s="108" t="s">
        <v>19143</v>
      </c>
      <c r="G3036" s="109">
        <v>45267</v>
      </c>
      <c r="H3036" s="108" t="s">
        <v>1125</v>
      </c>
      <c r="I3036" s="108" t="s">
        <v>108</v>
      </c>
    </row>
    <row r="3037" spans="1:9" ht="27.6">
      <c r="A3037" s="108" t="s">
        <v>14690</v>
      </c>
      <c r="B3037" s="108" t="s">
        <v>19144</v>
      </c>
      <c r="C3037" s="109">
        <v>45006</v>
      </c>
      <c r="D3037" s="108" t="s">
        <v>19145</v>
      </c>
      <c r="E3037" s="108" t="s">
        <v>14605</v>
      </c>
      <c r="F3037" s="108" t="s">
        <v>19146</v>
      </c>
      <c r="G3037" s="109">
        <v>45371</v>
      </c>
      <c r="H3037" s="108" t="s">
        <v>1125</v>
      </c>
      <c r="I3037" s="108" t="s">
        <v>108</v>
      </c>
    </row>
    <row r="3038" spans="1:9" ht="27.6">
      <c r="A3038" s="108" t="s">
        <v>14690</v>
      </c>
      <c r="B3038" s="108" t="s">
        <v>19147</v>
      </c>
      <c r="C3038" s="109">
        <v>44964</v>
      </c>
      <c r="D3038" s="108" t="s">
        <v>19148</v>
      </c>
      <c r="E3038" s="108" t="s">
        <v>14605</v>
      </c>
      <c r="F3038" s="108" t="s">
        <v>19149</v>
      </c>
      <c r="G3038" s="109">
        <v>45328</v>
      </c>
      <c r="H3038" s="108" t="s">
        <v>1125</v>
      </c>
      <c r="I3038" s="108" t="s">
        <v>108</v>
      </c>
    </row>
    <row r="3039" spans="1:9" ht="27.6">
      <c r="A3039" s="108" t="s">
        <v>14690</v>
      </c>
      <c r="B3039" s="108" t="s">
        <v>19150</v>
      </c>
      <c r="C3039" s="109">
        <v>45154</v>
      </c>
      <c r="D3039" s="108" t="s">
        <v>19151</v>
      </c>
      <c r="E3039" s="108" t="s">
        <v>14605</v>
      </c>
      <c r="F3039" s="108" t="s">
        <v>18609</v>
      </c>
      <c r="G3039" s="109">
        <v>45518</v>
      </c>
      <c r="H3039" s="108" t="s">
        <v>1125</v>
      </c>
      <c r="I3039" s="108" t="s">
        <v>108</v>
      </c>
    </row>
    <row r="3040" spans="1:9">
      <c r="A3040" s="108" t="s">
        <v>18143</v>
      </c>
      <c r="B3040" s="108" t="s">
        <v>19152</v>
      </c>
      <c r="C3040" s="109">
        <v>45133</v>
      </c>
      <c r="D3040" s="108" t="s">
        <v>19153</v>
      </c>
      <c r="E3040" s="108" t="s">
        <v>14605</v>
      </c>
      <c r="F3040" s="108" t="s">
        <v>19154</v>
      </c>
      <c r="G3040" s="109">
        <v>45491</v>
      </c>
      <c r="H3040" s="108" t="s">
        <v>1125</v>
      </c>
      <c r="I3040" s="108" t="s">
        <v>108</v>
      </c>
    </row>
    <row r="3041" spans="1:9" ht="27.6">
      <c r="A3041" s="108" t="s">
        <v>1465</v>
      </c>
      <c r="B3041" s="108" t="s">
        <v>19155</v>
      </c>
      <c r="C3041" s="109">
        <v>45230</v>
      </c>
      <c r="D3041" s="108" t="s">
        <v>19156</v>
      </c>
      <c r="E3041" s="108" t="s">
        <v>14605</v>
      </c>
      <c r="F3041" s="108" t="s">
        <v>19157</v>
      </c>
      <c r="G3041" s="109">
        <v>45594</v>
      </c>
      <c r="H3041" s="108" t="s">
        <v>1125</v>
      </c>
      <c r="I3041" s="108" t="s">
        <v>108</v>
      </c>
    </row>
    <row r="3042" spans="1:9">
      <c r="A3042" s="108" t="s">
        <v>14679</v>
      </c>
      <c r="B3042" s="108" t="s">
        <v>19158</v>
      </c>
      <c r="C3042" s="109">
        <v>45379</v>
      </c>
      <c r="D3042" s="108" t="s">
        <v>19159</v>
      </c>
      <c r="E3042" s="108" t="s">
        <v>14605</v>
      </c>
      <c r="F3042" s="108" t="s">
        <v>17528</v>
      </c>
      <c r="G3042" s="109">
        <v>45742</v>
      </c>
      <c r="H3042" s="108" t="s">
        <v>1125</v>
      </c>
      <c r="I3042" s="108" t="s">
        <v>108</v>
      </c>
    </row>
    <row r="3043" spans="1:9">
      <c r="A3043" s="108" t="s">
        <v>1465</v>
      </c>
      <c r="B3043" s="108" t="s">
        <v>19160</v>
      </c>
      <c r="C3043" s="109">
        <v>45196</v>
      </c>
      <c r="D3043" s="108" t="s">
        <v>19161</v>
      </c>
      <c r="E3043" s="108" t="s">
        <v>14605</v>
      </c>
      <c r="F3043" s="108" t="s">
        <v>17798</v>
      </c>
      <c r="G3043" s="109">
        <v>45552</v>
      </c>
      <c r="H3043" s="108" t="s">
        <v>1125</v>
      </c>
      <c r="I3043" s="108" t="s">
        <v>108</v>
      </c>
    </row>
    <row r="3044" spans="1:9">
      <c r="A3044" s="108" t="s">
        <v>87</v>
      </c>
      <c r="B3044" s="108" t="s">
        <v>19162</v>
      </c>
      <c r="C3044" s="109">
        <v>45252</v>
      </c>
      <c r="D3044" s="108" t="s">
        <v>19163</v>
      </c>
      <c r="E3044" s="108" t="s">
        <v>14605</v>
      </c>
      <c r="F3044" s="108" t="s">
        <v>18233</v>
      </c>
      <c r="G3044" s="109">
        <v>45616</v>
      </c>
      <c r="H3044" s="108" t="s">
        <v>1125</v>
      </c>
      <c r="I3044" s="108" t="s">
        <v>108</v>
      </c>
    </row>
    <row r="3045" spans="1:9" ht="27.6">
      <c r="A3045" s="108" t="s">
        <v>237</v>
      </c>
      <c r="B3045" s="108" t="s">
        <v>19164</v>
      </c>
      <c r="C3045" s="109">
        <v>45412</v>
      </c>
      <c r="D3045" s="108" t="s">
        <v>19165</v>
      </c>
      <c r="E3045" s="108" t="s">
        <v>14605</v>
      </c>
      <c r="F3045" s="108" t="s">
        <v>15904</v>
      </c>
      <c r="G3045" s="109">
        <v>45774</v>
      </c>
      <c r="H3045" s="108" t="s">
        <v>1125</v>
      </c>
      <c r="I3045" s="108" t="s">
        <v>108</v>
      </c>
    </row>
    <row r="3046" spans="1:9" ht="27.6">
      <c r="A3046" s="108" t="s">
        <v>1465</v>
      </c>
      <c r="B3046" s="108" t="s">
        <v>19166</v>
      </c>
      <c r="C3046" s="109">
        <v>45257</v>
      </c>
      <c r="D3046" s="108" t="s">
        <v>19167</v>
      </c>
      <c r="E3046" s="108" t="s">
        <v>14605</v>
      </c>
      <c r="F3046" s="108" t="s">
        <v>19168</v>
      </c>
      <c r="G3046" s="109">
        <v>45616</v>
      </c>
      <c r="H3046" s="108" t="s">
        <v>1125</v>
      </c>
      <c r="I3046" s="108" t="s">
        <v>108</v>
      </c>
    </row>
    <row r="3047" spans="1:9">
      <c r="A3047" s="108" t="s">
        <v>571</v>
      </c>
      <c r="B3047" s="108" t="s">
        <v>19169</v>
      </c>
      <c r="C3047" s="109">
        <v>45260</v>
      </c>
      <c r="D3047" s="108" t="s">
        <v>19170</v>
      </c>
      <c r="E3047" s="108" t="s">
        <v>14605</v>
      </c>
      <c r="F3047" s="108" t="s">
        <v>17522</v>
      </c>
      <c r="G3047" s="109">
        <v>45625</v>
      </c>
      <c r="H3047" s="108" t="s">
        <v>1125</v>
      </c>
      <c r="I3047" s="108" t="s">
        <v>108</v>
      </c>
    </row>
    <row r="3048" spans="1:9">
      <c r="A3048" s="108" t="s">
        <v>2002</v>
      </c>
      <c r="B3048" s="108" t="s">
        <v>19171</v>
      </c>
      <c r="C3048" s="109">
        <v>45470</v>
      </c>
      <c r="D3048" s="108" t="s">
        <v>19172</v>
      </c>
      <c r="E3048" s="108" t="s">
        <v>14605</v>
      </c>
      <c r="F3048" s="108" t="s">
        <v>19173</v>
      </c>
      <c r="G3048" s="109">
        <v>45834</v>
      </c>
      <c r="H3048" s="108" t="s">
        <v>1125</v>
      </c>
      <c r="I3048" s="108" t="s">
        <v>108</v>
      </c>
    </row>
    <row r="3049" spans="1:9" ht="27.6">
      <c r="A3049" s="108" t="s">
        <v>2002</v>
      </c>
      <c r="B3049" s="108" t="s">
        <v>19174</v>
      </c>
      <c r="C3049" s="109">
        <v>45579</v>
      </c>
      <c r="D3049" s="108" t="s">
        <v>19175</v>
      </c>
      <c r="E3049" s="108" t="s">
        <v>14605</v>
      </c>
      <c r="F3049" s="108" t="s">
        <v>19176</v>
      </c>
      <c r="G3049" s="109">
        <v>45943</v>
      </c>
      <c r="H3049" s="108" t="s">
        <v>1125</v>
      </c>
      <c r="I3049" s="108" t="s">
        <v>108</v>
      </c>
    </row>
    <row r="3050" spans="1:9" ht="27.6">
      <c r="A3050" s="108" t="s">
        <v>15075</v>
      </c>
      <c r="B3050" s="108" t="s">
        <v>19177</v>
      </c>
      <c r="C3050" s="109">
        <v>44364</v>
      </c>
      <c r="D3050" s="108" t="s">
        <v>19178</v>
      </c>
      <c r="E3050" s="108" t="s">
        <v>14605</v>
      </c>
      <c r="F3050" s="108" t="s">
        <v>18566</v>
      </c>
      <c r="G3050" s="109">
        <v>45093</v>
      </c>
      <c r="H3050" s="108" t="s">
        <v>1125</v>
      </c>
      <c r="I3050" s="108" t="s">
        <v>108</v>
      </c>
    </row>
    <row r="3051" spans="1:9" ht="27.6">
      <c r="A3051" s="108" t="s">
        <v>15075</v>
      </c>
      <c r="B3051" s="108" t="s">
        <v>19179</v>
      </c>
      <c r="C3051" s="109">
        <v>44370</v>
      </c>
      <c r="D3051" s="108" t="s">
        <v>19180</v>
      </c>
      <c r="E3051" s="108" t="s">
        <v>14605</v>
      </c>
      <c r="F3051" s="108" t="s">
        <v>16099</v>
      </c>
      <c r="G3051" s="109">
        <v>46195</v>
      </c>
      <c r="H3051" s="108" t="s">
        <v>18235</v>
      </c>
      <c r="I3051" s="108" t="s">
        <v>108</v>
      </c>
    </row>
    <row r="3052" spans="1:9" ht="27.6">
      <c r="A3052" s="108" t="s">
        <v>15075</v>
      </c>
      <c r="B3052" s="108" t="s">
        <v>19181</v>
      </c>
      <c r="C3052" s="109">
        <v>44371</v>
      </c>
      <c r="D3052" s="108" t="s">
        <v>19182</v>
      </c>
      <c r="E3052" s="108" t="s">
        <v>14605</v>
      </c>
      <c r="F3052" s="108" t="s">
        <v>19183</v>
      </c>
      <c r="G3052" s="109">
        <v>44735</v>
      </c>
      <c r="H3052" s="108" t="s">
        <v>1125</v>
      </c>
      <c r="I3052" s="108" t="s">
        <v>108</v>
      </c>
    </row>
    <row r="3053" spans="1:9" ht="27.6">
      <c r="A3053" s="108" t="s">
        <v>15075</v>
      </c>
      <c r="B3053" s="108" t="s">
        <v>19184</v>
      </c>
      <c r="C3053" s="109">
        <v>44369</v>
      </c>
      <c r="D3053" s="108" t="s">
        <v>19185</v>
      </c>
      <c r="E3053" s="108" t="s">
        <v>14605</v>
      </c>
      <c r="F3053" s="108" t="s">
        <v>18547</v>
      </c>
      <c r="G3053" s="109">
        <v>44733</v>
      </c>
      <c r="H3053" s="108" t="s">
        <v>1125</v>
      </c>
      <c r="I3053" s="108" t="s">
        <v>108</v>
      </c>
    </row>
    <row r="3054" spans="1:9" ht="27.6">
      <c r="A3054" s="108" t="s">
        <v>15075</v>
      </c>
      <c r="B3054" s="108" t="s">
        <v>19186</v>
      </c>
      <c r="C3054" s="109">
        <v>44392</v>
      </c>
      <c r="D3054" s="108" t="s">
        <v>19187</v>
      </c>
      <c r="E3054" s="108" t="s">
        <v>14605</v>
      </c>
      <c r="F3054" s="108" t="s">
        <v>19188</v>
      </c>
      <c r="G3054" s="109">
        <v>46582</v>
      </c>
      <c r="H3054" s="108" t="s">
        <v>1125</v>
      </c>
      <c r="I3054" s="108" t="s">
        <v>108</v>
      </c>
    </row>
    <row r="3055" spans="1:9" ht="41.4">
      <c r="A3055" s="108" t="s">
        <v>15075</v>
      </c>
      <c r="B3055" s="108" t="s">
        <v>19189</v>
      </c>
      <c r="C3055" s="109">
        <v>44378</v>
      </c>
      <c r="D3055" s="108" t="s">
        <v>19190</v>
      </c>
      <c r="E3055" s="108" t="s">
        <v>14605</v>
      </c>
      <c r="F3055" s="108" t="s">
        <v>19191</v>
      </c>
      <c r="G3055" s="109">
        <v>44742</v>
      </c>
      <c r="H3055" s="108" t="s">
        <v>1125</v>
      </c>
      <c r="I3055" s="108" t="s">
        <v>108</v>
      </c>
    </row>
    <row r="3056" spans="1:9" ht="27.6">
      <c r="A3056" s="108" t="s">
        <v>15075</v>
      </c>
      <c r="B3056" s="108" t="s">
        <v>19192</v>
      </c>
      <c r="C3056" s="109">
        <v>44386</v>
      </c>
      <c r="D3056" s="108" t="s">
        <v>19193</v>
      </c>
      <c r="E3056" s="108" t="s">
        <v>14605</v>
      </c>
      <c r="F3056" s="108" t="s">
        <v>16099</v>
      </c>
      <c r="G3056" s="109">
        <v>46214</v>
      </c>
      <c r="H3056" s="108" t="s">
        <v>1125</v>
      </c>
      <c r="I3056" s="108" t="s">
        <v>108</v>
      </c>
    </row>
    <row r="3057" spans="1:9" ht="27.6">
      <c r="A3057" s="108" t="s">
        <v>15075</v>
      </c>
      <c r="B3057" s="108" t="s">
        <v>19194</v>
      </c>
      <c r="C3057" s="109">
        <v>44465</v>
      </c>
      <c r="D3057" s="108" t="s">
        <v>19195</v>
      </c>
      <c r="E3057" s="108" t="s">
        <v>14605</v>
      </c>
      <c r="F3057" s="108" t="s">
        <v>19196</v>
      </c>
      <c r="G3057" s="109">
        <v>44756</v>
      </c>
      <c r="H3057" s="108" t="s">
        <v>1125</v>
      </c>
      <c r="I3057" s="108" t="s">
        <v>108</v>
      </c>
    </row>
    <row r="3058" spans="1:9" ht="27.6">
      <c r="A3058" s="108" t="s">
        <v>15075</v>
      </c>
      <c r="B3058" s="108" t="s">
        <v>19197</v>
      </c>
      <c r="C3058" s="109">
        <v>44467</v>
      </c>
      <c r="D3058" s="108" t="s">
        <v>19198</v>
      </c>
      <c r="E3058" s="108" t="s">
        <v>14605</v>
      </c>
      <c r="F3058" s="108" t="s">
        <v>18703</v>
      </c>
      <c r="G3058" s="109">
        <v>45926</v>
      </c>
      <c r="H3058" s="108" t="s">
        <v>1125</v>
      </c>
      <c r="I3058" s="108" t="s">
        <v>108</v>
      </c>
    </row>
    <row r="3059" spans="1:9" ht="27.6">
      <c r="A3059" s="108" t="s">
        <v>15075</v>
      </c>
      <c r="B3059" s="108" t="s">
        <v>19199</v>
      </c>
      <c r="C3059" s="109">
        <v>44494</v>
      </c>
      <c r="D3059" s="108" t="s">
        <v>19200</v>
      </c>
      <c r="E3059" s="108" t="s">
        <v>14605</v>
      </c>
      <c r="F3059" s="108" t="s">
        <v>19201</v>
      </c>
      <c r="G3059" s="109">
        <v>46684</v>
      </c>
      <c r="H3059" s="108" t="s">
        <v>1125</v>
      </c>
      <c r="I3059" s="108" t="s">
        <v>108</v>
      </c>
    </row>
    <row r="3060" spans="1:9" ht="27.6">
      <c r="A3060" s="108" t="s">
        <v>15075</v>
      </c>
      <c r="B3060" s="108" t="s">
        <v>19202</v>
      </c>
      <c r="C3060" s="109">
        <v>44674</v>
      </c>
      <c r="D3060" s="108" t="s">
        <v>19203</v>
      </c>
      <c r="E3060" s="108" t="s">
        <v>14605</v>
      </c>
      <c r="F3060" s="108" t="s">
        <v>15365</v>
      </c>
      <c r="G3060" s="109">
        <v>45402</v>
      </c>
      <c r="H3060" s="108" t="s">
        <v>1125</v>
      </c>
      <c r="I3060" s="108" t="s">
        <v>108</v>
      </c>
    </row>
    <row r="3061" spans="1:9" ht="27.6">
      <c r="A3061" s="108" t="s">
        <v>15075</v>
      </c>
      <c r="B3061" s="108" t="s">
        <v>19204</v>
      </c>
      <c r="C3061" s="109">
        <v>44505</v>
      </c>
      <c r="D3061" s="108" t="s">
        <v>19205</v>
      </c>
      <c r="E3061" s="108" t="s">
        <v>14605</v>
      </c>
      <c r="F3061" s="108" t="s">
        <v>19206</v>
      </c>
      <c r="G3061" s="109">
        <v>45600</v>
      </c>
      <c r="H3061" s="108" t="s">
        <v>1125</v>
      </c>
      <c r="I3061" s="108" t="s">
        <v>108</v>
      </c>
    </row>
    <row r="3062" spans="1:9" ht="27.6">
      <c r="A3062" s="108" t="s">
        <v>15478</v>
      </c>
      <c r="B3062" s="108" t="s">
        <v>19207</v>
      </c>
      <c r="C3062" s="109">
        <v>44539</v>
      </c>
      <c r="D3062" s="108" t="s">
        <v>19208</v>
      </c>
      <c r="E3062" s="108" t="s">
        <v>14605</v>
      </c>
      <c r="F3062" s="108" t="s">
        <v>19209</v>
      </c>
      <c r="G3062" s="109">
        <v>45210</v>
      </c>
      <c r="H3062" s="108" t="s">
        <v>1125</v>
      </c>
      <c r="I3062" s="108" t="s">
        <v>108</v>
      </c>
    </row>
    <row r="3063" spans="1:9" ht="27.6">
      <c r="A3063" s="108" t="s">
        <v>15075</v>
      </c>
      <c r="B3063" s="108" t="s">
        <v>19210</v>
      </c>
      <c r="C3063" s="109">
        <v>44561</v>
      </c>
      <c r="D3063" s="108" t="s">
        <v>19211</v>
      </c>
      <c r="E3063" s="108" t="s">
        <v>14605</v>
      </c>
      <c r="F3063" s="108" t="s">
        <v>19212</v>
      </c>
      <c r="G3063" s="109">
        <v>45656</v>
      </c>
      <c r="H3063" s="108" t="s">
        <v>1125</v>
      </c>
      <c r="I3063" s="108" t="s">
        <v>108</v>
      </c>
    </row>
    <row r="3064" spans="1:9" ht="27.6">
      <c r="A3064" s="108" t="s">
        <v>15075</v>
      </c>
      <c r="B3064" s="108" t="s">
        <v>19213</v>
      </c>
      <c r="C3064" s="109">
        <v>44689</v>
      </c>
      <c r="D3064" s="108" t="s">
        <v>19214</v>
      </c>
      <c r="E3064" s="108" t="s">
        <v>14605</v>
      </c>
      <c r="F3064" s="108" t="s">
        <v>15775</v>
      </c>
      <c r="G3064" s="109">
        <v>45052</v>
      </c>
      <c r="H3064" s="108" t="s">
        <v>1125</v>
      </c>
      <c r="I3064" s="108" t="s">
        <v>108</v>
      </c>
    </row>
    <row r="3065" spans="1:9" ht="27.6">
      <c r="A3065" s="108" t="s">
        <v>15075</v>
      </c>
      <c r="B3065" s="108" t="s">
        <v>19215</v>
      </c>
      <c r="C3065" s="109">
        <v>44736</v>
      </c>
      <c r="D3065" s="108" t="s">
        <v>19216</v>
      </c>
      <c r="E3065" s="108" t="s">
        <v>14605</v>
      </c>
      <c r="F3065" s="108" t="s">
        <v>17722</v>
      </c>
      <c r="G3065" s="109">
        <v>45100</v>
      </c>
      <c r="H3065" s="108" t="s">
        <v>1125</v>
      </c>
      <c r="I3065" s="108" t="s">
        <v>108</v>
      </c>
    </row>
    <row r="3066" spans="1:9" ht="27.6">
      <c r="A3066" s="108" t="s">
        <v>15075</v>
      </c>
      <c r="B3066" s="108" t="s">
        <v>19217</v>
      </c>
      <c r="C3066" s="109">
        <v>44625</v>
      </c>
      <c r="D3066" s="108" t="s">
        <v>19218</v>
      </c>
      <c r="E3066" s="108" t="s">
        <v>14605</v>
      </c>
      <c r="F3066" s="108" t="s">
        <v>15775</v>
      </c>
      <c r="G3066" s="109">
        <v>46083</v>
      </c>
      <c r="H3066" s="108" t="s">
        <v>1125</v>
      </c>
      <c r="I3066" s="108" t="s">
        <v>108</v>
      </c>
    </row>
    <row r="3067" spans="1:9" ht="27.6">
      <c r="A3067" s="108" t="s">
        <v>15075</v>
      </c>
      <c r="B3067" s="108" t="s">
        <v>19219</v>
      </c>
      <c r="C3067" s="109">
        <v>44624</v>
      </c>
      <c r="D3067" s="108" t="s">
        <v>19220</v>
      </c>
      <c r="E3067" s="108" t="s">
        <v>14605</v>
      </c>
      <c r="F3067" s="108" t="s">
        <v>18682</v>
      </c>
      <c r="G3067" s="109">
        <v>44988</v>
      </c>
      <c r="H3067" s="108" t="s">
        <v>1125</v>
      </c>
      <c r="I3067" s="108" t="s">
        <v>108</v>
      </c>
    </row>
    <row r="3068" spans="1:9" ht="27.6">
      <c r="A3068" s="108" t="s">
        <v>15075</v>
      </c>
      <c r="B3068" s="108" t="s">
        <v>19221</v>
      </c>
      <c r="C3068" s="109">
        <v>44726</v>
      </c>
      <c r="D3068" s="108" t="s">
        <v>19222</v>
      </c>
      <c r="E3068" s="108" t="s">
        <v>14605</v>
      </c>
      <c r="F3068" s="108" t="s">
        <v>15909</v>
      </c>
      <c r="G3068" s="109">
        <v>45090</v>
      </c>
      <c r="H3068" s="108" t="s">
        <v>1125</v>
      </c>
      <c r="I3068" s="108" t="s">
        <v>108</v>
      </c>
    </row>
    <row r="3069" spans="1:9" ht="27.6">
      <c r="A3069" s="108" t="s">
        <v>15075</v>
      </c>
      <c r="B3069" s="108" t="s">
        <v>19223</v>
      </c>
      <c r="C3069" s="109">
        <v>44722</v>
      </c>
      <c r="D3069" s="108" t="s">
        <v>19224</v>
      </c>
      <c r="E3069" s="108" t="s">
        <v>14605</v>
      </c>
      <c r="F3069" s="108" t="s">
        <v>19225</v>
      </c>
      <c r="G3069" s="109">
        <v>45086</v>
      </c>
      <c r="H3069" s="108" t="s">
        <v>1125</v>
      </c>
      <c r="I3069" s="108" t="s">
        <v>108</v>
      </c>
    </row>
    <row r="3070" spans="1:9" ht="27.6">
      <c r="A3070" s="108" t="s">
        <v>15075</v>
      </c>
      <c r="B3070" s="108" t="s">
        <v>19226</v>
      </c>
      <c r="C3070" s="109">
        <v>44725</v>
      </c>
      <c r="D3070" s="108" t="s">
        <v>19227</v>
      </c>
      <c r="E3070" s="108" t="s">
        <v>14605</v>
      </c>
      <c r="F3070" s="108" t="s">
        <v>18763</v>
      </c>
      <c r="G3070" s="109">
        <v>45089</v>
      </c>
      <c r="H3070" s="108" t="s">
        <v>1125</v>
      </c>
      <c r="I3070" s="108" t="s">
        <v>108</v>
      </c>
    </row>
    <row r="3071" spans="1:9" ht="27.6">
      <c r="A3071" s="108" t="s">
        <v>15478</v>
      </c>
      <c r="B3071" s="108" t="s">
        <v>19228</v>
      </c>
      <c r="C3071" s="109">
        <v>44721</v>
      </c>
      <c r="D3071" s="108" t="s">
        <v>19229</v>
      </c>
      <c r="E3071" s="108" t="s">
        <v>14605</v>
      </c>
      <c r="F3071" s="108" t="s">
        <v>19230</v>
      </c>
      <c r="G3071" s="109">
        <v>45085</v>
      </c>
      <c r="H3071" s="108" t="s">
        <v>1125</v>
      </c>
      <c r="I3071" s="108" t="s">
        <v>108</v>
      </c>
    </row>
    <row r="3072" spans="1:9" ht="27.6">
      <c r="A3072" s="108" t="s">
        <v>15478</v>
      </c>
      <c r="B3072" s="108" t="s">
        <v>19231</v>
      </c>
      <c r="C3072" s="109">
        <v>44729</v>
      </c>
      <c r="D3072" s="108" t="s">
        <v>19232</v>
      </c>
      <c r="E3072" s="108" t="s">
        <v>14605</v>
      </c>
      <c r="F3072" s="108" t="s">
        <v>18601</v>
      </c>
      <c r="G3072" s="109">
        <v>45093</v>
      </c>
      <c r="H3072" s="108" t="s">
        <v>1125</v>
      </c>
      <c r="I3072" s="108" t="s">
        <v>108</v>
      </c>
    </row>
    <row r="3073" spans="1:9" ht="27.6">
      <c r="A3073" s="108" t="s">
        <v>15075</v>
      </c>
      <c r="B3073" s="108" t="s">
        <v>19233</v>
      </c>
      <c r="C3073" s="109">
        <v>44722</v>
      </c>
      <c r="D3073" s="108" t="s">
        <v>19234</v>
      </c>
      <c r="E3073" s="108" t="s">
        <v>14605</v>
      </c>
      <c r="F3073" s="108" t="s">
        <v>19235</v>
      </c>
      <c r="G3073" s="109">
        <v>45086</v>
      </c>
      <c r="H3073" s="108" t="s">
        <v>1125</v>
      </c>
      <c r="I3073" s="108" t="s">
        <v>108</v>
      </c>
    </row>
    <row r="3074" spans="1:9" ht="27.6">
      <c r="A3074" s="108" t="s">
        <v>15075</v>
      </c>
      <c r="B3074" s="108" t="s">
        <v>19236</v>
      </c>
      <c r="C3074" s="109">
        <v>44783</v>
      </c>
      <c r="D3074" s="108" t="s">
        <v>19237</v>
      </c>
      <c r="E3074" s="108" t="s">
        <v>14605</v>
      </c>
      <c r="F3074" s="108" t="s">
        <v>15775</v>
      </c>
      <c r="G3074" s="109">
        <v>45513</v>
      </c>
      <c r="H3074" s="108" t="s">
        <v>1125</v>
      </c>
      <c r="I3074" s="108" t="s">
        <v>108</v>
      </c>
    </row>
    <row r="3075" spans="1:9" ht="27.6">
      <c r="A3075" s="108" t="s">
        <v>15075</v>
      </c>
      <c r="B3075" s="108" t="s">
        <v>19238</v>
      </c>
      <c r="C3075" s="109">
        <v>44770</v>
      </c>
      <c r="D3075" s="108" t="s">
        <v>19239</v>
      </c>
      <c r="E3075" s="108" t="s">
        <v>14605</v>
      </c>
      <c r="F3075" s="108" t="s">
        <v>18827</v>
      </c>
      <c r="G3075" s="109">
        <v>45134</v>
      </c>
      <c r="H3075" s="108" t="s">
        <v>18235</v>
      </c>
      <c r="I3075" s="108" t="s">
        <v>108</v>
      </c>
    </row>
    <row r="3076" spans="1:9" ht="27.6">
      <c r="A3076" s="108" t="s">
        <v>15075</v>
      </c>
      <c r="B3076" s="108" t="s">
        <v>19240</v>
      </c>
      <c r="C3076" s="109">
        <v>44806</v>
      </c>
      <c r="D3076" s="108" t="s">
        <v>19241</v>
      </c>
      <c r="E3076" s="108" t="s">
        <v>14605</v>
      </c>
      <c r="F3076" s="108" t="s">
        <v>19242</v>
      </c>
      <c r="G3076" s="109">
        <v>45170</v>
      </c>
      <c r="H3076" s="108" t="s">
        <v>1125</v>
      </c>
      <c r="I3076" s="108" t="s">
        <v>108</v>
      </c>
    </row>
    <row r="3077" spans="1:9" ht="27.6">
      <c r="A3077" s="108" t="s">
        <v>15075</v>
      </c>
      <c r="B3077" s="108" t="s">
        <v>19243</v>
      </c>
      <c r="C3077" s="109">
        <v>44797</v>
      </c>
      <c r="D3077" s="108" t="s">
        <v>19244</v>
      </c>
      <c r="E3077" s="108" t="s">
        <v>14605</v>
      </c>
      <c r="F3077" s="108" t="s">
        <v>19245</v>
      </c>
      <c r="G3077" s="109">
        <v>45132</v>
      </c>
      <c r="H3077" s="108" t="s">
        <v>1125</v>
      </c>
      <c r="I3077" s="108" t="s">
        <v>108</v>
      </c>
    </row>
    <row r="3078" spans="1:9" ht="27.6">
      <c r="A3078" s="108" t="s">
        <v>15075</v>
      </c>
      <c r="B3078" s="108" t="s">
        <v>19246</v>
      </c>
      <c r="C3078" s="109">
        <v>44963</v>
      </c>
      <c r="D3078" s="108" t="s">
        <v>19247</v>
      </c>
      <c r="E3078" s="108" t="s">
        <v>14605</v>
      </c>
      <c r="F3078" s="108" t="s">
        <v>18222</v>
      </c>
      <c r="G3078" s="109">
        <v>45324</v>
      </c>
      <c r="H3078" s="108" t="s">
        <v>1125</v>
      </c>
      <c r="I3078" s="108" t="s">
        <v>108</v>
      </c>
    </row>
    <row r="3079" spans="1:9" ht="27.6">
      <c r="A3079" s="108" t="s">
        <v>15075</v>
      </c>
      <c r="B3079" s="108" t="s">
        <v>19248</v>
      </c>
      <c r="C3079" s="109">
        <v>44845</v>
      </c>
      <c r="D3079" s="108" t="s">
        <v>19249</v>
      </c>
      <c r="E3079" s="108" t="s">
        <v>14605</v>
      </c>
      <c r="F3079" s="108" t="s">
        <v>19250</v>
      </c>
      <c r="G3079" s="109">
        <v>45174</v>
      </c>
      <c r="H3079" s="108" t="s">
        <v>1125</v>
      </c>
      <c r="I3079" s="108" t="s">
        <v>108</v>
      </c>
    </row>
    <row r="3080" spans="1:9" ht="27.6">
      <c r="A3080" s="108" t="s">
        <v>15075</v>
      </c>
      <c r="B3080" s="108" t="s">
        <v>19251</v>
      </c>
      <c r="C3080" s="109">
        <v>44902</v>
      </c>
      <c r="D3080" s="108" t="s">
        <v>19252</v>
      </c>
      <c r="E3080" s="108" t="s">
        <v>14605</v>
      </c>
      <c r="F3080" s="108" t="s">
        <v>18663</v>
      </c>
      <c r="G3080" s="109">
        <v>45265</v>
      </c>
      <c r="H3080" s="108" t="s">
        <v>1125</v>
      </c>
      <c r="I3080" s="108" t="s">
        <v>108</v>
      </c>
    </row>
    <row r="3081" spans="1:9" ht="27.6">
      <c r="A3081" s="108" t="s">
        <v>15075</v>
      </c>
      <c r="B3081" s="108" t="s">
        <v>19253</v>
      </c>
      <c r="C3081" s="109">
        <v>44897</v>
      </c>
      <c r="D3081" s="108" t="s">
        <v>19254</v>
      </c>
      <c r="E3081" s="108" t="s">
        <v>14605</v>
      </c>
      <c r="F3081" s="108" t="s">
        <v>16723</v>
      </c>
      <c r="G3081" s="109">
        <v>45261</v>
      </c>
      <c r="H3081" s="108" t="s">
        <v>1125</v>
      </c>
      <c r="I3081" s="108" t="s">
        <v>108</v>
      </c>
    </row>
    <row r="3082" spans="1:9" ht="27.6">
      <c r="A3082" s="108" t="s">
        <v>15075</v>
      </c>
      <c r="B3082" s="108" t="s">
        <v>19255</v>
      </c>
      <c r="C3082" s="109">
        <v>44967</v>
      </c>
      <c r="D3082" s="108" t="s">
        <v>19256</v>
      </c>
      <c r="E3082" s="108" t="s">
        <v>14605</v>
      </c>
      <c r="F3082" s="108" t="s">
        <v>19257</v>
      </c>
      <c r="G3082" s="109">
        <v>45505</v>
      </c>
      <c r="H3082" s="108" t="s">
        <v>1125</v>
      </c>
      <c r="I3082" s="108" t="s">
        <v>108</v>
      </c>
    </row>
    <row r="3083" spans="1:9" ht="27.6">
      <c r="A3083" s="108" t="s">
        <v>15075</v>
      </c>
      <c r="B3083" s="108" t="s">
        <v>19258</v>
      </c>
      <c r="C3083" s="109">
        <v>45001</v>
      </c>
      <c r="D3083" s="108" t="s">
        <v>19259</v>
      </c>
      <c r="E3083" s="108" t="s">
        <v>14605</v>
      </c>
      <c r="F3083" s="108" t="s">
        <v>16126</v>
      </c>
      <c r="G3083" s="109">
        <v>45366</v>
      </c>
      <c r="H3083" s="108" t="s">
        <v>1125</v>
      </c>
      <c r="I3083" s="108" t="s">
        <v>108</v>
      </c>
    </row>
    <row r="3084" spans="1:9" ht="27.6">
      <c r="A3084" s="108" t="s">
        <v>15075</v>
      </c>
      <c r="B3084" s="108" t="s">
        <v>19260</v>
      </c>
      <c r="C3084" s="109">
        <v>45008</v>
      </c>
      <c r="D3084" s="108" t="s">
        <v>19261</v>
      </c>
      <c r="E3084" s="108" t="s">
        <v>14605</v>
      </c>
      <c r="F3084" s="108" t="s">
        <v>16126</v>
      </c>
      <c r="G3084" s="109">
        <v>45373</v>
      </c>
      <c r="H3084" s="108" t="s">
        <v>1125</v>
      </c>
      <c r="I3084" s="108" t="s">
        <v>108</v>
      </c>
    </row>
    <row r="3085" spans="1:9" ht="27.6">
      <c r="A3085" s="108" t="s">
        <v>15075</v>
      </c>
      <c r="B3085" s="108" t="s">
        <v>19262</v>
      </c>
      <c r="C3085" s="109">
        <v>45029</v>
      </c>
      <c r="D3085" s="108" t="s">
        <v>19263</v>
      </c>
      <c r="E3085" s="108" t="s">
        <v>14605</v>
      </c>
      <c r="F3085" s="108" t="s">
        <v>15172</v>
      </c>
      <c r="G3085" s="109">
        <v>45394</v>
      </c>
      <c r="H3085" s="108" t="s">
        <v>1125</v>
      </c>
      <c r="I3085" s="108" t="s">
        <v>108</v>
      </c>
    </row>
    <row r="3086" spans="1:9" ht="27.6">
      <c r="A3086" s="108" t="s">
        <v>15075</v>
      </c>
      <c r="B3086" s="108" t="s">
        <v>19264</v>
      </c>
      <c r="C3086" s="109">
        <v>45020</v>
      </c>
      <c r="D3086" s="108" t="s">
        <v>19265</v>
      </c>
      <c r="E3086" s="108" t="s">
        <v>14605</v>
      </c>
      <c r="F3086" s="108" t="s">
        <v>18710</v>
      </c>
      <c r="G3086" s="109">
        <v>45385</v>
      </c>
      <c r="H3086" s="108" t="s">
        <v>1125</v>
      </c>
      <c r="I3086" s="108" t="s">
        <v>108</v>
      </c>
    </row>
    <row r="3087" spans="1:9" ht="27.6">
      <c r="A3087" s="108" t="s">
        <v>227</v>
      </c>
      <c r="B3087" s="108" t="s">
        <v>19266</v>
      </c>
      <c r="C3087" s="109">
        <v>45373</v>
      </c>
      <c r="D3087" s="108" t="s">
        <v>19267</v>
      </c>
      <c r="E3087" s="108" t="s">
        <v>14605</v>
      </c>
      <c r="F3087" s="108" t="s">
        <v>15904</v>
      </c>
      <c r="G3087" s="109">
        <v>45149</v>
      </c>
      <c r="H3087" s="108" t="s">
        <v>1125</v>
      </c>
      <c r="I3087" s="108" t="s">
        <v>108</v>
      </c>
    </row>
    <row r="3088" spans="1:9" ht="27.6">
      <c r="A3088" s="108" t="s">
        <v>227</v>
      </c>
      <c r="B3088" s="108" t="s">
        <v>19268</v>
      </c>
      <c r="C3088" s="109">
        <v>44938</v>
      </c>
      <c r="D3088" s="108" t="s">
        <v>19269</v>
      </c>
      <c r="E3088" s="108" t="s">
        <v>14605</v>
      </c>
      <c r="F3088" s="108" t="s">
        <v>19270</v>
      </c>
      <c r="G3088" s="109">
        <v>45302</v>
      </c>
      <c r="H3088" s="108" t="s">
        <v>1125</v>
      </c>
      <c r="I3088" s="108" t="s">
        <v>108</v>
      </c>
    </row>
    <row r="3089" spans="1:9" ht="27.6">
      <c r="A3089" s="108" t="s">
        <v>3156</v>
      </c>
      <c r="B3089" s="108" t="s">
        <v>19271</v>
      </c>
      <c r="C3089" s="109">
        <v>45262</v>
      </c>
      <c r="D3089" s="108" t="s">
        <v>19272</v>
      </c>
      <c r="E3089" s="108" t="s">
        <v>14605</v>
      </c>
      <c r="F3089" s="108" t="s">
        <v>19273</v>
      </c>
      <c r="G3089" s="109">
        <v>45626</v>
      </c>
      <c r="H3089" s="108" t="s">
        <v>1125</v>
      </c>
      <c r="I3089" s="108" t="s">
        <v>108</v>
      </c>
    </row>
    <row r="3090" spans="1:9" ht="27.6">
      <c r="A3090" s="108" t="s">
        <v>15478</v>
      </c>
      <c r="B3090" s="108" t="s">
        <v>19274</v>
      </c>
      <c r="C3090" s="109">
        <v>44733</v>
      </c>
      <c r="D3090" s="108" t="s">
        <v>19275</v>
      </c>
      <c r="E3090" s="108" t="s">
        <v>14605</v>
      </c>
      <c r="F3090" s="108" t="s">
        <v>18595</v>
      </c>
      <c r="G3090" s="109">
        <v>45097</v>
      </c>
      <c r="H3090" s="108" t="s">
        <v>1125</v>
      </c>
      <c r="I3090" s="108" t="s">
        <v>108</v>
      </c>
    </row>
    <row r="3091" spans="1:9" ht="27.6">
      <c r="A3091" s="108" t="s">
        <v>15478</v>
      </c>
      <c r="B3091" s="108" t="s">
        <v>19276</v>
      </c>
      <c r="C3091" s="109">
        <v>44744</v>
      </c>
      <c r="D3091" s="108" t="s">
        <v>19277</v>
      </c>
      <c r="E3091" s="108" t="s">
        <v>14605</v>
      </c>
      <c r="F3091" s="108" t="s">
        <v>18604</v>
      </c>
      <c r="G3091" s="109">
        <v>45108</v>
      </c>
      <c r="H3091" s="108" t="s">
        <v>1125</v>
      </c>
      <c r="I3091" s="108" t="s">
        <v>108</v>
      </c>
    </row>
    <row r="3092" spans="1:9" ht="27.6">
      <c r="A3092" s="108" t="s">
        <v>15478</v>
      </c>
      <c r="B3092" s="108" t="s">
        <v>19278</v>
      </c>
      <c r="C3092" s="109">
        <v>44769</v>
      </c>
      <c r="D3092" s="108" t="s">
        <v>19279</v>
      </c>
      <c r="E3092" s="108" t="s">
        <v>14605</v>
      </c>
      <c r="F3092" s="108" t="s">
        <v>19280</v>
      </c>
      <c r="G3092" s="109">
        <v>45133</v>
      </c>
      <c r="H3092" s="108" t="s">
        <v>1125</v>
      </c>
      <c r="I3092" s="108" t="s">
        <v>108</v>
      </c>
    </row>
    <row r="3093" spans="1:9" ht="27.6">
      <c r="A3093" s="108" t="s">
        <v>15478</v>
      </c>
      <c r="B3093" s="108" t="s">
        <v>19281</v>
      </c>
      <c r="C3093" s="109">
        <v>44992</v>
      </c>
      <c r="D3093" s="108" t="s">
        <v>19282</v>
      </c>
      <c r="E3093" s="108" t="s">
        <v>14605</v>
      </c>
      <c r="F3093" s="108" t="s">
        <v>18609</v>
      </c>
      <c r="G3093" s="109">
        <v>45202</v>
      </c>
      <c r="H3093" s="108" t="s">
        <v>1125</v>
      </c>
      <c r="I3093" s="108" t="s">
        <v>108</v>
      </c>
    </row>
    <row r="3094" spans="1:9" ht="27.6">
      <c r="A3094" s="108" t="s">
        <v>15478</v>
      </c>
      <c r="B3094" s="108" t="s">
        <v>19283</v>
      </c>
      <c r="C3094" s="109">
        <v>44812</v>
      </c>
      <c r="D3094" s="108" t="s">
        <v>19284</v>
      </c>
      <c r="E3094" s="108" t="s">
        <v>14605</v>
      </c>
      <c r="F3094" s="108" t="s">
        <v>19235</v>
      </c>
      <c r="G3094" s="109">
        <v>45140</v>
      </c>
      <c r="H3094" s="108" t="s">
        <v>1125</v>
      </c>
      <c r="I3094" s="108" t="s">
        <v>108</v>
      </c>
    </row>
    <row r="3095" spans="1:9" ht="27.6">
      <c r="A3095" s="108" t="s">
        <v>15478</v>
      </c>
      <c r="B3095" s="108" t="s">
        <v>19285</v>
      </c>
      <c r="C3095" s="109">
        <v>44830</v>
      </c>
      <c r="D3095" s="108" t="s">
        <v>19286</v>
      </c>
      <c r="E3095" s="108" t="s">
        <v>14605</v>
      </c>
      <c r="F3095" s="108" t="s">
        <v>19287</v>
      </c>
      <c r="G3095" s="109">
        <v>45194</v>
      </c>
      <c r="H3095" s="108" t="s">
        <v>1125</v>
      </c>
      <c r="I3095" s="108" t="s">
        <v>108</v>
      </c>
    </row>
    <row r="3096" spans="1:9" ht="27.6">
      <c r="A3096" s="108" t="s">
        <v>15478</v>
      </c>
      <c r="B3096" s="108" t="s">
        <v>19288</v>
      </c>
      <c r="C3096" s="109">
        <v>44967</v>
      </c>
      <c r="D3096" s="108" t="s">
        <v>19289</v>
      </c>
      <c r="E3096" s="108" t="s">
        <v>14605</v>
      </c>
      <c r="F3096" s="108" t="s">
        <v>19106</v>
      </c>
      <c r="G3096" s="109">
        <v>45330</v>
      </c>
      <c r="H3096" s="108" t="s">
        <v>1125</v>
      </c>
      <c r="I3096" s="108" t="s">
        <v>108</v>
      </c>
    </row>
    <row r="3097" spans="1:9" ht="27.6">
      <c r="A3097" s="108" t="s">
        <v>15478</v>
      </c>
      <c r="B3097" s="108" t="s">
        <v>19290</v>
      </c>
      <c r="C3097" s="109">
        <v>45119</v>
      </c>
      <c r="D3097" s="108" t="s">
        <v>19291</v>
      </c>
      <c r="E3097" s="108" t="s">
        <v>14605</v>
      </c>
      <c r="F3097" s="108" t="s">
        <v>19292</v>
      </c>
      <c r="G3097" s="109">
        <v>45484</v>
      </c>
      <c r="H3097" s="108" t="s">
        <v>1125</v>
      </c>
      <c r="I3097" s="108" t="s">
        <v>108</v>
      </c>
    </row>
    <row r="3098" spans="1:9">
      <c r="A3098" s="108" t="s">
        <v>118</v>
      </c>
      <c r="B3098" s="108" t="s">
        <v>19293</v>
      </c>
      <c r="C3098" s="109">
        <v>45183</v>
      </c>
      <c r="D3098" s="108" t="s">
        <v>19294</v>
      </c>
      <c r="E3098" s="108" t="s">
        <v>14605</v>
      </c>
      <c r="F3098" s="108" t="s">
        <v>15431</v>
      </c>
      <c r="G3098" s="109">
        <v>45182</v>
      </c>
      <c r="H3098" s="108" t="s">
        <v>1125</v>
      </c>
      <c r="I3098" s="108" t="s">
        <v>108</v>
      </c>
    </row>
    <row r="3099" spans="1:9" ht="27.6">
      <c r="A3099" s="108" t="s">
        <v>118</v>
      </c>
      <c r="B3099" s="108" t="s">
        <v>19295</v>
      </c>
      <c r="C3099" s="109">
        <v>45211</v>
      </c>
      <c r="D3099" s="108" t="s">
        <v>19296</v>
      </c>
      <c r="E3099" s="108" t="s">
        <v>14605</v>
      </c>
      <c r="F3099" s="108" t="s">
        <v>18224</v>
      </c>
      <c r="G3099" s="109">
        <v>45575</v>
      </c>
      <c r="H3099" s="108" t="s">
        <v>1125</v>
      </c>
      <c r="I3099" s="108" t="s">
        <v>108</v>
      </c>
    </row>
    <row r="3100" spans="1:9" ht="27.6">
      <c r="A3100" s="108" t="s">
        <v>207</v>
      </c>
      <c r="B3100" s="108" t="s">
        <v>19297</v>
      </c>
      <c r="C3100" s="109">
        <v>45034</v>
      </c>
      <c r="D3100" s="108" t="s">
        <v>19298</v>
      </c>
      <c r="E3100" s="108" t="s">
        <v>14605</v>
      </c>
      <c r="F3100" s="108" t="s">
        <v>19176</v>
      </c>
      <c r="G3100" s="109">
        <v>45399</v>
      </c>
      <c r="H3100" s="108" t="s">
        <v>1125</v>
      </c>
      <c r="I3100" s="108" t="s">
        <v>108</v>
      </c>
    </row>
    <row r="3101" spans="1:9" ht="27.6">
      <c r="A3101" s="108" t="s">
        <v>118</v>
      </c>
      <c r="B3101" s="108" t="s">
        <v>19299</v>
      </c>
      <c r="C3101" s="109">
        <v>44934</v>
      </c>
      <c r="D3101" s="108" t="s">
        <v>19300</v>
      </c>
      <c r="E3101" s="108" t="s">
        <v>14605</v>
      </c>
      <c r="F3101" s="108" t="s">
        <v>19301</v>
      </c>
      <c r="G3101" s="109">
        <v>45268</v>
      </c>
      <c r="H3101" s="108" t="s">
        <v>1125</v>
      </c>
      <c r="I3101" s="108" t="s">
        <v>108</v>
      </c>
    </row>
    <row r="3102" spans="1:9" ht="27.6">
      <c r="A3102" s="108" t="s">
        <v>207</v>
      </c>
      <c r="B3102" s="108" t="s">
        <v>19302</v>
      </c>
      <c r="C3102" s="109">
        <v>45560</v>
      </c>
      <c r="D3102" s="108" t="s">
        <v>19303</v>
      </c>
      <c r="E3102" s="108" t="s">
        <v>14605</v>
      </c>
      <c r="F3102" s="108" t="s">
        <v>15904</v>
      </c>
      <c r="G3102" s="109">
        <v>45924</v>
      </c>
      <c r="H3102" s="108" t="s">
        <v>1125</v>
      </c>
      <c r="I3102" s="108" t="s">
        <v>108</v>
      </c>
    </row>
    <row r="3103" spans="1:9" ht="27.6">
      <c r="A3103" s="108" t="s">
        <v>109</v>
      </c>
      <c r="B3103" s="108" t="s">
        <v>19304</v>
      </c>
      <c r="C3103" s="109">
        <v>43545</v>
      </c>
      <c r="D3103" s="108" t="s">
        <v>19305</v>
      </c>
      <c r="E3103" s="108" t="s">
        <v>14605</v>
      </c>
      <c r="F3103" s="108" t="s">
        <v>19306</v>
      </c>
      <c r="G3103" s="109">
        <v>44626</v>
      </c>
      <c r="H3103" s="108" t="s">
        <v>1125</v>
      </c>
      <c r="I3103" s="108" t="s">
        <v>108</v>
      </c>
    </row>
    <row r="3104" spans="1:9" ht="27.6">
      <c r="A3104" s="108" t="s">
        <v>981</v>
      </c>
      <c r="B3104" s="108" t="s">
        <v>19307</v>
      </c>
      <c r="C3104" s="109">
        <v>43599</v>
      </c>
      <c r="D3104" s="108" t="s">
        <v>19308</v>
      </c>
      <c r="E3104" s="108" t="s">
        <v>14605</v>
      </c>
      <c r="F3104" s="108" t="s">
        <v>18917</v>
      </c>
      <c r="G3104" s="109">
        <v>44056</v>
      </c>
      <c r="H3104" s="108" t="s">
        <v>1125</v>
      </c>
      <c r="I3104" s="108" t="s">
        <v>108</v>
      </c>
    </row>
    <row r="3105" spans="1:9" ht="27.6">
      <c r="A3105" s="108" t="s">
        <v>109</v>
      </c>
      <c r="B3105" s="108" t="s">
        <v>19309</v>
      </c>
      <c r="C3105" s="109">
        <v>44001</v>
      </c>
      <c r="D3105" s="108" t="s">
        <v>19310</v>
      </c>
      <c r="E3105" s="108" t="s">
        <v>14605</v>
      </c>
      <c r="F3105" s="108" t="s">
        <v>16099</v>
      </c>
      <c r="G3105" s="109">
        <v>45990</v>
      </c>
      <c r="H3105" s="108" t="s">
        <v>1125</v>
      </c>
      <c r="I3105" s="108" t="s">
        <v>108</v>
      </c>
    </row>
    <row r="3106" spans="1:9" ht="27.6">
      <c r="A3106" s="108" t="s">
        <v>109</v>
      </c>
      <c r="B3106" s="108" t="s">
        <v>19311</v>
      </c>
      <c r="C3106" s="109">
        <v>43696</v>
      </c>
      <c r="D3106" s="108" t="s">
        <v>19312</v>
      </c>
      <c r="E3106" s="108" t="s">
        <v>14605</v>
      </c>
      <c r="F3106" s="108" t="s">
        <v>19313</v>
      </c>
      <c r="G3106" s="109">
        <v>44013</v>
      </c>
      <c r="H3106" s="108" t="s">
        <v>1125</v>
      </c>
      <c r="I3106" s="108" t="s">
        <v>108</v>
      </c>
    </row>
    <row r="3107" spans="1:9" ht="27.6">
      <c r="A3107" s="108" t="s">
        <v>981</v>
      </c>
      <c r="B3107" s="108" t="s">
        <v>19314</v>
      </c>
      <c r="C3107" s="109">
        <v>43710</v>
      </c>
      <c r="D3107" s="108" t="s">
        <v>19315</v>
      </c>
      <c r="E3107" s="108" t="s">
        <v>14605</v>
      </c>
      <c r="F3107" s="108" t="s">
        <v>19316</v>
      </c>
      <c r="G3107" s="109">
        <v>44075</v>
      </c>
      <c r="H3107" s="108" t="s">
        <v>1125</v>
      </c>
      <c r="I3107" s="108" t="s">
        <v>108</v>
      </c>
    </row>
    <row r="3108" spans="1:9" ht="27.6">
      <c r="A3108" s="108" t="s">
        <v>109</v>
      </c>
      <c r="B3108" s="108" t="s">
        <v>19317</v>
      </c>
      <c r="C3108" s="109">
        <v>43724</v>
      </c>
      <c r="D3108" s="108" t="s">
        <v>19318</v>
      </c>
      <c r="E3108" s="108" t="s">
        <v>14605</v>
      </c>
      <c r="F3108" s="108" t="s">
        <v>19319</v>
      </c>
      <c r="G3108" s="109">
        <v>44089</v>
      </c>
      <c r="H3108" s="108" t="s">
        <v>1125</v>
      </c>
      <c r="I3108" s="108" t="s">
        <v>108</v>
      </c>
    </row>
    <row r="3109" spans="1:9" ht="27.6">
      <c r="A3109" s="108" t="s">
        <v>109</v>
      </c>
      <c r="B3109" s="108" t="s">
        <v>19320</v>
      </c>
      <c r="C3109" s="109">
        <v>43784</v>
      </c>
      <c r="D3109" s="108" t="s">
        <v>19321</v>
      </c>
      <c r="E3109" s="108" t="s">
        <v>14605</v>
      </c>
      <c r="F3109" s="108" t="s">
        <v>18925</v>
      </c>
      <c r="G3109" s="109">
        <v>44149</v>
      </c>
      <c r="H3109" s="108" t="s">
        <v>1125</v>
      </c>
      <c r="I3109" s="108" t="s">
        <v>108</v>
      </c>
    </row>
    <row r="3110" spans="1:9" ht="27.6">
      <c r="A3110" s="108" t="s">
        <v>109</v>
      </c>
      <c r="B3110" s="108" t="s">
        <v>19322</v>
      </c>
      <c r="C3110" s="109">
        <v>44050</v>
      </c>
      <c r="D3110" s="108" t="s">
        <v>19323</v>
      </c>
      <c r="E3110" s="108" t="s">
        <v>14605</v>
      </c>
      <c r="F3110" s="108" t="s">
        <v>19324</v>
      </c>
      <c r="G3110" s="109">
        <v>45875</v>
      </c>
      <c r="H3110" s="108" t="s">
        <v>1125</v>
      </c>
      <c r="I3110" s="108" t="s">
        <v>108</v>
      </c>
    </row>
    <row r="3111" spans="1:9" ht="27.6">
      <c r="A3111" s="108" t="s">
        <v>981</v>
      </c>
      <c r="B3111" s="108" t="s">
        <v>19325</v>
      </c>
      <c r="C3111" s="109">
        <v>44147</v>
      </c>
      <c r="D3111" s="108" t="s">
        <v>19326</v>
      </c>
      <c r="E3111" s="108" t="s">
        <v>14605</v>
      </c>
      <c r="F3111" s="108" t="s">
        <v>19327</v>
      </c>
      <c r="G3111" s="109">
        <v>44511</v>
      </c>
      <c r="H3111" s="108" t="s">
        <v>1125</v>
      </c>
      <c r="I3111" s="108" t="s">
        <v>108</v>
      </c>
    </row>
    <row r="3112" spans="1:9" ht="27.6">
      <c r="A3112" s="108" t="s">
        <v>250</v>
      </c>
      <c r="B3112" s="108" t="s">
        <v>19328</v>
      </c>
      <c r="C3112" s="109">
        <v>44347</v>
      </c>
      <c r="D3112" s="108" t="s">
        <v>19329</v>
      </c>
      <c r="E3112" s="108" t="s">
        <v>14605</v>
      </c>
      <c r="F3112" s="108" t="s">
        <v>18917</v>
      </c>
      <c r="G3112" s="109">
        <v>44710</v>
      </c>
      <c r="H3112" s="108" t="s">
        <v>1125</v>
      </c>
      <c r="I3112" s="108" t="s">
        <v>108</v>
      </c>
    </row>
    <row r="3113" spans="1:9" ht="27.6">
      <c r="A3113" s="108" t="s">
        <v>981</v>
      </c>
      <c r="B3113" s="108" t="s">
        <v>19330</v>
      </c>
      <c r="C3113" s="109">
        <v>44190</v>
      </c>
      <c r="D3113" s="108" t="s">
        <v>19331</v>
      </c>
      <c r="E3113" s="108" t="s">
        <v>14605</v>
      </c>
      <c r="F3113" s="108" t="s">
        <v>19183</v>
      </c>
      <c r="G3113" s="109">
        <v>44554</v>
      </c>
      <c r="H3113" s="108" t="s">
        <v>1125</v>
      </c>
      <c r="I3113" s="108" t="s">
        <v>108</v>
      </c>
    </row>
    <row r="3114" spans="1:9" ht="27.6">
      <c r="A3114" s="108" t="s">
        <v>109</v>
      </c>
      <c r="B3114" s="108" t="s">
        <v>19332</v>
      </c>
      <c r="C3114" s="109">
        <v>44356</v>
      </c>
      <c r="D3114" s="108" t="s">
        <v>19333</v>
      </c>
      <c r="E3114" s="108" t="s">
        <v>14605</v>
      </c>
      <c r="F3114" s="108" t="s">
        <v>19334</v>
      </c>
      <c r="G3114" s="109">
        <v>44720</v>
      </c>
      <c r="H3114" s="108" t="s">
        <v>18235</v>
      </c>
      <c r="I3114" s="108" t="s">
        <v>108</v>
      </c>
    </row>
    <row r="3115" spans="1:9" ht="27.6">
      <c r="A3115" s="108" t="s">
        <v>109</v>
      </c>
      <c r="B3115" s="108" t="s">
        <v>19335</v>
      </c>
      <c r="C3115" s="109">
        <v>44766</v>
      </c>
      <c r="D3115" s="108" t="s">
        <v>19237</v>
      </c>
      <c r="E3115" s="108" t="s">
        <v>14605</v>
      </c>
      <c r="F3115" s="108" t="s">
        <v>15775</v>
      </c>
      <c r="G3115" s="109">
        <v>45513</v>
      </c>
      <c r="H3115" s="108" t="s">
        <v>1125</v>
      </c>
      <c r="I3115" s="108" t="s">
        <v>108</v>
      </c>
    </row>
    <row r="3116" spans="1:9" ht="27.6">
      <c r="A3116" s="108" t="s">
        <v>109</v>
      </c>
      <c r="B3116" s="108" t="s">
        <v>19336</v>
      </c>
      <c r="C3116" s="109">
        <v>45729</v>
      </c>
      <c r="D3116" s="108" t="s">
        <v>19337</v>
      </c>
      <c r="E3116" s="108" t="s">
        <v>14605</v>
      </c>
      <c r="F3116" s="108" t="s">
        <v>19338</v>
      </c>
      <c r="G3116" s="109">
        <v>45517</v>
      </c>
      <c r="H3116" s="108" t="s">
        <v>1125</v>
      </c>
      <c r="I3116" s="108" t="s">
        <v>108</v>
      </c>
    </row>
    <row r="3117" spans="1:9" ht="41.4">
      <c r="A3117" s="108" t="s">
        <v>15869</v>
      </c>
      <c r="B3117" s="108" t="s">
        <v>19339</v>
      </c>
      <c r="C3117" s="109">
        <v>43936</v>
      </c>
      <c r="D3117" s="108" t="s">
        <v>19095</v>
      </c>
      <c r="E3117" s="108" t="s">
        <v>14605</v>
      </c>
      <c r="F3117" s="108" t="s">
        <v>19096</v>
      </c>
      <c r="G3117" s="109">
        <v>44665</v>
      </c>
      <c r="H3117" s="108" t="s">
        <v>1125</v>
      </c>
      <c r="I3117" s="108" t="s">
        <v>108</v>
      </c>
    </row>
    <row r="3118" spans="1:9" ht="27.6">
      <c r="A3118" s="108" t="s">
        <v>15869</v>
      </c>
      <c r="B3118" s="108" t="s">
        <v>19340</v>
      </c>
      <c r="C3118" s="109">
        <v>43924</v>
      </c>
      <c r="D3118" s="108" t="s">
        <v>19341</v>
      </c>
      <c r="E3118" s="108" t="s">
        <v>14605</v>
      </c>
      <c r="F3118" s="108" t="s">
        <v>19342</v>
      </c>
      <c r="G3118" s="109">
        <v>44287</v>
      </c>
      <c r="H3118" s="108" t="s">
        <v>1125</v>
      </c>
      <c r="I3118" s="108" t="s">
        <v>108</v>
      </c>
    </row>
    <row r="3119" spans="1:9" ht="27.6">
      <c r="A3119" s="108" t="s">
        <v>15869</v>
      </c>
      <c r="B3119" s="108" t="s">
        <v>19343</v>
      </c>
      <c r="C3119" s="109">
        <v>44392</v>
      </c>
      <c r="D3119" s="108" t="s">
        <v>19195</v>
      </c>
      <c r="E3119" s="108" t="s">
        <v>14605</v>
      </c>
      <c r="F3119" s="108" t="s">
        <v>19196</v>
      </c>
      <c r="G3119" s="109">
        <v>44756</v>
      </c>
      <c r="H3119" s="108" t="s">
        <v>1125</v>
      </c>
      <c r="I3119" s="108" t="s">
        <v>108</v>
      </c>
    </row>
    <row r="3120" spans="1:9" ht="27.6">
      <c r="A3120" s="108" t="s">
        <v>15869</v>
      </c>
      <c r="B3120" s="108" t="s">
        <v>19344</v>
      </c>
      <c r="C3120" s="109">
        <v>43950</v>
      </c>
      <c r="D3120" s="108" t="s">
        <v>19089</v>
      </c>
      <c r="E3120" s="108" t="s">
        <v>14605</v>
      </c>
      <c r="F3120" s="108" t="s">
        <v>19090</v>
      </c>
      <c r="G3120" s="109">
        <v>45045</v>
      </c>
      <c r="H3120" s="108" t="s">
        <v>1125</v>
      </c>
      <c r="I3120" s="108" t="s">
        <v>108</v>
      </c>
    </row>
    <row r="3121" spans="1:9" ht="27.6">
      <c r="A3121" s="108" t="s">
        <v>15869</v>
      </c>
      <c r="B3121" s="108" t="s">
        <v>19345</v>
      </c>
      <c r="C3121" s="109">
        <v>45189</v>
      </c>
      <c r="D3121" s="108" t="s">
        <v>19346</v>
      </c>
      <c r="E3121" s="108" t="s">
        <v>14605</v>
      </c>
      <c r="F3121" s="108" t="s">
        <v>19347</v>
      </c>
      <c r="G3121" s="109">
        <v>45554</v>
      </c>
      <c r="H3121" s="108" t="s">
        <v>1125</v>
      </c>
      <c r="I3121" s="108" t="s">
        <v>108</v>
      </c>
    </row>
    <row r="3122" spans="1:9" ht="27.6">
      <c r="A3122" s="108" t="s">
        <v>15869</v>
      </c>
      <c r="B3122" s="108" t="s">
        <v>19348</v>
      </c>
      <c r="C3122" s="109">
        <v>44097</v>
      </c>
      <c r="D3122" s="108" t="s">
        <v>19349</v>
      </c>
      <c r="E3122" s="108" t="s">
        <v>14605</v>
      </c>
      <c r="F3122" s="108" t="s">
        <v>19350</v>
      </c>
      <c r="G3122" s="109">
        <v>44824</v>
      </c>
      <c r="H3122" s="108" t="s">
        <v>1125</v>
      </c>
      <c r="I3122" s="108" t="s">
        <v>108</v>
      </c>
    </row>
    <row r="3123" spans="1:9" ht="27.6">
      <c r="A3123" s="108" t="s">
        <v>15869</v>
      </c>
      <c r="B3123" s="108" t="s">
        <v>19351</v>
      </c>
      <c r="C3123" s="109">
        <v>44022</v>
      </c>
      <c r="D3123" s="108" t="s">
        <v>19352</v>
      </c>
      <c r="E3123" s="108" t="s">
        <v>14605</v>
      </c>
      <c r="F3123" s="108" t="s">
        <v>19099</v>
      </c>
      <c r="G3123" s="109">
        <v>44751</v>
      </c>
      <c r="H3123" s="108" t="s">
        <v>1125</v>
      </c>
      <c r="I3123" s="108" t="s">
        <v>108</v>
      </c>
    </row>
    <row r="3124" spans="1:9" ht="27.6">
      <c r="A3124" s="108" t="s">
        <v>15869</v>
      </c>
      <c r="B3124" s="108" t="s">
        <v>19353</v>
      </c>
      <c r="C3124" s="109">
        <v>44155</v>
      </c>
      <c r="D3124" s="108" t="s">
        <v>19354</v>
      </c>
      <c r="E3124" s="108" t="s">
        <v>14605</v>
      </c>
      <c r="F3124" s="108" t="s">
        <v>19355</v>
      </c>
      <c r="G3124" s="109">
        <v>45249</v>
      </c>
      <c r="H3124" s="108" t="s">
        <v>1125</v>
      </c>
      <c r="I3124" s="108" t="s">
        <v>108</v>
      </c>
    </row>
    <row r="3125" spans="1:9">
      <c r="A3125" s="108" t="s">
        <v>15869</v>
      </c>
      <c r="B3125" s="108" t="s">
        <v>19356</v>
      </c>
      <c r="C3125" s="109">
        <v>44169</v>
      </c>
      <c r="D3125" s="108" t="s">
        <v>19357</v>
      </c>
      <c r="E3125" s="108" t="s">
        <v>14605</v>
      </c>
      <c r="F3125" s="108" t="s">
        <v>19358</v>
      </c>
      <c r="G3125" s="109">
        <v>44898</v>
      </c>
      <c r="H3125" s="108" t="s">
        <v>1125</v>
      </c>
      <c r="I3125" s="108" t="s">
        <v>108</v>
      </c>
    </row>
    <row r="3126" spans="1:9" ht="27.6">
      <c r="A3126" s="108" t="s">
        <v>19359</v>
      </c>
      <c r="B3126" s="108" t="s">
        <v>19360</v>
      </c>
      <c r="C3126" s="109">
        <v>44116</v>
      </c>
      <c r="D3126" s="108" t="s">
        <v>19208</v>
      </c>
      <c r="E3126" s="108" t="s">
        <v>14605</v>
      </c>
      <c r="F3126" s="108" t="s">
        <v>19209</v>
      </c>
      <c r="G3126" s="109">
        <v>45210</v>
      </c>
      <c r="H3126" s="108" t="s">
        <v>1125</v>
      </c>
      <c r="I3126" s="108" t="s">
        <v>108</v>
      </c>
    </row>
    <row r="3127" spans="1:9">
      <c r="A3127" s="108" t="s">
        <v>15869</v>
      </c>
      <c r="B3127" s="108" t="s">
        <v>19361</v>
      </c>
      <c r="C3127" s="109">
        <v>44214</v>
      </c>
      <c r="D3127" s="108" t="s">
        <v>19362</v>
      </c>
      <c r="E3127" s="108" t="s">
        <v>14605</v>
      </c>
      <c r="F3127" s="108" t="s">
        <v>19363</v>
      </c>
      <c r="G3127" s="109">
        <v>44578</v>
      </c>
      <c r="H3127" s="108" t="s">
        <v>1125</v>
      </c>
      <c r="I3127" s="108" t="s">
        <v>108</v>
      </c>
    </row>
    <row r="3128" spans="1:9" ht="27.6">
      <c r="A3128" s="108" t="s">
        <v>15869</v>
      </c>
      <c r="B3128" s="108" t="s">
        <v>19364</v>
      </c>
      <c r="C3128" s="109">
        <v>44176</v>
      </c>
      <c r="D3128" s="108" t="s">
        <v>19365</v>
      </c>
      <c r="E3128" s="108" t="s">
        <v>14605</v>
      </c>
      <c r="F3128" s="108" t="s">
        <v>19188</v>
      </c>
      <c r="G3128" s="109">
        <v>46366</v>
      </c>
      <c r="H3128" s="108" t="s">
        <v>1125</v>
      </c>
      <c r="I3128" s="108" t="s">
        <v>108</v>
      </c>
    </row>
    <row r="3129" spans="1:9" ht="27.6">
      <c r="A3129" s="108" t="s">
        <v>19366</v>
      </c>
      <c r="B3129" s="108" t="s">
        <v>19367</v>
      </c>
      <c r="C3129" s="109">
        <v>44280</v>
      </c>
      <c r="D3129" s="108" t="s">
        <v>19368</v>
      </c>
      <c r="E3129" s="108" t="s">
        <v>14605</v>
      </c>
      <c r="F3129" s="108" t="s">
        <v>19369</v>
      </c>
      <c r="G3129" s="109">
        <v>44644</v>
      </c>
      <c r="H3129" s="108" t="s">
        <v>1125</v>
      </c>
      <c r="I3129" s="108" t="s">
        <v>108</v>
      </c>
    </row>
    <row r="3130" spans="1:9" ht="27.6">
      <c r="A3130" s="108" t="s">
        <v>15869</v>
      </c>
      <c r="B3130" s="108" t="s">
        <v>19370</v>
      </c>
      <c r="C3130" s="109">
        <v>44386</v>
      </c>
      <c r="D3130" s="108" t="s">
        <v>19371</v>
      </c>
      <c r="E3130" s="108" t="s">
        <v>14605</v>
      </c>
      <c r="F3130" s="108" t="s">
        <v>16099</v>
      </c>
      <c r="G3130" s="109">
        <v>46211</v>
      </c>
      <c r="H3130" s="108" t="s">
        <v>1125</v>
      </c>
      <c r="I3130" s="108" t="s">
        <v>108</v>
      </c>
    </row>
    <row r="3131" spans="1:9" ht="27.6">
      <c r="A3131" s="108" t="s">
        <v>15869</v>
      </c>
      <c r="B3131" s="108" t="s">
        <v>19372</v>
      </c>
      <c r="C3131" s="109">
        <v>44281</v>
      </c>
      <c r="D3131" s="108" t="s">
        <v>19373</v>
      </c>
      <c r="E3131" s="108" t="s">
        <v>14605</v>
      </c>
      <c r="F3131" s="108" t="s">
        <v>18547</v>
      </c>
      <c r="G3131" s="109">
        <v>44645</v>
      </c>
      <c r="H3131" s="108" t="s">
        <v>1125</v>
      </c>
      <c r="I3131" s="108" t="s">
        <v>108</v>
      </c>
    </row>
    <row r="3132" spans="1:9" ht="27.6">
      <c r="A3132" s="108" t="s">
        <v>16986</v>
      </c>
      <c r="B3132" s="108" t="s">
        <v>19374</v>
      </c>
      <c r="C3132" s="109">
        <v>44252</v>
      </c>
      <c r="D3132" s="108" t="s">
        <v>19375</v>
      </c>
      <c r="E3132" s="108" t="s">
        <v>14605</v>
      </c>
      <c r="F3132" s="108" t="s">
        <v>19376</v>
      </c>
      <c r="G3132" s="109">
        <v>45346</v>
      </c>
      <c r="H3132" s="108" t="s">
        <v>1125</v>
      </c>
      <c r="I3132" s="108" t="s">
        <v>108</v>
      </c>
    </row>
    <row r="3133" spans="1:9" ht="27.6">
      <c r="A3133" s="108" t="s">
        <v>15869</v>
      </c>
      <c r="B3133" s="108" t="s">
        <v>19377</v>
      </c>
      <c r="C3133" s="109">
        <v>44266</v>
      </c>
      <c r="D3133" s="108" t="s">
        <v>19378</v>
      </c>
      <c r="E3133" s="108" t="s">
        <v>14605</v>
      </c>
      <c r="F3133" s="108" t="s">
        <v>19379</v>
      </c>
      <c r="G3133" s="109">
        <v>44630</v>
      </c>
      <c r="H3133" s="108" t="s">
        <v>1125</v>
      </c>
      <c r="I3133" s="108" t="s">
        <v>108</v>
      </c>
    </row>
    <row r="3134" spans="1:9" ht="27.6">
      <c r="A3134" s="108" t="s">
        <v>18585</v>
      </c>
      <c r="B3134" s="108" t="s">
        <v>19380</v>
      </c>
      <c r="C3134" s="109">
        <v>44222</v>
      </c>
      <c r="D3134" s="108" t="s">
        <v>19381</v>
      </c>
      <c r="E3134" s="108" t="s">
        <v>14605</v>
      </c>
      <c r="F3134" s="108" t="s">
        <v>19382</v>
      </c>
      <c r="G3134" s="109">
        <v>44586</v>
      </c>
      <c r="H3134" s="108" t="s">
        <v>1125</v>
      </c>
      <c r="I3134" s="108" t="s">
        <v>108</v>
      </c>
    </row>
    <row r="3135" spans="1:9" ht="27.6">
      <c r="A3135" s="108" t="s">
        <v>15869</v>
      </c>
      <c r="B3135" s="108" t="s">
        <v>19383</v>
      </c>
      <c r="C3135" s="109">
        <v>43822</v>
      </c>
      <c r="D3135" s="108" t="s">
        <v>19384</v>
      </c>
      <c r="E3135" s="108" t="s">
        <v>14605</v>
      </c>
      <c r="F3135" s="108" t="s">
        <v>18547</v>
      </c>
      <c r="G3135" s="109">
        <v>44187</v>
      </c>
      <c r="H3135" s="108" t="s">
        <v>1125</v>
      </c>
      <c r="I3135" s="108" t="s">
        <v>108</v>
      </c>
    </row>
    <row r="3136" spans="1:9" ht="27.6">
      <c r="A3136" s="108" t="s">
        <v>15869</v>
      </c>
      <c r="B3136" s="108" t="s">
        <v>19385</v>
      </c>
      <c r="C3136" s="109">
        <v>43455</v>
      </c>
      <c r="D3136" s="108" t="s">
        <v>19386</v>
      </c>
      <c r="E3136" s="108" t="s">
        <v>14605</v>
      </c>
      <c r="F3136" s="108" t="s">
        <v>18547</v>
      </c>
      <c r="G3136" s="109">
        <v>43822</v>
      </c>
      <c r="H3136" s="108" t="s">
        <v>1125</v>
      </c>
      <c r="I3136" s="108" t="s">
        <v>108</v>
      </c>
    </row>
    <row r="3137" spans="1:9" ht="27.6">
      <c r="A3137" s="108" t="s">
        <v>109</v>
      </c>
      <c r="B3137" s="108" t="s">
        <v>19387</v>
      </c>
      <c r="C3137" s="109">
        <v>44175</v>
      </c>
      <c r="D3137" s="108" t="s">
        <v>19388</v>
      </c>
      <c r="E3137" s="108" t="s">
        <v>14605</v>
      </c>
      <c r="F3137" s="108" t="s">
        <v>18547</v>
      </c>
      <c r="G3137" s="109">
        <v>43839</v>
      </c>
      <c r="H3137" s="108" t="s">
        <v>1125</v>
      </c>
      <c r="I3137" s="108" t="s">
        <v>108</v>
      </c>
    </row>
    <row r="3138" spans="1:9" ht="27.6">
      <c r="A3138" s="108" t="s">
        <v>16986</v>
      </c>
      <c r="B3138" s="108" t="s">
        <v>19389</v>
      </c>
      <c r="C3138" s="109">
        <v>44170</v>
      </c>
      <c r="D3138" s="108" t="s">
        <v>19390</v>
      </c>
      <c r="E3138" s="108" t="s">
        <v>14605</v>
      </c>
      <c r="F3138" s="108" t="s">
        <v>18547</v>
      </c>
      <c r="G3138" s="109">
        <v>44187</v>
      </c>
      <c r="H3138" s="108" t="s">
        <v>1125</v>
      </c>
      <c r="I3138" s="108" t="s">
        <v>108</v>
      </c>
    </row>
    <row r="3139" spans="1:9" ht="27.6">
      <c r="A3139" s="108" t="s">
        <v>15869</v>
      </c>
      <c r="B3139" s="108" t="s">
        <v>19391</v>
      </c>
      <c r="C3139" s="109">
        <v>43728</v>
      </c>
      <c r="D3139" s="108" t="s">
        <v>19392</v>
      </c>
      <c r="E3139" s="108" t="s">
        <v>14605</v>
      </c>
      <c r="F3139" s="108" t="s">
        <v>18547</v>
      </c>
      <c r="G3139" s="109">
        <v>44093</v>
      </c>
      <c r="H3139" s="108" t="s">
        <v>1125</v>
      </c>
      <c r="I3139" s="108" t="s">
        <v>108</v>
      </c>
    </row>
    <row r="3140" spans="1:9" ht="27.6">
      <c r="A3140" s="108" t="s">
        <v>15869</v>
      </c>
      <c r="B3140" s="108" t="s">
        <v>19393</v>
      </c>
      <c r="C3140" s="109">
        <v>44439</v>
      </c>
      <c r="D3140" s="108" t="s">
        <v>19394</v>
      </c>
      <c r="E3140" s="108" t="s">
        <v>14605</v>
      </c>
      <c r="F3140" s="108" t="s">
        <v>15490</v>
      </c>
      <c r="G3140" s="109">
        <v>46263</v>
      </c>
      <c r="H3140" s="108" t="s">
        <v>1125</v>
      </c>
      <c r="I3140" s="108" t="s">
        <v>108</v>
      </c>
    </row>
    <row r="3141" spans="1:9">
      <c r="A3141" s="108" t="s">
        <v>15869</v>
      </c>
      <c r="B3141" s="108" t="s">
        <v>19395</v>
      </c>
      <c r="C3141" s="109">
        <v>44316</v>
      </c>
      <c r="D3141" s="108" t="s">
        <v>19396</v>
      </c>
      <c r="E3141" s="108" t="s">
        <v>14605</v>
      </c>
      <c r="F3141" s="108" t="s">
        <v>19397</v>
      </c>
      <c r="G3141" s="109">
        <v>44680</v>
      </c>
      <c r="H3141" s="108" t="s">
        <v>1125</v>
      </c>
      <c r="I3141" s="108" t="s">
        <v>108</v>
      </c>
    </row>
    <row r="3142" spans="1:9" ht="41.4">
      <c r="A3142" s="108" t="s">
        <v>15869</v>
      </c>
      <c r="B3142" s="108" t="s">
        <v>19398</v>
      </c>
      <c r="C3142" s="109">
        <v>44378</v>
      </c>
      <c r="D3142" s="108" t="s">
        <v>19399</v>
      </c>
      <c r="E3142" s="108" t="s">
        <v>14605</v>
      </c>
      <c r="F3142" s="108" t="s">
        <v>19191</v>
      </c>
      <c r="G3142" s="109">
        <v>44742</v>
      </c>
      <c r="H3142" s="108" t="s">
        <v>1125</v>
      </c>
      <c r="I3142" s="108" t="s">
        <v>108</v>
      </c>
    </row>
    <row r="3143" spans="1:9" ht="41.4">
      <c r="A3143" s="108" t="s">
        <v>15869</v>
      </c>
      <c r="B3143" s="108" t="s">
        <v>19400</v>
      </c>
      <c r="C3143" s="109">
        <v>44322</v>
      </c>
      <c r="D3143" s="108" t="s">
        <v>19401</v>
      </c>
      <c r="E3143" s="108" t="s">
        <v>14605</v>
      </c>
      <c r="F3143" s="108" t="s">
        <v>19402</v>
      </c>
      <c r="G3143" s="109">
        <v>45175</v>
      </c>
      <c r="H3143" s="108" t="s">
        <v>1125</v>
      </c>
      <c r="I3143" s="108" t="s">
        <v>108</v>
      </c>
    </row>
    <row r="3144" spans="1:9" ht="27.6">
      <c r="A3144" s="108" t="s">
        <v>15869</v>
      </c>
      <c r="B3144" s="108" t="s">
        <v>19403</v>
      </c>
      <c r="C3144" s="109">
        <v>44408</v>
      </c>
      <c r="D3144" s="108" t="s">
        <v>19404</v>
      </c>
      <c r="E3144" s="108" t="s">
        <v>14605</v>
      </c>
      <c r="F3144" s="108" t="s">
        <v>19405</v>
      </c>
      <c r="G3144" s="109">
        <v>45158</v>
      </c>
      <c r="H3144" s="108" t="s">
        <v>1125</v>
      </c>
      <c r="I3144" s="108" t="s">
        <v>108</v>
      </c>
    </row>
    <row r="3145" spans="1:9" ht="27.6">
      <c r="A3145" s="108" t="s">
        <v>15869</v>
      </c>
      <c r="B3145" s="108" t="s">
        <v>19406</v>
      </c>
      <c r="C3145" s="109">
        <v>44391</v>
      </c>
      <c r="D3145" s="108" t="s">
        <v>19407</v>
      </c>
      <c r="E3145" s="108" t="s">
        <v>14605</v>
      </c>
      <c r="F3145" s="108" t="s">
        <v>19408</v>
      </c>
      <c r="G3145" s="109">
        <v>44755</v>
      </c>
      <c r="H3145" s="108" t="s">
        <v>1125</v>
      </c>
      <c r="I3145" s="108" t="s">
        <v>108</v>
      </c>
    </row>
    <row r="3146" spans="1:9" ht="27.6">
      <c r="A3146" s="108" t="s">
        <v>16521</v>
      </c>
      <c r="B3146" s="108" t="s">
        <v>19409</v>
      </c>
      <c r="C3146" s="109">
        <v>44440</v>
      </c>
      <c r="D3146" s="108" t="s">
        <v>19410</v>
      </c>
      <c r="E3146" s="108" t="s">
        <v>14605</v>
      </c>
      <c r="F3146" s="108" t="s">
        <v>18703</v>
      </c>
      <c r="G3146" s="109">
        <v>45900</v>
      </c>
      <c r="H3146" s="108" t="s">
        <v>1125</v>
      </c>
      <c r="I3146" s="108" t="s">
        <v>108</v>
      </c>
    </row>
    <row r="3147" spans="1:9" ht="27.6">
      <c r="A3147" s="108" t="s">
        <v>15869</v>
      </c>
      <c r="B3147" s="108" t="s">
        <v>19411</v>
      </c>
      <c r="C3147" s="109">
        <v>44405</v>
      </c>
      <c r="D3147" s="108" t="s">
        <v>19412</v>
      </c>
      <c r="E3147" s="108" t="s">
        <v>14605</v>
      </c>
      <c r="F3147" s="108" t="s">
        <v>19413</v>
      </c>
      <c r="G3147" s="109">
        <v>45500</v>
      </c>
      <c r="H3147" s="108" t="s">
        <v>1125</v>
      </c>
      <c r="I3147" s="108" t="s">
        <v>108</v>
      </c>
    </row>
    <row r="3148" spans="1:9" ht="27.6">
      <c r="A3148" s="108" t="s">
        <v>15869</v>
      </c>
      <c r="B3148" s="108" t="s">
        <v>19414</v>
      </c>
      <c r="C3148" s="109">
        <v>44427</v>
      </c>
      <c r="D3148" s="108" t="s">
        <v>19415</v>
      </c>
      <c r="E3148" s="108" t="s">
        <v>14605</v>
      </c>
      <c r="F3148" s="108" t="s">
        <v>19416</v>
      </c>
      <c r="G3148" s="109">
        <v>44789</v>
      </c>
      <c r="H3148" s="108" t="s">
        <v>1125</v>
      </c>
      <c r="I3148" s="108" t="s">
        <v>108</v>
      </c>
    </row>
    <row r="3149" spans="1:9" ht="27.6">
      <c r="A3149" s="108" t="s">
        <v>15869</v>
      </c>
      <c r="B3149" s="108" t="s">
        <v>19417</v>
      </c>
      <c r="C3149" s="109">
        <v>44529</v>
      </c>
      <c r="D3149" s="108" t="s">
        <v>19418</v>
      </c>
      <c r="E3149" s="108" t="s">
        <v>14605</v>
      </c>
      <c r="F3149" s="108" t="s">
        <v>19419</v>
      </c>
      <c r="G3149" s="109">
        <v>44894</v>
      </c>
      <c r="H3149" s="108" t="s">
        <v>1125</v>
      </c>
      <c r="I3149" s="108" t="s">
        <v>108</v>
      </c>
    </row>
    <row r="3150" spans="1:9" ht="27.6">
      <c r="A3150" s="108" t="s">
        <v>15869</v>
      </c>
      <c r="B3150" s="108" t="s">
        <v>19420</v>
      </c>
      <c r="C3150" s="109">
        <v>44494</v>
      </c>
      <c r="D3150" s="108" t="s">
        <v>19200</v>
      </c>
      <c r="E3150" s="108" t="s">
        <v>14605</v>
      </c>
      <c r="F3150" s="108" t="s">
        <v>19201</v>
      </c>
      <c r="G3150" s="109">
        <v>46684</v>
      </c>
      <c r="H3150" s="108" t="s">
        <v>1125</v>
      </c>
      <c r="I3150" s="108" t="s">
        <v>108</v>
      </c>
    </row>
    <row r="3151" spans="1:9" ht="41.4">
      <c r="A3151" s="108" t="s">
        <v>15869</v>
      </c>
      <c r="B3151" s="108" t="s">
        <v>19421</v>
      </c>
      <c r="C3151" s="109">
        <v>44485</v>
      </c>
      <c r="D3151" s="108" t="s">
        <v>19422</v>
      </c>
      <c r="E3151" s="108" t="s">
        <v>14605</v>
      </c>
      <c r="F3151" s="108" t="s">
        <v>15480</v>
      </c>
      <c r="G3151" s="109">
        <v>44849</v>
      </c>
      <c r="H3151" s="108" t="s">
        <v>1125</v>
      </c>
      <c r="I3151" s="108" t="s">
        <v>108</v>
      </c>
    </row>
    <row r="3152" spans="1:9" ht="27.6">
      <c r="A3152" s="108" t="s">
        <v>15869</v>
      </c>
      <c r="B3152" s="108" t="s">
        <v>19423</v>
      </c>
      <c r="C3152" s="109">
        <v>44505</v>
      </c>
      <c r="D3152" s="108" t="s">
        <v>19205</v>
      </c>
      <c r="E3152" s="108" t="s">
        <v>14605</v>
      </c>
      <c r="F3152" s="108" t="s">
        <v>19206</v>
      </c>
      <c r="G3152" s="109">
        <v>45600</v>
      </c>
      <c r="H3152" s="108" t="s">
        <v>1125</v>
      </c>
      <c r="I3152" s="108" t="s">
        <v>108</v>
      </c>
    </row>
    <row r="3153" spans="1:9" ht="27.6">
      <c r="A3153" s="108" t="s">
        <v>15869</v>
      </c>
      <c r="B3153" s="108" t="s">
        <v>19424</v>
      </c>
      <c r="C3153" s="109">
        <v>44535</v>
      </c>
      <c r="D3153" s="108" t="s">
        <v>19425</v>
      </c>
      <c r="E3153" s="108" t="s">
        <v>14605</v>
      </c>
      <c r="F3153" s="108" t="s">
        <v>18224</v>
      </c>
      <c r="G3153" s="109">
        <v>45627</v>
      </c>
      <c r="H3153" s="108" t="s">
        <v>1125</v>
      </c>
      <c r="I3153" s="108" t="s">
        <v>108</v>
      </c>
    </row>
    <row r="3154" spans="1:9" ht="27.6">
      <c r="A3154" s="108" t="s">
        <v>15869</v>
      </c>
      <c r="B3154" s="108" t="s">
        <v>19426</v>
      </c>
      <c r="C3154" s="109">
        <v>44536</v>
      </c>
      <c r="D3154" s="108" t="s">
        <v>19427</v>
      </c>
      <c r="E3154" s="108" t="s">
        <v>14605</v>
      </c>
      <c r="F3154" s="108" t="s">
        <v>19428</v>
      </c>
      <c r="G3154" s="109">
        <v>44900</v>
      </c>
      <c r="H3154" s="108" t="s">
        <v>1125</v>
      </c>
      <c r="I3154" s="108" t="s">
        <v>108</v>
      </c>
    </row>
    <row r="3155" spans="1:9" ht="27.6">
      <c r="A3155" s="108" t="s">
        <v>15869</v>
      </c>
      <c r="B3155" s="108" t="s">
        <v>19429</v>
      </c>
      <c r="C3155" s="109">
        <v>44559</v>
      </c>
      <c r="D3155" s="108" t="s">
        <v>19430</v>
      </c>
      <c r="E3155" s="108" t="s">
        <v>14605</v>
      </c>
      <c r="F3155" s="108" t="s">
        <v>19431</v>
      </c>
      <c r="G3155" s="109">
        <v>46385</v>
      </c>
      <c r="H3155" s="108" t="s">
        <v>1125</v>
      </c>
      <c r="I3155" s="108" t="s">
        <v>108</v>
      </c>
    </row>
    <row r="3156" spans="1:9" ht="27.6">
      <c r="A3156" s="108" t="s">
        <v>15869</v>
      </c>
      <c r="B3156" s="108" t="s">
        <v>19432</v>
      </c>
      <c r="C3156" s="109">
        <v>44561</v>
      </c>
      <c r="D3156" s="108" t="s">
        <v>19211</v>
      </c>
      <c r="E3156" s="108" t="s">
        <v>14605</v>
      </c>
      <c r="F3156" s="108" t="s">
        <v>19212</v>
      </c>
      <c r="G3156" s="109">
        <v>45656</v>
      </c>
      <c r="H3156" s="108" t="s">
        <v>1125</v>
      </c>
      <c r="I3156" s="108" t="s">
        <v>108</v>
      </c>
    </row>
    <row r="3157" spans="1:9" ht="27.6">
      <c r="A3157" s="108" t="s">
        <v>15869</v>
      </c>
      <c r="B3157" s="108" t="s">
        <v>19433</v>
      </c>
      <c r="C3157" s="109">
        <v>44576</v>
      </c>
      <c r="D3157" s="108" t="s">
        <v>19434</v>
      </c>
      <c r="E3157" s="108" t="s">
        <v>14605</v>
      </c>
      <c r="F3157" s="108" t="s">
        <v>18598</v>
      </c>
      <c r="G3157" s="109">
        <v>45672</v>
      </c>
      <c r="H3157" s="108" t="s">
        <v>1125</v>
      </c>
      <c r="I3157" s="108" t="s">
        <v>108</v>
      </c>
    </row>
    <row r="3158" spans="1:9" ht="27.6">
      <c r="A3158" s="108" t="s">
        <v>15869</v>
      </c>
      <c r="B3158" s="108" t="s">
        <v>19435</v>
      </c>
      <c r="C3158" s="109">
        <v>44581</v>
      </c>
      <c r="D3158" s="108" t="s">
        <v>19436</v>
      </c>
      <c r="E3158" s="108" t="s">
        <v>14605</v>
      </c>
      <c r="F3158" s="108" t="s">
        <v>18579</v>
      </c>
      <c r="G3158" s="109">
        <v>44946</v>
      </c>
      <c r="H3158" s="108" t="s">
        <v>1125</v>
      </c>
      <c r="I3158" s="108" t="s">
        <v>108</v>
      </c>
    </row>
    <row r="3159" spans="1:9" ht="27.6">
      <c r="A3159" s="108" t="s">
        <v>15869</v>
      </c>
      <c r="B3159" s="108" t="s">
        <v>19437</v>
      </c>
      <c r="C3159" s="109">
        <v>44678</v>
      </c>
      <c r="D3159" s="108" t="s">
        <v>19438</v>
      </c>
      <c r="E3159" s="108" t="s">
        <v>14605</v>
      </c>
      <c r="F3159" s="108" t="s">
        <v>19439</v>
      </c>
      <c r="G3159" s="109">
        <v>45042</v>
      </c>
      <c r="H3159" s="108" t="s">
        <v>1125</v>
      </c>
      <c r="I3159" s="108" t="s">
        <v>108</v>
      </c>
    </row>
    <row r="3160" spans="1:9" ht="27.6">
      <c r="A3160" s="108" t="s">
        <v>15869</v>
      </c>
      <c r="B3160" s="108" t="s">
        <v>19440</v>
      </c>
      <c r="C3160" s="109">
        <v>44791</v>
      </c>
      <c r="D3160" s="108" t="s">
        <v>19441</v>
      </c>
      <c r="E3160" s="108" t="s">
        <v>14605</v>
      </c>
      <c r="F3160" s="108" t="s">
        <v>19442</v>
      </c>
      <c r="G3160" s="109">
        <v>45155</v>
      </c>
      <c r="H3160" s="108" t="s">
        <v>1125</v>
      </c>
      <c r="I3160" s="108" t="s">
        <v>108</v>
      </c>
    </row>
    <row r="3161" spans="1:9">
      <c r="A3161" s="108" t="s">
        <v>15869</v>
      </c>
      <c r="B3161" s="108" t="s">
        <v>19443</v>
      </c>
      <c r="C3161" s="109">
        <v>44830</v>
      </c>
      <c r="D3161" s="108" t="s">
        <v>19444</v>
      </c>
      <c r="E3161" s="108" t="s">
        <v>14605</v>
      </c>
      <c r="F3161" s="108" t="s">
        <v>19287</v>
      </c>
      <c r="G3161" s="109">
        <v>45560</v>
      </c>
      <c r="H3161" s="108" t="s">
        <v>1125</v>
      </c>
      <c r="I3161" s="108" t="s">
        <v>108</v>
      </c>
    </row>
    <row r="3162" spans="1:9" ht="27.6">
      <c r="A3162" s="108" t="s">
        <v>16521</v>
      </c>
      <c r="B3162" s="108" t="s">
        <v>19445</v>
      </c>
      <c r="C3162" s="109">
        <v>44721</v>
      </c>
      <c r="D3162" s="108" t="s">
        <v>19229</v>
      </c>
      <c r="E3162" s="108" t="s">
        <v>14605</v>
      </c>
      <c r="F3162" s="108" t="s">
        <v>19230</v>
      </c>
      <c r="G3162" s="109">
        <v>45085</v>
      </c>
      <c r="H3162" s="108" t="s">
        <v>1125</v>
      </c>
      <c r="I3162" s="108" t="s">
        <v>108</v>
      </c>
    </row>
    <row r="3163" spans="1:9" ht="27.6">
      <c r="A3163" s="108" t="s">
        <v>15869</v>
      </c>
      <c r="B3163" s="108" t="s">
        <v>19446</v>
      </c>
      <c r="C3163" s="109">
        <v>44769</v>
      </c>
      <c r="D3163" s="108" t="s">
        <v>19279</v>
      </c>
      <c r="E3163" s="108" t="s">
        <v>14605</v>
      </c>
      <c r="F3163" s="108" t="s">
        <v>19280</v>
      </c>
      <c r="G3163" s="109">
        <v>45133</v>
      </c>
      <c r="H3163" s="108" t="s">
        <v>1125</v>
      </c>
      <c r="I3163" s="108" t="s">
        <v>108</v>
      </c>
    </row>
    <row r="3164" spans="1:9" ht="27.6">
      <c r="A3164" s="108" t="s">
        <v>15869</v>
      </c>
      <c r="B3164" s="108" t="s">
        <v>19447</v>
      </c>
      <c r="C3164" s="109">
        <v>44775</v>
      </c>
      <c r="D3164" s="108" t="s">
        <v>19284</v>
      </c>
      <c r="E3164" s="108" t="s">
        <v>14605</v>
      </c>
      <c r="F3164" s="108" t="s">
        <v>19235</v>
      </c>
      <c r="G3164" s="109">
        <v>45140</v>
      </c>
      <c r="H3164" s="108" t="s">
        <v>1125</v>
      </c>
      <c r="I3164" s="108" t="s">
        <v>108</v>
      </c>
    </row>
    <row r="3165" spans="1:9" ht="27.6">
      <c r="A3165" s="108" t="s">
        <v>15869</v>
      </c>
      <c r="B3165" s="108" t="s">
        <v>19448</v>
      </c>
      <c r="C3165" s="109">
        <v>44799</v>
      </c>
      <c r="D3165" s="108" t="s">
        <v>19449</v>
      </c>
      <c r="E3165" s="108" t="s">
        <v>14605</v>
      </c>
      <c r="F3165" s="108" t="s">
        <v>15486</v>
      </c>
      <c r="G3165" s="109">
        <v>45893</v>
      </c>
      <c r="H3165" s="108" t="s">
        <v>1125</v>
      </c>
      <c r="I3165" s="108" t="s">
        <v>108</v>
      </c>
    </row>
    <row r="3166" spans="1:9">
      <c r="A3166" s="108" t="s">
        <v>15869</v>
      </c>
      <c r="B3166" s="108" t="s">
        <v>19450</v>
      </c>
      <c r="C3166" s="109">
        <v>45771</v>
      </c>
      <c r="D3166" s="108" t="s">
        <v>19451</v>
      </c>
      <c r="E3166" s="108" t="s">
        <v>14605</v>
      </c>
      <c r="F3166" s="108" t="s">
        <v>18358</v>
      </c>
      <c r="G3166" s="109">
        <v>46134</v>
      </c>
      <c r="H3166" s="108" t="s">
        <v>1125</v>
      </c>
      <c r="I3166" s="108" t="s">
        <v>108</v>
      </c>
    </row>
    <row r="3167" spans="1:9" ht="27.6">
      <c r="A3167" s="108" t="s">
        <v>15869</v>
      </c>
      <c r="B3167" s="108" t="s">
        <v>19452</v>
      </c>
      <c r="C3167" s="109">
        <v>44798</v>
      </c>
      <c r="D3167" s="108" t="s">
        <v>19453</v>
      </c>
      <c r="E3167" s="108" t="s">
        <v>14605</v>
      </c>
      <c r="F3167" s="108" t="s">
        <v>16099</v>
      </c>
      <c r="G3167" s="109">
        <v>46623</v>
      </c>
      <c r="H3167" s="108" t="s">
        <v>1125</v>
      </c>
      <c r="I3167" s="108" t="s">
        <v>108</v>
      </c>
    </row>
    <row r="3168" spans="1:9">
      <c r="A3168" s="108" t="s">
        <v>15869</v>
      </c>
      <c r="B3168" s="108" t="s">
        <v>19454</v>
      </c>
      <c r="C3168" s="109">
        <v>44791</v>
      </c>
      <c r="D3168" s="108" t="s">
        <v>19455</v>
      </c>
      <c r="E3168" s="108" t="s">
        <v>14605</v>
      </c>
      <c r="F3168" s="108" t="s">
        <v>19456</v>
      </c>
      <c r="G3168" s="109">
        <v>45521</v>
      </c>
      <c r="H3168" s="108" t="s">
        <v>1125</v>
      </c>
      <c r="I3168" s="108" t="s">
        <v>108</v>
      </c>
    </row>
    <row r="3169" spans="1:9" ht="27.6">
      <c r="A3169" s="108" t="s">
        <v>15869</v>
      </c>
      <c r="B3169" s="108" t="s">
        <v>19457</v>
      </c>
      <c r="C3169" s="109">
        <v>44810</v>
      </c>
      <c r="D3169" s="108" t="s">
        <v>19249</v>
      </c>
      <c r="E3169" s="108" t="s">
        <v>14605</v>
      </c>
      <c r="F3169" s="108" t="s">
        <v>19250</v>
      </c>
      <c r="G3169" s="109">
        <v>45174</v>
      </c>
      <c r="H3169" s="108" t="s">
        <v>1125</v>
      </c>
      <c r="I3169" s="108" t="s">
        <v>108</v>
      </c>
    </row>
    <row r="3170" spans="1:9" ht="27.6">
      <c r="A3170" s="108" t="s">
        <v>15869</v>
      </c>
      <c r="B3170" s="108" t="s">
        <v>19458</v>
      </c>
      <c r="C3170" s="109">
        <v>44971</v>
      </c>
      <c r="D3170" s="108" t="s">
        <v>19459</v>
      </c>
      <c r="E3170" s="108" t="s">
        <v>14605</v>
      </c>
      <c r="F3170" s="108" t="s">
        <v>18376</v>
      </c>
      <c r="G3170" s="109">
        <v>45335</v>
      </c>
      <c r="H3170" s="108" t="s">
        <v>1125</v>
      </c>
      <c r="I3170" s="108" t="s">
        <v>108</v>
      </c>
    </row>
    <row r="3171" spans="1:9" ht="27.6">
      <c r="A3171" s="108" t="s">
        <v>15869</v>
      </c>
      <c r="B3171" s="108" t="s">
        <v>19460</v>
      </c>
      <c r="C3171" s="109">
        <v>44813</v>
      </c>
      <c r="D3171" s="108" t="s">
        <v>19461</v>
      </c>
      <c r="E3171" s="108" t="s">
        <v>14605</v>
      </c>
      <c r="F3171" s="108" t="s">
        <v>19462</v>
      </c>
      <c r="G3171" s="109">
        <v>46638</v>
      </c>
      <c r="H3171" s="108" t="s">
        <v>1125</v>
      </c>
      <c r="I3171" s="108" t="s">
        <v>108</v>
      </c>
    </row>
    <row r="3172" spans="1:9">
      <c r="A3172" s="108" t="s">
        <v>15869</v>
      </c>
      <c r="B3172" s="108" t="s">
        <v>19463</v>
      </c>
      <c r="C3172" s="109">
        <v>45798</v>
      </c>
      <c r="D3172" s="108" t="s">
        <v>19464</v>
      </c>
      <c r="E3172" s="108" t="s">
        <v>14605</v>
      </c>
      <c r="F3172" s="108" t="s">
        <v>19465</v>
      </c>
      <c r="G3172" s="109">
        <v>46162</v>
      </c>
      <c r="H3172" s="108" t="s">
        <v>1125</v>
      </c>
      <c r="I3172" s="108" t="s">
        <v>108</v>
      </c>
    </row>
    <row r="3173" spans="1:9" ht="27.6">
      <c r="A3173" s="108" t="s">
        <v>15869</v>
      </c>
      <c r="B3173" s="108" t="s">
        <v>19466</v>
      </c>
      <c r="C3173" s="109">
        <v>45496</v>
      </c>
      <c r="D3173" s="108" t="s">
        <v>19467</v>
      </c>
      <c r="E3173" s="108" t="s">
        <v>14605</v>
      </c>
      <c r="F3173" s="108" t="s">
        <v>15885</v>
      </c>
      <c r="G3173" s="109">
        <v>45860</v>
      </c>
      <c r="H3173" s="108" t="s">
        <v>1125</v>
      </c>
      <c r="I3173" s="108" t="s">
        <v>108</v>
      </c>
    </row>
    <row r="3174" spans="1:9" ht="27.6">
      <c r="A3174" s="108" t="s">
        <v>15869</v>
      </c>
      <c r="B3174" s="108" t="s">
        <v>19468</v>
      </c>
      <c r="C3174" s="109">
        <v>45784</v>
      </c>
      <c r="D3174" s="108" t="s">
        <v>19469</v>
      </c>
      <c r="E3174" s="108" t="s">
        <v>14605</v>
      </c>
      <c r="F3174" s="108" t="s">
        <v>18360</v>
      </c>
      <c r="G3174" s="109">
        <v>46148</v>
      </c>
      <c r="H3174" s="108" t="s">
        <v>1125</v>
      </c>
      <c r="I3174" s="108" t="s">
        <v>108</v>
      </c>
    </row>
    <row r="3175" spans="1:9" ht="27.6">
      <c r="A3175" s="108" t="s">
        <v>15869</v>
      </c>
      <c r="B3175" s="108" t="s">
        <v>19470</v>
      </c>
      <c r="C3175" s="109">
        <v>44883</v>
      </c>
      <c r="D3175" s="108" t="s">
        <v>19471</v>
      </c>
      <c r="E3175" s="108" t="s">
        <v>14605</v>
      </c>
      <c r="F3175" s="108" t="s">
        <v>18376</v>
      </c>
      <c r="G3175" s="109">
        <v>45245</v>
      </c>
      <c r="H3175" s="108" t="s">
        <v>1125</v>
      </c>
      <c r="I3175" s="108" t="s">
        <v>108</v>
      </c>
    </row>
    <row r="3176" spans="1:9" ht="27.6">
      <c r="A3176" s="108" t="s">
        <v>15869</v>
      </c>
      <c r="B3176" s="108" t="s">
        <v>19472</v>
      </c>
      <c r="C3176" s="109">
        <v>44848</v>
      </c>
      <c r="D3176" s="108" t="s">
        <v>19473</v>
      </c>
      <c r="E3176" s="108" t="s">
        <v>14605</v>
      </c>
      <c r="F3176" s="108" t="s">
        <v>15482</v>
      </c>
      <c r="G3176" s="109">
        <v>46673</v>
      </c>
      <c r="H3176" s="108" t="s">
        <v>1125</v>
      </c>
      <c r="I3176" s="108" t="s">
        <v>108</v>
      </c>
    </row>
    <row r="3177" spans="1:9">
      <c r="A3177" s="108" t="s">
        <v>15869</v>
      </c>
      <c r="B3177" s="108" t="s">
        <v>19474</v>
      </c>
      <c r="C3177" s="109">
        <v>44910</v>
      </c>
      <c r="D3177" s="108" t="s">
        <v>19475</v>
      </c>
      <c r="E3177" s="108" t="s">
        <v>14605</v>
      </c>
      <c r="F3177" s="108" t="s">
        <v>19476</v>
      </c>
      <c r="G3177" s="109">
        <v>45271</v>
      </c>
      <c r="H3177" s="108" t="s">
        <v>1125</v>
      </c>
      <c r="I3177" s="108" t="s">
        <v>108</v>
      </c>
    </row>
    <row r="3178" spans="1:9" ht="27.6">
      <c r="A3178" s="108" t="s">
        <v>15869</v>
      </c>
      <c r="B3178" s="108" t="s">
        <v>19477</v>
      </c>
      <c r="C3178" s="109">
        <v>44966</v>
      </c>
      <c r="D3178" s="108" t="s">
        <v>19289</v>
      </c>
      <c r="E3178" s="108" t="s">
        <v>14605</v>
      </c>
      <c r="F3178" s="108" t="s">
        <v>19106</v>
      </c>
      <c r="G3178" s="109">
        <v>45330</v>
      </c>
      <c r="H3178" s="108" t="s">
        <v>1125</v>
      </c>
      <c r="I3178" s="108" t="s">
        <v>108</v>
      </c>
    </row>
    <row r="3179" spans="1:9" ht="27.6">
      <c r="A3179" s="108" t="s">
        <v>16521</v>
      </c>
      <c r="B3179" s="108" t="s">
        <v>19478</v>
      </c>
      <c r="C3179" s="109">
        <v>45510</v>
      </c>
      <c r="D3179" s="108" t="s">
        <v>19479</v>
      </c>
      <c r="E3179" s="108" t="s">
        <v>14605</v>
      </c>
      <c r="F3179" s="108" t="s">
        <v>15885</v>
      </c>
      <c r="G3179" s="109">
        <v>45873</v>
      </c>
      <c r="H3179" s="108" t="s">
        <v>1125</v>
      </c>
      <c r="I3179" s="108" t="s">
        <v>108</v>
      </c>
    </row>
    <row r="3180" spans="1:9" ht="27.6">
      <c r="A3180" s="108" t="s">
        <v>15869</v>
      </c>
      <c r="B3180" s="108" t="s">
        <v>19480</v>
      </c>
      <c r="C3180" s="109">
        <v>44962</v>
      </c>
      <c r="D3180" s="108" t="s">
        <v>19256</v>
      </c>
      <c r="E3180" s="108" t="s">
        <v>14605</v>
      </c>
      <c r="F3180" s="108" t="s">
        <v>19257</v>
      </c>
      <c r="G3180" s="109">
        <v>45505</v>
      </c>
      <c r="H3180" s="108" t="s">
        <v>1125</v>
      </c>
      <c r="I3180" s="108" t="s">
        <v>108</v>
      </c>
    </row>
    <row r="3181" spans="1:9">
      <c r="A3181" s="108" t="s">
        <v>15869</v>
      </c>
      <c r="B3181" s="108" t="s">
        <v>19481</v>
      </c>
      <c r="C3181" s="109">
        <v>45035</v>
      </c>
      <c r="D3181" s="108" t="s">
        <v>19482</v>
      </c>
      <c r="E3181" s="108" t="s">
        <v>14605</v>
      </c>
      <c r="F3181" s="108" t="s">
        <v>18367</v>
      </c>
      <c r="G3181" s="109">
        <v>45400</v>
      </c>
      <c r="H3181" s="108" t="s">
        <v>1125</v>
      </c>
      <c r="I3181" s="108" t="s">
        <v>108</v>
      </c>
    </row>
    <row r="3182" spans="1:9" ht="27.6">
      <c r="A3182" s="108" t="s">
        <v>15869</v>
      </c>
      <c r="B3182" s="108" t="s">
        <v>19483</v>
      </c>
      <c r="C3182" s="109">
        <v>45119</v>
      </c>
      <c r="D3182" s="108" t="s">
        <v>19291</v>
      </c>
      <c r="E3182" s="108" t="s">
        <v>14605</v>
      </c>
      <c r="F3182" s="108" t="s">
        <v>19292</v>
      </c>
      <c r="G3182" s="109">
        <v>45484</v>
      </c>
      <c r="H3182" s="108" t="s">
        <v>1125</v>
      </c>
      <c r="I3182" s="108" t="s">
        <v>108</v>
      </c>
    </row>
    <row r="3183" spans="1:9" ht="27.6">
      <c r="A3183" s="108" t="s">
        <v>16521</v>
      </c>
      <c r="B3183" s="108" t="s">
        <v>19484</v>
      </c>
      <c r="C3183" s="109">
        <v>44956</v>
      </c>
      <c r="D3183" s="108" t="s">
        <v>19485</v>
      </c>
      <c r="E3183" s="108" t="s">
        <v>14605</v>
      </c>
      <c r="F3183" s="108" t="s">
        <v>19486</v>
      </c>
      <c r="G3183" s="109">
        <v>45319</v>
      </c>
      <c r="H3183" s="108" t="s">
        <v>1125</v>
      </c>
      <c r="I3183" s="108" t="s">
        <v>108</v>
      </c>
    </row>
    <row r="3184" spans="1:9">
      <c r="A3184" s="108" t="s">
        <v>15869</v>
      </c>
      <c r="B3184" s="108" t="s">
        <v>19487</v>
      </c>
      <c r="C3184" s="109">
        <v>45208</v>
      </c>
      <c r="D3184" s="108" t="s">
        <v>19488</v>
      </c>
      <c r="E3184" s="108" t="s">
        <v>14605</v>
      </c>
      <c r="F3184" s="108" t="s">
        <v>19489</v>
      </c>
      <c r="G3184" s="109">
        <v>45573</v>
      </c>
      <c r="H3184" s="108" t="s">
        <v>1125</v>
      </c>
      <c r="I3184" s="108" t="s">
        <v>108</v>
      </c>
    </row>
    <row r="3185" spans="1:9" ht="27.6">
      <c r="A3185" s="108" t="s">
        <v>15869</v>
      </c>
      <c r="B3185" s="108" t="s">
        <v>19490</v>
      </c>
      <c r="C3185" s="109">
        <v>45258</v>
      </c>
      <c r="D3185" s="108" t="s">
        <v>19491</v>
      </c>
      <c r="E3185" s="108" t="s">
        <v>14605</v>
      </c>
      <c r="F3185" s="108" t="s">
        <v>15498</v>
      </c>
      <c r="G3185" s="109">
        <v>45623</v>
      </c>
      <c r="H3185" s="108" t="s">
        <v>1125</v>
      </c>
      <c r="I3185" s="108" t="s">
        <v>108</v>
      </c>
    </row>
    <row r="3186" spans="1:9" ht="27.6">
      <c r="A3186" s="108" t="s">
        <v>15869</v>
      </c>
      <c r="B3186" s="108" t="s">
        <v>19492</v>
      </c>
      <c r="C3186" s="109">
        <v>45267</v>
      </c>
      <c r="D3186" s="108" t="s">
        <v>19493</v>
      </c>
      <c r="E3186" s="108" t="s">
        <v>14605</v>
      </c>
      <c r="F3186" s="108" t="s">
        <v>19494</v>
      </c>
      <c r="G3186" s="109">
        <v>45632</v>
      </c>
      <c r="H3186" s="108" t="s">
        <v>1125</v>
      </c>
      <c r="I3186" s="108" t="s">
        <v>108</v>
      </c>
    </row>
    <row r="3187" spans="1:9" ht="27.6">
      <c r="A3187" s="108" t="s">
        <v>15869</v>
      </c>
      <c r="B3187" s="108" t="s">
        <v>19495</v>
      </c>
      <c r="C3187" s="109">
        <v>45314</v>
      </c>
      <c r="D3187" s="108" t="s">
        <v>19496</v>
      </c>
      <c r="E3187" s="108" t="s">
        <v>14605</v>
      </c>
      <c r="F3187" s="108" t="s">
        <v>15502</v>
      </c>
      <c r="G3187" s="109">
        <v>45679</v>
      </c>
      <c r="H3187" s="108" t="s">
        <v>1125</v>
      </c>
      <c r="I3187" s="108" t="s">
        <v>108</v>
      </c>
    </row>
    <row r="3188" spans="1:9" ht="27.6">
      <c r="A3188" s="108" t="s">
        <v>15869</v>
      </c>
      <c r="B3188" s="108" t="s">
        <v>19497</v>
      </c>
      <c r="C3188" s="109">
        <v>45355</v>
      </c>
      <c r="D3188" s="108" t="s">
        <v>19498</v>
      </c>
      <c r="E3188" s="108" t="s">
        <v>14605</v>
      </c>
      <c r="F3188" s="108" t="s">
        <v>18512</v>
      </c>
      <c r="G3188" s="109">
        <v>45719</v>
      </c>
      <c r="H3188" s="108" t="s">
        <v>1125</v>
      </c>
      <c r="I3188" s="108" t="s">
        <v>108</v>
      </c>
    </row>
    <row r="3189" spans="1:9" ht="41.4">
      <c r="A3189" s="108" t="s">
        <v>15869</v>
      </c>
      <c r="B3189" s="108" t="s">
        <v>19499</v>
      </c>
      <c r="C3189" s="109">
        <v>45581</v>
      </c>
      <c r="D3189" s="108" t="s">
        <v>19500</v>
      </c>
      <c r="E3189" s="108" t="s">
        <v>14605</v>
      </c>
      <c r="F3189" s="108" t="s">
        <v>18392</v>
      </c>
      <c r="G3189" s="109">
        <v>45944</v>
      </c>
      <c r="H3189" s="108" t="s">
        <v>1125</v>
      </c>
      <c r="I3189" s="108" t="s">
        <v>108</v>
      </c>
    </row>
    <row r="3190" spans="1:9" ht="27.6">
      <c r="A3190" s="108" t="s">
        <v>15869</v>
      </c>
      <c r="B3190" s="108" t="s">
        <v>19501</v>
      </c>
      <c r="C3190" s="109">
        <v>45440</v>
      </c>
      <c r="D3190" s="108" t="s">
        <v>19502</v>
      </c>
      <c r="E3190" s="108" t="s">
        <v>14605</v>
      </c>
      <c r="F3190" s="108" t="s">
        <v>15498</v>
      </c>
      <c r="G3190" s="109">
        <v>45803</v>
      </c>
      <c r="H3190" s="108" t="s">
        <v>1125</v>
      </c>
      <c r="I3190" s="108" t="s">
        <v>108</v>
      </c>
    </row>
    <row r="3191" spans="1:9">
      <c r="A3191" s="108" t="s">
        <v>15869</v>
      </c>
      <c r="B3191" s="108" t="s">
        <v>19503</v>
      </c>
      <c r="C3191" s="109">
        <v>45435</v>
      </c>
      <c r="D3191" s="108" t="s">
        <v>19504</v>
      </c>
      <c r="E3191" s="108" t="s">
        <v>14605</v>
      </c>
      <c r="F3191" s="108" t="s">
        <v>19327</v>
      </c>
      <c r="G3191" s="109">
        <v>45891</v>
      </c>
      <c r="H3191" s="108" t="s">
        <v>1125</v>
      </c>
      <c r="I3191" s="108" t="s">
        <v>108</v>
      </c>
    </row>
    <row r="3192" spans="1:9" ht="27.6">
      <c r="A3192" s="108" t="s">
        <v>16521</v>
      </c>
      <c r="B3192" s="108" t="s">
        <v>19505</v>
      </c>
      <c r="C3192" s="109">
        <v>45447</v>
      </c>
      <c r="D3192" s="108" t="s">
        <v>19506</v>
      </c>
      <c r="E3192" s="108" t="s">
        <v>14605</v>
      </c>
      <c r="F3192" s="108" t="s">
        <v>18384</v>
      </c>
      <c r="G3192" s="109">
        <v>45811</v>
      </c>
      <c r="H3192" s="108" t="s">
        <v>1125</v>
      </c>
      <c r="I3192" s="108" t="s">
        <v>108</v>
      </c>
    </row>
    <row r="3193" spans="1:9" ht="27.6">
      <c r="A3193" s="108" t="s">
        <v>15869</v>
      </c>
      <c r="B3193" s="108" t="s">
        <v>19507</v>
      </c>
      <c r="C3193" s="109">
        <v>45491</v>
      </c>
      <c r="D3193" s="108" t="s">
        <v>19508</v>
      </c>
      <c r="E3193" s="108" t="s">
        <v>14605</v>
      </c>
      <c r="F3193" s="108" t="s">
        <v>18390</v>
      </c>
      <c r="G3193" s="109">
        <v>45854</v>
      </c>
      <c r="H3193" s="108" t="s">
        <v>1125</v>
      </c>
      <c r="I3193" s="108" t="s">
        <v>108</v>
      </c>
    </row>
    <row r="3194" spans="1:9" ht="27.6">
      <c r="A3194" s="108" t="s">
        <v>15869</v>
      </c>
      <c r="B3194" s="108" t="s">
        <v>19509</v>
      </c>
      <c r="C3194" s="109">
        <v>45617</v>
      </c>
      <c r="D3194" s="108" t="s">
        <v>19510</v>
      </c>
      <c r="E3194" s="108" t="s">
        <v>14605</v>
      </c>
      <c r="F3194" s="108" t="s">
        <v>19511</v>
      </c>
      <c r="G3194" s="109">
        <v>45980</v>
      </c>
      <c r="H3194" s="108" t="s">
        <v>1125</v>
      </c>
      <c r="I3194" s="108" t="s">
        <v>108</v>
      </c>
    </row>
    <row r="3195" spans="1:9" ht="27.6">
      <c r="A3195" s="108" t="s">
        <v>15869</v>
      </c>
      <c r="B3195" s="108" t="s">
        <v>19512</v>
      </c>
      <c r="C3195" s="109">
        <v>45589</v>
      </c>
      <c r="D3195" s="108" t="s">
        <v>19513</v>
      </c>
      <c r="E3195" s="108" t="s">
        <v>14605</v>
      </c>
      <c r="F3195" s="108" t="s">
        <v>18035</v>
      </c>
      <c r="G3195" s="109">
        <v>45952</v>
      </c>
      <c r="H3195" s="108" t="s">
        <v>1125</v>
      </c>
      <c r="I3195" s="108" t="s">
        <v>108</v>
      </c>
    </row>
    <row r="3196" spans="1:9" ht="27.6">
      <c r="A3196" s="108" t="s">
        <v>15869</v>
      </c>
      <c r="B3196" s="108" t="s">
        <v>19514</v>
      </c>
      <c r="C3196" s="109">
        <v>45854</v>
      </c>
      <c r="D3196" s="108" t="s">
        <v>19515</v>
      </c>
      <c r="E3196" s="108" t="s">
        <v>14605</v>
      </c>
      <c r="F3196" s="108" t="s">
        <v>19516</v>
      </c>
      <c r="G3196" s="109">
        <v>46217</v>
      </c>
      <c r="H3196" s="108" t="s">
        <v>1125</v>
      </c>
      <c r="I3196" s="108" t="s">
        <v>108</v>
      </c>
    </row>
    <row r="3197" spans="1:9" ht="41.4">
      <c r="A3197" s="108" t="s">
        <v>18585</v>
      </c>
      <c r="B3197" s="108" t="s">
        <v>19517</v>
      </c>
      <c r="C3197" s="109">
        <v>45560</v>
      </c>
      <c r="D3197" s="108" t="s">
        <v>19518</v>
      </c>
      <c r="E3197" s="108" t="s">
        <v>14605</v>
      </c>
      <c r="F3197" s="108" t="s">
        <v>19519</v>
      </c>
      <c r="G3197" s="109">
        <v>45923</v>
      </c>
      <c r="H3197" s="108" t="s">
        <v>1125</v>
      </c>
      <c r="I3197" s="108" t="s">
        <v>108</v>
      </c>
    </row>
    <row r="3198" spans="1:9" ht="41.4">
      <c r="A3198" s="108" t="s">
        <v>15869</v>
      </c>
      <c r="B3198" s="108" t="s">
        <v>19520</v>
      </c>
      <c r="C3198" s="109">
        <v>45615</v>
      </c>
      <c r="D3198" s="108" t="s">
        <v>19521</v>
      </c>
      <c r="E3198" s="108" t="s">
        <v>14605</v>
      </c>
      <c r="F3198" s="108" t="s">
        <v>19402</v>
      </c>
      <c r="G3198" s="109">
        <v>45979</v>
      </c>
      <c r="H3198" s="108" t="s">
        <v>1125</v>
      </c>
      <c r="I3198" s="108" t="s">
        <v>108</v>
      </c>
    </row>
    <row r="3199" spans="1:9" ht="27.6">
      <c r="A3199" s="108" t="s">
        <v>15869</v>
      </c>
      <c r="B3199" s="108" t="s">
        <v>19522</v>
      </c>
      <c r="C3199" s="109">
        <v>45596</v>
      </c>
      <c r="D3199" s="108" t="s">
        <v>19523</v>
      </c>
      <c r="E3199" s="108" t="s">
        <v>14605</v>
      </c>
      <c r="F3199" s="108" t="s">
        <v>19524</v>
      </c>
      <c r="G3199" s="109">
        <v>45960</v>
      </c>
      <c r="H3199" s="108" t="s">
        <v>1125</v>
      </c>
      <c r="I3199" s="108" t="s">
        <v>108</v>
      </c>
    </row>
    <row r="3200" spans="1:9" ht="27.6">
      <c r="A3200" s="108" t="s">
        <v>388</v>
      </c>
      <c r="B3200" s="108" t="s">
        <v>19525</v>
      </c>
      <c r="C3200" s="109">
        <v>44403</v>
      </c>
      <c r="D3200" s="108" t="s">
        <v>19526</v>
      </c>
      <c r="E3200" s="108" t="s">
        <v>14605</v>
      </c>
      <c r="F3200" s="108" t="s">
        <v>16099</v>
      </c>
      <c r="G3200" s="109">
        <v>46036</v>
      </c>
      <c r="H3200" s="108" t="s">
        <v>1125</v>
      </c>
      <c r="I3200" s="108" t="s">
        <v>108</v>
      </c>
    </row>
    <row r="3201" spans="1:9" ht="27.6">
      <c r="A3201" s="108" t="s">
        <v>109</v>
      </c>
      <c r="B3201" s="108" t="s">
        <v>19527</v>
      </c>
      <c r="C3201" s="109">
        <v>43797</v>
      </c>
      <c r="D3201" s="108" t="s">
        <v>19528</v>
      </c>
      <c r="E3201" s="108" t="s">
        <v>14605</v>
      </c>
      <c r="F3201" s="108" t="s">
        <v>19529</v>
      </c>
      <c r="G3201" s="109">
        <v>44176</v>
      </c>
      <c r="H3201" s="108" t="s">
        <v>1125</v>
      </c>
      <c r="I3201" s="108" t="s">
        <v>108</v>
      </c>
    </row>
    <row r="3202" spans="1:9" ht="27.6">
      <c r="A3202" s="108" t="s">
        <v>109</v>
      </c>
      <c r="B3202" s="108" t="s">
        <v>19530</v>
      </c>
      <c r="C3202" s="109">
        <v>43923</v>
      </c>
      <c r="D3202" s="108" t="s">
        <v>19531</v>
      </c>
      <c r="E3202" s="108" t="s">
        <v>14605</v>
      </c>
      <c r="F3202" s="108" t="s">
        <v>19532</v>
      </c>
      <c r="G3202" s="109">
        <v>44287</v>
      </c>
      <c r="H3202" s="108" t="s">
        <v>1125</v>
      </c>
      <c r="I3202" s="108" t="s">
        <v>108</v>
      </c>
    </row>
    <row r="3203" spans="1:9" ht="27.6">
      <c r="A3203" s="108" t="s">
        <v>109</v>
      </c>
      <c r="B3203" s="108" t="s">
        <v>19533</v>
      </c>
      <c r="C3203" s="109">
        <v>44769</v>
      </c>
      <c r="D3203" s="108" t="s">
        <v>19244</v>
      </c>
      <c r="E3203" s="108" t="s">
        <v>14605</v>
      </c>
      <c r="F3203" s="108" t="s">
        <v>19245</v>
      </c>
      <c r="G3203" s="109">
        <v>45132</v>
      </c>
      <c r="H3203" s="108" t="s">
        <v>1125</v>
      </c>
      <c r="I3203" s="108" t="s">
        <v>108</v>
      </c>
    </row>
    <row r="3204" spans="1:9" ht="27.6">
      <c r="A3204" s="108" t="s">
        <v>981</v>
      </c>
      <c r="B3204" s="108" t="s">
        <v>19534</v>
      </c>
      <c r="C3204" s="109">
        <v>45135</v>
      </c>
      <c r="D3204" s="108" t="s">
        <v>19535</v>
      </c>
      <c r="E3204" s="108" t="s">
        <v>14605</v>
      </c>
      <c r="F3204" s="108" t="s">
        <v>15310</v>
      </c>
      <c r="G3204" s="109">
        <v>45500</v>
      </c>
      <c r="H3204" s="108" t="s">
        <v>1125</v>
      </c>
      <c r="I3204" s="108" t="s">
        <v>108</v>
      </c>
    </row>
    <row r="3205" spans="1:9" ht="27.6">
      <c r="A3205" s="108" t="s">
        <v>109</v>
      </c>
      <c r="B3205" s="108" t="s">
        <v>19536</v>
      </c>
      <c r="C3205" s="109">
        <v>45267</v>
      </c>
      <c r="D3205" s="108" t="s">
        <v>19537</v>
      </c>
      <c r="E3205" s="108" t="s">
        <v>14605</v>
      </c>
      <c r="F3205" s="108" t="s">
        <v>15808</v>
      </c>
      <c r="G3205" s="109">
        <v>45515</v>
      </c>
      <c r="H3205" s="108" t="s">
        <v>1125</v>
      </c>
      <c r="I3205" s="108" t="s">
        <v>108</v>
      </c>
    </row>
    <row r="3206" spans="1:9" ht="27.6">
      <c r="A3206" s="108" t="s">
        <v>109</v>
      </c>
      <c r="B3206" s="108" t="s">
        <v>19538</v>
      </c>
      <c r="C3206" s="109">
        <v>45581</v>
      </c>
      <c r="D3206" s="108" t="s">
        <v>19539</v>
      </c>
      <c r="E3206" s="108" t="s">
        <v>14605</v>
      </c>
      <c r="F3206" s="108" t="s">
        <v>19540</v>
      </c>
      <c r="G3206" s="109">
        <v>45945</v>
      </c>
      <c r="H3206" s="108" t="s">
        <v>1125</v>
      </c>
      <c r="I3206" s="108" t="s">
        <v>108</v>
      </c>
    </row>
    <row r="3207" spans="1:9" ht="27.6">
      <c r="A3207" s="108" t="s">
        <v>250</v>
      </c>
      <c r="B3207" s="108" t="s">
        <v>19541</v>
      </c>
      <c r="C3207" s="109">
        <v>45786</v>
      </c>
      <c r="D3207" s="108" t="s">
        <v>19542</v>
      </c>
      <c r="E3207" s="108" t="s">
        <v>14605</v>
      </c>
      <c r="F3207" s="108" t="s">
        <v>19543</v>
      </c>
      <c r="G3207" s="109">
        <v>45847</v>
      </c>
      <c r="H3207" s="108" t="s">
        <v>1125</v>
      </c>
      <c r="I3207" s="108" t="s">
        <v>108</v>
      </c>
    </row>
    <row r="3208" spans="1:9" ht="27.6">
      <c r="A3208" s="108" t="s">
        <v>109</v>
      </c>
      <c r="B3208" s="108" t="s">
        <v>19544</v>
      </c>
      <c r="C3208" s="109">
        <v>45510</v>
      </c>
      <c r="D3208" s="108" t="s">
        <v>19545</v>
      </c>
      <c r="E3208" s="108" t="s">
        <v>14605</v>
      </c>
      <c r="F3208" s="108" t="s">
        <v>17822</v>
      </c>
      <c r="G3208" s="109">
        <v>45874</v>
      </c>
      <c r="H3208" s="108" t="s">
        <v>1125</v>
      </c>
      <c r="I3208" s="108" t="s">
        <v>108</v>
      </c>
    </row>
    <row r="3209" spans="1:9" ht="27.6">
      <c r="A3209" s="108" t="s">
        <v>109</v>
      </c>
      <c r="B3209" s="108" t="s">
        <v>19546</v>
      </c>
      <c r="C3209" s="109">
        <v>45477</v>
      </c>
      <c r="D3209" s="108" t="s">
        <v>19547</v>
      </c>
      <c r="E3209" s="108" t="s">
        <v>14605</v>
      </c>
      <c r="F3209" s="108" t="s">
        <v>18272</v>
      </c>
      <c r="G3209" s="109">
        <v>45840</v>
      </c>
      <c r="H3209" s="108" t="s">
        <v>1125</v>
      </c>
      <c r="I3209" s="108" t="s">
        <v>108</v>
      </c>
    </row>
    <row r="3210" spans="1:9" ht="27.6">
      <c r="A3210" s="108" t="s">
        <v>109</v>
      </c>
      <c r="B3210" s="108" t="s">
        <v>19548</v>
      </c>
      <c r="C3210" s="109">
        <v>45602</v>
      </c>
      <c r="D3210" s="108" t="s">
        <v>19549</v>
      </c>
      <c r="E3210" s="108" t="s">
        <v>14605</v>
      </c>
      <c r="F3210" s="108" t="s">
        <v>15494</v>
      </c>
      <c r="G3210" s="109">
        <v>45966</v>
      </c>
      <c r="H3210" s="108" t="s">
        <v>1125</v>
      </c>
      <c r="I3210" s="108" t="s">
        <v>108</v>
      </c>
    </row>
    <row r="3211" spans="1:9" ht="27.6">
      <c r="A3211" s="108" t="s">
        <v>981</v>
      </c>
      <c r="B3211" s="108" t="s">
        <v>19550</v>
      </c>
      <c r="C3211" s="109">
        <v>45477</v>
      </c>
      <c r="D3211" s="108" t="s">
        <v>19551</v>
      </c>
      <c r="E3211" s="108" t="s">
        <v>14605</v>
      </c>
      <c r="F3211" s="108" t="s">
        <v>15909</v>
      </c>
      <c r="G3211" s="109">
        <v>45840</v>
      </c>
      <c r="H3211" s="108" t="s">
        <v>1125</v>
      </c>
      <c r="I3211" s="108" t="s">
        <v>108</v>
      </c>
    </row>
    <row r="3212" spans="1:9" ht="27.6">
      <c r="A3212" s="108" t="s">
        <v>109</v>
      </c>
      <c r="B3212" s="108" t="s">
        <v>19552</v>
      </c>
      <c r="C3212" s="109">
        <v>45534</v>
      </c>
      <c r="D3212" s="108" t="s">
        <v>19553</v>
      </c>
      <c r="E3212" s="108" t="s">
        <v>14605</v>
      </c>
      <c r="F3212" s="108" t="s">
        <v>15775</v>
      </c>
      <c r="G3212" s="109">
        <v>45897</v>
      </c>
      <c r="H3212" s="108" t="s">
        <v>1125</v>
      </c>
      <c r="I3212" s="108" t="s">
        <v>108</v>
      </c>
    </row>
    <row r="3213" spans="1:9" ht="41.4">
      <c r="A3213" s="108" t="s">
        <v>109</v>
      </c>
      <c r="B3213" s="108" t="s">
        <v>19554</v>
      </c>
      <c r="C3213" s="109">
        <v>45590</v>
      </c>
      <c r="D3213" s="108" t="s">
        <v>19555</v>
      </c>
      <c r="E3213" s="108" t="s">
        <v>14605</v>
      </c>
      <c r="F3213" s="108" t="s">
        <v>19556</v>
      </c>
      <c r="G3213" s="109">
        <v>45953</v>
      </c>
      <c r="H3213" s="108" t="s">
        <v>1125</v>
      </c>
      <c r="I3213" s="108" t="s">
        <v>108</v>
      </c>
    </row>
    <row r="3214" spans="1:9" ht="27.6">
      <c r="A3214" s="108" t="s">
        <v>109</v>
      </c>
      <c r="B3214" s="108" t="s">
        <v>19557</v>
      </c>
      <c r="C3214" s="109">
        <v>45609</v>
      </c>
      <c r="D3214" s="108" t="s">
        <v>19558</v>
      </c>
      <c r="E3214" s="108" t="s">
        <v>14605</v>
      </c>
      <c r="F3214" s="108" t="s">
        <v>14972</v>
      </c>
      <c r="G3214" s="109">
        <v>45972</v>
      </c>
      <c r="H3214" s="108" t="s">
        <v>1125</v>
      </c>
      <c r="I3214" s="108" t="s">
        <v>108</v>
      </c>
    </row>
    <row r="3215" spans="1:9" ht="27.6">
      <c r="A3215" s="108" t="s">
        <v>109</v>
      </c>
      <c r="B3215" s="108" t="s">
        <v>19559</v>
      </c>
      <c r="C3215" s="109">
        <v>45594</v>
      </c>
      <c r="D3215" s="108" t="s">
        <v>19560</v>
      </c>
      <c r="E3215" s="108" t="s">
        <v>14605</v>
      </c>
      <c r="F3215" s="108" t="s">
        <v>17997</v>
      </c>
      <c r="G3215" s="109">
        <v>45958</v>
      </c>
      <c r="H3215" s="108" t="s">
        <v>1125</v>
      </c>
      <c r="I3215" s="108" t="s">
        <v>108</v>
      </c>
    </row>
    <row r="3216" spans="1:9" ht="27.6">
      <c r="A3216" s="108" t="s">
        <v>418</v>
      </c>
      <c r="B3216" s="108" t="s">
        <v>19561</v>
      </c>
      <c r="C3216" s="109">
        <v>43516</v>
      </c>
      <c r="D3216" s="108" t="s">
        <v>19562</v>
      </c>
      <c r="E3216" s="108" t="s">
        <v>14605</v>
      </c>
      <c r="F3216" s="108" t="s">
        <v>16099</v>
      </c>
      <c r="G3216" s="109">
        <v>45341</v>
      </c>
      <c r="H3216" s="108" t="s">
        <v>1125</v>
      </c>
      <c r="I3216" s="108" t="s">
        <v>108</v>
      </c>
    </row>
    <row r="3217" spans="1:9" ht="27.6">
      <c r="A3217" s="108" t="s">
        <v>96</v>
      </c>
      <c r="B3217" s="108" t="s">
        <v>19563</v>
      </c>
      <c r="C3217" s="109">
        <v>43206</v>
      </c>
      <c r="D3217" s="108" t="s">
        <v>19564</v>
      </c>
      <c r="E3217" s="108" t="s">
        <v>14605</v>
      </c>
      <c r="F3217" s="108" t="s">
        <v>19565</v>
      </c>
      <c r="G3217" s="109">
        <v>43951</v>
      </c>
      <c r="H3217" s="108" t="s">
        <v>1125</v>
      </c>
      <c r="I3217" s="108" t="s">
        <v>108</v>
      </c>
    </row>
    <row r="3218" spans="1:9" ht="27.6">
      <c r="A3218" s="108" t="s">
        <v>109</v>
      </c>
      <c r="B3218" s="108" t="s">
        <v>19566</v>
      </c>
      <c r="C3218" s="109">
        <v>43336</v>
      </c>
      <c r="D3218" s="108" t="s">
        <v>19567</v>
      </c>
      <c r="E3218" s="108" t="s">
        <v>14605</v>
      </c>
      <c r="F3218" s="108" t="s">
        <v>16099</v>
      </c>
      <c r="G3218" s="109">
        <v>46196</v>
      </c>
      <c r="H3218" s="108" t="s">
        <v>1125</v>
      </c>
      <c r="I3218" s="108" t="s">
        <v>108</v>
      </c>
    </row>
    <row r="3219" spans="1:9" ht="27.6">
      <c r="A3219" s="108" t="s">
        <v>96</v>
      </c>
      <c r="B3219" s="108" t="s">
        <v>19568</v>
      </c>
      <c r="C3219" s="109">
        <v>43425</v>
      </c>
      <c r="D3219" s="108" t="s">
        <v>19569</v>
      </c>
      <c r="E3219" s="108" t="s">
        <v>14605</v>
      </c>
      <c r="F3219" s="108" t="s">
        <v>15419</v>
      </c>
      <c r="G3219" s="109">
        <v>44189</v>
      </c>
      <c r="H3219" s="108" t="s">
        <v>1125</v>
      </c>
      <c r="I3219" s="108" t="s">
        <v>108</v>
      </c>
    </row>
    <row r="3220" spans="1:9" ht="27.6">
      <c r="A3220" s="108" t="s">
        <v>96</v>
      </c>
      <c r="B3220" s="108" t="s">
        <v>19570</v>
      </c>
      <c r="C3220" s="109">
        <v>43749</v>
      </c>
      <c r="D3220" s="108" t="s">
        <v>19571</v>
      </c>
      <c r="E3220" s="108" t="s">
        <v>14605</v>
      </c>
      <c r="F3220" s="108" t="s">
        <v>19572</v>
      </c>
      <c r="G3220" s="109">
        <v>44114</v>
      </c>
      <c r="H3220" s="108" t="s">
        <v>1125</v>
      </c>
      <c r="I3220" s="108" t="s">
        <v>108</v>
      </c>
    </row>
    <row r="3221" spans="1:9" ht="27.6">
      <c r="A3221" s="108" t="s">
        <v>96</v>
      </c>
      <c r="B3221" s="108" t="s">
        <v>19573</v>
      </c>
      <c r="C3221" s="109">
        <v>44090</v>
      </c>
      <c r="D3221" s="108" t="s">
        <v>19574</v>
      </c>
      <c r="E3221" s="108" t="s">
        <v>14605</v>
      </c>
      <c r="F3221" s="108" t="s">
        <v>19575</v>
      </c>
      <c r="G3221" s="109">
        <v>44454</v>
      </c>
      <c r="H3221" s="108" t="s">
        <v>1125</v>
      </c>
      <c r="I3221" s="108" t="s">
        <v>108</v>
      </c>
    </row>
    <row r="3222" spans="1:9" ht="27.6">
      <c r="A3222" s="108" t="s">
        <v>16151</v>
      </c>
      <c r="B3222" s="108" t="s">
        <v>19576</v>
      </c>
      <c r="C3222" s="109">
        <v>44272</v>
      </c>
      <c r="D3222" s="108" t="s">
        <v>19577</v>
      </c>
      <c r="E3222" s="108" t="s">
        <v>14605</v>
      </c>
      <c r="F3222" s="108" t="s">
        <v>18249</v>
      </c>
      <c r="G3222" s="109">
        <v>44994</v>
      </c>
      <c r="H3222" s="108" t="s">
        <v>1125</v>
      </c>
      <c r="I3222" s="108" t="s">
        <v>108</v>
      </c>
    </row>
    <row r="3223" spans="1:9" ht="27.6">
      <c r="A3223" s="108" t="s">
        <v>96</v>
      </c>
      <c r="B3223" s="108" t="s">
        <v>19578</v>
      </c>
      <c r="C3223" s="109">
        <v>44432</v>
      </c>
      <c r="D3223" s="108" t="s">
        <v>19579</v>
      </c>
      <c r="E3223" s="108" t="s">
        <v>14605</v>
      </c>
      <c r="F3223" s="108" t="s">
        <v>18356</v>
      </c>
      <c r="G3223" s="109">
        <v>44796</v>
      </c>
      <c r="H3223" s="108" t="s">
        <v>1125</v>
      </c>
      <c r="I3223" s="108" t="s">
        <v>108</v>
      </c>
    </row>
    <row r="3224" spans="1:9" ht="27.6">
      <c r="A3224" s="108" t="s">
        <v>96</v>
      </c>
      <c r="B3224" s="108" t="s">
        <v>19580</v>
      </c>
      <c r="C3224" s="109">
        <v>44580</v>
      </c>
      <c r="D3224" s="108" t="s">
        <v>19581</v>
      </c>
      <c r="E3224" s="108" t="s">
        <v>14605</v>
      </c>
      <c r="F3224" s="108" t="s">
        <v>15431</v>
      </c>
      <c r="G3224" s="109">
        <v>45674</v>
      </c>
      <c r="H3224" s="108" t="s">
        <v>1125</v>
      </c>
      <c r="I3224" s="108" t="s">
        <v>108</v>
      </c>
    </row>
    <row r="3225" spans="1:9" ht="27.6">
      <c r="A3225" s="108" t="s">
        <v>96</v>
      </c>
      <c r="B3225" s="108" t="s">
        <v>19582</v>
      </c>
      <c r="C3225" s="109">
        <v>44624</v>
      </c>
      <c r="D3225" s="108" t="s">
        <v>19583</v>
      </c>
      <c r="E3225" s="108" t="s">
        <v>14605</v>
      </c>
      <c r="F3225" s="108" t="s">
        <v>18682</v>
      </c>
      <c r="G3225" s="109">
        <v>46083</v>
      </c>
      <c r="H3225" s="108" t="s">
        <v>1125</v>
      </c>
      <c r="I3225" s="108" t="s">
        <v>108</v>
      </c>
    </row>
    <row r="3226" spans="1:9" ht="27.6">
      <c r="A3226" s="108" t="s">
        <v>96</v>
      </c>
      <c r="B3226" s="108" t="s">
        <v>19584</v>
      </c>
      <c r="C3226" s="109">
        <v>44708</v>
      </c>
      <c r="D3226" s="108" t="s">
        <v>19585</v>
      </c>
      <c r="E3226" s="108" t="s">
        <v>14605</v>
      </c>
      <c r="F3226" s="108" t="s">
        <v>19586</v>
      </c>
      <c r="G3226" s="109">
        <v>45072</v>
      </c>
      <c r="H3226" s="108" t="s">
        <v>1125</v>
      </c>
      <c r="I3226" s="108" t="s">
        <v>108</v>
      </c>
    </row>
    <row r="3227" spans="1:9">
      <c r="A3227" s="108" t="s">
        <v>16151</v>
      </c>
      <c r="B3227" s="108" t="s">
        <v>19587</v>
      </c>
      <c r="C3227" s="109">
        <v>44726</v>
      </c>
      <c r="D3227" s="108" t="s">
        <v>19222</v>
      </c>
      <c r="E3227" s="108" t="s">
        <v>14605</v>
      </c>
      <c r="F3227" s="108" t="s">
        <v>15909</v>
      </c>
      <c r="G3227" s="109">
        <v>45090</v>
      </c>
      <c r="H3227" s="108" t="s">
        <v>1125</v>
      </c>
      <c r="I3227" s="108" t="s">
        <v>108</v>
      </c>
    </row>
    <row r="3228" spans="1:9" ht="27.6">
      <c r="A3228" s="108" t="s">
        <v>96</v>
      </c>
      <c r="B3228" s="108" t="s">
        <v>19588</v>
      </c>
      <c r="C3228" s="109">
        <v>44722</v>
      </c>
      <c r="D3228" s="108" t="s">
        <v>19224</v>
      </c>
      <c r="E3228" s="108" t="s">
        <v>14605</v>
      </c>
      <c r="F3228" s="108" t="s">
        <v>19225</v>
      </c>
      <c r="G3228" s="109">
        <v>45086</v>
      </c>
      <c r="H3228" s="108" t="s">
        <v>1125</v>
      </c>
      <c r="I3228" s="108" t="s">
        <v>108</v>
      </c>
    </row>
    <row r="3229" spans="1:9" ht="27.6">
      <c r="A3229" s="108" t="s">
        <v>96</v>
      </c>
      <c r="B3229" s="108" t="s">
        <v>19589</v>
      </c>
      <c r="C3229" s="109">
        <v>44762</v>
      </c>
      <c r="D3229" s="108" t="s">
        <v>19590</v>
      </c>
      <c r="E3229" s="108" t="s">
        <v>14605</v>
      </c>
      <c r="F3229" s="108" t="s">
        <v>19591</v>
      </c>
      <c r="G3229" s="109">
        <v>45126</v>
      </c>
      <c r="H3229" s="108" t="s">
        <v>1125</v>
      </c>
      <c r="I3229" s="108" t="s">
        <v>108</v>
      </c>
    </row>
    <row r="3230" spans="1:9" ht="27.6">
      <c r="A3230" s="108" t="s">
        <v>96</v>
      </c>
      <c r="B3230" s="108" t="s">
        <v>19592</v>
      </c>
      <c r="C3230" s="109">
        <v>45475</v>
      </c>
      <c r="D3230" s="108" t="s">
        <v>19593</v>
      </c>
      <c r="E3230" s="108" t="s">
        <v>14605</v>
      </c>
      <c r="F3230" s="108" t="s">
        <v>18666</v>
      </c>
      <c r="G3230" s="109">
        <v>45839</v>
      </c>
      <c r="H3230" s="108" t="s">
        <v>1125</v>
      </c>
      <c r="I3230" s="108" t="s">
        <v>108</v>
      </c>
    </row>
    <row r="3231" spans="1:9" ht="27.6">
      <c r="A3231" s="108" t="s">
        <v>244</v>
      </c>
      <c r="B3231" s="108" t="s">
        <v>19594</v>
      </c>
      <c r="C3231" s="109">
        <v>44958</v>
      </c>
      <c r="D3231" s="108" t="s">
        <v>19595</v>
      </c>
      <c r="E3231" s="108" t="s">
        <v>14605</v>
      </c>
      <c r="F3231" s="108" t="s">
        <v>19235</v>
      </c>
      <c r="G3231" s="109">
        <v>45309</v>
      </c>
      <c r="H3231" s="108" t="s">
        <v>1125</v>
      </c>
      <c r="I3231" s="108" t="s">
        <v>108</v>
      </c>
    </row>
    <row r="3232" spans="1:9" ht="27.6">
      <c r="A3232" s="108" t="s">
        <v>244</v>
      </c>
      <c r="B3232" s="108" t="s">
        <v>19596</v>
      </c>
      <c r="C3232" s="109">
        <v>44800</v>
      </c>
      <c r="D3232" s="108" t="s">
        <v>19597</v>
      </c>
      <c r="E3232" s="108" t="s">
        <v>14605</v>
      </c>
      <c r="F3232" s="108" t="s">
        <v>19598</v>
      </c>
      <c r="G3232" s="109">
        <v>45547</v>
      </c>
      <c r="H3232" s="108" t="s">
        <v>1125</v>
      </c>
      <c r="I3232" s="108" t="s">
        <v>108</v>
      </c>
    </row>
    <row r="3233" spans="1:9" ht="27.6">
      <c r="A3233" s="108" t="s">
        <v>244</v>
      </c>
      <c r="B3233" s="108" t="s">
        <v>19599</v>
      </c>
      <c r="C3233" s="109">
        <v>45713</v>
      </c>
      <c r="D3233" s="108" t="s">
        <v>19600</v>
      </c>
      <c r="E3233" s="108" t="s">
        <v>14605</v>
      </c>
      <c r="F3233" s="108" t="s">
        <v>19338</v>
      </c>
      <c r="G3233" s="109">
        <v>45473</v>
      </c>
      <c r="H3233" s="108" t="s">
        <v>1125</v>
      </c>
      <c r="I3233" s="108" t="s">
        <v>108</v>
      </c>
    </row>
    <row r="3234" spans="1:9">
      <c r="A3234" s="108" t="s">
        <v>244</v>
      </c>
      <c r="B3234" s="108" t="s">
        <v>19601</v>
      </c>
      <c r="C3234" s="109">
        <v>45077</v>
      </c>
      <c r="D3234" s="108" t="s">
        <v>19602</v>
      </c>
      <c r="E3234" s="108" t="s">
        <v>14605</v>
      </c>
      <c r="F3234" s="108" t="s">
        <v>18367</v>
      </c>
      <c r="G3234" s="109">
        <v>45441</v>
      </c>
      <c r="H3234" s="108" t="s">
        <v>1125</v>
      </c>
      <c r="I3234" s="108" t="s">
        <v>108</v>
      </c>
    </row>
    <row r="3235" spans="1:9">
      <c r="A3235" s="108" t="s">
        <v>244</v>
      </c>
      <c r="B3235" s="108" t="s">
        <v>19603</v>
      </c>
      <c r="C3235" s="109">
        <v>45577</v>
      </c>
      <c r="D3235" s="108" t="s">
        <v>19604</v>
      </c>
      <c r="E3235" s="108" t="s">
        <v>14605</v>
      </c>
      <c r="F3235" s="108" t="s">
        <v>19540</v>
      </c>
      <c r="G3235" s="109">
        <v>45940</v>
      </c>
      <c r="H3235" s="108" t="s">
        <v>1125</v>
      </c>
      <c r="I3235" s="108" t="s">
        <v>108</v>
      </c>
    </row>
    <row r="3236" spans="1:9">
      <c r="A3236" s="108" t="s">
        <v>244</v>
      </c>
      <c r="B3236" s="108" t="s">
        <v>19605</v>
      </c>
      <c r="C3236" s="109">
        <v>45646</v>
      </c>
      <c r="D3236" s="108" t="s">
        <v>19606</v>
      </c>
      <c r="E3236" s="108" t="s">
        <v>14605</v>
      </c>
      <c r="F3236" s="108" t="s">
        <v>16607</v>
      </c>
      <c r="G3236" s="109">
        <v>46009</v>
      </c>
      <c r="H3236" s="108" t="s">
        <v>1125</v>
      </c>
      <c r="I3236" s="108" t="s">
        <v>108</v>
      </c>
    </row>
    <row r="3237" spans="1:9" ht="27.6">
      <c r="A3237" s="108" t="s">
        <v>15990</v>
      </c>
      <c r="B3237" s="108" t="s">
        <v>19607</v>
      </c>
      <c r="C3237" s="109">
        <v>45798</v>
      </c>
      <c r="D3237" s="108" t="s">
        <v>19608</v>
      </c>
      <c r="E3237" s="108" t="s">
        <v>14605</v>
      </c>
      <c r="F3237" s="108" t="s">
        <v>19524</v>
      </c>
      <c r="G3237" s="109">
        <v>46162</v>
      </c>
      <c r="H3237" s="108" t="s">
        <v>1125</v>
      </c>
      <c r="I3237" s="108" t="s">
        <v>108</v>
      </c>
    </row>
    <row r="3238" spans="1:9">
      <c r="A3238" s="108" t="s">
        <v>244</v>
      </c>
      <c r="B3238" s="108" t="s">
        <v>19609</v>
      </c>
      <c r="C3238" s="109">
        <v>45597</v>
      </c>
      <c r="D3238" s="108" t="s">
        <v>19610</v>
      </c>
      <c r="E3238" s="108" t="s">
        <v>14605</v>
      </c>
      <c r="F3238" s="108" t="s">
        <v>19611</v>
      </c>
      <c r="G3238" s="109">
        <v>45961</v>
      </c>
      <c r="H3238" s="108" t="s">
        <v>1125</v>
      </c>
      <c r="I3238" s="108" t="s">
        <v>108</v>
      </c>
    </row>
    <row r="3239" spans="1:9" ht="27.6">
      <c r="A3239" s="108" t="s">
        <v>244</v>
      </c>
      <c r="B3239" s="108" t="s">
        <v>19612</v>
      </c>
      <c r="C3239" s="109">
        <v>45584</v>
      </c>
      <c r="D3239" s="108" t="s">
        <v>19613</v>
      </c>
      <c r="E3239" s="108" t="s">
        <v>14605</v>
      </c>
      <c r="F3239" s="108" t="s">
        <v>18512</v>
      </c>
      <c r="G3239" s="109">
        <v>45946</v>
      </c>
      <c r="H3239" s="108" t="s">
        <v>1125</v>
      </c>
      <c r="I3239" s="108" t="s">
        <v>108</v>
      </c>
    </row>
    <row r="3240" spans="1:9" ht="27.6">
      <c r="A3240" s="108" t="s">
        <v>1828</v>
      </c>
      <c r="B3240" s="108" t="s">
        <v>19614</v>
      </c>
      <c r="C3240" s="109">
        <v>43464</v>
      </c>
      <c r="D3240" s="108" t="s">
        <v>19615</v>
      </c>
      <c r="E3240" s="108" t="s">
        <v>14605</v>
      </c>
      <c r="F3240" s="108" t="s">
        <v>19616</v>
      </c>
      <c r="G3240" s="109">
        <v>43828</v>
      </c>
      <c r="H3240" s="108" t="s">
        <v>1125</v>
      </c>
      <c r="I3240" s="108" t="s">
        <v>108</v>
      </c>
    </row>
    <row r="3241" spans="1:9" ht="27.6">
      <c r="A3241" s="108" t="s">
        <v>1828</v>
      </c>
      <c r="B3241" s="108" t="s">
        <v>19617</v>
      </c>
      <c r="C3241" s="109">
        <v>43469</v>
      </c>
      <c r="D3241" s="108" t="s">
        <v>19618</v>
      </c>
      <c r="E3241" s="108" t="s">
        <v>14605</v>
      </c>
      <c r="F3241" s="108" t="s">
        <v>19619</v>
      </c>
      <c r="G3241" s="109">
        <v>43833</v>
      </c>
      <c r="H3241" s="108" t="s">
        <v>1125</v>
      </c>
      <c r="I3241" s="108" t="s">
        <v>108</v>
      </c>
    </row>
    <row r="3242" spans="1:9">
      <c r="A3242" s="108" t="s">
        <v>1828</v>
      </c>
      <c r="B3242" s="108" t="s">
        <v>19620</v>
      </c>
      <c r="C3242" s="109">
        <v>43621</v>
      </c>
      <c r="D3242" s="108" t="s">
        <v>19621</v>
      </c>
      <c r="E3242" s="108" t="s">
        <v>14605</v>
      </c>
      <c r="F3242" s="108" t="s">
        <v>15854</v>
      </c>
      <c r="G3242" s="109">
        <v>44351</v>
      </c>
      <c r="H3242" s="108" t="s">
        <v>1125</v>
      </c>
      <c r="I3242" s="108" t="s">
        <v>108</v>
      </c>
    </row>
    <row r="3243" spans="1:9" ht="27.6">
      <c r="A3243" s="108" t="s">
        <v>1828</v>
      </c>
      <c r="B3243" s="108" t="s">
        <v>19622</v>
      </c>
      <c r="C3243" s="109">
        <v>44118</v>
      </c>
      <c r="D3243" s="108" t="s">
        <v>19623</v>
      </c>
      <c r="E3243" s="108" t="s">
        <v>14605</v>
      </c>
      <c r="F3243" s="108" t="s">
        <v>19624</v>
      </c>
      <c r="G3243" s="109">
        <v>44482</v>
      </c>
      <c r="H3243" s="108" t="s">
        <v>1125</v>
      </c>
      <c r="I3243" s="108" t="s">
        <v>108</v>
      </c>
    </row>
    <row r="3244" spans="1:9" ht="27.6">
      <c r="A3244" s="108" t="s">
        <v>16151</v>
      </c>
      <c r="B3244" s="108" t="s">
        <v>19625</v>
      </c>
      <c r="C3244" s="109">
        <v>44151</v>
      </c>
      <c r="D3244" s="108" t="s">
        <v>19626</v>
      </c>
      <c r="E3244" s="108" t="s">
        <v>14605</v>
      </c>
      <c r="F3244" s="108" t="s">
        <v>18731</v>
      </c>
      <c r="G3244" s="109">
        <v>45976</v>
      </c>
      <c r="H3244" s="108" t="s">
        <v>1125</v>
      </c>
      <c r="I3244" s="108" t="s">
        <v>108</v>
      </c>
    </row>
    <row r="3245" spans="1:9" ht="27.6">
      <c r="A3245" s="108" t="s">
        <v>16151</v>
      </c>
      <c r="B3245" s="108" t="s">
        <v>19627</v>
      </c>
      <c r="C3245" s="109">
        <v>43668</v>
      </c>
      <c r="D3245" s="108" t="s">
        <v>19628</v>
      </c>
      <c r="E3245" s="108" t="s">
        <v>14605</v>
      </c>
      <c r="F3245" s="108" t="s">
        <v>16099</v>
      </c>
      <c r="G3245" s="109">
        <v>45990</v>
      </c>
      <c r="H3245" s="108" t="s">
        <v>1125</v>
      </c>
      <c r="I3245" s="108" t="s">
        <v>108</v>
      </c>
    </row>
    <row r="3246" spans="1:9" ht="27.6">
      <c r="A3246" s="108" t="s">
        <v>16151</v>
      </c>
      <c r="B3246" s="108" t="s">
        <v>19629</v>
      </c>
      <c r="C3246" s="109">
        <v>43798</v>
      </c>
      <c r="D3246" s="108" t="s">
        <v>19630</v>
      </c>
      <c r="E3246" s="108" t="s">
        <v>14605</v>
      </c>
      <c r="F3246" s="108" t="s">
        <v>16099</v>
      </c>
      <c r="G3246" s="109">
        <v>45990</v>
      </c>
      <c r="H3246" s="108" t="s">
        <v>1125</v>
      </c>
      <c r="I3246" s="108" t="s">
        <v>108</v>
      </c>
    </row>
    <row r="3247" spans="1:9" ht="27.6">
      <c r="A3247" s="108" t="s">
        <v>16151</v>
      </c>
      <c r="B3247" s="108" t="s">
        <v>19631</v>
      </c>
      <c r="C3247" s="109">
        <v>44368</v>
      </c>
      <c r="D3247" s="108" t="s">
        <v>19105</v>
      </c>
      <c r="E3247" s="108" t="s">
        <v>14605</v>
      </c>
      <c r="F3247" s="108" t="s">
        <v>19106</v>
      </c>
      <c r="G3247" s="109">
        <v>45463</v>
      </c>
      <c r="H3247" s="108" t="s">
        <v>1125</v>
      </c>
      <c r="I3247" s="108" t="s">
        <v>108</v>
      </c>
    </row>
    <row r="3248" spans="1:9" ht="27.6">
      <c r="A3248" s="108" t="s">
        <v>16151</v>
      </c>
      <c r="B3248" s="108" t="s">
        <v>19632</v>
      </c>
      <c r="C3248" s="109">
        <v>44481</v>
      </c>
      <c r="D3248" s="108" t="s">
        <v>19633</v>
      </c>
      <c r="E3248" s="108" t="s">
        <v>14605</v>
      </c>
      <c r="F3248" s="108" t="s">
        <v>19093</v>
      </c>
      <c r="G3248" s="109">
        <v>44846</v>
      </c>
      <c r="H3248" s="108" t="s">
        <v>1125</v>
      </c>
      <c r="I3248" s="108" t="s">
        <v>108</v>
      </c>
    </row>
    <row r="3249" spans="1:9" ht="27.6">
      <c r="A3249" s="108" t="s">
        <v>16151</v>
      </c>
      <c r="B3249" s="108" t="s">
        <v>19634</v>
      </c>
      <c r="C3249" s="109">
        <v>44526</v>
      </c>
      <c r="D3249" s="108" t="s">
        <v>19635</v>
      </c>
      <c r="E3249" s="108" t="s">
        <v>14605</v>
      </c>
      <c r="F3249" s="108" t="s">
        <v>18222</v>
      </c>
      <c r="G3249" s="109">
        <v>44886</v>
      </c>
      <c r="H3249" s="108" t="s">
        <v>1125</v>
      </c>
      <c r="I3249" s="108" t="s">
        <v>108</v>
      </c>
    </row>
    <row r="3250" spans="1:9">
      <c r="A3250" s="108" t="s">
        <v>16151</v>
      </c>
      <c r="B3250" s="108" t="s">
        <v>19636</v>
      </c>
      <c r="C3250" s="109">
        <v>44674</v>
      </c>
      <c r="D3250" s="108" t="s">
        <v>19203</v>
      </c>
      <c r="E3250" s="108" t="s">
        <v>14605</v>
      </c>
      <c r="F3250" s="108" t="s">
        <v>15365</v>
      </c>
      <c r="G3250" s="109">
        <v>45402</v>
      </c>
      <c r="H3250" s="108" t="s">
        <v>1125</v>
      </c>
      <c r="I3250" s="108" t="s">
        <v>108</v>
      </c>
    </row>
    <row r="3251" spans="1:9" ht="27.6">
      <c r="A3251" s="108" t="s">
        <v>16151</v>
      </c>
      <c r="B3251" s="108" t="s">
        <v>19637</v>
      </c>
      <c r="C3251" s="109">
        <v>44525</v>
      </c>
      <c r="D3251" s="108" t="s">
        <v>19110</v>
      </c>
      <c r="E3251" s="108" t="s">
        <v>14605</v>
      </c>
      <c r="F3251" s="108" t="s">
        <v>19106</v>
      </c>
      <c r="G3251" s="109">
        <v>45620</v>
      </c>
      <c r="H3251" s="108" t="s">
        <v>1125</v>
      </c>
      <c r="I3251" s="108" t="s">
        <v>108</v>
      </c>
    </row>
    <row r="3252" spans="1:9" ht="27.6">
      <c r="A3252" s="108" t="s">
        <v>16151</v>
      </c>
      <c r="B3252" s="108" t="s">
        <v>19638</v>
      </c>
      <c r="C3252" s="109">
        <v>44627</v>
      </c>
      <c r="D3252" s="108" t="s">
        <v>19639</v>
      </c>
      <c r="E3252" s="108" t="s">
        <v>14605</v>
      </c>
      <c r="F3252" s="108" t="s">
        <v>18252</v>
      </c>
      <c r="G3252" s="109">
        <v>45357</v>
      </c>
      <c r="H3252" s="108" t="s">
        <v>1125</v>
      </c>
      <c r="I3252" s="108" t="s">
        <v>108</v>
      </c>
    </row>
    <row r="3253" spans="1:9">
      <c r="A3253" s="108" t="s">
        <v>16151</v>
      </c>
      <c r="B3253" s="108" t="s">
        <v>19640</v>
      </c>
      <c r="C3253" s="109">
        <v>44622</v>
      </c>
      <c r="D3253" s="108" t="s">
        <v>19218</v>
      </c>
      <c r="E3253" s="108" t="s">
        <v>14605</v>
      </c>
      <c r="F3253" s="108" t="s">
        <v>15775</v>
      </c>
      <c r="G3253" s="109">
        <v>46083</v>
      </c>
      <c r="H3253" s="108" t="s">
        <v>1125</v>
      </c>
      <c r="I3253" s="108" t="s">
        <v>108</v>
      </c>
    </row>
    <row r="3254" spans="1:9" ht="27.6">
      <c r="A3254" s="108" t="s">
        <v>16151</v>
      </c>
      <c r="B3254" s="108" t="s">
        <v>19641</v>
      </c>
      <c r="C3254" s="109">
        <v>44722</v>
      </c>
      <c r="D3254" s="108" t="s">
        <v>19234</v>
      </c>
      <c r="E3254" s="108" t="s">
        <v>14605</v>
      </c>
      <c r="F3254" s="108" t="s">
        <v>19235</v>
      </c>
      <c r="G3254" s="109">
        <v>45086</v>
      </c>
      <c r="H3254" s="108" t="s">
        <v>1125</v>
      </c>
      <c r="I3254" s="108" t="s">
        <v>108</v>
      </c>
    </row>
    <row r="3255" spans="1:9">
      <c r="A3255" s="108" t="s">
        <v>16151</v>
      </c>
      <c r="B3255" s="108" t="s">
        <v>19642</v>
      </c>
      <c r="C3255" s="109">
        <v>44806</v>
      </c>
      <c r="D3255" s="108" t="s">
        <v>19241</v>
      </c>
      <c r="E3255" s="108" t="s">
        <v>14605</v>
      </c>
      <c r="F3255" s="108" t="s">
        <v>19242</v>
      </c>
      <c r="G3255" s="109">
        <v>45170</v>
      </c>
      <c r="H3255" s="108" t="s">
        <v>1125</v>
      </c>
      <c r="I3255" s="108" t="s">
        <v>108</v>
      </c>
    </row>
    <row r="3256" spans="1:9" ht="27.6">
      <c r="A3256" s="108" t="s">
        <v>16151</v>
      </c>
      <c r="B3256" s="108" t="s">
        <v>19643</v>
      </c>
      <c r="C3256" s="109">
        <v>45558</v>
      </c>
      <c r="D3256" s="108" t="s">
        <v>19644</v>
      </c>
      <c r="E3256" s="108" t="s">
        <v>14605</v>
      </c>
      <c r="F3256" s="108" t="s">
        <v>18159</v>
      </c>
      <c r="G3256" s="109">
        <v>45922</v>
      </c>
      <c r="H3256" s="108" t="s">
        <v>1125</v>
      </c>
      <c r="I3256" s="108" t="s">
        <v>108</v>
      </c>
    </row>
    <row r="3257" spans="1:9">
      <c r="A3257" s="108" t="s">
        <v>16151</v>
      </c>
      <c r="B3257" s="108" t="s">
        <v>19645</v>
      </c>
      <c r="C3257" s="109">
        <v>45590</v>
      </c>
      <c r="D3257" s="108" t="s">
        <v>19646</v>
      </c>
      <c r="E3257" s="108" t="s">
        <v>14605</v>
      </c>
      <c r="F3257" s="108" t="s">
        <v>17976</v>
      </c>
      <c r="G3257" s="109">
        <v>45954</v>
      </c>
      <c r="H3257" s="108" t="s">
        <v>1125</v>
      </c>
      <c r="I3257" s="108" t="s">
        <v>108</v>
      </c>
    </row>
    <row r="3258" spans="1:9">
      <c r="A3258" s="108" t="s">
        <v>16151</v>
      </c>
      <c r="B3258" s="108" t="s">
        <v>19647</v>
      </c>
      <c r="C3258" s="109">
        <v>45586</v>
      </c>
      <c r="D3258" s="108" t="s">
        <v>19648</v>
      </c>
      <c r="E3258" s="108" t="s">
        <v>14605</v>
      </c>
      <c r="F3258" s="108" t="s">
        <v>15775</v>
      </c>
      <c r="G3258" s="109">
        <v>45947</v>
      </c>
      <c r="H3258" s="108" t="s">
        <v>1125</v>
      </c>
      <c r="I3258" s="108" t="s">
        <v>108</v>
      </c>
    </row>
    <row r="3259" spans="1:9" ht="27.6">
      <c r="A3259" s="108" t="s">
        <v>16151</v>
      </c>
      <c r="B3259" s="108" t="s">
        <v>19649</v>
      </c>
      <c r="C3259" s="109">
        <v>44195</v>
      </c>
      <c r="D3259" s="108" t="s">
        <v>19650</v>
      </c>
      <c r="E3259" s="108" t="s">
        <v>14605</v>
      </c>
      <c r="F3259" s="108" t="s">
        <v>18228</v>
      </c>
      <c r="G3259" s="109">
        <v>44559</v>
      </c>
      <c r="H3259" s="108" t="s">
        <v>1125</v>
      </c>
      <c r="I3259" s="108" t="s">
        <v>108</v>
      </c>
    </row>
    <row r="3260" spans="1:9" ht="27.6">
      <c r="A3260" s="108" t="s">
        <v>16151</v>
      </c>
      <c r="B3260" s="108" t="s">
        <v>19651</v>
      </c>
      <c r="C3260" s="109">
        <v>43802</v>
      </c>
      <c r="D3260" s="108" t="s">
        <v>19652</v>
      </c>
      <c r="E3260" s="108" t="s">
        <v>14605</v>
      </c>
      <c r="F3260" s="108" t="s">
        <v>16099</v>
      </c>
      <c r="G3260" s="109">
        <v>46236</v>
      </c>
      <c r="H3260" s="108" t="s">
        <v>1125</v>
      </c>
      <c r="I3260" s="108" t="s">
        <v>108</v>
      </c>
    </row>
    <row r="3261" spans="1:9" ht="27.6">
      <c r="A3261" s="108" t="s">
        <v>16149</v>
      </c>
      <c r="B3261" s="108" t="s">
        <v>19653</v>
      </c>
      <c r="C3261" s="109">
        <v>43389</v>
      </c>
      <c r="D3261" s="108" t="s">
        <v>19654</v>
      </c>
      <c r="E3261" s="108" t="s">
        <v>14605</v>
      </c>
      <c r="F3261" s="108" t="s">
        <v>15490</v>
      </c>
      <c r="G3261" s="109">
        <v>46209</v>
      </c>
      <c r="H3261" s="108" t="s">
        <v>1125</v>
      </c>
      <c r="I3261" s="108" t="s">
        <v>108</v>
      </c>
    </row>
    <row r="3262" spans="1:9" ht="27.6">
      <c r="A3262" s="108" t="s">
        <v>16151</v>
      </c>
      <c r="B3262" s="108" t="s">
        <v>19655</v>
      </c>
      <c r="C3262" s="109">
        <v>44742</v>
      </c>
      <c r="D3262" s="108" t="s">
        <v>19656</v>
      </c>
      <c r="E3262" s="108" t="s">
        <v>14605</v>
      </c>
      <c r="F3262" s="108" t="s">
        <v>16099</v>
      </c>
      <c r="G3262" s="109">
        <v>46211</v>
      </c>
      <c r="H3262" s="108" t="s">
        <v>1125</v>
      </c>
      <c r="I3262" s="108" t="s">
        <v>108</v>
      </c>
    </row>
    <row r="3263" spans="1:9" ht="27.6">
      <c r="A3263" s="108" t="s">
        <v>16151</v>
      </c>
      <c r="B3263" s="108" t="s">
        <v>19657</v>
      </c>
      <c r="C3263" s="109">
        <v>44301</v>
      </c>
      <c r="D3263" s="108" t="s">
        <v>19658</v>
      </c>
      <c r="E3263" s="108" t="s">
        <v>14605</v>
      </c>
      <c r="F3263" s="108" t="s">
        <v>16099</v>
      </c>
      <c r="G3263" s="109">
        <v>46159</v>
      </c>
      <c r="H3263" s="108" t="s">
        <v>1125</v>
      </c>
      <c r="I3263" s="108" t="s">
        <v>108</v>
      </c>
    </row>
    <row r="3264" spans="1:9" ht="27.6">
      <c r="A3264" s="108" t="s">
        <v>388</v>
      </c>
      <c r="B3264" s="108" t="s">
        <v>19659</v>
      </c>
      <c r="C3264" s="109">
        <v>43490</v>
      </c>
      <c r="D3264" s="108" t="s">
        <v>19660</v>
      </c>
      <c r="E3264" s="108" t="s">
        <v>14605</v>
      </c>
      <c r="F3264" s="108" t="s">
        <v>16099</v>
      </c>
      <c r="G3264" s="109">
        <v>46112</v>
      </c>
      <c r="H3264" s="108" t="s">
        <v>1125</v>
      </c>
      <c r="I3264" s="108" t="s">
        <v>108</v>
      </c>
    </row>
    <row r="3265" spans="1:9" ht="27.6">
      <c r="A3265" s="108" t="s">
        <v>388</v>
      </c>
      <c r="B3265" s="108" t="s">
        <v>19661</v>
      </c>
      <c r="C3265" s="109">
        <v>44065</v>
      </c>
      <c r="D3265" s="108" t="s">
        <v>19662</v>
      </c>
      <c r="E3265" s="108" t="s">
        <v>14605</v>
      </c>
      <c r="F3265" s="108" t="s">
        <v>19663</v>
      </c>
      <c r="G3265" s="109">
        <v>44517</v>
      </c>
      <c r="H3265" s="108" t="s">
        <v>1125</v>
      </c>
      <c r="I3265" s="108" t="s">
        <v>108</v>
      </c>
    </row>
    <row r="3266" spans="1:9" ht="27.6">
      <c r="A3266" s="108" t="s">
        <v>388</v>
      </c>
      <c r="B3266" s="108" t="s">
        <v>19664</v>
      </c>
      <c r="C3266" s="109">
        <v>44405</v>
      </c>
      <c r="D3266" s="108" t="s">
        <v>19108</v>
      </c>
      <c r="E3266" s="108" t="s">
        <v>14605</v>
      </c>
      <c r="F3266" s="108" t="s">
        <v>18237</v>
      </c>
      <c r="G3266" s="109">
        <v>45500</v>
      </c>
      <c r="H3266" s="108" t="s">
        <v>1125</v>
      </c>
      <c r="I3266" s="108" t="s">
        <v>108</v>
      </c>
    </row>
    <row r="3267" spans="1:9" ht="27.6">
      <c r="A3267" s="108" t="s">
        <v>388</v>
      </c>
      <c r="B3267" s="108" t="s">
        <v>19665</v>
      </c>
      <c r="C3267" s="109">
        <v>45345</v>
      </c>
      <c r="D3267" s="108" t="s">
        <v>19666</v>
      </c>
      <c r="E3267" s="108" t="s">
        <v>14605</v>
      </c>
      <c r="F3267" s="108" t="s">
        <v>18265</v>
      </c>
      <c r="G3267" s="109">
        <v>45710</v>
      </c>
      <c r="H3267" s="108" t="s">
        <v>1125</v>
      </c>
      <c r="I3267" s="108" t="s">
        <v>108</v>
      </c>
    </row>
    <row r="3268" spans="1:9" ht="27.6">
      <c r="A3268" s="108" t="s">
        <v>17130</v>
      </c>
      <c r="B3268" s="108" t="s">
        <v>19667</v>
      </c>
      <c r="C3268" s="109">
        <v>43808</v>
      </c>
      <c r="D3268" s="108"/>
      <c r="E3268" s="108" t="s">
        <v>14605</v>
      </c>
      <c r="F3268" s="108" t="s">
        <v>19668</v>
      </c>
      <c r="G3268" s="110"/>
      <c r="H3268" s="108" t="s">
        <v>19669</v>
      </c>
      <c r="I3268" s="108"/>
    </row>
    <row r="3269" spans="1:9" ht="27.6">
      <c r="A3269" s="108" t="s">
        <v>17130</v>
      </c>
      <c r="B3269" s="108" t="s">
        <v>19670</v>
      </c>
      <c r="C3269" s="109">
        <v>44180</v>
      </c>
      <c r="D3269" s="108"/>
      <c r="E3269" s="108" t="s">
        <v>14605</v>
      </c>
      <c r="F3269" s="108" t="s">
        <v>19668</v>
      </c>
      <c r="G3269" s="110"/>
      <c r="H3269" s="108" t="s">
        <v>19669</v>
      </c>
      <c r="I3269" s="108"/>
    </row>
    <row r="3270" spans="1:9" ht="27.6">
      <c r="A3270" s="108" t="s">
        <v>96</v>
      </c>
      <c r="B3270" s="108" t="s">
        <v>19671</v>
      </c>
      <c r="C3270" s="109">
        <v>43845</v>
      </c>
      <c r="D3270" s="108" t="s">
        <v>19672</v>
      </c>
      <c r="E3270" s="108" t="s">
        <v>14605</v>
      </c>
      <c r="F3270" s="108" t="s">
        <v>19673</v>
      </c>
      <c r="G3270" s="109">
        <v>44345</v>
      </c>
      <c r="H3270" s="108" t="s">
        <v>19669</v>
      </c>
      <c r="I3270" s="108" t="s">
        <v>95</v>
      </c>
    </row>
    <row r="3271" spans="1:9" ht="27.6">
      <c r="A3271" s="108" t="s">
        <v>1072</v>
      </c>
      <c r="B3271" s="108" t="s">
        <v>19674</v>
      </c>
      <c r="C3271" s="109">
        <v>44448</v>
      </c>
      <c r="D3271" s="108" t="s">
        <v>19675</v>
      </c>
      <c r="E3271" s="108" t="s">
        <v>14605</v>
      </c>
      <c r="F3271" s="108" t="s">
        <v>19676</v>
      </c>
      <c r="G3271" s="109">
        <v>44762</v>
      </c>
      <c r="H3271" s="108" t="s">
        <v>19669</v>
      </c>
      <c r="I3271" s="108" t="s">
        <v>108</v>
      </c>
    </row>
    <row r="3272" spans="1:9" ht="27.6">
      <c r="A3272" s="108" t="s">
        <v>109</v>
      </c>
      <c r="B3272" s="108" t="s">
        <v>19677</v>
      </c>
      <c r="C3272" s="109">
        <v>44636</v>
      </c>
      <c r="D3272" s="108" t="s">
        <v>19678</v>
      </c>
      <c r="E3272" s="108" t="s">
        <v>16121</v>
      </c>
      <c r="F3272" s="108" t="s">
        <v>19679</v>
      </c>
      <c r="G3272" s="109">
        <v>44924</v>
      </c>
      <c r="H3272" s="108" t="s">
        <v>19669</v>
      </c>
      <c r="I3272" s="108" t="s">
        <v>108</v>
      </c>
    </row>
    <row r="3273" spans="1:9" ht="27.6">
      <c r="A3273" s="108" t="s">
        <v>227</v>
      </c>
      <c r="B3273" s="108" t="s">
        <v>19680</v>
      </c>
      <c r="C3273" s="109">
        <v>43809</v>
      </c>
      <c r="D3273" s="108"/>
      <c r="E3273" s="108" t="s">
        <v>14605</v>
      </c>
      <c r="F3273" s="108" t="s">
        <v>19681</v>
      </c>
      <c r="G3273" s="110"/>
      <c r="H3273" s="108" t="s">
        <v>19682</v>
      </c>
      <c r="I3273" s="108"/>
    </row>
    <row r="3274" spans="1:9">
      <c r="A3274" s="108" t="s">
        <v>19683</v>
      </c>
      <c r="B3274" s="108" t="s">
        <v>19684</v>
      </c>
      <c r="C3274" s="109">
        <v>41261</v>
      </c>
      <c r="D3274" s="108"/>
      <c r="E3274" s="108" t="s">
        <v>14605</v>
      </c>
      <c r="F3274" s="108" t="s">
        <v>19685</v>
      </c>
      <c r="G3274" s="110"/>
      <c r="H3274" s="108" t="s">
        <v>19686</v>
      </c>
      <c r="I3274" s="108"/>
    </row>
    <row r="3275" spans="1:9">
      <c r="A3275" s="108" t="s">
        <v>169</v>
      </c>
      <c r="B3275" s="108" t="s">
        <v>19687</v>
      </c>
      <c r="C3275" s="109">
        <v>44468</v>
      </c>
      <c r="D3275" s="108"/>
      <c r="E3275" s="108" t="s">
        <v>14605</v>
      </c>
      <c r="F3275" s="108" t="s">
        <v>19688</v>
      </c>
      <c r="G3275" s="110"/>
      <c r="H3275" s="108" t="s">
        <v>19686</v>
      </c>
      <c r="I3275" s="108"/>
    </row>
    <row r="3276" spans="1:9">
      <c r="A3276" s="108" t="s">
        <v>169</v>
      </c>
      <c r="B3276" s="108" t="s">
        <v>19689</v>
      </c>
      <c r="C3276" s="109">
        <v>44004</v>
      </c>
      <c r="D3276" s="108"/>
      <c r="E3276" s="108" t="s">
        <v>14605</v>
      </c>
      <c r="F3276" s="108" t="s">
        <v>19690</v>
      </c>
      <c r="G3276" s="110"/>
      <c r="H3276" s="108" t="s">
        <v>19686</v>
      </c>
      <c r="I3276" s="108"/>
    </row>
    <row r="3277" spans="1:9" ht="27.6">
      <c r="A3277" s="108" t="s">
        <v>14690</v>
      </c>
      <c r="B3277" s="108" t="s">
        <v>19691</v>
      </c>
      <c r="C3277" s="109">
        <v>43193</v>
      </c>
      <c r="D3277" s="108"/>
      <c r="E3277" s="108" t="s">
        <v>14605</v>
      </c>
      <c r="F3277" s="108" t="s">
        <v>19692</v>
      </c>
      <c r="G3277" s="110"/>
      <c r="H3277" s="108" t="s">
        <v>19686</v>
      </c>
      <c r="I3277" s="108"/>
    </row>
    <row r="3278" spans="1:9">
      <c r="A3278" s="108" t="s">
        <v>169</v>
      </c>
      <c r="B3278" s="108" t="s">
        <v>19693</v>
      </c>
      <c r="C3278" s="109">
        <v>44370</v>
      </c>
      <c r="D3278" s="108"/>
      <c r="E3278" s="108" t="s">
        <v>14605</v>
      </c>
      <c r="F3278" s="108" t="s">
        <v>19688</v>
      </c>
      <c r="G3278" s="110"/>
      <c r="H3278" s="108" t="s">
        <v>19686</v>
      </c>
      <c r="I3278" s="108"/>
    </row>
    <row r="3279" spans="1:9">
      <c r="A3279" s="108" t="s">
        <v>1465</v>
      </c>
      <c r="B3279" s="108" t="s">
        <v>19694</v>
      </c>
      <c r="C3279" s="109">
        <v>43626</v>
      </c>
      <c r="D3279" s="108" t="s">
        <v>19695</v>
      </c>
      <c r="E3279" s="108" t="s">
        <v>14605</v>
      </c>
      <c r="F3279" s="108" t="s">
        <v>19696</v>
      </c>
      <c r="G3279" s="109">
        <v>45452</v>
      </c>
      <c r="H3279" s="108" t="s">
        <v>19686</v>
      </c>
      <c r="I3279" s="108" t="s">
        <v>280</v>
      </c>
    </row>
    <row r="3280" spans="1:9" ht="27.6">
      <c r="A3280" s="108" t="s">
        <v>15075</v>
      </c>
      <c r="B3280" s="108" t="s">
        <v>19697</v>
      </c>
      <c r="C3280" s="109">
        <v>45021</v>
      </c>
      <c r="D3280" s="108"/>
      <c r="E3280" s="108" t="s">
        <v>14605</v>
      </c>
      <c r="F3280" s="108" t="s">
        <v>19698</v>
      </c>
      <c r="G3280" s="110"/>
      <c r="H3280" s="108" t="s">
        <v>19699</v>
      </c>
      <c r="I3280" s="108"/>
    </row>
    <row r="3281" spans="1:9">
      <c r="A3281" s="108" t="s">
        <v>8271</v>
      </c>
      <c r="B3281" s="108" t="s">
        <v>19700</v>
      </c>
      <c r="C3281" s="109">
        <v>44099</v>
      </c>
      <c r="D3281" s="108" t="s">
        <v>19701</v>
      </c>
      <c r="E3281" s="108" t="s">
        <v>14605</v>
      </c>
      <c r="F3281" s="108" t="s">
        <v>16114</v>
      </c>
      <c r="G3281" s="109">
        <v>44463</v>
      </c>
      <c r="H3281" s="108" t="s">
        <v>19699</v>
      </c>
      <c r="I3281" s="108" t="s">
        <v>108</v>
      </c>
    </row>
    <row r="3282" spans="1:9" ht="27.6">
      <c r="A3282" s="108" t="s">
        <v>96</v>
      </c>
      <c r="B3282" s="108" t="s">
        <v>19702</v>
      </c>
      <c r="C3282" s="109">
        <v>44099</v>
      </c>
      <c r="D3282" s="108" t="s">
        <v>19703</v>
      </c>
      <c r="E3282" s="108" t="s">
        <v>14605</v>
      </c>
      <c r="F3282" s="108" t="s">
        <v>19704</v>
      </c>
      <c r="G3282" s="109">
        <v>44828</v>
      </c>
      <c r="H3282" s="108" t="s">
        <v>19699</v>
      </c>
      <c r="I3282" s="108" t="s">
        <v>108</v>
      </c>
    </row>
    <row r="3283" spans="1:9">
      <c r="A3283" s="108" t="s">
        <v>16986</v>
      </c>
      <c r="B3283" s="108" t="s">
        <v>19705</v>
      </c>
      <c r="C3283" s="109">
        <v>45371</v>
      </c>
      <c r="D3283" s="108" t="s">
        <v>19706</v>
      </c>
      <c r="E3283" s="108" t="s">
        <v>16121</v>
      </c>
      <c r="F3283" s="108" t="s">
        <v>15824</v>
      </c>
      <c r="G3283" s="109">
        <v>46229</v>
      </c>
      <c r="H3283" s="108" t="s">
        <v>19707</v>
      </c>
      <c r="I3283" s="108" t="s">
        <v>19708</v>
      </c>
    </row>
    <row r="3284" spans="1:9" ht="27.6">
      <c r="A3284" s="108" t="s">
        <v>14690</v>
      </c>
      <c r="B3284" s="108" t="s">
        <v>19709</v>
      </c>
      <c r="C3284" s="109">
        <v>41107</v>
      </c>
      <c r="D3284" s="108"/>
      <c r="E3284" s="108" t="s">
        <v>14605</v>
      </c>
      <c r="F3284" s="108" t="s">
        <v>19710</v>
      </c>
      <c r="G3284" s="110"/>
      <c r="H3284" s="108" t="s">
        <v>19711</v>
      </c>
      <c r="I3284" s="108"/>
    </row>
    <row r="3285" spans="1:9">
      <c r="A3285" s="108" t="s">
        <v>169</v>
      </c>
      <c r="B3285" s="108" t="s">
        <v>19712</v>
      </c>
      <c r="C3285" s="109">
        <v>41382</v>
      </c>
      <c r="D3285" s="108"/>
      <c r="E3285" s="108" t="s">
        <v>14605</v>
      </c>
      <c r="F3285" s="108" t="s">
        <v>19713</v>
      </c>
      <c r="G3285" s="110"/>
      <c r="H3285" s="108" t="s">
        <v>19711</v>
      </c>
      <c r="I3285" s="108"/>
    </row>
    <row r="3286" spans="1:9">
      <c r="A3286" s="108" t="s">
        <v>169</v>
      </c>
      <c r="B3286" s="108" t="s">
        <v>19714</v>
      </c>
      <c r="C3286" s="109">
        <v>42531</v>
      </c>
      <c r="D3286" s="108"/>
      <c r="E3286" s="108" t="s">
        <v>14605</v>
      </c>
      <c r="F3286" s="108" t="s">
        <v>19715</v>
      </c>
      <c r="G3286" s="110"/>
      <c r="H3286" s="108" t="s">
        <v>19711</v>
      </c>
      <c r="I3286" s="108"/>
    </row>
    <row r="3287" spans="1:9" ht="27.6">
      <c r="A3287" s="108" t="s">
        <v>169</v>
      </c>
      <c r="B3287" s="108" t="s">
        <v>19716</v>
      </c>
      <c r="C3287" s="109">
        <v>41934</v>
      </c>
      <c r="D3287" s="108"/>
      <c r="E3287" s="108" t="s">
        <v>14605</v>
      </c>
      <c r="F3287" s="108" t="s">
        <v>19717</v>
      </c>
      <c r="G3287" s="110"/>
      <c r="H3287" s="108" t="s">
        <v>19711</v>
      </c>
      <c r="I3287" s="108"/>
    </row>
    <row r="3288" spans="1:9">
      <c r="A3288" s="108" t="s">
        <v>237</v>
      </c>
      <c r="B3288" s="108" t="s">
        <v>19718</v>
      </c>
      <c r="C3288" s="109">
        <v>43363</v>
      </c>
      <c r="D3288" s="108"/>
      <c r="E3288" s="108" t="s">
        <v>14605</v>
      </c>
      <c r="F3288" s="108" t="s">
        <v>19719</v>
      </c>
      <c r="G3288" s="110"/>
      <c r="H3288" s="108" t="s">
        <v>19711</v>
      </c>
      <c r="I3288" s="108"/>
    </row>
    <row r="3289" spans="1:9" ht="27.6">
      <c r="A3289" s="108" t="s">
        <v>2002</v>
      </c>
      <c r="B3289" s="108" t="s">
        <v>19720</v>
      </c>
      <c r="C3289" s="109">
        <v>42713</v>
      </c>
      <c r="D3289" s="108"/>
      <c r="E3289" s="108" t="s">
        <v>14605</v>
      </c>
      <c r="F3289" s="108" t="s">
        <v>19721</v>
      </c>
      <c r="G3289" s="110"/>
      <c r="H3289" s="108" t="s">
        <v>19711</v>
      </c>
      <c r="I3289" s="108"/>
    </row>
    <row r="3290" spans="1:9" ht="27.6">
      <c r="A3290" s="108" t="s">
        <v>923</v>
      </c>
      <c r="B3290" s="108" t="s">
        <v>19722</v>
      </c>
      <c r="C3290" s="109">
        <v>42713</v>
      </c>
      <c r="D3290" s="108"/>
      <c r="E3290" s="108" t="s">
        <v>14605</v>
      </c>
      <c r="F3290" s="108" t="s">
        <v>19717</v>
      </c>
      <c r="G3290" s="110"/>
      <c r="H3290" s="108" t="s">
        <v>19711</v>
      </c>
      <c r="I3290" s="108"/>
    </row>
    <row r="3291" spans="1:9" ht="27.6">
      <c r="A3291" s="108" t="s">
        <v>14950</v>
      </c>
      <c r="B3291" s="108" t="s">
        <v>19723</v>
      </c>
      <c r="C3291" s="109">
        <v>45057</v>
      </c>
      <c r="D3291" s="108"/>
      <c r="E3291" s="108" t="s">
        <v>14605</v>
      </c>
      <c r="F3291" s="108" t="s">
        <v>15824</v>
      </c>
      <c r="G3291" s="110"/>
      <c r="H3291" s="108" t="s">
        <v>19711</v>
      </c>
      <c r="I3291" s="108"/>
    </row>
    <row r="3292" spans="1:9" ht="27.6">
      <c r="A3292" s="108" t="s">
        <v>14950</v>
      </c>
      <c r="B3292" s="108" t="s">
        <v>19724</v>
      </c>
      <c r="C3292" s="109">
        <v>45057</v>
      </c>
      <c r="D3292" s="108"/>
      <c r="E3292" s="108" t="s">
        <v>14605</v>
      </c>
      <c r="F3292" s="108" t="s">
        <v>15824</v>
      </c>
      <c r="G3292" s="110"/>
      <c r="H3292" s="108" t="s">
        <v>19711</v>
      </c>
      <c r="I3292" s="108"/>
    </row>
    <row r="3293" spans="1:9" ht="27.6">
      <c r="A3293" s="108" t="s">
        <v>17130</v>
      </c>
      <c r="B3293" s="108" t="s">
        <v>19725</v>
      </c>
      <c r="C3293" s="109">
        <v>44345</v>
      </c>
      <c r="D3293" s="108"/>
      <c r="E3293" s="108" t="s">
        <v>14605</v>
      </c>
      <c r="F3293" s="108" t="s">
        <v>19726</v>
      </c>
      <c r="G3293" s="110"/>
      <c r="H3293" s="108" t="s">
        <v>19711</v>
      </c>
      <c r="I3293" s="108"/>
    </row>
    <row r="3294" spans="1:9">
      <c r="A3294" s="108" t="s">
        <v>199</v>
      </c>
      <c r="B3294" s="108" t="s">
        <v>19727</v>
      </c>
      <c r="C3294" s="109">
        <v>41141</v>
      </c>
      <c r="D3294" s="108"/>
      <c r="E3294" s="108" t="s">
        <v>14605</v>
      </c>
      <c r="F3294" s="108" t="s">
        <v>19728</v>
      </c>
      <c r="G3294" s="110"/>
      <c r="H3294" s="108" t="s">
        <v>19711</v>
      </c>
      <c r="I3294" s="108"/>
    </row>
    <row r="3295" spans="1:9" ht="27.6">
      <c r="A3295" s="108" t="s">
        <v>207</v>
      </c>
      <c r="B3295" s="108" t="s">
        <v>19729</v>
      </c>
      <c r="C3295" s="109">
        <v>41505</v>
      </c>
      <c r="D3295" s="108"/>
      <c r="E3295" s="108" t="s">
        <v>14605</v>
      </c>
      <c r="F3295" s="108" t="s">
        <v>19730</v>
      </c>
      <c r="G3295" s="110"/>
      <c r="H3295" s="108" t="s">
        <v>19711</v>
      </c>
      <c r="I3295" s="108"/>
    </row>
    <row r="3296" spans="1:9" ht="27.6">
      <c r="A3296" s="108" t="s">
        <v>118</v>
      </c>
      <c r="B3296" s="108" t="s">
        <v>19731</v>
      </c>
      <c r="C3296" s="109">
        <v>42004</v>
      </c>
      <c r="D3296" s="108"/>
      <c r="E3296" s="108" t="s">
        <v>14605</v>
      </c>
      <c r="F3296" s="108" t="s">
        <v>19732</v>
      </c>
      <c r="G3296" s="110"/>
      <c r="H3296" s="108" t="s">
        <v>19711</v>
      </c>
      <c r="I3296" s="108"/>
    </row>
    <row r="3297" spans="1:9">
      <c r="A3297" s="108" t="s">
        <v>118</v>
      </c>
      <c r="B3297" s="108" t="s">
        <v>19733</v>
      </c>
      <c r="C3297" s="109">
        <v>44477</v>
      </c>
      <c r="D3297" s="108"/>
      <c r="E3297" s="108" t="s">
        <v>14605</v>
      </c>
      <c r="F3297" s="108" t="s">
        <v>19734</v>
      </c>
      <c r="G3297" s="110"/>
      <c r="H3297" s="108" t="s">
        <v>19711</v>
      </c>
      <c r="I3297" s="108"/>
    </row>
    <row r="3298" spans="1:9">
      <c r="A3298" s="108" t="s">
        <v>169</v>
      </c>
      <c r="B3298" s="108" t="s">
        <v>19735</v>
      </c>
      <c r="C3298" s="109">
        <v>43999</v>
      </c>
      <c r="D3298" s="108"/>
      <c r="E3298" s="108" t="s">
        <v>14605</v>
      </c>
      <c r="F3298" s="108" t="s">
        <v>15824</v>
      </c>
      <c r="G3298" s="110"/>
      <c r="H3298" s="108" t="s">
        <v>19711</v>
      </c>
      <c r="I3298" s="108"/>
    </row>
    <row r="3299" spans="1:9">
      <c r="A3299" s="108" t="s">
        <v>169</v>
      </c>
      <c r="B3299" s="108" t="s">
        <v>19736</v>
      </c>
      <c r="C3299" s="109">
        <v>42217</v>
      </c>
      <c r="D3299" s="108"/>
      <c r="E3299" s="108" t="s">
        <v>14605</v>
      </c>
      <c r="F3299" s="108" t="s">
        <v>19715</v>
      </c>
      <c r="G3299" s="110"/>
      <c r="H3299" s="108" t="s">
        <v>19711</v>
      </c>
      <c r="I3299" s="108"/>
    </row>
    <row r="3300" spans="1:9" ht="27.6">
      <c r="A3300" s="108" t="s">
        <v>388</v>
      </c>
      <c r="B3300" s="108" t="s">
        <v>19737</v>
      </c>
      <c r="C3300" s="109">
        <v>43886</v>
      </c>
      <c r="D3300" s="108"/>
      <c r="E3300" s="108" t="s">
        <v>16121</v>
      </c>
      <c r="F3300" s="108" t="s">
        <v>15824</v>
      </c>
      <c r="G3300" s="110"/>
      <c r="H3300" s="108" t="s">
        <v>19711</v>
      </c>
      <c r="I3300" s="108"/>
    </row>
    <row r="3301" spans="1:9" ht="27.6">
      <c r="A3301" s="108" t="s">
        <v>14950</v>
      </c>
      <c r="B3301" s="108" t="s">
        <v>19738</v>
      </c>
      <c r="C3301" s="109">
        <v>44013</v>
      </c>
      <c r="D3301" s="108" t="s">
        <v>19739</v>
      </c>
      <c r="E3301" s="108" t="s">
        <v>16121</v>
      </c>
      <c r="F3301" s="108" t="s">
        <v>15824</v>
      </c>
      <c r="G3301" s="109">
        <v>44742</v>
      </c>
      <c r="H3301" s="108" t="s">
        <v>19711</v>
      </c>
      <c r="I3301" s="108" t="s">
        <v>108</v>
      </c>
    </row>
    <row r="3302" spans="1:9" ht="27.6">
      <c r="A3302" s="108" t="s">
        <v>14950</v>
      </c>
      <c r="B3302" s="108" t="s">
        <v>19740</v>
      </c>
      <c r="C3302" s="109">
        <v>43951</v>
      </c>
      <c r="D3302" s="108" t="s">
        <v>19741</v>
      </c>
      <c r="E3302" s="108" t="s">
        <v>16121</v>
      </c>
      <c r="F3302" s="108" t="s">
        <v>15824</v>
      </c>
      <c r="G3302" s="109">
        <v>44315</v>
      </c>
      <c r="H3302" s="108" t="s">
        <v>19711</v>
      </c>
      <c r="I3302" s="108" t="s">
        <v>108</v>
      </c>
    </row>
    <row r="3303" spans="1:9" ht="27.6">
      <c r="A3303" s="108" t="s">
        <v>14950</v>
      </c>
      <c r="B3303" s="108" t="s">
        <v>19742</v>
      </c>
      <c r="C3303" s="109">
        <v>43979</v>
      </c>
      <c r="D3303" s="108" t="s">
        <v>19743</v>
      </c>
      <c r="E3303" s="108" t="s">
        <v>16121</v>
      </c>
      <c r="F3303" s="108" t="s">
        <v>15824</v>
      </c>
      <c r="G3303" s="109">
        <v>44343</v>
      </c>
      <c r="H3303" s="108" t="s">
        <v>19711</v>
      </c>
      <c r="I3303" s="108" t="s">
        <v>108</v>
      </c>
    </row>
    <row r="3304" spans="1:9" ht="27.6">
      <c r="A3304" s="108" t="s">
        <v>14950</v>
      </c>
      <c r="B3304" s="108" t="s">
        <v>19744</v>
      </c>
      <c r="C3304" s="109">
        <v>44134</v>
      </c>
      <c r="D3304" s="108" t="s">
        <v>19745</v>
      </c>
      <c r="E3304" s="108" t="s">
        <v>16121</v>
      </c>
      <c r="F3304" s="108" t="s">
        <v>15824</v>
      </c>
      <c r="G3304" s="109">
        <v>44284</v>
      </c>
      <c r="H3304" s="108" t="s">
        <v>19711</v>
      </c>
      <c r="I3304" s="108" t="s">
        <v>108</v>
      </c>
    </row>
    <row r="3305" spans="1:9">
      <c r="A3305" s="108" t="s">
        <v>169</v>
      </c>
      <c r="B3305" s="108" t="s">
        <v>19746</v>
      </c>
      <c r="C3305" s="109">
        <v>45059</v>
      </c>
      <c r="D3305" s="108" t="s">
        <v>19747</v>
      </c>
      <c r="E3305" s="108" t="s">
        <v>14605</v>
      </c>
      <c r="F3305" s="108" t="s">
        <v>19748</v>
      </c>
      <c r="G3305" s="109">
        <v>45424</v>
      </c>
      <c r="H3305" s="108" t="s">
        <v>19711</v>
      </c>
      <c r="I3305" s="108" t="s">
        <v>108</v>
      </c>
    </row>
    <row r="3306" spans="1:9">
      <c r="A3306" s="108" t="s">
        <v>169</v>
      </c>
      <c r="B3306" s="108" t="s">
        <v>19749</v>
      </c>
      <c r="C3306" s="109">
        <v>45059</v>
      </c>
      <c r="D3306" s="108" t="s">
        <v>19750</v>
      </c>
      <c r="E3306" s="108" t="s">
        <v>14605</v>
      </c>
      <c r="F3306" s="108" t="s">
        <v>15824</v>
      </c>
      <c r="G3306" s="109">
        <v>45424</v>
      </c>
      <c r="H3306" s="108" t="s">
        <v>19711</v>
      </c>
      <c r="I3306" s="108" t="s">
        <v>108</v>
      </c>
    </row>
    <row r="3307" spans="1:9" ht="27.6">
      <c r="A3307" s="108" t="s">
        <v>1072</v>
      </c>
      <c r="B3307" s="108" t="s">
        <v>19751</v>
      </c>
      <c r="C3307" s="109">
        <v>43595</v>
      </c>
      <c r="D3307" s="108" t="s">
        <v>19752</v>
      </c>
      <c r="E3307" s="108" t="s">
        <v>16121</v>
      </c>
      <c r="F3307" s="108" t="s">
        <v>15824</v>
      </c>
      <c r="G3307" s="109">
        <v>44107</v>
      </c>
      <c r="H3307" s="108" t="s">
        <v>19711</v>
      </c>
      <c r="I3307" s="108" t="s">
        <v>108</v>
      </c>
    </row>
    <row r="3308" spans="1:9" ht="27.6">
      <c r="A3308" s="108" t="s">
        <v>109</v>
      </c>
      <c r="B3308" s="108" t="s">
        <v>19753</v>
      </c>
      <c r="C3308" s="109">
        <v>43971</v>
      </c>
      <c r="D3308" s="108" t="s">
        <v>19754</v>
      </c>
      <c r="E3308" s="108" t="s">
        <v>16121</v>
      </c>
      <c r="F3308" s="108" t="s">
        <v>15824</v>
      </c>
      <c r="G3308" s="109">
        <v>44335</v>
      </c>
      <c r="H3308" s="108" t="s">
        <v>19711</v>
      </c>
      <c r="I3308" s="108" t="s">
        <v>108</v>
      </c>
    </row>
    <row r="3309" spans="1:9">
      <c r="A3309" s="108" t="s">
        <v>16986</v>
      </c>
      <c r="B3309" s="108" t="s">
        <v>19755</v>
      </c>
      <c r="C3309" s="109">
        <v>44984</v>
      </c>
      <c r="D3309" s="108" t="s">
        <v>19756</v>
      </c>
      <c r="E3309" s="108" t="s">
        <v>14605</v>
      </c>
      <c r="F3309" s="108" t="s">
        <v>15824</v>
      </c>
      <c r="G3309" s="109">
        <v>45210</v>
      </c>
      <c r="H3309" s="108" t="s">
        <v>19711</v>
      </c>
      <c r="I3309" s="108" t="s">
        <v>108</v>
      </c>
    </row>
    <row r="3310" spans="1:9">
      <c r="A3310" s="108" t="s">
        <v>244</v>
      </c>
      <c r="B3310" s="108" t="s">
        <v>19757</v>
      </c>
      <c r="C3310" s="109">
        <v>45972</v>
      </c>
      <c r="D3310" s="108" t="s">
        <v>19758</v>
      </c>
      <c r="E3310" s="108" t="s">
        <v>14605</v>
      </c>
      <c r="F3310" s="108" t="s">
        <v>19759</v>
      </c>
      <c r="G3310" s="109">
        <v>45855</v>
      </c>
      <c r="H3310" s="108" t="s">
        <v>19711</v>
      </c>
      <c r="I3310" s="108" t="s">
        <v>108</v>
      </c>
    </row>
    <row r="3311" spans="1:9">
      <c r="A3311" s="108" t="s">
        <v>16151</v>
      </c>
      <c r="B3311" s="108" t="s">
        <v>19760</v>
      </c>
      <c r="C3311" s="109">
        <v>43955</v>
      </c>
      <c r="D3311" s="108" t="s">
        <v>19761</v>
      </c>
      <c r="E3311" s="108" t="s">
        <v>16121</v>
      </c>
      <c r="F3311" s="108" t="s">
        <v>15824</v>
      </c>
      <c r="G3311" s="109">
        <v>44684</v>
      </c>
      <c r="H3311" s="108" t="s">
        <v>19711</v>
      </c>
      <c r="I3311" s="108" t="s">
        <v>108</v>
      </c>
    </row>
    <row r="3312" spans="1:9">
      <c r="A3312" s="108" t="s">
        <v>16151</v>
      </c>
      <c r="B3312" s="108" t="s">
        <v>19762</v>
      </c>
      <c r="C3312" s="109">
        <v>43945</v>
      </c>
      <c r="D3312" s="108" t="s">
        <v>19763</v>
      </c>
      <c r="E3312" s="108" t="s">
        <v>16121</v>
      </c>
      <c r="F3312" s="108" t="s">
        <v>15824</v>
      </c>
      <c r="G3312" s="109">
        <v>44674</v>
      </c>
      <c r="H3312" s="108" t="s">
        <v>19711</v>
      </c>
      <c r="I3312" s="108" t="s">
        <v>108</v>
      </c>
    </row>
    <row r="3313" spans="1:9" ht="27.6">
      <c r="A3313" s="108" t="s">
        <v>388</v>
      </c>
      <c r="B3313" s="108" t="s">
        <v>19764</v>
      </c>
      <c r="C3313" s="109">
        <v>43550</v>
      </c>
      <c r="D3313" s="108" t="s">
        <v>19765</v>
      </c>
      <c r="E3313" s="108" t="s">
        <v>16121</v>
      </c>
      <c r="F3313" s="108" t="s">
        <v>15824</v>
      </c>
      <c r="G3313" s="109">
        <v>44103</v>
      </c>
      <c r="H3313" s="108" t="s">
        <v>19711</v>
      </c>
      <c r="I3313" s="108" t="s">
        <v>108</v>
      </c>
    </row>
    <row r="3314" spans="1:9" ht="27.6">
      <c r="A3314" s="108" t="s">
        <v>14950</v>
      </c>
      <c r="B3314" s="108" t="s">
        <v>19766</v>
      </c>
      <c r="C3314" s="109">
        <v>44134</v>
      </c>
      <c r="D3314" s="108" t="s">
        <v>19767</v>
      </c>
      <c r="E3314" s="108" t="s">
        <v>16121</v>
      </c>
      <c r="F3314" s="108" t="s">
        <v>15824</v>
      </c>
      <c r="G3314" s="109">
        <v>44863</v>
      </c>
      <c r="H3314" s="108" t="s">
        <v>19711</v>
      </c>
      <c r="I3314" s="108" t="s">
        <v>19708</v>
      </c>
    </row>
    <row r="3315" spans="1:9" ht="27.6">
      <c r="A3315" s="108" t="s">
        <v>14950</v>
      </c>
      <c r="B3315" s="108" t="s">
        <v>19768</v>
      </c>
      <c r="C3315" s="109">
        <v>44155</v>
      </c>
      <c r="D3315" s="108" t="s">
        <v>19769</v>
      </c>
      <c r="E3315" s="108" t="s">
        <v>16121</v>
      </c>
      <c r="F3315" s="108" t="s">
        <v>15824</v>
      </c>
      <c r="G3315" s="109">
        <v>44835</v>
      </c>
      <c r="H3315" s="108" t="s">
        <v>19711</v>
      </c>
      <c r="I3315" s="108" t="s">
        <v>19708</v>
      </c>
    </row>
    <row r="3316" spans="1:9">
      <c r="A3316" s="108" t="s">
        <v>16986</v>
      </c>
      <c r="B3316" s="108" t="s">
        <v>19770</v>
      </c>
      <c r="C3316" s="109">
        <v>44134</v>
      </c>
      <c r="D3316" s="108" t="s">
        <v>19771</v>
      </c>
      <c r="E3316" s="108" t="s">
        <v>16121</v>
      </c>
      <c r="F3316" s="108" t="s">
        <v>15824</v>
      </c>
      <c r="G3316" s="109">
        <v>44863</v>
      </c>
      <c r="H3316" s="108" t="s">
        <v>19711</v>
      </c>
      <c r="I3316" s="108" t="s">
        <v>19708</v>
      </c>
    </row>
    <row r="3317" spans="1:9" ht="27.6">
      <c r="A3317" s="108" t="s">
        <v>103</v>
      </c>
      <c r="B3317" s="108" t="s">
        <v>19772</v>
      </c>
      <c r="C3317" s="109">
        <v>44984</v>
      </c>
      <c r="D3317" s="108" t="s">
        <v>19773</v>
      </c>
      <c r="E3317" s="108" t="s">
        <v>14605</v>
      </c>
      <c r="F3317" s="108" t="s">
        <v>15824</v>
      </c>
      <c r="G3317" s="109">
        <v>45466</v>
      </c>
      <c r="H3317" s="108" t="s">
        <v>19711</v>
      </c>
      <c r="I3317" s="108" t="s">
        <v>19708</v>
      </c>
    </row>
    <row r="3318" spans="1:9">
      <c r="A3318" s="108" t="s">
        <v>16151</v>
      </c>
      <c r="B3318" s="108" t="s">
        <v>19774</v>
      </c>
      <c r="C3318" s="109">
        <v>44155</v>
      </c>
      <c r="D3318" s="108" t="s">
        <v>19775</v>
      </c>
      <c r="E3318" s="108" t="s">
        <v>16121</v>
      </c>
      <c r="F3318" s="108" t="s">
        <v>15824</v>
      </c>
      <c r="G3318" s="109">
        <v>46210</v>
      </c>
      <c r="H3318" s="108" t="s">
        <v>19711</v>
      </c>
      <c r="I3318" s="108" t="s">
        <v>19708</v>
      </c>
    </row>
    <row r="3319" spans="1:9" ht="27.6">
      <c r="A3319" s="108" t="s">
        <v>103</v>
      </c>
      <c r="B3319" s="108" t="s">
        <v>19776</v>
      </c>
      <c r="C3319" s="109">
        <v>45216</v>
      </c>
      <c r="D3319" s="108" t="s">
        <v>19777</v>
      </c>
      <c r="E3319" s="108" t="s">
        <v>14605</v>
      </c>
      <c r="F3319" s="108" t="s">
        <v>15824</v>
      </c>
      <c r="G3319" s="109">
        <v>45126</v>
      </c>
      <c r="H3319" s="108" t="s">
        <v>19711</v>
      </c>
      <c r="I3319" s="108" t="s">
        <v>19708</v>
      </c>
    </row>
    <row r="3320" spans="1:9" ht="27.6">
      <c r="A3320" s="108" t="s">
        <v>14690</v>
      </c>
      <c r="B3320" s="108" t="s">
        <v>19778</v>
      </c>
      <c r="C3320" s="109">
        <v>41052</v>
      </c>
      <c r="D3320" s="108"/>
      <c r="E3320" s="108" t="s">
        <v>14605</v>
      </c>
      <c r="F3320" s="108" t="s">
        <v>15027</v>
      </c>
      <c r="G3320" s="110"/>
      <c r="H3320" s="108" t="s">
        <v>19779</v>
      </c>
      <c r="I3320" s="108"/>
    </row>
    <row r="3321" spans="1:9">
      <c r="A3321" s="108" t="s">
        <v>87</v>
      </c>
      <c r="B3321" s="108" t="s">
        <v>19780</v>
      </c>
      <c r="C3321" s="109">
        <v>41677</v>
      </c>
      <c r="D3321" s="108"/>
      <c r="E3321" s="108" t="s">
        <v>14605</v>
      </c>
      <c r="F3321" s="108" t="s">
        <v>19781</v>
      </c>
      <c r="G3321" s="110"/>
      <c r="H3321" s="108" t="s">
        <v>19779</v>
      </c>
      <c r="I3321" s="108"/>
    </row>
    <row r="3322" spans="1:9">
      <c r="A3322" s="108" t="s">
        <v>169</v>
      </c>
      <c r="B3322" s="108" t="s">
        <v>19782</v>
      </c>
      <c r="C3322" s="109">
        <v>42558</v>
      </c>
      <c r="D3322" s="108"/>
      <c r="E3322" s="108" t="s">
        <v>14605</v>
      </c>
      <c r="F3322" s="108" t="s">
        <v>19783</v>
      </c>
      <c r="G3322" s="110"/>
      <c r="H3322" s="108" t="s">
        <v>19779</v>
      </c>
      <c r="I3322" s="108"/>
    </row>
    <row r="3323" spans="1:9" ht="27.6">
      <c r="A3323" s="108" t="s">
        <v>169</v>
      </c>
      <c r="B3323" s="108" t="s">
        <v>19784</v>
      </c>
      <c r="C3323" s="109">
        <v>43161</v>
      </c>
      <c r="D3323" s="108"/>
      <c r="E3323" s="108" t="s">
        <v>14605</v>
      </c>
      <c r="F3323" s="108" t="s">
        <v>19785</v>
      </c>
      <c r="G3323" s="110"/>
      <c r="H3323" s="108" t="s">
        <v>19779</v>
      </c>
      <c r="I3323" s="108"/>
    </row>
    <row r="3324" spans="1:9">
      <c r="A3324" s="108" t="s">
        <v>169</v>
      </c>
      <c r="B3324" s="108" t="s">
        <v>19786</v>
      </c>
      <c r="C3324" s="109">
        <v>43152</v>
      </c>
      <c r="D3324" s="108"/>
      <c r="E3324" s="108" t="s">
        <v>14605</v>
      </c>
      <c r="F3324" s="108" t="s">
        <v>19787</v>
      </c>
      <c r="G3324" s="110"/>
      <c r="H3324" s="108" t="s">
        <v>19779</v>
      </c>
      <c r="I3324" s="108"/>
    </row>
    <row r="3325" spans="1:9" ht="27.6">
      <c r="A3325" s="108" t="s">
        <v>14690</v>
      </c>
      <c r="B3325" s="108" t="s">
        <v>19788</v>
      </c>
      <c r="C3325" s="109">
        <v>43711</v>
      </c>
      <c r="D3325" s="108"/>
      <c r="E3325" s="108" t="s">
        <v>14605</v>
      </c>
      <c r="F3325" s="108" t="s">
        <v>19789</v>
      </c>
      <c r="G3325" s="110"/>
      <c r="H3325" s="108" t="s">
        <v>19779</v>
      </c>
      <c r="I3325" s="108"/>
    </row>
    <row r="3326" spans="1:9" ht="27.6">
      <c r="A3326" s="108" t="s">
        <v>14690</v>
      </c>
      <c r="B3326" s="108" t="s">
        <v>19790</v>
      </c>
      <c r="C3326" s="109">
        <v>43818</v>
      </c>
      <c r="D3326" s="108"/>
      <c r="E3326" s="108" t="s">
        <v>14605</v>
      </c>
      <c r="F3326" s="108" t="s">
        <v>19791</v>
      </c>
      <c r="G3326" s="110"/>
      <c r="H3326" s="108" t="s">
        <v>19779</v>
      </c>
      <c r="I3326" s="108"/>
    </row>
    <row r="3327" spans="1:9">
      <c r="A3327" s="108" t="s">
        <v>2002</v>
      </c>
      <c r="B3327" s="108" t="s">
        <v>19792</v>
      </c>
      <c r="C3327" s="109">
        <v>42710</v>
      </c>
      <c r="D3327" s="108"/>
      <c r="E3327" s="108" t="s">
        <v>14605</v>
      </c>
      <c r="F3327" s="108" t="s">
        <v>1106</v>
      </c>
      <c r="G3327" s="110"/>
      <c r="H3327" s="108" t="s">
        <v>19779</v>
      </c>
      <c r="I3327" s="108"/>
    </row>
    <row r="3328" spans="1:9">
      <c r="A3328" s="108" t="s">
        <v>2002</v>
      </c>
      <c r="B3328" s="108" t="s">
        <v>19793</v>
      </c>
      <c r="C3328" s="109">
        <v>43132</v>
      </c>
      <c r="D3328" s="108"/>
      <c r="E3328" s="108" t="s">
        <v>14605</v>
      </c>
      <c r="F3328" s="108" t="s">
        <v>19794</v>
      </c>
      <c r="G3328" s="110"/>
      <c r="H3328" s="108" t="s">
        <v>19779</v>
      </c>
      <c r="I3328" s="108"/>
    </row>
    <row r="3329" spans="1:9">
      <c r="A3329" s="108" t="s">
        <v>2002</v>
      </c>
      <c r="B3329" s="108" t="s">
        <v>19795</v>
      </c>
      <c r="C3329" s="109">
        <v>43742</v>
      </c>
      <c r="D3329" s="108"/>
      <c r="E3329" s="108" t="s">
        <v>14605</v>
      </c>
      <c r="F3329" s="108" t="s">
        <v>19796</v>
      </c>
      <c r="G3329" s="110"/>
      <c r="H3329" s="108" t="s">
        <v>19779</v>
      </c>
      <c r="I3329" s="108"/>
    </row>
    <row r="3330" spans="1:9" ht="27.6">
      <c r="A3330" s="108" t="s">
        <v>15075</v>
      </c>
      <c r="B3330" s="108" t="s">
        <v>19797</v>
      </c>
      <c r="C3330" s="109">
        <v>44768</v>
      </c>
      <c r="D3330" s="108"/>
      <c r="E3330" s="108" t="s">
        <v>14605</v>
      </c>
      <c r="F3330" s="108" t="s">
        <v>19798</v>
      </c>
      <c r="G3330" s="110"/>
      <c r="H3330" s="108" t="s">
        <v>19779</v>
      </c>
      <c r="I3330" s="108"/>
    </row>
    <row r="3331" spans="1:9" ht="27.6">
      <c r="A3331" s="108" t="s">
        <v>15075</v>
      </c>
      <c r="B3331" s="108" t="s">
        <v>19799</v>
      </c>
      <c r="C3331" s="109">
        <v>44644</v>
      </c>
      <c r="D3331" s="108"/>
      <c r="E3331" s="108" t="s">
        <v>14605</v>
      </c>
      <c r="F3331" s="108" t="s">
        <v>19800</v>
      </c>
      <c r="G3331" s="110"/>
      <c r="H3331" s="108" t="s">
        <v>19779</v>
      </c>
      <c r="I3331" s="108"/>
    </row>
    <row r="3332" spans="1:9">
      <c r="A3332" s="108" t="s">
        <v>227</v>
      </c>
      <c r="B3332" s="108" t="s">
        <v>19801</v>
      </c>
      <c r="C3332" s="109">
        <v>42340</v>
      </c>
      <c r="D3332" s="108"/>
      <c r="E3332" s="108" t="s">
        <v>14605</v>
      </c>
      <c r="F3332" s="108" t="s">
        <v>19789</v>
      </c>
      <c r="G3332" s="110"/>
      <c r="H3332" s="108" t="s">
        <v>19779</v>
      </c>
      <c r="I3332" s="108"/>
    </row>
    <row r="3333" spans="1:9" ht="27.6">
      <c r="A3333" s="108" t="s">
        <v>19802</v>
      </c>
      <c r="B3333" s="108" t="s">
        <v>19803</v>
      </c>
      <c r="C3333" s="109">
        <v>38168</v>
      </c>
      <c r="D3333" s="108"/>
      <c r="E3333" s="108" t="s">
        <v>14605</v>
      </c>
      <c r="F3333" s="108" t="s">
        <v>19804</v>
      </c>
      <c r="G3333" s="110"/>
      <c r="H3333" s="108" t="s">
        <v>19779</v>
      </c>
      <c r="I3333" s="108"/>
    </row>
    <row r="3334" spans="1:9" ht="27.6">
      <c r="A3334" s="108" t="s">
        <v>14607</v>
      </c>
      <c r="B3334" s="108" t="s">
        <v>19805</v>
      </c>
      <c r="C3334" s="109">
        <v>38650</v>
      </c>
      <c r="D3334" s="108"/>
      <c r="E3334" s="108" t="s">
        <v>14605</v>
      </c>
      <c r="F3334" s="108" t="s">
        <v>19804</v>
      </c>
      <c r="G3334" s="110"/>
      <c r="H3334" s="108" t="s">
        <v>19779</v>
      </c>
      <c r="I3334" s="108"/>
    </row>
    <row r="3335" spans="1:9" ht="27.6">
      <c r="A3335" s="108" t="s">
        <v>19802</v>
      </c>
      <c r="B3335" s="108" t="s">
        <v>19806</v>
      </c>
      <c r="C3335" s="109">
        <v>38262</v>
      </c>
      <c r="D3335" s="108"/>
      <c r="E3335" s="108" t="s">
        <v>14605</v>
      </c>
      <c r="F3335" s="108" t="s">
        <v>19781</v>
      </c>
      <c r="G3335" s="110"/>
      <c r="H3335" s="108" t="s">
        <v>19779</v>
      </c>
      <c r="I3335" s="108"/>
    </row>
    <row r="3336" spans="1:9">
      <c r="A3336" s="108" t="s">
        <v>16935</v>
      </c>
      <c r="B3336" s="108" t="s">
        <v>19807</v>
      </c>
      <c r="C3336" s="109">
        <v>39066</v>
      </c>
      <c r="D3336" s="108"/>
      <c r="E3336" s="108" t="s">
        <v>14605</v>
      </c>
      <c r="F3336" s="108" t="s">
        <v>15640</v>
      </c>
      <c r="G3336" s="110"/>
      <c r="H3336" s="108" t="s">
        <v>19779</v>
      </c>
      <c r="I3336" s="108"/>
    </row>
    <row r="3337" spans="1:9">
      <c r="A3337" s="108" t="s">
        <v>16935</v>
      </c>
      <c r="B3337" s="108" t="s">
        <v>19808</v>
      </c>
      <c r="C3337" s="109">
        <v>39925</v>
      </c>
      <c r="D3337" s="108"/>
      <c r="E3337" s="108" t="s">
        <v>14605</v>
      </c>
      <c r="F3337" s="108" t="s">
        <v>15027</v>
      </c>
      <c r="G3337" s="110"/>
      <c r="H3337" s="108" t="s">
        <v>19779</v>
      </c>
      <c r="I3337" s="108"/>
    </row>
    <row r="3338" spans="1:9">
      <c r="A3338" s="108" t="s">
        <v>237</v>
      </c>
      <c r="B3338" s="108" t="s">
        <v>19809</v>
      </c>
      <c r="C3338" s="109">
        <v>40604</v>
      </c>
      <c r="D3338" s="108"/>
      <c r="E3338" s="108" t="s">
        <v>14605</v>
      </c>
      <c r="F3338" s="108" t="s">
        <v>15640</v>
      </c>
      <c r="G3338" s="110"/>
      <c r="H3338" s="108" t="s">
        <v>19779</v>
      </c>
      <c r="I3338" s="108"/>
    </row>
    <row r="3339" spans="1:9">
      <c r="A3339" s="108" t="s">
        <v>87</v>
      </c>
      <c r="B3339" s="108" t="s">
        <v>19810</v>
      </c>
      <c r="C3339" s="109">
        <v>40184</v>
      </c>
      <c r="D3339" s="108"/>
      <c r="E3339" s="108" t="s">
        <v>14605</v>
      </c>
      <c r="F3339" s="108" t="s">
        <v>19811</v>
      </c>
      <c r="G3339" s="110"/>
      <c r="H3339" s="108" t="s">
        <v>19779</v>
      </c>
      <c r="I3339" s="108"/>
    </row>
    <row r="3340" spans="1:9">
      <c r="A3340" s="108" t="s">
        <v>237</v>
      </c>
      <c r="B3340" s="108" t="s">
        <v>19812</v>
      </c>
      <c r="C3340" s="109">
        <v>40917</v>
      </c>
      <c r="D3340" s="108"/>
      <c r="E3340" s="108" t="s">
        <v>14605</v>
      </c>
      <c r="F3340" s="108" t="s">
        <v>19813</v>
      </c>
      <c r="G3340" s="110"/>
      <c r="H3340" s="108" t="s">
        <v>19779</v>
      </c>
      <c r="I3340" s="108"/>
    </row>
    <row r="3341" spans="1:9">
      <c r="A3341" s="108" t="s">
        <v>169</v>
      </c>
      <c r="B3341" s="108" t="s">
        <v>19814</v>
      </c>
      <c r="C3341" s="109">
        <v>44117</v>
      </c>
      <c r="D3341" s="108"/>
      <c r="E3341" s="108" t="s">
        <v>14605</v>
      </c>
      <c r="F3341" s="108" t="s">
        <v>19815</v>
      </c>
      <c r="G3341" s="110"/>
      <c r="H3341" s="108" t="s">
        <v>19779</v>
      </c>
      <c r="I3341" s="108"/>
    </row>
    <row r="3342" spans="1:9" ht="27.6">
      <c r="A3342" s="108" t="s">
        <v>14950</v>
      </c>
      <c r="B3342" s="108" t="s">
        <v>19816</v>
      </c>
      <c r="C3342" s="109">
        <v>44082</v>
      </c>
      <c r="D3342" s="108" t="s">
        <v>19817</v>
      </c>
      <c r="E3342" s="108" t="s">
        <v>14605</v>
      </c>
      <c r="F3342" s="108" t="s">
        <v>19818</v>
      </c>
      <c r="G3342" s="109">
        <v>45986</v>
      </c>
      <c r="H3342" s="108" t="s">
        <v>19779</v>
      </c>
      <c r="I3342" s="108" t="s">
        <v>102</v>
      </c>
    </row>
    <row r="3343" spans="1:9" ht="27.6">
      <c r="A3343" s="108" t="s">
        <v>109</v>
      </c>
      <c r="B3343" s="108" t="s">
        <v>19819</v>
      </c>
      <c r="C3343" s="109">
        <v>44867</v>
      </c>
      <c r="D3343" s="108" t="s">
        <v>19817</v>
      </c>
      <c r="E3343" s="108" t="s">
        <v>14605</v>
      </c>
      <c r="F3343" s="108" t="s">
        <v>19818</v>
      </c>
      <c r="G3343" s="109">
        <v>45986</v>
      </c>
      <c r="H3343" s="108" t="s">
        <v>19779</v>
      </c>
      <c r="I3343" s="108" t="s">
        <v>102</v>
      </c>
    </row>
    <row r="3344" spans="1:9" ht="27.6">
      <c r="A3344" s="108" t="s">
        <v>388</v>
      </c>
      <c r="B3344" s="108" t="s">
        <v>19820</v>
      </c>
      <c r="C3344" s="109">
        <v>44280</v>
      </c>
      <c r="D3344" s="108" t="s">
        <v>19821</v>
      </c>
      <c r="E3344" s="108" t="s">
        <v>14605</v>
      </c>
      <c r="F3344" s="108" t="s">
        <v>19822</v>
      </c>
      <c r="G3344" s="109">
        <v>46105</v>
      </c>
      <c r="H3344" s="108" t="s">
        <v>19779</v>
      </c>
      <c r="I3344" s="108" t="s">
        <v>102</v>
      </c>
    </row>
    <row r="3345" spans="1:9" ht="27.6">
      <c r="A3345" s="108" t="s">
        <v>96</v>
      </c>
      <c r="B3345" s="108" t="s">
        <v>19823</v>
      </c>
      <c r="C3345" s="109">
        <v>44768</v>
      </c>
      <c r="D3345" s="108" t="s">
        <v>19824</v>
      </c>
      <c r="E3345" s="108" t="s">
        <v>14605</v>
      </c>
      <c r="F3345" s="108" t="s">
        <v>19798</v>
      </c>
      <c r="G3345" s="109">
        <v>46050</v>
      </c>
      <c r="H3345" s="108" t="s">
        <v>19779</v>
      </c>
      <c r="I3345" s="108" t="s">
        <v>95</v>
      </c>
    </row>
    <row r="3346" spans="1:9">
      <c r="A3346" s="108" t="s">
        <v>16151</v>
      </c>
      <c r="B3346" s="108" t="s">
        <v>19825</v>
      </c>
      <c r="C3346" s="109">
        <v>44593</v>
      </c>
      <c r="D3346" s="108" t="s">
        <v>19826</v>
      </c>
      <c r="E3346" s="108" t="s">
        <v>14605</v>
      </c>
      <c r="F3346" s="108" t="s">
        <v>19800</v>
      </c>
      <c r="G3346" s="109">
        <v>48226</v>
      </c>
      <c r="H3346" s="108" t="s">
        <v>19779</v>
      </c>
      <c r="I3346" s="108" t="s">
        <v>95</v>
      </c>
    </row>
    <row r="3347" spans="1:9" ht="27.6">
      <c r="A3347" s="108" t="s">
        <v>207</v>
      </c>
      <c r="B3347" s="108" t="s">
        <v>19827</v>
      </c>
      <c r="C3347" s="109">
        <v>42348</v>
      </c>
      <c r="D3347" s="108" t="s">
        <v>19828</v>
      </c>
      <c r="E3347" s="108" t="s">
        <v>14605</v>
      </c>
      <c r="F3347" s="108" t="s">
        <v>19794</v>
      </c>
      <c r="G3347" s="109">
        <v>46112</v>
      </c>
      <c r="H3347" s="108" t="s">
        <v>19779</v>
      </c>
      <c r="I3347" s="108" t="s">
        <v>206</v>
      </c>
    </row>
    <row r="3348" spans="1:9">
      <c r="A3348" s="108" t="s">
        <v>118</v>
      </c>
      <c r="B3348" s="108" t="s">
        <v>19829</v>
      </c>
      <c r="C3348" s="109">
        <v>43677</v>
      </c>
      <c r="D3348" s="108" t="s">
        <v>19830</v>
      </c>
      <c r="E3348" s="108" t="s">
        <v>14605</v>
      </c>
      <c r="F3348" s="108" t="s">
        <v>19789</v>
      </c>
      <c r="G3348" s="109">
        <v>45900</v>
      </c>
      <c r="H3348" s="108" t="s">
        <v>19779</v>
      </c>
      <c r="I3348" s="108" t="s">
        <v>117</v>
      </c>
    </row>
    <row r="3349" spans="1:9" ht="27.6">
      <c r="A3349" s="108" t="s">
        <v>169</v>
      </c>
      <c r="B3349" s="108" t="s">
        <v>19831</v>
      </c>
      <c r="C3349" s="109">
        <v>42447</v>
      </c>
      <c r="D3349" s="108" t="s">
        <v>19832</v>
      </c>
      <c r="E3349" s="108" t="s">
        <v>14605</v>
      </c>
      <c r="F3349" s="108" t="s">
        <v>19785</v>
      </c>
      <c r="G3349" s="109">
        <v>45815</v>
      </c>
      <c r="H3349" s="108" t="s">
        <v>19779</v>
      </c>
      <c r="I3349" s="108" t="s">
        <v>3315</v>
      </c>
    </row>
    <row r="3350" spans="1:9" ht="27.6">
      <c r="A3350" s="108" t="s">
        <v>16151</v>
      </c>
      <c r="B3350" s="108" t="s">
        <v>19833</v>
      </c>
      <c r="C3350" s="109">
        <v>44270</v>
      </c>
      <c r="D3350" s="108" t="s">
        <v>19834</v>
      </c>
      <c r="E3350" s="108" t="s">
        <v>14605</v>
      </c>
      <c r="F3350" s="108" t="s">
        <v>19835</v>
      </c>
      <c r="G3350" s="109">
        <v>46095</v>
      </c>
      <c r="H3350" s="108" t="s">
        <v>19779</v>
      </c>
      <c r="I3350" s="108" t="s">
        <v>133</v>
      </c>
    </row>
    <row r="3351" spans="1:9" ht="27.6">
      <c r="A3351" s="108" t="s">
        <v>14950</v>
      </c>
      <c r="B3351" s="108" t="s">
        <v>19836</v>
      </c>
      <c r="C3351" s="109">
        <v>44250</v>
      </c>
      <c r="D3351" s="108" t="s">
        <v>19837</v>
      </c>
      <c r="E3351" s="108" t="s">
        <v>14605</v>
      </c>
      <c r="F3351" s="108" t="s">
        <v>19835</v>
      </c>
      <c r="G3351" s="109">
        <v>44614</v>
      </c>
      <c r="H3351" s="108" t="s">
        <v>19779</v>
      </c>
      <c r="I3351" s="108" t="s">
        <v>108</v>
      </c>
    </row>
    <row r="3352" spans="1:9" ht="27.6">
      <c r="A3352" s="108" t="s">
        <v>14950</v>
      </c>
      <c r="B3352" s="108" t="s">
        <v>19838</v>
      </c>
      <c r="C3352" s="109">
        <v>44280</v>
      </c>
      <c r="D3352" s="108" t="s">
        <v>19839</v>
      </c>
      <c r="E3352" s="108" t="s">
        <v>14605</v>
      </c>
      <c r="F3352" s="108" t="s">
        <v>19822</v>
      </c>
      <c r="G3352" s="109">
        <v>44616</v>
      </c>
      <c r="H3352" s="108" t="s">
        <v>19779</v>
      </c>
      <c r="I3352" s="108" t="s">
        <v>108</v>
      </c>
    </row>
    <row r="3353" spans="1:9" ht="27.6">
      <c r="A3353" s="108" t="s">
        <v>316</v>
      </c>
      <c r="B3353" s="108" t="s">
        <v>19840</v>
      </c>
      <c r="C3353" s="109">
        <v>45428</v>
      </c>
      <c r="D3353" s="108" t="s">
        <v>19841</v>
      </c>
      <c r="E3353" s="108" t="s">
        <v>14605</v>
      </c>
      <c r="F3353" s="108" t="s">
        <v>15045</v>
      </c>
      <c r="G3353" s="109">
        <v>45721</v>
      </c>
      <c r="H3353" s="108" t="s">
        <v>19779</v>
      </c>
      <c r="I3353" s="108" t="s">
        <v>108</v>
      </c>
    </row>
    <row r="3354" spans="1:9" ht="27.6">
      <c r="A3354" s="108" t="s">
        <v>14950</v>
      </c>
      <c r="B3354" s="108" t="s">
        <v>19842</v>
      </c>
      <c r="C3354" s="109">
        <v>44984</v>
      </c>
      <c r="D3354" s="108"/>
      <c r="E3354" s="108" t="s">
        <v>14605</v>
      </c>
      <c r="F3354" s="108" t="s">
        <v>19843</v>
      </c>
      <c r="G3354" s="110"/>
      <c r="H3354" s="108" t="s">
        <v>19844</v>
      </c>
      <c r="I3354" s="108"/>
    </row>
    <row r="3355" spans="1:9">
      <c r="A3355" s="108" t="s">
        <v>16986</v>
      </c>
      <c r="B3355" s="108" t="s">
        <v>19845</v>
      </c>
      <c r="C3355" s="109">
        <v>44286</v>
      </c>
      <c r="D3355" s="108" t="s">
        <v>19846</v>
      </c>
      <c r="E3355" s="108" t="s">
        <v>14605</v>
      </c>
      <c r="F3355" s="108" t="s">
        <v>19843</v>
      </c>
      <c r="G3355" s="109">
        <v>44650</v>
      </c>
      <c r="H3355" s="108" t="s">
        <v>19844</v>
      </c>
      <c r="I3355" s="108" t="s">
        <v>108</v>
      </c>
    </row>
    <row r="3356" spans="1:9" ht="27.6">
      <c r="A3356" s="108" t="s">
        <v>19366</v>
      </c>
      <c r="B3356" s="108" t="s">
        <v>19847</v>
      </c>
      <c r="C3356" s="109">
        <v>44984</v>
      </c>
      <c r="D3356" s="108" t="s">
        <v>19848</v>
      </c>
      <c r="E3356" s="108" t="s">
        <v>14605</v>
      </c>
      <c r="F3356" s="108" t="s">
        <v>19843</v>
      </c>
      <c r="G3356" s="109">
        <v>45127</v>
      </c>
      <c r="H3356" s="108" t="s">
        <v>19844</v>
      </c>
      <c r="I3356" s="108" t="s">
        <v>108</v>
      </c>
    </row>
    <row r="3357" spans="1:9" ht="27.6">
      <c r="A3357" s="108" t="s">
        <v>96</v>
      </c>
      <c r="B3357" s="108" t="s">
        <v>19849</v>
      </c>
      <c r="C3357" s="109">
        <v>44984</v>
      </c>
      <c r="D3357" s="108" t="s">
        <v>19850</v>
      </c>
      <c r="E3357" s="108" t="s">
        <v>14605</v>
      </c>
      <c r="F3357" s="108" t="s">
        <v>19843</v>
      </c>
      <c r="G3357" s="109">
        <v>45122</v>
      </c>
      <c r="H3357" s="108" t="s">
        <v>19844</v>
      </c>
      <c r="I3357" s="108" t="s">
        <v>108</v>
      </c>
    </row>
    <row r="3358" spans="1:9">
      <c r="A3358" s="108" t="s">
        <v>169</v>
      </c>
      <c r="B3358" s="108" t="s">
        <v>19851</v>
      </c>
      <c r="C3358" s="109">
        <v>43703</v>
      </c>
      <c r="D3358" s="108"/>
      <c r="E3358" s="108" t="s">
        <v>14605</v>
      </c>
      <c r="F3358" s="108" t="s">
        <v>14783</v>
      </c>
      <c r="G3358" s="110"/>
      <c r="H3358" s="108" t="s">
        <v>19852</v>
      </c>
      <c r="I3358" s="108"/>
    </row>
    <row r="3359" spans="1:9">
      <c r="A3359" s="108" t="s">
        <v>477</v>
      </c>
      <c r="B3359" s="108" t="s">
        <v>19853</v>
      </c>
      <c r="C3359" s="109">
        <v>44228</v>
      </c>
      <c r="D3359" s="108"/>
      <c r="E3359" s="108" t="s">
        <v>14605</v>
      </c>
      <c r="F3359" s="108" t="s">
        <v>15069</v>
      </c>
      <c r="G3359" s="110"/>
      <c r="H3359" s="108" t="s">
        <v>19854</v>
      </c>
      <c r="I3359" s="108"/>
    </row>
    <row r="3360" spans="1:9">
      <c r="A3360" s="108" t="s">
        <v>169</v>
      </c>
      <c r="B3360" s="108" t="s">
        <v>19855</v>
      </c>
      <c r="C3360" s="109">
        <v>43845</v>
      </c>
      <c r="D3360" s="108"/>
      <c r="E3360" s="108" t="s">
        <v>14605</v>
      </c>
      <c r="F3360" s="108" t="s">
        <v>19856</v>
      </c>
      <c r="G3360" s="110"/>
      <c r="H3360" s="108" t="s">
        <v>19857</v>
      </c>
      <c r="I3360" s="108"/>
    </row>
    <row r="3361" spans="1:9" ht="27.6">
      <c r="A3361" s="108" t="s">
        <v>14929</v>
      </c>
      <c r="B3361" s="108" t="s">
        <v>19858</v>
      </c>
      <c r="C3361" s="109">
        <v>42478</v>
      </c>
      <c r="D3361" s="108"/>
      <c r="E3361" s="108" t="s">
        <v>14605</v>
      </c>
      <c r="F3361" s="108" t="s">
        <v>19859</v>
      </c>
      <c r="G3361" s="110"/>
      <c r="H3361" s="108" t="s">
        <v>19857</v>
      </c>
      <c r="I3361" s="108"/>
    </row>
    <row r="3362" spans="1:9">
      <c r="A3362" s="108" t="s">
        <v>227</v>
      </c>
      <c r="B3362" s="108" t="s">
        <v>19860</v>
      </c>
      <c r="C3362" s="109">
        <v>42902</v>
      </c>
      <c r="D3362" s="108"/>
      <c r="E3362" s="108" t="s">
        <v>14605</v>
      </c>
      <c r="F3362" s="108" t="s">
        <v>19861</v>
      </c>
      <c r="G3362" s="110"/>
      <c r="H3362" s="108" t="s">
        <v>19857</v>
      </c>
      <c r="I3362" s="108"/>
    </row>
    <row r="3363" spans="1:9">
      <c r="A3363" s="108" t="s">
        <v>169</v>
      </c>
      <c r="B3363" s="108" t="s">
        <v>19862</v>
      </c>
      <c r="C3363" s="109">
        <v>44133</v>
      </c>
      <c r="D3363" s="108"/>
      <c r="E3363" s="108" t="s">
        <v>14605</v>
      </c>
      <c r="F3363" s="108" t="s">
        <v>19863</v>
      </c>
      <c r="G3363" s="110"/>
      <c r="H3363" s="108" t="s">
        <v>19857</v>
      </c>
      <c r="I3363" s="108"/>
    </row>
    <row r="3364" spans="1:9">
      <c r="A3364" s="108" t="s">
        <v>237</v>
      </c>
      <c r="B3364" s="108" t="s">
        <v>19864</v>
      </c>
      <c r="C3364" s="109">
        <v>43118</v>
      </c>
      <c r="D3364" s="108" t="s">
        <v>19865</v>
      </c>
      <c r="E3364" s="108" t="s">
        <v>14605</v>
      </c>
      <c r="F3364" s="108" t="s">
        <v>19866</v>
      </c>
      <c r="G3364" s="109">
        <v>45710</v>
      </c>
      <c r="H3364" s="108" t="s">
        <v>19857</v>
      </c>
      <c r="I3364" s="108" t="s">
        <v>280</v>
      </c>
    </row>
    <row r="3365" spans="1:9">
      <c r="A3365" s="108" t="s">
        <v>118</v>
      </c>
      <c r="B3365" s="108" t="s">
        <v>19867</v>
      </c>
      <c r="C3365" s="109">
        <v>43168</v>
      </c>
      <c r="D3365" s="108" t="s">
        <v>19868</v>
      </c>
      <c r="E3365" s="108" t="s">
        <v>14605</v>
      </c>
      <c r="F3365" s="108" t="s">
        <v>19869</v>
      </c>
      <c r="G3365" s="109">
        <v>46184</v>
      </c>
      <c r="H3365" s="108" t="s">
        <v>19857</v>
      </c>
      <c r="I3365" s="108" t="s">
        <v>117</v>
      </c>
    </row>
    <row r="3366" spans="1:9" ht="27.6">
      <c r="A3366" s="108" t="s">
        <v>109</v>
      </c>
      <c r="B3366" s="108" t="s">
        <v>19870</v>
      </c>
      <c r="C3366" s="109">
        <v>45230</v>
      </c>
      <c r="D3366" s="108" t="s">
        <v>19871</v>
      </c>
      <c r="E3366" s="108" t="s">
        <v>14605</v>
      </c>
      <c r="F3366" s="108" t="s">
        <v>19872</v>
      </c>
      <c r="G3366" s="109">
        <v>45929</v>
      </c>
      <c r="H3366" s="108" t="s">
        <v>19857</v>
      </c>
      <c r="I3366" s="108" t="s">
        <v>133</v>
      </c>
    </row>
    <row r="3367" spans="1:9">
      <c r="A3367" s="108" t="s">
        <v>237</v>
      </c>
      <c r="B3367" s="108" t="s">
        <v>19873</v>
      </c>
      <c r="C3367" s="109">
        <v>40087</v>
      </c>
      <c r="D3367" s="108"/>
      <c r="E3367" s="108" t="s">
        <v>14605</v>
      </c>
      <c r="F3367" s="108" t="s">
        <v>19874</v>
      </c>
      <c r="G3367" s="110"/>
      <c r="H3367" s="108" t="s">
        <v>1127</v>
      </c>
      <c r="I3367" s="108"/>
    </row>
    <row r="3368" spans="1:9">
      <c r="A3368" s="108" t="s">
        <v>2002</v>
      </c>
      <c r="B3368" s="108" t="s">
        <v>19875</v>
      </c>
      <c r="C3368" s="109">
        <v>40942</v>
      </c>
      <c r="D3368" s="108"/>
      <c r="E3368" s="108" t="s">
        <v>14605</v>
      </c>
      <c r="F3368" s="108" t="s">
        <v>19876</v>
      </c>
      <c r="G3368" s="110"/>
      <c r="H3368" s="108" t="s">
        <v>1127</v>
      </c>
      <c r="I3368" s="108"/>
    </row>
    <row r="3369" spans="1:9">
      <c r="A3369" s="108" t="s">
        <v>1465</v>
      </c>
      <c r="B3369" s="108" t="s">
        <v>19877</v>
      </c>
      <c r="C3369" s="109">
        <v>41009</v>
      </c>
      <c r="D3369" s="108"/>
      <c r="E3369" s="108" t="s">
        <v>14605</v>
      </c>
      <c r="F3369" s="108" t="s">
        <v>19878</v>
      </c>
      <c r="G3369" s="110"/>
      <c r="H3369" s="108" t="s">
        <v>1127</v>
      </c>
      <c r="I3369" s="108"/>
    </row>
    <row r="3370" spans="1:9" ht="27.6">
      <c r="A3370" s="108" t="s">
        <v>1465</v>
      </c>
      <c r="B3370" s="108" t="s">
        <v>19879</v>
      </c>
      <c r="C3370" s="109">
        <v>41068</v>
      </c>
      <c r="D3370" s="108"/>
      <c r="E3370" s="108" t="s">
        <v>14605</v>
      </c>
      <c r="F3370" s="108" t="s">
        <v>19880</v>
      </c>
      <c r="G3370" s="110"/>
      <c r="H3370" s="108" t="s">
        <v>1127</v>
      </c>
      <c r="I3370" s="108"/>
    </row>
    <row r="3371" spans="1:9">
      <c r="A3371" s="108" t="s">
        <v>1465</v>
      </c>
      <c r="B3371" s="108" t="s">
        <v>19881</v>
      </c>
      <c r="C3371" s="109">
        <v>41278</v>
      </c>
      <c r="D3371" s="108"/>
      <c r="E3371" s="108" t="s">
        <v>14605</v>
      </c>
      <c r="F3371" s="108" t="s">
        <v>19882</v>
      </c>
      <c r="G3371" s="110"/>
      <c r="H3371" s="108" t="s">
        <v>1127</v>
      </c>
      <c r="I3371" s="108"/>
    </row>
    <row r="3372" spans="1:9">
      <c r="A3372" s="108" t="s">
        <v>2002</v>
      </c>
      <c r="B3372" s="108" t="s">
        <v>19883</v>
      </c>
      <c r="C3372" s="109">
        <v>41704</v>
      </c>
      <c r="D3372" s="108"/>
      <c r="E3372" s="108" t="s">
        <v>14605</v>
      </c>
      <c r="F3372" s="108" t="s">
        <v>19884</v>
      </c>
      <c r="G3372" s="110"/>
      <c r="H3372" s="108" t="s">
        <v>1127</v>
      </c>
      <c r="I3372" s="108"/>
    </row>
    <row r="3373" spans="1:9" ht="27.6">
      <c r="A3373" s="108" t="s">
        <v>1465</v>
      </c>
      <c r="B3373" s="108" t="s">
        <v>19885</v>
      </c>
      <c r="C3373" s="109">
        <v>41617</v>
      </c>
      <c r="D3373" s="108"/>
      <c r="E3373" s="108" t="s">
        <v>14605</v>
      </c>
      <c r="F3373" s="108" t="s">
        <v>19886</v>
      </c>
      <c r="G3373" s="110"/>
      <c r="H3373" s="108" t="s">
        <v>1127</v>
      </c>
      <c r="I3373" s="108"/>
    </row>
    <row r="3374" spans="1:9">
      <c r="A3374" s="108" t="s">
        <v>2623</v>
      </c>
      <c r="B3374" s="108" t="s">
        <v>19887</v>
      </c>
      <c r="C3374" s="109">
        <v>41484</v>
      </c>
      <c r="D3374" s="108"/>
      <c r="E3374" s="108" t="s">
        <v>14605</v>
      </c>
      <c r="F3374" s="108" t="s">
        <v>19888</v>
      </c>
      <c r="G3374" s="110"/>
      <c r="H3374" s="108" t="s">
        <v>1127</v>
      </c>
      <c r="I3374" s="108"/>
    </row>
    <row r="3375" spans="1:9">
      <c r="A3375" s="108" t="s">
        <v>2623</v>
      </c>
      <c r="B3375" s="108" t="s">
        <v>19889</v>
      </c>
      <c r="C3375" s="109">
        <v>41542</v>
      </c>
      <c r="D3375" s="108"/>
      <c r="E3375" s="108" t="s">
        <v>14605</v>
      </c>
      <c r="F3375" s="108" t="s">
        <v>19890</v>
      </c>
      <c r="G3375" s="110"/>
      <c r="H3375" s="108" t="s">
        <v>1127</v>
      </c>
      <c r="I3375" s="108"/>
    </row>
    <row r="3376" spans="1:9">
      <c r="A3376" s="108" t="s">
        <v>87</v>
      </c>
      <c r="B3376" s="108" t="s">
        <v>19891</v>
      </c>
      <c r="C3376" s="109">
        <v>40547</v>
      </c>
      <c r="D3376" s="108"/>
      <c r="E3376" s="108" t="s">
        <v>14605</v>
      </c>
      <c r="F3376" s="108" t="s">
        <v>14916</v>
      </c>
      <c r="G3376" s="110"/>
      <c r="H3376" s="108" t="s">
        <v>1127</v>
      </c>
      <c r="I3376" s="108"/>
    </row>
    <row r="3377" spans="1:9" ht="27.6">
      <c r="A3377" s="108" t="s">
        <v>87</v>
      </c>
      <c r="B3377" s="108" t="s">
        <v>19892</v>
      </c>
      <c r="C3377" s="109">
        <v>41372</v>
      </c>
      <c r="D3377" s="108"/>
      <c r="E3377" s="108" t="s">
        <v>14605</v>
      </c>
      <c r="F3377" s="108" t="s">
        <v>19893</v>
      </c>
      <c r="G3377" s="110"/>
      <c r="H3377" s="108" t="s">
        <v>1127</v>
      </c>
      <c r="I3377" s="108"/>
    </row>
    <row r="3378" spans="1:9">
      <c r="A3378" s="108" t="s">
        <v>87</v>
      </c>
      <c r="B3378" s="108" t="s">
        <v>19894</v>
      </c>
      <c r="C3378" s="109">
        <v>41575</v>
      </c>
      <c r="D3378" s="108"/>
      <c r="E3378" s="108" t="s">
        <v>14605</v>
      </c>
      <c r="F3378" s="108" t="s">
        <v>19895</v>
      </c>
      <c r="G3378" s="110"/>
      <c r="H3378" s="108" t="s">
        <v>1127</v>
      </c>
      <c r="I3378" s="108"/>
    </row>
    <row r="3379" spans="1:9">
      <c r="A3379" s="108" t="s">
        <v>87</v>
      </c>
      <c r="B3379" s="108" t="s">
        <v>19896</v>
      </c>
      <c r="C3379" s="109">
        <v>41695</v>
      </c>
      <c r="D3379" s="108"/>
      <c r="E3379" s="108" t="s">
        <v>14605</v>
      </c>
      <c r="F3379" s="108" t="s">
        <v>19897</v>
      </c>
      <c r="G3379" s="110"/>
      <c r="H3379" s="108" t="s">
        <v>1127</v>
      </c>
      <c r="I3379" s="108"/>
    </row>
    <row r="3380" spans="1:9" ht="27.6">
      <c r="A3380" s="108" t="s">
        <v>14690</v>
      </c>
      <c r="B3380" s="108" t="s">
        <v>19898</v>
      </c>
      <c r="C3380" s="109">
        <v>41347</v>
      </c>
      <c r="D3380" s="108"/>
      <c r="E3380" s="108" t="s">
        <v>14605</v>
      </c>
      <c r="F3380" s="108" t="s">
        <v>14712</v>
      </c>
      <c r="G3380" s="110"/>
      <c r="H3380" s="108" t="s">
        <v>1127</v>
      </c>
      <c r="I3380" s="108"/>
    </row>
    <row r="3381" spans="1:9" ht="27.6">
      <c r="A3381" s="108" t="s">
        <v>14690</v>
      </c>
      <c r="B3381" s="108" t="s">
        <v>19899</v>
      </c>
      <c r="C3381" s="109">
        <v>41353</v>
      </c>
      <c r="D3381" s="108"/>
      <c r="E3381" s="108" t="s">
        <v>14605</v>
      </c>
      <c r="F3381" s="108" t="s">
        <v>19900</v>
      </c>
      <c r="G3381" s="110"/>
      <c r="H3381" s="108" t="s">
        <v>1127</v>
      </c>
      <c r="I3381" s="108"/>
    </row>
    <row r="3382" spans="1:9" ht="27.6">
      <c r="A3382" s="108" t="s">
        <v>14690</v>
      </c>
      <c r="B3382" s="108" t="s">
        <v>19901</v>
      </c>
      <c r="C3382" s="109">
        <v>41522</v>
      </c>
      <c r="D3382" s="108"/>
      <c r="E3382" s="108" t="s">
        <v>14605</v>
      </c>
      <c r="F3382" s="108" t="s">
        <v>14712</v>
      </c>
      <c r="G3382" s="110"/>
      <c r="H3382" s="108" t="s">
        <v>1127</v>
      </c>
      <c r="I3382" s="108"/>
    </row>
    <row r="3383" spans="1:9" ht="27.6">
      <c r="A3383" s="108" t="s">
        <v>14690</v>
      </c>
      <c r="B3383" s="108" t="s">
        <v>19902</v>
      </c>
      <c r="C3383" s="109">
        <v>41479</v>
      </c>
      <c r="D3383" s="108"/>
      <c r="E3383" s="108" t="s">
        <v>14605</v>
      </c>
      <c r="F3383" s="108" t="s">
        <v>15731</v>
      </c>
      <c r="G3383" s="110"/>
      <c r="H3383" s="108" t="s">
        <v>1127</v>
      </c>
      <c r="I3383" s="108"/>
    </row>
    <row r="3384" spans="1:9" ht="27.6">
      <c r="A3384" s="108" t="s">
        <v>14690</v>
      </c>
      <c r="B3384" s="108" t="s">
        <v>19903</v>
      </c>
      <c r="C3384" s="109">
        <v>41473</v>
      </c>
      <c r="D3384" s="108"/>
      <c r="E3384" s="108" t="s">
        <v>14605</v>
      </c>
      <c r="F3384" s="108" t="s">
        <v>15086</v>
      </c>
      <c r="G3384" s="110"/>
      <c r="H3384" s="108" t="s">
        <v>1127</v>
      </c>
      <c r="I3384" s="108"/>
    </row>
    <row r="3385" spans="1:9" ht="27.6">
      <c r="A3385" s="108" t="s">
        <v>14690</v>
      </c>
      <c r="B3385" s="108" t="s">
        <v>19904</v>
      </c>
      <c r="C3385" s="109">
        <v>41542</v>
      </c>
      <c r="D3385" s="108"/>
      <c r="E3385" s="108" t="s">
        <v>14605</v>
      </c>
      <c r="F3385" s="108" t="s">
        <v>15331</v>
      </c>
      <c r="G3385" s="110"/>
      <c r="H3385" s="108" t="s">
        <v>1127</v>
      </c>
      <c r="I3385" s="108"/>
    </row>
    <row r="3386" spans="1:9" ht="27.6">
      <c r="A3386" s="108" t="s">
        <v>14690</v>
      </c>
      <c r="B3386" s="108" t="s">
        <v>19905</v>
      </c>
      <c r="C3386" s="109">
        <v>41694</v>
      </c>
      <c r="D3386" s="108"/>
      <c r="E3386" s="108" t="s">
        <v>14605</v>
      </c>
      <c r="F3386" s="108" t="s">
        <v>19897</v>
      </c>
      <c r="G3386" s="110"/>
      <c r="H3386" s="108" t="s">
        <v>1127</v>
      </c>
      <c r="I3386" s="108"/>
    </row>
    <row r="3387" spans="1:9" ht="27.6">
      <c r="A3387" s="108" t="s">
        <v>14690</v>
      </c>
      <c r="B3387" s="108" t="s">
        <v>19906</v>
      </c>
      <c r="C3387" s="109">
        <v>41613</v>
      </c>
      <c r="D3387" s="108"/>
      <c r="E3387" s="108" t="s">
        <v>14605</v>
      </c>
      <c r="F3387" s="108" t="s">
        <v>15029</v>
      </c>
      <c r="G3387" s="110"/>
      <c r="H3387" s="108" t="s">
        <v>1127</v>
      </c>
      <c r="I3387" s="108"/>
    </row>
    <row r="3388" spans="1:9" ht="27.6">
      <c r="A3388" s="108" t="s">
        <v>14690</v>
      </c>
      <c r="B3388" s="108" t="s">
        <v>19907</v>
      </c>
      <c r="C3388" s="109">
        <v>41631</v>
      </c>
      <c r="D3388" s="108"/>
      <c r="E3388" s="108" t="s">
        <v>14605</v>
      </c>
      <c r="F3388" s="108" t="s">
        <v>15029</v>
      </c>
      <c r="G3388" s="110"/>
      <c r="H3388" s="108" t="s">
        <v>1127</v>
      </c>
      <c r="I3388" s="108"/>
    </row>
    <row r="3389" spans="1:9" ht="27.6">
      <c r="A3389" s="108" t="s">
        <v>14690</v>
      </c>
      <c r="B3389" s="108" t="s">
        <v>19908</v>
      </c>
      <c r="C3389" s="109">
        <v>41689</v>
      </c>
      <c r="D3389" s="108"/>
      <c r="E3389" s="108" t="s">
        <v>14605</v>
      </c>
      <c r="F3389" s="108" t="s">
        <v>19909</v>
      </c>
      <c r="G3389" s="110"/>
      <c r="H3389" s="108" t="s">
        <v>1127</v>
      </c>
      <c r="I3389" s="108"/>
    </row>
    <row r="3390" spans="1:9" ht="27.6">
      <c r="A3390" s="108" t="s">
        <v>87</v>
      </c>
      <c r="B3390" s="108" t="s">
        <v>19910</v>
      </c>
      <c r="C3390" s="109">
        <v>41798</v>
      </c>
      <c r="D3390" s="108"/>
      <c r="E3390" s="108" t="s">
        <v>14605</v>
      </c>
      <c r="F3390" s="108" t="s">
        <v>19911</v>
      </c>
      <c r="G3390" s="110"/>
      <c r="H3390" s="108" t="s">
        <v>1127</v>
      </c>
      <c r="I3390" s="108"/>
    </row>
    <row r="3391" spans="1:9" ht="27.6">
      <c r="A3391" s="108" t="s">
        <v>14690</v>
      </c>
      <c r="B3391" s="108" t="s">
        <v>19912</v>
      </c>
      <c r="C3391" s="109">
        <v>41837</v>
      </c>
      <c r="D3391" s="108"/>
      <c r="E3391" s="108" t="s">
        <v>14605</v>
      </c>
      <c r="F3391" s="108" t="s">
        <v>19913</v>
      </c>
      <c r="G3391" s="110"/>
      <c r="H3391" s="108" t="s">
        <v>1127</v>
      </c>
      <c r="I3391" s="108"/>
    </row>
    <row r="3392" spans="1:9">
      <c r="A3392" s="108" t="s">
        <v>87</v>
      </c>
      <c r="B3392" s="108" t="s">
        <v>19914</v>
      </c>
      <c r="C3392" s="109">
        <v>41921</v>
      </c>
      <c r="D3392" s="108"/>
      <c r="E3392" s="108" t="s">
        <v>14605</v>
      </c>
      <c r="F3392" s="108" t="s">
        <v>15731</v>
      </c>
      <c r="G3392" s="110"/>
      <c r="H3392" s="108" t="s">
        <v>1127</v>
      </c>
      <c r="I3392" s="108"/>
    </row>
    <row r="3393" spans="1:9" ht="27.6">
      <c r="A3393" s="108" t="s">
        <v>87</v>
      </c>
      <c r="B3393" s="108" t="s">
        <v>19915</v>
      </c>
      <c r="C3393" s="109">
        <v>41822</v>
      </c>
      <c r="D3393" s="108"/>
      <c r="E3393" s="108" t="s">
        <v>14605</v>
      </c>
      <c r="F3393" s="108" t="s">
        <v>19916</v>
      </c>
      <c r="G3393" s="110"/>
      <c r="H3393" s="108" t="s">
        <v>1127</v>
      </c>
      <c r="I3393" s="108"/>
    </row>
    <row r="3394" spans="1:9">
      <c r="A3394" s="108" t="s">
        <v>316</v>
      </c>
      <c r="B3394" s="108" t="s">
        <v>19917</v>
      </c>
      <c r="C3394" s="109">
        <v>41932</v>
      </c>
      <c r="D3394" s="108"/>
      <c r="E3394" s="108" t="s">
        <v>14605</v>
      </c>
      <c r="F3394" s="108" t="s">
        <v>14712</v>
      </c>
      <c r="G3394" s="110"/>
      <c r="H3394" s="108" t="s">
        <v>1127</v>
      </c>
      <c r="I3394" s="108"/>
    </row>
    <row r="3395" spans="1:9" ht="27.6">
      <c r="A3395" s="108" t="s">
        <v>185</v>
      </c>
      <c r="B3395" s="108" t="s">
        <v>19918</v>
      </c>
      <c r="C3395" s="109">
        <v>41323</v>
      </c>
      <c r="D3395" s="108"/>
      <c r="E3395" s="108" t="s">
        <v>14605</v>
      </c>
      <c r="F3395" s="108" t="s">
        <v>19919</v>
      </c>
      <c r="G3395" s="110"/>
      <c r="H3395" s="108" t="s">
        <v>1127</v>
      </c>
      <c r="I3395" s="108"/>
    </row>
    <row r="3396" spans="1:9" ht="27.6">
      <c r="A3396" s="108" t="s">
        <v>185</v>
      </c>
      <c r="B3396" s="108" t="s">
        <v>19920</v>
      </c>
      <c r="C3396" s="109">
        <v>41406</v>
      </c>
      <c r="D3396" s="108"/>
      <c r="E3396" s="108" t="s">
        <v>14605</v>
      </c>
      <c r="F3396" s="108" t="s">
        <v>19921</v>
      </c>
      <c r="G3396" s="110"/>
      <c r="H3396" s="108" t="s">
        <v>1127</v>
      </c>
      <c r="I3396" s="108"/>
    </row>
    <row r="3397" spans="1:9" ht="27.6">
      <c r="A3397" s="108" t="s">
        <v>169</v>
      </c>
      <c r="B3397" s="108" t="s">
        <v>19922</v>
      </c>
      <c r="C3397" s="109">
        <v>41166</v>
      </c>
      <c r="D3397" s="108"/>
      <c r="E3397" s="108" t="s">
        <v>14605</v>
      </c>
      <c r="F3397" s="108" t="s">
        <v>19923</v>
      </c>
      <c r="G3397" s="110"/>
      <c r="H3397" s="108" t="s">
        <v>1127</v>
      </c>
      <c r="I3397" s="108"/>
    </row>
    <row r="3398" spans="1:9">
      <c r="A3398" s="108" t="s">
        <v>169</v>
      </c>
      <c r="B3398" s="108" t="s">
        <v>19924</v>
      </c>
      <c r="C3398" s="109">
        <v>41219</v>
      </c>
      <c r="D3398" s="108"/>
      <c r="E3398" s="108" t="s">
        <v>14605</v>
      </c>
      <c r="F3398" s="108" t="s">
        <v>19925</v>
      </c>
      <c r="G3398" s="110"/>
      <c r="H3398" s="108" t="s">
        <v>1127</v>
      </c>
      <c r="I3398" s="108"/>
    </row>
    <row r="3399" spans="1:9">
      <c r="A3399" s="108" t="s">
        <v>169</v>
      </c>
      <c r="B3399" s="108" t="s">
        <v>19926</v>
      </c>
      <c r="C3399" s="109">
        <v>41520</v>
      </c>
      <c r="D3399" s="108"/>
      <c r="E3399" s="108" t="s">
        <v>14605</v>
      </c>
      <c r="F3399" s="108" t="s">
        <v>19927</v>
      </c>
      <c r="G3399" s="110"/>
      <c r="H3399" s="108" t="s">
        <v>1127</v>
      </c>
      <c r="I3399" s="108"/>
    </row>
    <row r="3400" spans="1:9" ht="27.6">
      <c r="A3400" s="108" t="s">
        <v>169</v>
      </c>
      <c r="B3400" s="108" t="s">
        <v>19928</v>
      </c>
      <c r="C3400" s="109">
        <v>42165</v>
      </c>
      <c r="D3400" s="108"/>
      <c r="E3400" s="108" t="s">
        <v>14605</v>
      </c>
      <c r="F3400" s="108" t="s">
        <v>19929</v>
      </c>
      <c r="G3400" s="110"/>
      <c r="H3400" s="108" t="s">
        <v>1127</v>
      </c>
      <c r="I3400" s="108"/>
    </row>
    <row r="3401" spans="1:9">
      <c r="A3401" s="108" t="s">
        <v>169</v>
      </c>
      <c r="B3401" s="108" t="s">
        <v>19930</v>
      </c>
      <c r="C3401" s="109">
        <v>41922</v>
      </c>
      <c r="D3401" s="108"/>
      <c r="E3401" s="108" t="s">
        <v>14605</v>
      </c>
      <c r="F3401" s="108" t="s">
        <v>15086</v>
      </c>
      <c r="G3401" s="110"/>
      <c r="H3401" s="108" t="s">
        <v>1127</v>
      </c>
      <c r="I3401" s="108"/>
    </row>
    <row r="3402" spans="1:9">
      <c r="A3402" s="108" t="s">
        <v>169</v>
      </c>
      <c r="B3402" s="108" t="s">
        <v>19931</v>
      </c>
      <c r="C3402" s="109">
        <v>41929</v>
      </c>
      <c r="D3402" s="108"/>
      <c r="E3402" s="108" t="s">
        <v>14605</v>
      </c>
      <c r="F3402" s="108" t="s">
        <v>14712</v>
      </c>
      <c r="G3402" s="110"/>
      <c r="H3402" s="108" t="s">
        <v>1127</v>
      </c>
      <c r="I3402" s="108"/>
    </row>
    <row r="3403" spans="1:9">
      <c r="A3403" s="108" t="s">
        <v>169</v>
      </c>
      <c r="B3403" s="108" t="s">
        <v>19932</v>
      </c>
      <c r="C3403" s="109">
        <v>41947</v>
      </c>
      <c r="D3403" s="108"/>
      <c r="E3403" s="108" t="s">
        <v>14605</v>
      </c>
      <c r="F3403" s="108" t="s">
        <v>15086</v>
      </c>
      <c r="G3403" s="110"/>
      <c r="H3403" s="108" t="s">
        <v>1127</v>
      </c>
      <c r="I3403" s="108"/>
    </row>
    <row r="3404" spans="1:9">
      <c r="A3404" s="108" t="s">
        <v>169</v>
      </c>
      <c r="B3404" s="108" t="s">
        <v>19933</v>
      </c>
      <c r="C3404" s="109">
        <v>41808</v>
      </c>
      <c r="D3404" s="108"/>
      <c r="E3404" s="108" t="s">
        <v>14605</v>
      </c>
      <c r="F3404" s="108" t="s">
        <v>19934</v>
      </c>
      <c r="G3404" s="110"/>
      <c r="H3404" s="108" t="s">
        <v>1127</v>
      </c>
      <c r="I3404" s="108"/>
    </row>
    <row r="3405" spans="1:9">
      <c r="A3405" s="108" t="s">
        <v>169</v>
      </c>
      <c r="B3405" s="108" t="s">
        <v>19935</v>
      </c>
      <c r="C3405" s="109">
        <v>41858</v>
      </c>
      <c r="D3405" s="108"/>
      <c r="E3405" s="108" t="s">
        <v>14605</v>
      </c>
      <c r="F3405" s="108" t="s">
        <v>19936</v>
      </c>
      <c r="G3405" s="110"/>
      <c r="H3405" s="108" t="s">
        <v>1127</v>
      </c>
      <c r="I3405" s="108"/>
    </row>
    <row r="3406" spans="1:9">
      <c r="A3406" s="108" t="s">
        <v>169</v>
      </c>
      <c r="B3406" s="108" t="s">
        <v>19937</v>
      </c>
      <c r="C3406" s="109">
        <v>41858</v>
      </c>
      <c r="D3406" s="108"/>
      <c r="E3406" s="108" t="s">
        <v>14605</v>
      </c>
      <c r="F3406" s="108" t="s">
        <v>19936</v>
      </c>
      <c r="G3406" s="110"/>
      <c r="H3406" s="108" t="s">
        <v>1127</v>
      </c>
      <c r="I3406" s="108"/>
    </row>
    <row r="3407" spans="1:9">
      <c r="A3407" s="108" t="s">
        <v>169</v>
      </c>
      <c r="B3407" s="108" t="s">
        <v>19938</v>
      </c>
      <c r="C3407" s="109">
        <v>42079</v>
      </c>
      <c r="D3407" s="108"/>
      <c r="E3407" s="108" t="s">
        <v>14605</v>
      </c>
      <c r="F3407" s="108" t="s">
        <v>19874</v>
      </c>
      <c r="G3407" s="110"/>
      <c r="H3407" s="108" t="s">
        <v>1127</v>
      </c>
      <c r="I3407" s="108"/>
    </row>
    <row r="3408" spans="1:9">
      <c r="A3408" s="108" t="s">
        <v>169</v>
      </c>
      <c r="B3408" s="108" t="s">
        <v>19939</v>
      </c>
      <c r="C3408" s="109">
        <v>42248</v>
      </c>
      <c r="D3408" s="108"/>
      <c r="E3408" s="108" t="s">
        <v>14605</v>
      </c>
      <c r="F3408" s="108" t="s">
        <v>19940</v>
      </c>
      <c r="G3408" s="110"/>
      <c r="H3408" s="108" t="s">
        <v>1127</v>
      </c>
      <c r="I3408" s="108"/>
    </row>
    <row r="3409" spans="1:9" ht="27.6">
      <c r="A3409" s="108" t="s">
        <v>169</v>
      </c>
      <c r="B3409" s="108" t="s">
        <v>19941</v>
      </c>
      <c r="C3409" s="109">
        <v>42311</v>
      </c>
      <c r="D3409" s="108"/>
      <c r="E3409" s="108" t="s">
        <v>14605</v>
      </c>
      <c r="F3409" s="108" t="s">
        <v>19942</v>
      </c>
      <c r="G3409" s="110"/>
      <c r="H3409" s="108" t="s">
        <v>1127</v>
      </c>
      <c r="I3409" s="108"/>
    </row>
    <row r="3410" spans="1:9">
      <c r="A3410" s="108" t="s">
        <v>169</v>
      </c>
      <c r="B3410" s="108" t="s">
        <v>19943</v>
      </c>
      <c r="C3410" s="109">
        <v>42373</v>
      </c>
      <c r="D3410" s="108"/>
      <c r="E3410" s="108" t="s">
        <v>14605</v>
      </c>
      <c r="F3410" s="108" t="s">
        <v>19944</v>
      </c>
      <c r="G3410" s="110"/>
      <c r="H3410" s="108" t="s">
        <v>1127</v>
      </c>
      <c r="I3410" s="108"/>
    </row>
    <row r="3411" spans="1:9">
      <c r="A3411" s="108" t="s">
        <v>169</v>
      </c>
      <c r="B3411" s="108" t="s">
        <v>19945</v>
      </c>
      <c r="C3411" s="109">
        <v>42403</v>
      </c>
      <c r="D3411" s="108"/>
      <c r="E3411" s="108" t="s">
        <v>14605</v>
      </c>
      <c r="F3411" s="108" t="s">
        <v>15331</v>
      </c>
      <c r="G3411" s="110"/>
      <c r="H3411" s="108" t="s">
        <v>1127</v>
      </c>
      <c r="I3411" s="108"/>
    </row>
    <row r="3412" spans="1:9">
      <c r="A3412" s="108" t="s">
        <v>169</v>
      </c>
      <c r="B3412" s="108" t="s">
        <v>19946</v>
      </c>
      <c r="C3412" s="109">
        <v>42480</v>
      </c>
      <c r="D3412" s="108"/>
      <c r="E3412" s="108" t="s">
        <v>14605</v>
      </c>
      <c r="F3412" s="108" t="s">
        <v>19947</v>
      </c>
      <c r="G3412" s="110"/>
      <c r="H3412" s="108" t="s">
        <v>1127</v>
      </c>
      <c r="I3412" s="108"/>
    </row>
    <row r="3413" spans="1:9">
      <c r="A3413" s="108" t="s">
        <v>169</v>
      </c>
      <c r="B3413" s="108" t="s">
        <v>19948</v>
      </c>
      <c r="C3413" s="109">
        <v>42559</v>
      </c>
      <c r="D3413" s="108"/>
      <c r="E3413" s="108" t="s">
        <v>14605</v>
      </c>
      <c r="F3413" s="108" t="s">
        <v>19947</v>
      </c>
      <c r="G3413" s="110"/>
      <c r="H3413" s="108" t="s">
        <v>1127</v>
      </c>
      <c r="I3413" s="108"/>
    </row>
    <row r="3414" spans="1:9">
      <c r="A3414" s="108" t="s">
        <v>169</v>
      </c>
      <c r="B3414" s="108" t="s">
        <v>19949</v>
      </c>
      <c r="C3414" s="109">
        <v>42614</v>
      </c>
      <c r="D3414" s="108"/>
      <c r="E3414" s="108" t="s">
        <v>14605</v>
      </c>
      <c r="F3414" s="108" t="s">
        <v>14712</v>
      </c>
      <c r="G3414" s="110"/>
      <c r="H3414" s="108" t="s">
        <v>1127</v>
      </c>
      <c r="I3414" s="108"/>
    </row>
    <row r="3415" spans="1:9">
      <c r="A3415" s="108" t="s">
        <v>169</v>
      </c>
      <c r="B3415" s="108" t="s">
        <v>19950</v>
      </c>
      <c r="C3415" s="109">
        <v>42793</v>
      </c>
      <c r="D3415" s="108"/>
      <c r="E3415" s="108" t="s">
        <v>14605</v>
      </c>
      <c r="F3415" s="108" t="s">
        <v>14746</v>
      </c>
      <c r="G3415" s="110"/>
      <c r="H3415" s="108" t="s">
        <v>1127</v>
      </c>
      <c r="I3415" s="108"/>
    </row>
    <row r="3416" spans="1:9">
      <c r="A3416" s="108" t="s">
        <v>169</v>
      </c>
      <c r="B3416" s="108" t="s">
        <v>19951</v>
      </c>
      <c r="C3416" s="109">
        <v>42810</v>
      </c>
      <c r="D3416" s="108"/>
      <c r="E3416" s="108" t="s">
        <v>14605</v>
      </c>
      <c r="F3416" s="108" t="s">
        <v>19952</v>
      </c>
      <c r="G3416" s="110"/>
      <c r="H3416" s="108" t="s">
        <v>1127</v>
      </c>
      <c r="I3416" s="108"/>
    </row>
    <row r="3417" spans="1:9">
      <c r="A3417" s="108" t="s">
        <v>169</v>
      </c>
      <c r="B3417" s="108" t="s">
        <v>19953</v>
      </c>
      <c r="C3417" s="109">
        <v>43082</v>
      </c>
      <c r="D3417" s="108"/>
      <c r="E3417" s="108" t="s">
        <v>14605</v>
      </c>
      <c r="F3417" s="108" t="s">
        <v>19954</v>
      </c>
      <c r="G3417" s="110"/>
      <c r="H3417" s="108" t="s">
        <v>1127</v>
      </c>
      <c r="I3417" s="108"/>
    </row>
    <row r="3418" spans="1:9">
      <c r="A3418" s="108" t="s">
        <v>169</v>
      </c>
      <c r="B3418" s="108" t="s">
        <v>19955</v>
      </c>
      <c r="C3418" s="109">
        <v>43249</v>
      </c>
      <c r="D3418" s="108"/>
      <c r="E3418" s="108" t="s">
        <v>14605</v>
      </c>
      <c r="F3418" s="108" t="s">
        <v>19956</v>
      </c>
      <c r="G3418" s="110"/>
      <c r="H3418" s="108" t="s">
        <v>1127</v>
      </c>
      <c r="I3418" s="108"/>
    </row>
    <row r="3419" spans="1:9">
      <c r="A3419" s="108" t="s">
        <v>169</v>
      </c>
      <c r="B3419" s="108" t="s">
        <v>19957</v>
      </c>
      <c r="C3419" s="109">
        <v>43782</v>
      </c>
      <c r="D3419" s="108"/>
      <c r="E3419" s="108" t="s">
        <v>14605</v>
      </c>
      <c r="F3419" s="108" t="s">
        <v>19958</v>
      </c>
      <c r="G3419" s="110"/>
      <c r="H3419" s="108" t="s">
        <v>1127</v>
      </c>
      <c r="I3419" s="108"/>
    </row>
    <row r="3420" spans="1:9">
      <c r="A3420" s="108" t="s">
        <v>169</v>
      </c>
      <c r="B3420" s="108" t="s">
        <v>19959</v>
      </c>
      <c r="C3420" s="109">
        <v>43781</v>
      </c>
      <c r="D3420" s="108"/>
      <c r="E3420" s="108" t="s">
        <v>14605</v>
      </c>
      <c r="F3420" s="108" t="s">
        <v>19960</v>
      </c>
      <c r="G3420" s="110"/>
      <c r="H3420" s="108" t="s">
        <v>1127</v>
      </c>
      <c r="I3420" s="108"/>
    </row>
    <row r="3421" spans="1:9">
      <c r="A3421" s="108" t="s">
        <v>169</v>
      </c>
      <c r="B3421" s="108" t="s">
        <v>19961</v>
      </c>
      <c r="C3421" s="109">
        <v>44172</v>
      </c>
      <c r="D3421" s="108"/>
      <c r="E3421" s="108" t="s">
        <v>14605</v>
      </c>
      <c r="F3421" s="108" t="s">
        <v>19962</v>
      </c>
      <c r="G3421" s="110"/>
      <c r="H3421" s="108" t="s">
        <v>1127</v>
      </c>
      <c r="I3421" s="108"/>
    </row>
    <row r="3422" spans="1:9">
      <c r="A3422" s="108" t="s">
        <v>87</v>
      </c>
      <c r="B3422" s="108" t="s">
        <v>19963</v>
      </c>
      <c r="C3422" s="109">
        <v>42101</v>
      </c>
      <c r="D3422" s="108"/>
      <c r="E3422" s="108" t="s">
        <v>14605</v>
      </c>
      <c r="F3422" s="108" t="s">
        <v>19964</v>
      </c>
      <c r="G3422" s="110"/>
      <c r="H3422" s="108" t="s">
        <v>1127</v>
      </c>
      <c r="I3422" s="108"/>
    </row>
    <row r="3423" spans="1:9">
      <c r="A3423" s="108" t="s">
        <v>87</v>
      </c>
      <c r="B3423" s="108" t="s">
        <v>19965</v>
      </c>
      <c r="C3423" s="109">
        <v>42219</v>
      </c>
      <c r="D3423" s="108"/>
      <c r="E3423" s="108" t="s">
        <v>14605</v>
      </c>
      <c r="F3423" s="108" t="s">
        <v>19966</v>
      </c>
      <c r="G3423" s="110"/>
      <c r="H3423" s="108" t="s">
        <v>1127</v>
      </c>
      <c r="I3423" s="108"/>
    </row>
    <row r="3424" spans="1:9">
      <c r="A3424" s="108" t="s">
        <v>87</v>
      </c>
      <c r="B3424" s="108" t="s">
        <v>19967</v>
      </c>
      <c r="C3424" s="109">
        <v>42402</v>
      </c>
      <c r="D3424" s="108"/>
      <c r="E3424" s="108" t="s">
        <v>14605</v>
      </c>
      <c r="F3424" s="108" t="s">
        <v>19968</v>
      </c>
      <c r="G3424" s="110"/>
      <c r="H3424" s="108" t="s">
        <v>1127</v>
      </c>
      <c r="I3424" s="108"/>
    </row>
    <row r="3425" spans="1:9">
      <c r="A3425" s="108" t="s">
        <v>87</v>
      </c>
      <c r="B3425" s="108" t="s">
        <v>19969</v>
      </c>
      <c r="C3425" s="109">
        <v>42919</v>
      </c>
      <c r="D3425" s="108"/>
      <c r="E3425" s="108" t="s">
        <v>14605</v>
      </c>
      <c r="F3425" s="108" t="s">
        <v>14916</v>
      </c>
      <c r="G3425" s="110"/>
      <c r="H3425" s="108" t="s">
        <v>1127</v>
      </c>
      <c r="I3425" s="108"/>
    </row>
    <row r="3426" spans="1:9" ht="27.6">
      <c r="A3426" s="108" t="s">
        <v>14690</v>
      </c>
      <c r="B3426" s="108" t="s">
        <v>19970</v>
      </c>
      <c r="C3426" s="109">
        <v>42899</v>
      </c>
      <c r="D3426" s="108"/>
      <c r="E3426" s="108" t="s">
        <v>14605</v>
      </c>
      <c r="F3426" s="108" t="s">
        <v>15731</v>
      </c>
      <c r="G3426" s="110"/>
      <c r="H3426" s="108" t="s">
        <v>1127</v>
      </c>
      <c r="I3426" s="108"/>
    </row>
    <row r="3427" spans="1:9" ht="41.4">
      <c r="A3427" s="108" t="s">
        <v>14690</v>
      </c>
      <c r="B3427" s="108" t="s">
        <v>19971</v>
      </c>
      <c r="C3427" s="109">
        <v>43069</v>
      </c>
      <c r="D3427" s="108"/>
      <c r="E3427" s="108" t="s">
        <v>14605</v>
      </c>
      <c r="F3427" s="108" t="s">
        <v>19972</v>
      </c>
      <c r="G3427" s="110"/>
      <c r="H3427" s="108" t="s">
        <v>1127</v>
      </c>
      <c r="I3427" s="108"/>
    </row>
    <row r="3428" spans="1:9" ht="27.6">
      <c r="A3428" s="108" t="s">
        <v>14690</v>
      </c>
      <c r="B3428" s="108" t="s">
        <v>19973</v>
      </c>
      <c r="C3428" s="109">
        <v>43445</v>
      </c>
      <c r="D3428" s="108"/>
      <c r="E3428" s="108" t="s">
        <v>14605</v>
      </c>
      <c r="F3428" s="108" t="s">
        <v>19942</v>
      </c>
      <c r="G3428" s="110"/>
      <c r="H3428" s="108" t="s">
        <v>1127</v>
      </c>
      <c r="I3428" s="108"/>
    </row>
    <row r="3429" spans="1:9">
      <c r="A3429" s="108" t="s">
        <v>571</v>
      </c>
      <c r="B3429" s="108" t="s">
        <v>19974</v>
      </c>
      <c r="C3429" s="109">
        <v>42180</v>
      </c>
      <c r="D3429" s="108"/>
      <c r="E3429" s="108" t="s">
        <v>14605</v>
      </c>
      <c r="F3429" s="108" t="s">
        <v>15086</v>
      </c>
      <c r="G3429" s="110"/>
      <c r="H3429" s="108" t="s">
        <v>1127</v>
      </c>
      <c r="I3429" s="108"/>
    </row>
    <row r="3430" spans="1:9">
      <c r="A3430" s="108" t="s">
        <v>571</v>
      </c>
      <c r="B3430" s="108" t="s">
        <v>19975</v>
      </c>
      <c r="C3430" s="109">
        <v>42522</v>
      </c>
      <c r="D3430" s="108"/>
      <c r="E3430" s="108" t="s">
        <v>14605</v>
      </c>
      <c r="F3430" s="108" t="s">
        <v>19976</v>
      </c>
      <c r="G3430" s="110"/>
      <c r="H3430" s="108" t="s">
        <v>1127</v>
      </c>
      <c r="I3430" s="108"/>
    </row>
    <row r="3431" spans="1:9">
      <c r="A3431" s="108" t="s">
        <v>571</v>
      </c>
      <c r="B3431" s="108" t="s">
        <v>19977</v>
      </c>
      <c r="C3431" s="109">
        <v>42914</v>
      </c>
      <c r="D3431" s="108"/>
      <c r="E3431" s="108" t="s">
        <v>14605</v>
      </c>
      <c r="F3431" s="108" t="s">
        <v>19978</v>
      </c>
      <c r="G3431" s="110"/>
      <c r="H3431" s="108" t="s">
        <v>1127</v>
      </c>
      <c r="I3431" s="108"/>
    </row>
    <row r="3432" spans="1:9">
      <c r="A3432" s="108" t="s">
        <v>571</v>
      </c>
      <c r="B3432" s="108" t="s">
        <v>19979</v>
      </c>
      <c r="C3432" s="109">
        <v>43809</v>
      </c>
      <c r="D3432" s="108"/>
      <c r="E3432" s="108" t="s">
        <v>14605</v>
      </c>
      <c r="F3432" s="108" t="s">
        <v>19913</v>
      </c>
      <c r="G3432" s="110"/>
      <c r="H3432" s="108" t="s">
        <v>1127</v>
      </c>
      <c r="I3432" s="108"/>
    </row>
    <row r="3433" spans="1:9">
      <c r="A3433" s="108" t="s">
        <v>2002</v>
      </c>
      <c r="B3433" s="108" t="s">
        <v>19980</v>
      </c>
      <c r="C3433" s="109">
        <v>42275</v>
      </c>
      <c r="D3433" s="108"/>
      <c r="E3433" s="108" t="s">
        <v>14605</v>
      </c>
      <c r="F3433" s="108" t="s">
        <v>19981</v>
      </c>
      <c r="G3433" s="110"/>
      <c r="H3433" s="108" t="s">
        <v>1127</v>
      </c>
      <c r="I3433" s="108"/>
    </row>
    <row r="3434" spans="1:9" ht="27.6">
      <c r="A3434" s="108" t="s">
        <v>2002</v>
      </c>
      <c r="B3434" s="108" t="s">
        <v>19982</v>
      </c>
      <c r="C3434" s="109">
        <v>42865</v>
      </c>
      <c r="D3434" s="108"/>
      <c r="E3434" s="108" t="s">
        <v>14605</v>
      </c>
      <c r="F3434" s="108" t="s">
        <v>19983</v>
      </c>
      <c r="G3434" s="110"/>
      <c r="H3434" s="108" t="s">
        <v>1127</v>
      </c>
      <c r="I3434" s="108"/>
    </row>
    <row r="3435" spans="1:9">
      <c r="A3435" s="108" t="s">
        <v>923</v>
      </c>
      <c r="B3435" s="108" t="s">
        <v>19984</v>
      </c>
      <c r="C3435" s="109">
        <v>42383</v>
      </c>
      <c r="D3435" s="108"/>
      <c r="E3435" s="108" t="s">
        <v>14605</v>
      </c>
      <c r="F3435" s="108" t="s">
        <v>19985</v>
      </c>
      <c r="G3435" s="110"/>
      <c r="H3435" s="108" t="s">
        <v>1127</v>
      </c>
      <c r="I3435" s="108"/>
    </row>
    <row r="3436" spans="1:9">
      <c r="A3436" s="108" t="s">
        <v>14928</v>
      </c>
      <c r="B3436" s="108" t="s">
        <v>19986</v>
      </c>
      <c r="C3436" s="109">
        <v>43006</v>
      </c>
      <c r="D3436" s="108"/>
      <c r="E3436" s="108" t="s">
        <v>14605</v>
      </c>
      <c r="F3436" s="108" t="s">
        <v>19987</v>
      </c>
      <c r="G3436" s="110"/>
      <c r="H3436" s="108" t="s">
        <v>1127</v>
      </c>
      <c r="I3436" s="108"/>
    </row>
    <row r="3437" spans="1:9">
      <c r="A3437" s="108" t="s">
        <v>477</v>
      </c>
      <c r="B3437" s="108" t="s">
        <v>19988</v>
      </c>
      <c r="C3437" s="109">
        <v>43211</v>
      </c>
      <c r="D3437" s="108"/>
      <c r="E3437" s="108" t="s">
        <v>14605</v>
      </c>
      <c r="F3437" s="108" t="s">
        <v>15086</v>
      </c>
      <c r="G3437" s="110"/>
      <c r="H3437" s="108" t="s">
        <v>1127</v>
      </c>
      <c r="I3437" s="108"/>
    </row>
    <row r="3438" spans="1:9">
      <c r="A3438" s="108" t="s">
        <v>8271</v>
      </c>
      <c r="B3438" s="108" t="s">
        <v>19989</v>
      </c>
      <c r="C3438" s="109">
        <v>45051</v>
      </c>
      <c r="D3438" s="108"/>
      <c r="E3438" s="108" t="s">
        <v>14605</v>
      </c>
      <c r="F3438" s="108" t="s">
        <v>19990</v>
      </c>
      <c r="G3438" s="110"/>
      <c r="H3438" s="108" t="s">
        <v>1127</v>
      </c>
      <c r="I3438" s="108"/>
    </row>
    <row r="3439" spans="1:9">
      <c r="A3439" s="108" t="s">
        <v>8271</v>
      </c>
      <c r="B3439" s="108" t="s">
        <v>19991</v>
      </c>
      <c r="C3439" s="109">
        <v>45057</v>
      </c>
      <c r="D3439" s="108"/>
      <c r="E3439" s="108" t="s">
        <v>14605</v>
      </c>
      <c r="F3439" s="108" t="s">
        <v>19992</v>
      </c>
      <c r="G3439" s="110"/>
      <c r="H3439" s="108" t="s">
        <v>1127</v>
      </c>
      <c r="I3439" s="108"/>
    </row>
    <row r="3440" spans="1:9">
      <c r="A3440" s="108" t="s">
        <v>8271</v>
      </c>
      <c r="B3440" s="108" t="s">
        <v>19993</v>
      </c>
      <c r="C3440" s="109">
        <v>44587</v>
      </c>
      <c r="D3440" s="108"/>
      <c r="E3440" s="108" t="s">
        <v>14605</v>
      </c>
      <c r="F3440" s="108" t="s">
        <v>19994</v>
      </c>
      <c r="G3440" s="110"/>
      <c r="H3440" s="108" t="s">
        <v>1127</v>
      </c>
      <c r="I3440" s="108"/>
    </row>
    <row r="3441" spans="1:9">
      <c r="A3441" s="108" t="s">
        <v>8271</v>
      </c>
      <c r="B3441" s="108" t="s">
        <v>19995</v>
      </c>
      <c r="C3441" s="109">
        <v>44589</v>
      </c>
      <c r="D3441" s="108"/>
      <c r="E3441" s="108" t="s">
        <v>14605</v>
      </c>
      <c r="F3441" s="108" t="s">
        <v>19996</v>
      </c>
      <c r="G3441" s="110"/>
      <c r="H3441" s="108" t="s">
        <v>1127</v>
      </c>
      <c r="I3441" s="108"/>
    </row>
    <row r="3442" spans="1:9" ht="27.6">
      <c r="A3442" s="108" t="s">
        <v>14950</v>
      </c>
      <c r="B3442" s="108" t="s">
        <v>19997</v>
      </c>
      <c r="C3442" s="109">
        <v>44650</v>
      </c>
      <c r="D3442" s="108"/>
      <c r="E3442" s="108" t="s">
        <v>14605</v>
      </c>
      <c r="F3442" s="108" t="s">
        <v>14712</v>
      </c>
      <c r="G3442" s="110"/>
      <c r="H3442" s="108" t="s">
        <v>1127</v>
      </c>
      <c r="I3442" s="108"/>
    </row>
    <row r="3443" spans="1:9" ht="27.6">
      <c r="A3443" s="108" t="s">
        <v>14950</v>
      </c>
      <c r="B3443" s="108" t="s">
        <v>19998</v>
      </c>
      <c r="C3443" s="109">
        <v>44950</v>
      </c>
      <c r="D3443" s="108"/>
      <c r="E3443" s="108" t="s">
        <v>14605</v>
      </c>
      <c r="F3443" s="108" t="s">
        <v>19999</v>
      </c>
      <c r="G3443" s="110"/>
      <c r="H3443" s="108" t="s">
        <v>1127</v>
      </c>
      <c r="I3443" s="108"/>
    </row>
    <row r="3444" spans="1:9" ht="27.6">
      <c r="A3444" s="108" t="s">
        <v>87</v>
      </c>
      <c r="B3444" s="108" t="s">
        <v>20000</v>
      </c>
      <c r="C3444" s="109">
        <v>44102</v>
      </c>
      <c r="D3444" s="108"/>
      <c r="E3444" s="108" t="s">
        <v>14605</v>
      </c>
      <c r="F3444" s="108" t="s">
        <v>19983</v>
      </c>
      <c r="G3444" s="110"/>
      <c r="H3444" s="108" t="s">
        <v>1127</v>
      </c>
      <c r="I3444" s="108"/>
    </row>
    <row r="3445" spans="1:9" ht="27.6">
      <c r="A3445" s="108" t="s">
        <v>20001</v>
      </c>
      <c r="B3445" s="108" t="s">
        <v>20002</v>
      </c>
      <c r="C3445" s="109">
        <v>44355</v>
      </c>
      <c r="D3445" s="108"/>
      <c r="E3445" s="108" t="s">
        <v>14605</v>
      </c>
      <c r="F3445" s="108" t="s">
        <v>14689</v>
      </c>
      <c r="G3445" s="110"/>
      <c r="H3445" s="108" t="s">
        <v>1127</v>
      </c>
      <c r="I3445" s="108"/>
    </row>
    <row r="3446" spans="1:9">
      <c r="A3446" s="108" t="s">
        <v>2002</v>
      </c>
      <c r="B3446" s="108" t="s">
        <v>20003</v>
      </c>
      <c r="C3446" s="109">
        <v>44462</v>
      </c>
      <c r="D3446" s="108"/>
      <c r="E3446" s="108" t="s">
        <v>14605</v>
      </c>
      <c r="F3446" s="108" t="s">
        <v>20004</v>
      </c>
      <c r="G3446" s="110"/>
      <c r="H3446" s="108" t="s">
        <v>1127</v>
      </c>
      <c r="I3446" s="108"/>
    </row>
    <row r="3447" spans="1:9" ht="27.6">
      <c r="A3447" s="108" t="s">
        <v>15075</v>
      </c>
      <c r="B3447" s="108" t="s">
        <v>20005</v>
      </c>
      <c r="C3447" s="109">
        <v>44516</v>
      </c>
      <c r="D3447" s="108"/>
      <c r="E3447" s="108" t="s">
        <v>14605</v>
      </c>
      <c r="F3447" s="108" t="s">
        <v>20006</v>
      </c>
      <c r="G3447" s="110"/>
      <c r="H3447" s="108" t="s">
        <v>1127</v>
      </c>
      <c r="I3447" s="108"/>
    </row>
    <row r="3448" spans="1:9" ht="27.6">
      <c r="A3448" s="108" t="s">
        <v>15075</v>
      </c>
      <c r="B3448" s="108" t="s">
        <v>20007</v>
      </c>
      <c r="C3448" s="109">
        <v>44587</v>
      </c>
      <c r="D3448" s="108"/>
      <c r="E3448" s="108" t="s">
        <v>14605</v>
      </c>
      <c r="F3448" s="108" t="s">
        <v>20008</v>
      </c>
      <c r="G3448" s="110"/>
      <c r="H3448" s="108" t="s">
        <v>1127</v>
      </c>
      <c r="I3448" s="108"/>
    </row>
    <row r="3449" spans="1:9" ht="27.6">
      <c r="A3449" s="108" t="s">
        <v>15075</v>
      </c>
      <c r="B3449" s="108" t="s">
        <v>20009</v>
      </c>
      <c r="C3449" s="109">
        <v>44643</v>
      </c>
      <c r="D3449" s="108"/>
      <c r="E3449" s="108" t="s">
        <v>14605</v>
      </c>
      <c r="F3449" s="108" t="s">
        <v>20010</v>
      </c>
      <c r="G3449" s="110"/>
      <c r="H3449" s="108" t="s">
        <v>1127</v>
      </c>
      <c r="I3449" s="108"/>
    </row>
    <row r="3450" spans="1:9" ht="27.6">
      <c r="A3450" s="108" t="s">
        <v>15075</v>
      </c>
      <c r="B3450" s="108" t="s">
        <v>20011</v>
      </c>
      <c r="C3450" s="109">
        <v>44715</v>
      </c>
      <c r="D3450" s="108"/>
      <c r="E3450" s="108" t="s">
        <v>14605</v>
      </c>
      <c r="F3450" s="108" t="s">
        <v>15731</v>
      </c>
      <c r="G3450" s="110"/>
      <c r="H3450" s="108" t="s">
        <v>1127</v>
      </c>
      <c r="I3450" s="108"/>
    </row>
    <row r="3451" spans="1:9" ht="27.6">
      <c r="A3451" s="108" t="s">
        <v>15075</v>
      </c>
      <c r="B3451" s="108" t="s">
        <v>20012</v>
      </c>
      <c r="C3451" s="109">
        <v>44831</v>
      </c>
      <c r="D3451" s="108"/>
      <c r="E3451" s="108" t="s">
        <v>14605</v>
      </c>
      <c r="F3451" s="108" t="s">
        <v>20013</v>
      </c>
      <c r="G3451" s="110"/>
      <c r="H3451" s="108" t="s">
        <v>1127</v>
      </c>
      <c r="I3451" s="108"/>
    </row>
    <row r="3452" spans="1:9" ht="27.6">
      <c r="A3452" s="108" t="s">
        <v>15075</v>
      </c>
      <c r="B3452" s="108" t="s">
        <v>20014</v>
      </c>
      <c r="C3452" s="109">
        <v>44832</v>
      </c>
      <c r="D3452" s="108"/>
      <c r="E3452" s="108" t="s">
        <v>14605</v>
      </c>
      <c r="F3452" s="108" t="s">
        <v>20015</v>
      </c>
      <c r="G3452" s="110"/>
      <c r="H3452" s="108" t="s">
        <v>1127</v>
      </c>
      <c r="I3452" s="108"/>
    </row>
    <row r="3453" spans="1:9" ht="27.6">
      <c r="A3453" s="108" t="s">
        <v>15075</v>
      </c>
      <c r="B3453" s="108" t="s">
        <v>20016</v>
      </c>
      <c r="C3453" s="109">
        <v>44831</v>
      </c>
      <c r="D3453" s="108"/>
      <c r="E3453" s="108" t="s">
        <v>14605</v>
      </c>
      <c r="F3453" s="108" t="s">
        <v>20017</v>
      </c>
      <c r="G3453" s="110"/>
      <c r="H3453" s="108" t="s">
        <v>1127</v>
      </c>
      <c r="I3453" s="108"/>
    </row>
    <row r="3454" spans="1:9" ht="27.6">
      <c r="A3454" s="108" t="s">
        <v>15075</v>
      </c>
      <c r="B3454" s="108" t="s">
        <v>20018</v>
      </c>
      <c r="C3454" s="109">
        <v>44901</v>
      </c>
      <c r="D3454" s="108"/>
      <c r="E3454" s="108" t="s">
        <v>14605</v>
      </c>
      <c r="F3454" s="108" t="s">
        <v>15731</v>
      </c>
      <c r="G3454" s="110"/>
      <c r="H3454" s="108" t="s">
        <v>1127</v>
      </c>
      <c r="I3454" s="108"/>
    </row>
    <row r="3455" spans="1:9" ht="27.6">
      <c r="A3455" s="108" t="s">
        <v>15075</v>
      </c>
      <c r="B3455" s="108" t="s">
        <v>20019</v>
      </c>
      <c r="C3455" s="109">
        <v>45011</v>
      </c>
      <c r="D3455" s="108"/>
      <c r="E3455" s="108" t="s">
        <v>14605</v>
      </c>
      <c r="F3455" s="108" t="s">
        <v>19934</v>
      </c>
      <c r="G3455" s="110"/>
      <c r="H3455" s="108" t="s">
        <v>1127</v>
      </c>
      <c r="I3455" s="108"/>
    </row>
    <row r="3456" spans="1:9" ht="27.6">
      <c r="A3456" s="108" t="s">
        <v>15075</v>
      </c>
      <c r="B3456" s="108" t="s">
        <v>20020</v>
      </c>
      <c r="C3456" s="109">
        <v>45058</v>
      </c>
      <c r="D3456" s="108"/>
      <c r="E3456" s="108" t="s">
        <v>14605</v>
      </c>
      <c r="F3456" s="108" t="s">
        <v>20021</v>
      </c>
      <c r="G3456" s="110"/>
      <c r="H3456" s="108" t="s">
        <v>1127</v>
      </c>
      <c r="I3456" s="108"/>
    </row>
    <row r="3457" spans="1:9" ht="27.6">
      <c r="A3457" s="108" t="s">
        <v>15075</v>
      </c>
      <c r="B3457" s="108" t="s">
        <v>20022</v>
      </c>
      <c r="C3457" s="109">
        <v>45058</v>
      </c>
      <c r="D3457" s="108"/>
      <c r="E3457" s="108" t="s">
        <v>14605</v>
      </c>
      <c r="F3457" s="108" t="s">
        <v>14712</v>
      </c>
      <c r="G3457" s="110"/>
      <c r="H3457" s="108" t="s">
        <v>1127</v>
      </c>
      <c r="I3457" s="108"/>
    </row>
    <row r="3458" spans="1:9" ht="27.6">
      <c r="A3458" s="108" t="s">
        <v>15075</v>
      </c>
      <c r="B3458" s="108" t="s">
        <v>20023</v>
      </c>
      <c r="C3458" s="109">
        <v>45011</v>
      </c>
      <c r="D3458" s="108"/>
      <c r="E3458" s="108" t="s">
        <v>14605</v>
      </c>
      <c r="F3458" s="108" t="s">
        <v>20010</v>
      </c>
      <c r="G3458" s="110"/>
      <c r="H3458" s="108" t="s">
        <v>1127</v>
      </c>
      <c r="I3458" s="108"/>
    </row>
    <row r="3459" spans="1:9" ht="27.6">
      <c r="A3459" s="108" t="s">
        <v>15075</v>
      </c>
      <c r="B3459" s="108" t="s">
        <v>20024</v>
      </c>
      <c r="C3459" s="109">
        <v>45011</v>
      </c>
      <c r="D3459" s="108"/>
      <c r="E3459" s="108" t="s">
        <v>14605</v>
      </c>
      <c r="F3459" s="108" t="s">
        <v>14712</v>
      </c>
      <c r="G3459" s="110"/>
      <c r="H3459" s="108" t="s">
        <v>1127</v>
      </c>
      <c r="I3459" s="108"/>
    </row>
    <row r="3460" spans="1:9" ht="27.6">
      <c r="A3460" s="108" t="s">
        <v>15075</v>
      </c>
      <c r="B3460" s="108" t="s">
        <v>20025</v>
      </c>
      <c r="C3460" s="109">
        <v>45011</v>
      </c>
      <c r="D3460" s="108"/>
      <c r="E3460" s="108" t="s">
        <v>14605</v>
      </c>
      <c r="F3460" s="108" t="s">
        <v>20026</v>
      </c>
      <c r="G3460" s="110"/>
      <c r="H3460" s="108" t="s">
        <v>1127</v>
      </c>
      <c r="I3460" s="108"/>
    </row>
    <row r="3461" spans="1:9" ht="27.6">
      <c r="A3461" s="108" t="s">
        <v>15075</v>
      </c>
      <c r="B3461" s="108" t="s">
        <v>20027</v>
      </c>
      <c r="C3461" s="109">
        <v>45195</v>
      </c>
      <c r="D3461" s="108"/>
      <c r="E3461" s="108" t="s">
        <v>14605</v>
      </c>
      <c r="F3461" s="108" t="s">
        <v>20028</v>
      </c>
      <c r="G3461" s="110"/>
      <c r="H3461" s="108" t="s">
        <v>1127</v>
      </c>
      <c r="I3461" s="108"/>
    </row>
    <row r="3462" spans="1:9" ht="27.6">
      <c r="A3462" s="108" t="s">
        <v>15075</v>
      </c>
      <c r="B3462" s="108" t="s">
        <v>20029</v>
      </c>
      <c r="C3462" s="109">
        <v>45252</v>
      </c>
      <c r="D3462" s="108"/>
      <c r="E3462" s="108" t="s">
        <v>14605</v>
      </c>
      <c r="F3462" s="108" t="s">
        <v>19996</v>
      </c>
      <c r="G3462" s="110"/>
      <c r="H3462" s="108" t="s">
        <v>1127</v>
      </c>
      <c r="I3462" s="108"/>
    </row>
    <row r="3463" spans="1:9" ht="27.6">
      <c r="A3463" s="108" t="s">
        <v>15075</v>
      </c>
      <c r="B3463" s="108" t="s">
        <v>20030</v>
      </c>
      <c r="C3463" s="109">
        <v>45400</v>
      </c>
      <c r="D3463" s="108"/>
      <c r="E3463" s="108" t="s">
        <v>14605</v>
      </c>
      <c r="F3463" s="108" t="s">
        <v>16410</v>
      </c>
      <c r="G3463" s="110"/>
      <c r="H3463" s="108" t="s">
        <v>1127</v>
      </c>
      <c r="I3463" s="108"/>
    </row>
    <row r="3464" spans="1:9" ht="27.6">
      <c r="A3464" s="108" t="s">
        <v>15075</v>
      </c>
      <c r="B3464" s="108" t="s">
        <v>20031</v>
      </c>
      <c r="C3464" s="109">
        <v>45414</v>
      </c>
      <c r="D3464" s="108"/>
      <c r="E3464" s="108" t="s">
        <v>14605</v>
      </c>
      <c r="F3464" s="108" t="s">
        <v>16410</v>
      </c>
      <c r="G3464" s="110"/>
      <c r="H3464" s="108" t="s">
        <v>1127</v>
      </c>
      <c r="I3464" s="108"/>
    </row>
    <row r="3465" spans="1:9" ht="27.6">
      <c r="A3465" s="108" t="s">
        <v>15075</v>
      </c>
      <c r="B3465" s="108" t="s">
        <v>20032</v>
      </c>
      <c r="C3465" s="109">
        <v>45415</v>
      </c>
      <c r="D3465" s="108"/>
      <c r="E3465" s="108" t="s">
        <v>14605</v>
      </c>
      <c r="F3465" s="108" t="s">
        <v>14712</v>
      </c>
      <c r="G3465" s="110"/>
      <c r="H3465" s="108" t="s">
        <v>1127</v>
      </c>
      <c r="I3465" s="108"/>
    </row>
    <row r="3466" spans="1:9" ht="27.6">
      <c r="A3466" s="108" t="s">
        <v>15075</v>
      </c>
      <c r="B3466" s="108" t="s">
        <v>20033</v>
      </c>
      <c r="C3466" s="109">
        <v>45609</v>
      </c>
      <c r="D3466" s="108"/>
      <c r="E3466" s="108" t="s">
        <v>14605</v>
      </c>
      <c r="F3466" s="108" t="s">
        <v>20010</v>
      </c>
      <c r="G3466" s="110"/>
      <c r="H3466" s="108" t="s">
        <v>1127</v>
      </c>
      <c r="I3466" s="108"/>
    </row>
    <row r="3467" spans="1:9" ht="27.6">
      <c r="A3467" s="108" t="s">
        <v>15075</v>
      </c>
      <c r="B3467" s="108" t="s">
        <v>20034</v>
      </c>
      <c r="C3467" s="109">
        <v>45533</v>
      </c>
      <c r="D3467" s="108"/>
      <c r="E3467" s="108" t="s">
        <v>14605</v>
      </c>
      <c r="F3467" s="108" t="s">
        <v>20035</v>
      </c>
      <c r="G3467" s="110"/>
      <c r="H3467" s="108" t="s">
        <v>1127</v>
      </c>
      <c r="I3467" s="108"/>
    </row>
    <row r="3468" spans="1:9" ht="27.6">
      <c r="A3468" s="108" t="s">
        <v>15075</v>
      </c>
      <c r="B3468" s="108" t="s">
        <v>20036</v>
      </c>
      <c r="C3468" s="109">
        <v>45533</v>
      </c>
      <c r="D3468" s="108"/>
      <c r="E3468" s="108" t="s">
        <v>14605</v>
      </c>
      <c r="F3468" s="108" t="s">
        <v>20035</v>
      </c>
      <c r="G3468" s="110"/>
      <c r="H3468" s="108" t="s">
        <v>1127</v>
      </c>
      <c r="I3468" s="108"/>
    </row>
    <row r="3469" spans="1:9" ht="27.6">
      <c r="A3469" s="108" t="s">
        <v>15075</v>
      </c>
      <c r="B3469" s="108" t="s">
        <v>20037</v>
      </c>
      <c r="C3469" s="109">
        <v>45566</v>
      </c>
      <c r="D3469" s="108"/>
      <c r="E3469" s="108" t="s">
        <v>14605</v>
      </c>
      <c r="F3469" s="108" t="s">
        <v>20038</v>
      </c>
      <c r="G3469" s="110"/>
      <c r="H3469" s="108" t="s">
        <v>1127</v>
      </c>
      <c r="I3469" s="108"/>
    </row>
    <row r="3470" spans="1:9">
      <c r="A3470" s="108" t="s">
        <v>199</v>
      </c>
      <c r="B3470" s="108" t="s">
        <v>20039</v>
      </c>
      <c r="C3470" s="109">
        <v>41428</v>
      </c>
      <c r="D3470" s="108"/>
      <c r="E3470" s="108" t="s">
        <v>14605</v>
      </c>
      <c r="F3470" s="108" t="s">
        <v>15331</v>
      </c>
      <c r="G3470" s="110"/>
      <c r="H3470" s="108" t="s">
        <v>1127</v>
      </c>
      <c r="I3470" s="108"/>
    </row>
    <row r="3471" spans="1:9">
      <c r="A3471" s="108" t="s">
        <v>20040</v>
      </c>
      <c r="B3471" s="108" t="s">
        <v>20041</v>
      </c>
      <c r="C3471" s="109">
        <v>41428</v>
      </c>
      <c r="D3471" s="108"/>
      <c r="E3471" s="108" t="s">
        <v>14605</v>
      </c>
      <c r="F3471" s="108" t="s">
        <v>15331</v>
      </c>
      <c r="G3471" s="110"/>
      <c r="H3471" s="108" t="s">
        <v>1127</v>
      </c>
      <c r="I3471" s="108"/>
    </row>
    <row r="3472" spans="1:9" ht="27.6">
      <c r="A3472" s="108" t="s">
        <v>18397</v>
      </c>
      <c r="B3472" s="108" t="s">
        <v>20042</v>
      </c>
      <c r="C3472" s="109">
        <v>40086</v>
      </c>
      <c r="D3472" s="108"/>
      <c r="E3472" s="108" t="s">
        <v>14605</v>
      </c>
      <c r="F3472" s="108" t="s">
        <v>20043</v>
      </c>
      <c r="G3472" s="110"/>
      <c r="H3472" s="108" t="s">
        <v>1127</v>
      </c>
      <c r="I3472" s="108"/>
    </row>
    <row r="3473" spans="1:9" ht="27.6">
      <c r="A3473" s="108" t="s">
        <v>16932</v>
      </c>
      <c r="B3473" s="108" t="s">
        <v>20044</v>
      </c>
      <c r="C3473" s="109">
        <v>39376</v>
      </c>
      <c r="D3473" s="108"/>
      <c r="E3473" s="108" t="s">
        <v>14605</v>
      </c>
      <c r="F3473" s="108" t="s">
        <v>20045</v>
      </c>
      <c r="G3473" s="110"/>
      <c r="H3473" s="108" t="s">
        <v>1127</v>
      </c>
      <c r="I3473" s="108"/>
    </row>
    <row r="3474" spans="1:9">
      <c r="A3474" s="108" t="s">
        <v>16935</v>
      </c>
      <c r="B3474" s="108" t="s">
        <v>20046</v>
      </c>
      <c r="C3474" s="109">
        <v>39273</v>
      </c>
      <c r="D3474" s="108"/>
      <c r="E3474" s="108" t="s">
        <v>14605</v>
      </c>
      <c r="F3474" s="108" t="s">
        <v>20047</v>
      </c>
      <c r="G3474" s="110"/>
      <c r="H3474" s="108" t="s">
        <v>1127</v>
      </c>
      <c r="I3474" s="108"/>
    </row>
    <row r="3475" spans="1:9">
      <c r="A3475" s="108" t="s">
        <v>16935</v>
      </c>
      <c r="B3475" s="108" t="s">
        <v>20048</v>
      </c>
      <c r="C3475" s="109">
        <v>39619</v>
      </c>
      <c r="D3475" s="108"/>
      <c r="E3475" s="108" t="s">
        <v>14605</v>
      </c>
      <c r="F3475" s="108" t="s">
        <v>20049</v>
      </c>
      <c r="G3475" s="110"/>
      <c r="H3475" s="108" t="s">
        <v>1127</v>
      </c>
      <c r="I3475" s="108"/>
    </row>
    <row r="3476" spans="1:9">
      <c r="A3476" s="108" t="s">
        <v>16935</v>
      </c>
      <c r="B3476" s="108" t="s">
        <v>20050</v>
      </c>
      <c r="C3476" s="109">
        <v>40188</v>
      </c>
      <c r="D3476" s="108"/>
      <c r="E3476" s="108" t="s">
        <v>14605</v>
      </c>
      <c r="F3476" s="108" t="s">
        <v>14916</v>
      </c>
      <c r="G3476" s="110"/>
      <c r="H3476" s="108" t="s">
        <v>1127</v>
      </c>
      <c r="I3476" s="108"/>
    </row>
    <row r="3477" spans="1:9">
      <c r="A3477" s="108" t="s">
        <v>16935</v>
      </c>
      <c r="B3477" s="108" t="s">
        <v>20051</v>
      </c>
      <c r="C3477" s="109">
        <v>40360</v>
      </c>
      <c r="D3477" s="108"/>
      <c r="E3477" s="108" t="s">
        <v>14605</v>
      </c>
      <c r="F3477" s="108" t="s">
        <v>20052</v>
      </c>
      <c r="G3477" s="110"/>
      <c r="H3477" s="108" t="s">
        <v>1127</v>
      </c>
      <c r="I3477" s="108"/>
    </row>
    <row r="3478" spans="1:9" ht="27.6">
      <c r="A3478" s="108" t="s">
        <v>14690</v>
      </c>
      <c r="B3478" s="108" t="s">
        <v>20053</v>
      </c>
      <c r="C3478" s="109">
        <v>40457</v>
      </c>
      <c r="D3478" s="108"/>
      <c r="E3478" s="108" t="s">
        <v>14605</v>
      </c>
      <c r="F3478" s="108" t="s">
        <v>16410</v>
      </c>
      <c r="G3478" s="110"/>
      <c r="H3478" s="108" t="s">
        <v>1127</v>
      </c>
      <c r="I3478" s="108"/>
    </row>
    <row r="3479" spans="1:9" ht="27.6">
      <c r="A3479" s="108" t="s">
        <v>87</v>
      </c>
      <c r="B3479" s="108" t="s">
        <v>20054</v>
      </c>
      <c r="C3479" s="109">
        <v>40428</v>
      </c>
      <c r="D3479" s="108"/>
      <c r="E3479" s="108" t="s">
        <v>14605</v>
      </c>
      <c r="F3479" s="108" t="s">
        <v>14754</v>
      </c>
      <c r="G3479" s="110"/>
      <c r="H3479" s="108" t="s">
        <v>1127</v>
      </c>
      <c r="I3479" s="108"/>
    </row>
    <row r="3480" spans="1:9" ht="27.6">
      <c r="A3480" s="108" t="s">
        <v>1465</v>
      </c>
      <c r="B3480" s="108" t="s">
        <v>20055</v>
      </c>
      <c r="C3480" s="109">
        <v>40450</v>
      </c>
      <c r="D3480" s="108"/>
      <c r="E3480" s="108" t="s">
        <v>14605</v>
      </c>
      <c r="F3480" s="108" t="s">
        <v>20056</v>
      </c>
      <c r="G3480" s="110"/>
      <c r="H3480" s="108" t="s">
        <v>1127</v>
      </c>
      <c r="I3480" s="108"/>
    </row>
    <row r="3481" spans="1:9">
      <c r="A3481" s="108" t="s">
        <v>2002</v>
      </c>
      <c r="B3481" s="108" t="s">
        <v>20057</v>
      </c>
      <c r="C3481" s="109">
        <v>40613</v>
      </c>
      <c r="D3481" s="108"/>
      <c r="E3481" s="108" t="s">
        <v>14605</v>
      </c>
      <c r="F3481" s="108" t="s">
        <v>20058</v>
      </c>
      <c r="G3481" s="110"/>
      <c r="H3481" s="108" t="s">
        <v>1127</v>
      </c>
      <c r="I3481" s="108"/>
    </row>
    <row r="3482" spans="1:9" ht="27.6">
      <c r="A3482" s="108" t="s">
        <v>237</v>
      </c>
      <c r="B3482" s="108" t="s">
        <v>20059</v>
      </c>
      <c r="C3482" s="109">
        <v>40745</v>
      </c>
      <c r="D3482" s="108"/>
      <c r="E3482" s="108" t="s">
        <v>14605</v>
      </c>
      <c r="F3482" s="108" t="s">
        <v>20060</v>
      </c>
      <c r="G3482" s="110"/>
      <c r="H3482" s="108" t="s">
        <v>1127</v>
      </c>
      <c r="I3482" s="108"/>
    </row>
    <row r="3483" spans="1:9" ht="27.6">
      <c r="A3483" s="108" t="s">
        <v>185</v>
      </c>
      <c r="B3483" s="108" t="s">
        <v>20061</v>
      </c>
      <c r="C3483" s="109">
        <v>40890</v>
      </c>
      <c r="D3483" s="108"/>
      <c r="E3483" s="108" t="s">
        <v>14605</v>
      </c>
      <c r="F3483" s="108" t="s">
        <v>19956</v>
      </c>
      <c r="G3483" s="110"/>
      <c r="H3483" s="108" t="s">
        <v>1127</v>
      </c>
      <c r="I3483" s="108"/>
    </row>
    <row r="3484" spans="1:9">
      <c r="A3484" s="108" t="s">
        <v>87</v>
      </c>
      <c r="B3484" s="108" t="s">
        <v>20062</v>
      </c>
      <c r="C3484" s="109">
        <v>40709</v>
      </c>
      <c r="D3484" s="108"/>
      <c r="E3484" s="108" t="s">
        <v>14605</v>
      </c>
      <c r="F3484" s="108" t="s">
        <v>20063</v>
      </c>
      <c r="G3484" s="110"/>
      <c r="H3484" s="108" t="s">
        <v>1127</v>
      </c>
      <c r="I3484" s="108"/>
    </row>
    <row r="3485" spans="1:9">
      <c r="A3485" s="108" t="s">
        <v>87</v>
      </c>
      <c r="B3485" s="108" t="s">
        <v>20064</v>
      </c>
      <c r="C3485" s="109">
        <v>40847</v>
      </c>
      <c r="D3485" s="108"/>
      <c r="E3485" s="108" t="s">
        <v>14605</v>
      </c>
      <c r="F3485" s="108" t="s">
        <v>20052</v>
      </c>
      <c r="G3485" s="110"/>
      <c r="H3485" s="108" t="s">
        <v>1127</v>
      </c>
      <c r="I3485" s="108"/>
    </row>
    <row r="3486" spans="1:9">
      <c r="A3486" s="108" t="s">
        <v>237</v>
      </c>
      <c r="B3486" s="108" t="s">
        <v>20065</v>
      </c>
      <c r="C3486" s="109">
        <v>41010</v>
      </c>
      <c r="D3486" s="108"/>
      <c r="E3486" s="108" t="s">
        <v>14605</v>
      </c>
      <c r="F3486" s="108" t="s">
        <v>20066</v>
      </c>
      <c r="G3486" s="110"/>
      <c r="H3486" s="108" t="s">
        <v>1127</v>
      </c>
      <c r="I3486" s="108"/>
    </row>
    <row r="3487" spans="1:9" ht="27.6">
      <c r="A3487" s="108" t="s">
        <v>14690</v>
      </c>
      <c r="B3487" s="108" t="s">
        <v>20067</v>
      </c>
      <c r="C3487" s="109">
        <v>40898</v>
      </c>
      <c r="D3487" s="108"/>
      <c r="E3487" s="108" t="s">
        <v>14605</v>
      </c>
      <c r="F3487" s="108" t="s">
        <v>19916</v>
      </c>
      <c r="G3487" s="110"/>
      <c r="H3487" s="108" t="s">
        <v>1127</v>
      </c>
      <c r="I3487" s="108"/>
    </row>
    <row r="3488" spans="1:9" ht="27.6">
      <c r="A3488" s="108" t="s">
        <v>15759</v>
      </c>
      <c r="B3488" s="108" t="s">
        <v>20068</v>
      </c>
      <c r="C3488" s="109">
        <v>45302</v>
      </c>
      <c r="D3488" s="108"/>
      <c r="E3488" s="108" t="s">
        <v>14605</v>
      </c>
      <c r="F3488" s="108" t="s">
        <v>20069</v>
      </c>
      <c r="G3488" s="110"/>
      <c r="H3488" s="108" t="s">
        <v>1127</v>
      </c>
      <c r="I3488" s="108"/>
    </row>
    <row r="3489" spans="1:9" ht="27.6">
      <c r="A3489" s="108" t="s">
        <v>15759</v>
      </c>
      <c r="B3489" s="108" t="s">
        <v>20070</v>
      </c>
      <c r="C3489" s="109">
        <v>45552</v>
      </c>
      <c r="D3489" s="108"/>
      <c r="E3489" s="108" t="s">
        <v>14605</v>
      </c>
      <c r="F3489" s="108" t="s">
        <v>20038</v>
      </c>
      <c r="G3489" s="110"/>
      <c r="H3489" s="108" t="s">
        <v>1127</v>
      </c>
      <c r="I3489" s="108"/>
    </row>
    <row r="3490" spans="1:9" ht="27.6">
      <c r="A3490" s="108" t="s">
        <v>15759</v>
      </c>
      <c r="B3490" s="108" t="s">
        <v>20071</v>
      </c>
      <c r="C3490" s="109">
        <v>45552</v>
      </c>
      <c r="D3490" s="108"/>
      <c r="E3490" s="108" t="s">
        <v>14605</v>
      </c>
      <c r="F3490" s="108" t="s">
        <v>20038</v>
      </c>
      <c r="G3490" s="110"/>
      <c r="H3490" s="108" t="s">
        <v>1127</v>
      </c>
      <c r="I3490" s="108"/>
    </row>
    <row r="3491" spans="1:9" ht="27.6">
      <c r="A3491" s="108" t="s">
        <v>479</v>
      </c>
      <c r="B3491" s="108" t="s">
        <v>20072</v>
      </c>
      <c r="C3491" s="109">
        <v>40268</v>
      </c>
      <c r="D3491" s="108"/>
      <c r="E3491" s="108" t="s">
        <v>14605</v>
      </c>
      <c r="F3491" s="108" t="s">
        <v>15349</v>
      </c>
      <c r="G3491" s="110"/>
      <c r="H3491" s="108" t="s">
        <v>1127</v>
      </c>
      <c r="I3491" s="108"/>
    </row>
    <row r="3492" spans="1:9" ht="27.6">
      <c r="A3492" s="108" t="s">
        <v>479</v>
      </c>
      <c r="B3492" s="108" t="s">
        <v>20073</v>
      </c>
      <c r="C3492" s="109">
        <v>40529</v>
      </c>
      <c r="D3492" s="108"/>
      <c r="E3492" s="108" t="s">
        <v>14605</v>
      </c>
      <c r="F3492" s="108" t="s">
        <v>20074</v>
      </c>
      <c r="G3492" s="110"/>
      <c r="H3492" s="108" t="s">
        <v>1127</v>
      </c>
      <c r="I3492" s="108"/>
    </row>
    <row r="3493" spans="1:9" ht="27.6">
      <c r="A3493" s="108" t="s">
        <v>207</v>
      </c>
      <c r="B3493" s="108" t="s">
        <v>20075</v>
      </c>
      <c r="C3493" s="109">
        <v>41199</v>
      </c>
      <c r="D3493" s="108"/>
      <c r="E3493" s="108" t="s">
        <v>14605</v>
      </c>
      <c r="F3493" s="108" t="s">
        <v>20076</v>
      </c>
      <c r="G3493" s="110"/>
      <c r="H3493" s="108" t="s">
        <v>1127</v>
      </c>
      <c r="I3493" s="108"/>
    </row>
    <row r="3494" spans="1:9" ht="27.6">
      <c r="A3494" s="108" t="s">
        <v>207</v>
      </c>
      <c r="B3494" s="108" t="s">
        <v>20077</v>
      </c>
      <c r="C3494" s="109">
        <v>41253</v>
      </c>
      <c r="D3494" s="108"/>
      <c r="E3494" s="108" t="s">
        <v>14605</v>
      </c>
      <c r="F3494" s="108" t="s">
        <v>20078</v>
      </c>
      <c r="G3494" s="110"/>
      <c r="H3494" s="108" t="s">
        <v>1127</v>
      </c>
      <c r="I3494" s="108"/>
    </row>
    <row r="3495" spans="1:9" ht="27.6">
      <c r="A3495" s="108" t="s">
        <v>207</v>
      </c>
      <c r="B3495" s="108" t="s">
        <v>20079</v>
      </c>
      <c r="C3495" s="109">
        <v>41331</v>
      </c>
      <c r="D3495" s="108"/>
      <c r="E3495" s="108" t="s">
        <v>14605</v>
      </c>
      <c r="F3495" s="108" t="s">
        <v>19913</v>
      </c>
      <c r="G3495" s="110"/>
      <c r="H3495" s="108" t="s">
        <v>1127</v>
      </c>
      <c r="I3495" s="108"/>
    </row>
    <row r="3496" spans="1:9" ht="27.6">
      <c r="A3496" s="108" t="s">
        <v>207</v>
      </c>
      <c r="B3496" s="108" t="s">
        <v>20080</v>
      </c>
      <c r="C3496" s="109">
        <v>41495</v>
      </c>
      <c r="D3496" s="108"/>
      <c r="E3496" s="108" t="s">
        <v>14605</v>
      </c>
      <c r="F3496" s="108" t="s">
        <v>20081</v>
      </c>
      <c r="G3496" s="110"/>
      <c r="H3496" s="108" t="s">
        <v>1127</v>
      </c>
      <c r="I3496" s="108"/>
    </row>
    <row r="3497" spans="1:9" ht="27.6">
      <c r="A3497" s="108" t="s">
        <v>207</v>
      </c>
      <c r="B3497" s="108" t="s">
        <v>20082</v>
      </c>
      <c r="C3497" s="109">
        <v>41732</v>
      </c>
      <c r="D3497" s="108"/>
      <c r="E3497" s="108" t="s">
        <v>14605</v>
      </c>
      <c r="F3497" s="108" t="s">
        <v>19944</v>
      </c>
      <c r="G3497" s="110"/>
      <c r="H3497" s="108" t="s">
        <v>1127</v>
      </c>
      <c r="I3497" s="108"/>
    </row>
    <row r="3498" spans="1:9" ht="27.6">
      <c r="A3498" s="108" t="s">
        <v>207</v>
      </c>
      <c r="B3498" s="108" t="s">
        <v>20083</v>
      </c>
      <c r="C3498" s="109">
        <v>41904</v>
      </c>
      <c r="D3498" s="108"/>
      <c r="E3498" s="108" t="s">
        <v>14605</v>
      </c>
      <c r="F3498" s="108" t="s">
        <v>20084</v>
      </c>
      <c r="G3498" s="110"/>
      <c r="H3498" s="108" t="s">
        <v>1127</v>
      </c>
      <c r="I3498" s="108"/>
    </row>
    <row r="3499" spans="1:9">
      <c r="A3499" s="108" t="s">
        <v>118</v>
      </c>
      <c r="B3499" s="108" t="s">
        <v>20085</v>
      </c>
      <c r="C3499" s="109">
        <v>42643</v>
      </c>
      <c r="D3499" s="108"/>
      <c r="E3499" s="108" t="s">
        <v>14605</v>
      </c>
      <c r="F3499" s="108" t="s">
        <v>20086</v>
      </c>
      <c r="G3499" s="110"/>
      <c r="H3499" s="108" t="s">
        <v>1127</v>
      </c>
      <c r="I3499" s="108"/>
    </row>
    <row r="3500" spans="1:9">
      <c r="A3500" s="108" t="s">
        <v>169</v>
      </c>
      <c r="B3500" s="108" t="s">
        <v>20087</v>
      </c>
      <c r="C3500" s="109">
        <v>44348</v>
      </c>
      <c r="D3500" s="108"/>
      <c r="E3500" s="108" t="s">
        <v>14605</v>
      </c>
      <c r="F3500" s="108" t="s">
        <v>19960</v>
      </c>
      <c r="G3500" s="110"/>
      <c r="H3500" s="108" t="s">
        <v>1127</v>
      </c>
      <c r="I3500" s="108"/>
    </row>
    <row r="3501" spans="1:9" ht="27.6">
      <c r="A3501" s="108" t="s">
        <v>8247</v>
      </c>
      <c r="B3501" s="108" t="s">
        <v>20088</v>
      </c>
      <c r="C3501" s="109">
        <v>46030</v>
      </c>
      <c r="D3501" s="108"/>
      <c r="E3501" s="108" t="s">
        <v>14605</v>
      </c>
      <c r="F3501" s="108" t="s">
        <v>20089</v>
      </c>
      <c r="G3501" s="110"/>
      <c r="H3501" s="108" t="s">
        <v>1127</v>
      </c>
      <c r="I3501" s="108"/>
    </row>
    <row r="3502" spans="1:9">
      <c r="A3502" s="108" t="s">
        <v>378</v>
      </c>
      <c r="B3502" s="108" t="s">
        <v>20090</v>
      </c>
      <c r="C3502" s="109">
        <v>45429</v>
      </c>
      <c r="D3502" s="108"/>
      <c r="E3502" s="108" t="s">
        <v>14605</v>
      </c>
      <c r="F3502" s="108" t="s">
        <v>15761</v>
      </c>
      <c r="G3502" s="110"/>
      <c r="H3502" s="108" t="s">
        <v>1127</v>
      </c>
      <c r="I3502" s="108"/>
    </row>
    <row r="3503" spans="1:9" ht="27.6">
      <c r="A3503" s="108" t="s">
        <v>96</v>
      </c>
      <c r="B3503" s="108" t="s">
        <v>20091</v>
      </c>
      <c r="C3503" s="109">
        <v>45011</v>
      </c>
      <c r="D3503" s="108" t="s">
        <v>20092</v>
      </c>
      <c r="E3503" s="108" t="s">
        <v>14605</v>
      </c>
      <c r="F3503" s="108" t="s">
        <v>19934</v>
      </c>
      <c r="G3503" s="109">
        <v>46012</v>
      </c>
      <c r="H3503" s="108" t="s">
        <v>1127</v>
      </c>
      <c r="I3503" s="108" t="s">
        <v>102</v>
      </c>
    </row>
    <row r="3504" spans="1:9">
      <c r="A3504" s="108" t="s">
        <v>16151</v>
      </c>
      <c r="B3504" s="108" t="s">
        <v>20093</v>
      </c>
      <c r="C3504" s="109">
        <v>43650</v>
      </c>
      <c r="D3504" s="108" t="s">
        <v>20094</v>
      </c>
      <c r="E3504" s="108" t="s">
        <v>14605</v>
      </c>
      <c r="F3504" s="108" t="s">
        <v>15731</v>
      </c>
      <c r="G3504" s="109">
        <v>44745</v>
      </c>
      <c r="H3504" s="108" t="s">
        <v>1127</v>
      </c>
      <c r="I3504" s="108" t="s">
        <v>102</v>
      </c>
    </row>
    <row r="3505" spans="1:9" ht="27.6">
      <c r="A3505" s="108" t="s">
        <v>16151</v>
      </c>
      <c r="B3505" s="108" t="s">
        <v>20095</v>
      </c>
      <c r="C3505" s="109">
        <v>44182</v>
      </c>
      <c r="D3505" s="108" t="s">
        <v>20096</v>
      </c>
      <c r="E3505" s="108" t="s">
        <v>14605</v>
      </c>
      <c r="F3505" s="108" t="s">
        <v>20097</v>
      </c>
      <c r="G3505" s="109">
        <v>45657</v>
      </c>
      <c r="H3505" s="108" t="s">
        <v>1127</v>
      </c>
      <c r="I3505" s="108" t="s">
        <v>102</v>
      </c>
    </row>
    <row r="3506" spans="1:9">
      <c r="A3506" s="108" t="s">
        <v>16151</v>
      </c>
      <c r="B3506" s="108" t="s">
        <v>20098</v>
      </c>
      <c r="C3506" s="109">
        <v>44650</v>
      </c>
      <c r="D3506" s="108" t="s">
        <v>20099</v>
      </c>
      <c r="E3506" s="108" t="s">
        <v>14605</v>
      </c>
      <c r="F3506" s="108" t="s">
        <v>14712</v>
      </c>
      <c r="G3506" s="109">
        <v>46078</v>
      </c>
      <c r="H3506" s="108" t="s">
        <v>1127</v>
      </c>
      <c r="I3506" s="108" t="s">
        <v>102</v>
      </c>
    </row>
    <row r="3507" spans="1:9">
      <c r="A3507" s="108" t="s">
        <v>16151</v>
      </c>
      <c r="B3507" s="108" t="s">
        <v>20100</v>
      </c>
      <c r="C3507" s="109">
        <v>45061</v>
      </c>
      <c r="D3507" s="108" t="s">
        <v>20101</v>
      </c>
      <c r="E3507" s="108" t="s">
        <v>14605</v>
      </c>
      <c r="F3507" s="108" t="s">
        <v>14712</v>
      </c>
      <c r="G3507" s="109">
        <v>46121</v>
      </c>
      <c r="H3507" s="108" t="s">
        <v>1127</v>
      </c>
      <c r="I3507" s="108" t="s">
        <v>102</v>
      </c>
    </row>
    <row r="3508" spans="1:9">
      <c r="A3508" s="108" t="s">
        <v>16986</v>
      </c>
      <c r="B3508" s="108" t="s">
        <v>20102</v>
      </c>
      <c r="C3508" s="109">
        <v>45302</v>
      </c>
      <c r="D3508" s="108" t="s">
        <v>20103</v>
      </c>
      <c r="E3508" s="108" t="s">
        <v>14605</v>
      </c>
      <c r="F3508" s="108" t="s">
        <v>20069</v>
      </c>
      <c r="G3508" s="109">
        <v>45935</v>
      </c>
      <c r="H3508" s="108" t="s">
        <v>1127</v>
      </c>
      <c r="I3508" s="108" t="s">
        <v>95</v>
      </c>
    </row>
    <row r="3509" spans="1:9" ht="27.6">
      <c r="A3509" s="108" t="s">
        <v>109</v>
      </c>
      <c r="B3509" s="108" t="s">
        <v>20104</v>
      </c>
      <c r="C3509" s="109">
        <v>44754</v>
      </c>
      <c r="D3509" s="108" t="s">
        <v>20105</v>
      </c>
      <c r="E3509" s="108" t="s">
        <v>14605</v>
      </c>
      <c r="F3509" s="108" t="s">
        <v>20013</v>
      </c>
      <c r="G3509" s="109">
        <v>46214</v>
      </c>
      <c r="H3509" s="108" t="s">
        <v>1127</v>
      </c>
      <c r="I3509" s="108" t="s">
        <v>95</v>
      </c>
    </row>
    <row r="3510" spans="1:9" ht="27.6">
      <c r="A3510" s="108" t="s">
        <v>109</v>
      </c>
      <c r="B3510" s="108" t="s">
        <v>20106</v>
      </c>
      <c r="C3510" s="109">
        <v>45195</v>
      </c>
      <c r="D3510" s="108" t="s">
        <v>20107</v>
      </c>
      <c r="E3510" s="108" t="s">
        <v>14605</v>
      </c>
      <c r="F3510" s="108" t="s">
        <v>20028</v>
      </c>
      <c r="G3510" s="109">
        <v>47037</v>
      </c>
      <c r="H3510" s="108" t="s">
        <v>1127</v>
      </c>
      <c r="I3510" s="108" t="s">
        <v>95</v>
      </c>
    </row>
    <row r="3511" spans="1:9" ht="27.6">
      <c r="A3511" s="108" t="s">
        <v>109</v>
      </c>
      <c r="B3511" s="108" t="s">
        <v>20108</v>
      </c>
      <c r="C3511" s="109">
        <v>45051</v>
      </c>
      <c r="D3511" s="108" t="s">
        <v>20109</v>
      </c>
      <c r="E3511" s="108" t="s">
        <v>14605</v>
      </c>
      <c r="F3511" s="108" t="s">
        <v>19990</v>
      </c>
      <c r="G3511" s="109">
        <v>46896</v>
      </c>
      <c r="H3511" s="108" t="s">
        <v>1127</v>
      </c>
      <c r="I3511" s="108" t="s">
        <v>95</v>
      </c>
    </row>
    <row r="3512" spans="1:9" ht="27.6">
      <c r="A3512" s="108" t="s">
        <v>96</v>
      </c>
      <c r="B3512" s="108" t="s">
        <v>20110</v>
      </c>
      <c r="C3512" s="109">
        <v>44589</v>
      </c>
      <c r="D3512" s="108" t="s">
        <v>20111</v>
      </c>
      <c r="E3512" s="108" t="s">
        <v>14605</v>
      </c>
      <c r="F3512" s="108" t="s">
        <v>20112</v>
      </c>
      <c r="G3512" s="109">
        <v>46050</v>
      </c>
      <c r="H3512" s="108" t="s">
        <v>1127</v>
      </c>
      <c r="I3512" s="108" t="s">
        <v>95</v>
      </c>
    </row>
    <row r="3513" spans="1:9" ht="27.6">
      <c r="A3513" s="108" t="s">
        <v>15990</v>
      </c>
      <c r="B3513" s="108" t="s">
        <v>20113</v>
      </c>
      <c r="C3513" s="109">
        <v>44491</v>
      </c>
      <c r="D3513" s="108" t="s">
        <v>20114</v>
      </c>
      <c r="E3513" s="108" t="s">
        <v>14605</v>
      </c>
      <c r="F3513" s="108" t="s">
        <v>16469</v>
      </c>
      <c r="G3513" s="109">
        <v>45952</v>
      </c>
      <c r="H3513" s="108" t="s">
        <v>1127</v>
      </c>
      <c r="I3513" s="108" t="s">
        <v>95</v>
      </c>
    </row>
    <row r="3514" spans="1:9" ht="27.6">
      <c r="A3514" s="108" t="s">
        <v>15990</v>
      </c>
      <c r="B3514" s="108" t="s">
        <v>20115</v>
      </c>
      <c r="C3514" s="109">
        <v>44578</v>
      </c>
      <c r="D3514" s="108" t="s">
        <v>20116</v>
      </c>
      <c r="E3514" s="108" t="s">
        <v>14605</v>
      </c>
      <c r="F3514" s="108" t="s">
        <v>20117</v>
      </c>
      <c r="G3514" s="109">
        <v>46559</v>
      </c>
      <c r="H3514" s="108" t="s">
        <v>1127</v>
      </c>
      <c r="I3514" s="108" t="s">
        <v>95</v>
      </c>
    </row>
    <row r="3515" spans="1:9" ht="27.6">
      <c r="A3515" s="108" t="s">
        <v>8396</v>
      </c>
      <c r="B3515" s="108" t="s">
        <v>20118</v>
      </c>
      <c r="C3515" s="109">
        <v>44550</v>
      </c>
      <c r="D3515" s="108" t="s">
        <v>20119</v>
      </c>
      <c r="E3515" s="108" t="s">
        <v>14605</v>
      </c>
      <c r="F3515" s="108" t="s">
        <v>20120</v>
      </c>
      <c r="G3515" s="109">
        <v>46178</v>
      </c>
      <c r="H3515" s="108" t="s">
        <v>1127</v>
      </c>
      <c r="I3515" s="108" t="s">
        <v>95</v>
      </c>
    </row>
    <row r="3516" spans="1:9" ht="27.6">
      <c r="A3516" s="108" t="s">
        <v>244</v>
      </c>
      <c r="B3516" s="108" t="s">
        <v>20121</v>
      </c>
      <c r="C3516" s="109">
        <v>44735</v>
      </c>
      <c r="D3516" s="108" t="s">
        <v>20122</v>
      </c>
      <c r="E3516" s="108" t="s">
        <v>14605</v>
      </c>
      <c r="F3516" s="108" t="s">
        <v>20123</v>
      </c>
      <c r="G3516" s="109">
        <v>46570</v>
      </c>
      <c r="H3516" s="108" t="s">
        <v>1127</v>
      </c>
      <c r="I3516" s="108" t="s">
        <v>95</v>
      </c>
    </row>
    <row r="3517" spans="1:9">
      <c r="A3517" s="108" t="s">
        <v>15990</v>
      </c>
      <c r="B3517" s="108" t="s">
        <v>20124</v>
      </c>
      <c r="C3517" s="109">
        <v>44676</v>
      </c>
      <c r="D3517" s="108" t="s">
        <v>20125</v>
      </c>
      <c r="E3517" s="108" t="s">
        <v>14605</v>
      </c>
      <c r="F3517" s="108" t="s">
        <v>20126</v>
      </c>
      <c r="G3517" s="109">
        <v>46034</v>
      </c>
      <c r="H3517" s="108" t="s">
        <v>1127</v>
      </c>
      <c r="I3517" s="108" t="s">
        <v>95</v>
      </c>
    </row>
    <row r="3518" spans="1:9" ht="27.6">
      <c r="A3518" s="108" t="s">
        <v>503</v>
      </c>
      <c r="B3518" s="108" t="s">
        <v>20127</v>
      </c>
      <c r="C3518" s="109">
        <v>44701</v>
      </c>
      <c r="D3518" s="108" t="s">
        <v>20128</v>
      </c>
      <c r="E3518" s="108" t="s">
        <v>14605</v>
      </c>
      <c r="F3518" s="108" t="s">
        <v>15084</v>
      </c>
      <c r="G3518" s="109">
        <v>45900</v>
      </c>
      <c r="H3518" s="108" t="s">
        <v>1127</v>
      </c>
      <c r="I3518" s="108" t="s">
        <v>95</v>
      </c>
    </row>
    <row r="3519" spans="1:9" ht="27.6">
      <c r="A3519" s="108" t="s">
        <v>244</v>
      </c>
      <c r="B3519" s="108" t="s">
        <v>20129</v>
      </c>
      <c r="C3519" s="109">
        <v>45092</v>
      </c>
      <c r="D3519" s="108" t="s">
        <v>20130</v>
      </c>
      <c r="E3519" s="108" t="s">
        <v>14605</v>
      </c>
      <c r="F3519" s="108" t="s">
        <v>20123</v>
      </c>
      <c r="G3519" s="109">
        <v>46918</v>
      </c>
      <c r="H3519" s="108" t="s">
        <v>1127</v>
      </c>
      <c r="I3519" s="108" t="s">
        <v>95</v>
      </c>
    </row>
    <row r="3520" spans="1:9" ht="27.6">
      <c r="A3520" s="108" t="s">
        <v>244</v>
      </c>
      <c r="B3520" s="108" t="s">
        <v>20131</v>
      </c>
      <c r="C3520" s="109">
        <v>44826</v>
      </c>
      <c r="D3520" s="108" t="s">
        <v>20132</v>
      </c>
      <c r="E3520" s="108" t="s">
        <v>14605</v>
      </c>
      <c r="F3520" s="108" t="s">
        <v>20123</v>
      </c>
      <c r="G3520" s="109">
        <v>46660</v>
      </c>
      <c r="H3520" s="108" t="s">
        <v>20133</v>
      </c>
      <c r="I3520" s="108" t="s">
        <v>95</v>
      </c>
    </row>
    <row r="3521" spans="1:9">
      <c r="A3521" s="108" t="s">
        <v>15990</v>
      </c>
      <c r="B3521" s="108" t="s">
        <v>20134</v>
      </c>
      <c r="C3521" s="109">
        <v>45530</v>
      </c>
      <c r="D3521" s="108" t="s">
        <v>20135</v>
      </c>
      <c r="E3521" s="108" t="s">
        <v>14605</v>
      </c>
      <c r="F3521" s="108" t="s">
        <v>19996</v>
      </c>
      <c r="G3521" s="109">
        <v>46568</v>
      </c>
      <c r="H3521" s="108" t="s">
        <v>1127</v>
      </c>
      <c r="I3521" s="108" t="s">
        <v>95</v>
      </c>
    </row>
    <row r="3522" spans="1:9">
      <c r="A3522" s="108" t="s">
        <v>15990</v>
      </c>
      <c r="B3522" s="108" t="s">
        <v>20136</v>
      </c>
      <c r="C3522" s="109">
        <v>45104</v>
      </c>
      <c r="D3522" s="108" t="s">
        <v>20137</v>
      </c>
      <c r="E3522" s="108" t="s">
        <v>14605</v>
      </c>
      <c r="F3522" s="108" t="s">
        <v>20138</v>
      </c>
      <c r="G3522" s="109">
        <v>46356</v>
      </c>
      <c r="H3522" s="108" t="s">
        <v>1127</v>
      </c>
      <c r="I3522" s="108" t="s">
        <v>95</v>
      </c>
    </row>
    <row r="3523" spans="1:9">
      <c r="A3523" s="108" t="s">
        <v>503</v>
      </c>
      <c r="B3523" s="108" t="s">
        <v>20139</v>
      </c>
      <c r="C3523" s="109">
        <v>44985</v>
      </c>
      <c r="D3523" s="108" t="s">
        <v>20140</v>
      </c>
      <c r="E3523" s="108" t="s">
        <v>14605</v>
      </c>
      <c r="F3523" s="108" t="s">
        <v>20141</v>
      </c>
      <c r="G3523" s="109">
        <v>46034</v>
      </c>
      <c r="H3523" s="108" t="s">
        <v>1127</v>
      </c>
      <c r="I3523" s="108" t="s">
        <v>95</v>
      </c>
    </row>
    <row r="3524" spans="1:9">
      <c r="A3524" s="108" t="s">
        <v>244</v>
      </c>
      <c r="B3524" s="108" t="s">
        <v>20142</v>
      </c>
      <c r="C3524" s="109">
        <v>44923</v>
      </c>
      <c r="D3524" s="108" t="s">
        <v>20143</v>
      </c>
      <c r="E3524" s="108" t="s">
        <v>14605</v>
      </c>
      <c r="F3524" s="108" t="s">
        <v>20144</v>
      </c>
      <c r="G3524" s="109">
        <v>46007</v>
      </c>
      <c r="H3524" s="108" t="s">
        <v>1127</v>
      </c>
      <c r="I3524" s="108" t="s">
        <v>95</v>
      </c>
    </row>
    <row r="3525" spans="1:9">
      <c r="A3525" s="108" t="s">
        <v>15990</v>
      </c>
      <c r="B3525" s="108" t="s">
        <v>20145</v>
      </c>
      <c r="C3525" s="109">
        <v>45371</v>
      </c>
      <c r="D3525" s="108" t="s">
        <v>20146</v>
      </c>
      <c r="E3525" s="108" t="s">
        <v>14605</v>
      </c>
      <c r="F3525" s="108" t="s">
        <v>20147</v>
      </c>
      <c r="G3525" s="109">
        <v>46096</v>
      </c>
      <c r="H3525" s="108" t="s">
        <v>1127</v>
      </c>
      <c r="I3525" s="108" t="s">
        <v>95</v>
      </c>
    </row>
    <row r="3526" spans="1:9">
      <c r="A3526" s="108" t="s">
        <v>15990</v>
      </c>
      <c r="B3526" s="108" t="s">
        <v>20148</v>
      </c>
      <c r="C3526" s="109">
        <v>45372</v>
      </c>
      <c r="D3526" s="108" t="s">
        <v>20149</v>
      </c>
      <c r="E3526" s="108" t="s">
        <v>14605</v>
      </c>
      <c r="F3526" s="108" t="s">
        <v>20147</v>
      </c>
      <c r="G3526" s="109">
        <v>46126</v>
      </c>
      <c r="H3526" s="108" t="s">
        <v>1127</v>
      </c>
      <c r="I3526" s="108" t="s">
        <v>95</v>
      </c>
    </row>
    <row r="3527" spans="1:9">
      <c r="A3527" s="108" t="s">
        <v>15990</v>
      </c>
      <c r="B3527" s="108" t="s">
        <v>20150</v>
      </c>
      <c r="C3527" s="109">
        <v>45428</v>
      </c>
      <c r="D3527" s="108" t="s">
        <v>20151</v>
      </c>
      <c r="E3527" s="108" t="s">
        <v>14605</v>
      </c>
      <c r="F3527" s="108" t="s">
        <v>16410</v>
      </c>
      <c r="G3527" s="109">
        <v>47253</v>
      </c>
      <c r="H3527" s="108" t="s">
        <v>1127</v>
      </c>
      <c r="I3527" s="108" t="s">
        <v>95</v>
      </c>
    </row>
    <row r="3528" spans="1:9">
      <c r="A3528" s="108" t="s">
        <v>15990</v>
      </c>
      <c r="B3528" s="108" t="s">
        <v>20152</v>
      </c>
      <c r="C3528" s="109">
        <v>45685</v>
      </c>
      <c r="D3528" s="108" t="s">
        <v>20153</v>
      </c>
      <c r="E3528" s="108" t="s">
        <v>14605</v>
      </c>
      <c r="F3528" s="108" t="s">
        <v>20154</v>
      </c>
      <c r="G3528" s="109">
        <v>46057</v>
      </c>
      <c r="H3528" s="108" t="s">
        <v>1127</v>
      </c>
      <c r="I3528" s="108" t="s">
        <v>95</v>
      </c>
    </row>
    <row r="3529" spans="1:9">
      <c r="A3529" s="108" t="s">
        <v>16151</v>
      </c>
      <c r="B3529" s="108" t="s">
        <v>20155</v>
      </c>
      <c r="C3529" s="109">
        <v>43796</v>
      </c>
      <c r="D3529" s="108" t="s">
        <v>20156</v>
      </c>
      <c r="E3529" s="108" t="s">
        <v>14605</v>
      </c>
      <c r="F3529" s="108" t="s">
        <v>15331</v>
      </c>
      <c r="G3529" s="109">
        <v>45623</v>
      </c>
      <c r="H3529" s="108" t="s">
        <v>1127</v>
      </c>
      <c r="I3529" s="108" t="s">
        <v>95</v>
      </c>
    </row>
    <row r="3530" spans="1:9">
      <c r="A3530" s="108" t="s">
        <v>16151</v>
      </c>
      <c r="B3530" s="108" t="s">
        <v>20157</v>
      </c>
      <c r="C3530" s="109">
        <v>43804</v>
      </c>
      <c r="D3530" s="108" t="s">
        <v>20158</v>
      </c>
      <c r="E3530" s="108" t="s">
        <v>14605</v>
      </c>
      <c r="F3530" s="108" t="s">
        <v>19996</v>
      </c>
      <c r="G3530" s="109">
        <v>46142</v>
      </c>
      <c r="H3530" s="108" t="s">
        <v>1127</v>
      </c>
      <c r="I3530" s="108" t="s">
        <v>95</v>
      </c>
    </row>
    <row r="3531" spans="1:9" ht="27.6">
      <c r="A3531" s="108" t="s">
        <v>16151</v>
      </c>
      <c r="B3531" s="108" t="s">
        <v>20159</v>
      </c>
      <c r="C3531" s="109">
        <v>43861</v>
      </c>
      <c r="D3531" s="108" t="s">
        <v>20160</v>
      </c>
      <c r="E3531" s="108" t="s">
        <v>14605</v>
      </c>
      <c r="F3531" s="108" t="s">
        <v>20017</v>
      </c>
      <c r="G3531" s="109">
        <v>46022</v>
      </c>
      <c r="H3531" s="108" t="s">
        <v>1127</v>
      </c>
      <c r="I3531" s="108" t="s">
        <v>95</v>
      </c>
    </row>
    <row r="3532" spans="1:9">
      <c r="A3532" s="108" t="s">
        <v>16151</v>
      </c>
      <c r="B3532" s="108" t="s">
        <v>20161</v>
      </c>
      <c r="C3532" s="109">
        <v>43886</v>
      </c>
      <c r="D3532" s="108" t="s">
        <v>20162</v>
      </c>
      <c r="E3532" s="108" t="s">
        <v>14605</v>
      </c>
      <c r="F3532" s="108" t="s">
        <v>20144</v>
      </c>
      <c r="G3532" s="109">
        <v>45806</v>
      </c>
      <c r="H3532" s="108" t="s">
        <v>1127</v>
      </c>
      <c r="I3532" s="108" t="s">
        <v>95</v>
      </c>
    </row>
    <row r="3533" spans="1:9">
      <c r="A3533" s="108" t="s">
        <v>16151</v>
      </c>
      <c r="B3533" s="108" t="s">
        <v>20163</v>
      </c>
      <c r="C3533" s="109">
        <v>44209</v>
      </c>
      <c r="D3533" s="108" t="s">
        <v>20164</v>
      </c>
      <c r="E3533" s="108" t="s">
        <v>14605</v>
      </c>
      <c r="F3533" s="108" t="s">
        <v>19992</v>
      </c>
      <c r="G3533" s="109">
        <v>45952</v>
      </c>
      <c r="H3533" s="108" t="s">
        <v>1127</v>
      </c>
      <c r="I3533" s="108" t="s">
        <v>95</v>
      </c>
    </row>
    <row r="3534" spans="1:9">
      <c r="A3534" s="108" t="s">
        <v>16151</v>
      </c>
      <c r="B3534" s="108" t="s">
        <v>20165</v>
      </c>
      <c r="C3534" s="109">
        <v>44173</v>
      </c>
      <c r="D3534" s="108" t="s">
        <v>20166</v>
      </c>
      <c r="E3534" s="108" t="s">
        <v>14605</v>
      </c>
      <c r="F3534" s="108" t="s">
        <v>15331</v>
      </c>
      <c r="G3534" s="109">
        <v>45998</v>
      </c>
      <c r="H3534" s="108" t="s">
        <v>1127</v>
      </c>
      <c r="I3534" s="108" t="s">
        <v>95</v>
      </c>
    </row>
    <row r="3535" spans="1:9">
      <c r="A3535" s="108" t="s">
        <v>16151</v>
      </c>
      <c r="B3535" s="108" t="s">
        <v>20167</v>
      </c>
      <c r="C3535" s="109">
        <v>44175</v>
      </c>
      <c r="D3535" s="108" t="s">
        <v>20168</v>
      </c>
      <c r="E3535" s="108" t="s">
        <v>14605</v>
      </c>
      <c r="F3535" s="108" t="s">
        <v>20169</v>
      </c>
      <c r="G3535" s="109">
        <v>46000</v>
      </c>
      <c r="H3535" s="108" t="s">
        <v>1127</v>
      </c>
      <c r="I3535" s="108" t="s">
        <v>95</v>
      </c>
    </row>
    <row r="3536" spans="1:9" ht="27.6">
      <c r="A3536" s="108" t="s">
        <v>16151</v>
      </c>
      <c r="B3536" s="108" t="s">
        <v>20170</v>
      </c>
      <c r="C3536" s="109">
        <v>44174</v>
      </c>
      <c r="D3536" s="108" t="s">
        <v>20171</v>
      </c>
      <c r="E3536" s="108" t="s">
        <v>14605</v>
      </c>
      <c r="F3536" s="108" t="s">
        <v>16367</v>
      </c>
      <c r="G3536" s="109">
        <v>46053</v>
      </c>
      <c r="H3536" s="108" t="s">
        <v>1127</v>
      </c>
      <c r="I3536" s="108" t="s">
        <v>95</v>
      </c>
    </row>
    <row r="3537" spans="1:9">
      <c r="A3537" s="108" t="s">
        <v>16151</v>
      </c>
      <c r="B3537" s="108" t="s">
        <v>20172</v>
      </c>
      <c r="C3537" s="109">
        <v>44243</v>
      </c>
      <c r="D3537" s="108" t="s">
        <v>20173</v>
      </c>
      <c r="E3537" s="108" t="s">
        <v>14605</v>
      </c>
      <c r="F3537" s="108" t="s">
        <v>19874</v>
      </c>
      <c r="G3537" s="109">
        <v>46130</v>
      </c>
      <c r="H3537" s="108" t="s">
        <v>1127</v>
      </c>
      <c r="I3537" s="108" t="s">
        <v>95</v>
      </c>
    </row>
    <row r="3538" spans="1:9">
      <c r="A3538" s="108" t="s">
        <v>16151</v>
      </c>
      <c r="B3538" s="108" t="s">
        <v>20174</v>
      </c>
      <c r="C3538" s="109">
        <v>44306</v>
      </c>
      <c r="D3538" s="108" t="s">
        <v>20175</v>
      </c>
      <c r="E3538" s="108" t="s">
        <v>14605</v>
      </c>
      <c r="F3538" s="108" t="s">
        <v>19994</v>
      </c>
      <c r="G3538" s="109">
        <v>46022</v>
      </c>
      <c r="H3538" s="108" t="s">
        <v>1127</v>
      </c>
      <c r="I3538" s="108" t="s">
        <v>95</v>
      </c>
    </row>
    <row r="3539" spans="1:9">
      <c r="A3539" s="108" t="s">
        <v>16151</v>
      </c>
      <c r="B3539" s="108" t="s">
        <v>20176</v>
      </c>
      <c r="C3539" s="109">
        <v>44257</v>
      </c>
      <c r="D3539" s="108" t="s">
        <v>20177</v>
      </c>
      <c r="E3539" s="108" t="s">
        <v>14605</v>
      </c>
      <c r="F3539" s="108" t="s">
        <v>15731</v>
      </c>
      <c r="G3539" s="109">
        <v>44986</v>
      </c>
      <c r="H3539" s="108" t="s">
        <v>1127</v>
      </c>
      <c r="I3539" s="108" t="s">
        <v>95</v>
      </c>
    </row>
    <row r="3540" spans="1:9">
      <c r="A3540" s="108" t="s">
        <v>16151</v>
      </c>
      <c r="B3540" s="108" t="s">
        <v>20178</v>
      </c>
      <c r="C3540" s="109">
        <v>44448</v>
      </c>
      <c r="D3540" s="108" t="s">
        <v>20179</v>
      </c>
      <c r="E3540" s="108" t="s">
        <v>14605</v>
      </c>
      <c r="F3540" s="108" t="s">
        <v>20021</v>
      </c>
      <c r="G3540" s="109">
        <v>45895</v>
      </c>
      <c r="H3540" s="108" t="s">
        <v>1127</v>
      </c>
      <c r="I3540" s="108" t="s">
        <v>95</v>
      </c>
    </row>
    <row r="3541" spans="1:9">
      <c r="A3541" s="108" t="s">
        <v>16151</v>
      </c>
      <c r="B3541" s="108" t="s">
        <v>20180</v>
      </c>
      <c r="C3541" s="109">
        <v>44804</v>
      </c>
      <c r="D3541" s="108" t="s">
        <v>20181</v>
      </c>
      <c r="E3541" s="108" t="s">
        <v>14605</v>
      </c>
      <c r="F3541" s="108" t="s">
        <v>15761</v>
      </c>
      <c r="G3541" s="109">
        <v>46659</v>
      </c>
      <c r="H3541" s="108" t="s">
        <v>1127</v>
      </c>
      <c r="I3541" s="108" t="s">
        <v>95</v>
      </c>
    </row>
    <row r="3542" spans="1:9" ht="27.6">
      <c r="A3542" s="108" t="s">
        <v>16151</v>
      </c>
      <c r="B3542" s="108" t="s">
        <v>20182</v>
      </c>
      <c r="C3542" s="109">
        <v>44510</v>
      </c>
      <c r="D3542" s="108" t="s">
        <v>20183</v>
      </c>
      <c r="E3542" s="108" t="s">
        <v>14605</v>
      </c>
      <c r="F3542" s="108" t="s">
        <v>20008</v>
      </c>
      <c r="G3542" s="109">
        <v>47814</v>
      </c>
      <c r="H3542" s="108" t="s">
        <v>1127</v>
      </c>
      <c r="I3542" s="108" t="s">
        <v>95</v>
      </c>
    </row>
    <row r="3543" spans="1:9">
      <c r="A3543" s="108" t="s">
        <v>16151</v>
      </c>
      <c r="B3543" s="108" t="s">
        <v>20184</v>
      </c>
      <c r="C3543" s="109">
        <v>44544</v>
      </c>
      <c r="D3543" s="108" t="s">
        <v>20185</v>
      </c>
      <c r="E3543" s="108" t="s">
        <v>14605</v>
      </c>
      <c r="F3543" s="108" t="s">
        <v>20186</v>
      </c>
      <c r="G3543" s="109">
        <v>46396</v>
      </c>
      <c r="H3543" s="108" t="s">
        <v>1127</v>
      </c>
      <c r="I3543" s="108" t="s">
        <v>95</v>
      </c>
    </row>
    <row r="3544" spans="1:9">
      <c r="A3544" s="108" t="s">
        <v>16151</v>
      </c>
      <c r="B3544" s="108" t="s">
        <v>20187</v>
      </c>
      <c r="C3544" s="109">
        <v>44643</v>
      </c>
      <c r="D3544" s="108" t="s">
        <v>20188</v>
      </c>
      <c r="E3544" s="108" t="s">
        <v>14605</v>
      </c>
      <c r="F3544" s="108" t="s">
        <v>20010</v>
      </c>
      <c r="G3544" s="109">
        <v>45743</v>
      </c>
      <c r="H3544" s="108" t="s">
        <v>1127</v>
      </c>
      <c r="I3544" s="108" t="s">
        <v>95</v>
      </c>
    </row>
    <row r="3545" spans="1:9">
      <c r="A3545" s="108" t="s">
        <v>16151</v>
      </c>
      <c r="B3545" s="108" t="s">
        <v>20189</v>
      </c>
      <c r="C3545" s="109">
        <v>44635</v>
      </c>
      <c r="D3545" s="108" t="s">
        <v>20190</v>
      </c>
      <c r="E3545" s="108" t="s">
        <v>14605</v>
      </c>
      <c r="F3545" s="108" t="s">
        <v>15731</v>
      </c>
      <c r="G3545" s="109">
        <v>45743</v>
      </c>
      <c r="H3545" s="108" t="s">
        <v>1127</v>
      </c>
      <c r="I3545" s="108" t="s">
        <v>95</v>
      </c>
    </row>
    <row r="3546" spans="1:9">
      <c r="A3546" s="108" t="s">
        <v>16151</v>
      </c>
      <c r="B3546" s="108" t="s">
        <v>20191</v>
      </c>
      <c r="C3546" s="109">
        <v>44768</v>
      </c>
      <c r="D3546" s="108" t="s">
        <v>20192</v>
      </c>
      <c r="E3546" s="108" t="s">
        <v>14605</v>
      </c>
      <c r="F3546" s="108" t="s">
        <v>20015</v>
      </c>
      <c r="G3546" s="109">
        <v>46618</v>
      </c>
      <c r="H3546" s="108" t="s">
        <v>1127</v>
      </c>
      <c r="I3546" s="108" t="s">
        <v>95</v>
      </c>
    </row>
    <row r="3547" spans="1:9">
      <c r="A3547" s="108" t="s">
        <v>16151</v>
      </c>
      <c r="B3547" s="108" t="s">
        <v>20193</v>
      </c>
      <c r="C3547" s="109">
        <v>44874</v>
      </c>
      <c r="D3547" s="108" t="s">
        <v>20194</v>
      </c>
      <c r="E3547" s="108" t="s">
        <v>14605</v>
      </c>
      <c r="F3547" s="108" t="s">
        <v>20138</v>
      </c>
      <c r="G3547" s="109">
        <v>45991</v>
      </c>
      <c r="H3547" s="108" t="s">
        <v>1127</v>
      </c>
      <c r="I3547" s="108" t="s">
        <v>95</v>
      </c>
    </row>
    <row r="3548" spans="1:9">
      <c r="A3548" s="108" t="s">
        <v>16151</v>
      </c>
      <c r="B3548" s="108" t="s">
        <v>20195</v>
      </c>
      <c r="C3548" s="109">
        <v>44950</v>
      </c>
      <c r="D3548" s="108" t="s">
        <v>20196</v>
      </c>
      <c r="E3548" s="108" t="s">
        <v>14605</v>
      </c>
      <c r="F3548" s="108" t="s">
        <v>19999</v>
      </c>
      <c r="G3548" s="109">
        <v>45675</v>
      </c>
      <c r="H3548" s="108" t="s">
        <v>1127</v>
      </c>
      <c r="I3548" s="108" t="s">
        <v>95</v>
      </c>
    </row>
    <row r="3549" spans="1:9" ht="27.6">
      <c r="A3549" s="108" t="s">
        <v>16151</v>
      </c>
      <c r="B3549" s="108" t="s">
        <v>20197</v>
      </c>
      <c r="C3549" s="109">
        <v>44950</v>
      </c>
      <c r="D3549" s="108" t="s">
        <v>20198</v>
      </c>
      <c r="E3549" s="108" t="s">
        <v>14605</v>
      </c>
      <c r="F3549" s="108" t="s">
        <v>16469</v>
      </c>
      <c r="G3549" s="109">
        <v>46399</v>
      </c>
      <c r="H3549" s="108" t="s">
        <v>1127</v>
      </c>
      <c r="I3549" s="108" t="s">
        <v>95</v>
      </c>
    </row>
    <row r="3550" spans="1:9" ht="27.6">
      <c r="A3550" s="108" t="s">
        <v>16151</v>
      </c>
      <c r="B3550" s="108" t="s">
        <v>20199</v>
      </c>
      <c r="C3550" s="109">
        <v>44950</v>
      </c>
      <c r="D3550" s="108" t="s">
        <v>20200</v>
      </c>
      <c r="E3550" s="108" t="s">
        <v>14605</v>
      </c>
      <c r="F3550" s="108" t="s">
        <v>20201</v>
      </c>
      <c r="G3550" s="109">
        <v>46780</v>
      </c>
      <c r="H3550" s="108" t="s">
        <v>1127</v>
      </c>
      <c r="I3550" s="108" t="s">
        <v>95</v>
      </c>
    </row>
    <row r="3551" spans="1:9">
      <c r="A3551" s="108" t="s">
        <v>16151</v>
      </c>
      <c r="B3551" s="108" t="s">
        <v>20202</v>
      </c>
      <c r="C3551" s="109">
        <v>44967</v>
      </c>
      <c r="D3551" s="108" t="s">
        <v>20203</v>
      </c>
      <c r="E3551" s="108" t="s">
        <v>14605</v>
      </c>
      <c r="F3551" s="108" t="s">
        <v>20026</v>
      </c>
      <c r="G3551" s="109">
        <v>45686</v>
      </c>
      <c r="H3551" s="108" t="s">
        <v>1127</v>
      </c>
      <c r="I3551" s="108" t="s">
        <v>95</v>
      </c>
    </row>
    <row r="3552" spans="1:9">
      <c r="A3552" s="108" t="s">
        <v>16151</v>
      </c>
      <c r="B3552" s="108" t="s">
        <v>20204</v>
      </c>
      <c r="C3552" s="109">
        <v>45011</v>
      </c>
      <c r="D3552" s="108" t="s">
        <v>20205</v>
      </c>
      <c r="E3552" s="108" t="s">
        <v>14605</v>
      </c>
      <c r="F3552" s="108" t="s">
        <v>14712</v>
      </c>
      <c r="G3552" s="109">
        <v>46107</v>
      </c>
      <c r="H3552" s="108" t="s">
        <v>1127</v>
      </c>
      <c r="I3552" s="108" t="s">
        <v>95</v>
      </c>
    </row>
    <row r="3553" spans="1:9">
      <c r="A3553" s="108" t="s">
        <v>16151</v>
      </c>
      <c r="B3553" s="108" t="s">
        <v>20206</v>
      </c>
      <c r="C3553" s="109">
        <v>45401</v>
      </c>
      <c r="D3553" s="108" t="s">
        <v>20207</v>
      </c>
      <c r="E3553" s="108" t="s">
        <v>14605</v>
      </c>
      <c r="F3553" s="108" t="s">
        <v>16410</v>
      </c>
      <c r="G3553" s="109">
        <v>47253</v>
      </c>
      <c r="H3553" s="108" t="s">
        <v>1127</v>
      </c>
      <c r="I3553" s="108" t="s">
        <v>95</v>
      </c>
    </row>
    <row r="3554" spans="1:9">
      <c r="A3554" s="108" t="s">
        <v>16151</v>
      </c>
      <c r="B3554" s="108" t="s">
        <v>20208</v>
      </c>
      <c r="C3554" s="109">
        <v>45385</v>
      </c>
      <c r="D3554" s="108" t="s">
        <v>20209</v>
      </c>
      <c r="E3554" s="108" t="s">
        <v>14605</v>
      </c>
      <c r="F3554" s="108" t="s">
        <v>20210</v>
      </c>
      <c r="G3554" s="109">
        <v>47205</v>
      </c>
      <c r="H3554" s="108" t="s">
        <v>1127</v>
      </c>
      <c r="I3554" s="108" t="s">
        <v>95</v>
      </c>
    </row>
    <row r="3555" spans="1:9">
      <c r="A3555" s="108" t="s">
        <v>16151</v>
      </c>
      <c r="B3555" s="108" t="s">
        <v>20211</v>
      </c>
      <c r="C3555" s="109">
        <v>45408</v>
      </c>
      <c r="D3555" s="108" t="s">
        <v>20212</v>
      </c>
      <c r="E3555" s="108" t="s">
        <v>14605</v>
      </c>
      <c r="F3555" s="108" t="s">
        <v>15331</v>
      </c>
      <c r="G3555" s="109">
        <v>47240</v>
      </c>
      <c r="H3555" s="108" t="s">
        <v>1127</v>
      </c>
      <c r="I3555" s="108" t="s">
        <v>95</v>
      </c>
    </row>
    <row r="3556" spans="1:9">
      <c r="A3556" s="108" t="s">
        <v>16151</v>
      </c>
      <c r="B3556" s="108" t="s">
        <v>20213</v>
      </c>
      <c r="C3556" s="109">
        <v>45389</v>
      </c>
      <c r="D3556" s="108" t="s">
        <v>20214</v>
      </c>
      <c r="E3556" s="108" t="s">
        <v>14605</v>
      </c>
      <c r="F3556" s="108" t="s">
        <v>20215</v>
      </c>
      <c r="G3556" s="109">
        <v>47213</v>
      </c>
      <c r="H3556" s="108" t="s">
        <v>1127</v>
      </c>
      <c r="I3556" s="108" t="s">
        <v>95</v>
      </c>
    </row>
    <row r="3557" spans="1:9">
      <c r="A3557" s="108" t="s">
        <v>16151</v>
      </c>
      <c r="B3557" s="108" t="s">
        <v>20216</v>
      </c>
      <c r="C3557" s="109">
        <v>45415</v>
      </c>
      <c r="D3557" s="108" t="s">
        <v>20217</v>
      </c>
      <c r="E3557" s="108" t="s">
        <v>14605</v>
      </c>
      <c r="F3557" s="108" t="s">
        <v>14712</v>
      </c>
      <c r="G3557" s="109">
        <v>46139</v>
      </c>
      <c r="H3557" s="108" t="s">
        <v>1127</v>
      </c>
      <c r="I3557" s="108" t="s">
        <v>95</v>
      </c>
    </row>
    <row r="3558" spans="1:9">
      <c r="A3558" s="108" t="s">
        <v>16151</v>
      </c>
      <c r="B3558" s="108" t="s">
        <v>20218</v>
      </c>
      <c r="C3558" s="109">
        <v>45609</v>
      </c>
      <c r="D3558" s="108" t="s">
        <v>20219</v>
      </c>
      <c r="E3558" s="108" t="s">
        <v>14605</v>
      </c>
      <c r="F3558" s="108" t="s">
        <v>20010</v>
      </c>
      <c r="G3558" s="109">
        <v>46581</v>
      </c>
      <c r="H3558" s="108" t="s">
        <v>1127</v>
      </c>
      <c r="I3558" s="108" t="s">
        <v>95</v>
      </c>
    </row>
    <row r="3559" spans="1:9">
      <c r="A3559" s="108" t="s">
        <v>16151</v>
      </c>
      <c r="B3559" s="108" t="s">
        <v>20220</v>
      </c>
      <c r="C3559" s="109">
        <v>44357</v>
      </c>
      <c r="D3559" s="108" t="s">
        <v>20221</v>
      </c>
      <c r="E3559" s="108" t="s">
        <v>14605</v>
      </c>
      <c r="F3559" s="108" t="s">
        <v>16410</v>
      </c>
      <c r="G3559" s="109">
        <v>46022</v>
      </c>
      <c r="H3559" s="108" t="s">
        <v>1127</v>
      </c>
      <c r="I3559" s="108" t="s">
        <v>95</v>
      </c>
    </row>
    <row r="3560" spans="1:9" ht="27.6">
      <c r="A3560" s="108" t="s">
        <v>103</v>
      </c>
      <c r="B3560" s="108" t="s">
        <v>20222</v>
      </c>
      <c r="C3560" s="109">
        <v>43985</v>
      </c>
      <c r="D3560" s="108" t="s">
        <v>20223</v>
      </c>
      <c r="E3560" s="108" t="s">
        <v>14605</v>
      </c>
      <c r="F3560" s="108" t="s">
        <v>20224</v>
      </c>
      <c r="G3560" s="109">
        <v>46204</v>
      </c>
      <c r="H3560" s="108" t="s">
        <v>1127</v>
      </c>
      <c r="I3560" s="108" t="s">
        <v>95</v>
      </c>
    </row>
    <row r="3561" spans="1:9">
      <c r="A3561" s="108" t="s">
        <v>16151</v>
      </c>
      <c r="B3561" s="108" t="s">
        <v>20225</v>
      </c>
      <c r="C3561" s="109">
        <v>44253</v>
      </c>
      <c r="D3561" s="108" t="s">
        <v>20226</v>
      </c>
      <c r="E3561" s="108" t="s">
        <v>14605</v>
      </c>
      <c r="F3561" s="108" t="s">
        <v>20141</v>
      </c>
      <c r="G3561" s="109">
        <v>46078</v>
      </c>
      <c r="H3561" s="108" t="s">
        <v>1127</v>
      </c>
      <c r="I3561" s="108" t="s">
        <v>95</v>
      </c>
    </row>
    <row r="3562" spans="1:9" ht="27.6">
      <c r="A3562" s="108" t="s">
        <v>388</v>
      </c>
      <c r="B3562" s="108" t="s">
        <v>20227</v>
      </c>
      <c r="C3562" s="109">
        <v>44580</v>
      </c>
      <c r="D3562" s="108" t="s">
        <v>20228</v>
      </c>
      <c r="E3562" s="108" t="s">
        <v>14605</v>
      </c>
      <c r="F3562" s="108" t="s">
        <v>19994</v>
      </c>
      <c r="G3562" s="109">
        <v>46403</v>
      </c>
      <c r="H3562" s="108" t="s">
        <v>1127</v>
      </c>
      <c r="I3562" s="108" t="s">
        <v>95</v>
      </c>
    </row>
    <row r="3563" spans="1:9" ht="27.6">
      <c r="A3563" s="108" t="s">
        <v>388</v>
      </c>
      <c r="B3563" s="108" t="s">
        <v>20229</v>
      </c>
      <c r="C3563" s="109">
        <v>44991</v>
      </c>
      <c r="D3563" s="108" t="s">
        <v>20230</v>
      </c>
      <c r="E3563" s="108" t="s">
        <v>14605</v>
      </c>
      <c r="F3563" s="108" t="s">
        <v>20231</v>
      </c>
      <c r="G3563" s="109">
        <v>46050</v>
      </c>
      <c r="H3563" s="108" t="s">
        <v>1127</v>
      </c>
      <c r="I3563" s="108" t="s">
        <v>95</v>
      </c>
    </row>
    <row r="3564" spans="1:9" ht="27.6">
      <c r="A3564" s="108" t="s">
        <v>388</v>
      </c>
      <c r="B3564" s="108" t="s">
        <v>20232</v>
      </c>
      <c r="C3564" s="109">
        <v>45250</v>
      </c>
      <c r="D3564" s="108" t="s">
        <v>20233</v>
      </c>
      <c r="E3564" s="108" t="s">
        <v>14605</v>
      </c>
      <c r="F3564" s="108" t="s">
        <v>15084</v>
      </c>
      <c r="G3564" s="109">
        <v>46022</v>
      </c>
      <c r="H3564" s="108" t="s">
        <v>1127</v>
      </c>
      <c r="I3564" s="108" t="s">
        <v>95</v>
      </c>
    </row>
    <row r="3565" spans="1:9">
      <c r="A3565" s="108" t="s">
        <v>87</v>
      </c>
      <c r="B3565" s="108" t="s">
        <v>20234</v>
      </c>
      <c r="C3565" s="109">
        <v>42339</v>
      </c>
      <c r="D3565" s="108" t="s">
        <v>20235</v>
      </c>
      <c r="E3565" s="108" t="s">
        <v>14605</v>
      </c>
      <c r="F3565" s="108" t="s">
        <v>14712</v>
      </c>
      <c r="G3565" s="109">
        <v>45291</v>
      </c>
      <c r="H3565" s="108" t="s">
        <v>1127</v>
      </c>
      <c r="I3565" s="108" t="s">
        <v>280</v>
      </c>
    </row>
    <row r="3566" spans="1:9" ht="27.6">
      <c r="A3566" s="108" t="s">
        <v>87</v>
      </c>
      <c r="B3566" s="108" t="s">
        <v>20236</v>
      </c>
      <c r="C3566" s="109">
        <v>43456</v>
      </c>
      <c r="D3566" s="108" t="s">
        <v>20237</v>
      </c>
      <c r="E3566" s="108" t="s">
        <v>14605</v>
      </c>
      <c r="F3566" s="108" t="s">
        <v>20238</v>
      </c>
      <c r="G3566" s="109">
        <v>45382</v>
      </c>
      <c r="H3566" s="108" t="s">
        <v>1127</v>
      </c>
      <c r="I3566" s="108" t="s">
        <v>280</v>
      </c>
    </row>
    <row r="3567" spans="1:9">
      <c r="A3567" s="108" t="s">
        <v>87</v>
      </c>
      <c r="B3567" s="108" t="s">
        <v>20239</v>
      </c>
      <c r="C3567" s="109">
        <v>43644</v>
      </c>
      <c r="D3567" s="108" t="s">
        <v>20240</v>
      </c>
      <c r="E3567" s="108" t="s">
        <v>14605</v>
      </c>
      <c r="F3567" s="108" t="s">
        <v>20241</v>
      </c>
      <c r="G3567" s="109">
        <v>45905</v>
      </c>
      <c r="H3567" s="108" t="s">
        <v>1127</v>
      </c>
      <c r="I3567" s="108" t="s">
        <v>280</v>
      </c>
    </row>
    <row r="3568" spans="1:9">
      <c r="A3568" s="108" t="s">
        <v>87</v>
      </c>
      <c r="B3568" s="108" t="s">
        <v>20242</v>
      </c>
      <c r="C3568" s="109">
        <v>43514</v>
      </c>
      <c r="D3568" s="108" t="s">
        <v>20243</v>
      </c>
      <c r="E3568" s="108" t="s">
        <v>14605</v>
      </c>
      <c r="F3568" s="108" t="s">
        <v>20244</v>
      </c>
      <c r="G3568" s="109">
        <v>45814</v>
      </c>
      <c r="H3568" s="108" t="s">
        <v>1127</v>
      </c>
      <c r="I3568" s="108" t="s">
        <v>280</v>
      </c>
    </row>
    <row r="3569" spans="1:9">
      <c r="A3569" s="108" t="s">
        <v>87</v>
      </c>
      <c r="B3569" s="108" t="s">
        <v>20245</v>
      </c>
      <c r="C3569" s="109">
        <v>43886</v>
      </c>
      <c r="D3569" s="108" t="s">
        <v>20246</v>
      </c>
      <c r="E3569" s="108" t="s">
        <v>14605</v>
      </c>
      <c r="F3569" s="108" t="s">
        <v>20244</v>
      </c>
      <c r="G3569" s="109">
        <v>46078</v>
      </c>
      <c r="H3569" s="108" t="s">
        <v>1127</v>
      </c>
      <c r="I3569" s="108" t="s">
        <v>280</v>
      </c>
    </row>
    <row r="3570" spans="1:9" ht="27.6">
      <c r="A3570" s="108" t="s">
        <v>237</v>
      </c>
      <c r="B3570" s="108" t="s">
        <v>20247</v>
      </c>
      <c r="C3570" s="109">
        <v>42668</v>
      </c>
      <c r="D3570" s="108" t="s">
        <v>20248</v>
      </c>
      <c r="E3570" s="108" t="s">
        <v>14605</v>
      </c>
      <c r="F3570" s="108" t="s">
        <v>14678</v>
      </c>
      <c r="G3570" s="109">
        <v>45480</v>
      </c>
      <c r="H3570" s="108" t="s">
        <v>1127</v>
      </c>
      <c r="I3570" s="108" t="s">
        <v>280</v>
      </c>
    </row>
    <row r="3571" spans="1:9" ht="27.6">
      <c r="A3571" s="108" t="s">
        <v>15043</v>
      </c>
      <c r="B3571" s="108" t="s">
        <v>20249</v>
      </c>
      <c r="C3571" s="109">
        <v>42629</v>
      </c>
      <c r="D3571" s="108" t="s">
        <v>20250</v>
      </c>
      <c r="E3571" s="108" t="s">
        <v>14605</v>
      </c>
      <c r="F3571" s="108" t="s">
        <v>20251</v>
      </c>
      <c r="G3571" s="109">
        <v>45546</v>
      </c>
      <c r="H3571" s="108" t="s">
        <v>1127</v>
      </c>
      <c r="I3571" s="108" t="s">
        <v>280</v>
      </c>
    </row>
    <row r="3572" spans="1:9">
      <c r="A3572" s="108" t="s">
        <v>571</v>
      </c>
      <c r="B3572" s="108" t="s">
        <v>20252</v>
      </c>
      <c r="C3572" s="109">
        <v>42256</v>
      </c>
      <c r="D3572" s="108" t="s">
        <v>20253</v>
      </c>
      <c r="E3572" s="108" t="s">
        <v>14605</v>
      </c>
      <c r="F3572" s="108" t="s">
        <v>20254</v>
      </c>
      <c r="G3572" s="109">
        <v>45373</v>
      </c>
      <c r="H3572" s="108" t="s">
        <v>1127</v>
      </c>
      <c r="I3572" s="108" t="s">
        <v>280</v>
      </c>
    </row>
    <row r="3573" spans="1:9">
      <c r="A3573" s="108" t="s">
        <v>571</v>
      </c>
      <c r="B3573" s="108" t="s">
        <v>20255</v>
      </c>
      <c r="C3573" s="109">
        <v>42822</v>
      </c>
      <c r="D3573" s="108" t="s">
        <v>20256</v>
      </c>
      <c r="E3573" s="108" t="s">
        <v>14605</v>
      </c>
      <c r="F3573" s="108" t="s">
        <v>20257</v>
      </c>
      <c r="G3573" s="109">
        <v>46099</v>
      </c>
      <c r="H3573" s="108" t="s">
        <v>1127</v>
      </c>
      <c r="I3573" s="108" t="s">
        <v>280</v>
      </c>
    </row>
    <row r="3574" spans="1:9" ht="27.6">
      <c r="A3574" s="108" t="s">
        <v>2002</v>
      </c>
      <c r="B3574" s="108" t="s">
        <v>20258</v>
      </c>
      <c r="C3574" s="109">
        <v>42690</v>
      </c>
      <c r="D3574" s="108" t="s">
        <v>20259</v>
      </c>
      <c r="E3574" s="108" t="s">
        <v>14605</v>
      </c>
      <c r="F3574" s="108" t="s">
        <v>20260</v>
      </c>
      <c r="G3574" s="109">
        <v>46234</v>
      </c>
      <c r="H3574" s="108" t="s">
        <v>1127</v>
      </c>
      <c r="I3574" s="108" t="s">
        <v>280</v>
      </c>
    </row>
    <row r="3575" spans="1:9">
      <c r="A3575" s="108" t="s">
        <v>2002</v>
      </c>
      <c r="B3575" s="108" t="s">
        <v>20261</v>
      </c>
      <c r="C3575" s="109">
        <v>42998</v>
      </c>
      <c r="D3575" s="108" t="s">
        <v>20262</v>
      </c>
      <c r="E3575" s="108" t="s">
        <v>14605</v>
      </c>
      <c r="F3575" s="108" t="s">
        <v>20263</v>
      </c>
      <c r="G3575" s="109">
        <v>46206</v>
      </c>
      <c r="H3575" s="108" t="s">
        <v>1127</v>
      </c>
      <c r="I3575" s="108" t="s">
        <v>280</v>
      </c>
    </row>
    <row r="3576" spans="1:9">
      <c r="A3576" s="108" t="s">
        <v>2002</v>
      </c>
      <c r="B3576" s="108" t="s">
        <v>20264</v>
      </c>
      <c r="C3576" s="109">
        <v>43371</v>
      </c>
      <c r="D3576" s="108" t="s">
        <v>20265</v>
      </c>
      <c r="E3576" s="108" t="s">
        <v>14605</v>
      </c>
      <c r="F3576" s="108" t="s">
        <v>20266</v>
      </c>
      <c r="G3576" s="109">
        <v>45930</v>
      </c>
      <c r="H3576" s="108" t="s">
        <v>1127</v>
      </c>
      <c r="I3576" s="108" t="s">
        <v>280</v>
      </c>
    </row>
    <row r="3577" spans="1:9" ht="27.6">
      <c r="A3577" s="108" t="s">
        <v>1465</v>
      </c>
      <c r="B3577" s="108" t="s">
        <v>20267</v>
      </c>
      <c r="C3577" s="109">
        <v>43369</v>
      </c>
      <c r="D3577" s="108" t="s">
        <v>20268</v>
      </c>
      <c r="E3577" s="108" t="s">
        <v>14605</v>
      </c>
      <c r="F3577" s="108" t="s">
        <v>14606</v>
      </c>
      <c r="G3577" s="109">
        <v>46059</v>
      </c>
      <c r="H3577" s="108" t="s">
        <v>1127</v>
      </c>
      <c r="I3577" s="108" t="s">
        <v>280</v>
      </c>
    </row>
    <row r="3578" spans="1:9">
      <c r="A3578" s="108" t="s">
        <v>2002</v>
      </c>
      <c r="B3578" s="108" t="s">
        <v>20269</v>
      </c>
      <c r="C3578" s="109">
        <v>44453</v>
      </c>
      <c r="D3578" s="108" t="s">
        <v>20270</v>
      </c>
      <c r="E3578" s="108" t="s">
        <v>14605</v>
      </c>
      <c r="F3578" s="108" t="s">
        <v>15023</v>
      </c>
      <c r="G3578" s="109">
        <v>45491</v>
      </c>
      <c r="H3578" s="108" t="s">
        <v>1127</v>
      </c>
      <c r="I3578" s="108" t="s">
        <v>280</v>
      </c>
    </row>
    <row r="3579" spans="1:9">
      <c r="A3579" s="108" t="s">
        <v>571</v>
      </c>
      <c r="B3579" s="108" t="s">
        <v>20271</v>
      </c>
      <c r="C3579" s="109">
        <v>44425</v>
      </c>
      <c r="D3579" s="108" t="s">
        <v>20272</v>
      </c>
      <c r="E3579" s="108" t="s">
        <v>14605</v>
      </c>
      <c r="F3579" s="108" t="s">
        <v>14712</v>
      </c>
      <c r="G3579" s="109">
        <v>45291</v>
      </c>
      <c r="H3579" s="108" t="s">
        <v>1127</v>
      </c>
      <c r="I3579" s="108" t="s">
        <v>280</v>
      </c>
    </row>
    <row r="3580" spans="1:9">
      <c r="A3580" s="108" t="s">
        <v>237</v>
      </c>
      <c r="B3580" s="108" t="s">
        <v>20273</v>
      </c>
      <c r="C3580" s="109">
        <v>44463</v>
      </c>
      <c r="D3580" s="108" t="s">
        <v>20274</v>
      </c>
      <c r="E3580" s="108" t="s">
        <v>14605</v>
      </c>
      <c r="F3580" s="108" t="s">
        <v>20275</v>
      </c>
      <c r="G3580" s="109">
        <v>45230</v>
      </c>
      <c r="H3580" s="108" t="s">
        <v>1127</v>
      </c>
      <c r="I3580" s="108" t="s">
        <v>280</v>
      </c>
    </row>
    <row r="3581" spans="1:9">
      <c r="A3581" s="108" t="s">
        <v>1465</v>
      </c>
      <c r="B3581" s="108" t="s">
        <v>20276</v>
      </c>
      <c r="C3581" s="109">
        <v>40914</v>
      </c>
      <c r="D3581" s="108" t="s">
        <v>20277</v>
      </c>
      <c r="E3581" s="108" t="s">
        <v>14605</v>
      </c>
      <c r="F3581" s="108" t="s">
        <v>20138</v>
      </c>
      <c r="G3581" s="109">
        <v>45260</v>
      </c>
      <c r="H3581" s="108" t="s">
        <v>1127</v>
      </c>
      <c r="I3581" s="108" t="s">
        <v>280</v>
      </c>
    </row>
    <row r="3582" spans="1:9">
      <c r="A3582" s="108" t="s">
        <v>87</v>
      </c>
      <c r="B3582" s="108" t="s">
        <v>20278</v>
      </c>
      <c r="C3582" s="109">
        <v>43552</v>
      </c>
      <c r="D3582" s="108" t="s">
        <v>20279</v>
      </c>
      <c r="E3582" s="108" t="s">
        <v>14605</v>
      </c>
      <c r="F3582" s="108" t="s">
        <v>20280</v>
      </c>
      <c r="G3582" s="109">
        <v>45742</v>
      </c>
      <c r="H3582" s="108" t="s">
        <v>1127</v>
      </c>
      <c r="I3582" s="108" t="s">
        <v>79</v>
      </c>
    </row>
    <row r="3583" spans="1:9" ht="27.6">
      <c r="A3583" s="108" t="s">
        <v>87</v>
      </c>
      <c r="B3583" s="108" t="s">
        <v>20281</v>
      </c>
      <c r="C3583" s="109">
        <v>43721</v>
      </c>
      <c r="D3583" s="108" t="s">
        <v>20282</v>
      </c>
      <c r="E3583" s="108" t="s">
        <v>14605</v>
      </c>
      <c r="F3583" s="108" t="s">
        <v>20283</v>
      </c>
      <c r="G3583" s="109">
        <v>45548</v>
      </c>
      <c r="H3583" s="108" t="s">
        <v>1127</v>
      </c>
      <c r="I3583" s="108" t="s">
        <v>79</v>
      </c>
    </row>
    <row r="3584" spans="1:9" ht="27.6">
      <c r="A3584" s="108" t="s">
        <v>316</v>
      </c>
      <c r="B3584" s="108" t="s">
        <v>20284</v>
      </c>
      <c r="C3584" s="109">
        <v>43377</v>
      </c>
      <c r="D3584" s="108" t="s">
        <v>20285</v>
      </c>
      <c r="E3584" s="108" t="s">
        <v>14605</v>
      </c>
      <c r="F3584" s="108" t="s">
        <v>14754</v>
      </c>
      <c r="G3584" s="109">
        <v>45934</v>
      </c>
      <c r="H3584" s="108" t="s">
        <v>1127</v>
      </c>
      <c r="I3584" s="108" t="s">
        <v>79</v>
      </c>
    </row>
    <row r="3585" spans="1:9">
      <c r="A3585" s="108" t="s">
        <v>237</v>
      </c>
      <c r="B3585" s="108" t="s">
        <v>20286</v>
      </c>
      <c r="C3585" s="109">
        <v>44183</v>
      </c>
      <c r="D3585" s="108" t="s">
        <v>20287</v>
      </c>
      <c r="E3585" s="108" t="s">
        <v>14605</v>
      </c>
      <c r="F3585" s="108" t="s">
        <v>15731</v>
      </c>
      <c r="G3585" s="109">
        <v>45747</v>
      </c>
      <c r="H3585" s="108" t="s">
        <v>1127</v>
      </c>
      <c r="I3585" s="108" t="s">
        <v>79</v>
      </c>
    </row>
    <row r="3586" spans="1:9">
      <c r="A3586" s="108" t="s">
        <v>237</v>
      </c>
      <c r="B3586" s="108" t="s">
        <v>20288</v>
      </c>
      <c r="C3586" s="109">
        <v>44672</v>
      </c>
      <c r="D3586" s="108" t="s">
        <v>20289</v>
      </c>
      <c r="E3586" s="108" t="s">
        <v>14605</v>
      </c>
      <c r="F3586" s="108" t="s">
        <v>15731</v>
      </c>
      <c r="G3586" s="109">
        <v>45747</v>
      </c>
      <c r="H3586" s="108" t="s">
        <v>1127</v>
      </c>
      <c r="I3586" s="108" t="s">
        <v>79</v>
      </c>
    </row>
    <row r="3587" spans="1:9">
      <c r="A3587" s="108" t="s">
        <v>237</v>
      </c>
      <c r="B3587" s="108" t="s">
        <v>20290</v>
      </c>
      <c r="C3587" s="109">
        <v>44834</v>
      </c>
      <c r="D3587" s="108" t="s">
        <v>20291</v>
      </c>
      <c r="E3587" s="108" t="s">
        <v>14605</v>
      </c>
      <c r="F3587" s="108" t="s">
        <v>15731</v>
      </c>
      <c r="G3587" s="109">
        <v>45563</v>
      </c>
      <c r="H3587" s="108" t="s">
        <v>1127</v>
      </c>
      <c r="I3587" s="108" t="s">
        <v>79</v>
      </c>
    </row>
    <row r="3588" spans="1:9" ht="27.6">
      <c r="A3588" s="108" t="s">
        <v>87</v>
      </c>
      <c r="B3588" s="108" t="s">
        <v>20292</v>
      </c>
      <c r="C3588" s="109">
        <v>42460</v>
      </c>
      <c r="D3588" s="108" t="s">
        <v>20293</v>
      </c>
      <c r="E3588" s="108" t="s">
        <v>14605</v>
      </c>
      <c r="F3588" s="108" t="s">
        <v>20294</v>
      </c>
      <c r="G3588" s="109">
        <v>45851</v>
      </c>
      <c r="H3588" s="108" t="s">
        <v>1127</v>
      </c>
      <c r="I3588" s="108" t="s">
        <v>164</v>
      </c>
    </row>
    <row r="3589" spans="1:9" ht="27.6">
      <c r="A3589" s="108" t="s">
        <v>316</v>
      </c>
      <c r="B3589" s="108" t="s">
        <v>20295</v>
      </c>
      <c r="C3589" s="109">
        <v>42727</v>
      </c>
      <c r="D3589" s="108" t="s">
        <v>20296</v>
      </c>
      <c r="E3589" s="108" t="s">
        <v>14605</v>
      </c>
      <c r="F3589" s="108" t="s">
        <v>20297</v>
      </c>
      <c r="G3589" s="109">
        <v>46084</v>
      </c>
      <c r="H3589" s="108" t="s">
        <v>1127</v>
      </c>
      <c r="I3589" s="108" t="s">
        <v>164</v>
      </c>
    </row>
    <row r="3590" spans="1:9" ht="27.6">
      <c r="A3590" s="108" t="s">
        <v>316</v>
      </c>
      <c r="B3590" s="108" t="s">
        <v>20298</v>
      </c>
      <c r="C3590" s="109">
        <v>43789</v>
      </c>
      <c r="D3590" s="108" t="s">
        <v>20299</v>
      </c>
      <c r="E3590" s="108" t="s">
        <v>14605</v>
      </c>
      <c r="F3590" s="108" t="s">
        <v>20300</v>
      </c>
      <c r="G3590" s="109">
        <v>46148</v>
      </c>
      <c r="H3590" s="108" t="s">
        <v>1127</v>
      </c>
      <c r="I3590" s="108" t="s">
        <v>164</v>
      </c>
    </row>
    <row r="3591" spans="1:9">
      <c r="A3591" s="108" t="s">
        <v>2002</v>
      </c>
      <c r="B3591" s="108" t="s">
        <v>20301</v>
      </c>
      <c r="C3591" s="109">
        <v>43636</v>
      </c>
      <c r="D3591" s="108" t="s">
        <v>20302</v>
      </c>
      <c r="E3591" s="108" t="s">
        <v>14605</v>
      </c>
      <c r="F3591" s="108" t="s">
        <v>20303</v>
      </c>
      <c r="G3591" s="109">
        <v>46191</v>
      </c>
      <c r="H3591" s="108" t="s">
        <v>1127</v>
      </c>
      <c r="I3591" s="108" t="s">
        <v>164</v>
      </c>
    </row>
    <row r="3592" spans="1:9">
      <c r="A3592" s="108" t="s">
        <v>2002</v>
      </c>
      <c r="B3592" s="108" t="s">
        <v>20304</v>
      </c>
      <c r="C3592" s="109">
        <v>43635</v>
      </c>
      <c r="D3592" s="108" t="s">
        <v>20305</v>
      </c>
      <c r="E3592" s="108" t="s">
        <v>14605</v>
      </c>
      <c r="F3592" s="108" t="s">
        <v>20303</v>
      </c>
      <c r="G3592" s="109">
        <v>46191</v>
      </c>
      <c r="H3592" s="108" t="s">
        <v>1127</v>
      </c>
      <c r="I3592" s="108" t="s">
        <v>164</v>
      </c>
    </row>
    <row r="3593" spans="1:9">
      <c r="A3593" s="108" t="s">
        <v>1465</v>
      </c>
      <c r="B3593" s="108" t="s">
        <v>20306</v>
      </c>
      <c r="C3593" s="109">
        <v>44001</v>
      </c>
      <c r="D3593" s="108" t="s">
        <v>20307</v>
      </c>
      <c r="E3593" s="108" t="s">
        <v>14605</v>
      </c>
      <c r="F3593" s="108" t="s">
        <v>20308</v>
      </c>
      <c r="G3593" s="109">
        <v>45832</v>
      </c>
      <c r="H3593" s="108" t="s">
        <v>1127</v>
      </c>
      <c r="I3593" s="108" t="s">
        <v>164</v>
      </c>
    </row>
    <row r="3594" spans="1:9">
      <c r="A3594" s="108" t="s">
        <v>87</v>
      </c>
      <c r="B3594" s="108" t="s">
        <v>20309</v>
      </c>
      <c r="C3594" s="109">
        <v>45448</v>
      </c>
      <c r="D3594" s="108" t="s">
        <v>20310</v>
      </c>
      <c r="E3594" s="108" t="s">
        <v>14605</v>
      </c>
      <c r="F3594" s="108" t="s">
        <v>20244</v>
      </c>
      <c r="G3594" s="109">
        <v>46177</v>
      </c>
      <c r="H3594" s="108" t="s">
        <v>1127</v>
      </c>
      <c r="I3594" s="108" t="s">
        <v>164</v>
      </c>
    </row>
    <row r="3595" spans="1:9" ht="27.6">
      <c r="A3595" s="108" t="s">
        <v>199</v>
      </c>
      <c r="B3595" s="108" t="s">
        <v>20311</v>
      </c>
      <c r="C3595" s="109">
        <v>41305</v>
      </c>
      <c r="D3595" s="108" t="s">
        <v>20312</v>
      </c>
      <c r="E3595" s="108" t="s">
        <v>14605</v>
      </c>
      <c r="F3595" s="108" t="s">
        <v>20313</v>
      </c>
      <c r="G3595" s="109">
        <v>45371</v>
      </c>
      <c r="H3595" s="108" t="s">
        <v>1127</v>
      </c>
      <c r="I3595" s="108" t="s">
        <v>226</v>
      </c>
    </row>
    <row r="3596" spans="1:9" ht="27.6">
      <c r="A3596" s="108" t="s">
        <v>207</v>
      </c>
      <c r="B3596" s="108" t="s">
        <v>20314</v>
      </c>
      <c r="C3596" s="109">
        <v>41070</v>
      </c>
      <c r="D3596" s="108" t="s">
        <v>20315</v>
      </c>
      <c r="E3596" s="108" t="s">
        <v>14605</v>
      </c>
      <c r="F3596" s="108" t="s">
        <v>15731</v>
      </c>
      <c r="G3596" s="109">
        <v>45291</v>
      </c>
      <c r="H3596" s="108" t="s">
        <v>1127</v>
      </c>
      <c r="I3596" s="108" t="s">
        <v>206</v>
      </c>
    </row>
    <row r="3597" spans="1:9" ht="27.6">
      <c r="A3597" s="108" t="s">
        <v>207</v>
      </c>
      <c r="B3597" s="108" t="s">
        <v>20316</v>
      </c>
      <c r="C3597" s="109">
        <v>41722</v>
      </c>
      <c r="D3597" s="108" t="s">
        <v>20317</v>
      </c>
      <c r="E3597" s="108" t="s">
        <v>14605</v>
      </c>
      <c r="F3597" s="108" t="s">
        <v>20318</v>
      </c>
      <c r="G3597" s="109">
        <v>46022</v>
      </c>
      <c r="H3597" s="108" t="s">
        <v>1127</v>
      </c>
      <c r="I3597" s="108" t="s">
        <v>206</v>
      </c>
    </row>
    <row r="3598" spans="1:9" ht="27.6">
      <c r="A3598" s="108" t="s">
        <v>207</v>
      </c>
      <c r="B3598" s="108" t="s">
        <v>20319</v>
      </c>
      <c r="C3598" s="109">
        <v>42076</v>
      </c>
      <c r="D3598" s="108" t="s">
        <v>20320</v>
      </c>
      <c r="E3598" s="108" t="s">
        <v>14605</v>
      </c>
      <c r="F3598" s="108" t="s">
        <v>19942</v>
      </c>
      <c r="G3598" s="109">
        <v>45571</v>
      </c>
      <c r="H3598" s="108" t="s">
        <v>1127</v>
      </c>
      <c r="I3598" s="108" t="s">
        <v>206</v>
      </c>
    </row>
    <row r="3599" spans="1:9" ht="27.6">
      <c r="A3599" s="108" t="s">
        <v>118</v>
      </c>
      <c r="B3599" s="108" t="s">
        <v>20321</v>
      </c>
      <c r="C3599" s="109">
        <v>43067</v>
      </c>
      <c r="D3599" s="108" t="s">
        <v>20322</v>
      </c>
      <c r="E3599" s="108" t="s">
        <v>14605</v>
      </c>
      <c r="F3599" s="108" t="s">
        <v>20323</v>
      </c>
      <c r="G3599" s="109">
        <v>45989</v>
      </c>
      <c r="H3599" s="108" t="s">
        <v>1127</v>
      </c>
      <c r="I3599" s="108" t="s">
        <v>206</v>
      </c>
    </row>
    <row r="3600" spans="1:9" ht="27.6">
      <c r="A3600" s="108" t="s">
        <v>207</v>
      </c>
      <c r="B3600" s="108" t="s">
        <v>20324</v>
      </c>
      <c r="C3600" s="109">
        <v>41732</v>
      </c>
      <c r="D3600" s="108" t="s">
        <v>20325</v>
      </c>
      <c r="E3600" s="108" t="s">
        <v>14605</v>
      </c>
      <c r="F3600" s="108" t="s">
        <v>20326</v>
      </c>
      <c r="G3600" s="109">
        <v>45969</v>
      </c>
      <c r="H3600" s="108" t="s">
        <v>1127</v>
      </c>
      <c r="I3600" s="108" t="s">
        <v>117</v>
      </c>
    </row>
    <row r="3601" spans="1:9">
      <c r="A3601" s="108" t="s">
        <v>118</v>
      </c>
      <c r="B3601" s="108" t="s">
        <v>20327</v>
      </c>
      <c r="C3601" s="109">
        <v>42116</v>
      </c>
      <c r="D3601" s="108" t="s">
        <v>20328</v>
      </c>
      <c r="E3601" s="108" t="s">
        <v>14605</v>
      </c>
      <c r="F3601" s="108" t="s">
        <v>20329</v>
      </c>
      <c r="G3601" s="109">
        <v>46022</v>
      </c>
      <c r="H3601" s="108" t="s">
        <v>1127</v>
      </c>
      <c r="I3601" s="108" t="s">
        <v>117</v>
      </c>
    </row>
    <row r="3602" spans="1:9">
      <c r="A3602" s="108" t="s">
        <v>118</v>
      </c>
      <c r="B3602" s="108" t="s">
        <v>20330</v>
      </c>
      <c r="C3602" s="109">
        <v>43368</v>
      </c>
      <c r="D3602" s="108" t="s">
        <v>20331</v>
      </c>
      <c r="E3602" s="108" t="s">
        <v>14605</v>
      </c>
      <c r="F3602" s="108" t="s">
        <v>20332</v>
      </c>
      <c r="G3602" s="109">
        <v>46234</v>
      </c>
      <c r="H3602" s="108" t="s">
        <v>1127</v>
      </c>
      <c r="I3602" s="108" t="s">
        <v>117</v>
      </c>
    </row>
    <row r="3603" spans="1:9">
      <c r="A3603" s="108" t="s">
        <v>118</v>
      </c>
      <c r="B3603" s="108" t="s">
        <v>20333</v>
      </c>
      <c r="C3603" s="109">
        <v>43983</v>
      </c>
      <c r="D3603" s="108" t="s">
        <v>20334</v>
      </c>
      <c r="E3603" s="108" t="s">
        <v>14605</v>
      </c>
      <c r="F3603" s="108" t="s">
        <v>20332</v>
      </c>
      <c r="G3603" s="109">
        <v>46234</v>
      </c>
      <c r="H3603" s="108" t="s">
        <v>1127</v>
      </c>
      <c r="I3603" s="108" t="s">
        <v>117</v>
      </c>
    </row>
    <row r="3604" spans="1:9">
      <c r="A3604" s="108" t="s">
        <v>118</v>
      </c>
      <c r="B3604" s="108" t="s">
        <v>20335</v>
      </c>
      <c r="C3604" s="109">
        <v>44005</v>
      </c>
      <c r="D3604" s="108" t="s">
        <v>20336</v>
      </c>
      <c r="E3604" s="108" t="s">
        <v>14605</v>
      </c>
      <c r="F3604" s="108" t="s">
        <v>20337</v>
      </c>
      <c r="G3604" s="109">
        <v>45467</v>
      </c>
      <c r="H3604" s="108" t="s">
        <v>1127</v>
      </c>
      <c r="I3604" s="108" t="s">
        <v>117</v>
      </c>
    </row>
    <row r="3605" spans="1:9">
      <c r="A3605" s="108" t="s">
        <v>118</v>
      </c>
      <c r="B3605" s="108" t="s">
        <v>20338</v>
      </c>
      <c r="C3605" s="109">
        <v>44322</v>
      </c>
      <c r="D3605" s="108" t="s">
        <v>20339</v>
      </c>
      <c r="E3605" s="108" t="s">
        <v>14605</v>
      </c>
      <c r="F3605" s="108" t="s">
        <v>20332</v>
      </c>
      <c r="G3605" s="109">
        <v>46006</v>
      </c>
      <c r="H3605" s="108" t="s">
        <v>1127</v>
      </c>
      <c r="I3605" s="108" t="s">
        <v>117</v>
      </c>
    </row>
    <row r="3606" spans="1:9">
      <c r="A3606" s="108" t="s">
        <v>118</v>
      </c>
      <c r="B3606" s="108" t="s">
        <v>20340</v>
      </c>
      <c r="C3606" s="109">
        <v>44371</v>
      </c>
      <c r="D3606" s="108" t="s">
        <v>20341</v>
      </c>
      <c r="E3606" s="108" t="s">
        <v>14605</v>
      </c>
      <c r="F3606" s="108" t="s">
        <v>20332</v>
      </c>
      <c r="G3606" s="109">
        <v>46006</v>
      </c>
      <c r="H3606" s="108" t="s">
        <v>1127</v>
      </c>
      <c r="I3606" s="108" t="s">
        <v>117</v>
      </c>
    </row>
    <row r="3607" spans="1:9" ht="27.6">
      <c r="A3607" s="108" t="s">
        <v>118</v>
      </c>
      <c r="B3607" s="108" t="s">
        <v>20342</v>
      </c>
      <c r="C3607" s="109">
        <v>44364</v>
      </c>
      <c r="D3607" s="108" t="s">
        <v>20343</v>
      </c>
      <c r="E3607" s="108" t="s">
        <v>14605</v>
      </c>
      <c r="F3607" s="108" t="s">
        <v>20344</v>
      </c>
      <c r="G3607" s="109">
        <v>45968</v>
      </c>
      <c r="H3607" s="108" t="s">
        <v>1127</v>
      </c>
      <c r="I3607" s="108" t="s">
        <v>117</v>
      </c>
    </row>
    <row r="3608" spans="1:9">
      <c r="A3608" s="108" t="s">
        <v>118</v>
      </c>
      <c r="B3608" s="108" t="s">
        <v>20345</v>
      </c>
      <c r="C3608" s="109">
        <v>43392</v>
      </c>
      <c r="D3608" s="108" t="s">
        <v>20346</v>
      </c>
      <c r="E3608" s="108" t="s">
        <v>14605</v>
      </c>
      <c r="F3608" s="108" t="s">
        <v>15086</v>
      </c>
      <c r="G3608" s="109">
        <v>46022</v>
      </c>
      <c r="H3608" s="108" t="s">
        <v>1127</v>
      </c>
      <c r="I3608" s="108" t="s">
        <v>642</v>
      </c>
    </row>
    <row r="3609" spans="1:9">
      <c r="A3609" s="108" t="s">
        <v>169</v>
      </c>
      <c r="B3609" s="108" t="s">
        <v>20347</v>
      </c>
      <c r="C3609" s="109">
        <v>41981</v>
      </c>
      <c r="D3609" s="108" t="s">
        <v>20348</v>
      </c>
      <c r="E3609" s="108" t="s">
        <v>14605</v>
      </c>
      <c r="F3609" s="108" t="s">
        <v>14712</v>
      </c>
      <c r="G3609" s="109">
        <v>45291</v>
      </c>
      <c r="H3609" s="108" t="s">
        <v>1127</v>
      </c>
      <c r="I3609" s="108" t="s">
        <v>3315</v>
      </c>
    </row>
    <row r="3610" spans="1:9">
      <c r="A3610" s="108" t="s">
        <v>169</v>
      </c>
      <c r="B3610" s="108" t="s">
        <v>20349</v>
      </c>
      <c r="C3610" s="109">
        <v>42285</v>
      </c>
      <c r="D3610" s="108" t="s">
        <v>20350</v>
      </c>
      <c r="E3610" s="108" t="s">
        <v>14605</v>
      </c>
      <c r="F3610" s="108" t="s">
        <v>14712</v>
      </c>
      <c r="G3610" s="109">
        <v>45291</v>
      </c>
      <c r="H3610" s="108" t="s">
        <v>1127</v>
      </c>
      <c r="I3610" s="108" t="s">
        <v>3315</v>
      </c>
    </row>
    <row r="3611" spans="1:9" ht="27.6">
      <c r="A3611" s="108" t="s">
        <v>169</v>
      </c>
      <c r="B3611" s="108" t="s">
        <v>20351</v>
      </c>
      <c r="C3611" s="109">
        <v>42220</v>
      </c>
      <c r="D3611" s="108" t="s">
        <v>20352</v>
      </c>
      <c r="E3611" s="108" t="s">
        <v>14605</v>
      </c>
      <c r="F3611" s="108" t="s">
        <v>14756</v>
      </c>
      <c r="G3611" s="109">
        <v>45169</v>
      </c>
      <c r="H3611" s="108" t="s">
        <v>1127</v>
      </c>
      <c r="I3611" s="108" t="s">
        <v>3315</v>
      </c>
    </row>
    <row r="3612" spans="1:9">
      <c r="A3612" s="108" t="s">
        <v>169</v>
      </c>
      <c r="B3612" s="108" t="s">
        <v>20353</v>
      </c>
      <c r="C3612" s="109">
        <v>43118</v>
      </c>
      <c r="D3612" s="108" t="s">
        <v>20354</v>
      </c>
      <c r="E3612" s="108" t="s">
        <v>14605</v>
      </c>
      <c r="F3612" s="108" t="s">
        <v>15086</v>
      </c>
      <c r="G3612" s="109">
        <v>45573</v>
      </c>
      <c r="H3612" s="108" t="s">
        <v>1127</v>
      </c>
      <c r="I3612" s="108" t="s">
        <v>3315</v>
      </c>
    </row>
    <row r="3613" spans="1:9">
      <c r="A3613" s="108" t="s">
        <v>169</v>
      </c>
      <c r="B3613" s="108" t="s">
        <v>20355</v>
      </c>
      <c r="C3613" s="109">
        <v>44294</v>
      </c>
      <c r="D3613" s="108" t="s">
        <v>20356</v>
      </c>
      <c r="E3613" s="108" t="s">
        <v>14605</v>
      </c>
      <c r="F3613" s="108" t="s">
        <v>20028</v>
      </c>
      <c r="G3613" s="109">
        <v>45436</v>
      </c>
      <c r="H3613" s="108" t="s">
        <v>1127</v>
      </c>
      <c r="I3613" s="108" t="s">
        <v>3315</v>
      </c>
    </row>
    <row r="3614" spans="1:9">
      <c r="A3614" s="108" t="s">
        <v>169</v>
      </c>
      <c r="B3614" s="108" t="s">
        <v>20357</v>
      </c>
      <c r="C3614" s="109">
        <v>44298</v>
      </c>
      <c r="D3614" s="108" t="s">
        <v>20358</v>
      </c>
      <c r="E3614" s="108" t="s">
        <v>14605</v>
      </c>
      <c r="F3614" s="108" t="s">
        <v>20359</v>
      </c>
      <c r="G3614" s="109">
        <v>45393</v>
      </c>
      <c r="H3614" s="108" t="s">
        <v>1127</v>
      </c>
      <c r="I3614" s="108" t="s">
        <v>3315</v>
      </c>
    </row>
    <row r="3615" spans="1:9">
      <c r="A3615" s="108" t="s">
        <v>169</v>
      </c>
      <c r="B3615" s="108" t="s">
        <v>20360</v>
      </c>
      <c r="C3615" s="109">
        <v>43082</v>
      </c>
      <c r="D3615" s="108" t="s">
        <v>20361</v>
      </c>
      <c r="E3615" s="108" t="s">
        <v>14605</v>
      </c>
      <c r="F3615" s="108" t="s">
        <v>19954</v>
      </c>
      <c r="G3615" s="109">
        <v>46081</v>
      </c>
      <c r="H3615" s="108" t="s">
        <v>1127</v>
      </c>
      <c r="I3615" s="108" t="s">
        <v>721</v>
      </c>
    </row>
    <row r="3616" spans="1:9">
      <c r="A3616" s="108" t="s">
        <v>169</v>
      </c>
      <c r="B3616" s="108" t="s">
        <v>20362</v>
      </c>
      <c r="C3616" s="109">
        <v>43082</v>
      </c>
      <c r="D3616" s="108" t="s">
        <v>20363</v>
      </c>
      <c r="E3616" s="108" t="s">
        <v>14605</v>
      </c>
      <c r="F3616" s="108" t="s">
        <v>19954</v>
      </c>
      <c r="G3616" s="109">
        <v>46081</v>
      </c>
      <c r="H3616" s="108" t="s">
        <v>1127</v>
      </c>
      <c r="I3616" s="108" t="s">
        <v>721</v>
      </c>
    </row>
    <row r="3617" spans="1:9">
      <c r="A3617" s="108" t="s">
        <v>169</v>
      </c>
      <c r="B3617" s="108" t="s">
        <v>20364</v>
      </c>
      <c r="C3617" s="109">
        <v>43153</v>
      </c>
      <c r="D3617" s="108" t="s">
        <v>20365</v>
      </c>
      <c r="E3617" s="108" t="s">
        <v>14605</v>
      </c>
      <c r="F3617" s="108" t="s">
        <v>19954</v>
      </c>
      <c r="G3617" s="109">
        <v>46081</v>
      </c>
      <c r="H3617" s="108" t="s">
        <v>1127</v>
      </c>
      <c r="I3617" s="108" t="s">
        <v>721</v>
      </c>
    </row>
    <row r="3618" spans="1:9">
      <c r="A3618" s="108" t="s">
        <v>169</v>
      </c>
      <c r="B3618" s="108" t="s">
        <v>20366</v>
      </c>
      <c r="C3618" s="109">
        <v>45400</v>
      </c>
      <c r="D3618" s="108" t="s">
        <v>20367</v>
      </c>
      <c r="E3618" s="108" t="s">
        <v>14605</v>
      </c>
      <c r="F3618" s="108" t="s">
        <v>14712</v>
      </c>
      <c r="G3618" s="109">
        <v>46109</v>
      </c>
      <c r="H3618" s="108" t="s">
        <v>1127</v>
      </c>
      <c r="I3618" s="108" t="s">
        <v>721</v>
      </c>
    </row>
    <row r="3619" spans="1:9">
      <c r="A3619" s="108" t="s">
        <v>169</v>
      </c>
      <c r="B3619" s="108" t="s">
        <v>20368</v>
      </c>
      <c r="C3619" s="109">
        <v>44719</v>
      </c>
      <c r="D3619" s="108" t="s">
        <v>20369</v>
      </c>
      <c r="E3619" s="108" t="s">
        <v>14605</v>
      </c>
      <c r="F3619" s="108" t="s">
        <v>20370</v>
      </c>
      <c r="G3619" s="109">
        <v>46090</v>
      </c>
      <c r="H3619" s="108" t="s">
        <v>1127</v>
      </c>
      <c r="I3619" s="108" t="s">
        <v>20371</v>
      </c>
    </row>
    <row r="3620" spans="1:9">
      <c r="A3620" s="108" t="s">
        <v>16151</v>
      </c>
      <c r="B3620" s="108" t="s">
        <v>20372</v>
      </c>
      <c r="C3620" s="109">
        <v>44187</v>
      </c>
      <c r="D3620" s="108" t="s">
        <v>20373</v>
      </c>
      <c r="E3620" s="108" t="s">
        <v>14605</v>
      </c>
      <c r="F3620" s="108" t="s">
        <v>20374</v>
      </c>
      <c r="G3620" s="109">
        <v>46022</v>
      </c>
      <c r="H3620" s="108" t="s">
        <v>1127</v>
      </c>
      <c r="I3620" s="108" t="s">
        <v>133</v>
      </c>
    </row>
    <row r="3621" spans="1:9">
      <c r="A3621" s="108" t="s">
        <v>16151</v>
      </c>
      <c r="B3621" s="108" t="s">
        <v>20375</v>
      </c>
      <c r="C3621" s="109">
        <v>44474</v>
      </c>
      <c r="D3621" s="108" t="s">
        <v>20376</v>
      </c>
      <c r="E3621" s="108" t="s">
        <v>14605</v>
      </c>
      <c r="F3621" s="108" t="s">
        <v>20006</v>
      </c>
      <c r="G3621" s="109">
        <v>45953</v>
      </c>
      <c r="H3621" s="108" t="s">
        <v>1127</v>
      </c>
      <c r="I3621" s="108" t="s">
        <v>133</v>
      </c>
    </row>
    <row r="3622" spans="1:9">
      <c r="A3622" s="108" t="s">
        <v>16151</v>
      </c>
      <c r="B3622" s="108" t="s">
        <v>20377</v>
      </c>
      <c r="C3622" s="109">
        <v>44565</v>
      </c>
      <c r="D3622" s="108" t="s">
        <v>20378</v>
      </c>
      <c r="E3622" s="108" t="s">
        <v>14605</v>
      </c>
      <c r="F3622" s="108" t="s">
        <v>20374</v>
      </c>
      <c r="G3622" s="109">
        <v>46022</v>
      </c>
      <c r="H3622" s="108" t="s">
        <v>1127</v>
      </c>
      <c r="I3622" s="108" t="s">
        <v>133</v>
      </c>
    </row>
    <row r="3623" spans="1:9">
      <c r="A3623" s="108" t="s">
        <v>16151</v>
      </c>
      <c r="B3623" s="108" t="s">
        <v>20379</v>
      </c>
      <c r="C3623" s="109">
        <v>45492</v>
      </c>
      <c r="D3623" s="108" t="s">
        <v>20380</v>
      </c>
      <c r="E3623" s="108" t="s">
        <v>14605</v>
      </c>
      <c r="F3623" s="108" t="s">
        <v>20035</v>
      </c>
      <c r="G3623" s="109">
        <v>46022</v>
      </c>
      <c r="H3623" s="108" t="s">
        <v>1127</v>
      </c>
      <c r="I3623" s="108" t="s">
        <v>133</v>
      </c>
    </row>
    <row r="3624" spans="1:9">
      <c r="A3624" s="108" t="s">
        <v>16151</v>
      </c>
      <c r="B3624" s="108" t="s">
        <v>20381</v>
      </c>
      <c r="C3624" s="109">
        <v>45492</v>
      </c>
      <c r="D3624" s="108" t="s">
        <v>20382</v>
      </c>
      <c r="E3624" s="108" t="s">
        <v>14605</v>
      </c>
      <c r="F3624" s="108" t="s">
        <v>20035</v>
      </c>
      <c r="G3624" s="109">
        <v>46022</v>
      </c>
      <c r="H3624" s="108" t="s">
        <v>1127</v>
      </c>
      <c r="I3624" s="108" t="s">
        <v>133</v>
      </c>
    </row>
    <row r="3625" spans="1:9" ht="27.6">
      <c r="A3625" s="108" t="s">
        <v>103</v>
      </c>
      <c r="B3625" s="108" t="s">
        <v>20383</v>
      </c>
      <c r="C3625" s="109">
        <v>44349</v>
      </c>
      <c r="D3625" s="108" t="s">
        <v>20384</v>
      </c>
      <c r="E3625" s="108" t="s">
        <v>14605</v>
      </c>
      <c r="F3625" s="108" t="s">
        <v>20385</v>
      </c>
      <c r="G3625" s="109">
        <v>46022</v>
      </c>
      <c r="H3625" s="108" t="s">
        <v>1127</v>
      </c>
      <c r="I3625" s="108" t="s">
        <v>133</v>
      </c>
    </row>
    <row r="3626" spans="1:9" ht="27.6">
      <c r="A3626" s="108" t="s">
        <v>14950</v>
      </c>
      <c r="B3626" s="108" t="s">
        <v>20386</v>
      </c>
      <c r="C3626" s="109">
        <v>44257</v>
      </c>
      <c r="D3626" s="108" t="s">
        <v>20387</v>
      </c>
      <c r="E3626" s="108" t="s">
        <v>14605</v>
      </c>
      <c r="F3626" s="108" t="s">
        <v>15731</v>
      </c>
      <c r="G3626" s="109">
        <v>44599</v>
      </c>
      <c r="H3626" s="108" t="s">
        <v>1127</v>
      </c>
      <c r="I3626" s="108" t="s">
        <v>108</v>
      </c>
    </row>
    <row r="3627" spans="1:9" ht="27.6">
      <c r="A3627" s="108" t="s">
        <v>14950</v>
      </c>
      <c r="B3627" s="108" t="s">
        <v>20388</v>
      </c>
      <c r="C3627" s="109">
        <v>44243</v>
      </c>
      <c r="D3627" s="108" t="s">
        <v>20389</v>
      </c>
      <c r="E3627" s="108" t="s">
        <v>14605</v>
      </c>
      <c r="F3627" s="108" t="s">
        <v>19874</v>
      </c>
      <c r="G3627" s="109">
        <v>46096</v>
      </c>
      <c r="H3627" s="108" t="s">
        <v>1127</v>
      </c>
      <c r="I3627" s="108" t="s">
        <v>108</v>
      </c>
    </row>
    <row r="3628" spans="1:9" ht="27.6">
      <c r="A3628" s="108" t="s">
        <v>14950</v>
      </c>
      <c r="B3628" s="108" t="s">
        <v>20390</v>
      </c>
      <c r="C3628" s="109">
        <v>43999</v>
      </c>
      <c r="D3628" s="108" t="s">
        <v>20391</v>
      </c>
      <c r="E3628" s="108" t="s">
        <v>14605</v>
      </c>
      <c r="F3628" s="108" t="s">
        <v>15731</v>
      </c>
      <c r="G3628" s="109">
        <v>44363</v>
      </c>
      <c r="H3628" s="108" t="s">
        <v>1127</v>
      </c>
      <c r="I3628" s="108" t="s">
        <v>108</v>
      </c>
    </row>
    <row r="3629" spans="1:9" ht="27.6">
      <c r="A3629" s="108" t="s">
        <v>14950</v>
      </c>
      <c r="B3629" s="108" t="s">
        <v>20392</v>
      </c>
      <c r="C3629" s="109">
        <v>44253</v>
      </c>
      <c r="D3629" s="108" t="s">
        <v>20393</v>
      </c>
      <c r="E3629" s="108" t="s">
        <v>14605</v>
      </c>
      <c r="F3629" s="108" t="s">
        <v>20141</v>
      </c>
      <c r="G3629" s="109">
        <v>44617</v>
      </c>
      <c r="H3629" s="108" t="s">
        <v>1127</v>
      </c>
      <c r="I3629" s="108" t="s">
        <v>108</v>
      </c>
    </row>
    <row r="3630" spans="1:9" ht="27.6">
      <c r="A3630" s="108" t="s">
        <v>14950</v>
      </c>
      <c r="B3630" s="108" t="s">
        <v>20394</v>
      </c>
      <c r="C3630" s="109">
        <v>44175</v>
      </c>
      <c r="D3630" s="108" t="s">
        <v>20395</v>
      </c>
      <c r="E3630" s="108" t="s">
        <v>14605</v>
      </c>
      <c r="F3630" s="108" t="s">
        <v>20169</v>
      </c>
      <c r="G3630" s="109">
        <v>44539</v>
      </c>
      <c r="H3630" s="108" t="s">
        <v>1127</v>
      </c>
      <c r="I3630" s="108" t="s">
        <v>108</v>
      </c>
    </row>
    <row r="3631" spans="1:9" ht="27.6">
      <c r="A3631" s="108" t="s">
        <v>14950</v>
      </c>
      <c r="B3631" s="108" t="s">
        <v>20396</v>
      </c>
      <c r="C3631" s="109">
        <v>44306</v>
      </c>
      <c r="D3631" s="108" t="s">
        <v>20397</v>
      </c>
      <c r="E3631" s="108" t="s">
        <v>14605</v>
      </c>
      <c r="F3631" s="108" t="s">
        <v>19994</v>
      </c>
      <c r="G3631" s="109">
        <v>45401</v>
      </c>
      <c r="H3631" s="108" t="s">
        <v>1127</v>
      </c>
      <c r="I3631" s="108" t="s">
        <v>108</v>
      </c>
    </row>
    <row r="3632" spans="1:9" ht="27.6">
      <c r="A3632" s="108" t="s">
        <v>14950</v>
      </c>
      <c r="B3632" s="108" t="s">
        <v>20398</v>
      </c>
      <c r="C3632" s="109">
        <v>43999</v>
      </c>
      <c r="D3632" s="108" t="s">
        <v>20399</v>
      </c>
      <c r="E3632" s="108" t="s">
        <v>14605</v>
      </c>
      <c r="F3632" s="108" t="s">
        <v>15303</v>
      </c>
      <c r="G3632" s="109">
        <v>44363</v>
      </c>
      <c r="H3632" s="108" t="s">
        <v>1127</v>
      </c>
      <c r="I3632" s="108" t="s">
        <v>108</v>
      </c>
    </row>
    <row r="3633" spans="1:9" ht="27.6">
      <c r="A3633" s="108" t="s">
        <v>14950</v>
      </c>
      <c r="B3633" s="108" t="s">
        <v>20400</v>
      </c>
      <c r="C3633" s="109">
        <v>44349</v>
      </c>
      <c r="D3633" s="108" t="s">
        <v>20401</v>
      </c>
      <c r="E3633" s="108" t="s">
        <v>14605</v>
      </c>
      <c r="F3633" s="108" t="s">
        <v>20385</v>
      </c>
      <c r="G3633" s="109">
        <v>45459</v>
      </c>
      <c r="H3633" s="108" t="s">
        <v>1127</v>
      </c>
      <c r="I3633" s="108" t="s">
        <v>108</v>
      </c>
    </row>
    <row r="3634" spans="1:9">
      <c r="A3634" s="108" t="s">
        <v>87</v>
      </c>
      <c r="B3634" s="108" t="s">
        <v>20402</v>
      </c>
      <c r="C3634" s="109">
        <v>45194</v>
      </c>
      <c r="D3634" s="108" t="s">
        <v>20403</v>
      </c>
      <c r="E3634" s="108" t="s">
        <v>14605</v>
      </c>
      <c r="F3634" s="108" t="s">
        <v>20404</v>
      </c>
      <c r="G3634" s="109">
        <v>45559</v>
      </c>
      <c r="H3634" s="108" t="s">
        <v>1127</v>
      </c>
      <c r="I3634" s="108" t="s">
        <v>108</v>
      </c>
    </row>
    <row r="3635" spans="1:9" ht="27.6">
      <c r="A3635" s="108" t="s">
        <v>87</v>
      </c>
      <c r="B3635" s="108" t="s">
        <v>20405</v>
      </c>
      <c r="C3635" s="109">
        <v>45222</v>
      </c>
      <c r="D3635" s="108" t="s">
        <v>20406</v>
      </c>
      <c r="E3635" s="108" t="s">
        <v>14605</v>
      </c>
      <c r="F3635" s="108" t="s">
        <v>20407</v>
      </c>
      <c r="G3635" s="109">
        <v>45587</v>
      </c>
      <c r="H3635" s="108" t="s">
        <v>1127</v>
      </c>
      <c r="I3635" s="108" t="s">
        <v>108</v>
      </c>
    </row>
    <row r="3636" spans="1:9">
      <c r="A3636" s="108" t="s">
        <v>2002</v>
      </c>
      <c r="B3636" s="108" t="s">
        <v>20408</v>
      </c>
      <c r="C3636" s="109">
        <v>45287</v>
      </c>
      <c r="D3636" s="108" t="s">
        <v>20409</v>
      </c>
      <c r="E3636" s="108" t="s">
        <v>14605</v>
      </c>
      <c r="F3636" s="108" t="s">
        <v>15023</v>
      </c>
      <c r="G3636" s="109">
        <v>45581</v>
      </c>
      <c r="H3636" s="108" t="s">
        <v>1127</v>
      </c>
      <c r="I3636" s="108" t="s">
        <v>108</v>
      </c>
    </row>
    <row r="3637" spans="1:9">
      <c r="A3637" s="108" t="s">
        <v>87</v>
      </c>
      <c r="B3637" s="108" t="s">
        <v>20410</v>
      </c>
      <c r="C3637" s="109">
        <v>45414</v>
      </c>
      <c r="D3637" s="108" t="s">
        <v>20411</v>
      </c>
      <c r="E3637" s="108" t="s">
        <v>14605</v>
      </c>
      <c r="F3637" s="108" t="s">
        <v>14712</v>
      </c>
      <c r="G3637" s="109">
        <v>45778</v>
      </c>
      <c r="H3637" s="108" t="s">
        <v>1127</v>
      </c>
      <c r="I3637" s="108" t="s">
        <v>108</v>
      </c>
    </row>
    <row r="3638" spans="1:9">
      <c r="A3638" s="108" t="s">
        <v>87</v>
      </c>
      <c r="B3638" s="108" t="s">
        <v>20412</v>
      </c>
      <c r="C3638" s="109">
        <v>45377</v>
      </c>
      <c r="D3638" s="108" t="s">
        <v>20413</v>
      </c>
      <c r="E3638" s="108" t="s">
        <v>14605</v>
      </c>
      <c r="F3638" s="108" t="s">
        <v>20404</v>
      </c>
      <c r="G3638" s="109">
        <v>45741</v>
      </c>
      <c r="H3638" s="108" t="s">
        <v>1127</v>
      </c>
      <c r="I3638" s="108" t="s">
        <v>108</v>
      </c>
    </row>
    <row r="3639" spans="1:9">
      <c r="A3639" s="108" t="s">
        <v>237</v>
      </c>
      <c r="B3639" s="108" t="s">
        <v>20414</v>
      </c>
      <c r="C3639" s="109">
        <v>45579</v>
      </c>
      <c r="D3639" s="108" t="s">
        <v>20415</v>
      </c>
      <c r="E3639" s="108" t="s">
        <v>14605</v>
      </c>
      <c r="F3639" s="108" t="s">
        <v>19874</v>
      </c>
      <c r="G3639" s="109">
        <v>45917</v>
      </c>
      <c r="H3639" s="108" t="s">
        <v>1127</v>
      </c>
      <c r="I3639" s="108" t="s">
        <v>108</v>
      </c>
    </row>
    <row r="3640" spans="1:9">
      <c r="A3640" s="108" t="s">
        <v>169</v>
      </c>
      <c r="B3640" s="108" t="s">
        <v>20416</v>
      </c>
      <c r="C3640" s="109">
        <v>45058</v>
      </c>
      <c r="D3640" s="108" t="s">
        <v>20417</v>
      </c>
      <c r="E3640" s="108" t="s">
        <v>14605</v>
      </c>
      <c r="F3640" s="108" t="s">
        <v>20418</v>
      </c>
      <c r="G3640" s="109">
        <v>45423</v>
      </c>
      <c r="H3640" s="108" t="s">
        <v>1127</v>
      </c>
      <c r="I3640" s="108" t="s">
        <v>108</v>
      </c>
    </row>
    <row r="3641" spans="1:9">
      <c r="A3641" s="108" t="s">
        <v>16986</v>
      </c>
      <c r="B3641" s="108" t="s">
        <v>20419</v>
      </c>
      <c r="C3641" s="109">
        <v>45552</v>
      </c>
      <c r="D3641" s="108" t="s">
        <v>20420</v>
      </c>
      <c r="E3641" s="108" t="s">
        <v>14605</v>
      </c>
      <c r="F3641" s="108" t="s">
        <v>20038</v>
      </c>
      <c r="G3641" s="109">
        <v>45942</v>
      </c>
      <c r="H3641" s="108" t="s">
        <v>1127</v>
      </c>
      <c r="I3641" s="108" t="s">
        <v>108</v>
      </c>
    </row>
    <row r="3642" spans="1:9">
      <c r="A3642" s="108" t="s">
        <v>16986</v>
      </c>
      <c r="B3642" s="108" t="s">
        <v>20421</v>
      </c>
      <c r="C3642" s="109">
        <v>45552</v>
      </c>
      <c r="D3642" s="108" t="s">
        <v>20422</v>
      </c>
      <c r="E3642" s="108" t="s">
        <v>14605</v>
      </c>
      <c r="F3642" s="108" t="s">
        <v>20038</v>
      </c>
      <c r="G3642" s="109">
        <v>45942</v>
      </c>
      <c r="H3642" s="108" t="s">
        <v>1127</v>
      </c>
      <c r="I3642" s="108" t="s">
        <v>108</v>
      </c>
    </row>
    <row r="3643" spans="1:9" ht="27.6">
      <c r="A3643" s="108" t="s">
        <v>109</v>
      </c>
      <c r="B3643" s="108" t="s">
        <v>20423</v>
      </c>
      <c r="C3643" s="109">
        <v>45588</v>
      </c>
      <c r="D3643" s="108" t="s">
        <v>20424</v>
      </c>
      <c r="E3643" s="108" t="s">
        <v>14605</v>
      </c>
      <c r="F3643" s="108" t="s">
        <v>20337</v>
      </c>
      <c r="G3643" s="109">
        <v>45956</v>
      </c>
      <c r="H3643" s="108" t="s">
        <v>1127</v>
      </c>
      <c r="I3643" s="108" t="s">
        <v>108</v>
      </c>
    </row>
    <row r="3644" spans="1:9">
      <c r="A3644" s="108" t="s">
        <v>378</v>
      </c>
      <c r="B3644" s="108" t="s">
        <v>20425</v>
      </c>
      <c r="C3644" s="109">
        <v>45518</v>
      </c>
      <c r="D3644" s="108" t="s">
        <v>20426</v>
      </c>
      <c r="E3644" s="108" t="s">
        <v>14605</v>
      </c>
      <c r="F3644" s="108" t="s">
        <v>15731</v>
      </c>
      <c r="G3644" s="109">
        <v>45865</v>
      </c>
      <c r="H3644" s="108" t="s">
        <v>1127</v>
      </c>
      <c r="I3644" s="108" t="s">
        <v>108</v>
      </c>
    </row>
    <row r="3645" spans="1:9">
      <c r="A3645" s="108" t="s">
        <v>15990</v>
      </c>
      <c r="B3645" s="108" t="s">
        <v>20427</v>
      </c>
      <c r="C3645" s="109">
        <v>45560</v>
      </c>
      <c r="D3645" s="108" t="s">
        <v>20428</v>
      </c>
      <c r="E3645" s="108" t="s">
        <v>14605</v>
      </c>
      <c r="F3645" s="108" t="s">
        <v>20429</v>
      </c>
      <c r="G3645" s="109">
        <v>45942</v>
      </c>
      <c r="H3645" s="108" t="s">
        <v>1127</v>
      </c>
      <c r="I3645" s="108" t="s">
        <v>108</v>
      </c>
    </row>
    <row r="3646" spans="1:9">
      <c r="A3646" s="108" t="s">
        <v>16151</v>
      </c>
      <c r="B3646" s="108" t="s">
        <v>20430</v>
      </c>
      <c r="C3646" s="109">
        <v>45011</v>
      </c>
      <c r="D3646" s="108" t="s">
        <v>20431</v>
      </c>
      <c r="E3646" s="108" t="s">
        <v>14605</v>
      </c>
      <c r="F3646" s="108" t="s">
        <v>20010</v>
      </c>
      <c r="G3646" s="109">
        <v>45283</v>
      </c>
      <c r="H3646" s="108" t="s">
        <v>1127</v>
      </c>
      <c r="I3646" s="108" t="s">
        <v>108</v>
      </c>
    </row>
    <row r="3647" spans="1:9">
      <c r="A3647" s="108" t="s">
        <v>16151</v>
      </c>
      <c r="B3647" s="108" t="s">
        <v>20432</v>
      </c>
      <c r="C3647" s="109">
        <v>45518</v>
      </c>
      <c r="D3647" s="108" t="s">
        <v>20433</v>
      </c>
      <c r="E3647" s="108" t="s">
        <v>14605</v>
      </c>
      <c r="F3647" s="108" t="s">
        <v>15731</v>
      </c>
      <c r="G3647" s="109">
        <v>45865</v>
      </c>
      <c r="H3647" s="108" t="s">
        <v>1127</v>
      </c>
      <c r="I3647" s="108" t="s">
        <v>108</v>
      </c>
    </row>
    <row r="3648" spans="1:9">
      <c r="A3648" s="108" t="s">
        <v>16151</v>
      </c>
      <c r="B3648" s="108" t="s">
        <v>20434</v>
      </c>
      <c r="C3648" s="109">
        <v>45524</v>
      </c>
      <c r="D3648" s="108" t="s">
        <v>20435</v>
      </c>
      <c r="E3648" s="108" t="s">
        <v>14605</v>
      </c>
      <c r="F3648" s="108" t="s">
        <v>20436</v>
      </c>
      <c r="G3648" s="109">
        <v>45897</v>
      </c>
      <c r="H3648" s="108" t="s">
        <v>1127</v>
      </c>
      <c r="I3648" s="108" t="s">
        <v>108</v>
      </c>
    </row>
    <row r="3649" spans="1:9">
      <c r="A3649" s="108" t="s">
        <v>16151</v>
      </c>
      <c r="B3649" s="108" t="s">
        <v>20437</v>
      </c>
      <c r="C3649" s="109">
        <v>45566</v>
      </c>
      <c r="D3649" s="108" t="s">
        <v>20438</v>
      </c>
      <c r="E3649" s="108" t="s">
        <v>14605</v>
      </c>
      <c r="F3649" s="108" t="s">
        <v>20038</v>
      </c>
      <c r="G3649" s="109">
        <v>45946</v>
      </c>
      <c r="H3649" s="108" t="s">
        <v>1127</v>
      </c>
      <c r="I3649" s="108" t="s">
        <v>108</v>
      </c>
    </row>
    <row r="3650" spans="1:9">
      <c r="A3650" s="108" t="s">
        <v>169</v>
      </c>
      <c r="B3650" s="108" t="s">
        <v>20439</v>
      </c>
      <c r="C3650" s="109">
        <v>43444</v>
      </c>
      <c r="D3650" s="108"/>
      <c r="E3650" s="108" t="s">
        <v>14605</v>
      </c>
      <c r="F3650" s="108" t="s">
        <v>20440</v>
      </c>
      <c r="G3650" s="110"/>
      <c r="H3650" s="108" t="s">
        <v>595</v>
      </c>
      <c r="I3650" s="108"/>
    </row>
    <row r="3651" spans="1:9">
      <c r="A3651" s="108" t="s">
        <v>169</v>
      </c>
      <c r="B3651" s="108" t="s">
        <v>20441</v>
      </c>
      <c r="C3651" s="109">
        <v>43623</v>
      </c>
      <c r="D3651" s="108"/>
      <c r="E3651" s="108" t="s">
        <v>14605</v>
      </c>
      <c r="F3651" s="108" t="s">
        <v>20442</v>
      </c>
      <c r="G3651" s="110"/>
      <c r="H3651" s="108" t="s">
        <v>595</v>
      </c>
      <c r="I3651" s="108"/>
    </row>
    <row r="3652" spans="1:9" ht="27.6">
      <c r="A3652" s="108" t="s">
        <v>16932</v>
      </c>
      <c r="B3652" s="108" t="s">
        <v>20443</v>
      </c>
      <c r="C3652" s="109">
        <v>40962</v>
      </c>
      <c r="D3652" s="108"/>
      <c r="E3652" s="108" t="s">
        <v>14605</v>
      </c>
      <c r="F3652" s="108" t="s">
        <v>20444</v>
      </c>
      <c r="G3652" s="110"/>
      <c r="H3652" s="108" t="s">
        <v>595</v>
      </c>
      <c r="I3652" s="108"/>
    </row>
    <row r="3653" spans="1:9" ht="27.6">
      <c r="A3653" s="108" t="s">
        <v>16932</v>
      </c>
      <c r="B3653" s="108" t="s">
        <v>20445</v>
      </c>
      <c r="C3653" s="109">
        <v>40966</v>
      </c>
      <c r="D3653" s="108"/>
      <c r="E3653" s="108" t="s">
        <v>14605</v>
      </c>
      <c r="F3653" s="108" t="s">
        <v>20446</v>
      </c>
      <c r="G3653" s="110"/>
      <c r="H3653" s="108" t="s">
        <v>595</v>
      </c>
      <c r="I3653" s="108"/>
    </row>
    <row r="3654" spans="1:9" ht="27.6">
      <c r="A3654" s="108" t="s">
        <v>169</v>
      </c>
      <c r="B3654" s="108" t="s">
        <v>20447</v>
      </c>
      <c r="C3654" s="109">
        <v>41680</v>
      </c>
      <c r="D3654" s="108"/>
      <c r="E3654" s="108" t="s">
        <v>14605</v>
      </c>
      <c r="F3654" s="108" t="s">
        <v>20448</v>
      </c>
      <c r="G3654" s="110"/>
      <c r="H3654" s="108" t="s">
        <v>595</v>
      </c>
      <c r="I3654" s="108"/>
    </row>
    <row r="3655" spans="1:9">
      <c r="A3655" s="108" t="s">
        <v>2002</v>
      </c>
      <c r="B3655" s="108" t="s">
        <v>20449</v>
      </c>
      <c r="C3655" s="109">
        <v>40918</v>
      </c>
      <c r="D3655" s="108"/>
      <c r="E3655" s="108" t="s">
        <v>14605</v>
      </c>
      <c r="F3655" s="108" t="s">
        <v>20450</v>
      </c>
      <c r="G3655" s="110"/>
      <c r="H3655" s="108" t="s">
        <v>595</v>
      </c>
      <c r="I3655" s="108"/>
    </row>
    <row r="3656" spans="1:9" ht="27.6">
      <c r="A3656" s="108" t="s">
        <v>14679</v>
      </c>
      <c r="B3656" s="108" t="s">
        <v>20451</v>
      </c>
      <c r="C3656" s="109">
        <v>41122</v>
      </c>
      <c r="D3656" s="108"/>
      <c r="E3656" s="108" t="s">
        <v>14605</v>
      </c>
      <c r="F3656" s="108" t="s">
        <v>16497</v>
      </c>
      <c r="G3656" s="110"/>
      <c r="H3656" s="108" t="s">
        <v>595</v>
      </c>
      <c r="I3656" s="108"/>
    </row>
    <row r="3657" spans="1:9" ht="27.6">
      <c r="A3657" s="108" t="s">
        <v>2002</v>
      </c>
      <c r="B3657" s="108" t="s">
        <v>20452</v>
      </c>
      <c r="C3657" s="109">
        <v>40989</v>
      </c>
      <c r="D3657" s="108"/>
      <c r="E3657" s="108" t="s">
        <v>14605</v>
      </c>
      <c r="F3657" s="108" t="s">
        <v>20453</v>
      </c>
      <c r="G3657" s="110"/>
      <c r="H3657" s="108" t="s">
        <v>595</v>
      </c>
      <c r="I3657" s="108"/>
    </row>
    <row r="3658" spans="1:9">
      <c r="A3658" s="108" t="s">
        <v>1465</v>
      </c>
      <c r="B3658" s="108" t="s">
        <v>20454</v>
      </c>
      <c r="C3658" s="109">
        <v>41004</v>
      </c>
      <c r="D3658" s="108"/>
      <c r="E3658" s="108" t="s">
        <v>14605</v>
      </c>
      <c r="F3658" s="108" t="s">
        <v>20455</v>
      </c>
      <c r="G3658" s="110"/>
      <c r="H3658" s="108" t="s">
        <v>595</v>
      </c>
      <c r="I3658" s="108"/>
    </row>
    <row r="3659" spans="1:9" ht="27.6">
      <c r="A3659" s="108" t="s">
        <v>1465</v>
      </c>
      <c r="B3659" s="108" t="s">
        <v>20456</v>
      </c>
      <c r="C3659" s="109">
        <v>41285</v>
      </c>
      <c r="D3659" s="108"/>
      <c r="E3659" s="108" t="s">
        <v>14605</v>
      </c>
      <c r="F3659" s="108" t="s">
        <v>20457</v>
      </c>
      <c r="G3659" s="110"/>
      <c r="H3659" s="108" t="s">
        <v>595</v>
      </c>
      <c r="I3659" s="108"/>
    </row>
    <row r="3660" spans="1:9">
      <c r="A3660" s="108" t="s">
        <v>1465</v>
      </c>
      <c r="B3660" s="108" t="s">
        <v>20458</v>
      </c>
      <c r="C3660" s="109">
        <v>41304</v>
      </c>
      <c r="D3660" s="108"/>
      <c r="E3660" s="108" t="s">
        <v>14605</v>
      </c>
      <c r="F3660" s="108" t="s">
        <v>20459</v>
      </c>
      <c r="G3660" s="110"/>
      <c r="H3660" s="108" t="s">
        <v>595</v>
      </c>
      <c r="I3660" s="108"/>
    </row>
    <row r="3661" spans="1:9">
      <c r="A3661" s="108" t="s">
        <v>1465</v>
      </c>
      <c r="B3661" s="108" t="s">
        <v>20460</v>
      </c>
      <c r="C3661" s="109">
        <v>41311</v>
      </c>
      <c r="D3661" s="108"/>
      <c r="E3661" s="108" t="s">
        <v>14605</v>
      </c>
      <c r="F3661" s="108" t="s">
        <v>20461</v>
      </c>
      <c r="G3661" s="110"/>
      <c r="H3661" s="108" t="s">
        <v>595</v>
      </c>
      <c r="I3661" s="108"/>
    </row>
    <row r="3662" spans="1:9">
      <c r="A3662" s="108" t="s">
        <v>1465</v>
      </c>
      <c r="B3662" s="108" t="s">
        <v>20462</v>
      </c>
      <c r="C3662" s="109">
        <v>41646</v>
      </c>
      <c r="D3662" s="108"/>
      <c r="E3662" s="108" t="s">
        <v>14605</v>
      </c>
      <c r="F3662" s="108" t="s">
        <v>20463</v>
      </c>
      <c r="G3662" s="110"/>
      <c r="H3662" s="108" t="s">
        <v>595</v>
      </c>
      <c r="I3662" s="108"/>
    </row>
    <row r="3663" spans="1:9" ht="27.6">
      <c r="A3663" s="108" t="s">
        <v>14679</v>
      </c>
      <c r="B3663" s="108" t="s">
        <v>20464</v>
      </c>
      <c r="C3663" s="109">
        <v>41541</v>
      </c>
      <c r="D3663" s="108"/>
      <c r="E3663" s="108" t="s">
        <v>14605</v>
      </c>
      <c r="F3663" s="108" t="s">
        <v>20465</v>
      </c>
      <c r="G3663" s="110"/>
      <c r="H3663" s="108" t="s">
        <v>595</v>
      </c>
      <c r="I3663" s="108"/>
    </row>
    <row r="3664" spans="1:9">
      <c r="A3664" s="108" t="s">
        <v>14679</v>
      </c>
      <c r="B3664" s="108" t="s">
        <v>20466</v>
      </c>
      <c r="C3664" s="109">
        <v>41585</v>
      </c>
      <c r="D3664" s="108"/>
      <c r="E3664" s="108" t="s">
        <v>14605</v>
      </c>
      <c r="F3664" s="108" t="s">
        <v>20467</v>
      </c>
      <c r="G3664" s="110"/>
      <c r="H3664" s="108" t="s">
        <v>595</v>
      </c>
      <c r="I3664" s="108"/>
    </row>
    <row r="3665" spans="1:9" ht="27.6">
      <c r="A3665" s="108" t="s">
        <v>14679</v>
      </c>
      <c r="B3665" s="108" t="s">
        <v>20468</v>
      </c>
      <c r="C3665" s="109">
        <v>41726</v>
      </c>
      <c r="D3665" s="108"/>
      <c r="E3665" s="108" t="s">
        <v>14605</v>
      </c>
      <c r="F3665" s="108" t="s">
        <v>14974</v>
      </c>
      <c r="G3665" s="110"/>
      <c r="H3665" s="108" t="s">
        <v>595</v>
      </c>
      <c r="I3665" s="108"/>
    </row>
    <row r="3666" spans="1:9">
      <c r="A3666" s="108" t="s">
        <v>2002</v>
      </c>
      <c r="B3666" s="108" t="s">
        <v>20469</v>
      </c>
      <c r="C3666" s="109">
        <v>41908</v>
      </c>
      <c r="D3666" s="108"/>
      <c r="E3666" s="108" t="s">
        <v>14605</v>
      </c>
      <c r="F3666" s="108" t="s">
        <v>14925</v>
      </c>
      <c r="G3666" s="110"/>
      <c r="H3666" s="108" t="s">
        <v>595</v>
      </c>
      <c r="I3666" s="108"/>
    </row>
    <row r="3667" spans="1:9">
      <c r="A3667" s="108" t="s">
        <v>2002</v>
      </c>
      <c r="B3667" s="108" t="s">
        <v>20470</v>
      </c>
      <c r="C3667" s="109">
        <v>41890</v>
      </c>
      <c r="D3667" s="108"/>
      <c r="E3667" s="108" t="s">
        <v>14605</v>
      </c>
      <c r="F3667" s="108" t="s">
        <v>14925</v>
      </c>
      <c r="G3667" s="110"/>
      <c r="H3667" s="108" t="s">
        <v>595</v>
      </c>
      <c r="I3667" s="108"/>
    </row>
    <row r="3668" spans="1:9">
      <c r="A3668" s="108" t="s">
        <v>2002</v>
      </c>
      <c r="B3668" s="108" t="s">
        <v>20471</v>
      </c>
      <c r="C3668" s="109">
        <v>41890</v>
      </c>
      <c r="D3668" s="108"/>
      <c r="E3668" s="108" t="s">
        <v>14605</v>
      </c>
      <c r="F3668" s="108" t="s">
        <v>14925</v>
      </c>
      <c r="G3668" s="110"/>
      <c r="H3668" s="108" t="s">
        <v>595</v>
      </c>
      <c r="I3668" s="108"/>
    </row>
    <row r="3669" spans="1:9">
      <c r="A3669" s="108" t="s">
        <v>2002</v>
      </c>
      <c r="B3669" s="108" t="s">
        <v>20472</v>
      </c>
      <c r="C3669" s="109">
        <v>41890</v>
      </c>
      <c r="D3669" s="108"/>
      <c r="E3669" s="108" t="s">
        <v>14605</v>
      </c>
      <c r="F3669" s="108" t="s">
        <v>14925</v>
      </c>
      <c r="G3669" s="110"/>
      <c r="H3669" s="108" t="s">
        <v>595</v>
      </c>
      <c r="I3669" s="108"/>
    </row>
    <row r="3670" spans="1:9">
      <c r="A3670" s="108" t="s">
        <v>2002</v>
      </c>
      <c r="B3670" s="108" t="s">
        <v>20473</v>
      </c>
      <c r="C3670" s="109">
        <v>41885</v>
      </c>
      <c r="D3670" s="108"/>
      <c r="E3670" s="108" t="s">
        <v>14605</v>
      </c>
      <c r="F3670" s="108" t="s">
        <v>15797</v>
      </c>
      <c r="G3670" s="110"/>
      <c r="H3670" s="108" t="s">
        <v>595</v>
      </c>
      <c r="I3670" s="108"/>
    </row>
    <row r="3671" spans="1:9">
      <c r="A3671" s="108" t="s">
        <v>1465</v>
      </c>
      <c r="B3671" s="108" t="s">
        <v>20474</v>
      </c>
      <c r="C3671" s="109">
        <v>41978</v>
      </c>
      <c r="D3671" s="108"/>
      <c r="E3671" s="108" t="s">
        <v>14605</v>
      </c>
      <c r="F3671" s="108" t="s">
        <v>14685</v>
      </c>
      <c r="G3671" s="110"/>
      <c r="H3671" s="108" t="s">
        <v>595</v>
      </c>
      <c r="I3671" s="108"/>
    </row>
    <row r="3672" spans="1:9">
      <c r="A3672" s="108" t="s">
        <v>14679</v>
      </c>
      <c r="B3672" s="108" t="s">
        <v>20475</v>
      </c>
      <c r="C3672" s="109">
        <v>41731</v>
      </c>
      <c r="D3672" s="108"/>
      <c r="E3672" s="108" t="s">
        <v>14605</v>
      </c>
      <c r="F3672" s="108" t="s">
        <v>20476</v>
      </c>
      <c r="G3672" s="110"/>
      <c r="H3672" s="108" t="s">
        <v>595</v>
      </c>
      <c r="I3672" s="108"/>
    </row>
    <row r="3673" spans="1:9" ht="27.6">
      <c r="A3673" s="108" t="s">
        <v>499</v>
      </c>
      <c r="B3673" s="108" t="s">
        <v>20477</v>
      </c>
      <c r="C3673" s="109">
        <v>41890</v>
      </c>
      <c r="D3673" s="108"/>
      <c r="E3673" s="108" t="s">
        <v>14605</v>
      </c>
      <c r="F3673" s="108" t="s">
        <v>14925</v>
      </c>
      <c r="G3673" s="110"/>
      <c r="H3673" s="108" t="s">
        <v>595</v>
      </c>
      <c r="I3673" s="108"/>
    </row>
    <row r="3674" spans="1:9" ht="27.6">
      <c r="A3674" s="108" t="s">
        <v>14690</v>
      </c>
      <c r="B3674" s="108" t="s">
        <v>20478</v>
      </c>
      <c r="C3674" s="109">
        <v>40940</v>
      </c>
      <c r="D3674" s="108"/>
      <c r="E3674" s="108" t="s">
        <v>14605</v>
      </c>
      <c r="F3674" s="108" t="s">
        <v>20463</v>
      </c>
      <c r="G3674" s="110"/>
      <c r="H3674" s="108" t="s">
        <v>595</v>
      </c>
      <c r="I3674" s="108"/>
    </row>
    <row r="3675" spans="1:9">
      <c r="A3675" s="108" t="s">
        <v>237</v>
      </c>
      <c r="B3675" s="108" t="s">
        <v>20479</v>
      </c>
      <c r="C3675" s="109">
        <v>40925</v>
      </c>
      <c r="D3675" s="108"/>
      <c r="E3675" s="108" t="s">
        <v>14605</v>
      </c>
      <c r="F3675" s="108" t="s">
        <v>20480</v>
      </c>
      <c r="G3675" s="110"/>
      <c r="H3675" s="108" t="s">
        <v>595</v>
      </c>
      <c r="I3675" s="108"/>
    </row>
    <row r="3676" spans="1:9">
      <c r="A3676" s="108" t="s">
        <v>87</v>
      </c>
      <c r="B3676" s="108" t="s">
        <v>20481</v>
      </c>
      <c r="C3676" s="109">
        <v>41050</v>
      </c>
      <c r="D3676" s="108"/>
      <c r="E3676" s="108" t="s">
        <v>14605</v>
      </c>
      <c r="F3676" s="108" t="s">
        <v>20482</v>
      </c>
      <c r="G3676" s="110"/>
      <c r="H3676" s="108" t="s">
        <v>595</v>
      </c>
      <c r="I3676" s="108"/>
    </row>
    <row r="3677" spans="1:9">
      <c r="A3677" s="108" t="s">
        <v>87</v>
      </c>
      <c r="B3677" s="108" t="s">
        <v>20483</v>
      </c>
      <c r="C3677" s="109">
        <v>41059</v>
      </c>
      <c r="D3677" s="108"/>
      <c r="E3677" s="108" t="s">
        <v>14605</v>
      </c>
      <c r="F3677" s="108" t="s">
        <v>20484</v>
      </c>
      <c r="G3677" s="110"/>
      <c r="H3677" s="108" t="s">
        <v>595</v>
      </c>
      <c r="I3677" s="108"/>
    </row>
    <row r="3678" spans="1:9" ht="27.6">
      <c r="A3678" s="108" t="s">
        <v>14690</v>
      </c>
      <c r="B3678" s="108" t="s">
        <v>20485</v>
      </c>
      <c r="C3678" s="109">
        <v>40961</v>
      </c>
      <c r="D3678" s="108"/>
      <c r="E3678" s="108" t="s">
        <v>14605</v>
      </c>
      <c r="F3678" s="108" t="s">
        <v>20486</v>
      </c>
      <c r="G3678" s="110"/>
      <c r="H3678" s="108" t="s">
        <v>595</v>
      </c>
      <c r="I3678" s="108"/>
    </row>
    <row r="3679" spans="1:9" ht="27.6">
      <c r="A3679" s="108" t="s">
        <v>14690</v>
      </c>
      <c r="B3679" s="108" t="s">
        <v>20487</v>
      </c>
      <c r="C3679" s="109">
        <v>40983</v>
      </c>
      <c r="D3679" s="108"/>
      <c r="E3679" s="108" t="s">
        <v>14605</v>
      </c>
      <c r="F3679" s="108" t="s">
        <v>15642</v>
      </c>
      <c r="G3679" s="110"/>
      <c r="H3679" s="108" t="s">
        <v>595</v>
      </c>
      <c r="I3679" s="108"/>
    </row>
    <row r="3680" spans="1:9" ht="27.6">
      <c r="A3680" s="108" t="s">
        <v>14690</v>
      </c>
      <c r="B3680" s="108" t="s">
        <v>20488</v>
      </c>
      <c r="C3680" s="109">
        <v>41015</v>
      </c>
      <c r="D3680" s="108"/>
      <c r="E3680" s="108" t="s">
        <v>14605</v>
      </c>
      <c r="F3680" s="108" t="s">
        <v>20489</v>
      </c>
      <c r="G3680" s="110"/>
      <c r="H3680" s="108" t="s">
        <v>595</v>
      </c>
      <c r="I3680" s="108"/>
    </row>
    <row r="3681" spans="1:9">
      <c r="A3681" s="108" t="s">
        <v>237</v>
      </c>
      <c r="B3681" s="108" t="s">
        <v>20490</v>
      </c>
      <c r="C3681" s="109">
        <v>41016</v>
      </c>
      <c r="D3681" s="108"/>
      <c r="E3681" s="108" t="s">
        <v>14605</v>
      </c>
      <c r="F3681" s="108" t="s">
        <v>20491</v>
      </c>
      <c r="G3681" s="110"/>
      <c r="H3681" s="108" t="s">
        <v>595</v>
      </c>
      <c r="I3681" s="108"/>
    </row>
    <row r="3682" spans="1:9">
      <c r="A3682" s="108" t="s">
        <v>237</v>
      </c>
      <c r="B3682" s="108" t="s">
        <v>20492</v>
      </c>
      <c r="C3682" s="109">
        <v>41087</v>
      </c>
      <c r="D3682" s="108"/>
      <c r="E3682" s="108" t="s">
        <v>14605</v>
      </c>
      <c r="F3682" s="108" t="s">
        <v>15267</v>
      </c>
      <c r="G3682" s="110"/>
      <c r="H3682" s="108" t="s">
        <v>595</v>
      </c>
      <c r="I3682" s="108"/>
    </row>
    <row r="3683" spans="1:9">
      <c r="A3683" s="108" t="s">
        <v>237</v>
      </c>
      <c r="B3683" s="108" t="s">
        <v>20493</v>
      </c>
      <c r="C3683" s="109">
        <v>41137</v>
      </c>
      <c r="D3683" s="108"/>
      <c r="E3683" s="108" t="s">
        <v>14605</v>
      </c>
      <c r="F3683" s="108" t="s">
        <v>20494</v>
      </c>
      <c r="G3683" s="110"/>
      <c r="H3683" s="108" t="s">
        <v>595</v>
      </c>
      <c r="I3683" s="108"/>
    </row>
    <row r="3684" spans="1:9">
      <c r="A3684" s="108" t="s">
        <v>237</v>
      </c>
      <c r="B3684" s="108" t="s">
        <v>20495</v>
      </c>
      <c r="C3684" s="109">
        <v>41170</v>
      </c>
      <c r="D3684" s="108"/>
      <c r="E3684" s="108" t="s">
        <v>14605</v>
      </c>
      <c r="F3684" s="108" t="s">
        <v>20482</v>
      </c>
      <c r="G3684" s="110"/>
      <c r="H3684" s="108" t="s">
        <v>595</v>
      </c>
      <c r="I3684" s="108"/>
    </row>
    <row r="3685" spans="1:9">
      <c r="A3685" s="108" t="s">
        <v>237</v>
      </c>
      <c r="B3685" s="108" t="s">
        <v>20496</v>
      </c>
      <c r="C3685" s="109">
        <v>41190</v>
      </c>
      <c r="D3685" s="108"/>
      <c r="E3685" s="108" t="s">
        <v>14605</v>
      </c>
      <c r="F3685" s="108" t="s">
        <v>20497</v>
      </c>
      <c r="G3685" s="110"/>
      <c r="H3685" s="108" t="s">
        <v>595</v>
      </c>
      <c r="I3685" s="108"/>
    </row>
    <row r="3686" spans="1:9" ht="27.6">
      <c r="A3686" s="108" t="s">
        <v>237</v>
      </c>
      <c r="B3686" s="108" t="s">
        <v>20498</v>
      </c>
      <c r="C3686" s="109">
        <v>41246</v>
      </c>
      <c r="D3686" s="108"/>
      <c r="E3686" s="108" t="s">
        <v>14605</v>
      </c>
      <c r="F3686" s="108" t="s">
        <v>14706</v>
      </c>
      <c r="G3686" s="110"/>
      <c r="H3686" s="108" t="s">
        <v>595</v>
      </c>
      <c r="I3686" s="108"/>
    </row>
    <row r="3687" spans="1:9">
      <c r="A3687" s="108" t="s">
        <v>87</v>
      </c>
      <c r="B3687" s="108" t="s">
        <v>20499</v>
      </c>
      <c r="C3687" s="109">
        <v>41331</v>
      </c>
      <c r="D3687" s="108"/>
      <c r="E3687" s="108" t="s">
        <v>14605</v>
      </c>
      <c r="F3687" s="108" t="s">
        <v>20500</v>
      </c>
      <c r="G3687" s="110"/>
      <c r="H3687" s="108" t="s">
        <v>595</v>
      </c>
      <c r="I3687" s="108"/>
    </row>
    <row r="3688" spans="1:9">
      <c r="A3688" s="108" t="s">
        <v>87</v>
      </c>
      <c r="B3688" s="108" t="s">
        <v>20501</v>
      </c>
      <c r="C3688" s="109">
        <v>41513</v>
      </c>
      <c r="D3688" s="108"/>
      <c r="E3688" s="108" t="s">
        <v>14605</v>
      </c>
      <c r="F3688" s="108" t="s">
        <v>20502</v>
      </c>
      <c r="G3688" s="110"/>
      <c r="H3688" s="108" t="s">
        <v>595</v>
      </c>
      <c r="I3688" s="108"/>
    </row>
    <row r="3689" spans="1:9" ht="27.6">
      <c r="A3689" s="108" t="s">
        <v>14690</v>
      </c>
      <c r="B3689" s="108" t="s">
        <v>20503</v>
      </c>
      <c r="C3689" s="109">
        <v>41582</v>
      </c>
      <c r="D3689" s="108"/>
      <c r="E3689" s="108" t="s">
        <v>14605</v>
      </c>
      <c r="F3689" s="108" t="s">
        <v>20504</v>
      </c>
      <c r="G3689" s="110"/>
      <c r="H3689" s="108" t="s">
        <v>595</v>
      </c>
      <c r="I3689" s="108"/>
    </row>
    <row r="3690" spans="1:9" ht="27.6">
      <c r="A3690" s="108" t="s">
        <v>14690</v>
      </c>
      <c r="B3690" s="108" t="s">
        <v>20505</v>
      </c>
      <c r="C3690" s="109">
        <v>41677</v>
      </c>
      <c r="D3690" s="108"/>
      <c r="E3690" s="108" t="s">
        <v>14605</v>
      </c>
      <c r="F3690" s="108" t="s">
        <v>20506</v>
      </c>
      <c r="G3690" s="110"/>
      <c r="H3690" s="108" t="s">
        <v>595</v>
      </c>
      <c r="I3690" s="108"/>
    </row>
    <row r="3691" spans="1:9" ht="27.6">
      <c r="A3691" s="108" t="s">
        <v>237</v>
      </c>
      <c r="B3691" s="108" t="s">
        <v>20507</v>
      </c>
      <c r="C3691" s="109">
        <v>41527</v>
      </c>
      <c r="D3691" s="108"/>
      <c r="E3691" s="108" t="s">
        <v>14605</v>
      </c>
      <c r="F3691" s="108" t="s">
        <v>14706</v>
      </c>
      <c r="G3691" s="110"/>
      <c r="H3691" s="108" t="s">
        <v>595</v>
      </c>
      <c r="I3691" s="108"/>
    </row>
    <row r="3692" spans="1:9">
      <c r="A3692" s="108" t="s">
        <v>237</v>
      </c>
      <c r="B3692" s="108" t="s">
        <v>20508</v>
      </c>
      <c r="C3692" s="109">
        <v>41677</v>
      </c>
      <c r="D3692" s="108"/>
      <c r="E3692" s="108" t="s">
        <v>14605</v>
      </c>
      <c r="F3692" s="108" t="s">
        <v>14910</v>
      </c>
      <c r="G3692" s="110"/>
      <c r="H3692" s="108" t="s">
        <v>595</v>
      </c>
      <c r="I3692" s="108"/>
    </row>
    <row r="3693" spans="1:9">
      <c r="A3693" s="108" t="s">
        <v>237</v>
      </c>
      <c r="B3693" s="108" t="s">
        <v>20509</v>
      </c>
      <c r="C3693" s="109">
        <v>41736</v>
      </c>
      <c r="D3693" s="108"/>
      <c r="E3693" s="108" t="s">
        <v>14605</v>
      </c>
      <c r="F3693" s="108" t="s">
        <v>20510</v>
      </c>
      <c r="G3693" s="110"/>
      <c r="H3693" s="108" t="s">
        <v>595</v>
      </c>
      <c r="I3693" s="108"/>
    </row>
    <row r="3694" spans="1:9">
      <c r="A3694" s="108" t="s">
        <v>237</v>
      </c>
      <c r="B3694" s="108" t="s">
        <v>20511</v>
      </c>
      <c r="C3694" s="109">
        <v>41697</v>
      </c>
      <c r="D3694" s="108"/>
      <c r="E3694" s="108" t="s">
        <v>14605</v>
      </c>
      <c r="F3694" s="108" t="s">
        <v>20512</v>
      </c>
      <c r="G3694" s="110"/>
      <c r="H3694" s="108" t="s">
        <v>595</v>
      </c>
      <c r="I3694" s="108"/>
    </row>
    <row r="3695" spans="1:9" ht="27.6">
      <c r="A3695" s="108" t="s">
        <v>14690</v>
      </c>
      <c r="B3695" s="108" t="s">
        <v>20513</v>
      </c>
      <c r="C3695" s="109">
        <v>41862</v>
      </c>
      <c r="D3695" s="108"/>
      <c r="E3695" s="108" t="s">
        <v>14605</v>
      </c>
      <c r="F3695" s="108" t="s">
        <v>14706</v>
      </c>
      <c r="G3695" s="110"/>
      <c r="H3695" s="108" t="s">
        <v>595</v>
      </c>
      <c r="I3695" s="108"/>
    </row>
    <row r="3696" spans="1:9" ht="27.6">
      <c r="A3696" s="108" t="s">
        <v>14690</v>
      </c>
      <c r="B3696" s="108" t="s">
        <v>20514</v>
      </c>
      <c r="C3696" s="109">
        <v>42200</v>
      </c>
      <c r="D3696" s="108"/>
      <c r="E3696" s="108" t="s">
        <v>14605</v>
      </c>
      <c r="F3696" s="108" t="s">
        <v>14910</v>
      </c>
      <c r="G3696" s="110"/>
      <c r="H3696" s="108" t="s">
        <v>595</v>
      </c>
      <c r="I3696" s="108"/>
    </row>
    <row r="3697" spans="1:9" ht="27.6">
      <c r="A3697" s="108" t="s">
        <v>14690</v>
      </c>
      <c r="B3697" s="108" t="s">
        <v>20515</v>
      </c>
      <c r="C3697" s="109">
        <v>41996</v>
      </c>
      <c r="D3697" s="108"/>
      <c r="E3697" s="108" t="s">
        <v>14605</v>
      </c>
      <c r="F3697" s="108" t="s">
        <v>20457</v>
      </c>
      <c r="G3697" s="110"/>
      <c r="H3697" s="108" t="s">
        <v>595</v>
      </c>
      <c r="I3697" s="108"/>
    </row>
    <row r="3698" spans="1:9" ht="27.6">
      <c r="A3698" s="108" t="s">
        <v>237</v>
      </c>
      <c r="B3698" s="108" t="s">
        <v>20516</v>
      </c>
      <c r="C3698" s="109">
        <v>41837</v>
      </c>
      <c r="D3698" s="108"/>
      <c r="E3698" s="108" t="s">
        <v>14605</v>
      </c>
      <c r="F3698" s="108" t="s">
        <v>14706</v>
      </c>
      <c r="G3698" s="110"/>
      <c r="H3698" s="108" t="s">
        <v>595</v>
      </c>
      <c r="I3698" s="108"/>
    </row>
    <row r="3699" spans="1:9">
      <c r="A3699" s="108" t="s">
        <v>237</v>
      </c>
      <c r="B3699" s="108" t="s">
        <v>20517</v>
      </c>
      <c r="C3699" s="109">
        <v>41835</v>
      </c>
      <c r="D3699" s="108"/>
      <c r="E3699" s="108" t="s">
        <v>14605</v>
      </c>
      <c r="F3699" s="108" t="s">
        <v>20518</v>
      </c>
      <c r="G3699" s="110"/>
      <c r="H3699" s="108" t="s">
        <v>595</v>
      </c>
      <c r="I3699" s="108"/>
    </row>
    <row r="3700" spans="1:9">
      <c r="A3700" s="108" t="s">
        <v>237</v>
      </c>
      <c r="B3700" s="108" t="s">
        <v>20519</v>
      </c>
      <c r="C3700" s="109">
        <v>41836</v>
      </c>
      <c r="D3700" s="108"/>
      <c r="E3700" s="108" t="s">
        <v>14605</v>
      </c>
      <c r="F3700" s="108" t="s">
        <v>20518</v>
      </c>
      <c r="G3700" s="110"/>
      <c r="H3700" s="108" t="s">
        <v>595</v>
      </c>
      <c r="I3700" s="108"/>
    </row>
    <row r="3701" spans="1:9" ht="27.6">
      <c r="A3701" s="108" t="s">
        <v>237</v>
      </c>
      <c r="B3701" s="108" t="s">
        <v>20520</v>
      </c>
      <c r="C3701" s="109">
        <v>41918</v>
      </c>
      <c r="D3701" s="108"/>
      <c r="E3701" s="108" t="s">
        <v>14605</v>
      </c>
      <c r="F3701" s="108" t="s">
        <v>14706</v>
      </c>
      <c r="G3701" s="110"/>
      <c r="H3701" s="108" t="s">
        <v>595</v>
      </c>
      <c r="I3701" s="108"/>
    </row>
    <row r="3702" spans="1:9" ht="27.6">
      <c r="A3702" s="108" t="s">
        <v>647</v>
      </c>
      <c r="B3702" s="108" t="s">
        <v>20521</v>
      </c>
      <c r="C3702" s="109">
        <v>40960</v>
      </c>
      <c r="D3702" s="108"/>
      <c r="E3702" s="108" t="s">
        <v>14605</v>
      </c>
      <c r="F3702" s="108" t="s">
        <v>20442</v>
      </c>
      <c r="G3702" s="110"/>
      <c r="H3702" s="108" t="s">
        <v>595</v>
      </c>
      <c r="I3702" s="108"/>
    </row>
    <row r="3703" spans="1:9" ht="27.6">
      <c r="A3703" s="108" t="s">
        <v>87</v>
      </c>
      <c r="B3703" s="108" t="s">
        <v>20522</v>
      </c>
      <c r="C3703" s="109">
        <v>40677</v>
      </c>
      <c r="D3703" s="108"/>
      <c r="E3703" s="108" t="s">
        <v>14605</v>
      </c>
      <c r="F3703" s="108" t="s">
        <v>20523</v>
      </c>
      <c r="G3703" s="110"/>
      <c r="H3703" s="108" t="s">
        <v>595</v>
      </c>
      <c r="I3703" s="108"/>
    </row>
    <row r="3704" spans="1:9" ht="41.4">
      <c r="A3704" s="108" t="s">
        <v>14690</v>
      </c>
      <c r="B3704" s="108" t="s">
        <v>20524</v>
      </c>
      <c r="C3704" s="109">
        <v>42095</v>
      </c>
      <c r="D3704" s="108"/>
      <c r="E3704" s="108" t="s">
        <v>14605</v>
      </c>
      <c r="F3704" s="108" t="s">
        <v>20525</v>
      </c>
      <c r="G3704" s="110"/>
      <c r="H3704" s="108" t="s">
        <v>595</v>
      </c>
      <c r="I3704" s="108"/>
    </row>
    <row r="3705" spans="1:9" ht="27.6">
      <c r="A3705" s="108" t="s">
        <v>185</v>
      </c>
      <c r="B3705" s="108" t="s">
        <v>20526</v>
      </c>
      <c r="C3705" s="109">
        <v>41908</v>
      </c>
      <c r="D3705" s="108"/>
      <c r="E3705" s="108" t="s">
        <v>14605</v>
      </c>
      <c r="F3705" s="108" t="s">
        <v>20527</v>
      </c>
      <c r="G3705" s="110"/>
      <c r="H3705" s="108" t="s">
        <v>595</v>
      </c>
      <c r="I3705" s="108"/>
    </row>
    <row r="3706" spans="1:9" ht="27.6">
      <c r="A3706" s="108" t="s">
        <v>185</v>
      </c>
      <c r="B3706" s="108" t="s">
        <v>20528</v>
      </c>
      <c r="C3706" s="109">
        <v>41289</v>
      </c>
      <c r="D3706" s="108"/>
      <c r="E3706" s="108" t="s">
        <v>14605</v>
      </c>
      <c r="F3706" s="108" t="s">
        <v>15146</v>
      </c>
      <c r="G3706" s="110"/>
      <c r="H3706" s="108" t="s">
        <v>595</v>
      </c>
      <c r="I3706" s="108"/>
    </row>
    <row r="3707" spans="1:9" ht="27.6">
      <c r="A3707" s="108" t="s">
        <v>185</v>
      </c>
      <c r="B3707" s="108" t="s">
        <v>20529</v>
      </c>
      <c r="C3707" s="109">
        <v>42712</v>
      </c>
      <c r="D3707" s="108"/>
      <c r="E3707" s="108" t="s">
        <v>14605</v>
      </c>
      <c r="F3707" s="108" t="s">
        <v>20530</v>
      </c>
      <c r="G3707" s="110"/>
      <c r="H3707" s="108" t="s">
        <v>595</v>
      </c>
      <c r="I3707" s="108"/>
    </row>
    <row r="3708" spans="1:9" ht="27.6">
      <c r="A3708" s="108" t="s">
        <v>185</v>
      </c>
      <c r="B3708" s="108" t="s">
        <v>20531</v>
      </c>
      <c r="C3708" s="109">
        <v>42066</v>
      </c>
      <c r="D3708" s="108"/>
      <c r="E3708" s="108" t="s">
        <v>14605</v>
      </c>
      <c r="F3708" s="108" t="s">
        <v>14748</v>
      </c>
      <c r="G3708" s="110"/>
      <c r="H3708" s="108" t="s">
        <v>595</v>
      </c>
      <c r="I3708" s="108"/>
    </row>
    <row r="3709" spans="1:9" ht="27.6">
      <c r="A3709" s="108" t="s">
        <v>185</v>
      </c>
      <c r="B3709" s="108" t="s">
        <v>20532</v>
      </c>
      <c r="C3709" s="109">
        <v>41561</v>
      </c>
      <c r="D3709" s="108"/>
      <c r="E3709" s="108" t="s">
        <v>14605</v>
      </c>
      <c r="F3709" s="108" t="s">
        <v>20533</v>
      </c>
      <c r="G3709" s="110"/>
      <c r="H3709" s="108" t="s">
        <v>595</v>
      </c>
      <c r="I3709" s="108"/>
    </row>
    <row r="3710" spans="1:9" ht="27.6">
      <c r="A3710" s="108" t="s">
        <v>185</v>
      </c>
      <c r="B3710" s="108" t="s">
        <v>20534</v>
      </c>
      <c r="C3710" s="109">
        <v>41851</v>
      </c>
      <c r="D3710" s="108"/>
      <c r="E3710" s="108" t="s">
        <v>14605</v>
      </c>
      <c r="F3710" s="108" t="s">
        <v>20535</v>
      </c>
      <c r="G3710" s="110"/>
      <c r="H3710" s="108" t="s">
        <v>595</v>
      </c>
      <c r="I3710" s="108"/>
    </row>
    <row r="3711" spans="1:9" ht="27.6">
      <c r="A3711" s="108" t="s">
        <v>185</v>
      </c>
      <c r="B3711" s="108" t="s">
        <v>20536</v>
      </c>
      <c r="C3711" s="109">
        <v>42268</v>
      </c>
      <c r="D3711" s="108"/>
      <c r="E3711" s="108" t="s">
        <v>14605</v>
      </c>
      <c r="F3711" s="108" t="s">
        <v>20537</v>
      </c>
      <c r="G3711" s="110"/>
      <c r="H3711" s="108" t="s">
        <v>595</v>
      </c>
      <c r="I3711" s="108"/>
    </row>
    <row r="3712" spans="1:9">
      <c r="A3712" s="108" t="s">
        <v>169</v>
      </c>
      <c r="B3712" s="108" t="s">
        <v>20538</v>
      </c>
      <c r="C3712" s="109">
        <v>42356</v>
      </c>
      <c r="D3712" s="108"/>
      <c r="E3712" s="108" t="s">
        <v>14605</v>
      </c>
      <c r="F3712" s="108" t="s">
        <v>20539</v>
      </c>
      <c r="G3712" s="110"/>
      <c r="H3712" s="108" t="s">
        <v>595</v>
      </c>
      <c r="I3712" s="108"/>
    </row>
    <row r="3713" spans="1:9" ht="27.6">
      <c r="A3713" s="108" t="s">
        <v>169</v>
      </c>
      <c r="B3713" s="108" t="s">
        <v>20540</v>
      </c>
      <c r="C3713" s="109">
        <v>42074</v>
      </c>
      <c r="D3713" s="108"/>
      <c r="E3713" s="108" t="s">
        <v>14605</v>
      </c>
      <c r="F3713" s="108" t="s">
        <v>20541</v>
      </c>
      <c r="G3713" s="110"/>
      <c r="H3713" s="108" t="s">
        <v>595</v>
      </c>
      <c r="I3713" s="108"/>
    </row>
    <row r="3714" spans="1:9">
      <c r="A3714" s="108" t="s">
        <v>169</v>
      </c>
      <c r="B3714" s="108" t="s">
        <v>20542</v>
      </c>
      <c r="C3714" s="109">
        <v>41652</v>
      </c>
      <c r="D3714" s="108"/>
      <c r="E3714" s="108" t="s">
        <v>14605</v>
      </c>
      <c r="F3714" s="108" t="s">
        <v>15407</v>
      </c>
      <c r="G3714" s="110"/>
      <c r="H3714" s="108" t="s">
        <v>595</v>
      </c>
      <c r="I3714" s="108"/>
    </row>
    <row r="3715" spans="1:9">
      <c r="A3715" s="108" t="s">
        <v>169</v>
      </c>
      <c r="B3715" s="108" t="s">
        <v>20543</v>
      </c>
      <c r="C3715" s="109">
        <v>41858</v>
      </c>
      <c r="D3715" s="108"/>
      <c r="E3715" s="108" t="s">
        <v>14605</v>
      </c>
      <c r="F3715" s="108" t="s">
        <v>20544</v>
      </c>
      <c r="G3715" s="110"/>
      <c r="H3715" s="108" t="s">
        <v>595</v>
      </c>
      <c r="I3715" s="108"/>
    </row>
    <row r="3716" spans="1:9">
      <c r="A3716" s="108" t="s">
        <v>169</v>
      </c>
      <c r="B3716" s="108" t="s">
        <v>20545</v>
      </c>
      <c r="C3716" s="109">
        <v>41889</v>
      </c>
      <c r="D3716" s="108"/>
      <c r="E3716" s="108" t="s">
        <v>14605</v>
      </c>
      <c r="F3716" s="108" t="s">
        <v>20544</v>
      </c>
      <c r="G3716" s="110"/>
      <c r="H3716" s="108" t="s">
        <v>595</v>
      </c>
      <c r="I3716" s="108"/>
    </row>
    <row r="3717" spans="1:9">
      <c r="A3717" s="108" t="s">
        <v>169</v>
      </c>
      <c r="B3717" s="108" t="s">
        <v>20546</v>
      </c>
      <c r="C3717" s="109">
        <v>42023</v>
      </c>
      <c r="D3717" s="108"/>
      <c r="E3717" s="108" t="s">
        <v>14605</v>
      </c>
      <c r="F3717" s="108" t="s">
        <v>20547</v>
      </c>
      <c r="G3717" s="110"/>
      <c r="H3717" s="108" t="s">
        <v>595</v>
      </c>
      <c r="I3717" s="108"/>
    </row>
    <row r="3718" spans="1:9" ht="27.6">
      <c r="A3718" s="108" t="s">
        <v>169</v>
      </c>
      <c r="B3718" s="108" t="s">
        <v>20548</v>
      </c>
      <c r="C3718" s="109">
        <v>42074</v>
      </c>
      <c r="D3718" s="108"/>
      <c r="E3718" s="108" t="s">
        <v>14605</v>
      </c>
      <c r="F3718" s="108" t="s">
        <v>14871</v>
      </c>
      <c r="G3718" s="110"/>
      <c r="H3718" s="108" t="s">
        <v>595</v>
      </c>
      <c r="I3718" s="108"/>
    </row>
    <row r="3719" spans="1:9">
      <c r="A3719" s="108" t="s">
        <v>169</v>
      </c>
      <c r="B3719" s="108" t="s">
        <v>20549</v>
      </c>
      <c r="C3719" s="109">
        <v>42094</v>
      </c>
      <c r="D3719" s="108"/>
      <c r="E3719" s="108" t="s">
        <v>14605</v>
      </c>
      <c r="F3719" s="108" t="s">
        <v>16639</v>
      </c>
      <c r="G3719" s="110"/>
      <c r="H3719" s="108" t="s">
        <v>595</v>
      </c>
      <c r="I3719" s="108"/>
    </row>
    <row r="3720" spans="1:9">
      <c r="A3720" s="108" t="s">
        <v>169</v>
      </c>
      <c r="B3720" s="108" t="s">
        <v>20550</v>
      </c>
      <c r="C3720" s="109">
        <v>41860</v>
      </c>
      <c r="D3720" s="108"/>
      <c r="E3720" s="108" t="s">
        <v>14605</v>
      </c>
      <c r="F3720" s="108" t="s">
        <v>20551</v>
      </c>
      <c r="G3720" s="110"/>
      <c r="H3720" s="108" t="s">
        <v>595</v>
      </c>
      <c r="I3720" s="108"/>
    </row>
    <row r="3721" spans="1:9">
      <c r="A3721" s="108" t="s">
        <v>169</v>
      </c>
      <c r="B3721" s="108" t="s">
        <v>20552</v>
      </c>
      <c r="C3721" s="109">
        <v>42317</v>
      </c>
      <c r="D3721" s="108"/>
      <c r="E3721" s="108" t="s">
        <v>14605</v>
      </c>
      <c r="F3721" s="108" t="s">
        <v>20544</v>
      </c>
      <c r="G3721" s="110"/>
      <c r="H3721" s="108" t="s">
        <v>595</v>
      </c>
      <c r="I3721" s="108"/>
    </row>
    <row r="3722" spans="1:9" ht="27.6">
      <c r="A3722" s="108" t="s">
        <v>169</v>
      </c>
      <c r="B3722" s="108" t="s">
        <v>20553</v>
      </c>
      <c r="C3722" s="109">
        <v>42531</v>
      </c>
      <c r="D3722" s="108"/>
      <c r="E3722" s="108" t="s">
        <v>14605</v>
      </c>
      <c r="F3722" s="108" t="s">
        <v>20554</v>
      </c>
      <c r="G3722" s="110"/>
      <c r="H3722" s="108" t="s">
        <v>595</v>
      </c>
      <c r="I3722" s="108"/>
    </row>
    <row r="3723" spans="1:9">
      <c r="A3723" s="108" t="s">
        <v>169</v>
      </c>
      <c r="B3723" s="108" t="s">
        <v>20555</v>
      </c>
      <c r="C3723" s="109">
        <v>41946</v>
      </c>
      <c r="D3723" s="108"/>
      <c r="E3723" s="108" t="s">
        <v>14605</v>
      </c>
      <c r="F3723" s="108" t="s">
        <v>20556</v>
      </c>
      <c r="G3723" s="110"/>
      <c r="H3723" s="108" t="s">
        <v>595</v>
      </c>
      <c r="I3723" s="108"/>
    </row>
    <row r="3724" spans="1:9">
      <c r="A3724" s="108" t="s">
        <v>169</v>
      </c>
      <c r="B3724" s="108" t="s">
        <v>20557</v>
      </c>
      <c r="C3724" s="109">
        <v>41962</v>
      </c>
      <c r="D3724" s="108"/>
      <c r="E3724" s="108" t="s">
        <v>14605</v>
      </c>
      <c r="F3724" s="108" t="s">
        <v>20544</v>
      </c>
      <c r="G3724" s="110"/>
      <c r="H3724" s="108" t="s">
        <v>595</v>
      </c>
      <c r="I3724" s="108"/>
    </row>
    <row r="3725" spans="1:9" ht="27.6">
      <c r="A3725" s="108" t="s">
        <v>169</v>
      </c>
      <c r="B3725" s="108" t="s">
        <v>20558</v>
      </c>
      <c r="C3725" s="109">
        <v>42019</v>
      </c>
      <c r="D3725" s="108"/>
      <c r="E3725" s="108" t="s">
        <v>14605</v>
      </c>
      <c r="F3725" s="108" t="s">
        <v>20554</v>
      </c>
      <c r="G3725" s="110"/>
      <c r="H3725" s="108" t="s">
        <v>595</v>
      </c>
      <c r="I3725" s="108"/>
    </row>
    <row r="3726" spans="1:9">
      <c r="A3726" s="108" t="s">
        <v>169</v>
      </c>
      <c r="B3726" s="108" t="s">
        <v>20559</v>
      </c>
      <c r="C3726" s="109">
        <v>42074</v>
      </c>
      <c r="D3726" s="108"/>
      <c r="E3726" s="108" t="s">
        <v>14605</v>
      </c>
      <c r="F3726" s="108" t="s">
        <v>20482</v>
      </c>
      <c r="G3726" s="110"/>
      <c r="H3726" s="108" t="s">
        <v>595</v>
      </c>
      <c r="I3726" s="108"/>
    </row>
    <row r="3727" spans="1:9">
      <c r="A3727" s="108" t="s">
        <v>169</v>
      </c>
      <c r="B3727" s="108" t="s">
        <v>20560</v>
      </c>
      <c r="C3727" s="109">
        <v>42117</v>
      </c>
      <c r="D3727" s="108"/>
      <c r="E3727" s="108" t="s">
        <v>14605</v>
      </c>
      <c r="F3727" s="108" t="s">
        <v>20561</v>
      </c>
      <c r="G3727" s="110"/>
      <c r="H3727" s="108" t="s">
        <v>595</v>
      </c>
      <c r="I3727" s="108"/>
    </row>
    <row r="3728" spans="1:9">
      <c r="A3728" s="108" t="s">
        <v>169</v>
      </c>
      <c r="B3728" s="108" t="s">
        <v>20562</v>
      </c>
      <c r="C3728" s="109">
        <v>42192</v>
      </c>
      <c r="D3728" s="108"/>
      <c r="E3728" s="108" t="s">
        <v>14605</v>
      </c>
      <c r="F3728" s="108" t="s">
        <v>15403</v>
      </c>
      <c r="G3728" s="110"/>
      <c r="H3728" s="108" t="s">
        <v>595</v>
      </c>
      <c r="I3728" s="108"/>
    </row>
    <row r="3729" spans="1:9">
      <c r="A3729" s="108" t="s">
        <v>169</v>
      </c>
      <c r="B3729" s="108" t="s">
        <v>20563</v>
      </c>
      <c r="C3729" s="109">
        <v>42275</v>
      </c>
      <c r="D3729" s="108"/>
      <c r="E3729" s="108" t="s">
        <v>14605</v>
      </c>
      <c r="F3729" s="108" t="s">
        <v>20551</v>
      </c>
      <c r="G3729" s="110"/>
      <c r="H3729" s="108" t="s">
        <v>595</v>
      </c>
      <c r="I3729" s="108"/>
    </row>
    <row r="3730" spans="1:9" ht="27.6">
      <c r="A3730" s="108" t="s">
        <v>169</v>
      </c>
      <c r="B3730" s="108" t="s">
        <v>20564</v>
      </c>
      <c r="C3730" s="109">
        <v>42319</v>
      </c>
      <c r="D3730" s="108"/>
      <c r="E3730" s="108" t="s">
        <v>14605</v>
      </c>
      <c r="F3730" s="108" t="s">
        <v>20457</v>
      </c>
      <c r="G3730" s="110"/>
      <c r="H3730" s="108" t="s">
        <v>595</v>
      </c>
      <c r="I3730" s="108"/>
    </row>
    <row r="3731" spans="1:9">
      <c r="A3731" s="108" t="s">
        <v>169</v>
      </c>
      <c r="B3731" s="108" t="s">
        <v>20565</v>
      </c>
      <c r="C3731" s="109">
        <v>42841</v>
      </c>
      <c r="D3731" s="108"/>
      <c r="E3731" s="108" t="s">
        <v>14605</v>
      </c>
      <c r="F3731" s="108" t="s">
        <v>20482</v>
      </c>
      <c r="G3731" s="110"/>
      <c r="H3731" s="108" t="s">
        <v>595</v>
      </c>
      <c r="I3731" s="108"/>
    </row>
    <row r="3732" spans="1:9">
      <c r="A3732" s="108" t="s">
        <v>169</v>
      </c>
      <c r="B3732" s="108" t="s">
        <v>20566</v>
      </c>
      <c r="C3732" s="109">
        <v>42636</v>
      </c>
      <c r="D3732" s="108"/>
      <c r="E3732" s="108" t="s">
        <v>14605</v>
      </c>
      <c r="F3732" s="108" t="s">
        <v>20567</v>
      </c>
      <c r="G3732" s="110"/>
      <c r="H3732" s="108" t="s">
        <v>595</v>
      </c>
      <c r="I3732" s="108"/>
    </row>
    <row r="3733" spans="1:9">
      <c r="A3733" s="108" t="s">
        <v>169</v>
      </c>
      <c r="B3733" s="108" t="s">
        <v>20568</v>
      </c>
      <c r="C3733" s="109">
        <v>42710</v>
      </c>
      <c r="D3733" s="108"/>
      <c r="E3733" s="108" t="s">
        <v>14605</v>
      </c>
      <c r="F3733" s="108" t="s">
        <v>20491</v>
      </c>
      <c r="G3733" s="110"/>
      <c r="H3733" s="108" t="s">
        <v>595</v>
      </c>
      <c r="I3733" s="108"/>
    </row>
    <row r="3734" spans="1:9">
      <c r="A3734" s="108" t="s">
        <v>169</v>
      </c>
      <c r="B3734" s="108" t="s">
        <v>20569</v>
      </c>
      <c r="C3734" s="109">
        <v>43082</v>
      </c>
      <c r="D3734" s="108"/>
      <c r="E3734" s="108" t="s">
        <v>14605</v>
      </c>
      <c r="F3734" s="108" t="s">
        <v>14933</v>
      </c>
      <c r="G3734" s="110"/>
      <c r="H3734" s="108" t="s">
        <v>595</v>
      </c>
      <c r="I3734" s="108"/>
    </row>
    <row r="3735" spans="1:9">
      <c r="A3735" s="108" t="s">
        <v>169</v>
      </c>
      <c r="B3735" s="108" t="s">
        <v>20570</v>
      </c>
      <c r="C3735" s="109">
        <v>43074</v>
      </c>
      <c r="D3735" s="108"/>
      <c r="E3735" s="108" t="s">
        <v>14605</v>
      </c>
      <c r="F3735" s="108" t="s">
        <v>20571</v>
      </c>
      <c r="G3735" s="110"/>
      <c r="H3735" s="108" t="s">
        <v>595</v>
      </c>
      <c r="I3735" s="108"/>
    </row>
    <row r="3736" spans="1:9">
      <c r="A3736" s="108" t="s">
        <v>169</v>
      </c>
      <c r="B3736" s="108" t="s">
        <v>20572</v>
      </c>
      <c r="C3736" s="109">
        <v>43171</v>
      </c>
      <c r="D3736" s="108"/>
      <c r="E3736" s="108" t="s">
        <v>14605</v>
      </c>
      <c r="F3736" s="108" t="s">
        <v>14933</v>
      </c>
      <c r="G3736" s="110"/>
      <c r="H3736" s="108" t="s">
        <v>595</v>
      </c>
      <c r="I3736" s="108"/>
    </row>
    <row r="3737" spans="1:9">
      <c r="A3737" s="108" t="s">
        <v>169</v>
      </c>
      <c r="B3737" s="108" t="s">
        <v>20573</v>
      </c>
      <c r="C3737" s="109">
        <v>43385</v>
      </c>
      <c r="D3737" s="108"/>
      <c r="E3737" s="108" t="s">
        <v>14605</v>
      </c>
      <c r="F3737" s="108" t="s">
        <v>20440</v>
      </c>
      <c r="G3737" s="110"/>
      <c r="H3737" s="108" t="s">
        <v>595</v>
      </c>
      <c r="I3737" s="108"/>
    </row>
    <row r="3738" spans="1:9" ht="27.6">
      <c r="A3738" s="108" t="s">
        <v>169</v>
      </c>
      <c r="B3738" s="108" t="s">
        <v>20574</v>
      </c>
      <c r="C3738" s="109">
        <v>43441</v>
      </c>
      <c r="D3738" s="108"/>
      <c r="E3738" s="108" t="s">
        <v>14605</v>
      </c>
      <c r="F3738" s="108" t="s">
        <v>20575</v>
      </c>
      <c r="G3738" s="110"/>
      <c r="H3738" s="108" t="s">
        <v>595</v>
      </c>
      <c r="I3738" s="108"/>
    </row>
    <row r="3739" spans="1:9">
      <c r="A3739" s="108" t="s">
        <v>169</v>
      </c>
      <c r="B3739" s="108" t="s">
        <v>20576</v>
      </c>
      <c r="C3739" s="109">
        <v>43899</v>
      </c>
      <c r="D3739" s="108"/>
      <c r="E3739" s="108" t="s">
        <v>14605</v>
      </c>
      <c r="F3739" s="108" t="s">
        <v>20551</v>
      </c>
      <c r="G3739" s="110"/>
      <c r="H3739" s="108" t="s">
        <v>595</v>
      </c>
      <c r="I3739" s="108"/>
    </row>
    <row r="3740" spans="1:9">
      <c r="A3740" s="108" t="s">
        <v>169</v>
      </c>
      <c r="B3740" s="108" t="s">
        <v>20577</v>
      </c>
      <c r="C3740" s="109">
        <v>43605</v>
      </c>
      <c r="D3740" s="108"/>
      <c r="E3740" s="108" t="s">
        <v>14605</v>
      </c>
      <c r="F3740" s="108" t="s">
        <v>20440</v>
      </c>
      <c r="G3740" s="110"/>
      <c r="H3740" s="108" t="s">
        <v>595</v>
      </c>
      <c r="I3740" s="108"/>
    </row>
    <row r="3741" spans="1:9" ht="27.6">
      <c r="A3741" s="108" t="s">
        <v>169</v>
      </c>
      <c r="B3741" s="108" t="s">
        <v>20578</v>
      </c>
      <c r="C3741" s="109">
        <v>43766</v>
      </c>
      <c r="D3741" s="108"/>
      <c r="E3741" s="108" t="s">
        <v>14605</v>
      </c>
      <c r="F3741" s="108" t="s">
        <v>16497</v>
      </c>
      <c r="G3741" s="110"/>
      <c r="H3741" s="108" t="s">
        <v>595</v>
      </c>
      <c r="I3741" s="108"/>
    </row>
    <row r="3742" spans="1:9">
      <c r="A3742" s="108" t="s">
        <v>169</v>
      </c>
      <c r="B3742" s="108" t="s">
        <v>20579</v>
      </c>
      <c r="C3742" s="109">
        <v>43766</v>
      </c>
      <c r="D3742" s="108"/>
      <c r="E3742" s="108" t="s">
        <v>14605</v>
      </c>
      <c r="F3742" s="108" t="s">
        <v>20463</v>
      </c>
      <c r="G3742" s="110"/>
      <c r="H3742" s="108" t="s">
        <v>595</v>
      </c>
      <c r="I3742" s="108"/>
    </row>
    <row r="3743" spans="1:9">
      <c r="A3743" s="108" t="s">
        <v>169</v>
      </c>
      <c r="B3743" s="108" t="s">
        <v>20580</v>
      </c>
      <c r="C3743" s="109">
        <v>44069</v>
      </c>
      <c r="D3743" s="108"/>
      <c r="E3743" s="108" t="s">
        <v>14605</v>
      </c>
      <c r="F3743" s="108" t="s">
        <v>20482</v>
      </c>
      <c r="G3743" s="110"/>
      <c r="H3743" s="108" t="s">
        <v>595</v>
      </c>
      <c r="I3743" s="108"/>
    </row>
    <row r="3744" spans="1:9" ht="27.6">
      <c r="A3744" s="108" t="s">
        <v>169</v>
      </c>
      <c r="B3744" s="108" t="s">
        <v>20581</v>
      </c>
      <c r="C3744" s="109">
        <v>44277</v>
      </c>
      <c r="D3744" s="108"/>
      <c r="E3744" s="108" t="s">
        <v>14605</v>
      </c>
      <c r="F3744" s="108" t="s">
        <v>14871</v>
      </c>
      <c r="G3744" s="110"/>
      <c r="H3744" s="108" t="s">
        <v>595</v>
      </c>
      <c r="I3744" s="108"/>
    </row>
    <row r="3745" spans="1:9">
      <c r="A3745" s="108" t="s">
        <v>87</v>
      </c>
      <c r="B3745" s="108" t="s">
        <v>20582</v>
      </c>
      <c r="C3745" s="109">
        <v>42095</v>
      </c>
      <c r="D3745" s="108"/>
      <c r="E3745" s="108" t="s">
        <v>14605</v>
      </c>
      <c r="F3745" s="108" t="s">
        <v>14685</v>
      </c>
      <c r="G3745" s="110"/>
      <c r="H3745" s="108" t="s">
        <v>595</v>
      </c>
      <c r="I3745" s="108"/>
    </row>
    <row r="3746" spans="1:9">
      <c r="A3746" s="108" t="s">
        <v>87</v>
      </c>
      <c r="B3746" s="108" t="s">
        <v>20583</v>
      </c>
      <c r="C3746" s="109">
        <v>42220</v>
      </c>
      <c r="D3746" s="108"/>
      <c r="E3746" s="108" t="s">
        <v>14605</v>
      </c>
      <c r="F3746" s="108" t="s">
        <v>20584</v>
      </c>
      <c r="G3746" s="110"/>
      <c r="H3746" s="108" t="s">
        <v>595</v>
      </c>
      <c r="I3746" s="108"/>
    </row>
    <row r="3747" spans="1:9">
      <c r="A3747" s="108" t="s">
        <v>87</v>
      </c>
      <c r="B3747" s="108" t="s">
        <v>20585</v>
      </c>
      <c r="C3747" s="109">
        <v>42431</v>
      </c>
      <c r="D3747" s="108"/>
      <c r="E3747" s="108" t="s">
        <v>14605</v>
      </c>
      <c r="F3747" s="108" t="s">
        <v>20586</v>
      </c>
      <c r="G3747" s="110"/>
      <c r="H3747" s="108" t="s">
        <v>595</v>
      </c>
      <c r="I3747" s="108"/>
    </row>
    <row r="3748" spans="1:9">
      <c r="A3748" s="108" t="s">
        <v>237</v>
      </c>
      <c r="B3748" s="108" t="s">
        <v>20587</v>
      </c>
      <c r="C3748" s="109">
        <v>42514</v>
      </c>
      <c r="D3748" s="108"/>
      <c r="E3748" s="108" t="s">
        <v>14605</v>
      </c>
      <c r="F3748" s="108" t="s">
        <v>20588</v>
      </c>
      <c r="G3748" s="110"/>
      <c r="H3748" s="108" t="s">
        <v>595</v>
      </c>
      <c r="I3748" s="108"/>
    </row>
    <row r="3749" spans="1:9">
      <c r="A3749" s="108" t="s">
        <v>237</v>
      </c>
      <c r="B3749" s="108" t="s">
        <v>20589</v>
      </c>
      <c r="C3749" s="109">
        <v>42569</v>
      </c>
      <c r="D3749" s="108"/>
      <c r="E3749" s="108" t="s">
        <v>14605</v>
      </c>
      <c r="F3749" s="108" t="s">
        <v>15061</v>
      </c>
      <c r="G3749" s="110"/>
      <c r="H3749" s="108" t="s">
        <v>595</v>
      </c>
      <c r="I3749" s="108"/>
    </row>
    <row r="3750" spans="1:9">
      <c r="A3750" s="108" t="s">
        <v>237</v>
      </c>
      <c r="B3750" s="108" t="s">
        <v>20590</v>
      </c>
      <c r="C3750" s="109">
        <v>43439</v>
      </c>
      <c r="D3750" s="108"/>
      <c r="E3750" s="108" t="s">
        <v>14605</v>
      </c>
      <c r="F3750" s="108" t="s">
        <v>20482</v>
      </c>
      <c r="G3750" s="110"/>
      <c r="H3750" s="108" t="s">
        <v>595</v>
      </c>
      <c r="I3750" s="108"/>
    </row>
    <row r="3751" spans="1:9">
      <c r="A3751" s="108" t="s">
        <v>237</v>
      </c>
      <c r="B3751" s="108" t="s">
        <v>20591</v>
      </c>
      <c r="C3751" s="109">
        <v>43518</v>
      </c>
      <c r="D3751" s="108"/>
      <c r="E3751" s="108" t="s">
        <v>14605</v>
      </c>
      <c r="F3751" s="108" t="s">
        <v>20556</v>
      </c>
      <c r="G3751" s="110"/>
      <c r="H3751" s="108" t="s">
        <v>595</v>
      </c>
      <c r="I3751" s="108"/>
    </row>
    <row r="3752" spans="1:9" ht="27.6">
      <c r="A3752" s="108" t="s">
        <v>15043</v>
      </c>
      <c r="B3752" s="108" t="s">
        <v>20592</v>
      </c>
      <c r="C3752" s="109">
        <v>42514</v>
      </c>
      <c r="D3752" s="108"/>
      <c r="E3752" s="108" t="s">
        <v>14605</v>
      </c>
      <c r="F3752" s="108" t="s">
        <v>20593</v>
      </c>
      <c r="G3752" s="110"/>
      <c r="H3752" s="108" t="s">
        <v>595</v>
      </c>
      <c r="I3752" s="108"/>
    </row>
    <row r="3753" spans="1:9">
      <c r="A3753" s="108" t="s">
        <v>571</v>
      </c>
      <c r="B3753" s="108" t="s">
        <v>20594</v>
      </c>
      <c r="C3753" s="109">
        <v>42380</v>
      </c>
      <c r="D3753" s="108"/>
      <c r="E3753" s="108" t="s">
        <v>14605</v>
      </c>
      <c r="F3753" s="108" t="s">
        <v>16886</v>
      </c>
      <c r="G3753" s="110"/>
      <c r="H3753" s="108" t="s">
        <v>595</v>
      </c>
      <c r="I3753" s="108"/>
    </row>
    <row r="3754" spans="1:9">
      <c r="A3754" s="108" t="s">
        <v>571</v>
      </c>
      <c r="B3754" s="108" t="s">
        <v>20595</v>
      </c>
      <c r="C3754" s="109">
        <v>42389</v>
      </c>
      <c r="D3754" s="108"/>
      <c r="E3754" s="108" t="s">
        <v>14605</v>
      </c>
      <c r="F3754" s="108" t="s">
        <v>15146</v>
      </c>
      <c r="G3754" s="110"/>
      <c r="H3754" s="108" t="s">
        <v>595</v>
      </c>
      <c r="I3754" s="108"/>
    </row>
    <row r="3755" spans="1:9">
      <c r="A3755" s="108" t="s">
        <v>571</v>
      </c>
      <c r="B3755" s="108" t="s">
        <v>20596</v>
      </c>
      <c r="C3755" s="109">
        <v>42849</v>
      </c>
      <c r="D3755" s="108"/>
      <c r="E3755" s="108" t="s">
        <v>14605</v>
      </c>
      <c r="F3755" s="108" t="s">
        <v>20482</v>
      </c>
      <c r="G3755" s="110"/>
      <c r="H3755" s="108" t="s">
        <v>595</v>
      </c>
      <c r="I3755" s="108"/>
    </row>
    <row r="3756" spans="1:9">
      <c r="A3756" s="108" t="s">
        <v>571</v>
      </c>
      <c r="B3756" s="108" t="s">
        <v>20597</v>
      </c>
      <c r="C3756" s="109">
        <v>42912</v>
      </c>
      <c r="D3756" s="108"/>
      <c r="E3756" s="108" t="s">
        <v>14605</v>
      </c>
      <c r="F3756" s="108" t="s">
        <v>14910</v>
      </c>
      <c r="G3756" s="110"/>
      <c r="H3756" s="108" t="s">
        <v>595</v>
      </c>
      <c r="I3756" s="108"/>
    </row>
    <row r="3757" spans="1:9">
      <c r="A3757" s="108" t="s">
        <v>571</v>
      </c>
      <c r="B3757" s="108" t="s">
        <v>20598</v>
      </c>
      <c r="C3757" s="109">
        <v>43770</v>
      </c>
      <c r="D3757" s="108"/>
      <c r="E3757" s="108" t="s">
        <v>14605</v>
      </c>
      <c r="F3757" s="108" t="s">
        <v>15329</v>
      </c>
      <c r="G3757" s="110"/>
      <c r="H3757" s="108" t="s">
        <v>595</v>
      </c>
      <c r="I3757" s="108"/>
    </row>
    <row r="3758" spans="1:9" ht="27.6">
      <c r="A3758" s="108" t="s">
        <v>571</v>
      </c>
      <c r="B3758" s="108" t="s">
        <v>20599</v>
      </c>
      <c r="C3758" s="109">
        <v>43770</v>
      </c>
      <c r="D3758" s="108"/>
      <c r="E3758" s="108" t="s">
        <v>14605</v>
      </c>
      <c r="F3758" s="108" t="s">
        <v>14709</v>
      </c>
      <c r="G3758" s="110"/>
      <c r="H3758" s="108" t="s">
        <v>595</v>
      </c>
      <c r="I3758" s="108"/>
    </row>
    <row r="3759" spans="1:9" ht="27.6">
      <c r="A3759" s="108" t="s">
        <v>2002</v>
      </c>
      <c r="B3759" s="108" t="s">
        <v>20600</v>
      </c>
      <c r="C3759" s="109">
        <v>42187</v>
      </c>
      <c r="D3759" s="108"/>
      <c r="E3759" s="108" t="s">
        <v>14605</v>
      </c>
      <c r="F3759" s="108" t="s">
        <v>20601</v>
      </c>
      <c r="G3759" s="110"/>
      <c r="H3759" s="108" t="s">
        <v>595</v>
      </c>
      <c r="I3759" s="108"/>
    </row>
    <row r="3760" spans="1:9">
      <c r="A3760" s="108" t="s">
        <v>2002</v>
      </c>
      <c r="B3760" s="108" t="s">
        <v>20602</v>
      </c>
      <c r="C3760" s="109">
        <v>42270</v>
      </c>
      <c r="D3760" s="108"/>
      <c r="E3760" s="108" t="s">
        <v>14605</v>
      </c>
      <c r="F3760" s="108" t="s">
        <v>20603</v>
      </c>
      <c r="G3760" s="110"/>
      <c r="H3760" s="108" t="s">
        <v>595</v>
      </c>
      <c r="I3760" s="108"/>
    </row>
    <row r="3761" spans="1:9">
      <c r="A3761" s="108" t="s">
        <v>2002</v>
      </c>
      <c r="B3761" s="108" t="s">
        <v>20604</v>
      </c>
      <c r="C3761" s="109">
        <v>42445</v>
      </c>
      <c r="D3761" s="108"/>
      <c r="E3761" s="108" t="s">
        <v>14605</v>
      </c>
      <c r="F3761" s="108" t="s">
        <v>20605</v>
      </c>
      <c r="G3761" s="110"/>
      <c r="H3761" s="108" t="s">
        <v>595</v>
      </c>
      <c r="I3761" s="108"/>
    </row>
    <row r="3762" spans="1:9" ht="27.6">
      <c r="A3762" s="108" t="s">
        <v>2002</v>
      </c>
      <c r="B3762" s="108" t="s">
        <v>20606</v>
      </c>
      <c r="C3762" s="109">
        <v>42719</v>
      </c>
      <c r="D3762" s="108"/>
      <c r="E3762" s="108" t="s">
        <v>14605</v>
      </c>
      <c r="F3762" s="108" t="s">
        <v>16497</v>
      </c>
      <c r="G3762" s="110"/>
      <c r="H3762" s="108" t="s">
        <v>595</v>
      </c>
      <c r="I3762" s="108"/>
    </row>
    <row r="3763" spans="1:9" ht="27.6">
      <c r="A3763" s="108" t="s">
        <v>2002</v>
      </c>
      <c r="B3763" s="108" t="s">
        <v>20607</v>
      </c>
      <c r="C3763" s="109">
        <v>43531</v>
      </c>
      <c r="D3763" s="108"/>
      <c r="E3763" s="108" t="s">
        <v>14605</v>
      </c>
      <c r="F3763" s="108" t="s">
        <v>20608</v>
      </c>
      <c r="G3763" s="110"/>
      <c r="H3763" s="108" t="s">
        <v>595</v>
      </c>
      <c r="I3763" s="108"/>
    </row>
    <row r="3764" spans="1:9">
      <c r="A3764" s="108" t="s">
        <v>1465</v>
      </c>
      <c r="B3764" s="108" t="s">
        <v>20609</v>
      </c>
      <c r="C3764" s="109">
        <v>42313</v>
      </c>
      <c r="D3764" s="108"/>
      <c r="E3764" s="108" t="s">
        <v>14605</v>
      </c>
      <c r="F3764" s="108" t="s">
        <v>15329</v>
      </c>
      <c r="G3764" s="110"/>
      <c r="H3764" s="108" t="s">
        <v>595</v>
      </c>
      <c r="I3764" s="108"/>
    </row>
    <row r="3765" spans="1:9" ht="27.6">
      <c r="A3765" s="108" t="s">
        <v>923</v>
      </c>
      <c r="B3765" s="108" t="s">
        <v>20610</v>
      </c>
      <c r="C3765" s="109">
        <v>42116</v>
      </c>
      <c r="D3765" s="108"/>
      <c r="E3765" s="108" t="s">
        <v>14605</v>
      </c>
      <c r="F3765" s="108" t="s">
        <v>14974</v>
      </c>
      <c r="G3765" s="110"/>
      <c r="H3765" s="108" t="s">
        <v>595</v>
      </c>
      <c r="I3765" s="108"/>
    </row>
    <row r="3766" spans="1:9">
      <c r="A3766" s="108" t="s">
        <v>923</v>
      </c>
      <c r="B3766" s="108" t="s">
        <v>20611</v>
      </c>
      <c r="C3766" s="109">
        <v>42444</v>
      </c>
      <c r="D3766" s="108"/>
      <c r="E3766" s="108" t="s">
        <v>14605</v>
      </c>
      <c r="F3766" s="108" t="s">
        <v>16089</v>
      </c>
      <c r="G3766" s="110"/>
      <c r="H3766" s="108" t="s">
        <v>595</v>
      </c>
      <c r="I3766" s="108"/>
    </row>
    <row r="3767" spans="1:9">
      <c r="A3767" s="108" t="s">
        <v>923</v>
      </c>
      <c r="B3767" s="108" t="s">
        <v>20612</v>
      </c>
      <c r="C3767" s="109">
        <v>42444</v>
      </c>
      <c r="D3767" s="108"/>
      <c r="E3767" s="108" t="s">
        <v>14605</v>
      </c>
      <c r="F3767" s="108" t="s">
        <v>14925</v>
      </c>
      <c r="G3767" s="110"/>
      <c r="H3767" s="108" t="s">
        <v>595</v>
      </c>
      <c r="I3767" s="108"/>
    </row>
    <row r="3768" spans="1:9">
      <c r="A3768" s="108" t="s">
        <v>923</v>
      </c>
      <c r="B3768" s="108" t="s">
        <v>20613</v>
      </c>
      <c r="C3768" s="109">
        <v>42689</v>
      </c>
      <c r="D3768" s="108"/>
      <c r="E3768" s="108" t="s">
        <v>14605</v>
      </c>
      <c r="F3768" s="108" t="s">
        <v>14923</v>
      </c>
      <c r="G3768" s="110"/>
      <c r="H3768" s="108" t="s">
        <v>595</v>
      </c>
      <c r="I3768" s="108"/>
    </row>
    <row r="3769" spans="1:9" ht="27.6">
      <c r="A3769" s="108" t="s">
        <v>14950</v>
      </c>
      <c r="B3769" s="108" t="s">
        <v>20614</v>
      </c>
      <c r="C3769" s="109">
        <v>44741</v>
      </c>
      <c r="D3769" s="108"/>
      <c r="E3769" s="108" t="s">
        <v>14605</v>
      </c>
      <c r="F3769" s="108" t="s">
        <v>20615</v>
      </c>
      <c r="G3769" s="110"/>
      <c r="H3769" s="108" t="s">
        <v>595</v>
      </c>
      <c r="I3769" s="108"/>
    </row>
    <row r="3770" spans="1:9" ht="27.6">
      <c r="A3770" s="108" t="s">
        <v>14950</v>
      </c>
      <c r="B3770" s="108" t="s">
        <v>20616</v>
      </c>
      <c r="C3770" s="109">
        <v>44673</v>
      </c>
      <c r="D3770" s="108"/>
      <c r="E3770" s="108" t="s">
        <v>14605</v>
      </c>
      <c r="F3770" s="108" t="s">
        <v>16374</v>
      </c>
      <c r="G3770" s="110"/>
      <c r="H3770" s="108" t="s">
        <v>20617</v>
      </c>
      <c r="I3770" s="108"/>
    </row>
    <row r="3771" spans="1:9" ht="27.6">
      <c r="A3771" s="108" t="s">
        <v>14950</v>
      </c>
      <c r="B3771" s="108" t="s">
        <v>20618</v>
      </c>
      <c r="C3771" s="109">
        <v>44826</v>
      </c>
      <c r="D3771" s="108"/>
      <c r="E3771" s="108" t="s">
        <v>14605</v>
      </c>
      <c r="F3771" s="108" t="s">
        <v>20619</v>
      </c>
      <c r="G3771" s="110"/>
      <c r="H3771" s="108" t="s">
        <v>595</v>
      </c>
      <c r="I3771" s="108"/>
    </row>
    <row r="3772" spans="1:9" ht="27.6">
      <c r="A3772" s="108" t="s">
        <v>14950</v>
      </c>
      <c r="B3772" s="108" t="s">
        <v>20620</v>
      </c>
      <c r="C3772" s="109">
        <v>44845</v>
      </c>
      <c r="D3772" s="108"/>
      <c r="E3772" s="108" t="s">
        <v>14605</v>
      </c>
      <c r="F3772" s="108" t="s">
        <v>20621</v>
      </c>
      <c r="G3772" s="110"/>
      <c r="H3772" s="108" t="s">
        <v>595</v>
      </c>
      <c r="I3772" s="108"/>
    </row>
    <row r="3773" spans="1:9" ht="27.6">
      <c r="A3773" s="108" t="s">
        <v>14950</v>
      </c>
      <c r="B3773" s="108" t="s">
        <v>20622</v>
      </c>
      <c r="C3773" s="109">
        <v>44888</v>
      </c>
      <c r="D3773" s="108"/>
      <c r="E3773" s="108" t="s">
        <v>14605</v>
      </c>
      <c r="F3773" s="108" t="s">
        <v>20623</v>
      </c>
      <c r="G3773" s="110"/>
      <c r="H3773" s="108" t="s">
        <v>595</v>
      </c>
      <c r="I3773" s="108"/>
    </row>
    <row r="3774" spans="1:9" ht="27.6">
      <c r="A3774" s="108" t="s">
        <v>1591</v>
      </c>
      <c r="B3774" s="108" t="s">
        <v>20624</v>
      </c>
      <c r="C3774" s="109">
        <v>43431</v>
      </c>
      <c r="D3774" s="108"/>
      <c r="E3774" s="108" t="s">
        <v>14605</v>
      </c>
      <c r="F3774" s="108" t="s">
        <v>20625</v>
      </c>
      <c r="G3774" s="110"/>
      <c r="H3774" s="108" t="s">
        <v>595</v>
      </c>
      <c r="I3774" s="108"/>
    </row>
    <row r="3775" spans="1:9">
      <c r="A3775" s="108" t="s">
        <v>2002</v>
      </c>
      <c r="B3775" s="108" t="s">
        <v>20626</v>
      </c>
      <c r="C3775" s="109">
        <v>43997</v>
      </c>
      <c r="D3775" s="108"/>
      <c r="E3775" s="108" t="s">
        <v>14605</v>
      </c>
      <c r="F3775" s="108" t="s">
        <v>20627</v>
      </c>
      <c r="G3775" s="110"/>
      <c r="H3775" s="108" t="s">
        <v>595</v>
      </c>
      <c r="I3775" s="108"/>
    </row>
    <row r="3776" spans="1:9" ht="27.6">
      <c r="A3776" s="108" t="s">
        <v>14679</v>
      </c>
      <c r="B3776" s="108" t="s">
        <v>20628</v>
      </c>
      <c r="C3776" s="109">
        <v>44342</v>
      </c>
      <c r="D3776" s="108"/>
      <c r="E3776" s="108" t="s">
        <v>14605</v>
      </c>
      <c r="F3776" s="108" t="s">
        <v>20629</v>
      </c>
      <c r="G3776" s="110"/>
      <c r="H3776" s="108" t="s">
        <v>595</v>
      </c>
      <c r="I3776" s="108"/>
    </row>
    <row r="3777" spans="1:9" ht="27.6">
      <c r="A3777" s="108" t="s">
        <v>87</v>
      </c>
      <c r="B3777" s="108" t="s">
        <v>20630</v>
      </c>
      <c r="C3777" s="109">
        <v>44077</v>
      </c>
      <c r="D3777" s="108"/>
      <c r="E3777" s="108" t="s">
        <v>14605</v>
      </c>
      <c r="F3777" s="108" t="s">
        <v>20593</v>
      </c>
      <c r="G3777" s="110"/>
      <c r="H3777" s="108" t="s">
        <v>595</v>
      </c>
      <c r="I3777" s="108"/>
    </row>
    <row r="3778" spans="1:9">
      <c r="A3778" s="108" t="s">
        <v>14928</v>
      </c>
      <c r="B3778" s="108" t="s">
        <v>20631</v>
      </c>
      <c r="C3778" s="109">
        <v>44243</v>
      </c>
      <c r="D3778" s="108"/>
      <c r="E3778" s="108" t="s">
        <v>14605</v>
      </c>
      <c r="F3778" s="108" t="s">
        <v>20537</v>
      </c>
      <c r="G3778" s="110"/>
      <c r="H3778" s="108" t="s">
        <v>595</v>
      </c>
      <c r="I3778" s="108"/>
    </row>
    <row r="3779" spans="1:9">
      <c r="A3779" s="108" t="s">
        <v>1465</v>
      </c>
      <c r="B3779" s="108" t="s">
        <v>20632</v>
      </c>
      <c r="C3779" s="109">
        <v>44287</v>
      </c>
      <c r="D3779" s="108"/>
      <c r="E3779" s="108" t="s">
        <v>14605</v>
      </c>
      <c r="F3779" s="108" t="s">
        <v>20527</v>
      </c>
      <c r="G3779" s="110"/>
      <c r="H3779" s="108" t="s">
        <v>595</v>
      </c>
      <c r="I3779" s="108"/>
    </row>
    <row r="3780" spans="1:9" ht="27.6">
      <c r="A3780" s="108" t="s">
        <v>4190</v>
      </c>
      <c r="B3780" s="108" t="s">
        <v>20633</v>
      </c>
      <c r="C3780" s="109">
        <v>44431</v>
      </c>
      <c r="D3780" s="108"/>
      <c r="E3780" s="108" t="s">
        <v>14605</v>
      </c>
      <c r="F3780" s="108" t="s">
        <v>20634</v>
      </c>
      <c r="G3780" s="110"/>
      <c r="H3780" s="108" t="s">
        <v>595</v>
      </c>
      <c r="I3780" s="108"/>
    </row>
    <row r="3781" spans="1:9" ht="41.4">
      <c r="A3781" s="108" t="s">
        <v>1465</v>
      </c>
      <c r="B3781" s="108" t="s">
        <v>20635</v>
      </c>
      <c r="C3781" s="109">
        <v>44551</v>
      </c>
      <c r="D3781" s="108"/>
      <c r="E3781" s="108" t="s">
        <v>14605</v>
      </c>
      <c r="F3781" s="108" t="s">
        <v>20636</v>
      </c>
      <c r="G3781" s="110"/>
      <c r="H3781" s="108" t="s">
        <v>595</v>
      </c>
      <c r="I3781" s="108"/>
    </row>
    <row r="3782" spans="1:9" ht="27.6">
      <c r="A3782" s="108" t="s">
        <v>15075</v>
      </c>
      <c r="B3782" s="108" t="s">
        <v>20637</v>
      </c>
      <c r="C3782" s="109">
        <v>44487</v>
      </c>
      <c r="D3782" s="108"/>
      <c r="E3782" s="108" t="s">
        <v>14605</v>
      </c>
      <c r="F3782" s="108" t="s">
        <v>20638</v>
      </c>
      <c r="G3782" s="110"/>
      <c r="H3782" s="108" t="s">
        <v>595</v>
      </c>
      <c r="I3782" s="108"/>
    </row>
    <row r="3783" spans="1:9" ht="27.6">
      <c r="A3783" s="108" t="s">
        <v>15075</v>
      </c>
      <c r="B3783" s="108" t="s">
        <v>20639</v>
      </c>
      <c r="C3783" s="109">
        <v>44593</v>
      </c>
      <c r="D3783" s="108"/>
      <c r="E3783" s="108" t="s">
        <v>14605</v>
      </c>
      <c r="F3783" s="108" t="s">
        <v>20442</v>
      </c>
      <c r="G3783" s="110"/>
      <c r="H3783" s="108" t="s">
        <v>595</v>
      </c>
      <c r="I3783" s="108"/>
    </row>
    <row r="3784" spans="1:9" ht="27.6">
      <c r="A3784" s="108" t="s">
        <v>15075</v>
      </c>
      <c r="B3784" s="108" t="s">
        <v>20640</v>
      </c>
      <c r="C3784" s="109">
        <v>44567</v>
      </c>
      <c r="D3784" s="108"/>
      <c r="E3784" s="108" t="s">
        <v>14605</v>
      </c>
      <c r="F3784" s="108" t="s">
        <v>20641</v>
      </c>
      <c r="G3784" s="110"/>
      <c r="H3784" s="108" t="s">
        <v>595</v>
      </c>
      <c r="I3784" s="108"/>
    </row>
    <row r="3785" spans="1:9" ht="27.6">
      <c r="A3785" s="108" t="s">
        <v>15075</v>
      </c>
      <c r="B3785" s="108" t="s">
        <v>20642</v>
      </c>
      <c r="C3785" s="109">
        <v>44566</v>
      </c>
      <c r="D3785" s="108"/>
      <c r="E3785" s="108" t="s">
        <v>14605</v>
      </c>
      <c r="F3785" s="108" t="s">
        <v>20641</v>
      </c>
      <c r="G3785" s="110"/>
      <c r="H3785" s="108" t="s">
        <v>595</v>
      </c>
      <c r="I3785" s="108"/>
    </row>
    <row r="3786" spans="1:9" ht="27.6">
      <c r="A3786" s="108" t="s">
        <v>15075</v>
      </c>
      <c r="B3786" s="108" t="s">
        <v>20643</v>
      </c>
      <c r="C3786" s="109">
        <v>44588</v>
      </c>
      <c r="D3786" s="108"/>
      <c r="E3786" s="108" t="s">
        <v>14605</v>
      </c>
      <c r="F3786" s="108" t="s">
        <v>20644</v>
      </c>
      <c r="G3786" s="110"/>
      <c r="H3786" s="108" t="s">
        <v>595</v>
      </c>
      <c r="I3786" s="108"/>
    </row>
    <row r="3787" spans="1:9" ht="27.6">
      <c r="A3787" s="108" t="s">
        <v>15075</v>
      </c>
      <c r="B3787" s="108" t="s">
        <v>20645</v>
      </c>
      <c r="C3787" s="109">
        <v>44757</v>
      </c>
      <c r="D3787" s="108"/>
      <c r="E3787" s="108" t="s">
        <v>14605</v>
      </c>
      <c r="F3787" s="108" t="s">
        <v>20646</v>
      </c>
      <c r="G3787" s="110"/>
      <c r="H3787" s="108" t="s">
        <v>595</v>
      </c>
      <c r="I3787" s="108"/>
    </row>
    <row r="3788" spans="1:9" ht="27.6">
      <c r="A3788" s="108" t="s">
        <v>15075</v>
      </c>
      <c r="B3788" s="108" t="s">
        <v>20647</v>
      </c>
      <c r="C3788" s="109">
        <v>44854</v>
      </c>
      <c r="D3788" s="108"/>
      <c r="E3788" s="108" t="s">
        <v>14605</v>
      </c>
      <c r="F3788" s="108" t="s">
        <v>20648</v>
      </c>
      <c r="G3788" s="110"/>
      <c r="H3788" s="108" t="s">
        <v>595</v>
      </c>
      <c r="I3788" s="108"/>
    </row>
    <row r="3789" spans="1:9" ht="27.6">
      <c r="A3789" s="108" t="s">
        <v>15075</v>
      </c>
      <c r="B3789" s="108" t="s">
        <v>20649</v>
      </c>
      <c r="C3789" s="109">
        <v>44635</v>
      </c>
      <c r="D3789" s="108"/>
      <c r="E3789" s="108" t="s">
        <v>14605</v>
      </c>
      <c r="F3789" s="108" t="s">
        <v>20650</v>
      </c>
      <c r="G3789" s="110"/>
      <c r="H3789" s="108" t="s">
        <v>595</v>
      </c>
      <c r="I3789" s="108"/>
    </row>
    <row r="3790" spans="1:9" ht="27.6">
      <c r="A3790" s="108" t="s">
        <v>15075</v>
      </c>
      <c r="B3790" s="108" t="s">
        <v>20651</v>
      </c>
      <c r="C3790" s="109">
        <v>45007</v>
      </c>
      <c r="D3790" s="108"/>
      <c r="E3790" s="108" t="s">
        <v>14605</v>
      </c>
      <c r="F3790" s="108" t="s">
        <v>20652</v>
      </c>
      <c r="G3790" s="110"/>
      <c r="H3790" s="108" t="s">
        <v>595</v>
      </c>
      <c r="I3790" s="108"/>
    </row>
    <row r="3791" spans="1:9" ht="27.6">
      <c r="A3791" s="108" t="s">
        <v>15075</v>
      </c>
      <c r="B3791" s="108" t="s">
        <v>20653</v>
      </c>
      <c r="C3791" s="109">
        <v>44679</v>
      </c>
      <c r="D3791" s="108"/>
      <c r="E3791" s="108" t="s">
        <v>14605</v>
      </c>
      <c r="F3791" s="108" t="s">
        <v>15819</v>
      </c>
      <c r="G3791" s="110"/>
      <c r="H3791" s="108" t="s">
        <v>595</v>
      </c>
      <c r="I3791" s="108"/>
    </row>
    <row r="3792" spans="1:9" ht="27.6">
      <c r="A3792" s="108" t="s">
        <v>15075</v>
      </c>
      <c r="B3792" s="108" t="s">
        <v>20654</v>
      </c>
      <c r="C3792" s="109">
        <v>44678</v>
      </c>
      <c r="D3792" s="108"/>
      <c r="E3792" s="108" t="s">
        <v>14605</v>
      </c>
      <c r="F3792" s="108" t="s">
        <v>20655</v>
      </c>
      <c r="G3792" s="110"/>
      <c r="H3792" s="108" t="s">
        <v>595</v>
      </c>
      <c r="I3792" s="108"/>
    </row>
    <row r="3793" spans="1:9" ht="27.6">
      <c r="A3793" s="108" t="s">
        <v>15075</v>
      </c>
      <c r="B3793" s="108" t="s">
        <v>20656</v>
      </c>
      <c r="C3793" s="109">
        <v>44763</v>
      </c>
      <c r="D3793" s="108"/>
      <c r="E3793" s="108" t="s">
        <v>14605</v>
      </c>
      <c r="F3793" s="108" t="s">
        <v>20657</v>
      </c>
      <c r="G3793" s="110"/>
      <c r="H3793" s="108" t="s">
        <v>595</v>
      </c>
      <c r="I3793" s="108"/>
    </row>
    <row r="3794" spans="1:9" ht="27.6">
      <c r="A3794" s="108" t="s">
        <v>15075</v>
      </c>
      <c r="B3794" s="108" t="s">
        <v>20658</v>
      </c>
      <c r="C3794" s="109">
        <v>44848</v>
      </c>
      <c r="D3794" s="108"/>
      <c r="E3794" s="108" t="s">
        <v>14605</v>
      </c>
      <c r="F3794" s="108" t="s">
        <v>20659</v>
      </c>
      <c r="G3794" s="110"/>
      <c r="H3794" s="108" t="s">
        <v>595</v>
      </c>
      <c r="I3794" s="108"/>
    </row>
    <row r="3795" spans="1:9" ht="27.6">
      <c r="A3795" s="108" t="s">
        <v>15075</v>
      </c>
      <c r="B3795" s="108" t="s">
        <v>20660</v>
      </c>
      <c r="C3795" s="109">
        <v>44848</v>
      </c>
      <c r="D3795" s="108"/>
      <c r="E3795" s="108" t="s">
        <v>14605</v>
      </c>
      <c r="F3795" s="108" t="s">
        <v>20659</v>
      </c>
      <c r="G3795" s="110"/>
      <c r="H3795" s="108" t="s">
        <v>595</v>
      </c>
      <c r="I3795" s="108"/>
    </row>
    <row r="3796" spans="1:9" ht="27.6">
      <c r="A3796" s="108" t="s">
        <v>15075</v>
      </c>
      <c r="B3796" s="108" t="s">
        <v>20661</v>
      </c>
      <c r="C3796" s="109">
        <v>44973</v>
      </c>
      <c r="D3796" s="108"/>
      <c r="E3796" s="108" t="s">
        <v>14605</v>
      </c>
      <c r="F3796" s="108" t="s">
        <v>20662</v>
      </c>
      <c r="G3796" s="110"/>
      <c r="H3796" s="108" t="s">
        <v>595</v>
      </c>
      <c r="I3796" s="108"/>
    </row>
    <row r="3797" spans="1:9" ht="27.6">
      <c r="A3797" s="108" t="s">
        <v>15075</v>
      </c>
      <c r="B3797" s="108" t="s">
        <v>20663</v>
      </c>
      <c r="C3797" s="109">
        <v>44950</v>
      </c>
      <c r="D3797" s="108"/>
      <c r="E3797" s="108" t="s">
        <v>14605</v>
      </c>
      <c r="F3797" s="108" t="s">
        <v>20648</v>
      </c>
      <c r="G3797" s="110"/>
      <c r="H3797" s="108" t="s">
        <v>595</v>
      </c>
      <c r="I3797" s="108"/>
    </row>
    <row r="3798" spans="1:9" ht="27.6">
      <c r="A3798" s="108" t="s">
        <v>15075</v>
      </c>
      <c r="B3798" s="108" t="s">
        <v>20664</v>
      </c>
      <c r="C3798" s="109">
        <v>44917</v>
      </c>
      <c r="D3798" s="108"/>
      <c r="E3798" s="108" t="s">
        <v>14605</v>
      </c>
      <c r="F3798" s="108" t="s">
        <v>20665</v>
      </c>
      <c r="G3798" s="110"/>
      <c r="H3798" s="108" t="s">
        <v>595</v>
      </c>
      <c r="I3798" s="108"/>
    </row>
    <row r="3799" spans="1:9" ht="27.6">
      <c r="A3799" s="108" t="s">
        <v>15075</v>
      </c>
      <c r="B3799" s="108" t="s">
        <v>20666</v>
      </c>
      <c r="C3799" s="109">
        <v>44960</v>
      </c>
      <c r="D3799" s="108"/>
      <c r="E3799" s="108" t="s">
        <v>14605</v>
      </c>
      <c r="F3799" s="108" t="s">
        <v>15323</v>
      </c>
      <c r="G3799" s="110"/>
      <c r="H3799" s="108" t="s">
        <v>595</v>
      </c>
      <c r="I3799" s="108"/>
    </row>
    <row r="3800" spans="1:9" ht="27.6">
      <c r="A3800" s="108" t="s">
        <v>15075</v>
      </c>
      <c r="B3800" s="108" t="s">
        <v>20667</v>
      </c>
      <c r="C3800" s="109">
        <v>45051</v>
      </c>
      <c r="D3800" s="108"/>
      <c r="E3800" s="108" t="s">
        <v>14605</v>
      </c>
      <c r="F3800" s="108" t="s">
        <v>16374</v>
      </c>
      <c r="G3800" s="110"/>
      <c r="H3800" s="108" t="s">
        <v>595</v>
      </c>
      <c r="I3800" s="108"/>
    </row>
    <row r="3801" spans="1:9" ht="27.6">
      <c r="A3801" s="108" t="s">
        <v>15075</v>
      </c>
      <c r="B3801" s="108" t="s">
        <v>20668</v>
      </c>
      <c r="C3801" s="109">
        <v>45257</v>
      </c>
      <c r="D3801" s="108"/>
      <c r="E3801" s="108" t="s">
        <v>14605</v>
      </c>
      <c r="F3801" s="108" t="s">
        <v>15763</v>
      </c>
      <c r="G3801" s="110"/>
      <c r="H3801" s="108" t="s">
        <v>595</v>
      </c>
      <c r="I3801" s="108"/>
    </row>
    <row r="3802" spans="1:9" ht="27.6">
      <c r="A3802" s="108" t="s">
        <v>15075</v>
      </c>
      <c r="B3802" s="108" t="s">
        <v>20669</v>
      </c>
      <c r="C3802" s="109">
        <v>45210</v>
      </c>
      <c r="D3802" s="108"/>
      <c r="E3802" s="108" t="s">
        <v>14605</v>
      </c>
      <c r="F3802" s="108" t="s">
        <v>15146</v>
      </c>
      <c r="G3802" s="110"/>
      <c r="H3802" s="108" t="s">
        <v>595</v>
      </c>
      <c r="I3802" s="108"/>
    </row>
    <row r="3803" spans="1:9" ht="27.6">
      <c r="A3803" s="108" t="s">
        <v>15075</v>
      </c>
      <c r="B3803" s="108" t="s">
        <v>20670</v>
      </c>
      <c r="C3803" s="109">
        <v>45278</v>
      </c>
      <c r="D3803" s="108"/>
      <c r="E3803" s="108" t="s">
        <v>14605</v>
      </c>
      <c r="F3803" s="108" t="s">
        <v>20671</v>
      </c>
      <c r="G3803" s="110"/>
      <c r="H3803" s="108" t="s">
        <v>595</v>
      </c>
      <c r="I3803" s="108"/>
    </row>
    <row r="3804" spans="1:9" ht="27.6">
      <c r="A3804" s="108" t="s">
        <v>15075</v>
      </c>
      <c r="B3804" s="108" t="s">
        <v>20672</v>
      </c>
      <c r="C3804" s="109">
        <v>45223</v>
      </c>
      <c r="D3804" s="108"/>
      <c r="E3804" s="108" t="s">
        <v>14605</v>
      </c>
      <c r="F3804" s="108" t="s">
        <v>15146</v>
      </c>
      <c r="G3804" s="110"/>
      <c r="H3804" s="108" t="s">
        <v>595</v>
      </c>
      <c r="I3804" s="108"/>
    </row>
    <row r="3805" spans="1:9" ht="27.6">
      <c r="A3805" s="108" t="s">
        <v>15075</v>
      </c>
      <c r="B3805" s="108" t="s">
        <v>20673</v>
      </c>
      <c r="C3805" s="109">
        <v>45254</v>
      </c>
      <c r="D3805" s="108"/>
      <c r="E3805" s="108" t="s">
        <v>14605</v>
      </c>
      <c r="F3805" s="108" t="s">
        <v>20674</v>
      </c>
      <c r="G3805" s="110"/>
      <c r="H3805" s="108" t="s">
        <v>595</v>
      </c>
      <c r="I3805" s="108"/>
    </row>
    <row r="3806" spans="1:9" ht="27.6">
      <c r="A3806" s="108" t="s">
        <v>15075</v>
      </c>
      <c r="B3806" s="108" t="s">
        <v>20675</v>
      </c>
      <c r="C3806" s="109">
        <v>45244</v>
      </c>
      <c r="D3806" s="108"/>
      <c r="E3806" s="108" t="s">
        <v>14605</v>
      </c>
      <c r="F3806" s="108" t="s">
        <v>20655</v>
      </c>
      <c r="G3806" s="110"/>
      <c r="H3806" s="108" t="s">
        <v>595</v>
      </c>
      <c r="I3806" s="108"/>
    </row>
    <row r="3807" spans="1:9" ht="27.6">
      <c r="A3807" s="108" t="s">
        <v>15075</v>
      </c>
      <c r="B3807" s="108" t="s">
        <v>20676</v>
      </c>
      <c r="C3807" s="109">
        <v>45281</v>
      </c>
      <c r="D3807" s="108"/>
      <c r="E3807" s="108" t="s">
        <v>14605</v>
      </c>
      <c r="F3807" s="108" t="s">
        <v>20677</v>
      </c>
      <c r="G3807" s="110"/>
      <c r="H3807" s="108" t="s">
        <v>595</v>
      </c>
      <c r="I3807" s="108"/>
    </row>
    <row r="3808" spans="1:9" ht="27.6">
      <c r="A3808" s="108" t="s">
        <v>15075</v>
      </c>
      <c r="B3808" s="108" t="s">
        <v>20678</v>
      </c>
      <c r="C3808" s="109">
        <v>45257</v>
      </c>
      <c r="D3808" s="108"/>
      <c r="E3808" s="108" t="s">
        <v>14605</v>
      </c>
      <c r="F3808" s="108" t="s">
        <v>16639</v>
      </c>
      <c r="G3808" s="110"/>
      <c r="H3808" s="108" t="s">
        <v>595</v>
      </c>
      <c r="I3808" s="108"/>
    </row>
    <row r="3809" spans="1:9" ht="27.6">
      <c r="A3809" s="108" t="s">
        <v>15075</v>
      </c>
      <c r="B3809" s="108" t="s">
        <v>20679</v>
      </c>
      <c r="C3809" s="109">
        <v>45259</v>
      </c>
      <c r="D3809" s="108"/>
      <c r="E3809" s="108" t="s">
        <v>14605</v>
      </c>
      <c r="F3809" s="108" t="s">
        <v>20655</v>
      </c>
      <c r="G3809" s="110"/>
      <c r="H3809" s="108" t="s">
        <v>595</v>
      </c>
      <c r="I3809" s="108"/>
    </row>
    <row r="3810" spans="1:9" ht="27.6">
      <c r="A3810" s="108" t="s">
        <v>15075</v>
      </c>
      <c r="B3810" s="108" t="s">
        <v>20680</v>
      </c>
      <c r="C3810" s="109">
        <v>45357</v>
      </c>
      <c r="D3810" s="108"/>
      <c r="E3810" s="108" t="s">
        <v>14605</v>
      </c>
      <c r="F3810" s="108" t="s">
        <v>14709</v>
      </c>
      <c r="G3810" s="110"/>
      <c r="H3810" s="108" t="s">
        <v>595</v>
      </c>
      <c r="I3810" s="108"/>
    </row>
    <row r="3811" spans="1:9" ht="27.6">
      <c r="A3811" s="108" t="s">
        <v>15075</v>
      </c>
      <c r="B3811" s="108" t="s">
        <v>20681</v>
      </c>
      <c r="C3811" s="109">
        <v>45527</v>
      </c>
      <c r="D3811" s="108"/>
      <c r="E3811" s="108" t="s">
        <v>14605</v>
      </c>
      <c r="F3811" s="108" t="s">
        <v>15783</v>
      </c>
      <c r="G3811" s="110"/>
      <c r="H3811" s="108" t="s">
        <v>595</v>
      </c>
      <c r="I3811" s="108"/>
    </row>
    <row r="3812" spans="1:9" ht="27.6">
      <c r="A3812" s="108" t="s">
        <v>15075</v>
      </c>
      <c r="B3812" s="108" t="s">
        <v>20682</v>
      </c>
      <c r="C3812" s="109">
        <v>45357</v>
      </c>
      <c r="D3812" s="108"/>
      <c r="E3812" s="108" t="s">
        <v>14605</v>
      </c>
      <c r="F3812" s="108" t="s">
        <v>20683</v>
      </c>
      <c r="G3812" s="110"/>
      <c r="H3812" s="108" t="s">
        <v>595</v>
      </c>
      <c r="I3812" s="108"/>
    </row>
    <row r="3813" spans="1:9" ht="27.6">
      <c r="A3813" s="108" t="s">
        <v>15075</v>
      </c>
      <c r="B3813" s="108" t="s">
        <v>20684</v>
      </c>
      <c r="C3813" s="109">
        <v>45393</v>
      </c>
      <c r="D3813" s="108"/>
      <c r="E3813" s="108" t="s">
        <v>14605</v>
      </c>
      <c r="F3813" s="108" t="s">
        <v>20685</v>
      </c>
      <c r="G3813" s="110"/>
      <c r="H3813" s="108" t="s">
        <v>595</v>
      </c>
      <c r="I3813" s="108"/>
    </row>
    <row r="3814" spans="1:9" ht="27.6">
      <c r="A3814" s="108" t="s">
        <v>15075</v>
      </c>
      <c r="B3814" s="108" t="s">
        <v>20686</v>
      </c>
      <c r="C3814" s="109">
        <v>45412</v>
      </c>
      <c r="D3814" s="108"/>
      <c r="E3814" s="108" t="s">
        <v>14605</v>
      </c>
      <c r="F3814" s="108" t="s">
        <v>14706</v>
      </c>
      <c r="G3814" s="110"/>
      <c r="H3814" s="108" t="s">
        <v>595</v>
      </c>
      <c r="I3814" s="108"/>
    </row>
    <row r="3815" spans="1:9" ht="27.6">
      <c r="A3815" s="108" t="s">
        <v>15075</v>
      </c>
      <c r="B3815" s="108" t="s">
        <v>20687</v>
      </c>
      <c r="C3815" s="109">
        <v>45419</v>
      </c>
      <c r="D3815" s="108"/>
      <c r="E3815" s="108" t="s">
        <v>14605</v>
      </c>
      <c r="F3815" s="108" t="s">
        <v>20688</v>
      </c>
      <c r="G3815" s="110"/>
      <c r="H3815" s="108" t="s">
        <v>595</v>
      </c>
      <c r="I3815" s="108"/>
    </row>
    <row r="3816" spans="1:9" ht="27.6">
      <c r="A3816" s="108" t="s">
        <v>15075</v>
      </c>
      <c r="B3816" s="108" t="s">
        <v>20689</v>
      </c>
      <c r="C3816" s="109">
        <v>45406</v>
      </c>
      <c r="D3816" s="108"/>
      <c r="E3816" s="108" t="s">
        <v>14605</v>
      </c>
      <c r="F3816" s="108" t="s">
        <v>15806</v>
      </c>
      <c r="G3816" s="110"/>
      <c r="H3816" s="108" t="s">
        <v>595</v>
      </c>
      <c r="I3816" s="108"/>
    </row>
    <row r="3817" spans="1:9" ht="27.6">
      <c r="A3817" s="108" t="s">
        <v>15075</v>
      </c>
      <c r="B3817" s="108" t="s">
        <v>20690</v>
      </c>
      <c r="C3817" s="109">
        <v>45416</v>
      </c>
      <c r="D3817" s="108"/>
      <c r="E3817" s="108" t="s">
        <v>14605</v>
      </c>
      <c r="F3817" s="108" t="s">
        <v>14709</v>
      </c>
      <c r="G3817" s="110"/>
      <c r="H3817" s="108" t="s">
        <v>595</v>
      </c>
      <c r="I3817" s="108"/>
    </row>
    <row r="3818" spans="1:9" ht="27.6">
      <c r="A3818" s="108" t="s">
        <v>15075</v>
      </c>
      <c r="B3818" s="108" t="s">
        <v>20691</v>
      </c>
      <c r="C3818" s="109">
        <v>45519</v>
      </c>
      <c r="D3818" s="108"/>
      <c r="E3818" s="108" t="s">
        <v>14605</v>
      </c>
      <c r="F3818" s="108" t="s">
        <v>20692</v>
      </c>
      <c r="G3818" s="110"/>
      <c r="H3818" s="108" t="s">
        <v>595</v>
      </c>
      <c r="I3818" s="108"/>
    </row>
    <row r="3819" spans="1:9" ht="27.6">
      <c r="A3819" s="108" t="s">
        <v>15075</v>
      </c>
      <c r="B3819" s="108" t="s">
        <v>20693</v>
      </c>
      <c r="C3819" s="109">
        <v>45518</v>
      </c>
      <c r="D3819" s="108"/>
      <c r="E3819" s="108" t="s">
        <v>14605</v>
      </c>
      <c r="F3819" s="108" t="s">
        <v>20692</v>
      </c>
      <c r="G3819" s="110"/>
      <c r="H3819" s="108" t="s">
        <v>595</v>
      </c>
      <c r="I3819" s="108"/>
    </row>
    <row r="3820" spans="1:9" ht="27.6">
      <c r="A3820" s="108" t="s">
        <v>15075</v>
      </c>
      <c r="B3820" s="108" t="s">
        <v>20694</v>
      </c>
      <c r="C3820" s="109">
        <v>45504</v>
      </c>
      <c r="D3820" s="108"/>
      <c r="E3820" s="108" t="s">
        <v>14605</v>
      </c>
      <c r="F3820" s="108" t="s">
        <v>20446</v>
      </c>
      <c r="G3820" s="110"/>
      <c r="H3820" s="108" t="s">
        <v>595</v>
      </c>
      <c r="I3820" s="108"/>
    </row>
    <row r="3821" spans="1:9" ht="27.6">
      <c r="A3821" s="108" t="s">
        <v>15075</v>
      </c>
      <c r="B3821" s="108" t="s">
        <v>20695</v>
      </c>
      <c r="C3821" s="109">
        <v>45534</v>
      </c>
      <c r="D3821" s="108"/>
      <c r="E3821" s="108" t="s">
        <v>14605</v>
      </c>
      <c r="F3821" s="108" t="s">
        <v>15403</v>
      </c>
      <c r="G3821" s="110"/>
      <c r="H3821" s="108" t="s">
        <v>595</v>
      </c>
      <c r="I3821" s="108"/>
    </row>
    <row r="3822" spans="1:9" ht="27.6">
      <c r="A3822" s="108" t="s">
        <v>15075</v>
      </c>
      <c r="B3822" s="108" t="s">
        <v>20696</v>
      </c>
      <c r="C3822" s="109">
        <v>45514</v>
      </c>
      <c r="D3822" s="108"/>
      <c r="E3822" s="108" t="s">
        <v>14605</v>
      </c>
      <c r="F3822" s="108" t="s">
        <v>15359</v>
      </c>
      <c r="G3822" s="110"/>
      <c r="H3822" s="108" t="s">
        <v>595</v>
      </c>
      <c r="I3822" s="108"/>
    </row>
    <row r="3823" spans="1:9" ht="27.6">
      <c r="A3823" s="108" t="s">
        <v>15075</v>
      </c>
      <c r="B3823" s="108" t="s">
        <v>20697</v>
      </c>
      <c r="C3823" s="109">
        <v>45534</v>
      </c>
      <c r="D3823" s="108"/>
      <c r="E3823" s="108" t="s">
        <v>14605</v>
      </c>
      <c r="F3823" s="108" t="s">
        <v>14910</v>
      </c>
      <c r="G3823" s="110"/>
      <c r="H3823" s="108" t="s">
        <v>595</v>
      </c>
      <c r="I3823" s="108"/>
    </row>
    <row r="3824" spans="1:9" ht="27.6">
      <c r="A3824" s="108" t="s">
        <v>15075</v>
      </c>
      <c r="B3824" s="108" t="s">
        <v>20698</v>
      </c>
      <c r="C3824" s="109">
        <v>45575</v>
      </c>
      <c r="D3824" s="108"/>
      <c r="E3824" s="108" t="s">
        <v>14605</v>
      </c>
      <c r="F3824" s="108" t="s">
        <v>20463</v>
      </c>
      <c r="G3824" s="110"/>
      <c r="H3824" s="108" t="s">
        <v>595</v>
      </c>
      <c r="I3824" s="108"/>
    </row>
    <row r="3825" spans="1:9" ht="27.6">
      <c r="A3825" s="108" t="s">
        <v>15075</v>
      </c>
      <c r="B3825" s="108" t="s">
        <v>20699</v>
      </c>
      <c r="C3825" s="109">
        <v>45581</v>
      </c>
      <c r="D3825" s="108"/>
      <c r="E3825" s="108" t="s">
        <v>14605</v>
      </c>
      <c r="F3825" s="108" t="s">
        <v>14706</v>
      </c>
      <c r="G3825" s="110"/>
      <c r="H3825" s="108" t="s">
        <v>595</v>
      </c>
      <c r="I3825" s="108"/>
    </row>
    <row r="3826" spans="1:9" ht="27.6">
      <c r="A3826" s="108" t="s">
        <v>15075</v>
      </c>
      <c r="B3826" s="108" t="s">
        <v>20700</v>
      </c>
      <c r="C3826" s="109">
        <v>45564</v>
      </c>
      <c r="D3826" s="108"/>
      <c r="E3826" s="108" t="s">
        <v>14605</v>
      </c>
      <c r="F3826" s="108" t="s">
        <v>20701</v>
      </c>
      <c r="G3826" s="110"/>
      <c r="H3826" s="108" t="s">
        <v>595</v>
      </c>
      <c r="I3826" s="108"/>
    </row>
    <row r="3827" spans="1:9" ht="27.6">
      <c r="A3827" s="108" t="s">
        <v>15075</v>
      </c>
      <c r="B3827" s="108" t="s">
        <v>20702</v>
      </c>
      <c r="C3827" s="109">
        <v>45567</v>
      </c>
      <c r="D3827" s="108"/>
      <c r="E3827" s="108" t="s">
        <v>14605</v>
      </c>
      <c r="F3827" s="108" t="s">
        <v>16639</v>
      </c>
      <c r="G3827" s="110"/>
      <c r="H3827" s="108" t="s">
        <v>595</v>
      </c>
      <c r="I3827" s="108"/>
    </row>
    <row r="3828" spans="1:9" ht="27.6">
      <c r="A3828" s="108" t="s">
        <v>15075</v>
      </c>
      <c r="B3828" s="108" t="s">
        <v>20703</v>
      </c>
      <c r="C3828" s="109">
        <v>45610</v>
      </c>
      <c r="D3828" s="108"/>
      <c r="E3828" s="108" t="s">
        <v>14605</v>
      </c>
      <c r="F3828" s="108" t="s">
        <v>20704</v>
      </c>
      <c r="G3828" s="110"/>
      <c r="H3828" s="108" t="s">
        <v>595</v>
      </c>
      <c r="I3828" s="108"/>
    </row>
    <row r="3829" spans="1:9" ht="27.6">
      <c r="A3829" s="108" t="s">
        <v>199</v>
      </c>
      <c r="B3829" s="108" t="s">
        <v>20705</v>
      </c>
      <c r="C3829" s="109">
        <v>41198</v>
      </c>
      <c r="D3829" s="108"/>
      <c r="E3829" s="108" t="s">
        <v>14605</v>
      </c>
      <c r="F3829" s="108" t="s">
        <v>20608</v>
      </c>
      <c r="G3829" s="110"/>
      <c r="H3829" s="108" t="s">
        <v>595</v>
      </c>
      <c r="I3829" s="108"/>
    </row>
    <row r="3830" spans="1:9">
      <c r="A3830" s="108" t="s">
        <v>199</v>
      </c>
      <c r="B3830" s="108" t="s">
        <v>20706</v>
      </c>
      <c r="C3830" s="109">
        <v>41331</v>
      </c>
      <c r="D3830" s="108"/>
      <c r="E3830" s="108" t="s">
        <v>14605</v>
      </c>
      <c r="F3830" s="108" t="s">
        <v>15763</v>
      </c>
      <c r="G3830" s="110"/>
      <c r="H3830" s="108" t="s">
        <v>595</v>
      </c>
      <c r="I3830" s="108"/>
    </row>
    <row r="3831" spans="1:9">
      <c r="A3831" s="108" t="s">
        <v>199</v>
      </c>
      <c r="B3831" s="108" t="s">
        <v>20707</v>
      </c>
      <c r="C3831" s="109">
        <v>41971</v>
      </c>
      <c r="D3831" s="108"/>
      <c r="E3831" s="108" t="s">
        <v>14605</v>
      </c>
      <c r="F3831" s="108" t="s">
        <v>14748</v>
      </c>
      <c r="G3831" s="110"/>
      <c r="H3831" s="108" t="s">
        <v>595</v>
      </c>
      <c r="I3831" s="108"/>
    </row>
    <row r="3832" spans="1:9">
      <c r="A3832" s="108" t="s">
        <v>199</v>
      </c>
      <c r="B3832" s="108" t="s">
        <v>20708</v>
      </c>
      <c r="C3832" s="109">
        <v>41978</v>
      </c>
      <c r="D3832" s="108"/>
      <c r="E3832" s="108" t="s">
        <v>14605</v>
      </c>
      <c r="F3832" s="108" t="s">
        <v>14910</v>
      </c>
      <c r="G3832" s="110"/>
      <c r="H3832" s="108" t="s">
        <v>595</v>
      </c>
      <c r="I3832" s="108"/>
    </row>
    <row r="3833" spans="1:9">
      <c r="A3833" s="108" t="s">
        <v>227</v>
      </c>
      <c r="B3833" s="108" t="s">
        <v>20709</v>
      </c>
      <c r="C3833" s="109">
        <v>42867</v>
      </c>
      <c r="D3833" s="108"/>
      <c r="E3833" s="108" t="s">
        <v>14605</v>
      </c>
      <c r="F3833" s="108" t="s">
        <v>14748</v>
      </c>
      <c r="G3833" s="110"/>
      <c r="H3833" s="108" t="s">
        <v>595</v>
      </c>
      <c r="I3833" s="108"/>
    </row>
    <row r="3834" spans="1:9">
      <c r="A3834" s="108" t="s">
        <v>227</v>
      </c>
      <c r="B3834" s="108" t="s">
        <v>20710</v>
      </c>
      <c r="C3834" s="109">
        <v>43521</v>
      </c>
      <c r="D3834" s="108"/>
      <c r="E3834" s="108" t="s">
        <v>14605</v>
      </c>
      <c r="F3834" s="108" t="s">
        <v>14748</v>
      </c>
      <c r="G3834" s="110"/>
      <c r="H3834" s="108" t="s">
        <v>595</v>
      </c>
      <c r="I3834" s="108"/>
    </row>
    <row r="3835" spans="1:9" ht="27.6">
      <c r="A3835" s="108" t="s">
        <v>19802</v>
      </c>
      <c r="B3835" s="108" t="s">
        <v>20711</v>
      </c>
      <c r="C3835" s="109">
        <v>39169</v>
      </c>
      <c r="D3835" s="108"/>
      <c r="E3835" s="108" t="s">
        <v>14605</v>
      </c>
      <c r="F3835" s="108" t="s">
        <v>20712</v>
      </c>
      <c r="G3835" s="110"/>
      <c r="H3835" s="108" t="s">
        <v>595</v>
      </c>
      <c r="I3835" s="108"/>
    </row>
    <row r="3836" spans="1:9" ht="27.6">
      <c r="A3836" s="108" t="s">
        <v>19802</v>
      </c>
      <c r="B3836" s="108" t="s">
        <v>20713</v>
      </c>
      <c r="C3836" s="109">
        <v>39549</v>
      </c>
      <c r="D3836" s="108"/>
      <c r="E3836" s="108" t="s">
        <v>14605</v>
      </c>
      <c r="F3836" s="108" t="s">
        <v>20608</v>
      </c>
      <c r="G3836" s="110"/>
      <c r="H3836" s="108" t="s">
        <v>595</v>
      </c>
      <c r="I3836" s="108"/>
    </row>
    <row r="3837" spans="1:9" ht="27.6">
      <c r="A3837" s="108" t="s">
        <v>19802</v>
      </c>
      <c r="B3837" s="108" t="s">
        <v>20714</v>
      </c>
      <c r="C3837" s="109">
        <v>39539</v>
      </c>
      <c r="D3837" s="108"/>
      <c r="E3837" s="108" t="s">
        <v>14605</v>
      </c>
      <c r="F3837" s="108" t="s">
        <v>20715</v>
      </c>
      <c r="G3837" s="110"/>
      <c r="H3837" s="108" t="s">
        <v>595</v>
      </c>
      <c r="I3837" s="108"/>
    </row>
    <row r="3838" spans="1:9" ht="27.6">
      <c r="A3838" s="108" t="s">
        <v>19802</v>
      </c>
      <c r="B3838" s="108" t="s">
        <v>20716</v>
      </c>
      <c r="C3838" s="109">
        <v>39609</v>
      </c>
      <c r="D3838" s="108"/>
      <c r="E3838" s="108" t="s">
        <v>14605</v>
      </c>
      <c r="F3838" s="108" t="s">
        <v>20717</v>
      </c>
      <c r="G3838" s="110"/>
      <c r="H3838" s="108" t="s">
        <v>595</v>
      </c>
      <c r="I3838" s="108"/>
    </row>
    <row r="3839" spans="1:9" ht="27.6">
      <c r="A3839" s="108" t="s">
        <v>14607</v>
      </c>
      <c r="B3839" s="108" t="s">
        <v>20718</v>
      </c>
      <c r="C3839" s="109">
        <v>39199</v>
      </c>
      <c r="D3839" s="108"/>
      <c r="E3839" s="108" t="s">
        <v>14605</v>
      </c>
      <c r="F3839" s="108" t="s">
        <v>20450</v>
      </c>
      <c r="G3839" s="110"/>
      <c r="H3839" s="108" t="s">
        <v>595</v>
      </c>
      <c r="I3839" s="108"/>
    </row>
    <row r="3840" spans="1:9" ht="27.6">
      <c r="A3840" s="108" t="s">
        <v>14607</v>
      </c>
      <c r="B3840" s="108" t="s">
        <v>20719</v>
      </c>
      <c r="C3840" s="109">
        <v>39352</v>
      </c>
      <c r="D3840" s="108"/>
      <c r="E3840" s="108" t="s">
        <v>14605</v>
      </c>
      <c r="F3840" s="108" t="s">
        <v>14706</v>
      </c>
      <c r="G3840" s="110"/>
      <c r="H3840" s="108" t="s">
        <v>595</v>
      </c>
      <c r="I3840" s="108"/>
    </row>
    <row r="3841" spans="1:9" ht="27.6">
      <c r="A3841" s="108" t="s">
        <v>14607</v>
      </c>
      <c r="B3841" s="108" t="s">
        <v>20720</v>
      </c>
      <c r="C3841" s="109">
        <v>39594</v>
      </c>
      <c r="D3841" s="108"/>
      <c r="E3841" s="108" t="s">
        <v>14605</v>
      </c>
      <c r="F3841" s="108" t="s">
        <v>14706</v>
      </c>
      <c r="G3841" s="110"/>
      <c r="H3841" s="108" t="s">
        <v>595</v>
      </c>
      <c r="I3841" s="108"/>
    </row>
    <row r="3842" spans="1:9" ht="27.6">
      <c r="A3842" s="108" t="s">
        <v>14607</v>
      </c>
      <c r="B3842" s="108" t="s">
        <v>20721</v>
      </c>
      <c r="C3842" s="109">
        <v>39722</v>
      </c>
      <c r="D3842" s="108"/>
      <c r="E3842" s="108" t="s">
        <v>14605</v>
      </c>
      <c r="F3842" s="108" t="s">
        <v>20450</v>
      </c>
      <c r="G3842" s="110"/>
      <c r="H3842" s="108" t="s">
        <v>595</v>
      </c>
      <c r="I3842" s="108"/>
    </row>
    <row r="3843" spans="1:9" ht="27.6">
      <c r="A3843" s="108" t="s">
        <v>18397</v>
      </c>
      <c r="B3843" s="108" t="s">
        <v>20722</v>
      </c>
      <c r="C3843" s="109">
        <v>39257</v>
      </c>
      <c r="D3843" s="108"/>
      <c r="E3843" s="108" t="s">
        <v>14605</v>
      </c>
      <c r="F3843" s="108" t="s">
        <v>20683</v>
      </c>
      <c r="G3843" s="110"/>
      <c r="H3843" s="108" t="s">
        <v>595</v>
      </c>
      <c r="I3843" s="108"/>
    </row>
    <row r="3844" spans="1:9" ht="27.6">
      <c r="A3844" s="108" t="s">
        <v>18397</v>
      </c>
      <c r="B3844" s="108" t="s">
        <v>20723</v>
      </c>
      <c r="C3844" s="109">
        <v>39378</v>
      </c>
      <c r="D3844" s="108"/>
      <c r="E3844" s="108" t="s">
        <v>14605</v>
      </c>
      <c r="F3844" s="108" t="s">
        <v>20527</v>
      </c>
      <c r="G3844" s="110"/>
      <c r="H3844" s="108" t="s">
        <v>595</v>
      </c>
      <c r="I3844" s="108"/>
    </row>
    <row r="3845" spans="1:9" ht="27.6">
      <c r="A3845" s="108" t="s">
        <v>18397</v>
      </c>
      <c r="B3845" s="108" t="s">
        <v>20724</v>
      </c>
      <c r="C3845" s="109">
        <v>39450</v>
      </c>
      <c r="D3845" s="108"/>
      <c r="E3845" s="108" t="s">
        <v>14605</v>
      </c>
      <c r="F3845" s="108" t="s">
        <v>20453</v>
      </c>
      <c r="G3845" s="110"/>
      <c r="H3845" s="108" t="s">
        <v>595</v>
      </c>
      <c r="I3845" s="108"/>
    </row>
    <row r="3846" spans="1:9" ht="27.6">
      <c r="A3846" s="108" t="s">
        <v>18397</v>
      </c>
      <c r="B3846" s="108" t="s">
        <v>20725</v>
      </c>
      <c r="C3846" s="109">
        <v>39791</v>
      </c>
      <c r="D3846" s="108"/>
      <c r="E3846" s="108" t="s">
        <v>14605</v>
      </c>
      <c r="F3846" s="108" t="s">
        <v>15573</v>
      </c>
      <c r="G3846" s="110"/>
      <c r="H3846" s="108" t="s">
        <v>595</v>
      </c>
      <c r="I3846" s="108"/>
    </row>
    <row r="3847" spans="1:9" ht="27.6">
      <c r="A3847" s="108" t="s">
        <v>18397</v>
      </c>
      <c r="B3847" s="108" t="s">
        <v>20726</v>
      </c>
      <c r="C3847" s="109">
        <v>39799</v>
      </c>
      <c r="D3847" s="108"/>
      <c r="E3847" s="108" t="s">
        <v>14605</v>
      </c>
      <c r="F3847" s="108" t="s">
        <v>20527</v>
      </c>
      <c r="G3847" s="110"/>
      <c r="H3847" s="108" t="s">
        <v>595</v>
      </c>
      <c r="I3847" s="108"/>
    </row>
    <row r="3848" spans="1:9" ht="27.6">
      <c r="A3848" s="108" t="s">
        <v>18397</v>
      </c>
      <c r="B3848" s="108" t="s">
        <v>20727</v>
      </c>
      <c r="C3848" s="109">
        <v>40038</v>
      </c>
      <c r="D3848" s="108"/>
      <c r="E3848" s="108" t="s">
        <v>14605</v>
      </c>
      <c r="F3848" s="108" t="s">
        <v>16497</v>
      </c>
      <c r="G3848" s="110"/>
      <c r="H3848" s="108" t="s">
        <v>595</v>
      </c>
      <c r="I3848" s="108"/>
    </row>
    <row r="3849" spans="1:9" ht="27.6">
      <c r="A3849" s="108" t="s">
        <v>18397</v>
      </c>
      <c r="B3849" s="108" t="s">
        <v>20728</v>
      </c>
      <c r="C3849" s="109">
        <v>40206</v>
      </c>
      <c r="D3849" s="108"/>
      <c r="E3849" s="108" t="s">
        <v>14605</v>
      </c>
      <c r="F3849" s="108" t="s">
        <v>14923</v>
      </c>
      <c r="G3849" s="110"/>
      <c r="H3849" s="108" t="s">
        <v>595</v>
      </c>
      <c r="I3849" s="108"/>
    </row>
    <row r="3850" spans="1:9">
      <c r="A3850" s="108" t="s">
        <v>16935</v>
      </c>
      <c r="B3850" s="108" t="s">
        <v>20729</v>
      </c>
      <c r="C3850" s="109">
        <v>39056</v>
      </c>
      <c r="D3850" s="108"/>
      <c r="E3850" s="108" t="s">
        <v>14605</v>
      </c>
      <c r="F3850" s="108" t="s">
        <v>20730</v>
      </c>
      <c r="G3850" s="110"/>
      <c r="H3850" s="108" t="s">
        <v>595</v>
      </c>
      <c r="I3850" s="108"/>
    </row>
    <row r="3851" spans="1:9">
      <c r="A3851" s="108" t="s">
        <v>16935</v>
      </c>
      <c r="B3851" s="108" t="s">
        <v>20731</v>
      </c>
      <c r="C3851" s="109">
        <v>39052</v>
      </c>
      <c r="D3851" s="108"/>
      <c r="E3851" s="108" t="s">
        <v>14605</v>
      </c>
      <c r="F3851" s="108" t="s">
        <v>20732</v>
      </c>
      <c r="G3851" s="110"/>
      <c r="H3851" s="108" t="s">
        <v>595</v>
      </c>
      <c r="I3851" s="108"/>
    </row>
    <row r="3852" spans="1:9" ht="27.6">
      <c r="A3852" s="108" t="s">
        <v>16935</v>
      </c>
      <c r="B3852" s="108" t="s">
        <v>20733</v>
      </c>
      <c r="C3852" s="109">
        <v>39335</v>
      </c>
      <c r="D3852" s="108"/>
      <c r="E3852" s="108" t="s">
        <v>14605</v>
      </c>
      <c r="F3852" s="108" t="s">
        <v>14706</v>
      </c>
      <c r="G3852" s="110"/>
      <c r="H3852" s="108" t="s">
        <v>595</v>
      </c>
      <c r="I3852" s="108"/>
    </row>
    <row r="3853" spans="1:9" ht="27.6">
      <c r="A3853" s="108" t="s">
        <v>16932</v>
      </c>
      <c r="B3853" s="108" t="s">
        <v>20734</v>
      </c>
      <c r="C3853" s="109">
        <v>40199</v>
      </c>
      <c r="D3853" s="108"/>
      <c r="E3853" s="108" t="s">
        <v>14605</v>
      </c>
      <c r="F3853" s="108" t="s">
        <v>16447</v>
      </c>
      <c r="G3853" s="110"/>
      <c r="H3853" s="108" t="s">
        <v>595</v>
      </c>
      <c r="I3853" s="108"/>
    </row>
    <row r="3854" spans="1:9">
      <c r="A3854" s="108" t="s">
        <v>16935</v>
      </c>
      <c r="B3854" s="108" t="s">
        <v>20735</v>
      </c>
      <c r="C3854" s="109">
        <v>39478</v>
      </c>
      <c r="D3854" s="108"/>
      <c r="E3854" s="108" t="s">
        <v>14605</v>
      </c>
      <c r="F3854" s="108" t="s">
        <v>20482</v>
      </c>
      <c r="G3854" s="110"/>
      <c r="H3854" s="108" t="s">
        <v>595</v>
      </c>
      <c r="I3854" s="108"/>
    </row>
    <row r="3855" spans="1:9" ht="27.6">
      <c r="A3855" s="108" t="s">
        <v>16932</v>
      </c>
      <c r="B3855" s="108" t="s">
        <v>20736</v>
      </c>
      <c r="C3855" s="109">
        <v>40225</v>
      </c>
      <c r="D3855" s="108"/>
      <c r="E3855" s="108" t="s">
        <v>14605</v>
      </c>
      <c r="F3855" s="108" t="s">
        <v>20737</v>
      </c>
      <c r="G3855" s="110"/>
      <c r="H3855" s="108" t="s">
        <v>595</v>
      </c>
      <c r="I3855" s="108"/>
    </row>
    <row r="3856" spans="1:9">
      <c r="A3856" s="108" t="s">
        <v>16935</v>
      </c>
      <c r="B3856" s="108" t="s">
        <v>20738</v>
      </c>
      <c r="C3856" s="109">
        <v>39631</v>
      </c>
      <c r="D3856" s="108"/>
      <c r="E3856" s="108" t="s">
        <v>14605</v>
      </c>
      <c r="F3856" s="108" t="s">
        <v>20739</v>
      </c>
      <c r="G3856" s="110"/>
      <c r="H3856" s="108" t="s">
        <v>595</v>
      </c>
      <c r="I3856" s="108"/>
    </row>
    <row r="3857" spans="1:9" ht="27.6">
      <c r="A3857" s="108" t="s">
        <v>16935</v>
      </c>
      <c r="B3857" s="108" t="s">
        <v>20740</v>
      </c>
      <c r="C3857" s="109">
        <v>40379</v>
      </c>
      <c r="D3857" s="108"/>
      <c r="E3857" s="108" t="s">
        <v>14605</v>
      </c>
      <c r="F3857" s="108" t="s">
        <v>14706</v>
      </c>
      <c r="G3857" s="110"/>
      <c r="H3857" s="108" t="s">
        <v>595</v>
      </c>
      <c r="I3857" s="108"/>
    </row>
    <row r="3858" spans="1:9">
      <c r="A3858" s="108" t="s">
        <v>16935</v>
      </c>
      <c r="B3858" s="108" t="s">
        <v>20741</v>
      </c>
      <c r="C3858" s="109">
        <v>39787</v>
      </c>
      <c r="D3858" s="108"/>
      <c r="E3858" s="108" t="s">
        <v>14605</v>
      </c>
      <c r="F3858" s="108" t="s">
        <v>20742</v>
      </c>
      <c r="G3858" s="110"/>
      <c r="H3858" s="108" t="s">
        <v>595</v>
      </c>
      <c r="I3858" s="108"/>
    </row>
    <row r="3859" spans="1:9">
      <c r="A3859" s="108" t="s">
        <v>237</v>
      </c>
      <c r="B3859" s="108" t="s">
        <v>20743</v>
      </c>
      <c r="C3859" s="109">
        <v>40351</v>
      </c>
      <c r="D3859" s="108"/>
      <c r="E3859" s="108" t="s">
        <v>14605</v>
      </c>
      <c r="F3859" s="108" t="s">
        <v>20744</v>
      </c>
      <c r="G3859" s="110"/>
      <c r="H3859" s="108" t="s">
        <v>595</v>
      </c>
      <c r="I3859" s="108"/>
    </row>
    <row r="3860" spans="1:9" ht="27.6">
      <c r="A3860" s="108" t="s">
        <v>185</v>
      </c>
      <c r="B3860" s="108" t="s">
        <v>20745</v>
      </c>
      <c r="C3860" s="109">
        <v>40434</v>
      </c>
      <c r="D3860" s="108"/>
      <c r="E3860" s="108" t="s">
        <v>14605</v>
      </c>
      <c r="F3860" s="108" t="s">
        <v>20442</v>
      </c>
      <c r="G3860" s="110"/>
      <c r="H3860" s="108" t="s">
        <v>595</v>
      </c>
      <c r="I3860" s="108"/>
    </row>
    <row r="3861" spans="1:9" ht="27.6">
      <c r="A3861" s="108" t="s">
        <v>185</v>
      </c>
      <c r="B3861" s="108" t="s">
        <v>20746</v>
      </c>
      <c r="C3861" s="109">
        <v>40492</v>
      </c>
      <c r="D3861" s="108"/>
      <c r="E3861" s="108" t="s">
        <v>14605</v>
      </c>
      <c r="F3861" s="108" t="s">
        <v>20747</v>
      </c>
      <c r="G3861" s="110"/>
      <c r="H3861" s="108" t="s">
        <v>595</v>
      </c>
      <c r="I3861" s="108"/>
    </row>
    <row r="3862" spans="1:9">
      <c r="A3862" s="108" t="s">
        <v>237</v>
      </c>
      <c r="B3862" s="108" t="s">
        <v>20748</v>
      </c>
      <c r="C3862" s="109">
        <v>40487</v>
      </c>
      <c r="D3862" s="108"/>
      <c r="E3862" s="108" t="s">
        <v>14605</v>
      </c>
      <c r="F3862" s="108" t="s">
        <v>20749</v>
      </c>
      <c r="G3862" s="110"/>
      <c r="H3862" s="108" t="s">
        <v>595</v>
      </c>
      <c r="I3862" s="108"/>
    </row>
    <row r="3863" spans="1:9" ht="27.6">
      <c r="A3863" s="108" t="s">
        <v>14690</v>
      </c>
      <c r="B3863" s="108" t="s">
        <v>20750</v>
      </c>
      <c r="C3863" s="109">
        <v>40379</v>
      </c>
      <c r="D3863" s="108"/>
      <c r="E3863" s="108" t="s">
        <v>14605</v>
      </c>
      <c r="F3863" s="108" t="s">
        <v>20621</v>
      </c>
      <c r="G3863" s="110"/>
      <c r="H3863" s="108" t="s">
        <v>595</v>
      </c>
      <c r="I3863" s="108"/>
    </row>
    <row r="3864" spans="1:9">
      <c r="A3864" s="108" t="s">
        <v>87</v>
      </c>
      <c r="B3864" s="108" t="s">
        <v>20751</v>
      </c>
      <c r="C3864" s="109">
        <v>40302</v>
      </c>
      <c r="D3864" s="108"/>
      <c r="E3864" s="108" t="s">
        <v>14605</v>
      </c>
      <c r="F3864" s="108" t="s">
        <v>20484</v>
      </c>
      <c r="G3864" s="110"/>
      <c r="H3864" s="108" t="s">
        <v>595</v>
      </c>
      <c r="I3864" s="108"/>
    </row>
    <row r="3865" spans="1:9" ht="27.6">
      <c r="A3865" s="108" t="s">
        <v>87</v>
      </c>
      <c r="B3865" s="108" t="s">
        <v>20752</v>
      </c>
      <c r="C3865" s="109">
        <v>40471</v>
      </c>
      <c r="D3865" s="108"/>
      <c r="E3865" s="108" t="s">
        <v>14605</v>
      </c>
      <c r="F3865" s="108" t="s">
        <v>14706</v>
      </c>
      <c r="G3865" s="110"/>
      <c r="H3865" s="108" t="s">
        <v>595</v>
      </c>
      <c r="I3865" s="108"/>
    </row>
    <row r="3866" spans="1:9" ht="27.6">
      <c r="A3866" s="108" t="s">
        <v>87</v>
      </c>
      <c r="B3866" s="108" t="s">
        <v>20753</v>
      </c>
      <c r="C3866" s="109">
        <v>40471</v>
      </c>
      <c r="D3866" s="108"/>
      <c r="E3866" s="108" t="s">
        <v>14605</v>
      </c>
      <c r="F3866" s="108" t="s">
        <v>14706</v>
      </c>
      <c r="G3866" s="110"/>
      <c r="H3866" s="108" t="s">
        <v>595</v>
      </c>
      <c r="I3866" s="108"/>
    </row>
    <row r="3867" spans="1:9" ht="27.6">
      <c r="A3867" s="108" t="s">
        <v>14690</v>
      </c>
      <c r="B3867" s="108" t="s">
        <v>20754</v>
      </c>
      <c r="C3867" s="109">
        <v>40373</v>
      </c>
      <c r="D3867" s="108"/>
      <c r="E3867" s="108" t="s">
        <v>14605</v>
      </c>
      <c r="F3867" s="108" t="s">
        <v>20755</v>
      </c>
      <c r="G3867" s="110"/>
      <c r="H3867" s="108" t="s">
        <v>595</v>
      </c>
      <c r="I3867" s="108"/>
    </row>
    <row r="3868" spans="1:9" ht="27.6">
      <c r="A3868" s="108" t="s">
        <v>14690</v>
      </c>
      <c r="B3868" s="108" t="s">
        <v>20756</v>
      </c>
      <c r="C3868" s="109">
        <v>41263</v>
      </c>
      <c r="D3868" s="108"/>
      <c r="E3868" s="108" t="s">
        <v>14605</v>
      </c>
      <c r="F3868" s="108" t="s">
        <v>20482</v>
      </c>
      <c r="G3868" s="110"/>
      <c r="H3868" s="108" t="s">
        <v>595</v>
      </c>
      <c r="I3868" s="108"/>
    </row>
    <row r="3869" spans="1:9">
      <c r="A3869" s="108" t="s">
        <v>2002</v>
      </c>
      <c r="B3869" s="108" t="s">
        <v>20757</v>
      </c>
      <c r="C3869" s="109">
        <v>40562</v>
      </c>
      <c r="D3869" s="108"/>
      <c r="E3869" s="108" t="s">
        <v>14605</v>
      </c>
      <c r="F3869" s="108" t="s">
        <v>20758</v>
      </c>
      <c r="G3869" s="110"/>
      <c r="H3869" s="108" t="s">
        <v>595</v>
      </c>
      <c r="I3869" s="108"/>
    </row>
    <row r="3870" spans="1:9" ht="41.4">
      <c r="A3870" s="108" t="s">
        <v>1465</v>
      </c>
      <c r="B3870" s="108" t="s">
        <v>20759</v>
      </c>
      <c r="C3870" s="109">
        <v>40461</v>
      </c>
      <c r="D3870" s="108"/>
      <c r="E3870" s="108" t="s">
        <v>14605</v>
      </c>
      <c r="F3870" s="108" t="s">
        <v>20636</v>
      </c>
      <c r="G3870" s="110"/>
      <c r="H3870" s="108" t="s">
        <v>595</v>
      </c>
      <c r="I3870" s="108"/>
    </row>
    <row r="3871" spans="1:9" ht="27.6">
      <c r="A3871" s="108" t="s">
        <v>1465</v>
      </c>
      <c r="B3871" s="108" t="s">
        <v>20760</v>
      </c>
      <c r="C3871" s="109">
        <v>40751</v>
      </c>
      <c r="D3871" s="108"/>
      <c r="E3871" s="108" t="s">
        <v>14605</v>
      </c>
      <c r="F3871" s="108" t="s">
        <v>20608</v>
      </c>
      <c r="G3871" s="110"/>
      <c r="H3871" s="108" t="s">
        <v>595</v>
      </c>
      <c r="I3871" s="108"/>
    </row>
    <row r="3872" spans="1:9" ht="27.6">
      <c r="A3872" s="108" t="s">
        <v>1465</v>
      </c>
      <c r="B3872" s="108" t="s">
        <v>20761</v>
      </c>
      <c r="C3872" s="109">
        <v>40556</v>
      </c>
      <c r="D3872" s="108"/>
      <c r="E3872" s="108" t="s">
        <v>14605</v>
      </c>
      <c r="F3872" s="108" t="s">
        <v>14706</v>
      </c>
      <c r="G3872" s="110"/>
      <c r="H3872" s="108" t="s">
        <v>595</v>
      </c>
      <c r="I3872" s="108"/>
    </row>
    <row r="3873" spans="1:9">
      <c r="A3873" s="108" t="s">
        <v>2002</v>
      </c>
      <c r="B3873" s="108" t="s">
        <v>20762</v>
      </c>
      <c r="C3873" s="109">
        <v>40653</v>
      </c>
      <c r="D3873" s="108"/>
      <c r="E3873" s="108" t="s">
        <v>14605</v>
      </c>
      <c r="F3873" s="108" t="s">
        <v>20763</v>
      </c>
      <c r="G3873" s="110"/>
      <c r="H3873" s="108" t="s">
        <v>595</v>
      </c>
      <c r="I3873" s="108"/>
    </row>
    <row r="3874" spans="1:9">
      <c r="A3874" s="108" t="s">
        <v>2002</v>
      </c>
      <c r="B3874" s="108" t="s">
        <v>20764</v>
      </c>
      <c r="C3874" s="109">
        <v>40661</v>
      </c>
      <c r="D3874" s="108"/>
      <c r="E3874" s="108" t="s">
        <v>14605</v>
      </c>
      <c r="F3874" s="108" t="s">
        <v>14925</v>
      </c>
      <c r="G3874" s="110"/>
      <c r="H3874" s="108" t="s">
        <v>595</v>
      </c>
      <c r="I3874" s="108"/>
    </row>
    <row r="3875" spans="1:9" ht="27.6">
      <c r="A3875" s="108" t="s">
        <v>2002</v>
      </c>
      <c r="B3875" s="108" t="s">
        <v>20765</v>
      </c>
      <c r="C3875" s="109">
        <v>40693</v>
      </c>
      <c r="D3875" s="108"/>
      <c r="E3875" s="108" t="s">
        <v>14605</v>
      </c>
      <c r="F3875" s="108" t="s">
        <v>14709</v>
      </c>
      <c r="G3875" s="110"/>
      <c r="H3875" s="108" t="s">
        <v>595</v>
      </c>
      <c r="I3875" s="108"/>
    </row>
    <row r="3876" spans="1:9" ht="27.6">
      <c r="A3876" s="108" t="s">
        <v>2002</v>
      </c>
      <c r="B3876" s="108" t="s">
        <v>20766</v>
      </c>
      <c r="C3876" s="109">
        <v>40731</v>
      </c>
      <c r="D3876" s="108"/>
      <c r="E3876" s="108" t="s">
        <v>14605</v>
      </c>
      <c r="F3876" s="108" t="s">
        <v>20625</v>
      </c>
      <c r="G3876" s="110"/>
      <c r="H3876" s="108" t="s">
        <v>595</v>
      </c>
      <c r="I3876" s="108"/>
    </row>
    <row r="3877" spans="1:9">
      <c r="A3877" s="108" t="s">
        <v>1465</v>
      </c>
      <c r="B3877" s="108" t="s">
        <v>20767</v>
      </c>
      <c r="C3877" s="109">
        <v>40612</v>
      </c>
      <c r="D3877" s="108"/>
      <c r="E3877" s="108" t="s">
        <v>14605</v>
      </c>
      <c r="F3877" s="108" t="s">
        <v>20768</v>
      </c>
      <c r="G3877" s="110"/>
      <c r="H3877" s="108" t="s">
        <v>595</v>
      </c>
      <c r="I3877" s="108"/>
    </row>
    <row r="3878" spans="1:9">
      <c r="A3878" s="108" t="s">
        <v>1465</v>
      </c>
      <c r="B3878" s="108" t="s">
        <v>20769</v>
      </c>
      <c r="C3878" s="109">
        <v>40673</v>
      </c>
      <c r="D3878" s="108"/>
      <c r="E3878" s="108" t="s">
        <v>14605</v>
      </c>
      <c r="F3878" s="108" t="s">
        <v>20770</v>
      </c>
      <c r="G3878" s="110"/>
      <c r="H3878" s="108" t="s">
        <v>595</v>
      </c>
      <c r="I3878" s="108"/>
    </row>
    <row r="3879" spans="1:9">
      <c r="A3879" s="108" t="s">
        <v>1465</v>
      </c>
      <c r="B3879" s="108" t="s">
        <v>20771</v>
      </c>
      <c r="C3879" s="109">
        <v>40830</v>
      </c>
      <c r="D3879" s="108"/>
      <c r="E3879" s="108" t="s">
        <v>14605</v>
      </c>
      <c r="F3879" s="108" t="s">
        <v>20459</v>
      </c>
      <c r="G3879" s="110"/>
      <c r="H3879" s="108" t="s">
        <v>595</v>
      </c>
      <c r="I3879" s="108"/>
    </row>
    <row r="3880" spans="1:9">
      <c r="A3880" s="108" t="s">
        <v>14679</v>
      </c>
      <c r="B3880" s="108" t="s">
        <v>20772</v>
      </c>
      <c r="C3880" s="109">
        <v>40646</v>
      </c>
      <c r="D3880" s="108"/>
      <c r="E3880" s="108" t="s">
        <v>14605</v>
      </c>
      <c r="F3880" s="108" t="s">
        <v>15403</v>
      </c>
      <c r="G3880" s="110"/>
      <c r="H3880" s="108" t="s">
        <v>595</v>
      </c>
      <c r="I3880" s="108"/>
    </row>
    <row r="3881" spans="1:9" ht="27.6">
      <c r="A3881" s="108" t="s">
        <v>14690</v>
      </c>
      <c r="B3881" s="108" t="s">
        <v>20773</v>
      </c>
      <c r="C3881" s="109">
        <v>41263</v>
      </c>
      <c r="D3881" s="108"/>
      <c r="E3881" s="108" t="s">
        <v>14605</v>
      </c>
      <c r="F3881" s="108" t="s">
        <v>14933</v>
      </c>
      <c r="G3881" s="110"/>
      <c r="H3881" s="108" t="s">
        <v>595</v>
      </c>
      <c r="I3881" s="108"/>
    </row>
    <row r="3882" spans="1:9" ht="27.6">
      <c r="A3882" s="108" t="s">
        <v>87</v>
      </c>
      <c r="B3882" s="108" t="s">
        <v>20774</v>
      </c>
      <c r="C3882" s="109">
        <v>40729</v>
      </c>
      <c r="D3882" s="108"/>
      <c r="E3882" s="108" t="s">
        <v>14605</v>
      </c>
      <c r="F3882" s="108" t="s">
        <v>14706</v>
      </c>
      <c r="G3882" s="110"/>
      <c r="H3882" s="108" t="s">
        <v>595</v>
      </c>
      <c r="I3882" s="108"/>
    </row>
    <row r="3883" spans="1:9" ht="27.6">
      <c r="A3883" s="108" t="s">
        <v>87</v>
      </c>
      <c r="B3883" s="108" t="s">
        <v>20775</v>
      </c>
      <c r="C3883" s="109">
        <v>40729</v>
      </c>
      <c r="D3883" s="108"/>
      <c r="E3883" s="108" t="s">
        <v>14605</v>
      </c>
      <c r="F3883" s="108" t="s">
        <v>14706</v>
      </c>
      <c r="G3883" s="110"/>
      <c r="H3883" s="108" t="s">
        <v>595</v>
      </c>
      <c r="I3883" s="108"/>
    </row>
    <row r="3884" spans="1:9">
      <c r="A3884" s="108" t="s">
        <v>87</v>
      </c>
      <c r="B3884" s="108" t="s">
        <v>20776</v>
      </c>
      <c r="C3884" s="109">
        <v>40931</v>
      </c>
      <c r="D3884" s="108"/>
      <c r="E3884" s="108" t="s">
        <v>14605</v>
      </c>
      <c r="F3884" s="108" t="s">
        <v>20747</v>
      </c>
      <c r="G3884" s="110"/>
      <c r="H3884" s="108" t="s">
        <v>595</v>
      </c>
      <c r="I3884" s="108"/>
    </row>
    <row r="3885" spans="1:9">
      <c r="A3885" s="108" t="s">
        <v>87</v>
      </c>
      <c r="B3885" s="108" t="s">
        <v>20777</v>
      </c>
      <c r="C3885" s="109">
        <v>40651</v>
      </c>
      <c r="D3885" s="108"/>
      <c r="E3885" s="108" t="s">
        <v>14605</v>
      </c>
      <c r="F3885" s="108" t="s">
        <v>20778</v>
      </c>
      <c r="G3885" s="110"/>
      <c r="H3885" s="108" t="s">
        <v>595</v>
      </c>
      <c r="I3885" s="108"/>
    </row>
    <row r="3886" spans="1:9" ht="27.6">
      <c r="A3886" s="108" t="s">
        <v>14690</v>
      </c>
      <c r="B3886" s="108" t="s">
        <v>20779</v>
      </c>
      <c r="C3886" s="109">
        <v>40744</v>
      </c>
      <c r="D3886" s="108"/>
      <c r="E3886" s="108" t="s">
        <v>14605</v>
      </c>
      <c r="F3886" s="108" t="s">
        <v>14706</v>
      </c>
      <c r="G3886" s="110"/>
      <c r="H3886" s="108" t="s">
        <v>595</v>
      </c>
      <c r="I3886" s="108"/>
    </row>
    <row r="3887" spans="1:9" ht="27.6">
      <c r="A3887" s="108" t="s">
        <v>14690</v>
      </c>
      <c r="B3887" s="108" t="s">
        <v>20780</v>
      </c>
      <c r="C3887" s="109">
        <v>40798</v>
      </c>
      <c r="D3887" s="108"/>
      <c r="E3887" s="108" t="s">
        <v>14605</v>
      </c>
      <c r="F3887" s="108" t="s">
        <v>20781</v>
      </c>
      <c r="G3887" s="110"/>
      <c r="H3887" s="108" t="s">
        <v>595</v>
      </c>
      <c r="I3887" s="108"/>
    </row>
    <row r="3888" spans="1:9" ht="27.6">
      <c r="A3888" s="108" t="s">
        <v>14690</v>
      </c>
      <c r="B3888" s="108" t="s">
        <v>20782</v>
      </c>
      <c r="C3888" s="109">
        <v>40820</v>
      </c>
      <c r="D3888" s="108"/>
      <c r="E3888" s="108" t="s">
        <v>14605</v>
      </c>
      <c r="F3888" s="108" t="s">
        <v>15642</v>
      </c>
      <c r="G3888" s="110"/>
      <c r="H3888" s="108" t="s">
        <v>595</v>
      </c>
      <c r="I3888" s="108"/>
    </row>
    <row r="3889" spans="1:9" ht="27.6">
      <c r="A3889" s="108" t="s">
        <v>14690</v>
      </c>
      <c r="B3889" s="108" t="s">
        <v>20783</v>
      </c>
      <c r="C3889" s="109">
        <v>40897</v>
      </c>
      <c r="D3889" s="108"/>
      <c r="E3889" s="108" t="s">
        <v>14605</v>
      </c>
      <c r="F3889" s="108" t="s">
        <v>16447</v>
      </c>
      <c r="G3889" s="110"/>
      <c r="H3889" s="108" t="s">
        <v>595</v>
      </c>
      <c r="I3889" s="108"/>
    </row>
    <row r="3890" spans="1:9" ht="27.6">
      <c r="A3890" s="108" t="s">
        <v>237</v>
      </c>
      <c r="B3890" s="108" t="s">
        <v>20784</v>
      </c>
      <c r="C3890" s="109">
        <v>40744</v>
      </c>
      <c r="D3890" s="108"/>
      <c r="E3890" s="108" t="s">
        <v>14605</v>
      </c>
      <c r="F3890" s="108" t="s">
        <v>14706</v>
      </c>
      <c r="G3890" s="110"/>
      <c r="H3890" s="108" t="s">
        <v>595</v>
      </c>
      <c r="I3890" s="108"/>
    </row>
    <row r="3891" spans="1:9" ht="27.6">
      <c r="A3891" s="108" t="s">
        <v>237</v>
      </c>
      <c r="B3891" s="108" t="s">
        <v>20785</v>
      </c>
      <c r="C3891" s="109">
        <v>40799</v>
      </c>
      <c r="D3891" s="108"/>
      <c r="E3891" s="108" t="s">
        <v>14605</v>
      </c>
      <c r="F3891" s="108" t="s">
        <v>20688</v>
      </c>
      <c r="G3891" s="110"/>
      <c r="H3891" s="108" t="s">
        <v>595</v>
      </c>
      <c r="I3891" s="108"/>
    </row>
    <row r="3892" spans="1:9">
      <c r="A3892" s="108" t="s">
        <v>87</v>
      </c>
      <c r="B3892" s="108" t="s">
        <v>20786</v>
      </c>
      <c r="C3892" s="109">
        <v>40851</v>
      </c>
      <c r="D3892" s="108"/>
      <c r="E3892" s="108" t="s">
        <v>14605</v>
      </c>
      <c r="F3892" s="108" t="s">
        <v>20787</v>
      </c>
      <c r="G3892" s="110"/>
      <c r="H3892" s="108" t="s">
        <v>595</v>
      </c>
      <c r="I3892" s="108"/>
    </row>
    <row r="3893" spans="1:9" ht="27.6">
      <c r="A3893" s="108" t="s">
        <v>16932</v>
      </c>
      <c r="B3893" s="108" t="s">
        <v>20788</v>
      </c>
      <c r="C3893" s="109">
        <v>39272</v>
      </c>
      <c r="D3893" s="108"/>
      <c r="E3893" s="108" t="s">
        <v>14605</v>
      </c>
      <c r="F3893" s="108" t="s">
        <v>1425</v>
      </c>
      <c r="G3893" s="110"/>
      <c r="H3893" s="108" t="s">
        <v>595</v>
      </c>
      <c r="I3893" s="108"/>
    </row>
    <row r="3894" spans="1:9">
      <c r="A3894" s="108" t="s">
        <v>15705</v>
      </c>
      <c r="B3894" s="108" t="s">
        <v>20789</v>
      </c>
      <c r="C3894" s="109">
        <v>39090</v>
      </c>
      <c r="D3894" s="108"/>
      <c r="E3894" s="108" t="s">
        <v>14605</v>
      </c>
      <c r="F3894" s="108" t="s">
        <v>20790</v>
      </c>
      <c r="G3894" s="110"/>
      <c r="H3894" s="108" t="s">
        <v>595</v>
      </c>
      <c r="I3894" s="108"/>
    </row>
    <row r="3895" spans="1:9" ht="27.6">
      <c r="A3895" s="108" t="s">
        <v>15759</v>
      </c>
      <c r="B3895" s="108" t="s">
        <v>20791</v>
      </c>
      <c r="C3895" s="109">
        <v>44999</v>
      </c>
      <c r="D3895" s="108"/>
      <c r="E3895" s="108" t="s">
        <v>14605</v>
      </c>
      <c r="F3895" s="108" t="s">
        <v>20641</v>
      </c>
      <c r="G3895" s="110"/>
      <c r="H3895" s="108" t="s">
        <v>595</v>
      </c>
      <c r="I3895" s="108"/>
    </row>
    <row r="3896" spans="1:9" ht="27.6">
      <c r="A3896" s="108" t="s">
        <v>15759</v>
      </c>
      <c r="B3896" s="108" t="s">
        <v>20792</v>
      </c>
      <c r="C3896" s="109">
        <v>45316</v>
      </c>
      <c r="D3896" s="108"/>
      <c r="E3896" s="108" t="s">
        <v>14605</v>
      </c>
      <c r="F3896" s="108" t="s">
        <v>15207</v>
      </c>
      <c r="G3896" s="110"/>
      <c r="H3896" s="108" t="s">
        <v>595</v>
      </c>
      <c r="I3896" s="108"/>
    </row>
    <row r="3897" spans="1:9" ht="27.6">
      <c r="A3897" s="108" t="s">
        <v>479</v>
      </c>
      <c r="B3897" s="108" t="s">
        <v>20793</v>
      </c>
      <c r="C3897" s="109">
        <v>40457</v>
      </c>
      <c r="D3897" s="108"/>
      <c r="E3897" s="108" t="s">
        <v>14605</v>
      </c>
      <c r="F3897" s="108" t="s">
        <v>20455</v>
      </c>
      <c r="G3897" s="110"/>
      <c r="H3897" s="108" t="s">
        <v>595</v>
      </c>
      <c r="I3897" s="108"/>
    </row>
    <row r="3898" spans="1:9" ht="27.6">
      <c r="A3898" s="108" t="s">
        <v>479</v>
      </c>
      <c r="B3898" s="108" t="s">
        <v>20794</v>
      </c>
      <c r="C3898" s="109">
        <v>40189</v>
      </c>
      <c r="D3898" s="108"/>
      <c r="E3898" s="108" t="s">
        <v>14605</v>
      </c>
      <c r="F3898" s="108" t="s">
        <v>20795</v>
      </c>
      <c r="G3898" s="110"/>
      <c r="H3898" s="108" t="s">
        <v>595</v>
      </c>
      <c r="I3898" s="108"/>
    </row>
    <row r="3899" spans="1:9" ht="27.6">
      <c r="A3899" s="108" t="s">
        <v>207</v>
      </c>
      <c r="B3899" s="108" t="s">
        <v>20796</v>
      </c>
      <c r="C3899" s="109">
        <v>41367</v>
      </c>
      <c r="D3899" s="108"/>
      <c r="E3899" s="108" t="s">
        <v>14605</v>
      </c>
      <c r="F3899" s="108" t="s">
        <v>20763</v>
      </c>
      <c r="G3899" s="110"/>
      <c r="H3899" s="108" t="s">
        <v>595</v>
      </c>
      <c r="I3899" s="108"/>
    </row>
    <row r="3900" spans="1:9" ht="27.6">
      <c r="A3900" s="108" t="s">
        <v>207</v>
      </c>
      <c r="B3900" s="108" t="s">
        <v>20797</v>
      </c>
      <c r="C3900" s="109">
        <v>41409</v>
      </c>
      <c r="D3900" s="108"/>
      <c r="E3900" s="108" t="s">
        <v>14605</v>
      </c>
      <c r="F3900" s="108" t="s">
        <v>14736</v>
      </c>
      <c r="G3900" s="110"/>
      <c r="H3900" s="108" t="s">
        <v>595</v>
      </c>
      <c r="I3900" s="108"/>
    </row>
    <row r="3901" spans="1:9" ht="27.6">
      <c r="A3901" s="108" t="s">
        <v>207</v>
      </c>
      <c r="B3901" s="108" t="s">
        <v>20798</v>
      </c>
      <c r="C3901" s="109">
        <v>41423</v>
      </c>
      <c r="D3901" s="108"/>
      <c r="E3901" s="108" t="s">
        <v>14605</v>
      </c>
      <c r="F3901" s="108" t="s">
        <v>20799</v>
      </c>
      <c r="G3901" s="110"/>
      <c r="H3901" s="108" t="s">
        <v>595</v>
      </c>
      <c r="I3901" s="108"/>
    </row>
    <row r="3902" spans="1:9" ht="27.6">
      <c r="A3902" s="108" t="s">
        <v>207</v>
      </c>
      <c r="B3902" s="108" t="s">
        <v>20800</v>
      </c>
      <c r="C3902" s="109">
        <v>41514</v>
      </c>
      <c r="D3902" s="108"/>
      <c r="E3902" s="108" t="s">
        <v>14605</v>
      </c>
      <c r="F3902" s="108" t="s">
        <v>15407</v>
      </c>
      <c r="G3902" s="110"/>
      <c r="H3902" s="108" t="s">
        <v>595</v>
      </c>
      <c r="I3902" s="108"/>
    </row>
    <row r="3903" spans="1:9" ht="27.6">
      <c r="A3903" s="108" t="s">
        <v>207</v>
      </c>
      <c r="B3903" s="108" t="s">
        <v>20801</v>
      </c>
      <c r="C3903" s="109">
        <v>42033</v>
      </c>
      <c r="D3903" s="108"/>
      <c r="E3903" s="108" t="s">
        <v>14605</v>
      </c>
      <c r="F3903" s="108" t="s">
        <v>16089</v>
      </c>
      <c r="G3903" s="110"/>
      <c r="H3903" s="108" t="s">
        <v>595</v>
      </c>
      <c r="I3903" s="108"/>
    </row>
    <row r="3904" spans="1:9" ht="27.6">
      <c r="A3904" s="108" t="s">
        <v>118</v>
      </c>
      <c r="B3904" s="108" t="s">
        <v>20802</v>
      </c>
      <c r="C3904" s="109">
        <v>42662</v>
      </c>
      <c r="D3904" s="108"/>
      <c r="E3904" s="108" t="s">
        <v>14605</v>
      </c>
      <c r="F3904" s="108" t="s">
        <v>20803</v>
      </c>
      <c r="G3904" s="110"/>
      <c r="H3904" s="108" t="s">
        <v>595</v>
      </c>
      <c r="I3904" s="108"/>
    </row>
    <row r="3905" spans="1:9" ht="27.6">
      <c r="A3905" s="108" t="s">
        <v>118</v>
      </c>
      <c r="B3905" s="108" t="s">
        <v>20804</v>
      </c>
      <c r="C3905" s="109">
        <v>42701</v>
      </c>
      <c r="D3905" s="108"/>
      <c r="E3905" s="108" t="s">
        <v>14605</v>
      </c>
      <c r="F3905" s="108" t="s">
        <v>20805</v>
      </c>
      <c r="G3905" s="110"/>
      <c r="H3905" s="108" t="s">
        <v>595</v>
      </c>
      <c r="I3905" s="108"/>
    </row>
    <row r="3906" spans="1:9" ht="27.6">
      <c r="A3906" s="108" t="s">
        <v>118</v>
      </c>
      <c r="B3906" s="108" t="s">
        <v>20806</v>
      </c>
      <c r="C3906" s="109">
        <v>42783</v>
      </c>
      <c r="D3906" s="108"/>
      <c r="E3906" s="108" t="s">
        <v>14605</v>
      </c>
      <c r="F3906" s="108" t="s">
        <v>20807</v>
      </c>
      <c r="G3906" s="110"/>
      <c r="H3906" s="108" t="s">
        <v>595</v>
      </c>
      <c r="I3906" s="108"/>
    </row>
    <row r="3907" spans="1:9">
      <c r="A3907" s="108" t="s">
        <v>118</v>
      </c>
      <c r="B3907" s="108" t="s">
        <v>20808</v>
      </c>
      <c r="C3907" s="109">
        <v>42797</v>
      </c>
      <c r="D3907" s="108"/>
      <c r="E3907" s="108" t="s">
        <v>14605</v>
      </c>
      <c r="F3907" s="108" t="s">
        <v>20809</v>
      </c>
      <c r="G3907" s="110"/>
      <c r="H3907" s="108" t="s">
        <v>595</v>
      </c>
      <c r="I3907" s="108"/>
    </row>
    <row r="3908" spans="1:9">
      <c r="A3908" s="108" t="s">
        <v>118</v>
      </c>
      <c r="B3908" s="108" t="s">
        <v>20810</v>
      </c>
      <c r="C3908" s="109">
        <v>42899</v>
      </c>
      <c r="D3908" s="108"/>
      <c r="E3908" s="108" t="s">
        <v>14605</v>
      </c>
      <c r="F3908" s="108" t="s">
        <v>20442</v>
      </c>
      <c r="G3908" s="110"/>
      <c r="H3908" s="108" t="s">
        <v>595</v>
      </c>
      <c r="I3908" s="108"/>
    </row>
    <row r="3909" spans="1:9" ht="27.6">
      <c r="A3909" s="108" t="s">
        <v>118</v>
      </c>
      <c r="B3909" s="108" t="s">
        <v>20811</v>
      </c>
      <c r="C3909" s="109">
        <v>43130</v>
      </c>
      <c r="D3909" s="108"/>
      <c r="E3909" s="108" t="s">
        <v>14605</v>
      </c>
      <c r="F3909" s="108" t="s">
        <v>15142</v>
      </c>
      <c r="G3909" s="110"/>
      <c r="H3909" s="108" t="s">
        <v>595</v>
      </c>
      <c r="I3909" s="108"/>
    </row>
    <row r="3910" spans="1:9">
      <c r="A3910" s="108" t="s">
        <v>118</v>
      </c>
      <c r="B3910" s="108" t="s">
        <v>20812</v>
      </c>
      <c r="C3910" s="109">
        <v>43175</v>
      </c>
      <c r="D3910" s="108"/>
      <c r="E3910" s="108" t="s">
        <v>14605</v>
      </c>
      <c r="F3910" s="108" t="s">
        <v>20537</v>
      </c>
      <c r="G3910" s="110"/>
      <c r="H3910" s="108" t="s">
        <v>595</v>
      </c>
      <c r="I3910" s="108"/>
    </row>
    <row r="3911" spans="1:9">
      <c r="A3911" s="108" t="s">
        <v>118</v>
      </c>
      <c r="B3911" s="108" t="s">
        <v>20813</v>
      </c>
      <c r="C3911" s="109">
        <v>43360</v>
      </c>
      <c r="D3911" s="108"/>
      <c r="E3911" s="108" t="s">
        <v>14605</v>
      </c>
      <c r="F3911" s="108" t="s">
        <v>20814</v>
      </c>
      <c r="G3911" s="110"/>
      <c r="H3911" s="108" t="s">
        <v>595</v>
      </c>
      <c r="I3911" s="108"/>
    </row>
    <row r="3912" spans="1:9" ht="27.6">
      <c r="A3912" s="108" t="s">
        <v>118</v>
      </c>
      <c r="B3912" s="108" t="s">
        <v>20815</v>
      </c>
      <c r="C3912" s="109">
        <v>43418</v>
      </c>
      <c r="D3912" s="108"/>
      <c r="E3912" s="108" t="s">
        <v>14605</v>
      </c>
      <c r="F3912" s="108" t="s">
        <v>14681</v>
      </c>
      <c r="G3912" s="110"/>
      <c r="H3912" s="108" t="s">
        <v>595</v>
      </c>
      <c r="I3912" s="108"/>
    </row>
    <row r="3913" spans="1:9" ht="27.6">
      <c r="A3913" s="108" t="s">
        <v>118</v>
      </c>
      <c r="B3913" s="108" t="s">
        <v>20816</v>
      </c>
      <c r="C3913" s="109">
        <v>43521</v>
      </c>
      <c r="D3913" s="108"/>
      <c r="E3913" s="108" t="s">
        <v>14605</v>
      </c>
      <c r="F3913" s="108" t="s">
        <v>20817</v>
      </c>
      <c r="G3913" s="110"/>
      <c r="H3913" s="108" t="s">
        <v>595</v>
      </c>
      <c r="I3913" s="108"/>
    </row>
    <row r="3914" spans="1:9" ht="27.6">
      <c r="A3914" s="108" t="s">
        <v>118</v>
      </c>
      <c r="B3914" s="108" t="s">
        <v>20818</v>
      </c>
      <c r="C3914" s="109">
        <v>43718</v>
      </c>
      <c r="D3914" s="108"/>
      <c r="E3914" s="108" t="s">
        <v>14605</v>
      </c>
      <c r="F3914" s="108" t="s">
        <v>15998</v>
      </c>
      <c r="G3914" s="110"/>
      <c r="H3914" s="108" t="s">
        <v>595</v>
      </c>
      <c r="I3914" s="108"/>
    </row>
    <row r="3915" spans="1:9">
      <c r="A3915" s="108" t="s">
        <v>118</v>
      </c>
      <c r="B3915" s="108" t="s">
        <v>20819</v>
      </c>
      <c r="C3915" s="109">
        <v>43749</v>
      </c>
      <c r="D3915" s="108"/>
      <c r="E3915" s="108" t="s">
        <v>14605</v>
      </c>
      <c r="F3915" s="108" t="s">
        <v>15463</v>
      </c>
      <c r="G3915" s="110"/>
      <c r="H3915" s="108" t="s">
        <v>595</v>
      </c>
      <c r="I3915" s="108"/>
    </row>
    <row r="3916" spans="1:9">
      <c r="A3916" s="108" t="s">
        <v>118</v>
      </c>
      <c r="B3916" s="108" t="s">
        <v>20820</v>
      </c>
      <c r="C3916" s="109">
        <v>44506</v>
      </c>
      <c r="D3916" s="108"/>
      <c r="E3916" s="108" t="s">
        <v>14605</v>
      </c>
      <c r="F3916" s="108" t="s">
        <v>20527</v>
      </c>
      <c r="G3916" s="110"/>
      <c r="H3916" s="108" t="s">
        <v>595</v>
      </c>
      <c r="I3916" s="108"/>
    </row>
    <row r="3917" spans="1:9" ht="27.6">
      <c r="A3917" s="108" t="s">
        <v>118</v>
      </c>
      <c r="B3917" s="108" t="s">
        <v>20821</v>
      </c>
      <c r="C3917" s="109">
        <v>43992</v>
      </c>
      <c r="D3917" s="108"/>
      <c r="E3917" s="108" t="s">
        <v>14605</v>
      </c>
      <c r="F3917" s="108" t="s">
        <v>14709</v>
      </c>
      <c r="G3917" s="110"/>
      <c r="H3917" s="108" t="s">
        <v>595</v>
      </c>
      <c r="I3917" s="108"/>
    </row>
    <row r="3918" spans="1:9">
      <c r="A3918" s="108" t="s">
        <v>169</v>
      </c>
      <c r="B3918" s="108" t="s">
        <v>20822</v>
      </c>
      <c r="C3918" s="109">
        <v>43984</v>
      </c>
      <c r="D3918" s="108"/>
      <c r="E3918" s="108" t="s">
        <v>14605</v>
      </c>
      <c r="F3918" s="108" t="s">
        <v>20823</v>
      </c>
      <c r="G3918" s="110"/>
      <c r="H3918" s="108" t="s">
        <v>595</v>
      </c>
      <c r="I3918" s="108"/>
    </row>
    <row r="3919" spans="1:9" ht="27.6">
      <c r="A3919" s="108" t="s">
        <v>169</v>
      </c>
      <c r="B3919" s="108" t="s">
        <v>20824</v>
      </c>
      <c r="C3919" s="109">
        <v>44088</v>
      </c>
      <c r="D3919" s="108"/>
      <c r="E3919" s="108" t="s">
        <v>14605</v>
      </c>
      <c r="F3919" s="108" t="s">
        <v>15772</v>
      </c>
      <c r="G3919" s="110"/>
      <c r="H3919" s="108" t="s">
        <v>595</v>
      </c>
      <c r="I3919" s="108"/>
    </row>
    <row r="3920" spans="1:9" ht="27.6">
      <c r="A3920" s="108" t="s">
        <v>169</v>
      </c>
      <c r="B3920" s="108" t="s">
        <v>20825</v>
      </c>
      <c r="C3920" s="109">
        <v>44581</v>
      </c>
      <c r="D3920" s="108"/>
      <c r="E3920" s="108" t="s">
        <v>14605</v>
      </c>
      <c r="F3920" s="108" t="s">
        <v>14871</v>
      </c>
      <c r="G3920" s="110"/>
      <c r="H3920" s="108" t="s">
        <v>595</v>
      </c>
      <c r="I3920" s="108"/>
    </row>
    <row r="3921" spans="1:9">
      <c r="A3921" s="108" t="s">
        <v>169</v>
      </c>
      <c r="B3921" s="108" t="s">
        <v>20826</v>
      </c>
      <c r="C3921" s="109">
        <v>45002</v>
      </c>
      <c r="D3921" s="108"/>
      <c r="E3921" s="108" t="s">
        <v>14605</v>
      </c>
      <c r="F3921" s="108" t="s">
        <v>20827</v>
      </c>
      <c r="G3921" s="110"/>
      <c r="H3921" s="108" t="s">
        <v>595</v>
      </c>
      <c r="I3921" s="108"/>
    </row>
    <row r="3922" spans="1:9" ht="27.6">
      <c r="A3922" s="108" t="s">
        <v>8394</v>
      </c>
      <c r="B3922" s="108" t="s">
        <v>20828</v>
      </c>
      <c r="C3922" s="109">
        <v>45169</v>
      </c>
      <c r="D3922" s="108"/>
      <c r="E3922" s="108" t="s">
        <v>14605</v>
      </c>
      <c r="F3922" s="108" t="s">
        <v>20089</v>
      </c>
      <c r="G3922" s="110"/>
      <c r="H3922" s="108" t="s">
        <v>595</v>
      </c>
      <c r="I3922" s="108"/>
    </row>
    <row r="3923" spans="1:9" ht="27.6">
      <c r="A3923" s="108" t="s">
        <v>14950</v>
      </c>
      <c r="B3923" s="108" t="s">
        <v>20829</v>
      </c>
      <c r="C3923" s="109">
        <v>43657</v>
      </c>
      <c r="D3923" s="108" t="s">
        <v>20830</v>
      </c>
      <c r="E3923" s="108" t="s">
        <v>14605</v>
      </c>
      <c r="F3923" s="108" t="s">
        <v>20491</v>
      </c>
      <c r="G3923" s="109">
        <v>45117</v>
      </c>
      <c r="H3923" s="108" t="s">
        <v>595</v>
      </c>
      <c r="I3923" s="108" t="s">
        <v>102</v>
      </c>
    </row>
    <row r="3924" spans="1:9" ht="27.6">
      <c r="A3924" s="108" t="s">
        <v>14950</v>
      </c>
      <c r="B3924" s="108" t="s">
        <v>20831</v>
      </c>
      <c r="C3924" s="109">
        <v>45995</v>
      </c>
      <c r="D3924" s="108" t="s">
        <v>20832</v>
      </c>
      <c r="E3924" s="108" t="s">
        <v>14605</v>
      </c>
      <c r="F3924" s="108" t="s">
        <v>20833</v>
      </c>
      <c r="G3924" s="109">
        <v>45973</v>
      </c>
      <c r="H3924" s="108" t="s">
        <v>595</v>
      </c>
      <c r="I3924" s="108" t="s">
        <v>102</v>
      </c>
    </row>
    <row r="3925" spans="1:9" ht="27.6">
      <c r="A3925" s="108" t="s">
        <v>109</v>
      </c>
      <c r="B3925" s="108" t="s">
        <v>20834</v>
      </c>
      <c r="C3925" s="109">
        <v>44138</v>
      </c>
      <c r="D3925" s="108" t="s">
        <v>20835</v>
      </c>
      <c r="E3925" s="108" t="s">
        <v>14605</v>
      </c>
      <c r="F3925" s="108" t="s">
        <v>20836</v>
      </c>
      <c r="G3925" s="109">
        <v>45232</v>
      </c>
      <c r="H3925" s="108" t="s">
        <v>595</v>
      </c>
      <c r="I3925" s="108" t="s">
        <v>102</v>
      </c>
    </row>
    <row r="3926" spans="1:9" ht="27.6">
      <c r="A3926" s="108" t="s">
        <v>109</v>
      </c>
      <c r="B3926" s="108" t="s">
        <v>20837</v>
      </c>
      <c r="C3926" s="109">
        <v>44146</v>
      </c>
      <c r="D3926" s="108" t="s">
        <v>20832</v>
      </c>
      <c r="E3926" s="108" t="s">
        <v>14605</v>
      </c>
      <c r="F3926" s="108" t="s">
        <v>20833</v>
      </c>
      <c r="G3926" s="109">
        <v>45973</v>
      </c>
      <c r="H3926" s="108" t="s">
        <v>595</v>
      </c>
      <c r="I3926" s="108" t="s">
        <v>102</v>
      </c>
    </row>
    <row r="3927" spans="1:9" ht="27.6">
      <c r="A3927" s="108" t="s">
        <v>109</v>
      </c>
      <c r="B3927" s="108" t="s">
        <v>20838</v>
      </c>
      <c r="C3927" s="109">
        <v>44469</v>
      </c>
      <c r="D3927" s="108" t="s">
        <v>20839</v>
      </c>
      <c r="E3927" s="108" t="s">
        <v>14605</v>
      </c>
      <c r="F3927" s="108" t="s">
        <v>20662</v>
      </c>
      <c r="G3927" s="109">
        <v>45973</v>
      </c>
      <c r="H3927" s="108" t="s">
        <v>595</v>
      </c>
      <c r="I3927" s="108" t="s">
        <v>102</v>
      </c>
    </row>
    <row r="3928" spans="1:9" ht="27.6">
      <c r="A3928" s="108" t="s">
        <v>109</v>
      </c>
      <c r="B3928" s="108" t="s">
        <v>20840</v>
      </c>
      <c r="C3928" s="109">
        <v>44579</v>
      </c>
      <c r="D3928" s="108" t="s">
        <v>20841</v>
      </c>
      <c r="E3928" s="108" t="s">
        <v>14605</v>
      </c>
      <c r="F3928" s="108" t="s">
        <v>20688</v>
      </c>
      <c r="G3928" s="109">
        <v>46050</v>
      </c>
      <c r="H3928" s="108" t="s">
        <v>595</v>
      </c>
      <c r="I3928" s="108" t="s">
        <v>102</v>
      </c>
    </row>
    <row r="3929" spans="1:9" ht="27.6">
      <c r="A3929" s="108" t="s">
        <v>109</v>
      </c>
      <c r="B3929" s="108" t="s">
        <v>20842</v>
      </c>
      <c r="C3929" s="109">
        <v>45504</v>
      </c>
      <c r="D3929" s="108" t="s">
        <v>20843</v>
      </c>
      <c r="E3929" s="108" t="s">
        <v>14605</v>
      </c>
      <c r="F3929" s="108" t="s">
        <v>20446</v>
      </c>
      <c r="G3929" s="109">
        <v>46229</v>
      </c>
      <c r="H3929" s="108" t="s">
        <v>595</v>
      </c>
      <c r="I3929" s="108" t="s">
        <v>102</v>
      </c>
    </row>
    <row r="3930" spans="1:9" ht="27.6">
      <c r="A3930" s="108" t="s">
        <v>96</v>
      </c>
      <c r="B3930" s="108" t="s">
        <v>20844</v>
      </c>
      <c r="C3930" s="109">
        <v>43559</v>
      </c>
      <c r="D3930" s="108" t="s">
        <v>20845</v>
      </c>
      <c r="E3930" s="108" t="s">
        <v>14605</v>
      </c>
      <c r="F3930" s="108" t="s">
        <v>20659</v>
      </c>
      <c r="G3930" s="109">
        <v>45385</v>
      </c>
      <c r="H3930" s="108" t="s">
        <v>595</v>
      </c>
      <c r="I3930" s="108" t="s">
        <v>102</v>
      </c>
    </row>
    <row r="3931" spans="1:9" ht="27.6">
      <c r="A3931" s="108" t="s">
        <v>96</v>
      </c>
      <c r="B3931" s="108" t="s">
        <v>20846</v>
      </c>
      <c r="C3931" s="109">
        <v>44110</v>
      </c>
      <c r="D3931" s="108" t="s">
        <v>20847</v>
      </c>
      <c r="E3931" s="108" t="s">
        <v>14605</v>
      </c>
      <c r="F3931" s="108" t="s">
        <v>20848</v>
      </c>
      <c r="G3931" s="109">
        <v>44845</v>
      </c>
      <c r="H3931" s="108" t="s">
        <v>595</v>
      </c>
      <c r="I3931" s="108" t="s">
        <v>102</v>
      </c>
    </row>
    <row r="3932" spans="1:9" ht="27.6">
      <c r="A3932" s="108" t="s">
        <v>388</v>
      </c>
      <c r="B3932" s="108" t="s">
        <v>20849</v>
      </c>
      <c r="C3932" s="109">
        <v>44384</v>
      </c>
      <c r="D3932" s="108" t="s">
        <v>20850</v>
      </c>
      <c r="E3932" s="108" t="s">
        <v>14605</v>
      </c>
      <c r="F3932" s="108" t="s">
        <v>20644</v>
      </c>
      <c r="G3932" s="109">
        <v>46022</v>
      </c>
      <c r="H3932" s="108" t="s">
        <v>595</v>
      </c>
      <c r="I3932" s="108" t="s">
        <v>102</v>
      </c>
    </row>
    <row r="3933" spans="1:9" ht="27.6">
      <c r="A3933" s="108" t="s">
        <v>96</v>
      </c>
      <c r="B3933" s="108" t="s">
        <v>20851</v>
      </c>
      <c r="C3933" s="109">
        <v>44741</v>
      </c>
      <c r="D3933" s="108" t="s">
        <v>20852</v>
      </c>
      <c r="E3933" s="108" t="s">
        <v>14605</v>
      </c>
      <c r="F3933" s="108" t="s">
        <v>20615</v>
      </c>
      <c r="G3933" s="109">
        <v>46217</v>
      </c>
      <c r="H3933" s="108" t="s">
        <v>595</v>
      </c>
      <c r="I3933" s="108" t="s">
        <v>102</v>
      </c>
    </row>
    <row r="3934" spans="1:9" ht="27.6">
      <c r="A3934" s="108" t="s">
        <v>15990</v>
      </c>
      <c r="B3934" s="108" t="s">
        <v>20853</v>
      </c>
      <c r="C3934" s="109">
        <v>45428</v>
      </c>
      <c r="D3934" s="108" t="s">
        <v>20854</v>
      </c>
      <c r="E3934" s="108" t="s">
        <v>14605</v>
      </c>
      <c r="F3934" s="108" t="s">
        <v>20855</v>
      </c>
      <c r="G3934" s="109">
        <v>46234</v>
      </c>
      <c r="H3934" s="108" t="s">
        <v>595</v>
      </c>
      <c r="I3934" s="108" t="s">
        <v>102</v>
      </c>
    </row>
    <row r="3935" spans="1:9">
      <c r="A3935" s="108" t="s">
        <v>16151</v>
      </c>
      <c r="B3935" s="108" t="s">
        <v>20856</v>
      </c>
      <c r="C3935" s="109">
        <v>43657</v>
      </c>
      <c r="D3935" s="108" t="s">
        <v>20857</v>
      </c>
      <c r="E3935" s="108" t="s">
        <v>14605</v>
      </c>
      <c r="F3935" s="108" t="s">
        <v>20491</v>
      </c>
      <c r="G3935" s="109">
        <v>46211</v>
      </c>
      <c r="H3935" s="108" t="s">
        <v>595</v>
      </c>
      <c r="I3935" s="108" t="s">
        <v>102</v>
      </c>
    </row>
    <row r="3936" spans="1:9" ht="27.6">
      <c r="A3936" s="108" t="s">
        <v>16151</v>
      </c>
      <c r="B3936" s="108" t="s">
        <v>20858</v>
      </c>
      <c r="C3936" s="109">
        <v>44097</v>
      </c>
      <c r="D3936" s="108" t="s">
        <v>20859</v>
      </c>
      <c r="E3936" s="108" t="s">
        <v>14605</v>
      </c>
      <c r="F3936" s="108" t="s">
        <v>20860</v>
      </c>
      <c r="G3936" s="109">
        <v>45922</v>
      </c>
      <c r="H3936" s="108" t="s">
        <v>595</v>
      </c>
      <c r="I3936" s="108" t="s">
        <v>102</v>
      </c>
    </row>
    <row r="3937" spans="1:9">
      <c r="A3937" s="108" t="s">
        <v>16151</v>
      </c>
      <c r="B3937" s="108" t="s">
        <v>20861</v>
      </c>
      <c r="C3937" s="109">
        <v>44167</v>
      </c>
      <c r="D3937" s="108" t="s">
        <v>20862</v>
      </c>
      <c r="E3937" s="108" t="s">
        <v>14605</v>
      </c>
      <c r="F3937" s="108" t="s">
        <v>20638</v>
      </c>
      <c r="G3937" s="109">
        <v>46022</v>
      </c>
      <c r="H3937" s="108" t="s">
        <v>595</v>
      </c>
      <c r="I3937" s="108" t="s">
        <v>102</v>
      </c>
    </row>
    <row r="3938" spans="1:9" ht="27.6">
      <c r="A3938" s="108" t="s">
        <v>16151</v>
      </c>
      <c r="B3938" s="108" t="s">
        <v>20863</v>
      </c>
      <c r="C3938" s="109">
        <v>44160</v>
      </c>
      <c r="D3938" s="108" t="s">
        <v>20864</v>
      </c>
      <c r="E3938" s="108" t="s">
        <v>14605</v>
      </c>
      <c r="F3938" s="108" t="s">
        <v>14709</v>
      </c>
      <c r="G3938" s="109">
        <v>46022</v>
      </c>
      <c r="H3938" s="108" t="s">
        <v>595</v>
      </c>
      <c r="I3938" s="108" t="s">
        <v>102</v>
      </c>
    </row>
    <row r="3939" spans="1:9" ht="27.6">
      <c r="A3939" s="108" t="s">
        <v>16151</v>
      </c>
      <c r="B3939" s="108" t="s">
        <v>20865</v>
      </c>
      <c r="C3939" s="109">
        <v>44217</v>
      </c>
      <c r="D3939" s="108" t="s">
        <v>20866</v>
      </c>
      <c r="E3939" s="108" t="s">
        <v>14605</v>
      </c>
      <c r="F3939" s="108" t="s">
        <v>20855</v>
      </c>
      <c r="G3939" s="109">
        <v>45322</v>
      </c>
      <c r="H3939" s="108" t="s">
        <v>595</v>
      </c>
      <c r="I3939" s="108" t="s">
        <v>102</v>
      </c>
    </row>
    <row r="3940" spans="1:9">
      <c r="A3940" s="108" t="s">
        <v>16151</v>
      </c>
      <c r="B3940" s="108" t="s">
        <v>20867</v>
      </c>
      <c r="C3940" s="109">
        <v>44448</v>
      </c>
      <c r="D3940" s="108" t="s">
        <v>20868</v>
      </c>
      <c r="E3940" s="108" t="s">
        <v>14605</v>
      </c>
      <c r="F3940" s="108" t="s">
        <v>20491</v>
      </c>
      <c r="G3940" s="109">
        <v>46645</v>
      </c>
      <c r="H3940" s="108" t="s">
        <v>595</v>
      </c>
      <c r="I3940" s="108" t="s">
        <v>102</v>
      </c>
    </row>
    <row r="3941" spans="1:9" ht="27.6">
      <c r="A3941" s="108" t="s">
        <v>16151</v>
      </c>
      <c r="B3941" s="108" t="s">
        <v>20869</v>
      </c>
      <c r="C3941" s="109">
        <v>44706</v>
      </c>
      <c r="D3941" s="108" t="s">
        <v>20870</v>
      </c>
      <c r="E3941" s="108" t="s">
        <v>14605</v>
      </c>
      <c r="F3941" s="108" t="s">
        <v>20871</v>
      </c>
      <c r="G3941" s="109">
        <v>46358</v>
      </c>
      <c r="H3941" s="108" t="s">
        <v>595</v>
      </c>
      <c r="I3941" s="108" t="s">
        <v>102</v>
      </c>
    </row>
    <row r="3942" spans="1:9" ht="27.6">
      <c r="A3942" s="108" t="s">
        <v>16151</v>
      </c>
      <c r="B3942" s="108" t="s">
        <v>20872</v>
      </c>
      <c r="C3942" s="109">
        <v>44826</v>
      </c>
      <c r="D3942" s="108" t="s">
        <v>20873</v>
      </c>
      <c r="E3942" s="108" t="s">
        <v>14605</v>
      </c>
      <c r="F3942" s="108" t="s">
        <v>20619</v>
      </c>
      <c r="G3942" s="109">
        <v>46022</v>
      </c>
      <c r="H3942" s="108" t="s">
        <v>595</v>
      </c>
      <c r="I3942" s="108" t="s">
        <v>102</v>
      </c>
    </row>
    <row r="3943" spans="1:9" ht="27.6">
      <c r="A3943" s="108" t="s">
        <v>16151</v>
      </c>
      <c r="B3943" s="108" t="s">
        <v>20874</v>
      </c>
      <c r="C3943" s="109">
        <v>44845</v>
      </c>
      <c r="D3943" s="108" t="s">
        <v>20875</v>
      </c>
      <c r="E3943" s="108" t="s">
        <v>14605</v>
      </c>
      <c r="F3943" s="108" t="s">
        <v>20621</v>
      </c>
      <c r="G3943" s="109">
        <v>45634</v>
      </c>
      <c r="H3943" s="108" t="s">
        <v>595</v>
      </c>
      <c r="I3943" s="108" t="s">
        <v>102</v>
      </c>
    </row>
    <row r="3944" spans="1:9" ht="27.6">
      <c r="A3944" s="108" t="s">
        <v>16151</v>
      </c>
      <c r="B3944" s="108" t="s">
        <v>20876</v>
      </c>
      <c r="C3944" s="109">
        <v>44847</v>
      </c>
      <c r="D3944" s="108" t="s">
        <v>20877</v>
      </c>
      <c r="E3944" s="108" t="s">
        <v>14605</v>
      </c>
      <c r="F3944" s="108" t="s">
        <v>20659</v>
      </c>
      <c r="G3944" s="109">
        <v>45957</v>
      </c>
      <c r="H3944" s="108" t="s">
        <v>595</v>
      </c>
      <c r="I3944" s="108" t="s">
        <v>102</v>
      </c>
    </row>
    <row r="3945" spans="1:9">
      <c r="A3945" s="108" t="s">
        <v>16151</v>
      </c>
      <c r="B3945" s="108" t="s">
        <v>20878</v>
      </c>
      <c r="C3945" s="109">
        <v>44853</v>
      </c>
      <c r="D3945" s="108" t="s">
        <v>20879</v>
      </c>
      <c r="E3945" s="108" t="s">
        <v>14605</v>
      </c>
      <c r="F3945" s="108" t="s">
        <v>20648</v>
      </c>
      <c r="G3945" s="109">
        <v>45974</v>
      </c>
      <c r="H3945" s="108" t="s">
        <v>595</v>
      </c>
      <c r="I3945" s="108" t="s">
        <v>102</v>
      </c>
    </row>
    <row r="3946" spans="1:9">
      <c r="A3946" s="108" t="s">
        <v>16151</v>
      </c>
      <c r="B3946" s="108" t="s">
        <v>20880</v>
      </c>
      <c r="C3946" s="109">
        <v>45233</v>
      </c>
      <c r="D3946" s="108" t="s">
        <v>20881</v>
      </c>
      <c r="E3946" s="108" t="s">
        <v>14605</v>
      </c>
      <c r="F3946" s="108" t="s">
        <v>20674</v>
      </c>
      <c r="G3946" s="109">
        <v>45954</v>
      </c>
      <c r="H3946" s="108" t="s">
        <v>595</v>
      </c>
      <c r="I3946" s="108" t="s">
        <v>102</v>
      </c>
    </row>
    <row r="3947" spans="1:9">
      <c r="A3947" s="108" t="s">
        <v>16151</v>
      </c>
      <c r="B3947" s="108" t="s">
        <v>20882</v>
      </c>
      <c r="C3947" s="109">
        <v>45281</v>
      </c>
      <c r="D3947" s="108" t="s">
        <v>20883</v>
      </c>
      <c r="E3947" s="108" t="s">
        <v>14605</v>
      </c>
      <c r="F3947" s="108" t="s">
        <v>20677</v>
      </c>
      <c r="G3947" s="109">
        <v>45990</v>
      </c>
      <c r="H3947" s="108" t="s">
        <v>595</v>
      </c>
      <c r="I3947" s="108" t="s">
        <v>102</v>
      </c>
    </row>
    <row r="3948" spans="1:9" ht="27.6">
      <c r="A3948" s="108" t="s">
        <v>16151</v>
      </c>
      <c r="B3948" s="108" t="s">
        <v>20884</v>
      </c>
      <c r="C3948" s="109">
        <v>45412</v>
      </c>
      <c r="D3948" s="108" t="s">
        <v>20885</v>
      </c>
      <c r="E3948" s="108" t="s">
        <v>14605</v>
      </c>
      <c r="F3948" s="108" t="s">
        <v>14706</v>
      </c>
      <c r="G3948" s="109">
        <v>46124</v>
      </c>
      <c r="H3948" s="108" t="s">
        <v>595</v>
      </c>
      <c r="I3948" s="108" t="s">
        <v>102</v>
      </c>
    </row>
    <row r="3949" spans="1:9" ht="27.6">
      <c r="A3949" s="108" t="s">
        <v>388</v>
      </c>
      <c r="B3949" s="108" t="s">
        <v>20886</v>
      </c>
      <c r="C3949" s="109">
        <v>44581</v>
      </c>
      <c r="D3949" s="108" t="s">
        <v>20887</v>
      </c>
      <c r="E3949" s="108" t="s">
        <v>14605</v>
      </c>
      <c r="F3949" s="108" t="s">
        <v>20888</v>
      </c>
      <c r="G3949" s="109">
        <v>46043</v>
      </c>
      <c r="H3949" s="108" t="s">
        <v>595</v>
      </c>
      <c r="I3949" s="108" t="s">
        <v>102</v>
      </c>
    </row>
    <row r="3950" spans="1:9" ht="27.6">
      <c r="A3950" s="108" t="s">
        <v>14950</v>
      </c>
      <c r="B3950" s="108" t="s">
        <v>20889</v>
      </c>
      <c r="C3950" s="109">
        <v>43894</v>
      </c>
      <c r="D3950" s="108" t="s">
        <v>20890</v>
      </c>
      <c r="E3950" s="108" t="s">
        <v>14605</v>
      </c>
      <c r="F3950" s="108" t="s">
        <v>20891</v>
      </c>
      <c r="G3950" s="109">
        <v>44623</v>
      </c>
      <c r="H3950" s="108" t="s">
        <v>595</v>
      </c>
      <c r="I3950" s="108" t="s">
        <v>95</v>
      </c>
    </row>
    <row r="3951" spans="1:9" ht="27.6">
      <c r="A3951" s="108" t="s">
        <v>15075</v>
      </c>
      <c r="B3951" s="108" t="s">
        <v>20892</v>
      </c>
      <c r="C3951" s="109">
        <v>45294</v>
      </c>
      <c r="D3951" s="108" t="s">
        <v>20893</v>
      </c>
      <c r="E3951" s="108" t="s">
        <v>14605</v>
      </c>
      <c r="F3951" s="108" t="s">
        <v>15146</v>
      </c>
      <c r="G3951" s="109">
        <v>45330</v>
      </c>
      <c r="H3951" s="108" t="s">
        <v>595</v>
      </c>
      <c r="I3951" s="108" t="s">
        <v>95</v>
      </c>
    </row>
    <row r="3952" spans="1:9" ht="27.6">
      <c r="A3952" s="108" t="s">
        <v>15075</v>
      </c>
      <c r="B3952" s="108" t="s">
        <v>20894</v>
      </c>
      <c r="C3952" s="109">
        <v>45538</v>
      </c>
      <c r="D3952" s="108" t="s">
        <v>20895</v>
      </c>
      <c r="E3952" s="108" t="s">
        <v>14605</v>
      </c>
      <c r="F3952" s="108" t="s">
        <v>14709</v>
      </c>
      <c r="G3952" s="109">
        <v>46174</v>
      </c>
      <c r="H3952" s="108" t="s">
        <v>595</v>
      </c>
      <c r="I3952" s="108" t="s">
        <v>95</v>
      </c>
    </row>
    <row r="3953" spans="1:9" ht="27.6">
      <c r="A3953" s="108" t="s">
        <v>109</v>
      </c>
      <c r="B3953" s="108" t="s">
        <v>20896</v>
      </c>
      <c r="C3953" s="109">
        <v>44232</v>
      </c>
      <c r="D3953" s="108" t="s">
        <v>20897</v>
      </c>
      <c r="E3953" s="108" t="s">
        <v>14605</v>
      </c>
      <c r="F3953" s="108" t="s">
        <v>16089</v>
      </c>
      <c r="G3953" s="109">
        <v>45326</v>
      </c>
      <c r="H3953" s="108" t="s">
        <v>595</v>
      </c>
      <c r="I3953" s="108" t="s">
        <v>95</v>
      </c>
    </row>
    <row r="3954" spans="1:9">
      <c r="A3954" s="108" t="s">
        <v>15859</v>
      </c>
      <c r="B3954" s="108" t="s">
        <v>20898</v>
      </c>
      <c r="C3954" s="109">
        <v>45316</v>
      </c>
      <c r="D3954" s="108" t="s">
        <v>20899</v>
      </c>
      <c r="E3954" s="108" t="s">
        <v>14605</v>
      </c>
      <c r="F3954" s="108" t="s">
        <v>15207</v>
      </c>
      <c r="G3954" s="109">
        <v>46413</v>
      </c>
      <c r="H3954" s="108" t="s">
        <v>595</v>
      </c>
      <c r="I3954" s="108" t="s">
        <v>95</v>
      </c>
    </row>
    <row r="3955" spans="1:9" ht="27.6">
      <c r="A3955" s="108" t="s">
        <v>109</v>
      </c>
      <c r="B3955" s="108" t="s">
        <v>20900</v>
      </c>
      <c r="C3955" s="109">
        <v>44650</v>
      </c>
      <c r="D3955" s="108" t="s">
        <v>20901</v>
      </c>
      <c r="E3955" s="108" t="s">
        <v>14605</v>
      </c>
      <c r="F3955" s="108" t="s">
        <v>20648</v>
      </c>
      <c r="G3955" s="109">
        <v>46136</v>
      </c>
      <c r="H3955" s="108" t="s">
        <v>595</v>
      </c>
      <c r="I3955" s="108" t="s">
        <v>95</v>
      </c>
    </row>
    <row r="3956" spans="1:9" ht="27.6">
      <c r="A3956" s="108" t="s">
        <v>109</v>
      </c>
      <c r="B3956" s="108" t="s">
        <v>20902</v>
      </c>
      <c r="C3956" s="109">
        <v>44817</v>
      </c>
      <c r="D3956" s="108" t="s">
        <v>20903</v>
      </c>
      <c r="E3956" s="108" t="s">
        <v>14605</v>
      </c>
      <c r="F3956" s="108" t="s">
        <v>15142</v>
      </c>
      <c r="G3956" s="109">
        <v>45925</v>
      </c>
      <c r="H3956" s="108" t="s">
        <v>595</v>
      </c>
      <c r="I3956" s="108" t="s">
        <v>95</v>
      </c>
    </row>
    <row r="3957" spans="1:9" ht="27.6">
      <c r="A3957" s="108" t="s">
        <v>109</v>
      </c>
      <c r="B3957" s="108" t="s">
        <v>20904</v>
      </c>
      <c r="C3957" s="109">
        <v>45244</v>
      </c>
      <c r="D3957" s="108" t="s">
        <v>20905</v>
      </c>
      <c r="E3957" s="108" t="s">
        <v>14605</v>
      </c>
      <c r="F3957" s="108" t="s">
        <v>20655</v>
      </c>
      <c r="G3957" s="109">
        <v>45948</v>
      </c>
      <c r="H3957" s="108" t="s">
        <v>595</v>
      </c>
      <c r="I3957" s="108" t="s">
        <v>95</v>
      </c>
    </row>
    <row r="3958" spans="1:9" ht="27.6">
      <c r="A3958" s="108" t="s">
        <v>109</v>
      </c>
      <c r="B3958" s="108" t="s">
        <v>20906</v>
      </c>
      <c r="C3958" s="109">
        <v>45223</v>
      </c>
      <c r="D3958" s="108" t="s">
        <v>20907</v>
      </c>
      <c r="E3958" s="108" t="s">
        <v>14605</v>
      </c>
      <c r="F3958" s="108" t="s">
        <v>15146</v>
      </c>
      <c r="G3958" s="109">
        <v>45956</v>
      </c>
      <c r="H3958" s="108" t="s">
        <v>595</v>
      </c>
      <c r="I3958" s="108" t="s">
        <v>95</v>
      </c>
    </row>
    <row r="3959" spans="1:9" ht="27.6">
      <c r="A3959" s="108" t="s">
        <v>109</v>
      </c>
      <c r="B3959" s="108" t="s">
        <v>20908</v>
      </c>
      <c r="C3959" s="109">
        <v>45259</v>
      </c>
      <c r="D3959" s="108" t="s">
        <v>20909</v>
      </c>
      <c r="E3959" s="108" t="s">
        <v>14605</v>
      </c>
      <c r="F3959" s="108" t="s">
        <v>20655</v>
      </c>
      <c r="G3959" s="109">
        <v>45990</v>
      </c>
      <c r="H3959" s="108" t="s">
        <v>595</v>
      </c>
      <c r="I3959" s="108" t="s">
        <v>95</v>
      </c>
    </row>
    <row r="3960" spans="1:9" ht="27.6">
      <c r="A3960" s="108" t="s">
        <v>109</v>
      </c>
      <c r="B3960" s="108" t="s">
        <v>20910</v>
      </c>
      <c r="C3960" s="109">
        <v>45527</v>
      </c>
      <c r="D3960" s="108" t="s">
        <v>20911</v>
      </c>
      <c r="E3960" s="108" t="s">
        <v>14605</v>
      </c>
      <c r="F3960" s="108" t="s">
        <v>15783</v>
      </c>
      <c r="G3960" s="109">
        <v>46252</v>
      </c>
      <c r="H3960" s="108" t="s">
        <v>595</v>
      </c>
      <c r="I3960" s="108" t="s">
        <v>95</v>
      </c>
    </row>
    <row r="3961" spans="1:9">
      <c r="A3961" s="108" t="s">
        <v>15990</v>
      </c>
      <c r="B3961" s="108" t="s">
        <v>20912</v>
      </c>
      <c r="C3961" s="109">
        <v>44575</v>
      </c>
      <c r="D3961" s="108" t="s">
        <v>20913</v>
      </c>
      <c r="E3961" s="108" t="s">
        <v>14605</v>
      </c>
      <c r="F3961" s="108" t="s">
        <v>15146</v>
      </c>
      <c r="G3961" s="109">
        <v>45930</v>
      </c>
      <c r="H3961" s="108" t="s">
        <v>595</v>
      </c>
      <c r="I3961" s="108" t="s">
        <v>95</v>
      </c>
    </row>
    <row r="3962" spans="1:9" ht="27.6">
      <c r="A3962" s="108" t="s">
        <v>16151</v>
      </c>
      <c r="B3962" s="108" t="s">
        <v>20914</v>
      </c>
      <c r="C3962" s="109">
        <v>43865</v>
      </c>
      <c r="D3962" s="108" t="s">
        <v>20915</v>
      </c>
      <c r="E3962" s="108" t="s">
        <v>14605</v>
      </c>
      <c r="F3962" s="108" t="s">
        <v>20891</v>
      </c>
      <c r="G3962" s="109">
        <v>45354</v>
      </c>
      <c r="H3962" s="108" t="s">
        <v>595</v>
      </c>
      <c r="I3962" s="108" t="s">
        <v>95</v>
      </c>
    </row>
    <row r="3963" spans="1:9">
      <c r="A3963" s="108" t="s">
        <v>16151</v>
      </c>
      <c r="B3963" s="108" t="s">
        <v>20916</v>
      </c>
      <c r="C3963" s="109">
        <v>44013</v>
      </c>
      <c r="D3963" s="108" t="s">
        <v>20917</v>
      </c>
      <c r="E3963" s="108" t="s">
        <v>14605</v>
      </c>
      <c r="F3963" s="108" t="s">
        <v>15146</v>
      </c>
      <c r="G3963" s="109">
        <v>46061</v>
      </c>
      <c r="H3963" s="108" t="s">
        <v>595</v>
      </c>
      <c r="I3963" s="108" t="s">
        <v>95</v>
      </c>
    </row>
    <row r="3964" spans="1:9">
      <c r="A3964" s="108" t="s">
        <v>16151</v>
      </c>
      <c r="B3964" s="108" t="s">
        <v>20918</v>
      </c>
      <c r="C3964" s="109">
        <v>44063</v>
      </c>
      <c r="D3964" s="108" t="s">
        <v>20919</v>
      </c>
      <c r="E3964" s="108" t="s">
        <v>14605</v>
      </c>
      <c r="F3964" s="108" t="s">
        <v>20732</v>
      </c>
      <c r="G3964" s="109">
        <v>46257</v>
      </c>
      <c r="H3964" s="108" t="s">
        <v>595</v>
      </c>
      <c r="I3964" s="108" t="s">
        <v>95</v>
      </c>
    </row>
    <row r="3965" spans="1:9">
      <c r="A3965" s="108" t="s">
        <v>16151</v>
      </c>
      <c r="B3965" s="108" t="s">
        <v>20920</v>
      </c>
      <c r="C3965" s="109">
        <v>44061</v>
      </c>
      <c r="D3965" s="108" t="s">
        <v>20921</v>
      </c>
      <c r="E3965" s="108" t="s">
        <v>14605</v>
      </c>
      <c r="F3965" s="108" t="s">
        <v>20732</v>
      </c>
      <c r="G3965" s="109">
        <v>46251</v>
      </c>
      <c r="H3965" s="108" t="s">
        <v>595</v>
      </c>
      <c r="I3965" s="108" t="s">
        <v>95</v>
      </c>
    </row>
    <row r="3966" spans="1:9" ht="27.6">
      <c r="A3966" s="108" t="s">
        <v>16149</v>
      </c>
      <c r="B3966" s="108" t="s">
        <v>20922</v>
      </c>
      <c r="C3966" s="109">
        <v>45170</v>
      </c>
      <c r="D3966" s="108" t="s">
        <v>20923</v>
      </c>
      <c r="E3966" s="108" t="s">
        <v>14605</v>
      </c>
      <c r="F3966" s="108" t="s">
        <v>15407</v>
      </c>
      <c r="G3966" s="109">
        <v>46302</v>
      </c>
      <c r="H3966" s="108" t="s">
        <v>595</v>
      </c>
      <c r="I3966" s="108" t="s">
        <v>95</v>
      </c>
    </row>
    <row r="3967" spans="1:9">
      <c r="A3967" s="108" t="s">
        <v>16151</v>
      </c>
      <c r="B3967" s="108" t="s">
        <v>20924</v>
      </c>
      <c r="C3967" s="109">
        <v>44245</v>
      </c>
      <c r="D3967" s="108" t="s">
        <v>20925</v>
      </c>
      <c r="E3967" s="108" t="s">
        <v>14605</v>
      </c>
      <c r="F3967" s="108" t="s">
        <v>15381</v>
      </c>
      <c r="G3967" s="109">
        <v>45291</v>
      </c>
      <c r="H3967" s="108" t="s">
        <v>595</v>
      </c>
      <c r="I3967" s="108" t="s">
        <v>95</v>
      </c>
    </row>
    <row r="3968" spans="1:9">
      <c r="A3968" s="108" t="s">
        <v>16151</v>
      </c>
      <c r="B3968" s="108" t="s">
        <v>20926</v>
      </c>
      <c r="C3968" s="109">
        <v>44413</v>
      </c>
      <c r="D3968" s="108" t="s">
        <v>20927</v>
      </c>
      <c r="E3968" s="108" t="s">
        <v>14605</v>
      </c>
      <c r="F3968" s="108" t="s">
        <v>20928</v>
      </c>
      <c r="G3968" s="109">
        <v>45897</v>
      </c>
      <c r="H3968" s="108" t="s">
        <v>595</v>
      </c>
      <c r="I3968" s="108" t="s">
        <v>95</v>
      </c>
    </row>
    <row r="3969" spans="1:9">
      <c r="A3969" s="108" t="s">
        <v>16151</v>
      </c>
      <c r="B3969" s="108" t="s">
        <v>20929</v>
      </c>
      <c r="C3969" s="109">
        <v>44538</v>
      </c>
      <c r="D3969" s="108" t="s">
        <v>20930</v>
      </c>
      <c r="E3969" s="108" t="s">
        <v>14605</v>
      </c>
      <c r="F3969" s="108" t="s">
        <v>15323</v>
      </c>
      <c r="G3969" s="109">
        <v>46019</v>
      </c>
      <c r="H3969" s="108" t="s">
        <v>595</v>
      </c>
      <c r="I3969" s="108" t="s">
        <v>95</v>
      </c>
    </row>
    <row r="3970" spans="1:9">
      <c r="A3970" s="108" t="s">
        <v>16151</v>
      </c>
      <c r="B3970" s="108" t="s">
        <v>20931</v>
      </c>
      <c r="C3970" s="109">
        <v>44427</v>
      </c>
      <c r="D3970" s="108" t="s">
        <v>20932</v>
      </c>
      <c r="E3970" s="108" t="s">
        <v>14605</v>
      </c>
      <c r="F3970" s="108" t="s">
        <v>15323</v>
      </c>
      <c r="G3970" s="109">
        <v>45909</v>
      </c>
      <c r="H3970" s="108" t="s">
        <v>595</v>
      </c>
      <c r="I3970" s="108" t="s">
        <v>95</v>
      </c>
    </row>
    <row r="3971" spans="1:9" ht="27.6">
      <c r="A3971" s="108" t="s">
        <v>16151</v>
      </c>
      <c r="B3971" s="108" t="s">
        <v>20933</v>
      </c>
      <c r="C3971" s="109">
        <v>44589</v>
      </c>
      <c r="D3971" s="108" t="s">
        <v>20934</v>
      </c>
      <c r="E3971" s="108" t="s">
        <v>14605</v>
      </c>
      <c r="F3971" s="108" t="s">
        <v>20650</v>
      </c>
      <c r="G3971" s="109">
        <v>46064</v>
      </c>
      <c r="H3971" s="108" t="s">
        <v>595</v>
      </c>
      <c r="I3971" s="108" t="s">
        <v>95</v>
      </c>
    </row>
    <row r="3972" spans="1:9">
      <c r="A3972" s="108" t="s">
        <v>16151</v>
      </c>
      <c r="B3972" s="108" t="s">
        <v>20935</v>
      </c>
      <c r="C3972" s="109">
        <v>44593</v>
      </c>
      <c r="D3972" s="108" t="s">
        <v>20936</v>
      </c>
      <c r="E3972" s="108" t="s">
        <v>14605</v>
      </c>
      <c r="F3972" s="108" t="s">
        <v>15146</v>
      </c>
      <c r="G3972" s="109">
        <v>46061</v>
      </c>
      <c r="H3972" s="108" t="s">
        <v>595</v>
      </c>
      <c r="I3972" s="108" t="s">
        <v>95</v>
      </c>
    </row>
    <row r="3973" spans="1:9">
      <c r="A3973" s="108" t="s">
        <v>16151</v>
      </c>
      <c r="B3973" s="108" t="s">
        <v>20937</v>
      </c>
      <c r="C3973" s="109">
        <v>44574</v>
      </c>
      <c r="D3973" s="108" t="s">
        <v>20938</v>
      </c>
      <c r="E3973" s="108" t="s">
        <v>14605</v>
      </c>
      <c r="F3973" s="108" t="s">
        <v>20939</v>
      </c>
      <c r="G3973" s="109">
        <v>45303</v>
      </c>
      <c r="H3973" s="108" t="s">
        <v>595</v>
      </c>
      <c r="I3973" s="108" t="s">
        <v>95</v>
      </c>
    </row>
    <row r="3974" spans="1:9" ht="27.6">
      <c r="A3974" s="108" t="s">
        <v>16151</v>
      </c>
      <c r="B3974" s="108" t="s">
        <v>20940</v>
      </c>
      <c r="C3974" s="109">
        <v>44673</v>
      </c>
      <c r="D3974" s="108" t="s">
        <v>20941</v>
      </c>
      <c r="E3974" s="108" t="s">
        <v>14605</v>
      </c>
      <c r="F3974" s="108" t="s">
        <v>16374</v>
      </c>
      <c r="G3974" s="109">
        <v>45411</v>
      </c>
      <c r="H3974" s="108" t="s">
        <v>20617</v>
      </c>
      <c r="I3974" s="108" t="s">
        <v>95</v>
      </c>
    </row>
    <row r="3975" spans="1:9">
      <c r="A3975" s="108" t="s">
        <v>16151</v>
      </c>
      <c r="B3975" s="108" t="s">
        <v>20942</v>
      </c>
      <c r="C3975" s="109">
        <v>44960</v>
      </c>
      <c r="D3975" s="108" t="s">
        <v>20943</v>
      </c>
      <c r="E3975" s="108" t="s">
        <v>14605</v>
      </c>
      <c r="F3975" s="108" t="s">
        <v>15323</v>
      </c>
      <c r="G3975" s="109">
        <v>45698</v>
      </c>
      <c r="H3975" s="108" t="s">
        <v>595</v>
      </c>
      <c r="I3975" s="108" t="s">
        <v>95</v>
      </c>
    </row>
    <row r="3976" spans="1:9">
      <c r="A3976" s="108" t="s">
        <v>16151</v>
      </c>
      <c r="B3976" s="108" t="s">
        <v>20944</v>
      </c>
      <c r="C3976" s="109">
        <v>45210</v>
      </c>
      <c r="D3976" s="108" t="s">
        <v>20945</v>
      </c>
      <c r="E3976" s="108" t="s">
        <v>14605</v>
      </c>
      <c r="F3976" s="108" t="s">
        <v>15146</v>
      </c>
      <c r="G3976" s="109">
        <v>45942</v>
      </c>
      <c r="H3976" s="108" t="s">
        <v>595</v>
      </c>
      <c r="I3976" s="108" t="s">
        <v>95</v>
      </c>
    </row>
    <row r="3977" spans="1:9">
      <c r="A3977" s="108" t="s">
        <v>16151</v>
      </c>
      <c r="B3977" s="108" t="s">
        <v>20946</v>
      </c>
      <c r="C3977" s="109">
        <v>45257</v>
      </c>
      <c r="D3977" s="108" t="s">
        <v>20947</v>
      </c>
      <c r="E3977" s="108" t="s">
        <v>14605</v>
      </c>
      <c r="F3977" s="108" t="s">
        <v>15763</v>
      </c>
      <c r="G3977" s="109">
        <v>46215</v>
      </c>
      <c r="H3977" s="108" t="s">
        <v>595</v>
      </c>
      <c r="I3977" s="108" t="s">
        <v>95</v>
      </c>
    </row>
    <row r="3978" spans="1:9" ht="27.6">
      <c r="A3978" s="108" t="s">
        <v>16151</v>
      </c>
      <c r="B3978" s="108" t="s">
        <v>20948</v>
      </c>
      <c r="C3978" s="109">
        <v>45264</v>
      </c>
      <c r="D3978" s="108" t="s">
        <v>20949</v>
      </c>
      <c r="E3978" s="108" t="s">
        <v>14605</v>
      </c>
      <c r="F3978" s="108" t="s">
        <v>14709</v>
      </c>
      <c r="G3978" s="109">
        <v>46017</v>
      </c>
      <c r="H3978" s="108" t="s">
        <v>595</v>
      </c>
      <c r="I3978" s="108" t="s">
        <v>95</v>
      </c>
    </row>
    <row r="3979" spans="1:9">
      <c r="A3979" s="108" t="s">
        <v>16151</v>
      </c>
      <c r="B3979" s="108" t="s">
        <v>20950</v>
      </c>
      <c r="C3979" s="109">
        <v>45341</v>
      </c>
      <c r="D3979" s="108" t="s">
        <v>20951</v>
      </c>
      <c r="E3979" s="108" t="s">
        <v>14605</v>
      </c>
      <c r="F3979" s="108" t="s">
        <v>20683</v>
      </c>
      <c r="G3979" s="109">
        <v>46074</v>
      </c>
      <c r="H3979" s="108" t="s">
        <v>595</v>
      </c>
      <c r="I3979" s="108" t="s">
        <v>95</v>
      </c>
    </row>
    <row r="3980" spans="1:9">
      <c r="A3980" s="108" t="s">
        <v>16151</v>
      </c>
      <c r="B3980" s="108" t="s">
        <v>20952</v>
      </c>
      <c r="C3980" s="109">
        <v>45406</v>
      </c>
      <c r="D3980" s="108" t="s">
        <v>20953</v>
      </c>
      <c r="E3980" s="108" t="s">
        <v>14605</v>
      </c>
      <c r="F3980" s="108" t="s">
        <v>15806</v>
      </c>
      <c r="G3980" s="109">
        <v>46871</v>
      </c>
      <c r="H3980" s="108" t="s">
        <v>595</v>
      </c>
      <c r="I3980" s="108" t="s">
        <v>95</v>
      </c>
    </row>
    <row r="3981" spans="1:9" ht="27.6">
      <c r="A3981" s="108" t="s">
        <v>16151</v>
      </c>
      <c r="B3981" s="108" t="s">
        <v>20954</v>
      </c>
      <c r="C3981" s="109">
        <v>45415</v>
      </c>
      <c r="D3981" s="108" t="s">
        <v>20955</v>
      </c>
      <c r="E3981" s="108" t="s">
        <v>14605</v>
      </c>
      <c r="F3981" s="108" t="s">
        <v>14709</v>
      </c>
      <c r="G3981" s="109">
        <v>46167</v>
      </c>
      <c r="H3981" s="108" t="s">
        <v>595</v>
      </c>
      <c r="I3981" s="108" t="s">
        <v>95</v>
      </c>
    </row>
    <row r="3982" spans="1:9" ht="27.6">
      <c r="A3982" s="108" t="s">
        <v>103</v>
      </c>
      <c r="B3982" s="108" t="s">
        <v>20956</v>
      </c>
      <c r="C3982" s="109">
        <v>44055</v>
      </c>
      <c r="D3982" s="108" t="s">
        <v>20957</v>
      </c>
      <c r="E3982" s="108" t="s">
        <v>14605</v>
      </c>
      <c r="F3982" s="108" t="s">
        <v>20641</v>
      </c>
      <c r="G3982" s="109">
        <v>45149</v>
      </c>
      <c r="H3982" s="108" t="s">
        <v>595</v>
      </c>
      <c r="I3982" s="108" t="s">
        <v>95</v>
      </c>
    </row>
    <row r="3983" spans="1:9" ht="27.6">
      <c r="A3983" s="108" t="s">
        <v>1591</v>
      </c>
      <c r="B3983" s="108" t="s">
        <v>20958</v>
      </c>
      <c r="C3983" s="109">
        <v>43643</v>
      </c>
      <c r="D3983" s="108" t="s">
        <v>20959</v>
      </c>
      <c r="E3983" s="108" t="s">
        <v>14605</v>
      </c>
      <c r="F3983" s="108" t="s">
        <v>20960</v>
      </c>
      <c r="G3983" s="109">
        <v>45469</v>
      </c>
      <c r="H3983" s="108" t="s">
        <v>595</v>
      </c>
      <c r="I3983" s="108" t="s">
        <v>17342</v>
      </c>
    </row>
    <row r="3984" spans="1:9" ht="27.6">
      <c r="A3984" s="108" t="s">
        <v>17130</v>
      </c>
      <c r="B3984" s="108" t="s">
        <v>20961</v>
      </c>
      <c r="C3984" s="109">
        <v>44096</v>
      </c>
      <c r="D3984" s="108" t="s">
        <v>20962</v>
      </c>
      <c r="E3984" s="108" t="s">
        <v>14605</v>
      </c>
      <c r="F3984" s="108" t="s">
        <v>20963</v>
      </c>
      <c r="G3984" s="109">
        <v>46203</v>
      </c>
      <c r="H3984" s="108" t="s">
        <v>595</v>
      </c>
      <c r="I3984" s="108" t="s">
        <v>2880</v>
      </c>
    </row>
    <row r="3985" spans="1:9" ht="27.6">
      <c r="A3985" s="108" t="s">
        <v>17130</v>
      </c>
      <c r="B3985" s="108" t="s">
        <v>20964</v>
      </c>
      <c r="C3985" s="109">
        <v>44742</v>
      </c>
      <c r="D3985" s="108" t="s">
        <v>20965</v>
      </c>
      <c r="E3985" s="108" t="s">
        <v>14605</v>
      </c>
      <c r="F3985" s="108" t="s">
        <v>20966</v>
      </c>
      <c r="G3985" s="109">
        <v>45865</v>
      </c>
      <c r="H3985" s="108" t="s">
        <v>595</v>
      </c>
      <c r="I3985" s="108" t="s">
        <v>2880</v>
      </c>
    </row>
    <row r="3986" spans="1:9" ht="27.6">
      <c r="A3986" s="108" t="s">
        <v>17130</v>
      </c>
      <c r="B3986" s="108" t="s">
        <v>20967</v>
      </c>
      <c r="C3986" s="109">
        <v>44694</v>
      </c>
      <c r="D3986" s="108" t="s">
        <v>20968</v>
      </c>
      <c r="E3986" s="108" t="s">
        <v>14605</v>
      </c>
      <c r="F3986" s="108" t="s">
        <v>20732</v>
      </c>
      <c r="G3986" s="109">
        <v>45789</v>
      </c>
      <c r="H3986" s="108" t="s">
        <v>595</v>
      </c>
      <c r="I3986" s="108" t="s">
        <v>2880</v>
      </c>
    </row>
    <row r="3987" spans="1:9">
      <c r="A3987" s="108" t="s">
        <v>237</v>
      </c>
      <c r="B3987" s="108" t="s">
        <v>20969</v>
      </c>
      <c r="C3987" s="109">
        <v>42387</v>
      </c>
      <c r="D3987" s="108" t="s">
        <v>20970</v>
      </c>
      <c r="E3987" s="108" t="s">
        <v>14605</v>
      </c>
      <c r="F3987" s="108" t="s">
        <v>20971</v>
      </c>
      <c r="G3987" s="109">
        <v>46142</v>
      </c>
      <c r="H3987" s="108" t="s">
        <v>595</v>
      </c>
      <c r="I3987" s="108" t="s">
        <v>280</v>
      </c>
    </row>
    <row r="3988" spans="1:9" ht="27.6">
      <c r="A3988" s="108" t="s">
        <v>237</v>
      </c>
      <c r="B3988" s="108" t="s">
        <v>20972</v>
      </c>
      <c r="C3988" s="109">
        <v>43090</v>
      </c>
      <c r="D3988" s="108" t="s">
        <v>20973</v>
      </c>
      <c r="E3988" s="108" t="s">
        <v>14605</v>
      </c>
      <c r="F3988" s="108" t="s">
        <v>20974</v>
      </c>
      <c r="G3988" s="109">
        <v>45107</v>
      </c>
      <c r="H3988" s="108" t="s">
        <v>595</v>
      </c>
      <c r="I3988" s="108" t="s">
        <v>280</v>
      </c>
    </row>
    <row r="3989" spans="1:9" ht="27.6">
      <c r="A3989" s="108" t="s">
        <v>237</v>
      </c>
      <c r="B3989" s="108" t="s">
        <v>20975</v>
      </c>
      <c r="C3989" s="109">
        <v>43479</v>
      </c>
      <c r="D3989" s="108" t="s">
        <v>20976</v>
      </c>
      <c r="E3989" s="108" t="s">
        <v>14605</v>
      </c>
      <c r="F3989" s="108" t="s">
        <v>14709</v>
      </c>
      <c r="G3989" s="109">
        <v>45637</v>
      </c>
      <c r="H3989" s="108" t="s">
        <v>595</v>
      </c>
      <c r="I3989" s="108" t="s">
        <v>280</v>
      </c>
    </row>
    <row r="3990" spans="1:9" ht="27.6">
      <c r="A3990" s="108" t="s">
        <v>1465</v>
      </c>
      <c r="B3990" s="108" t="s">
        <v>20977</v>
      </c>
      <c r="C3990" s="109">
        <v>42751</v>
      </c>
      <c r="D3990" s="108" t="s">
        <v>20978</v>
      </c>
      <c r="E3990" s="108" t="s">
        <v>14605</v>
      </c>
      <c r="F3990" s="108" t="s">
        <v>15040</v>
      </c>
      <c r="G3990" s="109">
        <v>45943</v>
      </c>
      <c r="H3990" s="108" t="s">
        <v>595</v>
      </c>
      <c r="I3990" s="108" t="s">
        <v>280</v>
      </c>
    </row>
    <row r="3991" spans="1:9">
      <c r="A3991" s="108" t="s">
        <v>14928</v>
      </c>
      <c r="B3991" s="108" t="s">
        <v>20979</v>
      </c>
      <c r="C3991" s="109">
        <v>42654</v>
      </c>
      <c r="D3991" s="108" t="s">
        <v>20980</v>
      </c>
      <c r="E3991" s="108" t="s">
        <v>14605</v>
      </c>
      <c r="F3991" s="108" t="s">
        <v>20981</v>
      </c>
      <c r="G3991" s="109">
        <v>45260</v>
      </c>
      <c r="H3991" s="108" t="s">
        <v>595</v>
      </c>
      <c r="I3991" s="108" t="s">
        <v>280</v>
      </c>
    </row>
    <row r="3992" spans="1:9" ht="27.6">
      <c r="A3992" s="108" t="s">
        <v>14929</v>
      </c>
      <c r="B3992" s="108" t="s">
        <v>20982</v>
      </c>
      <c r="C3992" s="109">
        <v>44151</v>
      </c>
      <c r="D3992" s="108" t="s">
        <v>20983</v>
      </c>
      <c r="E3992" s="108" t="s">
        <v>14605</v>
      </c>
      <c r="F3992" s="108" t="s">
        <v>20770</v>
      </c>
      <c r="G3992" s="109">
        <v>45900</v>
      </c>
      <c r="H3992" s="108" t="s">
        <v>595</v>
      </c>
      <c r="I3992" s="108" t="s">
        <v>280</v>
      </c>
    </row>
    <row r="3993" spans="1:9">
      <c r="A3993" s="108" t="s">
        <v>2002</v>
      </c>
      <c r="B3993" s="108" t="s">
        <v>20984</v>
      </c>
      <c r="C3993" s="109">
        <v>44159</v>
      </c>
      <c r="D3993" s="108" t="s">
        <v>20985</v>
      </c>
      <c r="E3993" s="108" t="s">
        <v>14605</v>
      </c>
      <c r="F3993" s="108" t="s">
        <v>20768</v>
      </c>
      <c r="G3993" s="109">
        <v>45755</v>
      </c>
      <c r="H3993" s="108" t="s">
        <v>595</v>
      </c>
      <c r="I3993" s="108" t="s">
        <v>280</v>
      </c>
    </row>
    <row r="3994" spans="1:9">
      <c r="A3994" s="108" t="s">
        <v>316</v>
      </c>
      <c r="B3994" s="108" t="s">
        <v>20986</v>
      </c>
      <c r="C3994" s="109">
        <v>44154</v>
      </c>
      <c r="D3994" s="108" t="s">
        <v>20987</v>
      </c>
      <c r="E3994" s="108" t="s">
        <v>14605</v>
      </c>
      <c r="F3994" s="108" t="s">
        <v>20988</v>
      </c>
      <c r="G3994" s="109">
        <v>45988</v>
      </c>
      <c r="H3994" s="108" t="s">
        <v>595</v>
      </c>
      <c r="I3994" s="108" t="s">
        <v>280</v>
      </c>
    </row>
    <row r="3995" spans="1:9" ht="27.6">
      <c r="A3995" s="108" t="s">
        <v>14928</v>
      </c>
      <c r="B3995" s="108" t="s">
        <v>20989</v>
      </c>
      <c r="C3995" s="109">
        <v>44293</v>
      </c>
      <c r="D3995" s="108" t="s">
        <v>20990</v>
      </c>
      <c r="E3995" s="108" t="s">
        <v>14605</v>
      </c>
      <c r="F3995" s="108" t="s">
        <v>20453</v>
      </c>
      <c r="G3995" s="109">
        <v>45388</v>
      </c>
      <c r="H3995" s="108" t="s">
        <v>595</v>
      </c>
      <c r="I3995" s="108" t="s">
        <v>280</v>
      </c>
    </row>
    <row r="3996" spans="1:9">
      <c r="A3996" s="108" t="s">
        <v>571</v>
      </c>
      <c r="B3996" s="108" t="s">
        <v>20991</v>
      </c>
      <c r="C3996" s="109">
        <v>44441</v>
      </c>
      <c r="D3996" s="108" t="s">
        <v>20992</v>
      </c>
      <c r="E3996" s="108" t="s">
        <v>14605</v>
      </c>
      <c r="F3996" s="108" t="s">
        <v>20993</v>
      </c>
      <c r="G3996" s="109">
        <v>45989</v>
      </c>
      <c r="H3996" s="108" t="s">
        <v>595</v>
      </c>
      <c r="I3996" s="108" t="s">
        <v>280</v>
      </c>
    </row>
    <row r="3997" spans="1:9">
      <c r="A3997" s="108" t="s">
        <v>87</v>
      </c>
      <c r="B3997" s="108" t="s">
        <v>20994</v>
      </c>
      <c r="C3997" s="109">
        <v>44480</v>
      </c>
      <c r="D3997" s="108" t="s">
        <v>20995</v>
      </c>
      <c r="E3997" s="108" t="s">
        <v>14605</v>
      </c>
      <c r="F3997" s="108" t="s">
        <v>15025</v>
      </c>
      <c r="G3997" s="109">
        <v>45940</v>
      </c>
      <c r="H3997" s="108" t="s">
        <v>595</v>
      </c>
      <c r="I3997" s="108" t="s">
        <v>280</v>
      </c>
    </row>
    <row r="3998" spans="1:9">
      <c r="A3998" s="108" t="s">
        <v>87</v>
      </c>
      <c r="B3998" s="108" t="s">
        <v>20996</v>
      </c>
      <c r="C3998" s="109">
        <v>44480</v>
      </c>
      <c r="D3998" s="108" t="s">
        <v>20997</v>
      </c>
      <c r="E3998" s="108" t="s">
        <v>14605</v>
      </c>
      <c r="F3998" s="108" t="s">
        <v>15025</v>
      </c>
      <c r="G3998" s="109">
        <v>45940</v>
      </c>
      <c r="H3998" s="108" t="s">
        <v>595</v>
      </c>
      <c r="I3998" s="108" t="s">
        <v>280</v>
      </c>
    </row>
    <row r="3999" spans="1:9" ht="27.6">
      <c r="A3999" s="108" t="s">
        <v>237</v>
      </c>
      <c r="B3999" s="108" t="s">
        <v>20998</v>
      </c>
      <c r="C3999" s="109">
        <v>44617</v>
      </c>
      <c r="D3999" s="108" t="s">
        <v>20999</v>
      </c>
      <c r="E3999" s="108" t="s">
        <v>14605</v>
      </c>
      <c r="F3999" s="108" t="s">
        <v>20974</v>
      </c>
      <c r="G3999" s="109">
        <v>45712</v>
      </c>
      <c r="H3999" s="108" t="s">
        <v>595</v>
      </c>
      <c r="I3999" s="108" t="s">
        <v>280</v>
      </c>
    </row>
    <row r="4000" spans="1:9">
      <c r="A4000" s="108" t="s">
        <v>87</v>
      </c>
      <c r="B4000" s="108" t="s">
        <v>21000</v>
      </c>
      <c r="C4000" s="109">
        <v>45441</v>
      </c>
      <c r="D4000" s="108" t="s">
        <v>21001</v>
      </c>
      <c r="E4000" s="108" t="s">
        <v>14605</v>
      </c>
      <c r="F4000" s="108" t="s">
        <v>21002</v>
      </c>
      <c r="G4000" s="109">
        <v>46186</v>
      </c>
      <c r="H4000" s="108" t="s">
        <v>595</v>
      </c>
      <c r="I4000" s="108" t="s">
        <v>280</v>
      </c>
    </row>
    <row r="4001" spans="1:9">
      <c r="A4001" s="108" t="s">
        <v>87</v>
      </c>
      <c r="B4001" s="108" t="s">
        <v>21003</v>
      </c>
      <c r="C4001" s="109">
        <v>41338</v>
      </c>
      <c r="D4001" s="108" t="s">
        <v>21004</v>
      </c>
      <c r="E4001" s="108" t="s">
        <v>14605</v>
      </c>
      <c r="F4001" s="108" t="s">
        <v>20674</v>
      </c>
      <c r="G4001" s="109">
        <v>45138</v>
      </c>
      <c r="H4001" s="108" t="s">
        <v>595</v>
      </c>
      <c r="I4001" s="108" t="s">
        <v>79</v>
      </c>
    </row>
    <row r="4002" spans="1:9">
      <c r="A4002" s="108" t="s">
        <v>87</v>
      </c>
      <c r="B4002" s="108" t="s">
        <v>21005</v>
      </c>
      <c r="C4002" s="109">
        <v>42193</v>
      </c>
      <c r="D4002" s="108" t="s">
        <v>21006</v>
      </c>
      <c r="E4002" s="108" t="s">
        <v>14605</v>
      </c>
      <c r="F4002" s="108" t="s">
        <v>20674</v>
      </c>
      <c r="G4002" s="109">
        <v>46234</v>
      </c>
      <c r="H4002" s="108" t="s">
        <v>595</v>
      </c>
      <c r="I4002" s="108" t="s">
        <v>79</v>
      </c>
    </row>
    <row r="4003" spans="1:9">
      <c r="A4003" s="108" t="s">
        <v>87</v>
      </c>
      <c r="B4003" s="108" t="s">
        <v>21007</v>
      </c>
      <c r="C4003" s="109">
        <v>42724</v>
      </c>
      <c r="D4003" s="108" t="s">
        <v>21008</v>
      </c>
      <c r="E4003" s="108" t="s">
        <v>14605</v>
      </c>
      <c r="F4003" s="108" t="s">
        <v>20484</v>
      </c>
      <c r="G4003" s="109">
        <v>46054</v>
      </c>
      <c r="H4003" s="108" t="s">
        <v>595</v>
      </c>
      <c r="I4003" s="108" t="s">
        <v>79</v>
      </c>
    </row>
    <row r="4004" spans="1:9">
      <c r="A4004" s="108" t="s">
        <v>87</v>
      </c>
      <c r="B4004" s="108" t="s">
        <v>21009</v>
      </c>
      <c r="C4004" s="109">
        <v>43321</v>
      </c>
      <c r="D4004" s="108" t="s">
        <v>21010</v>
      </c>
      <c r="E4004" s="108" t="s">
        <v>14605</v>
      </c>
      <c r="F4004" s="108" t="s">
        <v>20484</v>
      </c>
      <c r="G4004" s="109">
        <v>46054</v>
      </c>
      <c r="H4004" s="108" t="s">
        <v>595</v>
      </c>
      <c r="I4004" s="108" t="s">
        <v>79</v>
      </c>
    </row>
    <row r="4005" spans="1:9">
      <c r="A4005" s="108" t="s">
        <v>237</v>
      </c>
      <c r="B4005" s="108" t="s">
        <v>21011</v>
      </c>
      <c r="C4005" s="109">
        <v>42753</v>
      </c>
      <c r="D4005" s="108" t="s">
        <v>21012</v>
      </c>
      <c r="E4005" s="108" t="s">
        <v>14605</v>
      </c>
      <c r="F4005" s="108" t="s">
        <v>16447</v>
      </c>
      <c r="G4005" s="109">
        <v>45971</v>
      </c>
      <c r="H4005" s="108" t="s">
        <v>595</v>
      </c>
      <c r="I4005" s="108" t="s">
        <v>79</v>
      </c>
    </row>
    <row r="4006" spans="1:9">
      <c r="A4006" s="108" t="s">
        <v>1465</v>
      </c>
      <c r="B4006" s="108" t="s">
        <v>21013</v>
      </c>
      <c r="C4006" s="109">
        <v>43391</v>
      </c>
      <c r="D4006" s="108" t="s">
        <v>21014</v>
      </c>
      <c r="E4006" s="108" t="s">
        <v>14605</v>
      </c>
      <c r="F4006" s="108" t="s">
        <v>21015</v>
      </c>
      <c r="G4006" s="109">
        <v>45947</v>
      </c>
      <c r="H4006" s="108" t="s">
        <v>595</v>
      </c>
      <c r="I4006" s="108" t="s">
        <v>79</v>
      </c>
    </row>
    <row r="4007" spans="1:9">
      <c r="A4007" s="108" t="s">
        <v>87</v>
      </c>
      <c r="B4007" s="108" t="s">
        <v>21016</v>
      </c>
      <c r="C4007" s="109">
        <v>44355</v>
      </c>
      <c r="D4007" s="108" t="s">
        <v>21017</v>
      </c>
      <c r="E4007" s="108" t="s">
        <v>14605</v>
      </c>
      <c r="F4007" s="108" t="s">
        <v>16447</v>
      </c>
      <c r="G4007" s="109">
        <v>45971</v>
      </c>
      <c r="H4007" s="108" t="s">
        <v>595</v>
      </c>
      <c r="I4007" s="108" t="s">
        <v>79</v>
      </c>
    </row>
    <row r="4008" spans="1:9" ht="27.6">
      <c r="A4008" s="108" t="s">
        <v>477</v>
      </c>
      <c r="B4008" s="108" t="s">
        <v>21018</v>
      </c>
      <c r="C4008" s="109">
        <v>45416</v>
      </c>
      <c r="D4008" s="108" t="s">
        <v>21019</v>
      </c>
      <c r="E4008" s="108" t="s">
        <v>14605</v>
      </c>
      <c r="F4008" s="108" t="s">
        <v>14709</v>
      </c>
      <c r="G4008" s="109">
        <v>46165</v>
      </c>
      <c r="H4008" s="108" t="s">
        <v>595</v>
      </c>
      <c r="I4008" s="108" t="s">
        <v>79</v>
      </c>
    </row>
    <row r="4009" spans="1:9">
      <c r="A4009" s="108" t="s">
        <v>237</v>
      </c>
      <c r="B4009" s="108" t="s">
        <v>21020</v>
      </c>
      <c r="C4009" s="109">
        <v>43956</v>
      </c>
      <c r="D4009" s="108" t="s">
        <v>21021</v>
      </c>
      <c r="E4009" s="108" t="s">
        <v>14605</v>
      </c>
      <c r="F4009" s="108" t="s">
        <v>20966</v>
      </c>
      <c r="G4009" s="109">
        <v>45781</v>
      </c>
      <c r="H4009" s="108" t="s">
        <v>595</v>
      </c>
      <c r="I4009" s="108" t="s">
        <v>164</v>
      </c>
    </row>
    <row r="4010" spans="1:9" ht="27.6">
      <c r="A4010" s="108" t="s">
        <v>571</v>
      </c>
      <c r="B4010" s="108" t="s">
        <v>21022</v>
      </c>
      <c r="C4010" s="109">
        <v>45436</v>
      </c>
      <c r="D4010" s="108" t="s">
        <v>21023</v>
      </c>
      <c r="E4010" s="108" t="s">
        <v>14605</v>
      </c>
      <c r="F4010" s="108" t="s">
        <v>20457</v>
      </c>
      <c r="G4010" s="109">
        <v>46062</v>
      </c>
      <c r="H4010" s="108" t="s">
        <v>595</v>
      </c>
      <c r="I4010" s="108" t="s">
        <v>164</v>
      </c>
    </row>
    <row r="4011" spans="1:9" ht="27.6">
      <c r="A4011" s="108" t="s">
        <v>199</v>
      </c>
      <c r="B4011" s="108" t="s">
        <v>21024</v>
      </c>
      <c r="C4011" s="109">
        <v>42499</v>
      </c>
      <c r="D4011" s="108" t="s">
        <v>21025</v>
      </c>
      <c r="E4011" s="108" t="s">
        <v>14605</v>
      </c>
      <c r="F4011" s="108" t="s">
        <v>21026</v>
      </c>
      <c r="G4011" s="109">
        <v>45107</v>
      </c>
      <c r="H4011" s="108" t="s">
        <v>595</v>
      </c>
      <c r="I4011" s="108" t="s">
        <v>3876</v>
      </c>
    </row>
    <row r="4012" spans="1:9">
      <c r="A4012" s="108" t="s">
        <v>227</v>
      </c>
      <c r="B4012" s="108" t="s">
        <v>21027</v>
      </c>
      <c r="C4012" s="109">
        <v>42993</v>
      </c>
      <c r="D4012" s="108" t="s">
        <v>21028</v>
      </c>
      <c r="E4012" s="108" t="s">
        <v>14605</v>
      </c>
      <c r="F4012" s="108" t="s">
        <v>21029</v>
      </c>
      <c r="G4012" s="109">
        <v>46043</v>
      </c>
      <c r="H4012" s="108" t="s">
        <v>595</v>
      </c>
      <c r="I4012" s="108" t="s">
        <v>3876</v>
      </c>
    </row>
    <row r="4013" spans="1:9" ht="27.6">
      <c r="A4013" s="108" t="s">
        <v>207</v>
      </c>
      <c r="B4013" s="108" t="s">
        <v>21030</v>
      </c>
      <c r="C4013" s="109">
        <v>42656</v>
      </c>
      <c r="D4013" s="108" t="s">
        <v>21031</v>
      </c>
      <c r="E4013" s="108" t="s">
        <v>14605</v>
      </c>
      <c r="F4013" s="108" t="s">
        <v>15819</v>
      </c>
      <c r="G4013" s="109">
        <v>46209</v>
      </c>
      <c r="H4013" s="108" t="s">
        <v>595</v>
      </c>
      <c r="I4013" s="108" t="s">
        <v>206</v>
      </c>
    </row>
    <row r="4014" spans="1:9" ht="27.6">
      <c r="A4014" s="108" t="s">
        <v>207</v>
      </c>
      <c r="B4014" s="108" t="s">
        <v>21032</v>
      </c>
      <c r="C4014" s="109">
        <v>42540</v>
      </c>
      <c r="D4014" s="108" t="s">
        <v>21033</v>
      </c>
      <c r="E4014" s="108" t="s">
        <v>14605</v>
      </c>
      <c r="F4014" s="108" t="s">
        <v>20855</v>
      </c>
      <c r="G4014" s="109">
        <v>45808</v>
      </c>
      <c r="H4014" s="108" t="s">
        <v>595</v>
      </c>
      <c r="I4014" s="108" t="s">
        <v>206</v>
      </c>
    </row>
    <row r="4015" spans="1:9" ht="27.6">
      <c r="A4015" s="108" t="s">
        <v>207</v>
      </c>
      <c r="B4015" s="108" t="s">
        <v>21034</v>
      </c>
      <c r="C4015" s="109">
        <v>41983</v>
      </c>
      <c r="D4015" s="108" t="s">
        <v>21035</v>
      </c>
      <c r="E4015" s="108" t="s">
        <v>14605</v>
      </c>
      <c r="F4015" s="108" t="s">
        <v>20739</v>
      </c>
      <c r="G4015" s="109">
        <v>45685</v>
      </c>
      <c r="H4015" s="108" t="s">
        <v>595</v>
      </c>
      <c r="I4015" s="108" t="s">
        <v>206</v>
      </c>
    </row>
    <row r="4016" spans="1:9" ht="27.6">
      <c r="A4016" s="108" t="s">
        <v>118</v>
      </c>
      <c r="B4016" s="108" t="s">
        <v>21036</v>
      </c>
      <c r="C4016" s="109">
        <v>42671</v>
      </c>
      <c r="D4016" s="108" t="s">
        <v>21037</v>
      </c>
      <c r="E4016" s="108" t="s">
        <v>14605</v>
      </c>
      <c r="F4016" s="108" t="s">
        <v>20659</v>
      </c>
      <c r="G4016" s="109">
        <v>46173</v>
      </c>
      <c r="H4016" s="108" t="s">
        <v>595</v>
      </c>
      <c r="I4016" s="108" t="s">
        <v>206</v>
      </c>
    </row>
    <row r="4017" spans="1:9">
      <c r="A4017" s="108" t="s">
        <v>118</v>
      </c>
      <c r="B4017" s="108" t="s">
        <v>21038</v>
      </c>
      <c r="C4017" s="109">
        <v>43356</v>
      </c>
      <c r="D4017" s="108" t="s">
        <v>21039</v>
      </c>
      <c r="E4017" s="108" t="s">
        <v>14605</v>
      </c>
      <c r="F4017" s="108" t="s">
        <v>20770</v>
      </c>
      <c r="G4017" s="109">
        <v>45382</v>
      </c>
      <c r="H4017" s="108" t="s">
        <v>595</v>
      </c>
      <c r="I4017" s="108" t="s">
        <v>206</v>
      </c>
    </row>
    <row r="4018" spans="1:9">
      <c r="A4018" s="108" t="s">
        <v>118</v>
      </c>
      <c r="B4018" s="108" t="s">
        <v>21040</v>
      </c>
      <c r="C4018" s="109">
        <v>44253</v>
      </c>
      <c r="D4018" s="108" t="s">
        <v>21041</v>
      </c>
      <c r="E4018" s="108" t="s">
        <v>14605</v>
      </c>
      <c r="F4018" s="108" t="s">
        <v>21042</v>
      </c>
      <c r="G4018" s="109">
        <v>45390</v>
      </c>
      <c r="H4018" s="108" t="s">
        <v>595</v>
      </c>
      <c r="I4018" s="108" t="s">
        <v>206</v>
      </c>
    </row>
    <row r="4019" spans="1:9" ht="27.6">
      <c r="A4019" s="108" t="s">
        <v>118</v>
      </c>
      <c r="B4019" s="108" t="s">
        <v>21043</v>
      </c>
      <c r="C4019" s="109">
        <v>44587</v>
      </c>
      <c r="D4019" s="108" t="s">
        <v>21044</v>
      </c>
      <c r="E4019" s="108" t="s">
        <v>14605</v>
      </c>
      <c r="F4019" s="108" t="s">
        <v>20621</v>
      </c>
      <c r="G4019" s="109">
        <v>45316</v>
      </c>
      <c r="H4019" s="108" t="s">
        <v>595</v>
      </c>
      <c r="I4019" s="108" t="s">
        <v>206</v>
      </c>
    </row>
    <row r="4020" spans="1:9">
      <c r="A4020" s="108" t="s">
        <v>118</v>
      </c>
      <c r="B4020" s="108" t="s">
        <v>21045</v>
      </c>
      <c r="C4020" s="109">
        <v>45463</v>
      </c>
      <c r="D4020" s="108" t="s">
        <v>21046</v>
      </c>
      <c r="E4020" s="108" t="s">
        <v>14605</v>
      </c>
      <c r="F4020" s="108" t="s">
        <v>20747</v>
      </c>
      <c r="G4020" s="109">
        <v>46214</v>
      </c>
      <c r="H4020" s="108" t="s">
        <v>595</v>
      </c>
      <c r="I4020" s="108" t="s">
        <v>206</v>
      </c>
    </row>
    <row r="4021" spans="1:9" ht="27.6">
      <c r="A4021" s="108" t="s">
        <v>207</v>
      </c>
      <c r="B4021" s="108" t="s">
        <v>21047</v>
      </c>
      <c r="C4021" s="109">
        <v>41004</v>
      </c>
      <c r="D4021" s="108" t="s">
        <v>21048</v>
      </c>
      <c r="E4021" s="108" t="s">
        <v>14605</v>
      </c>
      <c r="F4021" s="108" t="s">
        <v>15806</v>
      </c>
      <c r="G4021" s="109">
        <v>45626</v>
      </c>
      <c r="H4021" s="108" t="s">
        <v>595</v>
      </c>
      <c r="I4021" s="108" t="s">
        <v>117</v>
      </c>
    </row>
    <row r="4022" spans="1:9" ht="27.6">
      <c r="A4022" s="108" t="s">
        <v>207</v>
      </c>
      <c r="B4022" s="108" t="s">
        <v>21049</v>
      </c>
      <c r="C4022" s="109">
        <v>41726</v>
      </c>
      <c r="D4022" s="108" t="s">
        <v>21050</v>
      </c>
      <c r="E4022" s="108" t="s">
        <v>14605</v>
      </c>
      <c r="F4022" s="108" t="s">
        <v>15146</v>
      </c>
      <c r="G4022" s="109">
        <v>46190</v>
      </c>
      <c r="H4022" s="108" t="s">
        <v>595</v>
      </c>
      <c r="I4022" s="108" t="s">
        <v>117</v>
      </c>
    </row>
    <row r="4023" spans="1:9">
      <c r="A4023" s="108" t="s">
        <v>118</v>
      </c>
      <c r="B4023" s="108" t="s">
        <v>21051</v>
      </c>
      <c r="C4023" s="109">
        <v>42677</v>
      </c>
      <c r="D4023" s="108" t="s">
        <v>21052</v>
      </c>
      <c r="E4023" s="108" t="s">
        <v>14605</v>
      </c>
      <c r="F4023" s="108" t="s">
        <v>15323</v>
      </c>
      <c r="G4023" s="109">
        <v>45963</v>
      </c>
      <c r="H4023" s="108" t="s">
        <v>595</v>
      </c>
      <c r="I4023" s="108" t="s">
        <v>117</v>
      </c>
    </row>
    <row r="4024" spans="1:9">
      <c r="A4024" s="108" t="s">
        <v>118</v>
      </c>
      <c r="B4024" s="108" t="s">
        <v>21053</v>
      </c>
      <c r="C4024" s="109">
        <v>43633</v>
      </c>
      <c r="D4024" s="108" t="s">
        <v>21054</v>
      </c>
      <c r="E4024" s="108" t="s">
        <v>14605</v>
      </c>
      <c r="F4024" s="108" t="s">
        <v>21055</v>
      </c>
      <c r="G4024" s="109">
        <v>46202</v>
      </c>
      <c r="H4024" s="108" t="s">
        <v>595</v>
      </c>
      <c r="I4024" s="108" t="s">
        <v>117</v>
      </c>
    </row>
    <row r="4025" spans="1:9" ht="27.6">
      <c r="A4025" s="108" t="s">
        <v>118</v>
      </c>
      <c r="B4025" s="108" t="s">
        <v>21056</v>
      </c>
      <c r="C4025" s="109">
        <v>43644</v>
      </c>
      <c r="D4025" s="108" t="s">
        <v>21057</v>
      </c>
      <c r="E4025" s="108" t="s">
        <v>14605</v>
      </c>
      <c r="F4025" s="108" t="s">
        <v>21058</v>
      </c>
      <c r="G4025" s="109">
        <v>45837</v>
      </c>
      <c r="H4025" s="108" t="s">
        <v>595</v>
      </c>
      <c r="I4025" s="108" t="s">
        <v>117</v>
      </c>
    </row>
    <row r="4026" spans="1:9">
      <c r="A4026" s="108" t="s">
        <v>118</v>
      </c>
      <c r="B4026" s="108" t="s">
        <v>21059</v>
      </c>
      <c r="C4026" s="109">
        <v>44545</v>
      </c>
      <c r="D4026" s="108" t="s">
        <v>21060</v>
      </c>
      <c r="E4026" s="108" t="s">
        <v>14605</v>
      </c>
      <c r="F4026" s="108" t="s">
        <v>21061</v>
      </c>
      <c r="G4026" s="109">
        <v>46735</v>
      </c>
      <c r="H4026" s="108" t="s">
        <v>595</v>
      </c>
      <c r="I4026" s="108" t="s">
        <v>117</v>
      </c>
    </row>
    <row r="4027" spans="1:9">
      <c r="A4027" s="108" t="s">
        <v>169</v>
      </c>
      <c r="B4027" s="108" t="s">
        <v>21062</v>
      </c>
      <c r="C4027" s="109">
        <v>42328</v>
      </c>
      <c r="D4027" s="108" t="s">
        <v>21063</v>
      </c>
      <c r="E4027" s="108" t="s">
        <v>14605</v>
      </c>
      <c r="F4027" s="108" t="s">
        <v>20571</v>
      </c>
      <c r="G4027" s="109">
        <v>45388</v>
      </c>
      <c r="H4027" s="108" t="s">
        <v>595</v>
      </c>
      <c r="I4027" s="108" t="s">
        <v>3315</v>
      </c>
    </row>
    <row r="4028" spans="1:9">
      <c r="A4028" s="108" t="s">
        <v>169</v>
      </c>
      <c r="B4028" s="108" t="s">
        <v>21064</v>
      </c>
      <c r="C4028" s="109">
        <v>42074</v>
      </c>
      <c r="D4028" s="108" t="s">
        <v>21065</v>
      </c>
      <c r="E4028" s="108" t="s">
        <v>14605</v>
      </c>
      <c r="F4028" s="108" t="s">
        <v>21015</v>
      </c>
      <c r="G4028" s="109">
        <v>45947</v>
      </c>
      <c r="H4028" s="108" t="s">
        <v>595</v>
      </c>
      <c r="I4028" s="108" t="s">
        <v>721</v>
      </c>
    </row>
    <row r="4029" spans="1:9">
      <c r="A4029" s="108" t="s">
        <v>169</v>
      </c>
      <c r="B4029" s="108" t="s">
        <v>21066</v>
      </c>
      <c r="C4029" s="109">
        <v>43903</v>
      </c>
      <c r="D4029" s="108" t="s">
        <v>21067</v>
      </c>
      <c r="E4029" s="108" t="s">
        <v>14605</v>
      </c>
      <c r="F4029" s="108" t="s">
        <v>21015</v>
      </c>
      <c r="G4029" s="109">
        <v>45947</v>
      </c>
      <c r="H4029" s="108" t="s">
        <v>595</v>
      </c>
      <c r="I4029" s="108" t="s">
        <v>721</v>
      </c>
    </row>
    <row r="4030" spans="1:9">
      <c r="A4030" s="108" t="s">
        <v>169</v>
      </c>
      <c r="B4030" s="108" t="s">
        <v>21068</v>
      </c>
      <c r="C4030" s="109">
        <v>44910</v>
      </c>
      <c r="D4030" s="108" t="s">
        <v>21069</v>
      </c>
      <c r="E4030" s="108" t="s">
        <v>14605</v>
      </c>
      <c r="F4030" s="108" t="s">
        <v>21015</v>
      </c>
      <c r="G4030" s="109">
        <v>45947</v>
      </c>
      <c r="H4030" s="108" t="s">
        <v>595</v>
      </c>
      <c r="I4030" s="108" t="s">
        <v>721</v>
      </c>
    </row>
    <row r="4031" spans="1:9" ht="27.6">
      <c r="A4031" s="108" t="s">
        <v>109</v>
      </c>
      <c r="B4031" s="108" t="s">
        <v>21070</v>
      </c>
      <c r="C4031" s="109">
        <v>44195</v>
      </c>
      <c r="D4031" s="108" t="s">
        <v>21071</v>
      </c>
      <c r="E4031" s="108" t="s">
        <v>14605</v>
      </c>
      <c r="F4031" s="108" t="s">
        <v>21072</v>
      </c>
      <c r="G4031" s="109">
        <v>46020</v>
      </c>
      <c r="H4031" s="108" t="s">
        <v>595</v>
      </c>
      <c r="I4031" s="108" t="s">
        <v>133</v>
      </c>
    </row>
    <row r="4032" spans="1:9" ht="27.6">
      <c r="A4032" s="108" t="s">
        <v>109</v>
      </c>
      <c r="B4032" s="108" t="s">
        <v>21073</v>
      </c>
      <c r="C4032" s="109">
        <v>44209</v>
      </c>
      <c r="D4032" s="108" t="s">
        <v>21074</v>
      </c>
      <c r="E4032" s="108" t="s">
        <v>14605</v>
      </c>
      <c r="F4032" s="108" t="s">
        <v>15772</v>
      </c>
      <c r="G4032" s="109">
        <v>46034</v>
      </c>
      <c r="H4032" s="108" t="s">
        <v>595</v>
      </c>
      <c r="I4032" s="108" t="s">
        <v>133</v>
      </c>
    </row>
    <row r="4033" spans="1:9" ht="27.6">
      <c r="A4033" s="108" t="s">
        <v>109</v>
      </c>
      <c r="B4033" s="108" t="s">
        <v>21075</v>
      </c>
      <c r="C4033" s="109">
        <v>44574</v>
      </c>
      <c r="D4033" s="108" t="s">
        <v>21076</v>
      </c>
      <c r="E4033" s="108" t="s">
        <v>14605</v>
      </c>
      <c r="F4033" s="108" t="s">
        <v>20655</v>
      </c>
      <c r="G4033" s="109">
        <v>46771</v>
      </c>
      <c r="H4033" s="108" t="s">
        <v>595</v>
      </c>
      <c r="I4033" s="108" t="s">
        <v>133</v>
      </c>
    </row>
    <row r="4034" spans="1:9" ht="27.6">
      <c r="A4034" s="108" t="s">
        <v>109</v>
      </c>
      <c r="B4034" s="108" t="s">
        <v>21077</v>
      </c>
      <c r="C4034" s="109">
        <v>44890</v>
      </c>
      <c r="D4034" s="108" t="s">
        <v>21078</v>
      </c>
      <c r="E4034" s="108" t="s">
        <v>14605</v>
      </c>
      <c r="F4034" s="108" t="s">
        <v>20692</v>
      </c>
      <c r="G4034" s="109">
        <v>46004</v>
      </c>
      <c r="H4034" s="108" t="s">
        <v>595</v>
      </c>
      <c r="I4034" s="108" t="s">
        <v>133</v>
      </c>
    </row>
    <row r="4035" spans="1:9" ht="27.6">
      <c r="A4035" s="108" t="s">
        <v>96</v>
      </c>
      <c r="B4035" s="108" t="s">
        <v>21079</v>
      </c>
      <c r="C4035" s="109">
        <v>43684</v>
      </c>
      <c r="D4035" s="108" t="s">
        <v>21080</v>
      </c>
      <c r="E4035" s="108" t="s">
        <v>14605</v>
      </c>
      <c r="F4035" s="108" t="s">
        <v>15146</v>
      </c>
      <c r="G4035" s="109">
        <v>46240</v>
      </c>
      <c r="H4035" s="108" t="s">
        <v>595</v>
      </c>
      <c r="I4035" s="108" t="s">
        <v>133</v>
      </c>
    </row>
    <row r="4036" spans="1:9" ht="27.6">
      <c r="A4036" s="108" t="s">
        <v>103</v>
      </c>
      <c r="B4036" s="108" t="s">
        <v>21081</v>
      </c>
      <c r="C4036" s="109">
        <v>43810</v>
      </c>
      <c r="D4036" s="108" t="s">
        <v>21082</v>
      </c>
      <c r="E4036" s="108" t="s">
        <v>14605</v>
      </c>
      <c r="F4036" s="108" t="s">
        <v>15384</v>
      </c>
      <c r="G4036" s="109">
        <v>46691</v>
      </c>
      <c r="H4036" s="108" t="s">
        <v>595</v>
      </c>
      <c r="I4036" s="108" t="s">
        <v>133</v>
      </c>
    </row>
    <row r="4037" spans="1:9">
      <c r="A4037" s="108" t="s">
        <v>16151</v>
      </c>
      <c r="B4037" s="108" t="s">
        <v>21083</v>
      </c>
      <c r="C4037" s="109">
        <v>43938</v>
      </c>
      <c r="D4037" s="108" t="s">
        <v>21084</v>
      </c>
      <c r="E4037" s="108" t="s">
        <v>14605</v>
      </c>
      <c r="F4037" s="108" t="s">
        <v>16639</v>
      </c>
      <c r="G4037" s="109">
        <v>46128</v>
      </c>
      <c r="H4037" s="108" t="s">
        <v>595</v>
      </c>
      <c r="I4037" s="108" t="s">
        <v>133</v>
      </c>
    </row>
    <row r="4038" spans="1:9" ht="27.6">
      <c r="A4038" s="108" t="s">
        <v>103</v>
      </c>
      <c r="B4038" s="108" t="s">
        <v>21085</v>
      </c>
      <c r="C4038" s="109">
        <v>44042</v>
      </c>
      <c r="D4038" s="108" t="s">
        <v>21086</v>
      </c>
      <c r="E4038" s="108" t="s">
        <v>14605</v>
      </c>
      <c r="F4038" s="108" t="s">
        <v>20770</v>
      </c>
      <c r="G4038" s="109">
        <v>45687</v>
      </c>
      <c r="H4038" s="108" t="s">
        <v>595</v>
      </c>
      <c r="I4038" s="108" t="s">
        <v>133</v>
      </c>
    </row>
    <row r="4039" spans="1:9" ht="27.6">
      <c r="A4039" s="108" t="s">
        <v>96</v>
      </c>
      <c r="B4039" s="108" t="s">
        <v>21087</v>
      </c>
      <c r="C4039" s="109">
        <v>44355</v>
      </c>
      <c r="D4039" s="108" t="s">
        <v>21088</v>
      </c>
      <c r="E4039" s="108" t="s">
        <v>14605</v>
      </c>
      <c r="F4039" s="108" t="s">
        <v>21089</v>
      </c>
      <c r="G4039" s="109">
        <v>46199</v>
      </c>
      <c r="H4039" s="108" t="s">
        <v>595</v>
      </c>
      <c r="I4039" s="108" t="s">
        <v>133</v>
      </c>
    </row>
    <row r="4040" spans="1:9" ht="27.6">
      <c r="A4040" s="108" t="s">
        <v>15990</v>
      </c>
      <c r="B4040" s="108" t="s">
        <v>21090</v>
      </c>
      <c r="C4040" s="109">
        <v>44547</v>
      </c>
      <c r="D4040" s="108" t="s">
        <v>21091</v>
      </c>
      <c r="E4040" s="108" t="s">
        <v>14605</v>
      </c>
      <c r="F4040" s="108" t="s">
        <v>15998</v>
      </c>
      <c r="G4040" s="109">
        <v>46034</v>
      </c>
      <c r="H4040" s="108" t="s">
        <v>595</v>
      </c>
      <c r="I4040" s="108" t="s">
        <v>133</v>
      </c>
    </row>
    <row r="4041" spans="1:9" ht="27.6">
      <c r="A4041" s="108" t="s">
        <v>15990</v>
      </c>
      <c r="B4041" s="108" t="s">
        <v>21092</v>
      </c>
      <c r="C4041" s="109">
        <v>44896</v>
      </c>
      <c r="D4041" s="108" t="s">
        <v>21093</v>
      </c>
      <c r="E4041" s="108" t="s">
        <v>14605</v>
      </c>
      <c r="F4041" s="108" t="s">
        <v>20621</v>
      </c>
      <c r="G4041" s="109">
        <v>45896</v>
      </c>
      <c r="H4041" s="108" t="s">
        <v>595</v>
      </c>
      <c r="I4041" s="108" t="s">
        <v>133</v>
      </c>
    </row>
    <row r="4042" spans="1:9">
      <c r="A4042" s="108" t="s">
        <v>15990</v>
      </c>
      <c r="B4042" s="108" t="s">
        <v>21094</v>
      </c>
      <c r="C4042" s="109">
        <v>44764</v>
      </c>
      <c r="D4042" s="108" t="s">
        <v>21095</v>
      </c>
      <c r="E4042" s="108" t="s">
        <v>14605</v>
      </c>
      <c r="F4042" s="108" t="s">
        <v>20763</v>
      </c>
      <c r="G4042" s="109">
        <v>45961</v>
      </c>
      <c r="H4042" s="108" t="s">
        <v>20617</v>
      </c>
      <c r="I4042" s="108" t="s">
        <v>133</v>
      </c>
    </row>
    <row r="4043" spans="1:9">
      <c r="A4043" s="108" t="s">
        <v>16151</v>
      </c>
      <c r="B4043" s="108" t="s">
        <v>21096</v>
      </c>
      <c r="C4043" s="109">
        <v>43817</v>
      </c>
      <c r="D4043" s="108" t="s">
        <v>21097</v>
      </c>
      <c r="E4043" s="108" t="s">
        <v>14605</v>
      </c>
      <c r="F4043" s="108" t="s">
        <v>16685</v>
      </c>
      <c r="G4043" s="109">
        <v>46008</v>
      </c>
      <c r="H4043" s="108" t="s">
        <v>595</v>
      </c>
      <c r="I4043" s="108" t="s">
        <v>133</v>
      </c>
    </row>
    <row r="4044" spans="1:9" ht="27.6">
      <c r="A4044" s="108" t="s">
        <v>16151</v>
      </c>
      <c r="B4044" s="108" t="s">
        <v>21098</v>
      </c>
      <c r="C4044" s="109">
        <v>43816</v>
      </c>
      <c r="D4044" s="108" t="s">
        <v>21099</v>
      </c>
      <c r="E4044" s="108" t="s">
        <v>14605</v>
      </c>
      <c r="F4044" s="108" t="s">
        <v>15819</v>
      </c>
      <c r="G4044" s="109">
        <v>46209</v>
      </c>
      <c r="H4044" s="108" t="s">
        <v>595</v>
      </c>
      <c r="I4044" s="108" t="s">
        <v>133</v>
      </c>
    </row>
    <row r="4045" spans="1:9">
      <c r="A4045" s="108" t="s">
        <v>16151</v>
      </c>
      <c r="B4045" s="108" t="s">
        <v>21100</v>
      </c>
      <c r="C4045" s="109">
        <v>43943</v>
      </c>
      <c r="D4045" s="108" t="s">
        <v>21101</v>
      </c>
      <c r="E4045" s="108" t="s">
        <v>14605</v>
      </c>
      <c r="F4045" s="108" t="s">
        <v>15384</v>
      </c>
      <c r="G4045" s="109">
        <v>46691</v>
      </c>
      <c r="H4045" s="108" t="s">
        <v>595</v>
      </c>
      <c r="I4045" s="108" t="s">
        <v>133</v>
      </c>
    </row>
    <row r="4046" spans="1:9" ht="27.6">
      <c r="A4046" s="108" t="s">
        <v>16151</v>
      </c>
      <c r="B4046" s="108" t="s">
        <v>21102</v>
      </c>
      <c r="C4046" s="109">
        <v>44279</v>
      </c>
      <c r="D4046" s="108" t="s">
        <v>21103</v>
      </c>
      <c r="E4046" s="108" t="s">
        <v>14605</v>
      </c>
      <c r="F4046" s="108" t="s">
        <v>15998</v>
      </c>
      <c r="G4046" s="109">
        <v>45739</v>
      </c>
      <c r="H4046" s="108" t="s">
        <v>595</v>
      </c>
      <c r="I4046" s="108" t="s">
        <v>133</v>
      </c>
    </row>
    <row r="4047" spans="1:9" ht="27.6">
      <c r="A4047" s="108" t="s">
        <v>16151</v>
      </c>
      <c r="B4047" s="108" t="s">
        <v>21104</v>
      </c>
      <c r="C4047" s="109">
        <v>44181</v>
      </c>
      <c r="D4047" s="108" t="s">
        <v>21105</v>
      </c>
      <c r="E4047" s="108" t="s">
        <v>14605</v>
      </c>
      <c r="F4047" s="108" t="s">
        <v>20652</v>
      </c>
      <c r="G4047" s="109">
        <v>45739</v>
      </c>
      <c r="H4047" s="108" t="s">
        <v>595</v>
      </c>
      <c r="I4047" s="108" t="s">
        <v>133</v>
      </c>
    </row>
    <row r="4048" spans="1:9" ht="27.6">
      <c r="A4048" s="108" t="s">
        <v>16151</v>
      </c>
      <c r="B4048" s="108" t="s">
        <v>21106</v>
      </c>
      <c r="C4048" s="109">
        <v>44243</v>
      </c>
      <c r="D4048" s="108" t="s">
        <v>21107</v>
      </c>
      <c r="E4048" s="108" t="s">
        <v>14605</v>
      </c>
      <c r="F4048" s="108" t="s">
        <v>14974</v>
      </c>
      <c r="G4048" s="109">
        <v>46073</v>
      </c>
      <c r="H4048" s="108" t="s">
        <v>595</v>
      </c>
      <c r="I4048" s="108" t="s">
        <v>133</v>
      </c>
    </row>
    <row r="4049" spans="1:9">
      <c r="A4049" s="108" t="s">
        <v>16151</v>
      </c>
      <c r="B4049" s="108" t="s">
        <v>21108</v>
      </c>
      <c r="C4049" s="109">
        <v>44405</v>
      </c>
      <c r="D4049" s="108" t="s">
        <v>21109</v>
      </c>
      <c r="E4049" s="108" t="s">
        <v>14605</v>
      </c>
      <c r="F4049" s="108" t="s">
        <v>21110</v>
      </c>
      <c r="G4049" s="109">
        <v>46955</v>
      </c>
      <c r="H4049" s="108" t="s">
        <v>595</v>
      </c>
      <c r="I4049" s="108" t="s">
        <v>133</v>
      </c>
    </row>
    <row r="4050" spans="1:9" ht="27.6">
      <c r="A4050" s="108" t="s">
        <v>16151</v>
      </c>
      <c r="B4050" s="108" t="s">
        <v>21111</v>
      </c>
      <c r="C4050" s="109">
        <v>44343</v>
      </c>
      <c r="D4050" s="108" t="s">
        <v>21112</v>
      </c>
      <c r="E4050" s="108" t="s">
        <v>14605</v>
      </c>
      <c r="F4050" s="108" t="s">
        <v>20671</v>
      </c>
      <c r="G4050" s="109">
        <v>46985</v>
      </c>
      <c r="H4050" s="108" t="s">
        <v>595</v>
      </c>
      <c r="I4050" s="108" t="s">
        <v>133</v>
      </c>
    </row>
    <row r="4051" spans="1:9">
      <c r="A4051" s="108" t="s">
        <v>16151</v>
      </c>
      <c r="B4051" s="108" t="s">
        <v>21113</v>
      </c>
      <c r="C4051" s="109">
        <v>44524</v>
      </c>
      <c r="D4051" s="108" t="s">
        <v>21114</v>
      </c>
      <c r="E4051" s="108" t="s">
        <v>14605</v>
      </c>
      <c r="F4051" s="108" t="s">
        <v>21115</v>
      </c>
      <c r="G4051" s="109">
        <v>46002</v>
      </c>
      <c r="H4051" s="108" t="s">
        <v>595</v>
      </c>
      <c r="I4051" s="108" t="s">
        <v>133</v>
      </c>
    </row>
    <row r="4052" spans="1:9">
      <c r="A4052" s="108" t="s">
        <v>16151</v>
      </c>
      <c r="B4052" s="108" t="s">
        <v>21116</v>
      </c>
      <c r="C4052" s="109">
        <v>44701</v>
      </c>
      <c r="D4052" s="108" t="s">
        <v>21117</v>
      </c>
      <c r="E4052" s="108" t="s">
        <v>14605</v>
      </c>
      <c r="F4052" s="108" t="s">
        <v>20657</v>
      </c>
      <c r="G4052" s="109">
        <v>46139</v>
      </c>
      <c r="H4052" s="108" t="s">
        <v>595</v>
      </c>
      <c r="I4052" s="108" t="s">
        <v>133</v>
      </c>
    </row>
    <row r="4053" spans="1:9" ht="27.6">
      <c r="A4053" s="108" t="s">
        <v>16151</v>
      </c>
      <c r="B4053" s="108" t="s">
        <v>21118</v>
      </c>
      <c r="C4053" s="109">
        <v>44658</v>
      </c>
      <c r="D4053" s="108" t="s">
        <v>21119</v>
      </c>
      <c r="E4053" s="108" t="s">
        <v>14605</v>
      </c>
      <c r="F4053" s="108" t="s">
        <v>20646</v>
      </c>
      <c r="G4053" s="109">
        <v>46203</v>
      </c>
      <c r="H4053" s="108" t="s">
        <v>595</v>
      </c>
      <c r="I4053" s="108" t="s">
        <v>133</v>
      </c>
    </row>
    <row r="4054" spans="1:9" ht="27.6">
      <c r="A4054" s="108" t="s">
        <v>103</v>
      </c>
      <c r="B4054" s="108" t="s">
        <v>21120</v>
      </c>
      <c r="C4054" s="109">
        <v>44917</v>
      </c>
      <c r="D4054" s="108" t="s">
        <v>21121</v>
      </c>
      <c r="E4054" s="108" t="s">
        <v>14605</v>
      </c>
      <c r="F4054" s="108" t="s">
        <v>20665</v>
      </c>
      <c r="G4054" s="109">
        <v>46018</v>
      </c>
      <c r="H4054" s="108" t="s">
        <v>595</v>
      </c>
      <c r="I4054" s="108" t="s">
        <v>133</v>
      </c>
    </row>
    <row r="4055" spans="1:9" ht="27.6">
      <c r="A4055" s="108" t="s">
        <v>103</v>
      </c>
      <c r="B4055" s="108" t="s">
        <v>21122</v>
      </c>
      <c r="C4055" s="109">
        <v>45268</v>
      </c>
      <c r="D4055" s="108" t="s">
        <v>21123</v>
      </c>
      <c r="E4055" s="108" t="s">
        <v>14605</v>
      </c>
      <c r="F4055" s="108" t="s">
        <v>15384</v>
      </c>
      <c r="G4055" s="109">
        <v>46691</v>
      </c>
      <c r="H4055" s="108" t="s">
        <v>595</v>
      </c>
      <c r="I4055" s="108" t="s">
        <v>133</v>
      </c>
    </row>
    <row r="4056" spans="1:9">
      <c r="A4056" s="108" t="s">
        <v>8271</v>
      </c>
      <c r="B4056" s="108" t="s">
        <v>21124</v>
      </c>
      <c r="C4056" s="109">
        <v>44176</v>
      </c>
      <c r="D4056" s="108" t="s">
        <v>21125</v>
      </c>
      <c r="E4056" s="108" t="s">
        <v>14605</v>
      </c>
      <c r="F4056" s="108" t="s">
        <v>15761</v>
      </c>
      <c r="G4056" s="109">
        <v>44540</v>
      </c>
      <c r="H4056" s="108" t="s">
        <v>595</v>
      </c>
      <c r="I4056" s="108" t="s">
        <v>108</v>
      </c>
    </row>
    <row r="4057" spans="1:9" ht="27.6">
      <c r="A4057" s="108" t="s">
        <v>14950</v>
      </c>
      <c r="B4057" s="108" t="s">
        <v>21126</v>
      </c>
      <c r="C4057" s="109">
        <v>44062</v>
      </c>
      <c r="D4057" s="108" t="s">
        <v>21127</v>
      </c>
      <c r="E4057" s="108" t="s">
        <v>14605</v>
      </c>
      <c r="F4057" s="108" t="s">
        <v>20732</v>
      </c>
      <c r="G4057" s="109">
        <v>44425</v>
      </c>
      <c r="H4057" s="108" t="s">
        <v>595</v>
      </c>
      <c r="I4057" s="108" t="s">
        <v>108</v>
      </c>
    </row>
    <row r="4058" spans="1:9" ht="27.6">
      <c r="A4058" s="108" t="s">
        <v>14950</v>
      </c>
      <c r="B4058" s="108" t="s">
        <v>21128</v>
      </c>
      <c r="C4058" s="109">
        <v>44063</v>
      </c>
      <c r="D4058" s="108" t="s">
        <v>21129</v>
      </c>
      <c r="E4058" s="108" t="s">
        <v>14605</v>
      </c>
      <c r="F4058" s="108" t="s">
        <v>20732</v>
      </c>
      <c r="G4058" s="109">
        <v>44431</v>
      </c>
      <c r="H4058" s="108" t="s">
        <v>595</v>
      </c>
      <c r="I4058" s="108" t="s">
        <v>108</v>
      </c>
    </row>
    <row r="4059" spans="1:9" ht="27.6">
      <c r="A4059" s="108" t="s">
        <v>14950</v>
      </c>
      <c r="B4059" s="108" t="s">
        <v>21130</v>
      </c>
      <c r="C4059" s="109">
        <v>44110</v>
      </c>
      <c r="D4059" s="108" t="s">
        <v>21131</v>
      </c>
      <c r="E4059" s="108" t="s">
        <v>14605</v>
      </c>
      <c r="F4059" s="108" t="s">
        <v>20848</v>
      </c>
      <c r="G4059" s="109">
        <v>44480</v>
      </c>
      <c r="H4059" s="108" t="s">
        <v>595</v>
      </c>
      <c r="I4059" s="108" t="s">
        <v>108</v>
      </c>
    </row>
    <row r="4060" spans="1:9" ht="27.6">
      <c r="A4060" s="108" t="s">
        <v>14950</v>
      </c>
      <c r="B4060" s="108" t="s">
        <v>21132</v>
      </c>
      <c r="C4060" s="109">
        <v>44279</v>
      </c>
      <c r="D4060" s="108" t="s">
        <v>21133</v>
      </c>
      <c r="E4060" s="108" t="s">
        <v>14605</v>
      </c>
      <c r="F4060" s="108" t="s">
        <v>15998</v>
      </c>
      <c r="G4060" s="109">
        <v>44643</v>
      </c>
      <c r="H4060" s="108" t="s">
        <v>595</v>
      </c>
      <c r="I4060" s="108" t="s">
        <v>108</v>
      </c>
    </row>
    <row r="4061" spans="1:9" ht="27.6">
      <c r="A4061" s="108" t="s">
        <v>14950</v>
      </c>
      <c r="B4061" s="108" t="s">
        <v>21134</v>
      </c>
      <c r="C4061" s="109">
        <v>44168</v>
      </c>
      <c r="D4061" s="108" t="s">
        <v>21135</v>
      </c>
      <c r="E4061" s="108" t="s">
        <v>14605</v>
      </c>
      <c r="F4061" s="108" t="s">
        <v>20836</v>
      </c>
      <c r="G4061" s="109">
        <v>44532</v>
      </c>
      <c r="H4061" s="108" t="s">
        <v>595</v>
      </c>
      <c r="I4061" s="108" t="s">
        <v>108</v>
      </c>
    </row>
    <row r="4062" spans="1:9" ht="27.6">
      <c r="A4062" s="108" t="s">
        <v>14950</v>
      </c>
      <c r="B4062" s="108" t="s">
        <v>21136</v>
      </c>
      <c r="C4062" s="109">
        <v>44195</v>
      </c>
      <c r="D4062" s="108" t="s">
        <v>21137</v>
      </c>
      <c r="E4062" s="108" t="s">
        <v>14605</v>
      </c>
      <c r="F4062" s="108" t="s">
        <v>21072</v>
      </c>
      <c r="G4062" s="109">
        <v>44559</v>
      </c>
      <c r="H4062" s="108" t="s">
        <v>595</v>
      </c>
      <c r="I4062" s="108" t="s">
        <v>108</v>
      </c>
    </row>
    <row r="4063" spans="1:9" ht="27.6">
      <c r="A4063" s="108" t="s">
        <v>14950</v>
      </c>
      <c r="B4063" s="108" t="s">
        <v>21138</v>
      </c>
      <c r="C4063" s="109">
        <v>44243</v>
      </c>
      <c r="D4063" s="108" t="s">
        <v>21139</v>
      </c>
      <c r="E4063" s="108" t="s">
        <v>14605</v>
      </c>
      <c r="F4063" s="108" t="s">
        <v>20641</v>
      </c>
      <c r="G4063" s="109">
        <v>44636</v>
      </c>
      <c r="H4063" s="108" t="s">
        <v>595</v>
      </c>
      <c r="I4063" s="108" t="s">
        <v>108</v>
      </c>
    </row>
    <row r="4064" spans="1:9" ht="27.6">
      <c r="A4064" s="108" t="s">
        <v>14950</v>
      </c>
      <c r="B4064" s="108" t="s">
        <v>21140</v>
      </c>
      <c r="C4064" s="109">
        <v>44364</v>
      </c>
      <c r="D4064" s="108" t="s">
        <v>21141</v>
      </c>
      <c r="E4064" s="108" t="s">
        <v>14605</v>
      </c>
      <c r="F4064" s="108" t="s">
        <v>20770</v>
      </c>
      <c r="G4064" s="109">
        <v>44675</v>
      </c>
      <c r="H4064" s="108" t="s">
        <v>595</v>
      </c>
      <c r="I4064" s="108" t="s">
        <v>108</v>
      </c>
    </row>
    <row r="4065" spans="1:9" ht="27.6">
      <c r="A4065" s="108" t="s">
        <v>14950</v>
      </c>
      <c r="B4065" s="108" t="s">
        <v>21142</v>
      </c>
      <c r="C4065" s="109">
        <v>44405</v>
      </c>
      <c r="D4065" s="108" t="s">
        <v>21143</v>
      </c>
      <c r="E4065" s="108" t="s">
        <v>14605</v>
      </c>
      <c r="F4065" s="108" t="s">
        <v>21110</v>
      </c>
      <c r="G4065" s="109">
        <v>46955</v>
      </c>
      <c r="H4065" s="108" t="s">
        <v>595</v>
      </c>
      <c r="I4065" s="108" t="s">
        <v>108</v>
      </c>
    </row>
    <row r="4066" spans="1:9" ht="27.6">
      <c r="A4066" s="108" t="s">
        <v>14950</v>
      </c>
      <c r="B4066" s="108" t="s">
        <v>21144</v>
      </c>
      <c r="C4066" s="109">
        <v>44448</v>
      </c>
      <c r="D4066" s="108" t="s">
        <v>21145</v>
      </c>
      <c r="E4066" s="108" t="s">
        <v>14605</v>
      </c>
      <c r="F4066" s="108" t="s">
        <v>20491</v>
      </c>
      <c r="G4066" s="109">
        <v>44820</v>
      </c>
      <c r="H4066" s="108" t="s">
        <v>595</v>
      </c>
      <c r="I4066" s="108" t="s">
        <v>108</v>
      </c>
    </row>
    <row r="4067" spans="1:9" ht="27.6">
      <c r="A4067" s="108" t="s">
        <v>15075</v>
      </c>
      <c r="B4067" s="108" t="s">
        <v>21146</v>
      </c>
      <c r="C4067" s="109">
        <v>44476</v>
      </c>
      <c r="D4067" s="108" t="s">
        <v>21147</v>
      </c>
      <c r="E4067" s="108" t="s">
        <v>14605</v>
      </c>
      <c r="F4067" s="108" t="s">
        <v>20928</v>
      </c>
      <c r="G4067" s="109">
        <v>44801</v>
      </c>
      <c r="H4067" s="108" t="s">
        <v>595</v>
      </c>
      <c r="I4067" s="108" t="s">
        <v>108</v>
      </c>
    </row>
    <row r="4068" spans="1:9" ht="27.6">
      <c r="A4068" s="108" t="s">
        <v>207</v>
      </c>
      <c r="B4068" s="108" t="s">
        <v>21148</v>
      </c>
      <c r="C4068" s="109">
        <v>45575</v>
      </c>
      <c r="D4068" s="108" t="s">
        <v>21149</v>
      </c>
      <c r="E4068" s="108" t="s">
        <v>14605</v>
      </c>
      <c r="F4068" s="108" t="s">
        <v>20659</v>
      </c>
      <c r="G4068" s="109">
        <v>45917</v>
      </c>
      <c r="H4068" s="108" t="s">
        <v>595</v>
      </c>
      <c r="I4068" s="108" t="s">
        <v>108</v>
      </c>
    </row>
    <row r="4069" spans="1:9">
      <c r="A4069" s="108" t="s">
        <v>169</v>
      </c>
      <c r="B4069" s="108" t="s">
        <v>21150</v>
      </c>
      <c r="C4069" s="109">
        <v>45058</v>
      </c>
      <c r="D4069" s="108" t="s">
        <v>21151</v>
      </c>
      <c r="E4069" s="108" t="s">
        <v>14605</v>
      </c>
      <c r="F4069" s="108" t="s">
        <v>21152</v>
      </c>
      <c r="G4069" s="109">
        <v>45423</v>
      </c>
      <c r="H4069" s="108" t="s">
        <v>595</v>
      </c>
      <c r="I4069" s="108" t="s">
        <v>108</v>
      </c>
    </row>
    <row r="4070" spans="1:9">
      <c r="A4070" s="108" t="s">
        <v>169</v>
      </c>
      <c r="B4070" s="108" t="s">
        <v>21153</v>
      </c>
      <c r="C4070" s="109">
        <v>45069</v>
      </c>
      <c r="D4070" s="108" t="s">
        <v>21154</v>
      </c>
      <c r="E4070" s="108" t="s">
        <v>14605</v>
      </c>
      <c r="F4070" s="108" t="s">
        <v>15403</v>
      </c>
      <c r="G4070" s="109">
        <v>45434</v>
      </c>
      <c r="H4070" s="108" t="s">
        <v>595</v>
      </c>
      <c r="I4070" s="108" t="s">
        <v>108</v>
      </c>
    </row>
    <row r="4071" spans="1:9" ht="27.6">
      <c r="A4071" s="108" t="s">
        <v>169</v>
      </c>
      <c r="B4071" s="108" t="s">
        <v>21155</v>
      </c>
      <c r="C4071" s="109">
        <v>45093</v>
      </c>
      <c r="D4071" s="108" t="s">
        <v>21156</v>
      </c>
      <c r="E4071" s="108" t="s">
        <v>14605</v>
      </c>
      <c r="F4071" s="108" t="s">
        <v>21157</v>
      </c>
      <c r="G4071" s="109">
        <v>45458</v>
      </c>
      <c r="H4071" s="108" t="s">
        <v>595</v>
      </c>
      <c r="I4071" s="108" t="s">
        <v>108</v>
      </c>
    </row>
    <row r="4072" spans="1:9" ht="27.6">
      <c r="A4072" s="108" t="s">
        <v>109</v>
      </c>
      <c r="B4072" s="108" t="s">
        <v>21158</v>
      </c>
      <c r="C4072" s="109">
        <v>43798</v>
      </c>
      <c r="D4072" s="108" t="s">
        <v>21159</v>
      </c>
      <c r="E4072" s="108" t="s">
        <v>14605</v>
      </c>
      <c r="F4072" s="108" t="s">
        <v>21160</v>
      </c>
      <c r="G4072" s="109">
        <v>44133</v>
      </c>
      <c r="H4072" s="108" t="s">
        <v>595</v>
      </c>
      <c r="I4072" s="108" t="s">
        <v>108</v>
      </c>
    </row>
    <row r="4073" spans="1:9">
      <c r="A4073" s="108" t="s">
        <v>16986</v>
      </c>
      <c r="B4073" s="108" t="s">
        <v>21161</v>
      </c>
      <c r="C4073" s="109">
        <v>44243</v>
      </c>
      <c r="D4073" s="108" t="s">
        <v>21162</v>
      </c>
      <c r="E4073" s="108" t="s">
        <v>14605</v>
      </c>
      <c r="F4073" s="108" t="s">
        <v>20641</v>
      </c>
      <c r="G4073" s="109">
        <v>44697</v>
      </c>
      <c r="H4073" s="108" t="s">
        <v>595</v>
      </c>
      <c r="I4073" s="108" t="s">
        <v>108</v>
      </c>
    </row>
    <row r="4074" spans="1:9">
      <c r="A4074" s="108" t="s">
        <v>16986</v>
      </c>
      <c r="B4074" s="108" t="s">
        <v>21163</v>
      </c>
      <c r="C4074" s="109">
        <v>44622</v>
      </c>
      <c r="D4074" s="108" t="s">
        <v>21164</v>
      </c>
      <c r="E4074" s="108" t="s">
        <v>14605</v>
      </c>
      <c r="F4074" s="108" t="s">
        <v>21165</v>
      </c>
      <c r="G4074" s="109">
        <v>45005</v>
      </c>
      <c r="H4074" s="108" t="s">
        <v>595</v>
      </c>
      <c r="I4074" s="108" t="s">
        <v>108</v>
      </c>
    </row>
    <row r="4075" spans="1:9" ht="27.6">
      <c r="A4075" s="108" t="s">
        <v>109</v>
      </c>
      <c r="B4075" s="108" t="s">
        <v>21166</v>
      </c>
      <c r="C4075" s="109">
        <v>44559</v>
      </c>
      <c r="D4075" s="108" t="s">
        <v>21167</v>
      </c>
      <c r="E4075" s="108" t="s">
        <v>14605</v>
      </c>
      <c r="F4075" s="108" t="s">
        <v>20442</v>
      </c>
      <c r="G4075" s="109">
        <v>44916</v>
      </c>
      <c r="H4075" s="108" t="s">
        <v>595</v>
      </c>
      <c r="I4075" s="108" t="s">
        <v>108</v>
      </c>
    </row>
    <row r="4076" spans="1:9" ht="27.6">
      <c r="A4076" s="108" t="s">
        <v>109</v>
      </c>
      <c r="B4076" s="108" t="s">
        <v>21168</v>
      </c>
      <c r="C4076" s="109">
        <v>44552</v>
      </c>
      <c r="D4076" s="108" t="s">
        <v>21169</v>
      </c>
      <c r="E4076" s="108" t="s">
        <v>14605</v>
      </c>
      <c r="F4076" s="108" t="s">
        <v>21170</v>
      </c>
      <c r="G4076" s="109">
        <v>44928</v>
      </c>
      <c r="H4076" s="108" t="s">
        <v>595</v>
      </c>
      <c r="I4076" s="108" t="s">
        <v>108</v>
      </c>
    </row>
    <row r="4077" spans="1:9" ht="27.6">
      <c r="A4077" s="108" t="s">
        <v>109</v>
      </c>
      <c r="B4077" s="108" t="s">
        <v>21171</v>
      </c>
      <c r="C4077" s="109">
        <v>44572</v>
      </c>
      <c r="D4077" s="108" t="s">
        <v>21172</v>
      </c>
      <c r="E4077" s="108" t="s">
        <v>14605</v>
      </c>
      <c r="F4077" s="108" t="s">
        <v>14748</v>
      </c>
      <c r="G4077" s="109">
        <v>44945</v>
      </c>
      <c r="H4077" s="108" t="s">
        <v>595</v>
      </c>
      <c r="I4077" s="108" t="s">
        <v>108</v>
      </c>
    </row>
    <row r="4078" spans="1:9" ht="27.6">
      <c r="A4078" s="108" t="s">
        <v>250</v>
      </c>
      <c r="B4078" s="108" t="s">
        <v>21173</v>
      </c>
      <c r="C4078" s="109">
        <v>44994</v>
      </c>
      <c r="D4078" s="108" t="s">
        <v>21174</v>
      </c>
      <c r="E4078" s="108" t="s">
        <v>14605</v>
      </c>
      <c r="F4078" s="108" t="s">
        <v>21175</v>
      </c>
      <c r="G4078" s="109">
        <v>45302</v>
      </c>
      <c r="H4078" s="108" t="s">
        <v>595</v>
      </c>
      <c r="I4078" s="108" t="s">
        <v>108</v>
      </c>
    </row>
    <row r="4079" spans="1:9" ht="27.6">
      <c r="A4079" s="108" t="s">
        <v>109</v>
      </c>
      <c r="B4079" s="108" t="s">
        <v>21176</v>
      </c>
      <c r="C4079" s="109">
        <v>45211</v>
      </c>
      <c r="D4079" s="108" t="s">
        <v>21177</v>
      </c>
      <c r="E4079" s="108" t="s">
        <v>14605</v>
      </c>
      <c r="F4079" s="108" t="s">
        <v>21178</v>
      </c>
      <c r="G4079" s="109">
        <v>45589</v>
      </c>
      <c r="H4079" s="108" t="s">
        <v>595</v>
      </c>
      <c r="I4079" s="108" t="s">
        <v>108</v>
      </c>
    </row>
    <row r="4080" spans="1:9" ht="27.6">
      <c r="A4080" s="108" t="s">
        <v>109</v>
      </c>
      <c r="B4080" s="108" t="s">
        <v>21179</v>
      </c>
      <c r="C4080" s="109">
        <v>45393</v>
      </c>
      <c r="D4080" s="108" t="s">
        <v>21180</v>
      </c>
      <c r="E4080" s="108" t="s">
        <v>14605</v>
      </c>
      <c r="F4080" s="108" t="s">
        <v>20685</v>
      </c>
      <c r="G4080" s="109">
        <v>45741</v>
      </c>
      <c r="H4080" s="108" t="s">
        <v>595</v>
      </c>
      <c r="I4080" s="108" t="s">
        <v>108</v>
      </c>
    </row>
    <row r="4081" spans="1:9" ht="27.6">
      <c r="A4081" s="108" t="s">
        <v>109</v>
      </c>
      <c r="B4081" s="108" t="s">
        <v>21181</v>
      </c>
      <c r="C4081" s="109">
        <v>45534</v>
      </c>
      <c r="D4081" s="108" t="s">
        <v>21182</v>
      </c>
      <c r="E4081" s="108" t="s">
        <v>14605</v>
      </c>
      <c r="F4081" s="108" t="s">
        <v>15403</v>
      </c>
      <c r="G4081" s="109">
        <v>45892</v>
      </c>
      <c r="H4081" s="108" t="s">
        <v>595</v>
      </c>
      <c r="I4081" s="108" t="s">
        <v>108</v>
      </c>
    </row>
    <row r="4082" spans="1:9" ht="27.6">
      <c r="A4082" s="108" t="s">
        <v>109</v>
      </c>
      <c r="B4082" s="108" t="s">
        <v>21183</v>
      </c>
      <c r="C4082" s="109">
        <v>45514</v>
      </c>
      <c r="D4082" s="108" t="s">
        <v>21184</v>
      </c>
      <c r="E4082" s="108" t="s">
        <v>14605</v>
      </c>
      <c r="F4082" s="108" t="s">
        <v>15359</v>
      </c>
      <c r="G4082" s="109">
        <v>45898</v>
      </c>
      <c r="H4082" s="108" t="s">
        <v>595</v>
      </c>
      <c r="I4082" s="108" t="s">
        <v>108</v>
      </c>
    </row>
    <row r="4083" spans="1:9" ht="27.6">
      <c r="A4083" s="108" t="s">
        <v>109</v>
      </c>
      <c r="B4083" s="108" t="s">
        <v>21185</v>
      </c>
      <c r="C4083" s="109">
        <v>45534</v>
      </c>
      <c r="D4083" s="108" t="s">
        <v>21186</v>
      </c>
      <c r="E4083" s="108" t="s">
        <v>14605</v>
      </c>
      <c r="F4083" s="108" t="s">
        <v>14910</v>
      </c>
      <c r="G4083" s="109">
        <v>45898</v>
      </c>
      <c r="H4083" s="108" t="s">
        <v>595</v>
      </c>
      <c r="I4083" s="108" t="s">
        <v>108</v>
      </c>
    </row>
    <row r="4084" spans="1:9" ht="27.6">
      <c r="A4084" s="108" t="s">
        <v>109</v>
      </c>
      <c r="B4084" s="108" t="s">
        <v>21187</v>
      </c>
      <c r="C4084" s="109">
        <v>45575</v>
      </c>
      <c r="D4084" s="108" t="s">
        <v>21188</v>
      </c>
      <c r="E4084" s="108" t="s">
        <v>14605</v>
      </c>
      <c r="F4084" s="108" t="s">
        <v>20463</v>
      </c>
      <c r="G4084" s="109">
        <v>45925</v>
      </c>
      <c r="H4084" s="108" t="s">
        <v>595</v>
      </c>
      <c r="I4084" s="108" t="s">
        <v>108</v>
      </c>
    </row>
    <row r="4085" spans="1:9" ht="27.6">
      <c r="A4085" s="108" t="s">
        <v>109</v>
      </c>
      <c r="B4085" s="108" t="s">
        <v>21189</v>
      </c>
      <c r="C4085" s="109">
        <v>45567</v>
      </c>
      <c r="D4085" s="108" t="s">
        <v>21190</v>
      </c>
      <c r="E4085" s="108" t="s">
        <v>14605</v>
      </c>
      <c r="F4085" s="108" t="s">
        <v>16639</v>
      </c>
      <c r="G4085" s="109">
        <v>45946</v>
      </c>
      <c r="H4085" s="108" t="s">
        <v>595</v>
      </c>
      <c r="I4085" s="108" t="s">
        <v>108</v>
      </c>
    </row>
    <row r="4086" spans="1:9" ht="27.6">
      <c r="A4086" s="108" t="s">
        <v>109</v>
      </c>
      <c r="B4086" s="108" t="s">
        <v>21191</v>
      </c>
      <c r="C4086" s="109">
        <v>45610</v>
      </c>
      <c r="D4086" s="108" t="s">
        <v>21192</v>
      </c>
      <c r="E4086" s="108" t="s">
        <v>14605</v>
      </c>
      <c r="F4086" s="108" t="s">
        <v>20704</v>
      </c>
      <c r="G4086" s="109">
        <v>45955</v>
      </c>
      <c r="H4086" s="108" t="s">
        <v>595</v>
      </c>
      <c r="I4086" s="108" t="s">
        <v>108</v>
      </c>
    </row>
    <row r="4087" spans="1:9" ht="27.6">
      <c r="A4087" s="108" t="s">
        <v>1102</v>
      </c>
      <c r="B4087" s="108" t="s">
        <v>4117</v>
      </c>
      <c r="C4087" s="109">
        <v>45916</v>
      </c>
      <c r="D4087" s="108" t="s">
        <v>4118</v>
      </c>
      <c r="E4087" s="108" t="s">
        <v>14605</v>
      </c>
      <c r="F4087" s="108" t="s">
        <v>4115</v>
      </c>
      <c r="G4087" s="109">
        <v>46232</v>
      </c>
      <c r="H4087" s="108" t="s">
        <v>595</v>
      </c>
      <c r="I4087" s="108" t="s">
        <v>108</v>
      </c>
    </row>
    <row r="4088" spans="1:9" ht="27.6">
      <c r="A4088" s="108" t="s">
        <v>96</v>
      </c>
      <c r="B4088" s="108" t="s">
        <v>21193</v>
      </c>
      <c r="C4088" s="109">
        <v>45316</v>
      </c>
      <c r="D4088" s="108" t="s">
        <v>21194</v>
      </c>
      <c r="E4088" s="108" t="s">
        <v>14605</v>
      </c>
      <c r="F4088" s="108" t="s">
        <v>15142</v>
      </c>
      <c r="G4088" s="109">
        <v>45681</v>
      </c>
      <c r="H4088" s="108" t="s">
        <v>20617</v>
      </c>
      <c r="I4088" s="108" t="s">
        <v>108</v>
      </c>
    </row>
    <row r="4089" spans="1:9" ht="27.6">
      <c r="A4089" s="108" t="s">
        <v>96</v>
      </c>
      <c r="B4089" s="108" t="s">
        <v>21195</v>
      </c>
      <c r="C4089" s="109">
        <v>45293</v>
      </c>
      <c r="D4089" s="108" t="s">
        <v>21196</v>
      </c>
      <c r="E4089" s="108" t="s">
        <v>14605</v>
      </c>
      <c r="F4089" s="108" t="s">
        <v>20662</v>
      </c>
      <c r="G4089" s="109">
        <v>45683</v>
      </c>
      <c r="H4089" s="108" t="s">
        <v>595</v>
      </c>
      <c r="I4089" s="108" t="s">
        <v>108</v>
      </c>
    </row>
    <row r="4090" spans="1:9" ht="27.6">
      <c r="A4090" s="108" t="s">
        <v>96</v>
      </c>
      <c r="B4090" s="108" t="s">
        <v>21197</v>
      </c>
      <c r="C4090" s="109">
        <v>45589</v>
      </c>
      <c r="D4090" s="108" t="s">
        <v>21198</v>
      </c>
      <c r="E4090" s="108" t="s">
        <v>14605</v>
      </c>
      <c r="F4090" s="108" t="s">
        <v>21199</v>
      </c>
      <c r="G4090" s="109">
        <v>45959</v>
      </c>
      <c r="H4090" s="108" t="s">
        <v>595</v>
      </c>
      <c r="I4090" s="108" t="s">
        <v>108</v>
      </c>
    </row>
    <row r="4091" spans="1:9" ht="27.6">
      <c r="A4091" s="108" t="s">
        <v>96</v>
      </c>
      <c r="B4091" s="108" t="s">
        <v>21200</v>
      </c>
      <c r="C4091" s="109">
        <v>45878</v>
      </c>
      <c r="D4091" s="108" t="s">
        <v>21201</v>
      </c>
      <c r="E4091" s="108" t="s">
        <v>14605</v>
      </c>
      <c r="F4091" s="108" t="s">
        <v>15205</v>
      </c>
      <c r="G4091" s="109">
        <v>46192</v>
      </c>
      <c r="H4091" s="108" t="s">
        <v>595</v>
      </c>
      <c r="I4091" s="108" t="s">
        <v>108</v>
      </c>
    </row>
    <row r="4092" spans="1:9">
      <c r="A4092" s="108" t="s">
        <v>8394</v>
      </c>
      <c r="B4092" s="108" t="s">
        <v>21202</v>
      </c>
      <c r="C4092" s="109">
        <v>46162</v>
      </c>
      <c r="D4092" s="108" t="s">
        <v>21203</v>
      </c>
      <c r="E4092" s="108" t="s">
        <v>14605</v>
      </c>
      <c r="F4092" s="108" t="s">
        <v>4115</v>
      </c>
      <c r="G4092" s="109">
        <v>45225</v>
      </c>
      <c r="H4092" s="108" t="s">
        <v>595</v>
      </c>
      <c r="I4092" s="108" t="s">
        <v>108</v>
      </c>
    </row>
    <row r="4093" spans="1:9">
      <c r="A4093" s="108" t="s">
        <v>15990</v>
      </c>
      <c r="B4093" s="108" t="s">
        <v>21204</v>
      </c>
      <c r="C4093" s="109">
        <v>45182</v>
      </c>
      <c r="D4093" s="108" t="s">
        <v>21205</v>
      </c>
      <c r="E4093" s="108" t="s">
        <v>14605</v>
      </c>
      <c r="F4093" s="108" t="s">
        <v>21206</v>
      </c>
      <c r="G4093" s="109">
        <v>45568</v>
      </c>
      <c r="H4093" s="108" t="s">
        <v>595</v>
      </c>
      <c r="I4093" s="108" t="s">
        <v>108</v>
      </c>
    </row>
    <row r="4094" spans="1:9">
      <c r="A4094" s="108" t="s">
        <v>15990</v>
      </c>
      <c r="B4094" s="108" t="s">
        <v>21207</v>
      </c>
      <c r="C4094" s="109">
        <v>45695</v>
      </c>
      <c r="D4094" s="108" t="s">
        <v>21208</v>
      </c>
      <c r="E4094" s="108" t="s">
        <v>14605</v>
      </c>
      <c r="F4094" s="108" t="s">
        <v>21209</v>
      </c>
      <c r="G4094" s="109">
        <v>45956</v>
      </c>
      <c r="H4094" s="108" t="s">
        <v>595</v>
      </c>
      <c r="I4094" s="108" t="s">
        <v>108</v>
      </c>
    </row>
    <row r="4095" spans="1:9">
      <c r="A4095" s="108" t="s">
        <v>16151</v>
      </c>
      <c r="B4095" s="108" t="s">
        <v>21210</v>
      </c>
      <c r="C4095" s="109">
        <v>43880</v>
      </c>
      <c r="D4095" s="108" t="s">
        <v>21211</v>
      </c>
      <c r="E4095" s="108" t="s">
        <v>14605</v>
      </c>
      <c r="F4095" s="108" t="s">
        <v>20641</v>
      </c>
      <c r="G4095" s="109">
        <v>44273</v>
      </c>
      <c r="H4095" s="108" t="s">
        <v>595</v>
      </c>
      <c r="I4095" s="108" t="s">
        <v>108</v>
      </c>
    </row>
    <row r="4096" spans="1:9">
      <c r="A4096" s="108" t="s">
        <v>16151</v>
      </c>
      <c r="B4096" s="108" t="s">
        <v>21212</v>
      </c>
      <c r="C4096" s="109">
        <v>44076</v>
      </c>
      <c r="D4096" s="108" t="s">
        <v>21213</v>
      </c>
      <c r="E4096" s="108" t="s">
        <v>14605</v>
      </c>
      <c r="F4096" s="108" t="s">
        <v>20641</v>
      </c>
      <c r="G4096" s="109">
        <v>44441</v>
      </c>
      <c r="H4096" s="108" t="s">
        <v>595</v>
      </c>
      <c r="I4096" s="108" t="s">
        <v>108</v>
      </c>
    </row>
    <row r="4097" spans="1:9">
      <c r="A4097" s="108" t="s">
        <v>16151</v>
      </c>
      <c r="B4097" s="108" t="s">
        <v>21214</v>
      </c>
      <c r="C4097" s="109">
        <v>44888</v>
      </c>
      <c r="D4097" s="108" t="s">
        <v>21215</v>
      </c>
      <c r="E4097" s="108" t="s">
        <v>14605</v>
      </c>
      <c r="F4097" s="108" t="s">
        <v>20623</v>
      </c>
      <c r="G4097" s="109">
        <v>45260</v>
      </c>
      <c r="H4097" s="108" t="s">
        <v>595</v>
      </c>
      <c r="I4097" s="108" t="s">
        <v>108</v>
      </c>
    </row>
    <row r="4098" spans="1:9" ht="27.6">
      <c r="A4098" s="108" t="s">
        <v>16151</v>
      </c>
      <c r="B4098" s="108" t="s">
        <v>21216</v>
      </c>
      <c r="C4098" s="109">
        <v>45051</v>
      </c>
      <c r="D4098" s="108" t="s">
        <v>21217</v>
      </c>
      <c r="E4098" s="108" t="s">
        <v>14605</v>
      </c>
      <c r="F4098" s="108" t="s">
        <v>16374</v>
      </c>
      <c r="G4098" s="109">
        <v>45412</v>
      </c>
      <c r="H4098" s="108" t="s">
        <v>595</v>
      </c>
      <c r="I4098" s="108" t="s">
        <v>108</v>
      </c>
    </row>
    <row r="4099" spans="1:9" ht="27.6">
      <c r="A4099" s="108" t="s">
        <v>16151</v>
      </c>
      <c r="B4099" s="108" t="s">
        <v>21218</v>
      </c>
      <c r="C4099" s="109">
        <v>45518</v>
      </c>
      <c r="D4099" s="108" t="s">
        <v>21219</v>
      </c>
      <c r="E4099" s="108" t="s">
        <v>14605</v>
      </c>
      <c r="F4099" s="108" t="s">
        <v>20692</v>
      </c>
      <c r="G4099" s="109">
        <v>45882</v>
      </c>
      <c r="H4099" s="108" t="s">
        <v>595</v>
      </c>
      <c r="I4099" s="108" t="s">
        <v>108</v>
      </c>
    </row>
    <row r="4100" spans="1:9" ht="27.6">
      <c r="A4100" s="108" t="s">
        <v>16151</v>
      </c>
      <c r="B4100" s="108" t="s">
        <v>21220</v>
      </c>
      <c r="C4100" s="109">
        <v>45519</v>
      </c>
      <c r="D4100" s="108" t="s">
        <v>21221</v>
      </c>
      <c r="E4100" s="108" t="s">
        <v>14605</v>
      </c>
      <c r="F4100" s="108" t="s">
        <v>20692</v>
      </c>
      <c r="G4100" s="109">
        <v>45883</v>
      </c>
      <c r="H4100" s="108" t="s">
        <v>595</v>
      </c>
      <c r="I4100" s="108" t="s">
        <v>108</v>
      </c>
    </row>
    <row r="4101" spans="1:9" ht="27.6">
      <c r="A4101" s="108" t="s">
        <v>16151</v>
      </c>
      <c r="B4101" s="108" t="s">
        <v>21222</v>
      </c>
      <c r="C4101" s="109">
        <v>45581</v>
      </c>
      <c r="D4101" s="108" t="s">
        <v>21223</v>
      </c>
      <c r="E4101" s="108" t="s">
        <v>14605</v>
      </c>
      <c r="F4101" s="108" t="s">
        <v>14706</v>
      </c>
      <c r="G4101" s="109">
        <v>45926</v>
      </c>
      <c r="H4101" s="108" t="s">
        <v>595</v>
      </c>
      <c r="I4101" s="108" t="s">
        <v>108</v>
      </c>
    </row>
    <row r="4102" spans="1:9">
      <c r="A4102" s="108" t="s">
        <v>16151</v>
      </c>
      <c r="B4102" s="108" t="s">
        <v>21224</v>
      </c>
      <c r="C4102" s="109">
        <v>45564</v>
      </c>
      <c r="D4102" s="108" t="s">
        <v>21225</v>
      </c>
      <c r="E4102" s="108" t="s">
        <v>14605</v>
      </c>
      <c r="F4102" s="108" t="s">
        <v>20701</v>
      </c>
      <c r="G4102" s="109">
        <v>45947</v>
      </c>
      <c r="H4102" s="108" t="s">
        <v>595</v>
      </c>
      <c r="I4102" s="108" t="s">
        <v>108</v>
      </c>
    </row>
    <row r="4103" spans="1:9">
      <c r="A4103" s="108" t="s">
        <v>8259</v>
      </c>
      <c r="B4103" s="108" t="s">
        <v>21226</v>
      </c>
      <c r="C4103" s="109">
        <v>45113</v>
      </c>
      <c r="D4103" s="108" t="s">
        <v>21227</v>
      </c>
      <c r="E4103" s="108" t="s">
        <v>14605</v>
      </c>
      <c r="F4103" s="108" t="s">
        <v>20641</v>
      </c>
      <c r="G4103" s="109">
        <v>45501</v>
      </c>
      <c r="H4103" s="108" t="s">
        <v>595</v>
      </c>
      <c r="I4103" s="108" t="s">
        <v>108</v>
      </c>
    </row>
    <row r="4104" spans="1:9" ht="27.6">
      <c r="A4104" s="108" t="s">
        <v>388</v>
      </c>
      <c r="B4104" s="108" t="s">
        <v>21228</v>
      </c>
      <c r="C4104" s="109">
        <v>43503</v>
      </c>
      <c r="D4104" s="108" t="s">
        <v>21229</v>
      </c>
      <c r="E4104" s="108" t="s">
        <v>14605</v>
      </c>
      <c r="F4104" s="108" t="s">
        <v>21230</v>
      </c>
      <c r="G4104" s="109">
        <v>43867</v>
      </c>
      <c r="H4104" s="108" t="s">
        <v>595</v>
      </c>
      <c r="I4104" s="108" t="s">
        <v>108</v>
      </c>
    </row>
    <row r="4105" spans="1:9">
      <c r="A4105" s="108" t="s">
        <v>169</v>
      </c>
      <c r="B4105" s="108" t="s">
        <v>21231</v>
      </c>
      <c r="C4105" s="109">
        <v>41387</v>
      </c>
      <c r="D4105" s="108"/>
      <c r="E4105" s="108" t="s">
        <v>14605</v>
      </c>
      <c r="F4105" s="108" t="s">
        <v>21232</v>
      </c>
      <c r="G4105" s="110"/>
      <c r="H4105" s="108" t="s">
        <v>21233</v>
      </c>
      <c r="I4105" s="108"/>
    </row>
    <row r="4106" spans="1:9">
      <c r="A4106" s="108" t="s">
        <v>169</v>
      </c>
      <c r="B4106" s="108" t="s">
        <v>21234</v>
      </c>
      <c r="C4106" s="109">
        <v>42007</v>
      </c>
      <c r="D4106" s="108"/>
      <c r="E4106" s="108" t="s">
        <v>14605</v>
      </c>
      <c r="F4106" s="108" t="s">
        <v>14746</v>
      </c>
      <c r="G4106" s="110"/>
      <c r="H4106" s="108" t="s">
        <v>21233</v>
      </c>
      <c r="I4106" s="108"/>
    </row>
    <row r="4107" spans="1:9" ht="27.6">
      <c r="A4107" s="108" t="s">
        <v>14679</v>
      </c>
      <c r="B4107" s="108" t="s">
        <v>21235</v>
      </c>
      <c r="C4107" s="109">
        <v>42296</v>
      </c>
      <c r="D4107" s="108"/>
      <c r="E4107" s="108" t="s">
        <v>14605</v>
      </c>
      <c r="F4107" s="108" t="s">
        <v>21236</v>
      </c>
      <c r="G4107" s="110"/>
      <c r="H4107" s="108" t="s">
        <v>21233</v>
      </c>
      <c r="I4107" s="108"/>
    </row>
    <row r="4108" spans="1:9">
      <c r="A4108" s="108" t="s">
        <v>14679</v>
      </c>
      <c r="B4108" s="108" t="s">
        <v>21237</v>
      </c>
      <c r="C4108" s="109">
        <v>43193</v>
      </c>
      <c r="D4108" s="108"/>
      <c r="E4108" s="108" t="s">
        <v>14605</v>
      </c>
      <c r="F4108" s="108" t="s">
        <v>21238</v>
      </c>
      <c r="G4108" s="110"/>
      <c r="H4108" s="108" t="s">
        <v>21233</v>
      </c>
      <c r="I4108" s="108"/>
    </row>
    <row r="4109" spans="1:9" ht="27.6">
      <c r="A4109" s="108" t="s">
        <v>237</v>
      </c>
      <c r="B4109" s="108" t="s">
        <v>21239</v>
      </c>
      <c r="C4109" s="109">
        <v>43924</v>
      </c>
      <c r="D4109" s="108" t="s">
        <v>21240</v>
      </c>
      <c r="E4109" s="108" t="s">
        <v>14605</v>
      </c>
      <c r="F4109" s="108" t="s">
        <v>21241</v>
      </c>
      <c r="G4109" s="109">
        <v>46114</v>
      </c>
      <c r="H4109" s="108" t="s">
        <v>21233</v>
      </c>
      <c r="I4109" s="108" t="s">
        <v>280</v>
      </c>
    </row>
    <row r="4110" spans="1:9" ht="27.6">
      <c r="A4110" s="108" t="s">
        <v>237</v>
      </c>
      <c r="B4110" s="108" t="s">
        <v>21242</v>
      </c>
      <c r="C4110" s="109">
        <v>43924</v>
      </c>
      <c r="D4110" s="108" t="s">
        <v>21243</v>
      </c>
      <c r="E4110" s="108" t="s">
        <v>14605</v>
      </c>
      <c r="F4110" s="108" t="s">
        <v>21241</v>
      </c>
      <c r="G4110" s="109">
        <v>46114</v>
      </c>
      <c r="H4110" s="108" t="s">
        <v>21233</v>
      </c>
      <c r="I4110" s="108" t="s">
        <v>280</v>
      </c>
    </row>
    <row r="4111" spans="1:9">
      <c r="A4111" s="108" t="s">
        <v>16986</v>
      </c>
      <c r="B4111" s="108" t="s">
        <v>21244</v>
      </c>
      <c r="C4111" s="109">
        <v>44665</v>
      </c>
      <c r="D4111" s="108" t="s">
        <v>21245</v>
      </c>
      <c r="E4111" s="108" t="s">
        <v>14605</v>
      </c>
      <c r="F4111" s="108" t="s">
        <v>16140</v>
      </c>
      <c r="G4111" s="109">
        <v>45031</v>
      </c>
      <c r="H4111" s="108" t="s">
        <v>21233</v>
      </c>
      <c r="I4111" s="108" t="s">
        <v>108</v>
      </c>
    </row>
    <row r="4112" spans="1:9">
      <c r="A4112" s="108" t="s">
        <v>16986</v>
      </c>
      <c r="B4112" s="108" t="s">
        <v>21246</v>
      </c>
      <c r="C4112" s="109">
        <v>44825</v>
      </c>
      <c r="D4112" s="108" t="s">
        <v>21247</v>
      </c>
      <c r="E4112" s="108" t="s">
        <v>14605</v>
      </c>
      <c r="F4112" s="108" t="s">
        <v>16140</v>
      </c>
      <c r="G4112" s="109">
        <v>45100</v>
      </c>
      <c r="H4112" s="108" t="s">
        <v>21233</v>
      </c>
      <c r="I4112" s="108" t="s">
        <v>108</v>
      </c>
    </row>
    <row r="4113" spans="1:9" ht="27.6">
      <c r="A4113" s="108" t="s">
        <v>1072</v>
      </c>
      <c r="B4113" s="108" t="s">
        <v>21248</v>
      </c>
      <c r="C4113" s="109">
        <v>44881</v>
      </c>
      <c r="D4113" s="108" t="s">
        <v>21249</v>
      </c>
      <c r="E4113" s="108" t="s">
        <v>14605</v>
      </c>
      <c r="F4113" s="108" t="s">
        <v>16140</v>
      </c>
      <c r="G4113" s="109">
        <v>45100</v>
      </c>
      <c r="H4113" s="108" t="s">
        <v>21233</v>
      </c>
      <c r="I4113" s="108" t="s">
        <v>108</v>
      </c>
    </row>
    <row r="4114" spans="1:9" ht="27.6">
      <c r="A4114" s="108" t="s">
        <v>1072</v>
      </c>
      <c r="B4114" s="108" t="s">
        <v>21250</v>
      </c>
      <c r="C4114" s="109">
        <v>45219</v>
      </c>
      <c r="D4114" s="108" t="s">
        <v>21251</v>
      </c>
      <c r="E4114" s="108" t="s">
        <v>14605</v>
      </c>
      <c r="F4114" s="108" t="s">
        <v>16140</v>
      </c>
      <c r="G4114" s="109">
        <v>45777</v>
      </c>
      <c r="H4114" s="108" t="s">
        <v>21233</v>
      </c>
      <c r="I4114" s="108" t="s">
        <v>19708</v>
      </c>
    </row>
    <row r="4115" spans="1:9" ht="27.6">
      <c r="A4115" s="108" t="s">
        <v>14690</v>
      </c>
      <c r="B4115" s="108" t="s">
        <v>21252</v>
      </c>
      <c r="C4115" s="109">
        <v>44155</v>
      </c>
      <c r="D4115" s="108"/>
      <c r="E4115" s="108" t="s">
        <v>14605</v>
      </c>
      <c r="F4115" s="108" t="s">
        <v>21253</v>
      </c>
      <c r="G4115" s="110"/>
      <c r="H4115" s="108" t="s">
        <v>21254</v>
      </c>
      <c r="I4115" s="108"/>
    </row>
    <row r="4116" spans="1:9">
      <c r="A4116" s="108" t="s">
        <v>87</v>
      </c>
      <c r="B4116" s="108" t="s">
        <v>21255</v>
      </c>
      <c r="C4116" s="109">
        <v>43026</v>
      </c>
      <c r="D4116" s="108"/>
      <c r="E4116" s="108" t="s">
        <v>14605</v>
      </c>
      <c r="F4116" s="108" t="s">
        <v>21256</v>
      </c>
      <c r="G4116" s="110"/>
      <c r="H4116" s="108" t="s">
        <v>21257</v>
      </c>
      <c r="I4116" s="108"/>
    </row>
    <row r="4117" spans="1:9">
      <c r="A4117" s="108" t="s">
        <v>571</v>
      </c>
      <c r="B4117" s="108" t="s">
        <v>21258</v>
      </c>
      <c r="C4117" s="109">
        <v>42823</v>
      </c>
      <c r="D4117" s="108"/>
      <c r="E4117" s="108" t="s">
        <v>14605</v>
      </c>
      <c r="F4117" s="108" t="s">
        <v>21259</v>
      </c>
      <c r="G4117" s="110"/>
      <c r="H4117" s="108" t="s">
        <v>3965</v>
      </c>
      <c r="I4117" s="108"/>
    </row>
    <row r="4118" spans="1:9">
      <c r="A4118" s="108" t="s">
        <v>316</v>
      </c>
      <c r="B4118" s="108" t="s">
        <v>21260</v>
      </c>
      <c r="C4118" s="109">
        <v>43436</v>
      </c>
      <c r="D4118" s="108"/>
      <c r="E4118" s="108" t="s">
        <v>14605</v>
      </c>
      <c r="F4118" s="108" t="s">
        <v>21259</v>
      </c>
      <c r="G4118" s="110"/>
      <c r="H4118" s="108" t="s">
        <v>3965</v>
      </c>
      <c r="I4118" s="108"/>
    </row>
    <row r="4119" spans="1:9" ht="27.6">
      <c r="A4119" s="108" t="s">
        <v>207</v>
      </c>
      <c r="B4119" s="108" t="s">
        <v>21261</v>
      </c>
      <c r="C4119" s="109">
        <v>43552</v>
      </c>
      <c r="D4119" s="108" t="s">
        <v>21262</v>
      </c>
      <c r="E4119" s="108" t="s">
        <v>14605</v>
      </c>
      <c r="F4119" s="108" t="s">
        <v>21263</v>
      </c>
      <c r="G4119" s="109">
        <v>45744</v>
      </c>
      <c r="H4119" s="108" t="s">
        <v>3965</v>
      </c>
      <c r="I4119" s="108" t="s">
        <v>206</v>
      </c>
    </row>
    <row r="4120" spans="1:9" ht="27.6">
      <c r="A4120" s="108" t="s">
        <v>109</v>
      </c>
      <c r="B4120" s="108" t="s">
        <v>21264</v>
      </c>
      <c r="C4120" s="109">
        <v>44775</v>
      </c>
      <c r="D4120" s="108" t="s">
        <v>21265</v>
      </c>
      <c r="E4120" s="108" t="s">
        <v>16121</v>
      </c>
      <c r="F4120" s="108" t="s">
        <v>21266</v>
      </c>
      <c r="G4120" s="109">
        <v>45869</v>
      </c>
      <c r="H4120" s="108" t="s">
        <v>3965</v>
      </c>
      <c r="I4120" s="108" t="s">
        <v>19708</v>
      </c>
    </row>
    <row r="4121" spans="1:9" ht="27.6">
      <c r="A4121" s="108" t="s">
        <v>109</v>
      </c>
      <c r="B4121" s="108" t="s">
        <v>21267</v>
      </c>
      <c r="C4121" s="109">
        <v>45050</v>
      </c>
      <c r="D4121" s="108" t="s">
        <v>21268</v>
      </c>
      <c r="E4121" s="108" t="s">
        <v>14605</v>
      </c>
      <c r="F4121" s="108" t="s">
        <v>21266</v>
      </c>
      <c r="G4121" s="109">
        <v>46142</v>
      </c>
      <c r="H4121" s="108" t="s">
        <v>3965</v>
      </c>
      <c r="I4121" s="108" t="s">
        <v>19708</v>
      </c>
    </row>
    <row r="4122" spans="1:9">
      <c r="A4122" s="108" t="s">
        <v>169</v>
      </c>
      <c r="B4122" s="108" t="s">
        <v>21269</v>
      </c>
      <c r="C4122" s="109">
        <v>42658</v>
      </c>
      <c r="D4122" s="108"/>
      <c r="E4122" s="108" t="s">
        <v>14605</v>
      </c>
      <c r="F4122" s="108" t="s">
        <v>21270</v>
      </c>
      <c r="G4122" s="110"/>
      <c r="H4122" s="108" t="s">
        <v>21271</v>
      </c>
      <c r="I4122" s="108"/>
    </row>
    <row r="4123" spans="1:9" ht="27.6">
      <c r="A4123" s="108" t="s">
        <v>169</v>
      </c>
      <c r="B4123" s="108" t="s">
        <v>21272</v>
      </c>
      <c r="C4123" s="109">
        <v>43251</v>
      </c>
      <c r="D4123" s="108"/>
      <c r="E4123" s="108" t="s">
        <v>14605</v>
      </c>
      <c r="F4123" s="108" t="s">
        <v>21273</v>
      </c>
      <c r="G4123" s="110"/>
      <c r="H4123" s="108" t="s">
        <v>21271</v>
      </c>
      <c r="I4123" s="108"/>
    </row>
    <row r="4124" spans="1:9" ht="27.6">
      <c r="A4124" s="108" t="s">
        <v>16935</v>
      </c>
      <c r="B4124" s="108" t="s">
        <v>21274</v>
      </c>
      <c r="C4124" s="109">
        <v>43308</v>
      </c>
      <c r="D4124" s="108"/>
      <c r="E4124" s="108" t="s">
        <v>14605</v>
      </c>
      <c r="F4124" s="108" t="s">
        <v>21275</v>
      </c>
      <c r="G4124" s="110"/>
      <c r="H4124" s="108" t="s">
        <v>21271</v>
      </c>
      <c r="I4124" s="108"/>
    </row>
    <row r="4125" spans="1:9">
      <c r="A4125" s="108" t="s">
        <v>118</v>
      </c>
      <c r="B4125" s="108" t="s">
        <v>21276</v>
      </c>
      <c r="C4125" s="109">
        <v>44490</v>
      </c>
      <c r="D4125" s="108"/>
      <c r="E4125" s="108" t="s">
        <v>14605</v>
      </c>
      <c r="F4125" s="108" t="s">
        <v>21277</v>
      </c>
      <c r="G4125" s="110"/>
      <c r="H4125" s="108" t="s">
        <v>21271</v>
      </c>
      <c r="I4125" s="108"/>
    </row>
    <row r="4126" spans="1:9">
      <c r="A4126" s="108" t="s">
        <v>169</v>
      </c>
      <c r="B4126" s="108" t="s">
        <v>21278</v>
      </c>
      <c r="C4126" s="109">
        <v>44123</v>
      </c>
      <c r="D4126" s="108"/>
      <c r="E4126" s="108" t="s">
        <v>14605</v>
      </c>
      <c r="F4126" s="108" t="s">
        <v>21279</v>
      </c>
      <c r="G4126" s="110"/>
      <c r="H4126" s="108" t="s">
        <v>21280</v>
      </c>
      <c r="I4126" s="108"/>
    </row>
    <row r="4127" spans="1:9">
      <c r="A4127" s="108" t="s">
        <v>237</v>
      </c>
      <c r="B4127" s="108" t="s">
        <v>21281</v>
      </c>
      <c r="C4127" s="109">
        <v>41815</v>
      </c>
      <c r="D4127" s="108"/>
      <c r="E4127" s="108" t="s">
        <v>14605</v>
      </c>
      <c r="F4127" s="108" t="s">
        <v>21282</v>
      </c>
      <c r="G4127" s="110"/>
      <c r="H4127" s="108" t="s">
        <v>2464</v>
      </c>
      <c r="I4127" s="108"/>
    </row>
    <row r="4128" spans="1:9" ht="27.6">
      <c r="A4128" s="108" t="s">
        <v>14690</v>
      </c>
      <c r="B4128" s="108" t="s">
        <v>21283</v>
      </c>
      <c r="C4128" s="109">
        <v>42089</v>
      </c>
      <c r="D4128" s="108"/>
      <c r="E4128" s="108" t="s">
        <v>14605</v>
      </c>
      <c r="F4128" s="108" t="s">
        <v>21284</v>
      </c>
      <c r="G4128" s="110"/>
      <c r="H4128" s="108" t="s">
        <v>2464</v>
      </c>
      <c r="I4128" s="108"/>
    </row>
    <row r="4129" spans="1:9" ht="27.6">
      <c r="A4129" s="108" t="s">
        <v>169</v>
      </c>
      <c r="B4129" s="108" t="s">
        <v>21285</v>
      </c>
      <c r="C4129" s="109">
        <v>41000</v>
      </c>
      <c r="D4129" s="108"/>
      <c r="E4129" s="108" t="s">
        <v>14605</v>
      </c>
      <c r="F4129" s="108" t="s">
        <v>21286</v>
      </c>
      <c r="G4129" s="110"/>
      <c r="H4129" s="108" t="s">
        <v>2464</v>
      </c>
      <c r="I4129" s="108"/>
    </row>
    <row r="4130" spans="1:9">
      <c r="A4130" s="108" t="s">
        <v>169</v>
      </c>
      <c r="B4130" s="108" t="s">
        <v>21287</v>
      </c>
      <c r="C4130" s="109">
        <v>41758</v>
      </c>
      <c r="D4130" s="108"/>
      <c r="E4130" s="108" t="s">
        <v>14605</v>
      </c>
      <c r="F4130" s="108" t="s">
        <v>21288</v>
      </c>
      <c r="G4130" s="110"/>
      <c r="H4130" s="108" t="s">
        <v>2464</v>
      </c>
      <c r="I4130" s="108"/>
    </row>
    <row r="4131" spans="1:9" ht="41.4">
      <c r="A4131" s="108" t="s">
        <v>169</v>
      </c>
      <c r="B4131" s="108" t="s">
        <v>21289</v>
      </c>
      <c r="C4131" s="109">
        <v>42829</v>
      </c>
      <c r="D4131" s="108"/>
      <c r="E4131" s="108" t="s">
        <v>14605</v>
      </c>
      <c r="F4131" s="108" t="s">
        <v>21290</v>
      </c>
      <c r="G4131" s="110"/>
      <c r="H4131" s="108" t="s">
        <v>2464</v>
      </c>
      <c r="I4131" s="108"/>
    </row>
    <row r="4132" spans="1:9">
      <c r="A4132" s="108" t="s">
        <v>169</v>
      </c>
      <c r="B4132" s="108" t="s">
        <v>21291</v>
      </c>
      <c r="C4132" s="109">
        <v>41382</v>
      </c>
      <c r="D4132" s="108"/>
      <c r="E4132" s="108" t="s">
        <v>14605</v>
      </c>
      <c r="F4132" s="108" t="s">
        <v>21292</v>
      </c>
      <c r="G4132" s="110"/>
      <c r="H4132" s="108" t="s">
        <v>2464</v>
      </c>
      <c r="I4132" s="108"/>
    </row>
    <row r="4133" spans="1:9">
      <c r="A4133" s="108" t="s">
        <v>169</v>
      </c>
      <c r="B4133" s="108" t="s">
        <v>21293</v>
      </c>
      <c r="C4133" s="109">
        <v>41962</v>
      </c>
      <c r="D4133" s="108"/>
      <c r="E4133" s="108" t="s">
        <v>14605</v>
      </c>
      <c r="F4133" s="108" t="s">
        <v>21294</v>
      </c>
      <c r="G4133" s="110"/>
      <c r="H4133" s="108" t="s">
        <v>2464</v>
      </c>
      <c r="I4133" s="108"/>
    </row>
    <row r="4134" spans="1:9">
      <c r="A4134" s="108" t="s">
        <v>169</v>
      </c>
      <c r="B4134" s="108" t="s">
        <v>21295</v>
      </c>
      <c r="C4134" s="109">
        <v>41352</v>
      </c>
      <c r="D4134" s="108"/>
      <c r="E4134" s="108" t="s">
        <v>14605</v>
      </c>
      <c r="F4134" s="108" t="s">
        <v>21296</v>
      </c>
      <c r="G4134" s="110"/>
      <c r="H4134" s="108" t="s">
        <v>2464</v>
      </c>
      <c r="I4134" s="108"/>
    </row>
    <row r="4135" spans="1:9">
      <c r="A4135" s="108" t="s">
        <v>169</v>
      </c>
      <c r="B4135" s="108" t="s">
        <v>21297</v>
      </c>
      <c r="C4135" s="109">
        <v>41821</v>
      </c>
      <c r="D4135" s="108"/>
      <c r="E4135" s="108" t="s">
        <v>14605</v>
      </c>
      <c r="F4135" s="108" t="s">
        <v>21298</v>
      </c>
      <c r="G4135" s="110"/>
      <c r="H4135" s="108" t="s">
        <v>2464</v>
      </c>
      <c r="I4135" s="108"/>
    </row>
    <row r="4136" spans="1:9">
      <c r="A4136" s="108" t="s">
        <v>169</v>
      </c>
      <c r="B4136" s="108" t="s">
        <v>21299</v>
      </c>
      <c r="C4136" s="109">
        <v>42115</v>
      </c>
      <c r="D4136" s="108"/>
      <c r="E4136" s="108" t="s">
        <v>14605</v>
      </c>
      <c r="F4136" s="108" t="s">
        <v>21300</v>
      </c>
      <c r="G4136" s="110"/>
      <c r="H4136" s="108" t="s">
        <v>2464</v>
      </c>
      <c r="I4136" s="108"/>
    </row>
    <row r="4137" spans="1:9">
      <c r="A4137" s="108" t="s">
        <v>169</v>
      </c>
      <c r="B4137" s="108" t="s">
        <v>21301</v>
      </c>
      <c r="C4137" s="109">
        <v>42171</v>
      </c>
      <c r="D4137" s="108"/>
      <c r="E4137" s="108" t="s">
        <v>14605</v>
      </c>
      <c r="F4137" s="108" t="s">
        <v>21302</v>
      </c>
      <c r="G4137" s="110"/>
      <c r="H4137" s="108" t="s">
        <v>2464</v>
      </c>
      <c r="I4137" s="108"/>
    </row>
    <row r="4138" spans="1:9">
      <c r="A4138" s="108" t="s">
        <v>169</v>
      </c>
      <c r="B4138" s="108" t="s">
        <v>21303</v>
      </c>
      <c r="C4138" s="109">
        <v>42002</v>
      </c>
      <c r="D4138" s="108"/>
      <c r="E4138" s="108" t="s">
        <v>14605</v>
      </c>
      <c r="F4138" s="108" t="s">
        <v>21288</v>
      </c>
      <c r="G4138" s="110"/>
      <c r="H4138" s="108" t="s">
        <v>2464</v>
      </c>
      <c r="I4138" s="108"/>
    </row>
    <row r="4139" spans="1:9">
      <c r="A4139" s="108" t="s">
        <v>169</v>
      </c>
      <c r="B4139" s="108" t="s">
        <v>21304</v>
      </c>
      <c r="C4139" s="109">
        <v>42628</v>
      </c>
      <c r="D4139" s="108"/>
      <c r="E4139" s="108" t="s">
        <v>14605</v>
      </c>
      <c r="F4139" s="108" t="s">
        <v>21305</v>
      </c>
      <c r="G4139" s="110"/>
      <c r="H4139" s="108" t="s">
        <v>2464</v>
      </c>
      <c r="I4139" s="108"/>
    </row>
    <row r="4140" spans="1:9">
      <c r="A4140" s="108" t="s">
        <v>169</v>
      </c>
      <c r="B4140" s="108" t="s">
        <v>21306</v>
      </c>
      <c r="C4140" s="109">
        <v>42729</v>
      </c>
      <c r="D4140" s="108"/>
      <c r="E4140" s="108" t="s">
        <v>14605</v>
      </c>
      <c r="F4140" s="108" t="s">
        <v>21307</v>
      </c>
      <c r="G4140" s="110"/>
      <c r="H4140" s="108" t="s">
        <v>2464</v>
      </c>
      <c r="I4140" s="108"/>
    </row>
    <row r="4141" spans="1:9">
      <c r="A4141" s="108" t="s">
        <v>169</v>
      </c>
      <c r="B4141" s="108" t="s">
        <v>21308</v>
      </c>
      <c r="C4141" s="109">
        <v>42426</v>
      </c>
      <c r="D4141" s="108"/>
      <c r="E4141" s="108" t="s">
        <v>14605</v>
      </c>
      <c r="F4141" s="108" t="s">
        <v>21309</v>
      </c>
      <c r="G4141" s="110"/>
      <c r="H4141" s="108" t="s">
        <v>2464</v>
      </c>
      <c r="I4141" s="108"/>
    </row>
    <row r="4142" spans="1:9">
      <c r="A4142" s="108" t="s">
        <v>169</v>
      </c>
      <c r="B4142" s="108" t="s">
        <v>21310</v>
      </c>
      <c r="C4142" s="109">
        <v>42533</v>
      </c>
      <c r="D4142" s="108"/>
      <c r="E4142" s="108" t="s">
        <v>14605</v>
      </c>
      <c r="F4142" s="108" t="s">
        <v>14752</v>
      </c>
      <c r="G4142" s="110"/>
      <c r="H4142" s="108" t="s">
        <v>2464</v>
      </c>
      <c r="I4142" s="108"/>
    </row>
    <row r="4143" spans="1:9" ht="27.6">
      <c r="A4143" s="108" t="s">
        <v>169</v>
      </c>
      <c r="B4143" s="108" t="s">
        <v>21311</v>
      </c>
      <c r="C4143" s="109">
        <v>42825</v>
      </c>
      <c r="D4143" s="108"/>
      <c r="E4143" s="108" t="s">
        <v>14605</v>
      </c>
      <c r="F4143" s="108" t="s">
        <v>21312</v>
      </c>
      <c r="G4143" s="110"/>
      <c r="H4143" s="108" t="s">
        <v>2464</v>
      </c>
      <c r="I4143" s="108"/>
    </row>
    <row r="4144" spans="1:9">
      <c r="A4144" s="108" t="s">
        <v>169</v>
      </c>
      <c r="B4144" s="108" t="s">
        <v>21313</v>
      </c>
      <c r="C4144" s="109">
        <v>42354</v>
      </c>
      <c r="D4144" s="108"/>
      <c r="E4144" s="108" t="s">
        <v>14605</v>
      </c>
      <c r="F4144" s="108" t="s">
        <v>21288</v>
      </c>
      <c r="G4144" s="110"/>
      <c r="H4144" s="108" t="s">
        <v>2464</v>
      </c>
      <c r="I4144" s="108"/>
    </row>
    <row r="4145" spans="1:9">
      <c r="A4145" s="108" t="s">
        <v>169</v>
      </c>
      <c r="B4145" s="108" t="s">
        <v>21314</v>
      </c>
      <c r="C4145" s="109">
        <v>42607</v>
      </c>
      <c r="D4145" s="108"/>
      <c r="E4145" s="108" t="s">
        <v>14605</v>
      </c>
      <c r="F4145" s="108" t="s">
        <v>21315</v>
      </c>
      <c r="G4145" s="110"/>
      <c r="H4145" s="108" t="s">
        <v>2464</v>
      </c>
      <c r="I4145" s="108"/>
    </row>
    <row r="4146" spans="1:9" ht="27.6">
      <c r="A4146" s="108" t="s">
        <v>169</v>
      </c>
      <c r="B4146" s="108" t="s">
        <v>21316</v>
      </c>
      <c r="C4146" s="109">
        <v>42858</v>
      </c>
      <c r="D4146" s="108"/>
      <c r="E4146" s="108" t="s">
        <v>14605</v>
      </c>
      <c r="F4146" s="108" t="s">
        <v>21317</v>
      </c>
      <c r="G4146" s="110"/>
      <c r="H4146" s="108" t="s">
        <v>2464</v>
      </c>
      <c r="I4146" s="108"/>
    </row>
    <row r="4147" spans="1:9" ht="27.6">
      <c r="A4147" s="108" t="s">
        <v>169</v>
      </c>
      <c r="B4147" s="108" t="s">
        <v>21318</v>
      </c>
      <c r="C4147" s="109">
        <v>42947</v>
      </c>
      <c r="D4147" s="108"/>
      <c r="E4147" s="108" t="s">
        <v>14605</v>
      </c>
      <c r="F4147" s="108" t="s">
        <v>21319</v>
      </c>
      <c r="G4147" s="110"/>
      <c r="H4147" s="108" t="s">
        <v>2464</v>
      </c>
      <c r="I4147" s="108"/>
    </row>
    <row r="4148" spans="1:9">
      <c r="A4148" s="108" t="s">
        <v>169</v>
      </c>
      <c r="B4148" s="108" t="s">
        <v>21320</v>
      </c>
      <c r="C4148" s="109">
        <v>42801</v>
      </c>
      <c r="D4148" s="108"/>
      <c r="E4148" s="108" t="s">
        <v>14605</v>
      </c>
      <c r="F4148" s="108" t="s">
        <v>21321</v>
      </c>
      <c r="G4148" s="110"/>
      <c r="H4148" s="108" t="s">
        <v>2464</v>
      </c>
      <c r="I4148" s="108"/>
    </row>
    <row r="4149" spans="1:9">
      <c r="A4149" s="108" t="s">
        <v>169</v>
      </c>
      <c r="B4149" s="108" t="s">
        <v>21322</v>
      </c>
      <c r="C4149" s="109">
        <v>42836</v>
      </c>
      <c r="D4149" s="108"/>
      <c r="E4149" s="108" t="s">
        <v>14605</v>
      </c>
      <c r="F4149" s="108" t="s">
        <v>21323</v>
      </c>
      <c r="G4149" s="110"/>
      <c r="H4149" s="108" t="s">
        <v>2464</v>
      </c>
      <c r="I4149" s="108"/>
    </row>
    <row r="4150" spans="1:9">
      <c r="A4150" s="108" t="s">
        <v>169</v>
      </c>
      <c r="B4150" s="108" t="s">
        <v>21324</v>
      </c>
      <c r="C4150" s="109">
        <v>43237</v>
      </c>
      <c r="D4150" s="108"/>
      <c r="E4150" s="108" t="s">
        <v>14605</v>
      </c>
      <c r="F4150" s="108" t="s">
        <v>21325</v>
      </c>
      <c r="G4150" s="110"/>
      <c r="H4150" s="108" t="s">
        <v>2464</v>
      </c>
      <c r="I4150" s="108"/>
    </row>
    <row r="4151" spans="1:9">
      <c r="A4151" s="108" t="s">
        <v>169</v>
      </c>
      <c r="B4151" s="108" t="s">
        <v>21326</v>
      </c>
      <c r="C4151" s="109">
        <v>43202</v>
      </c>
      <c r="D4151" s="108"/>
      <c r="E4151" s="108" t="s">
        <v>14605</v>
      </c>
      <c r="F4151" s="108" t="s">
        <v>21327</v>
      </c>
      <c r="G4151" s="110"/>
      <c r="H4151" s="108" t="s">
        <v>2464</v>
      </c>
      <c r="I4151" s="108"/>
    </row>
    <row r="4152" spans="1:9">
      <c r="A4152" s="108" t="s">
        <v>169</v>
      </c>
      <c r="B4152" s="108" t="s">
        <v>21328</v>
      </c>
      <c r="C4152" s="109">
        <v>43088</v>
      </c>
      <c r="D4152" s="108"/>
      <c r="E4152" s="108" t="s">
        <v>14605</v>
      </c>
      <c r="F4152" s="108" t="s">
        <v>21329</v>
      </c>
      <c r="G4152" s="110"/>
      <c r="H4152" s="108" t="s">
        <v>2464</v>
      </c>
      <c r="I4152" s="108"/>
    </row>
    <row r="4153" spans="1:9">
      <c r="A4153" s="108" t="s">
        <v>169</v>
      </c>
      <c r="B4153" s="108" t="s">
        <v>21330</v>
      </c>
      <c r="C4153" s="109">
        <v>43202</v>
      </c>
      <c r="D4153" s="108"/>
      <c r="E4153" s="108" t="s">
        <v>14605</v>
      </c>
      <c r="F4153" s="108" t="s">
        <v>21331</v>
      </c>
      <c r="G4153" s="110"/>
      <c r="H4153" s="108" t="s">
        <v>2464</v>
      </c>
      <c r="I4153" s="108"/>
    </row>
    <row r="4154" spans="1:9" ht="27.6">
      <c r="A4154" s="108" t="s">
        <v>169</v>
      </c>
      <c r="B4154" s="108" t="s">
        <v>21332</v>
      </c>
      <c r="C4154" s="109">
        <v>43207</v>
      </c>
      <c r="D4154" s="108"/>
      <c r="E4154" s="108" t="s">
        <v>14605</v>
      </c>
      <c r="F4154" s="108" t="s">
        <v>21333</v>
      </c>
      <c r="G4154" s="110"/>
      <c r="H4154" s="108" t="s">
        <v>2464</v>
      </c>
      <c r="I4154" s="108"/>
    </row>
    <row r="4155" spans="1:9">
      <c r="A4155" s="108" t="s">
        <v>169</v>
      </c>
      <c r="B4155" s="108" t="s">
        <v>21334</v>
      </c>
      <c r="C4155" s="109">
        <v>43486</v>
      </c>
      <c r="D4155" s="108"/>
      <c r="E4155" s="108" t="s">
        <v>14605</v>
      </c>
      <c r="F4155" s="108" t="s">
        <v>21335</v>
      </c>
      <c r="G4155" s="110"/>
      <c r="H4155" s="108" t="s">
        <v>2464</v>
      </c>
      <c r="I4155" s="108"/>
    </row>
    <row r="4156" spans="1:9">
      <c r="A4156" s="108" t="s">
        <v>169</v>
      </c>
      <c r="B4156" s="108" t="s">
        <v>21336</v>
      </c>
      <c r="C4156" s="109">
        <v>44400</v>
      </c>
      <c r="D4156" s="108"/>
      <c r="E4156" s="108" t="s">
        <v>14605</v>
      </c>
      <c r="F4156" s="108" t="s">
        <v>21337</v>
      </c>
      <c r="G4156" s="110"/>
      <c r="H4156" s="108" t="s">
        <v>2464</v>
      </c>
      <c r="I4156" s="108"/>
    </row>
    <row r="4157" spans="1:9">
      <c r="A4157" s="108" t="s">
        <v>169</v>
      </c>
      <c r="B4157" s="108" t="s">
        <v>21338</v>
      </c>
      <c r="C4157" s="109">
        <v>43711</v>
      </c>
      <c r="D4157" s="108"/>
      <c r="E4157" s="108" t="s">
        <v>14605</v>
      </c>
      <c r="F4157" s="108" t="s">
        <v>21339</v>
      </c>
      <c r="G4157" s="110"/>
      <c r="H4157" s="108" t="s">
        <v>2464</v>
      </c>
      <c r="I4157" s="108"/>
    </row>
    <row r="4158" spans="1:9">
      <c r="A4158" s="108" t="s">
        <v>169</v>
      </c>
      <c r="B4158" s="108" t="s">
        <v>21340</v>
      </c>
      <c r="C4158" s="109">
        <v>43857</v>
      </c>
      <c r="D4158" s="108"/>
      <c r="E4158" s="108" t="s">
        <v>14605</v>
      </c>
      <c r="F4158" s="108" t="s">
        <v>21341</v>
      </c>
      <c r="G4158" s="110"/>
      <c r="H4158" s="108" t="s">
        <v>2464</v>
      </c>
      <c r="I4158" s="108"/>
    </row>
    <row r="4159" spans="1:9" ht="27.6">
      <c r="A4159" s="108" t="s">
        <v>169</v>
      </c>
      <c r="B4159" s="108" t="s">
        <v>21342</v>
      </c>
      <c r="C4159" s="109">
        <v>43899</v>
      </c>
      <c r="D4159" s="108"/>
      <c r="E4159" s="108" t="s">
        <v>14605</v>
      </c>
      <c r="F4159" s="108" t="s">
        <v>21343</v>
      </c>
      <c r="G4159" s="110"/>
      <c r="H4159" s="108" t="s">
        <v>2464</v>
      </c>
      <c r="I4159" s="108"/>
    </row>
    <row r="4160" spans="1:9" ht="27.6">
      <c r="A4160" s="108" t="s">
        <v>169</v>
      </c>
      <c r="B4160" s="108" t="s">
        <v>21344</v>
      </c>
      <c r="C4160" s="109">
        <v>43985</v>
      </c>
      <c r="D4160" s="108"/>
      <c r="E4160" s="108" t="s">
        <v>14605</v>
      </c>
      <c r="F4160" s="108" t="s">
        <v>21345</v>
      </c>
      <c r="G4160" s="110"/>
      <c r="H4160" s="108" t="s">
        <v>2464</v>
      </c>
      <c r="I4160" s="108"/>
    </row>
    <row r="4161" spans="1:9" ht="27.6">
      <c r="A4161" s="108" t="s">
        <v>169</v>
      </c>
      <c r="B4161" s="108" t="s">
        <v>21346</v>
      </c>
      <c r="C4161" s="109">
        <v>42005</v>
      </c>
      <c r="D4161" s="108"/>
      <c r="E4161" s="108" t="s">
        <v>14605</v>
      </c>
      <c r="F4161" s="108" t="s">
        <v>21347</v>
      </c>
      <c r="G4161" s="110"/>
      <c r="H4161" s="108" t="s">
        <v>2464</v>
      </c>
      <c r="I4161" s="108"/>
    </row>
    <row r="4162" spans="1:9">
      <c r="A4162" s="108" t="s">
        <v>87</v>
      </c>
      <c r="B4162" s="108" t="s">
        <v>21348</v>
      </c>
      <c r="C4162" s="109">
        <v>42342</v>
      </c>
      <c r="D4162" s="108"/>
      <c r="E4162" s="108" t="s">
        <v>14605</v>
      </c>
      <c r="F4162" s="108" t="s">
        <v>21349</v>
      </c>
      <c r="G4162" s="110"/>
      <c r="H4162" s="108" t="s">
        <v>2464</v>
      </c>
      <c r="I4162" s="108"/>
    </row>
    <row r="4163" spans="1:9" ht="27.6">
      <c r="A4163" s="108" t="s">
        <v>87</v>
      </c>
      <c r="B4163" s="108" t="s">
        <v>21350</v>
      </c>
      <c r="C4163" s="109">
        <v>42325</v>
      </c>
      <c r="D4163" s="108"/>
      <c r="E4163" s="108" t="s">
        <v>14605</v>
      </c>
      <c r="F4163" s="108" t="s">
        <v>21351</v>
      </c>
      <c r="G4163" s="110"/>
      <c r="H4163" s="108" t="s">
        <v>2464</v>
      </c>
      <c r="I4163" s="108"/>
    </row>
    <row r="4164" spans="1:9">
      <c r="A4164" s="108" t="s">
        <v>87</v>
      </c>
      <c r="B4164" s="108" t="s">
        <v>21352</v>
      </c>
      <c r="C4164" s="109">
        <v>43285</v>
      </c>
      <c r="D4164" s="108"/>
      <c r="E4164" s="108" t="s">
        <v>14605</v>
      </c>
      <c r="F4164" s="108" t="s">
        <v>21353</v>
      </c>
      <c r="G4164" s="110"/>
      <c r="H4164" s="108" t="s">
        <v>2464</v>
      </c>
      <c r="I4164" s="108"/>
    </row>
    <row r="4165" spans="1:9">
      <c r="A4165" s="108" t="s">
        <v>2002</v>
      </c>
      <c r="B4165" s="108" t="s">
        <v>21354</v>
      </c>
      <c r="C4165" s="109">
        <v>43047</v>
      </c>
      <c r="D4165" s="108"/>
      <c r="E4165" s="108" t="s">
        <v>14605</v>
      </c>
      <c r="F4165" s="108" t="s">
        <v>21355</v>
      </c>
      <c r="G4165" s="110"/>
      <c r="H4165" s="108" t="s">
        <v>2464</v>
      </c>
      <c r="I4165" s="108"/>
    </row>
    <row r="4166" spans="1:9">
      <c r="A4166" s="108" t="s">
        <v>1465</v>
      </c>
      <c r="B4166" s="108" t="s">
        <v>21356</v>
      </c>
      <c r="C4166" s="109">
        <v>42181</v>
      </c>
      <c r="D4166" s="108"/>
      <c r="E4166" s="108" t="s">
        <v>14605</v>
      </c>
      <c r="F4166" s="108" t="s">
        <v>21357</v>
      </c>
      <c r="G4166" s="110"/>
      <c r="H4166" s="108" t="s">
        <v>2464</v>
      </c>
      <c r="I4166" s="108"/>
    </row>
    <row r="4167" spans="1:9">
      <c r="A4167" s="108" t="s">
        <v>1465</v>
      </c>
      <c r="B4167" s="108" t="s">
        <v>21358</v>
      </c>
      <c r="C4167" s="109">
        <v>43245</v>
      </c>
      <c r="D4167" s="108"/>
      <c r="E4167" s="108" t="s">
        <v>14605</v>
      </c>
      <c r="F4167" s="108" t="s">
        <v>21331</v>
      </c>
      <c r="G4167" s="110"/>
      <c r="H4167" s="108" t="s">
        <v>2464</v>
      </c>
      <c r="I4167" s="108"/>
    </row>
    <row r="4168" spans="1:9" ht="27.6">
      <c r="A4168" s="108" t="s">
        <v>1465</v>
      </c>
      <c r="B4168" s="108" t="s">
        <v>21359</v>
      </c>
      <c r="C4168" s="109">
        <v>43291</v>
      </c>
      <c r="D4168" s="108"/>
      <c r="E4168" s="108" t="s">
        <v>14605</v>
      </c>
      <c r="F4168" s="108" t="s">
        <v>21360</v>
      </c>
      <c r="G4168" s="110"/>
      <c r="H4168" s="108" t="s">
        <v>2464</v>
      </c>
      <c r="I4168" s="108"/>
    </row>
    <row r="4169" spans="1:9">
      <c r="A4169" s="108" t="s">
        <v>1465</v>
      </c>
      <c r="B4169" s="108" t="s">
        <v>21361</v>
      </c>
      <c r="C4169" s="109">
        <v>43826</v>
      </c>
      <c r="D4169" s="108"/>
      <c r="E4169" s="108" t="s">
        <v>14605</v>
      </c>
      <c r="F4169" s="108" t="s">
        <v>21362</v>
      </c>
      <c r="G4169" s="110"/>
      <c r="H4169" s="108" t="s">
        <v>2464</v>
      </c>
      <c r="I4169" s="108"/>
    </row>
    <row r="4170" spans="1:9" ht="27.6">
      <c r="A4170" s="108" t="s">
        <v>14679</v>
      </c>
      <c r="B4170" s="108" t="s">
        <v>21363</v>
      </c>
      <c r="C4170" s="109">
        <v>42991</v>
      </c>
      <c r="D4170" s="108"/>
      <c r="E4170" s="108" t="s">
        <v>14605</v>
      </c>
      <c r="F4170" s="108" t="s">
        <v>21364</v>
      </c>
      <c r="G4170" s="110"/>
      <c r="H4170" s="108" t="s">
        <v>2464</v>
      </c>
      <c r="I4170" s="108"/>
    </row>
    <row r="4171" spans="1:9" ht="27.6">
      <c r="A4171" s="108" t="s">
        <v>2002</v>
      </c>
      <c r="B4171" s="108" t="s">
        <v>21365</v>
      </c>
      <c r="C4171" s="109">
        <v>44119</v>
      </c>
      <c r="D4171" s="108"/>
      <c r="E4171" s="108" t="s">
        <v>14605</v>
      </c>
      <c r="F4171" s="108" t="s">
        <v>21366</v>
      </c>
      <c r="G4171" s="110"/>
      <c r="H4171" s="108" t="s">
        <v>2464</v>
      </c>
      <c r="I4171" s="108"/>
    </row>
    <row r="4172" spans="1:9" ht="27.6">
      <c r="A4172" s="108" t="s">
        <v>571</v>
      </c>
      <c r="B4172" s="108" t="s">
        <v>21367</v>
      </c>
      <c r="C4172" s="109">
        <v>44169</v>
      </c>
      <c r="D4172" s="108"/>
      <c r="E4172" s="108" t="s">
        <v>14605</v>
      </c>
      <c r="F4172" s="108" t="s">
        <v>21368</v>
      </c>
      <c r="G4172" s="110"/>
      <c r="H4172" s="108" t="s">
        <v>2464</v>
      </c>
      <c r="I4172" s="108"/>
    </row>
    <row r="4173" spans="1:9" ht="27.6">
      <c r="A4173" s="108" t="s">
        <v>15075</v>
      </c>
      <c r="B4173" s="108" t="s">
        <v>21369</v>
      </c>
      <c r="C4173" s="109">
        <v>44896</v>
      </c>
      <c r="D4173" s="108"/>
      <c r="E4173" s="108" t="s">
        <v>14605</v>
      </c>
      <c r="F4173" s="108" t="s">
        <v>21288</v>
      </c>
      <c r="G4173" s="110"/>
      <c r="H4173" s="108" t="s">
        <v>2464</v>
      </c>
      <c r="I4173" s="108"/>
    </row>
    <row r="4174" spans="1:9" ht="27.6">
      <c r="A4174" s="108" t="s">
        <v>15075</v>
      </c>
      <c r="B4174" s="108" t="s">
        <v>21370</v>
      </c>
      <c r="C4174" s="109">
        <v>45527</v>
      </c>
      <c r="D4174" s="108"/>
      <c r="E4174" s="108" t="s">
        <v>14605</v>
      </c>
      <c r="F4174" s="108" t="s">
        <v>21371</v>
      </c>
      <c r="G4174" s="110"/>
      <c r="H4174" s="108" t="s">
        <v>2464</v>
      </c>
      <c r="I4174" s="108"/>
    </row>
    <row r="4175" spans="1:9" ht="41.4">
      <c r="A4175" s="108" t="s">
        <v>15075</v>
      </c>
      <c r="B4175" s="108" t="s">
        <v>21372</v>
      </c>
      <c r="C4175" s="109">
        <v>45531</v>
      </c>
      <c r="D4175" s="108"/>
      <c r="E4175" s="108" t="s">
        <v>14605</v>
      </c>
      <c r="F4175" s="108" t="s">
        <v>21373</v>
      </c>
      <c r="G4175" s="110"/>
      <c r="H4175" s="108" t="s">
        <v>2464</v>
      </c>
      <c r="I4175" s="108"/>
    </row>
    <row r="4176" spans="1:9" ht="27.6">
      <c r="A4176" s="108" t="s">
        <v>15075</v>
      </c>
      <c r="B4176" s="108" t="s">
        <v>21374</v>
      </c>
      <c r="C4176" s="109">
        <v>45557</v>
      </c>
      <c r="D4176" s="108"/>
      <c r="E4176" s="108" t="s">
        <v>14605</v>
      </c>
      <c r="F4176" s="108" t="s">
        <v>21375</v>
      </c>
      <c r="G4176" s="110"/>
      <c r="H4176" s="108" t="s">
        <v>2464</v>
      </c>
      <c r="I4176" s="108"/>
    </row>
    <row r="4177" spans="1:9" ht="27.6">
      <c r="A4177" s="108" t="s">
        <v>15075</v>
      </c>
      <c r="B4177" s="108" t="s">
        <v>21376</v>
      </c>
      <c r="C4177" s="109">
        <v>45525</v>
      </c>
      <c r="D4177" s="108"/>
      <c r="E4177" s="108" t="s">
        <v>14605</v>
      </c>
      <c r="F4177" s="108" t="s">
        <v>21377</v>
      </c>
      <c r="G4177" s="110"/>
      <c r="H4177" s="108" t="s">
        <v>2464</v>
      </c>
      <c r="I4177" s="108"/>
    </row>
    <row r="4178" spans="1:9" ht="27.6">
      <c r="A4178" s="108" t="s">
        <v>199</v>
      </c>
      <c r="B4178" s="108" t="s">
        <v>21378</v>
      </c>
      <c r="C4178" s="109">
        <v>40817</v>
      </c>
      <c r="D4178" s="108"/>
      <c r="E4178" s="108" t="s">
        <v>14605</v>
      </c>
      <c r="F4178" s="108" t="s">
        <v>21379</v>
      </c>
      <c r="G4178" s="110"/>
      <c r="H4178" s="108" t="s">
        <v>2464</v>
      </c>
      <c r="I4178" s="108"/>
    </row>
    <row r="4179" spans="1:9" ht="27.6">
      <c r="A4179" s="108" t="s">
        <v>199</v>
      </c>
      <c r="B4179" s="108" t="s">
        <v>21380</v>
      </c>
      <c r="C4179" s="109">
        <v>40913</v>
      </c>
      <c r="D4179" s="108"/>
      <c r="E4179" s="108" t="s">
        <v>14605</v>
      </c>
      <c r="F4179" s="108" t="s">
        <v>21381</v>
      </c>
      <c r="G4179" s="110"/>
      <c r="H4179" s="108" t="s">
        <v>2464</v>
      </c>
      <c r="I4179" s="108"/>
    </row>
    <row r="4180" spans="1:9">
      <c r="A4180" s="108" t="s">
        <v>199</v>
      </c>
      <c r="B4180" s="108" t="s">
        <v>21382</v>
      </c>
      <c r="C4180" s="109">
        <v>41817</v>
      </c>
      <c r="D4180" s="108"/>
      <c r="E4180" s="108" t="s">
        <v>14605</v>
      </c>
      <c r="F4180" s="108" t="s">
        <v>21383</v>
      </c>
      <c r="G4180" s="110"/>
      <c r="H4180" s="108" t="s">
        <v>2464</v>
      </c>
      <c r="I4180" s="108"/>
    </row>
    <row r="4181" spans="1:9" ht="27.6">
      <c r="A4181" s="108" t="s">
        <v>3156</v>
      </c>
      <c r="B4181" s="108" t="s">
        <v>21384</v>
      </c>
      <c r="C4181" s="109">
        <v>42769</v>
      </c>
      <c r="D4181" s="108"/>
      <c r="E4181" s="108" t="s">
        <v>14605</v>
      </c>
      <c r="F4181" s="108" t="s">
        <v>21385</v>
      </c>
      <c r="G4181" s="110"/>
      <c r="H4181" s="108" t="s">
        <v>2464</v>
      </c>
      <c r="I4181" s="108"/>
    </row>
    <row r="4182" spans="1:9" ht="27.6">
      <c r="A4182" s="108" t="s">
        <v>227</v>
      </c>
      <c r="B4182" s="108" t="s">
        <v>21386</v>
      </c>
      <c r="C4182" s="109">
        <v>43749</v>
      </c>
      <c r="D4182" s="108"/>
      <c r="E4182" s="108" t="s">
        <v>14605</v>
      </c>
      <c r="F4182" s="108" t="s">
        <v>21345</v>
      </c>
      <c r="G4182" s="110"/>
      <c r="H4182" s="108" t="s">
        <v>2464</v>
      </c>
      <c r="I4182" s="108"/>
    </row>
    <row r="4183" spans="1:9" ht="27.6">
      <c r="A4183" s="108" t="s">
        <v>14607</v>
      </c>
      <c r="B4183" s="108" t="s">
        <v>21387</v>
      </c>
      <c r="C4183" s="109">
        <v>42120</v>
      </c>
      <c r="D4183" s="108"/>
      <c r="E4183" s="108" t="s">
        <v>14605</v>
      </c>
      <c r="F4183" s="108" t="s">
        <v>21388</v>
      </c>
      <c r="G4183" s="110"/>
      <c r="H4183" s="108" t="s">
        <v>2464</v>
      </c>
      <c r="I4183" s="108"/>
    </row>
    <row r="4184" spans="1:9" ht="27.6">
      <c r="A4184" s="108" t="s">
        <v>18397</v>
      </c>
      <c r="B4184" s="108" t="s">
        <v>21389</v>
      </c>
      <c r="C4184" s="109">
        <v>39630</v>
      </c>
      <c r="D4184" s="108"/>
      <c r="E4184" s="108" t="s">
        <v>14605</v>
      </c>
      <c r="F4184" s="108" t="s">
        <v>21390</v>
      </c>
      <c r="G4184" s="110"/>
      <c r="H4184" s="108" t="s">
        <v>2464</v>
      </c>
      <c r="I4184" s="108"/>
    </row>
    <row r="4185" spans="1:9" ht="27.6">
      <c r="A4185" s="108" t="s">
        <v>14607</v>
      </c>
      <c r="B4185" s="108" t="s">
        <v>21391</v>
      </c>
      <c r="C4185" s="109">
        <v>38822</v>
      </c>
      <c r="D4185" s="108"/>
      <c r="E4185" s="108" t="s">
        <v>14605</v>
      </c>
      <c r="F4185" s="108" t="s">
        <v>21392</v>
      </c>
      <c r="G4185" s="110"/>
      <c r="H4185" s="108" t="s">
        <v>2464</v>
      </c>
      <c r="I4185" s="108"/>
    </row>
    <row r="4186" spans="1:9">
      <c r="A4186" s="108" t="s">
        <v>87</v>
      </c>
      <c r="B4186" s="108" t="s">
        <v>21393</v>
      </c>
      <c r="C4186" s="109">
        <v>41001</v>
      </c>
      <c r="D4186" s="108"/>
      <c r="E4186" s="108" t="s">
        <v>14605</v>
      </c>
      <c r="F4186" s="108" t="s">
        <v>21394</v>
      </c>
      <c r="G4186" s="110"/>
      <c r="H4186" s="108" t="s">
        <v>2464</v>
      </c>
      <c r="I4186" s="108"/>
    </row>
    <row r="4187" spans="1:9" ht="27.6">
      <c r="A4187" s="108" t="s">
        <v>18397</v>
      </c>
      <c r="B4187" s="108" t="s">
        <v>21395</v>
      </c>
      <c r="C4187" s="109">
        <v>39148</v>
      </c>
      <c r="D4187" s="108"/>
      <c r="E4187" s="108" t="s">
        <v>14605</v>
      </c>
      <c r="F4187" s="108" t="s">
        <v>21392</v>
      </c>
      <c r="G4187" s="110"/>
      <c r="H4187" s="108" t="s">
        <v>2464</v>
      </c>
      <c r="I4187" s="108"/>
    </row>
    <row r="4188" spans="1:9" ht="27.6">
      <c r="A4188" s="108" t="s">
        <v>18397</v>
      </c>
      <c r="B4188" s="108" t="s">
        <v>21396</v>
      </c>
      <c r="C4188" s="109">
        <v>40499</v>
      </c>
      <c r="D4188" s="108"/>
      <c r="E4188" s="108" t="s">
        <v>14605</v>
      </c>
      <c r="F4188" s="108" t="s">
        <v>21397</v>
      </c>
      <c r="G4188" s="110"/>
      <c r="H4188" s="108" t="s">
        <v>2464</v>
      </c>
      <c r="I4188" s="108"/>
    </row>
    <row r="4189" spans="1:9" ht="27.6">
      <c r="A4189" s="108" t="s">
        <v>18397</v>
      </c>
      <c r="B4189" s="108" t="s">
        <v>21398</v>
      </c>
      <c r="C4189" s="109">
        <v>41814</v>
      </c>
      <c r="D4189" s="108"/>
      <c r="E4189" s="108" t="s">
        <v>14605</v>
      </c>
      <c r="F4189" s="108" t="s">
        <v>21399</v>
      </c>
      <c r="G4189" s="110"/>
      <c r="H4189" s="108" t="s">
        <v>2464</v>
      </c>
      <c r="I4189" s="108"/>
    </row>
    <row r="4190" spans="1:9" ht="27.6">
      <c r="A4190" s="108" t="s">
        <v>18397</v>
      </c>
      <c r="B4190" s="108" t="s">
        <v>21400</v>
      </c>
      <c r="C4190" s="109">
        <v>41815</v>
      </c>
      <c r="D4190" s="108"/>
      <c r="E4190" s="108" t="s">
        <v>14605</v>
      </c>
      <c r="F4190" s="108" t="s">
        <v>21401</v>
      </c>
      <c r="G4190" s="110"/>
      <c r="H4190" s="108" t="s">
        <v>2464</v>
      </c>
      <c r="I4190" s="108"/>
    </row>
    <row r="4191" spans="1:9" ht="27.6">
      <c r="A4191" s="108"/>
      <c r="B4191" s="108" t="s">
        <v>21402</v>
      </c>
      <c r="C4191" s="109">
        <v>40148</v>
      </c>
      <c r="D4191" s="108"/>
      <c r="E4191" s="108" t="s">
        <v>14605</v>
      </c>
      <c r="F4191" s="108" t="s">
        <v>21347</v>
      </c>
      <c r="G4191" s="110"/>
      <c r="H4191" s="108" t="s">
        <v>2464</v>
      </c>
      <c r="I4191" s="108"/>
    </row>
    <row r="4192" spans="1:9">
      <c r="A4192" s="108" t="s">
        <v>16935</v>
      </c>
      <c r="B4192" s="108" t="s">
        <v>21403</v>
      </c>
      <c r="C4192" s="109">
        <v>38384</v>
      </c>
      <c r="D4192" s="108"/>
      <c r="E4192" s="108" t="s">
        <v>14605</v>
      </c>
      <c r="F4192" s="108" t="s">
        <v>21404</v>
      </c>
      <c r="G4192" s="110"/>
      <c r="H4192" s="108" t="s">
        <v>2464</v>
      </c>
      <c r="I4192" s="108"/>
    </row>
    <row r="4193" spans="1:9" ht="27.6">
      <c r="A4193" s="108" t="s">
        <v>21405</v>
      </c>
      <c r="B4193" s="108" t="s">
        <v>21406</v>
      </c>
      <c r="C4193" s="109">
        <v>39234</v>
      </c>
      <c r="D4193" s="108"/>
      <c r="E4193" s="108" t="s">
        <v>14605</v>
      </c>
      <c r="F4193" s="108" t="s">
        <v>15077</v>
      </c>
      <c r="G4193" s="110"/>
      <c r="H4193" s="108" t="s">
        <v>2464</v>
      </c>
      <c r="I4193" s="108"/>
    </row>
    <row r="4194" spans="1:9" ht="27.6">
      <c r="A4194" s="108" t="s">
        <v>21405</v>
      </c>
      <c r="B4194" s="108" t="s">
        <v>21407</v>
      </c>
      <c r="C4194" s="109">
        <v>40446</v>
      </c>
      <c r="D4194" s="108"/>
      <c r="E4194" s="108" t="s">
        <v>14605</v>
      </c>
      <c r="F4194" s="108" t="s">
        <v>21408</v>
      </c>
      <c r="G4194" s="110"/>
      <c r="H4194" s="108" t="s">
        <v>2464</v>
      </c>
      <c r="I4194" s="108"/>
    </row>
    <row r="4195" spans="1:9" ht="27.6">
      <c r="A4195" s="108" t="s">
        <v>21405</v>
      </c>
      <c r="B4195" s="108" t="s">
        <v>21409</v>
      </c>
      <c r="C4195" s="109">
        <v>39314</v>
      </c>
      <c r="D4195" s="108"/>
      <c r="E4195" s="108" t="s">
        <v>14605</v>
      </c>
      <c r="F4195" s="108" t="s">
        <v>21410</v>
      </c>
      <c r="G4195" s="110"/>
      <c r="H4195" s="108" t="s">
        <v>2464</v>
      </c>
      <c r="I4195" s="108"/>
    </row>
    <row r="4196" spans="1:9" ht="27.6">
      <c r="A4196" s="108" t="s">
        <v>21405</v>
      </c>
      <c r="B4196" s="108" t="s">
        <v>21411</v>
      </c>
      <c r="C4196" s="109">
        <v>41806</v>
      </c>
      <c r="D4196" s="108"/>
      <c r="E4196" s="108" t="s">
        <v>14605</v>
      </c>
      <c r="F4196" s="108" t="s">
        <v>21412</v>
      </c>
      <c r="G4196" s="110"/>
      <c r="H4196" s="108" t="s">
        <v>2464</v>
      </c>
      <c r="I4196" s="108"/>
    </row>
    <row r="4197" spans="1:9">
      <c r="A4197" s="108" t="s">
        <v>237</v>
      </c>
      <c r="B4197" s="108" t="s">
        <v>21413</v>
      </c>
      <c r="C4197" s="109">
        <v>40575</v>
      </c>
      <c r="D4197" s="108"/>
      <c r="E4197" s="108" t="s">
        <v>14605</v>
      </c>
      <c r="F4197" s="108" t="s">
        <v>21414</v>
      </c>
      <c r="G4197" s="110"/>
      <c r="H4197" s="108" t="s">
        <v>2464</v>
      </c>
      <c r="I4197" s="108"/>
    </row>
    <row r="4198" spans="1:9" ht="41.4">
      <c r="A4198" s="108" t="s">
        <v>237</v>
      </c>
      <c r="B4198" s="108" t="s">
        <v>21415</v>
      </c>
      <c r="C4198" s="109">
        <v>41808</v>
      </c>
      <c r="D4198" s="108"/>
      <c r="E4198" s="108" t="s">
        <v>14605</v>
      </c>
      <c r="F4198" s="108" t="s">
        <v>21416</v>
      </c>
      <c r="G4198" s="110"/>
      <c r="H4198" s="108" t="s">
        <v>2464</v>
      </c>
      <c r="I4198" s="108"/>
    </row>
    <row r="4199" spans="1:9" ht="27.6">
      <c r="A4199" s="108" t="s">
        <v>237</v>
      </c>
      <c r="B4199" s="108" t="s">
        <v>21417</v>
      </c>
      <c r="C4199" s="109">
        <v>41814</v>
      </c>
      <c r="D4199" s="108"/>
      <c r="E4199" s="108" t="s">
        <v>14605</v>
      </c>
      <c r="F4199" s="108" t="s">
        <v>21418</v>
      </c>
      <c r="G4199" s="110"/>
      <c r="H4199" s="108" t="s">
        <v>2464</v>
      </c>
      <c r="I4199" s="108"/>
    </row>
    <row r="4200" spans="1:9">
      <c r="A4200" s="108" t="s">
        <v>87</v>
      </c>
      <c r="B4200" s="108" t="s">
        <v>21419</v>
      </c>
      <c r="C4200" s="109">
        <v>41019</v>
      </c>
      <c r="D4200" s="108"/>
      <c r="E4200" s="108" t="s">
        <v>14605</v>
      </c>
      <c r="F4200" s="108" t="s">
        <v>21394</v>
      </c>
      <c r="G4200" s="110"/>
      <c r="H4200" s="108" t="s">
        <v>2464</v>
      </c>
      <c r="I4200" s="108"/>
    </row>
    <row r="4201" spans="1:9">
      <c r="A4201" s="108" t="s">
        <v>2002</v>
      </c>
      <c r="B4201" s="108" t="s">
        <v>21420</v>
      </c>
      <c r="C4201" s="109">
        <v>41813</v>
      </c>
      <c r="D4201" s="108"/>
      <c r="E4201" s="108" t="s">
        <v>14605</v>
      </c>
      <c r="F4201" s="108" t="s">
        <v>21421</v>
      </c>
      <c r="G4201" s="110"/>
      <c r="H4201" s="108" t="s">
        <v>2464</v>
      </c>
      <c r="I4201" s="108"/>
    </row>
    <row r="4202" spans="1:9">
      <c r="A4202" s="108" t="s">
        <v>237</v>
      </c>
      <c r="B4202" s="108" t="s">
        <v>21422</v>
      </c>
      <c r="C4202" s="109">
        <v>41815</v>
      </c>
      <c r="D4202" s="108"/>
      <c r="E4202" s="108" t="s">
        <v>14605</v>
      </c>
      <c r="F4202" s="108" t="s">
        <v>21423</v>
      </c>
      <c r="G4202" s="110"/>
      <c r="H4202" s="108" t="s">
        <v>2464</v>
      </c>
      <c r="I4202" s="108"/>
    </row>
    <row r="4203" spans="1:9" ht="27.6">
      <c r="A4203" s="108" t="s">
        <v>923</v>
      </c>
      <c r="B4203" s="108" t="s">
        <v>21424</v>
      </c>
      <c r="C4203" s="109">
        <v>41081</v>
      </c>
      <c r="D4203" s="108"/>
      <c r="E4203" s="108" t="s">
        <v>14605</v>
      </c>
      <c r="F4203" s="108" t="s">
        <v>21345</v>
      </c>
      <c r="G4203" s="110"/>
      <c r="H4203" s="108" t="s">
        <v>2464</v>
      </c>
      <c r="I4203" s="108"/>
    </row>
    <row r="4204" spans="1:9" ht="27.6">
      <c r="A4204" s="108" t="s">
        <v>237</v>
      </c>
      <c r="B4204" s="108" t="s">
        <v>21425</v>
      </c>
      <c r="C4204" s="109">
        <v>41000</v>
      </c>
      <c r="D4204" s="108"/>
      <c r="E4204" s="108" t="s">
        <v>14605</v>
      </c>
      <c r="F4204" s="108" t="s">
        <v>21426</v>
      </c>
      <c r="G4204" s="110"/>
      <c r="H4204" s="108" t="s">
        <v>2464</v>
      </c>
      <c r="I4204" s="108"/>
    </row>
    <row r="4205" spans="1:9" ht="27.6">
      <c r="A4205" s="108" t="s">
        <v>237</v>
      </c>
      <c r="B4205" s="108" t="s">
        <v>21427</v>
      </c>
      <c r="C4205" s="109">
        <v>41815</v>
      </c>
      <c r="D4205" s="108"/>
      <c r="E4205" s="108" t="s">
        <v>14605</v>
      </c>
      <c r="F4205" s="108" t="s">
        <v>21428</v>
      </c>
      <c r="G4205" s="110"/>
      <c r="H4205" s="108" t="s">
        <v>2464</v>
      </c>
      <c r="I4205" s="108"/>
    </row>
    <row r="4206" spans="1:9">
      <c r="A4206" s="108" t="s">
        <v>237</v>
      </c>
      <c r="B4206" s="108" t="s">
        <v>21429</v>
      </c>
      <c r="C4206" s="109">
        <v>40893</v>
      </c>
      <c r="D4206" s="108"/>
      <c r="E4206" s="108" t="s">
        <v>14605</v>
      </c>
      <c r="F4206" s="108" t="s">
        <v>21430</v>
      </c>
      <c r="G4206" s="110"/>
      <c r="H4206" s="108" t="s">
        <v>2464</v>
      </c>
      <c r="I4206" s="108"/>
    </row>
    <row r="4207" spans="1:9">
      <c r="A4207" s="108" t="s">
        <v>87</v>
      </c>
      <c r="B4207" s="108" t="s">
        <v>21431</v>
      </c>
      <c r="C4207" s="109">
        <v>42551</v>
      </c>
      <c r="D4207" s="108"/>
      <c r="E4207" s="108" t="s">
        <v>14605</v>
      </c>
      <c r="F4207" s="108" t="s">
        <v>21432</v>
      </c>
      <c r="G4207" s="110"/>
      <c r="H4207" s="108" t="s">
        <v>2464</v>
      </c>
      <c r="I4207" s="108"/>
    </row>
    <row r="4208" spans="1:9" ht="27.6">
      <c r="A4208" s="108" t="s">
        <v>14690</v>
      </c>
      <c r="B4208" s="108" t="s">
        <v>21433</v>
      </c>
      <c r="C4208" s="109">
        <v>41087</v>
      </c>
      <c r="D4208" s="108"/>
      <c r="E4208" s="108" t="s">
        <v>14605</v>
      </c>
      <c r="F4208" s="108" t="s">
        <v>21434</v>
      </c>
      <c r="G4208" s="110"/>
      <c r="H4208" s="108" t="s">
        <v>2464</v>
      </c>
      <c r="I4208" s="108"/>
    </row>
    <row r="4209" spans="1:9" ht="27.6">
      <c r="A4209" s="108" t="s">
        <v>479</v>
      </c>
      <c r="B4209" s="108" t="s">
        <v>21435</v>
      </c>
      <c r="C4209" s="109">
        <v>40368</v>
      </c>
      <c r="D4209" s="108"/>
      <c r="E4209" s="108" t="s">
        <v>14605</v>
      </c>
      <c r="F4209" s="108" t="s">
        <v>21381</v>
      </c>
      <c r="G4209" s="110"/>
      <c r="H4209" s="108" t="s">
        <v>2464</v>
      </c>
      <c r="I4209" s="108"/>
    </row>
    <row r="4210" spans="1:9" ht="27.6">
      <c r="A4210" s="108" t="s">
        <v>479</v>
      </c>
      <c r="B4210" s="108" t="s">
        <v>21436</v>
      </c>
      <c r="C4210" s="109">
        <v>40763</v>
      </c>
      <c r="D4210" s="108"/>
      <c r="E4210" s="108" t="s">
        <v>14605</v>
      </c>
      <c r="F4210" s="108" t="s">
        <v>15077</v>
      </c>
      <c r="G4210" s="110"/>
      <c r="H4210" s="108" t="s">
        <v>2464</v>
      </c>
      <c r="I4210" s="108"/>
    </row>
    <row r="4211" spans="1:9" ht="27.6">
      <c r="A4211" s="108" t="s">
        <v>207</v>
      </c>
      <c r="B4211" s="108" t="s">
        <v>21437</v>
      </c>
      <c r="C4211" s="109">
        <v>41383</v>
      </c>
      <c r="D4211" s="108"/>
      <c r="E4211" s="108" t="s">
        <v>14605</v>
      </c>
      <c r="F4211" s="108" t="s">
        <v>21438</v>
      </c>
      <c r="G4211" s="110"/>
      <c r="H4211" s="108" t="s">
        <v>2464</v>
      </c>
      <c r="I4211" s="108"/>
    </row>
    <row r="4212" spans="1:9" ht="41.4">
      <c r="A4212" s="108" t="s">
        <v>118</v>
      </c>
      <c r="B4212" s="108" t="s">
        <v>21439</v>
      </c>
      <c r="C4212" s="109">
        <v>42037</v>
      </c>
      <c r="D4212" s="108"/>
      <c r="E4212" s="108" t="s">
        <v>14605</v>
      </c>
      <c r="F4212" s="108" t="s">
        <v>21290</v>
      </c>
      <c r="G4212" s="110"/>
      <c r="H4212" s="108" t="s">
        <v>2464</v>
      </c>
      <c r="I4212" s="108"/>
    </row>
    <row r="4213" spans="1:9">
      <c r="A4213" s="108" t="s">
        <v>169</v>
      </c>
      <c r="B4213" s="108" t="s">
        <v>21440</v>
      </c>
      <c r="C4213" s="109">
        <v>44194</v>
      </c>
      <c r="D4213" s="108"/>
      <c r="E4213" s="108" t="s">
        <v>14605</v>
      </c>
      <c r="F4213" s="108" t="s">
        <v>21441</v>
      </c>
      <c r="G4213" s="110"/>
      <c r="H4213" s="108" t="s">
        <v>2464</v>
      </c>
      <c r="I4213" s="108"/>
    </row>
    <row r="4214" spans="1:9">
      <c r="A4214" s="108" t="s">
        <v>169</v>
      </c>
      <c r="B4214" s="108" t="s">
        <v>21442</v>
      </c>
      <c r="C4214" s="109">
        <v>44288</v>
      </c>
      <c r="D4214" s="108"/>
      <c r="E4214" s="108" t="s">
        <v>14605</v>
      </c>
      <c r="F4214" s="108" t="s">
        <v>21443</v>
      </c>
      <c r="G4214" s="110"/>
      <c r="H4214" s="108" t="s">
        <v>2464</v>
      </c>
      <c r="I4214" s="108"/>
    </row>
    <row r="4215" spans="1:9" ht="27.6">
      <c r="A4215" s="108" t="s">
        <v>169</v>
      </c>
      <c r="B4215" s="108" t="s">
        <v>21444</v>
      </c>
      <c r="C4215" s="109">
        <v>44288</v>
      </c>
      <c r="D4215" s="108"/>
      <c r="E4215" s="108" t="s">
        <v>14605</v>
      </c>
      <c r="F4215" s="108" t="s">
        <v>21445</v>
      </c>
      <c r="G4215" s="110"/>
      <c r="H4215" s="108" t="s">
        <v>2464</v>
      </c>
      <c r="I4215" s="108"/>
    </row>
    <row r="4216" spans="1:9">
      <c r="A4216" s="108" t="s">
        <v>169</v>
      </c>
      <c r="B4216" s="108" t="s">
        <v>21446</v>
      </c>
      <c r="C4216" s="109">
        <v>44692</v>
      </c>
      <c r="D4216" s="108"/>
      <c r="E4216" s="108" t="s">
        <v>14605</v>
      </c>
      <c r="F4216" s="108" t="s">
        <v>21383</v>
      </c>
      <c r="G4216" s="110"/>
      <c r="H4216" s="108" t="s">
        <v>2464</v>
      </c>
      <c r="I4216" s="108"/>
    </row>
    <row r="4217" spans="1:9" ht="27.6">
      <c r="A4217" s="108" t="s">
        <v>8247</v>
      </c>
      <c r="B4217" s="108" t="s">
        <v>21447</v>
      </c>
      <c r="C4217" s="109">
        <v>45972</v>
      </c>
      <c r="D4217" s="108"/>
      <c r="E4217" s="108" t="s">
        <v>14605</v>
      </c>
      <c r="F4217" s="108" t="s">
        <v>21448</v>
      </c>
      <c r="G4217" s="110"/>
      <c r="H4217" s="108" t="s">
        <v>2464</v>
      </c>
      <c r="I4217" s="108"/>
    </row>
    <row r="4218" spans="1:9" ht="27.6">
      <c r="A4218" s="108" t="s">
        <v>15075</v>
      </c>
      <c r="B4218" s="108" t="s">
        <v>21449</v>
      </c>
      <c r="C4218" s="109">
        <v>44580</v>
      </c>
      <c r="D4218" s="108" t="s">
        <v>21450</v>
      </c>
      <c r="E4218" s="108" t="s">
        <v>14605</v>
      </c>
      <c r="F4218" s="108" t="s">
        <v>15992</v>
      </c>
      <c r="G4218" s="109">
        <v>46385</v>
      </c>
      <c r="H4218" s="108" t="s">
        <v>2464</v>
      </c>
      <c r="I4218" s="108" t="s">
        <v>95</v>
      </c>
    </row>
    <row r="4219" spans="1:9" ht="27.6">
      <c r="A4219" s="108" t="s">
        <v>109</v>
      </c>
      <c r="B4219" s="108" t="s">
        <v>21451</v>
      </c>
      <c r="C4219" s="109">
        <v>44623</v>
      </c>
      <c r="D4219" s="108" t="s">
        <v>21452</v>
      </c>
      <c r="E4219" s="108" t="s">
        <v>14605</v>
      </c>
      <c r="F4219" s="108" t="s">
        <v>21418</v>
      </c>
      <c r="G4219" s="109">
        <v>46445</v>
      </c>
      <c r="H4219" s="108" t="s">
        <v>2464</v>
      </c>
      <c r="I4219" s="108" t="s">
        <v>95</v>
      </c>
    </row>
    <row r="4220" spans="1:9">
      <c r="A4220" s="108" t="s">
        <v>16986</v>
      </c>
      <c r="B4220" s="108" t="s">
        <v>21453</v>
      </c>
      <c r="C4220" s="109">
        <v>44547</v>
      </c>
      <c r="D4220" s="108" t="s">
        <v>21450</v>
      </c>
      <c r="E4220" s="108" t="s">
        <v>14605</v>
      </c>
      <c r="F4220" s="108" t="s">
        <v>15992</v>
      </c>
      <c r="G4220" s="109">
        <v>46385</v>
      </c>
      <c r="H4220" s="108" t="s">
        <v>2464</v>
      </c>
      <c r="I4220" s="108" t="s">
        <v>95</v>
      </c>
    </row>
    <row r="4221" spans="1:9">
      <c r="A4221" s="108" t="s">
        <v>244</v>
      </c>
      <c r="B4221" s="108" t="s">
        <v>21454</v>
      </c>
      <c r="C4221" s="109">
        <v>45077</v>
      </c>
      <c r="D4221" s="108" t="s">
        <v>21455</v>
      </c>
      <c r="E4221" s="108" t="s">
        <v>14605</v>
      </c>
      <c r="F4221" s="108" t="s">
        <v>21456</v>
      </c>
      <c r="G4221" s="109">
        <v>45754</v>
      </c>
      <c r="H4221" s="108" t="s">
        <v>2464</v>
      </c>
      <c r="I4221" s="108" t="s">
        <v>95</v>
      </c>
    </row>
    <row r="4222" spans="1:9">
      <c r="A4222" s="108" t="s">
        <v>16151</v>
      </c>
      <c r="B4222" s="108" t="s">
        <v>21457</v>
      </c>
      <c r="C4222" s="109">
        <v>44206</v>
      </c>
      <c r="D4222" s="108" t="s">
        <v>21458</v>
      </c>
      <c r="E4222" s="108" t="s">
        <v>14605</v>
      </c>
      <c r="F4222" s="108" t="s">
        <v>21288</v>
      </c>
      <c r="G4222" s="109">
        <v>46112</v>
      </c>
      <c r="H4222" s="108" t="s">
        <v>2464</v>
      </c>
      <c r="I4222" s="108" t="s">
        <v>95</v>
      </c>
    </row>
    <row r="4223" spans="1:9">
      <c r="A4223" s="108" t="s">
        <v>16151</v>
      </c>
      <c r="B4223" s="108" t="s">
        <v>21459</v>
      </c>
      <c r="C4223" s="109">
        <v>44717</v>
      </c>
      <c r="D4223" s="108" t="s">
        <v>21460</v>
      </c>
      <c r="E4223" s="108" t="s">
        <v>14605</v>
      </c>
      <c r="F4223" s="108" t="s">
        <v>15077</v>
      </c>
      <c r="G4223" s="109">
        <v>46531</v>
      </c>
      <c r="H4223" s="108" t="s">
        <v>2464</v>
      </c>
      <c r="I4223" s="108" t="s">
        <v>95</v>
      </c>
    </row>
    <row r="4224" spans="1:9">
      <c r="A4224" s="108" t="s">
        <v>16151</v>
      </c>
      <c r="B4224" s="108" t="s">
        <v>21461</v>
      </c>
      <c r="C4224" s="109">
        <v>44804</v>
      </c>
      <c r="D4224" s="108" t="s">
        <v>21462</v>
      </c>
      <c r="E4224" s="108" t="s">
        <v>14605</v>
      </c>
      <c r="F4224" s="108" t="s">
        <v>21463</v>
      </c>
      <c r="G4224" s="109">
        <v>46610</v>
      </c>
      <c r="H4224" s="108" t="s">
        <v>2464</v>
      </c>
      <c r="I4224" s="108" t="s">
        <v>95</v>
      </c>
    </row>
    <row r="4225" spans="1:9">
      <c r="A4225" s="108" t="s">
        <v>16151</v>
      </c>
      <c r="B4225" s="108" t="s">
        <v>21464</v>
      </c>
      <c r="C4225" s="109">
        <v>44896</v>
      </c>
      <c r="D4225" s="108" t="s">
        <v>21465</v>
      </c>
      <c r="E4225" s="108" t="s">
        <v>14605</v>
      </c>
      <c r="F4225" s="108" t="s">
        <v>21288</v>
      </c>
      <c r="G4225" s="109">
        <v>45994</v>
      </c>
      <c r="H4225" s="108" t="s">
        <v>2464</v>
      </c>
      <c r="I4225" s="108" t="s">
        <v>95</v>
      </c>
    </row>
    <row r="4226" spans="1:9">
      <c r="A4226" s="108" t="s">
        <v>2002</v>
      </c>
      <c r="B4226" s="108" t="s">
        <v>21466</v>
      </c>
      <c r="C4226" s="109">
        <v>42926</v>
      </c>
      <c r="D4226" s="108" t="s">
        <v>21467</v>
      </c>
      <c r="E4226" s="108" t="s">
        <v>14605</v>
      </c>
      <c r="F4226" s="108" t="s">
        <v>21355</v>
      </c>
      <c r="G4226" s="109">
        <v>45266</v>
      </c>
      <c r="H4226" s="108" t="s">
        <v>2464</v>
      </c>
      <c r="I4226" s="108" t="s">
        <v>164</v>
      </c>
    </row>
    <row r="4227" spans="1:9">
      <c r="A4227" s="108" t="s">
        <v>87</v>
      </c>
      <c r="B4227" s="108" t="s">
        <v>21468</v>
      </c>
      <c r="C4227" s="109">
        <v>44396</v>
      </c>
      <c r="D4227" s="108" t="s">
        <v>21469</v>
      </c>
      <c r="E4227" s="108" t="s">
        <v>14605</v>
      </c>
      <c r="F4227" s="108" t="s">
        <v>21470</v>
      </c>
      <c r="G4227" s="109">
        <v>46081</v>
      </c>
      <c r="H4227" s="108" t="s">
        <v>2464</v>
      </c>
      <c r="I4227" s="108" t="s">
        <v>164</v>
      </c>
    </row>
    <row r="4228" spans="1:9" ht="27.6">
      <c r="A4228" s="108" t="s">
        <v>207</v>
      </c>
      <c r="B4228" s="108" t="s">
        <v>21471</v>
      </c>
      <c r="C4228" s="109">
        <v>41837</v>
      </c>
      <c r="D4228" s="108" t="s">
        <v>21472</v>
      </c>
      <c r="E4228" s="108" t="s">
        <v>14605</v>
      </c>
      <c r="F4228" s="108" t="s">
        <v>21473</v>
      </c>
      <c r="G4228" s="109">
        <v>45382</v>
      </c>
      <c r="H4228" s="108" t="s">
        <v>2464</v>
      </c>
      <c r="I4228" s="108" t="s">
        <v>206</v>
      </c>
    </row>
    <row r="4229" spans="1:9" ht="27.6">
      <c r="A4229" s="108" t="s">
        <v>14950</v>
      </c>
      <c r="B4229" s="108" t="s">
        <v>21474</v>
      </c>
      <c r="C4229" s="109">
        <v>44204</v>
      </c>
      <c r="D4229" s="108" t="s">
        <v>21475</v>
      </c>
      <c r="E4229" s="108" t="s">
        <v>14605</v>
      </c>
      <c r="F4229" s="108" t="s">
        <v>21288</v>
      </c>
      <c r="G4229" s="109">
        <v>44749</v>
      </c>
      <c r="H4229" s="108" t="s">
        <v>2464</v>
      </c>
      <c r="I4229" s="108" t="s">
        <v>108</v>
      </c>
    </row>
    <row r="4230" spans="1:9" ht="27.6">
      <c r="A4230" s="108" t="s">
        <v>3156</v>
      </c>
      <c r="B4230" s="108" t="s">
        <v>21476</v>
      </c>
      <c r="C4230" s="109">
        <v>45377</v>
      </c>
      <c r="D4230" s="108" t="s">
        <v>21477</v>
      </c>
      <c r="E4230" s="108" t="s">
        <v>14605</v>
      </c>
      <c r="F4230" s="108" t="s">
        <v>21478</v>
      </c>
      <c r="G4230" s="109">
        <v>45673</v>
      </c>
      <c r="H4230" s="108" t="s">
        <v>2464</v>
      </c>
      <c r="I4230" s="108" t="s">
        <v>108</v>
      </c>
    </row>
    <row r="4231" spans="1:9">
      <c r="A4231" s="108" t="s">
        <v>169</v>
      </c>
      <c r="B4231" s="108" t="s">
        <v>21479</v>
      </c>
      <c r="C4231" s="109">
        <v>45414</v>
      </c>
      <c r="D4231" s="108" t="s">
        <v>21480</v>
      </c>
      <c r="E4231" s="108" t="s">
        <v>14605</v>
      </c>
      <c r="F4231" s="108" t="s">
        <v>21481</v>
      </c>
      <c r="G4231" s="109">
        <v>45546</v>
      </c>
      <c r="H4231" s="108" t="s">
        <v>2464</v>
      </c>
      <c r="I4231" s="108" t="s">
        <v>108</v>
      </c>
    </row>
    <row r="4232" spans="1:9">
      <c r="A4232" s="108" t="s">
        <v>169</v>
      </c>
      <c r="B4232" s="108" t="s">
        <v>21482</v>
      </c>
      <c r="C4232" s="109">
        <v>45559</v>
      </c>
      <c r="D4232" s="108" t="s">
        <v>21483</v>
      </c>
      <c r="E4232" s="108" t="s">
        <v>14605</v>
      </c>
      <c r="F4232" s="108" t="s">
        <v>21484</v>
      </c>
      <c r="G4232" s="109">
        <v>45896</v>
      </c>
      <c r="H4232" s="108" t="s">
        <v>2464</v>
      </c>
      <c r="I4232" s="108" t="s">
        <v>108</v>
      </c>
    </row>
    <row r="4233" spans="1:9" ht="27.6">
      <c r="A4233" s="108" t="s">
        <v>109</v>
      </c>
      <c r="B4233" s="108" t="s">
        <v>21485</v>
      </c>
      <c r="C4233" s="109">
        <v>45251</v>
      </c>
      <c r="D4233" s="108" t="s">
        <v>21486</v>
      </c>
      <c r="E4233" s="108" t="s">
        <v>14605</v>
      </c>
      <c r="F4233" s="108" t="s">
        <v>21351</v>
      </c>
      <c r="G4233" s="109">
        <v>45616</v>
      </c>
      <c r="H4233" s="108" t="s">
        <v>2464</v>
      </c>
      <c r="I4233" s="108" t="s">
        <v>108</v>
      </c>
    </row>
    <row r="4234" spans="1:9" ht="27.6">
      <c r="A4234" s="108" t="s">
        <v>109</v>
      </c>
      <c r="B4234" s="108" t="s">
        <v>4163</v>
      </c>
      <c r="C4234" s="109">
        <v>45766</v>
      </c>
      <c r="D4234" s="108" t="s">
        <v>4165</v>
      </c>
      <c r="E4234" s="108" t="s">
        <v>14605</v>
      </c>
      <c r="F4234" s="108" t="s">
        <v>4164</v>
      </c>
      <c r="G4234" s="109">
        <v>46128</v>
      </c>
      <c r="H4234" s="108" t="s">
        <v>2464</v>
      </c>
      <c r="I4234" s="108" t="s">
        <v>108</v>
      </c>
    </row>
    <row r="4235" spans="1:9">
      <c r="A4235" s="108" t="s">
        <v>16151</v>
      </c>
      <c r="B4235" s="108" t="s">
        <v>2465</v>
      </c>
      <c r="C4235" s="109">
        <v>45735</v>
      </c>
      <c r="D4235" s="108" t="s">
        <v>2466</v>
      </c>
      <c r="E4235" s="108" t="s">
        <v>14605</v>
      </c>
      <c r="F4235" s="108" t="s">
        <v>2461</v>
      </c>
      <c r="G4235" s="109">
        <v>46053</v>
      </c>
      <c r="H4235" s="108" t="s">
        <v>2464</v>
      </c>
      <c r="I4235" s="108" t="s">
        <v>108</v>
      </c>
    </row>
    <row r="4236" spans="1:9" ht="27.6">
      <c r="A4236" s="108" t="s">
        <v>16151</v>
      </c>
      <c r="B4236" s="108" t="s">
        <v>21487</v>
      </c>
      <c r="C4236" s="109">
        <v>45527</v>
      </c>
      <c r="D4236" s="108" t="s">
        <v>21488</v>
      </c>
      <c r="E4236" s="108" t="s">
        <v>14605</v>
      </c>
      <c r="F4236" s="108" t="s">
        <v>21371</v>
      </c>
      <c r="G4236" s="109">
        <v>45900</v>
      </c>
      <c r="H4236" s="108" t="s">
        <v>2464</v>
      </c>
      <c r="I4236" s="108" t="s">
        <v>108</v>
      </c>
    </row>
    <row r="4237" spans="1:9" ht="41.4">
      <c r="A4237" s="108" t="s">
        <v>16151</v>
      </c>
      <c r="B4237" s="108" t="s">
        <v>21489</v>
      </c>
      <c r="C4237" s="109">
        <v>45531</v>
      </c>
      <c r="D4237" s="108" t="s">
        <v>21490</v>
      </c>
      <c r="E4237" s="108" t="s">
        <v>14605</v>
      </c>
      <c r="F4237" s="108" t="s">
        <v>21373</v>
      </c>
      <c r="G4237" s="109">
        <v>45900</v>
      </c>
      <c r="H4237" s="108" t="s">
        <v>2464</v>
      </c>
      <c r="I4237" s="108" t="s">
        <v>108</v>
      </c>
    </row>
    <row r="4238" spans="1:9" ht="27.6">
      <c r="A4238" s="108" t="s">
        <v>16151</v>
      </c>
      <c r="B4238" s="108" t="s">
        <v>21491</v>
      </c>
      <c r="C4238" s="109">
        <v>45557</v>
      </c>
      <c r="D4238" s="108" t="s">
        <v>21492</v>
      </c>
      <c r="E4238" s="108" t="s">
        <v>14605</v>
      </c>
      <c r="F4238" s="108" t="s">
        <v>21375</v>
      </c>
      <c r="G4238" s="109">
        <v>45900</v>
      </c>
      <c r="H4238" s="108" t="s">
        <v>2464</v>
      </c>
      <c r="I4238" s="108" t="s">
        <v>108</v>
      </c>
    </row>
    <row r="4239" spans="1:9" ht="27.6">
      <c r="A4239" s="108" t="s">
        <v>16151</v>
      </c>
      <c r="B4239" s="108" t="s">
        <v>21493</v>
      </c>
      <c r="C4239" s="109">
        <v>45525</v>
      </c>
      <c r="D4239" s="108" t="s">
        <v>21494</v>
      </c>
      <c r="E4239" s="108" t="s">
        <v>14605</v>
      </c>
      <c r="F4239" s="108" t="s">
        <v>21377</v>
      </c>
      <c r="G4239" s="109">
        <v>45900</v>
      </c>
      <c r="H4239" s="108" t="s">
        <v>2464</v>
      </c>
      <c r="I4239" s="108" t="s">
        <v>108</v>
      </c>
    </row>
    <row r="4240" spans="1:9">
      <c r="A4240" s="108" t="s">
        <v>87</v>
      </c>
      <c r="B4240" s="108" t="s">
        <v>21495</v>
      </c>
      <c r="C4240" s="109">
        <v>44357</v>
      </c>
      <c r="D4240" s="108"/>
      <c r="E4240" s="108" t="s">
        <v>14605</v>
      </c>
      <c r="F4240" s="108" t="s">
        <v>21496</v>
      </c>
      <c r="G4240" s="110"/>
      <c r="H4240" s="108" t="s">
        <v>21497</v>
      </c>
      <c r="I4240" s="108"/>
    </row>
    <row r="4241" spans="1:9">
      <c r="A4241" s="108" t="s">
        <v>199</v>
      </c>
      <c r="B4241" s="108" t="s">
        <v>21498</v>
      </c>
      <c r="C4241" s="109">
        <v>40935</v>
      </c>
      <c r="D4241" s="108"/>
      <c r="E4241" s="108" t="s">
        <v>14605</v>
      </c>
      <c r="F4241" s="108" t="s">
        <v>21499</v>
      </c>
      <c r="G4241" s="110"/>
      <c r="H4241" s="108" t="s">
        <v>21500</v>
      </c>
      <c r="I4241" s="108"/>
    </row>
    <row r="4242" spans="1:9" ht="27.6">
      <c r="A4242" s="108" t="s">
        <v>14690</v>
      </c>
      <c r="B4242" s="108" t="s">
        <v>21501</v>
      </c>
      <c r="C4242" s="109">
        <v>41352</v>
      </c>
      <c r="D4242" s="108"/>
      <c r="E4242" s="108" t="s">
        <v>14605</v>
      </c>
      <c r="F4242" s="108" t="s">
        <v>21502</v>
      </c>
      <c r="G4242" s="110"/>
      <c r="H4242" s="108" t="s">
        <v>21503</v>
      </c>
      <c r="I4242" s="108"/>
    </row>
    <row r="4243" spans="1:9">
      <c r="A4243" s="108" t="s">
        <v>237</v>
      </c>
      <c r="B4243" s="108" t="s">
        <v>21504</v>
      </c>
      <c r="C4243" s="109">
        <v>41547</v>
      </c>
      <c r="D4243" s="108"/>
      <c r="E4243" s="108" t="s">
        <v>14605</v>
      </c>
      <c r="F4243" s="108" t="s">
        <v>21505</v>
      </c>
      <c r="G4243" s="110"/>
      <c r="H4243" s="108" t="s">
        <v>21503</v>
      </c>
      <c r="I4243" s="108"/>
    </row>
    <row r="4244" spans="1:9">
      <c r="A4244" s="108" t="s">
        <v>237</v>
      </c>
      <c r="B4244" s="108" t="s">
        <v>21506</v>
      </c>
      <c r="C4244" s="109">
        <v>41619</v>
      </c>
      <c r="D4244" s="108"/>
      <c r="E4244" s="108" t="s">
        <v>14605</v>
      </c>
      <c r="F4244" s="108" t="s">
        <v>21507</v>
      </c>
      <c r="G4244" s="110"/>
      <c r="H4244" s="108" t="s">
        <v>21503</v>
      </c>
      <c r="I4244" s="108"/>
    </row>
    <row r="4245" spans="1:9" ht="27.6">
      <c r="A4245" s="108" t="s">
        <v>647</v>
      </c>
      <c r="B4245" s="108" t="s">
        <v>21508</v>
      </c>
      <c r="C4245" s="109">
        <v>41247</v>
      </c>
      <c r="D4245" s="108"/>
      <c r="E4245" s="108" t="s">
        <v>14605</v>
      </c>
      <c r="F4245" s="108" t="s">
        <v>21509</v>
      </c>
      <c r="G4245" s="110"/>
      <c r="H4245" s="108" t="s">
        <v>21503</v>
      </c>
      <c r="I4245" s="108"/>
    </row>
    <row r="4246" spans="1:9">
      <c r="A4246" s="108" t="s">
        <v>169</v>
      </c>
      <c r="B4246" s="108" t="s">
        <v>21510</v>
      </c>
      <c r="C4246" s="109">
        <v>41579</v>
      </c>
      <c r="D4246" s="108"/>
      <c r="E4246" s="108" t="s">
        <v>14605</v>
      </c>
      <c r="F4246" s="108" t="s">
        <v>15388</v>
      </c>
      <c r="G4246" s="110"/>
      <c r="H4246" s="108" t="s">
        <v>21503</v>
      </c>
      <c r="I4246" s="108"/>
    </row>
    <row r="4247" spans="1:9" ht="27.6">
      <c r="A4247" s="108" t="s">
        <v>169</v>
      </c>
      <c r="B4247" s="108" t="s">
        <v>21511</v>
      </c>
      <c r="C4247" s="109">
        <v>43186</v>
      </c>
      <c r="D4247" s="108"/>
      <c r="E4247" s="108" t="s">
        <v>14605</v>
      </c>
      <c r="F4247" s="108" t="s">
        <v>21512</v>
      </c>
      <c r="G4247" s="110"/>
      <c r="H4247" s="108" t="s">
        <v>21503</v>
      </c>
      <c r="I4247" s="108"/>
    </row>
    <row r="4248" spans="1:9">
      <c r="A4248" s="108" t="s">
        <v>87</v>
      </c>
      <c r="B4248" s="108" t="s">
        <v>21513</v>
      </c>
      <c r="C4248" s="109">
        <v>42677</v>
      </c>
      <c r="D4248" s="108"/>
      <c r="E4248" s="108" t="s">
        <v>14605</v>
      </c>
      <c r="F4248" s="108" t="s">
        <v>21514</v>
      </c>
      <c r="G4248" s="110"/>
      <c r="H4248" s="108" t="s">
        <v>21503</v>
      </c>
      <c r="I4248" s="108"/>
    </row>
    <row r="4249" spans="1:9">
      <c r="A4249" s="108" t="s">
        <v>16935</v>
      </c>
      <c r="B4249" s="108" t="s">
        <v>21515</v>
      </c>
      <c r="C4249" s="109">
        <v>39147</v>
      </c>
      <c r="D4249" s="108"/>
      <c r="E4249" s="108" t="s">
        <v>14605</v>
      </c>
      <c r="F4249" s="108" t="s">
        <v>21514</v>
      </c>
      <c r="G4249" s="110"/>
      <c r="H4249" s="108" t="s">
        <v>21503</v>
      </c>
      <c r="I4249" s="108"/>
    </row>
    <row r="4250" spans="1:9" ht="27.6">
      <c r="A4250" s="108" t="s">
        <v>16935</v>
      </c>
      <c r="B4250" s="108" t="s">
        <v>21516</v>
      </c>
      <c r="C4250" s="109">
        <v>39202</v>
      </c>
      <c r="D4250" s="108"/>
      <c r="E4250" s="108" t="s">
        <v>14605</v>
      </c>
      <c r="F4250" s="108" t="s">
        <v>21517</v>
      </c>
      <c r="G4250" s="110"/>
      <c r="H4250" s="108" t="s">
        <v>21503</v>
      </c>
      <c r="I4250" s="108"/>
    </row>
    <row r="4251" spans="1:9">
      <c r="A4251" s="108" t="s">
        <v>16935</v>
      </c>
      <c r="B4251" s="108" t="s">
        <v>21518</v>
      </c>
      <c r="C4251" s="109">
        <v>39335</v>
      </c>
      <c r="D4251" s="108"/>
      <c r="E4251" s="108" t="s">
        <v>14605</v>
      </c>
      <c r="F4251" s="108" t="s">
        <v>21519</v>
      </c>
      <c r="G4251" s="110"/>
      <c r="H4251" s="108" t="s">
        <v>21503</v>
      </c>
      <c r="I4251" s="108"/>
    </row>
    <row r="4252" spans="1:9" ht="27.6">
      <c r="A4252" s="108" t="s">
        <v>16935</v>
      </c>
      <c r="B4252" s="108" t="s">
        <v>21520</v>
      </c>
      <c r="C4252" s="109">
        <v>39517</v>
      </c>
      <c r="D4252" s="108"/>
      <c r="E4252" s="108" t="s">
        <v>14605</v>
      </c>
      <c r="F4252" s="108" t="s">
        <v>21521</v>
      </c>
      <c r="G4252" s="110"/>
      <c r="H4252" s="108" t="s">
        <v>21503</v>
      </c>
      <c r="I4252" s="108"/>
    </row>
    <row r="4253" spans="1:9" ht="27.6">
      <c r="A4253" s="108" t="s">
        <v>237</v>
      </c>
      <c r="B4253" s="108" t="s">
        <v>21522</v>
      </c>
      <c r="C4253" s="109">
        <v>40302</v>
      </c>
      <c r="D4253" s="108"/>
      <c r="E4253" s="108" t="s">
        <v>14605</v>
      </c>
      <c r="F4253" s="108" t="s">
        <v>21521</v>
      </c>
      <c r="G4253" s="110"/>
      <c r="H4253" s="108" t="s">
        <v>21503</v>
      </c>
      <c r="I4253" s="108"/>
    </row>
    <row r="4254" spans="1:9" ht="27.6">
      <c r="A4254" s="108" t="s">
        <v>118</v>
      </c>
      <c r="B4254" s="108" t="s">
        <v>21523</v>
      </c>
      <c r="C4254" s="109">
        <v>42932</v>
      </c>
      <c r="D4254" s="108"/>
      <c r="E4254" s="108" t="s">
        <v>14605</v>
      </c>
      <c r="F4254" s="108" t="s">
        <v>21521</v>
      </c>
      <c r="G4254" s="110"/>
      <c r="H4254" s="108" t="s">
        <v>21503</v>
      </c>
      <c r="I4254" s="108"/>
    </row>
    <row r="4255" spans="1:9" ht="27.6">
      <c r="A4255" s="108" t="s">
        <v>1072</v>
      </c>
      <c r="B4255" s="108" t="s">
        <v>21524</v>
      </c>
      <c r="C4255" s="109">
        <v>44246</v>
      </c>
      <c r="D4255" s="108" t="s">
        <v>21525</v>
      </c>
      <c r="E4255" s="108" t="s">
        <v>14605</v>
      </c>
      <c r="F4255" s="108" t="s">
        <v>21521</v>
      </c>
      <c r="G4255" s="109">
        <v>45948</v>
      </c>
      <c r="H4255" s="108" t="s">
        <v>21503</v>
      </c>
      <c r="I4255" s="108" t="s">
        <v>95</v>
      </c>
    </row>
    <row r="4256" spans="1:9" ht="27.6">
      <c r="A4256" s="108" t="s">
        <v>109</v>
      </c>
      <c r="B4256" s="108" t="s">
        <v>21526</v>
      </c>
      <c r="C4256" s="109">
        <v>44245</v>
      </c>
      <c r="D4256" s="108" t="s">
        <v>21527</v>
      </c>
      <c r="E4256" s="108" t="s">
        <v>14605</v>
      </c>
      <c r="F4256" s="108" t="s">
        <v>21521</v>
      </c>
      <c r="G4256" s="109">
        <v>45948</v>
      </c>
      <c r="H4256" s="108" t="s">
        <v>21503</v>
      </c>
      <c r="I4256" s="108" t="s">
        <v>95</v>
      </c>
    </row>
    <row r="4257" spans="1:9" ht="27.6">
      <c r="A4257" s="108" t="s">
        <v>388</v>
      </c>
      <c r="B4257" s="108" t="s">
        <v>21528</v>
      </c>
      <c r="C4257" s="109">
        <v>43775</v>
      </c>
      <c r="D4257" s="108" t="s">
        <v>21529</v>
      </c>
      <c r="E4257" s="108" t="s">
        <v>16121</v>
      </c>
      <c r="F4257" s="108" t="s">
        <v>21530</v>
      </c>
      <c r="G4257" s="109">
        <v>45993</v>
      </c>
      <c r="H4257" s="108" t="s">
        <v>21503</v>
      </c>
      <c r="I4257" s="108" t="s">
        <v>95</v>
      </c>
    </row>
    <row r="4258" spans="1:9" ht="27.6">
      <c r="A4258" s="108" t="s">
        <v>17130</v>
      </c>
      <c r="B4258" s="108" t="s">
        <v>21531</v>
      </c>
      <c r="C4258" s="109">
        <v>43735</v>
      </c>
      <c r="D4258" s="108" t="s">
        <v>21532</v>
      </c>
      <c r="E4258" s="108" t="s">
        <v>14605</v>
      </c>
      <c r="F4258" s="108" t="s">
        <v>15388</v>
      </c>
      <c r="G4258" s="109">
        <v>45747</v>
      </c>
      <c r="H4258" s="108" t="s">
        <v>21503</v>
      </c>
      <c r="I4258" s="108" t="s">
        <v>2880</v>
      </c>
    </row>
    <row r="4259" spans="1:9" ht="27.6">
      <c r="A4259" s="108" t="s">
        <v>17130</v>
      </c>
      <c r="B4259" s="108" t="s">
        <v>21533</v>
      </c>
      <c r="C4259" s="109">
        <v>44343</v>
      </c>
      <c r="D4259" s="108" t="s">
        <v>21534</v>
      </c>
      <c r="E4259" s="108" t="s">
        <v>14605</v>
      </c>
      <c r="F4259" s="108" t="s">
        <v>21509</v>
      </c>
      <c r="G4259" s="109">
        <v>45439</v>
      </c>
      <c r="H4259" s="108" t="s">
        <v>21503</v>
      </c>
      <c r="I4259" s="108" t="s">
        <v>21535</v>
      </c>
    </row>
    <row r="4260" spans="1:9">
      <c r="A4260" s="108" t="s">
        <v>571</v>
      </c>
      <c r="B4260" s="108" t="s">
        <v>21536</v>
      </c>
      <c r="C4260" s="109">
        <v>43861</v>
      </c>
      <c r="D4260" s="108" t="s">
        <v>21537</v>
      </c>
      <c r="E4260" s="108" t="s">
        <v>14605</v>
      </c>
      <c r="F4260" s="108" t="s">
        <v>21509</v>
      </c>
      <c r="G4260" s="109">
        <v>45684</v>
      </c>
      <c r="H4260" s="108" t="s">
        <v>21503</v>
      </c>
      <c r="I4260" s="108" t="s">
        <v>164</v>
      </c>
    </row>
    <row r="4261" spans="1:9">
      <c r="A4261" s="108" t="s">
        <v>118</v>
      </c>
      <c r="B4261" s="108" t="s">
        <v>21538</v>
      </c>
      <c r="C4261" s="109">
        <v>42908</v>
      </c>
      <c r="D4261" s="108" t="s">
        <v>21539</v>
      </c>
      <c r="E4261" s="108" t="s">
        <v>14605</v>
      </c>
      <c r="F4261" s="108" t="s">
        <v>15388</v>
      </c>
      <c r="G4261" s="109">
        <v>45464</v>
      </c>
      <c r="H4261" s="108" t="s">
        <v>21503</v>
      </c>
      <c r="I4261" s="108" t="s">
        <v>206</v>
      </c>
    </row>
    <row r="4262" spans="1:9">
      <c r="A4262" s="108" t="s">
        <v>118</v>
      </c>
      <c r="B4262" s="108" t="s">
        <v>21540</v>
      </c>
      <c r="C4262" s="109">
        <v>44866</v>
      </c>
      <c r="D4262" s="108" t="s">
        <v>21541</v>
      </c>
      <c r="E4262" s="108" t="s">
        <v>14605</v>
      </c>
      <c r="F4262" s="108" t="s">
        <v>21502</v>
      </c>
      <c r="G4262" s="109">
        <v>46356</v>
      </c>
      <c r="H4262" s="108" t="s">
        <v>21503</v>
      </c>
      <c r="I4262" s="108" t="s">
        <v>117</v>
      </c>
    </row>
    <row r="4263" spans="1:9">
      <c r="A4263" s="108" t="s">
        <v>169</v>
      </c>
      <c r="B4263" s="108" t="s">
        <v>21542</v>
      </c>
      <c r="C4263" s="109">
        <v>44347</v>
      </c>
      <c r="D4263" s="108" t="s">
        <v>21543</v>
      </c>
      <c r="E4263" s="108" t="s">
        <v>14605</v>
      </c>
      <c r="F4263" s="108" t="s">
        <v>21544</v>
      </c>
      <c r="G4263" s="109">
        <v>46053</v>
      </c>
      <c r="H4263" s="108" t="s">
        <v>21503</v>
      </c>
      <c r="I4263" s="108" t="s">
        <v>721</v>
      </c>
    </row>
    <row r="4264" spans="1:9" ht="27.6">
      <c r="A4264" s="108" t="s">
        <v>16149</v>
      </c>
      <c r="B4264" s="108" t="s">
        <v>21545</v>
      </c>
      <c r="C4264" s="109">
        <v>44840</v>
      </c>
      <c r="D4264" s="108" t="s">
        <v>21546</v>
      </c>
      <c r="E4264" s="108" t="s">
        <v>14605</v>
      </c>
      <c r="F4264" s="108" t="s">
        <v>21547</v>
      </c>
      <c r="G4264" s="109">
        <v>46013</v>
      </c>
      <c r="H4264" s="108" t="s">
        <v>21503</v>
      </c>
      <c r="I4264" s="108" t="s">
        <v>133</v>
      </c>
    </row>
    <row r="4265" spans="1:9" ht="27.6">
      <c r="A4265" s="108" t="s">
        <v>14950</v>
      </c>
      <c r="B4265" s="108" t="s">
        <v>21548</v>
      </c>
      <c r="C4265" s="109">
        <v>44244</v>
      </c>
      <c r="D4265" s="108" t="s">
        <v>21549</v>
      </c>
      <c r="E4265" s="108" t="s">
        <v>14605</v>
      </c>
      <c r="F4265" s="108" t="s">
        <v>21521</v>
      </c>
      <c r="G4265" s="109">
        <v>44609</v>
      </c>
      <c r="H4265" s="108" t="s">
        <v>21503</v>
      </c>
      <c r="I4265" s="108" t="s">
        <v>108</v>
      </c>
    </row>
    <row r="4266" spans="1:9">
      <c r="A4266" s="108" t="s">
        <v>169</v>
      </c>
      <c r="B4266" s="108" t="s">
        <v>21550</v>
      </c>
      <c r="C4266" s="109">
        <v>45112</v>
      </c>
      <c r="D4266" s="108" t="s">
        <v>21551</v>
      </c>
      <c r="E4266" s="108" t="s">
        <v>21552</v>
      </c>
      <c r="F4266" s="108" t="s">
        <v>21505</v>
      </c>
      <c r="G4266" s="109">
        <v>45458</v>
      </c>
      <c r="H4266" s="108" t="s">
        <v>21503</v>
      </c>
      <c r="I4266" s="108" t="s">
        <v>108</v>
      </c>
    </row>
    <row r="4267" spans="1:9" ht="27.6">
      <c r="A4267" s="108" t="s">
        <v>14950</v>
      </c>
      <c r="B4267" s="108" t="s">
        <v>21553</v>
      </c>
      <c r="C4267" s="109">
        <v>44506</v>
      </c>
      <c r="D4267" s="108" t="s">
        <v>21554</v>
      </c>
      <c r="E4267" s="108" t="s">
        <v>16121</v>
      </c>
      <c r="F4267" s="108" t="s">
        <v>21530</v>
      </c>
      <c r="G4267" s="109">
        <v>44140</v>
      </c>
      <c r="H4267" s="108" t="s">
        <v>21503</v>
      </c>
      <c r="I4267" s="108" t="s">
        <v>19708</v>
      </c>
    </row>
    <row r="4268" spans="1:9" ht="27.6">
      <c r="A4268" s="108" t="s">
        <v>169</v>
      </c>
      <c r="B4268" s="108" t="s">
        <v>21555</v>
      </c>
      <c r="C4268" s="109">
        <v>43794</v>
      </c>
      <c r="D4268" s="108"/>
      <c r="E4268" s="108" t="s">
        <v>14605</v>
      </c>
      <c r="F4268" s="108" t="s">
        <v>21556</v>
      </c>
      <c r="G4268" s="110"/>
      <c r="H4268" s="108" t="s">
        <v>3262</v>
      </c>
      <c r="I4268" s="108"/>
    </row>
    <row r="4269" spans="1:9" ht="27.6">
      <c r="A4269" s="108" t="s">
        <v>14950</v>
      </c>
      <c r="B4269" s="108" t="s">
        <v>21557</v>
      </c>
      <c r="C4269" s="109">
        <v>45057</v>
      </c>
      <c r="D4269" s="108"/>
      <c r="E4269" s="108" t="s">
        <v>14605</v>
      </c>
      <c r="F4269" s="108" t="s">
        <v>15761</v>
      </c>
      <c r="G4269" s="110"/>
      <c r="H4269" s="108" t="s">
        <v>3262</v>
      </c>
      <c r="I4269" s="108"/>
    </row>
    <row r="4270" spans="1:9" ht="27.6">
      <c r="A4270" s="108" t="s">
        <v>14950</v>
      </c>
      <c r="B4270" s="108" t="s">
        <v>21558</v>
      </c>
      <c r="C4270" s="109">
        <v>45057</v>
      </c>
      <c r="D4270" s="108"/>
      <c r="E4270" s="108" t="s">
        <v>14605</v>
      </c>
      <c r="F4270" s="108" t="s">
        <v>16114</v>
      </c>
      <c r="G4270" s="110"/>
      <c r="H4270" s="108" t="s">
        <v>3262</v>
      </c>
      <c r="I4270" s="108"/>
    </row>
    <row r="4271" spans="1:9" ht="27.6">
      <c r="A4271" s="108" t="s">
        <v>17130</v>
      </c>
      <c r="B4271" s="108" t="s">
        <v>21559</v>
      </c>
      <c r="C4271" s="109">
        <v>44022</v>
      </c>
      <c r="D4271" s="108"/>
      <c r="E4271" s="108" t="s">
        <v>14605</v>
      </c>
      <c r="F4271" s="108" t="s">
        <v>21556</v>
      </c>
      <c r="G4271" s="110"/>
      <c r="H4271" s="108" t="s">
        <v>3262</v>
      </c>
      <c r="I4271" s="108"/>
    </row>
    <row r="4272" spans="1:9" ht="27.6">
      <c r="A4272" s="108" t="s">
        <v>87</v>
      </c>
      <c r="B4272" s="108" t="s">
        <v>21560</v>
      </c>
      <c r="C4272" s="109">
        <v>44239</v>
      </c>
      <c r="D4272" s="108"/>
      <c r="E4272" s="108" t="s">
        <v>14605</v>
      </c>
      <c r="F4272" s="108" t="s">
        <v>21556</v>
      </c>
      <c r="G4272" s="110"/>
      <c r="H4272" s="108" t="s">
        <v>3262</v>
      </c>
      <c r="I4272" s="108"/>
    </row>
    <row r="4273" spans="1:9">
      <c r="A4273" s="108" t="s">
        <v>199</v>
      </c>
      <c r="B4273" s="108" t="s">
        <v>21561</v>
      </c>
      <c r="C4273" s="109">
        <v>40798</v>
      </c>
      <c r="D4273" s="108"/>
      <c r="E4273" s="108" t="s">
        <v>14605</v>
      </c>
      <c r="F4273" s="108" t="s">
        <v>21562</v>
      </c>
      <c r="G4273" s="110"/>
      <c r="H4273" s="108" t="s">
        <v>3262</v>
      </c>
      <c r="I4273" s="108"/>
    </row>
    <row r="4274" spans="1:9">
      <c r="A4274" s="108" t="s">
        <v>199</v>
      </c>
      <c r="B4274" s="108" t="s">
        <v>21563</v>
      </c>
      <c r="C4274" s="109">
        <v>40937</v>
      </c>
      <c r="D4274" s="108"/>
      <c r="E4274" s="108" t="s">
        <v>14605</v>
      </c>
      <c r="F4274" s="108" t="s">
        <v>21562</v>
      </c>
      <c r="G4274" s="110"/>
      <c r="H4274" s="108" t="s">
        <v>3262</v>
      </c>
      <c r="I4274" s="108"/>
    </row>
    <row r="4275" spans="1:9" ht="27.6">
      <c r="A4275" s="108" t="s">
        <v>207</v>
      </c>
      <c r="B4275" s="108" t="s">
        <v>21564</v>
      </c>
      <c r="C4275" s="109">
        <v>44333</v>
      </c>
      <c r="D4275" s="108"/>
      <c r="E4275" s="108" t="s">
        <v>14605</v>
      </c>
      <c r="F4275" s="108" t="s">
        <v>21565</v>
      </c>
      <c r="G4275" s="110"/>
      <c r="H4275" s="108" t="s">
        <v>3262</v>
      </c>
      <c r="I4275" s="108"/>
    </row>
    <row r="4276" spans="1:9" ht="27.6">
      <c r="A4276" s="108" t="s">
        <v>207</v>
      </c>
      <c r="B4276" s="108" t="s">
        <v>21566</v>
      </c>
      <c r="C4276" s="109">
        <v>41668</v>
      </c>
      <c r="D4276" s="108"/>
      <c r="E4276" s="108" t="s">
        <v>14605</v>
      </c>
      <c r="F4276" s="108" t="s">
        <v>21567</v>
      </c>
      <c r="G4276" s="110"/>
      <c r="H4276" s="108" t="s">
        <v>3262</v>
      </c>
      <c r="I4276" s="108"/>
    </row>
    <row r="4277" spans="1:9" ht="27.6">
      <c r="A4277" s="108" t="s">
        <v>207</v>
      </c>
      <c r="B4277" s="108" t="s">
        <v>21568</v>
      </c>
      <c r="C4277" s="109">
        <v>41530</v>
      </c>
      <c r="D4277" s="108"/>
      <c r="E4277" s="108" t="s">
        <v>14605</v>
      </c>
      <c r="F4277" s="108" t="s">
        <v>21569</v>
      </c>
      <c r="G4277" s="110"/>
      <c r="H4277" s="108" t="s">
        <v>3262</v>
      </c>
      <c r="I4277" s="108"/>
    </row>
    <row r="4278" spans="1:9" ht="27.6">
      <c r="A4278" s="108" t="s">
        <v>207</v>
      </c>
      <c r="B4278" s="108" t="s">
        <v>21570</v>
      </c>
      <c r="C4278" s="109">
        <v>42436</v>
      </c>
      <c r="D4278" s="108"/>
      <c r="E4278" s="108" t="s">
        <v>14605</v>
      </c>
      <c r="F4278" s="108" t="s">
        <v>21562</v>
      </c>
      <c r="G4278" s="110"/>
      <c r="H4278" s="108" t="s">
        <v>3262</v>
      </c>
      <c r="I4278" s="108"/>
    </row>
    <row r="4279" spans="1:9" ht="27.6">
      <c r="A4279" s="108" t="s">
        <v>118</v>
      </c>
      <c r="B4279" s="108" t="s">
        <v>21571</v>
      </c>
      <c r="C4279" s="109">
        <v>44286</v>
      </c>
      <c r="D4279" s="108"/>
      <c r="E4279" s="108" t="s">
        <v>14605</v>
      </c>
      <c r="F4279" s="108" t="s">
        <v>21572</v>
      </c>
      <c r="G4279" s="110"/>
      <c r="H4279" s="108" t="s">
        <v>3262</v>
      </c>
      <c r="I4279" s="108"/>
    </row>
    <row r="4280" spans="1:9" ht="27.6">
      <c r="A4280" s="108" t="s">
        <v>388</v>
      </c>
      <c r="B4280" s="108" t="s">
        <v>21573</v>
      </c>
      <c r="C4280" s="109">
        <v>44173</v>
      </c>
      <c r="D4280" s="108" t="s">
        <v>21574</v>
      </c>
      <c r="E4280" s="108" t="s">
        <v>16121</v>
      </c>
      <c r="F4280" s="108" t="s">
        <v>16114</v>
      </c>
      <c r="G4280" s="109">
        <v>45267</v>
      </c>
      <c r="H4280" s="108" t="s">
        <v>3262</v>
      </c>
      <c r="I4280" s="108" t="s">
        <v>95</v>
      </c>
    </row>
    <row r="4281" spans="1:9" ht="27.6">
      <c r="A4281" s="108" t="s">
        <v>388</v>
      </c>
      <c r="B4281" s="108" t="s">
        <v>21575</v>
      </c>
      <c r="C4281" s="109">
        <v>44187</v>
      </c>
      <c r="D4281" s="108" t="s">
        <v>21576</v>
      </c>
      <c r="E4281" s="108" t="s">
        <v>16121</v>
      </c>
      <c r="F4281" s="108" t="s">
        <v>16114</v>
      </c>
      <c r="G4281" s="109">
        <v>45281</v>
      </c>
      <c r="H4281" s="108" t="s">
        <v>3262</v>
      </c>
      <c r="I4281" s="108" t="s">
        <v>95</v>
      </c>
    </row>
    <row r="4282" spans="1:9" ht="27.6">
      <c r="A4282" s="108" t="s">
        <v>14950</v>
      </c>
      <c r="B4282" s="108" t="s">
        <v>21577</v>
      </c>
      <c r="C4282" s="109">
        <v>44173</v>
      </c>
      <c r="D4282" s="108" t="s">
        <v>21578</v>
      </c>
      <c r="E4282" s="108" t="s">
        <v>16121</v>
      </c>
      <c r="F4282" s="108" t="s">
        <v>16114</v>
      </c>
      <c r="G4282" s="109">
        <v>44537</v>
      </c>
      <c r="H4282" s="108" t="s">
        <v>3262</v>
      </c>
      <c r="I4282" s="108" t="s">
        <v>108</v>
      </c>
    </row>
    <row r="4283" spans="1:9" ht="27.6">
      <c r="A4283" s="108" t="s">
        <v>14950</v>
      </c>
      <c r="B4283" s="108" t="s">
        <v>21579</v>
      </c>
      <c r="C4283" s="109">
        <v>44227</v>
      </c>
      <c r="D4283" s="108" t="s">
        <v>21580</v>
      </c>
      <c r="E4283" s="108" t="s">
        <v>16121</v>
      </c>
      <c r="F4283" s="108" t="s">
        <v>16114</v>
      </c>
      <c r="G4283" s="109">
        <v>44591</v>
      </c>
      <c r="H4283" s="108" t="s">
        <v>3262</v>
      </c>
      <c r="I4283" s="108" t="s">
        <v>108</v>
      </c>
    </row>
    <row r="4284" spans="1:9" ht="27.6">
      <c r="A4284" s="108" t="s">
        <v>14950</v>
      </c>
      <c r="B4284" s="108" t="s">
        <v>21581</v>
      </c>
      <c r="C4284" s="109">
        <v>44187</v>
      </c>
      <c r="D4284" s="108" t="s">
        <v>21582</v>
      </c>
      <c r="E4284" s="108" t="s">
        <v>16121</v>
      </c>
      <c r="F4284" s="108" t="s">
        <v>16114</v>
      </c>
      <c r="G4284" s="109">
        <v>44551</v>
      </c>
      <c r="H4284" s="108" t="s">
        <v>3262</v>
      </c>
      <c r="I4284" s="108" t="s">
        <v>108</v>
      </c>
    </row>
    <row r="4285" spans="1:9" ht="27.6">
      <c r="A4285" s="108" t="s">
        <v>14950</v>
      </c>
      <c r="B4285" s="108" t="s">
        <v>21583</v>
      </c>
      <c r="C4285" s="109">
        <v>44256</v>
      </c>
      <c r="D4285" s="108" t="s">
        <v>21584</v>
      </c>
      <c r="E4285" s="108" t="s">
        <v>16121</v>
      </c>
      <c r="F4285" s="108" t="s">
        <v>16114</v>
      </c>
      <c r="G4285" s="109">
        <v>44620</v>
      </c>
      <c r="H4285" s="108" t="s">
        <v>3262</v>
      </c>
      <c r="I4285" s="108" t="s">
        <v>108</v>
      </c>
    </row>
    <row r="4286" spans="1:9" ht="27.6">
      <c r="A4286" s="108" t="s">
        <v>109</v>
      </c>
      <c r="B4286" s="108" t="s">
        <v>21585</v>
      </c>
      <c r="C4286" s="109">
        <v>44180</v>
      </c>
      <c r="D4286" s="108" t="s">
        <v>21586</v>
      </c>
      <c r="E4286" s="108" t="s">
        <v>16121</v>
      </c>
      <c r="F4286" s="108" t="s">
        <v>16114</v>
      </c>
      <c r="G4286" s="109">
        <v>44544</v>
      </c>
      <c r="H4286" s="108" t="s">
        <v>3262</v>
      </c>
      <c r="I4286" s="108" t="s">
        <v>108</v>
      </c>
    </row>
    <row r="4287" spans="1:9">
      <c r="A4287" s="108" t="s">
        <v>21587</v>
      </c>
      <c r="B4287" s="108" t="s">
        <v>21588</v>
      </c>
      <c r="C4287" s="109">
        <v>44340</v>
      </c>
      <c r="D4287" s="108" t="s">
        <v>21589</v>
      </c>
      <c r="E4287" s="108" t="s">
        <v>14605</v>
      </c>
      <c r="F4287" s="108" t="s">
        <v>16114</v>
      </c>
      <c r="G4287" s="109">
        <v>44701</v>
      </c>
      <c r="H4287" s="108" t="s">
        <v>3262</v>
      </c>
      <c r="I4287" s="108" t="s">
        <v>108</v>
      </c>
    </row>
    <row r="4288" spans="1:9" ht="27.6">
      <c r="A4288" s="108" t="s">
        <v>388</v>
      </c>
      <c r="B4288" s="108" t="s">
        <v>21590</v>
      </c>
      <c r="C4288" s="109">
        <v>44256</v>
      </c>
      <c r="D4288" s="108" t="s">
        <v>21591</v>
      </c>
      <c r="E4288" s="108" t="s">
        <v>14605</v>
      </c>
      <c r="F4288" s="108" t="s">
        <v>16114</v>
      </c>
      <c r="G4288" s="109">
        <v>44620</v>
      </c>
      <c r="H4288" s="108" t="s">
        <v>3262</v>
      </c>
      <c r="I4288" s="108" t="s">
        <v>108</v>
      </c>
    </row>
    <row r="4289" spans="1:9">
      <c r="A4289" s="108" t="s">
        <v>16151</v>
      </c>
      <c r="B4289" s="108" t="s">
        <v>21592</v>
      </c>
      <c r="C4289" s="109">
        <v>44167</v>
      </c>
      <c r="D4289" s="108" t="s">
        <v>21593</v>
      </c>
      <c r="E4289" s="108" t="s">
        <v>16121</v>
      </c>
      <c r="F4289" s="108" t="s">
        <v>16114</v>
      </c>
      <c r="G4289" s="109">
        <v>46173</v>
      </c>
      <c r="H4289" s="108" t="s">
        <v>3262</v>
      </c>
      <c r="I4289" s="108" t="s">
        <v>19708</v>
      </c>
    </row>
    <row r="4290" spans="1:9">
      <c r="A4290" s="108" t="s">
        <v>16151</v>
      </c>
      <c r="B4290" s="108" t="s">
        <v>21594</v>
      </c>
      <c r="C4290" s="109">
        <v>44187</v>
      </c>
      <c r="D4290" s="108" t="s">
        <v>21595</v>
      </c>
      <c r="E4290" s="108" t="s">
        <v>16121</v>
      </c>
      <c r="F4290" s="108" t="s">
        <v>16114</v>
      </c>
      <c r="G4290" s="109">
        <v>45991</v>
      </c>
      <c r="H4290" s="108" t="s">
        <v>3262</v>
      </c>
      <c r="I4290" s="108" t="s">
        <v>19708</v>
      </c>
    </row>
    <row r="4291" spans="1:9">
      <c r="A4291" s="108" t="s">
        <v>16151</v>
      </c>
      <c r="B4291" s="108" t="s">
        <v>21596</v>
      </c>
      <c r="C4291" s="109">
        <v>45216</v>
      </c>
      <c r="D4291" s="108" t="s">
        <v>21597</v>
      </c>
      <c r="E4291" s="108" t="s">
        <v>14605</v>
      </c>
      <c r="F4291" s="108" t="s">
        <v>16114</v>
      </c>
      <c r="G4291" s="109">
        <v>45502</v>
      </c>
      <c r="H4291" s="108" t="s">
        <v>3262</v>
      </c>
      <c r="I4291" s="108" t="s">
        <v>19708</v>
      </c>
    </row>
    <row r="4292" spans="1:9" ht="27.6">
      <c r="A4292" s="108" t="s">
        <v>1465</v>
      </c>
      <c r="B4292" s="108" t="s">
        <v>21598</v>
      </c>
      <c r="C4292" s="109">
        <v>41123</v>
      </c>
      <c r="D4292" s="108"/>
      <c r="E4292" s="108" t="s">
        <v>14605</v>
      </c>
      <c r="F4292" s="108" t="s">
        <v>21599</v>
      </c>
      <c r="G4292" s="110"/>
      <c r="H4292" s="108" t="s">
        <v>21600</v>
      </c>
      <c r="I4292" s="108"/>
    </row>
    <row r="4293" spans="1:9">
      <c r="A4293" s="108" t="s">
        <v>2002</v>
      </c>
      <c r="B4293" s="108" t="s">
        <v>21601</v>
      </c>
      <c r="C4293" s="109">
        <v>41051</v>
      </c>
      <c r="D4293" s="108"/>
      <c r="E4293" s="108" t="s">
        <v>14605</v>
      </c>
      <c r="F4293" s="108" t="s">
        <v>21602</v>
      </c>
      <c r="G4293" s="110"/>
      <c r="H4293" s="108" t="s">
        <v>21600</v>
      </c>
      <c r="I4293" s="108"/>
    </row>
    <row r="4294" spans="1:9">
      <c r="A4294" s="108" t="s">
        <v>2002</v>
      </c>
      <c r="B4294" s="108" t="s">
        <v>21603</v>
      </c>
      <c r="C4294" s="109">
        <v>41261</v>
      </c>
      <c r="D4294" s="108"/>
      <c r="E4294" s="108" t="s">
        <v>14605</v>
      </c>
      <c r="F4294" s="108" t="s">
        <v>15577</v>
      </c>
      <c r="G4294" s="110"/>
      <c r="H4294" s="108" t="s">
        <v>21600</v>
      </c>
      <c r="I4294" s="108"/>
    </row>
    <row r="4295" spans="1:9" ht="27.6">
      <c r="A4295" s="108" t="s">
        <v>14679</v>
      </c>
      <c r="B4295" s="108" t="s">
        <v>21604</v>
      </c>
      <c r="C4295" s="109">
        <v>41283</v>
      </c>
      <c r="D4295" s="108"/>
      <c r="E4295" s="108" t="s">
        <v>14605</v>
      </c>
      <c r="F4295" s="108" t="s">
        <v>21605</v>
      </c>
      <c r="G4295" s="110"/>
      <c r="H4295" s="108" t="s">
        <v>21600</v>
      </c>
      <c r="I4295" s="108"/>
    </row>
    <row r="4296" spans="1:9" ht="27.6">
      <c r="A4296" s="108" t="s">
        <v>2002</v>
      </c>
      <c r="B4296" s="108" t="s">
        <v>21606</v>
      </c>
      <c r="C4296" s="109">
        <v>41407</v>
      </c>
      <c r="D4296" s="108"/>
      <c r="E4296" s="108" t="s">
        <v>14605</v>
      </c>
      <c r="F4296" s="108" t="s">
        <v>21607</v>
      </c>
      <c r="G4296" s="110"/>
      <c r="H4296" s="108" t="s">
        <v>21600</v>
      </c>
      <c r="I4296" s="108"/>
    </row>
    <row r="4297" spans="1:9">
      <c r="A4297" s="108" t="s">
        <v>2002</v>
      </c>
      <c r="B4297" s="108" t="s">
        <v>21608</v>
      </c>
      <c r="C4297" s="109">
        <v>41534</v>
      </c>
      <c r="D4297" s="108"/>
      <c r="E4297" s="108" t="s">
        <v>14605</v>
      </c>
      <c r="F4297" s="108" t="s">
        <v>21609</v>
      </c>
      <c r="G4297" s="110"/>
      <c r="H4297" s="108" t="s">
        <v>21600</v>
      </c>
      <c r="I4297" s="108"/>
    </row>
    <row r="4298" spans="1:9">
      <c r="A4298" s="108" t="s">
        <v>2002</v>
      </c>
      <c r="B4298" s="108" t="s">
        <v>21610</v>
      </c>
      <c r="C4298" s="109">
        <v>41890</v>
      </c>
      <c r="D4298" s="108"/>
      <c r="E4298" s="108" t="s">
        <v>14605</v>
      </c>
      <c r="F4298" s="108" t="s">
        <v>21611</v>
      </c>
      <c r="G4298" s="110"/>
      <c r="H4298" s="108" t="s">
        <v>21600</v>
      </c>
      <c r="I4298" s="108"/>
    </row>
    <row r="4299" spans="1:9">
      <c r="A4299" s="108" t="s">
        <v>14679</v>
      </c>
      <c r="B4299" s="108" t="s">
        <v>21612</v>
      </c>
      <c r="C4299" s="109">
        <v>41340</v>
      </c>
      <c r="D4299" s="108"/>
      <c r="E4299" s="108" t="s">
        <v>14605</v>
      </c>
      <c r="F4299" s="108" t="s">
        <v>21613</v>
      </c>
      <c r="G4299" s="110"/>
      <c r="H4299" s="108" t="s">
        <v>21600</v>
      </c>
      <c r="I4299" s="108"/>
    </row>
    <row r="4300" spans="1:9" ht="27.6">
      <c r="A4300" s="108" t="s">
        <v>1271</v>
      </c>
      <c r="B4300" s="108" t="s">
        <v>21614</v>
      </c>
      <c r="C4300" s="109">
        <v>41124</v>
      </c>
      <c r="D4300" s="108"/>
      <c r="E4300" s="108" t="s">
        <v>14605</v>
      </c>
      <c r="F4300" s="108" t="s">
        <v>21599</v>
      </c>
      <c r="G4300" s="110"/>
      <c r="H4300" s="108" t="s">
        <v>21600</v>
      </c>
      <c r="I4300" s="108"/>
    </row>
    <row r="4301" spans="1:9" ht="27.6">
      <c r="A4301" s="108" t="s">
        <v>1271</v>
      </c>
      <c r="B4301" s="108" t="s">
        <v>21615</v>
      </c>
      <c r="C4301" s="109">
        <v>41534</v>
      </c>
      <c r="D4301" s="108"/>
      <c r="E4301" s="108" t="s">
        <v>14605</v>
      </c>
      <c r="F4301" s="108" t="s">
        <v>15577</v>
      </c>
      <c r="G4301" s="110"/>
      <c r="H4301" s="108" t="s">
        <v>21600</v>
      </c>
      <c r="I4301" s="108"/>
    </row>
    <row r="4302" spans="1:9">
      <c r="A4302" s="108" t="s">
        <v>87</v>
      </c>
      <c r="B4302" s="108" t="s">
        <v>21616</v>
      </c>
      <c r="C4302" s="109">
        <v>41288</v>
      </c>
      <c r="D4302" s="108"/>
      <c r="E4302" s="108" t="s">
        <v>14605</v>
      </c>
      <c r="F4302" s="108" t="s">
        <v>21617</v>
      </c>
      <c r="G4302" s="110"/>
      <c r="H4302" s="108" t="s">
        <v>21600</v>
      </c>
      <c r="I4302" s="108"/>
    </row>
    <row r="4303" spans="1:9">
      <c r="A4303" s="108" t="s">
        <v>87</v>
      </c>
      <c r="B4303" s="108" t="s">
        <v>21618</v>
      </c>
      <c r="C4303" s="109">
        <v>41992</v>
      </c>
      <c r="D4303" s="108"/>
      <c r="E4303" s="108" t="s">
        <v>14605</v>
      </c>
      <c r="F4303" s="108" t="s">
        <v>21619</v>
      </c>
      <c r="G4303" s="110"/>
      <c r="H4303" s="108" t="s">
        <v>21600</v>
      </c>
      <c r="I4303" s="108"/>
    </row>
    <row r="4304" spans="1:9">
      <c r="A4304" s="108" t="s">
        <v>237</v>
      </c>
      <c r="B4304" s="108" t="s">
        <v>21620</v>
      </c>
      <c r="C4304" s="109">
        <v>41974</v>
      </c>
      <c r="D4304" s="108"/>
      <c r="E4304" s="108" t="s">
        <v>14605</v>
      </c>
      <c r="F4304" s="108" t="s">
        <v>21621</v>
      </c>
      <c r="G4304" s="110"/>
      <c r="H4304" s="108" t="s">
        <v>21600</v>
      </c>
      <c r="I4304" s="108"/>
    </row>
    <row r="4305" spans="1:9">
      <c r="A4305" s="108" t="s">
        <v>169</v>
      </c>
      <c r="B4305" s="108" t="s">
        <v>21622</v>
      </c>
      <c r="C4305" s="109">
        <v>41063</v>
      </c>
      <c r="D4305" s="108"/>
      <c r="E4305" s="108" t="s">
        <v>14605</v>
      </c>
      <c r="F4305" s="108" t="s">
        <v>15577</v>
      </c>
      <c r="G4305" s="110"/>
      <c r="H4305" s="108" t="s">
        <v>21600</v>
      </c>
      <c r="I4305" s="108"/>
    </row>
    <row r="4306" spans="1:9">
      <c r="A4306" s="108" t="s">
        <v>169</v>
      </c>
      <c r="B4306" s="108" t="s">
        <v>21623</v>
      </c>
      <c r="C4306" s="109">
        <v>40909</v>
      </c>
      <c r="D4306" s="108"/>
      <c r="E4306" s="108" t="s">
        <v>14605</v>
      </c>
      <c r="F4306" s="108" t="s">
        <v>21624</v>
      </c>
      <c r="G4306" s="110"/>
      <c r="H4306" s="108" t="s">
        <v>21600</v>
      </c>
      <c r="I4306" s="108"/>
    </row>
    <row r="4307" spans="1:9">
      <c r="A4307" s="108" t="s">
        <v>169</v>
      </c>
      <c r="B4307" s="108" t="s">
        <v>21625</v>
      </c>
      <c r="C4307" s="109">
        <v>41438</v>
      </c>
      <c r="D4307" s="108"/>
      <c r="E4307" s="108" t="s">
        <v>14605</v>
      </c>
      <c r="F4307" s="108" t="s">
        <v>21626</v>
      </c>
      <c r="G4307" s="110"/>
      <c r="H4307" s="108" t="s">
        <v>21600</v>
      </c>
      <c r="I4307" s="108"/>
    </row>
    <row r="4308" spans="1:9">
      <c r="A4308" s="108" t="s">
        <v>169</v>
      </c>
      <c r="B4308" s="108" t="s">
        <v>21627</v>
      </c>
      <c r="C4308" s="109">
        <v>41512</v>
      </c>
      <c r="D4308" s="108"/>
      <c r="E4308" s="108" t="s">
        <v>14605</v>
      </c>
      <c r="F4308" s="108" t="s">
        <v>15851</v>
      </c>
      <c r="G4308" s="110"/>
      <c r="H4308" s="108" t="s">
        <v>21600</v>
      </c>
      <c r="I4308" s="108"/>
    </row>
    <row r="4309" spans="1:9" ht="41.4">
      <c r="A4309" s="108" t="s">
        <v>169</v>
      </c>
      <c r="B4309" s="108" t="s">
        <v>21628</v>
      </c>
      <c r="C4309" s="109">
        <v>41983</v>
      </c>
      <c r="D4309" s="108"/>
      <c r="E4309" s="108" t="s">
        <v>14605</v>
      </c>
      <c r="F4309" s="108" t="s">
        <v>21629</v>
      </c>
      <c r="G4309" s="110"/>
      <c r="H4309" s="108" t="s">
        <v>21600</v>
      </c>
      <c r="I4309" s="108"/>
    </row>
    <row r="4310" spans="1:9">
      <c r="A4310" s="108" t="s">
        <v>169</v>
      </c>
      <c r="B4310" s="108" t="s">
        <v>21630</v>
      </c>
      <c r="C4310" s="109">
        <v>42165</v>
      </c>
      <c r="D4310" s="108"/>
      <c r="E4310" s="108" t="s">
        <v>14605</v>
      </c>
      <c r="F4310" s="108" t="s">
        <v>21631</v>
      </c>
      <c r="G4310" s="110"/>
      <c r="H4310" s="108" t="s">
        <v>21600</v>
      </c>
      <c r="I4310" s="108"/>
    </row>
    <row r="4311" spans="1:9">
      <c r="A4311" s="108" t="s">
        <v>169</v>
      </c>
      <c r="B4311" s="108" t="s">
        <v>21632</v>
      </c>
      <c r="C4311" s="109">
        <v>42046</v>
      </c>
      <c r="D4311" s="108"/>
      <c r="E4311" s="108" t="s">
        <v>14605</v>
      </c>
      <c r="F4311" s="108" t="s">
        <v>14746</v>
      </c>
      <c r="G4311" s="110"/>
      <c r="H4311" s="108" t="s">
        <v>21600</v>
      </c>
      <c r="I4311" s="108"/>
    </row>
    <row r="4312" spans="1:9">
      <c r="A4312" s="108" t="s">
        <v>169</v>
      </c>
      <c r="B4312" s="108" t="s">
        <v>21633</v>
      </c>
      <c r="C4312" s="109">
        <v>41663</v>
      </c>
      <c r="D4312" s="108"/>
      <c r="E4312" s="108" t="s">
        <v>14605</v>
      </c>
      <c r="F4312" s="108" t="s">
        <v>21634</v>
      </c>
      <c r="G4312" s="110"/>
      <c r="H4312" s="108" t="s">
        <v>21600</v>
      </c>
      <c r="I4312" s="108"/>
    </row>
    <row r="4313" spans="1:9" ht="27.6">
      <c r="A4313" s="108" t="s">
        <v>169</v>
      </c>
      <c r="B4313" s="108" t="s">
        <v>21635</v>
      </c>
      <c r="C4313" s="109">
        <v>41761</v>
      </c>
      <c r="D4313" s="108"/>
      <c r="E4313" s="108" t="s">
        <v>14605</v>
      </c>
      <c r="F4313" s="108" t="s">
        <v>21636</v>
      </c>
      <c r="G4313" s="110"/>
      <c r="H4313" s="108" t="s">
        <v>21600</v>
      </c>
      <c r="I4313" s="108"/>
    </row>
    <row r="4314" spans="1:9" ht="27.6">
      <c r="A4314" s="108" t="s">
        <v>169</v>
      </c>
      <c r="B4314" s="108" t="s">
        <v>21637</v>
      </c>
      <c r="C4314" s="109">
        <v>41793</v>
      </c>
      <c r="D4314" s="108"/>
      <c r="E4314" s="108" t="s">
        <v>14605</v>
      </c>
      <c r="F4314" s="108" t="s">
        <v>21638</v>
      </c>
      <c r="G4314" s="110"/>
      <c r="H4314" s="108" t="s">
        <v>21600</v>
      </c>
      <c r="I4314" s="108"/>
    </row>
    <row r="4315" spans="1:9">
      <c r="A4315" s="108" t="s">
        <v>169</v>
      </c>
      <c r="B4315" s="108" t="s">
        <v>21639</v>
      </c>
      <c r="C4315" s="109">
        <v>42531</v>
      </c>
      <c r="D4315" s="108"/>
      <c r="E4315" s="108" t="s">
        <v>14605</v>
      </c>
      <c r="F4315" s="108" t="s">
        <v>15714</v>
      </c>
      <c r="G4315" s="110"/>
      <c r="H4315" s="108" t="s">
        <v>21600</v>
      </c>
      <c r="I4315" s="108"/>
    </row>
    <row r="4316" spans="1:9">
      <c r="A4316" s="108" t="s">
        <v>169</v>
      </c>
      <c r="B4316" s="108" t="s">
        <v>21640</v>
      </c>
      <c r="C4316" s="109">
        <v>42095</v>
      </c>
      <c r="D4316" s="108"/>
      <c r="E4316" s="108" t="s">
        <v>14605</v>
      </c>
      <c r="F4316" s="108" t="s">
        <v>21641</v>
      </c>
      <c r="G4316" s="110"/>
      <c r="H4316" s="108" t="s">
        <v>21600</v>
      </c>
      <c r="I4316" s="108"/>
    </row>
    <row r="4317" spans="1:9">
      <c r="A4317" s="108" t="s">
        <v>169</v>
      </c>
      <c r="B4317" s="108" t="s">
        <v>21642</v>
      </c>
      <c r="C4317" s="109">
        <v>42226</v>
      </c>
      <c r="D4317" s="108"/>
      <c r="E4317" s="108" t="s">
        <v>14605</v>
      </c>
      <c r="F4317" s="108" t="s">
        <v>15858</v>
      </c>
      <c r="G4317" s="110"/>
      <c r="H4317" s="108" t="s">
        <v>21600</v>
      </c>
      <c r="I4317" s="108"/>
    </row>
    <row r="4318" spans="1:9">
      <c r="A4318" s="108" t="s">
        <v>169</v>
      </c>
      <c r="B4318" s="108" t="s">
        <v>21643</v>
      </c>
      <c r="C4318" s="109">
        <v>42311</v>
      </c>
      <c r="D4318" s="108"/>
      <c r="E4318" s="108" t="s">
        <v>14605</v>
      </c>
      <c r="F4318" s="108" t="s">
        <v>21624</v>
      </c>
      <c r="G4318" s="110"/>
      <c r="H4318" s="108" t="s">
        <v>21600</v>
      </c>
      <c r="I4318" s="108"/>
    </row>
    <row r="4319" spans="1:9" ht="27.6">
      <c r="A4319" s="108" t="s">
        <v>169</v>
      </c>
      <c r="B4319" s="108" t="s">
        <v>21644</v>
      </c>
      <c r="C4319" s="109">
        <v>42516</v>
      </c>
      <c r="D4319" s="108"/>
      <c r="E4319" s="108" t="s">
        <v>14605</v>
      </c>
      <c r="F4319" s="108" t="s">
        <v>21645</v>
      </c>
      <c r="G4319" s="110"/>
      <c r="H4319" s="108" t="s">
        <v>21600</v>
      </c>
      <c r="I4319" s="108"/>
    </row>
    <row r="4320" spans="1:9">
      <c r="A4320" s="108" t="s">
        <v>169</v>
      </c>
      <c r="B4320" s="108" t="s">
        <v>21646</v>
      </c>
      <c r="C4320" s="109">
        <v>42766</v>
      </c>
      <c r="D4320" s="108"/>
      <c r="E4320" s="108" t="s">
        <v>14605</v>
      </c>
      <c r="F4320" s="108" t="s">
        <v>21647</v>
      </c>
      <c r="G4320" s="110"/>
      <c r="H4320" s="108" t="s">
        <v>21600</v>
      </c>
      <c r="I4320" s="108"/>
    </row>
    <row r="4321" spans="1:9">
      <c r="A4321" s="108" t="s">
        <v>169</v>
      </c>
      <c r="B4321" s="108" t="s">
        <v>21648</v>
      </c>
      <c r="C4321" s="109">
        <v>42982</v>
      </c>
      <c r="D4321" s="108"/>
      <c r="E4321" s="108" t="s">
        <v>14605</v>
      </c>
      <c r="F4321" s="108" t="s">
        <v>21649</v>
      </c>
      <c r="G4321" s="110"/>
      <c r="H4321" s="108" t="s">
        <v>21600</v>
      </c>
      <c r="I4321" s="108"/>
    </row>
    <row r="4322" spans="1:9">
      <c r="A4322" s="108" t="s">
        <v>169</v>
      </c>
      <c r="B4322" s="108" t="s">
        <v>21650</v>
      </c>
      <c r="C4322" s="109">
        <v>43307</v>
      </c>
      <c r="D4322" s="108"/>
      <c r="E4322" s="108" t="s">
        <v>14605</v>
      </c>
      <c r="F4322" s="108" t="s">
        <v>14769</v>
      </c>
      <c r="G4322" s="110"/>
      <c r="H4322" s="108" t="s">
        <v>21600</v>
      </c>
      <c r="I4322" s="108"/>
    </row>
    <row r="4323" spans="1:9">
      <c r="A4323" s="108" t="s">
        <v>169</v>
      </c>
      <c r="B4323" s="108" t="s">
        <v>21651</v>
      </c>
      <c r="C4323" s="109">
        <v>43781</v>
      </c>
      <c r="D4323" s="108"/>
      <c r="E4323" s="108" t="s">
        <v>14605</v>
      </c>
      <c r="F4323" s="108" t="s">
        <v>21652</v>
      </c>
      <c r="G4323" s="110"/>
      <c r="H4323" s="108" t="s">
        <v>21600</v>
      </c>
      <c r="I4323" s="108"/>
    </row>
    <row r="4324" spans="1:9">
      <c r="A4324" s="108" t="s">
        <v>169</v>
      </c>
      <c r="B4324" s="108" t="s">
        <v>21653</v>
      </c>
      <c r="C4324" s="109">
        <v>43080</v>
      </c>
      <c r="D4324" s="108"/>
      <c r="E4324" s="108" t="s">
        <v>14605</v>
      </c>
      <c r="F4324" s="108" t="s">
        <v>21654</v>
      </c>
      <c r="G4324" s="110"/>
      <c r="H4324" s="108" t="s">
        <v>21600</v>
      </c>
      <c r="I4324" s="108"/>
    </row>
    <row r="4325" spans="1:9">
      <c r="A4325" s="108" t="s">
        <v>1465</v>
      </c>
      <c r="B4325" s="108" t="s">
        <v>21655</v>
      </c>
      <c r="C4325" s="109">
        <v>42174</v>
      </c>
      <c r="D4325" s="108"/>
      <c r="E4325" s="108" t="s">
        <v>14605</v>
      </c>
      <c r="F4325" s="108" t="s">
        <v>21656</v>
      </c>
      <c r="G4325" s="110"/>
      <c r="H4325" s="108" t="s">
        <v>21600</v>
      </c>
      <c r="I4325" s="108"/>
    </row>
    <row r="4326" spans="1:9">
      <c r="A4326" s="108" t="s">
        <v>1465</v>
      </c>
      <c r="B4326" s="108" t="s">
        <v>21657</v>
      </c>
      <c r="C4326" s="109">
        <v>42271</v>
      </c>
      <c r="D4326" s="108"/>
      <c r="E4326" s="108" t="s">
        <v>14605</v>
      </c>
      <c r="F4326" s="108" t="s">
        <v>21658</v>
      </c>
      <c r="G4326" s="110"/>
      <c r="H4326" s="108" t="s">
        <v>21600</v>
      </c>
      <c r="I4326" s="108"/>
    </row>
    <row r="4327" spans="1:9">
      <c r="A4327" s="108" t="s">
        <v>1465</v>
      </c>
      <c r="B4327" s="108" t="s">
        <v>21659</v>
      </c>
      <c r="C4327" s="109">
        <v>42647</v>
      </c>
      <c r="D4327" s="108"/>
      <c r="E4327" s="108" t="s">
        <v>14605</v>
      </c>
      <c r="F4327" s="108" t="s">
        <v>21660</v>
      </c>
      <c r="G4327" s="110"/>
      <c r="H4327" s="108" t="s">
        <v>21600</v>
      </c>
      <c r="I4327" s="108"/>
    </row>
    <row r="4328" spans="1:9">
      <c r="A4328" s="108" t="s">
        <v>14679</v>
      </c>
      <c r="B4328" s="108" t="s">
        <v>21661</v>
      </c>
      <c r="C4328" s="109">
        <v>43437</v>
      </c>
      <c r="D4328" s="108"/>
      <c r="E4328" s="108" t="s">
        <v>14605</v>
      </c>
      <c r="F4328" s="108" t="s">
        <v>21662</v>
      </c>
      <c r="G4328" s="110"/>
      <c r="H4328" s="108" t="s">
        <v>21600</v>
      </c>
      <c r="I4328" s="108"/>
    </row>
    <row r="4329" spans="1:9" ht="27.6">
      <c r="A4329" s="108" t="s">
        <v>2623</v>
      </c>
      <c r="B4329" s="108" t="s">
        <v>21663</v>
      </c>
      <c r="C4329" s="109">
        <v>43517</v>
      </c>
      <c r="D4329" s="108"/>
      <c r="E4329" s="108" t="s">
        <v>14605</v>
      </c>
      <c r="F4329" s="108" t="s">
        <v>21664</v>
      </c>
      <c r="G4329" s="110"/>
      <c r="H4329" s="108" t="s">
        <v>21600</v>
      </c>
      <c r="I4329" s="108"/>
    </row>
    <row r="4330" spans="1:9" ht="27.6">
      <c r="A4330" s="108" t="s">
        <v>17130</v>
      </c>
      <c r="B4330" s="108" t="s">
        <v>21665</v>
      </c>
      <c r="C4330" s="109">
        <v>44371</v>
      </c>
      <c r="D4330" s="108"/>
      <c r="E4330" s="108" t="s">
        <v>14605</v>
      </c>
      <c r="F4330" s="108" t="s">
        <v>21649</v>
      </c>
      <c r="G4330" s="110"/>
      <c r="H4330" s="108" t="s">
        <v>21600</v>
      </c>
      <c r="I4330" s="108"/>
    </row>
    <row r="4331" spans="1:9">
      <c r="A4331" s="108" t="s">
        <v>2002</v>
      </c>
      <c r="B4331" s="108" t="s">
        <v>21666</v>
      </c>
      <c r="C4331" s="109">
        <v>44130</v>
      </c>
      <c r="D4331" s="108"/>
      <c r="E4331" s="108" t="s">
        <v>14605</v>
      </c>
      <c r="F4331" s="108" t="s">
        <v>21667</v>
      </c>
      <c r="G4331" s="110"/>
      <c r="H4331" s="108" t="s">
        <v>21600</v>
      </c>
      <c r="I4331" s="108"/>
    </row>
    <row r="4332" spans="1:9">
      <c r="A4332" s="108" t="s">
        <v>87</v>
      </c>
      <c r="B4332" s="108" t="s">
        <v>21668</v>
      </c>
      <c r="C4332" s="109">
        <v>44322</v>
      </c>
      <c r="D4332" s="108"/>
      <c r="E4332" s="108" t="s">
        <v>14605</v>
      </c>
      <c r="F4332" s="108" t="s">
        <v>21669</v>
      </c>
      <c r="G4332" s="110"/>
      <c r="H4332" s="108" t="s">
        <v>21600</v>
      </c>
      <c r="I4332" s="108"/>
    </row>
    <row r="4333" spans="1:9" ht="27.6">
      <c r="A4333" s="108" t="s">
        <v>15075</v>
      </c>
      <c r="B4333" s="108" t="s">
        <v>21670</v>
      </c>
      <c r="C4333" s="109">
        <v>45071</v>
      </c>
      <c r="D4333" s="108"/>
      <c r="E4333" s="108" t="s">
        <v>14605</v>
      </c>
      <c r="F4333" s="108" t="s">
        <v>21671</v>
      </c>
      <c r="G4333" s="110"/>
      <c r="H4333" s="108" t="s">
        <v>21600</v>
      </c>
      <c r="I4333" s="108"/>
    </row>
    <row r="4334" spans="1:9" ht="27.6">
      <c r="A4334" s="108" t="s">
        <v>15075</v>
      </c>
      <c r="B4334" s="108" t="s">
        <v>21672</v>
      </c>
      <c r="C4334" s="109">
        <v>45058</v>
      </c>
      <c r="D4334" s="108"/>
      <c r="E4334" s="108" t="s">
        <v>14605</v>
      </c>
      <c r="F4334" s="108" t="s">
        <v>21673</v>
      </c>
      <c r="G4334" s="110"/>
      <c r="H4334" s="108" t="s">
        <v>21600</v>
      </c>
      <c r="I4334" s="108"/>
    </row>
    <row r="4335" spans="1:9" ht="27.6">
      <c r="A4335" s="108" t="s">
        <v>15075</v>
      </c>
      <c r="B4335" s="108" t="s">
        <v>21674</v>
      </c>
      <c r="C4335" s="109">
        <v>45182</v>
      </c>
      <c r="D4335" s="108"/>
      <c r="E4335" s="108" t="s">
        <v>14605</v>
      </c>
      <c r="F4335" s="108" t="s">
        <v>21675</v>
      </c>
      <c r="G4335" s="110"/>
      <c r="H4335" s="108" t="s">
        <v>21600</v>
      </c>
      <c r="I4335" s="108"/>
    </row>
    <row r="4336" spans="1:9" ht="27.6">
      <c r="A4336" s="108" t="s">
        <v>15075</v>
      </c>
      <c r="B4336" s="108" t="s">
        <v>21676</v>
      </c>
      <c r="C4336" s="109">
        <v>45727</v>
      </c>
      <c r="D4336" s="108"/>
      <c r="E4336" s="108" t="s">
        <v>14605</v>
      </c>
      <c r="F4336" s="108" t="s">
        <v>16576</v>
      </c>
      <c r="G4336" s="110"/>
      <c r="H4336" s="108" t="s">
        <v>21600</v>
      </c>
      <c r="I4336" s="108"/>
    </row>
    <row r="4337" spans="1:9" ht="27.6">
      <c r="A4337" s="108" t="s">
        <v>15075</v>
      </c>
      <c r="B4337" s="108" t="s">
        <v>21677</v>
      </c>
      <c r="C4337" s="109">
        <v>45257</v>
      </c>
      <c r="D4337" s="108"/>
      <c r="E4337" s="108" t="s">
        <v>14605</v>
      </c>
      <c r="F4337" s="108" t="s">
        <v>21678</v>
      </c>
      <c r="G4337" s="110"/>
      <c r="H4337" s="108" t="s">
        <v>21600</v>
      </c>
      <c r="I4337" s="108"/>
    </row>
    <row r="4338" spans="1:9" ht="27.6">
      <c r="A4338" s="108" t="s">
        <v>15075</v>
      </c>
      <c r="B4338" s="108" t="s">
        <v>21679</v>
      </c>
      <c r="C4338" s="109">
        <v>45316</v>
      </c>
      <c r="D4338" s="108"/>
      <c r="E4338" s="108" t="s">
        <v>14605</v>
      </c>
      <c r="F4338" s="108" t="s">
        <v>21680</v>
      </c>
      <c r="G4338" s="110"/>
      <c r="H4338" s="108" t="s">
        <v>21600</v>
      </c>
      <c r="I4338" s="108"/>
    </row>
    <row r="4339" spans="1:9" ht="27.6">
      <c r="A4339" s="108" t="s">
        <v>15075</v>
      </c>
      <c r="B4339" s="108" t="s">
        <v>21681</v>
      </c>
      <c r="C4339" s="109">
        <v>45533</v>
      </c>
      <c r="D4339" s="108"/>
      <c r="E4339" s="108" t="s">
        <v>14605</v>
      </c>
      <c r="F4339" s="108" t="s">
        <v>21682</v>
      </c>
      <c r="G4339" s="110"/>
      <c r="H4339" s="108" t="s">
        <v>21600</v>
      </c>
      <c r="I4339" s="108"/>
    </row>
    <row r="4340" spans="1:9" ht="27.6">
      <c r="A4340" s="108" t="s">
        <v>227</v>
      </c>
      <c r="B4340" s="108" t="s">
        <v>21683</v>
      </c>
      <c r="C4340" s="109">
        <v>41955</v>
      </c>
      <c r="D4340" s="108"/>
      <c r="E4340" s="108" t="s">
        <v>14605</v>
      </c>
      <c r="F4340" s="108" t="s">
        <v>21684</v>
      </c>
      <c r="G4340" s="110"/>
      <c r="H4340" s="108" t="s">
        <v>21600</v>
      </c>
      <c r="I4340" s="108"/>
    </row>
    <row r="4341" spans="1:9">
      <c r="A4341" s="108" t="s">
        <v>227</v>
      </c>
      <c r="B4341" s="108" t="s">
        <v>21685</v>
      </c>
      <c r="C4341" s="109">
        <v>42088</v>
      </c>
      <c r="D4341" s="108"/>
      <c r="E4341" s="108" t="s">
        <v>14605</v>
      </c>
      <c r="F4341" s="108" t="s">
        <v>21686</v>
      </c>
      <c r="G4341" s="110"/>
      <c r="H4341" s="108" t="s">
        <v>21600</v>
      </c>
      <c r="I4341" s="108"/>
    </row>
    <row r="4342" spans="1:9" ht="27.6">
      <c r="A4342" s="108" t="s">
        <v>227</v>
      </c>
      <c r="B4342" s="108" t="s">
        <v>21687</v>
      </c>
      <c r="C4342" s="109">
        <v>43613</v>
      </c>
      <c r="D4342" s="108"/>
      <c r="E4342" s="108" t="s">
        <v>14605</v>
      </c>
      <c r="F4342" s="108" t="s">
        <v>21599</v>
      </c>
      <c r="G4342" s="110"/>
      <c r="H4342" s="108" t="s">
        <v>21600</v>
      </c>
      <c r="I4342" s="108"/>
    </row>
    <row r="4343" spans="1:9" ht="27.6">
      <c r="A4343" s="108" t="s">
        <v>14607</v>
      </c>
      <c r="B4343" s="108" t="s">
        <v>21688</v>
      </c>
      <c r="C4343" s="109">
        <v>40085</v>
      </c>
      <c r="D4343" s="108"/>
      <c r="E4343" s="108" t="s">
        <v>14605</v>
      </c>
      <c r="F4343" s="108" t="s">
        <v>21689</v>
      </c>
      <c r="G4343" s="110"/>
      <c r="H4343" s="108" t="s">
        <v>21600</v>
      </c>
      <c r="I4343" s="108"/>
    </row>
    <row r="4344" spans="1:9" ht="27.6">
      <c r="A4344" s="108" t="s">
        <v>14607</v>
      </c>
      <c r="B4344" s="108" t="s">
        <v>21690</v>
      </c>
      <c r="C4344" s="109">
        <v>37925</v>
      </c>
      <c r="D4344" s="108"/>
      <c r="E4344" s="108" t="s">
        <v>14605</v>
      </c>
      <c r="F4344" s="108" t="s">
        <v>21691</v>
      </c>
      <c r="G4344" s="110"/>
      <c r="H4344" s="108" t="s">
        <v>21600</v>
      </c>
      <c r="I4344" s="108"/>
    </row>
    <row r="4345" spans="1:9">
      <c r="A4345" s="108" t="s">
        <v>16935</v>
      </c>
      <c r="B4345" s="108" t="s">
        <v>21692</v>
      </c>
      <c r="C4345" s="109">
        <v>39519</v>
      </c>
      <c r="D4345" s="108"/>
      <c r="E4345" s="108" t="s">
        <v>14605</v>
      </c>
      <c r="F4345" s="108" t="s">
        <v>21693</v>
      </c>
      <c r="G4345" s="110"/>
      <c r="H4345" s="108" t="s">
        <v>21600</v>
      </c>
      <c r="I4345" s="108"/>
    </row>
    <row r="4346" spans="1:9" ht="27.6">
      <c r="A4346" s="108" t="s">
        <v>16935</v>
      </c>
      <c r="B4346" s="108" t="s">
        <v>21694</v>
      </c>
      <c r="C4346" s="109">
        <v>39706</v>
      </c>
      <c r="D4346" s="108"/>
      <c r="E4346" s="108" t="s">
        <v>14605</v>
      </c>
      <c r="F4346" s="108" t="s">
        <v>21695</v>
      </c>
      <c r="G4346" s="110"/>
      <c r="H4346" s="108" t="s">
        <v>21600</v>
      </c>
      <c r="I4346" s="108"/>
    </row>
    <row r="4347" spans="1:9" ht="27.6">
      <c r="A4347" s="108" t="s">
        <v>21696</v>
      </c>
      <c r="B4347" s="108" t="s">
        <v>21697</v>
      </c>
      <c r="C4347" s="109">
        <v>40118</v>
      </c>
      <c r="D4347" s="108"/>
      <c r="E4347" s="108" t="s">
        <v>14605</v>
      </c>
      <c r="F4347" s="108" t="s">
        <v>21695</v>
      </c>
      <c r="G4347" s="110"/>
      <c r="H4347" s="108" t="s">
        <v>21600</v>
      </c>
      <c r="I4347" s="108"/>
    </row>
    <row r="4348" spans="1:9">
      <c r="A4348" s="108" t="s">
        <v>237</v>
      </c>
      <c r="B4348" s="108" t="s">
        <v>21698</v>
      </c>
      <c r="C4348" s="109">
        <v>40472</v>
      </c>
      <c r="D4348" s="108"/>
      <c r="E4348" s="108" t="s">
        <v>14605</v>
      </c>
      <c r="F4348" s="108" t="s">
        <v>21699</v>
      </c>
      <c r="G4348" s="110"/>
      <c r="H4348" s="108" t="s">
        <v>21600</v>
      </c>
      <c r="I4348" s="108"/>
    </row>
    <row r="4349" spans="1:9">
      <c r="A4349" s="108" t="s">
        <v>1465</v>
      </c>
      <c r="B4349" s="108" t="s">
        <v>21700</v>
      </c>
      <c r="C4349" s="109">
        <v>40829</v>
      </c>
      <c r="D4349" s="108"/>
      <c r="E4349" s="108" t="s">
        <v>14605</v>
      </c>
      <c r="F4349" s="108" t="s">
        <v>16576</v>
      </c>
      <c r="G4349" s="110"/>
      <c r="H4349" s="108" t="s">
        <v>21600</v>
      </c>
      <c r="I4349" s="108"/>
    </row>
    <row r="4350" spans="1:9">
      <c r="A4350" s="108" t="s">
        <v>87</v>
      </c>
      <c r="B4350" s="108" t="s">
        <v>21701</v>
      </c>
      <c r="C4350" s="109">
        <v>40560</v>
      </c>
      <c r="D4350" s="108"/>
      <c r="E4350" s="108" t="s">
        <v>14605</v>
      </c>
      <c r="F4350" s="108" t="s">
        <v>21702</v>
      </c>
      <c r="G4350" s="110"/>
      <c r="H4350" s="108" t="s">
        <v>21600</v>
      </c>
      <c r="I4350" s="108"/>
    </row>
    <row r="4351" spans="1:9">
      <c r="A4351" s="108" t="s">
        <v>87</v>
      </c>
      <c r="B4351" s="108" t="s">
        <v>21703</v>
      </c>
      <c r="C4351" s="109">
        <v>40563</v>
      </c>
      <c r="D4351" s="108"/>
      <c r="E4351" s="108" t="s">
        <v>14605</v>
      </c>
      <c r="F4351" s="108" t="s">
        <v>21704</v>
      </c>
      <c r="G4351" s="110"/>
      <c r="H4351" s="108" t="s">
        <v>21600</v>
      </c>
      <c r="I4351" s="108"/>
    </row>
    <row r="4352" spans="1:9">
      <c r="A4352" s="108" t="s">
        <v>87</v>
      </c>
      <c r="B4352" s="108" t="s">
        <v>21705</v>
      </c>
      <c r="C4352" s="109">
        <v>40551</v>
      </c>
      <c r="D4352" s="108"/>
      <c r="E4352" s="108" t="s">
        <v>14605</v>
      </c>
      <c r="F4352" s="108" t="s">
        <v>15577</v>
      </c>
      <c r="G4352" s="110"/>
      <c r="H4352" s="108" t="s">
        <v>21600</v>
      </c>
      <c r="I4352" s="108"/>
    </row>
    <row r="4353" spans="1:9" ht="27.6">
      <c r="A4353" s="108" t="s">
        <v>15701</v>
      </c>
      <c r="B4353" s="108" t="s">
        <v>21706</v>
      </c>
      <c r="C4353" s="109">
        <v>39413</v>
      </c>
      <c r="D4353" s="108"/>
      <c r="E4353" s="108" t="s">
        <v>14605</v>
      </c>
      <c r="F4353" s="108" t="s">
        <v>21707</v>
      </c>
      <c r="G4353" s="110"/>
      <c r="H4353" s="108" t="s">
        <v>21600</v>
      </c>
      <c r="I4353" s="108"/>
    </row>
    <row r="4354" spans="1:9">
      <c r="A4354" s="108" t="s">
        <v>15705</v>
      </c>
      <c r="B4354" s="108" t="s">
        <v>21708</v>
      </c>
      <c r="C4354" s="109">
        <v>39325</v>
      </c>
      <c r="D4354" s="108"/>
      <c r="E4354" s="108" t="s">
        <v>14605</v>
      </c>
      <c r="F4354" s="108" t="s">
        <v>21709</v>
      </c>
      <c r="G4354" s="110"/>
      <c r="H4354" s="108" t="s">
        <v>21600</v>
      </c>
      <c r="I4354" s="108"/>
    </row>
    <row r="4355" spans="1:9" ht="27.6">
      <c r="A4355" s="108" t="s">
        <v>479</v>
      </c>
      <c r="B4355" s="108" t="s">
        <v>21710</v>
      </c>
      <c r="C4355" s="109">
        <v>40835</v>
      </c>
      <c r="D4355" s="108"/>
      <c r="E4355" s="108" t="s">
        <v>14605</v>
      </c>
      <c r="F4355" s="108" t="s">
        <v>21711</v>
      </c>
      <c r="G4355" s="110"/>
      <c r="H4355" s="108" t="s">
        <v>21600</v>
      </c>
      <c r="I4355" s="108"/>
    </row>
    <row r="4356" spans="1:9" ht="27.6">
      <c r="A4356" s="108" t="s">
        <v>207</v>
      </c>
      <c r="B4356" s="108" t="s">
        <v>21712</v>
      </c>
      <c r="C4356" s="109">
        <v>41990</v>
      </c>
      <c r="D4356" s="108"/>
      <c r="E4356" s="108" t="s">
        <v>14605</v>
      </c>
      <c r="F4356" s="108" t="s">
        <v>21713</v>
      </c>
      <c r="G4356" s="110"/>
      <c r="H4356" s="108" t="s">
        <v>21600</v>
      </c>
      <c r="I4356" s="108"/>
    </row>
    <row r="4357" spans="1:9">
      <c r="A4357" s="108" t="s">
        <v>118</v>
      </c>
      <c r="B4357" s="108" t="s">
        <v>21714</v>
      </c>
      <c r="C4357" s="109">
        <v>43553</v>
      </c>
      <c r="D4357" s="108"/>
      <c r="E4357" s="108" t="s">
        <v>14605</v>
      </c>
      <c r="F4357" s="108" t="s">
        <v>15858</v>
      </c>
      <c r="G4357" s="110"/>
      <c r="H4357" s="108" t="s">
        <v>21600</v>
      </c>
      <c r="I4357" s="108"/>
    </row>
    <row r="4358" spans="1:9" ht="27.6">
      <c r="A4358" s="108" t="s">
        <v>118</v>
      </c>
      <c r="B4358" s="108" t="s">
        <v>21715</v>
      </c>
      <c r="C4358" s="109">
        <v>43662</v>
      </c>
      <c r="D4358" s="108"/>
      <c r="E4358" s="108" t="s">
        <v>14605</v>
      </c>
      <c r="F4358" s="108" t="s">
        <v>21689</v>
      </c>
      <c r="G4358" s="110"/>
      <c r="H4358" s="108" t="s">
        <v>21600</v>
      </c>
      <c r="I4358" s="108"/>
    </row>
    <row r="4359" spans="1:9">
      <c r="A4359" s="108" t="s">
        <v>169</v>
      </c>
      <c r="B4359" s="108" t="s">
        <v>21716</v>
      </c>
      <c r="C4359" s="109">
        <v>44348</v>
      </c>
      <c r="D4359" s="108"/>
      <c r="E4359" s="108" t="s">
        <v>14605</v>
      </c>
      <c r="F4359" s="108" t="s">
        <v>21717</v>
      </c>
      <c r="G4359" s="110"/>
      <c r="H4359" s="108" t="s">
        <v>21600</v>
      </c>
      <c r="I4359" s="108"/>
    </row>
    <row r="4360" spans="1:9">
      <c r="A4360" s="108" t="s">
        <v>169</v>
      </c>
      <c r="B4360" s="108" t="s">
        <v>21718</v>
      </c>
      <c r="C4360" s="109">
        <v>44110</v>
      </c>
      <c r="D4360" s="108"/>
      <c r="E4360" s="108" t="s">
        <v>14605</v>
      </c>
      <c r="F4360" s="108" t="s">
        <v>21719</v>
      </c>
      <c r="G4360" s="110"/>
      <c r="H4360" s="108" t="s">
        <v>21600</v>
      </c>
      <c r="I4360" s="108"/>
    </row>
    <row r="4361" spans="1:9">
      <c r="A4361" s="108" t="s">
        <v>169</v>
      </c>
      <c r="B4361" s="108" t="s">
        <v>21720</v>
      </c>
      <c r="C4361" s="109">
        <v>44546</v>
      </c>
      <c r="D4361" s="108"/>
      <c r="E4361" s="108" t="s">
        <v>14605</v>
      </c>
      <c r="F4361" s="108" t="s">
        <v>14725</v>
      </c>
      <c r="G4361" s="110"/>
      <c r="H4361" s="108" t="s">
        <v>21600</v>
      </c>
      <c r="I4361" s="108"/>
    </row>
    <row r="4362" spans="1:9">
      <c r="A4362" s="108" t="s">
        <v>169</v>
      </c>
      <c r="B4362" s="108" t="s">
        <v>21721</v>
      </c>
      <c r="C4362" s="109">
        <v>42197</v>
      </c>
      <c r="D4362" s="108"/>
      <c r="E4362" s="108" t="s">
        <v>14605</v>
      </c>
      <c r="F4362" s="108" t="s">
        <v>15858</v>
      </c>
      <c r="G4362" s="110"/>
      <c r="H4362" s="108" t="s">
        <v>21600</v>
      </c>
      <c r="I4362" s="108"/>
    </row>
    <row r="4363" spans="1:9">
      <c r="A4363" s="108" t="s">
        <v>16151</v>
      </c>
      <c r="B4363" s="108" t="s">
        <v>21722</v>
      </c>
      <c r="C4363" s="109">
        <v>44614</v>
      </c>
      <c r="D4363" s="108" t="s">
        <v>21723</v>
      </c>
      <c r="E4363" s="108" t="s">
        <v>14605</v>
      </c>
      <c r="F4363" s="108" t="s">
        <v>15856</v>
      </c>
      <c r="G4363" s="109">
        <v>46083</v>
      </c>
      <c r="H4363" s="108" t="s">
        <v>21600</v>
      </c>
      <c r="I4363" s="108" t="s">
        <v>102</v>
      </c>
    </row>
    <row r="4364" spans="1:9" ht="27.6">
      <c r="A4364" s="108" t="s">
        <v>109</v>
      </c>
      <c r="B4364" s="108" t="s">
        <v>21724</v>
      </c>
      <c r="C4364" s="109">
        <v>44489</v>
      </c>
      <c r="D4364" s="108" t="s">
        <v>21725</v>
      </c>
      <c r="E4364" s="108" t="s">
        <v>14605</v>
      </c>
      <c r="F4364" s="108" t="s">
        <v>21726</v>
      </c>
      <c r="G4364" s="109">
        <v>45935</v>
      </c>
      <c r="H4364" s="108" t="s">
        <v>21600</v>
      </c>
      <c r="I4364" s="108" t="s">
        <v>95</v>
      </c>
    </row>
    <row r="4365" spans="1:9" ht="27.6">
      <c r="A4365" s="108" t="s">
        <v>109</v>
      </c>
      <c r="B4365" s="108" t="s">
        <v>21727</v>
      </c>
      <c r="C4365" s="109">
        <v>45219</v>
      </c>
      <c r="D4365" s="108" t="s">
        <v>21728</v>
      </c>
      <c r="E4365" s="108" t="s">
        <v>14605</v>
      </c>
      <c r="F4365" s="108" t="s">
        <v>21675</v>
      </c>
      <c r="G4365" s="109">
        <v>46658</v>
      </c>
      <c r="H4365" s="108" t="s">
        <v>21600</v>
      </c>
      <c r="I4365" s="108" t="s">
        <v>95</v>
      </c>
    </row>
    <row r="4366" spans="1:9" ht="27.6">
      <c r="A4366" s="108" t="s">
        <v>109</v>
      </c>
      <c r="B4366" s="108" t="s">
        <v>21729</v>
      </c>
      <c r="C4366" s="109">
        <v>45226</v>
      </c>
      <c r="D4366" s="108" t="s">
        <v>21730</v>
      </c>
      <c r="E4366" s="108" t="s">
        <v>14605</v>
      </c>
      <c r="F4366" s="108" t="s">
        <v>21678</v>
      </c>
      <c r="G4366" s="109">
        <v>46313</v>
      </c>
      <c r="H4366" s="108" t="s">
        <v>21600</v>
      </c>
      <c r="I4366" s="108" t="s">
        <v>95</v>
      </c>
    </row>
    <row r="4367" spans="1:9" ht="27.6">
      <c r="A4367" s="108" t="s">
        <v>96</v>
      </c>
      <c r="B4367" s="108" t="s">
        <v>21731</v>
      </c>
      <c r="C4367" s="109">
        <v>45182</v>
      </c>
      <c r="D4367" s="108" t="s">
        <v>21732</v>
      </c>
      <c r="E4367" s="108" t="s">
        <v>14605</v>
      </c>
      <c r="F4367" s="108" t="s">
        <v>21675</v>
      </c>
      <c r="G4367" s="109">
        <v>46634</v>
      </c>
      <c r="H4367" s="108" t="s">
        <v>21600</v>
      </c>
      <c r="I4367" s="108" t="s">
        <v>95</v>
      </c>
    </row>
    <row r="4368" spans="1:9" ht="27.6">
      <c r="A4368" s="108" t="s">
        <v>244</v>
      </c>
      <c r="B4368" s="108" t="s">
        <v>21733</v>
      </c>
      <c r="C4368" s="109">
        <v>45040</v>
      </c>
      <c r="D4368" s="108" t="s">
        <v>21734</v>
      </c>
      <c r="E4368" s="108" t="s">
        <v>14605</v>
      </c>
      <c r="F4368" s="108" t="s">
        <v>21735</v>
      </c>
      <c r="G4368" s="109">
        <v>45771</v>
      </c>
      <c r="H4368" s="108" t="s">
        <v>21600</v>
      </c>
      <c r="I4368" s="108" t="s">
        <v>95</v>
      </c>
    </row>
    <row r="4369" spans="1:9">
      <c r="A4369" s="108" t="s">
        <v>16151</v>
      </c>
      <c r="B4369" s="108" t="s">
        <v>21736</v>
      </c>
      <c r="C4369" s="109">
        <v>45058</v>
      </c>
      <c r="D4369" s="108" t="s">
        <v>21737</v>
      </c>
      <c r="E4369" s="108" t="s">
        <v>14605</v>
      </c>
      <c r="F4369" s="108" t="s">
        <v>21673</v>
      </c>
      <c r="G4369" s="109">
        <v>46873</v>
      </c>
      <c r="H4369" s="108" t="s">
        <v>21600</v>
      </c>
      <c r="I4369" s="108" t="s">
        <v>95</v>
      </c>
    </row>
    <row r="4370" spans="1:9" ht="27.6">
      <c r="A4370" s="108" t="s">
        <v>16151</v>
      </c>
      <c r="B4370" s="108" t="s">
        <v>21738</v>
      </c>
      <c r="C4370" s="109">
        <v>45573</v>
      </c>
      <c r="D4370" s="108" t="s">
        <v>21739</v>
      </c>
      <c r="E4370" s="108" t="s">
        <v>14605</v>
      </c>
      <c r="F4370" s="108" t="s">
        <v>16644</v>
      </c>
      <c r="G4370" s="109">
        <v>46232</v>
      </c>
      <c r="H4370" s="108" t="s">
        <v>21600</v>
      </c>
      <c r="I4370" s="108" t="s">
        <v>95</v>
      </c>
    </row>
    <row r="4371" spans="1:9" ht="27.6">
      <c r="A4371" s="108" t="s">
        <v>17130</v>
      </c>
      <c r="B4371" s="108" t="s">
        <v>21740</v>
      </c>
      <c r="C4371" s="109">
        <v>44972</v>
      </c>
      <c r="D4371" s="108" t="s">
        <v>21741</v>
      </c>
      <c r="E4371" s="108" t="s">
        <v>14605</v>
      </c>
      <c r="F4371" s="108" t="s">
        <v>21742</v>
      </c>
      <c r="G4371" s="109">
        <v>46022</v>
      </c>
      <c r="H4371" s="108" t="s">
        <v>21600</v>
      </c>
      <c r="I4371" s="108" t="s">
        <v>2880</v>
      </c>
    </row>
    <row r="4372" spans="1:9">
      <c r="A4372" s="108" t="s">
        <v>571</v>
      </c>
      <c r="B4372" s="108" t="s">
        <v>21743</v>
      </c>
      <c r="C4372" s="109">
        <v>43155</v>
      </c>
      <c r="D4372" s="108" t="s">
        <v>21744</v>
      </c>
      <c r="E4372" s="108" t="s">
        <v>14605</v>
      </c>
      <c r="F4372" s="108" t="s">
        <v>21745</v>
      </c>
      <c r="G4372" s="109">
        <v>46053</v>
      </c>
      <c r="H4372" s="108" t="s">
        <v>21600</v>
      </c>
      <c r="I4372" s="108" t="s">
        <v>280</v>
      </c>
    </row>
    <row r="4373" spans="1:9">
      <c r="A4373" s="108" t="s">
        <v>2002</v>
      </c>
      <c r="B4373" s="108" t="s">
        <v>21746</v>
      </c>
      <c r="C4373" s="109">
        <v>42141</v>
      </c>
      <c r="D4373" s="108" t="s">
        <v>21747</v>
      </c>
      <c r="E4373" s="108" t="s">
        <v>14605</v>
      </c>
      <c r="F4373" s="108" t="s">
        <v>21649</v>
      </c>
      <c r="G4373" s="109">
        <v>45618</v>
      </c>
      <c r="H4373" s="108" t="s">
        <v>21600</v>
      </c>
      <c r="I4373" s="108" t="s">
        <v>280</v>
      </c>
    </row>
    <row r="4374" spans="1:9">
      <c r="A4374" s="108" t="s">
        <v>1465</v>
      </c>
      <c r="B4374" s="108" t="s">
        <v>21748</v>
      </c>
      <c r="C4374" s="109">
        <v>43585</v>
      </c>
      <c r="D4374" s="108" t="s">
        <v>21749</v>
      </c>
      <c r="E4374" s="108" t="s">
        <v>14605</v>
      </c>
      <c r="F4374" s="108" t="s">
        <v>21660</v>
      </c>
      <c r="G4374" s="109">
        <v>45941</v>
      </c>
      <c r="H4374" s="108" t="s">
        <v>21600</v>
      </c>
      <c r="I4374" s="108" t="s">
        <v>280</v>
      </c>
    </row>
    <row r="4375" spans="1:9">
      <c r="A4375" s="108" t="s">
        <v>87</v>
      </c>
      <c r="B4375" s="108" t="s">
        <v>21750</v>
      </c>
      <c r="C4375" s="109">
        <v>44392</v>
      </c>
      <c r="D4375" s="108" t="s">
        <v>21751</v>
      </c>
      <c r="E4375" s="108" t="s">
        <v>14605</v>
      </c>
      <c r="F4375" s="108" t="s">
        <v>913</v>
      </c>
      <c r="G4375" s="109">
        <v>45852</v>
      </c>
      <c r="H4375" s="108" t="s">
        <v>21600</v>
      </c>
      <c r="I4375" s="108" t="s">
        <v>280</v>
      </c>
    </row>
    <row r="4376" spans="1:9" ht="27.6">
      <c r="A4376" s="108" t="s">
        <v>87</v>
      </c>
      <c r="B4376" s="108" t="s">
        <v>21752</v>
      </c>
      <c r="C4376" s="109">
        <v>44396</v>
      </c>
      <c r="D4376" s="108" t="s">
        <v>21753</v>
      </c>
      <c r="E4376" s="108" t="s">
        <v>14605</v>
      </c>
      <c r="F4376" s="108" t="s">
        <v>21695</v>
      </c>
      <c r="G4376" s="109">
        <v>46221</v>
      </c>
      <c r="H4376" s="108" t="s">
        <v>21600</v>
      </c>
      <c r="I4376" s="108" t="s">
        <v>164</v>
      </c>
    </row>
    <row r="4377" spans="1:9">
      <c r="A4377" s="108" t="s">
        <v>87</v>
      </c>
      <c r="B4377" s="108" t="s">
        <v>21754</v>
      </c>
      <c r="C4377" s="109">
        <v>45352</v>
      </c>
      <c r="D4377" s="108" t="s">
        <v>21755</v>
      </c>
      <c r="E4377" s="108" t="s">
        <v>14605</v>
      </c>
      <c r="F4377" s="108" t="s">
        <v>21756</v>
      </c>
      <c r="G4377" s="109">
        <v>46081</v>
      </c>
      <c r="H4377" s="108" t="s">
        <v>21600</v>
      </c>
      <c r="I4377" s="108" t="s">
        <v>164</v>
      </c>
    </row>
    <row r="4378" spans="1:9">
      <c r="A4378" s="108" t="s">
        <v>227</v>
      </c>
      <c r="B4378" s="108" t="s">
        <v>21757</v>
      </c>
      <c r="C4378" s="109">
        <v>42018</v>
      </c>
      <c r="D4378" s="108" t="s">
        <v>21758</v>
      </c>
      <c r="E4378" s="108" t="s">
        <v>14605</v>
      </c>
      <c r="F4378" s="108" t="s">
        <v>21759</v>
      </c>
      <c r="G4378" s="109">
        <v>45247</v>
      </c>
      <c r="H4378" s="108" t="s">
        <v>21600</v>
      </c>
      <c r="I4378" s="108" t="s">
        <v>226</v>
      </c>
    </row>
    <row r="4379" spans="1:9">
      <c r="A4379" s="108" t="s">
        <v>227</v>
      </c>
      <c r="B4379" s="108" t="s">
        <v>21760</v>
      </c>
      <c r="C4379" s="109">
        <v>42345</v>
      </c>
      <c r="D4379" s="108" t="s">
        <v>21761</v>
      </c>
      <c r="E4379" s="108" t="s">
        <v>14605</v>
      </c>
      <c r="F4379" s="108" t="s">
        <v>21662</v>
      </c>
      <c r="G4379" s="109">
        <v>45850</v>
      </c>
      <c r="H4379" s="108" t="s">
        <v>21600</v>
      </c>
      <c r="I4379" s="108" t="s">
        <v>226</v>
      </c>
    </row>
    <row r="4380" spans="1:9">
      <c r="A4380" s="108" t="s">
        <v>227</v>
      </c>
      <c r="B4380" s="108" t="s">
        <v>21762</v>
      </c>
      <c r="C4380" s="109">
        <v>42508</v>
      </c>
      <c r="D4380" s="108" t="s">
        <v>21763</v>
      </c>
      <c r="E4380" s="108" t="s">
        <v>14605</v>
      </c>
      <c r="F4380" s="108" t="s">
        <v>21764</v>
      </c>
      <c r="G4380" s="109">
        <v>45291</v>
      </c>
      <c r="H4380" s="108" t="s">
        <v>21600</v>
      </c>
      <c r="I4380" s="108" t="s">
        <v>226</v>
      </c>
    </row>
    <row r="4381" spans="1:9">
      <c r="A4381" s="108" t="s">
        <v>118</v>
      </c>
      <c r="B4381" s="108" t="s">
        <v>21765</v>
      </c>
      <c r="C4381" s="109">
        <v>42174</v>
      </c>
      <c r="D4381" s="108" t="s">
        <v>21766</v>
      </c>
      <c r="E4381" s="108" t="s">
        <v>14605</v>
      </c>
      <c r="F4381" s="108" t="s">
        <v>21767</v>
      </c>
      <c r="G4381" s="109">
        <v>45506</v>
      </c>
      <c r="H4381" s="108" t="s">
        <v>21600</v>
      </c>
      <c r="I4381" s="108" t="s">
        <v>206</v>
      </c>
    </row>
    <row r="4382" spans="1:9">
      <c r="A4382" s="108" t="s">
        <v>118</v>
      </c>
      <c r="B4382" s="108" t="s">
        <v>21768</v>
      </c>
      <c r="C4382" s="109">
        <v>42985</v>
      </c>
      <c r="D4382" s="108" t="s">
        <v>21769</v>
      </c>
      <c r="E4382" s="108" t="s">
        <v>14605</v>
      </c>
      <c r="F4382" s="108" t="s">
        <v>21770</v>
      </c>
      <c r="G4382" s="109">
        <v>45713</v>
      </c>
      <c r="H4382" s="108" t="s">
        <v>21600</v>
      </c>
      <c r="I4382" s="108" t="s">
        <v>206</v>
      </c>
    </row>
    <row r="4383" spans="1:9">
      <c r="A4383" s="108" t="s">
        <v>118</v>
      </c>
      <c r="B4383" s="108" t="s">
        <v>21771</v>
      </c>
      <c r="C4383" s="109">
        <v>44069</v>
      </c>
      <c r="D4383" s="108" t="s">
        <v>21772</v>
      </c>
      <c r="E4383" s="108" t="s">
        <v>14605</v>
      </c>
      <c r="F4383" s="108" t="s">
        <v>16364</v>
      </c>
      <c r="G4383" s="109">
        <v>47025</v>
      </c>
      <c r="H4383" s="108" t="s">
        <v>21600</v>
      </c>
      <c r="I4383" s="108" t="s">
        <v>206</v>
      </c>
    </row>
    <row r="4384" spans="1:9" ht="27.6">
      <c r="A4384" s="108" t="s">
        <v>207</v>
      </c>
      <c r="B4384" s="108" t="s">
        <v>21773</v>
      </c>
      <c r="C4384" s="109">
        <v>41555</v>
      </c>
      <c r="D4384" s="108" t="s">
        <v>21774</v>
      </c>
      <c r="E4384" s="108" t="s">
        <v>14605</v>
      </c>
      <c r="F4384" s="108" t="s">
        <v>21775</v>
      </c>
      <c r="G4384" s="109">
        <v>45169</v>
      </c>
      <c r="H4384" s="108" t="s">
        <v>21600</v>
      </c>
      <c r="I4384" s="108" t="s">
        <v>117</v>
      </c>
    </row>
    <row r="4385" spans="1:9" ht="27.6">
      <c r="A4385" s="108" t="s">
        <v>207</v>
      </c>
      <c r="B4385" s="108" t="s">
        <v>21776</v>
      </c>
      <c r="C4385" s="109">
        <v>41576</v>
      </c>
      <c r="D4385" s="108" t="s">
        <v>21777</v>
      </c>
      <c r="E4385" s="108" t="s">
        <v>14605</v>
      </c>
      <c r="F4385" s="108" t="s">
        <v>21778</v>
      </c>
      <c r="G4385" s="109">
        <v>46185</v>
      </c>
      <c r="H4385" s="108" t="s">
        <v>21600</v>
      </c>
      <c r="I4385" s="108" t="s">
        <v>117</v>
      </c>
    </row>
    <row r="4386" spans="1:9">
      <c r="A4386" s="108" t="s">
        <v>118</v>
      </c>
      <c r="B4386" s="108" t="s">
        <v>21779</v>
      </c>
      <c r="C4386" s="109">
        <v>43370</v>
      </c>
      <c r="D4386" s="108" t="s">
        <v>21780</v>
      </c>
      <c r="E4386" s="108" t="s">
        <v>14605</v>
      </c>
      <c r="F4386" s="108" t="s">
        <v>21647</v>
      </c>
      <c r="G4386" s="109">
        <v>45900</v>
      </c>
      <c r="H4386" s="108" t="s">
        <v>21600</v>
      </c>
      <c r="I4386" s="108" t="s">
        <v>642</v>
      </c>
    </row>
    <row r="4387" spans="1:9">
      <c r="A4387" s="108" t="s">
        <v>118</v>
      </c>
      <c r="B4387" s="108" t="s">
        <v>21781</v>
      </c>
      <c r="C4387" s="109">
        <v>43816</v>
      </c>
      <c r="D4387" s="108" t="s">
        <v>21782</v>
      </c>
      <c r="E4387" s="108" t="s">
        <v>14605</v>
      </c>
      <c r="F4387" s="108" t="s">
        <v>21783</v>
      </c>
      <c r="G4387" s="109">
        <v>46173</v>
      </c>
      <c r="H4387" s="108" t="s">
        <v>21600</v>
      </c>
      <c r="I4387" s="108" t="s">
        <v>642</v>
      </c>
    </row>
    <row r="4388" spans="1:9">
      <c r="A4388" s="108" t="s">
        <v>169</v>
      </c>
      <c r="B4388" s="108" t="s">
        <v>21784</v>
      </c>
      <c r="C4388" s="109">
        <v>44104</v>
      </c>
      <c r="D4388" s="108" t="s">
        <v>21785</v>
      </c>
      <c r="E4388" s="108" t="s">
        <v>14605</v>
      </c>
      <c r="F4388" s="108" t="s">
        <v>15577</v>
      </c>
      <c r="G4388" s="109">
        <v>45198</v>
      </c>
      <c r="H4388" s="108" t="s">
        <v>21600</v>
      </c>
      <c r="I4388" s="108" t="s">
        <v>3315</v>
      </c>
    </row>
    <row r="4389" spans="1:9">
      <c r="A4389" s="108" t="s">
        <v>169</v>
      </c>
      <c r="B4389" s="108" t="s">
        <v>21786</v>
      </c>
      <c r="C4389" s="109">
        <v>44158</v>
      </c>
      <c r="D4389" s="108" t="s">
        <v>21787</v>
      </c>
      <c r="E4389" s="108" t="s">
        <v>14605</v>
      </c>
      <c r="F4389" s="108" t="s">
        <v>21788</v>
      </c>
      <c r="G4389" s="109">
        <v>45984</v>
      </c>
      <c r="H4389" s="108" t="s">
        <v>21600</v>
      </c>
      <c r="I4389" s="108" t="s">
        <v>3315</v>
      </c>
    </row>
    <row r="4390" spans="1:9">
      <c r="A4390" s="108" t="s">
        <v>169</v>
      </c>
      <c r="B4390" s="108" t="s">
        <v>21789</v>
      </c>
      <c r="C4390" s="109">
        <v>42438</v>
      </c>
      <c r="D4390" s="108" t="s">
        <v>21790</v>
      </c>
      <c r="E4390" s="108" t="s">
        <v>14605</v>
      </c>
      <c r="F4390" s="108" t="s">
        <v>21788</v>
      </c>
      <c r="G4390" s="109">
        <v>46164</v>
      </c>
      <c r="H4390" s="108" t="s">
        <v>21600</v>
      </c>
      <c r="I4390" s="108" t="s">
        <v>721</v>
      </c>
    </row>
    <row r="4391" spans="1:9" ht="27.6">
      <c r="A4391" s="108" t="s">
        <v>109</v>
      </c>
      <c r="B4391" s="108" t="s">
        <v>21791</v>
      </c>
      <c r="C4391" s="109">
        <v>45362</v>
      </c>
      <c r="D4391" s="108" t="s">
        <v>21792</v>
      </c>
      <c r="E4391" s="108" t="s">
        <v>14605</v>
      </c>
      <c r="F4391" s="108" t="s">
        <v>21793</v>
      </c>
      <c r="G4391" s="109">
        <v>46444</v>
      </c>
      <c r="H4391" s="108" t="s">
        <v>21600</v>
      </c>
      <c r="I4391" s="108" t="s">
        <v>133</v>
      </c>
    </row>
    <row r="4392" spans="1:9">
      <c r="A4392" s="108" t="s">
        <v>15990</v>
      </c>
      <c r="B4392" s="108" t="s">
        <v>21794</v>
      </c>
      <c r="C4392" s="109">
        <v>45293</v>
      </c>
      <c r="D4392" s="108" t="s">
        <v>21795</v>
      </c>
      <c r="E4392" s="108" t="s">
        <v>14605</v>
      </c>
      <c r="F4392" s="108" t="s">
        <v>21671</v>
      </c>
      <c r="G4392" s="109">
        <v>46075</v>
      </c>
      <c r="H4392" s="108" t="s">
        <v>21600</v>
      </c>
      <c r="I4392" s="108" t="s">
        <v>133</v>
      </c>
    </row>
    <row r="4393" spans="1:9" ht="27.6">
      <c r="A4393" s="108" t="s">
        <v>244</v>
      </c>
      <c r="B4393" s="108" t="s">
        <v>21796</v>
      </c>
      <c r="C4393" s="109">
        <v>45362</v>
      </c>
      <c r="D4393" s="108" t="s">
        <v>21797</v>
      </c>
      <c r="E4393" s="108" t="s">
        <v>14605</v>
      </c>
      <c r="F4393" s="108" t="s">
        <v>21793</v>
      </c>
      <c r="G4393" s="109">
        <v>46439</v>
      </c>
      <c r="H4393" s="108" t="s">
        <v>21600</v>
      </c>
      <c r="I4393" s="108" t="s">
        <v>133</v>
      </c>
    </row>
    <row r="4394" spans="1:9">
      <c r="A4394" s="108" t="s">
        <v>16151</v>
      </c>
      <c r="B4394" s="108" t="s">
        <v>21798</v>
      </c>
      <c r="C4394" s="109">
        <v>44698</v>
      </c>
      <c r="D4394" s="108" t="s">
        <v>21799</v>
      </c>
      <c r="E4394" s="108" t="s">
        <v>14605</v>
      </c>
      <c r="F4394" s="108" t="s">
        <v>21673</v>
      </c>
      <c r="G4394" s="109">
        <v>45989</v>
      </c>
      <c r="H4394" s="108" t="s">
        <v>21600</v>
      </c>
      <c r="I4394" s="108" t="s">
        <v>133</v>
      </c>
    </row>
    <row r="4395" spans="1:9">
      <c r="A4395" s="108" t="s">
        <v>16151</v>
      </c>
      <c r="B4395" s="108" t="s">
        <v>21800</v>
      </c>
      <c r="C4395" s="109">
        <v>45071</v>
      </c>
      <c r="D4395" s="108" t="s">
        <v>21801</v>
      </c>
      <c r="E4395" s="108" t="s">
        <v>14605</v>
      </c>
      <c r="F4395" s="108" t="s">
        <v>21671</v>
      </c>
      <c r="G4395" s="109">
        <v>46489</v>
      </c>
      <c r="H4395" s="108" t="s">
        <v>21600</v>
      </c>
      <c r="I4395" s="108" t="s">
        <v>133</v>
      </c>
    </row>
    <row r="4396" spans="1:9" ht="27.6">
      <c r="A4396" s="108" t="s">
        <v>14950</v>
      </c>
      <c r="B4396" s="108" t="s">
        <v>21802</v>
      </c>
      <c r="C4396" s="109">
        <v>44490</v>
      </c>
      <c r="D4396" s="108" t="s">
        <v>21803</v>
      </c>
      <c r="E4396" s="108" t="s">
        <v>14605</v>
      </c>
      <c r="F4396" s="108" t="s">
        <v>21726</v>
      </c>
      <c r="G4396" s="109">
        <v>44839</v>
      </c>
      <c r="H4396" s="108" t="s">
        <v>21600</v>
      </c>
      <c r="I4396" s="108" t="s">
        <v>108</v>
      </c>
    </row>
    <row r="4397" spans="1:9">
      <c r="A4397" s="108" t="s">
        <v>2002</v>
      </c>
      <c r="B4397" s="108" t="s">
        <v>21804</v>
      </c>
      <c r="C4397" s="109">
        <v>45176</v>
      </c>
      <c r="D4397" s="108" t="s">
        <v>21805</v>
      </c>
      <c r="E4397" s="108" t="s">
        <v>14605</v>
      </c>
      <c r="F4397" s="108" t="s">
        <v>21756</v>
      </c>
      <c r="G4397" s="109">
        <v>45541</v>
      </c>
      <c r="H4397" s="108" t="s">
        <v>21600</v>
      </c>
      <c r="I4397" s="108" t="s">
        <v>108</v>
      </c>
    </row>
    <row r="4398" spans="1:9">
      <c r="A4398" s="108" t="s">
        <v>87</v>
      </c>
      <c r="B4398" s="108" t="s">
        <v>21806</v>
      </c>
      <c r="C4398" s="109">
        <v>45303</v>
      </c>
      <c r="D4398" s="108" t="s">
        <v>21807</v>
      </c>
      <c r="E4398" s="108" t="s">
        <v>14605</v>
      </c>
      <c r="F4398" s="108" t="s">
        <v>21756</v>
      </c>
      <c r="G4398" s="109">
        <v>45668</v>
      </c>
      <c r="H4398" s="108" t="s">
        <v>21600</v>
      </c>
      <c r="I4398" s="108" t="s">
        <v>108</v>
      </c>
    </row>
    <row r="4399" spans="1:9">
      <c r="A4399" s="108" t="s">
        <v>2002</v>
      </c>
      <c r="B4399" s="108" t="s">
        <v>21808</v>
      </c>
      <c r="C4399" s="109">
        <v>45625</v>
      </c>
      <c r="D4399" s="108" t="s">
        <v>21809</v>
      </c>
      <c r="E4399" s="108" t="s">
        <v>14605</v>
      </c>
      <c r="F4399" s="108" t="s">
        <v>16576</v>
      </c>
      <c r="G4399" s="109">
        <v>45953</v>
      </c>
      <c r="H4399" s="108" t="s">
        <v>21600</v>
      </c>
      <c r="I4399" s="108" t="s">
        <v>108</v>
      </c>
    </row>
    <row r="4400" spans="1:9" ht="27.6">
      <c r="A4400" s="108" t="s">
        <v>207</v>
      </c>
      <c r="B4400" s="108" t="s">
        <v>21810</v>
      </c>
      <c r="C4400" s="109">
        <v>45420</v>
      </c>
      <c r="D4400" s="108" t="s">
        <v>21811</v>
      </c>
      <c r="E4400" s="108" t="s">
        <v>14605</v>
      </c>
      <c r="F4400" s="108" t="s">
        <v>21812</v>
      </c>
      <c r="G4400" s="109">
        <v>45784</v>
      </c>
      <c r="H4400" s="108" t="s">
        <v>21600</v>
      </c>
      <c r="I4400" s="108" t="s">
        <v>108</v>
      </c>
    </row>
    <row r="4401" spans="1:9" ht="27.6">
      <c r="A4401" s="108" t="s">
        <v>207</v>
      </c>
      <c r="B4401" s="108" t="s">
        <v>21813</v>
      </c>
      <c r="C4401" s="109">
        <v>45622</v>
      </c>
      <c r="D4401" s="108" t="s">
        <v>21814</v>
      </c>
      <c r="E4401" s="108" t="s">
        <v>14605</v>
      </c>
      <c r="F4401" s="108" t="s">
        <v>21815</v>
      </c>
      <c r="G4401" s="109">
        <v>45986</v>
      </c>
      <c r="H4401" s="108" t="s">
        <v>21600</v>
      </c>
      <c r="I4401" s="108" t="s">
        <v>108</v>
      </c>
    </row>
    <row r="4402" spans="1:9" ht="27.6">
      <c r="A4402" s="108" t="s">
        <v>207</v>
      </c>
      <c r="B4402" s="108" t="s">
        <v>21816</v>
      </c>
      <c r="C4402" s="109">
        <v>45575</v>
      </c>
      <c r="D4402" s="108" t="s">
        <v>21817</v>
      </c>
      <c r="E4402" s="108" t="s">
        <v>14605</v>
      </c>
      <c r="F4402" s="108" t="s">
        <v>21818</v>
      </c>
      <c r="G4402" s="109">
        <v>45955</v>
      </c>
      <c r="H4402" s="108" t="s">
        <v>21600</v>
      </c>
      <c r="I4402" s="108" t="s">
        <v>108</v>
      </c>
    </row>
    <row r="4403" spans="1:9">
      <c r="A4403" s="108" t="s">
        <v>169</v>
      </c>
      <c r="B4403" s="108" t="s">
        <v>21819</v>
      </c>
      <c r="C4403" s="109">
        <v>45112</v>
      </c>
      <c r="D4403" s="108" t="s">
        <v>21820</v>
      </c>
      <c r="E4403" s="108" t="s">
        <v>14605</v>
      </c>
      <c r="F4403" s="108" t="s">
        <v>21675</v>
      </c>
      <c r="G4403" s="109">
        <v>45424</v>
      </c>
      <c r="H4403" s="108" t="s">
        <v>21600</v>
      </c>
      <c r="I4403" s="108" t="s">
        <v>108</v>
      </c>
    </row>
    <row r="4404" spans="1:9">
      <c r="A4404" s="108" t="s">
        <v>169</v>
      </c>
      <c r="B4404" s="108" t="s">
        <v>21821</v>
      </c>
      <c r="C4404" s="109">
        <v>45268</v>
      </c>
      <c r="D4404" s="108" t="s">
        <v>21822</v>
      </c>
      <c r="E4404" s="108" t="s">
        <v>14605</v>
      </c>
      <c r="F4404" s="108" t="s">
        <v>21756</v>
      </c>
      <c r="G4404" s="109">
        <v>45556</v>
      </c>
      <c r="H4404" s="108" t="s">
        <v>21600</v>
      </c>
      <c r="I4404" s="108" t="s">
        <v>108</v>
      </c>
    </row>
    <row r="4405" spans="1:9" ht="27.6">
      <c r="A4405" s="108" t="s">
        <v>109</v>
      </c>
      <c r="B4405" s="108" t="s">
        <v>21823</v>
      </c>
      <c r="C4405" s="109">
        <v>45407</v>
      </c>
      <c r="D4405" s="108" t="s">
        <v>21824</v>
      </c>
      <c r="E4405" s="108" t="s">
        <v>14605</v>
      </c>
      <c r="F4405" s="108" t="s">
        <v>21735</v>
      </c>
      <c r="G4405" s="109">
        <v>45771</v>
      </c>
      <c r="H4405" s="108" t="s">
        <v>21600</v>
      </c>
      <c r="I4405" s="108" t="s">
        <v>108</v>
      </c>
    </row>
    <row r="4406" spans="1:9" ht="27.6">
      <c r="A4406" s="108" t="s">
        <v>109</v>
      </c>
      <c r="B4406" s="108" t="s">
        <v>21825</v>
      </c>
      <c r="C4406" s="109">
        <v>45491</v>
      </c>
      <c r="D4406" s="108" t="s">
        <v>21826</v>
      </c>
      <c r="E4406" s="108" t="s">
        <v>14605</v>
      </c>
      <c r="F4406" s="108" t="s">
        <v>21693</v>
      </c>
      <c r="G4406" s="109">
        <v>45853</v>
      </c>
      <c r="H4406" s="108" t="s">
        <v>21600</v>
      </c>
      <c r="I4406" s="108" t="s">
        <v>108</v>
      </c>
    </row>
    <row r="4407" spans="1:9" ht="27.6">
      <c r="A4407" s="108" t="s">
        <v>109</v>
      </c>
      <c r="B4407" s="108" t="s">
        <v>21827</v>
      </c>
      <c r="C4407" s="109">
        <v>45533</v>
      </c>
      <c r="D4407" s="108" t="s">
        <v>21828</v>
      </c>
      <c r="E4407" s="108" t="s">
        <v>14605</v>
      </c>
      <c r="F4407" s="108" t="s">
        <v>21682</v>
      </c>
      <c r="G4407" s="109">
        <v>45897</v>
      </c>
      <c r="H4407" s="108" t="s">
        <v>21600</v>
      </c>
      <c r="I4407" s="108" t="s">
        <v>108</v>
      </c>
    </row>
    <row r="4408" spans="1:9" ht="27.6">
      <c r="A4408" s="108" t="s">
        <v>8247</v>
      </c>
      <c r="B4408" s="108" t="s">
        <v>21829</v>
      </c>
      <c r="C4408" s="109">
        <v>45903</v>
      </c>
      <c r="D4408" s="108" t="s">
        <v>21830</v>
      </c>
      <c r="E4408" s="108" t="s">
        <v>14605</v>
      </c>
      <c r="F4408" s="108" t="s">
        <v>15097</v>
      </c>
      <c r="G4408" s="109">
        <v>46275</v>
      </c>
      <c r="H4408" s="108" t="s">
        <v>21600</v>
      </c>
      <c r="I4408" s="108" t="s">
        <v>108</v>
      </c>
    </row>
    <row r="4409" spans="1:9" ht="27.6">
      <c r="A4409" s="108" t="s">
        <v>96</v>
      </c>
      <c r="B4409" s="108" t="s">
        <v>21831</v>
      </c>
      <c r="C4409" s="109">
        <v>45506</v>
      </c>
      <c r="D4409" s="108" t="s">
        <v>21832</v>
      </c>
      <c r="E4409" s="108" t="s">
        <v>14605</v>
      </c>
      <c r="F4409" s="108" t="s">
        <v>16479</v>
      </c>
      <c r="G4409" s="109">
        <v>45869</v>
      </c>
      <c r="H4409" s="108" t="s">
        <v>21600</v>
      </c>
      <c r="I4409" s="108" t="s">
        <v>108</v>
      </c>
    </row>
    <row r="4410" spans="1:9">
      <c r="A4410" s="108" t="s">
        <v>16151</v>
      </c>
      <c r="B4410" s="108" t="s">
        <v>21833</v>
      </c>
      <c r="C4410" s="109">
        <v>45537</v>
      </c>
      <c r="D4410" s="108" t="s">
        <v>21834</v>
      </c>
      <c r="E4410" s="108" t="s">
        <v>14605</v>
      </c>
      <c r="F4410" s="108" t="s">
        <v>21818</v>
      </c>
      <c r="G4410" s="109">
        <v>45904</v>
      </c>
      <c r="H4410" s="108" t="s">
        <v>21600</v>
      </c>
      <c r="I4410" s="108" t="s">
        <v>108</v>
      </c>
    </row>
    <row r="4411" spans="1:9" ht="27.6">
      <c r="A4411" s="108" t="s">
        <v>109</v>
      </c>
      <c r="B4411" s="108" t="s">
        <v>21835</v>
      </c>
      <c r="C4411" s="109">
        <v>45316</v>
      </c>
      <c r="D4411" s="108" t="s">
        <v>21836</v>
      </c>
      <c r="E4411" s="108" t="s">
        <v>14605</v>
      </c>
      <c r="F4411" s="108" t="s">
        <v>21680</v>
      </c>
      <c r="G4411" s="109">
        <v>46135</v>
      </c>
      <c r="H4411" s="108" t="s">
        <v>21600</v>
      </c>
      <c r="I4411" s="108" t="s">
        <v>19708</v>
      </c>
    </row>
    <row r="4412" spans="1:9" ht="27.6">
      <c r="A4412" s="108" t="s">
        <v>96</v>
      </c>
      <c r="B4412" s="108" t="s">
        <v>21837</v>
      </c>
      <c r="C4412" s="109">
        <v>45366</v>
      </c>
      <c r="D4412" s="108" t="s">
        <v>21838</v>
      </c>
      <c r="E4412" s="108" t="s">
        <v>14605</v>
      </c>
      <c r="F4412" s="108" t="s">
        <v>21839</v>
      </c>
      <c r="G4412" s="109">
        <v>46310</v>
      </c>
      <c r="H4412" s="108" t="s">
        <v>21600</v>
      </c>
      <c r="I4412" s="108" t="s">
        <v>19708</v>
      </c>
    </row>
    <row r="4413" spans="1:9" ht="27.6">
      <c r="A4413" s="108" t="s">
        <v>237</v>
      </c>
      <c r="B4413" s="108" t="s">
        <v>21840</v>
      </c>
      <c r="C4413" s="109">
        <v>40997</v>
      </c>
      <c r="D4413" s="108"/>
      <c r="E4413" s="108" t="s">
        <v>14605</v>
      </c>
      <c r="F4413" s="108" t="s">
        <v>21841</v>
      </c>
      <c r="G4413" s="110"/>
      <c r="H4413" s="108" t="s">
        <v>21842</v>
      </c>
      <c r="I4413" s="108"/>
    </row>
    <row r="4414" spans="1:9">
      <c r="A4414" s="108" t="s">
        <v>2002</v>
      </c>
      <c r="B4414" s="108" t="s">
        <v>21843</v>
      </c>
      <c r="C4414" s="109">
        <v>40997</v>
      </c>
      <c r="D4414" s="108"/>
      <c r="E4414" s="108" t="s">
        <v>14605</v>
      </c>
      <c r="F4414" s="108" t="s">
        <v>21844</v>
      </c>
      <c r="G4414" s="110"/>
      <c r="H4414" s="108" t="s">
        <v>21842</v>
      </c>
      <c r="I4414" s="108"/>
    </row>
    <row r="4415" spans="1:9">
      <c r="A4415" s="108" t="s">
        <v>2002</v>
      </c>
      <c r="B4415" s="108" t="s">
        <v>21845</v>
      </c>
      <c r="C4415" s="109">
        <v>41080</v>
      </c>
      <c r="D4415" s="108"/>
      <c r="E4415" s="108" t="s">
        <v>14605</v>
      </c>
      <c r="F4415" s="108" t="s">
        <v>21846</v>
      </c>
      <c r="G4415" s="110"/>
      <c r="H4415" s="108" t="s">
        <v>21842</v>
      </c>
      <c r="I4415" s="108"/>
    </row>
    <row r="4416" spans="1:9" ht="27.6">
      <c r="A4416" s="108" t="s">
        <v>2002</v>
      </c>
      <c r="B4416" s="108" t="s">
        <v>21847</v>
      </c>
      <c r="C4416" s="109">
        <v>41086</v>
      </c>
      <c r="D4416" s="108"/>
      <c r="E4416" s="108" t="s">
        <v>14605</v>
      </c>
      <c r="F4416" s="108" t="s">
        <v>21848</v>
      </c>
      <c r="G4416" s="110"/>
      <c r="H4416" s="108" t="s">
        <v>21842</v>
      </c>
      <c r="I4416" s="108"/>
    </row>
    <row r="4417" spans="1:9" ht="27.6">
      <c r="A4417" s="108" t="s">
        <v>2002</v>
      </c>
      <c r="B4417" s="108" t="s">
        <v>21849</v>
      </c>
      <c r="C4417" s="109">
        <v>41331</v>
      </c>
      <c r="D4417" s="108"/>
      <c r="E4417" s="108" t="s">
        <v>14605</v>
      </c>
      <c r="F4417" s="108" t="s">
        <v>21850</v>
      </c>
      <c r="G4417" s="110"/>
      <c r="H4417" s="108" t="s">
        <v>21842</v>
      </c>
      <c r="I4417" s="108"/>
    </row>
    <row r="4418" spans="1:9">
      <c r="A4418" s="108" t="s">
        <v>2002</v>
      </c>
      <c r="B4418" s="108" t="s">
        <v>21851</v>
      </c>
      <c r="C4418" s="109">
        <v>41130</v>
      </c>
      <c r="D4418" s="108"/>
      <c r="E4418" s="108" t="s">
        <v>14605</v>
      </c>
      <c r="F4418" s="108" t="s">
        <v>21852</v>
      </c>
      <c r="G4418" s="110"/>
      <c r="H4418" s="108" t="s">
        <v>21842</v>
      </c>
      <c r="I4418" s="108"/>
    </row>
    <row r="4419" spans="1:9" ht="27.6">
      <c r="A4419" s="108" t="s">
        <v>2002</v>
      </c>
      <c r="B4419" s="108" t="s">
        <v>21853</v>
      </c>
      <c r="C4419" s="109">
        <v>41250</v>
      </c>
      <c r="D4419" s="108"/>
      <c r="E4419" s="108" t="s">
        <v>14605</v>
      </c>
      <c r="F4419" s="108" t="s">
        <v>21854</v>
      </c>
      <c r="G4419" s="110"/>
      <c r="H4419" s="108" t="s">
        <v>21842</v>
      </c>
      <c r="I4419" s="108"/>
    </row>
    <row r="4420" spans="1:9" ht="27.6">
      <c r="A4420" s="108" t="s">
        <v>17530</v>
      </c>
      <c r="B4420" s="108" t="s">
        <v>21855</v>
      </c>
      <c r="C4420" s="109">
        <v>41289</v>
      </c>
      <c r="D4420" s="108"/>
      <c r="E4420" s="108" t="s">
        <v>14605</v>
      </c>
      <c r="F4420" s="108" t="s">
        <v>21856</v>
      </c>
      <c r="G4420" s="110"/>
      <c r="H4420" s="108" t="s">
        <v>21842</v>
      </c>
      <c r="I4420" s="108"/>
    </row>
    <row r="4421" spans="1:9" ht="27.6">
      <c r="A4421" s="108" t="s">
        <v>2002</v>
      </c>
      <c r="B4421" s="108" t="s">
        <v>21857</v>
      </c>
      <c r="C4421" s="109">
        <v>41381</v>
      </c>
      <c r="D4421" s="108"/>
      <c r="E4421" s="108" t="s">
        <v>14605</v>
      </c>
      <c r="F4421" s="108" t="s">
        <v>21858</v>
      </c>
      <c r="G4421" s="110"/>
      <c r="H4421" s="108" t="s">
        <v>21842</v>
      </c>
      <c r="I4421" s="108"/>
    </row>
    <row r="4422" spans="1:9" ht="27.6">
      <c r="A4422" s="108" t="s">
        <v>1465</v>
      </c>
      <c r="B4422" s="108" t="s">
        <v>21859</v>
      </c>
      <c r="C4422" s="109">
        <v>40998</v>
      </c>
      <c r="D4422" s="108"/>
      <c r="E4422" s="108" t="s">
        <v>14605</v>
      </c>
      <c r="F4422" s="108" t="s">
        <v>21860</v>
      </c>
      <c r="G4422" s="110"/>
      <c r="H4422" s="108" t="s">
        <v>21842</v>
      </c>
      <c r="I4422" s="108"/>
    </row>
    <row r="4423" spans="1:9" ht="27.6">
      <c r="A4423" s="108" t="s">
        <v>1465</v>
      </c>
      <c r="B4423" s="108" t="s">
        <v>21861</v>
      </c>
      <c r="C4423" s="109">
        <v>41060</v>
      </c>
      <c r="D4423" s="108"/>
      <c r="E4423" s="108" t="s">
        <v>14605</v>
      </c>
      <c r="F4423" s="108" t="s">
        <v>21862</v>
      </c>
      <c r="G4423" s="110"/>
      <c r="H4423" s="108" t="s">
        <v>21842</v>
      </c>
      <c r="I4423" s="108"/>
    </row>
    <row r="4424" spans="1:9" ht="27.6">
      <c r="A4424" s="108" t="s">
        <v>1465</v>
      </c>
      <c r="B4424" s="108" t="s">
        <v>21863</v>
      </c>
      <c r="C4424" s="109">
        <v>41108</v>
      </c>
      <c r="D4424" s="108"/>
      <c r="E4424" s="108" t="s">
        <v>14605</v>
      </c>
      <c r="F4424" s="108" t="s">
        <v>21864</v>
      </c>
      <c r="G4424" s="110"/>
      <c r="H4424" s="108" t="s">
        <v>21842</v>
      </c>
      <c r="I4424" s="108"/>
    </row>
    <row r="4425" spans="1:9" ht="27.6">
      <c r="A4425" s="108" t="s">
        <v>1465</v>
      </c>
      <c r="B4425" s="108" t="s">
        <v>21865</v>
      </c>
      <c r="C4425" s="109">
        <v>41171</v>
      </c>
      <c r="D4425" s="108"/>
      <c r="E4425" s="108" t="s">
        <v>14605</v>
      </c>
      <c r="F4425" s="108" t="s">
        <v>21866</v>
      </c>
      <c r="G4425" s="110"/>
      <c r="H4425" s="108" t="s">
        <v>21842</v>
      </c>
      <c r="I4425" s="108"/>
    </row>
    <row r="4426" spans="1:9">
      <c r="A4426" s="108" t="s">
        <v>1465</v>
      </c>
      <c r="B4426" s="108" t="s">
        <v>21867</v>
      </c>
      <c r="C4426" s="109">
        <v>41340</v>
      </c>
      <c r="D4426" s="108"/>
      <c r="E4426" s="108" t="s">
        <v>14605</v>
      </c>
      <c r="F4426" s="108" t="s">
        <v>21868</v>
      </c>
      <c r="G4426" s="110"/>
      <c r="H4426" s="108" t="s">
        <v>21842</v>
      </c>
      <c r="I4426" s="108"/>
    </row>
    <row r="4427" spans="1:9">
      <c r="A4427" s="108" t="s">
        <v>14679</v>
      </c>
      <c r="B4427" s="108" t="s">
        <v>21869</v>
      </c>
      <c r="C4427" s="109">
        <v>41159</v>
      </c>
      <c r="D4427" s="108"/>
      <c r="E4427" s="108" t="s">
        <v>14605</v>
      </c>
      <c r="F4427" s="108" t="s">
        <v>21870</v>
      </c>
      <c r="G4427" s="110"/>
      <c r="H4427" s="108" t="s">
        <v>21842</v>
      </c>
      <c r="I4427" s="108"/>
    </row>
    <row r="4428" spans="1:9">
      <c r="A4428" s="108" t="s">
        <v>14679</v>
      </c>
      <c r="B4428" s="108" t="s">
        <v>21871</v>
      </c>
      <c r="C4428" s="109">
        <v>41159</v>
      </c>
      <c r="D4428" s="108"/>
      <c r="E4428" s="108" t="s">
        <v>14605</v>
      </c>
      <c r="F4428" s="108" t="s">
        <v>21872</v>
      </c>
      <c r="G4428" s="110"/>
      <c r="H4428" s="108" t="s">
        <v>21842</v>
      </c>
      <c r="I4428" s="108"/>
    </row>
    <row r="4429" spans="1:9">
      <c r="A4429" s="108" t="s">
        <v>14679</v>
      </c>
      <c r="B4429" s="108" t="s">
        <v>21873</v>
      </c>
      <c r="C4429" s="109">
        <v>41338</v>
      </c>
      <c r="D4429" s="108"/>
      <c r="E4429" s="108" t="s">
        <v>14605</v>
      </c>
      <c r="F4429" s="108" t="s">
        <v>21874</v>
      </c>
      <c r="G4429" s="110"/>
      <c r="H4429" s="108" t="s">
        <v>21842</v>
      </c>
      <c r="I4429" s="108"/>
    </row>
    <row r="4430" spans="1:9">
      <c r="A4430" s="108" t="s">
        <v>2002</v>
      </c>
      <c r="B4430" s="108" t="s">
        <v>21875</v>
      </c>
      <c r="C4430" s="109">
        <v>41589</v>
      </c>
      <c r="D4430" s="108"/>
      <c r="E4430" s="108" t="s">
        <v>14605</v>
      </c>
      <c r="F4430" s="108" t="s">
        <v>21876</v>
      </c>
      <c r="G4430" s="110"/>
      <c r="H4430" s="108" t="s">
        <v>21842</v>
      </c>
      <c r="I4430" s="108"/>
    </row>
    <row r="4431" spans="1:9" ht="41.4">
      <c r="A4431" s="108" t="s">
        <v>1465</v>
      </c>
      <c r="B4431" s="108" t="s">
        <v>21877</v>
      </c>
      <c r="C4431" s="109">
        <v>41396</v>
      </c>
      <c r="D4431" s="108"/>
      <c r="E4431" s="108" t="s">
        <v>14605</v>
      </c>
      <c r="F4431" s="108" t="s">
        <v>21878</v>
      </c>
      <c r="G4431" s="110"/>
      <c r="H4431" s="108" t="s">
        <v>21842</v>
      </c>
      <c r="I4431" s="108"/>
    </row>
    <row r="4432" spans="1:9" ht="27.6">
      <c r="A4432" s="108" t="s">
        <v>1465</v>
      </c>
      <c r="B4432" s="108" t="s">
        <v>21879</v>
      </c>
      <c r="C4432" s="109">
        <v>41438</v>
      </c>
      <c r="D4432" s="108"/>
      <c r="E4432" s="108" t="s">
        <v>14605</v>
      </c>
      <c r="F4432" s="108" t="s">
        <v>21880</v>
      </c>
      <c r="G4432" s="110"/>
      <c r="H4432" s="108" t="s">
        <v>21842</v>
      </c>
      <c r="I4432" s="108"/>
    </row>
    <row r="4433" spans="1:9" ht="27.6">
      <c r="A4433" s="108" t="s">
        <v>14690</v>
      </c>
      <c r="B4433" s="108" t="s">
        <v>21881</v>
      </c>
      <c r="C4433" s="109">
        <v>41473</v>
      </c>
      <c r="D4433" s="108"/>
      <c r="E4433" s="108" t="s">
        <v>14605</v>
      </c>
      <c r="F4433" s="108" t="s">
        <v>21882</v>
      </c>
      <c r="G4433" s="110"/>
      <c r="H4433" s="108" t="s">
        <v>21842</v>
      </c>
      <c r="I4433" s="108"/>
    </row>
    <row r="4434" spans="1:9" ht="41.4">
      <c r="A4434" s="108" t="s">
        <v>1465</v>
      </c>
      <c r="B4434" s="108" t="s">
        <v>21883</v>
      </c>
      <c r="C4434" s="109">
        <v>41523</v>
      </c>
      <c r="D4434" s="108"/>
      <c r="E4434" s="108" t="s">
        <v>14605</v>
      </c>
      <c r="F4434" s="108" t="s">
        <v>21884</v>
      </c>
      <c r="G4434" s="110"/>
      <c r="H4434" s="108" t="s">
        <v>21842</v>
      </c>
      <c r="I4434" s="108"/>
    </row>
    <row r="4435" spans="1:9">
      <c r="A4435" s="108" t="s">
        <v>1465</v>
      </c>
      <c r="B4435" s="108" t="s">
        <v>21885</v>
      </c>
      <c r="C4435" s="109">
        <v>41523</v>
      </c>
      <c r="D4435" s="108"/>
      <c r="E4435" s="108" t="s">
        <v>14605</v>
      </c>
      <c r="F4435" s="108" t="s">
        <v>21886</v>
      </c>
      <c r="G4435" s="110"/>
      <c r="H4435" s="108" t="s">
        <v>21842</v>
      </c>
      <c r="I4435" s="108"/>
    </row>
    <row r="4436" spans="1:9">
      <c r="A4436" s="108" t="s">
        <v>1465</v>
      </c>
      <c r="B4436" s="108" t="s">
        <v>21887</v>
      </c>
      <c r="C4436" s="109">
        <v>41558</v>
      </c>
      <c r="D4436" s="108"/>
      <c r="E4436" s="108" t="s">
        <v>14605</v>
      </c>
      <c r="F4436" s="108" t="s">
        <v>21888</v>
      </c>
      <c r="G4436" s="110"/>
      <c r="H4436" s="108" t="s">
        <v>21842</v>
      </c>
      <c r="I4436" s="108"/>
    </row>
    <row r="4437" spans="1:9">
      <c r="A4437" s="108" t="s">
        <v>1465</v>
      </c>
      <c r="B4437" s="108" t="s">
        <v>21889</v>
      </c>
      <c r="C4437" s="109">
        <v>41591</v>
      </c>
      <c r="D4437" s="108"/>
      <c r="E4437" s="108" t="s">
        <v>14605</v>
      </c>
      <c r="F4437" s="108" t="s">
        <v>21890</v>
      </c>
      <c r="G4437" s="110"/>
      <c r="H4437" s="108" t="s">
        <v>21842</v>
      </c>
      <c r="I4437" s="108"/>
    </row>
    <row r="4438" spans="1:9">
      <c r="A4438" s="108" t="s">
        <v>1465</v>
      </c>
      <c r="B4438" s="108" t="s">
        <v>21891</v>
      </c>
      <c r="C4438" s="109">
        <v>41626</v>
      </c>
      <c r="D4438" s="108"/>
      <c r="E4438" s="108" t="s">
        <v>14605</v>
      </c>
      <c r="F4438" s="108" t="s">
        <v>21892</v>
      </c>
      <c r="G4438" s="110"/>
      <c r="H4438" s="108" t="s">
        <v>21842</v>
      </c>
      <c r="I4438" s="108"/>
    </row>
    <row r="4439" spans="1:9">
      <c r="A4439" s="108" t="s">
        <v>1465</v>
      </c>
      <c r="B4439" s="108" t="s">
        <v>21893</v>
      </c>
      <c r="C4439" s="109">
        <v>41668</v>
      </c>
      <c r="D4439" s="108"/>
      <c r="E4439" s="108" t="s">
        <v>14605</v>
      </c>
      <c r="F4439" s="108" t="s">
        <v>21894</v>
      </c>
      <c r="G4439" s="110"/>
      <c r="H4439" s="108" t="s">
        <v>21842</v>
      </c>
      <c r="I4439" s="108"/>
    </row>
    <row r="4440" spans="1:9" ht="27.6">
      <c r="A4440" s="108" t="s">
        <v>14679</v>
      </c>
      <c r="B4440" s="108" t="s">
        <v>21895</v>
      </c>
      <c r="C4440" s="109">
        <v>41323</v>
      </c>
      <c r="D4440" s="108"/>
      <c r="E4440" s="108" t="s">
        <v>14605</v>
      </c>
      <c r="F4440" s="108" t="s">
        <v>21896</v>
      </c>
      <c r="G4440" s="110"/>
      <c r="H4440" s="108" t="s">
        <v>21842</v>
      </c>
      <c r="I4440" s="108"/>
    </row>
    <row r="4441" spans="1:9" ht="27.6">
      <c r="A4441" s="108" t="s">
        <v>14679</v>
      </c>
      <c r="B4441" s="108" t="s">
        <v>21897</v>
      </c>
      <c r="C4441" s="109">
        <v>41332</v>
      </c>
      <c r="D4441" s="108"/>
      <c r="E4441" s="108" t="s">
        <v>14605</v>
      </c>
      <c r="F4441" s="108" t="s">
        <v>21898</v>
      </c>
      <c r="G4441" s="110"/>
      <c r="H4441" s="108" t="s">
        <v>21842</v>
      </c>
      <c r="I4441" s="108"/>
    </row>
    <row r="4442" spans="1:9" ht="27.6">
      <c r="A4442" s="108" t="s">
        <v>14679</v>
      </c>
      <c r="B4442" s="108" t="s">
        <v>21899</v>
      </c>
      <c r="C4442" s="109">
        <v>41338</v>
      </c>
      <c r="D4442" s="108"/>
      <c r="E4442" s="108" t="s">
        <v>14605</v>
      </c>
      <c r="F4442" s="108" t="s">
        <v>21854</v>
      </c>
      <c r="G4442" s="110"/>
      <c r="H4442" s="108" t="s">
        <v>21842</v>
      </c>
      <c r="I4442" s="108"/>
    </row>
    <row r="4443" spans="1:9" ht="27.6">
      <c r="A4443" s="108" t="s">
        <v>14679</v>
      </c>
      <c r="B4443" s="108" t="s">
        <v>21900</v>
      </c>
      <c r="C4443" s="109">
        <v>41359</v>
      </c>
      <c r="D4443" s="108"/>
      <c r="E4443" s="108" t="s">
        <v>14605</v>
      </c>
      <c r="F4443" s="108" t="s">
        <v>21901</v>
      </c>
      <c r="G4443" s="110"/>
      <c r="H4443" s="108" t="s">
        <v>21842</v>
      </c>
      <c r="I4443" s="108"/>
    </row>
    <row r="4444" spans="1:9">
      <c r="A4444" s="108" t="s">
        <v>14679</v>
      </c>
      <c r="B4444" s="108" t="s">
        <v>21902</v>
      </c>
      <c r="C4444" s="109">
        <v>41479</v>
      </c>
      <c r="D4444" s="108"/>
      <c r="E4444" s="108" t="s">
        <v>14605</v>
      </c>
      <c r="F4444" s="108" t="s">
        <v>21903</v>
      </c>
      <c r="G4444" s="110"/>
      <c r="H4444" s="108" t="s">
        <v>21842</v>
      </c>
      <c r="I4444" s="108"/>
    </row>
    <row r="4445" spans="1:9">
      <c r="A4445" s="108" t="s">
        <v>14679</v>
      </c>
      <c r="B4445" s="108" t="s">
        <v>21904</v>
      </c>
      <c r="C4445" s="109">
        <v>41600</v>
      </c>
      <c r="D4445" s="108"/>
      <c r="E4445" s="108" t="s">
        <v>14605</v>
      </c>
      <c r="F4445" s="108" t="s">
        <v>21905</v>
      </c>
      <c r="G4445" s="110"/>
      <c r="H4445" s="108" t="s">
        <v>21842</v>
      </c>
      <c r="I4445" s="108"/>
    </row>
    <row r="4446" spans="1:9" ht="41.4">
      <c r="A4446" s="108" t="s">
        <v>2002</v>
      </c>
      <c r="B4446" s="108" t="s">
        <v>21906</v>
      </c>
      <c r="C4446" s="109">
        <v>41703</v>
      </c>
      <c r="D4446" s="108"/>
      <c r="E4446" s="108" t="s">
        <v>14605</v>
      </c>
      <c r="F4446" s="108" t="s">
        <v>21907</v>
      </c>
      <c r="G4446" s="110"/>
      <c r="H4446" s="108" t="s">
        <v>21842</v>
      </c>
      <c r="I4446" s="108"/>
    </row>
    <row r="4447" spans="1:9">
      <c r="A4447" s="108" t="s">
        <v>2002</v>
      </c>
      <c r="B4447" s="108" t="s">
        <v>21908</v>
      </c>
      <c r="C4447" s="109">
        <v>41977</v>
      </c>
      <c r="D4447" s="108"/>
      <c r="E4447" s="108" t="s">
        <v>14605</v>
      </c>
      <c r="F4447" s="108" t="s">
        <v>21909</v>
      </c>
      <c r="G4447" s="110"/>
      <c r="H4447" s="108" t="s">
        <v>21842</v>
      </c>
      <c r="I4447" s="108"/>
    </row>
    <row r="4448" spans="1:9" ht="27.6">
      <c r="A4448" s="108" t="s">
        <v>2002</v>
      </c>
      <c r="B4448" s="108" t="s">
        <v>21910</v>
      </c>
      <c r="C4448" s="109">
        <v>42146</v>
      </c>
      <c r="D4448" s="108"/>
      <c r="E4448" s="108" t="s">
        <v>14605</v>
      </c>
      <c r="F4448" s="108" t="s">
        <v>21911</v>
      </c>
      <c r="G4448" s="110"/>
      <c r="H4448" s="108" t="s">
        <v>21842</v>
      </c>
      <c r="I4448" s="108"/>
    </row>
    <row r="4449" spans="1:9">
      <c r="A4449" s="108" t="s">
        <v>1465</v>
      </c>
      <c r="B4449" s="108" t="s">
        <v>21912</v>
      </c>
      <c r="C4449" s="109">
        <v>41929</v>
      </c>
      <c r="D4449" s="108"/>
      <c r="E4449" s="108" t="s">
        <v>14605</v>
      </c>
      <c r="F4449" s="108" t="s">
        <v>21913</v>
      </c>
      <c r="G4449" s="110"/>
      <c r="H4449" s="108" t="s">
        <v>21842</v>
      </c>
      <c r="I4449" s="108"/>
    </row>
    <row r="4450" spans="1:9">
      <c r="A4450" s="108" t="s">
        <v>14679</v>
      </c>
      <c r="B4450" s="108" t="s">
        <v>21914</v>
      </c>
      <c r="C4450" s="109">
        <v>42020</v>
      </c>
      <c r="D4450" s="108"/>
      <c r="E4450" s="108" t="s">
        <v>14605</v>
      </c>
      <c r="F4450" s="108" t="s">
        <v>21915</v>
      </c>
      <c r="G4450" s="110"/>
      <c r="H4450" s="108" t="s">
        <v>21842</v>
      </c>
      <c r="I4450" s="108"/>
    </row>
    <row r="4451" spans="1:9" ht="27.6">
      <c r="A4451" s="108" t="s">
        <v>87</v>
      </c>
      <c r="B4451" s="108" t="s">
        <v>21916</v>
      </c>
      <c r="C4451" s="109">
        <v>40981</v>
      </c>
      <c r="D4451" s="108"/>
      <c r="E4451" s="108" t="s">
        <v>14605</v>
      </c>
      <c r="F4451" s="108" t="s">
        <v>21917</v>
      </c>
      <c r="G4451" s="110"/>
      <c r="H4451" s="108" t="s">
        <v>21842</v>
      </c>
      <c r="I4451" s="108"/>
    </row>
    <row r="4452" spans="1:9">
      <c r="A4452" s="108" t="s">
        <v>87</v>
      </c>
      <c r="B4452" s="108" t="s">
        <v>21918</v>
      </c>
      <c r="C4452" s="109">
        <v>41079</v>
      </c>
      <c r="D4452" s="108"/>
      <c r="E4452" s="108" t="s">
        <v>14605</v>
      </c>
      <c r="F4452" s="108" t="s">
        <v>21846</v>
      </c>
      <c r="G4452" s="110"/>
      <c r="H4452" s="108" t="s">
        <v>21842</v>
      </c>
      <c r="I4452" s="108"/>
    </row>
    <row r="4453" spans="1:9">
      <c r="A4453" s="108" t="s">
        <v>87</v>
      </c>
      <c r="B4453" s="108" t="s">
        <v>21919</v>
      </c>
      <c r="C4453" s="109">
        <v>41102</v>
      </c>
      <c r="D4453" s="108"/>
      <c r="E4453" s="108" t="s">
        <v>14605</v>
      </c>
      <c r="F4453" s="108" t="s">
        <v>21920</v>
      </c>
      <c r="G4453" s="110"/>
      <c r="H4453" s="108" t="s">
        <v>21842</v>
      </c>
      <c r="I4453" s="108"/>
    </row>
    <row r="4454" spans="1:9" ht="41.4">
      <c r="A4454" s="108" t="s">
        <v>87</v>
      </c>
      <c r="B4454" s="108" t="s">
        <v>21921</v>
      </c>
      <c r="C4454" s="109">
        <v>41171</v>
      </c>
      <c r="D4454" s="108"/>
      <c r="E4454" s="108" t="s">
        <v>14605</v>
      </c>
      <c r="F4454" s="108" t="s">
        <v>21907</v>
      </c>
      <c r="G4454" s="110"/>
      <c r="H4454" s="108" t="s">
        <v>21842</v>
      </c>
      <c r="I4454" s="108"/>
    </row>
    <row r="4455" spans="1:9">
      <c r="A4455" s="108" t="s">
        <v>87</v>
      </c>
      <c r="B4455" s="108" t="s">
        <v>21922</v>
      </c>
      <c r="C4455" s="109">
        <v>41312</v>
      </c>
      <c r="D4455" s="108"/>
      <c r="E4455" s="108" t="s">
        <v>14605</v>
      </c>
      <c r="F4455" s="108" t="s">
        <v>21923</v>
      </c>
      <c r="G4455" s="110"/>
      <c r="H4455" s="108" t="s">
        <v>21842</v>
      </c>
      <c r="I4455" s="108"/>
    </row>
    <row r="4456" spans="1:9" ht="27.6">
      <c r="A4456" s="108" t="s">
        <v>14690</v>
      </c>
      <c r="B4456" s="108" t="s">
        <v>21924</v>
      </c>
      <c r="C4456" s="109">
        <v>41045</v>
      </c>
      <c r="D4456" s="108"/>
      <c r="E4456" s="108" t="s">
        <v>14605</v>
      </c>
      <c r="F4456" s="108" t="s">
        <v>21925</v>
      </c>
      <c r="G4456" s="110"/>
      <c r="H4456" s="108" t="s">
        <v>21842</v>
      </c>
      <c r="I4456" s="108"/>
    </row>
    <row r="4457" spans="1:9" ht="27.6">
      <c r="A4457" s="108" t="s">
        <v>14690</v>
      </c>
      <c r="B4457" s="108" t="s">
        <v>21926</v>
      </c>
      <c r="C4457" s="109">
        <v>41087</v>
      </c>
      <c r="D4457" s="108"/>
      <c r="E4457" s="108" t="s">
        <v>14605</v>
      </c>
      <c r="F4457" s="108" t="s">
        <v>21927</v>
      </c>
      <c r="G4457" s="110"/>
      <c r="H4457" s="108" t="s">
        <v>21842</v>
      </c>
      <c r="I4457" s="108"/>
    </row>
    <row r="4458" spans="1:9" ht="41.4">
      <c r="A4458" s="108" t="s">
        <v>14690</v>
      </c>
      <c r="B4458" s="108" t="s">
        <v>21928</v>
      </c>
      <c r="C4458" s="109">
        <v>41283</v>
      </c>
      <c r="D4458" s="108"/>
      <c r="E4458" s="108" t="s">
        <v>14605</v>
      </c>
      <c r="F4458" s="108" t="s">
        <v>21929</v>
      </c>
      <c r="G4458" s="110"/>
      <c r="H4458" s="108" t="s">
        <v>21842</v>
      </c>
      <c r="I4458" s="108"/>
    </row>
    <row r="4459" spans="1:9" ht="27.6">
      <c r="A4459" s="108" t="s">
        <v>14690</v>
      </c>
      <c r="B4459" s="108" t="s">
        <v>21930</v>
      </c>
      <c r="C4459" s="109">
        <v>41318</v>
      </c>
      <c r="D4459" s="108"/>
      <c r="E4459" s="108" t="s">
        <v>14605</v>
      </c>
      <c r="F4459" s="108" t="s">
        <v>21931</v>
      </c>
      <c r="G4459" s="110"/>
      <c r="H4459" s="108" t="s">
        <v>21842</v>
      </c>
      <c r="I4459" s="108"/>
    </row>
    <row r="4460" spans="1:9" ht="41.4">
      <c r="A4460" s="108" t="s">
        <v>237</v>
      </c>
      <c r="B4460" s="108" t="s">
        <v>21932</v>
      </c>
      <c r="C4460" s="109">
        <v>40981</v>
      </c>
      <c r="D4460" s="108"/>
      <c r="E4460" s="108" t="s">
        <v>14605</v>
      </c>
      <c r="F4460" s="108" t="s">
        <v>21933</v>
      </c>
      <c r="G4460" s="110"/>
      <c r="H4460" s="108" t="s">
        <v>21842</v>
      </c>
      <c r="I4460" s="108"/>
    </row>
    <row r="4461" spans="1:9" ht="27.6">
      <c r="A4461" s="108" t="s">
        <v>237</v>
      </c>
      <c r="B4461" s="108" t="s">
        <v>21934</v>
      </c>
      <c r="C4461" s="109">
        <v>40982</v>
      </c>
      <c r="D4461" s="108"/>
      <c r="E4461" s="108" t="s">
        <v>14605</v>
      </c>
      <c r="F4461" s="108" t="s">
        <v>21862</v>
      </c>
      <c r="G4461" s="110"/>
      <c r="H4461" s="108" t="s">
        <v>21842</v>
      </c>
      <c r="I4461" s="108"/>
    </row>
    <row r="4462" spans="1:9" ht="41.4">
      <c r="A4462" s="108" t="s">
        <v>237</v>
      </c>
      <c r="B4462" s="108" t="s">
        <v>21935</v>
      </c>
      <c r="C4462" s="109">
        <v>40995</v>
      </c>
      <c r="D4462" s="108"/>
      <c r="E4462" s="108" t="s">
        <v>14605</v>
      </c>
      <c r="F4462" s="108" t="s">
        <v>21933</v>
      </c>
      <c r="G4462" s="110"/>
      <c r="H4462" s="108" t="s">
        <v>21842</v>
      </c>
      <c r="I4462" s="108"/>
    </row>
    <row r="4463" spans="1:9" ht="27.6">
      <c r="A4463" s="108" t="s">
        <v>237</v>
      </c>
      <c r="B4463" s="108" t="s">
        <v>21936</v>
      </c>
      <c r="C4463" s="109">
        <v>40995</v>
      </c>
      <c r="D4463" s="108"/>
      <c r="E4463" s="108" t="s">
        <v>14605</v>
      </c>
      <c r="F4463" s="108" t="s">
        <v>21937</v>
      </c>
      <c r="G4463" s="110"/>
      <c r="H4463" s="108" t="s">
        <v>21842</v>
      </c>
      <c r="I4463" s="108"/>
    </row>
    <row r="4464" spans="1:9" ht="27.6">
      <c r="A4464" s="108" t="s">
        <v>237</v>
      </c>
      <c r="B4464" s="108" t="s">
        <v>21938</v>
      </c>
      <c r="C4464" s="109">
        <v>41193</v>
      </c>
      <c r="D4464" s="108"/>
      <c r="E4464" s="108" t="s">
        <v>14605</v>
      </c>
      <c r="F4464" s="108" t="s">
        <v>21939</v>
      </c>
      <c r="G4464" s="110"/>
      <c r="H4464" s="108" t="s">
        <v>21842</v>
      </c>
      <c r="I4464" s="108"/>
    </row>
    <row r="4465" spans="1:9">
      <c r="A4465" s="108" t="s">
        <v>237</v>
      </c>
      <c r="B4465" s="108" t="s">
        <v>21940</v>
      </c>
      <c r="C4465" s="109">
        <v>41225</v>
      </c>
      <c r="D4465" s="108"/>
      <c r="E4465" s="108" t="s">
        <v>14605</v>
      </c>
      <c r="F4465" s="108" t="s">
        <v>21941</v>
      </c>
      <c r="G4465" s="110"/>
      <c r="H4465" s="108" t="s">
        <v>21842</v>
      </c>
      <c r="I4465" s="108"/>
    </row>
    <row r="4466" spans="1:9">
      <c r="A4466" s="108" t="s">
        <v>87</v>
      </c>
      <c r="B4466" s="108" t="s">
        <v>21942</v>
      </c>
      <c r="C4466" s="109">
        <v>41340</v>
      </c>
      <c r="D4466" s="108"/>
      <c r="E4466" s="108" t="s">
        <v>14605</v>
      </c>
      <c r="F4466" s="108" t="s">
        <v>21943</v>
      </c>
      <c r="G4466" s="110"/>
      <c r="H4466" s="108" t="s">
        <v>21842</v>
      </c>
      <c r="I4466" s="108"/>
    </row>
    <row r="4467" spans="1:9">
      <c r="A4467" s="108" t="s">
        <v>87</v>
      </c>
      <c r="B4467" s="108" t="s">
        <v>21944</v>
      </c>
      <c r="C4467" s="109">
        <v>41542</v>
      </c>
      <c r="D4467" s="108"/>
      <c r="E4467" s="108" t="s">
        <v>14605</v>
      </c>
      <c r="F4467" s="108" t="s">
        <v>21945</v>
      </c>
      <c r="G4467" s="110"/>
      <c r="H4467" s="108" t="s">
        <v>21842</v>
      </c>
      <c r="I4467" s="108"/>
    </row>
    <row r="4468" spans="1:9" ht="27.6">
      <c r="A4468" s="108" t="s">
        <v>237</v>
      </c>
      <c r="B4468" s="108" t="s">
        <v>21946</v>
      </c>
      <c r="C4468" s="109">
        <v>41352</v>
      </c>
      <c r="D4468" s="108"/>
      <c r="E4468" s="108" t="s">
        <v>14605</v>
      </c>
      <c r="F4468" s="108" t="s">
        <v>21947</v>
      </c>
      <c r="G4468" s="110"/>
      <c r="H4468" s="108" t="s">
        <v>21842</v>
      </c>
      <c r="I4468" s="108"/>
    </row>
    <row r="4469" spans="1:9" ht="27.6">
      <c r="A4469" s="108" t="s">
        <v>237</v>
      </c>
      <c r="B4469" s="108" t="s">
        <v>21948</v>
      </c>
      <c r="C4469" s="109">
        <v>41354</v>
      </c>
      <c r="D4469" s="108"/>
      <c r="E4469" s="108" t="s">
        <v>14605</v>
      </c>
      <c r="F4469" s="108" t="s">
        <v>21949</v>
      </c>
      <c r="G4469" s="110"/>
      <c r="H4469" s="108" t="s">
        <v>21842</v>
      </c>
      <c r="I4469" s="108"/>
    </row>
    <row r="4470" spans="1:9" ht="27.6">
      <c r="A4470" s="108" t="s">
        <v>237</v>
      </c>
      <c r="B4470" s="108" t="s">
        <v>21950</v>
      </c>
      <c r="C4470" s="109">
        <v>41403</v>
      </c>
      <c r="D4470" s="108"/>
      <c r="E4470" s="108" t="s">
        <v>14605</v>
      </c>
      <c r="F4470" s="108" t="s">
        <v>21951</v>
      </c>
      <c r="G4470" s="110"/>
      <c r="H4470" s="108" t="s">
        <v>21842</v>
      </c>
      <c r="I4470" s="108"/>
    </row>
    <row r="4471" spans="1:9">
      <c r="A4471" s="108" t="s">
        <v>237</v>
      </c>
      <c r="B4471" s="108" t="s">
        <v>21952</v>
      </c>
      <c r="C4471" s="109">
        <v>41410</v>
      </c>
      <c r="D4471" s="108"/>
      <c r="E4471" s="108" t="s">
        <v>14605</v>
      </c>
      <c r="F4471" s="108" t="s">
        <v>15812</v>
      </c>
      <c r="G4471" s="110"/>
      <c r="H4471" s="108" t="s">
        <v>21842</v>
      </c>
      <c r="I4471" s="108"/>
    </row>
    <row r="4472" spans="1:9" ht="41.4">
      <c r="A4472" s="108" t="s">
        <v>87</v>
      </c>
      <c r="B4472" s="108" t="s">
        <v>21953</v>
      </c>
      <c r="C4472" s="109">
        <v>41696</v>
      </c>
      <c r="D4472" s="108"/>
      <c r="E4472" s="108" t="s">
        <v>14605</v>
      </c>
      <c r="F4472" s="108" t="s">
        <v>21907</v>
      </c>
      <c r="G4472" s="110"/>
      <c r="H4472" s="108" t="s">
        <v>21842</v>
      </c>
      <c r="I4472" s="108"/>
    </row>
    <row r="4473" spans="1:9" ht="55.2">
      <c r="A4473" s="108" t="s">
        <v>87</v>
      </c>
      <c r="B4473" s="108" t="s">
        <v>21954</v>
      </c>
      <c r="C4473" s="109">
        <v>41843</v>
      </c>
      <c r="D4473" s="108"/>
      <c r="E4473" s="108" t="s">
        <v>14605</v>
      </c>
      <c r="F4473" s="108" t="s">
        <v>21955</v>
      </c>
      <c r="G4473" s="110"/>
      <c r="H4473" s="108" t="s">
        <v>21842</v>
      </c>
      <c r="I4473" s="108"/>
    </row>
    <row r="4474" spans="1:9" ht="27.6">
      <c r="A4474" s="108" t="s">
        <v>87</v>
      </c>
      <c r="B4474" s="108" t="s">
        <v>21956</v>
      </c>
      <c r="C4474" s="109">
        <v>42451</v>
      </c>
      <c r="D4474" s="108"/>
      <c r="E4474" s="108" t="s">
        <v>14605</v>
      </c>
      <c r="F4474" s="108" t="s">
        <v>21957</v>
      </c>
      <c r="G4474" s="110"/>
      <c r="H4474" s="108" t="s">
        <v>21842</v>
      </c>
      <c r="I4474" s="108"/>
    </row>
    <row r="4475" spans="1:9" ht="27.6">
      <c r="A4475" s="108" t="s">
        <v>14690</v>
      </c>
      <c r="B4475" s="108" t="s">
        <v>21958</v>
      </c>
      <c r="C4475" s="109">
        <v>41701</v>
      </c>
      <c r="D4475" s="108"/>
      <c r="E4475" s="108" t="s">
        <v>14605</v>
      </c>
      <c r="F4475" s="108" t="s">
        <v>21959</v>
      </c>
      <c r="G4475" s="110"/>
      <c r="H4475" s="108" t="s">
        <v>21842</v>
      </c>
      <c r="I4475" s="108"/>
    </row>
    <row r="4476" spans="1:9" ht="27.6">
      <c r="A4476" s="108" t="s">
        <v>14690</v>
      </c>
      <c r="B4476" s="108" t="s">
        <v>21960</v>
      </c>
      <c r="C4476" s="109">
        <v>41815</v>
      </c>
      <c r="D4476" s="108"/>
      <c r="E4476" s="108" t="s">
        <v>14605</v>
      </c>
      <c r="F4476" s="108" t="s">
        <v>21961</v>
      </c>
      <c r="G4476" s="110"/>
      <c r="H4476" s="108" t="s">
        <v>21842</v>
      </c>
      <c r="I4476" s="108"/>
    </row>
    <row r="4477" spans="1:9" ht="41.4">
      <c r="A4477" s="108" t="s">
        <v>14690</v>
      </c>
      <c r="B4477" s="108" t="s">
        <v>21962</v>
      </c>
      <c r="C4477" s="109">
        <v>42027</v>
      </c>
      <c r="D4477" s="108"/>
      <c r="E4477" s="108" t="s">
        <v>14605</v>
      </c>
      <c r="F4477" s="108" t="s">
        <v>21963</v>
      </c>
      <c r="G4477" s="110"/>
      <c r="H4477" s="108" t="s">
        <v>21842</v>
      </c>
      <c r="I4477" s="108"/>
    </row>
    <row r="4478" spans="1:9" ht="41.4">
      <c r="A4478" s="108" t="s">
        <v>237</v>
      </c>
      <c r="B4478" s="108" t="s">
        <v>21964</v>
      </c>
      <c r="C4478" s="109">
        <v>41695</v>
      </c>
      <c r="D4478" s="108"/>
      <c r="E4478" s="108" t="s">
        <v>14605</v>
      </c>
      <c r="F4478" s="108" t="s">
        <v>21965</v>
      </c>
      <c r="G4478" s="110"/>
      <c r="H4478" s="108" t="s">
        <v>21842</v>
      </c>
      <c r="I4478" s="108"/>
    </row>
    <row r="4479" spans="1:9">
      <c r="A4479" s="108" t="s">
        <v>237</v>
      </c>
      <c r="B4479" s="108" t="s">
        <v>21966</v>
      </c>
      <c r="C4479" s="109">
        <v>41753</v>
      </c>
      <c r="D4479" s="108"/>
      <c r="E4479" s="108" t="s">
        <v>14605</v>
      </c>
      <c r="F4479" s="108" t="s">
        <v>21967</v>
      </c>
      <c r="G4479" s="110"/>
      <c r="H4479" s="108" t="s">
        <v>21842</v>
      </c>
      <c r="I4479" s="108"/>
    </row>
    <row r="4480" spans="1:9">
      <c r="A4480" s="108" t="s">
        <v>237</v>
      </c>
      <c r="B4480" s="108" t="s">
        <v>21968</v>
      </c>
      <c r="C4480" s="109">
        <v>41943</v>
      </c>
      <c r="D4480" s="108"/>
      <c r="E4480" s="108" t="s">
        <v>14605</v>
      </c>
      <c r="F4480" s="108" t="s">
        <v>21969</v>
      </c>
      <c r="G4480" s="110"/>
      <c r="H4480" s="108" t="s">
        <v>21842</v>
      </c>
      <c r="I4480" s="108"/>
    </row>
    <row r="4481" spans="1:9">
      <c r="A4481" s="108" t="s">
        <v>237</v>
      </c>
      <c r="B4481" s="108" t="s">
        <v>21970</v>
      </c>
      <c r="C4481" s="109">
        <v>42089</v>
      </c>
      <c r="D4481" s="108"/>
      <c r="E4481" s="108" t="s">
        <v>14605</v>
      </c>
      <c r="F4481" s="108" t="s">
        <v>21971</v>
      </c>
      <c r="G4481" s="110"/>
      <c r="H4481" s="108" t="s">
        <v>21842</v>
      </c>
      <c r="I4481" s="108"/>
    </row>
    <row r="4482" spans="1:9">
      <c r="A4482" s="108" t="s">
        <v>237</v>
      </c>
      <c r="B4482" s="108" t="s">
        <v>21972</v>
      </c>
      <c r="C4482" s="109">
        <v>41955</v>
      </c>
      <c r="D4482" s="108"/>
      <c r="E4482" s="108" t="s">
        <v>14605</v>
      </c>
      <c r="F4482" s="108" t="s">
        <v>21973</v>
      </c>
      <c r="G4482" s="110"/>
      <c r="H4482" s="108" t="s">
        <v>21842</v>
      </c>
      <c r="I4482" s="108"/>
    </row>
    <row r="4483" spans="1:9" ht="27.6">
      <c r="A4483" s="108" t="s">
        <v>237</v>
      </c>
      <c r="B4483" s="108" t="s">
        <v>21974</v>
      </c>
      <c r="C4483" s="109">
        <v>42054</v>
      </c>
      <c r="D4483" s="108"/>
      <c r="E4483" s="108" t="s">
        <v>14605</v>
      </c>
      <c r="F4483" s="108" t="s">
        <v>21975</v>
      </c>
      <c r="G4483" s="110"/>
      <c r="H4483" s="108" t="s">
        <v>21842</v>
      </c>
      <c r="I4483" s="108"/>
    </row>
    <row r="4484" spans="1:9" ht="41.4">
      <c r="A4484" s="108" t="s">
        <v>169</v>
      </c>
      <c r="B4484" s="108" t="s">
        <v>21976</v>
      </c>
      <c r="C4484" s="109">
        <v>42272</v>
      </c>
      <c r="D4484" s="108"/>
      <c r="E4484" s="108" t="s">
        <v>14605</v>
      </c>
      <c r="F4484" s="108" t="s">
        <v>21977</v>
      </c>
      <c r="G4484" s="110"/>
      <c r="H4484" s="108" t="s">
        <v>21842</v>
      </c>
      <c r="I4484" s="108"/>
    </row>
    <row r="4485" spans="1:9">
      <c r="A4485" s="108" t="s">
        <v>169</v>
      </c>
      <c r="B4485" s="108" t="s">
        <v>21978</v>
      </c>
      <c r="C4485" s="109">
        <v>41334</v>
      </c>
      <c r="D4485" s="108"/>
      <c r="E4485" s="108" t="s">
        <v>14605</v>
      </c>
      <c r="F4485" s="108" t="s">
        <v>21979</v>
      </c>
      <c r="G4485" s="110"/>
      <c r="H4485" s="108" t="s">
        <v>21842</v>
      </c>
      <c r="I4485" s="108"/>
    </row>
    <row r="4486" spans="1:9">
      <c r="A4486" s="108" t="s">
        <v>169</v>
      </c>
      <c r="B4486" s="108" t="s">
        <v>21980</v>
      </c>
      <c r="C4486" s="109">
        <v>41200</v>
      </c>
      <c r="D4486" s="108"/>
      <c r="E4486" s="108" t="s">
        <v>14605</v>
      </c>
      <c r="F4486" s="108" t="s">
        <v>21981</v>
      </c>
      <c r="G4486" s="110"/>
      <c r="H4486" s="108" t="s">
        <v>21842</v>
      </c>
      <c r="I4486" s="108"/>
    </row>
    <row r="4487" spans="1:9">
      <c r="A4487" s="108" t="s">
        <v>169</v>
      </c>
      <c r="B4487" s="108" t="s">
        <v>21982</v>
      </c>
      <c r="C4487" s="109">
        <v>41183</v>
      </c>
      <c r="D4487" s="108"/>
      <c r="E4487" s="108" t="s">
        <v>14605</v>
      </c>
      <c r="F4487" s="108" t="s">
        <v>21983</v>
      </c>
      <c r="G4487" s="110"/>
      <c r="H4487" s="108" t="s">
        <v>21842</v>
      </c>
      <c r="I4487" s="108"/>
    </row>
    <row r="4488" spans="1:9" ht="27.6">
      <c r="A4488" s="108" t="s">
        <v>169</v>
      </c>
      <c r="B4488" s="108" t="s">
        <v>21984</v>
      </c>
      <c r="C4488" s="109">
        <v>41088</v>
      </c>
      <c r="D4488" s="108"/>
      <c r="E4488" s="108" t="s">
        <v>14605</v>
      </c>
      <c r="F4488" s="108" t="s">
        <v>21947</v>
      </c>
      <c r="G4488" s="110"/>
      <c r="H4488" s="108" t="s">
        <v>21842</v>
      </c>
      <c r="I4488" s="108"/>
    </row>
    <row r="4489" spans="1:9" ht="27.6">
      <c r="A4489" s="108" t="s">
        <v>169</v>
      </c>
      <c r="B4489" s="108" t="s">
        <v>21985</v>
      </c>
      <c r="C4489" s="109">
        <v>41116</v>
      </c>
      <c r="D4489" s="108"/>
      <c r="E4489" s="108" t="s">
        <v>14605</v>
      </c>
      <c r="F4489" s="108" t="s">
        <v>21986</v>
      </c>
      <c r="G4489" s="110"/>
      <c r="H4489" s="108" t="s">
        <v>21842</v>
      </c>
      <c r="I4489" s="108"/>
    </row>
    <row r="4490" spans="1:9">
      <c r="A4490" s="108" t="s">
        <v>169</v>
      </c>
      <c r="B4490" s="108" t="s">
        <v>21987</v>
      </c>
      <c r="C4490" s="109">
        <v>41387</v>
      </c>
      <c r="D4490" s="108"/>
      <c r="E4490" s="108" t="s">
        <v>14605</v>
      </c>
      <c r="F4490" s="108" t="s">
        <v>21988</v>
      </c>
      <c r="G4490" s="110"/>
      <c r="H4490" s="108" t="s">
        <v>21842</v>
      </c>
      <c r="I4490" s="108"/>
    </row>
    <row r="4491" spans="1:9">
      <c r="A4491" s="108" t="s">
        <v>169</v>
      </c>
      <c r="B4491" s="108" t="s">
        <v>21989</v>
      </c>
      <c r="C4491" s="109">
        <v>41361</v>
      </c>
      <c r="D4491" s="108"/>
      <c r="E4491" s="108" t="s">
        <v>14605</v>
      </c>
      <c r="F4491" s="108" t="s">
        <v>21990</v>
      </c>
      <c r="G4491" s="110"/>
      <c r="H4491" s="108" t="s">
        <v>21842</v>
      </c>
      <c r="I4491" s="108"/>
    </row>
    <row r="4492" spans="1:9" ht="27.6">
      <c r="A4492" s="108" t="s">
        <v>169</v>
      </c>
      <c r="B4492" s="108" t="s">
        <v>21991</v>
      </c>
      <c r="C4492" s="109">
        <v>41376</v>
      </c>
      <c r="D4492" s="108"/>
      <c r="E4492" s="108" t="s">
        <v>14605</v>
      </c>
      <c r="F4492" s="108" t="s">
        <v>21947</v>
      </c>
      <c r="G4492" s="110"/>
      <c r="H4492" s="108" t="s">
        <v>21842</v>
      </c>
      <c r="I4492" s="108"/>
    </row>
    <row r="4493" spans="1:9">
      <c r="A4493" s="108" t="s">
        <v>169</v>
      </c>
      <c r="B4493" s="108" t="s">
        <v>21992</v>
      </c>
      <c r="C4493" s="109">
        <v>41180</v>
      </c>
      <c r="D4493" s="108"/>
      <c r="E4493" s="108" t="s">
        <v>14605</v>
      </c>
      <c r="F4493" s="108" t="s">
        <v>21993</v>
      </c>
      <c r="G4493" s="110"/>
      <c r="H4493" s="108" t="s">
        <v>21842</v>
      </c>
      <c r="I4493" s="108"/>
    </row>
    <row r="4494" spans="1:9" ht="27.6">
      <c r="A4494" s="108" t="s">
        <v>169</v>
      </c>
      <c r="B4494" s="108" t="s">
        <v>21994</v>
      </c>
      <c r="C4494" s="109">
        <v>41176</v>
      </c>
      <c r="D4494" s="108"/>
      <c r="E4494" s="108" t="s">
        <v>14605</v>
      </c>
      <c r="F4494" s="108" t="s">
        <v>21995</v>
      </c>
      <c r="G4494" s="110"/>
      <c r="H4494" s="108" t="s">
        <v>21842</v>
      </c>
      <c r="I4494" s="108"/>
    </row>
    <row r="4495" spans="1:9" ht="41.4">
      <c r="A4495" s="108" t="s">
        <v>169</v>
      </c>
      <c r="B4495" s="108" t="s">
        <v>21996</v>
      </c>
      <c r="C4495" s="109">
        <v>41565</v>
      </c>
      <c r="D4495" s="108"/>
      <c r="E4495" s="108" t="s">
        <v>14605</v>
      </c>
      <c r="F4495" s="108" t="s">
        <v>21997</v>
      </c>
      <c r="G4495" s="110"/>
      <c r="H4495" s="108" t="s">
        <v>21842</v>
      </c>
      <c r="I4495" s="108"/>
    </row>
    <row r="4496" spans="1:9">
      <c r="A4496" s="108" t="s">
        <v>169</v>
      </c>
      <c r="B4496" s="108" t="s">
        <v>21998</v>
      </c>
      <c r="C4496" s="109">
        <v>41107</v>
      </c>
      <c r="D4496" s="108"/>
      <c r="E4496" s="108" t="s">
        <v>14605</v>
      </c>
      <c r="F4496" s="108" t="s">
        <v>21999</v>
      </c>
      <c r="G4496" s="110"/>
      <c r="H4496" s="108" t="s">
        <v>21842</v>
      </c>
      <c r="I4496" s="108"/>
    </row>
    <row r="4497" spans="1:9" ht="41.4">
      <c r="A4497" s="108" t="s">
        <v>169</v>
      </c>
      <c r="B4497" s="108" t="s">
        <v>22000</v>
      </c>
      <c r="C4497" s="109">
        <v>41166</v>
      </c>
      <c r="D4497" s="108"/>
      <c r="E4497" s="108" t="s">
        <v>14605</v>
      </c>
      <c r="F4497" s="108" t="s">
        <v>22001</v>
      </c>
      <c r="G4497" s="110"/>
      <c r="H4497" s="108" t="s">
        <v>21842</v>
      </c>
      <c r="I4497" s="108"/>
    </row>
    <row r="4498" spans="1:9" ht="27.6">
      <c r="A4498" s="108" t="s">
        <v>169</v>
      </c>
      <c r="B4498" s="108" t="s">
        <v>22002</v>
      </c>
      <c r="C4498" s="109">
        <v>41240</v>
      </c>
      <c r="D4498" s="108"/>
      <c r="E4498" s="108" t="s">
        <v>14605</v>
      </c>
      <c r="F4498" s="108" t="s">
        <v>22003</v>
      </c>
      <c r="G4498" s="110"/>
      <c r="H4498" s="108" t="s">
        <v>21842</v>
      </c>
      <c r="I4498" s="108"/>
    </row>
    <row r="4499" spans="1:9" ht="27.6">
      <c r="A4499" s="108" t="s">
        <v>169</v>
      </c>
      <c r="B4499" s="108" t="s">
        <v>22004</v>
      </c>
      <c r="C4499" s="109">
        <v>41176</v>
      </c>
      <c r="D4499" s="108"/>
      <c r="E4499" s="108" t="s">
        <v>14605</v>
      </c>
      <c r="F4499" s="108" t="s">
        <v>22005</v>
      </c>
      <c r="G4499" s="110"/>
      <c r="H4499" s="108" t="s">
        <v>21842</v>
      </c>
      <c r="I4499" s="108"/>
    </row>
    <row r="4500" spans="1:9" ht="41.4">
      <c r="A4500" s="108" t="s">
        <v>169</v>
      </c>
      <c r="B4500" s="108" t="s">
        <v>22006</v>
      </c>
      <c r="C4500" s="109">
        <v>41186</v>
      </c>
      <c r="D4500" s="108"/>
      <c r="E4500" s="108" t="s">
        <v>14605</v>
      </c>
      <c r="F4500" s="108" t="s">
        <v>22007</v>
      </c>
      <c r="G4500" s="110"/>
      <c r="H4500" s="108" t="s">
        <v>21842</v>
      </c>
      <c r="I4500" s="108"/>
    </row>
    <row r="4501" spans="1:9">
      <c r="A4501" s="108" t="s">
        <v>169</v>
      </c>
      <c r="B4501" s="108" t="s">
        <v>22008</v>
      </c>
      <c r="C4501" s="109">
        <v>41360</v>
      </c>
      <c r="D4501" s="108"/>
      <c r="E4501" s="108" t="s">
        <v>14605</v>
      </c>
      <c r="F4501" s="108" t="s">
        <v>22009</v>
      </c>
      <c r="G4501" s="110"/>
      <c r="H4501" s="108" t="s">
        <v>21842</v>
      </c>
      <c r="I4501" s="108"/>
    </row>
    <row r="4502" spans="1:9" ht="41.4">
      <c r="A4502" s="108" t="s">
        <v>169</v>
      </c>
      <c r="B4502" s="108" t="s">
        <v>22010</v>
      </c>
      <c r="C4502" s="109">
        <v>41213</v>
      </c>
      <c r="D4502" s="108"/>
      <c r="E4502" s="108" t="s">
        <v>14605</v>
      </c>
      <c r="F4502" s="108" t="s">
        <v>22007</v>
      </c>
      <c r="G4502" s="110"/>
      <c r="H4502" s="108" t="s">
        <v>21842</v>
      </c>
      <c r="I4502" s="108"/>
    </row>
    <row r="4503" spans="1:9" ht="27.6">
      <c r="A4503" s="108" t="s">
        <v>169</v>
      </c>
      <c r="B4503" s="108" t="s">
        <v>22011</v>
      </c>
      <c r="C4503" s="109">
        <v>41213</v>
      </c>
      <c r="D4503" s="108"/>
      <c r="E4503" s="108" t="s">
        <v>14605</v>
      </c>
      <c r="F4503" s="108" t="s">
        <v>22012</v>
      </c>
      <c r="G4503" s="110"/>
      <c r="H4503" s="108" t="s">
        <v>21842</v>
      </c>
      <c r="I4503" s="108"/>
    </row>
    <row r="4504" spans="1:9">
      <c r="A4504" s="108" t="s">
        <v>169</v>
      </c>
      <c r="B4504" s="108" t="s">
        <v>22013</v>
      </c>
      <c r="C4504" s="109">
        <v>41234</v>
      </c>
      <c r="D4504" s="108"/>
      <c r="E4504" s="108" t="s">
        <v>14605</v>
      </c>
      <c r="F4504" s="108" t="s">
        <v>22014</v>
      </c>
      <c r="G4504" s="110"/>
      <c r="H4504" s="108" t="s">
        <v>21842</v>
      </c>
      <c r="I4504" s="108"/>
    </row>
    <row r="4505" spans="1:9" ht="27.6">
      <c r="A4505" s="108" t="s">
        <v>169</v>
      </c>
      <c r="B4505" s="108" t="s">
        <v>22015</v>
      </c>
      <c r="C4505" s="109">
        <v>41222</v>
      </c>
      <c r="D4505" s="108"/>
      <c r="E4505" s="108" t="s">
        <v>14605</v>
      </c>
      <c r="F4505" s="108" t="s">
        <v>22016</v>
      </c>
      <c r="G4505" s="110"/>
      <c r="H4505" s="108" t="s">
        <v>21842</v>
      </c>
      <c r="I4505" s="108"/>
    </row>
    <row r="4506" spans="1:9" ht="27.6">
      <c r="A4506" s="108" t="s">
        <v>169</v>
      </c>
      <c r="B4506" s="108" t="s">
        <v>22017</v>
      </c>
      <c r="C4506" s="109">
        <v>41232</v>
      </c>
      <c r="D4506" s="108"/>
      <c r="E4506" s="108" t="s">
        <v>14605</v>
      </c>
      <c r="F4506" s="108" t="s">
        <v>22018</v>
      </c>
      <c r="G4506" s="110"/>
      <c r="H4506" s="108" t="s">
        <v>21842</v>
      </c>
      <c r="I4506" s="108"/>
    </row>
    <row r="4507" spans="1:9" ht="27.6">
      <c r="A4507" s="108" t="s">
        <v>169</v>
      </c>
      <c r="B4507" s="108" t="s">
        <v>22019</v>
      </c>
      <c r="C4507" s="109">
        <v>41222</v>
      </c>
      <c r="D4507" s="108"/>
      <c r="E4507" s="108" t="s">
        <v>14605</v>
      </c>
      <c r="F4507" s="108" t="s">
        <v>22020</v>
      </c>
      <c r="G4507" s="110"/>
      <c r="H4507" s="108" t="s">
        <v>21842</v>
      </c>
      <c r="I4507" s="108"/>
    </row>
    <row r="4508" spans="1:9" ht="27.6">
      <c r="A4508" s="108" t="s">
        <v>169</v>
      </c>
      <c r="B4508" s="108" t="s">
        <v>22021</v>
      </c>
      <c r="C4508" s="109">
        <v>41241</v>
      </c>
      <c r="D4508" s="108"/>
      <c r="E4508" s="108" t="s">
        <v>14605</v>
      </c>
      <c r="F4508" s="108" t="s">
        <v>22022</v>
      </c>
      <c r="G4508" s="110"/>
      <c r="H4508" s="108" t="s">
        <v>21842</v>
      </c>
      <c r="I4508" s="108"/>
    </row>
    <row r="4509" spans="1:9">
      <c r="A4509" s="108" t="s">
        <v>169</v>
      </c>
      <c r="B4509" s="108" t="s">
        <v>22023</v>
      </c>
      <c r="C4509" s="109">
        <v>41235</v>
      </c>
      <c r="D4509" s="108"/>
      <c r="E4509" s="108" t="s">
        <v>14605</v>
      </c>
      <c r="F4509" s="108" t="s">
        <v>21920</v>
      </c>
      <c r="G4509" s="110"/>
      <c r="H4509" s="108" t="s">
        <v>21842</v>
      </c>
      <c r="I4509" s="108"/>
    </row>
    <row r="4510" spans="1:9" ht="27.6">
      <c r="A4510" s="108" t="s">
        <v>169</v>
      </c>
      <c r="B4510" s="108" t="s">
        <v>22024</v>
      </c>
      <c r="C4510" s="109">
        <v>41247</v>
      </c>
      <c r="D4510" s="108"/>
      <c r="E4510" s="108" t="s">
        <v>14605</v>
      </c>
      <c r="F4510" s="108" t="s">
        <v>21854</v>
      </c>
      <c r="G4510" s="110"/>
      <c r="H4510" s="108" t="s">
        <v>21842</v>
      </c>
      <c r="I4510" s="108"/>
    </row>
    <row r="4511" spans="1:9">
      <c r="A4511" s="108" t="s">
        <v>169</v>
      </c>
      <c r="B4511" s="108" t="s">
        <v>22025</v>
      </c>
      <c r="C4511" s="109">
        <v>41261</v>
      </c>
      <c r="D4511" s="108"/>
      <c r="E4511" s="108" t="s">
        <v>14605</v>
      </c>
      <c r="F4511" s="108" t="s">
        <v>22026</v>
      </c>
      <c r="G4511" s="110"/>
      <c r="H4511" s="108" t="s">
        <v>21842</v>
      </c>
      <c r="I4511" s="108"/>
    </row>
    <row r="4512" spans="1:9" ht="41.4">
      <c r="A4512" s="108" t="s">
        <v>169</v>
      </c>
      <c r="B4512" s="108" t="s">
        <v>22027</v>
      </c>
      <c r="C4512" s="109">
        <v>41283</v>
      </c>
      <c r="D4512" s="108"/>
      <c r="E4512" s="108" t="s">
        <v>14605</v>
      </c>
      <c r="F4512" s="108" t="s">
        <v>22028</v>
      </c>
      <c r="G4512" s="110"/>
      <c r="H4512" s="108" t="s">
        <v>21842</v>
      </c>
      <c r="I4512" s="108"/>
    </row>
    <row r="4513" spans="1:9" ht="41.4">
      <c r="A4513" s="108" t="s">
        <v>169</v>
      </c>
      <c r="B4513" s="108" t="s">
        <v>22029</v>
      </c>
      <c r="C4513" s="109">
        <v>41296</v>
      </c>
      <c r="D4513" s="108"/>
      <c r="E4513" s="108" t="s">
        <v>14605</v>
      </c>
      <c r="F4513" s="108" t="s">
        <v>22030</v>
      </c>
      <c r="G4513" s="110"/>
      <c r="H4513" s="108" t="s">
        <v>21842</v>
      </c>
      <c r="I4513" s="108"/>
    </row>
    <row r="4514" spans="1:9" ht="41.4">
      <c r="A4514" s="108" t="s">
        <v>169</v>
      </c>
      <c r="B4514" s="108" t="s">
        <v>22031</v>
      </c>
      <c r="C4514" s="109">
        <v>41365</v>
      </c>
      <c r="D4514" s="108"/>
      <c r="E4514" s="108" t="s">
        <v>14605</v>
      </c>
      <c r="F4514" s="108" t="s">
        <v>22001</v>
      </c>
      <c r="G4514" s="110"/>
      <c r="H4514" s="108" t="s">
        <v>21842</v>
      </c>
      <c r="I4514" s="108"/>
    </row>
    <row r="4515" spans="1:9">
      <c r="A4515" s="108" t="s">
        <v>169</v>
      </c>
      <c r="B4515" s="108" t="s">
        <v>22032</v>
      </c>
      <c r="C4515" s="109">
        <v>41306</v>
      </c>
      <c r="D4515" s="108"/>
      <c r="E4515" s="108" t="s">
        <v>14605</v>
      </c>
      <c r="F4515" s="108" t="s">
        <v>22033</v>
      </c>
      <c r="G4515" s="110"/>
      <c r="H4515" s="108" t="s">
        <v>21842</v>
      </c>
      <c r="I4515" s="108"/>
    </row>
    <row r="4516" spans="1:9" ht="27.6">
      <c r="A4516" s="108" t="s">
        <v>169</v>
      </c>
      <c r="B4516" s="108" t="s">
        <v>22034</v>
      </c>
      <c r="C4516" s="109">
        <v>41310</v>
      </c>
      <c r="D4516" s="108"/>
      <c r="E4516" s="108" t="s">
        <v>14605</v>
      </c>
      <c r="F4516" s="108" t="s">
        <v>22003</v>
      </c>
      <c r="G4516" s="110"/>
      <c r="H4516" s="108" t="s">
        <v>21842</v>
      </c>
      <c r="I4516" s="108"/>
    </row>
    <row r="4517" spans="1:9" ht="41.4">
      <c r="A4517" s="108" t="s">
        <v>169</v>
      </c>
      <c r="B4517" s="108" t="s">
        <v>22035</v>
      </c>
      <c r="C4517" s="109">
        <v>41324</v>
      </c>
      <c r="D4517" s="108"/>
      <c r="E4517" s="108" t="s">
        <v>14605</v>
      </c>
      <c r="F4517" s="108" t="s">
        <v>22036</v>
      </c>
      <c r="G4517" s="110"/>
      <c r="H4517" s="108" t="s">
        <v>21842</v>
      </c>
      <c r="I4517" s="108"/>
    </row>
    <row r="4518" spans="1:9" ht="27.6">
      <c r="A4518" s="108" t="s">
        <v>169</v>
      </c>
      <c r="B4518" s="108" t="s">
        <v>22037</v>
      </c>
      <c r="C4518" s="109">
        <v>41340</v>
      </c>
      <c r="D4518" s="108"/>
      <c r="E4518" s="108" t="s">
        <v>14605</v>
      </c>
      <c r="F4518" s="108" t="s">
        <v>22038</v>
      </c>
      <c r="G4518" s="110"/>
      <c r="H4518" s="108" t="s">
        <v>21842</v>
      </c>
      <c r="I4518" s="108"/>
    </row>
    <row r="4519" spans="1:9" ht="27.6">
      <c r="A4519" s="108" t="s">
        <v>169</v>
      </c>
      <c r="B4519" s="108" t="s">
        <v>22039</v>
      </c>
      <c r="C4519" s="109">
        <v>41347</v>
      </c>
      <c r="D4519" s="108"/>
      <c r="E4519" s="108" t="s">
        <v>14605</v>
      </c>
      <c r="F4519" s="108" t="s">
        <v>21862</v>
      </c>
      <c r="G4519" s="110"/>
      <c r="H4519" s="108" t="s">
        <v>21842</v>
      </c>
      <c r="I4519" s="108"/>
    </row>
    <row r="4520" spans="1:9" ht="27.6">
      <c r="A4520" s="108" t="s">
        <v>169</v>
      </c>
      <c r="B4520" s="108" t="s">
        <v>22040</v>
      </c>
      <c r="C4520" s="109">
        <v>41339</v>
      </c>
      <c r="D4520" s="108"/>
      <c r="E4520" s="108" t="s">
        <v>14605</v>
      </c>
      <c r="F4520" s="108" t="s">
        <v>22041</v>
      </c>
      <c r="G4520" s="110"/>
      <c r="H4520" s="108" t="s">
        <v>21842</v>
      </c>
      <c r="I4520" s="108"/>
    </row>
    <row r="4521" spans="1:9" ht="27.6">
      <c r="A4521" s="108" t="s">
        <v>169</v>
      </c>
      <c r="B4521" s="108" t="s">
        <v>22042</v>
      </c>
      <c r="C4521" s="109">
        <v>41361</v>
      </c>
      <c r="D4521" s="108"/>
      <c r="E4521" s="108" t="s">
        <v>14605</v>
      </c>
      <c r="F4521" s="108" t="s">
        <v>22043</v>
      </c>
      <c r="G4521" s="110"/>
      <c r="H4521" s="108" t="s">
        <v>21842</v>
      </c>
      <c r="I4521" s="108"/>
    </row>
    <row r="4522" spans="1:9">
      <c r="A4522" s="108" t="s">
        <v>169</v>
      </c>
      <c r="B4522" s="108" t="s">
        <v>22044</v>
      </c>
      <c r="C4522" s="109">
        <v>41442</v>
      </c>
      <c r="D4522" s="108"/>
      <c r="E4522" s="108" t="s">
        <v>14605</v>
      </c>
      <c r="F4522" s="108" t="s">
        <v>22045</v>
      </c>
      <c r="G4522" s="110"/>
      <c r="H4522" s="108" t="s">
        <v>21842</v>
      </c>
      <c r="I4522" s="108"/>
    </row>
    <row r="4523" spans="1:9">
      <c r="A4523" s="108" t="s">
        <v>169</v>
      </c>
      <c r="B4523" s="108" t="s">
        <v>22046</v>
      </c>
      <c r="C4523" s="109">
        <v>41718</v>
      </c>
      <c r="D4523" s="108"/>
      <c r="E4523" s="108" t="s">
        <v>14605</v>
      </c>
      <c r="F4523" s="108" t="s">
        <v>22047</v>
      </c>
      <c r="G4523" s="110"/>
      <c r="H4523" s="108" t="s">
        <v>21842</v>
      </c>
      <c r="I4523" s="108"/>
    </row>
    <row r="4524" spans="1:9" ht="27.6">
      <c r="A4524" s="108" t="s">
        <v>169</v>
      </c>
      <c r="B4524" s="108" t="s">
        <v>22048</v>
      </c>
      <c r="C4524" s="109">
        <v>41442</v>
      </c>
      <c r="D4524" s="108"/>
      <c r="E4524" s="108" t="s">
        <v>14605</v>
      </c>
      <c r="F4524" s="108" t="s">
        <v>22049</v>
      </c>
      <c r="G4524" s="110"/>
      <c r="H4524" s="108" t="s">
        <v>21842</v>
      </c>
      <c r="I4524" s="108"/>
    </row>
    <row r="4525" spans="1:9" ht="41.4">
      <c r="A4525" s="108" t="s">
        <v>169</v>
      </c>
      <c r="B4525" s="108" t="s">
        <v>22050</v>
      </c>
      <c r="C4525" s="109">
        <v>41451</v>
      </c>
      <c r="D4525" s="108"/>
      <c r="E4525" s="108" t="s">
        <v>14605</v>
      </c>
      <c r="F4525" s="108" t="s">
        <v>22030</v>
      </c>
      <c r="G4525" s="110"/>
      <c r="H4525" s="108" t="s">
        <v>21842</v>
      </c>
      <c r="I4525" s="108"/>
    </row>
    <row r="4526" spans="1:9" ht="27.6">
      <c r="A4526" s="108" t="s">
        <v>169</v>
      </c>
      <c r="B4526" s="108" t="s">
        <v>22051</v>
      </c>
      <c r="C4526" s="109">
        <v>41451</v>
      </c>
      <c r="D4526" s="108"/>
      <c r="E4526" s="108" t="s">
        <v>14605</v>
      </c>
      <c r="F4526" s="108" t="s">
        <v>22052</v>
      </c>
      <c r="G4526" s="110"/>
      <c r="H4526" s="108" t="s">
        <v>21842</v>
      </c>
      <c r="I4526" s="108"/>
    </row>
    <row r="4527" spans="1:9" ht="27.6">
      <c r="A4527" s="108" t="s">
        <v>169</v>
      </c>
      <c r="B4527" s="108" t="s">
        <v>22053</v>
      </c>
      <c r="C4527" s="109">
        <v>41450</v>
      </c>
      <c r="D4527" s="108"/>
      <c r="E4527" s="108" t="s">
        <v>14605</v>
      </c>
      <c r="F4527" s="108" t="s">
        <v>22054</v>
      </c>
      <c r="G4527" s="110"/>
      <c r="H4527" s="108" t="s">
        <v>21842</v>
      </c>
      <c r="I4527" s="108"/>
    </row>
    <row r="4528" spans="1:9">
      <c r="A4528" s="108" t="s">
        <v>169</v>
      </c>
      <c r="B4528" s="108" t="s">
        <v>22055</v>
      </c>
      <c r="C4528" s="109">
        <v>41480</v>
      </c>
      <c r="D4528" s="108"/>
      <c r="E4528" s="108" t="s">
        <v>14605</v>
      </c>
      <c r="F4528" s="108" t="s">
        <v>22014</v>
      </c>
      <c r="G4528" s="110"/>
      <c r="H4528" s="108" t="s">
        <v>21842</v>
      </c>
      <c r="I4528" s="108"/>
    </row>
    <row r="4529" spans="1:9">
      <c r="A4529" s="108" t="s">
        <v>169</v>
      </c>
      <c r="B4529" s="108" t="s">
        <v>22056</v>
      </c>
      <c r="C4529" s="109">
        <v>41453</v>
      </c>
      <c r="D4529" s="108"/>
      <c r="E4529" s="108" t="s">
        <v>14605</v>
      </c>
      <c r="F4529" s="108" t="s">
        <v>21993</v>
      </c>
      <c r="G4529" s="110"/>
      <c r="H4529" s="108" t="s">
        <v>21842</v>
      </c>
      <c r="I4529" s="108"/>
    </row>
    <row r="4530" spans="1:9">
      <c r="A4530" s="108" t="s">
        <v>169</v>
      </c>
      <c r="B4530" s="108" t="s">
        <v>22057</v>
      </c>
      <c r="C4530" s="109">
        <v>41467</v>
      </c>
      <c r="D4530" s="108"/>
      <c r="E4530" s="108" t="s">
        <v>14605</v>
      </c>
      <c r="F4530" s="108" t="s">
        <v>22026</v>
      </c>
      <c r="G4530" s="110"/>
      <c r="H4530" s="108" t="s">
        <v>21842</v>
      </c>
      <c r="I4530" s="108"/>
    </row>
    <row r="4531" spans="1:9" ht="27.6">
      <c r="A4531" s="108" t="s">
        <v>169</v>
      </c>
      <c r="B4531" s="108" t="s">
        <v>22058</v>
      </c>
      <c r="C4531" s="109">
        <v>41512</v>
      </c>
      <c r="D4531" s="108"/>
      <c r="E4531" s="108" t="s">
        <v>14605</v>
      </c>
      <c r="F4531" s="108" t="s">
        <v>21947</v>
      </c>
      <c r="G4531" s="110"/>
      <c r="H4531" s="108" t="s">
        <v>21842</v>
      </c>
      <c r="I4531" s="108"/>
    </row>
    <row r="4532" spans="1:9" ht="27.6">
      <c r="A4532" s="108" t="s">
        <v>169</v>
      </c>
      <c r="B4532" s="108" t="s">
        <v>22059</v>
      </c>
      <c r="C4532" s="109">
        <v>41547</v>
      </c>
      <c r="D4532" s="108"/>
      <c r="E4532" s="108" t="s">
        <v>14605</v>
      </c>
      <c r="F4532" s="108" t="s">
        <v>21947</v>
      </c>
      <c r="G4532" s="110"/>
      <c r="H4532" s="108" t="s">
        <v>21842</v>
      </c>
      <c r="I4532" s="108"/>
    </row>
    <row r="4533" spans="1:9" ht="41.4">
      <c r="A4533" s="108" t="s">
        <v>169</v>
      </c>
      <c r="B4533" s="108" t="s">
        <v>22060</v>
      </c>
      <c r="C4533" s="109">
        <v>41529</v>
      </c>
      <c r="D4533" s="108"/>
      <c r="E4533" s="108" t="s">
        <v>14605</v>
      </c>
      <c r="F4533" s="108" t="s">
        <v>22061</v>
      </c>
      <c r="G4533" s="110"/>
      <c r="H4533" s="108" t="s">
        <v>21842</v>
      </c>
      <c r="I4533" s="108"/>
    </row>
    <row r="4534" spans="1:9">
      <c r="A4534" s="108" t="s">
        <v>169</v>
      </c>
      <c r="B4534" s="108" t="s">
        <v>22062</v>
      </c>
      <c r="C4534" s="109">
        <v>41530</v>
      </c>
      <c r="D4534" s="108"/>
      <c r="E4534" s="108" t="s">
        <v>14605</v>
      </c>
      <c r="F4534" s="108" t="s">
        <v>22063</v>
      </c>
      <c r="G4534" s="110"/>
      <c r="H4534" s="108" t="s">
        <v>21842</v>
      </c>
      <c r="I4534" s="108"/>
    </row>
    <row r="4535" spans="1:9" ht="27.6">
      <c r="A4535" s="108" t="s">
        <v>169</v>
      </c>
      <c r="B4535" s="108" t="s">
        <v>22064</v>
      </c>
      <c r="C4535" s="109">
        <v>41564</v>
      </c>
      <c r="D4535" s="108"/>
      <c r="E4535" s="108" t="s">
        <v>14605</v>
      </c>
      <c r="F4535" s="108" t="s">
        <v>22065</v>
      </c>
      <c r="G4535" s="110"/>
      <c r="H4535" s="108" t="s">
        <v>21842</v>
      </c>
      <c r="I4535" s="108"/>
    </row>
    <row r="4536" spans="1:9">
      <c r="A4536" s="108" t="s">
        <v>169</v>
      </c>
      <c r="B4536" s="108" t="s">
        <v>22066</v>
      </c>
      <c r="C4536" s="109">
        <v>41569</v>
      </c>
      <c r="D4536" s="108"/>
      <c r="E4536" s="108" t="s">
        <v>14605</v>
      </c>
      <c r="F4536" s="108" t="s">
        <v>22067</v>
      </c>
      <c r="G4536" s="110"/>
      <c r="H4536" s="108" t="s">
        <v>21842</v>
      </c>
      <c r="I4536" s="108"/>
    </row>
    <row r="4537" spans="1:9" ht="41.4">
      <c r="A4537" s="108" t="s">
        <v>169</v>
      </c>
      <c r="B4537" s="108" t="s">
        <v>22068</v>
      </c>
      <c r="C4537" s="109">
        <v>41578</v>
      </c>
      <c r="D4537" s="108"/>
      <c r="E4537" s="108" t="s">
        <v>14605</v>
      </c>
      <c r="F4537" s="108" t="s">
        <v>22069</v>
      </c>
      <c r="G4537" s="110"/>
      <c r="H4537" s="108" t="s">
        <v>21842</v>
      </c>
      <c r="I4537" s="108"/>
    </row>
    <row r="4538" spans="1:9" ht="27.6">
      <c r="A4538" s="108" t="s">
        <v>169</v>
      </c>
      <c r="B4538" s="108" t="s">
        <v>22070</v>
      </c>
      <c r="C4538" s="109">
        <v>41608</v>
      </c>
      <c r="D4538" s="108"/>
      <c r="E4538" s="108" t="s">
        <v>14605</v>
      </c>
      <c r="F4538" s="108" t="s">
        <v>21858</v>
      </c>
      <c r="G4538" s="110"/>
      <c r="H4538" s="108" t="s">
        <v>21842</v>
      </c>
      <c r="I4538" s="108"/>
    </row>
    <row r="4539" spans="1:9" ht="41.4">
      <c r="A4539" s="108" t="s">
        <v>169</v>
      </c>
      <c r="B4539" s="108" t="s">
        <v>22071</v>
      </c>
      <c r="C4539" s="109">
        <v>41619</v>
      </c>
      <c r="D4539" s="108"/>
      <c r="E4539" s="108" t="s">
        <v>14605</v>
      </c>
      <c r="F4539" s="108" t="s">
        <v>22072</v>
      </c>
      <c r="G4539" s="110"/>
      <c r="H4539" s="108" t="s">
        <v>21842</v>
      </c>
      <c r="I4539" s="108"/>
    </row>
    <row r="4540" spans="1:9" ht="41.4">
      <c r="A4540" s="108" t="s">
        <v>169</v>
      </c>
      <c r="B4540" s="108" t="s">
        <v>22073</v>
      </c>
      <c r="C4540" s="109">
        <v>41633</v>
      </c>
      <c r="D4540" s="108"/>
      <c r="E4540" s="108" t="s">
        <v>14605</v>
      </c>
      <c r="F4540" s="108" t="s">
        <v>22074</v>
      </c>
      <c r="G4540" s="110"/>
      <c r="H4540" s="108" t="s">
        <v>21842</v>
      </c>
      <c r="I4540" s="108"/>
    </row>
    <row r="4541" spans="1:9">
      <c r="A4541" s="108" t="s">
        <v>169</v>
      </c>
      <c r="B4541" s="108" t="s">
        <v>22075</v>
      </c>
      <c r="C4541" s="109">
        <v>41632</v>
      </c>
      <c r="D4541" s="108"/>
      <c r="E4541" s="108" t="s">
        <v>14605</v>
      </c>
      <c r="F4541" s="108" t="s">
        <v>22076</v>
      </c>
      <c r="G4541" s="110"/>
      <c r="H4541" s="108" t="s">
        <v>21842</v>
      </c>
      <c r="I4541" s="108"/>
    </row>
    <row r="4542" spans="1:9">
      <c r="A4542" s="108" t="s">
        <v>169</v>
      </c>
      <c r="B4542" s="108" t="s">
        <v>22077</v>
      </c>
      <c r="C4542" s="109">
        <v>41627</v>
      </c>
      <c r="D4542" s="108"/>
      <c r="E4542" s="108" t="s">
        <v>14605</v>
      </c>
      <c r="F4542" s="108" t="s">
        <v>22078</v>
      </c>
      <c r="G4542" s="110"/>
      <c r="H4542" s="108" t="s">
        <v>21842</v>
      </c>
      <c r="I4542" s="108"/>
    </row>
    <row r="4543" spans="1:9">
      <c r="A4543" s="108" t="s">
        <v>169</v>
      </c>
      <c r="B4543" s="108" t="s">
        <v>22079</v>
      </c>
      <c r="C4543" s="109">
        <v>41635</v>
      </c>
      <c r="D4543" s="108"/>
      <c r="E4543" s="108" t="s">
        <v>14605</v>
      </c>
      <c r="F4543" s="108" t="s">
        <v>21990</v>
      </c>
      <c r="G4543" s="110"/>
      <c r="H4543" s="108" t="s">
        <v>21842</v>
      </c>
      <c r="I4543" s="108"/>
    </row>
    <row r="4544" spans="1:9" ht="27.6">
      <c r="A4544" s="108" t="s">
        <v>169</v>
      </c>
      <c r="B4544" s="108" t="s">
        <v>22080</v>
      </c>
      <c r="C4544" s="109">
        <v>41666</v>
      </c>
      <c r="D4544" s="108"/>
      <c r="E4544" s="108" t="s">
        <v>14605</v>
      </c>
      <c r="F4544" s="108" t="s">
        <v>22081</v>
      </c>
      <c r="G4544" s="110"/>
      <c r="H4544" s="108" t="s">
        <v>21842</v>
      </c>
      <c r="I4544" s="108"/>
    </row>
    <row r="4545" spans="1:9" ht="27.6">
      <c r="A4545" s="108" t="s">
        <v>169</v>
      </c>
      <c r="B4545" s="108" t="s">
        <v>22082</v>
      </c>
      <c r="C4545" s="109">
        <v>41754</v>
      </c>
      <c r="D4545" s="108"/>
      <c r="E4545" s="108" t="s">
        <v>14605</v>
      </c>
      <c r="F4545" s="108" t="s">
        <v>21947</v>
      </c>
      <c r="G4545" s="110"/>
      <c r="H4545" s="108" t="s">
        <v>21842</v>
      </c>
      <c r="I4545" s="108"/>
    </row>
    <row r="4546" spans="1:9">
      <c r="A4546" s="108" t="s">
        <v>169</v>
      </c>
      <c r="B4546" s="108" t="s">
        <v>22083</v>
      </c>
      <c r="C4546" s="109">
        <v>41717</v>
      </c>
      <c r="D4546" s="108"/>
      <c r="E4546" s="108" t="s">
        <v>14605</v>
      </c>
      <c r="F4546" s="108" t="s">
        <v>22084</v>
      </c>
      <c r="G4546" s="110"/>
      <c r="H4546" s="108" t="s">
        <v>21842</v>
      </c>
      <c r="I4546" s="108"/>
    </row>
    <row r="4547" spans="1:9" ht="27.6">
      <c r="A4547" s="108" t="s">
        <v>169</v>
      </c>
      <c r="B4547" s="108" t="s">
        <v>22085</v>
      </c>
      <c r="C4547" s="109">
        <v>41698</v>
      </c>
      <c r="D4547" s="108"/>
      <c r="E4547" s="108" t="s">
        <v>14605</v>
      </c>
      <c r="F4547" s="108" t="s">
        <v>22086</v>
      </c>
      <c r="G4547" s="110"/>
      <c r="H4547" s="108" t="s">
        <v>21842</v>
      </c>
      <c r="I4547" s="108"/>
    </row>
    <row r="4548" spans="1:9" ht="27.6">
      <c r="A4548" s="108" t="s">
        <v>169</v>
      </c>
      <c r="B4548" s="108" t="s">
        <v>22087</v>
      </c>
      <c r="C4548" s="109">
        <v>41886</v>
      </c>
      <c r="D4548" s="108"/>
      <c r="E4548" s="108" t="s">
        <v>14605</v>
      </c>
      <c r="F4548" s="108" t="s">
        <v>21947</v>
      </c>
      <c r="G4548" s="110"/>
      <c r="H4548" s="108" t="s">
        <v>21842</v>
      </c>
      <c r="I4548" s="108"/>
    </row>
    <row r="4549" spans="1:9" ht="27.6">
      <c r="A4549" s="108" t="s">
        <v>169</v>
      </c>
      <c r="B4549" s="108" t="s">
        <v>22088</v>
      </c>
      <c r="C4549" s="109">
        <v>41733</v>
      </c>
      <c r="D4549" s="108"/>
      <c r="E4549" s="108" t="s">
        <v>14605</v>
      </c>
      <c r="F4549" s="108" t="s">
        <v>22089</v>
      </c>
      <c r="G4549" s="110"/>
      <c r="H4549" s="108" t="s">
        <v>21842</v>
      </c>
      <c r="I4549" s="108"/>
    </row>
    <row r="4550" spans="1:9" ht="27.6">
      <c r="A4550" s="108" t="s">
        <v>169</v>
      </c>
      <c r="B4550" s="108" t="s">
        <v>22090</v>
      </c>
      <c r="C4550" s="109">
        <v>41803</v>
      </c>
      <c r="D4550" s="108"/>
      <c r="E4550" s="108" t="s">
        <v>14605</v>
      </c>
      <c r="F4550" s="108" t="s">
        <v>22012</v>
      </c>
      <c r="G4550" s="110"/>
      <c r="H4550" s="108" t="s">
        <v>21842</v>
      </c>
      <c r="I4550" s="108"/>
    </row>
    <row r="4551" spans="1:9">
      <c r="A4551" s="108" t="s">
        <v>169</v>
      </c>
      <c r="B4551" s="108" t="s">
        <v>22091</v>
      </c>
      <c r="C4551" s="109">
        <v>41801</v>
      </c>
      <c r="D4551" s="108"/>
      <c r="E4551" s="108" t="s">
        <v>14605</v>
      </c>
      <c r="F4551" s="108" t="s">
        <v>22092</v>
      </c>
      <c r="G4551" s="110"/>
      <c r="H4551" s="108" t="s">
        <v>21842</v>
      </c>
      <c r="I4551" s="108"/>
    </row>
    <row r="4552" spans="1:9">
      <c r="A4552" s="108" t="s">
        <v>169</v>
      </c>
      <c r="B4552" s="108" t="s">
        <v>22093</v>
      </c>
      <c r="C4552" s="109">
        <v>41822</v>
      </c>
      <c r="D4552" s="108"/>
      <c r="E4552" s="108" t="s">
        <v>14605</v>
      </c>
      <c r="F4552" s="108" t="s">
        <v>22094</v>
      </c>
      <c r="G4552" s="110"/>
      <c r="H4552" s="108" t="s">
        <v>21842</v>
      </c>
      <c r="I4552" s="108"/>
    </row>
    <row r="4553" spans="1:9">
      <c r="A4553" s="108" t="s">
        <v>169</v>
      </c>
      <c r="B4553" s="108" t="s">
        <v>22095</v>
      </c>
      <c r="C4553" s="109">
        <v>41844</v>
      </c>
      <c r="D4553" s="108"/>
      <c r="E4553" s="108" t="s">
        <v>14605</v>
      </c>
      <c r="F4553" s="108" t="s">
        <v>14835</v>
      </c>
      <c r="G4553" s="110"/>
      <c r="H4553" s="108" t="s">
        <v>21842</v>
      </c>
      <c r="I4553" s="108"/>
    </row>
    <row r="4554" spans="1:9" ht="27.6">
      <c r="A4554" s="108" t="s">
        <v>169</v>
      </c>
      <c r="B4554" s="108" t="s">
        <v>22096</v>
      </c>
      <c r="C4554" s="109">
        <v>41843</v>
      </c>
      <c r="D4554" s="108"/>
      <c r="E4554" s="108" t="s">
        <v>14605</v>
      </c>
      <c r="F4554" s="108" t="s">
        <v>22097</v>
      </c>
      <c r="G4554" s="110"/>
      <c r="H4554" s="108" t="s">
        <v>21842</v>
      </c>
      <c r="I4554" s="108"/>
    </row>
    <row r="4555" spans="1:9">
      <c r="A4555" s="108" t="s">
        <v>169</v>
      </c>
      <c r="B4555" s="108" t="s">
        <v>22098</v>
      </c>
      <c r="C4555" s="109">
        <v>41849</v>
      </c>
      <c r="D4555" s="108"/>
      <c r="E4555" s="108" t="s">
        <v>14605</v>
      </c>
      <c r="F4555" s="108" t="s">
        <v>21876</v>
      </c>
      <c r="G4555" s="110"/>
      <c r="H4555" s="108" t="s">
        <v>21842</v>
      </c>
      <c r="I4555" s="108"/>
    </row>
    <row r="4556" spans="1:9">
      <c r="A4556" s="108" t="s">
        <v>169</v>
      </c>
      <c r="B4556" s="108" t="s">
        <v>22099</v>
      </c>
      <c r="C4556" s="109">
        <v>41883</v>
      </c>
      <c r="D4556" s="108"/>
      <c r="E4556" s="108" t="s">
        <v>14605</v>
      </c>
      <c r="F4556" s="108" t="s">
        <v>22100</v>
      </c>
      <c r="G4556" s="110"/>
      <c r="H4556" s="108" t="s">
        <v>21842</v>
      </c>
      <c r="I4556" s="108"/>
    </row>
    <row r="4557" spans="1:9">
      <c r="A4557" s="108" t="s">
        <v>169</v>
      </c>
      <c r="B4557" s="108" t="s">
        <v>22101</v>
      </c>
      <c r="C4557" s="109">
        <v>41883</v>
      </c>
      <c r="D4557" s="108"/>
      <c r="E4557" s="108" t="s">
        <v>14605</v>
      </c>
      <c r="F4557" s="108" t="s">
        <v>22100</v>
      </c>
      <c r="G4557" s="110"/>
      <c r="H4557" s="108" t="s">
        <v>21842</v>
      </c>
      <c r="I4557" s="108"/>
    </row>
    <row r="4558" spans="1:9" ht="41.4">
      <c r="A4558" s="108" t="s">
        <v>169</v>
      </c>
      <c r="B4558" s="108" t="s">
        <v>22102</v>
      </c>
      <c r="C4558" s="109">
        <v>41877</v>
      </c>
      <c r="D4558" s="108"/>
      <c r="E4558" s="108" t="s">
        <v>14605</v>
      </c>
      <c r="F4558" s="108" t="s">
        <v>22103</v>
      </c>
      <c r="G4558" s="110"/>
      <c r="H4558" s="108" t="s">
        <v>21842</v>
      </c>
      <c r="I4558" s="108"/>
    </row>
    <row r="4559" spans="1:9" ht="27.6">
      <c r="A4559" s="108" t="s">
        <v>169</v>
      </c>
      <c r="B4559" s="108" t="s">
        <v>22104</v>
      </c>
      <c r="C4559" s="109">
        <v>41884</v>
      </c>
      <c r="D4559" s="108"/>
      <c r="E4559" s="108" t="s">
        <v>14605</v>
      </c>
      <c r="F4559" s="108" t="s">
        <v>22086</v>
      </c>
      <c r="G4559" s="110"/>
      <c r="H4559" s="108" t="s">
        <v>21842</v>
      </c>
      <c r="I4559" s="108"/>
    </row>
    <row r="4560" spans="1:9">
      <c r="A4560" s="108" t="s">
        <v>169</v>
      </c>
      <c r="B4560" s="108" t="s">
        <v>22105</v>
      </c>
      <c r="C4560" s="109">
        <v>41880</v>
      </c>
      <c r="D4560" s="108"/>
      <c r="E4560" s="108" t="s">
        <v>14605</v>
      </c>
      <c r="F4560" s="108" t="s">
        <v>22106</v>
      </c>
      <c r="G4560" s="110"/>
      <c r="H4560" s="108" t="s">
        <v>21842</v>
      </c>
      <c r="I4560" s="108"/>
    </row>
    <row r="4561" spans="1:9">
      <c r="A4561" s="108" t="s">
        <v>169</v>
      </c>
      <c r="B4561" s="108" t="s">
        <v>22107</v>
      </c>
      <c r="C4561" s="109">
        <v>41894</v>
      </c>
      <c r="D4561" s="108"/>
      <c r="E4561" s="108" t="s">
        <v>14605</v>
      </c>
      <c r="F4561" s="108" t="s">
        <v>22100</v>
      </c>
      <c r="G4561" s="110"/>
      <c r="H4561" s="108" t="s">
        <v>21842</v>
      </c>
      <c r="I4561" s="108"/>
    </row>
    <row r="4562" spans="1:9">
      <c r="A4562" s="108" t="s">
        <v>169</v>
      </c>
      <c r="B4562" s="108" t="s">
        <v>22108</v>
      </c>
      <c r="C4562" s="109">
        <v>41906</v>
      </c>
      <c r="D4562" s="108"/>
      <c r="E4562" s="108" t="s">
        <v>14605</v>
      </c>
      <c r="F4562" s="108" t="s">
        <v>22014</v>
      </c>
      <c r="G4562" s="110"/>
      <c r="H4562" s="108" t="s">
        <v>21842</v>
      </c>
      <c r="I4562" s="108"/>
    </row>
    <row r="4563" spans="1:9" ht="27.6">
      <c r="A4563" s="108" t="s">
        <v>169</v>
      </c>
      <c r="B4563" s="108" t="s">
        <v>22109</v>
      </c>
      <c r="C4563" s="109">
        <v>41940</v>
      </c>
      <c r="D4563" s="108"/>
      <c r="E4563" s="108" t="s">
        <v>14605</v>
      </c>
      <c r="F4563" s="108" t="s">
        <v>22110</v>
      </c>
      <c r="G4563" s="110"/>
      <c r="H4563" s="108" t="s">
        <v>21842</v>
      </c>
      <c r="I4563" s="108"/>
    </row>
    <row r="4564" spans="1:9" ht="27.6">
      <c r="A4564" s="108" t="s">
        <v>169</v>
      </c>
      <c r="B4564" s="108" t="s">
        <v>22111</v>
      </c>
      <c r="C4564" s="109">
        <v>42102</v>
      </c>
      <c r="D4564" s="108"/>
      <c r="E4564" s="108" t="s">
        <v>14605</v>
      </c>
      <c r="F4564" s="108" t="s">
        <v>22112</v>
      </c>
      <c r="G4564" s="110"/>
      <c r="H4564" s="108" t="s">
        <v>21842</v>
      </c>
      <c r="I4564" s="108"/>
    </row>
    <row r="4565" spans="1:9" ht="41.4">
      <c r="A4565" s="108" t="s">
        <v>169</v>
      </c>
      <c r="B4565" s="108" t="s">
        <v>22113</v>
      </c>
      <c r="C4565" s="109">
        <v>41929</v>
      </c>
      <c r="D4565" s="108"/>
      <c r="E4565" s="108" t="s">
        <v>14605</v>
      </c>
      <c r="F4565" s="108" t="s">
        <v>22069</v>
      </c>
      <c r="G4565" s="110"/>
      <c r="H4565" s="108" t="s">
        <v>21842</v>
      </c>
      <c r="I4565" s="108"/>
    </row>
    <row r="4566" spans="1:9">
      <c r="A4566" s="108" t="s">
        <v>169</v>
      </c>
      <c r="B4566" s="108" t="s">
        <v>22114</v>
      </c>
      <c r="C4566" s="109">
        <v>41974</v>
      </c>
      <c r="D4566" s="108"/>
      <c r="E4566" s="108" t="s">
        <v>14605</v>
      </c>
      <c r="F4566" s="108" t="s">
        <v>22115</v>
      </c>
      <c r="G4566" s="110"/>
      <c r="H4566" s="108" t="s">
        <v>21842</v>
      </c>
      <c r="I4566" s="108"/>
    </row>
    <row r="4567" spans="1:9" ht="27.6">
      <c r="A4567" s="108" t="s">
        <v>169</v>
      </c>
      <c r="B4567" s="108" t="s">
        <v>22116</v>
      </c>
      <c r="C4567" s="109">
        <v>41974</v>
      </c>
      <c r="D4567" s="108"/>
      <c r="E4567" s="108" t="s">
        <v>14605</v>
      </c>
      <c r="F4567" s="108" t="s">
        <v>22117</v>
      </c>
      <c r="G4567" s="110"/>
      <c r="H4567" s="108" t="s">
        <v>21842</v>
      </c>
      <c r="I4567" s="108"/>
    </row>
    <row r="4568" spans="1:9">
      <c r="A4568" s="108" t="s">
        <v>169</v>
      </c>
      <c r="B4568" s="108" t="s">
        <v>22118</v>
      </c>
      <c r="C4568" s="109">
        <v>42018</v>
      </c>
      <c r="D4568" s="108"/>
      <c r="E4568" s="108" t="s">
        <v>14605</v>
      </c>
      <c r="F4568" s="108" t="s">
        <v>22119</v>
      </c>
      <c r="G4568" s="110"/>
      <c r="H4568" s="108" t="s">
        <v>21842</v>
      </c>
      <c r="I4568" s="108"/>
    </row>
    <row r="4569" spans="1:9">
      <c r="A4569" s="108" t="s">
        <v>169</v>
      </c>
      <c r="B4569" s="108" t="s">
        <v>22120</v>
      </c>
      <c r="C4569" s="109">
        <v>42031</v>
      </c>
      <c r="D4569" s="108"/>
      <c r="E4569" s="108" t="s">
        <v>14605</v>
      </c>
      <c r="F4569" s="108" t="s">
        <v>22067</v>
      </c>
      <c r="G4569" s="110"/>
      <c r="H4569" s="108" t="s">
        <v>21842</v>
      </c>
      <c r="I4569" s="108"/>
    </row>
    <row r="4570" spans="1:9" ht="27.6">
      <c r="A4570" s="108" t="s">
        <v>169</v>
      </c>
      <c r="B4570" s="108" t="s">
        <v>22121</v>
      </c>
      <c r="C4570" s="109">
        <v>42044</v>
      </c>
      <c r="D4570" s="108"/>
      <c r="E4570" s="108" t="s">
        <v>14605</v>
      </c>
      <c r="F4570" s="108" t="s">
        <v>22122</v>
      </c>
      <c r="G4570" s="110"/>
      <c r="H4570" s="108" t="s">
        <v>21842</v>
      </c>
      <c r="I4570" s="108"/>
    </row>
    <row r="4571" spans="1:9">
      <c r="A4571" s="108" t="s">
        <v>169</v>
      </c>
      <c r="B4571" s="108" t="s">
        <v>22123</v>
      </c>
      <c r="C4571" s="109">
        <v>42048</v>
      </c>
      <c r="D4571" s="108"/>
      <c r="E4571" s="108" t="s">
        <v>14605</v>
      </c>
      <c r="F4571" s="108" t="s">
        <v>22124</v>
      </c>
      <c r="G4571" s="110"/>
      <c r="H4571" s="108" t="s">
        <v>21842</v>
      </c>
      <c r="I4571" s="108"/>
    </row>
    <row r="4572" spans="1:9">
      <c r="A4572" s="108" t="s">
        <v>169</v>
      </c>
      <c r="B4572" s="108" t="s">
        <v>22125</v>
      </c>
      <c r="C4572" s="109">
        <v>42048</v>
      </c>
      <c r="D4572" s="108"/>
      <c r="E4572" s="108" t="s">
        <v>14605</v>
      </c>
      <c r="F4572" s="108" t="s">
        <v>22126</v>
      </c>
      <c r="G4572" s="110"/>
      <c r="H4572" s="108" t="s">
        <v>21842</v>
      </c>
      <c r="I4572" s="108"/>
    </row>
    <row r="4573" spans="1:9">
      <c r="A4573" s="108" t="s">
        <v>169</v>
      </c>
      <c r="B4573" s="108" t="s">
        <v>22127</v>
      </c>
      <c r="C4573" s="109">
        <v>42160</v>
      </c>
      <c r="D4573" s="108"/>
      <c r="E4573" s="108" t="s">
        <v>14605</v>
      </c>
      <c r="F4573" s="108" t="s">
        <v>22128</v>
      </c>
      <c r="G4573" s="110"/>
      <c r="H4573" s="108" t="s">
        <v>21842</v>
      </c>
      <c r="I4573" s="108"/>
    </row>
    <row r="4574" spans="1:9">
      <c r="A4574" s="108" t="s">
        <v>169</v>
      </c>
      <c r="B4574" s="108" t="s">
        <v>22129</v>
      </c>
      <c r="C4574" s="109">
        <v>42151</v>
      </c>
      <c r="D4574" s="108"/>
      <c r="E4574" s="108" t="s">
        <v>14605</v>
      </c>
      <c r="F4574" s="108" t="s">
        <v>22130</v>
      </c>
      <c r="G4574" s="110"/>
      <c r="H4574" s="108" t="s">
        <v>21842</v>
      </c>
      <c r="I4574" s="108"/>
    </row>
    <row r="4575" spans="1:9" ht="27.6">
      <c r="A4575" s="108" t="s">
        <v>169</v>
      </c>
      <c r="B4575" s="108" t="s">
        <v>22131</v>
      </c>
      <c r="C4575" s="109">
        <v>42156</v>
      </c>
      <c r="D4575" s="108"/>
      <c r="E4575" s="108" t="s">
        <v>14605</v>
      </c>
      <c r="F4575" s="108" t="s">
        <v>22132</v>
      </c>
      <c r="G4575" s="110"/>
      <c r="H4575" s="108" t="s">
        <v>21842</v>
      </c>
      <c r="I4575" s="108"/>
    </row>
    <row r="4576" spans="1:9" ht="27.6">
      <c r="A4576" s="108" t="s">
        <v>169</v>
      </c>
      <c r="B4576" s="108" t="s">
        <v>22133</v>
      </c>
      <c r="C4576" s="109">
        <v>42167</v>
      </c>
      <c r="D4576" s="108"/>
      <c r="E4576" s="108" t="s">
        <v>14605</v>
      </c>
      <c r="F4576" s="108" t="s">
        <v>14758</v>
      </c>
      <c r="G4576" s="110"/>
      <c r="H4576" s="108" t="s">
        <v>21842</v>
      </c>
      <c r="I4576" s="108"/>
    </row>
    <row r="4577" spans="1:9" ht="27.6">
      <c r="A4577" s="108" t="s">
        <v>169</v>
      </c>
      <c r="B4577" s="108" t="s">
        <v>22134</v>
      </c>
      <c r="C4577" s="109">
        <v>42188</v>
      </c>
      <c r="D4577" s="108"/>
      <c r="E4577" s="108" t="s">
        <v>14605</v>
      </c>
      <c r="F4577" s="108" t="s">
        <v>21896</v>
      </c>
      <c r="G4577" s="110"/>
      <c r="H4577" s="108" t="s">
        <v>21842</v>
      </c>
      <c r="I4577" s="108"/>
    </row>
    <row r="4578" spans="1:9" ht="27.6">
      <c r="A4578" s="108" t="s">
        <v>169</v>
      </c>
      <c r="B4578" s="108" t="s">
        <v>22135</v>
      </c>
      <c r="C4578" s="109">
        <v>42198</v>
      </c>
      <c r="D4578" s="108"/>
      <c r="E4578" s="108" t="s">
        <v>14605</v>
      </c>
      <c r="F4578" s="108" t="s">
        <v>22136</v>
      </c>
      <c r="G4578" s="110"/>
      <c r="H4578" s="108" t="s">
        <v>21842</v>
      </c>
      <c r="I4578" s="108"/>
    </row>
    <row r="4579" spans="1:9">
      <c r="A4579" s="108" t="s">
        <v>169</v>
      </c>
      <c r="B4579" s="108" t="s">
        <v>22137</v>
      </c>
      <c r="C4579" s="109">
        <v>42214</v>
      </c>
      <c r="D4579" s="108"/>
      <c r="E4579" s="108" t="s">
        <v>14605</v>
      </c>
      <c r="F4579" s="108" t="s">
        <v>22138</v>
      </c>
      <c r="G4579" s="110"/>
      <c r="H4579" s="108" t="s">
        <v>21842</v>
      </c>
      <c r="I4579" s="108"/>
    </row>
    <row r="4580" spans="1:9">
      <c r="A4580" s="108" t="s">
        <v>169</v>
      </c>
      <c r="B4580" s="108" t="s">
        <v>22139</v>
      </c>
      <c r="C4580" s="109">
        <v>42244</v>
      </c>
      <c r="D4580" s="108"/>
      <c r="E4580" s="108" t="s">
        <v>14605</v>
      </c>
      <c r="F4580" s="108" t="s">
        <v>22140</v>
      </c>
      <c r="G4580" s="110"/>
      <c r="H4580" s="108" t="s">
        <v>21842</v>
      </c>
      <c r="I4580" s="108"/>
    </row>
    <row r="4581" spans="1:9" ht="27.6">
      <c r="A4581" s="108" t="s">
        <v>169</v>
      </c>
      <c r="B4581" s="108" t="s">
        <v>22141</v>
      </c>
      <c r="C4581" s="109">
        <v>42244</v>
      </c>
      <c r="D4581" s="108"/>
      <c r="E4581" s="108" t="s">
        <v>14605</v>
      </c>
      <c r="F4581" s="108" t="s">
        <v>22142</v>
      </c>
      <c r="G4581" s="110"/>
      <c r="H4581" s="108" t="s">
        <v>21842</v>
      </c>
      <c r="I4581" s="108"/>
    </row>
    <row r="4582" spans="1:9">
      <c r="A4582" s="108" t="s">
        <v>169</v>
      </c>
      <c r="B4582" s="108" t="s">
        <v>22143</v>
      </c>
      <c r="C4582" s="109">
        <v>42293</v>
      </c>
      <c r="D4582" s="108"/>
      <c r="E4582" s="108" t="s">
        <v>14605</v>
      </c>
      <c r="F4582" s="108" t="s">
        <v>21990</v>
      </c>
      <c r="G4582" s="110"/>
      <c r="H4582" s="108" t="s">
        <v>21842</v>
      </c>
      <c r="I4582" s="108"/>
    </row>
    <row r="4583" spans="1:9">
      <c r="A4583" s="108" t="s">
        <v>169</v>
      </c>
      <c r="B4583" s="108" t="s">
        <v>22144</v>
      </c>
      <c r="C4583" s="109">
        <v>42300</v>
      </c>
      <c r="D4583" s="108"/>
      <c r="E4583" s="108" t="s">
        <v>14605</v>
      </c>
      <c r="F4583" s="108" t="s">
        <v>22145</v>
      </c>
      <c r="G4583" s="110"/>
      <c r="H4583" s="108" t="s">
        <v>21842</v>
      </c>
      <c r="I4583" s="108"/>
    </row>
    <row r="4584" spans="1:9" ht="27.6">
      <c r="A4584" s="108" t="s">
        <v>169</v>
      </c>
      <c r="B4584" s="108" t="s">
        <v>22146</v>
      </c>
      <c r="C4584" s="109">
        <v>42313</v>
      </c>
      <c r="D4584" s="108"/>
      <c r="E4584" s="108" t="s">
        <v>14605</v>
      </c>
      <c r="F4584" s="108" t="s">
        <v>22147</v>
      </c>
      <c r="G4584" s="110"/>
      <c r="H4584" s="108" t="s">
        <v>21842</v>
      </c>
      <c r="I4584" s="108"/>
    </row>
    <row r="4585" spans="1:9" ht="27.6">
      <c r="A4585" s="108" t="s">
        <v>169</v>
      </c>
      <c r="B4585" s="108" t="s">
        <v>22148</v>
      </c>
      <c r="C4585" s="109">
        <v>42304</v>
      </c>
      <c r="D4585" s="108"/>
      <c r="E4585" s="108" t="s">
        <v>14605</v>
      </c>
      <c r="F4585" s="108" t="s">
        <v>22149</v>
      </c>
      <c r="G4585" s="110"/>
      <c r="H4585" s="108" t="s">
        <v>21842</v>
      </c>
      <c r="I4585" s="108"/>
    </row>
    <row r="4586" spans="1:9">
      <c r="A4586" s="108" t="s">
        <v>169</v>
      </c>
      <c r="B4586" s="108" t="s">
        <v>22150</v>
      </c>
      <c r="C4586" s="109">
        <v>42321</v>
      </c>
      <c r="D4586" s="108"/>
      <c r="E4586" s="108" t="s">
        <v>14605</v>
      </c>
      <c r="F4586" s="108" t="s">
        <v>22151</v>
      </c>
      <c r="G4586" s="110"/>
      <c r="H4586" s="108" t="s">
        <v>21842</v>
      </c>
      <c r="I4586" s="108"/>
    </row>
    <row r="4587" spans="1:9">
      <c r="A4587" s="108" t="s">
        <v>169</v>
      </c>
      <c r="B4587" s="108" t="s">
        <v>22152</v>
      </c>
      <c r="C4587" s="109">
        <v>42349</v>
      </c>
      <c r="D4587" s="108"/>
      <c r="E4587" s="108" t="s">
        <v>14605</v>
      </c>
      <c r="F4587" s="108" t="s">
        <v>22153</v>
      </c>
      <c r="G4587" s="110"/>
      <c r="H4587" s="108" t="s">
        <v>21842</v>
      </c>
      <c r="I4587" s="108"/>
    </row>
    <row r="4588" spans="1:9" ht="41.4">
      <c r="A4588" s="108" t="s">
        <v>169</v>
      </c>
      <c r="B4588" s="108" t="s">
        <v>22154</v>
      </c>
      <c r="C4588" s="109">
        <v>42391</v>
      </c>
      <c r="D4588" s="108"/>
      <c r="E4588" s="108" t="s">
        <v>14605</v>
      </c>
      <c r="F4588" s="108" t="s">
        <v>22155</v>
      </c>
      <c r="G4588" s="110"/>
      <c r="H4588" s="108" t="s">
        <v>21842</v>
      </c>
      <c r="I4588" s="108"/>
    </row>
    <row r="4589" spans="1:9">
      <c r="A4589" s="108" t="s">
        <v>169</v>
      </c>
      <c r="B4589" s="108" t="s">
        <v>22156</v>
      </c>
      <c r="C4589" s="109">
        <v>42381</v>
      </c>
      <c r="D4589" s="108"/>
      <c r="E4589" s="108" t="s">
        <v>14605</v>
      </c>
      <c r="F4589" s="108" t="s">
        <v>22157</v>
      </c>
      <c r="G4589" s="110"/>
      <c r="H4589" s="108" t="s">
        <v>21842</v>
      </c>
      <c r="I4589" s="108"/>
    </row>
    <row r="4590" spans="1:9">
      <c r="A4590" s="108" t="s">
        <v>169</v>
      </c>
      <c r="B4590" s="108" t="s">
        <v>22158</v>
      </c>
      <c r="C4590" s="109">
        <v>42390</v>
      </c>
      <c r="D4590" s="108"/>
      <c r="E4590" s="108" t="s">
        <v>14605</v>
      </c>
      <c r="F4590" s="108" t="s">
        <v>22159</v>
      </c>
      <c r="G4590" s="110"/>
      <c r="H4590" s="108" t="s">
        <v>21842</v>
      </c>
      <c r="I4590" s="108"/>
    </row>
    <row r="4591" spans="1:9">
      <c r="A4591" s="108" t="s">
        <v>169</v>
      </c>
      <c r="B4591" s="108" t="s">
        <v>22160</v>
      </c>
      <c r="C4591" s="109">
        <v>42402</v>
      </c>
      <c r="D4591" s="108"/>
      <c r="E4591" s="108" t="s">
        <v>14605</v>
      </c>
      <c r="F4591" s="108" t="s">
        <v>22161</v>
      </c>
      <c r="G4591" s="110"/>
      <c r="H4591" s="108" t="s">
        <v>21842</v>
      </c>
      <c r="I4591" s="108"/>
    </row>
    <row r="4592" spans="1:9">
      <c r="A4592" s="108" t="s">
        <v>169</v>
      </c>
      <c r="B4592" s="108" t="s">
        <v>22162</v>
      </c>
      <c r="C4592" s="109">
        <v>42410</v>
      </c>
      <c r="D4592" s="108"/>
      <c r="E4592" s="108" t="s">
        <v>14605</v>
      </c>
      <c r="F4592" s="108" t="s">
        <v>22163</v>
      </c>
      <c r="G4592" s="110"/>
      <c r="H4592" s="108" t="s">
        <v>21842</v>
      </c>
      <c r="I4592" s="108"/>
    </row>
    <row r="4593" spans="1:9">
      <c r="A4593" s="108" t="s">
        <v>169</v>
      </c>
      <c r="B4593" s="108" t="s">
        <v>22164</v>
      </c>
      <c r="C4593" s="109">
        <v>42543</v>
      </c>
      <c r="D4593" s="108"/>
      <c r="E4593" s="108" t="s">
        <v>14605</v>
      </c>
      <c r="F4593" s="108" t="s">
        <v>15832</v>
      </c>
      <c r="G4593" s="110"/>
      <c r="H4593" s="108" t="s">
        <v>21842</v>
      </c>
      <c r="I4593" s="108"/>
    </row>
    <row r="4594" spans="1:9">
      <c r="A4594" s="108" t="s">
        <v>169</v>
      </c>
      <c r="B4594" s="108" t="s">
        <v>22165</v>
      </c>
      <c r="C4594" s="109">
        <v>42543</v>
      </c>
      <c r="D4594" s="108"/>
      <c r="E4594" s="108" t="s">
        <v>14605</v>
      </c>
      <c r="F4594" s="108" t="s">
        <v>15832</v>
      </c>
      <c r="G4594" s="110"/>
      <c r="H4594" s="108" t="s">
        <v>21842</v>
      </c>
      <c r="I4594" s="108"/>
    </row>
    <row r="4595" spans="1:9" ht="41.4">
      <c r="A4595" s="108" t="s">
        <v>169</v>
      </c>
      <c r="B4595" s="108" t="s">
        <v>22166</v>
      </c>
      <c r="C4595" s="109">
        <v>42436</v>
      </c>
      <c r="D4595" s="108"/>
      <c r="E4595" s="108" t="s">
        <v>14605</v>
      </c>
      <c r="F4595" s="108" t="s">
        <v>22167</v>
      </c>
      <c r="G4595" s="110"/>
      <c r="H4595" s="108" t="s">
        <v>21842</v>
      </c>
      <c r="I4595" s="108"/>
    </row>
    <row r="4596" spans="1:9" ht="27.6">
      <c r="A4596" s="108" t="s">
        <v>169</v>
      </c>
      <c r="B4596" s="108" t="s">
        <v>22168</v>
      </c>
      <c r="C4596" s="109">
        <v>42572</v>
      </c>
      <c r="D4596" s="108"/>
      <c r="E4596" s="108" t="s">
        <v>14605</v>
      </c>
      <c r="F4596" s="108" t="s">
        <v>22169</v>
      </c>
      <c r="G4596" s="110"/>
      <c r="H4596" s="108" t="s">
        <v>21842</v>
      </c>
      <c r="I4596" s="108"/>
    </row>
    <row r="4597" spans="1:9">
      <c r="A4597" s="108" t="s">
        <v>169</v>
      </c>
      <c r="B4597" s="108" t="s">
        <v>22170</v>
      </c>
      <c r="C4597" s="109">
        <v>42531</v>
      </c>
      <c r="D4597" s="108"/>
      <c r="E4597" s="108" t="s">
        <v>14605</v>
      </c>
      <c r="F4597" s="108" t="s">
        <v>15832</v>
      </c>
      <c r="G4597" s="110"/>
      <c r="H4597" s="108" t="s">
        <v>21842</v>
      </c>
      <c r="I4597" s="108"/>
    </row>
    <row r="4598" spans="1:9">
      <c r="A4598" s="108" t="s">
        <v>169</v>
      </c>
      <c r="B4598" s="108" t="s">
        <v>22171</v>
      </c>
      <c r="C4598" s="109">
        <v>42564</v>
      </c>
      <c r="D4598" s="108"/>
      <c r="E4598" s="108" t="s">
        <v>14605</v>
      </c>
      <c r="F4598" s="108" t="s">
        <v>22172</v>
      </c>
      <c r="G4598" s="110"/>
      <c r="H4598" s="108" t="s">
        <v>21842</v>
      </c>
      <c r="I4598" s="108"/>
    </row>
    <row r="4599" spans="1:9" ht="27.6">
      <c r="A4599" s="108" t="s">
        <v>169</v>
      </c>
      <c r="B4599" s="108" t="s">
        <v>22173</v>
      </c>
      <c r="C4599" s="109">
        <v>42608</v>
      </c>
      <c r="D4599" s="108"/>
      <c r="E4599" s="108" t="s">
        <v>14605</v>
      </c>
      <c r="F4599" s="108" t="s">
        <v>22174</v>
      </c>
      <c r="G4599" s="110"/>
      <c r="H4599" s="108" t="s">
        <v>21842</v>
      </c>
      <c r="I4599" s="108"/>
    </row>
    <row r="4600" spans="1:9" ht="41.4">
      <c r="A4600" s="108" t="s">
        <v>169</v>
      </c>
      <c r="B4600" s="108" t="s">
        <v>22175</v>
      </c>
      <c r="C4600" s="109">
        <v>42627</v>
      </c>
      <c r="D4600" s="108"/>
      <c r="E4600" s="108" t="s">
        <v>14605</v>
      </c>
      <c r="F4600" s="108" t="s">
        <v>22176</v>
      </c>
      <c r="G4600" s="110"/>
      <c r="H4600" s="108" t="s">
        <v>21842</v>
      </c>
      <c r="I4600" s="108"/>
    </row>
    <row r="4601" spans="1:9">
      <c r="A4601" s="108" t="s">
        <v>169</v>
      </c>
      <c r="B4601" s="108" t="s">
        <v>22177</v>
      </c>
      <c r="C4601" s="109">
        <v>42606</v>
      </c>
      <c r="D4601" s="108"/>
      <c r="E4601" s="108" t="s">
        <v>14605</v>
      </c>
      <c r="F4601" s="108" t="s">
        <v>22178</v>
      </c>
      <c r="G4601" s="110"/>
      <c r="H4601" s="108" t="s">
        <v>21842</v>
      </c>
      <c r="I4601" s="108"/>
    </row>
    <row r="4602" spans="1:9" ht="27.6">
      <c r="A4602" s="108" t="s">
        <v>169</v>
      </c>
      <c r="B4602" s="108" t="s">
        <v>22179</v>
      </c>
      <c r="C4602" s="109">
        <v>42605</v>
      </c>
      <c r="D4602" s="108"/>
      <c r="E4602" s="108" t="s">
        <v>14605</v>
      </c>
      <c r="F4602" s="108" t="s">
        <v>22086</v>
      </c>
      <c r="G4602" s="110"/>
      <c r="H4602" s="108" t="s">
        <v>21842</v>
      </c>
      <c r="I4602" s="108"/>
    </row>
    <row r="4603" spans="1:9">
      <c r="A4603" s="108" t="s">
        <v>169</v>
      </c>
      <c r="B4603" s="108" t="s">
        <v>22180</v>
      </c>
      <c r="C4603" s="109">
        <v>42640</v>
      </c>
      <c r="D4603" s="108"/>
      <c r="E4603" s="108" t="s">
        <v>14605</v>
      </c>
      <c r="F4603" s="108" t="s">
        <v>22181</v>
      </c>
      <c r="G4603" s="110"/>
      <c r="H4603" s="108" t="s">
        <v>21842</v>
      </c>
      <c r="I4603" s="108"/>
    </row>
    <row r="4604" spans="1:9">
      <c r="A4604" s="108" t="s">
        <v>169</v>
      </c>
      <c r="B4604" s="108" t="s">
        <v>22182</v>
      </c>
      <c r="C4604" s="109">
        <v>42674</v>
      </c>
      <c r="D4604" s="108"/>
      <c r="E4604" s="108" t="s">
        <v>14605</v>
      </c>
      <c r="F4604" s="108" t="s">
        <v>22183</v>
      </c>
      <c r="G4604" s="110"/>
      <c r="H4604" s="108" t="s">
        <v>21842</v>
      </c>
      <c r="I4604" s="108"/>
    </row>
    <row r="4605" spans="1:9" ht="27.6">
      <c r="A4605" s="108" t="s">
        <v>169</v>
      </c>
      <c r="B4605" s="108" t="s">
        <v>22184</v>
      </c>
      <c r="C4605" s="109">
        <v>42643</v>
      </c>
      <c r="D4605" s="108"/>
      <c r="E4605" s="108" t="s">
        <v>14605</v>
      </c>
      <c r="F4605" s="108" t="s">
        <v>22185</v>
      </c>
      <c r="G4605" s="110"/>
      <c r="H4605" s="108" t="s">
        <v>21842</v>
      </c>
      <c r="I4605" s="108"/>
    </row>
    <row r="4606" spans="1:9" ht="41.4">
      <c r="A4606" s="108" t="s">
        <v>169</v>
      </c>
      <c r="B4606" s="108" t="s">
        <v>22186</v>
      </c>
      <c r="C4606" s="109">
        <v>42937</v>
      </c>
      <c r="D4606" s="108"/>
      <c r="E4606" s="108" t="s">
        <v>14605</v>
      </c>
      <c r="F4606" s="108" t="s">
        <v>22001</v>
      </c>
      <c r="G4606" s="110"/>
      <c r="H4606" s="108" t="s">
        <v>21842</v>
      </c>
      <c r="I4606" s="108"/>
    </row>
    <row r="4607" spans="1:9">
      <c r="A4607" s="108" t="s">
        <v>169</v>
      </c>
      <c r="B4607" s="108" t="s">
        <v>22187</v>
      </c>
      <c r="C4607" s="109">
        <v>42650</v>
      </c>
      <c r="D4607" s="108"/>
      <c r="E4607" s="108" t="s">
        <v>14605</v>
      </c>
      <c r="F4607" s="108" t="s">
        <v>22188</v>
      </c>
      <c r="G4607" s="110"/>
      <c r="H4607" s="108" t="s">
        <v>21842</v>
      </c>
      <c r="I4607" s="108"/>
    </row>
    <row r="4608" spans="1:9" ht="27.6">
      <c r="A4608" s="108" t="s">
        <v>169</v>
      </c>
      <c r="B4608" s="108" t="s">
        <v>22189</v>
      </c>
      <c r="C4608" s="109">
        <v>42656</v>
      </c>
      <c r="D4608" s="108"/>
      <c r="E4608" s="108" t="s">
        <v>14605</v>
      </c>
      <c r="F4608" s="108" t="s">
        <v>21850</v>
      </c>
      <c r="G4608" s="110"/>
      <c r="H4608" s="108" t="s">
        <v>21842</v>
      </c>
      <c r="I4608" s="108"/>
    </row>
    <row r="4609" spans="1:9" ht="27.6">
      <c r="A4609" s="108" t="s">
        <v>169</v>
      </c>
      <c r="B4609" s="108" t="s">
        <v>22190</v>
      </c>
      <c r="C4609" s="109">
        <v>42683</v>
      </c>
      <c r="D4609" s="108"/>
      <c r="E4609" s="108" t="s">
        <v>14605</v>
      </c>
      <c r="F4609" s="108" t="s">
        <v>22191</v>
      </c>
      <c r="G4609" s="110"/>
      <c r="H4609" s="108" t="s">
        <v>21842</v>
      </c>
      <c r="I4609" s="108"/>
    </row>
    <row r="4610" spans="1:9">
      <c r="A4610" s="108" t="s">
        <v>169</v>
      </c>
      <c r="B4610" s="108" t="s">
        <v>22192</v>
      </c>
      <c r="C4610" s="109">
        <v>42781</v>
      </c>
      <c r="D4610" s="108"/>
      <c r="E4610" s="108" t="s">
        <v>14605</v>
      </c>
      <c r="F4610" s="108" t="s">
        <v>22193</v>
      </c>
      <c r="G4610" s="110"/>
      <c r="H4610" s="108" t="s">
        <v>21842</v>
      </c>
      <c r="I4610" s="108"/>
    </row>
    <row r="4611" spans="1:9">
      <c r="A4611" s="108" t="s">
        <v>169</v>
      </c>
      <c r="B4611" s="108" t="s">
        <v>22194</v>
      </c>
      <c r="C4611" s="109">
        <v>42748</v>
      </c>
      <c r="D4611" s="108"/>
      <c r="E4611" s="108" t="s">
        <v>14605</v>
      </c>
      <c r="F4611" s="108" t="s">
        <v>21941</v>
      </c>
      <c r="G4611" s="110"/>
      <c r="H4611" s="108" t="s">
        <v>21842</v>
      </c>
      <c r="I4611" s="108"/>
    </row>
    <row r="4612" spans="1:9" ht="27.6">
      <c r="A4612" s="108" t="s">
        <v>169</v>
      </c>
      <c r="B4612" s="108" t="s">
        <v>22195</v>
      </c>
      <c r="C4612" s="109">
        <v>42751</v>
      </c>
      <c r="D4612" s="108"/>
      <c r="E4612" s="108" t="s">
        <v>14605</v>
      </c>
      <c r="F4612" s="108" t="s">
        <v>22196</v>
      </c>
      <c r="G4612" s="110"/>
      <c r="H4612" s="108" t="s">
        <v>21842</v>
      </c>
      <c r="I4612" s="108"/>
    </row>
    <row r="4613" spans="1:9">
      <c r="A4613" s="108" t="s">
        <v>169</v>
      </c>
      <c r="B4613" s="108" t="s">
        <v>22197</v>
      </c>
      <c r="C4613" s="109">
        <v>42762</v>
      </c>
      <c r="D4613" s="108"/>
      <c r="E4613" s="108" t="s">
        <v>14605</v>
      </c>
      <c r="F4613" s="108" t="s">
        <v>22198</v>
      </c>
      <c r="G4613" s="110"/>
      <c r="H4613" s="108" t="s">
        <v>21842</v>
      </c>
      <c r="I4613" s="108"/>
    </row>
    <row r="4614" spans="1:9">
      <c r="A4614" s="108" t="s">
        <v>169</v>
      </c>
      <c r="B4614" s="108" t="s">
        <v>22199</v>
      </c>
      <c r="C4614" s="109">
        <v>42794</v>
      </c>
      <c r="D4614" s="108"/>
      <c r="E4614" s="108" t="s">
        <v>14605</v>
      </c>
      <c r="F4614" s="108" t="s">
        <v>14835</v>
      </c>
      <c r="G4614" s="110"/>
      <c r="H4614" s="108" t="s">
        <v>21842</v>
      </c>
      <c r="I4614" s="108"/>
    </row>
    <row r="4615" spans="1:9">
      <c r="A4615" s="108" t="s">
        <v>169</v>
      </c>
      <c r="B4615" s="108" t="s">
        <v>22200</v>
      </c>
      <c r="C4615" s="109">
        <v>42797</v>
      </c>
      <c r="D4615" s="108"/>
      <c r="E4615" s="108" t="s">
        <v>14605</v>
      </c>
      <c r="F4615" s="108" t="s">
        <v>22188</v>
      </c>
      <c r="G4615" s="110"/>
      <c r="H4615" s="108" t="s">
        <v>21842</v>
      </c>
      <c r="I4615" s="108"/>
    </row>
    <row r="4616" spans="1:9">
      <c r="A4616" s="108" t="s">
        <v>169</v>
      </c>
      <c r="B4616" s="108" t="s">
        <v>22201</v>
      </c>
      <c r="C4616" s="109">
        <v>42815</v>
      </c>
      <c r="D4616" s="108"/>
      <c r="E4616" s="108" t="s">
        <v>14605</v>
      </c>
      <c r="F4616" s="108" t="s">
        <v>22128</v>
      </c>
      <c r="G4616" s="110"/>
      <c r="H4616" s="108" t="s">
        <v>21842</v>
      </c>
      <c r="I4616" s="108"/>
    </row>
    <row r="4617" spans="1:9">
      <c r="A4617" s="108" t="s">
        <v>169</v>
      </c>
      <c r="B4617" s="108" t="s">
        <v>22202</v>
      </c>
      <c r="C4617" s="109">
        <v>42989</v>
      </c>
      <c r="D4617" s="108"/>
      <c r="E4617" s="108" t="s">
        <v>14605</v>
      </c>
      <c r="F4617" s="108" t="s">
        <v>22203</v>
      </c>
      <c r="G4617" s="110"/>
      <c r="H4617" s="108" t="s">
        <v>21842</v>
      </c>
      <c r="I4617" s="108"/>
    </row>
    <row r="4618" spans="1:9" ht="27.6">
      <c r="A4618" s="108" t="s">
        <v>169</v>
      </c>
      <c r="B4618" s="108" t="s">
        <v>22204</v>
      </c>
      <c r="C4618" s="109">
        <v>42977</v>
      </c>
      <c r="D4618" s="108"/>
      <c r="E4618" s="108" t="s">
        <v>14605</v>
      </c>
      <c r="F4618" s="108" t="s">
        <v>22205</v>
      </c>
      <c r="G4618" s="110"/>
      <c r="H4618" s="108" t="s">
        <v>21842</v>
      </c>
      <c r="I4618" s="108"/>
    </row>
    <row r="4619" spans="1:9" ht="27.6">
      <c r="A4619" s="108" t="s">
        <v>169</v>
      </c>
      <c r="B4619" s="108" t="s">
        <v>22206</v>
      </c>
      <c r="C4619" s="109">
        <v>42990</v>
      </c>
      <c r="D4619" s="108"/>
      <c r="E4619" s="108" t="s">
        <v>14605</v>
      </c>
      <c r="F4619" s="108" t="s">
        <v>22207</v>
      </c>
      <c r="G4619" s="110"/>
      <c r="H4619" s="108" t="s">
        <v>21842</v>
      </c>
      <c r="I4619" s="108"/>
    </row>
    <row r="4620" spans="1:9" ht="41.4">
      <c r="A4620" s="108" t="s">
        <v>169</v>
      </c>
      <c r="B4620" s="108" t="s">
        <v>22208</v>
      </c>
      <c r="C4620" s="109">
        <v>43028</v>
      </c>
      <c r="D4620" s="108"/>
      <c r="E4620" s="108" t="s">
        <v>14605</v>
      </c>
      <c r="F4620" s="108" t="s">
        <v>22209</v>
      </c>
      <c r="G4620" s="110"/>
      <c r="H4620" s="108" t="s">
        <v>21842</v>
      </c>
      <c r="I4620" s="108"/>
    </row>
    <row r="4621" spans="1:9">
      <c r="A4621" s="108" t="s">
        <v>169</v>
      </c>
      <c r="B4621" s="108" t="s">
        <v>22210</v>
      </c>
      <c r="C4621" s="109">
        <v>43227</v>
      </c>
      <c r="D4621" s="108"/>
      <c r="E4621" s="108" t="s">
        <v>14605</v>
      </c>
      <c r="F4621" s="108" t="s">
        <v>22211</v>
      </c>
      <c r="G4621" s="110"/>
      <c r="H4621" s="108" t="s">
        <v>21842</v>
      </c>
      <c r="I4621" s="108"/>
    </row>
    <row r="4622" spans="1:9">
      <c r="A4622" s="108" t="s">
        <v>169</v>
      </c>
      <c r="B4622" s="108" t="s">
        <v>22212</v>
      </c>
      <c r="C4622" s="109">
        <v>43116</v>
      </c>
      <c r="D4622" s="108"/>
      <c r="E4622" s="108" t="s">
        <v>14605</v>
      </c>
      <c r="F4622" s="108" t="s">
        <v>22213</v>
      </c>
      <c r="G4622" s="110"/>
      <c r="H4622" s="108" t="s">
        <v>21842</v>
      </c>
      <c r="I4622" s="108"/>
    </row>
    <row r="4623" spans="1:9">
      <c r="A4623" s="108" t="s">
        <v>169</v>
      </c>
      <c r="B4623" s="108" t="s">
        <v>22214</v>
      </c>
      <c r="C4623" s="109">
        <v>43269</v>
      </c>
      <c r="D4623" s="108"/>
      <c r="E4623" s="108" t="s">
        <v>14605</v>
      </c>
      <c r="F4623" s="108" t="s">
        <v>22215</v>
      </c>
      <c r="G4623" s="110"/>
      <c r="H4623" s="108" t="s">
        <v>21842</v>
      </c>
      <c r="I4623" s="108"/>
    </row>
    <row r="4624" spans="1:9">
      <c r="A4624" s="108" t="s">
        <v>169</v>
      </c>
      <c r="B4624" s="108" t="s">
        <v>22216</v>
      </c>
      <c r="C4624" s="109">
        <v>43265</v>
      </c>
      <c r="D4624" s="108"/>
      <c r="E4624" s="108" t="s">
        <v>14605</v>
      </c>
      <c r="F4624" s="108" t="s">
        <v>22217</v>
      </c>
      <c r="G4624" s="110"/>
      <c r="H4624" s="108" t="s">
        <v>21842</v>
      </c>
      <c r="I4624" s="108"/>
    </row>
    <row r="4625" spans="1:9" ht="27.6">
      <c r="A4625" s="108" t="s">
        <v>169</v>
      </c>
      <c r="B4625" s="108" t="s">
        <v>22218</v>
      </c>
      <c r="C4625" s="109">
        <v>43405</v>
      </c>
      <c r="D4625" s="108"/>
      <c r="E4625" s="108" t="s">
        <v>14605</v>
      </c>
      <c r="F4625" s="108" t="s">
        <v>22065</v>
      </c>
      <c r="G4625" s="110"/>
      <c r="H4625" s="108" t="s">
        <v>21842</v>
      </c>
      <c r="I4625" s="108"/>
    </row>
    <row r="4626" spans="1:9">
      <c r="A4626" s="108" t="s">
        <v>169</v>
      </c>
      <c r="B4626" s="108" t="s">
        <v>22219</v>
      </c>
      <c r="C4626" s="109">
        <v>43440</v>
      </c>
      <c r="D4626" s="108"/>
      <c r="E4626" s="108" t="s">
        <v>14605</v>
      </c>
      <c r="F4626" s="108" t="s">
        <v>22220</v>
      </c>
      <c r="G4626" s="110"/>
      <c r="H4626" s="108" t="s">
        <v>21842</v>
      </c>
      <c r="I4626" s="108"/>
    </row>
    <row r="4627" spans="1:9">
      <c r="A4627" s="108" t="s">
        <v>169</v>
      </c>
      <c r="B4627" s="108" t="s">
        <v>22221</v>
      </c>
      <c r="C4627" s="109">
        <v>43503</v>
      </c>
      <c r="D4627" s="108"/>
      <c r="E4627" s="108" t="s">
        <v>14605</v>
      </c>
      <c r="F4627" s="108" t="s">
        <v>22222</v>
      </c>
      <c r="G4627" s="110"/>
      <c r="H4627" s="108" t="s">
        <v>21842</v>
      </c>
      <c r="I4627" s="108"/>
    </row>
    <row r="4628" spans="1:9">
      <c r="A4628" s="108" t="s">
        <v>169</v>
      </c>
      <c r="B4628" s="108" t="s">
        <v>22223</v>
      </c>
      <c r="C4628" s="109">
        <v>43553</v>
      </c>
      <c r="D4628" s="108"/>
      <c r="E4628" s="108" t="s">
        <v>14605</v>
      </c>
      <c r="F4628" s="108" t="s">
        <v>22224</v>
      </c>
      <c r="G4628" s="110"/>
      <c r="H4628" s="108" t="s">
        <v>21842</v>
      </c>
      <c r="I4628" s="108"/>
    </row>
    <row r="4629" spans="1:9">
      <c r="A4629" s="108" t="s">
        <v>169</v>
      </c>
      <c r="B4629" s="108" t="s">
        <v>22225</v>
      </c>
      <c r="C4629" s="109">
        <v>43579</v>
      </c>
      <c r="D4629" s="108"/>
      <c r="E4629" s="108" t="s">
        <v>14605</v>
      </c>
      <c r="F4629" s="108" t="s">
        <v>22226</v>
      </c>
      <c r="G4629" s="110"/>
      <c r="H4629" s="108" t="s">
        <v>21842</v>
      </c>
      <c r="I4629" s="108"/>
    </row>
    <row r="4630" spans="1:9">
      <c r="A4630" s="108" t="s">
        <v>169</v>
      </c>
      <c r="B4630" s="108" t="s">
        <v>22227</v>
      </c>
      <c r="C4630" s="109">
        <v>43628</v>
      </c>
      <c r="D4630" s="108"/>
      <c r="E4630" s="108" t="s">
        <v>14605</v>
      </c>
      <c r="F4630" s="108" t="s">
        <v>22203</v>
      </c>
      <c r="G4630" s="110"/>
      <c r="H4630" s="108" t="s">
        <v>21842</v>
      </c>
      <c r="I4630" s="108"/>
    </row>
    <row r="4631" spans="1:9">
      <c r="A4631" s="108" t="s">
        <v>169</v>
      </c>
      <c r="B4631" s="108" t="s">
        <v>22228</v>
      </c>
      <c r="C4631" s="109">
        <v>43970</v>
      </c>
      <c r="D4631" s="108"/>
      <c r="E4631" s="108" t="s">
        <v>14605</v>
      </c>
      <c r="F4631" s="108" t="s">
        <v>15832</v>
      </c>
      <c r="G4631" s="110"/>
      <c r="H4631" s="108" t="s">
        <v>21842</v>
      </c>
      <c r="I4631" s="108"/>
    </row>
    <row r="4632" spans="1:9">
      <c r="A4632" s="108" t="s">
        <v>169</v>
      </c>
      <c r="B4632" s="108" t="s">
        <v>22229</v>
      </c>
      <c r="C4632" s="109">
        <v>43812</v>
      </c>
      <c r="D4632" s="108"/>
      <c r="E4632" s="108" t="s">
        <v>14605</v>
      </c>
      <c r="F4632" s="108" t="s">
        <v>22230</v>
      </c>
      <c r="G4632" s="110"/>
      <c r="H4632" s="108" t="s">
        <v>21842</v>
      </c>
      <c r="I4632" s="108"/>
    </row>
    <row r="4633" spans="1:9">
      <c r="A4633" s="108" t="s">
        <v>169</v>
      </c>
      <c r="B4633" s="108" t="s">
        <v>22231</v>
      </c>
      <c r="C4633" s="109">
        <v>43873</v>
      </c>
      <c r="D4633" s="108"/>
      <c r="E4633" s="108" t="s">
        <v>14605</v>
      </c>
      <c r="F4633" s="108" t="s">
        <v>22232</v>
      </c>
      <c r="G4633" s="110"/>
      <c r="H4633" s="108" t="s">
        <v>21842</v>
      </c>
      <c r="I4633" s="108"/>
    </row>
    <row r="4634" spans="1:9">
      <c r="A4634" s="108" t="s">
        <v>169</v>
      </c>
      <c r="B4634" s="108" t="s">
        <v>22233</v>
      </c>
      <c r="C4634" s="109">
        <v>43812</v>
      </c>
      <c r="D4634" s="108"/>
      <c r="E4634" s="108" t="s">
        <v>14605</v>
      </c>
      <c r="F4634" s="108" t="s">
        <v>14864</v>
      </c>
      <c r="G4634" s="110"/>
      <c r="H4634" s="108" t="s">
        <v>21842</v>
      </c>
      <c r="I4634" s="108"/>
    </row>
    <row r="4635" spans="1:9">
      <c r="A4635" s="108" t="s">
        <v>169</v>
      </c>
      <c r="B4635" s="108" t="s">
        <v>22234</v>
      </c>
      <c r="C4635" s="109">
        <v>43851</v>
      </c>
      <c r="D4635" s="108"/>
      <c r="E4635" s="108" t="s">
        <v>14605</v>
      </c>
      <c r="F4635" s="108" t="s">
        <v>22235</v>
      </c>
      <c r="G4635" s="110"/>
      <c r="H4635" s="108" t="s">
        <v>21842</v>
      </c>
      <c r="I4635" s="108"/>
    </row>
    <row r="4636" spans="1:9" ht="27.6">
      <c r="A4636" s="108" t="s">
        <v>169</v>
      </c>
      <c r="B4636" s="108" t="s">
        <v>22236</v>
      </c>
      <c r="C4636" s="109">
        <v>43889</v>
      </c>
      <c r="D4636" s="108"/>
      <c r="E4636" s="108" t="s">
        <v>14605</v>
      </c>
      <c r="F4636" s="108" t="s">
        <v>22237</v>
      </c>
      <c r="G4636" s="110"/>
      <c r="H4636" s="108" t="s">
        <v>21842</v>
      </c>
      <c r="I4636" s="108"/>
    </row>
    <row r="4637" spans="1:9">
      <c r="A4637" s="108" t="s">
        <v>169</v>
      </c>
      <c r="B4637" s="108" t="s">
        <v>22238</v>
      </c>
      <c r="C4637" s="109">
        <v>43738</v>
      </c>
      <c r="D4637" s="108"/>
      <c r="E4637" s="108" t="s">
        <v>14605</v>
      </c>
      <c r="F4637" s="108" t="s">
        <v>14835</v>
      </c>
      <c r="G4637" s="110"/>
      <c r="H4637" s="108" t="s">
        <v>21842</v>
      </c>
      <c r="I4637" s="108"/>
    </row>
    <row r="4638" spans="1:9">
      <c r="A4638" s="108" t="s">
        <v>169</v>
      </c>
      <c r="B4638" s="108" t="s">
        <v>22239</v>
      </c>
      <c r="C4638" s="109">
        <v>43700</v>
      </c>
      <c r="D4638" s="108"/>
      <c r="E4638" s="108" t="s">
        <v>14605</v>
      </c>
      <c r="F4638" s="108" t="s">
        <v>14864</v>
      </c>
      <c r="G4638" s="110"/>
      <c r="H4638" s="108" t="s">
        <v>21842</v>
      </c>
      <c r="I4638" s="108"/>
    </row>
    <row r="4639" spans="1:9" ht="27.6">
      <c r="A4639" s="108" t="s">
        <v>169</v>
      </c>
      <c r="B4639" s="108" t="s">
        <v>22240</v>
      </c>
      <c r="C4639" s="109">
        <v>43977</v>
      </c>
      <c r="D4639" s="108"/>
      <c r="E4639" s="108" t="s">
        <v>14605</v>
      </c>
      <c r="F4639" s="108" t="s">
        <v>22241</v>
      </c>
      <c r="G4639" s="110"/>
      <c r="H4639" s="108" t="s">
        <v>21842</v>
      </c>
      <c r="I4639" s="108"/>
    </row>
    <row r="4640" spans="1:9">
      <c r="A4640" s="108" t="s">
        <v>169</v>
      </c>
      <c r="B4640" s="108" t="s">
        <v>22242</v>
      </c>
      <c r="C4640" s="109">
        <v>44074</v>
      </c>
      <c r="D4640" s="108"/>
      <c r="E4640" s="108" t="s">
        <v>14605</v>
      </c>
      <c r="F4640" s="108" t="s">
        <v>22243</v>
      </c>
      <c r="G4640" s="110"/>
      <c r="H4640" s="108" t="s">
        <v>21842</v>
      </c>
      <c r="I4640" s="108"/>
    </row>
    <row r="4641" spans="1:9">
      <c r="A4641" s="108" t="s">
        <v>169</v>
      </c>
      <c r="B4641" s="108" t="s">
        <v>22244</v>
      </c>
      <c r="C4641" s="109">
        <v>44148</v>
      </c>
      <c r="D4641" s="108"/>
      <c r="E4641" s="108" t="s">
        <v>14605</v>
      </c>
      <c r="F4641" s="108" t="s">
        <v>22217</v>
      </c>
      <c r="G4641" s="110"/>
      <c r="H4641" s="108" t="s">
        <v>21842</v>
      </c>
      <c r="I4641" s="108"/>
    </row>
    <row r="4642" spans="1:9">
      <c r="A4642" s="108" t="s">
        <v>169</v>
      </c>
      <c r="B4642" s="108" t="s">
        <v>22245</v>
      </c>
      <c r="C4642" s="109">
        <v>41239</v>
      </c>
      <c r="D4642" s="108"/>
      <c r="E4642" s="108" t="s">
        <v>14605</v>
      </c>
      <c r="F4642" s="108" t="s">
        <v>16105</v>
      </c>
      <c r="G4642" s="110"/>
      <c r="H4642" s="108" t="s">
        <v>21842</v>
      </c>
      <c r="I4642" s="108"/>
    </row>
    <row r="4643" spans="1:9">
      <c r="A4643" s="108" t="s">
        <v>87</v>
      </c>
      <c r="B4643" s="108" t="s">
        <v>22246</v>
      </c>
      <c r="C4643" s="109">
        <v>42618</v>
      </c>
      <c r="D4643" s="108"/>
      <c r="E4643" s="108" t="s">
        <v>14605</v>
      </c>
      <c r="F4643" s="108" t="s">
        <v>22145</v>
      </c>
      <c r="G4643" s="110"/>
      <c r="H4643" s="108" t="s">
        <v>21842</v>
      </c>
      <c r="I4643" s="108"/>
    </row>
    <row r="4644" spans="1:9" ht="27.6">
      <c r="A4644" s="108" t="s">
        <v>316</v>
      </c>
      <c r="B4644" s="108" t="s">
        <v>22247</v>
      </c>
      <c r="C4644" s="109">
        <v>42881</v>
      </c>
      <c r="D4644" s="108"/>
      <c r="E4644" s="108" t="s">
        <v>14605</v>
      </c>
      <c r="F4644" s="108" t="s">
        <v>22248</v>
      </c>
      <c r="G4644" s="110"/>
      <c r="H4644" s="108" t="s">
        <v>21842</v>
      </c>
      <c r="I4644" s="108"/>
    </row>
    <row r="4645" spans="1:9" ht="27.6">
      <c r="A4645" s="108" t="s">
        <v>87</v>
      </c>
      <c r="B4645" s="108" t="s">
        <v>22249</v>
      </c>
      <c r="C4645" s="109">
        <v>43279</v>
      </c>
      <c r="D4645" s="108"/>
      <c r="E4645" s="108" t="s">
        <v>14605</v>
      </c>
      <c r="F4645" s="108" t="s">
        <v>22248</v>
      </c>
      <c r="G4645" s="110"/>
      <c r="H4645" s="108" t="s">
        <v>21842</v>
      </c>
      <c r="I4645" s="108"/>
    </row>
    <row r="4646" spans="1:9">
      <c r="A4646" s="108" t="s">
        <v>87</v>
      </c>
      <c r="B4646" s="108" t="s">
        <v>22250</v>
      </c>
      <c r="C4646" s="109">
        <v>43252</v>
      </c>
      <c r="D4646" s="108"/>
      <c r="E4646" s="108" t="s">
        <v>14605</v>
      </c>
      <c r="F4646" s="108" t="s">
        <v>22251</v>
      </c>
      <c r="G4646" s="110"/>
      <c r="H4646" s="108" t="s">
        <v>21842</v>
      </c>
      <c r="I4646" s="108"/>
    </row>
    <row r="4647" spans="1:9" ht="41.4">
      <c r="A4647" s="108" t="s">
        <v>22252</v>
      </c>
      <c r="B4647" s="108" t="s">
        <v>22253</v>
      </c>
      <c r="C4647" s="109">
        <v>43409</v>
      </c>
      <c r="D4647" s="108"/>
      <c r="E4647" s="108" t="s">
        <v>14605</v>
      </c>
      <c r="F4647" s="108" t="s">
        <v>22254</v>
      </c>
      <c r="G4647" s="110"/>
      <c r="H4647" s="108" t="s">
        <v>21842</v>
      </c>
      <c r="I4647" s="108"/>
    </row>
    <row r="4648" spans="1:9" ht="27.6">
      <c r="A4648" s="108" t="s">
        <v>87</v>
      </c>
      <c r="B4648" s="108" t="s">
        <v>22255</v>
      </c>
      <c r="C4648" s="109">
        <v>43851</v>
      </c>
      <c r="D4648" s="108"/>
      <c r="E4648" s="108" t="s">
        <v>14605</v>
      </c>
      <c r="F4648" s="108" t="s">
        <v>22256</v>
      </c>
      <c r="G4648" s="110"/>
      <c r="H4648" s="108" t="s">
        <v>21842</v>
      </c>
      <c r="I4648" s="108"/>
    </row>
    <row r="4649" spans="1:9" ht="27.6">
      <c r="A4649" s="108" t="s">
        <v>14690</v>
      </c>
      <c r="B4649" s="108" t="s">
        <v>22257</v>
      </c>
      <c r="C4649" s="109">
        <v>42359</v>
      </c>
      <c r="D4649" s="108"/>
      <c r="E4649" s="108" t="s">
        <v>14605</v>
      </c>
      <c r="F4649" s="108" t="s">
        <v>22258</v>
      </c>
      <c r="G4649" s="110"/>
      <c r="H4649" s="108" t="s">
        <v>21842</v>
      </c>
      <c r="I4649" s="108"/>
    </row>
    <row r="4650" spans="1:9" ht="27.6">
      <c r="A4650" s="108" t="s">
        <v>14690</v>
      </c>
      <c r="B4650" s="108" t="s">
        <v>22259</v>
      </c>
      <c r="C4650" s="109">
        <v>42353</v>
      </c>
      <c r="D4650" s="108"/>
      <c r="E4650" s="108" t="s">
        <v>14605</v>
      </c>
      <c r="F4650" s="108" t="s">
        <v>22260</v>
      </c>
      <c r="G4650" s="110"/>
      <c r="H4650" s="108" t="s">
        <v>21842</v>
      </c>
      <c r="I4650" s="108"/>
    </row>
    <row r="4651" spans="1:9" ht="27.6">
      <c r="A4651" s="108" t="s">
        <v>14690</v>
      </c>
      <c r="B4651" s="108" t="s">
        <v>22261</v>
      </c>
      <c r="C4651" s="109">
        <v>42615</v>
      </c>
      <c r="D4651" s="108"/>
      <c r="E4651" s="108" t="s">
        <v>14605</v>
      </c>
      <c r="F4651" s="108" t="s">
        <v>22262</v>
      </c>
      <c r="G4651" s="110"/>
      <c r="H4651" s="108" t="s">
        <v>21842</v>
      </c>
      <c r="I4651" s="108"/>
    </row>
    <row r="4652" spans="1:9" ht="27.6">
      <c r="A4652" s="108" t="s">
        <v>14690</v>
      </c>
      <c r="B4652" s="108" t="s">
        <v>22263</v>
      </c>
      <c r="C4652" s="109">
        <v>43173</v>
      </c>
      <c r="D4652" s="108"/>
      <c r="E4652" s="108" t="s">
        <v>14605</v>
      </c>
      <c r="F4652" s="108" t="s">
        <v>22145</v>
      </c>
      <c r="G4652" s="110"/>
      <c r="H4652" s="108" t="s">
        <v>21842</v>
      </c>
      <c r="I4652" s="108"/>
    </row>
    <row r="4653" spans="1:9" ht="27.6">
      <c r="A4653" s="108" t="s">
        <v>14690</v>
      </c>
      <c r="B4653" s="108" t="s">
        <v>22264</v>
      </c>
      <c r="C4653" s="109">
        <v>43832</v>
      </c>
      <c r="D4653" s="108"/>
      <c r="E4653" s="108" t="s">
        <v>14605</v>
      </c>
      <c r="F4653" s="108" t="s">
        <v>22265</v>
      </c>
      <c r="G4653" s="110"/>
      <c r="H4653" s="108" t="s">
        <v>21842</v>
      </c>
      <c r="I4653" s="108"/>
    </row>
    <row r="4654" spans="1:9">
      <c r="A4654" s="108" t="s">
        <v>237</v>
      </c>
      <c r="B4654" s="108" t="s">
        <v>22266</v>
      </c>
      <c r="C4654" s="109">
        <v>42108</v>
      </c>
      <c r="D4654" s="108"/>
      <c r="E4654" s="108" t="s">
        <v>14605</v>
      </c>
      <c r="F4654" s="108" t="s">
        <v>22267</v>
      </c>
      <c r="G4654" s="110"/>
      <c r="H4654" s="108" t="s">
        <v>21842</v>
      </c>
      <c r="I4654" s="108"/>
    </row>
    <row r="4655" spans="1:9" ht="41.4">
      <c r="A4655" s="108" t="s">
        <v>237</v>
      </c>
      <c r="B4655" s="108" t="s">
        <v>22268</v>
      </c>
      <c r="C4655" s="109">
        <v>43186</v>
      </c>
      <c r="D4655" s="108"/>
      <c r="E4655" s="108" t="s">
        <v>14605</v>
      </c>
      <c r="F4655" s="108" t="s">
        <v>22269</v>
      </c>
      <c r="G4655" s="110"/>
      <c r="H4655" s="108" t="s">
        <v>21842</v>
      </c>
      <c r="I4655" s="108"/>
    </row>
    <row r="4656" spans="1:9" ht="27.6">
      <c r="A4656" s="108" t="s">
        <v>571</v>
      </c>
      <c r="B4656" s="108" t="s">
        <v>22270</v>
      </c>
      <c r="C4656" s="109">
        <v>41912</v>
      </c>
      <c r="D4656" s="108"/>
      <c r="E4656" s="108" t="s">
        <v>14605</v>
      </c>
      <c r="F4656" s="108" t="s">
        <v>22271</v>
      </c>
      <c r="G4656" s="110"/>
      <c r="H4656" s="108" t="s">
        <v>21842</v>
      </c>
      <c r="I4656" s="108"/>
    </row>
    <row r="4657" spans="1:9" ht="41.4">
      <c r="A4657" s="108" t="s">
        <v>571</v>
      </c>
      <c r="B4657" s="108" t="s">
        <v>22272</v>
      </c>
      <c r="C4657" s="109">
        <v>42011</v>
      </c>
      <c r="D4657" s="108"/>
      <c r="E4657" s="108" t="s">
        <v>14605</v>
      </c>
      <c r="F4657" s="108" t="s">
        <v>22273</v>
      </c>
      <c r="G4657" s="110"/>
      <c r="H4657" s="108" t="s">
        <v>21842</v>
      </c>
      <c r="I4657" s="108"/>
    </row>
    <row r="4658" spans="1:9">
      <c r="A4658" s="108" t="s">
        <v>571</v>
      </c>
      <c r="B4658" s="108" t="s">
        <v>22274</v>
      </c>
      <c r="C4658" s="109">
        <v>42041</v>
      </c>
      <c r="D4658" s="108"/>
      <c r="E4658" s="108" t="s">
        <v>14605</v>
      </c>
      <c r="F4658" s="108" t="s">
        <v>22275</v>
      </c>
      <c r="G4658" s="110"/>
      <c r="H4658" s="108" t="s">
        <v>21842</v>
      </c>
      <c r="I4658" s="108"/>
    </row>
    <row r="4659" spans="1:9" ht="27.6">
      <c r="A4659" s="108" t="s">
        <v>571</v>
      </c>
      <c r="B4659" s="108" t="s">
        <v>22276</v>
      </c>
      <c r="C4659" s="109">
        <v>42215</v>
      </c>
      <c r="D4659" s="108"/>
      <c r="E4659" s="108" t="s">
        <v>14605</v>
      </c>
      <c r="F4659" s="108" t="s">
        <v>22277</v>
      </c>
      <c r="G4659" s="110"/>
      <c r="H4659" s="108" t="s">
        <v>21842</v>
      </c>
      <c r="I4659" s="108"/>
    </row>
    <row r="4660" spans="1:9" ht="27.6">
      <c r="A4660" s="108" t="s">
        <v>2002</v>
      </c>
      <c r="B4660" s="108" t="s">
        <v>22278</v>
      </c>
      <c r="C4660" s="109">
        <v>42080</v>
      </c>
      <c r="D4660" s="108"/>
      <c r="E4660" s="108" t="s">
        <v>14605</v>
      </c>
      <c r="F4660" s="108" t="s">
        <v>22279</v>
      </c>
      <c r="G4660" s="110"/>
      <c r="H4660" s="108" t="s">
        <v>21842</v>
      </c>
      <c r="I4660" s="108"/>
    </row>
    <row r="4661" spans="1:9" ht="27.6">
      <c r="A4661" s="108" t="s">
        <v>2002</v>
      </c>
      <c r="B4661" s="108" t="s">
        <v>22280</v>
      </c>
      <c r="C4661" s="109">
        <v>42222</v>
      </c>
      <c r="D4661" s="108"/>
      <c r="E4661" s="108" t="s">
        <v>14605</v>
      </c>
      <c r="F4661" s="108" t="s">
        <v>22281</v>
      </c>
      <c r="G4661" s="110"/>
      <c r="H4661" s="108" t="s">
        <v>21842</v>
      </c>
      <c r="I4661" s="108"/>
    </row>
    <row r="4662" spans="1:9" ht="27.6">
      <c r="A4662" s="108" t="s">
        <v>2002</v>
      </c>
      <c r="B4662" s="108" t="s">
        <v>22282</v>
      </c>
      <c r="C4662" s="109">
        <v>42573</v>
      </c>
      <c r="D4662" s="108"/>
      <c r="E4662" s="108" t="s">
        <v>14605</v>
      </c>
      <c r="F4662" s="108" t="s">
        <v>22283</v>
      </c>
      <c r="G4662" s="110"/>
      <c r="H4662" s="108" t="s">
        <v>21842</v>
      </c>
      <c r="I4662" s="108"/>
    </row>
    <row r="4663" spans="1:9" ht="41.4">
      <c r="A4663" s="108" t="s">
        <v>2002</v>
      </c>
      <c r="B4663" s="108" t="s">
        <v>22284</v>
      </c>
      <c r="C4663" s="109">
        <v>42713</v>
      </c>
      <c r="D4663" s="108"/>
      <c r="E4663" s="108" t="s">
        <v>14605</v>
      </c>
      <c r="F4663" s="108" t="s">
        <v>21907</v>
      </c>
      <c r="G4663" s="110"/>
      <c r="H4663" s="108" t="s">
        <v>21842</v>
      </c>
      <c r="I4663" s="108"/>
    </row>
    <row r="4664" spans="1:9" ht="27.6">
      <c r="A4664" s="108" t="s">
        <v>18024</v>
      </c>
      <c r="B4664" s="108" t="s">
        <v>22285</v>
      </c>
      <c r="C4664" s="109">
        <v>42723</v>
      </c>
      <c r="D4664" s="108"/>
      <c r="E4664" s="108" t="s">
        <v>14605</v>
      </c>
      <c r="F4664" s="108" t="s">
        <v>22286</v>
      </c>
      <c r="G4664" s="110"/>
      <c r="H4664" s="108" t="s">
        <v>21842</v>
      </c>
      <c r="I4664" s="108"/>
    </row>
    <row r="4665" spans="1:9">
      <c r="A4665" s="108" t="s">
        <v>2002</v>
      </c>
      <c r="B4665" s="108" t="s">
        <v>22287</v>
      </c>
      <c r="C4665" s="109">
        <v>42832</v>
      </c>
      <c r="D4665" s="108"/>
      <c r="E4665" s="108" t="s">
        <v>14605</v>
      </c>
      <c r="F4665" s="108" t="s">
        <v>22288</v>
      </c>
      <c r="G4665" s="110"/>
      <c r="H4665" s="108" t="s">
        <v>21842</v>
      </c>
      <c r="I4665" s="108"/>
    </row>
    <row r="4666" spans="1:9">
      <c r="A4666" s="108" t="s">
        <v>2002</v>
      </c>
      <c r="B4666" s="108" t="s">
        <v>22289</v>
      </c>
      <c r="C4666" s="109">
        <v>42912</v>
      </c>
      <c r="D4666" s="108"/>
      <c r="E4666" s="108" t="s">
        <v>14605</v>
      </c>
      <c r="F4666" s="108" t="s">
        <v>22290</v>
      </c>
      <c r="G4666" s="110"/>
      <c r="H4666" s="108" t="s">
        <v>21842</v>
      </c>
      <c r="I4666" s="108"/>
    </row>
    <row r="4667" spans="1:9">
      <c r="A4667" s="108" t="s">
        <v>2002</v>
      </c>
      <c r="B4667" s="108" t="s">
        <v>22291</v>
      </c>
      <c r="C4667" s="109">
        <v>42956</v>
      </c>
      <c r="D4667" s="108"/>
      <c r="E4667" s="108" t="s">
        <v>14605</v>
      </c>
      <c r="F4667" s="108" t="s">
        <v>22230</v>
      </c>
      <c r="G4667" s="110"/>
      <c r="H4667" s="108" t="s">
        <v>21842</v>
      </c>
      <c r="I4667" s="108"/>
    </row>
    <row r="4668" spans="1:9" ht="27.6">
      <c r="A4668" s="108" t="s">
        <v>2002</v>
      </c>
      <c r="B4668" s="108" t="s">
        <v>22292</v>
      </c>
      <c r="C4668" s="109">
        <v>42982</v>
      </c>
      <c r="D4668" s="108"/>
      <c r="E4668" s="108" t="s">
        <v>14605</v>
      </c>
      <c r="F4668" s="108" t="s">
        <v>21841</v>
      </c>
      <c r="G4668" s="110"/>
      <c r="H4668" s="108" t="s">
        <v>21842</v>
      </c>
      <c r="I4668" s="108"/>
    </row>
    <row r="4669" spans="1:9">
      <c r="A4669" s="108" t="s">
        <v>2002</v>
      </c>
      <c r="B4669" s="108" t="s">
        <v>22293</v>
      </c>
      <c r="C4669" s="109">
        <v>43182</v>
      </c>
      <c r="D4669" s="108"/>
      <c r="E4669" s="108" t="s">
        <v>14605</v>
      </c>
      <c r="F4669" s="108" t="s">
        <v>22157</v>
      </c>
      <c r="G4669" s="110"/>
      <c r="H4669" s="108" t="s">
        <v>21842</v>
      </c>
      <c r="I4669" s="108"/>
    </row>
    <row r="4670" spans="1:9" ht="27.6">
      <c r="A4670" s="108" t="s">
        <v>1465</v>
      </c>
      <c r="B4670" s="108" t="s">
        <v>22294</v>
      </c>
      <c r="C4670" s="109">
        <v>42157</v>
      </c>
      <c r="D4670" s="108"/>
      <c r="E4670" s="108" t="s">
        <v>14605</v>
      </c>
      <c r="F4670" s="108" t="s">
        <v>22295</v>
      </c>
      <c r="G4670" s="110"/>
      <c r="H4670" s="108" t="s">
        <v>21842</v>
      </c>
      <c r="I4670" s="108"/>
    </row>
    <row r="4671" spans="1:9" ht="27.6">
      <c r="A4671" s="108" t="s">
        <v>1465</v>
      </c>
      <c r="B4671" s="108" t="s">
        <v>22296</v>
      </c>
      <c r="C4671" s="109">
        <v>42180</v>
      </c>
      <c r="D4671" s="108"/>
      <c r="E4671" s="108" t="s">
        <v>14605</v>
      </c>
      <c r="F4671" s="108" t="s">
        <v>22297</v>
      </c>
      <c r="G4671" s="110"/>
      <c r="H4671" s="108" t="s">
        <v>21842</v>
      </c>
      <c r="I4671" s="108"/>
    </row>
    <row r="4672" spans="1:9">
      <c r="A4672" s="108" t="s">
        <v>1465</v>
      </c>
      <c r="B4672" s="108" t="s">
        <v>22298</v>
      </c>
      <c r="C4672" s="109">
        <v>42285</v>
      </c>
      <c r="D4672" s="108"/>
      <c r="E4672" s="108" t="s">
        <v>14605</v>
      </c>
      <c r="F4672" s="108" t="s">
        <v>22299</v>
      </c>
      <c r="G4672" s="110"/>
      <c r="H4672" s="108" t="s">
        <v>21842</v>
      </c>
      <c r="I4672" s="108"/>
    </row>
    <row r="4673" spans="1:9">
      <c r="A4673" s="108" t="s">
        <v>1465</v>
      </c>
      <c r="B4673" s="108" t="s">
        <v>22300</v>
      </c>
      <c r="C4673" s="109">
        <v>42759</v>
      </c>
      <c r="D4673" s="108"/>
      <c r="E4673" s="108" t="s">
        <v>14605</v>
      </c>
      <c r="F4673" s="108" t="s">
        <v>15832</v>
      </c>
      <c r="G4673" s="110"/>
      <c r="H4673" s="108" t="s">
        <v>21842</v>
      </c>
      <c r="I4673" s="108"/>
    </row>
    <row r="4674" spans="1:9" ht="27.6">
      <c r="A4674" s="108" t="s">
        <v>1465</v>
      </c>
      <c r="B4674" s="108" t="s">
        <v>22301</v>
      </c>
      <c r="C4674" s="109">
        <v>42975</v>
      </c>
      <c r="D4674" s="108"/>
      <c r="E4674" s="108" t="s">
        <v>14605</v>
      </c>
      <c r="F4674" s="108" t="s">
        <v>22097</v>
      </c>
      <c r="G4674" s="110"/>
      <c r="H4674" s="108" t="s">
        <v>21842</v>
      </c>
      <c r="I4674" s="108"/>
    </row>
    <row r="4675" spans="1:9">
      <c r="A4675" s="108" t="s">
        <v>1465</v>
      </c>
      <c r="B4675" s="108" t="s">
        <v>22302</v>
      </c>
      <c r="C4675" s="109">
        <v>43039</v>
      </c>
      <c r="D4675" s="108"/>
      <c r="E4675" s="108" t="s">
        <v>14605</v>
      </c>
      <c r="F4675" s="108" t="s">
        <v>22303</v>
      </c>
      <c r="G4675" s="110"/>
      <c r="H4675" s="108" t="s">
        <v>21842</v>
      </c>
      <c r="I4675" s="108"/>
    </row>
    <row r="4676" spans="1:9">
      <c r="A4676" s="108" t="s">
        <v>1465</v>
      </c>
      <c r="B4676" s="108" t="s">
        <v>22304</v>
      </c>
      <c r="C4676" s="109">
        <v>43054</v>
      </c>
      <c r="D4676" s="108"/>
      <c r="E4676" s="108" t="s">
        <v>14605</v>
      </c>
      <c r="F4676" s="108" t="s">
        <v>22305</v>
      </c>
      <c r="G4676" s="110"/>
      <c r="H4676" s="108" t="s">
        <v>21842</v>
      </c>
      <c r="I4676" s="108"/>
    </row>
    <row r="4677" spans="1:9" ht="27.6">
      <c r="A4677" s="108" t="s">
        <v>1465</v>
      </c>
      <c r="B4677" s="108" t="s">
        <v>22306</v>
      </c>
      <c r="C4677" s="109">
        <v>43055</v>
      </c>
      <c r="D4677" s="108"/>
      <c r="E4677" s="108" t="s">
        <v>14605</v>
      </c>
      <c r="F4677" s="108" t="s">
        <v>22307</v>
      </c>
      <c r="G4677" s="110"/>
      <c r="H4677" s="108" t="s">
        <v>21842</v>
      </c>
      <c r="I4677" s="108"/>
    </row>
    <row r="4678" spans="1:9">
      <c r="A4678" s="108" t="s">
        <v>1465</v>
      </c>
      <c r="B4678" s="108" t="s">
        <v>22308</v>
      </c>
      <c r="C4678" s="109">
        <v>43112</v>
      </c>
      <c r="D4678" s="108"/>
      <c r="E4678" s="108" t="s">
        <v>14605</v>
      </c>
      <c r="F4678" s="108" t="s">
        <v>15832</v>
      </c>
      <c r="G4678" s="110"/>
      <c r="H4678" s="108" t="s">
        <v>21842</v>
      </c>
      <c r="I4678" s="108"/>
    </row>
    <row r="4679" spans="1:9">
      <c r="A4679" s="108" t="s">
        <v>1465</v>
      </c>
      <c r="B4679" s="108" t="s">
        <v>22309</v>
      </c>
      <c r="C4679" s="109">
        <v>43083</v>
      </c>
      <c r="D4679" s="108"/>
      <c r="E4679" s="108" t="s">
        <v>14605</v>
      </c>
      <c r="F4679" s="108" t="s">
        <v>22310</v>
      </c>
      <c r="G4679" s="110"/>
      <c r="H4679" s="108" t="s">
        <v>21842</v>
      </c>
      <c r="I4679" s="108"/>
    </row>
    <row r="4680" spans="1:9" ht="41.4">
      <c r="A4680" s="108" t="s">
        <v>1465</v>
      </c>
      <c r="B4680" s="108" t="s">
        <v>22311</v>
      </c>
      <c r="C4680" s="109">
        <v>43110</v>
      </c>
      <c r="D4680" s="108"/>
      <c r="E4680" s="108" t="s">
        <v>14605</v>
      </c>
      <c r="F4680" s="108" t="s">
        <v>22312</v>
      </c>
      <c r="G4680" s="110"/>
      <c r="H4680" s="108" t="s">
        <v>21842</v>
      </c>
      <c r="I4680" s="108"/>
    </row>
    <row r="4681" spans="1:9">
      <c r="A4681" s="108" t="s">
        <v>1465</v>
      </c>
      <c r="B4681" s="108" t="s">
        <v>22313</v>
      </c>
      <c r="C4681" s="109">
        <v>43172</v>
      </c>
      <c r="D4681" s="108"/>
      <c r="E4681" s="108" t="s">
        <v>14605</v>
      </c>
      <c r="F4681" s="108" t="s">
        <v>22314</v>
      </c>
      <c r="G4681" s="110"/>
      <c r="H4681" s="108" t="s">
        <v>21842</v>
      </c>
      <c r="I4681" s="108"/>
    </row>
    <row r="4682" spans="1:9" ht="41.4">
      <c r="A4682" s="108" t="s">
        <v>1465</v>
      </c>
      <c r="B4682" s="108" t="s">
        <v>22315</v>
      </c>
      <c r="C4682" s="109">
        <v>43364</v>
      </c>
      <c r="D4682" s="108"/>
      <c r="E4682" s="108" t="s">
        <v>14605</v>
      </c>
      <c r="F4682" s="108" t="s">
        <v>22316</v>
      </c>
      <c r="G4682" s="110"/>
      <c r="H4682" s="108" t="s">
        <v>21842</v>
      </c>
      <c r="I4682" s="108"/>
    </row>
    <row r="4683" spans="1:9" ht="27.6">
      <c r="A4683" s="108" t="s">
        <v>22317</v>
      </c>
      <c r="B4683" s="108" t="s">
        <v>22318</v>
      </c>
      <c r="C4683" s="109">
        <v>43410</v>
      </c>
      <c r="D4683" s="108"/>
      <c r="E4683" s="108" t="s">
        <v>14605</v>
      </c>
      <c r="F4683" s="108" t="s">
        <v>22319</v>
      </c>
      <c r="G4683" s="110"/>
      <c r="H4683" s="108" t="s">
        <v>21842</v>
      </c>
      <c r="I4683" s="108"/>
    </row>
    <row r="4684" spans="1:9" ht="27.6">
      <c r="A4684" s="108" t="s">
        <v>1465</v>
      </c>
      <c r="B4684" s="108" t="s">
        <v>22320</v>
      </c>
      <c r="C4684" s="109">
        <v>43655</v>
      </c>
      <c r="D4684" s="108"/>
      <c r="E4684" s="108" t="s">
        <v>14605</v>
      </c>
      <c r="F4684" s="108" t="s">
        <v>22321</v>
      </c>
      <c r="G4684" s="110"/>
      <c r="H4684" s="108" t="s">
        <v>21842</v>
      </c>
      <c r="I4684" s="108"/>
    </row>
    <row r="4685" spans="1:9" ht="27.6">
      <c r="A4685" s="108" t="s">
        <v>1465</v>
      </c>
      <c r="B4685" s="108" t="s">
        <v>22322</v>
      </c>
      <c r="C4685" s="109">
        <v>43706</v>
      </c>
      <c r="D4685" s="108"/>
      <c r="E4685" s="108" t="s">
        <v>14605</v>
      </c>
      <c r="F4685" s="108" t="s">
        <v>22323</v>
      </c>
      <c r="G4685" s="110"/>
      <c r="H4685" s="108" t="s">
        <v>21842</v>
      </c>
      <c r="I4685" s="108"/>
    </row>
    <row r="4686" spans="1:9" ht="27.6">
      <c r="A4686" s="108" t="s">
        <v>14679</v>
      </c>
      <c r="B4686" s="108" t="s">
        <v>22324</v>
      </c>
      <c r="C4686" s="109">
        <v>42914</v>
      </c>
      <c r="D4686" s="108"/>
      <c r="E4686" s="108" t="s">
        <v>14605</v>
      </c>
      <c r="F4686" s="108" t="s">
        <v>22325</v>
      </c>
      <c r="G4686" s="110"/>
      <c r="H4686" s="108" t="s">
        <v>21842</v>
      </c>
      <c r="I4686" s="108"/>
    </row>
    <row r="4687" spans="1:9">
      <c r="A4687" s="108" t="s">
        <v>18143</v>
      </c>
      <c r="B4687" s="108" t="s">
        <v>22326</v>
      </c>
      <c r="C4687" s="109">
        <v>42913</v>
      </c>
      <c r="D4687" s="108"/>
      <c r="E4687" s="108" t="s">
        <v>14605</v>
      </c>
      <c r="F4687" s="108" t="s">
        <v>21888</v>
      </c>
      <c r="G4687" s="110"/>
      <c r="H4687" s="108" t="s">
        <v>21842</v>
      </c>
      <c r="I4687" s="108"/>
    </row>
    <row r="4688" spans="1:9">
      <c r="A4688" s="108" t="s">
        <v>923</v>
      </c>
      <c r="B4688" s="108" t="s">
        <v>22327</v>
      </c>
      <c r="C4688" s="109">
        <v>42584</v>
      </c>
      <c r="D4688" s="108"/>
      <c r="E4688" s="108" t="s">
        <v>14605</v>
      </c>
      <c r="F4688" s="108" t="s">
        <v>22328</v>
      </c>
      <c r="G4688" s="110"/>
      <c r="H4688" s="108" t="s">
        <v>21842</v>
      </c>
      <c r="I4688" s="108"/>
    </row>
    <row r="4689" spans="1:9">
      <c r="A4689" s="108" t="s">
        <v>14928</v>
      </c>
      <c r="B4689" s="108" t="s">
        <v>22329</v>
      </c>
      <c r="C4689" s="109">
        <v>42458</v>
      </c>
      <c r="D4689" s="108"/>
      <c r="E4689" s="108" t="s">
        <v>14605</v>
      </c>
      <c r="F4689" s="108" t="s">
        <v>21903</v>
      </c>
      <c r="G4689" s="110"/>
      <c r="H4689" s="108" t="s">
        <v>21842</v>
      </c>
      <c r="I4689" s="108"/>
    </row>
    <row r="4690" spans="1:9">
      <c r="A4690" s="108" t="s">
        <v>477</v>
      </c>
      <c r="B4690" s="108" t="s">
        <v>22330</v>
      </c>
      <c r="C4690" s="109">
        <v>43094</v>
      </c>
      <c r="D4690" s="108"/>
      <c r="E4690" s="108" t="s">
        <v>14605</v>
      </c>
      <c r="F4690" s="108" t="s">
        <v>22331</v>
      </c>
      <c r="G4690" s="110"/>
      <c r="H4690" s="108" t="s">
        <v>21842</v>
      </c>
      <c r="I4690" s="108"/>
    </row>
    <row r="4691" spans="1:9">
      <c r="A4691" s="108" t="s">
        <v>1003</v>
      </c>
      <c r="B4691" s="108" t="s">
        <v>22332</v>
      </c>
      <c r="C4691" s="109">
        <v>43138</v>
      </c>
      <c r="D4691" s="108"/>
      <c r="E4691" s="108" t="s">
        <v>14605</v>
      </c>
      <c r="F4691" s="108" t="s">
        <v>22258</v>
      </c>
      <c r="G4691" s="110"/>
      <c r="H4691" s="108" t="s">
        <v>21842</v>
      </c>
      <c r="I4691" s="108"/>
    </row>
    <row r="4692" spans="1:9">
      <c r="A4692" s="108" t="s">
        <v>8271</v>
      </c>
      <c r="B4692" s="108" t="s">
        <v>22333</v>
      </c>
      <c r="C4692" s="109">
        <v>43752</v>
      </c>
      <c r="D4692" s="108"/>
      <c r="E4692" s="108" t="s">
        <v>16121</v>
      </c>
      <c r="F4692" s="108" t="s">
        <v>15992</v>
      </c>
      <c r="G4692" s="110"/>
      <c r="H4692" s="108" t="s">
        <v>21842</v>
      </c>
      <c r="I4692" s="108"/>
    </row>
    <row r="4693" spans="1:9" ht="27.6">
      <c r="A4693" s="108" t="s">
        <v>14950</v>
      </c>
      <c r="B4693" s="108" t="s">
        <v>22334</v>
      </c>
      <c r="C4693" s="109">
        <v>44260</v>
      </c>
      <c r="D4693" s="108"/>
      <c r="E4693" s="108" t="s">
        <v>16121</v>
      </c>
      <c r="F4693" s="108" t="s">
        <v>22335</v>
      </c>
      <c r="G4693" s="110"/>
      <c r="H4693" s="108" t="s">
        <v>21842</v>
      </c>
      <c r="I4693" s="108"/>
    </row>
    <row r="4694" spans="1:9" ht="27.6">
      <c r="A4694" s="108" t="s">
        <v>14950</v>
      </c>
      <c r="B4694" s="108" t="s">
        <v>22336</v>
      </c>
      <c r="C4694" s="109">
        <v>44221</v>
      </c>
      <c r="D4694" s="108"/>
      <c r="E4694" s="108" t="s">
        <v>16121</v>
      </c>
      <c r="F4694" s="108" t="s">
        <v>22337</v>
      </c>
      <c r="G4694" s="110"/>
      <c r="H4694" s="108" t="s">
        <v>21842</v>
      </c>
      <c r="I4694" s="108"/>
    </row>
    <row r="4695" spans="1:9" ht="27.6">
      <c r="A4695" s="108" t="s">
        <v>14950</v>
      </c>
      <c r="B4695" s="108" t="s">
        <v>22338</v>
      </c>
      <c r="C4695" s="109">
        <v>44286</v>
      </c>
      <c r="D4695" s="108"/>
      <c r="E4695" s="108" t="s">
        <v>16121</v>
      </c>
      <c r="F4695" s="108" t="s">
        <v>22339</v>
      </c>
      <c r="G4695" s="110"/>
      <c r="H4695" s="108" t="s">
        <v>21842</v>
      </c>
      <c r="I4695" s="108"/>
    </row>
    <row r="4696" spans="1:9" ht="27.6">
      <c r="A4696" s="108" t="s">
        <v>22340</v>
      </c>
      <c r="B4696" s="108" t="s">
        <v>22341</v>
      </c>
      <c r="C4696" s="109">
        <v>43404</v>
      </c>
      <c r="D4696" s="108"/>
      <c r="E4696" s="108" t="s">
        <v>14605</v>
      </c>
      <c r="F4696" s="108" t="s">
        <v>21993</v>
      </c>
      <c r="G4696" s="110"/>
      <c r="H4696" s="108" t="s">
        <v>21842</v>
      </c>
      <c r="I4696" s="108"/>
    </row>
    <row r="4697" spans="1:9" ht="27.6">
      <c r="A4697" s="108" t="s">
        <v>17130</v>
      </c>
      <c r="B4697" s="108" t="s">
        <v>22342</v>
      </c>
      <c r="C4697" s="109">
        <v>44158</v>
      </c>
      <c r="D4697" s="108"/>
      <c r="E4697" s="108" t="s">
        <v>14605</v>
      </c>
      <c r="F4697" s="108" t="s">
        <v>22343</v>
      </c>
      <c r="G4697" s="110"/>
      <c r="H4697" s="108" t="s">
        <v>21842</v>
      </c>
      <c r="I4697" s="108"/>
    </row>
    <row r="4698" spans="1:9" ht="27.6">
      <c r="A4698" s="108" t="s">
        <v>17130</v>
      </c>
      <c r="B4698" s="108" t="s">
        <v>22344</v>
      </c>
      <c r="C4698" s="109">
        <v>44300</v>
      </c>
      <c r="D4698" s="108"/>
      <c r="E4698" s="108" t="s">
        <v>14605</v>
      </c>
      <c r="F4698" s="108" t="s">
        <v>22345</v>
      </c>
      <c r="G4698" s="110"/>
      <c r="H4698" s="108" t="s">
        <v>21842</v>
      </c>
      <c r="I4698" s="108"/>
    </row>
    <row r="4699" spans="1:9">
      <c r="A4699" s="108" t="s">
        <v>1465</v>
      </c>
      <c r="B4699" s="108" t="s">
        <v>22346</v>
      </c>
      <c r="C4699" s="109">
        <v>43900</v>
      </c>
      <c r="D4699" s="108"/>
      <c r="E4699" s="108" t="s">
        <v>14605</v>
      </c>
      <c r="F4699" s="108" t="s">
        <v>15832</v>
      </c>
      <c r="G4699" s="110"/>
      <c r="H4699" s="108" t="s">
        <v>21842</v>
      </c>
      <c r="I4699" s="108"/>
    </row>
    <row r="4700" spans="1:9">
      <c r="A4700" s="108" t="s">
        <v>1465</v>
      </c>
      <c r="B4700" s="108" t="s">
        <v>22347</v>
      </c>
      <c r="C4700" s="109">
        <v>43900</v>
      </c>
      <c r="D4700" s="108"/>
      <c r="E4700" s="108" t="s">
        <v>14605</v>
      </c>
      <c r="F4700" s="108" t="s">
        <v>15832</v>
      </c>
      <c r="G4700" s="110"/>
      <c r="H4700" s="108" t="s">
        <v>21842</v>
      </c>
      <c r="I4700" s="108"/>
    </row>
    <row r="4701" spans="1:9" ht="27.6">
      <c r="A4701" s="108" t="s">
        <v>4190</v>
      </c>
      <c r="B4701" s="108" t="s">
        <v>22348</v>
      </c>
      <c r="C4701" s="109">
        <v>44432</v>
      </c>
      <c r="D4701" s="108"/>
      <c r="E4701" s="108" t="s">
        <v>14605</v>
      </c>
      <c r="F4701" s="108" t="s">
        <v>22349</v>
      </c>
      <c r="G4701" s="110"/>
      <c r="H4701" s="108" t="s">
        <v>21842</v>
      </c>
      <c r="I4701" s="108"/>
    </row>
    <row r="4702" spans="1:9" ht="27.6">
      <c r="A4702" s="108" t="s">
        <v>14679</v>
      </c>
      <c r="B4702" s="108" t="s">
        <v>22350</v>
      </c>
      <c r="C4702" s="109">
        <v>43818</v>
      </c>
      <c r="D4702" s="108"/>
      <c r="E4702" s="108" t="s">
        <v>14605</v>
      </c>
      <c r="F4702" s="108" t="s">
        <v>21896</v>
      </c>
      <c r="G4702" s="110"/>
      <c r="H4702" s="108" t="s">
        <v>21842</v>
      </c>
      <c r="I4702" s="108"/>
    </row>
    <row r="4703" spans="1:9">
      <c r="A4703" s="108" t="s">
        <v>87</v>
      </c>
      <c r="B4703" s="108" t="s">
        <v>22351</v>
      </c>
      <c r="C4703" s="109">
        <v>43950</v>
      </c>
      <c r="D4703" s="108"/>
      <c r="E4703" s="108" t="s">
        <v>14605</v>
      </c>
      <c r="F4703" s="108" t="s">
        <v>22352</v>
      </c>
      <c r="G4703" s="110"/>
      <c r="H4703" s="108" t="s">
        <v>21842</v>
      </c>
      <c r="I4703" s="108"/>
    </row>
    <row r="4704" spans="1:9">
      <c r="A4704" s="108" t="s">
        <v>1465</v>
      </c>
      <c r="B4704" s="108" t="s">
        <v>22353</v>
      </c>
      <c r="C4704" s="109">
        <v>44176</v>
      </c>
      <c r="D4704" s="108"/>
      <c r="E4704" s="108" t="s">
        <v>14605</v>
      </c>
      <c r="F4704" s="108" t="s">
        <v>14864</v>
      </c>
      <c r="G4704" s="110"/>
      <c r="H4704" s="108" t="s">
        <v>21842</v>
      </c>
      <c r="I4704" s="108"/>
    </row>
    <row r="4705" spans="1:9">
      <c r="A4705" s="108" t="s">
        <v>87</v>
      </c>
      <c r="B4705" s="108" t="s">
        <v>22354</v>
      </c>
      <c r="C4705" s="109">
        <v>44421</v>
      </c>
      <c r="D4705" s="108"/>
      <c r="E4705" s="108" t="s">
        <v>14605</v>
      </c>
      <c r="F4705" s="108" t="s">
        <v>22355</v>
      </c>
      <c r="G4705" s="110"/>
      <c r="H4705" s="108" t="s">
        <v>21842</v>
      </c>
      <c r="I4705" s="108"/>
    </row>
    <row r="4706" spans="1:9">
      <c r="A4706" s="108" t="s">
        <v>87</v>
      </c>
      <c r="B4706" s="108" t="s">
        <v>22356</v>
      </c>
      <c r="C4706" s="109">
        <v>44463</v>
      </c>
      <c r="D4706" s="108"/>
      <c r="E4706" s="108" t="s">
        <v>14605</v>
      </c>
      <c r="F4706" s="108" t="s">
        <v>21961</v>
      </c>
      <c r="G4706" s="110"/>
      <c r="H4706" s="108" t="s">
        <v>21842</v>
      </c>
      <c r="I4706" s="108"/>
    </row>
    <row r="4707" spans="1:9" ht="41.4">
      <c r="A4707" s="108" t="s">
        <v>4190</v>
      </c>
      <c r="B4707" s="108" t="s">
        <v>22357</v>
      </c>
      <c r="C4707" s="109">
        <v>44644</v>
      </c>
      <c r="D4707" s="108"/>
      <c r="E4707" s="108" t="s">
        <v>14605</v>
      </c>
      <c r="F4707" s="108" t="s">
        <v>15036</v>
      </c>
      <c r="G4707" s="110"/>
      <c r="H4707" s="108" t="s">
        <v>21842</v>
      </c>
      <c r="I4707" s="108"/>
    </row>
    <row r="4708" spans="1:9" ht="27.6">
      <c r="A4708" s="108" t="s">
        <v>15075</v>
      </c>
      <c r="B4708" s="108" t="s">
        <v>22358</v>
      </c>
      <c r="C4708" s="109">
        <v>44777</v>
      </c>
      <c r="D4708" s="108"/>
      <c r="E4708" s="108" t="s">
        <v>14605</v>
      </c>
      <c r="F4708" s="108" t="s">
        <v>22359</v>
      </c>
      <c r="G4708" s="110"/>
      <c r="H4708" s="108" t="s">
        <v>21842</v>
      </c>
      <c r="I4708" s="108"/>
    </row>
    <row r="4709" spans="1:9">
      <c r="A4709" s="108" t="s">
        <v>227</v>
      </c>
      <c r="B4709" s="108" t="s">
        <v>22360</v>
      </c>
      <c r="C4709" s="109">
        <v>42165</v>
      </c>
      <c r="D4709" s="108"/>
      <c r="E4709" s="108" t="s">
        <v>14605</v>
      </c>
      <c r="F4709" s="108" t="s">
        <v>21993</v>
      </c>
      <c r="G4709" s="110"/>
      <c r="H4709" s="108" t="s">
        <v>21842</v>
      </c>
      <c r="I4709" s="108"/>
    </row>
    <row r="4710" spans="1:9">
      <c r="A4710" s="108" t="s">
        <v>199</v>
      </c>
      <c r="B4710" s="108" t="s">
        <v>22361</v>
      </c>
      <c r="C4710" s="109">
        <v>41243</v>
      </c>
      <c r="D4710" s="108"/>
      <c r="E4710" s="108" t="s">
        <v>14605</v>
      </c>
      <c r="F4710" s="108" t="s">
        <v>22362</v>
      </c>
      <c r="G4710" s="110"/>
      <c r="H4710" s="108" t="s">
        <v>21842</v>
      </c>
      <c r="I4710" s="108"/>
    </row>
    <row r="4711" spans="1:9" ht="27.6">
      <c r="A4711" s="108" t="s">
        <v>227</v>
      </c>
      <c r="B4711" s="108" t="s">
        <v>22363</v>
      </c>
      <c r="C4711" s="109">
        <v>41355</v>
      </c>
      <c r="D4711" s="108"/>
      <c r="E4711" s="108" t="s">
        <v>14605</v>
      </c>
      <c r="F4711" s="108" t="s">
        <v>22364</v>
      </c>
      <c r="G4711" s="110"/>
      <c r="H4711" s="108" t="s">
        <v>21842</v>
      </c>
      <c r="I4711" s="108"/>
    </row>
    <row r="4712" spans="1:9">
      <c r="A4712" s="108" t="s">
        <v>227</v>
      </c>
      <c r="B4712" s="108" t="s">
        <v>22365</v>
      </c>
      <c r="C4712" s="109">
        <v>41513</v>
      </c>
      <c r="D4712" s="108"/>
      <c r="E4712" s="108" t="s">
        <v>14605</v>
      </c>
      <c r="F4712" s="108" t="s">
        <v>22366</v>
      </c>
      <c r="G4712" s="110"/>
      <c r="H4712" s="108" t="s">
        <v>21842</v>
      </c>
      <c r="I4712" s="108"/>
    </row>
    <row r="4713" spans="1:9" ht="27.6">
      <c r="A4713" s="108" t="s">
        <v>199</v>
      </c>
      <c r="B4713" s="108" t="s">
        <v>22367</v>
      </c>
      <c r="C4713" s="109">
        <v>41628</v>
      </c>
      <c r="D4713" s="108"/>
      <c r="E4713" s="108" t="s">
        <v>14605</v>
      </c>
      <c r="F4713" s="108" t="s">
        <v>21858</v>
      </c>
      <c r="G4713" s="110"/>
      <c r="H4713" s="108" t="s">
        <v>21842</v>
      </c>
      <c r="I4713" s="108"/>
    </row>
    <row r="4714" spans="1:9" ht="41.4">
      <c r="A4714" s="108" t="s">
        <v>227</v>
      </c>
      <c r="B4714" s="108" t="s">
        <v>22368</v>
      </c>
      <c r="C4714" s="109">
        <v>42206</v>
      </c>
      <c r="D4714" s="108"/>
      <c r="E4714" s="108" t="s">
        <v>14605</v>
      </c>
      <c r="F4714" s="108" t="s">
        <v>22369</v>
      </c>
      <c r="G4714" s="110"/>
      <c r="H4714" s="108" t="s">
        <v>21842</v>
      </c>
      <c r="I4714" s="108"/>
    </row>
    <row r="4715" spans="1:9">
      <c r="A4715" s="108" t="s">
        <v>227</v>
      </c>
      <c r="B4715" s="108" t="s">
        <v>22370</v>
      </c>
      <c r="C4715" s="109">
        <v>41849</v>
      </c>
      <c r="D4715" s="108"/>
      <c r="E4715" s="108" t="s">
        <v>14605</v>
      </c>
      <c r="F4715" s="108" t="s">
        <v>21846</v>
      </c>
      <c r="G4715" s="110"/>
      <c r="H4715" s="108" t="s">
        <v>21842</v>
      </c>
      <c r="I4715" s="108"/>
    </row>
    <row r="4716" spans="1:9" ht="41.4">
      <c r="A4716" s="108" t="s">
        <v>227</v>
      </c>
      <c r="B4716" s="108" t="s">
        <v>22371</v>
      </c>
      <c r="C4716" s="109">
        <v>41845</v>
      </c>
      <c r="D4716" s="108"/>
      <c r="E4716" s="108" t="s">
        <v>14605</v>
      </c>
      <c r="F4716" s="108" t="s">
        <v>22372</v>
      </c>
      <c r="G4716" s="110"/>
      <c r="H4716" s="108" t="s">
        <v>21842</v>
      </c>
      <c r="I4716" s="108"/>
    </row>
    <row r="4717" spans="1:9" ht="27.6">
      <c r="A4717" s="108" t="s">
        <v>227</v>
      </c>
      <c r="B4717" s="108" t="s">
        <v>22373</v>
      </c>
      <c r="C4717" s="109">
        <v>42622</v>
      </c>
      <c r="D4717" s="108"/>
      <c r="E4717" s="108" t="s">
        <v>14605</v>
      </c>
      <c r="F4717" s="108" t="s">
        <v>22041</v>
      </c>
      <c r="G4717" s="110"/>
      <c r="H4717" s="108" t="s">
        <v>21842</v>
      </c>
      <c r="I4717" s="108"/>
    </row>
    <row r="4718" spans="1:9">
      <c r="A4718" s="108" t="s">
        <v>227</v>
      </c>
      <c r="B4718" s="108" t="s">
        <v>22374</v>
      </c>
      <c r="C4718" s="109">
        <v>44539</v>
      </c>
      <c r="D4718" s="108"/>
      <c r="E4718" s="108" t="s">
        <v>14605</v>
      </c>
      <c r="F4718" s="108" t="s">
        <v>22193</v>
      </c>
      <c r="G4718" s="110"/>
      <c r="H4718" s="108" t="s">
        <v>21842</v>
      </c>
      <c r="I4718" s="108"/>
    </row>
    <row r="4719" spans="1:9" ht="27.6">
      <c r="A4719" s="108" t="s">
        <v>14607</v>
      </c>
      <c r="B4719" s="108" t="s">
        <v>22375</v>
      </c>
      <c r="C4719" s="109">
        <v>37386</v>
      </c>
      <c r="D4719" s="108"/>
      <c r="E4719" s="108" t="s">
        <v>14605</v>
      </c>
      <c r="F4719" s="108" t="s">
        <v>22376</v>
      </c>
      <c r="G4719" s="110"/>
      <c r="H4719" s="108" t="s">
        <v>21842</v>
      </c>
      <c r="I4719" s="108"/>
    </row>
    <row r="4720" spans="1:9" ht="27.6">
      <c r="A4720" s="108" t="s">
        <v>14607</v>
      </c>
      <c r="B4720" s="108" t="s">
        <v>22377</v>
      </c>
      <c r="C4720" s="109">
        <v>38018</v>
      </c>
      <c r="D4720" s="108"/>
      <c r="E4720" s="108" t="s">
        <v>14605</v>
      </c>
      <c r="F4720" s="108" t="s">
        <v>22378</v>
      </c>
      <c r="G4720" s="110"/>
      <c r="H4720" s="108" t="s">
        <v>21842</v>
      </c>
      <c r="I4720" s="108"/>
    </row>
    <row r="4721" spans="1:9" ht="41.4">
      <c r="A4721" s="108" t="s">
        <v>14607</v>
      </c>
      <c r="B4721" s="108" t="s">
        <v>22379</v>
      </c>
      <c r="C4721" s="109">
        <v>37294</v>
      </c>
      <c r="D4721" s="108"/>
      <c r="E4721" s="108" t="s">
        <v>14605</v>
      </c>
      <c r="F4721" s="108" t="s">
        <v>21929</v>
      </c>
      <c r="G4721" s="110"/>
      <c r="H4721" s="108" t="s">
        <v>21842</v>
      </c>
      <c r="I4721" s="108"/>
    </row>
    <row r="4722" spans="1:9" ht="41.4">
      <c r="A4722" s="108" t="s">
        <v>14607</v>
      </c>
      <c r="B4722" s="108" t="s">
        <v>22380</v>
      </c>
      <c r="C4722" s="109">
        <v>37459</v>
      </c>
      <c r="D4722" s="108"/>
      <c r="E4722" s="108" t="s">
        <v>14605</v>
      </c>
      <c r="F4722" s="108" t="s">
        <v>22381</v>
      </c>
      <c r="G4722" s="110"/>
      <c r="H4722" s="108" t="s">
        <v>21842</v>
      </c>
      <c r="I4722" s="108"/>
    </row>
    <row r="4723" spans="1:9" ht="27.6">
      <c r="A4723" s="108" t="s">
        <v>14607</v>
      </c>
      <c r="B4723" s="108" t="s">
        <v>22382</v>
      </c>
      <c r="C4723" s="109">
        <v>37700</v>
      </c>
      <c r="D4723" s="108"/>
      <c r="E4723" s="108" t="s">
        <v>14605</v>
      </c>
      <c r="F4723" s="108" t="s">
        <v>22157</v>
      </c>
      <c r="G4723" s="110"/>
      <c r="H4723" s="108" t="s">
        <v>21842</v>
      </c>
      <c r="I4723" s="108"/>
    </row>
    <row r="4724" spans="1:9" ht="27.6">
      <c r="A4724" s="108" t="s">
        <v>14607</v>
      </c>
      <c r="B4724" s="108" t="s">
        <v>22383</v>
      </c>
      <c r="C4724" s="109">
        <v>38321</v>
      </c>
      <c r="D4724" s="108"/>
      <c r="E4724" s="108" t="s">
        <v>14605</v>
      </c>
      <c r="F4724" s="108" t="s">
        <v>22384</v>
      </c>
      <c r="G4724" s="110"/>
      <c r="H4724" s="108" t="s">
        <v>21842</v>
      </c>
      <c r="I4724" s="108"/>
    </row>
    <row r="4725" spans="1:9" ht="27.6">
      <c r="A4725" s="108" t="s">
        <v>14607</v>
      </c>
      <c r="B4725" s="108" t="s">
        <v>22385</v>
      </c>
      <c r="C4725" s="109">
        <v>37879</v>
      </c>
      <c r="D4725" s="108"/>
      <c r="E4725" s="108" t="s">
        <v>14605</v>
      </c>
      <c r="F4725" s="108" t="s">
        <v>22386</v>
      </c>
      <c r="G4725" s="110"/>
      <c r="H4725" s="108" t="s">
        <v>21842</v>
      </c>
      <c r="I4725" s="108"/>
    </row>
    <row r="4726" spans="1:9" ht="27.6">
      <c r="A4726" s="108" t="s">
        <v>14607</v>
      </c>
      <c r="B4726" s="108" t="s">
        <v>22387</v>
      </c>
      <c r="C4726" s="109">
        <v>37754</v>
      </c>
      <c r="D4726" s="108"/>
      <c r="E4726" s="108" t="s">
        <v>14605</v>
      </c>
      <c r="F4726" s="108" t="s">
        <v>22388</v>
      </c>
      <c r="G4726" s="110"/>
      <c r="H4726" s="108" t="s">
        <v>21842</v>
      </c>
      <c r="I4726" s="108"/>
    </row>
    <row r="4727" spans="1:9" ht="41.4">
      <c r="A4727" s="108" t="s">
        <v>14607</v>
      </c>
      <c r="B4727" s="108" t="s">
        <v>22389</v>
      </c>
      <c r="C4727" s="109">
        <v>38260</v>
      </c>
      <c r="D4727" s="108"/>
      <c r="E4727" s="108" t="s">
        <v>14605</v>
      </c>
      <c r="F4727" s="108" t="s">
        <v>22390</v>
      </c>
      <c r="G4727" s="110"/>
      <c r="H4727" s="108" t="s">
        <v>21842</v>
      </c>
      <c r="I4727" s="108"/>
    </row>
    <row r="4728" spans="1:9" ht="27.6">
      <c r="A4728" s="108" t="s">
        <v>14607</v>
      </c>
      <c r="B4728" s="108" t="s">
        <v>22391</v>
      </c>
      <c r="C4728" s="109">
        <v>38260</v>
      </c>
      <c r="D4728" s="108"/>
      <c r="E4728" s="108" t="s">
        <v>14605</v>
      </c>
      <c r="F4728" s="108" t="s">
        <v>22283</v>
      </c>
      <c r="G4728" s="110"/>
      <c r="H4728" s="108" t="s">
        <v>21842</v>
      </c>
      <c r="I4728" s="108"/>
    </row>
    <row r="4729" spans="1:9" ht="27.6">
      <c r="A4729" s="108" t="s">
        <v>14607</v>
      </c>
      <c r="B4729" s="108" t="s">
        <v>22392</v>
      </c>
      <c r="C4729" s="109">
        <v>38045</v>
      </c>
      <c r="D4729" s="108"/>
      <c r="E4729" s="108" t="s">
        <v>14605</v>
      </c>
      <c r="F4729" s="108" t="s">
        <v>22393</v>
      </c>
      <c r="G4729" s="110"/>
      <c r="H4729" s="108" t="s">
        <v>21842</v>
      </c>
      <c r="I4729" s="108"/>
    </row>
    <row r="4730" spans="1:9" ht="27.6">
      <c r="A4730" s="108" t="s">
        <v>14607</v>
      </c>
      <c r="B4730" s="108" t="s">
        <v>22394</v>
      </c>
      <c r="C4730" s="109">
        <v>38427</v>
      </c>
      <c r="D4730" s="108"/>
      <c r="E4730" s="108" t="s">
        <v>14605</v>
      </c>
      <c r="F4730" s="108" t="s">
        <v>22395</v>
      </c>
      <c r="G4730" s="110"/>
      <c r="H4730" s="108" t="s">
        <v>21842</v>
      </c>
      <c r="I4730" s="108"/>
    </row>
    <row r="4731" spans="1:9" ht="27.6">
      <c r="A4731" s="108" t="s">
        <v>14607</v>
      </c>
      <c r="B4731" s="108" t="s">
        <v>22396</v>
      </c>
      <c r="C4731" s="109">
        <v>38168</v>
      </c>
      <c r="D4731" s="108"/>
      <c r="E4731" s="108" t="s">
        <v>14605</v>
      </c>
      <c r="F4731" s="108" t="s">
        <v>22397</v>
      </c>
      <c r="G4731" s="110"/>
      <c r="H4731" s="108" t="s">
        <v>21842</v>
      </c>
      <c r="I4731" s="108"/>
    </row>
    <row r="4732" spans="1:9" ht="27.6">
      <c r="A4732" s="108" t="s">
        <v>14607</v>
      </c>
      <c r="B4732" s="108" t="s">
        <v>22398</v>
      </c>
      <c r="C4732" s="109">
        <v>38336</v>
      </c>
      <c r="D4732" s="108"/>
      <c r="E4732" s="108" t="s">
        <v>14605</v>
      </c>
      <c r="F4732" s="108" t="s">
        <v>22399</v>
      </c>
      <c r="G4732" s="110"/>
      <c r="H4732" s="108" t="s">
        <v>21842</v>
      </c>
      <c r="I4732" s="108"/>
    </row>
    <row r="4733" spans="1:9" ht="27.6">
      <c r="A4733" s="108" t="s">
        <v>14607</v>
      </c>
      <c r="B4733" s="108" t="s">
        <v>22400</v>
      </c>
      <c r="C4733" s="109">
        <v>38425</v>
      </c>
      <c r="D4733" s="108"/>
      <c r="E4733" s="108" t="s">
        <v>14605</v>
      </c>
      <c r="F4733" s="108" t="s">
        <v>22401</v>
      </c>
      <c r="G4733" s="110"/>
      <c r="H4733" s="108" t="s">
        <v>21842</v>
      </c>
      <c r="I4733" s="108"/>
    </row>
    <row r="4734" spans="1:9" ht="27.6">
      <c r="A4734" s="108" t="s">
        <v>14607</v>
      </c>
      <c r="B4734" s="108" t="s">
        <v>22402</v>
      </c>
      <c r="C4734" s="109">
        <v>38462</v>
      </c>
      <c r="D4734" s="108"/>
      <c r="E4734" s="108" t="s">
        <v>14605</v>
      </c>
      <c r="F4734" s="108" t="s">
        <v>22403</v>
      </c>
      <c r="G4734" s="110"/>
      <c r="H4734" s="108" t="s">
        <v>21842</v>
      </c>
      <c r="I4734" s="108"/>
    </row>
    <row r="4735" spans="1:9" ht="41.4">
      <c r="A4735" s="108" t="s">
        <v>14607</v>
      </c>
      <c r="B4735" s="108" t="s">
        <v>22404</v>
      </c>
      <c r="C4735" s="109">
        <v>38299</v>
      </c>
      <c r="D4735" s="108"/>
      <c r="E4735" s="108" t="s">
        <v>14605</v>
      </c>
      <c r="F4735" s="108" t="s">
        <v>22405</v>
      </c>
      <c r="G4735" s="110"/>
      <c r="H4735" s="108" t="s">
        <v>21842</v>
      </c>
      <c r="I4735" s="108"/>
    </row>
    <row r="4736" spans="1:9" ht="41.4">
      <c r="A4736" s="108" t="s">
        <v>14607</v>
      </c>
      <c r="B4736" s="108" t="s">
        <v>22406</v>
      </c>
      <c r="C4736" s="109">
        <v>38729</v>
      </c>
      <c r="D4736" s="108"/>
      <c r="E4736" s="108" t="s">
        <v>14605</v>
      </c>
      <c r="F4736" s="108" t="s">
        <v>22407</v>
      </c>
      <c r="G4736" s="110"/>
      <c r="H4736" s="108" t="s">
        <v>21842</v>
      </c>
      <c r="I4736" s="108"/>
    </row>
    <row r="4737" spans="1:9" ht="27.6">
      <c r="A4737" s="108" t="s">
        <v>14607</v>
      </c>
      <c r="B4737" s="108" t="s">
        <v>22408</v>
      </c>
      <c r="C4737" s="109">
        <v>38324</v>
      </c>
      <c r="D4737" s="108"/>
      <c r="E4737" s="108" t="s">
        <v>14605</v>
      </c>
      <c r="F4737" s="108" t="s">
        <v>22262</v>
      </c>
      <c r="G4737" s="110"/>
      <c r="H4737" s="108" t="s">
        <v>21842</v>
      </c>
      <c r="I4737" s="108"/>
    </row>
    <row r="4738" spans="1:9" ht="27.6">
      <c r="A4738" s="108" t="s">
        <v>14607</v>
      </c>
      <c r="B4738" s="108" t="s">
        <v>22409</v>
      </c>
      <c r="C4738" s="109">
        <v>38680</v>
      </c>
      <c r="D4738" s="108"/>
      <c r="E4738" s="108" t="s">
        <v>14605</v>
      </c>
      <c r="F4738" s="108" t="s">
        <v>22410</v>
      </c>
      <c r="G4738" s="110"/>
      <c r="H4738" s="108" t="s">
        <v>21842</v>
      </c>
      <c r="I4738" s="108"/>
    </row>
    <row r="4739" spans="1:9" ht="27.6">
      <c r="A4739" s="108" t="s">
        <v>14607</v>
      </c>
      <c r="B4739" s="108" t="s">
        <v>22411</v>
      </c>
      <c r="C4739" s="109">
        <v>38405</v>
      </c>
      <c r="D4739" s="108"/>
      <c r="E4739" s="108" t="s">
        <v>14605</v>
      </c>
      <c r="F4739" s="108" t="s">
        <v>22412</v>
      </c>
      <c r="G4739" s="110"/>
      <c r="H4739" s="108" t="s">
        <v>21842</v>
      </c>
      <c r="I4739" s="108"/>
    </row>
    <row r="4740" spans="1:9" ht="41.4">
      <c r="A4740" s="108" t="s">
        <v>14607</v>
      </c>
      <c r="B4740" s="108" t="s">
        <v>22413</v>
      </c>
      <c r="C4740" s="109">
        <v>38379</v>
      </c>
      <c r="D4740" s="108"/>
      <c r="E4740" s="108" t="s">
        <v>14605</v>
      </c>
      <c r="F4740" s="108" t="s">
        <v>21907</v>
      </c>
      <c r="G4740" s="110"/>
      <c r="H4740" s="108" t="s">
        <v>21842</v>
      </c>
      <c r="I4740" s="108"/>
    </row>
    <row r="4741" spans="1:9" ht="27.6">
      <c r="A4741" s="108" t="s">
        <v>14607</v>
      </c>
      <c r="B4741" s="108" t="s">
        <v>22414</v>
      </c>
      <c r="C4741" s="109">
        <v>38427</v>
      </c>
      <c r="D4741" s="108"/>
      <c r="E4741" s="108" t="s">
        <v>14605</v>
      </c>
      <c r="F4741" s="108" t="s">
        <v>22378</v>
      </c>
      <c r="G4741" s="110"/>
      <c r="H4741" s="108" t="s">
        <v>21842</v>
      </c>
      <c r="I4741" s="108"/>
    </row>
    <row r="4742" spans="1:9" ht="27.6">
      <c r="A4742" s="108" t="s">
        <v>14607</v>
      </c>
      <c r="B4742" s="108" t="s">
        <v>22415</v>
      </c>
      <c r="C4742" s="109">
        <v>38429</v>
      </c>
      <c r="D4742" s="108"/>
      <c r="E4742" s="108" t="s">
        <v>14605</v>
      </c>
      <c r="F4742" s="108" t="s">
        <v>22416</v>
      </c>
      <c r="G4742" s="110"/>
      <c r="H4742" s="108" t="s">
        <v>21842</v>
      </c>
      <c r="I4742" s="108"/>
    </row>
    <row r="4743" spans="1:9" ht="27.6">
      <c r="A4743" s="108" t="s">
        <v>14607</v>
      </c>
      <c r="B4743" s="108" t="s">
        <v>22417</v>
      </c>
      <c r="C4743" s="109">
        <v>38651</v>
      </c>
      <c r="D4743" s="108"/>
      <c r="E4743" s="108" t="s">
        <v>14605</v>
      </c>
      <c r="F4743" s="108" t="s">
        <v>22418</v>
      </c>
      <c r="G4743" s="110"/>
      <c r="H4743" s="108" t="s">
        <v>21842</v>
      </c>
      <c r="I4743" s="108"/>
    </row>
    <row r="4744" spans="1:9" ht="27.6">
      <c r="A4744" s="108" t="s">
        <v>14607</v>
      </c>
      <c r="B4744" s="108" t="s">
        <v>22419</v>
      </c>
      <c r="C4744" s="109">
        <v>38595</v>
      </c>
      <c r="D4744" s="108"/>
      <c r="E4744" s="108" t="s">
        <v>14605</v>
      </c>
      <c r="F4744" s="108" t="s">
        <v>22420</v>
      </c>
      <c r="G4744" s="110"/>
      <c r="H4744" s="108" t="s">
        <v>21842</v>
      </c>
      <c r="I4744" s="108"/>
    </row>
    <row r="4745" spans="1:9" ht="41.4">
      <c r="A4745" s="108" t="s">
        <v>14607</v>
      </c>
      <c r="B4745" s="108" t="s">
        <v>22421</v>
      </c>
      <c r="C4745" s="109">
        <v>38644</v>
      </c>
      <c r="D4745" s="108"/>
      <c r="E4745" s="108" t="s">
        <v>14605</v>
      </c>
      <c r="F4745" s="108" t="s">
        <v>22422</v>
      </c>
      <c r="G4745" s="110"/>
      <c r="H4745" s="108" t="s">
        <v>21842</v>
      </c>
      <c r="I4745" s="108"/>
    </row>
    <row r="4746" spans="1:9" ht="27.6">
      <c r="A4746" s="108" t="s">
        <v>14607</v>
      </c>
      <c r="B4746" s="108" t="s">
        <v>22423</v>
      </c>
      <c r="C4746" s="109">
        <v>38658</v>
      </c>
      <c r="D4746" s="108"/>
      <c r="E4746" s="108" t="s">
        <v>14605</v>
      </c>
      <c r="F4746" s="108" t="s">
        <v>22424</v>
      </c>
      <c r="G4746" s="110"/>
      <c r="H4746" s="108" t="s">
        <v>21842</v>
      </c>
      <c r="I4746" s="108"/>
    </row>
    <row r="4747" spans="1:9" ht="27.6">
      <c r="A4747" s="108" t="s">
        <v>14607</v>
      </c>
      <c r="B4747" s="108" t="s">
        <v>22425</v>
      </c>
      <c r="C4747" s="109">
        <v>38784</v>
      </c>
      <c r="D4747" s="108"/>
      <c r="E4747" s="108" t="s">
        <v>14605</v>
      </c>
      <c r="F4747" s="108" t="s">
        <v>22426</v>
      </c>
      <c r="G4747" s="110"/>
      <c r="H4747" s="108" t="s">
        <v>21842</v>
      </c>
      <c r="I4747" s="108"/>
    </row>
    <row r="4748" spans="1:9" ht="27.6">
      <c r="A4748" s="108" t="s">
        <v>14607</v>
      </c>
      <c r="B4748" s="108" t="s">
        <v>22427</v>
      </c>
      <c r="C4748" s="109">
        <v>38684</v>
      </c>
      <c r="D4748" s="108"/>
      <c r="E4748" s="108" t="s">
        <v>14605</v>
      </c>
      <c r="F4748" s="108" t="s">
        <v>22428</v>
      </c>
      <c r="G4748" s="110"/>
      <c r="H4748" s="108" t="s">
        <v>21842</v>
      </c>
      <c r="I4748" s="108"/>
    </row>
    <row r="4749" spans="1:9" ht="27.6">
      <c r="A4749" s="108" t="s">
        <v>14607</v>
      </c>
      <c r="B4749" s="108" t="s">
        <v>22429</v>
      </c>
      <c r="C4749" s="109">
        <v>38588</v>
      </c>
      <c r="D4749" s="108"/>
      <c r="E4749" s="108" t="s">
        <v>14605</v>
      </c>
      <c r="F4749" s="108" t="s">
        <v>22430</v>
      </c>
      <c r="G4749" s="110"/>
      <c r="H4749" s="108" t="s">
        <v>21842</v>
      </c>
      <c r="I4749" s="108"/>
    </row>
    <row r="4750" spans="1:9" ht="27.6">
      <c r="A4750" s="108" t="s">
        <v>14607</v>
      </c>
      <c r="B4750" s="108" t="s">
        <v>22431</v>
      </c>
      <c r="C4750" s="109">
        <v>38776</v>
      </c>
      <c r="D4750" s="108"/>
      <c r="E4750" s="108" t="s">
        <v>14605</v>
      </c>
      <c r="F4750" s="108" t="s">
        <v>22432</v>
      </c>
      <c r="G4750" s="110"/>
      <c r="H4750" s="108" t="s">
        <v>21842</v>
      </c>
      <c r="I4750" s="108"/>
    </row>
    <row r="4751" spans="1:9" ht="27.6">
      <c r="A4751" s="108" t="s">
        <v>14607</v>
      </c>
      <c r="B4751" s="108" t="s">
        <v>22433</v>
      </c>
      <c r="C4751" s="109">
        <v>38798</v>
      </c>
      <c r="D4751" s="108"/>
      <c r="E4751" s="108" t="s">
        <v>14605</v>
      </c>
      <c r="F4751" s="108" t="s">
        <v>22434</v>
      </c>
      <c r="G4751" s="110"/>
      <c r="H4751" s="108" t="s">
        <v>21842</v>
      </c>
      <c r="I4751" s="108"/>
    </row>
    <row r="4752" spans="1:9" ht="27.6">
      <c r="A4752" s="108" t="s">
        <v>14607</v>
      </c>
      <c r="B4752" s="108" t="s">
        <v>22435</v>
      </c>
      <c r="C4752" s="109">
        <v>38968</v>
      </c>
      <c r="D4752" s="108"/>
      <c r="E4752" s="108" t="s">
        <v>14605</v>
      </c>
      <c r="F4752" s="108" t="s">
        <v>22436</v>
      </c>
      <c r="G4752" s="110"/>
      <c r="H4752" s="108" t="s">
        <v>21842</v>
      </c>
      <c r="I4752" s="108"/>
    </row>
    <row r="4753" spans="1:9" ht="27.6">
      <c r="A4753" s="108" t="s">
        <v>14607</v>
      </c>
      <c r="B4753" s="108" t="s">
        <v>22437</v>
      </c>
      <c r="C4753" s="109">
        <v>39077</v>
      </c>
      <c r="D4753" s="108"/>
      <c r="E4753" s="108" t="s">
        <v>14605</v>
      </c>
      <c r="F4753" s="108" t="s">
        <v>21947</v>
      </c>
      <c r="G4753" s="110"/>
      <c r="H4753" s="108" t="s">
        <v>21842</v>
      </c>
      <c r="I4753" s="108"/>
    </row>
    <row r="4754" spans="1:9" ht="27.6">
      <c r="A4754" s="108" t="s">
        <v>14607</v>
      </c>
      <c r="B4754" s="108" t="s">
        <v>22438</v>
      </c>
      <c r="C4754" s="109">
        <v>39148</v>
      </c>
      <c r="D4754" s="108"/>
      <c r="E4754" s="108" t="s">
        <v>14605</v>
      </c>
      <c r="F4754" s="108" t="s">
        <v>22439</v>
      </c>
      <c r="G4754" s="110"/>
      <c r="H4754" s="108" t="s">
        <v>21842</v>
      </c>
      <c r="I4754" s="108"/>
    </row>
    <row r="4755" spans="1:9" ht="27.6">
      <c r="A4755" s="108" t="s">
        <v>14607</v>
      </c>
      <c r="B4755" s="108" t="s">
        <v>22440</v>
      </c>
      <c r="C4755" s="109">
        <v>42076</v>
      </c>
      <c r="D4755" s="108"/>
      <c r="E4755" s="108" t="s">
        <v>14605</v>
      </c>
      <c r="F4755" s="108" t="s">
        <v>22441</v>
      </c>
      <c r="G4755" s="110"/>
      <c r="H4755" s="108" t="s">
        <v>21842</v>
      </c>
      <c r="I4755" s="108"/>
    </row>
    <row r="4756" spans="1:9" ht="27.6">
      <c r="A4756" s="108" t="s">
        <v>14607</v>
      </c>
      <c r="B4756" s="108" t="s">
        <v>22442</v>
      </c>
      <c r="C4756" s="109">
        <v>39274</v>
      </c>
      <c r="D4756" s="108"/>
      <c r="E4756" s="108" t="s">
        <v>14605</v>
      </c>
      <c r="F4756" s="108" t="s">
        <v>22443</v>
      </c>
      <c r="G4756" s="110"/>
      <c r="H4756" s="108" t="s">
        <v>21842</v>
      </c>
      <c r="I4756" s="108"/>
    </row>
    <row r="4757" spans="1:9" ht="27.6">
      <c r="A4757" s="108" t="s">
        <v>14607</v>
      </c>
      <c r="B4757" s="108" t="s">
        <v>22444</v>
      </c>
      <c r="C4757" s="109">
        <v>39380</v>
      </c>
      <c r="D4757" s="108"/>
      <c r="E4757" s="108" t="s">
        <v>14605</v>
      </c>
      <c r="F4757" s="108" t="s">
        <v>22445</v>
      </c>
      <c r="G4757" s="110"/>
      <c r="H4757" s="108" t="s">
        <v>21842</v>
      </c>
      <c r="I4757" s="108"/>
    </row>
    <row r="4758" spans="1:9" ht="27.6">
      <c r="A4758" s="108" t="s">
        <v>14607</v>
      </c>
      <c r="B4758" s="108" t="s">
        <v>22446</v>
      </c>
      <c r="C4758" s="109">
        <v>39498</v>
      </c>
      <c r="D4758" s="108"/>
      <c r="E4758" s="108" t="s">
        <v>14605</v>
      </c>
      <c r="F4758" s="108" t="s">
        <v>22447</v>
      </c>
      <c r="G4758" s="110"/>
      <c r="H4758" s="108" t="s">
        <v>21842</v>
      </c>
      <c r="I4758" s="108"/>
    </row>
    <row r="4759" spans="1:9" ht="27.6">
      <c r="A4759" s="108" t="s">
        <v>14607</v>
      </c>
      <c r="B4759" s="108" t="s">
        <v>22448</v>
      </c>
      <c r="C4759" s="109">
        <v>39623</v>
      </c>
      <c r="D4759" s="108"/>
      <c r="E4759" s="108" t="s">
        <v>14605</v>
      </c>
      <c r="F4759" s="108" t="s">
        <v>22449</v>
      </c>
      <c r="G4759" s="110"/>
      <c r="H4759" s="108" t="s">
        <v>21842</v>
      </c>
      <c r="I4759" s="108"/>
    </row>
    <row r="4760" spans="1:9" ht="27.6">
      <c r="A4760" s="108" t="s">
        <v>14607</v>
      </c>
      <c r="B4760" s="108" t="s">
        <v>22450</v>
      </c>
      <c r="C4760" s="109">
        <v>38089</v>
      </c>
      <c r="D4760" s="108"/>
      <c r="E4760" s="108" t="s">
        <v>14605</v>
      </c>
      <c r="F4760" s="108" t="s">
        <v>15832</v>
      </c>
      <c r="G4760" s="110"/>
      <c r="H4760" s="108" t="s">
        <v>21842</v>
      </c>
      <c r="I4760" s="108"/>
    </row>
    <row r="4761" spans="1:9" ht="41.4">
      <c r="A4761" s="108" t="s">
        <v>14607</v>
      </c>
      <c r="B4761" s="108" t="s">
        <v>22451</v>
      </c>
      <c r="C4761" s="109">
        <v>39972</v>
      </c>
      <c r="D4761" s="108"/>
      <c r="E4761" s="108" t="s">
        <v>14605</v>
      </c>
      <c r="F4761" s="108" t="s">
        <v>22452</v>
      </c>
      <c r="G4761" s="110"/>
      <c r="H4761" s="108" t="s">
        <v>21842</v>
      </c>
      <c r="I4761" s="108"/>
    </row>
    <row r="4762" spans="1:9" ht="27.6">
      <c r="A4762" s="108" t="s">
        <v>14607</v>
      </c>
      <c r="B4762" s="108" t="s">
        <v>22453</v>
      </c>
      <c r="C4762" s="109">
        <v>40361</v>
      </c>
      <c r="D4762" s="108"/>
      <c r="E4762" s="108" t="s">
        <v>14605</v>
      </c>
      <c r="F4762" s="108" t="s">
        <v>22441</v>
      </c>
      <c r="G4762" s="110"/>
      <c r="H4762" s="108" t="s">
        <v>21842</v>
      </c>
      <c r="I4762" s="108"/>
    </row>
    <row r="4763" spans="1:9" ht="27.6">
      <c r="A4763" s="108" t="s">
        <v>14607</v>
      </c>
      <c r="B4763" s="108" t="s">
        <v>22454</v>
      </c>
      <c r="C4763" s="109">
        <v>40472</v>
      </c>
      <c r="D4763" s="108"/>
      <c r="E4763" s="108" t="s">
        <v>14605</v>
      </c>
      <c r="F4763" s="108" t="s">
        <v>22455</v>
      </c>
      <c r="G4763" s="110"/>
      <c r="H4763" s="108" t="s">
        <v>21842</v>
      </c>
      <c r="I4763" s="108"/>
    </row>
    <row r="4764" spans="1:9" ht="27.6">
      <c r="A4764" s="108" t="s">
        <v>14607</v>
      </c>
      <c r="B4764" s="108" t="s">
        <v>22456</v>
      </c>
      <c r="C4764" s="109">
        <v>40688</v>
      </c>
      <c r="D4764" s="108"/>
      <c r="E4764" s="108" t="s">
        <v>14605</v>
      </c>
      <c r="F4764" s="108" t="s">
        <v>22457</v>
      </c>
      <c r="G4764" s="110"/>
      <c r="H4764" s="108" t="s">
        <v>21842</v>
      </c>
      <c r="I4764" s="108"/>
    </row>
    <row r="4765" spans="1:9" ht="41.4">
      <c r="A4765" s="108" t="s">
        <v>14607</v>
      </c>
      <c r="B4765" s="108" t="s">
        <v>22458</v>
      </c>
      <c r="C4765" s="109">
        <v>40956</v>
      </c>
      <c r="D4765" s="108"/>
      <c r="E4765" s="108" t="s">
        <v>14605</v>
      </c>
      <c r="F4765" s="108" t="s">
        <v>22459</v>
      </c>
      <c r="G4765" s="110"/>
      <c r="H4765" s="108" t="s">
        <v>21842</v>
      </c>
      <c r="I4765" s="108"/>
    </row>
    <row r="4766" spans="1:9" ht="27.6">
      <c r="A4766" s="108" t="s">
        <v>18397</v>
      </c>
      <c r="B4766" s="108" t="s">
        <v>22460</v>
      </c>
      <c r="C4766" s="109">
        <v>39689</v>
      </c>
      <c r="D4766" s="108"/>
      <c r="E4766" s="108" t="s">
        <v>14605</v>
      </c>
      <c r="F4766" s="108" t="s">
        <v>22067</v>
      </c>
      <c r="G4766" s="110"/>
      <c r="H4766" s="108" t="s">
        <v>21842</v>
      </c>
      <c r="I4766" s="108"/>
    </row>
    <row r="4767" spans="1:9" ht="27.6">
      <c r="A4767" s="108" t="s">
        <v>22461</v>
      </c>
      <c r="B4767" s="108" t="s">
        <v>22462</v>
      </c>
      <c r="C4767" s="109">
        <v>39112</v>
      </c>
      <c r="D4767" s="108"/>
      <c r="E4767" s="108" t="s">
        <v>14605</v>
      </c>
      <c r="F4767" s="108" t="s">
        <v>22138</v>
      </c>
      <c r="G4767" s="110"/>
      <c r="H4767" s="108" t="s">
        <v>21842</v>
      </c>
      <c r="I4767" s="108"/>
    </row>
    <row r="4768" spans="1:9" ht="27.6">
      <c r="A4768" s="108" t="s">
        <v>18397</v>
      </c>
      <c r="B4768" s="108" t="s">
        <v>22463</v>
      </c>
      <c r="C4768" s="109">
        <v>39296</v>
      </c>
      <c r="D4768" s="108"/>
      <c r="E4768" s="108" t="s">
        <v>14605</v>
      </c>
      <c r="F4768" s="108" t="s">
        <v>22258</v>
      </c>
      <c r="G4768" s="110"/>
      <c r="H4768" s="108" t="s">
        <v>21842</v>
      </c>
      <c r="I4768" s="108"/>
    </row>
    <row r="4769" spans="1:9" ht="27.6">
      <c r="A4769" s="108" t="s">
        <v>18397</v>
      </c>
      <c r="B4769" s="108" t="s">
        <v>22464</v>
      </c>
      <c r="C4769" s="109">
        <v>39203</v>
      </c>
      <c r="D4769" s="108"/>
      <c r="E4769" s="108" t="s">
        <v>14605</v>
      </c>
      <c r="F4769" s="108" t="s">
        <v>22265</v>
      </c>
      <c r="G4769" s="110"/>
      <c r="H4769" s="108" t="s">
        <v>21842</v>
      </c>
      <c r="I4769" s="108"/>
    </row>
    <row r="4770" spans="1:9" ht="27.6">
      <c r="A4770" s="108" t="s">
        <v>18397</v>
      </c>
      <c r="B4770" s="108" t="s">
        <v>22465</v>
      </c>
      <c r="C4770" s="109">
        <v>38891</v>
      </c>
      <c r="D4770" s="108"/>
      <c r="E4770" s="108" t="s">
        <v>14605</v>
      </c>
      <c r="F4770" s="108" t="s">
        <v>22466</v>
      </c>
      <c r="G4770" s="110"/>
      <c r="H4770" s="108" t="s">
        <v>21842</v>
      </c>
      <c r="I4770" s="108"/>
    </row>
    <row r="4771" spans="1:9" ht="27.6">
      <c r="A4771" s="108" t="s">
        <v>18397</v>
      </c>
      <c r="B4771" s="108" t="s">
        <v>22467</v>
      </c>
      <c r="C4771" s="109">
        <v>38965</v>
      </c>
      <c r="D4771" s="108"/>
      <c r="E4771" s="108" t="s">
        <v>14605</v>
      </c>
      <c r="F4771" s="108" t="s">
        <v>22076</v>
      </c>
      <c r="G4771" s="110"/>
      <c r="H4771" s="108" t="s">
        <v>21842</v>
      </c>
      <c r="I4771" s="108"/>
    </row>
    <row r="4772" spans="1:9" ht="27.6">
      <c r="A4772" s="108" t="s">
        <v>18397</v>
      </c>
      <c r="B4772" s="108" t="s">
        <v>22468</v>
      </c>
      <c r="C4772" s="109">
        <v>39157</v>
      </c>
      <c r="D4772" s="108"/>
      <c r="E4772" s="108" t="s">
        <v>14605</v>
      </c>
      <c r="F4772" s="108" t="s">
        <v>22469</v>
      </c>
      <c r="G4772" s="110"/>
      <c r="H4772" s="108" t="s">
        <v>21842</v>
      </c>
      <c r="I4772" s="108"/>
    </row>
    <row r="4773" spans="1:9" ht="27.6">
      <c r="A4773" s="108" t="s">
        <v>18397</v>
      </c>
      <c r="B4773" s="108" t="s">
        <v>22470</v>
      </c>
      <c r="C4773" s="109">
        <v>39555</v>
      </c>
      <c r="D4773" s="108"/>
      <c r="E4773" s="108" t="s">
        <v>14605</v>
      </c>
      <c r="F4773" s="108" t="s">
        <v>22471</v>
      </c>
      <c r="G4773" s="110"/>
      <c r="H4773" s="108" t="s">
        <v>21842</v>
      </c>
      <c r="I4773" s="108"/>
    </row>
    <row r="4774" spans="1:9" ht="27.6">
      <c r="A4774" s="108" t="s">
        <v>18397</v>
      </c>
      <c r="B4774" s="108" t="s">
        <v>22472</v>
      </c>
      <c r="C4774" s="109">
        <v>39688</v>
      </c>
      <c r="D4774" s="108"/>
      <c r="E4774" s="108" t="s">
        <v>14605</v>
      </c>
      <c r="F4774" s="108" t="s">
        <v>22473</v>
      </c>
      <c r="G4774" s="110"/>
      <c r="H4774" s="108" t="s">
        <v>21842</v>
      </c>
      <c r="I4774" s="108"/>
    </row>
    <row r="4775" spans="1:9" ht="27.6">
      <c r="A4775" s="108" t="s">
        <v>18397</v>
      </c>
      <c r="B4775" s="108" t="s">
        <v>22474</v>
      </c>
      <c r="C4775" s="109">
        <v>39072</v>
      </c>
      <c r="D4775" s="108"/>
      <c r="E4775" s="108" t="s">
        <v>14605</v>
      </c>
      <c r="F4775" s="108" t="s">
        <v>22475</v>
      </c>
      <c r="G4775" s="110"/>
      <c r="H4775" s="108" t="s">
        <v>21842</v>
      </c>
      <c r="I4775" s="108"/>
    </row>
    <row r="4776" spans="1:9" ht="27.6">
      <c r="A4776" s="108" t="s">
        <v>18397</v>
      </c>
      <c r="B4776" s="108" t="s">
        <v>22476</v>
      </c>
      <c r="C4776" s="109">
        <v>39069</v>
      </c>
      <c r="D4776" s="108"/>
      <c r="E4776" s="108" t="s">
        <v>14605</v>
      </c>
      <c r="F4776" s="108" t="s">
        <v>22477</v>
      </c>
      <c r="G4776" s="110"/>
      <c r="H4776" s="108" t="s">
        <v>21842</v>
      </c>
      <c r="I4776" s="108"/>
    </row>
    <row r="4777" spans="1:9" ht="27.6">
      <c r="A4777" s="108" t="s">
        <v>18397</v>
      </c>
      <c r="B4777" s="108" t="s">
        <v>22478</v>
      </c>
      <c r="C4777" s="109">
        <v>39377</v>
      </c>
      <c r="D4777" s="108"/>
      <c r="E4777" s="108" t="s">
        <v>14605</v>
      </c>
      <c r="F4777" s="108" t="s">
        <v>22258</v>
      </c>
      <c r="G4777" s="110"/>
      <c r="H4777" s="108" t="s">
        <v>21842</v>
      </c>
      <c r="I4777" s="108"/>
    </row>
    <row r="4778" spans="1:9" ht="41.4">
      <c r="A4778" s="108" t="s">
        <v>18397</v>
      </c>
      <c r="B4778" s="108" t="s">
        <v>22479</v>
      </c>
      <c r="C4778" s="109">
        <v>39506</v>
      </c>
      <c r="D4778" s="108"/>
      <c r="E4778" s="108" t="s">
        <v>14605</v>
      </c>
      <c r="F4778" s="108" t="s">
        <v>15957</v>
      </c>
      <c r="G4778" s="110"/>
      <c r="H4778" s="108" t="s">
        <v>21842</v>
      </c>
      <c r="I4778" s="108"/>
    </row>
    <row r="4779" spans="1:9" ht="41.4">
      <c r="A4779" s="108" t="s">
        <v>18397</v>
      </c>
      <c r="B4779" s="108" t="s">
        <v>22480</v>
      </c>
      <c r="C4779" s="109">
        <v>39443</v>
      </c>
      <c r="D4779" s="108"/>
      <c r="E4779" s="108" t="s">
        <v>14605</v>
      </c>
      <c r="F4779" s="108" t="s">
        <v>22481</v>
      </c>
      <c r="G4779" s="110"/>
      <c r="H4779" s="108" t="s">
        <v>21842</v>
      </c>
      <c r="I4779" s="108"/>
    </row>
    <row r="4780" spans="1:9" ht="27.6">
      <c r="A4780" s="108" t="s">
        <v>18397</v>
      </c>
      <c r="B4780" s="108" t="s">
        <v>22482</v>
      </c>
      <c r="C4780" s="109">
        <v>39717</v>
      </c>
      <c r="D4780" s="108"/>
      <c r="E4780" s="108" t="s">
        <v>14605</v>
      </c>
      <c r="F4780" s="108" t="s">
        <v>22483</v>
      </c>
      <c r="G4780" s="110"/>
      <c r="H4780" s="108" t="s">
        <v>21842</v>
      </c>
      <c r="I4780" s="108"/>
    </row>
    <row r="4781" spans="1:9" ht="27.6">
      <c r="A4781" s="108" t="s">
        <v>18397</v>
      </c>
      <c r="B4781" s="108" t="s">
        <v>22484</v>
      </c>
      <c r="C4781" s="109">
        <v>39885</v>
      </c>
      <c r="D4781" s="108"/>
      <c r="E4781" s="108" t="s">
        <v>14605</v>
      </c>
      <c r="F4781" s="108" t="s">
        <v>22485</v>
      </c>
      <c r="G4781" s="110"/>
      <c r="H4781" s="108" t="s">
        <v>21842</v>
      </c>
      <c r="I4781" s="108"/>
    </row>
    <row r="4782" spans="1:9" ht="27.6">
      <c r="A4782" s="108" t="s">
        <v>18397</v>
      </c>
      <c r="B4782" s="108" t="s">
        <v>22486</v>
      </c>
      <c r="C4782" s="109">
        <v>39888</v>
      </c>
      <c r="D4782" s="108"/>
      <c r="E4782" s="108" t="s">
        <v>14605</v>
      </c>
      <c r="F4782" s="108" t="s">
        <v>22193</v>
      </c>
      <c r="G4782" s="110"/>
      <c r="H4782" s="108" t="s">
        <v>21842</v>
      </c>
      <c r="I4782" s="108"/>
    </row>
    <row r="4783" spans="1:9" ht="27.6">
      <c r="A4783" s="108" t="s">
        <v>18397</v>
      </c>
      <c r="B4783" s="108" t="s">
        <v>22487</v>
      </c>
      <c r="C4783" s="109">
        <v>39989</v>
      </c>
      <c r="D4783" s="108"/>
      <c r="E4783" s="108" t="s">
        <v>14605</v>
      </c>
      <c r="F4783" s="108" t="s">
        <v>22488</v>
      </c>
      <c r="G4783" s="110"/>
      <c r="H4783" s="108" t="s">
        <v>21842</v>
      </c>
      <c r="I4783" s="108"/>
    </row>
    <row r="4784" spans="1:9" ht="41.4">
      <c r="A4784" s="108" t="s">
        <v>18397</v>
      </c>
      <c r="B4784" s="108" t="s">
        <v>22489</v>
      </c>
      <c r="C4784" s="109">
        <v>39996</v>
      </c>
      <c r="D4784" s="108"/>
      <c r="E4784" s="108" t="s">
        <v>14605</v>
      </c>
      <c r="F4784" s="108" t="s">
        <v>22074</v>
      </c>
      <c r="G4784" s="110"/>
      <c r="H4784" s="108" t="s">
        <v>21842</v>
      </c>
      <c r="I4784" s="108"/>
    </row>
    <row r="4785" spans="1:9" ht="27.6">
      <c r="A4785" s="108" t="s">
        <v>18397</v>
      </c>
      <c r="B4785" s="108" t="s">
        <v>22490</v>
      </c>
      <c r="C4785" s="109">
        <v>40059</v>
      </c>
      <c r="D4785" s="108"/>
      <c r="E4785" s="108" t="s">
        <v>14605</v>
      </c>
      <c r="F4785" s="108" t="s">
        <v>22026</v>
      </c>
      <c r="G4785" s="110"/>
      <c r="H4785" s="108" t="s">
        <v>21842</v>
      </c>
      <c r="I4785" s="108"/>
    </row>
    <row r="4786" spans="1:9" ht="27.6">
      <c r="A4786" s="108" t="s">
        <v>18397</v>
      </c>
      <c r="B4786" s="108" t="s">
        <v>22491</v>
      </c>
      <c r="C4786" s="109">
        <v>40147</v>
      </c>
      <c r="D4786" s="108"/>
      <c r="E4786" s="108" t="s">
        <v>14605</v>
      </c>
      <c r="F4786" s="108" t="s">
        <v>22492</v>
      </c>
      <c r="G4786" s="110"/>
      <c r="H4786" s="108" t="s">
        <v>21842</v>
      </c>
      <c r="I4786" s="108"/>
    </row>
    <row r="4787" spans="1:9" ht="27.6">
      <c r="A4787" s="108" t="s">
        <v>18397</v>
      </c>
      <c r="B4787" s="108" t="s">
        <v>22493</v>
      </c>
      <c r="C4787" s="109">
        <v>40219</v>
      </c>
      <c r="D4787" s="108"/>
      <c r="E4787" s="108" t="s">
        <v>14605</v>
      </c>
      <c r="F4787" s="108" t="s">
        <v>22494</v>
      </c>
      <c r="G4787" s="110"/>
      <c r="H4787" s="108" t="s">
        <v>21842</v>
      </c>
      <c r="I4787" s="108"/>
    </row>
    <row r="4788" spans="1:9" ht="27.6">
      <c r="A4788" s="108" t="s">
        <v>18397</v>
      </c>
      <c r="B4788" s="108" t="s">
        <v>22495</v>
      </c>
      <c r="C4788" s="109">
        <v>40184</v>
      </c>
      <c r="D4788" s="108"/>
      <c r="E4788" s="108" t="s">
        <v>14605</v>
      </c>
      <c r="F4788" s="108" t="s">
        <v>22455</v>
      </c>
      <c r="G4788" s="110"/>
      <c r="H4788" s="108" t="s">
        <v>21842</v>
      </c>
      <c r="I4788" s="108"/>
    </row>
    <row r="4789" spans="1:9" ht="27.6">
      <c r="A4789" s="108" t="s">
        <v>18397</v>
      </c>
      <c r="B4789" s="108" t="s">
        <v>22496</v>
      </c>
      <c r="C4789" s="109">
        <v>40262</v>
      </c>
      <c r="D4789" s="108"/>
      <c r="E4789" s="108" t="s">
        <v>14605</v>
      </c>
      <c r="F4789" s="108" t="s">
        <v>22497</v>
      </c>
      <c r="G4789" s="110"/>
      <c r="H4789" s="108" t="s">
        <v>21842</v>
      </c>
      <c r="I4789" s="108"/>
    </row>
    <row r="4790" spans="1:9" ht="27.6">
      <c r="A4790" s="108" t="s">
        <v>18397</v>
      </c>
      <c r="B4790" s="108" t="s">
        <v>22498</v>
      </c>
      <c r="C4790" s="109">
        <v>40310</v>
      </c>
      <c r="D4790" s="108"/>
      <c r="E4790" s="108" t="s">
        <v>14605</v>
      </c>
      <c r="F4790" s="108" t="s">
        <v>22499</v>
      </c>
      <c r="G4790" s="110"/>
      <c r="H4790" s="108" t="s">
        <v>21842</v>
      </c>
      <c r="I4790" s="108"/>
    </row>
    <row r="4791" spans="1:9" ht="27.6">
      <c r="A4791" s="108" t="s">
        <v>18397</v>
      </c>
      <c r="B4791" s="108" t="s">
        <v>22500</v>
      </c>
      <c r="C4791" s="109">
        <v>40319</v>
      </c>
      <c r="D4791" s="108"/>
      <c r="E4791" s="108" t="s">
        <v>14605</v>
      </c>
      <c r="F4791" s="108" t="s">
        <v>22323</v>
      </c>
      <c r="G4791" s="110"/>
      <c r="H4791" s="108" t="s">
        <v>21842</v>
      </c>
      <c r="I4791" s="108"/>
    </row>
    <row r="4792" spans="1:9" ht="27.6">
      <c r="A4792" s="108" t="s">
        <v>18397</v>
      </c>
      <c r="B4792" s="108" t="s">
        <v>22501</v>
      </c>
      <c r="C4792" s="109">
        <v>40408</v>
      </c>
      <c r="D4792" s="108"/>
      <c r="E4792" s="108" t="s">
        <v>14605</v>
      </c>
      <c r="F4792" s="108" t="s">
        <v>22502</v>
      </c>
      <c r="G4792" s="110"/>
      <c r="H4792" s="108" t="s">
        <v>21842</v>
      </c>
      <c r="I4792" s="108"/>
    </row>
    <row r="4793" spans="1:9" ht="27.6">
      <c r="A4793" s="108" t="s">
        <v>18397</v>
      </c>
      <c r="B4793" s="108" t="s">
        <v>22503</v>
      </c>
      <c r="C4793" s="109">
        <v>40512</v>
      </c>
      <c r="D4793" s="108"/>
      <c r="E4793" s="108" t="s">
        <v>14605</v>
      </c>
      <c r="F4793" s="108" t="s">
        <v>22153</v>
      </c>
      <c r="G4793" s="110"/>
      <c r="H4793" s="108" t="s">
        <v>21842</v>
      </c>
      <c r="I4793" s="108"/>
    </row>
    <row r="4794" spans="1:9" ht="27.6">
      <c r="A4794" s="108" t="s">
        <v>18397</v>
      </c>
      <c r="B4794" s="108" t="s">
        <v>22504</v>
      </c>
      <c r="C4794" s="109">
        <v>40627</v>
      </c>
      <c r="D4794" s="108"/>
      <c r="E4794" s="108" t="s">
        <v>14605</v>
      </c>
      <c r="F4794" s="108" t="s">
        <v>22232</v>
      </c>
      <c r="G4794" s="110"/>
      <c r="H4794" s="108" t="s">
        <v>21842</v>
      </c>
      <c r="I4794" s="108"/>
    </row>
    <row r="4795" spans="1:9">
      <c r="A4795" s="108" t="s">
        <v>16935</v>
      </c>
      <c r="B4795" s="108" t="s">
        <v>22505</v>
      </c>
      <c r="C4795" s="109">
        <v>39713</v>
      </c>
      <c r="D4795" s="108"/>
      <c r="E4795" s="108" t="s">
        <v>14605</v>
      </c>
      <c r="F4795" s="108" t="s">
        <v>22151</v>
      </c>
      <c r="G4795" s="110"/>
      <c r="H4795" s="108" t="s">
        <v>21842</v>
      </c>
      <c r="I4795" s="108"/>
    </row>
    <row r="4796" spans="1:9" ht="27.6">
      <c r="A4796" s="108" t="s">
        <v>16935</v>
      </c>
      <c r="B4796" s="108" t="s">
        <v>22506</v>
      </c>
      <c r="C4796" s="109">
        <v>39128</v>
      </c>
      <c r="D4796" s="108"/>
      <c r="E4796" s="108" t="s">
        <v>14605</v>
      </c>
      <c r="F4796" s="108" t="s">
        <v>22507</v>
      </c>
      <c r="G4796" s="110"/>
      <c r="H4796" s="108" t="s">
        <v>21842</v>
      </c>
      <c r="I4796" s="108"/>
    </row>
    <row r="4797" spans="1:9">
      <c r="A4797" s="108" t="s">
        <v>16935</v>
      </c>
      <c r="B4797" s="108" t="s">
        <v>22508</v>
      </c>
      <c r="C4797" s="109">
        <v>39143</v>
      </c>
      <c r="D4797" s="108"/>
      <c r="E4797" s="108" t="s">
        <v>14605</v>
      </c>
      <c r="F4797" s="108" t="s">
        <v>22509</v>
      </c>
      <c r="G4797" s="110"/>
      <c r="H4797" s="108" t="s">
        <v>21842</v>
      </c>
      <c r="I4797" s="108"/>
    </row>
    <row r="4798" spans="1:9" ht="27.6">
      <c r="A4798" s="108" t="s">
        <v>16935</v>
      </c>
      <c r="B4798" s="108" t="s">
        <v>22510</v>
      </c>
      <c r="C4798" s="109">
        <v>39154</v>
      </c>
      <c r="D4798" s="108"/>
      <c r="E4798" s="108" t="s">
        <v>14605</v>
      </c>
      <c r="F4798" s="108" t="s">
        <v>22511</v>
      </c>
      <c r="G4798" s="110"/>
      <c r="H4798" s="108" t="s">
        <v>21842</v>
      </c>
      <c r="I4798" s="108"/>
    </row>
    <row r="4799" spans="1:9" ht="41.4">
      <c r="A4799" s="108" t="s">
        <v>16935</v>
      </c>
      <c r="B4799" s="108" t="s">
        <v>22512</v>
      </c>
      <c r="C4799" s="109">
        <v>39185</v>
      </c>
      <c r="D4799" s="108"/>
      <c r="E4799" s="108" t="s">
        <v>14605</v>
      </c>
      <c r="F4799" s="108" t="s">
        <v>22273</v>
      </c>
      <c r="G4799" s="110"/>
      <c r="H4799" s="108" t="s">
        <v>21842</v>
      </c>
      <c r="I4799" s="108"/>
    </row>
    <row r="4800" spans="1:9">
      <c r="A4800" s="108" t="s">
        <v>16935</v>
      </c>
      <c r="B4800" s="108" t="s">
        <v>22513</v>
      </c>
      <c r="C4800" s="109">
        <v>39147</v>
      </c>
      <c r="D4800" s="108"/>
      <c r="E4800" s="108" t="s">
        <v>14605</v>
      </c>
      <c r="F4800" s="108" t="s">
        <v>22514</v>
      </c>
      <c r="G4800" s="110"/>
      <c r="H4800" s="108" t="s">
        <v>21842</v>
      </c>
      <c r="I4800" s="108"/>
    </row>
    <row r="4801" spans="1:9">
      <c r="A4801" s="108" t="s">
        <v>16935</v>
      </c>
      <c r="B4801" s="108" t="s">
        <v>22515</v>
      </c>
      <c r="C4801" s="109">
        <v>39219</v>
      </c>
      <c r="D4801" s="108"/>
      <c r="E4801" s="108" t="s">
        <v>14605</v>
      </c>
      <c r="F4801" s="108" t="s">
        <v>22516</v>
      </c>
      <c r="G4801" s="110"/>
      <c r="H4801" s="108" t="s">
        <v>21842</v>
      </c>
      <c r="I4801" s="108"/>
    </row>
    <row r="4802" spans="1:9" ht="27.6">
      <c r="A4802" s="108" t="s">
        <v>16935</v>
      </c>
      <c r="B4802" s="108" t="s">
        <v>22517</v>
      </c>
      <c r="C4802" s="109">
        <v>39316</v>
      </c>
      <c r="D4802" s="108"/>
      <c r="E4802" s="108" t="s">
        <v>14605</v>
      </c>
      <c r="F4802" s="108" t="s">
        <v>22488</v>
      </c>
      <c r="G4802" s="110"/>
      <c r="H4802" s="108" t="s">
        <v>21842</v>
      </c>
      <c r="I4802" s="108"/>
    </row>
    <row r="4803" spans="1:9">
      <c r="A4803" s="108" t="s">
        <v>16935</v>
      </c>
      <c r="B4803" s="108" t="s">
        <v>22518</v>
      </c>
      <c r="C4803" s="109">
        <v>39267</v>
      </c>
      <c r="D4803" s="108"/>
      <c r="E4803" s="108" t="s">
        <v>14605</v>
      </c>
      <c r="F4803" s="108" t="s">
        <v>15832</v>
      </c>
      <c r="G4803" s="110"/>
      <c r="H4803" s="108" t="s">
        <v>21842</v>
      </c>
      <c r="I4803" s="108"/>
    </row>
    <row r="4804" spans="1:9">
      <c r="A4804" s="108" t="s">
        <v>16935</v>
      </c>
      <c r="B4804" s="108" t="s">
        <v>22519</v>
      </c>
      <c r="C4804" s="109">
        <v>39357</v>
      </c>
      <c r="D4804" s="108"/>
      <c r="E4804" s="108" t="s">
        <v>14605</v>
      </c>
      <c r="F4804" s="108" t="s">
        <v>22520</v>
      </c>
      <c r="G4804" s="110"/>
      <c r="H4804" s="108" t="s">
        <v>21842</v>
      </c>
      <c r="I4804" s="108"/>
    </row>
    <row r="4805" spans="1:9" ht="27.6">
      <c r="A4805" s="108" t="s">
        <v>16935</v>
      </c>
      <c r="B4805" s="108" t="s">
        <v>22521</v>
      </c>
      <c r="C4805" s="109">
        <v>39322</v>
      </c>
      <c r="D4805" s="108"/>
      <c r="E4805" s="108" t="s">
        <v>14605</v>
      </c>
      <c r="F4805" s="108" t="s">
        <v>22349</v>
      </c>
      <c r="G4805" s="110"/>
      <c r="H4805" s="108" t="s">
        <v>21842</v>
      </c>
      <c r="I4805" s="108"/>
    </row>
    <row r="4806" spans="1:9" ht="27.6">
      <c r="A4806" s="108" t="s">
        <v>16935</v>
      </c>
      <c r="B4806" s="108" t="s">
        <v>22522</v>
      </c>
      <c r="C4806" s="109">
        <v>39442</v>
      </c>
      <c r="D4806" s="108"/>
      <c r="E4806" s="108" t="s">
        <v>14605</v>
      </c>
      <c r="F4806" s="108" t="s">
        <v>22511</v>
      </c>
      <c r="G4806" s="110"/>
      <c r="H4806" s="108" t="s">
        <v>21842</v>
      </c>
      <c r="I4806" s="108"/>
    </row>
    <row r="4807" spans="1:9">
      <c r="A4807" s="108" t="s">
        <v>16935</v>
      </c>
      <c r="B4807" s="108" t="s">
        <v>22523</v>
      </c>
      <c r="C4807" s="109">
        <v>39476</v>
      </c>
      <c r="D4807" s="108"/>
      <c r="E4807" s="108" t="s">
        <v>14605</v>
      </c>
      <c r="F4807" s="108" t="s">
        <v>22009</v>
      </c>
      <c r="G4807" s="110"/>
      <c r="H4807" s="108" t="s">
        <v>21842</v>
      </c>
      <c r="I4807" s="108"/>
    </row>
    <row r="4808" spans="1:9">
      <c r="A4808" s="108" t="s">
        <v>16935</v>
      </c>
      <c r="B4808" s="108" t="s">
        <v>22524</v>
      </c>
      <c r="C4808" s="109">
        <v>39623</v>
      </c>
      <c r="D4808" s="108"/>
      <c r="E4808" s="108" t="s">
        <v>14605</v>
      </c>
      <c r="F4808" s="108" t="s">
        <v>21920</v>
      </c>
      <c r="G4808" s="110"/>
      <c r="H4808" s="108" t="s">
        <v>21842</v>
      </c>
      <c r="I4808" s="108"/>
    </row>
    <row r="4809" spans="1:9" ht="27.6">
      <c r="A4809" s="108" t="s">
        <v>16935</v>
      </c>
      <c r="B4809" s="108" t="s">
        <v>22525</v>
      </c>
      <c r="C4809" s="109">
        <v>39513</v>
      </c>
      <c r="D4809" s="108"/>
      <c r="E4809" s="108" t="s">
        <v>14605</v>
      </c>
      <c r="F4809" s="108" t="s">
        <v>22526</v>
      </c>
      <c r="G4809" s="110"/>
      <c r="H4809" s="108" t="s">
        <v>21842</v>
      </c>
      <c r="I4809" s="108"/>
    </row>
    <row r="4810" spans="1:9">
      <c r="A4810" s="108" t="s">
        <v>16935</v>
      </c>
      <c r="B4810" s="108" t="s">
        <v>22527</v>
      </c>
      <c r="C4810" s="109">
        <v>39623</v>
      </c>
      <c r="D4810" s="108"/>
      <c r="E4810" s="108" t="s">
        <v>14605</v>
      </c>
      <c r="F4810" s="108" t="s">
        <v>21920</v>
      </c>
      <c r="G4810" s="110"/>
      <c r="H4810" s="108" t="s">
        <v>21842</v>
      </c>
      <c r="I4810" s="108"/>
    </row>
    <row r="4811" spans="1:9" ht="41.4">
      <c r="A4811" s="108" t="s">
        <v>16935</v>
      </c>
      <c r="B4811" s="108" t="s">
        <v>22528</v>
      </c>
      <c r="C4811" s="109">
        <v>39720</v>
      </c>
      <c r="D4811" s="108"/>
      <c r="E4811" s="108" t="s">
        <v>14605</v>
      </c>
      <c r="F4811" s="108" t="s">
        <v>22529</v>
      </c>
      <c r="G4811" s="110"/>
      <c r="H4811" s="108" t="s">
        <v>21842</v>
      </c>
      <c r="I4811" s="108"/>
    </row>
    <row r="4812" spans="1:9" ht="27.6">
      <c r="A4812" s="108" t="s">
        <v>16935</v>
      </c>
      <c r="B4812" s="108" t="s">
        <v>22530</v>
      </c>
      <c r="C4812" s="109">
        <v>39721</v>
      </c>
      <c r="D4812" s="108"/>
      <c r="E4812" s="108" t="s">
        <v>14605</v>
      </c>
      <c r="F4812" s="108" t="s">
        <v>22531</v>
      </c>
      <c r="G4812" s="110"/>
      <c r="H4812" s="108" t="s">
        <v>21842</v>
      </c>
      <c r="I4812" s="108"/>
    </row>
    <row r="4813" spans="1:9">
      <c r="A4813" s="108" t="s">
        <v>16935</v>
      </c>
      <c r="B4813" s="108" t="s">
        <v>22532</v>
      </c>
      <c r="C4813" s="109">
        <v>39755</v>
      </c>
      <c r="D4813" s="108"/>
      <c r="E4813" s="108" t="s">
        <v>14605</v>
      </c>
      <c r="F4813" s="108" t="s">
        <v>22047</v>
      </c>
      <c r="G4813" s="110"/>
      <c r="H4813" s="108" t="s">
        <v>21842</v>
      </c>
      <c r="I4813" s="108"/>
    </row>
    <row r="4814" spans="1:9" ht="27.6">
      <c r="A4814" s="108" t="s">
        <v>16932</v>
      </c>
      <c r="B4814" s="108" t="s">
        <v>22533</v>
      </c>
      <c r="C4814" s="109">
        <v>40612</v>
      </c>
      <c r="D4814" s="108"/>
      <c r="E4814" s="108" t="s">
        <v>14605</v>
      </c>
      <c r="F4814" s="108" t="s">
        <v>21852</v>
      </c>
      <c r="G4814" s="110"/>
      <c r="H4814" s="108" t="s">
        <v>21842</v>
      </c>
      <c r="I4814" s="108"/>
    </row>
    <row r="4815" spans="1:9">
      <c r="A4815" s="108" t="s">
        <v>16935</v>
      </c>
      <c r="B4815" s="108" t="s">
        <v>22534</v>
      </c>
      <c r="C4815" s="109">
        <v>39954</v>
      </c>
      <c r="D4815" s="108"/>
      <c r="E4815" s="108" t="s">
        <v>14605</v>
      </c>
      <c r="F4815" s="108" t="s">
        <v>21920</v>
      </c>
      <c r="G4815" s="110"/>
      <c r="H4815" s="108" t="s">
        <v>21842</v>
      </c>
      <c r="I4815" s="108"/>
    </row>
    <row r="4816" spans="1:9">
      <c r="A4816" s="108" t="s">
        <v>16935</v>
      </c>
      <c r="B4816" s="108" t="s">
        <v>22535</v>
      </c>
      <c r="C4816" s="109">
        <v>40016</v>
      </c>
      <c r="D4816" s="108"/>
      <c r="E4816" s="108" t="s">
        <v>14605</v>
      </c>
      <c r="F4816" s="108" t="s">
        <v>22536</v>
      </c>
      <c r="G4816" s="110"/>
      <c r="H4816" s="108" t="s">
        <v>21842</v>
      </c>
      <c r="I4816" s="108"/>
    </row>
    <row r="4817" spans="1:9" ht="41.4">
      <c r="A4817" s="108" t="s">
        <v>16935</v>
      </c>
      <c r="B4817" s="108" t="s">
        <v>22537</v>
      </c>
      <c r="C4817" s="109">
        <v>40011</v>
      </c>
      <c r="D4817" s="108"/>
      <c r="E4817" s="108" t="s">
        <v>14605</v>
      </c>
      <c r="F4817" s="108" t="s">
        <v>22538</v>
      </c>
      <c r="G4817" s="110"/>
      <c r="H4817" s="108" t="s">
        <v>21842</v>
      </c>
      <c r="I4817" s="108"/>
    </row>
    <row r="4818" spans="1:9">
      <c r="A4818" s="108" t="s">
        <v>16935</v>
      </c>
      <c r="B4818" s="108" t="s">
        <v>22539</v>
      </c>
      <c r="C4818" s="109">
        <v>40161</v>
      </c>
      <c r="D4818" s="108"/>
      <c r="E4818" s="108" t="s">
        <v>14605</v>
      </c>
      <c r="F4818" s="108" t="s">
        <v>22540</v>
      </c>
      <c r="G4818" s="110"/>
      <c r="H4818" s="108" t="s">
        <v>21842</v>
      </c>
      <c r="I4818" s="108"/>
    </row>
    <row r="4819" spans="1:9">
      <c r="A4819" s="108" t="s">
        <v>16935</v>
      </c>
      <c r="B4819" s="108" t="s">
        <v>22541</v>
      </c>
      <c r="C4819" s="109">
        <v>40073</v>
      </c>
      <c r="D4819" s="108"/>
      <c r="E4819" s="108" t="s">
        <v>14605</v>
      </c>
      <c r="F4819" s="108" t="s">
        <v>21990</v>
      </c>
      <c r="G4819" s="110"/>
      <c r="H4819" s="108" t="s">
        <v>21842</v>
      </c>
      <c r="I4819" s="108"/>
    </row>
    <row r="4820" spans="1:9">
      <c r="A4820" s="108" t="s">
        <v>16935</v>
      </c>
      <c r="B4820" s="108" t="s">
        <v>22542</v>
      </c>
      <c r="C4820" s="109">
        <v>40108</v>
      </c>
      <c r="D4820" s="108"/>
      <c r="E4820" s="108" t="s">
        <v>14605</v>
      </c>
      <c r="F4820" s="108" t="s">
        <v>22543</v>
      </c>
      <c r="G4820" s="110"/>
      <c r="H4820" s="108" t="s">
        <v>21842</v>
      </c>
      <c r="I4820" s="108"/>
    </row>
    <row r="4821" spans="1:9" ht="27.6">
      <c r="A4821" s="108" t="s">
        <v>16935</v>
      </c>
      <c r="B4821" s="108" t="s">
        <v>22544</v>
      </c>
      <c r="C4821" s="109">
        <v>40184</v>
      </c>
      <c r="D4821" s="108"/>
      <c r="E4821" s="108" t="s">
        <v>14605</v>
      </c>
      <c r="F4821" s="108" t="s">
        <v>21862</v>
      </c>
      <c r="G4821" s="110"/>
      <c r="H4821" s="108" t="s">
        <v>21842</v>
      </c>
      <c r="I4821" s="108"/>
    </row>
    <row r="4822" spans="1:9">
      <c r="A4822" s="108" t="s">
        <v>16935</v>
      </c>
      <c r="B4822" s="108" t="s">
        <v>22545</v>
      </c>
      <c r="C4822" s="109">
        <v>40217</v>
      </c>
      <c r="D4822" s="108"/>
      <c r="E4822" s="108" t="s">
        <v>14605</v>
      </c>
      <c r="F4822" s="108" t="s">
        <v>22151</v>
      </c>
      <c r="G4822" s="110"/>
      <c r="H4822" s="108" t="s">
        <v>21842</v>
      </c>
      <c r="I4822" s="108"/>
    </row>
    <row r="4823" spans="1:9">
      <c r="A4823" s="108" t="s">
        <v>16935</v>
      </c>
      <c r="B4823" s="108" t="s">
        <v>22546</v>
      </c>
      <c r="C4823" s="109">
        <v>40337</v>
      </c>
      <c r="D4823" s="108"/>
      <c r="E4823" s="108" t="s">
        <v>14605</v>
      </c>
      <c r="F4823" s="108" t="s">
        <v>22178</v>
      </c>
      <c r="G4823" s="110"/>
      <c r="H4823" s="108" t="s">
        <v>21842</v>
      </c>
      <c r="I4823" s="108"/>
    </row>
    <row r="4824" spans="1:9">
      <c r="A4824" s="108" t="s">
        <v>16935</v>
      </c>
      <c r="B4824" s="108" t="s">
        <v>22547</v>
      </c>
      <c r="C4824" s="109">
        <v>40400</v>
      </c>
      <c r="D4824" s="108"/>
      <c r="E4824" s="108" t="s">
        <v>14605</v>
      </c>
      <c r="F4824" s="108" t="s">
        <v>22067</v>
      </c>
      <c r="G4824" s="110"/>
      <c r="H4824" s="108" t="s">
        <v>21842</v>
      </c>
      <c r="I4824" s="108"/>
    </row>
    <row r="4825" spans="1:9">
      <c r="A4825" s="108" t="s">
        <v>237</v>
      </c>
      <c r="B4825" s="108" t="s">
        <v>22548</v>
      </c>
      <c r="C4825" s="109">
        <v>40142</v>
      </c>
      <c r="D4825" s="108"/>
      <c r="E4825" s="108" t="s">
        <v>14605</v>
      </c>
      <c r="F4825" s="108" t="s">
        <v>22549</v>
      </c>
      <c r="G4825" s="110"/>
      <c r="H4825" s="108" t="s">
        <v>21842</v>
      </c>
      <c r="I4825" s="108"/>
    </row>
    <row r="4826" spans="1:9" ht="27.6">
      <c r="A4826" s="108" t="s">
        <v>237</v>
      </c>
      <c r="B4826" s="108" t="s">
        <v>22550</v>
      </c>
      <c r="C4826" s="109">
        <v>40144</v>
      </c>
      <c r="D4826" s="108"/>
      <c r="E4826" s="108" t="s">
        <v>14605</v>
      </c>
      <c r="F4826" s="108" t="s">
        <v>22551</v>
      </c>
      <c r="G4826" s="110"/>
      <c r="H4826" s="108" t="s">
        <v>21842</v>
      </c>
      <c r="I4826" s="108"/>
    </row>
    <row r="4827" spans="1:9" ht="41.4">
      <c r="A4827" s="108" t="s">
        <v>237</v>
      </c>
      <c r="B4827" s="108" t="s">
        <v>22552</v>
      </c>
      <c r="C4827" s="109">
        <v>40175</v>
      </c>
      <c r="D4827" s="108"/>
      <c r="E4827" s="108" t="s">
        <v>14605</v>
      </c>
      <c r="F4827" s="108" t="s">
        <v>22553</v>
      </c>
      <c r="G4827" s="110"/>
      <c r="H4827" s="108" t="s">
        <v>21842</v>
      </c>
      <c r="I4827" s="108"/>
    </row>
    <row r="4828" spans="1:9" ht="41.4">
      <c r="A4828" s="108" t="s">
        <v>237</v>
      </c>
      <c r="B4828" s="108" t="s">
        <v>22554</v>
      </c>
      <c r="C4828" s="109">
        <v>40253</v>
      </c>
      <c r="D4828" s="108"/>
      <c r="E4828" s="108" t="s">
        <v>14605</v>
      </c>
      <c r="F4828" s="108" t="s">
        <v>22555</v>
      </c>
      <c r="G4828" s="110"/>
      <c r="H4828" s="108" t="s">
        <v>21842</v>
      </c>
      <c r="I4828" s="108"/>
    </row>
    <row r="4829" spans="1:9" ht="27.6">
      <c r="A4829" s="108" t="s">
        <v>237</v>
      </c>
      <c r="B4829" s="108" t="s">
        <v>22556</v>
      </c>
      <c r="C4829" s="109">
        <v>40261</v>
      </c>
      <c r="D4829" s="108"/>
      <c r="E4829" s="108" t="s">
        <v>14605</v>
      </c>
      <c r="F4829" s="108" t="s">
        <v>22557</v>
      </c>
      <c r="G4829" s="110"/>
      <c r="H4829" s="108" t="s">
        <v>21842</v>
      </c>
      <c r="I4829" s="108"/>
    </row>
    <row r="4830" spans="1:9" ht="27.6">
      <c r="A4830" s="108" t="s">
        <v>237</v>
      </c>
      <c r="B4830" s="108" t="s">
        <v>22558</v>
      </c>
      <c r="C4830" s="109">
        <v>40247</v>
      </c>
      <c r="D4830" s="108"/>
      <c r="E4830" s="108" t="s">
        <v>14605</v>
      </c>
      <c r="F4830" s="108" t="s">
        <v>22559</v>
      </c>
      <c r="G4830" s="110"/>
      <c r="H4830" s="108" t="s">
        <v>21842</v>
      </c>
      <c r="I4830" s="108"/>
    </row>
    <row r="4831" spans="1:9" ht="41.4">
      <c r="A4831" s="108" t="s">
        <v>237</v>
      </c>
      <c r="B4831" s="108" t="s">
        <v>22560</v>
      </c>
      <c r="C4831" s="109">
        <v>40262</v>
      </c>
      <c r="D4831" s="108"/>
      <c r="E4831" s="108" t="s">
        <v>14605</v>
      </c>
      <c r="F4831" s="108" t="s">
        <v>15957</v>
      </c>
      <c r="G4831" s="110"/>
      <c r="H4831" s="108" t="s">
        <v>21842</v>
      </c>
      <c r="I4831" s="108"/>
    </row>
    <row r="4832" spans="1:9" ht="27.6">
      <c r="A4832" s="108" t="s">
        <v>237</v>
      </c>
      <c r="B4832" s="108" t="s">
        <v>22561</v>
      </c>
      <c r="C4832" s="109">
        <v>40345</v>
      </c>
      <c r="D4832" s="108"/>
      <c r="E4832" s="108" t="s">
        <v>14605</v>
      </c>
      <c r="F4832" s="108" t="s">
        <v>22562</v>
      </c>
      <c r="G4832" s="110"/>
      <c r="H4832" s="108" t="s">
        <v>21842</v>
      </c>
      <c r="I4832" s="108"/>
    </row>
    <row r="4833" spans="1:9" ht="27.6">
      <c r="A4833" s="108" t="s">
        <v>237</v>
      </c>
      <c r="B4833" s="108" t="s">
        <v>22563</v>
      </c>
      <c r="C4833" s="109">
        <v>40280</v>
      </c>
      <c r="D4833" s="108"/>
      <c r="E4833" s="108" t="s">
        <v>14605</v>
      </c>
      <c r="F4833" s="108" t="s">
        <v>22564</v>
      </c>
      <c r="G4833" s="110"/>
      <c r="H4833" s="108" t="s">
        <v>21842</v>
      </c>
      <c r="I4833" s="108"/>
    </row>
    <row r="4834" spans="1:9" ht="41.4">
      <c r="A4834" s="108" t="s">
        <v>237</v>
      </c>
      <c r="B4834" s="108" t="s">
        <v>22565</v>
      </c>
      <c r="C4834" s="109">
        <v>40283</v>
      </c>
      <c r="D4834" s="108"/>
      <c r="E4834" s="108" t="s">
        <v>14605</v>
      </c>
      <c r="F4834" s="108" t="s">
        <v>22566</v>
      </c>
      <c r="G4834" s="110"/>
      <c r="H4834" s="108" t="s">
        <v>21842</v>
      </c>
      <c r="I4834" s="108"/>
    </row>
    <row r="4835" spans="1:9" ht="27.6">
      <c r="A4835" s="108" t="s">
        <v>237</v>
      </c>
      <c r="B4835" s="108" t="s">
        <v>22567</v>
      </c>
      <c r="C4835" s="109">
        <v>40353</v>
      </c>
      <c r="D4835" s="108"/>
      <c r="E4835" s="108" t="s">
        <v>14605</v>
      </c>
      <c r="F4835" s="108" t="s">
        <v>22568</v>
      </c>
      <c r="G4835" s="110"/>
      <c r="H4835" s="108" t="s">
        <v>21842</v>
      </c>
      <c r="I4835" s="108"/>
    </row>
    <row r="4836" spans="1:9" ht="27.6">
      <c r="A4836" s="108" t="s">
        <v>237</v>
      </c>
      <c r="B4836" s="108" t="s">
        <v>22569</v>
      </c>
      <c r="C4836" s="109">
        <v>40471</v>
      </c>
      <c r="D4836" s="108"/>
      <c r="E4836" s="108" t="s">
        <v>14605</v>
      </c>
      <c r="F4836" s="108" t="s">
        <v>22570</v>
      </c>
      <c r="G4836" s="110"/>
      <c r="H4836" s="108" t="s">
        <v>21842</v>
      </c>
      <c r="I4836" s="108"/>
    </row>
    <row r="4837" spans="1:9">
      <c r="A4837" s="108" t="s">
        <v>237</v>
      </c>
      <c r="B4837" s="108" t="s">
        <v>22571</v>
      </c>
      <c r="C4837" s="109">
        <v>40515</v>
      </c>
      <c r="D4837" s="108"/>
      <c r="E4837" s="108" t="s">
        <v>14605</v>
      </c>
      <c r="F4837" s="108" t="s">
        <v>22418</v>
      </c>
      <c r="G4837" s="110"/>
      <c r="H4837" s="108" t="s">
        <v>21842</v>
      </c>
      <c r="I4837" s="108"/>
    </row>
    <row r="4838" spans="1:9">
      <c r="A4838" s="108" t="s">
        <v>87</v>
      </c>
      <c r="B4838" s="108" t="s">
        <v>22572</v>
      </c>
      <c r="C4838" s="109">
        <v>40442</v>
      </c>
      <c r="D4838" s="108"/>
      <c r="E4838" s="108" t="s">
        <v>14605</v>
      </c>
      <c r="F4838" s="108" t="s">
        <v>21894</v>
      </c>
      <c r="G4838" s="110"/>
      <c r="H4838" s="108" t="s">
        <v>21842</v>
      </c>
      <c r="I4838" s="108"/>
    </row>
    <row r="4839" spans="1:9" ht="27.6">
      <c r="A4839" s="108" t="s">
        <v>87</v>
      </c>
      <c r="B4839" s="108" t="s">
        <v>22573</v>
      </c>
      <c r="C4839" s="109">
        <v>40507</v>
      </c>
      <c r="D4839" s="108"/>
      <c r="E4839" s="108" t="s">
        <v>14605</v>
      </c>
      <c r="F4839" s="108" t="s">
        <v>22574</v>
      </c>
      <c r="G4839" s="110"/>
      <c r="H4839" s="108" t="s">
        <v>21842</v>
      </c>
      <c r="I4839" s="108"/>
    </row>
    <row r="4840" spans="1:9" ht="27.6">
      <c r="A4840" s="108" t="s">
        <v>87</v>
      </c>
      <c r="B4840" s="108" t="s">
        <v>22575</v>
      </c>
      <c r="C4840" s="109">
        <v>40574</v>
      </c>
      <c r="D4840" s="108"/>
      <c r="E4840" s="108" t="s">
        <v>14605</v>
      </c>
      <c r="F4840" s="108" t="s">
        <v>22041</v>
      </c>
      <c r="G4840" s="110"/>
      <c r="H4840" s="108" t="s">
        <v>21842</v>
      </c>
      <c r="I4840" s="108"/>
    </row>
    <row r="4841" spans="1:9" ht="27.6">
      <c r="A4841" s="108" t="s">
        <v>14690</v>
      </c>
      <c r="B4841" s="108" t="s">
        <v>22576</v>
      </c>
      <c r="C4841" s="109">
        <v>40388</v>
      </c>
      <c r="D4841" s="108"/>
      <c r="E4841" s="108" t="s">
        <v>14605</v>
      </c>
      <c r="F4841" s="108" t="s">
        <v>22577</v>
      </c>
      <c r="G4841" s="110"/>
      <c r="H4841" s="108" t="s">
        <v>21842</v>
      </c>
      <c r="I4841" s="108"/>
    </row>
    <row r="4842" spans="1:9" ht="27.6">
      <c r="A4842" s="108" t="s">
        <v>14690</v>
      </c>
      <c r="B4842" s="108" t="s">
        <v>22578</v>
      </c>
      <c r="C4842" s="109">
        <v>40478</v>
      </c>
      <c r="D4842" s="108"/>
      <c r="E4842" s="108" t="s">
        <v>14605</v>
      </c>
      <c r="F4842" s="108" t="s">
        <v>22579</v>
      </c>
      <c r="G4842" s="110"/>
      <c r="H4842" s="108" t="s">
        <v>21842</v>
      </c>
      <c r="I4842" s="108"/>
    </row>
    <row r="4843" spans="1:9" ht="27.6">
      <c r="A4843" s="108" t="s">
        <v>2002</v>
      </c>
      <c r="B4843" s="108" t="s">
        <v>22580</v>
      </c>
      <c r="C4843" s="109">
        <v>40760</v>
      </c>
      <c r="D4843" s="108"/>
      <c r="E4843" s="108" t="s">
        <v>14605</v>
      </c>
      <c r="F4843" s="108" t="s">
        <v>22581</v>
      </c>
      <c r="G4843" s="110"/>
      <c r="H4843" s="108" t="s">
        <v>21842</v>
      </c>
      <c r="I4843" s="108"/>
    </row>
    <row r="4844" spans="1:9">
      <c r="A4844" s="108" t="s">
        <v>2002</v>
      </c>
      <c r="B4844" s="108" t="s">
        <v>22582</v>
      </c>
      <c r="C4844" s="109">
        <v>40536</v>
      </c>
      <c r="D4844" s="108"/>
      <c r="E4844" s="108" t="s">
        <v>14605</v>
      </c>
      <c r="F4844" s="108" t="s">
        <v>22401</v>
      </c>
      <c r="G4844" s="110"/>
      <c r="H4844" s="108" t="s">
        <v>21842</v>
      </c>
      <c r="I4844" s="108"/>
    </row>
    <row r="4845" spans="1:9" ht="27.6">
      <c r="A4845" s="108" t="s">
        <v>1465</v>
      </c>
      <c r="B4845" s="108" t="s">
        <v>22583</v>
      </c>
      <c r="C4845" s="109">
        <v>40532</v>
      </c>
      <c r="D4845" s="108"/>
      <c r="E4845" s="108" t="s">
        <v>14605</v>
      </c>
      <c r="F4845" s="108" t="s">
        <v>22205</v>
      </c>
      <c r="G4845" s="110"/>
      <c r="H4845" s="108" t="s">
        <v>21842</v>
      </c>
      <c r="I4845" s="108"/>
    </row>
    <row r="4846" spans="1:9" ht="27.6">
      <c r="A4846" s="108" t="s">
        <v>2002</v>
      </c>
      <c r="B4846" s="108" t="s">
        <v>22584</v>
      </c>
      <c r="C4846" s="109">
        <v>40975</v>
      </c>
      <c r="D4846" s="108"/>
      <c r="E4846" s="108" t="s">
        <v>14605</v>
      </c>
      <c r="F4846" s="108" t="s">
        <v>22585</v>
      </c>
      <c r="G4846" s="110"/>
      <c r="H4846" s="108" t="s">
        <v>21842</v>
      </c>
      <c r="I4846" s="108"/>
    </row>
    <row r="4847" spans="1:9" ht="27.6">
      <c r="A4847" s="108" t="s">
        <v>17530</v>
      </c>
      <c r="B4847" s="108" t="s">
        <v>22586</v>
      </c>
      <c r="C4847" s="109">
        <v>40695</v>
      </c>
      <c r="D4847" s="108"/>
      <c r="E4847" s="108" t="s">
        <v>14605</v>
      </c>
      <c r="F4847" s="108" t="s">
        <v>22587</v>
      </c>
      <c r="G4847" s="110"/>
      <c r="H4847" s="108" t="s">
        <v>21842</v>
      </c>
      <c r="I4847" s="108"/>
    </row>
    <row r="4848" spans="1:9">
      <c r="A4848" s="108" t="s">
        <v>2002</v>
      </c>
      <c r="B4848" s="108" t="s">
        <v>22588</v>
      </c>
      <c r="C4848" s="109">
        <v>40610</v>
      </c>
      <c r="D4848" s="108"/>
      <c r="E4848" s="108" t="s">
        <v>14605</v>
      </c>
      <c r="F4848" s="108" t="s">
        <v>22251</v>
      </c>
      <c r="G4848" s="110"/>
      <c r="H4848" s="108" t="s">
        <v>21842</v>
      </c>
      <c r="I4848" s="108"/>
    </row>
    <row r="4849" spans="1:9" ht="27.6">
      <c r="A4849" s="108" t="s">
        <v>2002</v>
      </c>
      <c r="B4849" s="108" t="s">
        <v>22589</v>
      </c>
      <c r="C4849" s="109">
        <v>40639</v>
      </c>
      <c r="D4849" s="108"/>
      <c r="E4849" s="108" t="s">
        <v>14605</v>
      </c>
      <c r="F4849" s="108" t="s">
        <v>22590</v>
      </c>
      <c r="G4849" s="110"/>
      <c r="H4849" s="108" t="s">
        <v>21842</v>
      </c>
      <c r="I4849" s="108"/>
    </row>
    <row r="4850" spans="1:9" ht="27.6">
      <c r="A4850" s="108" t="s">
        <v>2002</v>
      </c>
      <c r="B4850" s="108" t="s">
        <v>22591</v>
      </c>
      <c r="C4850" s="109">
        <v>40744</v>
      </c>
      <c r="D4850" s="108"/>
      <c r="E4850" s="108" t="s">
        <v>14605</v>
      </c>
      <c r="F4850" s="108" t="s">
        <v>21862</v>
      </c>
      <c r="G4850" s="110"/>
      <c r="H4850" s="108" t="s">
        <v>21842</v>
      </c>
      <c r="I4850" s="108"/>
    </row>
    <row r="4851" spans="1:9" ht="41.4">
      <c r="A4851" s="108" t="s">
        <v>2002</v>
      </c>
      <c r="B4851" s="108" t="s">
        <v>22592</v>
      </c>
      <c r="C4851" s="109">
        <v>40737</v>
      </c>
      <c r="D4851" s="108"/>
      <c r="E4851" s="108" t="s">
        <v>14605</v>
      </c>
      <c r="F4851" s="108" t="s">
        <v>15036</v>
      </c>
      <c r="G4851" s="110"/>
      <c r="H4851" s="108" t="s">
        <v>21842</v>
      </c>
      <c r="I4851" s="108"/>
    </row>
    <row r="4852" spans="1:9">
      <c r="A4852" s="108" t="s">
        <v>2002</v>
      </c>
      <c r="B4852" s="108" t="s">
        <v>22593</v>
      </c>
      <c r="C4852" s="109">
        <v>40791</v>
      </c>
      <c r="D4852" s="108"/>
      <c r="E4852" s="108" t="s">
        <v>14605</v>
      </c>
      <c r="F4852" s="108" t="s">
        <v>22449</v>
      </c>
      <c r="G4852" s="110"/>
      <c r="H4852" s="108" t="s">
        <v>21842</v>
      </c>
      <c r="I4852" s="108"/>
    </row>
    <row r="4853" spans="1:9" ht="41.4">
      <c r="A4853" s="108" t="s">
        <v>1465</v>
      </c>
      <c r="B4853" s="108" t="s">
        <v>22594</v>
      </c>
      <c r="C4853" s="109">
        <v>40631</v>
      </c>
      <c r="D4853" s="108"/>
      <c r="E4853" s="108" t="s">
        <v>14605</v>
      </c>
      <c r="F4853" s="108" t="s">
        <v>22595</v>
      </c>
      <c r="G4853" s="110"/>
      <c r="H4853" s="108" t="s">
        <v>21842</v>
      </c>
      <c r="I4853" s="108"/>
    </row>
    <row r="4854" spans="1:9" ht="27.6">
      <c r="A4854" s="108" t="s">
        <v>1465</v>
      </c>
      <c r="B4854" s="108" t="s">
        <v>22596</v>
      </c>
      <c r="C4854" s="109">
        <v>40808</v>
      </c>
      <c r="D4854" s="108"/>
      <c r="E4854" s="108" t="s">
        <v>14605</v>
      </c>
      <c r="F4854" s="108" t="s">
        <v>22597</v>
      </c>
      <c r="G4854" s="110"/>
      <c r="H4854" s="108" t="s">
        <v>21842</v>
      </c>
      <c r="I4854" s="108"/>
    </row>
    <row r="4855" spans="1:9" ht="27.6">
      <c r="A4855" s="108" t="s">
        <v>1465</v>
      </c>
      <c r="B4855" s="108" t="s">
        <v>22598</v>
      </c>
      <c r="C4855" s="109">
        <v>40815</v>
      </c>
      <c r="D4855" s="108"/>
      <c r="E4855" s="108" t="s">
        <v>14605</v>
      </c>
      <c r="F4855" s="108" t="s">
        <v>22599</v>
      </c>
      <c r="G4855" s="110"/>
      <c r="H4855" s="108" t="s">
        <v>21842</v>
      </c>
      <c r="I4855" s="108"/>
    </row>
    <row r="4856" spans="1:9" ht="27.6">
      <c r="A4856" s="108" t="s">
        <v>1465</v>
      </c>
      <c r="B4856" s="108" t="s">
        <v>22600</v>
      </c>
      <c r="C4856" s="109">
        <v>40847</v>
      </c>
      <c r="D4856" s="108"/>
      <c r="E4856" s="108" t="s">
        <v>14605</v>
      </c>
      <c r="F4856" s="108" t="s">
        <v>22601</v>
      </c>
      <c r="G4856" s="110"/>
      <c r="H4856" s="108" t="s">
        <v>21842</v>
      </c>
      <c r="I4856" s="108"/>
    </row>
    <row r="4857" spans="1:9">
      <c r="A4857" s="108" t="s">
        <v>14679</v>
      </c>
      <c r="B4857" s="108" t="s">
        <v>22602</v>
      </c>
      <c r="C4857" s="109">
        <v>40841</v>
      </c>
      <c r="D4857" s="108"/>
      <c r="E4857" s="108" t="s">
        <v>14605</v>
      </c>
      <c r="F4857" s="108" t="s">
        <v>22603</v>
      </c>
      <c r="G4857" s="110"/>
      <c r="H4857" s="108" t="s">
        <v>21842</v>
      </c>
      <c r="I4857" s="108"/>
    </row>
    <row r="4858" spans="1:9" ht="27.6">
      <c r="A4858" s="108" t="s">
        <v>1465</v>
      </c>
      <c r="B4858" s="108" t="s">
        <v>22604</v>
      </c>
      <c r="C4858" s="109">
        <v>40968</v>
      </c>
      <c r="D4858" s="108"/>
      <c r="E4858" s="108" t="s">
        <v>14605</v>
      </c>
      <c r="F4858" s="108" t="s">
        <v>22605</v>
      </c>
      <c r="G4858" s="110"/>
      <c r="H4858" s="108" t="s">
        <v>21842</v>
      </c>
      <c r="I4858" s="108"/>
    </row>
    <row r="4859" spans="1:9" ht="41.4">
      <c r="A4859" s="108" t="s">
        <v>14690</v>
      </c>
      <c r="B4859" s="108" t="s">
        <v>22606</v>
      </c>
      <c r="C4859" s="109">
        <v>40604</v>
      </c>
      <c r="D4859" s="108"/>
      <c r="E4859" s="108" t="s">
        <v>14605</v>
      </c>
      <c r="F4859" s="108" t="s">
        <v>21884</v>
      </c>
      <c r="G4859" s="110"/>
      <c r="H4859" s="108" t="s">
        <v>21842</v>
      </c>
      <c r="I4859" s="108"/>
    </row>
    <row r="4860" spans="1:9" ht="41.4">
      <c r="A4860" s="108" t="s">
        <v>237</v>
      </c>
      <c r="B4860" s="108" t="s">
        <v>22607</v>
      </c>
      <c r="C4860" s="109">
        <v>40554</v>
      </c>
      <c r="D4860" s="108"/>
      <c r="E4860" s="108" t="s">
        <v>14605</v>
      </c>
      <c r="F4860" s="108" t="s">
        <v>15036</v>
      </c>
      <c r="G4860" s="110"/>
      <c r="H4860" s="108" t="s">
        <v>21842</v>
      </c>
      <c r="I4860" s="108"/>
    </row>
    <row r="4861" spans="1:9" ht="41.4">
      <c r="A4861" s="108" t="s">
        <v>87</v>
      </c>
      <c r="B4861" s="108" t="s">
        <v>22608</v>
      </c>
      <c r="C4861" s="109">
        <v>40613</v>
      </c>
      <c r="D4861" s="108"/>
      <c r="E4861" s="108" t="s">
        <v>14605</v>
      </c>
      <c r="F4861" s="108" t="s">
        <v>21929</v>
      </c>
      <c r="G4861" s="110"/>
      <c r="H4861" s="108" t="s">
        <v>21842</v>
      </c>
      <c r="I4861" s="108"/>
    </row>
    <row r="4862" spans="1:9">
      <c r="A4862" s="108" t="s">
        <v>87</v>
      </c>
      <c r="B4862" s="108" t="s">
        <v>22609</v>
      </c>
      <c r="C4862" s="109">
        <v>40725</v>
      </c>
      <c r="D4862" s="108"/>
      <c r="E4862" s="108" t="s">
        <v>14605</v>
      </c>
      <c r="F4862" s="108" t="s">
        <v>21920</v>
      </c>
      <c r="G4862" s="110"/>
      <c r="H4862" s="108" t="s">
        <v>21842</v>
      </c>
      <c r="I4862" s="108"/>
    </row>
    <row r="4863" spans="1:9" ht="27.6">
      <c r="A4863" s="108" t="s">
        <v>87</v>
      </c>
      <c r="B4863" s="108" t="s">
        <v>22610</v>
      </c>
      <c r="C4863" s="109">
        <v>40905</v>
      </c>
      <c r="D4863" s="108"/>
      <c r="E4863" s="108" t="s">
        <v>14605</v>
      </c>
      <c r="F4863" s="108" t="s">
        <v>22142</v>
      </c>
      <c r="G4863" s="110"/>
      <c r="H4863" s="108" t="s">
        <v>21842</v>
      </c>
      <c r="I4863" s="108"/>
    </row>
    <row r="4864" spans="1:9">
      <c r="A4864" s="108" t="s">
        <v>87</v>
      </c>
      <c r="B4864" s="108" t="s">
        <v>22611</v>
      </c>
      <c r="C4864" s="109">
        <v>40939</v>
      </c>
      <c r="D4864" s="108"/>
      <c r="E4864" s="108" t="s">
        <v>14605</v>
      </c>
      <c r="F4864" s="108" t="s">
        <v>22612</v>
      </c>
      <c r="G4864" s="110"/>
      <c r="H4864" s="108" t="s">
        <v>21842</v>
      </c>
      <c r="I4864" s="108"/>
    </row>
    <row r="4865" spans="1:9" ht="27.6">
      <c r="A4865" s="108" t="s">
        <v>14690</v>
      </c>
      <c r="B4865" s="108" t="s">
        <v>22613</v>
      </c>
      <c r="C4865" s="109">
        <v>40620</v>
      </c>
      <c r="D4865" s="108"/>
      <c r="E4865" s="108" t="s">
        <v>14605</v>
      </c>
      <c r="F4865" s="108" t="s">
        <v>22614</v>
      </c>
      <c r="G4865" s="110"/>
      <c r="H4865" s="108" t="s">
        <v>21842</v>
      </c>
      <c r="I4865" s="108"/>
    </row>
    <row r="4866" spans="1:9" ht="27.6">
      <c r="A4866" s="108" t="s">
        <v>14690</v>
      </c>
      <c r="B4866" s="108" t="s">
        <v>22615</v>
      </c>
      <c r="C4866" s="109">
        <v>40722</v>
      </c>
      <c r="D4866" s="108"/>
      <c r="E4866" s="108" t="s">
        <v>14605</v>
      </c>
      <c r="F4866" s="108" t="s">
        <v>22616</v>
      </c>
      <c r="G4866" s="110"/>
      <c r="H4866" s="108" t="s">
        <v>21842</v>
      </c>
      <c r="I4866" s="108"/>
    </row>
    <row r="4867" spans="1:9" ht="27.6">
      <c r="A4867" s="108" t="s">
        <v>237</v>
      </c>
      <c r="B4867" s="108" t="s">
        <v>22617</v>
      </c>
      <c r="C4867" s="109">
        <v>40778</v>
      </c>
      <c r="D4867" s="108"/>
      <c r="E4867" s="108" t="s">
        <v>14605</v>
      </c>
      <c r="F4867" s="108" t="s">
        <v>22618</v>
      </c>
      <c r="G4867" s="110"/>
      <c r="H4867" s="108" t="s">
        <v>21842</v>
      </c>
      <c r="I4867" s="108"/>
    </row>
    <row r="4868" spans="1:9" ht="27.6">
      <c r="A4868" s="108" t="s">
        <v>237</v>
      </c>
      <c r="B4868" s="108" t="s">
        <v>22619</v>
      </c>
      <c r="C4868" s="109">
        <v>40806</v>
      </c>
      <c r="D4868" s="108"/>
      <c r="E4868" s="108" t="s">
        <v>14605</v>
      </c>
      <c r="F4868" s="108" t="s">
        <v>22110</v>
      </c>
      <c r="G4868" s="110"/>
      <c r="H4868" s="108" t="s">
        <v>21842</v>
      </c>
      <c r="I4868" s="108"/>
    </row>
    <row r="4869" spans="1:9" ht="27.6">
      <c r="A4869" s="108" t="s">
        <v>237</v>
      </c>
      <c r="B4869" s="108" t="s">
        <v>22620</v>
      </c>
      <c r="C4869" s="109">
        <v>40834</v>
      </c>
      <c r="D4869" s="108"/>
      <c r="E4869" s="108" t="s">
        <v>14605</v>
      </c>
      <c r="F4869" s="108" t="s">
        <v>21975</v>
      </c>
      <c r="G4869" s="110"/>
      <c r="H4869" s="108" t="s">
        <v>21842</v>
      </c>
      <c r="I4869" s="108"/>
    </row>
    <row r="4870" spans="1:9" ht="41.4">
      <c r="A4870" s="108" t="s">
        <v>87</v>
      </c>
      <c r="B4870" s="108" t="s">
        <v>22621</v>
      </c>
      <c r="C4870" s="109">
        <v>40955</v>
      </c>
      <c r="D4870" s="108"/>
      <c r="E4870" s="108" t="s">
        <v>14605</v>
      </c>
      <c r="F4870" s="108" t="s">
        <v>22622</v>
      </c>
      <c r="G4870" s="110"/>
      <c r="H4870" s="108" t="s">
        <v>21842</v>
      </c>
      <c r="I4870" s="108"/>
    </row>
    <row r="4871" spans="1:9" ht="27.6">
      <c r="A4871" s="108" t="s">
        <v>237</v>
      </c>
      <c r="B4871" s="108" t="s">
        <v>22623</v>
      </c>
      <c r="C4871" s="109">
        <v>40960</v>
      </c>
      <c r="D4871" s="108"/>
      <c r="E4871" s="108" t="s">
        <v>14605</v>
      </c>
      <c r="F4871" s="108" t="s">
        <v>22494</v>
      </c>
      <c r="G4871" s="110"/>
      <c r="H4871" s="108" t="s">
        <v>21842</v>
      </c>
      <c r="I4871" s="108"/>
    </row>
    <row r="4872" spans="1:9">
      <c r="A4872" s="108" t="s">
        <v>15705</v>
      </c>
      <c r="B4872" s="108" t="s">
        <v>22624</v>
      </c>
      <c r="C4872" s="109">
        <v>39135</v>
      </c>
      <c r="D4872" s="108"/>
      <c r="E4872" s="108" t="s">
        <v>14605</v>
      </c>
      <c r="F4872" s="108" t="s">
        <v>21945</v>
      </c>
      <c r="G4872" s="110"/>
      <c r="H4872" s="108" t="s">
        <v>21842</v>
      </c>
      <c r="I4872" s="108"/>
    </row>
    <row r="4873" spans="1:9">
      <c r="A4873" s="108" t="s">
        <v>15705</v>
      </c>
      <c r="B4873" s="108" t="s">
        <v>22625</v>
      </c>
      <c r="C4873" s="109">
        <v>38590</v>
      </c>
      <c r="D4873" s="108"/>
      <c r="E4873" s="108" t="s">
        <v>14605</v>
      </c>
      <c r="F4873" s="108" t="s">
        <v>22258</v>
      </c>
      <c r="G4873" s="110"/>
      <c r="H4873" s="108" t="s">
        <v>21842</v>
      </c>
      <c r="I4873" s="108"/>
    </row>
    <row r="4874" spans="1:9" ht="27.6">
      <c r="A4874" s="108" t="s">
        <v>15705</v>
      </c>
      <c r="B4874" s="108" t="s">
        <v>22626</v>
      </c>
      <c r="C4874" s="109">
        <v>38567</v>
      </c>
      <c r="D4874" s="108"/>
      <c r="E4874" s="108" t="s">
        <v>14605</v>
      </c>
      <c r="F4874" s="108" t="s">
        <v>22511</v>
      </c>
      <c r="G4874" s="110"/>
      <c r="H4874" s="108" t="s">
        <v>21842</v>
      </c>
      <c r="I4874" s="108"/>
    </row>
    <row r="4875" spans="1:9" ht="27.6">
      <c r="A4875" s="108" t="s">
        <v>15705</v>
      </c>
      <c r="B4875" s="108" t="s">
        <v>22627</v>
      </c>
      <c r="C4875" s="109">
        <v>38643</v>
      </c>
      <c r="D4875" s="108"/>
      <c r="E4875" s="108" t="s">
        <v>14605</v>
      </c>
      <c r="F4875" s="108" t="s">
        <v>22248</v>
      </c>
      <c r="G4875" s="110"/>
      <c r="H4875" s="108" t="s">
        <v>21842</v>
      </c>
      <c r="I4875" s="108"/>
    </row>
    <row r="4876" spans="1:9" ht="27.6">
      <c r="A4876" s="108" t="s">
        <v>15705</v>
      </c>
      <c r="B4876" s="108" t="s">
        <v>22628</v>
      </c>
      <c r="C4876" s="109">
        <v>38680</v>
      </c>
      <c r="D4876" s="108"/>
      <c r="E4876" s="108" t="s">
        <v>14605</v>
      </c>
      <c r="F4876" s="108" t="s">
        <v>22629</v>
      </c>
      <c r="G4876" s="110"/>
      <c r="H4876" s="108" t="s">
        <v>21842</v>
      </c>
      <c r="I4876" s="108"/>
    </row>
    <row r="4877" spans="1:9">
      <c r="A4877" s="108" t="s">
        <v>15705</v>
      </c>
      <c r="B4877" s="108" t="s">
        <v>22630</v>
      </c>
      <c r="C4877" s="109">
        <v>38798</v>
      </c>
      <c r="D4877" s="108"/>
      <c r="E4877" s="108" t="s">
        <v>14605</v>
      </c>
      <c r="F4877" s="108" t="s">
        <v>22288</v>
      </c>
      <c r="G4877" s="110"/>
      <c r="H4877" s="108" t="s">
        <v>21842</v>
      </c>
      <c r="I4877" s="108"/>
    </row>
    <row r="4878" spans="1:9" ht="27.6">
      <c r="A4878" s="108" t="s">
        <v>15705</v>
      </c>
      <c r="B4878" s="108" t="s">
        <v>22631</v>
      </c>
      <c r="C4878" s="109">
        <v>39157</v>
      </c>
      <c r="D4878" s="108"/>
      <c r="E4878" s="108" t="s">
        <v>14605</v>
      </c>
      <c r="F4878" s="108" t="s">
        <v>22632</v>
      </c>
      <c r="G4878" s="110"/>
      <c r="H4878" s="108" t="s">
        <v>21842</v>
      </c>
      <c r="I4878" s="108"/>
    </row>
    <row r="4879" spans="1:9">
      <c r="A4879" s="108" t="s">
        <v>15705</v>
      </c>
      <c r="B4879" s="108" t="s">
        <v>22633</v>
      </c>
      <c r="C4879" s="109">
        <v>38918</v>
      </c>
      <c r="D4879" s="108"/>
      <c r="E4879" s="108" t="s">
        <v>14605</v>
      </c>
      <c r="F4879" s="108" t="s">
        <v>22509</v>
      </c>
      <c r="G4879" s="110"/>
      <c r="H4879" s="108" t="s">
        <v>21842</v>
      </c>
      <c r="I4879" s="108"/>
    </row>
    <row r="4880" spans="1:9" ht="27.6">
      <c r="A4880" s="108" t="s">
        <v>15705</v>
      </c>
      <c r="B4880" s="108" t="s">
        <v>22634</v>
      </c>
      <c r="C4880" s="109">
        <v>38891</v>
      </c>
      <c r="D4880" s="108"/>
      <c r="E4880" s="108" t="s">
        <v>14605</v>
      </c>
      <c r="F4880" s="108" t="s">
        <v>22248</v>
      </c>
      <c r="G4880" s="110"/>
      <c r="H4880" s="108" t="s">
        <v>21842</v>
      </c>
      <c r="I4880" s="108"/>
    </row>
    <row r="4881" spans="1:9" ht="41.4">
      <c r="A4881" s="108" t="s">
        <v>15705</v>
      </c>
      <c r="B4881" s="108" t="s">
        <v>22635</v>
      </c>
      <c r="C4881" s="109">
        <v>39099</v>
      </c>
      <c r="D4881" s="108"/>
      <c r="E4881" s="108" t="s">
        <v>14605</v>
      </c>
      <c r="F4881" s="108" t="s">
        <v>22273</v>
      </c>
      <c r="G4881" s="110"/>
      <c r="H4881" s="108" t="s">
        <v>21842</v>
      </c>
      <c r="I4881" s="108"/>
    </row>
    <row r="4882" spans="1:9">
      <c r="A4882" s="108" t="s">
        <v>15705</v>
      </c>
      <c r="B4882" s="108" t="s">
        <v>22636</v>
      </c>
      <c r="C4882" s="109">
        <v>38796</v>
      </c>
      <c r="D4882" s="108"/>
      <c r="E4882" s="108" t="s">
        <v>14605</v>
      </c>
      <c r="F4882" s="108" t="s">
        <v>22637</v>
      </c>
      <c r="G4882" s="110"/>
      <c r="H4882" s="108" t="s">
        <v>21842</v>
      </c>
      <c r="I4882" s="108"/>
    </row>
    <row r="4883" spans="1:9" ht="27.6">
      <c r="A4883" s="108" t="s">
        <v>15705</v>
      </c>
      <c r="B4883" s="108" t="s">
        <v>22638</v>
      </c>
      <c r="C4883" s="109">
        <v>38796</v>
      </c>
      <c r="D4883" s="108"/>
      <c r="E4883" s="108" t="s">
        <v>14605</v>
      </c>
      <c r="F4883" s="108" t="s">
        <v>21858</v>
      </c>
      <c r="G4883" s="110"/>
      <c r="H4883" s="108" t="s">
        <v>21842</v>
      </c>
      <c r="I4883" s="108"/>
    </row>
    <row r="4884" spans="1:9" ht="27.6">
      <c r="A4884" s="108" t="s">
        <v>15705</v>
      </c>
      <c r="B4884" s="108" t="s">
        <v>22639</v>
      </c>
      <c r="C4884" s="109">
        <v>39525</v>
      </c>
      <c r="D4884" s="108"/>
      <c r="E4884" s="108" t="s">
        <v>14605</v>
      </c>
      <c r="F4884" s="108" t="s">
        <v>22551</v>
      </c>
      <c r="G4884" s="110"/>
      <c r="H4884" s="108" t="s">
        <v>21842</v>
      </c>
      <c r="I4884" s="108"/>
    </row>
    <row r="4885" spans="1:9" ht="27.6">
      <c r="A4885" s="108" t="s">
        <v>15705</v>
      </c>
      <c r="B4885" s="108" t="s">
        <v>22640</v>
      </c>
      <c r="C4885" s="109">
        <v>38660</v>
      </c>
      <c r="D4885" s="108"/>
      <c r="E4885" s="108" t="s">
        <v>14605</v>
      </c>
      <c r="F4885" s="108" t="s">
        <v>22122</v>
      </c>
      <c r="G4885" s="110"/>
      <c r="H4885" s="108" t="s">
        <v>21842</v>
      </c>
      <c r="I4885" s="108"/>
    </row>
    <row r="4886" spans="1:9" ht="41.4">
      <c r="A4886" s="108" t="s">
        <v>479</v>
      </c>
      <c r="B4886" s="108" t="s">
        <v>22641</v>
      </c>
      <c r="C4886" s="109">
        <v>40234</v>
      </c>
      <c r="D4886" s="108"/>
      <c r="E4886" s="108" t="s">
        <v>14605</v>
      </c>
      <c r="F4886" s="108" t="s">
        <v>22642</v>
      </c>
      <c r="G4886" s="110"/>
      <c r="H4886" s="108" t="s">
        <v>21842</v>
      </c>
      <c r="I4886" s="108"/>
    </row>
    <row r="4887" spans="1:9" ht="27.6">
      <c r="A4887" s="108" t="s">
        <v>207</v>
      </c>
      <c r="B4887" s="108" t="s">
        <v>22643</v>
      </c>
      <c r="C4887" s="109">
        <v>41850</v>
      </c>
      <c r="D4887" s="108"/>
      <c r="E4887" s="108" t="s">
        <v>14605</v>
      </c>
      <c r="F4887" s="108" t="s">
        <v>22014</v>
      </c>
      <c r="G4887" s="110"/>
      <c r="H4887" s="108" t="s">
        <v>21842</v>
      </c>
      <c r="I4887" s="108"/>
    </row>
    <row r="4888" spans="1:9" ht="41.4">
      <c r="A4888" s="108" t="s">
        <v>207</v>
      </c>
      <c r="B4888" s="108" t="s">
        <v>22644</v>
      </c>
      <c r="C4888" s="109">
        <v>41191</v>
      </c>
      <c r="D4888" s="108"/>
      <c r="E4888" s="108" t="s">
        <v>14605</v>
      </c>
      <c r="F4888" s="108" t="s">
        <v>22069</v>
      </c>
      <c r="G4888" s="110"/>
      <c r="H4888" s="108" t="s">
        <v>21842</v>
      </c>
      <c r="I4888" s="108"/>
    </row>
    <row r="4889" spans="1:9" ht="27.6">
      <c r="A4889" s="108" t="s">
        <v>207</v>
      </c>
      <c r="B4889" s="108" t="s">
        <v>22645</v>
      </c>
      <c r="C4889" s="109">
        <v>41199</v>
      </c>
      <c r="D4889" s="108"/>
      <c r="E4889" s="108" t="s">
        <v>14605</v>
      </c>
      <c r="F4889" s="108" t="s">
        <v>22646</v>
      </c>
      <c r="G4889" s="110"/>
      <c r="H4889" s="108" t="s">
        <v>21842</v>
      </c>
      <c r="I4889" s="108"/>
    </row>
    <row r="4890" spans="1:9" ht="27.6">
      <c r="A4890" s="108" t="s">
        <v>207</v>
      </c>
      <c r="B4890" s="108" t="s">
        <v>22647</v>
      </c>
      <c r="C4890" s="109">
        <v>41730</v>
      </c>
      <c r="D4890" s="108"/>
      <c r="E4890" s="108" t="s">
        <v>14605</v>
      </c>
      <c r="F4890" s="108" t="s">
        <v>22648</v>
      </c>
      <c r="G4890" s="110"/>
      <c r="H4890" s="108" t="s">
        <v>21842</v>
      </c>
      <c r="I4890" s="108"/>
    </row>
    <row r="4891" spans="1:9" ht="41.4">
      <c r="A4891" s="108" t="s">
        <v>207</v>
      </c>
      <c r="B4891" s="108" t="s">
        <v>22649</v>
      </c>
      <c r="C4891" s="109">
        <v>41618</v>
      </c>
      <c r="D4891" s="108"/>
      <c r="E4891" s="108" t="s">
        <v>14605</v>
      </c>
      <c r="F4891" s="108" t="s">
        <v>21933</v>
      </c>
      <c r="G4891" s="110"/>
      <c r="H4891" s="108" t="s">
        <v>21842</v>
      </c>
      <c r="I4891" s="108"/>
    </row>
    <row r="4892" spans="1:9" ht="27.6">
      <c r="A4892" s="108" t="s">
        <v>207</v>
      </c>
      <c r="B4892" s="108" t="s">
        <v>22650</v>
      </c>
      <c r="C4892" s="109">
        <v>41704</v>
      </c>
      <c r="D4892" s="108"/>
      <c r="E4892" s="108" t="s">
        <v>14605</v>
      </c>
      <c r="F4892" s="108" t="s">
        <v>22426</v>
      </c>
      <c r="G4892" s="110"/>
      <c r="H4892" s="108" t="s">
        <v>21842</v>
      </c>
      <c r="I4892" s="108"/>
    </row>
    <row r="4893" spans="1:9" ht="41.4">
      <c r="A4893" s="108" t="s">
        <v>207</v>
      </c>
      <c r="B4893" s="108" t="s">
        <v>22651</v>
      </c>
      <c r="C4893" s="109">
        <v>41696</v>
      </c>
      <c r="D4893" s="108"/>
      <c r="E4893" s="108" t="s">
        <v>14605</v>
      </c>
      <c r="F4893" s="108" t="s">
        <v>22566</v>
      </c>
      <c r="G4893" s="110"/>
      <c r="H4893" s="108" t="s">
        <v>21842</v>
      </c>
      <c r="I4893" s="108"/>
    </row>
    <row r="4894" spans="1:9" ht="27.6">
      <c r="A4894" s="108" t="s">
        <v>207</v>
      </c>
      <c r="B4894" s="108" t="s">
        <v>22652</v>
      </c>
      <c r="C4894" s="109">
        <v>42515</v>
      </c>
      <c r="D4894" s="108"/>
      <c r="E4894" s="108" t="s">
        <v>14605</v>
      </c>
      <c r="F4894" s="108" t="s">
        <v>22014</v>
      </c>
      <c r="G4894" s="110"/>
      <c r="H4894" s="108" t="s">
        <v>21842</v>
      </c>
      <c r="I4894" s="108"/>
    </row>
    <row r="4895" spans="1:9" ht="27.6">
      <c r="A4895" s="108" t="s">
        <v>207</v>
      </c>
      <c r="B4895" s="108" t="s">
        <v>22653</v>
      </c>
      <c r="C4895" s="109">
        <v>41746</v>
      </c>
      <c r="D4895" s="108"/>
      <c r="E4895" s="108" t="s">
        <v>14605</v>
      </c>
      <c r="F4895" s="108" t="s">
        <v>21920</v>
      </c>
      <c r="G4895" s="110"/>
      <c r="H4895" s="108" t="s">
        <v>21842</v>
      </c>
      <c r="I4895" s="108"/>
    </row>
    <row r="4896" spans="1:9" ht="27.6">
      <c r="A4896" s="108" t="s">
        <v>207</v>
      </c>
      <c r="B4896" s="108" t="s">
        <v>22654</v>
      </c>
      <c r="C4896" s="109">
        <v>41880</v>
      </c>
      <c r="D4896" s="108"/>
      <c r="E4896" s="108" t="s">
        <v>14605</v>
      </c>
      <c r="F4896" s="108" t="s">
        <v>22655</v>
      </c>
      <c r="G4896" s="110"/>
      <c r="H4896" s="108" t="s">
        <v>21842</v>
      </c>
      <c r="I4896" s="108"/>
    </row>
    <row r="4897" spans="1:9" ht="27.6">
      <c r="A4897" s="108" t="s">
        <v>207</v>
      </c>
      <c r="B4897" s="108" t="s">
        <v>22656</v>
      </c>
      <c r="C4897" s="109">
        <v>41920</v>
      </c>
      <c r="D4897" s="108"/>
      <c r="E4897" s="108" t="s">
        <v>14605</v>
      </c>
      <c r="F4897" s="108" t="s">
        <v>22511</v>
      </c>
      <c r="G4897" s="110"/>
      <c r="H4897" s="108" t="s">
        <v>21842</v>
      </c>
      <c r="I4897" s="108"/>
    </row>
    <row r="4898" spans="1:9" ht="27.6">
      <c r="A4898" s="108" t="s">
        <v>207</v>
      </c>
      <c r="B4898" s="108" t="s">
        <v>22657</v>
      </c>
      <c r="C4898" s="109">
        <v>41990</v>
      </c>
      <c r="D4898" s="108"/>
      <c r="E4898" s="108" t="s">
        <v>14605</v>
      </c>
      <c r="F4898" s="108" t="s">
        <v>21969</v>
      </c>
      <c r="G4898" s="110"/>
      <c r="H4898" s="108" t="s">
        <v>21842</v>
      </c>
      <c r="I4898" s="108"/>
    </row>
    <row r="4899" spans="1:9" ht="27.6">
      <c r="A4899" s="108" t="s">
        <v>207</v>
      </c>
      <c r="B4899" s="108" t="s">
        <v>22658</v>
      </c>
      <c r="C4899" s="109">
        <v>42094</v>
      </c>
      <c r="D4899" s="108"/>
      <c r="E4899" s="108" t="s">
        <v>14605</v>
      </c>
      <c r="F4899" s="108" t="s">
        <v>22151</v>
      </c>
      <c r="G4899" s="110"/>
      <c r="H4899" s="108" t="s">
        <v>21842</v>
      </c>
      <c r="I4899" s="108"/>
    </row>
    <row r="4900" spans="1:9" ht="27.6">
      <c r="A4900" s="108" t="s">
        <v>207</v>
      </c>
      <c r="B4900" s="108" t="s">
        <v>22659</v>
      </c>
      <c r="C4900" s="109">
        <v>42088</v>
      </c>
      <c r="D4900" s="108"/>
      <c r="E4900" s="108" t="s">
        <v>14605</v>
      </c>
      <c r="F4900" s="108" t="s">
        <v>21841</v>
      </c>
      <c r="G4900" s="110"/>
      <c r="H4900" s="108" t="s">
        <v>21842</v>
      </c>
      <c r="I4900" s="108"/>
    </row>
    <row r="4901" spans="1:9" ht="41.4">
      <c r="A4901" s="108" t="s">
        <v>207</v>
      </c>
      <c r="B4901" s="108" t="s">
        <v>22660</v>
      </c>
      <c r="C4901" s="109">
        <v>42214</v>
      </c>
      <c r="D4901" s="108"/>
      <c r="E4901" s="108" t="s">
        <v>14605</v>
      </c>
      <c r="F4901" s="108" t="s">
        <v>22001</v>
      </c>
      <c r="G4901" s="110"/>
      <c r="H4901" s="108" t="s">
        <v>21842</v>
      </c>
      <c r="I4901" s="108"/>
    </row>
    <row r="4902" spans="1:9" ht="27.6">
      <c r="A4902" s="108" t="s">
        <v>118</v>
      </c>
      <c r="B4902" s="108" t="s">
        <v>22661</v>
      </c>
      <c r="C4902" s="109">
        <v>42342</v>
      </c>
      <c r="D4902" s="108"/>
      <c r="E4902" s="108" t="s">
        <v>14605</v>
      </c>
      <c r="F4902" s="108" t="s">
        <v>22205</v>
      </c>
      <c r="G4902" s="110"/>
      <c r="H4902" s="108" t="s">
        <v>21842</v>
      </c>
      <c r="I4902" s="108"/>
    </row>
    <row r="4903" spans="1:9" ht="41.4">
      <c r="A4903" s="108" t="s">
        <v>207</v>
      </c>
      <c r="B4903" s="108" t="s">
        <v>22662</v>
      </c>
      <c r="C4903" s="109">
        <v>42297</v>
      </c>
      <c r="D4903" s="108"/>
      <c r="E4903" s="108" t="s">
        <v>14605</v>
      </c>
      <c r="F4903" s="108" t="s">
        <v>22369</v>
      </c>
      <c r="G4903" s="110"/>
      <c r="H4903" s="108" t="s">
        <v>21842</v>
      </c>
      <c r="I4903" s="108"/>
    </row>
    <row r="4904" spans="1:9" ht="41.4">
      <c r="A4904" s="108" t="s">
        <v>207</v>
      </c>
      <c r="B4904" s="108" t="s">
        <v>22663</v>
      </c>
      <c r="C4904" s="109">
        <v>42355</v>
      </c>
      <c r="D4904" s="108"/>
      <c r="E4904" s="108" t="s">
        <v>14605</v>
      </c>
      <c r="F4904" s="108" t="s">
        <v>22664</v>
      </c>
      <c r="G4904" s="110"/>
      <c r="H4904" s="108" t="s">
        <v>21842</v>
      </c>
      <c r="I4904" s="108"/>
    </row>
    <row r="4905" spans="1:9">
      <c r="A4905" s="108" t="s">
        <v>118</v>
      </c>
      <c r="B4905" s="108" t="s">
        <v>22665</v>
      </c>
      <c r="C4905" s="109">
        <v>42633</v>
      </c>
      <c r="D4905" s="108"/>
      <c r="E4905" s="108" t="s">
        <v>14605</v>
      </c>
      <c r="F4905" s="108" t="s">
        <v>22014</v>
      </c>
      <c r="G4905" s="110"/>
      <c r="H4905" s="108" t="s">
        <v>21842</v>
      </c>
      <c r="I4905" s="108"/>
    </row>
    <row r="4906" spans="1:9" ht="27.6">
      <c r="A4906" s="108" t="s">
        <v>118</v>
      </c>
      <c r="B4906" s="108" t="s">
        <v>22666</v>
      </c>
      <c r="C4906" s="109">
        <v>42718</v>
      </c>
      <c r="D4906" s="108"/>
      <c r="E4906" s="108" t="s">
        <v>14605</v>
      </c>
      <c r="F4906" s="108" t="s">
        <v>22667</v>
      </c>
      <c r="G4906" s="110"/>
      <c r="H4906" s="108" t="s">
        <v>21842</v>
      </c>
      <c r="I4906" s="108"/>
    </row>
    <row r="4907" spans="1:9" ht="27.6">
      <c r="A4907" s="108" t="s">
        <v>207</v>
      </c>
      <c r="B4907" s="108" t="s">
        <v>22668</v>
      </c>
      <c r="C4907" s="109">
        <v>43014</v>
      </c>
      <c r="D4907" s="108"/>
      <c r="E4907" s="108" t="s">
        <v>14605</v>
      </c>
      <c r="F4907" s="108" t="s">
        <v>15887</v>
      </c>
      <c r="G4907" s="110"/>
      <c r="H4907" s="108" t="s">
        <v>21842</v>
      </c>
      <c r="I4907" s="108"/>
    </row>
    <row r="4908" spans="1:9" ht="27.6">
      <c r="A4908" s="108" t="s">
        <v>207</v>
      </c>
      <c r="B4908" s="108" t="s">
        <v>22669</v>
      </c>
      <c r="C4908" s="109">
        <v>43371</v>
      </c>
      <c r="D4908" s="108"/>
      <c r="E4908" s="108" t="s">
        <v>14605</v>
      </c>
      <c r="F4908" s="108" t="s">
        <v>22477</v>
      </c>
      <c r="G4908" s="110"/>
      <c r="H4908" s="108" t="s">
        <v>21842</v>
      </c>
      <c r="I4908" s="108"/>
    </row>
    <row r="4909" spans="1:9" ht="27.6">
      <c r="A4909" s="108" t="s">
        <v>207</v>
      </c>
      <c r="B4909" s="108" t="s">
        <v>22670</v>
      </c>
      <c r="C4909" s="109">
        <v>43551</v>
      </c>
      <c r="D4909" s="108"/>
      <c r="E4909" s="108" t="s">
        <v>14605</v>
      </c>
      <c r="F4909" s="108" t="s">
        <v>22211</v>
      </c>
      <c r="G4909" s="110"/>
      <c r="H4909" s="108" t="s">
        <v>21842</v>
      </c>
      <c r="I4909" s="108"/>
    </row>
    <row r="4910" spans="1:9">
      <c r="A4910" s="108" t="s">
        <v>118</v>
      </c>
      <c r="B4910" s="108" t="s">
        <v>22671</v>
      </c>
      <c r="C4910" s="109">
        <v>43816</v>
      </c>
      <c r="D4910" s="108"/>
      <c r="E4910" s="108" t="s">
        <v>14605</v>
      </c>
      <c r="F4910" s="108" t="s">
        <v>22587</v>
      </c>
      <c r="G4910" s="110"/>
      <c r="H4910" s="108" t="s">
        <v>21842</v>
      </c>
      <c r="I4910" s="108"/>
    </row>
    <row r="4911" spans="1:9">
      <c r="A4911" s="108" t="s">
        <v>118</v>
      </c>
      <c r="B4911" s="108" t="s">
        <v>22672</v>
      </c>
      <c r="C4911" s="109">
        <v>44281</v>
      </c>
      <c r="D4911" s="108"/>
      <c r="E4911" s="108" t="s">
        <v>14605</v>
      </c>
      <c r="F4911" s="108" t="s">
        <v>22673</v>
      </c>
      <c r="G4911" s="110"/>
      <c r="H4911" s="108" t="s">
        <v>21842</v>
      </c>
      <c r="I4911" s="108"/>
    </row>
    <row r="4912" spans="1:9">
      <c r="A4912" s="108" t="s">
        <v>22674</v>
      </c>
      <c r="B4912" s="108" t="s">
        <v>22675</v>
      </c>
      <c r="C4912" s="109">
        <v>42879</v>
      </c>
      <c r="D4912" s="108"/>
      <c r="E4912" s="108" t="s">
        <v>14605</v>
      </c>
      <c r="F4912" s="108" t="s">
        <v>22014</v>
      </c>
      <c r="G4912" s="110"/>
      <c r="H4912" s="108" t="s">
        <v>21842</v>
      </c>
      <c r="I4912" s="108"/>
    </row>
    <row r="4913" spans="1:9">
      <c r="A4913" s="108" t="s">
        <v>22674</v>
      </c>
      <c r="B4913" s="108" t="s">
        <v>22676</v>
      </c>
      <c r="C4913" s="109">
        <v>43189</v>
      </c>
      <c r="D4913" s="108"/>
      <c r="E4913" s="108" t="s">
        <v>14605</v>
      </c>
      <c r="F4913" s="108" t="s">
        <v>22014</v>
      </c>
      <c r="G4913" s="110"/>
      <c r="H4913" s="108" t="s">
        <v>21842</v>
      </c>
      <c r="I4913" s="108"/>
    </row>
    <row r="4914" spans="1:9">
      <c r="A4914" s="108" t="s">
        <v>22674</v>
      </c>
      <c r="B4914" s="108" t="s">
        <v>22677</v>
      </c>
      <c r="C4914" s="109">
        <v>43249</v>
      </c>
      <c r="D4914" s="108"/>
      <c r="E4914" s="108" t="s">
        <v>14605</v>
      </c>
      <c r="F4914" s="108" t="s">
        <v>22014</v>
      </c>
      <c r="G4914" s="110"/>
      <c r="H4914" s="108" t="s">
        <v>21842</v>
      </c>
      <c r="I4914" s="108"/>
    </row>
    <row r="4915" spans="1:9">
      <c r="A4915" s="108" t="s">
        <v>3812</v>
      </c>
      <c r="B4915" s="108" t="s">
        <v>22678</v>
      </c>
      <c r="C4915" s="109">
        <v>43329</v>
      </c>
      <c r="D4915" s="108"/>
      <c r="E4915" s="108" t="s">
        <v>14605</v>
      </c>
      <c r="F4915" s="108" t="s">
        <v>22014</v>
      </c>
      <c r="G4915" s="110"/>
      <c r="H4915" s="108" t="s">
        <v>21842</v>
      </c>
      <c r="I4915" s="108"/>
    </row>
    <row r="4916" spans="1:9" ht="27.6">
      <c r="A4916" s="108" t="s">
        <v>3812</v>
      </c>
      <c r="B4916" s="108" t="s">
        <v>22679</v>
      </c>
      <c r="C4916" s="109">
        <v>43189</v>
      </c>
      <c r="D4916" s="108"/>
      <c r="E4916" s="108" t="s">
        <v>14605</v>
      </c>
      <c r="F4916" s="108" t="s">
        <v>22680</v>
      </c>
      <c r="G4916" s="110"/>
      <c r="H4916" s="108" t="s">
        <v>21842</v>
      </c>
      <c r="I4916" s="108"/>
    </row>
    <row r="4917" spans="1:9">
      <c r="A4917" s="108" t="s">
        <v>22674</v>
      </c>
      <c r="B4917" s="108" t="s">
        <v>22681</v>
      </c>
      <c r="C4917" s="109">
        <v>43635</v>
      </c>
      <c r="D4917" s="108"/>
      <c r="E4917" s="108" t="s">
        <v>14605</v>
      </c>
      <c r="F4917" s="108" t="s">
        <v>22014</v>
      </c>
      <c r="G4917" s="110"/>
      <c r="H4917" s="108" t="s">
        <v>21842</v>
      </c>
      <c r="I4917" s="108"/>
    </row>
    <row r="4918" spans="1:9">
      <c r="A4918" s="108" t="s">
        <v>22674</v>
      </c>
      <c r="B4918" s="108" t="s">
        <v>22682</v>
      </c>
      <c r="C4918" s="109">
        <v>43628</v>
      </c>
      <c r="D4918" s="108"/>
      <c r="E4918" s="108" t="s">
        <v>14605</v>
      </c>
      <c r="F4918" s="108" t="s">
        <v>22014</v>
      </c>
      <c r="G4918" s="110"/>
      <c r="H4918" s="108" t="s">
        <v>21842</v>
      </c>
      <c r="I4918" s="108"/>
    </row>
    <row r="4919" spans="1:9">
      <c r="A4919" s="108" t="s">
        <v>22674</v>
      </c>
      <c r="B4919" s="108" t="s">
        <v>22683</v>
      </c>
      <c r="C4919" s="109">
        <v>43628</v>
      </c>
      <c r="D4919" s="108"/>
      <c r="E4919" s="108" t="s">
        <v>14605</v>
      </c>
      <c r="F4919" s="108" t="s">
        <v>22014</v>
      </c>
      <c r="G4919" s="110"/>
      <c r="H4919" s="108" t="s">
        <v>21842</v>
      </c>
      <c r="I4919" s="108"/>
    </row>
    <row r="4920" spans="1:9">
      <c r="A4920" s="108" t="s">
        <v>22674</v>
      </c>
      <c r="B4920" s="108" t="s">
        <v>22684</v>
      </c>
      <c r="C4920" s="109">
        <v>44160</v>
      </c>
      <c r="D4920" s="108"/>
      <c r="E4920" s="108" t="s">
        <v>14605</v>
      </c>
      <c r="F4920" s="108" t="s">
        <v>22014</v>
      </c>
      <c r="G4920" s="110"/>
      <c r="H4920" s="108" t="s">
        <v>21842</v>
      </c>
      <c r="I4920" s="108"/>
    </row>
    <row r="4921" spans="1:9">
      <c r="A4921" s="108" t="s">
        <v>169</v>
      </c>
      <c r="B4921" s="108" t="s">
        <v>22685</v>
      </c>
      <c r="C4921" s="109">
        <v>44000</v>
      </c>
      <c r="D4921" s="108"/>
      <c r="E4921" s="108" t="s">
        <v>14605</v>
      </c>
      <c r="F4921" s="108" t="s">
        <v>22686</v>
      </c>
      <c r="G4921" s="110"/>
      <c r="H4921" s="108" t="s">
        <v>21842</v>
      </c>
      <c r="I4921" s="108"/>
    </row>
    <row r="4922" spans="1:9" ht="41.4">
      <c r="A4922" s="108" t="s">
        <v>169</v>
      </c>
      <c r="B4922" s="108" t="s">
        <v>22687</v>
      </c>
      <c r="C4922" s="109">
        <v>44113</v>
      </c>
      <c r="D4922" s="108"/>
      <c r="E4922" s="108" t="s">
        <v>14605</v>
      </c>
      <c r="F4922" s="108" t="s">
        <v>22553</v>
      </c>
      <c r="G4922" s="110"/>
      <c r="H4922" s="108" t="s">
        <v>21842</v>
      </c>
      <c r="I4922" s="108"/>
    </row>
    <row r="4923" spans="1:9">
      <c r="A4923" s="108" t="s">
        <v>169</v>
      </c>
      <c r="B4923" s="108" t="s">
        <v>22688</v>
      </c>
      <c r="C4923" s="109">
        <v>44180</v>
      </c>
      <c r="D4923" s="108"/>
      <c r="E4923" s="108" t="s">
        <v>14605</v>
      </c>
      <c r="F4923" s="108" t="s">
        <v>22689</v>
      </c>
      <c r="G4923" s="110"/>
      <c r="H4923" s="108" t="s">
        <v>21842</v>
      </c>
      <c r="I4923" s="108"/>
    </row>
    <row r="4924" spans="1:9">
      <c r="A4924" s="108" t="s">
        <v>169</v>
      </c>
      <c r="B4924" s="108" t="s">
        <v>22690</v>
      </c>
      <c r="C4924" s="109">
        <v>44253</v>
      </c>
      <c r="D4924" s="108"/>
      <c r="E4924" s="108" t="s">
        <v>14605</v>
      </c>
      <c r="F4924" s="108" t="s">
        <v>22691</v>
      </c>
      <c r="G4924" s="110"/>
      <c r="H4924" s="108" t="s">
        <v>21842</v>
      </c>
      <c r="I4924" s="108"/>
    </row>
    <row r="4925" spans="1:9">
      <c r="A4925" s="108" t="s">
        <v>169</v>
      </c>
      <c r="B4925" s="108" t="s">
        <v>22692</v>
      </c>
      <c r="C4925" s="109">
        <v>44239</v>
      </c>
      <c r="D4925" s="108"/>
      <c r="E4925" s="108" t="s">
        <v>14605</v>
      </c>
      <c r="F4925" s="108" t="s">
        <v>21876</v>
      </c>
      <c r="G4925" s="110"/>
      <c r="H4925" s="108" t="s">
        <v>21842</v>
      </c>
      <c r="I4925" s="108"/>
    </row>
    <row r="4926" spans="1:9" ht="27.6">
      <c r="A4926" s="108" t="s">
        <v>169</v>
      </c>
      <c r="B4926" s="108" t="s">
        <v>22693</v>
      </c>
      <c r="C4926" s="109">
        <v>44232</v>
      </c>
      <c r="D4926" s="108"/>
      <c r="E4926" s="108" t="s">
        <v>14605</v>
      </c>
      <c r="F4926" s="108" t="s">
        <v>22386</v>
      </c>
      <c r="G4926" s="110"/>
      <c r="H4926" s="108" t="s">
        <v>21842</v>
      </c>
      <c r="I4926" s="108"/>
    </row>
    <row r="4927" spans="1:9">
      <c r="A4927" s="108" t="s">
        <v>169</v>
      </c>
      <c r="B4927" s="108" t="s">
        <v>22694</v>
      </c>
      <c r="C4927" s="109">
        <v>44267</v>
      </c>
      <c r="D4927" s="108"/>
      <c r="E4927" s="108" t="s">
        <v>14605</v>
      </c>
      <c r="F4927" s="108" t="s">
        <v>21846</v>
      </c>
      <c r="G4927" s="110"/>
      <c r="H4927" s="108" t="s">
        <v>21842</v>
      </c>
      <c r="I4927" s="108"/>
    </row>
    <row r="4928" spans="1:9">
      <c r="A4928" s="108" t="s">
        <v>169</v>
      </c>
      <c r="B4928" s="108" t="s">
        <v>22695</v>
      </c>
      <c r="C4928" s="109">
        <v>44225</v>
      </c>
      <c r="D4928" s="108"/>
      <c r="E4928" s="108" t="s">
        <v>14605</v>
      </c>
      <c r="F4928" s="108" t="s">
        <v>14864</v>
      </c>
      <c r="G4928" s="110"/>
      <c r="H4928" s="108" t="s">
        <v>21842</v>
      </c>
      <c r="I4928" s="108"/>
    </row>
    <row r="4929" spans="1:9">
      <c r="A4929" s="108" t="s">
        <v>169</v>
      </c>
      <c r="B4929" s="108" t="s">
        <v>22696</v>
      </c>
      <c r="C4929" s="109">
        <v>44271</v>
      </c>
      <c r="D4929" s="108"/>
      <c r="E4929" s="108" t="s">
        <v>14605</v>
      </c>
      <c r="F4929" s="108" t="s">
        <v>22140</v>
      </c>
      <c r="G4929" s="110"/>
      <c r="H4929" s="108" t="s">
        <v>21842</v>
      </c>
      <c r="I4929" s="108"/>
    </row>
    <row r="4930" spans="1:9">
      <c r="A4930" s="108" t="s">
        <v>169</v>
      </c>
      <c r="B4930" s="108" t="s">
        <v>22697</v>
      </c>
      <c r="C4930" s="109">
        <v>44273</v>
      </c>
      <c r="D4930" s="108"/>
      <c r="E4930" s="108" t="s">
        <v>14605</v>
      </c>
      <c r="F4930" s="108" t="s">
        <v>15832</v>
      </c>
      <c r="G4930" s="110"/>
      <c r="H4930" s="108" t="s">
        <v>21842</v>
      </c>
      <c r="I4930" s="108"/>
    </row>
    <row r="4931" spans="1:9">
      <c r="A4931" s="108" t="s">
        <v>169</v>
      </c>
      <c r="B4931" s="108" t="s">
        <v>22698</v>
      </c>
      <c r="C4931" s="109">
        <v>44295</v>
      </c>
      <c r="D4931" s="108"/>
      <c r="E4931" s="108" t="s">
        <v>14605</v>
      </c>
      <c r="F4931" s="108" t="s">
        <v>15832</v>
      </c>
      <c r="G4931" s="110"/>
      <c r="H4931" s="108" t="s">
        <v>21842</v>
      </c>
      <c r="I4931" s="108"/>
    </row>
    <row r="4932" spans="1:9">
      <c r="A4932" s="108" t="s">
        <v>169</v>
      </c>
      <c r="B4932" s="108" t="s">
        <v>22699</v>
      </c>
      <c r="C4932" s="109">
        <v>44421</v>
      </c>
      <c r="D4932" s="108"/>
      <c r="E4932" s="108" t="s">
        <v>14605</v>
      </c>
      <c r="F4932" s="108" t="s">
        <v>22700</v>
      </c>
      <c r="G4932" s="110"/>
      <c r="H4932" s="108" t="s">
        <v>21842</v>
      </c>
      <c r="I4932" s="108"/>
    </row>
    <row r="4933" spans="1:9" ht="27.6">
      <c r="A4933" s="108" t="s">
        <v>169</v>
      </c>
      <c r="B4933" s="108" t="s">
        <v>22701</v>
      </c>
      <c r="C4933" s="109">
        <v>44421</v>
      </c>
      <c r="D4933" s="108"/>
      <c r="E4933" s="108" t="s">
        <v>14605</v>
      </c>
      <c r="F4933" s="108" t="s">
        <v>22488</v>
      </c>
      <c r="G4933" s="110"/>
      <c r="H4933" s="108" t="s">
        <v>21842</v>
      </c>
      <c r="I4933" s="108"/>
    </row>
    <row r="4934" spans="1:9">
      <c r="A4934" s="108" t="s">
        <v>169</v>
      </c>
      <c r="B4934" s="108" t="s">
        <v>22702</v>
      </c>
      <c r="C4934" s="109">
        <v>44428</v>
      </c>
      <c r="D4934" s="108"/>
      <c r="E4934" s="108" t="s">
        <v>14605</v>
      </c>
      <c r="F4934" s="108" t="s">
        <v>21903</v>
      </c>
      <c r="G4934" s="110"/>
      <c r="H4934" s="108" t="s">
        <v>21842</v>
      </c>
      <c r="I4934" s="108"/>
    </row>
    <row r="4935" spans="1:9">
      <c r="A4935" s="108" t="s">
        <v>169</v>
      </c>
      <c r="B4935" s="108" t="s">
        <v>22703</v>
      </c>
      <c r="C4935" s="109">
        <v>44441</v>
      </c>
      <c r="D4935" s="108"/>
      <c r="E4935" s="108" t="s">
        <v>14605</v>
      </c>
      <c r="F4935" s="108" t="s">
        <v>22193</v>
      </c>
      <c r="G4935" s="110"/>
      <c r="H4935" s="108" t="s">
        <v>21842</v>
      </c>
      <c r="I4935" s="108"/>
    </row>
    <row r="4936" spans="1:9">
      <c r="A4936" s="108" t="s">
        <v>169</v>
      </c>
      <c r="B4936" s="108" t="s">
        <v>22704</v>
      </c>
      <c r="C4936" s="109">
        <v>44587</v>
      </c>
      <c r="D4936" s="108"/>
      <c r="E4936" s="108" t="s">
        <v>14605</v>
      </c>
      <c r="F4936" s="108" t="s">
        <v>14835</v>
      </c>
      <c r="G4936" s="110"/>
      <c r="H4936" s="108" t="s">
        <v>21842</v>
      </c>
      <c r="I4936" s="108"/>
    </row>
    <row r="4937" spans="1:9">
      <c r="A4937" s="108" t="s">
        <v>169</v>
      </c>
      <c r="B4937" s="108" t="s">
        <v>22705</v>
      </c>
      <c r="C4937" s="109">
        <v>44617</v>
      </c>
      <c r="D4937" s="108"/>
      <c r="E4937" s="108" t="s">
        <v>14605</v>
      </c>
      <c r="F4937" s="108" t="s">
        <v>22706</v>
      </c>
      <c r="G4937" s="110"/>
      <c r="H4937" s="108" t="s">
        <v>21842</v>
      </c>
      <c r="I4937" s="108"/>
    </row>
    <row r="4938" spans="1:9">
      <c r="A4938" s="108" t="s">
        <v>169</v>
      </c>
      <c r="B4938" s="108" t="s">
        <v>22707</v>
      </c>
      <c r="C4938" s="109">
        <v>44622</v>
      </c>
      <c r="D4938" s="108"/>
      <c r="E4938" s="108" t="s">
        <v>14605</v>
      </c>
      <c r="F4938" s="108" t="s">
        <v>22211</v>
      </c>
      <c r="G4938" s="110"/>
      <c r="H4938" s="108" t="s">
        <v>21842</v>
      </c>
      <c r="I4938" s="108"/>
    </row>
    <row r="4939" spans="1:9" ht="27.6">
      <c r="A4939" s="108" t="s">
        <v>169</v>
      </c>
      <c r="B4939" s="108" t="s">
        <v>22708</v>
      </c>
      <c r="C4939" s="109">
        <v>44610</v>
      </c>
      <c r="D4939" s="108"/>
      <c r="E4939" s="108" t="s">
        <v>14605</v>
      </c>
      <c r="F4939" s="108" t="s">
        <v>22205</v>
      </c>
      <c r="G4939" s="110"/>
      <c r="H4939" s="108" t="s">
        <v>21842</v>
      </c>
      <c r="I4939" s="108"/>
    </row>
    <row r="4940" spans="1:9" ht="27.6">
      <c r="A4940" s="108" t="s">
        <v>169</v>
      </c>
      <c r="B4940" s="108" t="s">
        <v>22709</v>
      </c>
      <c r="C4940" s="109">
        <v>44617</v>
      </c>
      <c r="D4940" s="108"/>
      <c r="E4940" s="108" t="s">
        <v>14605</v>
      </c>
      <c r="F4940" s="108" t="s">
        <v>22710</v>
      </c>
      <c r="G4940" s="110"/>
      <c r="H4940" s="108" t="s">
        <v>21842</v>
      </c>
      <c r="I4940" s="108"/>
    </row>
    <row r="4941" spans="1:9" ht="41.4">
      <c r="A4941" s="108" t="s">
        <v>169</v>
      </c>
      <c r="B4941" s="108" t="s">
        <v>22711</v>
      </c>
      <c r="C4941" s="109">
        <v>44729</v>
      </c>
      <c r="D4941" s="108"/>
      <c r="E4941" s="108" t="s">
        <v>14605</v>
      </c>
      <c r="F4941" s="108" t="s">
        <v>22273</v>
      </c>
      <c r="G4941" s="110"/>
      <c r="H4941" s="108" t="s">
        <v>21842</v>
      </c>
      <c r="I4941" s="108"/>
    </row>
    <row r="4942" spans="1:9" ht="27.6">
      <c r="A4942" s="108" t="s">
        <v>1072</v>
      </c>
      <c r="B4942" s="108" t="s">
        <v>22712</v>
      </c>
      <c r="C4942" s="109">
        <v>44286</v>
      </c>
      <c r="D4942" s="108"/>
      <c r="E4942" s="108" t="s">
        <v>16121</v>
      </c>
      <c r="F4942" s="108" t="s">
        <v>22339</v>
      </c>
      <c r="G4942" s="110"/>
      <c r="H4942" s="108" t="s">
        <v>21842</v>
      </c>
      <c r="I4942" s="108"/>
    </row>
    <row r="4943" spans="1:9" ht="27.6">
      <c r="A4943" s="108" t="s">
        <v>1072</v>
      </c>
      <c r="B4943" s="108" t="s">
        <v>22713</v>
      </c>
      <c r="C4943" s="109">
        <v>44264</v>
      </c>
      <c r="D4943" s="108"/>
      <c r="E4943" s="108" t="s">
        <v>16121</v>
      </c>
      <c r="F4943" s="108" t="s">
        <v>22337</v>
      </c>
      <c r="G4943" s="110"/>
      <c r="H4943" s="108" t="s">
        <v>21842</v>
      </c>
      <c r="I4943" s="108"/>
    </row>
    <row r="4944" spans="1:9" ht="27.6">
      <c r="A4944" s="108" t="s">
        <v>109</v>
      </c>
      <c r="B4944" s="108" t="s">
        <v>22714</v>
      </c>
      <c r="C4944" s="109">
        <v>44614</v>
      </c>
      <c r="D4944" s="108"/>
      <c r="E4944" s="108" t="s">
        <v>14605</v>
      </c>
      <c r="F4944" s="108" t="s">
        <v>22715</v>
      </c>
      <c r="G4944" s="110"/>
      <c r="H4944" s="108" t="s">
        <v>21842</v>
      </c>
      <c r="I4944" s="108"/>
    </row>
    <row r="4945" spans="1:9" ht="27.6">
      <c r="A4945" s="108" t="s">
        <v>109</v>
      </c>
      <c r="B4945" s="108" t="s">
        <v>22716</v>
      </c>
      <c r="C4945" s="109">
        <v>44222</v>
      </c>
      <c r="D4945" s="108" t="s">
        <v>22717</v>
      </c>
      <c r="E4945" s="108" t="s">
        <v>16121</v>
      </c>
      <c r="F4945" s="108" t="s">
        <v>22337</v>
      </c>
      <c r="G4945" s="109">
        <v>45382</v>
      </c>
      <c r="H4945" s="108" t="s">
        <v>21842</v>
      </c>
      <c r="I4945" s="108" t="s">
        <v>95</v>
      </c>
    </row>
    <row r="4946" spans="1:9" ht="27.6">
      <c r="A4946" s="108" t="s">
        <v>1072</v>
      </c>
      <c r="B4946" s="108" t="s">
        <v>22718</v>
      </c>
      <c r="C4946" s="109">
        <v>44260</v>
      </c>
      <c r="D4946" s="108" t="s">
        <v>22719</v>
      </c>
      <c r="E4946" s="108" t="s">
        <v>16121</v>
      </c>
      <c r="F4946" s="108" t="s">
        <v>22335</v>
      </c>
      <c r="G4946" s="109">
        <v>46126</v>
      </c>
      <c r="H4946" s="108" t="s">
        <v>21842</v>
      </c>
      <c r="I4946" s="108" t="s">
        <v>95</v>
      </c>
    </row>
    <row r="4947" spans="1:9" ht="27.6">
      <c r="A4947" s="108" t="s">
        <v>109</v>
      </c>
      <c r="B4947" s="108" t="s">
        <v>22720</v>
      </c>
      <c r="C4947" s="109">
        <v>44776</v>
      </c>
      <c r="D4947" s="108" t="s">
        <v>22721</v>
      </c>
      <c r="E4947" s="108" t="s">
        <v>14605</v>
      </c>
      <c r="F4947" s="108" t="s">
        <v>22359</v>
      </c>
      <c r="G4947" s="109">
        <v>45871</v>
      </c>
      <c r="H4947" s="108" t="s">
        <v>21842</v>
      </c>
      <c r="I4947" s="108" t="s">
        <v>95</v>
      </c>
    </row>
    <row r="4948" spans="1:9">
      <c r="A4948" s="108" t="s">
        <v>16151</v>
      </c>
      <c r="B4948" s="108" t="s">
        <v>22722</v>
      </c>
      <c r="C4948" s="109">
        <v>44124</v>
      </c>
      <c r="D4948" s="108" t="s">
        <v>22723</v>
      </c>
      <c r="E4948" s="108" t="s">
        <v>14605</v>
      </c>
      <c r="F4948" s="108" t="s">
        <v>22724</v>
      </c>
      <c r="G4948" s="109">
        <v>46142</v>
      </c>
      <c r="H4948" s="108" t="s">
        <v>21842</v>
      </c>
      <c r="I4948" s="108" t="s">
        <v>95</v>
      </c>
    </row>
    <row r="4949" spans="1:9">
      <c r="A4949" s="108" t="s">
        <v>16151</v>
      </c>
      <c r="B4949" s="108" t="s">
        <v>22725</v>
      </c>
      <c r="C4949" s="109">
        <v>44125</v>
      </c>
      <c r="D4949" s="108" t="s">
        <v>22726</v>
      </c>
      <c r="E4949" s="108" t="s">
        <v>14605</v>
      </c>
      <c r="F4949" s="108" t="s">
        <v>22724</v>
      </c>
      <c r="G4949" s="109">
        <v>46142</v>
      </c>
      <c r="H4949" s="108" t="s">
        <v>21842</v>
      </c>
      <c r="I4949" s="108" t="s">
        <v>95</v>
      </c>
    </row>
    <row r="4950" spans="1:9" ht="27.6">
      <c r="A4950" s="108" t="s">
        <v>388</v>
      </c>
      <c r="B4950" s="108" t="s">
        <v>22727</v>
      </c>
      <c r="C4950" s="109">
        <v>44097</v>
      </c>
      <c r="D4950" s="108" t="s">
        <v>22728</v>
      </c>
      <c r="E4950" s="108" t="s">
        <v>16121</v>
      </c>
      <c r="F4950" s="108" t="s">
        <v>22729</v>
      </c>
      <c r="G4950" s="109">
        <v>45936</v>
      </c>
      <c r="H4950" s="108" t="s">
        <v>21842</v>
      </c>
      <c r="I4950" s="108" t="s">
        <v>95</v>
      </c>
    </row>
    <row r="4951" spans="1:9">
      <c r="A4951" s="108" t="s">
        <v>87</v>
      </c>
      <c r="B4951" s="108" t="s">
        <v>22730</v>
      </c>
      <c r="C4951" s="109">
        <v>44278</v>
      </c>
      <c r="D4951" s="108" t="s">
        <v>22731</v>
      </c>
      <c r="E4951" s="108" t="s">
        <v>14605</v>
      </c>
      <c r="F4951" s="108" t="s">
        <v>22732</v>
      </c>
      <c r="G4951" s="109">
        <v>45657</v>
      </c>
      <c r="H4951" s="108" t="s">
        <v>21842</v>
      </c>
      <c r="I4951" s="108" t="s">
        <v>79</v>
      </c>
    </row>
    <row r="4952" spans="1:9">
      <c r="A4952" s="108" t="s">
        <v>87</v>
      </c>
      <c r="B4952" s="108" t="s">
        <v>22733</v>
      </c>
      <c r="C4952" s="109">
        <v>44306</v>
      </c>
      <c r="D4952" s="108" t="s">
        <v>22734</v>
      </c>
      <c r="E4952" s="108" t="s">
        <v>14605</v>
      </c>
      <c r="F4952" s="108" t="s">
        <v>22732</v>
      </c>
      <c r="G4952" s="109">
        <v>45657</v>
      </c>
      <c r="H4952" s="108" t="s">
        <v>21842</v>
      </c>
      <c r="I4952" s="108" t="s">
        <v>79</v>
      </c>
    </row>
    <row r="4953" spans="1:9" ht="27.6">
      <c r="A4953" s="108" t="s">
        <v>20001</v>
      </c>
      <c r="B4953" s="108" t="s">
        <v>22735</v>
      </c>
      <c r="C4953" s="109">
        <v>44328</v>
      </c>
      <c r="D4953" s="108" t="s">
        <v>22736</v>
      </c>
      <c r="E4953" s="108" t="s">
        <v>14605</v>
      </c>
      <c r="F4953" s="108" t="s">
        <v>22732</v>
      </c>
      <c r="G4953" s="109">
        <v>45657</v>
      </c>
      <c r="H4953" s="108" t="s">
        <v>21842</v>
      </c>
      <c r="I4953" s="108" t="s">
        <v>79</v>
      </c>
    </row>
    <row r="4954" spans="1:9" ht="27.6">
      <c r="A4954" s="108" t="s">
        <v>20001</v>
      </c>
      <c r="B4954" s="108" t="s">
        <v>22737</v>
      </c>
      <c r="C4954" s="109">
        <v>44372</v>
      </c>
      <c r="D4954" s="108" t="s">
        <v>22738</v>
      </c>
      <c r="E4954" s="108" t="s">
        <v>14605</v>
      </c>
      <c r="F4954" s="108" t="s">
        <v>22732</v>
      </c>
      <c r="G4954" s="109">
        <v>45657</v>
      </c>
      <c r="H4954" s="108" t="s">
        <v>21842</v>
      </c>
      <c r="I4954" s="108" t="s">
        <v>79</v>
      </c>
    </row>
    <row r="4955" spans="1:9" ht="27.6">
      <c r="A4955" s="108" t="s">
        <v>20001</v>
      </c>
      <c r="B4955" s="108" t="s">
        <v>22739</v>
      </c>
      <c r="C4955" s="109">
        <v>44372</v>
      </c>
      <c r="D4955" s="108" t="s">
        <v>22740</v>
      </c>
      <c r="E4955" s="108" t="s">
        <v>14605</v>
      </c>
      <c r="F4955" s="108" t="s">
        <v>22732</v>
      </c>
      <c r="G4955" s="109">
        <v>45657</v>
      </c>
      <c r="H4955" s="108" t="s">
        <v>21842</v>
      </c>
      <c r="I4955" s="108" t="s">
        <v>79</v>
      </c>
    </row>
    <row r="4956" spans="1:9" ht="41.4">
      <c r="A4956" s="108" t="s">
        <v>20001</v>
      </c>
      <c r="B4956" s="108" t="s">
        <v>22741</v>
      </c>
      <c r="C4956" s="109">
        <v>44372</v>
      </c>
      <c r="D4956" s="108" t="s">
        <v>22742</v>
      </c>
      <c r="E4956" s="108" t="s">
        <v>14605</v>
      </c>
      <c r="F4956" s="108" t="s">
        <v>22743</v>
      </c>
      <c r="G4956" s="109">
        <v>45657</v>
      </c>
      <c r="H4956" s="108" t="s">
        <v>21842</v>
      </c>
      <c r="I4956" s="108" t="s">
        <v>79</v>
      </c>
    </row>
    <row r="4957" spans="1:9" ht="41.4">
      <c r="A4957" s="108" t="s">
        <v>87</v>
      </c>
      <c r="B4957" s="108" t="s">
        <v>22744</v>
      </c>
      <c r="C4957" s="109">
        <v>44545</v>
      </c>
      <c r="D4957" s="108" t="s">
        <v>22745</v>
      </c>
      <c r="E4957" s="108" t="s">
        <v>14605</v>
      </c>
      <c r="F4957" s="108" t="s">
        <v>22743</v>
      </c>
      <c r="G4957" s="109">
        <v>45657</v>
      </c>
      <c r="H4957" s="108" t="s">
        <v>21842</v>
      </c>
      <c r="I4957" s="108" t="s">
        <v>79</v>
      </c>
    </row>
    <row r="4958" spans="1:9" ht="41.4">
      <c r="A4958" s="108" t="s">
        <v>87</v>
      </c>
      <c r="B4958" s="108" t="s">
        <v>22746</v>
      </c>
      <c r="C4958" s="109">
        <v>44545</v>
      </c>
      <c r="D4958" s="108" t="s">
        <v>22747</v>
      </c>
      <c r="E4958" s="108" t="s">
        <v>14605</v>
      </c>
      <c r="F4958" s="108" t="s">
        <v>22743</v>
      </c>
      <c r="G4958" s="109">
        <v>45657</v>
      </c>
      <c r="H4958" s="108" t="s">
        <v>21842</v>
      </c>
      <c r="I4958" s="108" t="s">
        <v>79</v>
      </c>
    </row>
    <row r="4959" spans="1:9" ht="41.4">
      <c r="A4959" s="108" t="s">
        <v>87</v>
      </c>
      <c r="B4959" s="108" t="s">
        <v>22748</v>
      </c>
      <c r="C4959" s="109">
        <v>44545</v>
      </c>
      <c r="D4959" s="108" t="s">
        <v>22749</v>
      </c>
      <c r="E4959" s="108" t="s">
        <v>14605</v>
      </c>
      <c r="F4959" s="108" t="s">
        <v>22743</v>
      </c>
      <c r="G4959" s="109">
        <v>45657</v>
      </c>
      <c r="H4959" s="108" t="s">
        <v>21842</v>
      </c>
      <c r="I4959" s="108" t="s">
        <v>79</v>
      </c>
    </row>
    <row r="4960" spans="1:9" ht="27.6">
      <c r="A4960" s="108" t="s">
        <v>207</v>
      </c>
      <c r="B4960" s="108" t="s">
        <v>22750</v>
      </c>
      <c r="C4960" s="109">
        <v>41360</v>
      </c>
      <c r="D4960" s="108" t="s">
        <v>22751</v>
      </c>
      <c r="E4960" s="108" t="s">
        <v>14605</v>
      </c>
      <c r="F4960" s="108" t="s">
        <v>22752</v>
      </c>
      <c r="G4960" s="109">
        <v>46112</v>
      </c>
      <c r="H4960" s="108" t="s">
        <v>21842</v>
      </c>
      <c r="I4960" s="108" t="s">
        <v>117</v>
      </c>
    </row>
    <row r="4961" spans="1:9" ht="27.6">
      <c r="A4961" s="108" t="s">
        <v>207</v>
      </c>
      <c r="B4961" s="108" t="s">
        <v>22753</v>
      </c>
      <c r="C4961" s="109">
        <v>42348</v>
      </c>
      <c r="D4961" s="108" t="s">
        <v>22754</v>
      </c>
      <c r="E4961" s="108" t="s">
        <v>14605</v>
      </c>
      <c r="F4961" s="108" t="s">
        <v>22014</v>
      </c>
      <c r="G4961" s="109">
        <v>46173</v>
      </c>
      <c r="H4961" s="108" t="s">
        <v>21842</v>
      </c>
      <c r="I4961" s="108" t="s">
        <v>117</v>
      </c>
    </row>
    <row r="4962" spans="1:9" ht="27.6">
      <c r="A4962" s="108" t="s">
        <v>96</v>
      </c>
      <c r="B4962" s="108" t="s">
        <v>22755</v>
      </c>
      <c r="C4962" s="109">
        <v>43536</v>
      </c>
      <c r="D4962" s="108" t="s">
        <v>22756</v>
      </c>
      <c r="E4962" s="108" t="s">
        <v>16121</v>
      </c>
      <c r="F4962" s="108" t="s">
        <v>15992</v>
      </c>
      <c r="G4962" s="109">
        <v>44135</v>
      </c>
      <c r="H4962" s="108" t="s">
        <v>21842</v>
      </c>
      <c r="I4962" s="108" t="s">
        <v>133</v>
      </c>
    </row>
    <row r="4963" spans="1:9">
      <c r="A4963" s="108" t="s">
        <v>16151</v>
      </c>
      <c r="B4963" s="108" t="s">
        <v>22757</v>
      </c>
      <c r="C4963" s="109">
        <v>45011</v>
      </c>
      <c r="D4963" s="108" t="s">
        <v>22758</v>
      </c>
      <c r="E4963" s="108" t="s">
        <v>14605</v>
      </c>
      <c r="F4963" s="108" t="s">
        <v>15942</v>
      </c>
      <c r="G4963" s="109">
        <v>45747</v>
      </c>
      <c r="H4963" s="108" t="s">
        <v>21842</v>
      </c>
      <c r="I4963" s="108" t="s">
        <v>133</v>
      </c>
    </row>
    <row r="4964" spans="1:9" ht="27.6">
      <c r="A4964" s="108" t="s">
        <v>14950</v>
      </c>
      <c r="B4964" s="108" t="s">
        <v>22759</v>
      </c>
      <c r="C4964" s="109">
        <v>44042</v>
      </c>
      <c r="D4964" s="108" t="s">
        <v>22760</v>
      </c>
      <c r="E4964" s="108" t="s">
        <v>16121</v>
      </c>
      <c r="F4964" s="108" t="s">
        <v>22729</v>
      </c>
      <c r="G4964" s="109">
        <v>44414</v>
      </c>
      <c r="H4964" s="108" t="s">
        <v>21842</v>
      </c>
      <c r="I4964" s="108" t="s">
        <v>108</v>
      </c>
    </row>
    <row r="4965" spans="1:9" ht="27.6">
      <c r="A4965" s="108" t="s">
        <v>14950</v>
      </c>
      <c r="B4965" s="108" t="s">
        <v>22761</v>
      </c>
      <c r="C4965" s="109">
        <v>44264</v>
      </c>
      <c r="D4965" s="108" t="s">
        <v>22762</v>
      </c>
      <c r="E4965" s="108" t="s">
        <v>16121</v>
      </c>
      <c r="F4965" s="108" t="s">
        <v>22337</v>
      </c>
      <c r="G4965" s="109">
        <v>44574</v>
      </c>
      <c r="H4965" s="108" t="s">
        <v>21842</v>
      </c>
      <c r="I4965" s="108" t="s">
        <v>108</v>
      </c>
    </row>
    <row r="4966" spans="1:9" ht="41.4">
      <c r="A4966" s="108" t="s">
        <v>237</v>
      </c>
      <c r="B4966" s="108" t="s">
        <v>22763</v>
      </c>
      <c r="C4966" s="109">
        <v>44915</v>
      </c>
      <c r="D4966" s="108" t="s">
        <v>22764</v>
      </c>
      <c r="E4966" s="108" t="s">
        <v>14605</v>
      </c>
      <c r="F4966" s="108" t="s">
        <v>15036</v>
      </c>
      <c r="G4966" s="109">
        <v>45240</v>
      </c>
      <c r="H4966" s="108" t="s">
        <v>21842</v>
      </c>
      <c r="I4966" s="108" t="s">
        <v>108</v>
      </c>
    </row>
    <row r="4967" spans="1:9" ht="27.6">
      <c r="A4967" s="108" t="s">
        <v>1465</v>
      </c>
      <c r="B4967" s="108" t="s">
        <v>22765</v>
      </c>
      <c r="C4967" s="109">
        <v>45198</v>
      </c>
      <c r="D4967" s="108" t="s">
        <v>22766</v>
      </c>
      <c r="E4967" s="108" t="s">
        <v>14605</v>
      </c>
      <c r="F4967" s="108" t="s">
        <v>22323</v>
      </c>
      <c r="G4967" s="109">
        <v>45544</v>
      </c>
      <c r="H4967" s="108" t="s">
        <v>21842</v>
      </c>
      <c r="I4967" s="108" t="s">
        <v>108</v>
      </c>
    </row>
    <row r="4968" spans="1:9" ht="27.6">
      <c r="A4968" s="108" t="s">
        <v>87</v>
      </c>
      <c r="B4968" s="108" t="s">
        <v>22767</v>
      </c>
      <c r="C4968" s="109">
        <v>45369</v>
      </c>
      <c r="D4968" s="108" t="s">
        <v>22768</v>
      </c>
      <c r="E4968" s="108" t="s">
        <v>14605</v>
      </c>
      <c r="F4968" s="108" t="s">
        <v>22349</v>
      </c>
      <c r="G4968" s="109">
        <v>45712</v>
      </c>
      <c r="H4968" s="108" t="s">
        <v>21842</v>
      </c>
      <c r="I4968" s="108" t="s">
        <v>108</v>
      </c>
    </row>
    <row r="4969" spans="1:9" ht="27.6">
      <c r="A4969" s="108" t="s">
        <v>237</v>
      </c>
      <c r="B4969" s="108" t="s">
        <v>22769</v>
      </c>
      <c r="C4969" s="109">
        <v>45377</v>
      </c>
      <c r="D4969" s="108" t="s">
        <v>22770</v>
      </c>
      <c r="E4969" s="108" t="s">
        <v>14605</v>
      </c>
      <c r="F4969" s="108" t="s">
        <v>21975</v>
      </c>
      <c r="G4969" s="109">
        <v>45716</v>
      </c>
      <c r="H4969" s="108" t="s">
        <v>21842</v>
      </c>
      <c r="I4969" s="108" t="s">
        <v>108</v>
      </c>
    </row>
    <row r="4970" spans="1:9" ht="27.6">
      <c r="A4970" s="108" t="s">
        <v>169</v>
      </c>
      <c r="B4970" s="108" t="s">
        <v>22771</v>
      </c>
      <c r="C4970" s="109">
        <v>44778</v>
      </c>
      <c r="D4970" s="108" t="s">
        <v>22772</v>
      </c>
      <c r="E4970" s="108" t="s">
        <v>14605</v>
      </c>
      <c r="F4970" s="108" t="s">
        <v>21947</v>
      </c>
      <c r="G4970" s="109">
        <v>45093</v>
      </c>
      <c r="H4970" s="108" t="s">
        <v>21842</v>
      </c>
      <c r="I4970" s="108" t="s">
        <v>108</v>
      </c>
    </row>
    <row r="4971" spans="1:9">
      <c r="A4971" s="108" t="s">
        <v>169</v>
      </c>
      <c r="B4971" s="108" t="s">
        <v>22773</v>
      </c>
      <c r="C4971" s="109">
        <v>44838</v>
      </c>
      <c r="D4971" s="108" t="s">
        <v>22774</v>
      </c>
      <c r="E4971" s="108" t="s">
        <v>14605</v>
      </c>
      <c r="F4971" s="108" t="s">
        <v>22775</v>
      </c>
      <c r="G4971" s="109">
        <v>45197</v>
      </c>
      <c r="H4971" s="108" t="s">
        <v>21842</v>
      </c>
      <c r="I4971" s="108" t="s">
        <v>108</v>
      </c>
    </row>
    <row r="4972" spans="1:9">
      <c r="A4972" s="108" t="s">
        <v>169</v>
      </c>
      <c r="B4972" s="108" t="s">
        <v>22776</v>
      </c>
      <c r="C4972" s="109">
        <v>44846</v>
      </c>
      <c r="D4972" s="108" t="s">
        <v>22777</v>
      </c>
      <c r="E4972" s="108" t="s">
        <v>14605</v>
      </c>
      <c r="F4972" s="108" t="s">
        <v>21927</v>
      </c>
      <c r="G4972" s="109">
        <v>45197</v>
      </c>
      <c r="H4972" s="108" t="s">
        <v>21842</v>
      </c>
      <c r="I4972" s="108" t="s">
        <v>108</v>
      </c>
    </row>
    <row r="4973" spans="1:9" ht="27.6">
      <c r="A4973" s="108" t="s">
        <v>169</v>
      </c>
      <c r="B4973" s="108" t="s">
        <v>22778</v>
      </c>
      <c r="C4973" s="109">
        <v>44965</v>
      </c>
      <c r="D4973" s="108" t="s">
        <v>22779</v>
      </c>
      <c r="E4973" s="108" t="s">
        <v>14605</v>
      </c>
      <c r="F4973" s="108" t="s">
        <v>22780</v>
      </c>
      <c r="G4973" s="109">
        <v>45197</v>
      </c>
      <c r="H4973" s="108" t="s">
        <v>21842</v>
      </c>
      <c r="I4973" s="108" t="s">
        <v>108</v>
      </c>
    </row>
    <row r="4974" spans="1:9" ht="27.6">
      <c r="A4974" s="108" t="s">
        <v>169</v>
      </c>
      <c r="B4974" s="108" t="s">
        <v>22781</v>
      </c>
      <c r="C4974" s="109">
        <v>44965</v>
      </c>
      <c r="D4974" s="108" t="s">
        <v>22782</v>
      </c>
      <c r="E4974" s="108" t="s">
        <v>14605</v>
      </c>
      <c r="F4974" s="108" t="s">
        <v>22205</v>
      </c>
      <c r="G4974" s="109">
        <v>45198</v>
      </c>
      <c r="H4974" s="108" t="s">
        <v>21842</v>
      </c>
      <c r="I4974" s="108" t="s">
        <v>108</v>
      </c>
    </row>
    <row r="4975" spans="1:9">
      <c r="A4975" s="108" t="s">
        <v>169</v>
      </c>
      <c r="B4975" s="108" t="s">
        <v>22783</v>
      </c>
      <c r="C4975" s="109">
        <v>45320</v>
      </c>
      <c r="D4975" s="108" t="s">
        <v>22784</v>
      </c>
      <c r="E4975" s="108" t="s">
        <v>14605</v>
      </c>
      <c r="F4975" s="108" t="s">
        <v>22224</v>
      </c>
      <c r="G4975" s="109">
        <v>45373</v>
      </c>
      <c r="H4975" s="108" t="s">
        <v>21842</v>
      </c>
      <c r="I4975" s="108" t="s">
        <v>108</v>
      </c>
    </row>
    <row r="4976" spans="1:9">
      <c r="A4976" s="108" t="s">
        <v>169</v>
      </c>
      <c r="B4976" s="108" t="s">
        <v>22785</v>
      </c>
      <c r="C4976" s="109">
        <v>45008</v>
      </c>
      <c r="D4976" s="108" t="s">
        <v>22786</v>
      </c>
      <c r="E4976" s="108" t="s">
        <v>14605</v>
      </c>
      <c r="F4976" s="108" t="s">
        <v>14864</v>
      </c>
      <c r="G4976" s="109">
        <v>45373</v>
      </c>
      <c r="H4976" s="108" t="s">
        <v>21842</v>
      </c>
      <c r="I4976" s="108" t="s">
        <v>108</v>
      </c>
    </row>
    <row r="4977" spans="1:9" ht="27.6">
      <c r="A4977" s="108" t="s">
        <v>250</v>
      </c>
      <c r="B4977" s="108" t="s">
        <v>22787</v>
      </c>
      <c r="C4977" s="109">
        <v>45350</v>
      </c>
      <c r="D4977" s="108" t="s">
        <v>22788</v>
      </c>
      <c r="E4977" s="108" t="s">
        <v>14605</v>
      </c>
      <c r="F4977" s="108" t="s">
        <v>15942</v>
      </c>
      <c r="G4977" s="109">
        <v>45681</v>
      </c>
      <c r="H4977" s="108" t="s">
        <v>21842</v>
      </c>
      <c r="I4977" s="108" t="s">
        <v>108</v>
      </c>
    </row>
    <row r="4978" spans="1:9" ht="27.6">
      <c r="A4978" s="108" t="s">
        <v>1072</v>
      </c>
      <c r="B4978" s="108" t="s">
        <v>22789</v>
      </c>
      <c r="C4978" s="109">
        <v>44964</v>
      </c>
      <c r="D4978" s="108" t="s">
        <v>22790</v>
      </c>
      <c r="E4978" s="108" t="s">
        <v>14605</v>
      </c>
      <c r="F4978" s="108" t="s">
        <v>15942</v>
      </c>
      <c r="G4978" s="109">
        <v>45346</v>
      </c>
      <c r="H4978" s="108" t="s">
        <v>21842</v>
      </c>
      <c r="I4978" s="108" t="s">
        <v>108</v>
      </c>
    </row>
    <row r="4979" spans="1:9" ht="27.6">
      <c r="A4979" s="108" t="s">
        <v>250</v>
      </c>
      <c r="B4979" s="108" t="s">
        <v>22791</v>
      </c>
      <c r="C4979" s="109">
        <v>45377</v>
      </c>
      <c r="D4979" s="108" t="s">
        <v>22792</v>
      </c>
      <c r="E4979" s="108" t="s">
        <v>14605</v>
      </c>
      <c r="F4979" s="108" t="s">
        <v>15942</v>
      </c>
      <c r="G4979" s="109">
        <v>45681</v>
      </c>
      <c r="H4979" s="108" t="s">
        <v>21842</v>
      </c>
      <c r="I4979" s="108" t="s">
        <v>108</v>
      </c>
    </row>
    <row r="4980" spans="1:9" ht="27.6">
      <c r="A4980" s="108" t="s">
        <v>250</v>
      </c>
      <c r="B4980" s="108" t="s">
        <v>22793</v>
      </c>
      <c r="C4980" s="109">
        <v>45491</v>
      </c>
      <c r="D4980" s="108" t="s">
        <v>22794</v>
      </c>
      <c r="E4980" s="108" t="s">
        <v>14605</v>
      </c>
      <c r="F4980" s="108" t="s">
        <v>15942</v>
      </c>
      <c r="G4980" s="109">
        <v>45412</v>
      </c>
      <c r="H4980" s="108" t="s">
        <v>21842</v>
      </c>
      <c r="I4980" s="108" t="s">
        <v>108</v>
      </c>
    </row>
    <row r="4981" spans="1:9" ht="27.6">
      <c r="A4981" s="108" t="s">
        <v>109</v>
      </c>
      <c r="B4981" s="108" t="s">
        <v>22795</v>
      </c>
      <c r="C4981" s="109">
        <v>45282</v>
      </c>
      <c r="D4981" s="108" t="s">
        <v>22796</v>
      </c>
      <c r="E4981" s="108" t="s">
        <v>14605</v>
      </c>
      <c r="F4981" s="108" t="s">
        <v>15942</v>
      </c>
      <c r="G4981" s="109">
        <v>45591</v>
      </c>
      <c r="H4981" s="108" t="s">
        <v>21842</v>
      </c>
      <c r="I4981" s="108" t="s">
        <v>108</v>
      </c>
    </row>
    <row r="4982" spans="1:9" ht="27.6">
      <c r="A4982" s="108" t="s">
        <v>109</v>
      </c>
      <c r="B4982" s="108" t="s">
        <v>22797</v>
      </c>
      <c r="C4982" s="109">
        <v>45166</v>
      </c>
      <c r="D4982" s="108" t="s">
        <v>22798</v>
      </c>
      <c r="E4982" s="108" t="s">
        <v>14605</v>
      </c>
      <c r="F4982" s="108" t="s">
        <v>15942</v>
      </c>
      <c r="G4982" s="109">
        <v>45412</v>
      </c>
      <c r="H4982" s="108" t="s">
        <v>21842</v>
      </c>
      <c r="I4982" s="108" t="s">
        <v>108</v>
      </c>
    </row>
    <row r="4983" spans="1:9">
      <c r="A4983" s="108" t="s">
        <v>8396</v>
      </c>
      <c r="B4983" s="108" t="s">
        <v>22799</v>
      </c>
      <c r="C4983" s="109">
        <v>44861</v>
      </c>
      <c r="D4983" s="108" t="s">
        <v>22800</v>
      </c>
      <c r="E4983" s="108" t="s">
        <v>14605</v>
      </c>
      <c r="F4983" s="108" t="s">
        <v>15942</v>
      </c>
      <c r="G4983" s="109">
        <v>45203</v>
      </c>
      <c r="H4983" s="108" t="s">
        <v>21842</v>
      </c>
      <c r="I4983" s="108" t="s">
        <v>108</v>
      </c>
    </row>
    <row r="4984" spans="1:9">
      <c r="A4984" s="108" t="s">
        <v>15990</v>
      </c>
      <c r="B4984" s="108" t="s">
        <v>22801</v>
      </c>
      <c r="C4984" s="109">
        <v>45096</v>
      </c>
      <c r="D4984" s="108" t="s">
        <v>22802</v>
      </c>
      <c r="E4984" s="108" t="s">
        <v>14605</v>
      </c>
      <c r="F4984" s="108" t="s">
        <v>22803</v>
      </c>
      <c r="G4984" s="109">
        <v>45473</v>
      </c>
      <c r="H4984" s="108" t="s">
        <v>21842</v>
      </c>
      <c r="I4984" s="108" t="s">
        <v>108</v>
      </c>
    </row>
    <row r="4985" spans="1:9">
      <c r="A4985" s="108" t="s">
        <v>244</v>
      </c>
      <c r="B4985" s="108" t="s">
        <v>22804</v>
      </c>
      <c r="C4985" s="109">
        <v>45235</v>
      </c>
      <c r="D4985" s="108" t="s">
        <v>22805</v>
      </c>
      <c r="E4985" s="108" t="s">
        <v>14605</v>
      </c>
      <c r="F4985" s="108" t="s">
        <v>15942</v>
      </c>
      <c r="G4985" s="109">
        <v>45897</v>
      </c>
      <c r="H4985" s="108" t="s">
        <v>21842</v>
      </c>
      <c r="I4985" s="108" t="s">
        <v>108</v>
      </c>
    </row>
    <row r="4986" spans="1:9">
      <c r="A4986" s="108" t="s">
        <v>15990</v>
      </c>
      <c r="B4986" s="108" t="s">
        <v>22806</v>
      </c>
      <c r="C4986" s="109">
        <v>45359</v>
      </c>
      <c r="D4986" s="108" t="s">
        <v>22807</v>
      </c>
      <c r="E4986" s="108" t="s">
        <v>14605</v>
      </c>
      <c r="F4986" s="108" t="s">
        <v>15942</v>
      </c>
      <c r="G4986" s="109">
        <v>45681</v>
      </c>
      <c r="H4986" s="108" t="s">
        <v>21842</v>
      </c>
      <c r="I4986" s="108" t="s">
        <v>108</v>
      </c>
    </row>
    <row r="4987" spans="1:9">
      <c r="A4987" s="108" t="s">
        <v>503</v>
      </c>
      <c r="B4987" s="108" t="s">
        <v>22808</v>
      </c>
      <c r="C4987" s="109">
        <v>45286</v>
      </c>
      <c r="D4987" s="108" t="s">
        <v>22809</v>
      </c>
      <c r="E4987" s="108" t="s">
        <v>14605</v>
      </c>
      <c r="F4987" s="108" t="s">
        <v>15942</v>
      </c>
      <c r="G4987" s="109">
        <v>45677</v>
      </c>
      <c r="H4987" s="108" t="s">
        <v>21842</v>
      </c>
      <c r="I4987" s="108" t="s">
        <v>108</v>
      </c>
    </row>
    <row r="4988" spans="1:9">
      <c r="A4988" s="108" t="s">
        <v>15990</v>
      </c>
      <c r="B4988" s="108" t="s">
        <v>22810</v>
      </c>
      <c r="C4988" s="109">
        <v>45732</v>
      </c>
      <c r="D4988" s="108" t="s">
        <v>22811</v>
      </c>
      <c r="E4988" s="108" t="s">
        <v>14605</v>
      </c>
      <c r="F4988" s="108" t="s">
        <v>15942</v>
      </c>
      <c r="G4988" s="109">
        <v>45934</v>
      </c>
      <c r="H4988" s="108" t="s">
        <v>21842</v>
      </c>
      <c r="I4988" s="108" t="s">
        <v>108</v>
      </c>
    </row>
    <row r="4989" spans="1:9">
      <c r="A4989" s="108" t="s">
        <v>244</v>
      </c>
      <c r="B4989" s="108" t="s">
        <v>22812</v>
      </c>
      <c r="C4989" s="109">
        <v>45631</v>
      </c>
      <c r="D4989" s="108" t="s">
        <v>22813</v>
      </c>
      <c r="E4989" s="108" t="s">
        <v>14605</v>
      </c>
      <c r="F4989" s="108" t="s">
        <v>15942</v>
      </c>
      <c r="G4989" s="109">
        <v>45939</v>
      </c>
      <c r="H4989" s="108" t="s">
        <v>21842</v>
      </c>
      <c r="I4989" s="108" t="s">
        <v>108</v>
      </c>
    </row>
    <row r="4990" spans="1:9">
      <c r="A4990" s="108" t="s">
        <v>244</v>
      </c>
      <c r="B4990" s="108" t="s">
        <v>22814</v>
      </c>
      <c r="C4990" s="109">
        <v>45646</v>
      </c>
      <c r="D4990" s="108" t="s">
        <v>22815</v>
      </c>
      <c r="E4990" s="108" t="s">
        <v>14605</v>
      </c>
      <c r="F4990" s="108" t="s">
        <v>15942</v>
      </c>
      <c r="G4990" s="109">
        <v>45939</v>
      </c>
      <c r="H4990" s="108" t="s">
        <v>21842</v>
      </c>
      <c r="I4990" s="108" t="s">
        <v>108</v>
      </c>
    </row>
    <row r="4991" spans="1:9">
      <c r="A4991" s="108" t="s">
        <v>16151</v>
      </c>
      <c r="B4991" s="108" t="s">
        <v>22816</v>
      </c>
      <c r="C4991" s="109">
        <v>44083</v>
      </c>
      <c r="D4991" s="108" t="s">
        <v>22817</v>
      </c>
      <c r="E4991" s="108" t="s">
        <v>16121</v>
      </c>
      <c r="F4991" s="108" t="s">
        <v>15992</v>
      </c>
      <c r="G4991" s="109">
        <v>44116</v>
      </c>
      <c r="H4991" s="108" t="s">
        <v>21842</v>
      </c>
      <c r="I4991" s="108" t="s">
        <v>108</v>
      </c>
    </row>
    <row r="4992" spans="1:9" ht="27.6">
      <c r="A4992" s="108" t="s">
        <v>16151</v>
      </c>
      <c r="B4992" s="108" t="s">
        <v>22818</v>
      </c>
      <c r="C4992" s="109">
        <v>44001</v>
      </c>
      <c r="D4992" s="108" t="s">
        <v>22819</v>
      </c>
      <c r="E4992" s="108" t="s">
        <v>16121</v>
      </c>
      <c r="F4992" s="108" t="s">
        <v>22820</v>
      </c>
      <c r="G4992" s="109">
        <v>44373</v>
      </c>
      <c r="H4992" s="108" t="s">
        <v>21842</v>
      </c>
      <c r="I4992" s="108" t="s">
        <v>108</v>
      </c>
    </row>
    <row r="4993" spans="1:9" ht="27.6">
      <c r="A4993" s="108" t="s">
        <v>388</v>
      </c>
      <c r="B4993" s="108" t="s">
        <v>22821</v>
      </c>
      <c r="C4993" s="109">
        <v>45370</v>
      </c>
      <c r="D4993" s="108" t="s">
        <v>22822</v>
      </c>
      <c r="E4993" s="108" t="s">
        <v>14605</v>
      </c>
      <c r="F4993" s="108" t="s">
        <v>15942</v>
      </c>
      <c r="G4993" s="109">
        <v>45747</v>
      </c>
      <c r="H4993" s="108" t="s">
        <v>21842</v>
      </c>
      <c r="I4993" s="108" t="s">
        <v>108</v>
      </c>
    </row>
    <row r="4994" spans="1:9">
      <c r="A4994" s="108" t="s">
        <v>8271</v>
      </c>
      <c r="B4994" s="108" t="s">
        <v>22823</v>
      </c>
      <c r="C4994" s="109">
        <v>43825</v>
      </c>
      <c r="D4994" s="108"/>
      <c r="E4994" s="108" t="s">
        <v>14605</v>
      </c>
      <c r="F4994" s="108" t="s">
        <v>22724</v>
      </c>
      <c r="G4994" s="110"/>
      <c r="H4994" s="108" t="s">
        <v>22824</v>
      </c>
      <c r="I4994" s="108"/>
    </row>
    <row r="4995" spans="1:9">
      <c r="A4995" s="108" t="s">
        <v>169</v>
      </c>
      <c r="B4995" s="108" t="s">
        <v>22825</v>
      </c>
      <c r="C4995" s="109">
        <v>42873</v>
      </c>
      <c r="D4995" s="108"/>
      <c r="E4995" s="108" t="s">
        <v>14605</v>
      </c>
      <c r="F4995" s="108" t="s">
        <v>22826</v>
      </c>
      <c r="G4995" s="110"/>
      <c r="H4995" s="108" t="s">
        <v>22827</v>
      </c>
      <c r="I4995" s="108"/>
    </row>
    <row r="4996" spans="1:9" ht="27.6">
      <c r="A4996" s="108" t="s">
        <v>17130</v>
      </c>
      <c r="B4996" s="108" t="s">
        <v>22828</v>
      </c>
      <c r="C4996" s="109">
        <v>43866</v>
      </c>
      <c r="D4996" s="108"/>
      <c r="E4996" s="108" t="s">
        <v>14605</v>
      </c>
      <c r="F4996" s="108" t="s">
        <v>22826</v>
      </c>
      <c r="G4996" s="110"/>
      <c r="H4996" s="108" t="s">
        <v>22827</v>
      </c>
      <c r="I4996" s="108"/>
    </row>
    <row r="4997" spans="1:9">
      <c r="A4997" s="108" t="s">
        <v>118</v>
      </c>
      <c r="B4997" s="108" t="s">
        <v>22829</v>
      </c>
      <c r="C4997" s="109">
        <v>42781</v>
      </c>
      <c r="D4997" s="108"/>
      <c r="E4997" s="108" t="s">
        <v>14605</v>
      </c>
      <c r="F4997" s="108" t="s">
        <v>22826</v>
      </c>
      <c r="G4997" s="110"/>
      <c r="H4997" s="108" t="s">
        <v>22827</v>
      </c>
      <c r="I4997" s="108"/>
    </row>
    <row r="4998" spans="1:9" ht="27.6">
      <c r="A4998" s="108" t="s">
        <v>207</v>
      </c>
      <c r="B4998" s="108" t="s">
        <v>22830</v>
      </c>
      <c r="C4998" s="109">
        <v>42781</v>
      </c>
      <c r="D4998" s="108"/>
      <c r="E4998" s="108" t="s">
        <v>14605</v>
      </c>
      <c r="F4998" s="108" t="s">
        <v>22826</v>
      </c>
      <c r="G4998" s="110"/>
      <c r="H4998" s="108" t="s">
        <v>22827</v>
      </c>
      <c r="I4998" s="108"/>
    </row>
    <row r="4999" spans="1:9">
      <c r="A4999" s="108" t="s">
        <v>571</v>
      </c>
      <c r="B4999" s="108" t="s">
        <v>22831</v>
      </c>
      <c r="C4999" s="109">
        <v>45923</v>
      </c>
      <c r="D4999" s="108" t="s">
        <v>22832</v>
      </c>
      <c r="E4999" s="108" t="s">
        <v>14605</v>
      </c>
      <c r="F4999" s="108" t="s">
        <v>22833</v>
      </c>
      <c r="G4999" s="109">
        <v>45425</v>
      </c>
      <c r="H4999" s="108" t="s">
        <v>22827</v>
      </c>
      <c r="I4999" s="108" t="s">
        <v>108</v>
      </c>
    </row>
    <row r="5000" spans="1:9">
      <c r="A5000" s="108" t="s">
        <v>169</v>
      </c>
      <c r="B5000" s="108" t="s">
        <v>22834</v>
      </c>
      <c r="C5000" s="109">
        <v>44167</v>
      </c>
      <c r="D5000" s="108"/>
      <c r="E5000" s="108" t="s">
        <v>14605</v>
      </c>
      <c r="F5000" s="108" t="s">
        <v>22835</v>
      </c>
      <c r="G5000" s="110"/>
      <c r="H5000" s="108" t="s">
        <v>22836</v>
      </c>
      <c r="I5000" s="108"/>
    </row>
    <row r="5001" spans="1:9">
      <c r="A5001" s="108" t="s">
        <v>169</v>
      </c>
      <c r="B5001" s="108" t="s">
        <v>22837</v>
      </c>
      <c r="C5001" s="109">
        <v>44167</v>
      </c>
      <c r="D5001" s="108"/>
      <c r="E5001" s="108" t="s">
        <v>14605</v>
      </c>
      <c r="F5001" s="108" t="s">
        <v>22835</v>
      </c>
      <c r="G5001" s="110"/>
      <c r="H5001" s="108" t="s">
        <v>22836</v>
      </c>
      <c r="I5001" s="108"/>
    </row>
    <row r="5002" spans="1:9" ht="27.6">
      <c r="A5002" s="108" t="s">
        <v>14950</v>
      </c>
      <c r="B5002" s="108" t="s">
        <v>22838</v>
      </c>
      <c r="C5002" s="109">
        <v>43930</v>
      </c>
      <c r="D5002" s="108"/>
      <c r="E5002" s="108" t="s">
        <v>16121</v>
      </c>
      <c r="F5002" s="108" t="s">
        <v>15983</v>
      </c>
      <c r="G5002" s="110"/>
      <c r="H5002" s="108" t="s">
        <v>22839</v>
      </c>
      <c r="I5002" s="108"/>
    </row>
    <row r="5003" spans="1:9" ht="27.6">
      <c r="A5003" s="108" t="s">
        <v>14950</v>
      </c>
      <c r="B5003" s="108" t="s">
        <v>22840</v>
      </c>
      <c r="C5003" s="109">
        <v>44124</v>
      </c>
      <c r="D5003" s="108" t="s">
        <v>22841</v>
      </c>
      <c r="E5003" s="108" t="s">
        <v>16121</v>
      </c>
      <c r="F5003" s="108" t="s">
        <v>15983</v>
      </c>
      <c r="G5003" s="109">
        <v>44878</v>
      </c>
      <c r="H5003" s="108" t="s">
        <v>22839</v>
      </c>
      <c r="I5003" s="108" t="s">
        <v>95</v>
      </c>
    </row>
    <row r="5004" spans="1:9" ht="27.6">
      <c r="A5004" s="108" t="s">
        <v>109</v>
      </c>
      <c r="B5004" s="108" t="s">
        <v>22842</v>
      </c>
      <c r="C5004" s="109">
        <v>44120</v>
      </c>
      <c r="D5004" s="108" t="s">
        <v>22843</v>
      </c>
      <c r="E5004" s="108" t="s">
        <v>16121</v>
      </c>
      <c r="F5004" s="108" t="s">
        <v>15983</v>
      </c>
      <c r="G5004" s="109">
        <v>44878</v>
      </c>
      <c r="H5004" s="108" t="s">
        <v>22839</v>
      </c>
      <c r="I5004" s="108" t="s">
        <v>95</v>
      </c>
    </row>
    <row r="5005" spans="1:9" ht="27.6">
      <c r="A5005" s="108" t="s">
        <v>1072</v>
      </c>
      <c r="B5005" s="108" t="s">
        <v>22844</v>
      </c>
      <c r="C5005" s="109">
        <v>44124</v>
      </c>
      <c r="D5005" s="108" t="s">
        <v>22845</v>
      </c>
      <c r="E5005" s="108" t="s">
        <v>16121</v>
      </c>
      <c r="F5005" s="108" t="s">
        <v>15983</v>
      </c>
      <c r="G5005" s="109">
        <v>44488</v>
      </c>
      <c r="H5005" s="108" t="s">
        <v>22839</v>
      </c>
      <c r="I5005" s="108" t="s">
        <v>108</v>
      </c>
    </row>
    <row r="5006" spans="1:9" ht="27.6">
      <c r="A5006" s="108" t="s">
        <v>1072</v>
      </c>
      <c r="B5006" s="108" t="s">
        <v>22846</v>
      </c>
      <c r="C5006" s="109">
        <v>44193</v>
      </c>
      <c r="D5006" s="108" t="s">
        <v>22847</v>
      </c>
      <c r="E5006" s="108" t="s">
        <v>16121</v>
      </c>
      <c r="F5006" s="108" t="s">
        <v>15983</v>
      </c>
      <c r="G5006" s="109">
        <v>44557</v>
      </c>
      <c r="H5006" s="108" t="s">
        <v>22839</v>
      </c>
      <c r="I5006" s="108" t="s">
        <v>108</v>
      </c>
    </row>
    <row r="5007" spans="1:9" ht="27.6">
      <c r="A5007" s="108" t="s">
        <v>96</v>
      </c>
      <c r="B5007" s="108" t="s">
        <v>22848</v>
      </c>
      <c r="C5007" s="109">
        <v>44193</v>
      </c>
      <c r="D5007" s="108" t="s">
        <v>22849</v>
      </c>
      <c r="E5007" s="108" t="s">
        <v>16121</v>
      </c>
      <c r="F5007" s="108" t="s">
        <v>15983</v>
      </c>
      <c r="G5007" s="109">
        <v>44557</v>
      </c>
      <c r="H5007" s="108" t="s">
        <v>22839</v>
      </c>
      <c r="I5007" s="108" t="s">
        <v>108</v>
      </c>
    </row>
    <row r="5008" spans="1:9" ht="27.6">
      <c r="A5008" s="108" t="s">
        <v>96</v>
      </c>
      <c r="B5008" s="108" t="s">
        <v>22850</v>
      </c>
      <c r="C5008" s="109">
        <v>44300</v>
      </c>
      <c r="D5008" s="108" t="s">
        <v>22851</v>
      </c>
      <c r="E5008" s="108" t="s">
        <v>16121</v>
      </c>
      <c r="F5008" s="108" t="s">
        <v>15983</v>
      </c>
      <c r="G5008" s="109">
        <v>44694</v>
      </c>
      <c r="H5008" s="108" t="s">
        <v>22852</v>
      </c>
      <c r="I5008" s="108" t="s">
        <v>108</v>
      </c>
    </row>
    <row r="5009" spans="1:9" ht="27.6">
      <c r="A5009" s="108" t="s">
        <v>169</v>
      </c>
      <c r="B5009" s="108" t="s">
        <v>22853</v>
      </c>
      <c r="C5009" s="109">
        <v>41865</v>
      </c>
      <c r="D5009" s="108"/>
      <c r="E5009" s="108" t="s">
        <v>14605</v>
      </c>
      <c r="F5009" s="108" t="s">
        <v>22854</v>
      </c>
      <c r="G5009" s="110"/>
      <c r="H5009" s="108" t="s">
        <v>22855</v>
      </c>
      <c r="I5009" s="108"/>
    </row>
    <row r="5010" spans="1:9">
      <c r="A5010" s="108" t="s">
        <v>169</v>
      </c>
      <c r="B5010" s="108" t="s">
        <v>22856</v>
      </c>
      <c r="C5010" s="109">
        <v>42968</v>
      </c>
      <c r="D5010" s="108"/>
      <c r="E5010" s="108" t="s">
        <v>14605</v>
      </c>
      <c r="F5010" s="108" t="s">
        <v>22857</v>
      </c>
      <c r="G5010" s="110"/>
      <c r="H5010" s="108" t="s">
        <v>22855</v>
      </c>
      <c r="I5010" s="108"/>
    </row>
    <row r="5011" spans="1:9">
      <c r="A5011" s="108" t="s">
        <v>169</v>
      </c>
      <c r="B5011" s="108" t="s">
        <v>22858</v>
      </c>
      <c r="C5011" s="109">
        <v>42767</v>
      </c>
      <c r="D5011" s="108"/>
      <c r="E5011" s="108" t="s">
        <v>14605</v>
      </c>
      <c r="F5011" s="108" t="s">
        <v>14762</v>
      </c>
      <c r="G5011" s="110"/>
      <c r="H5011" s="108" t="s">
        <v>22855</v>
      </c>
      <c r="I5011" s="108"/>
    </row>
    <row r="5012" spans="1:9">
      <c r="A5012" s="108" t="s">
        <v>169</v>
      </c>
      <c r="B5012" s="108" t="s">
        <v>22859</v>
      </c>
      <c r="C5012" s="109">
        <v>42767</v>
      </c>
      <c r="D5012" s="108"/>
      <c r="E5012" s="108" t="s">
        <v>14605</v>
      </c>
      <c r="F5012" s="108" t="s">
        <v>14762</v>
      </c>
      <c r="G5012" s="110"/>
      <c r="H5012" s="108" t="s">
        <v>22855</v>
      </c>
      <c r="I5012" s="108"/>
    </row>
    <row r="5013" spans="1:9">
      <c r="A5013" s="108" t="s">
        <v>169</v>
      </c>
      <c r="B5013" s="108" t="s">
        <v>22860</v>
      </c>
      <c r="C5013" s="109">
        <v>42767</v>
      </c>
      <c r="D5013" s="108"/>
      <c r="E5013" s="108" t="s">
        <v>14605</v>
      </c>
      <c r="F5013" s="108" t="s">
        <v>14762</v>
      </c>
      <c r="G5013" s="110"/>
      <c r="H5013" s="108" t="s">
        <v>22855</v>
      </c>
      <c r="I5013" s="108"/>
    </row>
    <row r="5014" spans="1:9">
      <c r="A5014" s="108" t="s">
        <v>169</v>
      </c>
      <c r="B5014" s="108" t="s">
        <v>22861</v>
      </c>
      <c r="C5014" s="109">
        <v>43349</v>
      </c>
      <c r="D5014" s="108"/>
      <c r="E5014" s="108" t="s">
        <v>14605</v>
      </c>
      <c r="F5014" s="108" t="s">
        <v>22862</v>
      </c>
      <c r="G5014" s="110"/>
      <c r="H5014" s="108" t="s">
        <v>22855</v>
      </c>
      <c r="I5014" s="108"/>
    </row>
    <row r="5015" spans="1:9">
      <c r="A5015" s="108" t="s">
        <v>169</v>
      </c>
      <c r="B5015" s="108" t="s">
        <v>22863</v>
      </c>
      <c r="C5015" s="109">
        <v>43161</v>
      </c>
      <c r="D5015" s="108"/>
      <c r="E5015" s="108" t="s">
        <v>14605</v>
      </c>
      <c r="F5015" s="108" t="s">
        <v>22864</v>
      </c>
      <c r="G5015" s="110"/>
      <c r="H5015" s="108" t="s">
        <v>22855</v>
      </c>
      <c r="I5015" s="108"/>
    </row>
    <row r="5016" spans="1:9">
      <c r="A5016" s="108" t="s">
        <v>169</v>
      </c>
      <c r="B5016" s="108" t="s">
        <v>22865</v>
      </c>
      <c r="C5016" s="109">
        <v>44344</v>
      </c>
      <c r="D5016" s="108"/>
      <c r="E5016" s="108" t="s">
        <v>14605</v>
      </c>
      <c r="F5016" s="108" t="s">
        <v>14762</v>
      </c>
      <c r="G5016" s="110"/>
      <c r="H5016" s="108" t="s">
        <v>22855</v>
      </c>
      <c r="I5016" s="108"/>
    </row>
    <row r="5017" spans="1:9">
      <c r="A5017" s="108" t="s">
        <v>169</v>
      </c>
      <c r="B5017" s="108" t="s">
        <v>22866</v>
      </c>
      <c r="C5017" s="109">
        <v>43889</v>
      </c>
      <c r="D5017" s="108"/>
      <c r="E5017" s="108" t="s">
        <v>14605</v>
      </c>
      <c r="F5017" s="108" t="s">
        <v>14762</v>
      </c>
      <c r="G5017" s="110"/>
      <c r="H5017" s="108" t="s">
        <v>22855</v>
      </c>
      <c r="I5017" s="108"/>
    </row>
    <row r="5018" spans="1:9">
      <c r="A5018" s="108" t="s">
        <v>169</v>
      </c>
      <c r="B5018" s="108" t="s">
        <v>22867</v>
      </c>
      <c r="C5018" s="109">
        <v>43735</v>
      </c>
      <c r="D5018" s="108"/>
      <c r="E5018" s="108" t="s">
        <v>14605</v>
      </c>
      <c r="F5018" s="108" t="s">
        <v>14762</v>
      </c>
      <c r="G5018" s="110"/>
      <c r="H5018" s="108" t="s">
        <v>22855</v>
      </c>
      <c r="I5018" s="108"/>
    </row>
    <row r="5019" spans="1:9">
      <c r="A5019" s="108" t="s">
        <v>169</v>
      </c>
      <c r="B5019" s="108" t="s">
        <v>22868</v>
      </c>
      <c r="C5019" s="109">
        <v>44155</v>
      </c>
      <c r="D5019" s="108"/>
      <c r="E5019" s="108" t="s">
        <v>14605</v>
      </c>
      <c r="F5019" s="108" t="s">
        <v>14762</v>
      </c>
      <c r="G5019" s="110"/>
      <c r="H5019" s="108" t="s">
        <v>22855</v>
      </c>
      <c r="I5019" s="108"/>
    </row>
    <row r="5020" spans="1:9">
      <c r="A5020" s="108" t="s">
        <v>169</v>
      </c>
      <c r="B5020" s="108" t="s">
        <v>22869</v>
      </c>
      <c r="C5020" s="109">
        <v>44169</v>
      </c>
      <c r="D5020" s="108"/>
      <c r="E5020" s="108" t="s">
        <v>14605</v>
      </c>
      <c r="F5020" s="108" t="s">
        <v>14762</v>
      </c>
      <c r="G5020" s="110"/>
      <c r="H5020" s="108" t="s">
        <v>22855</v>
      </c>
      <c r="I5020" s="108"/>
    </row>
    <row r="5021" spans="1:9">
      <c r="A5021" s="108" t="s">
        <v>169</v>
      </c>
      <c r="B5021" s="108" t="s">
        <v>22870</v>
      </c>
      <c r="C5021" s="109">
        <v>44141</v>
      </c>
      <c r="D5021" s="108"/>
      <c r="E5021" s="108" t="s">
        <v>14605</v>
      </c>
      <c r="F5021" s="108" t="s">
        <v>14762</v>
      </c>
      <c r="G5021" s="110"/>
      <c r="H5021" s="108" t="s">
        <v>22855</v>
      </c>
      <c r="I5021" s="108"/>
    </row>
    <row r="5022" spans="1:9">
      <c r="A5022" s="108" t="s">
        <v>87</v>
      </c>
      <c r="B5022" s="108" t="s">
        <v>22871</v>
      </c>
      <c r="C5022" s="109">
        <v>42555</v>
      </c>
      <c r="D5022" s="108"/>
      <c r="E5022" s="108" t="s">
        <v>14605</v>
      </c>
      <c r="F5022" s="108" t="s">
        <v>22872</v>
      </c>
      <c r="G5022" s="110"/>
      <c r="H5022" s="108" t="s">
        <v>22855</v>
      </c>
      <c r="I5022" s="108"/>
    </row>
    <row r="5023" spans="1:9">
      <c r="A5023" s="108" t="s">
        <v>87</v>
      </c>
      <c r="B5023" s="108" t="s">
        <v>22873</v>
      </c>
      <c r="C5023" s="109">
        <v>42877</v>
      </c>
      <c r="D5023" s="108"/>
      <c r="E5023" s="108" t="s">
        <v>14605</v>
      </c>
      <c r="F5023" s="108" t="s">
        <v>22874</v>
      </c>
      <c r="G5023" s="110"/>
      <c r="H5023" s="108" t="s">
        <v>22855</v>
      </c>
      <c r="I5023" s="108"/>
    </row>
    <row r="5024" spans="1:9">
      <c r="A5024" s="108" t="s">
        <v>87</v>
      </c>
      <c r="B5024" s="108" t="s">
        <v>22875</v>
      </c>
      <c r="C5024" s="109">
        <v>42870</v>
      </c>
      <c r="D5024" s="108"/>
      <c r="E5024" s="108" t="s">
        <v>14605</v>
      </c>
      <c r="F5024" s="108" t="s">
        <v>22876</v>
      </c>
      <c r="G5024" s="110"/>
      <c r="H5024" s="108" t="s">
        <v>22855</v>
      </c>
      <c r="I5024" s="108"/>
    </row>
    <row r="5025" spans="1:9">
      <c r="A5025" s="108" t="s">
        <v>87</v>
      </c>
      <c r="B5025" s="108" t="s">
        <v>22877</v>
      </c>
      <c r="C5025" s="109">
        <v>42942</v>
      </c>
      <c r="D5025" s="108"/>
      <c r="E5025" s="108" t="s">
        <v>14605</v>
      </c>
      <c r="F5025" s="108" t="s">
        <v>22878</v>
      </c>
      <c r="G5025" s="110"/>
      <c r="H5025" s="108" t="s">
        <v>22855</v>
      </c>
      <c r="I5025" s="108"/>
    </row>
    <row r="5026" spans="1:9">
      <c r="A5026" s="108" t="s">
        <v>87</v>
      </c>
      <c r="B5026" s="108" t="s">
        <v>22879</v>
      </c>
      <c r="C5026" s="109">
        <v>43271</v>
      </c>
      <c r="D5026" s="108"/>
      <c r="E5026" s="108" t="s">
        <v>14605</v>
      </c>
      <c r="F5026" s="108" t="s">
        <v>22880</v>
      </c>
      <c r="G5026" s="110"/>
      <c r="H5026" s="108" t="s">
        <v>22855</v>
      </c>
      <c r="I5026" s="108"/>
    </row>
    <row r="5027" spans="1:9">
      <c r="A5027" s="108" t="s">
        <v>87</v>
      </c>
      <c r="B5027" s="108" t="s">
        <v>22881</v>
      </c>
      <c r="C5027" s="109">
        <v>43397</v>
      </c>
      <c r="D5027" s="108"/>
      <c r="E5027" s="108" t="s">
        <v>14605</v>
      </c>
      <c r="F5027" s="108" t="s">
        <v>22882</v>
      </c>
      <c r="G5027" s="110"/>
      <c r="H5027" s="108" t="s">
        <v>22855</v>
      </c>
      <c r="I5027" s="108"/>
    </row>
    <row r="5028" spans="1:9">
      <c r="A5028" s="108" t="s">
        <v>87</v>
      </c>
      <c r="B5028" s="108" t="s">
        <v>22883</v>
      </c>
      <c r="C5028" s="109">
        <v>43396</v>
      </c>
      <c r="D5028" s="108"/>
      <c r="E5028" s="108" t="s">
        <v>14605</v>
      </c>
      <c r="F5028" s="108" t="s">
        <v>22884</v>
      </c>
      <c r="G5028" s="110"/>
      <c r="H5028" s="108" t="s">
        <v>22855</v>
      </c>
      <c r="I5028" s="108"/>
    </row>
    <row r="5029" spans="1:9" ht="27.6">
      <c r="A5029" s="108" t="s">
        <v>14690</v>
      </c>
      <c r="B5029" s="108" t="s">
        <v>22885</v>
      </c>
      <c r="C5029" s="109">
        <v>42313</v>
      </c>
      <c r="D5029" s="108"/>
      <c r="E5029" s="108" t="s">
        <v>14605</v>
      </c>
      <c r="F5029" s="108" t="s">
        <v>22886</v>
      </c>
      <c r="G5029" s="110"/>
      <c r="H5029" s="108" t="s">
        <v>22855</v>
      </c>
      <c r="I5029" s="108"/>
    </row>
    <row r="5030" spans="1:9" ht="27.6">
      <c r="A5030" s="108" t="s">
        <v>14690</v>
      </c>
      <c r="B5030" s="108" t="s">
        <v>22887</v>
      </c>
      <c r="C5030" s="109">
        <v>42692</v>
      </c>
      <c r="D5030" s="108"/>
      <c r="E5030" s="108" t="s">
        <v>14605</v>
      </c>
      <c r="F5030" s="108" t="s">
        <v>22888</v>
      </c>
      <c r="G5030" s="110"/>
      <c r="H5030" s="108" t="s">
        <v>22855</v>
      </c>
      <c r="I5030" s="108"/>
    </row>
    <row r="5031" spans="1:9" ht="27.6">
      <c r="A5031" s="108" t="s">
        <v>14690</v>
      </c>
      <c r="B5031" s="108" t="s">
        <v>22889</v>
      </c>
      <c r="C5031" s="109">
        <v>43073</v>
      </c>
      <c r="D5031" s="108"/>
      <c r="E5031" s="108" t="s">
        <v>14605</v>
      </c>
      <c r="F5031" s="108" t="s">
        <v>22890</v>
      </c>
      <c r="G5031" s="110"/>
      <c r="H5031" s="108" t="s">
        <v>22855</v>
      </c>
      <c r="I5031" s="108"/>
    </row>
    <row r="5032" spans="1:9" ht="27.6">
      <c r="A5032" s="108" t="s">
        <v>14690</v>
      </c>
      <c r="B5032" s="108" t="s">
        <v>22891</v>
      </c>
      <c r="C5032" s="109">
        <v>43047</v>
      </c>
      <c r="D5032" s="108"/>
      <c r="E5032" s="108" t="s">
        <v>14605</v>
      </c>
      <c r="F5032" s="108" t="s">
        <v>22892</v>
      </c>
      <c r="G5032" s="110"/>
      <c r="H5032" s="108" t="s">
        <v>22855</v>
      </c>
      <c r="I5032" s="108"/>
    </row>
    <row r="5033" spans="1:9">
      <c r="A5033" s="108" t="s">
        <v>923</v>
      </c>
      <c r="B5033" s="108" t="s">
        <v>22893</v>
      </c>
      <c r="C5033" s="109">
        <v>42529</v>
      </c>
      <c r="D5033" s="108"/>
      <c r="E5033" s="108" t="s">
        <v>14605</v>
      </c>
      <c r="F5033" s="108" t="s">
        <v>22894</v>
      </c>
      <c r="G5033" s="110"/>
      <c r="H5033" s="108" t="s">
        <v>22855</v>
      </c>
      <c r="I5033" s="108"/>
    </row>
    <row r="5034" spans="1:9">
      <c r="A5034" s="108" t="s">
        <v>571</v>
      </c>
      <c r="B5034" s="108" t="s">
        <v>22895</v>
      </c>
      <c r="C5034" s="109">
        <v>43410</v>
      </c>
      <c r="D5034" s="108"/>
      <c r="E5034" s="108" t="s">
        <v>14605</v>
      </c>
      <c r="F5034" s="108" t="s">
        <v>22896</v>
      </c>
      <c r="G5034" s="110"/>
      <c r="H5034" s="108" t="s">
        <v>22855</v>
      </c>
      <c r="I5034" s="108"/>
    </row>
    <row r="5035" spans="1:9">
      <c r="A5035" s="108" t="s">
        <v>2002</v>
      </c>
      <c r="B5035" s="108" t="s">
        <v>22897</v>
      </c>
      <c r="C5035" s="109">
        <v>42846</v>
      </c>
      <c r="D5035" s="108"/>
      <c r="E5035" s="108" t="s">
        <v>14605</v>
      </c>
      <c r="F5035" s="108" t="s">
        <v>22898</v>
      </c>
      <c r="G5035" s="110"/>
      <c r="H5035" s="108" t="s">
        <v>22855</v>
      </c>
      <c r="I5035" s="108"/>
    </row>
    <row r="5036" spans="1:9">
      <c r="A5036" s="108" t="s">
        <v>2002</v>
      </c>
      <c r="B5036" s="108" t="s">
        <v>22899</v>
      </c>
      <c r="C5036" s="109">
        <v>42950</v>
      </c>
      <c r="D5036" s="108"/>
      <c r="E5036" s="108" t="s">
        <v>14605</v>
      </c>
      <c r="F5036" s="108" t="s">
        <v>16489</v>
      </c>
      <c r="G5036" s="110"/>
      <c r="H5036" s="108" t="s">
        <v>22855</v>
      </c>
      <c r="I5036" s="108"/>
    </row>
    <row r="5037" spans="1:9" ht="27.6">
      <c r="A5037" s="108" t="s">
        <v>2002</v>
      </c>
      <c r="B5037" s="108" t="s">
        <v>22900</v>
      </c>
      <c r="C5037" s="109">
        <v>43199</v>
      </c>
      <c r="D5037" s="108"/>
      <c r="E5037" s="108" t="s">
        <v>14605</v>
      </c>
      <c r="F5037" s="108" t="s">
        <v>22901</v>
      </c>
      <c r="G5037" s="110"/>
      <c r="H5037" s="108" t="s">
        <v>22855</v>
      </c>
      <c r="I5037" s="108"/>
    </row>
    <row r="5038" spans="1:9">
      <c r="A5038" s="108" t="s">
        <v>1465</v>
      </c>
      <c r="B5038" s="108" t="s">
        <v>22902</v>
      </c>
      <c r="C5038" s="109">
        <v>43431</v>
      </c>
      <c r="D5038" s="108"/>
      <c r="E5038" s="108" t="s">
        <v>14605</v>
      </c>
      <c r="F5038" s="108" t="s">
        <v>22903</v>
      </c>
      <c r="G5038" s="110"/>
      <c r="H5038" s="108" t="s">
        <v>22855</v>
      </c>
      <c r="I5038" s="108"/>
    </row>
    <row r="5039" spans="1:9" ht="27.6">
      <c r="A5039" s="108" t="s">
        <v>1465</v>
      </c>
      <c r="B5039" s="108" t="s">
        <v>22904</v>
      </c>
      <c r="C5039" s="109">
        <v>42975</v>
      </c>
      <c r="D5039" s="108"/>
      <c r="E5039" s="108" t="s">
        <v>14605</v>
      </c>
      <c r="F5039" s="108" t="s">
        <v>22905</v>
      </c>
      <c r="G5039" s="110"/>
      <c r="H5039" s="108" t="s">
        <v>22855</v>
      </c>
      <c r="I5039" s="108"/>
    </row>
    <row r="5040" spans="1:9">
      <c r="A5040" s="108" t="s">
        <v>1465</v>
      </c>
      <c r="B5040" s="108" t="s">
        <v>22906</v>
      </c>
      <c r="C5040" s="109">
        <v>43430</v>
      </c>
      <c r="D5040" s="108"/>
      <c r="E5040" s="108" t="s">
        <v>14605</v>
      </c>
      <c r="F5040" s="108" t="s">
        <v>22907</v>
      </c>
      <c r="G5040" s="110"/>
      <c r="H5040" s="108" t="s">
        <v>22855</v>
      </c>
      <c r="I5040" s="108"/>
    </row>
    <row r="5041" spans="1:9">
      <c r="A5041" s="108" t="s">
        <v>14679</v>
      </c>
      <c r="B5041" s="108" t="s">
        <v>22908</v>
      </c>
      <c r="C5041" s="109">
        <v>42794</v>
      </c>
      <c r="D5041" s="108"/>
      <c r="E5041" s="108" t="s">
        <v>14605</v>
      </c>
      <c r="F5041" s="108" t="s">
        <v>22909</v>
      </c>
      <c r="G5041" s="110"/>
      <c r="H5041" s="108" t="s">
        <v>22855</v>
      </c>
      <c r="I5041" s="108"/>
    </row>
    <row r="5042" spans="1:9">
      <c r="A5042" s="108" t="s">
        <v>923</v>
      </c>
      <c r="B5042" s="108" t="s">
        <v>22910</v>
      </c>
      <c r="C5042" s="109">
        <v>43026</v>
      </c>
      <c r="D5042" s="108"/>
      <c r="E5042" s="108" t="s">
        <v>14605</v>
      </c>
      <c r="F5042" s="108" t="s">
        <v>22911</v>
      </c>
      <c r="G5042" s="110"/>
      <c r="H5042" s="108" t="s">
        <v>22855</v>
      </c>
      <c r="I5042" s="108"/>
    </row>
    <row r="5043" spans="1:9" ht="27.6">
      <c r="A5043" s="108" t="s">
        <v>477</v>
      </c>
      <c r="B5043" s="108" t="s">
        <v>22912</v>
      </c>
      <c r="C5043" s="109">
        <v>43108</v>
      </c>
      <c r="D5043" s="108"/>
      <c r="E5043" s="108" t="s">
        <v>14605</v>
      </c>
      <c r="F5043" s="108" t="s">
        <v>22913</v>
      </c>
      <c r="G5043" s="110"/>
      <c r="H5043" s="108" t="s">
        <v>22855</v>
      </c>
      <c r="I5043" s="108"/>
    </row>
    <row r="5044" spans="1:9">
      <c r="A5044" s="108" t="s">
        <v>4190</v>
      </c>
      <c r="B5044" s="108" t="s">
        <v>22914</v>
      </c>
      <c r="C5044" s="109">
        <v>42641</v>
      </c>
      <c r="D5044" s="108"/>
      <c r="E5044" s="108" t="s">
        <v>14605</v>
      </c>
      <c r="F5044" s="108" t="s">
        <v>22915</v>
      </c>
      <c r="G5044" s="110"/>
      <c r="H5044" s="108" t="s">
        <v>22855</v>
      </c>
      <c r="I5044" s="108"/>
    </row>
    <row r="5045" spans="1:9">
      <c r="A5045" s="108" t="s">
        <v>1003</v>
      </c>
      <c r="B5045" s="108" t="s">
        <v>22916</v>
      </c>
      <c r="C5045" s="109">
        <v>42748</v>
      </c>
      <c r="D5045" s="108"/>
      <c r="E5045" s="108" t="s">
        <v>14605</v>
      </c>
      <c r="F5045" s="108" t="s">
        <v>14762</v>
      </c>
      <c r="G5045" s="110"/>
      <c r="H5045" s="108" t="s">
        <v>22855</v>
      </c>
      <c r="I5045" s="108"/>
    </row>
    <row r="5046" spans="1:9" ht="27.6">
      <c r="A5046" s="108" t="s">
        <v>14690</v>
      </c>
      <c r="B5046" s="108" t="s">
        <v>22917</v>
      </c>
      <c r="C5046" s="109">
        <v>44120</v>
      </c>
      <c r="D5046" s="108"/>
      <c r="E5046" s="108" t="s">
        <v>14605</v>
      </c>
      <c r="F5046" s="108" t="s">
        <v>14762</v>
      </c>
      <c r="G5046" s="110"/>
      <c r="H5046" s="108" t="s">
        <v>22855</v>
      </c>
      <c r="I5046" s="108"/>
    </row>
    <row r="5047" spans="1:9">
      <c r="A5047" s="108" t="s">
        <v>87</v>
      </c>
      <c r="B5047" s="108" t="s">
        <v>22918</v>
      </c>
      <c r="C5047" s="109">
        <v>44175</v>
      </c>
      <c r="D5047" s="108"/>
      <c r="E5047" s="108" t="s">
        <v>14605</v>
      </c>
      <c r="F5047" s="108" t="s">
        <v>14762</v>
      </c>
      <c r="G5047" s="110"/>
      <c r="H5047" s="108" t="s">
        <v>22855</v>
      </c>
      <c r="I5047" s="108"/>
    </row>
    <row r="5048" spans="1:9">
      <c r="A5048" s="108" t="s">
        <v>1465</v>
      </c>
      <c r="B5048" s="108" t="s">
        <v>22919</v>
      </c>
      <c r="C5048" s="109">
        <v>44204</v>
      </c>
      <c r="D5048" s="108"/>
      <c r="E5048" s="108" t="s">
        <v>14605</v>
      </c>
      <c r="F5048" s="108" t="s">
        <v>14762</v>
      </c>
      <c r="G5048" s="110"/>
      <c r="H5048" s="108" t="s">
        <v>22855</v>
      </c>
      <c r="I5048" s="108"/>
    </row>
    <row r="5049" spans="1:9">
      <c r="A5049" s="108" t="s">
        <v>237</v>
      </c>
      <c r="B5049" s="108" t="s">
        <v>22920</v>
      </c>
      <c r="C5049" s="109">
        <v>44375</v>
      </c>
      <c r="D5049" s="108"/>
      <c r="E5049" s="108" t="s">
        <v>14605</v>
      </c>
      <c r="F5049" s="108" t="s">
        <v>14762</v>
      </c>
      <c r="G5049" s="110"/>
      <c r="H5049" s="108" t="s">
        <v>22855</v>
      </c>
      <c r="I5049" s="108"/>
    </row>
    <row r="5050" spans="1:9">
      <c r="A5050" s="108" t="s">
        <v>571</v>
      </c>
      <c r="B5050" s="108" t="s">
        <v>22921</v>
      </c>
      <c r="C5050" s="109">
        <v>44413</v>
      </c>
      <c r="D5050" s="108"/>
      <c r="E5050" s="108" t="s">
        <v>14605</v>
      </c>
      <c r="F5050" s="108" t="s">
        <v>14762</v>
      </c>
      <c r="G5050" s="110"/>
      <c r="H5050" s="108" t="s">
        <v>22855</v>
      </c>
      <c r="I5050" s="108"/>
    </row>
    <row r="5051" spans="1:9">
      <c r="A5051" s="108" t="s">
        <v>87</v>
      </c>
      <c r="B5051" s="108" t="s">
        <v>22922</v>
      </c>
      <c r="C5051" s="109">
        <v>44435</v>
      </c>
      <c r="D5051" s="108"/>
      <c r="E5051" s="108" t="s">
        <v>14605</v>
      </c>
      <c r="F5051" s="108" t="s">
        <v>14762</v>
      </c>
      <c r="G5051" s="110"/>
      <c r="H5051" s="108" t="s">
        <v>22855</v>
      </c>
      <c r="I5051" s="108"/>
    </row>
    <row r="5052" spans="1:9" ht="27.6">
      <c r="A5052" s="108" t="s">
        <v>15075</v>
      </c>
      <c r="B5052" s="108" t="s">
        <v>22923</v>
      </c>
      <c r="C5052" s="109">
        <v>45001</v>
      </c>
      <c r="D5052" s="108"/>
      <c r="E5052" s="108" t="s">
        <v>16121</v>
      </c>
      <c r="F5052" s="108" t="s">
        <v>15983</v>
      </c>
      <c r="G5052" s="110"/>
      <c r="H5052" s="108" t="s">
        <v>22855</v>
      </c>
      <c r="I5052" s="108"/>
    </row>
    <row r="5053" spans="1:9" ht="27.6">
      <c r="A5053" s="108" t="s">
        <v>479</v>
      </c>
      <c r="B5053" s="108" t="s">
        <v>22924</v>
      </c>
      <c r="C5053" s="109">
        <v>40463</v>
      </c>
      <c r="D5053" s="108"/>
      <c r="E5053" s="108" t="s">
        <v>14605</v>
      </c>
      <c r="F5053" s="108" t="s">
        <v>22925</v>
      </c>
      <c r="G5053" s="110"/>
      <c r="H5053" s="108" t="s">
        <v>22855</v>
      </c>
      <c r="I5053" s="108"/>
    </row>
    <row r="5054" spans="1:9">
      <c r="A5054" s="108" t="s">
        <v>118</v>
      </c>
      <c r="B5054" s="108" t="s">
        <v>22926</v>
      </c>
      <c r="C5054" s="109">
        <v>43914</v>
      </c>
      <c r="D5054" s="108"/>
      <c r="E5054" s="108" t="s">
        <v>14605</v>
      </c>
      <c r="F5054" s="108" t="s">
        <v>14762</v>
      </c>
      <c r="G5054" s="110"/>
      <c r="H5054" s="108" t="s">
        <v>22855</v>
      </c>
      <c r="I5054" s="108"/>
    </row>
    <row r="5055" spans="1:9">
      <c r="A5055" s="108" t="s">
        <v>169</v>
      </c>
      <c r="B5055" s="108" t="s">
        <v>22927</v>
      </c>
      <c r="C5055" s="109">
        <v>44344</v>
      </c>
      <c r="D5055" s="108"/>
      <c r="E5055" s="108" t="s">
        <v>14605</v>
      </c>
      <c r="F5055" s="108" t="s">
        <v>14762</v>
      </c>
      <c r="G5055" s="110"/>
      <c r="H5055" s="108" t="s">
        <v>22855</v>
      </c>
      <c r="I5055" s="108"/>
    </row>
    <row r="5056" spans="1:9">
      <c r="A5056" s="108" t="s">
        <v>169</v>
      </c>
      <c r="B5056" s="108" t="s">
        <v>22928</v>
      </c>
      <c r="C5056" s="109">
        <v>43994</v>
      </c>
      <c r="D5056" s="108"/>
      <c r="E5056" s="108" t="s">
        <v>14605</v>
      </c>
      <c r="F5056" s="108" t="s">
        <v>14762</v>
      </c>
      <c r="G5056" s="110"/>
      <c r="H5056" s="108" t="s">
        <v>22855</v>
      </c>
      <c r="I5056" s="108"/>
    </row>
    <row r="5057" spans="1:9">
      <c r="A5057" s="108" t="s">
        <v>169</v>
      </c>
      <c r="B5057" s="108" t="s">
        <v>22929</v>
      </c>
      <c r="C5057" s="109">
        <v>44057</v>
      </c>
      <c r="D5057" s="108"/>
      <c r="E5057" s="108" t="s">
        <v>14605</v>
      </c>
      <c r="F5057" s="108" t="s">
        <v>14762</v>
      </c>
      <c r="G5057" s="110"/>
      <c r="H5057" s="108" t="s">
        <v>22855</v>
      </c>
      <c r="I5057" s="108"/>
    </row>
    <row r="5058" spans="1:9">
      <c r="A5058" s="108" t="s">
        <v>169</v>
      </c>
      <c r="B5058" s="108" t="s">
        <v>22930</v>
      </c>
      <c r="C5058" s="109">
        <v>44071</v>
      </c>
      <c r="D5058" s="108"/>
      <c r="E5058" s="108" t="s">
        <v>14605</v>
      </c>
      <c r="F5058" s="108" t="s">
        <v>14762</v>
      </c>
      <c r="G5058" s="110"/>
      <c r="H5058" s="108" t="s">
        <v>22855</v>
      </c>
      <c r="I5058" s="108"/>
    </row>
    <row r="5059" spans="1:9">
      <c r="A5059" s="108" t="s">
        <v>169</v>
      </c>
      <c r="B5059" s="108" t="s">
        <v>22931</v>
      </c>
      <c r="C5059" s="109">
        <v>44071</v>
      </c>
      <c r="D5059" s="108"/>
      <c r="E5059" s="108" t="s">
        <v>14605</v>
      </c>
      <c r="F5059" s="108" t="s">
        <v>14762</v>
      </c>
      <c r="G5059" s="110"/>
      <c r="H5059" s="108" t="s">
        <v>22855</v>
      </c>
      <c r="I5059" s="108"/>
    </row>
    <row r="5060" spans="1:9">
      <c r="A5060" s="108" t="s">
        <v>169</v>
      </c>
      <c r="B5060" s="108" t="s">
        <v>22932</v>
      </c>
      <c r="C5060" s="109">
        <v>44071</v>
      </c>
      <c r="D5060" s="108"/>
      <c r="E5060" s="108" t="s">
        <v>14605</v>
      </c>
      <c r="F5060" s="108" t="s">
        <v>14762</v>
      </c>
      <c r="G5060" s="110"/>
      <c r="H5060" s="108" t="s">
        <v>22855</v>
      </c>
      <c r="I5060" s="108"/>
    </row>
    <row r="5061" spans="1:9">
      <c r="A5061" s="108" t="s">
        <v>169</v>
      </c>
      <c r="B5061" s="108" t="s">
        <v>22933</v>
      </c>
      <c r="C5061" s="109">
        <v>44085</v>
      </c>
      <c r="D5061" s="108"/>
      <c r="E5061" s="108" t="s">
        <v>14605</v>
      </c>
      <c r="F5061" s="108" t="s">
        <v>14762</v>
      </c>
      <c r="G5061" s="110"/>
      <c r="H5061" s="108" t="s">
        <v>22855</v>
      </c>
      <c r="I5061" s="108"/>
    </row>
    <row r="5062" spans="1:9">
      <c r="A5062" s="108" t="s">
        <v>169</v>
      </c>
      <c r="B5062" s="108" t="s">
        <v>22934</v>
      </c>
      <c r="C5062" s="109">
        <v>44106</v>
      </c>
      <c r="D5062" s="108"/>
      <c r="E5062" s="108" t="s">
        <v>14605</v>
      </c>
      <c r="F5062" s="108" t="s">
        <v>14762</v>
      </c>
      <c r="G5062" s="110"/>
      <c r="H5062" s="108" t="s">
        <v>22855</v>
      </c>
      <c r="I5062" s="108"/>
    </row>
    <row r="5063" spans="1:9">
      <c r="A5063" s="108" t="s">
        <v>169</v>
      </c>
      <c r="B5063" s="108" t="s">
        <v>22935</v>
      </c>
      <c r="C5063" s="109">
        <v>44624</v>
      </c>
      <c r="D5063" s="108"/>
      <c r="E5063" s="108" t="s">
        <v>14605</v>
      </c>
      <c r="F5063" s="108" t="s">
        <v>14762</v>
      </c>
      <c r="G5063" s="110"/>
      <c r="H5063" s="108" t="s">
        <v>22855</v>
      </c>
      <c r="I5063" s="108"/>
    </row>
    <row r="5064" spans="1:9">
      <c r="A5064" s="108" t="s">
        <v>169</v>
      </c>
      <c r="B5064" s="108" t="s">
        <v>22936</v>
      </c>
      <c r="C5064" s="109">
        <v>44169</v>
      </c>
      <c r="D5064" s="108"/>
      <c r="E5064" s="108" t="s">
        <v>14605</v>
      </c>
      <c r="F5064" s="108" t="s">
        <v>14762</v>
      </c>
      <c r="G5064" s="110"/>
      <c r="H5064" s="108" t="s">
        <v>22855</v>
      </c>
      <c r="I5064" s="108"/>
    </row>
    <row r="5065" spans="1:9">
      <c r="A5065" s="108" t="s">
        <v>169</v>
      </c>
      <c r="B5065" s="108" t="s">
        <v>22937</v>
      </c>
      <c r="C5065" s="109">
        <v>44169</v>
      </c>
      <c r="D5065" s="108"/>
      <c r="E5065" s="108" t="s">
        <v>14605</v>
      </c>
      <c r="F5065" s="108" t="s">
        <v>14762</v>
      </c>
      <c r="G5065" s="110"/>
      <c r="H5065" s="108" t="s">
        <v>22855</v>
      </c>
      <c r="I5065" s="108"/>
    </row>
    <row r="5066" spans="1:9" ht="27.6">
      <c r="A5066" s="108" t="s">
        <v>14950</v>
      </c>
      <c r="B5066" s="108" t="s">
        <v>22938</v>
      </c>
      <c r="C5066" s="109">
        <v>44210</v>
      </c>
      <c r="D5066" s="108" t="s">
        <v>22939</v>
      </c>
      <c r="E5066" s="108" t="s">
        <v>16121</v>
      </c>
      <c r="F5066" s="108" t="s">
        <v>15983</v>
      </c>
      <c r="G5066" s="109">
        <v>44574</v>
      </c>
      <c r="H5066" s="108" t="s">
        <v>22855</v>
      </c>
      <c r="I5066" s="108" t="s">
        <v>108</v>
      </c>
    </row>
    <row r="5067" spans="1:9">
      <c r="A5067" s="108" t="s">
        <v>87</v>
      </c>
      <c r="B5067" s="108" t="s">
        <v>22940</v>
      </c>
      <c r="C5067" s="109">
        <v>45072</v>
      </c>
      <c r="D5067" s="108" t="s">
        <v>22941</v>
      </c>
      <c r="E5067" s="108" t="s">
        <v>14605</v>
      </c>
      <c r="F5067" s="108" t="s">
        <v>14762</v>
      </c>
      <c r="G5067" s="109">
        <v>45437</v>
      </c>
      <c r="H5067" s="108" t="s">
        <v>22855</v>
      </c>
      <c r="I5067" s="108" t="s">
        <v>108</v>
      </c>
    </row>
    <row r="5068" spans="1:9">
      <c r="A5068" s="108" t="s">
        <v>169</v>
      </c>
      <c r="B5068" s="108" t="s">
        <v>22942</v>
      </c>
      <c r="C5068" s="109">
        <v>45042</v>
      </c>
      <c r="D5068" s="108" t="s">
        <v>22943</v>
      </c>
      <c r="E5068" s="108" t="s">
        <v>14605</v>
      </c>
      <c r="F5068" s="108" t="s">
        <v>14762</v>
      </c>
      <c r="G5068" s="109">
        <v>45407</v>
      </c>
      <c r="H5068" s="108" t="s">
        <v>22855</v>
      </c>
      <c r="I5068" s="108" t="s">
        <v>108</v>
      </c>
    </row>
    <row r="5069" spans="1:9">
      <c r="A5069" s="108" t="s">
        <v>169</v>
      </c>
      <c r="B5069" s="108" t="s">
        <v>22944</v>
      </c>
      <c r="C5069" s="109">
        <v>45042</v>
      </c>
      <c r="D5069" s="108" t="s">
        <v>22945</v>
      </c>
      <c r="E5069" s="108" t="s">
        <v>14605</v>
      </c>
      <c r="F5069" s="108" t="s">
        <v>14762</v>
      </c>
      <c r="G5069" s="109">
        <v>45407</v>
      </c>
      <c r="H5069" s="108" t="s">
        <v>22855</v>
      </c>
      <c r="I5069" s="108" t="s">
        <v>108</v>
      </c>
    </row>
    <row r="5070" spans="1:9">
      <c r="A5070" s="108" t="s">
        <v>169</v>
      </c>
      <c r="B5070" s="108" t="s">
        <v>22946</v>
      </c>
      <c r="C5070" s="109">
        <v>45042</v>
      </c>
      <c r="D5070" s="108" t="s">
        <v>22947</v>
      </c>
      <c r="E5070" s="108" t="s">
        <v>14605</v>
      </c>
      <c r="F5070" s="108" t="s">
        <v>14762</v>
      </c>
      <c r="G5070" s="109">
        <v>45407</v>
      </c>
      <c r="H5070" s="108" t="s">
        <v>22855</v>
      </c>
      <c r="I5070" s="108" t="s">
        <v>108</v>
      </c>
    </row>
    <row r="5071" spans="1:9">
      <c r="A5071" s="108" t="s">
        <v>169</v>
      </c>
      <c r="B5071" s="108" t="s">
        <v>22948</v>
      </c>
      <c r="C5071" s="109">
        <v>45042</v>
      </c>
      <c r="D5071" s="108" t="s">
        <v>22949</v>
      </c>
      <c r="E5071" s="108" t="s">
        <v>14605</v>
      </c>
      <c r="F5071" s="108" t="s">
        <v>14762</v>
      </c>
      <c r="G5071" s="109">
        <v>45407</v>
      </c>
      <c r="H5071" s="108" t="s">
        <v>22855</v>
      </c>
      <c r="I5071" s="108" t="s">
        <v>108</v>
      </c>
    </row>
    <row r="5072" spans="1:9">
      <c r="A5072" s="108" t="s">
        <v>169</v>
      </c>
      <c r="B5072" s="108" t="s">
        <v>22950</v>
      </c>
      <c r="C5072" s="109">
        <v>45042</v>
      </c>
      <c r="D5072" s="108" t="s">
        <v>22951</v>
      </c>
      <c r="E5072" s="108" t="s">
        <v>14605</v>
      </c>
      <c r="F5072" s="108" t="s">
        <v>14762</v>
      </c>
      <c r="G5072" s="109">
        <v>45407</v>
      </c>
      <c r="H5072" s="108" t="s">
        <v>22855</v>
      </c>
      <c r="I5072" s="108" t="s">
        <v>108</v>
      </c>
    </row>
    <row r="5073" spans="1:9" ht="27.6">
      <c r="A5073" s="108" t="s">
        <v>250</v>
      </c>
      <c r="B5073" s="108" t="s">
        <v>22952</v>
      </c>
      <c r="C5073" s="109">
        <v>44210</v>
      </c>
      <c r="D5073" s="108" t="s">
        <v>22953</v>
      </c>
      <c r="E5073" s="108" t="s">
        <v>16121</v>
      </c>
      <c r="F5073" s="108" t="s">
        <v>15983</v>
      </c>
      <c r="G5073" s="109">
        <v>44574</v>
      </c>
      <c r="H5073" s="108" t="s">
        <v>22855</v>
      </c>
      <c r="I5073" s="108" t="s">
        <v>108</v>
      </c>
    </row>
    <row r="5074" spans="1:9" ht="27.6">
      <c r="A5074" s="108" t="s">
        <v>109</v>
      </c>
      <c r="B5074" s="108" t="s">
        <v>22954</v>
      </c>
      <c r="C5074" s="109">
        <v>44343</v>
      </c>
      <c r="D5074" s="108" t="s">
        <v>22955</v>
      </c>
      <c r="E5074" s="108" t="s">
        <v>14605</v>
      </c>
      <c r="F5074" s="108" t="s">
        <v>15983</v>
      </c>
      <c r="G5074" s="109">
        <v>44732</v>
      </c>
      <c r="H5074" s="108" t="s">
        <v>22855</v>
      </c>
      <c r="I5074" s="108" t="s">
        <v>108</v>
      </c>
    </row>
    <row r="5075" spans="1:9" ht="27.6">
      <c r="A5075" s="108" t="s">
        <v>1072</v>
      </c>
      <c r="B5075" s="108" t="s">
        <v>22956</v>
      </c>
      <c r="C5075" s="109">
        <v>44721</v>
      </c>
      <c r="D5075" s="108" t="s">
        <v>22957</v>
      </c>
      <c r="E5075" s="108" t="s">
        <v>14605</v>
      </c>
      <c r="F5075" s="108" t="s">
        <v>15983</v>
      </c>
      <c r="G5075" s="109">
        <v>44752</v>
      </c>
      <c r="H5075" s="108" t="s">
        <v>22855</v>
      </c>
      <c r="I5075" s="108" t="s">
        <v>108</v>
      </c>
    </row>
    <row r="5076" spans="1:9" ht="27.6">
      <c r="A5076" s="108" t="s">
        <v>1072</v>
      </c>
      <c r="B5076" s="108" t="s">
        <v>22958</v>
      </c>
      <c r="C5076" s="109">
        <v>44736</v>
      </c>
      <c r="D5076" s="108" t="s">
        <v>22959</v>
      </c>
      <c r="E5076" s="108" t="s">
        <v>16121</v>
      </c>
      <c r="F5076" s="108" t="s">
        <v>15983</v>
      </c>
      <c r="G5076" s="109">
        <v>45121</v>
      </c>
      <c r="H5076" s="108" t="s">
        <v>22855</v>
      </c>
      <c r="I5076" s="108" t="s">
        <v>108</v>
      </c>
    </row>
    <row r="5077" spans="1:9" ht="27.6">
      <c r="A5077" s="108" t="s">
        <v>109</v>
      </c>
      <c r="B5077" s="108" t="s">
        <v>22960</v>
      </c>
      <c r="C5077" s="109">
        <v>45001</v>
      </c>
      <c r="D5077" s="108" t="s">
        <v>22961</v>
      </c>
      <c r="E5077" s="108" t="s">
        <v>16121</v>
      </c>
      <c r="F5077" s="108" t="s">
        <v>15983</v>
      </c>
      <c r="G5077" s="109">
        <v>45365</v>
      </c>
      <c r="H5077" s="108" t="s">
        <v>22855</v>
      </c>
      <c r="I5077" s="108" t="s">
        <v>108</v>
      </c>
    </row>
    <row r="5078" spans="1:9" ht="27.6">
      <c r="A5078" s="108" t="s">
        <v>96</v>
      </c>
      <c r="B5078" s="108" t="s">
        <v>22962</v>
      </c>
      <c r="C5078" s="109">
        <v>44228</v>
      </c>
      <c r="D5078" s="108" t="s">
        <v>22963</v>
      </c>
      <c r="E5078" s="108" t="s">
        <v>16121</v>
      </c>
      <c r="F5078" s="108" t="s">
        <v>15983</v>
      </c>
      <c r="G5078" s="109">
        <v>44620</v>
      </c>
      <c r="H5078" s="108" t="s">
        <v>22855</v>
      </c>
      <c r="I5078" s="108" t="s">
        <v>108</v>
      </c>
    </row>
    <row r="5079" spans="1:9" ht="27.6">
      <c r="A5079" s="108" t="s">
        <v>479</v>
      </c>
      <c r="B5079" s="108" t="s">
        <v>22964</v>
      </c>
      <c r="C5079" s="109">
        <v>40752</v>
      </c>
      <c r="D5079" s="108"/>
      <c r="E5079" s="108" t="s">
        <v>14605</v>
      </c>
      <c r="F5079" s="108" t="s">
        <v>22965</v>
      </c>
      <c r="G5079" s="110"/>
      <c r="H5079" s="108" t="s">
        <v>22966</v>
      </c>
      <c r="I5079" s="108"/>
    </row>
    <row r="5080" spans="1:9">
      <c r="A5080" s="108" t="s">
        <v>237</v>
      </c>
      <c r="B5080" s="108" t="s">
        <v>22967</v>
      </c>
      <c r="C5080" s="109">
        <v>41275</v>
      </c>
      <c r="D5080" s="108"/>
      <c r="E5080" s="108" t="s">
        <v>14605</v>
      </c>
      <c r="F5080" s="108" t="s">
        <v>22968</v>
      </c>
      <c r="G5080" s="110"/>
      <c r="H5080" s="108" t="s">
        <v>22969</v>
      </c>
      <c r="I5080" s="108"/>
    </row>
    <row r="5081" spans="1:9" ht="27.6">
      <c r="A5081" s="108" t="s">
        <v>14950</v>
      </c>
      <c r="B5081" s="108" t="s">
        <v>22970</v>
      </c>
      <c r="C5081" s="109">
        <v>45427</v>
      </c>
      <c r="D5081" s="108"/>
      <c r="E5081" s="108" t="s">
        <v>14605</v>
      </c>
      <c r="F5081" s="108" t="s">
        <v>15042</v>
      </c>
      <c r="G5081" s="110"/>
      <c r="H5081" s="108" t="s">
        <v>22969</v>
      </c>
      <c r="I5081" s="108"/>
    </row>
    <row r="5082" spans="1:9" ht="27.6">
      <c r="A5082" s="108" t="s">
        <v>17130</v>
      </c>
      <c r="B5082" s="108" t="s">
        <v>22971</v>
      </c>
      <c r="C5082" s="109">
        <v>44358</v>
      </c>
      <c r="D5082" s="108"/>
      <c r="E5082" s="108" t="s">
        <v>14605</v>
      </c>
      <c r="F5082" s="108" t="s">
        <v>22972</v>
      </c>
      <c r="G5082" s="110"/>
      <c r="H5082" s="108" t="s">
        <v>22969</v>
      </c>
      <c r="I5082" s="108"/>
    </row>
    <row r="5083" spans="1:9">
      <c r="A5083" s="108" t="s">
        <v>227</v>
      </c>
      <c r="B5083" s="108" t="s">
        <v>22973</v>
      </c>
      <c r="C5083" s="109">
        <v>43524</v>
      </c>
      <c r="D5083" s="108"/>
      <c r="E5083" s="108" t="s">
        <v>14605</v>
      </c>
      <c r="F5083" s="108" t="s">
        <v>22968</v>
      </c>
      <c r="G5083" s="110"/>
      <c r="H5083" s="108" t="s">
        <v>22969</v>
      </c>
      <c r="I5083" s="108"/>
    </row>
    <row r="5084" spans="1:9">
      <c r="A5084" s="108" t="s">
        <v>118</v>
      </c>
      <c r="B5084" s="108" t="s">
        <v>22974</v>
      </c>
      <c r="C5084" s="109">
        <v>43332</v>
      </c>
      <c r="D5084" s="108"/>
      <c r="E5084" s="108" t="s">
        <v>14605</v>
      </c>
      <c r="F5084" s="108" t="s">
        <v>22968</v>
      </c>
      <c r="G5084" s="110"/>
      <c r="H5084" s="108" t="s">
        <v>22969</v>
      </c>
      <c r="I5084" s="108"/>
    </row>
    <row r="5085" spans="1:9">
      <c r="A5085" s="108" t="s">
        <v>16151</v>
      </c>
      <c r="B5085" s="108" t="s">
        <v>22975</v>
      </c>
      <c r="C5085" s="109">
        <v>45426</v>
      </c>
      <c r="D5085" s="108" t="s">
        <v>22976</v>
      </c>
      <c r="E5085" s="108" t="s">
        <v>14605</v>
      </c>
      <c r="F5085" s="108" t="s">
        <v>15042</v>
      </c>
      <c r="G5085" s="109">
        <v>46138</v>
      </c>
      <c r="H5085" s="108" t="s">
        <v>22969</v>
      </c>
      <c r="I5085" s="108" t="s">
        <v>95</v>
      </c>
    </row>
    <row r="5086" spans="1:9">
      <c r="A5086" s="108" t="s">
        <v>227</v>
      </c>
      <c r="B5086" s="108" t="s">
        <v>22977</v>
      </c>
      <c r="C5086" s="109">
        <v>44400</v>
      </c>
      <c r="D5086" s="108" t="s">
        <v>22978</v>
      </c>
      <c r="E5086" s="108" t="s">
        <v>14605</v>
      </c>
      <c r="F5086" s="108" t="s">
        <v>22979</v>
      </c>
      <c r="G5086" s="109">
        <v>45265</v>
      </c>
      <c r="H5086" s="108" t="s">
        <v>22969</v>
      </c>
      <c r="I5086" s="108" t="s">
        <v>108</v>
      </c>
    </row>
    <row r="5087" spans="1:9" ht="27.6">
      <c r="A5087" s="108" t="s">
        <v>199</v>
      </c>
      <c r="B5087" s="108" t="s">
        <v>22980</v>
      </c>
      <c r="C5087" s="109">
        <v>40868</v>
      </c>
      <c r="D5087" s="108"/>
      <c r="E5087" s="108" t="s">
        <v>14605</v>
      </c>
      <c r="F5087" s="108" t="s">
        <v>22981</v>
      </c>
      <c r="G5087" s="110"/>
      <c r="H5087" s="108" t="s">
        <v>1181</v>
      </c>
      <c r="I5087" s="108"/>
    </row>
    <row r="5088" spans="1:9" ht="27.6">
      <c r="A5088" s="108" t="s">
        <v>87</v>
      </c>
      <c r="B5088" s="108" t="s">
        <v>22982</v>
      </c>
      <c r="C5088" s="109">
        <v>42005</v>
      </c>
      <c r="D5088" s="108"/>
      <c r="E5088" s="108" t="s">
        <v>14605</v>
      </c>
      <c r="F5088" s="108" t="s">
        <v>22983</v>
      </c>
      <c r="G5088" s="110"/>
      <c r="H5088" s="108" t="s">
        <v>22984</v>
      </c>
      <c r="I5088" s="108"/>
    </row>
    <row r="5089" spans="1:9">
      <c r="A5089" s="108" t="s">
        <v>169</v>
      </c>
      <c r="B5089" s="108" t="s">
        <v>22985</v>
      </c>
      <c r="C5089" s="109">
        <v>43788</v>
      </c>
      <c r="D5089" s="108"/>
      <c r="E5089" s="108" t="s">
        <v>14605</v>
      </c>
      <c r="F5089" s="108" t="s">
        <v>22986</v>
      </c>
      <c r="G5089" s="110"/>
      <c r="H5089" s="108" t="s">
        <v>22984</v>
      </c>
      <c r="I5089" s="108"/>
    </row>
    <row r="5090" spans="1:9">
      <c r="A5090" s="108" t="s">
        <v>2002</v>
      </c>
      <c r="B5090" s="108" t="s">
        <v>22987</v>
      </c>
      <c r="C5090" s="109">
        <v>44498</v>
      </c>
      <c r="D5090" s="108"/>
      <c r="E5090" s="108" t="s">
        <v>14605</v>
      </c>
      <c r="F5090" s="108" t="s">
        <v>22988</v>
      </c>
      <c r="G5090" s="110"/>
      <c r="H5090" s="108" t="s">
        <v>22984</v>
      </c>
      <c r="I5090" s="108"/>
    </row>
    <row r="5091" spans="1:9">
      <c r="A5091" s="108" t="s">
        <v>227</v>
      </c>
      <c r="B5091" s="108" t="s">
        <v>22989</v>
      </c>
      <c r="C5091" s="109">
        <v>42046</v>
      </c>
      <c r="D5091" s="108"/>
      <c r="E5091" s="108" t="s">
        <v>14605</v>
      </c>
      <c r="F5091" s="108" t="s">
        <v>22990</v>
      </c>
      <c r="G5091" s="110"/>
      <c r="H5091" s="108" t="s">
        <v>22984</v>
      </c>
      <c r="I5091" s="108"/>
    </row>
    <row r="5092" spans="1:9" ht="27.6">
      <c r="A5092" s="108" t="s">
        <v>14690</v>
      </c>
      <c r="B5092" s="108" t="s">
        <v>22991</v>
      </c>
      <c r="C5092" s="109">
        <v>44357</v>
      </c>
      <c r="D5092" s="108" t="s">
        <v>22992</v>
      </c>
      <c r="E5092" s="108" t="s">
        <v>14605</v>
      </c>
      <c r="F5092" s="108" t="s">
        <v>22993</v>
      </c>
      <c r="G5092" s="109">
        <v>46207</v>
      </c>
      <c r="H5092" s="108" t="s">
        <v>22994</v>
      </c>
      <c r="I5092" s="108" t="s">
        <v>280</v>
      </c>
    </row>
    <row r="5093" spans="1:9">
      <c r="A5093" s="108" t="s">
        <v>118</v>
      </c>
      <c r="B5093" s="108" t="s">
        <v>22995</v>
      </c>
      <c r="C5093" s="109">
        <v>42716</v>
      </c>
      <c r="D5093" s="108" t="s">
        <v>22996</v>
      </c>
      <c r="E5093" s="108" t="s">
        <v>14605</v>
      </c>
      <c r="F5093" s="108" t="s">
        <v>22997</v>
      </c>
      <c r="G5093" s="109">
        <v>45941</v>
      </c>
      <c r="H5093" s="108" t="s">
        <v>22994</v>
      </c>
      <c r="I5093" s="108" t="s">
        <v>117</v>
      </c>
    </row>
    <row r="5094" spans="1:9">
      <c r="A5094" s="108" t="s">
        <v>2623</v>
      </c>
      <c r="B5094" s="108" t="s">
        <v>22998</v>
      </c>
      <c r="C5094" s="109">
        <v>41768</v>
      </c>
      <c r="D5094" s="108"/>
      <c r="E5094" s="108" t="s">
        <v>14605</v>
      </c>
      <c r="F5094" s="108" t="s">
        <v>22999</v>
      </c>
      <c r="G5094" s="110"/>
      <c r="H5094" s="108" t="s">
        <v>23000</v>
      </c>
      <c r="I5094" s="108"/>
    </row>
    <row r="5095" spans="1:9">
      <c r="A5095" s="108" t="s">
        <v>237</v>
      </c>
      <c r="B5095" s="108" t="s">
        <v>23001</v>
      </c>
      <c r="C5095" s="109">
        <v>42601</v>
      </c>
      <c r="D5095" s="108"/>
      <c r="E5095" s="108" t="s">
        <v>14605</v>
      </c>
      <c r="F5095" s="108" t="s">
        <v>23002</v>
      </c>
      <c r="G5095" s="110"/>
      <c r="H5095" s="108" t="s">
        <v>23003</v>
      </c>
      <c r="I5095" s="108"/>
    </row>
    <row r="5096" spans="1:9">
      <c r="A5096" s="108" t="s">
        <v>169</v>
      </c>
      <c r="B5096" s="108" t="s">
        <v>23004</v>
      </c>
      <c r="C5096" s="109">
        <v>43202</v>
      </c>
      <c r="D5096" s="108"/>
      <c r="E5096" s="108" t="s">
        <v>14605</v>
      </c>
      <c r="F5096" s="108" t="s">
        <v>23005</v>
      </c>
      <c r="G5096" s="110"/>
      <c r="H5096" s="108" t="s">
        <v>23003</v>
      </c>
      <c r="I5096" s="108"/>
    </row>
    <row r="5097" spans="1:9" ht="27.6">
      <c r="A5097" s="108" t="s">
        <v>118</v>
      </c>
      <c r="B5097" s="108" t="s">
        <v>23006</v>
      </c>
      <c r="C5097" s="109">
        <v>42754</v>
      </c>
      <c r="D5097" s="108"/>
      <c r="E5097" s="108" t="s">
        <v>14605</v>
      </c>
      <c r="F5097" s="108" t="s">
        <v>23007</v>
      </c>
      <c r="G5097" s="110"/>
      <c r="H5097" s="108" t="s">
        <v>23003</v>
      </c>
      <c r="I5097" s="108"/>
    </row>
    <row r="5098" spans="1:9" ht="27.6">
      <c r="A5098" s="108" t="s">
        <v>2002</v>
      </c>
      <c r="B5098" s="108" t="s">
        <v>23008</v>
      </c>
      <c r="C5098" s="109">
        <v>41203</v>
      </c>
      <c r="D5098" s="108"/>
      <c r="E5098" s="108" t="s">
        <v>14605</v>
      </c>
      <c r="F5098" s="108" t="s">
        <v>23009</v>
      </c>
      <c r="G5098" s="110"/>
      <c r="H5098" s="108" t="s">
        <v>23010</v>
      </c>
      <c r="I5098" s="108"/>
    </row>
    <row r="5099" spans="1:9">
      <c r="A5099" s="108" t="s">
        <v>2002</v>
      </c>
      <c r="B5099" s="108" t="s">
        <v>23011</v>
      </c>
      <c r="C5099" s="109">
        <v>41891</v>
      </c>
      <c r="D5099" s="108"/>
      <c r="E5099" s="108" t="s">
        <v>14605</v>
      </c>
      <c r="F5099" s="108" t="s">
        <v>23012</v>
      </c>
      <c r="G5099" s="110"/>
      <c r="H5099" s="108" t="s">
        <v>23010</v>
      </c>
      <c r="I5099" s="108"/>
    </row>
    <row r="5100" spans="1:9" ht="27.6">
      <c r="A5100" s="108" t="s">
        <v>87</v>
      </c>
      <c r="B5100" s="108" t="s">
        <v>23013</v>
      </c>
      <c r="C5100" s="109">
        <v>42414</v>
      </c>
      <c r="D5100" s="108"/>
      <c r="E5100" s="108" t="s">
        <v>14605</v>
      </c>
      <c r="F5100" s="108" t="s">
        <v>23014</v>
      </c>
      <c r="G5100" s="110"/>
      <c r="H5100" s="108" t="s">
        <v>23010</v>
      </c>
      <c r="I5100" s="108"/>
    </row>
    <row r="5101" spans="1:9">
      <c r="A5101" s="108" t="s">
        <v>2002</v>
      </c>
      <c r="B5101" s="108" t="s">
        <v>23015</v>
      </c>
      <c r="C5101" s="109">
        <v>42263</v>
      </c>
      <c r="D5101" s="108"/>
      <c r="E5101" s="108" t="s">
        <v>14605</v>
      </c>
      <c r="F5101" s="108" t="s">
        <v>23016</v>
      </c>
      <c r="G5101" s="110"/>
      <c r="H5101" s="108" t="s">
        <v>23010</v>
      </c>
      <c r="I5101" s="108"/>
    </row>
    <row r="5102" spans="1:9" ht="41.4">
      <c r="A5102" s="108" t="s">
        <v>1465</v>
      </c>
      <c r="B5102" s="108" t="s">
        <v>23017</v>
      </c>
      <c r="C5102" s="109">
        <v>42520</v>
      </c>
      <c r="D5102" s="108"/>
      <c r="E5102" s="108" t="s">
        <v>14605</v>
      </c>
      <c r="F5102" s="108" t="s">
        <v>23018</v>
      </c>
      <c r="G5102" s="110"/>
      <c r="H5102" s="108" t="s">
        <v>23010</v>
      </c>
      <c r="I5102" s="108"/>
    </row>
    <row r="5103" spans="1:9" ht="27.6">
      <c r="A5103" s="108" t="s">
        <v>14690</v>
      </c>
      <c r="B5103" s="108" t="s">
        <v>23019</v>
      </c>
      <c r="C5103" s="109">
        <v>43444</v>
      </c>
      <c r="D5103" s="108"/>
      <c r="E5103" s="108" t="s">
        <v>14605</v>
      </c>
      <c r="F5103" s="108" t="s">
        <v>23020</v>
      </c>
      <c r="G5103" s="110"/>
      <c r="H5103" s="108" t="s">
        <v>23010</v>
      </c>
      <c r="I5103" s="108"/>
    </row>
    <row r="5104" spans="1:9">
      <c r="A5104" s="108" t="s">
        <v>1465</v>
      </c>
      <c r="B5104" s="108" t="s">
        <v>23021</v>
      </c>
      <c r="C5104" s="109">
        <v>40624</v>
      </c>
      <c r="D5104" s="108"/>
      <c r="E5104" s="108" t="s">
        <v>14605</v>
      </c>
      <c r="F5104" s="108" t="s">
        <v>23012</v>
      </c>
      <c r="G5104" s="110"/>
      <c r="H5104" s="108" t="s">
        <v>23010</v>
      </c>
      <c r="I5104" s="108"/>
    </row>
    <row r="5105" spans="1:9" ht="27.6">
      <c r="A5105" s="108" t="s">
        <v>109</v>
      </c>
      <c r="B5105" s="108" t="s">
        <v>23022</v>
      </c>
      <c r="C5105" s="109">
        <v>44650</v>
      </c>
      <c r="D5105" s="108" t="s">
        <v>23023</v>
      </c>
      <c r="E5105" s="108" t="s">
        <v>16121</v>
      </c>
      <c r="F5105" s="108" t="s">
        <v>23024</v>
      </c>
      <c r="G5105" s="109">
        <v>44984</v>
      </c>
      <c r="H5105" s="108" t="s">
        <v>23010</v>
      </c>
      <c r="I5105" s="108" t="s">
        <v>108</v>
      </c>
    </row>
    <row r="5106" spans="1:9">
      <c r="A5106" s="108" t="s">
        <v>14679</v>
      </c>
      <c r="B5106" s="108" t="s">
        <v>23025</v>
      </c>
      <c r="C5106" s="109">
        <v>44315</v>
      </c>
      <c r="D5106" s="108"/>
      <c r="E5106" s="108" t="s">
        <v>14605</v>
      </c>
      <c r="F5106" s="108" t="s">
        <v>23026</v>
      </c>
      <c r="G5106" s="110"/>
      <c r="H5106" s="108" t="s">
        <v>3031</v>
      </c>
      <c r="I5106" s="108"/>
    </row>
    <row r="5107" spans="1:9">
      <c r="A5107" s="108" t="s">
        <v>23027</v>
      </c>
      <c r="B5107" s="108" t="s">
        <v>23028</v>
      </c>
      <c r="C5107" s="109">
        <v>44315</v>
      </c>
      <c r="D5107" s="108"/>
      <c r="E5107" s="108" t="s">
        <v>14605</v>
      </c>
      <c r="F5107" s="108" t="s">
        <v>23026</v>
      </c>
      <c r="G5107" s="110"/>
      <c r="H5107" s="108" t="s">
        <v>3031</v>
      </c>
      <c r="I5107" s="108"/>
    </row>
    <row r="5108" spans="1:9">
      <c r="A5108" s="108" t="s">
        <v>2287</v>
      </c>
      <c r="B5108" s="108" t="s">
        <v>23029</v>
      </c>
      <c r="C5108" s="109">
        <v>44315</v>
      </c>
      <c r="D5108" s="108"/>
      <c r="E5108" s="108" t="s">
        <v>14605</v>
      </c>
      <c r="F5108" s="108" t="s">
        <v>23026</v>
      </c>
      <c r="G5108" s="110"/>
      <c r="H5108" s="108" t="s">
        <v>3031</v>
      </c>
      <c r="I5108" s="108"/>
    </row>
    <row r="5109" spans="1:9">
      <c r="A5109" s="108" t="s">
        <v>14679</v>
      </c>
      <c r="B5109" s="108" t="s">
        <v>23030</v>
      </c>
      <c r="C5109" s="109">
        <v>44315</v>
      </c>
      <c r="D5109" s="108"/>
      <c r="E5109" s="108" t="s">
        <v>14605</v>
      </c>
      <c r="F5109" s="108" t="s">
        <v>23026</v>
      </c>
      <c r="G5109" s="110"/>
      <c r="H5109" s="108" t="s">
        <v>3031</v>
      </c>
      <c r="I5109" s="108"/>
    </row>
    <row r="5110" spans="1:9">
      <c r="A5110" s="108" t="s">
        <v>23027</v>
      </c>
      <c r="B5110" s="108" t="s">
        <v>23031</v>
      </c>
      <c r="C5110" s="109">
        <v>44315</v>
      </c>
      <c r="D5110" s="108"/>
      <c r="E5110" s="108" t="s">
        <v>14605</v>
      </c>
      <c r="F5110" s="108" t="s">
        <v>23026</v>
      </c>
      <c r="G5110" s="110"/>
      <c r="H5110" s="108" t="s">
        <v>3031</v>
      </c>
      <c r="I5110" s="108"/>
    </row>
    <row r="5111" spans="1:9">
      <c r="A5111" s="108" t="s">
        <v>2287</v>
      </c>
      <c r="B5111" s="108" t="s">
        <v>23032</v>
      </c>
      <c r="C5111" s="109">
        <v>44315</v>
      </c>
      <c r="D5111" s="108"/>
      <c r="E5111" s="108" t="s">
        <v>14605</v>
      </c>
      <c r="F5111" s="108" t="s">
        <v>23026</v>
      </c>
      <c r="G5111" s="110"/>
      <c r="H5111" s="108" t="s">
        <v>3031</v>
      </c>
      <c r="I5111" s="108"/>
    </row>
    <row r="5112" spans="1:9">
      <c r="A5112" s="108" t="s">
        <v>2002</v>
      </c>
      <c r="B5112" s="108" t="s">
        <v>23033</v>
      </c>
      <c r="C5112" s="109">
        <v>42188</v>
      </c>
      <c r="D5112" s="108"/>
      <c r="E5112" s="108" t="s">
        <v>14605</v>
      </c>
      <c r="F5112" s="108" t="s">
        <v>23034</v>
      </c>
      <c r="G5112" s="110"/>
      <c r="H5112" s="108" t="s">
        <v>3031</v>
      </c>
      <c r="I5112" s="108"/>
    </row>
    <row r="5113" spans="1:9" ht="27.6">
      <c r="A5113" s="108" t="s">
        <v>14690</v>
      </c>
      <c r="B5113" s="108" t="s">
        <v>23035</v>
      </c>
      <c r="C5113" s="109">
        <v>41124</v>
      </c>
      <c r="D5113" s="108"/>
      <c r="E5113" s="108" t="s">
        <v>14605</v>
      </c>
      <c r="F5113" s="108" t="s">
        <v>23036</v>
      </c>
      <c r="G5113" s="110"/>
      <c r="H5113" s="108" t="s">
        <v>3031</v>
      </c>
      <c r="I5113" s="108"/>
    </row>
    <row r="5114" spans="1:9">
      <c r="A5114" s="108" t="s">
        <v>87</v>
      </c>
      <c r="B5114" s="108" t="s">
        <v>23037</v>
      </c>
      <c r="C5114" s="109">
        <v>41646</v>
      </c>
      <c r="D5114" s="108"/>
      <c r="E5114" s="108" t="s">
        <v>14605</v>
      </c>
      <c r="F5114" s="108" t="s">
        <v>23038</v>
      </c>
      <c r="G5114" s="110"/>
      <c r="H5114" s="108" t="s">
        <v>3031</v>
      </c>
      <c r="I5114" s="108"/>
    </row>
    <row r="5115" spans="1:9">
      <c r="A5115" s="108" t="s">
        <v>87</v>
      </c>
      <c r="B5115" s="108" t="s">
        <v>23039</v>
      </c>
      <c r="C5115" s="109">
        <v>41781</v>
      </c>
      <c r="D5115" s="108"/>
      <c r="E5115" s="108" t="s">
        <v>14605</v>
      </c>
      <c r="F5115" s="108" t="s">
        <v>23040</v>
      </c>
      <c r="G5115" s="110"/>
      <c r="H5115" s="108" t="s">
        <v>3031</v>
      </c>
      <c r="I5115" s="108"/>
    </row>
    <row r="5116" spans="1:9">
      <c r="A5116" s="108" t="s">
        <v>87</v>
      </c>
      <c r="B5116" s="108" t="s">
        <v>23041</v>
      </c>
      <c r="C5116" s="109">
        <v>41851</v>
      </c>
      <c r="D5116" s="108"/>
      <c r="E5116" s="108" t="s">
        <v>14605</v>
      </c>
      <c r="F5116" s="108" t="s">
        <v>15071</v>
      </c>
      <c r="G5116" s="110"/>
      <c r="H5116" s="108" t="s">
        <v>3031</v>
      </c>
      <c r="I5116" s="108"/>
    </row>
    <row r="5117" spans="1:9">
      <c r="A5117" s="108" t="s">
        <v>87</v>
      </c>
      <c r="B5117" s="108" t="s">
        <v>23042</v>
      </c>
      <c r="C5117" s="109">
        <v>42296</v>
      </c>
      <c r="D5117" s="108"/>
      <c r="E5117" s="108" t="s">
        <v>14605</v>
      </c>
      <c r="F5117" s="108" t="s">
        <v>15071</v>
      </c>
      <c r="G5117" s="110"/>
      <c r="H5117" s="108" t="s">
        <v>3031</v>
      </c>
      <c r="I5117" s="108"/>
    </row>
    <row r="5118" spans="1:9" ht="27.6">
      <c r="A5118" s="108" t="s">
        <v>647</v>
      </c>
      <c r="B5118" s="108" t="s">
        <v>23043</v>
      </c>
      <c r="C5118" s="109">
        <v>42517</v>
      </c>
      <c r="D5118" s="108"/>
      <c r="E5118" s="108" t="s">
        <v>14605</v>
      </c>
      <c r="F5118" s="108" t="s">
        <v>23044</v>
      </c>
      <c r="G5118" s="110"/>
      <c r="H5118" s="108" t="s">
        <v>3031</v>
      </c>
      <c r="I5118" s="108"/>
    </row>
    <row r="5119" spans="1:9">
      <c r="A5119" s="108" t="s">
        <v>169</v>
      </c>
      <c r="B5119" s="108" t="s">
        <v>23045</v>
      </c>
      <c r="C5119" s="109">
        <v>41273</v>
      </c>
      <c r="D5119" s="108"/>
      <c r="E5119" s="108" t="s">
        <v>14605</v>
      </c>
      <c r="F5119" s="108" t="s">
        <v>23026</v>
      </c>
      <c r="G5119" s="110"/>
      <c r="H5119" s="108" t="s">
        <v>3031</v>
      </c>
      <c r="I5119" s="108"/>
    </row>
    <row r="5120" spans="1:9" ht="27.6">
      <c r="A5120" s="108" t="s">
        <v>169</v>
      </c>
      <c r="B5120" s="108" t="s">
        <v>23046</v>
      </c>
      <c r="C5120" s="109">
        <v>41760</v>
      </c>
      <c r="D5120" s="108"/>
      <c r="E5120" s="108" t="s">
        <v>14605</v>
      </c>
      <c r="F5120" s="108" t="s">
        <v>15987</v>
      </c>
      <c r="G5120" s="110"/>
      <c r="H5120" s="108" t="s">
        <v>3031</v>
      </c>
      <c r="I5120" s="108"/>
    </row>
    <row r="5121" spans="1:9">
      <c r="A5121" s="108" t="s">
        <v>169</v>
      </c>
      <c r="B5121" s="108" t="s">
        <v>23047</v>
      </c>
      <c r="C5121" s="109">
        <v>42074</v>
      </c>
      <c r="D5121" s="108"/>
      <c r="E5121" s="108" t="s">
        <v>14605</v>
      </c>
      <c r="F5121" s="108" t="s">
        <v>23026</v>
      </c>
      <c r="G5121" s="110"/>
      <c r="H5121" s="108" t="s">
        <v>3031</v>
      </c>
      <c r="I5121" s="108"/>
    </row>
    <row r="5122" spans="1:9">
      <c r="A5122" s="108" t="s">
        <v>169</v>
      </c>
      <c r="B5122" s="108" t="s">
        <v>23048</v>
      </c>
      <c r="C5122" s="109">
        <v>42061</v>
      </c>
      <c r="D5122" s="108"/>
      <c r="E5122" s="108" t="s">
        <v>14605</v>
      </c>
      <c r="F5122" s="108" t="s">
        <v>23026</v>
      </c>
      <c r="G5122" s="110"/>
      <c r="H5122" s="108" t="s">
        <v>3031</v>
      </c>
      <c r="I5122" s="108"/>
    </row>
    <row r="5123" spans="1:9">
      <c r="A5123" s="108" t="s">
        <v>169</v>
      </c>
      <c r="B5123" s="108" t="s">
        <v>23049</v>
      </c>
      <c r="C5123" s="109">
        <v>42061</v>
      </c>
      <c r="D5123" s="108"/>
      <c r="E5123" s="108" t="s">
        <v>14605</v>
      </c>
      <c r="F5123" s="108" t="s">
        <v>23026</v>
      </c>
      <c r="G5123" s="110"/>
      <c r="H5123" s="108" t="s">
        <v>3031</v>
      </c>
      <c r="I5123" s="108"/>
    </row>
    <row r="5124" spans="1:9">
      <c r="A5124" s="108" t="s">
        <v>169</v>
      </c>
      <c r="B5124" s="108" t="s">
        <v>23050</v>
      </c>
      <c r="C5124" s="109">
        <v>42445</v>
      </c>
      <c r="D5124" s="108"/>
      <c r="E5124" s="108" t="s">
        <v>14605</v>
      </c>
      <c r="F5124" s="108" t="s">
        <v>23051</v>
      </c>
      <c r="G5124" s="110"/>
      <c r="H5124" s="108" t="s">
        <v>3031</v>
      </c>
      <c r="I5124" s="108"/>
    </row>
    <row r="5125" spans="1:9">
      <c r="A5125" s="108" t="s">
        <v>169</v>
      </c>
      <c r="B5125" s="108" t="s">
        <v>23052</v>
      </c>
      <c r="C5125" s="109">
        <v>42807</v>
      </c>
      <c r="D5125" s="108"/>
      <c r="E5125" s="108" t="s">
        <v>14605</v>
      </c>
      <c r="F5125" s="108" t="s">
        <v>23026</v>
      </c>
      <c r="G5125" s="110"/>
      <c r="H5125" s="108" t="s">
        <v>3031</v>
      </c>
      <c r="I5125" s="108"/>
    </row>
    <row r="5126" spans="1:9">
      <c r="A5126" s="108" t="s">
        <v>427</v>
      </c>
      <c r="B5126" s="108" t="s">
        <v>23053</v>
      </c>
      <c r="C5126" s="109">
        <v>42807</v>
      </c>
      <c r="D5126" s="108"/>
      <c r="E5126" s="108" t="s">
        <v>14605</v>
      </c>
      <c r="F5126" s="108" t="s">
        <v>15761</v>
      </c>
      <c r="G5126" s="110"/>
      <c r="H5126" s="108" t="s">
        <v>3031</v>
      </c>
      <c r="I5126" s="108"/>
    </row>
    <row r="5127" spans="1:9">
      <c r="A5127" s="108" t="s">
        <v>169</v>
      </c>
      <c r="B5127" s="108" t="s">
        <v>23054</v>
      </c>
      <c r="C5127" s="109">
        <v>43698</v>
      </c>
      <c r="D5127" s="108"/>
      <c r="E5127" s="108" t="s">
        <v>14605</v>
      </c>
      <c r="F5127" s="108" t="s">
        <v>23026</v>
      </c>
      <c r="G5127" s="110"/>
      <c r="H5127" s="108" t="s">
        <v>3031</v>
      </c>
      <c r="I5127" s="108"/>
    </row>
    <row r="5128" spans="1:9">
      <c r="A5128" s="108" t="s">
        <v>468</v>
      </c>
      <c r="B5128" s="108" t="s">
        <v>23055</v>
      </c>
      <c r="C5128" s="109">
        <v>43698</v>
      </c>
      <c r="D5128" s="108"/>
      <c r="E5128" s="108" t="s">
        <v>14605</v>
      </c>
      <c r="F5128" s="108" t="s">
        <v>23026</v>
      </c>
      <c r="G5128" s="110"/>
      <c r="H5128" s="108" t="s">
        <v>3031</v>
      </c>
      <c r="I5128" s="108"/>
    </row>
    <row r="5129" spans="1:9">
      <c r="A5129" s="108" t="s">
        <v>468</v>
      </c>
      <c r="B5129" s="108" t="s">
        <v>23056</v>
      </c>
      <c r="C5129" s="109">
        <v>43698</v>
      </c>
      <c r="D5129" s="108"/>
      <c r="E5129" s="108" t="s">
        <v>14605</v>
      </c>
      <c r="F5129" s="108" t="s">
        <v>23026</v>
      </c>
      <c r="G5129" s="110"/>
      <c r="H5129" s="108" t="s">
        <v>3031</v>
      </c>
      <c r="I5129" s="108"/>
    </row>
    <row r="5130" spans="1:9">
      <c r="A5130" s="108" t="s">
        <v>466</v>
      </c>
      <c r="B5130" s="108" t="s">
        <v>23057</v>
      </c>
      <c r="C5130" s="109">
        <v>43698</v>
      </c>
      <c r="D5130" s="108"/>
      <c r="E5130" s="108" t="s">
        <v>14605</v>
      </c>
      <c r="F5130" s="108" t="s">
        <v>23026</v>
      </c>
      <c r="G5130" s="110"/>
      <c r="H5130" s="108" t="s">
        <v>3031</v>
      </c>
      <c r="I5130" s="108"/>
    </row>
    <row r="5131" spans="1:9">
      <c r="A5131" s="108" t="s">
        <v>466</v>
      </c>
      <c r="B5131" s="108" t="s">
        <v>23058</v>
      </c>
      <c r="C5131" s="109">
        <v>43698</v>
      </c>
      <c r="D5131" s="108"/>
      <c r="E5131" s="108" t="s">
        <v>14605</v>
      </c>
      <c r="F5131" s="108" t="s">
        <v>23026</v>
      </c>
      <c r="G5131" s="110"/>
      <c r="H5131" s="108" t="s">
        <v>3031</v>
      </c>
      <c r="I5131" s="108"/>
    </row>
    <row r="5132" spans="1:9" ht="27.6">
      <c r="A5132" s="108" t="s">
        <v>464</v>
      </c>
      <c r="B5132" s="108" t="s">
        <v>23059</v>
      </c>
      <c r="C5132" s="109">
        <v>43698</v>
      </c>
      <c r="D5132" s="108"/>
      <c r="E5132" s="108" t="s">
        <v>14605</v>
      </c>
      <c r="F5132" s="108" t="s">
        <v>23026</v>
      </c>
      <c r="G5132" s="110"/>
      <c r="H5132" s="108" t="s">
        <v>3031</v>
      </c>
      <c r="I5132" s="108"/>
    </row>
    <row r="5133" spans="1:9">
      <c r="A5133" s="108" t="s">
        <v>169</v>
      </c>
      <c r="B5133" s="108" t="s">
        <v>23060</v>
      </c>
      <c r="C5133" s="109">
        <v>42461</v>
      </c>
      <c r="D5133" s="108"/>
      <c r="E5133" s="108" t="s">
        <v>14605</v>
      </c>
      <c r="F5133" s="108" t="s">
        <v>23061</v>
      </c>
      <c r="G5133" s="110"/>
      <c r="H5133" s="108" t="s">
        <v>3031</v>
      </c>
      <c r="I5133" s="108"/>
    </row>
    <row r="5134" spans="1:9">
      <c r="A5134" s="108" t="s">
        <v>87</v>
      </c>
      <c r="B5134" s="108" t="s">
        <v>23062</v>
      </c>
      <c r="C5134" s="109">
        <v>42569</v>
      </c>
      <c r="D5134" s="108"/>
      <c r="E5134" s="108" t="s">
        <v>14605</v>
      </c>
      <c r="F5134" s="108" t="s">
        <v>23063</v>
      </c>
      <c r="G5134" s="110"/>
      <c r="H5134" s="108" t="s">
        <v>3031</v>
      </c>
      <c r="I5134" s="108"/>
    </row>
    <row r="5135" spans="1:9">
      <c r="A5135" s="108" t="s">
        <v>87</v>
      </c>
      <c r="B5135" s="108" t="s">
        <v>23064</v>
      </c>
      <c r="C5135" s="109">
        <v>43249</v>
      </c>
      <c r="D5135" s="108"/>
      <c r="E5135" s="108" t="s">
        <v>14605</v>
      </c>
      <c r="F5135" s="108" t="s">
        <v>23065</v>
      </c>
      <c r="G5135" s="110"/>
      <c r="H5135" s="108" t="s">
        <v>3031</v>
      </c>
      <c r="I5135" s="108"/>
    </row>
    <row r="5136" spans="1:9">
      <c r="A5136" s="108"/>
      <c r="B5136" s="108" t="s">
        <v>23066</v>
      </c>
      <c r="C5136" s="109">
        <v>43698</v>
      </c>
      <c r="D5136" s="108"/>
      <c r="E5136" s="108" t="s">
        <v>14605</v>
      </c>
      <c r="F5136" s="108" t="s">
        <v>15071</v>
      </c>
      <c r="G5136" s="110"/>
      <c r="H5136" s="108" t="s">
        <v>3031</v>
      </c>
      <c r="I5136" s="108"/>
    </row>
    <row r="5137" spans="1:9" ht="27.6">
      <c r="A5137" s="108" t="s">
        <v>14690</v>
      </c>
      <c r="B5137" s="108" t="s">
        <v>23067</v>
      </c>
      <c r="C5137" s="109">
        <v>44315</v>
      </c>
      <c r="D5137" s="108"/>
      <c r="E5137" s="108" t="s">
        <v>15275</v>
      </c>
      <c r="F5137" s="108" t="s">
        <v>15761</v>
      </c>
      <c r="G5137" s="110"/>
      <c r="H5137" s="108" t="s">
        <v>3031</v>
      </c>
      <c r="I5137" s="108"/>
    </row>
    <row r="5138" spans="1:9" ht="27.6">
      <c r="A5138" s="108" t="s">
        <v>14690</v>
      </c>
      <c r="B5138" s="108" t="s">
        <v>23068</v>
      </c>
      <c r="C5138" s="109">
        <v>43146</v>
      </c>
      <c r="D5138" s="108"/>
      <c r="E5138" s="108" t="s">
        <v>14605</v>
      </c>
      <c r="F5138" s="108" t="s">
        <v>23069</v>
      </c>
      <c r="G5138" s="110"/>
      <c r="H5138" s="108" t="s">
        <v>3031</v>
      </c>
      <c r="I5138" s="108"/>
    </row>
    <row r="5139" spans="1:9" ht="27.6">
      <c r="A5139" s="108" t="s">
        <v>237</v>
      </c>
      <c r="B5139" s="108" t="s">
        <v>23070</v>
      </c>
      <c r="C5139" s="109">
        <v>43811</v>
      </c>
      <c r="D5139" s="108"/>
      <c r="E5139" s="108" t="s">
        <v>14605</v>
      </c>
      <c r="F5139" s="108" t="s">
        <v>23071</v>
      </c>
      <c r="G5139" s="110"/>
      <c r="H5139" s="108" t="s">
        <v>3031</v>
      </c>
      <c r="I5139" s="108"/>
    </row>
    <row r="5140" spans="1:9">
      <c r="A5140" s="108" t="s">
        <v>571</v>
      </c>
      <c r="B5140" s="108" t="s">
        <v>23072</v>
      </c>
      <c r="C5140" s="109">
        <v>42270</v>
      </c>
      <c r="D5140" s="108"/>
      <c r="E5140" s="108" t="s">
        <v>14605</v>
      </c>
      <c r="F5140" s="108" t="s">
        <v>23073</v>
      </c>
      <c r="G5140" s="110"/>
      <c r="H5140" s="108" t="s">
        <v>3031</v>
      </c>
      <c r="I5140" s="108"/>
    </row>
    <row r="5141" spans="1:9">
      <c r="A5141" s="108" t="s">
        <v>2002</v>
      </c>
      <c r="B5141" s="108" t="s">
        <v>23074</v>
      </c>
      <c r="C5141" s="109">
        <v>42438</v>
      </c>
      <c r="D5141" s="108"/>
      <c r="E5141" s="108" t="s">
        <v>14605</v>
      </c>
      <c r="F5141" s="108" t="s">
        <v>23034</v>
      </c>
      <c r="G5141" s="110"/>
      <c r="H5141" s="108" t="s">
        <v>3031</v>
      </c>
      <c r="I5141" s="108"/>
    </row>
    <row r="5142" spans="1:9">
      <c r="A5142" s="108" t="s">
        <v>2002</v>
      </c>
      <c r="B5142" s="108" t="s">
        <v>23075</v>
      </c>
      <c r="C5142" s="109">
        <v>43112</v>
      </c>
      <c r="D5142" s="108"/>
      <c r="E5142" s="108" t="s">
        <v>14605</v>
      </c>
      <c r="F5142" s="108" t="s">
        <v>23034</v>
      </c>
      <c r="G5142" s="110"/>
      <c r="H5142" s="108" t="s">
        <v>3031</v>
      </c>
      <c r="I5142" s="108"/>
    </row>
    <row r="5143" spans="1:9">
      <c r="A5143" s="108" t="s">
        <v>2623</v>
      </c>
      <c r="B5143" s="108" t="s">
        <v>23076</v>
      </c>
      <c r="C5143" s="109">
        <v>43242</v>
      </c>
      <c r="D5143" s="108"/>
      <c r="E5143" s="108" t="s">
        <v>14605</v>
      </c>
      <c r="F5143" s="108" t="s">
        <v>23077</v>
      </c>
      <c r="G5143" s="110"/>
      <c r="H5143" s="108" t="s">
        <v>3031</v>
      </c>
      <c r="I5143" s="108"/>
    </row>
    <row r="5144" spans="1:9" ht="27.6">
      <c r="A5144" s="108" t="s">
        <v>1465</v>
      </c>
      <c r="B5144" s="108" t="s">
        <v>23078</v>
      </c>
      <c r="C5144" s="109">
        <v>43003</v>
      </c>
      <c r="D5144" s="108"/>
      <c r="E5144" s="108" t="s">
        <v>14605</v>
      </c>
      <c r="F5144" s="108" t="s">
        <v>23079</v>
      </c>
      <c r="G5144" s="110"/>
      <c r="H5144" s="108" t="s">
        <v>3031</v>
      </c>
      <c r="I5144" s="108"/>
    </row>
    <row r="5145" spans="1:9">
      <c r="A5145" s="108" t="s">
        <v>1465</v>
      </c>
      <c r="B5145" s="108" t="s">
        <v>23080</v>
      </c>
      <c r="C5145" s="109">
        <v>43684</v>
      </c>
      <c r="D5145" s="108"/>
      <c r="E5145" s="108" t="s">
        <v>14605</v>
      </c>
      <c r="F5145" s="108" t="s">
        <v>23081</v>
      </c>
      <c r="G5145" s="110"/>
      <c r="H5145" s="108" t="s">
        <v>3031</v>
      </c>
      <c r="I5145" s="108"/>
    </row>
    <row r="5146" spans="1:9" ht="27.6">
      <c r="A5146" s="108" t="s">
        <v>14950</v>
      </c>
      <c r="B5146" s="108" t="s">
        <v>23082</v>
      </c>
      <c r="C5146" s="109">
        <v>44300</v>
      </c>
      <c r="D5146" s="108"/>
      <c r="E5146" s="108" t="s">
        <v>14605</v>
      </c>
      <c r="F5146" s="108" t="s">
        <v>23083</v>
      </c>
      <c r="G5146" s="110"/>
      <c r="H5146" s="108" t="s">
        <v>3031</v>
      </c>
      <c r="I5146" s="108"/>
    </row>
    <row r="5147" spans="1:9" ht="27.6">
      <c r="A5147" s="108" t="s">
        <v>14950</v>
      </c>
      <c r="B5147" s="108" t="s">
        <v>23084</v>
      </c>
      <c r="C5147" s="109">
        <v>44603</v>
      </c>
      <c r="D5147" s="108"/>
      <c r="E5147" s="108" t="s">
        <v>14605</v>
      </c>
      <c r="F5147" s="108" t="s">
        <v>23085</v>
      </c>
      <c r="G5147" s="110"/>
      <c r="H5147" s="108" t="s">
        <v>3031</v>
      </c>
      <c r="I5147" s="108"/>
    </row>
    <row r="5148" spans="1:9" ht="27.6">
      <c r="A5148" s="108" t="s">
        <v>14950</v>
      </c>
      <c r="B5148" s="108" t="s">
        <v>23086</v>
      </c>
      <c r="C5148" s="109">
        <v>45042</v>
      </c>
      <c r="D5148" s="108"/>
      <c r="E5148" s="108" t="s">
        <v>14605</v>
      </c>
      <c r="F5148" s="108" t="s">
        <v>23087</v>
      </c>
      <c r="G5148" s="110"/>
      <c r="H5148" s="108" t="s">
        <v>3031</v>
      </c>
      <c r="I5148" s="108"/>
    </row>
    <row r="5149" spans="1:9" ht="27.6">
      <c r="A5149" s="108" t="s">
        <v>17130</v>
      </c>
      <c r="B5149" s="108" t="s">
        <v>23088</v>
      </c>
      <c r="C5149" s="109">
        <v>44379</v>
      </c>
      <c r="D5149" s="108"/>
      <c r="E5149" s="108" t="s">
        <v>14605</v>
      </c>
      <c r="F5149" s="108" t="s">
        <v>23026</v>
      </c>
      <c r="G5149" s="110"/>
      <c r="H5149" s="108" t="s">
        <v>3031</v>
      </c>
      <c r="I5149" s="108"/>
    </row>
    <row r="5150" spans="1:9" ht="27.6">
      <c r="A5150" s="108" t="s">
        <v>17130</v>
      </c>
      <c r="B5150" s="108" t="s">
        <v>23089</v>
      </c>
      <c r="C5150" s="109">
        <v>44379</v>
      </c>
      <c r="D5150" s="108"/>
      <c r="E5150" s="108" t="s">
        <v>14605</v>
      </c>
      <c r="F5150" s="108" t="s">
        <v>23026</v>
      </c>
      <c r="G5150" s="110"/>
      <c r="H5150" s="108" t="s">
        <v>3031</v>
      </c>
      <c r="I5150" s="108"/>
    </row>
    <row r="5151" spans="1:9" ht="27.6">
      <c r="A5151" s="108" t="s">
        <v>23090</v>
      </c>
      <c r="B5151" s="108" t="s">
        <v>23091</v>
      </c>
      <c r="C5151" s="109">
        <v>44221</v>
      </c>
      <c r="D5151" s="108"/>
      <c r="E5151" s="108" t="s">
        <v>14605</v>
      </c>
      <c r="F5151" s="108" t="s">
        <v>23092</v>
      </c>
      <c r="G5151" s="110"/>
      <c r="H5151" s="108" t="s">
        <v>3031</v>
      </c>
      <c r="I5151" s="108"/>
    </row>
    <row r="5152" spans="1:9">
      <c r="A5152" s="108" t="s">
        <v>2002</v>
      </c>
      <c r="B5152" s="108" t="s">
        <v>23093</v>
      </c>
      <c r="C5152" s="109">
        <v>44221</v>
      </c>
      <c r="D5152" s="108"/>
      <c r="E5152" s="108" t="s">
        <v>14605</v>
      </c>
      <c r="F5152" s="108" t="s">
        <v>23094</v>
      </c>
      <c r="G5152" s="110"/>
      <c r="H5152" s="108" t="s">
        <v>3031</v>
      </c>
      <c r="I5152" s="108"/>
    </row>
    <row r="5153" spans="1:9">
      <c r="A5153" s="108" t="s">
        <v>87</v>
      </c>
      <c r="B5153" s="108" t="s">
        <v>23095</v>
      </c>
      <c r="C5153" s="109">
        <v>44172</v>
      </c>
      <c r="D5153" s="108"/>
      <c r="E5153" s="108" t="s">
        <v>14605</v>
      </c>
      <c r="F5153" s="108" t="s">
        <v>23026</v>
      </c>
      <c r="G5153" s="110"/>
      <c r="H5153" s="108" t="s">
        <v>3031</v>
      </c>
      <c r="I5153" s="108"/>
    </row>
    <row r="5154" spans="1:9">
      <c r="A5154" s="108" t="s">
        <v>571</v>
      </c>
      <c r="B5154" s="108" t="s">
        <v>23096</v>
      </c>
      <c r="C5154" s="109">
        <v>46128</v>
      </c>
      <c r="D5154" s="108"/>
      <c r="E5154" s="108" t="s">
        <v>14605</v>
      </c>
      <c r="F5154" s="108" t="s">
        <v>15761</v>
      </c>
      <c r="G5154" s="110"/>
      <c r="H5154" s="108" t="s">
        <v>3031</v>
      </c>
      <c r="I5154" s="108"/>
    </row>
    <row r="5155" spans="1:9" ht="27.6">
      <c r="A5155" s="108" t="s">
        <v>14690</v>
      </c>
      <c r="B5155" s="108" t="s">
        <v>23097</v>
      </c>
      <c r="C5155" s="109">
        <v>44671</v>
      </c>
      <c r="D5155" s="108"/>
      <c r="E5155" s="108" t="s">
        <v>14605</v>
      </c>
      <c r="F5155" s="108" t="s">
        <v>23081</v>
      </c>
      <c r="G5155" s="110"/>
      <c r="H5155" s="108" t="s">
        <v>3031</v>
      </c>
      <c r="I5155" s="108"/>
    </row>
    <row r="5156" spans="1:9" ht="27.6">
      <c r="A5156" s="108" t="s">
        <v>15075</v>
      </c>
      <c r="B5156" s="108" t="s">
        <v>23098</v>
      </c>
      <c r="C5156" s="109">
        <v>44484</v>
      </c>
      <c r="D5156" s="108"/>
      <c r="E5156" s="108" t="s">
        <v>14605</v>
      </c>
      <c r="F5156" s="108" t="s">
        <v>23099</v>
      </c>
      <c r="G5156" s="110"/>
      <c r="H5156" s="108" t="s">
        <v>3031</v>
      </c>
      <c r="I5156" s="108"/>
    </row>
    <row r="5157" spans="1:9" ht="27.6">
      <c r="A5157" s="108" t="s">
        <v>15075</v>
      </c>
      <c r="B5157" s="108" t="s">
        <v>23100</v>
      </c>
      <c r="C5157" s="109">
        <v>44701</v>
      </c>
      <c r="D5157" s="108"/>
      <c r="E5157" s="108" t="s">
        <v>14605</v>
      </c>
      <c r="F5157" s="108" t="s">
        <v>23101</v>
      </c>
      <c r="G5157" s="110"/>
      <c r="H5157" s="108" t="s">
        <v>3031</v>
      </c>
      <c r="I5157" s="108"/>
    </row>
    <row r="5158" spans="1:9" ht="27.6">
      <c r="A5158" s="108" t="s">
        <v>15075</v>
      </c>
      <c r="B5158" s="108" t="s">
        <v>23102</v>
      </c>
      <c r="C5158" s="109">
        <v>44677</v>
      </c>
      <c r="D5158" s="108"/>
      <c r="E5158" s="108" t="s">
        <v>14605</v>
      </c>
      <c r="F5158" s="108" t="s">
        <v>23103</v>
      </c>
      <c r="G5158" s="110"/>
      <c r="H5158" s="108" t="s">
        <v>3031</v>
      </c>
      <c r="I5158" s="108"/>
    </row>
    <row r="5159" spans="1:9" ht="27.6">
      <c r="A5159" s="108" t="s">
        <v>15075</v>
      </c>
      <c r="B5159" s="108" t="s">
        <v>23104</v>
      </c>
      <c r="C5159" s="109">
        <v>44831</v>
      </c>
      <c r="D5159" s="108"/>
      <c r="E5159" s="108" t="s">
        <v>14605</v>
      </c>
      <c r="F5159" s="108" t="s">
        <v>23105</v>
      </c>
      <c r="G5159" s="110"/>
      <c r="H5159" s="108" t="s">
        <v>3031</v>
      </c>
      <c r="I5159" s="108"/>
    </row>
    <row r="5160" spans="1:9" ht="27.6">
      <c r="A5160" s="108" t="s">
        <v>15075</v>
      </c>
      <c r="B5160" s="108" t="s">
        <v>23106</v>
      </c>
      <c r="C5160" s="109">
        <v>44984</v>
      </c>
      <c r="D5160" s="108"/>
      <c r="E5160" s="108" t="s">
        <v>14605</v>
      </c>
      <c r="F5160" s="108" t="s">
        <v>19843</v>
      </c>
      <c r="G5160" s="110"/>
      <c r="H5160" s="108" t="s">
        <v>3031</v>
      </c>
      <c r="I5160" s="108"/>
    </row>
    <row r="5161" spans="1:9" ht="27.6">
      <c r="A5161" s="108" t="s">
        <v>15075</v>
      </c>
      <c r="B5161" s="108" t="s">
        <v>23107</v>
      </c>
      <c r="C5161" s="109">
        <v>44965</v>
      </c>
      <c r="D5161" s="108"/>
      <c r="E5161" s="108" t="s">
        <v>14605</v>
      </c>
      <c r="F5161" s="108" t="s">
        <v>15761</v>
      </c>
      <c r="G5161" s="110"/>
      <c r="H5161" s="108" t="s">
        <v>3031</v>
      </c>
      <c r="I5161" s="108"/>
    </row>
    <row r="5162" spans="1:9" ht="27.6">
      <c r="A5162" s="108" t="s">
        <v>15075</v>
      </c>
      <c r="B5162" s="108" t="s">
        <v>23108</v>
      </c>
      <c r="C5162" s="109">
        <v>45250</v>
      </c>
      <c r="D5162" s="108"/>
      <c r="E5162" s="108" t="s">
        <v>14605</v>
      </c>
      <c r="F5162" s="108" t="s">
        <v>15987</v>
      </c>
      <c r="G5162" s="110"/>
      <c r="H5162" s="108" t="s">
        <v>3031</v>
      </c>
      <c r="I5162" s="108"/>
    </row>
    <row r="5163" spans="1:9" ht="27.6">
      <c r="A5163" s="108" t="s">
        <v>15075</v>
      </c>
      <c r="B5163" s="108" t="s">
        <v>23109</v>
      </c>
      <c r="C5163" s="109">
        <v>45532</v>
      </c>
      <c r="D5163" s="108"/>
      <c r="E5163" s="108" t="s">
        <v>14605</v>
      </c>
      <c r="F5163" s="108" t="s">
        <v>23110</v>
      </c>
      <c r="G5163" s="110"/>
      <c r="H5163" s="108" t="s">
        <v>3031</v>
      </c>
      <c r="I5163" s="108"/>
    </row>
    <row r="5164" spans="1:9" ht="27.6">
      <c r="A5164" s="108" t="s">
        <v>15075</v>
      </c>
      <c r="B5164" s="108" t="s">
        <v>23111</v>
      </c>
      <c r="C5164" s="109">
        <v>45575</v>
      </c>
      <c r="D5164" s="108"/>
      <c r="E5164" s="108" t="s">
        <v>14605</v>
      </c>
      <c r="F5164" s="108" t="s">
        <v>23099</v>
      </c>
      <c r="G5164" s="110"/>
      <c r="H5164" s="108" t="s">
        <v>3031</v>
      </c>
      <c r="I5164" s="108"/>
    </row>
    <row r="5165" spans="1:9" ht="27.6">
      <c r="A5165" s="108" t="s">
        <v>15075</v>
      </c>
      <c r="B5165" s="108" t="s">
        <v>23112</v>
      </c>
      <c r="C5165" s="109">
        <v>45611</v>
      </c>
      <c r="D5165" s="108"/>
      <c r="E5165" s="108" t="s">
        <v>14605</v>
      </c>
      <c r="F5165" s="108" t="s">
        <v>23113</v>
      </c>
      <c r="G5165" s="110"/>
      <c r="H5165" s="108" t="s">
        <v>3031</v>
      </c>
      <c r="I5165" s="108"/>
    </row>
    <row r="5166" spans="1:9">
      <c r="A5166" s="108" t="s">
        <v>199</v>
      </c>
      <c r="B5166" s="108" t="s">
        <v>23114</v>
      </c>
      <c r="C5166" s="109">
        <v>41282</v>
      </c>
      <c r="D5166" s="108"/>
      <c r="E5166" s="108" t="s">
        <v>14605</v>
      </c>
      <c r="F5166" s="108" t="s">
        <v>23026</v>
      </c>
      <c r="G5166" s="110"/>
      <c r="H5166" s="108" t="s">
        <v>3031</v>
      </c>
      <c r="I5166" s="108"/>
    </row>
    <row r="5167" spans="1:9" ht="27.6">
      <c r="A5167" s="108" t="s">
        <v>227</v>
      </c>
      <c r="B5167" s="108" t="s">
        <v>23115</v>
      </c>
      <c r="C5167" s="109">
        <v>43237</v>
      </c>
      <c r="D5167" s="108"/>
      <c r="E5167" s="108" t="s">
        <v>14605</v>
      </c>
      <c r="F5167" s="108" t="s">
        <v>23116</v>
      </c>
      <c r="G5167" s="110"/>
      <c r="H5167" s="108" t="s">
        <v>3031</v>
      </c>
      <c r="I5167" s="108"/>
    </row>
    <row r="5168" spans="1:9">
      <c r="A5168" s="108" t="s">
        <v>16935</v>
      </c>
      <c r="B5168" s="108" t="s">
        <v>23117</v>
      </c>
      <c r="C5168" s="109">
        <v>39359</v>
      </c>
      <c r="D5168" s="108"/>
      <c r="E5168" s="108" t="s">
        <v>14605</v>
      </c>
      <c r="F5168" s="108" t="s">
        <v>23040</v>
      </c>
      <c r="G5168" s="110"/>
      <c r="H5168" s="108" t="s">
        <v>3031</v>
      </c>
      <c r="I5168" s="108"/>
    </row>
    <row r="5169" spans="1:9">
      <c r="A5169" s="108" t="s">
        <v>16935</v>
      </c>
      <c r="B5169" s="108" t="s">
        <v>23118</v>
      </c>
      <c r="C5169" s="109">
        <v>40058</v>
      </c>
      <c r="D5169" s="108"/>
      <c r="E5169" s="108" t="s">
        <v>14605</v>
      </c>
      <c r="F5169" s="108" t="s">
        <v>23040</v>
      </c>
      <c r="G5169" s="110"/>
      <c r="H5169" s="108" t="s">
        <v>3031</v>
      </c>
      <c r="I5169" s="108"/>
    </row>
    <row r="5170" spans="1:9">
      <c r="A5170" s="108" t="s">
        <v>237</v>
      </c>
      <c r="B5170" s="108" t="s">
        <v>23119</v>
      </c>
      <c r="C5170" s="109">
        <v>40462</v>
      </c>
      <c r="D5170" s="108"/>
      <c r="E5170" s="108" t="s">
        <v>14605</v>
      </c>
      <c r="F5170" s="108" t="s">
        <v>23073</v>
      </c>
      <c r="G5170" s="110"/>
      <c r="H5170" s="108" t="s">
        <v>3031</v>
      </c>
      <c r="I5170" s="108"/>
    </row>
    <row r="5171" spans="1:9">
      <c r="A5171" s="108" t="s">
        <v>87</v>
      </c>
      <c r="B5171" s="108" t="s">
        <v>23120</v>
      </c>
      <c r="C5171" s="109">
        <v>40219</v>
      </c>
      <c r="D5171" s="108"/>
      <c r="E5171" s="108" t="s">
        <v>14605</v>
      </c>
      <c r="F5171" s="108" t="s">
        <v>23121</v>
      </c>
      <c r="G5171" s="110"/>
      <c r="H5171" s="108" t="s">
        <v>3031</v>
      </c>
      <c r="I5171" s="108"/>
    </row>
    <row r="5172" spans="1:9" ht="27.6">
      <c r="A5172" s="108" t="s">
        <v>2002</v>
      </c>
      <c r="B5172" s="108" t="s">
        <v>23122</v>
      </c>
      <c r="C5172" s="109">
        <v>40576</v>
      </c>
      <c r="D5172" s="108"/>
      <c r="E5172" s="108" t="s">
        <v>14605</v>
      </c>
      <c r="F5172" s="108" t="s">
        <v>23123</v>
      </c>
      <c r="G5172" s="110"/>
      <c r="H5172" s="108" t="s">
        <v>3031</v>
      </c>
      <c r="I5172" s="108"/>
    </row>
    <row r="5173" spans="1:9">
      <c r="A5173" s="108" t="s">
        <v>2623</v>
      </c>
      <c r="B5173" s="108" t="s">
        <v>23124</v>
      </c>
      <c r="C5173" s="109">
        <v>40701</v>
      </c>
      <c r="D5173" s="108"/>
      <c r="E5173" s="108" t="s">
        <v>14605</v>
      </c>
      <c r="F5173" s="108" t="s">
        <v>23073</v>
      </c>
      <c r="G5173" s="110"/>
      <c r="H5173" s="108" t="s">
        <v>3031</v>
      </c>
      <c r="I5173" s="108"/>
    </row>
    <row r="5174" spans="1:9">
      <c r="A5174" s="108" t="s">
        <v>87</v>
      </c>
      <c r="B5174" s="108" t="s">
        <v>23125</v>
      </c>
      <c r="C5174" s="109">
        <v>40904</v>
      </c>
      <c r="D5174" s="108"/>
      <c r="E5174" s="108" t="s">
        <v>14605</v>
      </c>
      <c r="F5174" s="108" t="s">
        <v>23038</v>
      </c>
      <c r="G5174" s="110"/>
      <c r="H5174" s="108" t="s">
        <v>3031</v>
      </c>
      <c r="I5174" s="108"/>
    </row>
    <row r="5175" spans="1:9">
      <c r="A5175" s="108" t="s">
        <v>87</v>
      </c>
      <c r="B5175" s="108" t="s">
        <v>23126</v>
      </c>
      <c r="C5175" s="109">
        <v>40898</v>
      </c>
      <c r="D5175" s="108"/>
      <c r="E5175" s="108" t="s">
        <v>14605</v>
      </c>
      <c r="F5175" s="108" t="s">
        <v>15532</v>
      </c>
      <c r="G5175" s="110"/>
      <c r="H5175" s="108" t="s">
        <v>3031</v>
      </c>
      <c r="I5175" s="108"/>
    </row>
    <row r="5176" spans="1:9">
      <c r="A5176" s="108" t="s">
        <v>87</v>
      </c>
      <c r="B5176" s="108" t="s">
        <v>23127</v>
      </c>
      <c r="C5176" s="109">
        <v>40889</v>
      </c>
      <c r="D5176" s="108"/>
      <c r="E5176" s="108" t="s">
        <v>14605</v>
      </c>
      <c r="F5176" s="108" t="s">
        <v>15532</v>
      </c>
      <c r="G5176" s="110"/>
      <c r="H5176" s="108" t="s">
        <v>3031</v>
      </c>
      <c r="I5176" s="108"/>
    </row>
    <row r="5177" spans="1:9">
      <c r="A5177" s="108" t="s">
        <v>237</v>
      </c>
      <c r="B5177" s="108" t="s">
        <v>23128</v>
      </c>
      <c r="C5177" s="109">
        <v>40589</v>
      </c>
      <c r="D5177" s="108"/>
      <c r="E5177" s="108" t="s">
        <v>14605</v>
      </c>
      <c r="F5177" s="108" t="s">
        <v>23129</v>
      </c>
      <c r="G5177" s="110"/>
      <c r="H5177" s="108" t="s">
        <v>3031</v>
      </c>
      <c r="I5177" s="108"/>
    </row>
    <row r="5178" spans="1:9">
      <c r="A5178" s="108" t="s">
        <v>237</v>
      </c>
      <c r="B5178" s="108" t="s">
        <v>23130</v>
      </c>
      <c r="C5178" s="109">
        <v>40886</v>
      </c>
      <c r="D5178" s="108"/>
      <c r="E5178" s="108" t="s">
        <v>14605</v>
      </c>
      <c r="F5178" s="108" t="s">
        <v>23038</v>
      </c>
      <c r="G5178" s="110"/>
      <c r="H5178" s="108" t="s">
        <v>3031</v>
      </c>
      <c r="I5178" s="108"/>
    </row>
    <row r="5179" spans="1:9">
      <c r="A5179" s="108" t="s">
        <v>237</v>
      </c>
      <c r="B5179" s="108" t="s">
        <v>23131</v>
      </c>
      <c r="C5179" s="109">
        <v>41494</v>
      </c>
      <c r="D5179" s="108"/>
      <c r="E5179" s="108" t="s">
        <v>14605</v>
      </c>
      <c r="F5179" s="108" t="s">
        <v>23026</v>
      </c>
      <c r="G5179" s="110"/>
      <c r="H5179" s="108" t="s">
        <v>3031</v>
      </c>
      <c r="I5179" s="108"/>
    </row>
    <row r="5180" spans="1:9">
      <c r="A5180" s="108" t="s">
        <v>15705</v>
      </c>
      <c r="B5180" s="108" t="s">
        <v>23132</v>
      </c>
      <c r="C5180" s="109">
        <v>39342</v>
      </c>
      <c r="D5180" s="108"/>
      <c r="E5180" s="108" t="s">
        <v>14605</v>
      </c>
      <c r="F5180" s="108" t="s">
        <v>23133</v>
      </c>
      <c r="G5180" s="110"/>
      <c r="H5180" s="108" t="s">
        <v>3031</v>
      </c>
      <c r="I5180" s="108"/>
    </row>
    <row r="5181" spans="1:9" ht="27.6">
      <c r="A5181" s="108" t="s">
        <v>15759</v>
      </c>
      <c r="B5181" s="108" t="s">
        <v>23134</v>
      </c>
      <c r="C5181" s="109">
        <v>44803</v>
      </c>
      <c r="D5181" s="108"/>
      <c r="E5181" s="108" t="s">
        <v>14605</v>
      </c>
      <c r="F5181" s="108" t="s">
        <v>23135</v>
      </c>
      <c r="G5181" s="110"/>
      <c r="H5181" s="108" t="s">
        <v>3031</v>
      </c>
      <c r="I5181" s="108"/>
    </row>
    <row r="5182" spans="1:9" ht="27.6">
      <c r="A5182" s="108" t="s">
        <v>15759</v>
      </c>
      <c r="B5182" s="108" t="s">
        <v>23136</v>
      </c>
      <c r="C5182" s="109">
        <v>44804</v>
      </c>
      <c r="D5182" s="108"/>
      <c r="E5182" s="108" t="s">
        <v>14605</v>
      </c>
      <c r="F5182" s="108" t="s">
        <v>23135</v>
      </c>
      <c r="G5182" s="110"/>
      <c r="H5182" s="108" t="s">
        <v>3031</v>
      </c>
      <c r="I5182" s="108"/>
    </row>
    <row r="5183" spans="1:9" ht="27.6">
      <c r="A5183" s="108" t="s">
        <v>15759</v>
      </c>
      <c r="B5183" s="108" t="s">
        <v>23137</v>
      </c>
      <c r="C5183" s="109">
        <v>44945</v>
      </c>
      <c r="D5183" s="108"/>
      <c r="E5183" s="108" t="s">
        <v>14605</v>
      </c>
      <c r="F5183" s="108" t="s">
        <v>23083</v>
      </c>
      <c r="G5183" s="110"/>
      <c r="H5183" s="108" t="s">
        <v>3031</v>
      </c>
      <c r="I5183" s="108"/>
    </row>
    <row r="5184" spans="1:9" ht="27.6">
      <c r="A5184" s="108" t="s">
        <v>15759</v>
      </c>
      <c r="B5184" s="108" t="s">
        <v>23138</v>
      </c>
      <c r="C5184" s="109">
        <v>45001</v>
      </c>
      <c r="D5184" s="108"/>
      <c r="E5184" s="108" t="s">
        <v>14605</v>
      </c>
      <c r="F5184" s="108" t="s">
        <v>15817</v>
      </c>
      <c r="G5184" s="110"/>
      <c r="H5184" s="108" t="s">
        <v>3031</v>
      </c>
      <c r="I5184" s="108"/>
    </row>
    <row r="5185" spans="1:9" ht="27.6">
      <c r="A5185" s="108" t="s">
        <v>15759</v>
      </c>
      <c r="B5185" s="108" t="s">
        <v>23139</v>
      </c>
      <c r="C5185" s="109">
        <v>45416</v>
      </c>
      <c r="D5185" s="108"/>
      <c r="E5185" s="108" t="s">
        <v>14605</v>
      </c>
      <c r="F5185" s="108" t="s">
        <v>23140</v>
      </c>
      <c r="G5185" s="110"/>
      <c r="H5185" s="108" t="s">
        <v>3031</v>
      </c>
      <c r="I5185" s="108"/>
    </row>
    <row r="5186" spans="1:9" ht="27.6">
      <c r="A5186" s="108" t="s">
        <v>15759</v>
      </c>
      <c r="B5186" s="108" t="s">
        <v>23141</v>
      </c>
      <c r="C5186" s="109">
        <v>45416</v>
      </c>
      <c r="D5186" s="108"/>
      <c r="E5186" s="108" t="s">
        <v>14605</v>
      </c>
      <c r="F5186" s="108" t="s">
        <v>23140</v>
      </c>
      <c r="G5186" s="110"/>
      <c r="H5186" s="108" t="s">
        <v>3031</v>
      </c>
      <c r="I5186" s="108"/>
    </row>
    <row r="5187" spans="1:9" ht="27.6">
      <c r="A5187" s="108" t="s">
        <v>479</v>
      </c>
      <c r="B5187" s="108" t="s">
        <v>23142</v>
      </c>
      <c r="C5187" s="109">
        <v>40422</v>
      </c>
      <c r="D5187" s="108"/>
      <c r="E5187" s="108" t="s">
        <v>14605</v>
      </c>
      <c r="F5187" s="108" t="s">
        <v>23143</v>
      </c>
      <c r="G5187" s="110"/>
      <c r="H5187" s="108" t="s">
        <v>3031</v>
      </c>
      <c r="I5187" s="108"/>
    </row>
    <row r="5188" spans="1:9">
      <c r="A5188" s="108" t="s">
        <v>169</v>
      </c>
      <c r="B5188" s="108" t="s">
        <v>23144</v>
      </c>
      <c r="C5188" s="109">
        <v>43991</v>
      </c>
      <c r="D5188" s="108"/>
      <c r="E5188" s="108" t="s">
        <v>14605</v>
      </c>
      <c r="F5188" s="108" t="s">
        <v>23026</v>
      </c>
      <c r="G5188" s="110"/>
      <c r="H5188" s="108" t="s">
        <v>3031</v>
      </c>
      <c r="I5188" s="108"/>
    </row>
    <row r="5189" spans="1:9">
      <c r="A5189" s="108" t="s">
        <v>169</v>
      </c>
      <c r="B5189" s="108" t="s">
        <v>23145</v>
      </c>
      <c r="C5189" s="109">
        <v>46128</v>
      </c>
      <c r="D5189" s="108"/>
      <c r="E5189" s="108" t="s">
        <v>14605</v>
      </c>
      <c r="F5189" s="108" t="s">
        <v>15761</v>
      </c>
      <c r="G5189" s="110"/>
      <c r="H5189" s="108" t="s">
        <v>3031</v>
      </c>
      <c r="I5189" s="108"/>
    </row>
    <row r="5190" spans="1:9">
      <c r="A5190" s="108" t="s">
        <v>16151</v>
      </c>
      <c r="B5190" s="108" t="s">
        <v>23146</v>
      </c>
      <c r="C5190" s="109">
        <v>44146</v>
      </c>
      <c r="D5190" s="108"/>
      <c r="E5190" s="108" t="s">
        <v>14605</v>
      </c>
      <c r="F5190" s="108" t="s">
        <v>23105</v>
      </c>
      <c r="G5190" s="110"/>
      <c r="H5190" s="108" t="s">
        <v>3031</v>
      </c>
      <c r="I5190" s="108"/>
    </row>
    <row r="5191" spans="1:9" ht="27.6">
      <c r="A5191" s="108" t="s">
        <v>109</v>
      </c>
      <c r="B5191" s="108" t="s">
        <v>23147</v>
      </c>
      <c r="C5191" s="109">
        <v>44581</v>
      </c>
      <c r="D5191" s="108" t="s">
        <v>23148</v>
      </c>
      <c r="E5191" s="108" t="s">
        <v>14605</v>
      </c>
      <c r="F5191" s="108" t="s">
        <v>23103</v>
      </c>
      <c r="G5191" s="109">
        <v>46041</v>
      </c>
      <c r="H5191" s="108" t="s">
        <v>3031</v>
      </c>
      <c r="I5191" s="108" t="s">
        <v>102</v>
      </c>
    </row>
    <row r="5192" spans="1:9" ht="27.6">
      <c r="A5192" s="108" t="s">
        <v>96</v>
      </c>
      <c r="B5192" s="108" t="s">
        <v>23149</v>
      </c>
      <c r="C5192" s="109">
        <v>45291</v>
      </c>
      <c r="D5192" s="108" t="s">
        <v>23150</v>
      </c>
      <c r="E5192" s="108" t="s">
        <v>14605</v>
      </c>
      <c r="F5192" s="108" t="s">
        <v>23087</v>
      </c>
      <c r="G5192" s="109">
        <v>46118</v>
      </c>
      <c r="H5192" s="108" t="s">
        <v>3031</v>
      </c>
      <c r="I5192" s="108" t="s">
        <v>102</v>
      </c>
    </row>
    <row r="5193" spans="1:9" ht="27.6">
      <c r="A5193" s="108" t="s">
        <v>16151</v>
      </c>
      <c r="B5193" s="108" t="s">
        <v>23151</v>
      </c>
      <c r="C5193" s="109">
        <v>44225</v>
      </c>
      <c r="D5193" s="108" t="s">
        <v>23152</v>
      </c>
      <c r="E5193" s="108" t="s">
        <v>14605</v>
      </c>
      <c r="F5193" s="108" t="s">
        <v>16803</v>
      </c>
      <c r="G5193" s="109">
        <v>46446</v>
      </c>
      <c r="H5193" s="108" t="s">
        <v>3031</v>
      </c>
      <c r="I5193" s="108" t="s">
        <v>102</v>
      </c>
    </row>
    <row r="5194" spans="1:9">
      <c r="A5194" s="108" t="s">
        <v>16151</v>
      </c>
      <c r="B5194" s="108" t="s">
        <v>23153</v>
      </c>
      <c r="C5194" s="109">
        <v>44256</v>
      </c>
      <c r="D5194" s="108" t="s">
        <v>23154</v>
      </c>
      <c r="E5194" s="108" t="s">
        <v>14605</v>
      </c>
      <c r="F5194" s="108" t="s">
        <v>23155</v>
      </c>
      <c r="G5194" s="109">
        <v>46467</v>
      </c>
      <c r="H5194" s="108" t="s">
        <v>3031</v>
      </c>
      <c r="I5194" s="108" t="s">
        <v>102</v>
      </c>
    </row>
    <row r="5195" spans="1:9" ht="27.6">
      <c r="A5195" s="108" t="s">
        <v>103</v>
      </c>
      <c r="B5195" s="108" t="s">
        <v>23156</v>
      </c>
      <c r="C5195" s="109">
        <v>44286</v>
      </c>
      <c r="D5195" s="108" t="s">
        <v>23157</v>
      </c>
      <c r="E5195" s="108" t="s">
        <v>14605</v>
      </c>
      <c r="F5195" s="108" t="s">
        <v>23158</v>
      </c>
      <c r="G5195" s="109">
        <v>46134</v>
      </c>
      <c r="H5195" s="108" t="s">
        <v>3031</v>
      </c>
      <c r="I5195" s="108" t="s">
        <v>102</v>
      </c>
    </row>
    <row r="5196" spans="1:9">
      <c r="A5196" s="108" t="s">
        <v>1465</v>
      </c>
      <c r="B5196" s="108" t="s">
        <v>23159</v>
      </c>
      <c r="C5196" s="109">
        <v>42170</v>
      </c>
      <c r="D5196" s="108" t="s">
        <v>23160</v>
      </c>
      <c r="E5196" s="108" t="s">
        <v>14605</v>
      </c>
      <c r="F5196" s="108" t="s">
        <v>15761</v>
      </c>
      <c r="G5196" s="109">
        <v>46965</v>
      </c>
      <c r="H5196" s="108" t="s">
        <v>3031</v>
      </c>
      <c r="I5196" s="108" t="s">
        <v>95</v>
      </c>
    </row>
    <row r="5197" spans="1:9">
      <c r="A5197" s="108" t="s">
        <v>923</v>
      </c>
      <c r="B5197" s="108" t="s">
        <v>23161</v>
      </c>
      <c r="C5197" s="109">
        <v>46128</v>
      </c>
      <c r="D5197" s="108" t="s">
        <v>23162</v>
      </c>
      <c r="E5197" s="108" t="s">
        <v>16121</v>
      </c>
      <c r="F5197" s="108" t="s">
        <v>15761</v>
      </c>
      <c r="G5197" s="109">
        <v>46965</v>
      </c>
      <c r="H5197" s="108" t="s">
        <v>3031</v>
      </c>
      <c r="I5197" s="108" t="s">
        <v>95</v>
      </c>
    </row>
    <row r="5198" spans="1:9">
      <c r="A5198" s="108" t="s">
        <v>571</v>
      </c>
      <c r="B5198" s="108" t="s">
        <v>23163</v>
      </c>
      <c r="C5198" s="109">
        <v>42671</v>
      </c>
      <c r="D5198" s="108" t="s">
        <v>23164</v>
      </c>
      <c r="E5198" s="108" t="s">
        <v>16121</v>
      </c>
      <c r="F5198" s="108" t="s">
        <v>15761</v>
      </c>
      <c r="G5198" s="109">
        <v>46965</v>
      </c>
      <c r="H5198" s="108" t="s">
        <v>3031</v>
      </c>
      <c r="I5198" s="108" t="s">
        <v>95</v>
      </c>
    </row>
    <row r="5199" spans="1:9">
      <c r="A5199" s="108" t="s">
        <v>8271</v>
      </c>
      <c r="B5199" s="108" t="s">
        <v>23165</v>
      </c>
      <c r="C5199" s="109">
        <v>44019</v>
      </c>
      <c r="D5199" s="108" t="s">
        <v>23166</v>
      </c>
      <c r="E5199" s="108" t="s">
        <v>14605</v>
      </c>
      <c r="F5199" s="108" t="s">
        <v>23167</v>
      </c>
      <c r="G5199" s="109">
        <v>44834</v>
      </c>
      <c r="H5199" s="108" t="s">
        <v>3031</v>
      </c>
      <c r="I5199" s="108" t="s">
        <v>95</v>
      </c>
    </row>
    <row r="5200" spans="1:9" ht="27.6">
      <c r="A5200" s="108" t="s">
        <v>14950</v>
      </c>
      <c r="B5200" s="108" t="s">
        <v>23168</v>
      </c>
      <c r="C5200" s="109">
        <v>43812</v>
      </c>
      <c r="D5200" s="108" t="s">
        <v>23169</v>
      </c>
      <c r="E5200" s="108" t="s">
        <v>14605</v>
      </c>
      <c r="F5200" s="108" t="s">
        <v>23170</v>
      </c>
      <c r="G5200" s="109">
        <v>44570</v>
      </c>
      <c r="H5200" s="108" t="s">
        <v>3031</v>
      </c>
      <c r="I5200" s="108" t="s">
        <v>95</v>
      </c>
    </row>
    <row r="5201" spans="1:9" ht="27.6">
      <c r="A5201" s="108" t="s">
        <v>15075</v>
      </c>
      <c r="B5201" s="108" t="s">
        <v>23171</v>
      </c>
      <c r="C5201" s="109">
        <v>45299</v>
      </c>
      <c r="D5201" s="108" t="s">
        <v>23172</v>
      </c>
      <c r="E5201" s="108" t="s">
        <v>14605</v>
      </c>
      <c r="F5201" s="108" t="s">
        <v>15761</v>
      </c>
      <c r="G5201" s="109">
        <v>47099</v>
      </c>
      <c r="H5201" s="108" t="s">
        <v>3031</v>
      </c>
      <c r="I5201" s="108" t="s">
        <v>95</v>
      </c>
    </row>
    <row r="5202" spans="1:9" ht="27.6">
      <c r="A5202" s="108" t="s">
        <v>15075</v>
      </c>
      <c r="B5202" s="108" t="s">
        <v>23173</v>
      </c>
      <c r="C5202" s="109">
        <v>45372</v>
      </c>
      <c r="D5202" s="108" t="s">
        <v>23174</v>
      </c>
      <c r="E5202" s="108" t="s">
        <v>14605</v>
      </c>
      <c r="F5202" s="108" t="s">
        <v>15761</v>
      </c>
      <c r="G5202" s="109">
        <v>47099</v>
      </c>
      <c r="H5202" s="108" t="s">
        <v>3031</v>
      </c>
      <c r="I5202" s="108" t="s">
        <v>95</v>
      </c>
    </row>
    <row r="5203" spans="1:9" ht="27.6">
      <c r="A5203" s="108" t="s">
        <v>118</v>
      </c>
      <c r="B5203" s="108" t="s">
        <v>23175</v>
      </c>
      <c r="C5203" s="109">
        <v>42339</v>
      </c>
      <c r="D5203" s="108" t="s">
        <v>23176</v>
      </c>
      <c r="E5203" s="108" t="s">
        <v>14605</v>
      </c>
      <c r="F5203" s="108" t="s">
        <v>15137</v>
      </c>
      <c r="G5203" s="109">
        <v>46965</v>
      </c>
      <c r="H5203" s="108" t="s">
        <v>3031</v>
      </c>
      <c r="I5203" s="108" t="s">
        <v>95</v>
      </c>
    </row>
    <row r="5204" spans="1:9" ht="27.6">
      <c r="A5204" s="108" t="s">
        <v>16986</v>
      </c>
      <c r="B5204" s="108" t="s">
        <v>23177</v>
      </c>
      <c r="C5204" s="109">
        <v>44587</v>
      </c>
      <c r="D5204" s="108" t="s">
        <v>23178</v>
      </c>
      <c r="E5204" s="108" t="s">
        <v>14605</v>
      </c>
      <c r="F5204" s="108" t="s">
        <v>15817</v>
      </c>
      <c r="G5204" s="109">
        <v>46812</v>
      </c>
      <c r="H5204" s="108" t="s">
        <v>3031</v>
      </c>
      <c r="I5204" s="108" t="s">
        <v>95</v>
      </c>
    </row>
    <row r="5205" spans="1:9" ht="27.6">
      <c r="A5205" s="108" t="s">
        <v>16986</v>
      </c>
      <c r="B5205" s="108" t="s">
        <v>23179</v>
      </c>
      <c r="C5205" s="109">
        <v>44300</v>
      </c>
      <c r="D5205" s="108" t="s">
        <v>23180</v>
      </c>
      <c r="E5205" s="108" t="s">
        <v>14605</v>
      </c>
      <c r="F5205" s="108" t="s">
        <v>23083</v>
      </c>
      <c r="G5205" s="109">
        <v>45900</v>
      </c>
      <c r="H5205" s="108" t="s">
        <v>3031</v>
      </c>
      <c r="I5205" s="108" t="s">
        <v>95</v>
      </c>
    </row>
    <row r="5206" spans="1:9">
      <c r="A5206" s="108" t="s">
        <v>16986</v>
      </c>
      <c r="B5206" s="108" t="s">
        <v>23181</v>
      </c>
      <c r="C5206" s="109">
        <v>44546</v>
      </c>
      <c r="D5206" s="108" t="s">
        <v>23182</v>
      </c>
      <c r="E5206" s="108" t="s">
        <v>14605</v>
      </c>
      <c r="F5206" s="108" t="s">
        <v>23135</v>
      </c>
      <c r="G5206" s="109">
        <v>46015</v>
      </c>
      <c r="H5206" s="108" t="s">
        <v>3031</v>
      </c>
      <c r="I5206" s="108" t="s">
        <v>95</v>
      </c>
    </row>
    <row r="5207" spans="1:9">
      <c r="A5207" s="108" t="s">
        <v>16986</v>
      </c>
      <c r="B5207" s="108" t="s">
        <v>23183</v>
      </c>
      <c r="C5207" s="109">
        <v>44546</v>
      </c>
      <c r="D5207" s="108" t="s">
        <v>23184</v>
      </c>
      <c r="E5207" s="108" t="s">
        <v>14605</v>
      </c>
      <c r="F5207" s="108" t="s">
        <v>23135</v>
      </c>
      <c r="G5207" s="109">
        <v>46015</v>
      </c>
      <c r="H5207" s="108" t="s">
        <v>3031</v>
      </c>
      <c r="I5207" s="108" t="s">
        <v>95</v>
      </c>
    </row>
    <row r="5208" spans="1:9">
      <c r="A5208" s="108" t="s">
        <v>16986</v>
      </c>
      <c r="B5208" s="108" t="s">
        <v>23185</v>
      </c>
      <c r="C5208" s="109">
        <v>44377</v>
      </c>
      <c r="D5208" s="108" t="s">
        <v>23186</v>
      </c>
      <c r="E5208" s="108" t="s">
        <v>14605</v>
      </c>
      <c r="F5208" s="108" t="s">
        <v>23187</v>
      </c>
      <c r="G5208" s="109">
        <v>46227</v>
      </c>
      <c r="H5208" s="108" t="s">
        <v>3031</v>
      </c>
      <c r="I5208" s="108" t="s">
        <v>95</v>
      </c>
    </row>
    <row r="5209" spans="1:9">
      <c r="A5209" s="108" t="s">
        <v>16986</v>
      </c>
      <c r="B5209" s="108" t="s">
        <v>23188</v>
      </c>
      <c r="C5209" s="109">
        <v>44970</v>
      </c>
      <c r="D5209" s="108" t="s">
        <v>23189</v>
      </c>
      <c r="E5209" s="108" t="s">
        <v>14605</v>
      </c>
      <c r="F5209" s="108" t="s">
        <v>23051</v>
      </c>
      <c r="G5209" s="109">
        <v>46142</v>
      </c>
      <c r="H5209" s="108" t="s">
        <v>3031</v>
      </c>
      <c r="I5209" s="108" t="s">
        <v>95</v>
      </c>
    </row>
    <row r="5210" spans="1:9">
      <c r="A5210" s="108" t="s">
        <v>16986</v>
      </c>
      <c r="B5210" s="108" t="s">
        <v>23190</v>
      </c>
      <c r="C5210" s="109">
        <v>44818</v>
      </c>
      <c r="D5210" s="108" t="s">
        <v>23191</v>
      </c>
      <c r="E5210" s="108" t="s">
        <v>14605</v>
      </c>
      <c r="F5210" s="108" t="s">
        <v>23192</v>
      </c>
      <c r="G5210" s="109">
        <v>46022</v>
      </c>
      <c r="H5210" s="108" t="s">
        <v>3031</v>
      </c>
      <c r="I5210" s="108" t="s">
        <v>95</v>
      </c>
    </row>
    <row r="5211" spans="1:9">
      <c r="A5211" s="108" t="s">
        <v>16986</v>
      </c>
      <c r="B5211" s="108" t="s">
        <v>23193</v>
      </c>
      <c r="C5211" s="109">
        <v>44818</v>
      </c>
      <c r="D5211" s="108" t="s">
        <v>23194</v>
      </c>
      <c r="E5211" s="108" t="s">
        <v>14605</v>
      </c>
      <c r="F5211" s="108" t="s">
        <v>23192</v>
      </c>
      <c r="G5211" s="109">
        <v>46022</v>
      </c>
      <c r="H5211" s="108" t="s">
        <v>3031</v>
      </c>
      <c r="I5211" s="108" t="s">
        <v>95</v>
      </c>
    </row>
    <row r="5212" spans="1:9">
      <c r="A5212" s="108" t="s">
        <v>16986</v>
      </c>
      <c r="B5212" s="108" t="s">
        <v>23195</v>
      </c>
      <c r="C5212" s="109">
        <v>44818</v>
      </c>
      <c r="D5212" s="108" t="s">
        <v>23196</v>
      </c>
      <c r="E5212" s="108" t="s">
        <v>14605</v>
      </c>
      <c r="F5212" s="108" t="s">
        <v>23192</v>
      </c>
      <c r="G5212" s="109">
        <v>46022</v>
      </c>
      <c r="H5212" s="108" t="s">
        <v>3031</v>
      </c>
      <c r="I5212" s="108" t="s">
        <v>95</v>
      </c>
    </row>
    <row r="5213" spans="1:9" ht="27.6">
      <c r="A5213" s="108" t="s">
        <v>16986</v>
      </c>
      <c r="B5213" s="108" t="s">
        <v>23197</v>
      </c>
      <c r="C5213" s="109">
        <v>44945</v>
      </c>
      <c r="D5213" s="108" t="s">
        <v>23198</v>
      </c>
      <c r="E5213" s="108" t="s">
        <v>14605</v>
      </c>
      <c r="F5213" s="108" t="s">
        <v>23083</v>
      </c>
      <c r="G5213" s="109">
        <v>46040</v>
      </c>
      <c r="H5213" s="108" t="s">
        <v>3031</v>
      </c>
      <c r="I5213" s="108" t="s">
        <v>95</v>
      </c>
    </row>
    <row r="5214" spans="1:9" ht="27.6">
      <c r="A5214" s="108" t="s">
        <v>8376</v>
      </c>
      <c r="B5214" s="108" t="s">
        <v>23199</v>
      </c>
      <c r="C5214" s="109">
        <v>46043</v>
      </c>
      <c r="D5214" s="108" t="s">
        <v>23200</v>
      </c>
      <c r="E5214" s="108" t="s">
        <v>14605</v>
      </c>
      <c r="F5214" s="108" t="s">
        <v>23201</v>
      </c>
      <c r="G5214" s="109">
        <v>47146</v>
      </c>
      <c r="H5214" s="108" t="s">
        <v>3031</v>
      </c>
      <c r="I5214" s="108" t="s">
        <v>95</v>
      </c>
    </row>
    <row r="5215" spans="1:9" ht="27.6">
      <c r="A5215" s="108" t="s">
        <v>16986</v>
      </c>
      <c r="B5215" s="108" t="s">
        <v>23202</v>
      </c>
      <c r="C5215" s="109">
        <v>45416</v>
      </c>
      <c r="D5215" s="108" t="s">
        <v>23203</v>
      </c>
      <c r="E5215" s="108" t="s">
        <v>14605</v>
      </c>
      <c r="F5215" s="108" t="s">
        <v>23140</v>
      </c>
      <c r="G5215" s="109">
        <v>46138</v>
      </c>
      <c r="H5215" s="108" t="s">
        <v>3031</v>
      </c>
      <c r="I5215" s="108" t="s">
        <v>95</v>
      </c>
    </row>
    <row r="5216" spans="1:9" ht="27.6">
      <c r="A5216" s="108" t="s">
        <v>16986</v>
      </c>
      <c r="B5216" s="108" t="s">
        <v>23204</v>
      </c>
      <c r="C5216" s="109">
        <v>45416</v>
      </c>
      <c r="D5216" s="108" t="s">
        <v>23205</v>
      </c>
      <c r="E5216" s="108" t="s">
        <v>14605</v>
      </c>
      <c r="F5216" s="108" t="s">
        <v>23140</v>
      </c>
      <c r="G5216" s="109">
        <v>46138</v>
      </c>
      <c r="H5216" s="108" t="s">
        <v>3031</v>
      </c>
      <c r="I5216" s="108" t="s">
        <v>95</v>
      </c>
    </row>
    <row r="5217" spans="1:9" ht="41.4">
      <c r="A5217" s="108" t="s">
        <v>109</v>
      </c>
      <c r="B5217" s="108" t="s">
        <v>23206</v>
      </c>
      <c r="C5217" s="109">
        <v>44574</v>
      </c>
      <c r="D5217" s="108" t="s">
        <v>23207</v>
      </c>
      <c r="E5217" s="108" t="s">
        <v>14605</v>
      </c>
      <c r="F5217" s="108" t="s">
        <v>15333</v>
      </c>
      <c r="G5217" s="109">
        <v>46793</v>
      </c>
      <c r="H5217" s="108" t="s">
        <v>3031</v>
      </c>
      <c r="I5217" s="108" t="s">
        <v>95</v>
      </c>
    </row>
    <row r="5218" spans="1:9" ht="27.6">
      <c r="A5218" s="108" t="s">
        <v>109</v>
      </c>
      <c r="B5218" s="108" t="s">
        <v>23208</v>
      </c>
      <c r="C5218" s="109">
        <v>44603</v>
      </c>
      <c r="D5218" s="108" t="s">
        <v>23209</v>
      </c>
      <c r="E5218" s="108" t="s">
        <v>14605</v>
      </c>
      <c r="F5218" s="108" t="s">
        <v>23085</v>
      </c>
      <c r="G5218" s="109">
        <v>46064</v>
      </c>
      <c r="H5218" s="108" t="s">
        <v>3031</v>
      </c>
      <c r="I5218" s="108" t="s">
        <v>95</v>
      </c>
    </row>
    <row r="5219" spans="1:9" ht="27.6">
      <c r="A5219" s="108" t="s">
        <v>109</v>
      </c>
      <c r="B5219" s="108" t="s">
        <v>23210</v>
      </c>
      <c r="C5219" s="109">
        <v>44929</v>
      </c>
      <c r="D5219" s="108" t="s">
        <v>23211</v>
      </c>
      <c r="E5219" s="108" t="s">
        <v>14605</v>
      </c>
      <c r="F5219" s="108" t="s">
        <v>23212</v>
      </c>
      <c r="G5219" s="109">
        <v>46405</v>
      </c>
      <c r="H5219" s="108" t="s">
        <v>3031</v>
      </c>
      <c r="I5219" s="108" t="s">
        <v>95</v>
      </c>
    </row>
    <row r="5220" spans="1:9" ht="27.6">
      <c r="A5220" s="108" t="s">
        <v>109</v>
      </c>
      <c r="B5220" s="108" t="s">
        <v>23213</v>
      </c>
      <c r="C5220" s="109">
        <v>45278</v>
      </c>
      <c r="D5220" s="108" t="s">
        <v>23214</v>
      </c>
      <c r="E5220" s="108" t="s">
        <v>14605</v>
      </c>
      <c r="F5220" s="108" t="s">
        <v>15761</v>
      </c>
      <c r="G5220" s="109">
        <v>47099</v>
      </c>
      <c r="H5220" s="108" t="s">
        <v>3031</v>
      </c>
      <c r="I5220" s="108" t="s">
        <v>95</v>
      </c>
    </row>
    <row r="5221" spans="1:9" ht="27.6">
      <c r="A5221" s="108" t="s">
        <v>96</v>
      </c>
      <c r="B5221" s="108" t="s">
        <v>23215</v>
      </c>
      <c r="C5221" s="109">
        <v>43819</v>
      </c>
      <c r="D5221" s="108" t="s">
        <v>23216</v>
      </c>
      <c r="E5221" s="108" t="s">
        <v>14605</v>
      </c>
      <c r="F5221" s="108" t="s">
        <v>15987</v>
      </c>
      <c r="G5221" s="109">
        <v>46082</v>
      </c>
      <c r="H5221" s="108" t="s">
        <v>3031</v>
      </c>
      <c r="I5221" s="108" t="s">
        <v>95</v>
      </c>
    </row>
    <row r="5222" spans="1:9" ht="27.6">
      <c r="A5222" s="108" t="s">
        <v>96</v>
      </c>
      <c r="B5222" s="108" t="s">
        <v>23217</v>
      </c>
      <c r="C5222" s="109">
        <v>43819</v>
      </c>
      <c r="D5222" s="108" t="s">
        <v>23218</v>
      </c>
      <c r="E5222" s="108" t="s">
        <v>14605</v>
      </c>
      <c r="F5222" s="108" t="s">
        <v>15987</v>
      </c>
      <c r="G5222" s="109">
        <v>46082</v>
      </c>
      <c r="H5222" s="108" t="s">
        <v>3031</v>
      </c>
      <c r="I5222" s="108" t="s">
        <v>95</v>
      </c>
    </row>
    <row r="5223" spans="1:9" ht="27.6">
      <c r="A5223" s="108" t="s">
        <v>96</v>
      </c>
      <c r="B5223" s="108" t="s">
        <v>23219</v>
      </c>
      <c r="C5223" s="109">
        <v>44631</v>
      </c>
      <c r="D5223" s="108" t="s">
        <v>23220</v>
      </c>
      <c r="E5223" s="108" t="s">
        <v>14605</v>
      </c>
      <c r="F5223" s="108" t="s">
        <v>23101</v>
      </c>
      <c r="G5223" s="109">
        <v>46092</v>
      </c>
      <c r="H5223" s="108" t="s">
        <v>3031</v>
      </c>
      <c r="I5223" s="108" t="s">
        <v>95</v>
      </c>
    </row>
    <row r="5224" spans="1:9" ht="27.6">
      <c r="A5224" s="108" t="s">
        <v>15990</v>
      </c>
      <c r="B5224" s="108" t="s">
        <v>23221</v>
      </c>
      <c r="C5224" s="109">
        <v>44937</v>
      </c>
      <c r="D5224" s="108" t="s">
        <v>23222</v>
      </c>
      <c r="E5224" s="108" t="s">
        <v>14605</v>
      </c>
      <c r="F5224" s="108" t="s">
        <v>15137</v>
      </c>
      <c r="G5224" s="109">
        <v>47537</v>
      </c>
      <c r="H5224" s="108" t="s">
        <v>3031</v>
      </c>
      <c r="I5224" s="108" t="s">
        <v>95</v>
      </c>
    </row>
    <row r="5225" spans="1:9">
      <c r="A5225" s="108" t="s">
        <v>15990</v>
      </c>
      <c r="B5225" s="108" t="s">
        <v>23223</v>
      </c>
      <c r="C5225" s="109">
        <v>44512</v>
      </c>
      <c r="D5225" s="108" t="s">
        <v>23224</v>
      </c>
      <c r="E5225" s="108" t="s">
        <v>14605</v>
      </c>
      <c r="F5225" s="108" t="s">
        <v>15761</v>
      </c>
      <c r="G5225" s="109">
        <v>47400</v>
      </c>
      <c r="H5225" s="108" t="s">
        <v>3031</v>
      </c>
      <c r="I5225" s="108" t="s">
        <v>95</v>
      </c>
    </row>
    <row r="5226" spans="1:9">
      <c r="A5226" s="108" t="s">
        <v>15990</v>
      </c>
      <c r="B5226" s="108" t="s">
        <v>23225</v>
      </c>
      <c r="C5226" s="109">
        <v>45056</v>
      </c>
      <c r="D5226" s="108" t="s">
        <v>23226</v>
      </c>
      <c r="E5226" s="108" t="s">
        <v>14605</v>
      </c>
      <c r="F5226" s="108" t="s">
        <v>23051</v>
      </c>
      <c r="G5226" s="109">
        <v>46142</v>
      </c>
      <c r="H5226" s="108" t="s">
        <v>3031</v>
      </c>
      <c r="I5226" s="108" t="s">
        <v>95</v>
      </c>
    </row>
    <row r="5227" spans="1:9">
      <c r="A5227" s="108" t="s">
        <v>15990</v>
      </c>
      <c r="B5227" s="108" t="s">
        <v>23227</v>
      </c>
      <c r="C5227" s="109">
        <v>44399</v>
      </c>
      <c r="D5227" s="108" t="s">
        <v>23228</v>
      </c>
      <c r="E5227" s="108" t="s">
        <v>14605</v>
      </c>
      <c r="F5227" s="108" t="s">
        <v>15761</v>
      </c>
      <c r="G5227" s="109">
        <v>46568</v>
      </c>
      <c r="H5227" s="108" t="s">
        <v>3031</v>
      </c>
      <c r="I5227" s="108" t="s">
        <v>95</v>
      </c>
    </row>
    <row r="5228" spans="1:9" ht="27.6">
      <c r="A5228" s="108" t="s">
        <v>16151</v>
      </c>
      <c r="B5228" s="108" t="s">
        <v>23229</v>
      </c>
      <c r="C5228" s="109">
        <v>43819</v>
      </c>
      <c r="D5228" s="108" t="s">
        <v>23230</v>
      </c>
      <c r="E5228" s="108" t="s">
        <v>14605</v>
      </c>
      <c r="F5228" s="108" t="s">
        <v>15987</v>
      </c>
      <c r="G5228" s="109">
        <v>46082</v>
      </c>
      <c r="H5228" s="108" t="s">
        <v>3031</v>
      </c>
      <c r="I5228" s="108" t="s">
        <v>95</v>
      </c>
    </row>
    <row r="5229" spans="1:9" ht="27.6">
      <c r="A5229" s="108" t="s">
        <v>16151</v>
      </c>
      <c r="B5229" s="108" t="s">
        <v>23231</v>
      </c>
      <c r="C5229" s="109">
        <v>43889</v>
      </c>
      <c r="D5229" s="108" t="s">
        <v>23232</v>
      </c>
      <c r="E5229" s="108" t="s">
        <v>14605</v>
      </c>
      <c r="F5229" s="108" t="s">
        <v>15987</v>
      </c>
      <c r="G5229" s="109">
        <v>46082</v>
      </c>
      <c r="H5229" s="108" t="s">
        <v>3031</v>
      </c>
      <c r="I5229" s="108" t="s">
        <v>95</v>
      </c>
    </row>
    <row r="5230" spans="1:9" ht="27.6">
      <c r="A5230" s="108" t="s">
        <v>16151</v>
      </c>
      <c r="B5230" s="108" t="s">
        <v>23233</v>
      </c>
      <c r="C5230" s="109">
        <v>43812</v>
      </c>
      <c r="D5230" s="108" t="s">
        <v>23234</v>
      </c>
      <c r="E5230" s="108" t="s">
        <v>14605</v>
      </c>
      <c r="F5230" s="108" t="s">
        <v>23170</v>
      </c>
      <c r="G5230" s="109">
        <v>46029</v>
      </c>
      <c r="H5230" s="108" t="s">
        <v>3031</v>
      </c>
      <c r="I5230" s="108" t="s">
        <v>95</v>
      </c>
    </row>
    <row r="5231" spans="1:9" ht="27.6">
      <c r="A5231" s="108" t="s">
        <v>16151</v>
      </c>
      <c r="B5231" s="108" t="s">
        <v>23235</v>
      </c>
      <c r="C5231" s="109">
        <v>43889</v>
      </c>
      <c r="D5231" s="108" t="s">
        <v>23236</v>
      </c>
      <c r="E5231" s="108" t="s">
        <v>14605</v>
      </c>
      <c r="F5231" s="108" t="s">
        <v>23237</v>
      </c>
      <c r="G5231" s="109">
        <v>46445</v>
      </c>
      <c r="H5231" s="108" t="s">
        <v>3031</v>
      </c>
      <c r="I5231" s="108" t="s">
        <v>95</v>
      </c>
    </row>
    <row r="5232" spans="1:9">
      <c r="A5232" s="108" t="s">
        <v>16151</v>
      </c>
      <c r="B5232" s="108" t="s">
        <v>23238</v>
      </c>
      <c r="C5232" s="109">
        <v>44484</v>
      </c>
      <c r="D5232" s="108" t="s">
        <v>23239</v>
      </c>
      <c r="E5232" s="108" t="s">
        <v>14605</v>
      </c>
      <c r="F5232" s="108" t="s">
        <v>23099</v>
      </c>
      <c r="G5232" s="109">
        <v>45580</v>
      </c>
      <c r="H5232" s="108" t="s">
        <v>3031</v>
      </c>
      <c r="I5232" s="108" t="s">
        <v>95</v>
      </c>
    </row>
    <row r="5233" spans="1:9" ht="27.6">
      <c r="A5233" s="108" t="s">
        <v>16151</v>
      </c>
      <c r="B5233" s="108" t="s">
        <v>23240</v>
      </c>
      <c r="C5233" s="109">
        <v>45131</v>
      </c>
      <c r="D5233" s="108" t="s">
        <v>23241</v>
      </c>
      <c r="E5233" s="108" t="s">
        <v>14605</v>
      </c>
      <c r="F5233" s="108" t="s">
        <v>15817</v>
      </c>
      <c r="G5233" s="109">
        <v>47177</v>
      </c>
      <c r="H5233" s="108" t="s">
        <v>3031</v>
      </c>
      <c r="I5233" s="108" t="s">
        <v>95</v>
      </c>
    </row>
    <row r="5234" spans="1:9" ht="27.6">
      <c r="A5234" s="108" t="s">
        <v>16149</v>
      </c>
      <c r="B5234" s="108" t="s">
        <v>23242</v>
      </c>
      <c r="C5234" s="109">
        <v>44966</v>
      </c>
      <c r="D5234" s="108" t="s">
        <v>23243</v>
      </c>
      <c r="E5234" s="108" t="s">
        <v>14605</v>
      </c>
      <c r="F5234" s="108" t="s">
        <v>15146</v>
      </c>
      <c r="G5234" s="109">
        <v>45700</v>
      </c>
      <c r="H5234" s="108" t="s">
        <v>3031</v>
      </c>
      <c r="I5234" s="108" t="s">
        <v>95</v>
      </c>
    </row>
    <row r="5235" spans="1:9" ht="27.6">
      <c r="A5235" s="108" t="s">
        <v>16149</v>
      </c>
      <c r="B5235" s="108" t="s">
        <v>23244</v>
      </c>
      <c r="C5235" s="109">
        <v>46262</v>
      </c>
      <c r="D5235" s="108" t="s">
        <v>23245</v>
      </c>
      <c r="E5235" s="108" t="s">
        <v>14605</v>
      </c>
      <c r="F5235" s="108" t="s">
        <v>5267</v>
      </c>
      <c r="G5235" s="109">
        <v>46856</v>
      </c>
      <c r="H5235" s="108" t="s">
        <v>3031</v>
      </c>
      <c r="I5235" s="108" t="s">
        <v>95</v>
      </c>
    </row>
    <row r="5236" spans="1:9" ht="27.6">
      <c r="A5236" s="108" t="s">
        <v>1591</v>
      </c>
      <c r="B5236" s="108" t="s">
        <v>23246</v>
      </c>
      <c r="C5236" s="109">
        <v>45366</v>
      </c>
      <c r="D5236" s="108" t="s">
        <v>23247</v>
      </c>
      <c r="E5236" s="108" t="s">
        <v>14605</v>
      </c>
      <c r="F5236" s="108" t="s">
        <v>23051</v>
      </c>
      <c r="G5236" s="109">
        <v>47570</v>
      </c>
      <c r="H5236" s="108" t="s">
        <v>3031</v>
      </c>
      <c r="I5236" s="108" t="s">
        <v>2880</v>
      </c>
    </row>
    <row r="5237" spans="1:9">
      <c r="A5237" s="108" t="s">
        <v>87</v>
      </c>
      <c r="B5237" s="108" t="s">
        <v>23248</v>
      </c>
      <c r="C5237" s="109">
        <v>42913</v>
      </c>
      <c r="D5237" s="108" t="s">
        <v>23249</v>
      </c>
      <c r="E5237" s="108" t="s">
        <v>14605</v>
      </c>
      <c r="F5237" s="108" t="s">
        <v>15071</v>
      </c>
      <c r="G5237" s="109">
        <v>46077</v>
      </c>
      <c r="H5237" s="108" t="s">
        <v>3031</v>
      </c>
      <c r="I5237" s="108" t="s">
        <v>280</v>
      </c>
    </row>
    <row r="5238" spans="1:9">
      <c r="A5238" s="108" t="s">
        <v>87</v>
      </c>
      <c r="B5238" s="108" t="s">
        <v>23250</v>
      </c>
      <c r="C5238" s="109">
        <v>43153</v>
      </c>
      <c r="D5238" s="108" t="s">
        <v>23251</v>
      </c>
      <c r="E5238" s="108" t="s">
        <v>14605</v>
      </c>
      <c r="F5238" s="108" t="s">
        <v>23252</v>
      </c>
      <c r="G5238" s="109">
        <v>46106</v>
      </c>
      <c r="H5238" s="108" t="s">
        <v>3031</v>
      </c>
      <c r="I5238" s="108" t="s">
        <v>280</v>
      </c>
    </row>
    <row r="5239" spans="1:9">
      <c r="A5239" s="108" t="s">
        <v>87</v>
      </c>
      <c r="B5239" s="108" t="s">
        <v>23253</v>
      </c>
      <c r="C5239" s="109">
        <v>43698</v>
      </c>
      <c r="D5239" s="108" t="s">
        <v>23254</v>
      </c>
      <c r="E5239" s="108" t="s">
        <v>14605</v>
      </c>
      <c r="F5239" s="108" t="s">
        <v>15071</v>
      </c>
      <c r="G5239" s="109">
        <v>46077</v>
      </c>
      <c r="H5239" s="108" t="s">
        <v>3031</v>
      </c>
      <c r="I5239" s="108" t="s">
        <v>280</v>
      </c>
    </row>
    <row r="5240" spans="1:9" ht="27.6">
      <c r="A5240" s="108" t="s">
        <v>14690</v>
      </c>
      <c r="B5240" s="108" t="s">
        <v>23255</v>
      </c>
      <c r="C5240" s="109">
        <v>42452</v>
      </c>
      <c r="D5240" s="108" t="s">
        <v>23256</v>
      </c>
      <c r="E5240" s="108" t="s">
        <v>14605</v>
      </c>
      <c r="F5240" s="108" t="s">
        <v>23257</v>
      </c>
      <c r="G5240" s="109">
        <v>45162</v>
      </c>
      <c r="H5240" s="108" t="s">
        <v>3031</v>
      </c>
      <c r="I5240" s="108" t="s">
        <v>280</v>
      </c>
    </row>
    <row r="5241" spans="1:9">
      <c r="A5241" s="108" t="s">
        <v>237</v>
      </c>
      <c r="B5241" s="108" t="s">
        <v>23258</v>
      </c>
      <c r="C5241" s="109">
        <v>42761</v>
      </c>
      <c r="D5241" s="108" t="s">
        <v>23259</v>
      </c>
      <c r="E5241" s="108" t="s">
        <v>14605</v>
      </c>
      <c r="F5241" s="108" t="s">
        <v>23260</v>
      </c>
      <c r="G5241" s="109">
        <v>45504</v>
      </c>
      <c r="H5241" s="108" t="s">
        <v>3031</v>
      </c>
      <c r="I5241" s="108" t="s">
        <v>280</v>
      </c>
    </row>
    <row r="5242" spans="1:9">
      <c r="A5242" s="108" t="s">
        <v>571</v>
      </c>
      <c r="B5242" s="108" t="s">
        <v>23261</v>
      </c>
      <c r="C5242" s="109">
        <v>43552</v>
      </c>
      <c r="D5242" s="108" t="s">
        <v>23262</v>
      </c>
      <c r="E5242" s="108" t="s">
        <v>14605</v>
      </c>
      <c r="F5242" s="108" t="s">
        <v>23252</v>
      </c>
      <c r="G5242" s="109">
        <v>46106</v>
      </c>
      <c r="H5242" s="108" t="s">
        <v>3031</v>
      </c>
      <c r="I5242" s="108" t="s">
        <v>280</v>
      </c>
    </row>
    <row r="5243" spans="1:9">
      <c r="A5243" s="108" t="s">
        <v>87</v>
      </c>
      <c r="B5243" s="108" t="s">
        <v>23263</v>
      </c>
      <c r="C5243" s="109">
        <v>45194</v>
      </c>
      <c r="D5243" s="108" t="s">
        <v>23264</v>
      </c>
      <c r="E5243" s="108" t="s">
        <v>14605</v>
      </c>
      <c r="F5243" s="108" t="s">
        <v>23265</v>
      </c>
      <c r="G5243" s="109">
        <v>45924</v>
      </c>
      <c r="H5243" s="108" t="s">
        <v>3031</v>
      </c>
      <c r="I5243" s="108" t="s">
        <v>280</v>
      </c>
    </row>
    <row r="5244" spans="1:9">
      <c r="A5244" s="108" t="s">
        <v>571</v>
      </c>
      <c r="B5244" s="108" t="s">
        <v>23266</v>
      </c>
      <c r="C5244" s="109">
        <v>45471</v>
      </c>
      <c r="D5244" s="108" t="s">
        <v>23267</v>
      </c>
      <c r="E5244" s="108" t="s">
        <v>14605</v>
      </c>
      <c r="F5244" s="108" t="s">
        <v>23073</v>
      </c>
      <c r="G5244" s="109">
        <v>45998</v>
      </c>
      <c r="H5244" s="108" t="s">
        <v>3031</v>
      </c>
      <c r="I5244" s="108" t="s">
        <v>79</v>
      </c>
    </row>
    <row r="5245" spans="1:9">
      <c r="A5245" s="108" t="s">
        <v>571</v>
      </c>
      <c r="B5245" s="108" t="s">
        <v>23268</v>
      </c>
      <c r="C5245" s="109">
        <v>45219</v>
      </c>
      <c r="D5245" s="108" t="s">
        <v>23269</v>
      </c>
      <c r="E5245" s="108" t="s">
        <v>14605</v>
      </c>
      <c r="F5245" s="108" t="s">
        <v>23270</v>
      </c>
      <c r="G5245" s="109">
        <v>45899</v>
      </c>
      <c r="H5245" s="108" t="s">
        <v>3031</v>
      </c>
      <c r="I5245" s="108" t="s">
        <v>164</v>
      </c>
    </row>
    <row r="5246" spans="1:9">
      <c r="A5246" s="108" t="s">
        <v>227</v>
      </c>
      <c r="B5246" s="108" t="s">
        <v>23271</v>
      </c>
      <c r="C5246" s="109">
        <v>43899</v>
      </c>
      <c r="D5246" s="108" t="s">
        <v>23272</v>
      </c>
      <c r="E5246" s="108" t="s">
        <v>14605</v>
      </c>
      <c r="F5246" s="108" t="s">
        <v>15532</v>
      </c>
      <c r="G5246" s="109">
        <v>46089</v>
      </c>
      <c r="H5246" s="108" t="s">
        <v>3031</v>
      </c>
      <c r="I5246" s="108" t="s">
        <v>226</v>
      </c>
    </row>
    <row r="5247" spans="1:9">
      <c r="A5247" s="108" t="s">
        <v>227</v>
      </c>
      <c r="B5247" s="108" t="s">
        <v>23273</v>
      </c>
      <c r="C5247" s="109">
        <v>43069</v>
      </c>
      <c r="D5247" s="108" t="s">
        <v>23274</v>
      </c>
      <c r="E5247" s="108" t="s">
        <v>14605</v>
      </c>
      <c r="F5247" s="108" t="s">
        <v>23275</v>
      </c>
      <c r="G5247" s="109">
        <v>45717</v>
      </c>
      <c r="H5247" s="108" t="s">
        <v>3031</v>
      </c>
      <c r="I5247" s="108" t="s">
        <v>3876</v>
      </c>
    </row>
    <row r="5248" spans="1:9" ht="27.6">
      <c r="A5248" s="108" t="s">
        <v>207</v>
      </c>
      <c r="B5248" s="108" t="s">
        <v>23276</v>
      </c>
      <c r="C5248" s="109">
        <v>41954</v>
      </c>
      <c r="D5248" s="108" t="s">
        <v>23277</v>
      </c>
      <c r="E5248" s="108" t="s">
        <v>14605</v>
      </c>
      <c r="F5248" s="108" t="s">
        <v>23143</v>
      </c>
      <c r="G5248" s="109">
        <v>46205</v>
      </c>
      <c r="H5248" s="108" t="s">
        <v>3031</v>
      </c>
      <c r="I5248" s="108" t="s">
        <v>206</v>
      </c>
    </row>
    <row r="5249" spans="1:9" ht="27.6">
      <c r="A5249" s="108" t="s">
        <v>207</v>
      </c>
      <c r="B5249" s="108" t="s">
        <v>23278</v>
      </c>
      <c r="C5249" s="109">
        <v>42305</v>
      </c>
      <c r="D5249" s="108" t="s">
        <v>23279</v>
      </c>
      <c r="E5249" s="108" t="s">
        <v>14605</v>
      </c>
      <c r="F5249" s="108" t="s">
        <v>23280</v>
      </c>
      <c r="G5249" s="109">
        <v>45930</v>
      </c>
      <c r="H5249" s="108" t="s">
        <v>3031</v>
      </c>
      <c r="I5249" s="108" t="s">
        <v>206</v>
      </c>
    </row>
    <row r="5250" spans="1:9">
      <c r="A5250" s="108" t="s">
        <v>118</v>
      </c>
      <c r="B5250" s="108" t="s">
        <v>23281</v>
      </c>
      <c r="C5250" s="109">
        <v>43734</v>
      </c>
      <c r="D5250" s="108" t="s">
        <v>23282</v>
      </c>
      <c r="E5250" s="108" t="s">
        <v>14605</v>
      </c>
      <c r="F5250" s="108" t="s">
        <v>23038</v>
      </c>
      <c r="G5250" s="109">
        <v>46022</v>
      </c>
      <c r="H5250" s="108" t="s">
        <v>3031</v>
      </c>
      <c r="I5250" s="108" t="s">
        <v>206</v>
      </c>
    </row>
    <row r="5251" spans="1:9">
      <c r="A5251" s="108" t="s">
        <v>118</v>
      </c>
      <c r="B5251" s="108" t="s">
        <v>23283</v>
      </c>
      <c r="C5251" s="109">
        <v>43791</v>
      </c>
      <c r="D5251" s="108" t="s">
        <v>23284</v>
      </c>
      <c r="E5251" s="108" t="s">
        <v>14605</v>
      </c>
      <c r="F5251" s="108" t="s">
        <v>23285</v>
      </c>
      <c r="G5251" s="109">
        <v>46008</v>
      </c>
      <c r="H5251" s="108" t="s">
        <v>3031</v>
      </c>
      <c r="I5251" s="108" t="s">
        <v>206</v>
      </c>
    </row>
    <row r="5252" spans="1:9">
      <c r="A5252" s="108" t="s">
        <v>118</v>
      </c>
      <c r="B5252" s="108" t="s">
        <v>23286</v>
      </c>
      <c r="C5252" s="109">
        <v>44243</v>
      </c>
      <c r="D5252" s="108" t="s">
        <v>23287</v>
      </c>
      <c r="E5252" s="108" t="s">
        <v>14605</v>
      </c>
      <c r="F5252" s="108" t="s">
        <v>15121</v>
      </c>
      <c r="G5252" s="109">
        <v>46068</v>
      </c>
      <c r="H5252" s="108" t="s">
        <v>3031</v>
      </c>
      <c r="I5252" s="108" t="s">
        <v>206</v>
      </c>
    </row>
    <row r="5253" spans="1:9" ht="27.6">
      <c r="A5253" s="108" t="s">
        <v>207</v>
      </c>
      <c r="B5253" s="108" t="s">
        <v>23288</v>
      </c>
      <c r="C5253" s="109">
        <v>45237</v>
      </c>
      <c r="D5253" s="108" t="s">
        <v>23289</v>
      </c>
      <c r="E5253" s="108" t="s">
        <v>14605</v>
      </c>
      <c r="F5253" s="108" t="s">
        <v>23290</v>
      </c>
      <c r="G5253" s="109">
        <v>45967</v>
      </c>
      <c r="H5253" s="108" t="s">
        <v>3031</v>
      </c>
      <c r="I5253" s="108" t="s">
        <v>117</v>
      </c>
    </row>
    <row r="5254" spans="1:9">
      <c r="A5254" s="108" t="s">
        <v>15990</v>
      </c>
      <c r="B5254" s="108" t="s">
        <v>23291</v>
      </c>
      <c r="C5254" s="109">
        <v>45184</v>
      </c>
      <c r="D5254" s="108" t="s">
        <v>23292</v>
      </c>
      <c r="E5254" s="108" t="s">
        <v>14605</v>
      </c>
      <c r="F5254" s="108" t="s">
        <v>23155</v>
      </c>
      <c r="G5254" s="109">
        <v>45975</v>
      </c>
      <c r="H5254" s="108" t="s">
        <v>3031</v>
      </c>
      <c r="I5254" s="108" t="s">
        <v>133</v>
      </c>
    </row>
    <row r="5255" spans="1:9">
      <c r="A5255" s="108" t="s">
        <v>16151</v>
      </c>
      <c r="B5255" s="108" t="s">
        <v>23293</v>
      </c>
      <c r="C5255" s="109">
        <v>44082</v>
      </c>
      <c r="D5255" s="108" t="s">
        <v>23294</v>
      </c>
      <c r="E5255" s="108" t="s">
        <v>14605</v>
      </c>
      <c r="F5255" s="108" t="s">
        <v>23167</v>
      </c>
      <c r="G5255" s="109">
        <v>45930</v>
      </c>
      <c r="H5255" s="108" t="s">
        <v>3031</v>
      </c>
      <c r="I5255" s="108" t="s">
        <v>133</v>
      </c>
    </row>
    <row r="5256" spans="1:9">
      <c r="A5256" s="108" t="s">
        <v>16151</v>
      </c>
      <c r="B5256" s="108" t="s">
        <v>23295</v>
      </c>
      <c r="C5256" s="109">
        <v>45275</v>
      </c>
      <c r="D5256" s="108" t="s">
        <v>23296</v>
      </c>
      <c r="E5256" s="108" t="s">
        <v>14605</v>
      </c>
      <c r="F5256" s="108" t="s">
        <v>16206</v>
      </c>
      <c r="G5256" s="109">
        <v>46022</v>
      </c>
      <c r="H5256" s="108" t="s">
        <v>3031</v>
      </c>
      <c r="I5256" s="108" t="s">
        <v>133</v>
      </c>
    </row>
    <row r="5257" spans="1:9" ht="27.6">
      <c r="A5257" s="108" t="s">
        <v>103</v>
      </c>
      <c r="B5257" s="108" t="s">
        <v>23297</v>
      </c>
      <c r="C5257" s="109">
        <v>43801</v>
      </c>
      <c r="D5257" s="108" t="s">
        <v>23298</v>
      </c>
      <c r="E5257" s="108" t="s">
        <v>14605</v>
      </c>
      <c r="F5257" s="108" t="s">
        <v>16206</v>
      </c>
      <c r="G5257" s="109">
        <v>46022</v>
      </c>
      <c r="H5257" s="108" t="s">
        <v>3031</v>
      </c>
      <c r="I5257" s="108" t="s">
        <v>133</v>
      </c>
    </row>
    <row r="5258" spans="1:9" ht="27.6">
      <c r="A5258" s="108" t="s">
        <v>14950</v>
      </c>
      <c r="B5258" s="108" t="s">
        <v>23299</v>
      </c>
      <c r="C5258" s="109">
        <v>43801</v>
      </c>
      <c r="D5258" s="108" t="s">
        <v>23300</v>
      </c>
      <c r="E5258" s="108" t="s">
        <v>14605</v>
      </c>
      <c r="F5258" s="108" t="s">
        <v>16206</v>
      </c>
      <c r="G5258" s="109">
        <v>44166</v>
      </c>
      <c r="H5258" s="108" t="s">
        <v>3031</v>
      </c>
      <c r="I5258" s="108" t="s">
        <v>108</v>
      </c>
    </row>
    <row r="5259" spans="1:9" ht="27.6">
      <c r="A5259" s="108" t="s">
        <v>14950</v>
      </c>
      <c r="B5259" s="108" t="s">
        <v>23301</v>
      </c>
      <c r="C5259" s="109">
        <v>44225</v>
      </c>
      <c r="D5259" s="108" t="s">
        <v>23302</v>
      </c>
      <c r="E5259" s="108" t="s">
        <v>14605</v>
      </c>
      <c r="F5259" s="108" t="s">
        <v>16803</v>
      </c>
      <c r="G5259" s="109">
        <v>44606</v>
      </c>
      <c r="H5259" s="108" t="s">
        <v>3031</v>
      </c>
      <c r="I5259" s="108" t="s">
        <v>108</v>
      </c>
    </row>
    <row r="5260" spans="1:9" ht="27.6">
      <c r="A5260" s="108" t="s">
        <v>14950</v>
      </c>
      <c r="B5260" s="108" t="s">
        <v>23303</v>
      </c>
      <c r="C5260" s="109">
        <v>44301</v>
      </c>
      <c r="D5260" s="108" t="s">
        <v>23304</v>
      </c>
      <c r="E5260" s="108" t="s">
        <v>14605</v>
      </c>
      <c r="F5260" s="108" t="s">
        <v>23158</v>
      </c>
      <c r="G5260" s="109">
        <v>44703</v>
      </c>
      <c r="H5260" s="108" t="s">
        <v>3031</v>
      </c>
      <c r="I5260" s="108" t="s">
        <v>108</v>
      </c>
    </row>
    <row r="5261" spans="1:9" ht="27.6">
      <c r="A5261" s="108" t="s">
        <v>14950</v>
      </c>
      <c r="B5261" s="108" t="s">
        <v>23305</v>
      </c>
      <c r="C5261" s="109">
        <v>44256</v>
      </c>
      <c r="D5261" s="108" t="s">
        <v>23306</v>
      </c>
      <c r="E5261" s="108" t="s">
        <v>14605</v>
      </c>
      <c r="F5261" s="108" t="s">
        <v>23155</v>
      </c>
      <c r="G5261" s="109">
        <v>44641</v>
      </c>
      <c r="H5261" s="108" t="s">
        <v>3031</v>
      </c>
      <c r="I5261" s="108" t="s">
        <v>108</v>
      </c>
    </row>
    <row r="5262" spans="1:9" ht="27.6">
      <c r="A5262" s="108" t="s">
        <v>14679</v>
      </c>
      <c r="B5262" s="108" t="s">
        <v>23307</v>
      </c>
      <c r="C5262" s="109">
        <v>45117</v>
      </c>
      <c r="D5262" s="108" t="s">
        <v>23308</v>
      </c>
      <c r="E5262" s="108" t="s">
        <v>21552</v>
      </c>
      <c r="F5262" s="108" t="s">
        <v>23309</v>
      </c>
      <c r="G5262" s="109">
        <v>45482</v>
      </c>
      <c r="H5262" s="108" t="s">
        <v>3031</v>
      </c>
      <c r="I5262" s="108" t="s">
        <v>108</v>
      </c>
    </row>
    <row r="5263" spans="1:9" ht="27.6">
      <c r="A5263" s="108" t="s">
        <v>87</v>
      </c>
      <c r="B5263" s="108" t="s">
        <v>23310</v>
      </c>
      <c r="C5263" s="109">
        <v>45287</v>
      </c>
      <c r="D5263" s="108" t="s">
        <v>23311</v>
      </c>
      <c r="E5263" s="108" t="s">
        <v>14605</v>
      </c>
      <c r="F5263" s="108" t="s">
        <v>23312</v>
      </c>
      <c r="G5263" s="109">
        <v>45558</v>
      </c>
      <c r="H5263" s="108" t="s">
        <v>3031</v>
      </c>
      <c r="I5263" s="108" t="s">
        <v>108</v>
      </c>
    </row>
    <row r="5264" spans="1:9" ht="27.6">
      <c r="A5264" s="108" t="s">
        <v>207</v>
      </c>
      <c r="B5264" s="108" t="s">
        <v>23313</v>
      </c>
      <c r="C5264" s="109">
        <v>45701</v>
      </c>
      <c r="D5264" s="108" t="s">
        <v>23314</v>
      </c>
      <c r="E5264" s="108" t="s">
        <v>14605</v>
      </c>
      <c r="F5264" s="108" t="s">
        <v>23315</v>
      </c>
      <c r="G5264" s="109">
        <v>46093</v>
      </c>
      <c r="H5264" s="108" t="s">
        <v>3031</v>
      </c>
      <c r="I5264" s="108" t="s">
        <v>108</v>
      </c>
    </row>
    <row r="5265" spans="1:9" ht="27.6">
      <c r="A5265" s="108" t="s">
        <v>8247</v>
      </c>
      <c r="B5265" s="108" t="s">
        <v>23316</v>
      </c>
      <c r="C5265" s="109">
        <v>45933</v>
      </c>
      <c r="D5265" s="108" t="s">
        <v>23317</v>
      </c>
      <c r="E5265" s="108" t="s">
        <v>14605</v>
      </c>
      <c r="F5265" s="108" t="s">
        <v>15261</v>
      </c>
      <c r="G5265" s="109">
        <v>46229</v>
      </c>
      <c r="H5265" s="108" t="s">
        <v>3031</v>
      </c>
      <c r="I5265" s="108" t="s">
        <v>108</v>
      </c>
    </row>
    <row r="5266" spans="1:9">
      <c r="A5266" s="108" t="s">
        <v>16986</v>
      </c>
      <c r="B5266" s="108" t="s">
        <v>23318</v>
      </c>
      <c r="C5266" s="109">
        <v>45533</v>
      </c>
      <c r="D5266" s="108" t="s">
        <v>23319</v>
      </c>
      <c r="E5266" s="108" t="s">
        <v>14605</v>
      </c>
      <c r="F5266" s="108" t="s">
        <v>23051</v>
      </c>
      <c r="G5266" s="109">
        <v>45993</v>
      </c>
      <c r="H5266" s="108" t="s">
        <v>3031</v>
      </c>
      <c r="I5266" s="108" t="s">
        <v>108</v>
      </c>
    </row>
    <row r="5267" spans="1:9" ht="27.6">
      <c r="A5267" s="108" t="s">
        <v>109</v>
      </c>
      <c r="B5267" s="108" t="s">
        <v>23320</v>
      </c>
      <c r="C5267" s="109">
        <v>45575</v>
      </c>
      <c r="D5267" s="108" t="s">
        <v>23321</v>
      </c>
      <c r="E5267" s="108" t="s">
        <v>14605</v>
      </c>
      <c r="F5267" s="108" t="s">
        <v>23099</v>
      </c>
      <c r="G5267" s="109">
        <v>45946</v>
      </c>
      <c r="H5267" s="108" t="s">
        <v>3031</v>
      </c>
      <c r="I5267" s="108" t="s">
        <v>108</v>
      </c>
    </row>
    <row r="5268" spans="1:9" ht="27.6">
      <c r="A5268" s="108" t="s">
        <v>109</v>
      </c>
      <c r="B5268" s="108" t="s">
        <v>23322</v>
      </c>
      <c r="C5268" s="109">
        <v>45611</v>
      </c>
      <c r="D5268" s="108" t="s">
        <v>23323</v>
      </c>
      <c r="E5268" s="108" t="s">
        <v>14605</v>
      </c>
      <c r="F5268" s="108" t="s">
        <v>23113</v>
      </c>
      <c r="G5268" s="109">
        <v>45984</v>
      </c>
      <c r="H5268" s="108" t="s">
        <v>3031</v>
      </c>
      <c r="I5268" s="108" t="s">
        <v>108</v>
      </c>
    </row>
    <row r="5269" spans="1:9" ht="27.6">
      <c r="A5269" s="108" t="s">
        <v>15990</v>
      </c>
      <c r="B5269" s="108" t="s">
        <v>23324</v>
      </c>
      <c r="C5269" s="109">
        <v>45041</v>
      </c>
      <c r="D5269" s="108" t="s">
        <v>23325</v>
      </c>
      <c r="E5269" s="108" t="s">
        <v>14605</v>
      </c>
      <c r="F5269" s="108" t="s">
        <v>23083</v>
      </c>
      <c r="G5269" s="109">
        <v>45853</v>
      </c>
      <c r="H5269" s="108" t="s">
        <v>3031</v>
      </c>
      <c r="I5269" s="108" t="s">
        <v>108</v>
      </c>
    </row>
    <row r="5270" spans="1:9" ht="27.6">
      <c r="A5270" s="108" t="s">
        <v>16149</v>
      </c>
      <c r="B5270" s="108" t="s">
        <v>23326</v>
      </c>
      <c r="C5270" s="109">
        <v>46059</v>
      </c>
      <c r="D5270" s="108" t="s">
        <v>23327</v>
      </c>
      <c r="E5270" s="108" t="s">
        <v>14605</v>
      </c>
      <c r="F5270" s="108" t="s">
        <v>16677</v>
      </c>
      <c r="G5270" s="109">
        <v>46011</v>
      </c>
      <c r="H5270" s="108" t="s">
        <v>3031</v>
      </c>
      <c r="I5270" s="108" t="s">
        <v>108</v>
      </c>
    </row>
    <row r="5271" spans="1:9" ht="27.6">
      <c r="A5271" s="108" t="s">
        <v>16149</v>
      </c>
      <c r="B5271" s="108" t="s">
        <v>3726</v>
      </c>
      <c r="C5271" s="109">
        <v>45806</v>
      </c>
      <c r="D5271" s="108" t="s">
        <v>3728</v>
      </c>
      <c r="E5271" s="108" t="s">
        <v>14605</v>
      </c>
      <c r="F5271" s="108" t="s">
        <v>3727</v>
      </c>
      <c r="G5271" s="109">
        <v>46164</v>
      </c>
      <c r="H5271" s="108" t="s">
        <v>3031</v>
      </c>
      <c r="I5271" s="108" t="s">
        <v>108</v>
      </c>
    </row>
    <row r="5272" spans="1:9">
      <c r="A5272" s="108" t="s">
        <v>16151</v>
      </c>
      <c r="B5272" s="108" t="s">
        <v>3032</v>
      </c>
      <c r="C5272" s="109">
        <v>45980</v>
      </c>
      <c r="D5272" s="108" t="s">
        <v>3034</v>
      </c>
      <c r="E5272" s="108" t="s">
        <v>14605</v>
      </c>
      <c r="F5272" s="108" t="s">
        <v>3033</v>
      </c>
      <c r="G5272" s="109">
        <v>46173</v>
      </c>
      <c r="H5272" s="108" t="s">
        <v>3031</v>
      </c>
      <c r="I5272" s="108" t="s">
        <v>108</v>
      </c>
    </row>
    <row r="5273" spans="1:9" ht="27.6">
      <c r="A5273" s="108" t="s">
        <v>388</v>
      </c>
      <c r="B5273" s="108" t="s">
        <v>23328</v>
      </c>
      <c r="C5273" s="109">
        <v>45532</v>
      </c>
      <c r="D5273" s="108" t="s">
        <v>23329</v>
      </c>
      <c r="E5273" s="108" t="s">
        <v>14605</v>
      </c>
      <c r="F5273" s="108" t="s">
        <v>23110</v>
      </c>
      <c r="G5273" s="109">
        <v>45891</v>
      </c>
      <c r="H5273" s="108" t="s">
        <v>3031</v>
      </c>
      <c r="I5273" s="108" t="s">
        <v>108</v>
      </c>
    </row>
    <row r="5274" spans="1:9">
      <c r="A5274" s="108" t="s">
        <v>169</v>
      </c>
      <c r="B5274" s="108" t="s">
        <v>23330</v>
      </c>
      <c r="C5274" s="109">
        <v>43706</v>
      </c>
      <c r="D5274" s="108"/>
      <c r="E5274" s="108" t="s">
        <v>14605</v>
      </c>
      <c r="F5274" s="108" t="s">
        <v>14777</v>
      </c>
      <c r="G5274" s="110"/>
      <c r="H5274" s="108" t="s">
        <v>23331</v>
      </c>
      <c r="I5274" s="108"/>
    </row>
    <row r="5275" spans="1:9">
      <c r="A5275" s="108" t="s">
        <v>169</v>
      </c>
      <c r="B5275" s="108" t="s">
        <v>23332</v>
      </c>
      <c r="C5275" s="109">
        <v>43706</v>
      </c>
      <c r="D5275" s="108"/>
      <c r="E5275" s="108" t="s">
        <v>14605</v>
      </c>
      <c r="F5275" s="108" t="s">
        <v>14777</v>
      </c>
      <c r="G5275" s="110"/>
      <c r="H5275" s="108" t="s">
        <v>23331</v>
      </c>
      <c r="I5275" s="108"/>
    </row>
    <row r="5276" spans="1:9">
      <c r="A5276" s="108" t="s">
        <v>169</v>
      </c>
      <c r="B5276" s="108" t="s">
        <v>23333</v>
      </c>
      <c r="C5276" s="109">
        <v>43706</v>
      </c>
      <c r="D5276" s="108"/>
      <c r="E5276" s="108" t="s">
        <v>14605</v>
      </c>
      <c r="F5276" s="108" t="s">
        <v>14777</v>
      </c>
      <c r="G5276" s="110"/>
      <c r="H5276" s="108" t="s">
        <v>23331</v>
      </c>
      <c r="I5276" s="108"/>
    </row>
    <row r="5277" spans="1:9">
      <c r="A5277" s="108" t="s">
        <v>87</v>
      </c>
      <c r="B5277" s="108" t="s">
        <v>23334</v>
      </c>
      <c r="C5277" s="109">
        <v>43735</v>
      </c>
      <c r="D5277" s="108"/>
      <c r="E5277" s="108" t="s">
        <v>14605</v>
      </c>
      <c r="F5277" s="108" t="s">
        <v>14777</v>
      </c>
      <c r="G5277" s="110"/>
      <c r="H5277" s="108" t="s">
        <v>23331</v>
      </c>
      <c r="I5277" s="108"/>
    </row>
    <row r="5278" spans="1:9" ht="27.6">
      <c r="A5278" s="108" t="s">
        <v>23335</v>
      </c>
      <c r="B5278" s="108" t="s">
        <v>23336</v>
      </c>
      <c r="C5278" s="109">
        <v>43735</v>
      </c>
      <c r="D5278" s="108"/>
      <c r="E5278" s="108" t="s">
        <v>14605</v>
      </c>
      <c r="F5278" s="108" t="s">
        <v>14777</v>
      </c>
      <c r="G5278" s="110"/>
      <c r="H5278" s="108" t="s">
        <v>23331</v>
      </c>
      <c r="I5278" s="108"/>
    </row>
    <row r="5279" spans="1:9">
      <c r="A5279" s="108" t="s">
        <v>8271</v>
      </c>
      <c r="B5279" s="108" t="s">
        <v>23337</v>
      </c>
      <c r="C5279" s="109">
        <v>44790</v>
      </c>
      <c r="D5279" s="108"/>
      <c r="E5279" s="108" t="s">
        <v>14605</v>
      </c>
      <c r="F5279" s="108" t="s">
        <v>23338</v>
      </c>
      <c r="G5279" s="110"/>
      <c r="H5279" s="108" t="s">
        <v>23331</v>
      </c>
      <c r="I5279" s="108"/>
    </row>
    <row r="5280" spans="1:9">
      <c r="A5280" s="108" t="s">
        <v>8271</v>
      </c>
      <c r="B5280" s="108" t="s">
        <v>23339</v>
      </c>
      <c r="C5280" s="109">
        <v>44621</v>
      </c>
      <c r="D5280" s="108"/>
      <c r="E5280" s="108" t="s">
        <v>14605</v>
      </c>
      <c r="F5280" s="108" t="s">
        <v>23340</v>
      </c>
      <c r="G5280" s="110"/>
      <c r="H5280" s="108" t="s">
        <v>23331</v>
      </c>
      <c r="I5280" s="108"/>
    </row>
    <row r="5281" spans="1:9" ht="27.6">
      <c r="A5281" s="108" t="s">
        <v>15075</v>
      </c>
      <c r="B5281" s="108" t="s">
        <v>23341</v>
      </c>
      <c r="C5281" s="109">
        <v>44760</v>
      </c>
      <c r="D5281" s="108"/>
      <c r="E5281" s="108" t="s">
        <v>14605</v>
      </c>
      <c r="F5281" s="108" t="s">
        <v>16711</v>
      </c>
      <c r="G5281" s="110"/>
      <c r="H5281" s="108" t="s">
        <v>23342</v>
      </c>
      <c r="I5281" s="108"/>
    </row>
    <row r="5282" spans="1:9" ht="27.6">
      <c r="A5282" s="108" t="s">
        <v>15075</v>
      </c>
      <c r="B5282" s="108" t="s">
        <v>23343</v>
      </c>
      <c r="C5282" s="109">
        <v>45587</v>
      </c>
      <c r="D5282" s="108"/>
      <c r="E5282" s="108" t="s">
        <v>14605</v>
      </c>
      <c r="F5282" s="108" t="s">
        <v>15290</v>
      </c>
      <c r="G5282" s="110"/>
      <c r="H5282" s="108" t="s">
        <v>23331</v>
      </c>
      <c r="I5282" s="108"/>
    </row>
    <row r="5283" spans="1:9" ht="27.6">
      <c r="A5283" s="108" t="s">
        <v>14950</v>
      </c>
      <c r="B5283" s="108" t="s">
        <v>23344</v>
      </c>
      <c r="C5283" s="109">
        <v>44112</v>
      </c>
      <c r="D5283" s="108" t="s">
        <v>23345</v>
      </c>
      <c r="E5283" s="108" t="s">
        <v>14605</v>
      </c>
      <c r="F5283" s="108" t="s">
        <v>23346</v>
      </c>
      <c r="G5283" s="109">
        <v>45322</v>
      </c>
      <c r="H5283" s="108" t="s">
        <v>23331</v>
      </c>
      <c r="I5283" s="108" t="s">
        <v>95</v>
      </c>
    </row>
    <row r="5284" spans="1:9">
      <c r="A5284" s="108" t="s">
        <v>8271</v>
      </c>
      <c r="B5284" s="108" t="s">
        <v>23347</v>
      </c>
      <c r="C5284" s="109">
        <v>44483</v>
      </c>
      <c r="D5284" s="108" t="s">
        <v>23348</v>
      </c>
      <c r="E5284" s="108" t="s">
        <v>14605</v>
      </c>
      <c r="F5284" s="108" t="s">
        <v>15290</v>
      </c>
      <c r="G5284" s="109">
        <v>45359</v>
      </c>
      <c r="H5284" s="108" t="s">
        <v>23331</v>
      </c>
      <c r="I5284" s="108" t="s">
        <v>95</v>
      </c>
    </row>
    <row r="5285" spans="1:9" ht="27.6">
      <c r="A5285" s="108" t="s">
        <v>15075</v>
      </c>
      <c r="B5285" s="108" t="s">
        <v>23349</v>
      </c>
      <c r="C5285" s="109">
        <v>45449</v>
      </c>
      <c r="D5285" s="108" t="s">
        <v>23350</v>
      </c>
      <c r="E5285" s="108" t="s">
        <v>14605</v>
      </c>
      <c r="F5285" s="108" t="s">
        <v>15290</v>
      </c>
      <c r="G5285" s="109">
        <v>45723</v>
      </c>
      <c r="H5285" s="108" t="s">
        <v>23331</v>
      </c>
      <c r="I5285" s="108" t="s">
        <v>95</v>
      </c>
    </row>
    <row r="5286" spans="1:9" ht="27.6">
      <c r="A5286" s="108" t="s">
        <v>96</v>
      </c>
      <c r="B5286" s="108" t="s">
        <v>23351</v>
      </c>
      <c r="C5286" s="109">
        <v>43083</v>
      </c>
      <c r="D5286" s="108" t="s">
        <v>23352</v>
      </c>
      <c r="E5286" s="108" t="s">
        <v>14605</v>
      </c>
      <c r="F5286" s="108" t="s">
        <v>23340</v>
      </c>
      <c r="G5286" s="109">
        <v>45957</v>
      </c>
      <c r="H5286" s="108" t="s">
        <v>23331</v>
      </c>
      <c r="I5286" s="108" t="s">
        <v>95</v>
      </c>
    </row>
    <row r="5287" spans="1:9" ht="27.6">
      <c r="A5287" s="108" t="s">
        <v>109</v>
      </c>
      <c r="B5287" s="108" t="s">
        <v>23353</v>
      </c>
      <c r="C5287" s="109">
        <v>43311</v>
      </c>
      <c r="D5287" s="108" t="s">
        <v>23354</v>
      </c>
      <c r="E5287" s="108" t="s">
        <v>14605</v>
      </c>
      <c r="F5287" s="108" t="s">
        <v>23340</v>
      </c>
      <c r="G5287" s="109">
        <v>45957</v>
      </c>
      <c r="H5287" s="108" t="s">
        <v>23331</v>
      </c>
      <c r="I5287" s="108" t="s">
        <v>95</v>
      </c>
    </row>
    <row r="5288" spans="1:9" ht="27.6">
      <c r="A5288" s="108" t="s">
        <v>96</v>
      </c>
      <c r="B5288" s="108" t="s">
        <v>23355</v>
      </c>
      <c r="C5288" s="109">
        <v>44112</v>
      </c>
      <c r="D5288" s="108" t="s">
        <v>23356</v>
      </c>
      <c r="E5288" s="108" t="s">
        <v>14605</v>
      </c>
      <c r="F5288" s="108" t="s">
        <v>23346</v>
      </c>
      <c r="G5288" s="109">
        <v>46102</v>
      </c>
      <c r="H5288" s="108" t="s">
        <v>23331</v>
      </c>
      <c r="I5288" s="108" t="s">
        <v>95</v>
      </c>
    </row>
    <row r="5289" spans="1:9">
      <c r="A5289" s="108" t="s">
        <v>15990</v>
      </c>
      <c r="B5289" s="108" t="s">
        <v>23357</v>
      </c>
      <c r="C5289" s="109">
        <v>44866</v>
      </c>
      <c r="D5289" s="108" t="s">
        <v>23358</v>
      </c>
      <c r="E5289" s="108" t="s">
        <v>14605</v>
      </c>
      <c r="F5289" s="108" t="s">
        <v>23340</v>
      </c>
      <c r="G5289" s="109">
        <v>47311</v>
      </c>
      <c r="H5289" s="108" t="s">
        <v>23331</v>
      </c>
      <c r="I5289" s="108" t="s">
        <v>95</v>
      </c>
    </row>
    <row r="5290" spans="1:9">
      <c r="A5290" s="108" t="s">
        <v>15990</v>
      </c>
      <c r="B5290" s="108" t="s">
        <v>23359</v>
      </c>
      <c r="C5290" s="109">
        <v>44813</v>
      </c>
      <c r="D5290" s="108" t="s">
        <v>23360</v>
      </c>
      <c r="E5290" s="108" t="s">
        <v>14605</v>
      </c>
      <c r="F5290" s="108" t="s">
        <v>15290</v>
      </c>
      <c r="G5290" s="109">
        <v>46088</v>
      </c>
      <c r="H5290" s="108" t="s">
        <v>23331</v>
      </c>
      <c r="I5290" s="108" t="s">
        <v>95</v>
      </c>
    </row>
    <row r="5291" spans="1:9">
      <c r="A5291" s="108" t="s">
        <v>16151</v>
      </c>
      <c r="B5291" s="108" t="s">
        <v>23361</v>
      </c>
      <c r="C5291" s="109">
        <v>45587</v>
      </c>
      <c r="D5291" s="108" t="s">
        <v>23362</v>
      </c>
      <c r="E5291" s="108" t="s">
        <v>14605</v>
      </c>
      <c r="F5291" s="108" t="s">
        <v>15290</v>
      </c>
      <c r="G5291" s="109">
        <v>46088</v>
      </c>
      <c r="H5291" s="108" t="s">
        <v>23331</v>
      </c>
      <c r="I5291" s="108" t="s">
        <v>95</v>
      </c>
    </row>
    <row r="5292" spans="1:9" ht="27.6">
      <c r="A5292" s="108" t="s">
        <v>16149</v>
      </c>
      <c r="B5292" s="108" t="s">
        <v>23363</v>
      </c>
      <c r="C5292" s="109">
        <v>43665</v>
      </c>
      <c r="D5292" s="108" t="s">
        <v>23364</v>
      </c>
      <c r="E5292" s="108" t="s">
        <v>14605</v>
      </c>
      <c r="F5292" s="108" t="s">
        <v>23340</v>
      </c>
      <c r="G5292" s="109">
        <v>45957</v>
      </c>
      <c r="H5292" s="108" t="s">
        <v>23331</v>
      </c>
      <c r="I5292" s="108" t="s">
        <v>95</v>
      </c>
    </row>
    <row r="5293" spans="1:9">
      <c r="A5293" s="108" t="s">
        <v>16151</v>
      </c>
      <c r="B5293" s="108" t="s">
        <v>23365</v>
      </c>
      <c r="C5293" s="109">
        <v>43474</v>
      </c>
      <c r="D5293" s="108" t="s">
        <v>23366</v>
      </c>
      <c r="E5293" s="108" t="s">
        <v>14605</v>
      </c>
      <c r="F5293" s="108" t="s">
        <v>15290</v>
      </c>
      <c r="G5293" s="109">
        <v>46088</v>
      </c>
      <c r="H5293" s="108" t="s">
        <v>23331</v>
      </c>
      <c r="I5293" s="108" t="s">
        <v>95</v>
      </c>
    </row>
    <row r="5294" spans="1:9" ht="27.6">
      <c r="A5294" s="108" t="s">
        <v>16149</v>
      </c>
      <c r="B5294" s="108" t="s">
        <v>23367</v>
      </c>
      <c r="C5294" s="109">
        <v>44111</v>
      </c>
      <c r="D5294" s="108" t="s">
        <v>23368</v>
      </c>
      <c r="E5294" s="108" t="s">
        <v>14605</v>
      </c>
      <c r="F5294" s="108" t="s">
        <v>15290</v>
      </c>
      <c r="G5294" s="109">
        <v>46088</v>
      </c>
      <c r="H5294" s="108" t="s">
        <v>23331</v>
      </c>
      <c r="I5294" s="108" t="s">
        <v>95</v>
      </c>
    </row>
    <row r="5295" spans="1:9">
      <c r="A5295" s="108" t="s">
        <v>16151</v>
      </c>
      <c r="B5295" s="108" t="s">
        <v>23369</v>
      </c>
      <c r="C5295" s="109">
        <v>44249</v>
      </c>
      <c r="D5295" s="108" t="s">
        <v>23370</v>
      </c>
      <c r="E5295" s="108" t="s">
        <v>14605</v>
      </c>
      <c r="F5295" s="108" t="s">
        <v>16711</v>
      </c>
      <c r="G5295" s="109">
        <v>45922</v>
      </c>
      <c r="H5295" s="108" t="s">
        <v>23331</v>
      </c>
      <c r="I5295" s="108" t="s">
        <v>133</v>
      </c>
    </row>
    <row r="5296" spans="1:9">
      <c r="A5296" s="108" t="s">
        <v>8194</v>
      </c>
      <c r="B5296" s="108" t="s">
        <v>23371</v>
      </c>
      <c r="C5296" s="109">
        <v>43261</v>
      </c>
      <c r="D5296" s="108" t="s">
        <v>23372</v>
      </c>
      <c r="E5296" s="108" t="s">
        <v>14605</v>
      </c>
      <c r="F5296" s="108" t="s">
        <v>23338</v>
      </c>
      <c r="G5296" s="109">
        <v>44247</v>
      </c>
      <c r="H5296" s="108" t="s">
        <v>23331</v>
      </c>
      <c r="I5296" s="108" t="s">
        <v>108</v>
      </c>
    </row>
    <row r="5297" spans="1:9" ht="27.6">
      <c r="A5297" s="108" t="s">
        <v>14690</v>
      </c>
      <c r="B5297" s="108" t="s">
        <v>23373</v>
      </c>
      <c r="C5297" s="109">
        <v>43777</v>
      </c>
      <c r="D5297" s="108"/>
      <c r="E5297" s="108" t="s">
        <v>14605</v>
      </c>
      <c r="F5297" s="108" t="s">
        <v>23374</v>
      </c>
      <c r="G5297" s="110"/>
      <c r="H5297" s="108" t="s">
        <v>23375</v>
      </c>
      <c r="I5297" s="108"/>
    </row>
    <row r="5298" spans="1:9" ht="27.6">
      <c r="A5298" s="108" t="s">
        <v>981</v>
      </c>
      <c r="B5298" s="108" t="s">
        <v>23376</v>
      </c>
      <c r="C5298" s="109">
        <v>45688</v>
      </c>
      <c r="D5298" s="108" t="s">
        <v>23377</v>
      </c>
      <c r="E5298" s="108" t="s">
        <v>14605</v>
      </c>
      <c r="F5298" s="108" t="s">
        <v>19880</v>
      </c>
      <c r="G5298" s="109">
        <v>46022</v>
      </c>
      <c r="H5298" s="108" t="s">
        <v>23378</v>
      </c>
      <c r="I5298" s="108" t="s">
        <v>108</v>
      </c>
    </row>
    <row r="5299" spans="1:9" ht="41.4">
      <c r="A5299" s="108" t="s">
        <v>14690</v>
      </c>
      <c r="B5299" s="108" t="s">
        <v>23379</v>
      </c>
      <c r="C5299" s="109">
        <v>41296</v>
      </c>
      <c r="D5299" s="108"/>
      <c r="E5299" s="108" t="s">
        <v>14605</v>
      </c>
      <c r="F5299" s="108" t="s">
        <v>23380</v>
      </c>
      <c r="G5299" s="110"/>
      <c r="H5299" s="108" t="s">
        <v>23381</v>
      </c>
      <c r="I5299" s="108"/>
    </row>
    <row r="5300" spans="1:9" ht="27.6">
      <c r="A5300" s="108" t="s">
        <v>169</v>
      </c>
      <c r="B5300" s="108" t="s">
        <v>23382</v>
      </c>
      <c r="C5300" s="109">
        <v>42635</v>
      </c>
      <c r="D5300" s="108"/>
      <c r="E5300" s="108" t="s">
        <v>14605</v>
      </c>
      <c r="F5300" s="108" t="s">
        <v>23383</v>
      </c>
      <c r="G5300" s="110"/>
      <c r="H5300" s="108" t="s">
        <v>23381</v>
      </c>
      <c r="I5300" s="108"/>
    </row>
    <row r="5301" spans="1:9">
      <c r="A5301" s="108" t="s">
        <v>169</v>
      </c>
      <c r="B5301" s="108" t="s">
        <v>23384</v>
      </c>
      <c r="C5301" s="109">
        <v>42978</v>
      </c>
      <c r="D5301" s="108"/>
      <c r="E5301" s="108" t="s">
        <v>14605</v>
      </c>
      <c r="F5301" s="108" t="s">
        <v>23385</v>
      </c>
      <c r="G5301" s="110"/>
      <c r="H5301" s="108" t="s">
        <v>23381</v>
      </c>
      <c r="I5301" s="108"/>
    </row>
    <row r="5302" spans="1:9" ht="27.6">
      <c r="A5302" s="108" t="s">
        <v>169</v>
      </c>
      <c r="B5302" s="108" t="s">
        <v>23386</v>
      </c>
      <c r="C5302" s="109">
        <v>44064</v>
      </c>
      <c r="D5302" s="108"/>
      <c r="E5302" s="108" t="s">
        <v>14605</v>
      </c>
      <c r="F5302" s="108" t="s">
        <v>23387</v>
      </c>
      <c r="G5302" s="110"/>
      <c r="H5302" s="108" t="s">
        <v>23381</v>
      </c>
      <c r="I5302" s="108"/>
    </row>
    <row r="5303" spans="1:9" ht="27.6">
      <c r="A5303" s="108" t="s">
        <v>2623</v>
      </c>
      <c r="B5303" s="108" t="s">
        <v>23388</v>
      </c>
      <c r="C5303" s="109">
        <v>43235</v>
      </c>
      <c r="D5303" s="108"/>
      <c r="E5303" s="108" t="s">
        <v>14605</v>
      </c>
      <c r="F5303" s="108" t="s">
        <v>23389</v>
      </c>
      <c r="G5303" s="110"/>
      <c r="H5303" s="108" t="s">
        <v>23381</v>
      </c>
      <c r="I5303" s="108"/>
    </row>
    <row r="5304" spans="1:9" ht="27.6">
      <c r="A5304" s="108" t="s">
        <v>14950</v>
      </c>
      <c r="B5304" s="108" t="s">
        <v>23390</v>
      </c>
      <c r="C5304" s="109">
        <v>45058</v>
      </c>
      <c r="D5304" s="108"/>
      <c r="E5304" s="108" t="s">
        <v>14605</v>
      </c>
      <c r="F5304" s="108" t="s">
        <v>23391</v>
      </c>
      <c r="G5304" s="110"/>
      <c r="H5304" s="108" t="s">
        <v>23381</v>
      </c>
      <c r="I5304" s="108"/>
    </row>
    <row r="5305" spans="1:9" ht="27.6">
      <c r="A5305" s="108" t="s">
        <v>15075</v>
      </c>
      <c r="B5305" s="108" t="s">
        <v>23392</v>
      </c>
      <c r="C5305" s="109">
        <v>45069</v>
      </c>
      <c r="D5305" s="108"/>
      <c r="E5305" s="108" t="s">
        <v>14605</v>
      </c>
      <c r="F5305" s="108" t="s">
        <v>15375</v>
      </c>
      <c r="G5305" s="110"/>
      <c r="H5305" s="108" t="s">
        <v>23381</v>
      </c>
      <c r="I5305" s="108"/>
    </row>
    <row r="5306" spans="1:9" ht="27.6">
      <c r="A5306" s="108" t="s">
        <v>15075</v>
      </c>
      <c r="B5306" s="108" t="s">
        <v>23393</v>
      </c>
      <c r="C5306" s="109">
        <v>45485</v>
      </c>
      <c r="D5306" s="108"/>
      <c r="E5306" s="108" t="s">
        <v>14605</v>
      </c>
      <c r="F5306" s="108" t="s">
        <v>23394</v>
      </c>
      <c r="G5306" s="110"/>
      <c r="H5306" s="108" t="s">
        <v>23381</v>
      </c>
      <c r="I5306" s="108"/>
    </row>
    <row r="5307" spans="1:9" ht="27.6">
      <c r="A5307" s="108" t="s">
        <v>227</v>
      </c>
      <c r="B5307" s="108" t="s">
        <v>23395</v>
      </c>
      <c r="C5307" s="109">
        <v>41976</v>
      </c>
      <c r="D5307" s="108"/>
      <c r="E5307" s="108" t="s">
        <v>14605</v>
      </c>
      <c r="F5307" s="108" t="s">
        <v>23396</v>
      </c>
      <c r="G5307" s="110"/>
      <c r="H5307" s="108" t="s">
        <v>23381</v>
      </c>
      <c r="I5307" s="108"/>
    </row>
    <row r="5308" spans="1:9">
      <c r="A5308" s="108" t="s">
        <v>1465</v>
      </c>
      <c r="B5308" s="108" t="s">
        <v>23397</v>
      </c>
      <c r="C5308" s="109">
        <v>40199</v>
      </c>
      <c r="D5308" s="108"/>
      <c r="E5308" s="108" t="s">
        <v>14605</v>
      </c>
      <c r="F5308" s="108" t="s">
        <v>23398</v>
      </c>
      <c r="G5308" s="110"/>
      <c r="H5308" s="108" t="s">
        <v>23381</v>
      </c>
      <c r="I5308" s="108"/>
    </row>
    <row r="5309" spans="1:9">
      <c r="A5309" s="108" t="s">
        <v>1465</v>
      </c>
      <c r="B5309" s="108" t="s">
        <v>23399</v>
      </c>
      <c r="C5309" s="109">
        <v>40706</v>
      </c>
      <c r="D5309" s="108"/>
      <c r="E5309" s="108" t="s">
        <v>14605</v>
      </c>
      <c r="F5309" s="108" t="s">
        <v>23400</v>
      </c>
      <c r="G5309" s="110"/>
      <c r="H5309" s="108" t="s">
        <v>23381</v>
      </c>
      <c r="I5309" s="108"/>
    </row>
    <row r="5310" spans="1:9">
      <c r="A5310" s="108" t="s">
        <v>2623</v>
      </c>
      <c r="B5310" s="108" t="s">
        <v>23401</v>
      </c>
      <c r="C5310" s="109">
        <v>40954</v>
      </c>
      <c r="D5310" s="108"/>
      <c r="E5310" s="108" t="s">
        <v>14605</v>
      </c>
      <c r="F5310" s="108" t="s">
        <v>23402</v>
      </c>
      <c r="G5310" s="110"/>
      <c r="H5310" s="108" t="s">
        <v>23381</v>
      </c>
      <c r="I5310" s="108"/>
    </row>
    <row r="5311" spans="1:9">
      <c r="A5311" s="108" t="s">
        <v>15705</v>
      </c>
      <c r="B5311" s="108" t="s">
        <v>23403</v>
      </c>
      <c r="C5311" s="109">
        <v>42076</v>
      </c>
      <c r="D5311" s="108"/>
      <c r="E5311" s="108" t="s">
        <v>14605</v>
      </c>
      <c r="F5311" s="108" t="s">
        <v>23404</v>
      </c>
      <c r="G5311" s="110"/>
      <c r="H5311" s="108" t="s">
        <v>23381</v>
      </c>
      <c r="I5311" s="108"/>
    </row>
    <row r="5312" spans="1:9" ht="27.6">
      <c r="A5312" s="108" t="s">
        <v>207</v>
      </c>
      <c r="B5312" s="108" t="s">
        <v>23405</v>
      </c>
      <c r="C5312" s="109">
        <v>41963</v>
      </c>
      <c r="D5312" s="108"/>
      <c r="E5312" s="108" t="s">
        <v>14605</v>
      </c>
      <c r="F5312" s="108" t="s">
        <v>23404</v>
      </c>
      <c r="G5312" s="110"/>
      <c r="H5312" s="108" t="s">
        <v>23381</v>
      </c>
      <c r="I5312" s="108"/>
    </row>
    <row r="5313" spans="1:9">
      <c r="A5313" s="108" t="s">
        <v>118</v>
      </c>
      <c r="B5313" s="108" t="s">
        <v>23406</v>
      </c>
      <c r="C5313" s="109">
        <v>43278</v>
      </c>
      <c r="D5313" s="108"/>
      <c r="E5313" s="108" t="s">
        <v>14605</v>
      </c>
      <c r="F5313" s="108" t="s">
        <v>23407</v>
      </c>
      <c r="G5313" s="110"/>
      <c r="H5313" s="108" t="s">
        <v>23381</v>
      </c>
      <c r="I5313" s="108"/>
    </row>
    <row r="5314" spans="1:9">
      <c r="A5314" s="108" t="s">
        <v>169</v>
      </c>
      <c r="B5314" s="108" t="s">
        <v>23408</v>
      </c>
      <c r="C5314" s="109">
        <v>44322</v>
      </c>
      <c r="D5314" s="108"/>
      <c r="E5314" s="108" t="s">
        <v>14605</v>
      </c>
      <c r="F5314" s="108" t="s">
        <v>23404</v>
      </c>
      <c r="G5314" s="110"/>
      <c r="H5314" s="108" t="s">
        <v>23381</v>
      </c>
      <c r="I5314" s="108"/>
    </row>
    <row r="5315" spans="1:9">
      <c r="A5315" s="108" t="s">
        <v>237</v>
      </c>
      <c r="B5315" s="108" t="s">
        <v>23409</v>
      </c>
      <c r="C5315" s="109">
        <v>42503</v>
      </c>
      <c r="D5315" s="108" t="s">
        <v>23410</v>
      </c>
      <c r="E5315" s="108" t="s">
        <v>14605</v>
      </c>
      <c r="F5315" s="108" t="s">
        <v>23400</v>
      </c>
      <c r="G5315" s="109">
        <v>46063</v>
      </c>
      <c r="H5315" s="108" t="s">
        <v>23381</v>
      </c>
      <c r="I5315" s="108" t="s">
        <v>280</v>
      </c>
    </row>
    <row r="5316" spans="1:9" ht="27.6">
      <c r="A5316" s="108" t="s">
        <v>2002</v>
      </c>
      <c r="B5316" s="108" t="s">
        <v>23411</v>
      </c>
      <c r="C5316" s="109">
        <v>42178</v>
      </c>
      <c r="D5316" s="108" t="s">
        <v>23412</v>
      </c>
      <c r="E5316" s="108" t="s">
        <v>14605</v>
      </c>
      <c r="F5316" s="108" t="s">
        <v>23413</v>
      </c>
      <c r="G5316" s="109">
        <v>45869</v>
      </c>
      <c r="H5316" s="108" t="s">
        <v>23381</v>
      </c>
      <c r="I5316" s="108" t="s">
        <v>280</v>
      </c>
    </row>
    <row r="5317" spans="1:9" ht="27.6">
      <c r="A5317" s="108" t="s">
        <v>2623</v>
      </c>
      <c r="B5317" s="108" t="s">
        <v>23414</v>
      </c>
      <c r="C5317" s="109">
        <v>42712</v>
      </c>
      <c r="D5317" s="108" t="s">
        <v>23415</v>
      </c>
      <c r="E5317" s="108" t="s">
        <v>14605</v>
      </c>
      <c r="F5317" s="108" t="s">
        <v>23413</v>
      </c>
      <c r="G5317" s="109">
        <v>46234</v>
      </c>
      <c r="H5317" s="108" t="s">
        <v>23381</v>
      </c>
      <c r="I5317" s="108" t="s">
        <v>280</v>
      </c>
    </row>
    <row r="5318" spans="1:9">
      <c r="A5318" s="108" t="s">
        <v>237</v>
      </c>
      <c r="B5318" s="108" t="s">
        <v>23416</v>
      </c>
      <c r="C5318" s="109">
        <v>42803</v>
      </c>
      <c r="D5318" s="108" t="s">
        <v>23417</v>
      </c>
      <c r="E5318" s="108" t="s">
        <v>14605</v>
      </c>
      <c r="F5318" s="108" t="s">
        <v>14976</v>
      </c>
      <c r="G5318" s="109">
        <v>46053</v>
      </c>
      <c r="H5318" s="108" t="s">
        <v>23381</v>
      </c>
      <c r="I5318" s="108" t="s">
        <v>79</v>
      </c>
    </row>
    <row r="5319" spans="1:9">
      <c r="A5319" s="108" t="s">
        <v>571</v>
      </c>
      <c r="B5319" s="108" t="s">
        <v>23418</v>
      </c>
      <c r="C5319" s="109">
        <v>45281</v>
      </c>
      <c r="D5319" s="108" t="s">
        <v>23419</v>
      </c>
      <c r="E5319" s="108" t="s">
        <v>14605</v>
      </c>
      <c r="F5319" s="108" t="s">
        <v>14976</v>
      </c>
      <c r="G5319" s="109">
        <v>46010</v>
      </c>
      <c r="H5319" s="108" t="s">
        <v>23381</v>
      </c>
      <c r="I5319" s="108" t="s">
        <v>79</v>
      </c>
    </row>
    <row r="5320" spans="1:9">
      <c r="A5320" s="108" t="s">
        <v>118</v>
      </c>
      <c r="B5320" s="108" t="s">
        <v>23420</v>
      </c>
      <c r="C5320" s="109">
        <v>42351</v>
      </c>
      <c r="D5320" s="108" t="s">
        <v>23421</v>
      </c>
      <c r="E5320" s="108" t="s">
        <v>14605</v>
      </c>
      <c r="F5320" s="108" t="s">
        <v>23422</v>
      </c>
      <c r="G5320" s="109">
        <v>45808</v>
      </c>
      <c r="H5320" s="108" t="s">
        <v>23381</v>
      </c>
      <c r="I5320" s="108" t="s">
        <v>206</v>
      </c>
    </row>
    <row r="5321" spans="1:9" ht="27.6">
      <c r="A5321" s="108" t="s">
        <v>169</v>
      </c>
      <c r="B5321" s="108" t="s">
        <v>23423</v>
      </c>
      <c r="C5321" s="109">
        <v>42979</v>
      </c>
      <c r="D5321" s="108" t="s">
        <v>23424</v>
      </c>
      <c r="E5321" s="108" t="s">
        <v>14605</v>
      </c>
      <c r="F5321" s="108" t="s">
        <v>23387</v>
      </c>
      <c r="G5321" s="109">
        <v>45930</v>
      </c>
      <c r="H5321" s="108" t="s">
        <v>23381</v>
      </c>
      <c r="I5321" s="108" t="s">
        <v>3315</v>
      </c>
    </row>
    <row r="5322" spans="1:9" ht="27.6">
      <c r="A5322" s="108" t="s">
        <v>109</v>
      </c>
      <c r="B5322" s="108" t="s">
        <v>23425</v>
      </c>
      <c r="C5322" s="109">
        <v>45058</v>
      </c>
      <c r="D5322" s="108" t="s">
        <v>23426</v>
      </c>
      <c r="E5322" s="108" t="s">
        <v>14605</v>
      </c>
      <c r="F5322" s="108" t="s">
        <v>23391</v>
      </c>
      <c r="G5322" s="109">
        <v>46366</v>
      </c>
      <c r="H5322" s="108" t="s">
        <v>23381</v>
      </c>
      <c r="I5322" s="108" t="s">
        <v>133</v>
      </c>
    </row>
    <row r="5323" spans="1:9" ht="27.6">
      <c r="A5323" s="108" t="s">
        <v>16151</v>
      </c>
      <c r="B5323" s="108" t="s">
        <v>23427</v>
      </c>
      <c r="C5323" s="109">
        <v>45069</v>
      </c>
      <c r="D5323" s="108" t="s">
        <v>23428</v>
      </c>
      <c r="E5323" s="108" t="s">
        <v>14605</v>
      </c>
      <c r="F5323" s="108" t="s">
        <v>15375</v>
      </c>
      <c r="G5323" s="109">
        <v>45657</v>
      </c>
      <c r="H5323" s="108" t="s">
        <v>23381</v>
      </c>
      <c r="I5323" s="108" t="s">
        <v>108</v>
      </c>
    </row>
    <row r="5324" spans="1:9" ht="27.6">
      <c r="A5324" s="108" t="s">
        <v>16151</v>
      </c>
      <c r="B5324" s="108" t="s">
        <v>23429</v>
      </c>
      <c r="C5324" s="109">
        <v>45485</v>
      </c>
      <c r="D5324" s="108" t="s">
        <v>23430</v>
      </c>
      <c r="E5324" s="108" t="s">
        <v>14605</v>
      </c>
      <c r="F5324" s="108" t="s">
        <v>23394</v>
      </c>
      <c r="G5324" s="109">
        <v>45837</v>
      </c>
      <c r="H5324" s="108" t="s">
        <v>23381</v>
      </c>
      <c r="I5324" s="108" t="s">
        <v>108</v>
      </c>
    </row>
    <row r="5325" spans="1:9">
      <c r="A5325" s="108" t="s">
        <v>87</v>
      </c>
      <c r="B5325" s="108" t="s">
        <v>23431</v>
      </c>
      <c r="C5325" s="109">
        <v>41733</v>
      </c>
      <c r="D5325" s="108"/>
      <c r="E5325" s="108" t="s">
        <v>14605</v>
      </c>
      <c r="F5325" s="108" t="s">
        <v>23432</v>
      </c>
      <c r="G5325" s="110"/>
      <c r="H5325" s="108" t="s">
        <v>23433</v>
      </c>
      <c r="I5325" s="108"/>
    </row>
    <row r="5326" spans="1:9">
      <c r="A5326" s="108" t="s">
        <v>87</v>
      </c>
      <c r="B5326" s="108" t="s">
        <v>23434</v>
      </c>
      <c r="C5326" s="109">
        <v>42227</v>
      </c>
      <c r="D5326" s="108"/>
      <c r="E5326" s="108" t="s">
        <v>14605</v>
      </c>
      <c r="F5326" s="108" t="s">
        <v>23435</v>
      </c>
      <c r="G5326" s="110"/>
      <c r="H5326" s="108" t="s">
        <v>23436</v>
      </c>
      <c r="I5326" s="108"/>
    </row>
    <row r="5327" spans="1:9">
      <c r="A5327" s="108" t="s">
        <v>2002</v>
      </c>
      <c r="B5327" s="108" t="s">
        <v>23437</v>
      </c>
      <c r="C5327" s="109">
        <v>44181</v>
      </c>
      <c r="D5327" s="108"/>
      <c r="E5327" s="108" t="s">
        <v>14605</v>
      </c>
      <c r="F5327" s="108" t="s">
        <v>23435</v>
      </c>
      <c r="G5327" s="110"/>
      <c r="H5327" s="108" t="s">
        <v>23436</v>
      </c>
      <c r="I5327" s="108"/>
    </row>
    <row r="5328" spans="1:9">
      <c r="A5328" s="108" t="s">
        <v>169</v>
      </c>
      <c r="B5328" s="108" t="s">
        <v>23438</v>
      </c>
      <c r="C5328" s="109">
        <v>42556</v>
      </c>
      <c r="D5328" s="108"/>
      <c r="E5328" s="108" t="s">
        <v>14605</v>
      </c>
      <c r="F5328" s="108" t="s">
        <v>23439</v>
      </c>
      <c r="G5328" s="110"/>
      <c r="H5328" s="108" t="s">
        <v>2509</v>
      </c>
      <c r="I5328" s="108"/>
    </row>
    <row r="5329" spans="1:9">
      <c r="A5329" s="108" t="s">
        <v>2002</v>
      </c>
      <c r="B5329" s="108" t="s">
        <v>23440</v>
      </c>
      <c r="C5329" s="109">
        <v>42583</v>
      </c>
      <c r="D5329" s="108"/>
      <c r="E5329" s="108" t="s">
        <v>14605</v>
      </c>
      <c r="F5329" s="108" t="s">
        <v>23439</v>
      </c>
      <c r="G5329" s="110"/>
      <c r="H5329" s="108" t="s">
        <v>2509</v>
      </c>
      <c r="I5329" s="108"/>
    </row>
    <row r="5330" spans="1:9" ht="27.6">
      <c r="A5330" s="108" t="s">
        <v>14690</v>
      </c>
      <c r="B5330" s="108" t="s">
        <v>23441</v>
      </c>
      <c r="C5330" s="109">
        <v>44175</v>
      </c>
      <c r="D5330" s="108"/>
      <c r="E5330" s="108" t="s">
        <v>14605</v>
      </c>
      <c r="F5330" s="108" t="s">
        <v>23439</v>
      </c>
      <c r="G5330" s="110"/>
      <c r="H5330" s="108" t="s">
        <v>2509</v>
      </c>
      <c r="I5330" s="108"/>
    </row>
    <row r="5331" spans="1:9" ht="27.6">
      <c r="A5331" s="108" t="s">
        <v>14690</v>
      </c>
      <c r="B5331" s="108" t="s">
        <v>23442</v>
      </c>
      <c r="C5331" s="109">
        <v>44950</v>
      </c>
      <c r="D5331" s="108" t="s">
        <v>23443</v>
      </c>
      <c r="E5331" s="108" t="s">
        <v>14605</v>
      </c>
      <c r="F5331" s="108" t="s">
        <v>23439</v>
      </c>
      <c r="G5331" s="109">
        <v>45314</v>
      </c>
      <c r="H5331" s="108" t="s">
        <v>2509</v>
      </c>
      <c r="I5331" s="108" t="s">
        <v>108</v>
      </c>
    </row>
    <row r="5332" spans="1:9">
      <c r="A5332" s="108" t="s">
        <v>14679</v>
      </c>
      <c r="B5332" s="108" t="s">
        <v>2510</v>
      </c>
      <c r="C5332" s="109">
        <v>45070</v>
      </c>
      <c r="D5332" s="108" t="s">
        <v>2512</v>
      </c>
      <c r="E5332" s="108" t="s">
        <v>14605</v>
      </c>
      <c r="F5332" s="108" t="s">
        <v>2511</v>
      </c>
      <c r="G5332" s="109">
        <v>45435</v>
      </c>
      <c r="H5332" s="108" t="s">
        <v>2509</v>
      </c>
      <c r="I5332" s="108" t="s">
        <v>108</v>
      </c>
    </row>
    <row r="5333" spans="1:9" ht="27.6">
      <c r="A5333" s="108" t="s">
        <v>169</v>
      </c>
      <c r="B5333" s="108" t="s">
        <v>23444</v>
      </c>
      <c r="C5333" s="109">
        <v>43455</v>
      </c>
      <c r="D5333" s="108"/>
      <c r="E5333" s="108" t="s">
        <v>14605</v>
      </c>
      <c r="F5333" s="108" t="s">
        <v>23445</v>
      </c>
      <c r="G5333" s="110"/>
      <c r="H5333" s="108" t="s">
        <v>23446</v>
      </c>
      <c r="I5333" s="108"/>
    </row>
    <row r="5334" spans="1:9">
      <c r="A5334" s="108" t="s">
        <v>571</v>
      </c>
      <c r="B5334" s="108" t="s">
        <v>23447</v>
      </c>
      <c r="C5334" s="109">
        <v>43759</v>
      </c>
      <c r="D5334" s="108"/>
      <c r="E5334" s="108" t="s">
        <v>14605</v>
      </c>
      <c r="F5334" s="108" t="s">
        <v>23448</v>
      </c>
      <c r="G5334" s="110"/>
      <c r="H5334" s="108" t="s">
        <v>23446</v>
      </c>
      <c r="I5334" s="108"/>
    </row>
    <row r="5335" spans="1:9" ht="27.6">
      <c r="A5335" s="108" t="s">
        <v>207</v>
      </c>
      <c r="B5335" s="108" t="s">
        <v>23449</v>
      </c>
      <c r="C5335" s="109">
        <v>43068</v>
      </c>
      <c r="D5335" s="108"/>
      <c r="E5335" s="108" t="s">
        <v>14605</v>
      </c>
      <c r="F5335" s="108" t="s">
        <v>23450</v>
      </c>
      <c r="G5335" s="110"/>
      <c r="H5335" s="108" t="s">
        <v>23446</v>
      </c>
      <c r="I5335" s="108"/>
    </row>
    <row r="5336" spans="1:9">
      <c r="A5336" s="108" t="s">
        <v>16986</v>
      </c>
      <c r="B5336" s="108" t="s">
        <v>23451</v>
      </c>
      <c r="C5336" s="109">
        <v>44678</v>
      </c>
      <c r="D5336" s="108" t="s">
        <v>23452</v>
      </c>
      <c r="E5336" s="108" t="s">
        <v>16121</v>
      </c>
      <c r="F5336" s="108" t="s">
        <v>23453</v>
      </c>
      <c r="G5336" s="109">
        <v>44920</v>
      </c>
      <c r="H5336" s="108" t="s">
        <v>23446</v>
      </c>
      <c r="I5336" s="108" t="s">
        <v>108</v>
      </c>
    </row>
    <row r="5337" spans="1:9">
      <c r="A5337" s="108" t="s">
        <v>227</v>
      </c>
      <c r="B5337" s="108" t="s">
        <v>23454</v>
      </c>
      <c r="C5337" s="109">
        <v>43551</v>
      </c>
      <c r="D5337" s="108" t="s">
        <v>23455</v>
      </c>
      <c r="E5337" s="108" t="s">
        <v>14605</v>
      </c>
      <c r="F5337" s="108" t="s">
        <v>23456</v>
      </c>
      <c r="G5337" s="109">
        <v>45377</v>
      </c>
      <c r="H5337" s="108" t="s">
        <v>23457</v>
      </c>
      <c r="I5337" s="108" t="s">
        <v>3876</v>
      </c>
    </row>
    <row r="5338" spans="1:9">
      <c r="A5338" s="108" t="s">
        <v>14679</v>
      </c>
      <c r="B5338" s="108" t="s">
        <v>23458</v>
      </c>
      <c r="C5338" s="109">
        <v>42401</v>
      </c>
      <c r="D5338" s="108"/>
      <c r="E5338" s="108" t="s">
        <v>14605</v>
      </c>
      <c r="F5338" s="108" t="s">
        <v>23459</v>
      </c>
      <c r="G5338" s="110"/>
      <c r="H5338" s="108" t="s">
        <v>23460</v>
      </c>
      <c r="I5338" s="108"/>
    </row>
    <row r="5339" spans="1:9">
      <c r="A5339" s="108" t="s">
        <v>2002</v>
      </c>
      <c r="B5339" s="108" t="s">
        <v>23461</v>
      </c>
      <c r="C5339" s="109">
        <v>41890</v>
      </c>
      <c r="D5339" s="108"/>
      <c r="E5339" s="108" t="s">
        <v>14605</v>
      </c>
      <c r="F5339" s="108" t="s">
        <v>23462</v>
      </c>
      <c r="G5339" s="110"/>
      <c r="H5339" s="108" t="s">
        <v>23460</v>
      </c>
      <c r="I5339" s="108"/>
    </row>
    <row r="5340" spans="1:9">
      <c r="A5340" s="108" t="s">
        <v>1465</v>
      </c>
      <c r="B5340" s="108" t="s">
        <v>23463</v>
      </c>
      <c r="C5340" s="109">
        <v>42027</v>
      </c>
      <c r="D5340" s="108"/>
      <c r="E5340" s="108" t="s">
        <v>14605</v>
      </c>
      <c r="F5340" s="108" t="s">
        <v>23464</v>
      </c>
      <c r="G5340" s="110"/>
      <c r="H5340" s="108" t="s">
        <v>23460</v>
      </c>
      <c r="I5340" s="108"/>
    </row>
    <row r="5341" spans="1:9" ht="41.4">
      <c r="A5341" s="108" t="s">
        <v>14690</v>
      </c>
      <c r="B5341" s="108" t="s">
        <v>23465</v>
      </c>
      <c r="C5341" s="109">
        <v>43241</v>
      </c>
      <c r="D5341" s="108"/>
      <c r="E5341" s="108" t="s">
        <v>14605</v>
      </c>
      <c r="F5341" s="108" t="s">
        <v>23466</v>
      </c>
      <c r="G5341" s="110"/>
      <c r="H5341" s="108" t="s">
        <v>23460</v>
      </c>
      <c r="I5341" s="108"/>
    </row>
    <row r="5342" spans="1:9" ht="27.6">
      <c r="A5342" s="108" t="s">
        <v>14690</v>
      </c>
      <c r="B5342" s="108" t="s">
        <v>23467</v>
      </c>
      <c r="C5342" s="109">
        <v>41993</v>
      </c>
      <c r="D5342" s="108"/>
      <c r="E5342" s="108" t="s">
        <v>14605</v>
      </c>
      <c r="F5342" s="108" t="s">
        <v>15959</v>
      </c>
      <c r="G5342" s="110"/>
      <c r="H5342" s="108" t="s">
        <v>23460</v>
      </c>
      <c r="I5342" s="108"/>
    </row>
    <row r="5343" spans="1:9">
      <c r="A5343" s="108" t="s">
        <v>169</v>
      </c>
      <c r="B5343" s="108" t="s">
        <v>23468</v>
      </c>
      <c r="C5343" s="109">
        <v>40909</v>
      </c>
      <c r="D5343" s="108"/>
      <c r="E5343" s="108" t="s">
        <v>14605</v>
      </c>
      <c r="F5343" s="108" t="s">
        <v>15959</v>
      </c>
      <c r="G5343" s="110"/>
      <c r="H5343" s="108" t="s">
        <v>23460</v>
      </c>
      <c r="I5343" s="108"/>
    </row>
    <row r="5344" spans="1:9">
      <c r="A5344" s="108" t="s">
        <v>169</v>
      </c>
      <c r="B5344" s="108" t="s">
        <v>23469</v>
      </c>
      <c r="C5344" s="109">
        <v>43514</v>
      </c>
      <c r="D5344" s="108"/>
      <c r="E5344" s="108" t="s">
        <v>14605</v>
      </c>
      <c r="F5344" s="108" t="s">
        <v>23470</v>
      </c>
      <c r="G5344" s="110"/>
      <c r="H5344" s="108" t="s">
        <v>23460</v>
      </c>
      <c r="I5344" s="108"/>
    </row>
    <row r="5345" spans="1:9">
      <c r="A5345" s="108" t="s">
        <v>169</v>
      </c>
      <c r="B5345" s="108" t="s">
        <v>23471</v>
      </c>
      <c r="C5345" s="109">
        <v>42009</v>
      </c>
      <c r="D5345" s="108"/>
      <c r="E5345" s="108" t="s">
        <v>14605</v>
      </c>
      <c r="F5345" s="108" t="s">
        <v>23472</v>
      </c>
      <c r="G5345" s="110"/>
      <c r="H5345" s="108" t="s">
        <v>23460</v>
      </c>
      <c r="I5345" s="108"/>
    </row>
    <row r="5346" spans="1:9">
      <c r="A5346" s="108" t="s">
        <v>169</v>
      </c>
      <c r="B5346" s="108" t="s">
        <v>23473</v>
      </c>
      <c r="C5346" s="109">
        <v>42933</v>
      </c>
      <c r="D5346" s="108"/>
      <c r="E5346" s="108" t="s">
        <v>14605</v>
      </c>
      <c r="F5346" s="108" t="s">
        <v>23474</v>
      </c>
      <c r="G5346" s="110"/>
      <c r="H5346" s="108" t="s">
        <v>23460</v>
      </c>
      <c r="I5346" s="108"/>
    </row>
    <row r="5347" spans="1:9">
      <c r="A5347" s="108" t="s">
        <v>169</v>
      </c>
      <c r="B5347" s="108" t="s">
        <v>23475</v>
      </c>
      <c r="C5347" s="109">
        <v>42917</v>
      </c>
      <c r="D5347" s="108"/>
      <c r="E5347" s="108" t="s">
        <v>14605</v>
      </c>
      <c r="F5347" s="108" t="s">
        <v>23476</v>
      </c>
      <c r="G5347" s="110"/>
      <c r="H5347" s="108" t="s">
        <v>23460</v>
      </c>
      <c r="I5347" s="108"/>
    </row>
    <row r="5348" spans="1:9">
      <c r="A5348" s="108" t="s">
        <v>169</v>
      </c>
      <c r="B5348" s="108" t="s">
        <v>23477</v>
      </c>
      <c r="C5348" s="109">
        <v>44473</v>
      </c>
      <c r="D5348" s="108"/>
      <c r="E5348" s="108" t="s">
        <v>14605</v>
      </c>
      <c r="F5348" s="108" t="s">
        <v>15031</v>
      </c>
      <c r="G5348" s="110"/>
      <c r="H5348" s="108" t="s">
        <v>23460</v>
      </c>
      <c r="I5348" s="108"/>
    </row>
    <row r="5349" spans="1:9" ht="27.6">
      <c r="A5349" s="108" t="s">
        <v>169</v>
      </c>
      <c r="B5349" s="108" t="s">
        <v>23478</v>
      </c>
      <c r="C5349" s="109">
        <v>43473</v>
      </c>
      <c r="D5349" s="108"/>
      <c r="E5349" s="108" t="s">
        <v>14605</v>
      </c>
      <c r="F5349" s="108" t="s">
        <v>23479</v>
      </c>
      <c r="G5349" s="110"/>
      <c r="H5349" s="108" t="s">
        <v>23460</v>
      </c>
      <c r="I5349" s="108"/>
    </row>
    <row r="5350" spans="1:9" ht="27.6">
      <c r="A5350" s="108" t="s">
        <v>169</v>
      </c>
      <c r="B5350" s="108" t="s">
        <v>23480</v>
      </c>
      <c r="C5350" s="109">
        <v>43773</v>
      </c>
      <c r="D5350" s="108"/>
      <c r="E5350" s="108" t="s">
        <v>14605</v>
      </c>
      <c r="F5350" s="108" t="s">
        <v>23481</v>
      </c>
      <c r="G5350" s="110"/>
      <c r="H5350" s="108" t="s">
        <v>23460</v>
      </c>
      <c r="I5350" s="108"/>
    </row>
    <row r="5351" spans="1:9">
      <c r="A5351" s="108" t="s">
        <v>169</v>
      </c>
      <c r="B5351" s="108" t="s">
        <v>23482</v>
      </c>
      <c r="C5351" s="109">
        <v>43698</v>
      </c>
      <c r="D5351" s="108"/>
      <c r="E5351" s="108" t="s">
        <v>14605</v>
      </c>
      <c r="F5351" s="108" t="s">
        <v>14813</v>
      </c>
      <c r="G5351" s="110"/>
      <c r="H5351" s="108" t="s">
        <v>23460</v>
      </c>
      <c r="I5351" s="108"/>
    </row>
    <row r="5352" spans="1:9">
      <c r="A5352" s="108" t="s">
        <v>169</v>
      </c>
      <c r="B5352" s="108" t="s">
        <v>23483</v>
      </c>
      <c r="C5352" s="109">
        <v>44263</v>
      </c>
      <c r="D5352" s="108"/>
      <c r="E5352" s="108" t="s">
        <v>14605</v>
      </c>
      <c r="F5352" s="108" t="s">
        <v>14813</v>
      </c>
      <c r="G5352" s="110"/>
      <c r="H5352" s="108" t="s">
        <v>23460</v>
      </c>
      <c r="I5352" s="108"/>
    </row>
    <row r="5353" spans="1:9">
      <c r="A5353" s="108" t="s">
        <v>87</v>
      </c>
      <c r="B5353" s="108" t="s">
        <v>23484</v>
      </c>
      <c r="C5353" s="109">
        <v>42747</v>
      </c>
      <c r="D5353" s="108"/>
      <c r="E5353" s="108" t="s">
        <v>14605</v>
      </c>
      <c r="F5353" s="108" t="s">
        <v>23485</v>
      </c>
      <c r="G5353" s="110"/>
      <c r="H5353" s="108" t="s">
        <v>23460</v>
      </c>
      <c r="I5353" s="108"/>
    </row>
    <row r="5354" spans="1:9" ht="27.6">
      <c r="A5354" s="108" t="s">
        <v>14690</v>
      </c>
      <c r="B5354" s="108" t="s">
        <v>23486</v>
      </c>
      <c r="C5354" s="109">
        <v>42387</v>
      </c>
      <c r="D5354" s="108"/>
      <c r="E5354" s="108" t="s">
        <v>14605</v>
      </c>
      <c r="F5354" s="108" t="s">
        <v>23487</v>
      </c>
      <c r="G5354" s="110"/>
      <c r="H5354" s="108" t="s">
        <v>23460</v>
      </c>
      <c r="I5354" s="108"/>
    </row>
    <row r="5355" spans="1:9" ht="27.6">
      <c r="A5355" s="108" t="s">
        <v>14690</v>
      </c>
      <c r="B5355" s="108" t="s">
        <v>23488</v>
      </c>
      <c r="C5355" s="109">
        <v>42387</v>
      </c>
      <c r="D5355" s="108"/>
      <c r="E5355" s="108" t="s">
        <v>14605</v>
      </c>
      <c r="F5355" s="108" t="s">
        <v>23489</v>
      </c>
      <c r="G5355" s="110"/>
      <c r="H5355" s="108" t="s">
        <v>23460</v>
      </c>
      <c r="I5355" s="108"/>
    </row>
    <row r="5356" spans="1:9" ht="27.6">
      <c r="A5356" s="108" t="s">
        <v>14690</v>
      </c>
      <c r="B5356" s="108" t="s">
        <v>23490</v>
      </c>
      <c r="C5356" s="109">
        <v>42899</v>
      </c>
      <c r="D5356" s="108"/>
      <c r="E5356" s="108" t="s">
        <v>14605</v>
      </c>
      <c r="F5356" s="108" t="s">
        <v>23491</v>
      </c>
      <c r="G5356" s="110"/>
      <c r="H5356" s="108" t="s">
        <v>23460</v>
      </c>
      <c r="I5356" s="108"/>
    </row>
    <row r="5357" spans="1:9" ht="27.6">
      <c r="A5357" s="108" t="s">
        <v>237</v>
      </c>
      <c r="B5357" s="108" t="s">
        <v>23492</v>
      </c>
      <c r="C5357" s="109">
        <v>43733</v>
      </c>
      <c r="D5357" s="108"/>
      <c r="E5357" s="108" t="s">
        <v>14605</v>
      </c>
      <c r="F5357" s="108" t="s">
        <v>23493</v>
      </c>
      <c r="G5357" s="110"/>
      <c r="H5357" s="108" t="s">
        <v>23460</v>
      </c>
      <c r="I5357" s="108"/>
    </row>
    <row r="5358" spans="1:9">
      <c r="A5358" s="108" t="s">
        <v>571</v>
      </c>
      <c r="B5358" s="108" t="s">
        <v>23494</v>
      </c>
      <c r="C5358" s="109">
        <v>43346</v>
      </c>
      <c r="D5358" s="108"/>
      <c r="E5358" s="108" t="s">
        <v>14605</v>
      </c>
      <c r="F5358" s="108" t="s">
        <v>14813</v>
      </c>
      <c r="G5358" s="110"/>
      <c r="H5358" s="108" t="s">
        <v>23460</v>
      </c>
      <c r="I5358" s="108"/>
    </row>
    <row r="5359" spans="1:9">
      <c r="A5359" s="108" t="s">
        <v>571</v>
      </c>
      <c r="B5359" s="108" t="s">
        <v>23495</v>
      </c>
      <c r="C5359" s="109">
        <v>42705</v>
      </c>
      <c r="D5359" s="108"/>
      <c r="E5359" s="108" t="s">
        <v>14605</v>
      </c>
      <c r="F5359" s="108" t="s">
        <v>23496</v>
      </c>
      <c r="G5359" s="110"/>
      <c r="H5359" s="108" t="s">
        <v>23460</v>
      </c>
      <c r="I5359" s="108"/>
    </row>
    <row r="5360" spans="1:9" ht="27.6">
      <c r="A5360" s="108" t="s">
        <v>571</v>
      </c>
      <c r="B5360" s="108" t="s">
        <v>23497</v>
      </c>
      <c r="C5360" s="109">
        <v>42724</v>
      </c>
      <c r="D5360" s="108"/>
      <c r="E5360" s="108" t="s">
        <v>14605</v>
      </c>
      <c r="F5360" s="108" t="s">
        <v>23498</v>
      </c>
      <c r="G5360" s="110"/>
      <c r="H5360" s="108" t="s">
        <v>23460</v>
      </c>
      <c r="I5360" s="108"/>
    </row>
    <row r="5361" spans="1:9">
      <c r="A5361" s="108" t="s">
        <v>2623</v>
      </c>
      <c r="B5361" s="108" t="s">
        <v>23499</v>
      </c>
      <c r="C5361" s="109">
        <v>42983</v>
      </c>
      <c r="D5361" s="108"/>
      <c r="E5361" s="108" t="s">
        <v>14605</v>
      </c>
      <c r="F5361" s="108" t="s">
        <v>23500</v>
      </c>
      <c r="G5361" s="110"/>
      <c r="H5361" s="108" t="s">
        <v>23460</v>
      </c>
      <c r="I5361" s="108"/>
    </row>
    <row r="5362" spans="1:9">
      <c r="A5362" s="108" t="s">
        <v>2002</v>
      </c>
      <c r="B5362" s="108" t="s">
        <v>23501</v>
      </c>
      <c r="C5362" s="109">
        <v>43031</v>
      </c>
      <c r="D5362" s="108"/>
      <c r="E5362" s="108" t="s">
        <v>14605</v>
      </c>
      <c r="F5362" s="108" t="s">
        <v>23462</v>
      </c>
      <c r="G5362" s="110"/>
      <c r="H5362" s="108" t="s">
        <v>23460</v>
      </c>
      <c r="I5362" s="108"/>
    </row>
    <row r="5363" spans="1:9">
      <c r="A5363" s="108" t="s">
        <v>2623</v>
      </c>
      <c r="B5363" s="108" t="s">
        <v>23502</v>
      </c>
      <c r="C5363" s="109">
        <v>43056</v>
      </c>
      <c r="D5363" s="108"/>
      <c r="E5363" s="108" t="s">
        <v>14605</v>
      </c>
      <c r="F5363" s="108" t="s">
        <v>23503</v>
      </c>
      <c r="G5363" s="110"/>
      <c r="H5363" s="108" t="s">
        <v>23460</v>
      </c>
      <c r="I5363" s="108"/>
    </row>
    <row r="5364" spans="1:9">
      <c r="A5364" s="108" t="s">
        <v>1465</v>
      </c>
      <c r="B5364" s="108" t="s">
        <v>23504</v>
      </c>
      <c r="C5364" s="109">
        <v>42530</v>
      </c>
      <c r="D5364" s="108"/>
      <c r="E5364" s="108" t="s">
        <v>14605</v>
      </c>
      <c r="F5364" s="108" t="s">
        <v>23505</v>
      </c>
      <c r="G5364" s="110"/>
      <c r="H5364" s="108" t="s">
        <v>23460</v>
      </c>
      <c r="I5364" s="108"/>
    </row>
    <row r="5365" spans="1:9">
      <c r="A5365" s="108" t="s">
        <v>1465</v>
      </c>
      <c r="B5365" s="108" t="s">
        <v>23506</v>
      </c>
      <c r="C5365" s="109">
        <v>42955</v>
      </c>
      <c r="D5365" s="108"/>
      <c r="E5365" s="108" t="s">
        <v>14605</v>
      </c>
      <c r="F5365" s="108" t="s">
        <v>23507</v>
      </c>
      <c r="G5365" s="110"/>
      <c r="H5365" s="108" t="s">
        <v>23460</v>
      </c>
      <c r="I5365" s="108"/>
    </row>
    <row r="5366" spans="1:9">
      <c r="A5366" s="108" t="s">
        <v>1465</v>
      </c>
      <c r="B5366" s="108" t="s">
        <v>23508</v>
      </c>
      <c r="C5366" s="109">
        <v>43733</v>
      </c>
      <c r="D5366" s="108"/>
      <c r="E5366" s="108" t="s">
        <v>14605</v>
      </c>
      <c r="F5366" s="108" t="s">
        <v>14813</v>
      </c>
      <c r="G5366" s="110"/>
      <c r="H5366" s="108" t="s">
        <v>23460</v>
      </c>
      <c r="I5366" s="108"/>
    </row>
    <row r="5367" spans="1:9">
      <c r="A5367" s="108" t="s">
        <v>923</v>
      </c>
      <c r="B5367" s="108" t="s">
        <v>23509</v>
      </c>
      <c r="C5367" s="109">
        <v>42401</v>
      </c>
      <c r="D5367" s="108"/>
      <c r="E5367" s="108" t="s">
        <v>14605</v>
      </c>
      <c r="F5367" s="108" t="s">
        <v>23505</v>
      </c>
      <c r="G5367" s="110"/>
      <c r="H5367" s="108" t="s">
        <v>23460</v>
      </c>
      <c r="I5367" s="108"/>
    </row>
    <row r="5368" spans="1:9">
      <c r="A5368" s="108" t="s">
        <v>923</v>
      </c>
      <c r="B5368" s="108" t="s">
        <v>23510</v>
      </c>
      <c r="C5368" s="109">
        <v>43346</v>
      </c>
      <c r="D5368" s="108"/>
      <c r="E5368" s="108" t="s">
        <v>14605</v>
      </c>
      <c r="F5368" s="108" t="s">
        <v>23503</v>
      </c>
      <c r="G5368" s="110"/>
      <c r="H5368" s="108" t="s">
        <v>23460</v>
      </c>
      <c r="I5368" s="108"/>
    </row>
    <row r="5369" spans="1:9">
      <c r="A5369" s="108" t="s">
        <v>2623</v>
      </c>
      <c r="B5369" s="108" t="s">
        <v>23511</v>
      </c>
      <c r="C5369" s="109">
        <v>43462</v>
      </c>
      <c r="D5369" s="108"/>
      <c r="E5369" s="108" t="s">
        <v>14605</v>
      </c>
      <c r="F5369" s="108" t="s">
        <v>23464</v>
      </c>
      <c r="G5369" s="110"/>
      <c r="H5369" s="108" t="s">
        <v>23460</v>
      </c>
      <c r="I5369" s="108"/>
    </row>
    <row r="5370" spans="1:9" ht="41.4">
      <c r="A5370" s="108" t="s">
        <v>2268</v>
      </c>
      <c r="B5370" s="108" t="s">
        <v>23512</v>
      </c>
      <c r="C5370" s="109">
        <v>43356</v>
      </c>
      <c r="D5370" s="108"/>
      <c r="E5370" s="108" t="s">
        <v>14605</v>
      </c>
      <c r="F5370" s="108" t="s">
        <v>23466</v>
      </c>
      <c r="G5370" s="110"/>
      <c r="H5370" s="108" t="s">
        <v>23460</v>
      </c>
      <c r="I5370" s="108"/>
    </row>
    <row r="5371" spans="1:9" ht="27.6">
      <c r="A5371" s="108" t="s">
        <v>17130</v>
      </c>
      <c r="B5371" s="108" t="s">
        <v>23513</v>
      </c>
      <c r="C5371" s="109">
        <v>43929</v>
      </c>
      <c r="D5371" s="108"/>
      <c r="E5371" s="108" t="s">
        <v>14605</v>
      </c>
      <c r="F5371" s="108" t="s">
        <v>23514</v>
      </c>
      <c r="G5371" s="110"/>
      <c r="H5371" s="108" t="s">
        <v>23460</v>
      </c>
      <c r="I5371" s="108"/>
    </row>
    <row r="5372" spans="1:9" ht="27.6">
      <c r="A5372" s="108" t="s">
        <v>17130</v>
      </c>
      <c r="B5372" s="108" t="s">
        <v>23515</v>
      </c>
      <c r="C5372" s="109">
        <v>43829</v>
      </c>
      <c r="D5372" s="108"/>
      <c r="E5372" s="108" t="s">
        <v>14605</v>
      </c>
      <c r="F5372" s="108" t="s">
        <v>23516</v>
      </c>
      <c r="G5372" s="110"/>
      <c r="H5372" s="108" t="s">
        <v>23460</v>
      </c>
      <c r="I5372" s="108"/>
    </row>
    <row r="5373" spans="1:9" ht="27.6">
      <c r="A5373" s="108" t="s">
        <v>17130</v>
      </c>
      <c r="B5373" s="108" t="s">
        <v>23517</v>
      </c>
      <c r="C5373" s="109">
        <v>44154</v>
      </c>
      <c r="D5373" s="108"/>
      <c r="E5373" s="108" t="s">
        <v>14605</v>
      </c>
      <c r="F5373" s="108" t="s">
        <v>23503</v>
      </c>
      <c r="G5373" s="110"/>
      <c r="H5373" s="108" t="s">
        <v>23460</v>
      </c>
      <c r="I5373" s="108"/>
    </row>
    <row r="5374" spans="1:9" ht="41.4">
      <c r="A5374" s="108" t="s">
        <v>17130</v>
      </c>
      <c r="B5374" s="108" t="s">
        <v>23518</v>
      </c>
      <c r="C5374" s="109">
        <v>44342</v>
      </c>
      <c r="D5374" s="108"/>
      <c r="E5374" s="108" t="s">
        <v>14605</v>
      </c>
      <c r="F5374" s="108" t="s">
        <v>23466</v>
      </c>
      <c r="G5374" s="110"/>
      <c r="H5374" s="108" t="s">
        <v>23460</v>
      </c>
      <c r="I5374" s="108"/>
    </row>
    <row r="5375" spans="1:9" ht="27.6">
      <c r="A5375" s="108" t="s">
        <v>2623</v>
      </c>
      <c r="B5375" s="108" t="s">
        <v>23519</v>
      </c>
      <c r="C5375" s="109">
        <v>44252</v>
      </c>
      <c r="D5375" s="108"/>
      <c r="E5375" s="108" t="s">
        <v>14605</v>
      </c>
      <c r="F5375" s="108" t="s">
        <v>23520</v>
      </c>
      <c r="G5375" s="110"/>
      <c r="H5375" s="108" t="s">
        <v>23460</v>
      </c>
      <c r="I5375" s="108"/>
    </row>
    <row r="5376" spans="1:9" ht="27.6">
      <c r="A5376" s="108" t="s">
        <v>14679</v>
      </c>
      <c r="B5376" s="108" t="s">
        <v>23521</v>
      </c>
      <c r="C5376" s="109">
        <v>44384</v>
      </c>
      <c r="D5376" s="108"/>
      <c r="E5376" s="108" t="s">
        <v>14605</v>
      </c>
      <c r="F5376" s="108" t="s">
        <v>23522</v>
      </c>
      <c r="G5376" s="110"/>
      <c r="H5376" s="108" t="s">
        <v>23460</v>
      </c>
      <c r="I5376" s="108"/>
    </row>
    <row r="5377" spans="1:9">
      <c r="A5377" s="108" t="s">
        <v>1465</v>
      </c>
      <c r="B5377" s="108" t="s">
        <v>23523</v>
      </c>
      <c r="C5377" s="109">
        <v>44406</v>
      </c>
      <c r="D5377" s="108"/>
      <c r="E5377" s="108" t="s">
        <v>14605</v>
      </c>
      <c r="F5377" s="108" t="s">
        <v>23524</v>
      </c>
      <c r="G5377" s="110"/>
      <c r="H5377" s="108" t="s">
        <v>23460</v>
      </c>
      <c r="I5377" s="108"/>
    </row>
    <row r="5378" spans="1:9" ht="27.6">
      <c r="A5378" s="108" t="s">
        <v>14679</v>
      </c>
      <c r="B5378" s="108" t="s">
        <v>23525</v>
      </c>
      <c r="C5378" s="109">
        <v>44494</v>
      </c>
      <c r="D5378" s="108"/>
      <c r="E5378" s="108" t="s">
        <v>14605</v>
      </c>
      <c r="F5378" s="108" t="s">
        <v>23526</v>
      </c>
      <c r="G5378" s="110"/>
      <c r="H5378" s="108" t="s">
        <v>23460</v>
      </c>
      <c r="I5378" s="108"/>
    </row>
    <row r="5379" spans="1:9">
      <c r="A5379" s="108" t="s">
        <v>199</v>
      </c>
      <c r="B5379" s="108" t="s">
        <v>23527</v>
      </c>
      <c r="C5379" s="109">
        <v>40786</v>
      </c>
      <c r="D5379" s="108"/>
      <c r="E5379" s="108" t="s">
        <v>14605</v>
      </c>
      <c r="F5379" s="108" t="s">
        <v>23528</v>
      </c>
      <c r="G5379" s="110"/>
      <c r="H5379" s="108" t="s">
        <v>23460</v>
      </c>
      <c r="I5379" s="108"/>
    </row>
    <row r="5380" spans="1:9">
      <c r="A5380" s="108" t="s">
        <v>199</v>
      </c>
      <c r="B5380" s="108" t="s">
        <v>23529</v>
      </c>
      <c r="C5380" s="109">
        <v>40841</v>
      </c>
      <c r="D5380" s="108"/>
      <c r="E5380" s="108" t="s">
        <v>14605</v>
      </c>
      <c r="F5380" s="108" t="s">
        <v>23530</v>
      </c>
      <c r="G5380" s="110"/>
      <c r="H5380" s="108" t="s">
        <v>23460</v>
      </c>
      <c r="I5380" s="108"/>
    </row>
    <row r="5381" spans="1:9">
      <c r="A5381" s="108" t="s">
        <v>199</v>
      </c>
      <c r="B5381" s="108" t="s">
        <v>23531</v>
      </c>
      <c r="C5381" s="109">
        <v>40917</v>
      </c>
      <c r="D5381" s="108"/>
      <c r="E5381" s="108" t="s">
        <v>14605</v>
      </c>
      <c r="F5381" s="108" t="s">
        <v>23528</v>
      </c>
      <c r="G5381" s="110"/>
      <c r="H5381" s="108" t="s">
        <v>23460</v>
      </c>
      <c r="I5381" s="108"/>
    </row>
    <row r="5382" spans="1:9" ht="27.6">
      <c r="A5382" s="108" t="s">
        <v>237</v>
      </c>
      <c r="B5382" s="108" t="s">
        <v>23532</v>
      </c>
      <c r="C5382" s="109">
        <v>42151</v>
      </c>
      <c r="D5382" s="108"/>
      <c r="E5382" s="108" t="s">
        <v>14605</v>
      </c>
      <c r="F5382" s="108" t="s">
        <v>23491</v>
      </c>
      <c r="G5382" s="110"/>
      <c r="H5382" s="108" t="s">
        <v>23460</v>
      </c>
      <c r="I5382" s="108"/>
    </row>
    <row r="5383" spans="1:9" ht="27.6">
      <c r="A5383" s="108" t="s">
        <v>479</v>
      </c>
      <c r="B5383" s="108" t="s">
        <v>23533</v>
      </c>
      <c r="C5383" s="109">
        <v>40332</v>
      </c>
      <c r="D5383" s="108"/>
      <c r="E5383" s="108" t="s">
        <v>14605</v>
      </c>
      <c r="F5383" s="108" t="s">
        <v>23503</v>
      </c>
      <c r="G5383" s="110"/>
      <c r="H5383" s="108" t="s">
        <v>23460</v>
      </c>
      <c r="I5383" s="108"/>
    </row>
    <row r="5384" spans="1:9" ht="27.6">
      <c r="A5384" s="108" t="s">
        <v>479</v>
      </c>
      <c r="B5384" s="108" t="s">
        <v>23534</v>
      </c>
      <c r="C5384" s="109">
        <v>40339</v>
      </c>
      <c r="D5384" s="108"/>
      <c r="E5384" s="108" t="s">
        <v>14605</v>
      </c>
      <c r="F5384" s="108" t="s">
        <v>23535</v>
      </c>
      <c r="G5384" s="110"/>
      <c r="H5384" s="108" t="s">
        <v>23460</v>
      </c>
      <c r="I5384" s="108"/>
    </row>
    <row r="5385" spans="1:9" ht="27.6">
      <c r="A5385" s="108" t="s">
        <v>479</v>
      </c>
      <c r="B5385" s="108" t="s">
        <v>23536</v>
      </c>
      <c r="C5385" s="109">
        <v>40939</v>
      </c>
      <c r="D5385" s="108"/>
      <c r="E5385" s="108" t="s">
        <v>14605</v>
      </c>
      <c r="F5385" s="108" t="s">
        <v>23537</v>
      </c>
      <c r="G5385" s="110"/>
      <c r="H5385" s="108" t="s">
        <v>23460</v>
      </c>
      <c r="I5385" s="108"/>
    </row>
    <row r="5386" spans="1:9" ht="41.4">
      <c r="A5386" s="108" t="s">
        <v>207</v>
      </c>
      <c r="B5386" s="108" t="s">
        <v>23538</v>
      </c>
      <c r="C5386" s="109">
        <v>41135</v>
      </c>
      <c r="D5386" s="108"/>
      <c r="E5386" s="108" t="s">
        <v>14605</v>
      </c>
      <c r="F5386" s="108" t="s">
        <v>23539</v>
      </c>
      <c r="G5386" s="110"/>
      <c r="H5386" s="108" t="s">
        <v>23460</v>
      </c>
      <c r="I5386" s="108"/>
    </row>
    <row r="5387" spans="1:9">
      <c r="A5387" s="108" t="s">
        <v>118</v>
      </c>
      <c r="B5387" s="108" t="s">
        <v>23540</v>
      </c>
      <c r="C5387" s="109">
        <v>41288</v>
      </c>
      <c r="D5387" s="108"/>
      <c r="E5387" s="108" t="s">
        <v>14605</v>
      </c>
      <c r="F5387" s="108" t="s">
        <v>23470</v>
      </c>
      <c r="G5387" s="110"/>
      <c r="H5387" s="108" t="s">
        <v>23460</v>
      </c>
      <c r="I5387" s="108"/>
    </row>
    <row r="5388" spans="1:9" ht="27.6">
      <c r="A5388" s="108" t="s">
        <v>207</v>
      </c>
      <c r="B5388" s="108" t="s">
        <v>23541</v>
      </c>
      <c r="C5388" s="109">
        <v>42955</v>
      </c>
      <c r="D5388" s="108"/>
      <c r="E5388" s="108" t="s">
        <v>14605</v>
      </c>
      <c r="F5388" s="108" t="s">
        <v>23503</v>
      </c>
      <c r="G5388" s="110"/>
      <c r="H5388" s="108" t="s">
        <v>23460</v>
      </c>
      <c r="I5388" s="108"/>
    </row>
    <row r="5389" spans="1:9">
      <c r="A5389" s="108" t="s">
        <v>118</v>
      </c>
      <c r="B5389" s="108" t="s">
        <v>23542</v>
      </c>
      <c r="C5389" s="109">
        <v>43813</v>
      </c>
      <c r="D5389" s="108"/>
      <c r="E5389" s="108" t="s">
        <v>14605</v>
      </c>
      <c r="F5389" s="108" t="s">
        <v>23505</v>
      </c>
      <c r="G5389" s="110"/>
      <c r="H5389" s="108" t="s">
        <v>23460</v>
      </c>
      <c r="I5389" s="108"/>
    </row>
    <row r="5390" spans="1:9">
      <c r="A5390" s="108" t="s">
        <v>169</v>
      </c>
      <c r="B5390" s="108" t="s">
        <v>23543</v>
      </c>
      <c r="C5390" s="109">
        <v>44113</v>
      </c>
      <c r="D5390" s="108"/>
      <c r="E5390" s="108" t="s">
        <v>14605</v>
      </c>
      <c r="F5390" s="108" t="s">
        <v>14813</v>
      </c>
      <c r="G5390" s="110"/>
      <c r="H5390" s="108" t="s">
        <v>23460</v>
      </c>
      <c r="I5390" s="108"/>
    </row>
    <row r="5391" spans="1:9">
      <c r="A5391" s="108" t="s">
        <v>169</v>
      </c>
      <c r="B5391" s="108" t="s">
        <v>23544</v>
      </c>
      <c r="C5391" s="109">
        <v>44341</v>
      </c>
      <c r="D5391" s="108"/>
      <c r="E5391" s="108" t="s">
        <v>14605</v>
      </c>
      <c r="F5391" s="108" t="s">
        <v>23516</v>
      </c>
      <c r="G5391" s="110"/>
      <c r="H5391" s="108" t="s">
        <v>23460</v>
      </c>
      <c r="I5391" s="108"/>
    </row>
    <row r="5392" spans="1:9">
      <c r="A5392" s="108" t="s">
        <v>169</v>
      </c>
      <c r="B5392" s="108" t="s">
        <v>23545</v>
      </c>
      <c r="C5392" s="109">
        <v>44401</v>
      </c>
      <c r="D5392" s="108"/>
      <c r="E5392" s="108" t="s">
        <v>14605</v>
      </c>
      <c r="F5392" s="108" t="s">
        <v>15031</v>
      </c>
      <c r="G5392" s="110"/>
      <c r="H5392" s="108" t="s">
        <v>23460</v>
      </c>
      <c r="I5392" s="108"/>
    </row>
    <row r="5393" spans="1:9">
      <c r="A5393" s="108" t="s">
        <v>169</v>
      </c>
      <c r="B5393" s="108" t="s">
        <v>23546</v>
      </c>
      <c r="C5393" s="109">
        <v>44384</v>
      </c>
      <c r="D5393" s="108"/>
      <c r="E5393" s="108" t="s">
        <v>14605</v>
      </c>
      <c r="F5393" s="108" t="s">
        <v>15031</v>
      </c>
      <c r="G5393" s="110"/>
      <c r="H5393" s="108" t="s">
        <v>23460</v>
      </c>
      <c r="I5393" s="108"/>
    </row>
    <row r="5394" spans="1:9">
      <c r="A5394" s="108" t="s">
        <v>571</v>
      </c>
      <c r="B5394" s="108" t="s">
        <v>23547</v>
      </c>
      <c r="C5394" s="109">
        <v>44628</v>
      </c>
      <c r="D5394" s="108" t="s">
        <v>23548</v>
      </c>
      <c r="E5394" s="108" t="s">
        <v>14605</v>
      </c>
      <c r="F5394" s="108" t="s">
        <v>23470</v>
      </c>
      <c r="G5394" s="109">
        <v>46453</v>
      </c>
      <c r="H5394" s="108" t="s">
        <v>23460</v>
      </c>
      <c r="I5394" s="108" t="s">
        <v>79</v>
      </c>
    </row>
    <row r="5395" spans="1:9">
      <c r="A5395" s="108" t="s">
        <v>571</v>
      </c>
      <c r="B5395" s="108" t="s">
        <v>23549</v>
      </c>
      <c r="C5395" s="109">
        <v>45795</v>
      </c>
      <c r="D5395" s="108" t="s">
        <v>23550</v>
      </c>
      <c r="E5395" s="108" t="s">
        <v>14605</v>
      </c>
      <c r="F5395" s="108" t="s">
        <v>15959</v>
      </c>
      <c r="G5395" s="109">
        <v>46074</v>
      </c>
      <c r="H5395" s="108" t="s">
        <v>23460</v>
      </c>
      <c r="I5395" s="108" t="s">
        <v>79</v>
      </c>
    </row>
    <row r="5396" spans="1:9" ht="41.4">
      <c r="A5396" s="108" t="s">
        <v>118</v>
      </c>
      <c r="B5396" s="108" t="s">
        <v>23551</v>
      </c>
      <c r="C5396" s="109">
        <v>44175</v>
      </c>
      <c r="D5396" s="108" t="s">
        <v>23552</v>
      </c>
      <c r="E5396" s="108" t="s">
        <v>14605</v>
      </c>
      <c r="F5396" s="108" t="s">
        <v>23553</v>
      </c>
      <c r="G5396" s="109">
        <v>45591</v>
      </c>
      <c r="H5396" s="108" t="s">
        <v>23460</v>
      </c>
      <c r="I5396" s="108" t="s">
        <v>206</v>
      </c>
    </row>
    <row r="5397" spans="1:9" ht="27.6">
      <c r="A5397" s="108" t="s">
        <v>207</v>
      </c>
      <c r="B5397" s="108" t="s">
        <v>23554</v>
      </c>
      <c r="C5397" s="109">
        <v>45038</v>
      </c>
      <c r="D5397" s="108" t="s">
        <v>23555</v>
      </c>
      <c r="E5397" s="108" t="s">
        <v>14605</v>
      </c>
      <c r="F5397" s="108" t="s">
        <v>23470</v>
      </c>
      <c r="G5397" s="109">
        <v>45768</v>
      </c>
      <c r="H5397" s="108" t="s">
        <v>23460</v>
      </c>
      <c r="I5397" s="108" t="s">
        <v>117</v>
      </c>
    </row>
    <row r="5398" spans="1:9" ht="27.6">
      <c r="A5398" s="108" t="s">
        <v>207</v>
      </c>
      <c r="B5398" s="108" t="s">
        <v>23556</v>
      </c>
      <c r="C5398" s="109">
        <v>45282</v>
      </c>
      <c r="D5398" s="108" t="s">
        <v>23557</v>
      </c>
      <c r="E5398" s="108" t="s">
        <v>14605</v>
      </c>
      <c r="F5398" s="108" t="s">
        <v>15031</v>
      </c>
      <c r="G5398" s="109">
        <v>46029</v>
      </c>
      <c r="H5398" s="108" t="s">
        <v>23460</v>
      </c>
      <c r="I5398" s="108" t="s">
        <v>117</v>
      </c>
    </row>
    <row r="5399" spans="1:9">
      <c r="A5399" s="108" t="s">
        <v>169</v>
      </c>
      <c r="B5399" s="108" t="s">
        <v>23558</v>
      </c>
      <c r="C5399" s="109">
        <v>43601</v>
      </c>
      <c r="D5399" s="108" t="s">
        <v>23559</v>
      </c>
      <c r="E5399" s="108" t="s">
        <v>14605</v>
      </c>
      <c r="F5399" s="108" t="s">
        <v>15959</v>
      </c>
      <c r="G5399" s="109">
        <v>46125</v>
      </c>
      <c r="H5399" s="108" t="s">
        <v>23460</v>
      </c>
      <c r="I5399" s="108" t="s">
        <v>3315</v>
      </c>
    </row>
    <row r="5400" spans="1:9">
      <c r="A5400" s="108" t="s">
        <v>169</v>
      </c>
      <c r="B5400" s="108" t="s">
        <v>23560</v>
      </c>
      <c r="C5400" s="109">
        <v>45041</v>
      </c>
      <c r="D5400" s="108" t="s">
        <v>23561</v>
      </c>
      <c r="E5400" s="108" t="s">
        <v>14605</v>
      </c>
      <c r="F5400" s="108" t="s">
        <v>23505</v>
      </c>
      <c r="G5400" s="109">
        <v>46125</v>
      </c>
      <c r="H5400" s="108" t="s">
        <v>23460</v>
      </c>
      <c r="I5400" s="108" t="s">
        <v>3315</v>
      </c>
    </row>
    <row r="5401" spans="1:9">
      <c r="A5401" s="108" t="s">
        <v>169</v>
      </c>
      <c r="B5401" s="108" t="s">
        <v>23562</v>
      </c>
      <c r="C5401" s="109">
        <v>44628</v>
      </c>
      <c r="D5401" s="108" t="s">
        <v>23563</v>
      </c>
      <c r="E5401" s="108" t="s">
        <v>14605</v>
      </c>
      <c r="F5401" s="108" t="s">
        <v>15031</v>
      </c>
      <c r="G5401" s="109">
        <v>46453</v>
      </c>
      <c r="H5401" s="108" t="s">
        <v>23460</v>
      </c>
      <c r="I5401" s="108" t="s">
        <v>721</v>
      </c>
    </row>
    <row r="5402" spans="1:9" ht="27.6">
      <c r="A5402" s="108" t="s">
        <v>1591</v>
      </c>
      <c r="B5402" s="108" t="s">
        <v>23564</v>
      </c>
      <c r="C5402" s="109">
        <v>45093</v>
      </c>
      <c r="D5402" s="108" t="s">
        <v>23565</v>
      </c>
      <c r="E5402" s="108" t="s">
        <v>14605</v>
      </c>
      <c r="F5402" s="108" t="s">
        <v>23566</v>
      </c>
      <c r="G5402" s="109">
        <v>45458</v>
      </c>
      <c r="H5402" s="108" t="s">
        <v>23460</v>
      </c>
      <c r="I5402" s="108" t="s">
        <v>108</v>
      </c>
    </row>
    <row r="5403" spans="1:9" ht="27.6">
      <c r="A5403" s="108" t="s">
        <v>1465</v>
      </c>
      <c r="B5403" s="108" t="s">
        <v>23567</v>
      </c>
      <c r="C5403" s="109">
        <v>44991</v>
      </c>
      <c r="D5403" s="108" t="s">
        <v>23568</v>
      </c>
      <c r="E5403" s="108" t="s">
        <v>14605</v>
      </c>
      <c r="F5403" s="108" t="s">
        <v>23569</v>
      </c>
      <c r="G5403" s="109">
        <v>45356</v>
      </c>
      <c r="H5403" s="108" t="s">
        <v>23460</v>
      </c>
      <c r="I5403" s="108" t="s">
        <v>108</v>
      </c>
    </row>
    <row r="5404" spans="1:9">
      <c r="A5404" s="108" t="s">
        <v>87</v>
      </c>
      <c r="B5404" s="108" t="s">
        <v>23570</v>
      </c>
      <c r="C5404" s="109">
        <v>45064</v>
      </c>
      <c r="D5404" s="108" t="s">
        <v>23571</v>
      </c>
      <c r="E5404" s="108" t="s">
        <v>14605</v>
      </c>
      <c r="F5404" s="108" t="s">
        <v>23572</v>
      </c>
      <c r="G5404" s="109">
        <v>45429</v>
      </c>
      <c r="H5404" s="108" t="s">
        <v>23460</v>
      </c>
      <c r="I5404" s="108" t="s">
        <v>108</v>
      </c>
    </row>
    <row r="5405" spans="1:9">
      <c r="A5405" s="108" t="s">
        <v>2002</v>
      </c>
      <c r="B5405" s="108" t="s">
        <v>23573</v>
      </c>
      <c r="C5405" s="109">
        <v>45077</v>
      </c>
      <c r="D5405" s="108" t="s">
        <v>23574</v>
      </c>
      <c r="E5405" s="108" t="s">
        <v>14605</v>
      </c>
      <c r="F5405" s="108" t="s">
        <v>23472</v>
      </c>
      <c r="G5405" s="109">
        <v>45442</v>
      </c>
      <c r="H5405" s="108" t="s">
        <v>23460</v>
      </c>
      <c r="I5405" s="108" t="s">
        <v>108</v>
      </c>
    </row>
    <row r="5406" spans="1:9" ht="41.4">
      <c r="A5406" s="108" t="s">
        <v>1465</v>
      </c>
      <c r="B5406" s="108" t="s">
        <v>23575</v>
      </c>
      <c r="C5406" s="109">
        <v>45470</v>
      </c>
      <c r="D5406" s="108" t="s">
        <v>23576</v>
      </c>
      <c r="E5406" s="108" t="s">
        <v>14605</v>
      </c>
      <c r="F5406" s="108" t="s">
        <v>23466</v>
      </c>
      <c r="G5406" s="109">
        <v>45850</v>
      </c>
      <c r="H5406" s="108" t="s">
        <v>23460</v>
      </c>
      <c r="I5406" s="108" t="s">
        <v>108</v>
      </c>
    </row>
    <row r="5407" spans="1:9">
      <c r="A5407" s="108" t="s">
        <v>2002</v>
      </c>
      <c r="B5407" s="108" t="s">
        <v>23577</v>
      </c>
      <c r="C5407" s="109">
        <v>45601</v>
      </c>
      <c r="D5407" s="108" t="s">
        <v>23578</v>
      </c>
      <c r="E5407" s="108" t="s">
        <v>14605</v>
      </c>
      <c r="F5407" s="108" t="s">
        <v>15031</v>
      </c>
      <c r="G5407" s="109">
        <v>45942</v>
      </c>
      <c r="H5407" s="108" t="s">
        <v>23460</v>
      </c>
      <c r="I5407" s="108" t="s">
        <v>108</v>
      </c>
    </row>
    <row r="5408" spans="1:9" ht="27.6">
      <c r="A5408" s="108" t="s">
        <v>3156</v>
      </c>
      <c r="B5408" s="108" t="s">
        <v>23579</v>
      </c>
      <c r="C5408" s="109">
        <v>45279</v>
      </c>
      <c r="D5408" s="108" t="s">
        <v>23580</v>
      </c>
      <c r="E5408" s="108" t="s">
        <v>14605</v>
      </c>
      <c r="F5408" s="108" t="s">
        <v>23581</v>
      </c>
      <c r="G5408" s="109">
        <v>45664</v>
      </c>
      <c r="H5408" s="108" t="s">
        <v>23460</v>
      </c>
      <c r="I5408" s="108" t="s">
        <v>108</v>
      </c>
    </row>
    <row r="5409" spans="1:9">
      <c r="A5409" s="108" t="s">
        <v>169</v>
      </c>
      <c r="B5409" s="108" t="s">
        <v>23582</v>
      </c>
      <c r="C5409" s="109">
        <v>45093</v>
      </c>
      <c r="D5409" s="108" t="s">
        <v>23583</v>
      </c>
      <c r="E5409" s="108" t="s">
        <v>14605</v>
      </c>
      <c r="F5409" s="108" t="s">
        <v>15031</v>
      </c>
      <c r="G5409" s="109">
        <v>45458</v>
      </c>
      <c r="H5409" s="108" t="s">
        <v>23460</v>
      </c>
      <c r="I5409" s="108" t="s">
        <v>108</v>
      </c>
    </row>
    <row r="5410" spans="1:9">
      <c r="A5410" s="108" t="s">
        <v>15990</v>
      </c>
      <c r="B5410" s="108" t="s">
        <v>23584</v>
      </c>
      <c r="C5410" s="109">
        <v>44798</v>
      </c>
      <c r="D5410" s="108" t="s">
        <v>23585</v>
      </c>
      <c r="E5410" s="108" t="s">
        <v>16121</v>
      </c>
      <c r="F5410" s="108" t="s">
        <v>15824</v>
      </c>
      <c r="G5410" s="109">
        <v>46210</v>
      </c>
      <c r="H5410" s="108" t="s">
        <v>23460</v>
      </c>
      <c r="I5410" s="108" t="s">
        <v>19708</v>
      </c>
    </row>
    <row r="5411" spans="1:9" ht="27.6">
      <c r="A5411" s="108" t="s">
        <v>237</v>
      </c>
      <c r="B5411" s="108" t="s">
        <v>23586</v>
      </c>
      <c r="C5411" s="109">
        <v>41662</v>
      </c>
      <c r="D5411" s="108"/>
      <c r="E5411" s="108" t="s">
        <v>14605</v>
      </c>
      <c r="F5411" s="108" t="s">
        <v>23587</v>
      </c>
      <c r="G5411" s="110"/>
      <c r="H5411" s="108" t="s">
        <v>23588</v>
      </c>
      <c r="I5411" s="108"/>
    </row>
    <row r="5412" spans="1:9" ht="27.6">
      <c r="A5412" s="108" t="s">
        <v>87</v>
      </c>
      <c r="B5412" s="108" t="s">
        <v>23589</v>
      </c>
      <c r="C5412" s="109">
        <v>41989</v>
      </c>
      <c r="D5412" s="108"/>
      <c r="E5412" s="108" t="s">
        <v>14605</v>
      </c>
      <c r="F5412" s="108" t="s">
        <v>23590</v>
      </c>
      <c r="G5412" s="110"/>
      <c r="H5412" s="108" t="s">
        <v>23588</v>
      </c>
      <c r="I5412" s="108"/>
    </row>
    <row r="5413" spans="1:9">
      <c r="A5413" s="108" t="s">
        <v>169</v>
      </c>
      <c r="B5413" s="108" t="s">
        <v>23591</v>
      </c>
      <c r="C5413" s="109">
        <v>41465</v>
      </c>
      <c r="D5413" s="108"/>
      <c r="E5413" s="108" t="s">
        <v>14605</v>
      </c>
      <c r="F5413" s="108" t="s">
        <v>23592</v>
      </c>
      <c r="G5413" s="110"/>
      <c r="H5413" s="108" t="s">
        <v>23588</v>
      </c>
      <c r="I5413" s="108"/>
    </row>
    <row r="5414" spans="1:9">
      <c r="A5414" s="108" t="s">
        <v>169</v>
      </c>
      <c r="B5414" s="108" t="s">
        <v>23593</v>
      </c>
      <c r="C5414" s="109">
        <v>41465</v>
      </c>
      <c r="D5414" s="108"/>
      <c r="E5414" s="108" t="s">
        <v>14605</v>
      </c>
      <c r="F5414" s="108" t="s">
        <v>23594</v>
      </c>
      <c r="G5414" s="110"/>
      <c r="H5414" s="108" t="s">
        <v>23588</v>
      </c>
      <c r="I5414" s="108"/>
    </row>
    <row r="5415" spans="1:9">
      <c r="A5415" s="108" t="s">
        <v>169</v>
      </c>
      <c r="B5415" s="108" t="s">
        <v>23595</v>
      </c>
      <c r="C5415" s="109">
        <v>41741</v>
      </c>
      <c r="D5415" s="108"/>
      <c r="E5415" s="108" t="s">
        <v>14605</v>
      </c>
      <c r="F5415" s="108" t="s">
        <v>23596</v>
      </c>
      <c r="G5415" s="110"/>
      <c r="H5415" s="108" t="s">
        <v>23588</v>
      </c>
      <c r="I5415" s="108"/>
    </row>
    <row r="5416" spans="1:9" ht="27.6">
      <c r="A5416" s="108" t="s">
        <v>169</v>
      </c>
      <c r="B5416" s="108" t="s">
        <v>23597</v>
      </c>
      <c r="C5416" s="109">
        <v>42248</v>
      </c>
      <c r="D5416" s="108"/>
      <c r="E5416" s="108" t="s">
        <v>14605</v>
      </c>
      <c r="F5416" s="108" t="s">
        <v>23598</v>
      </c>
      <c r="G5416" s="110"/>
      <c r="H5416" s="108" t="s">
        <v>23588</v>
      </c>
      <c r="I5416" s="108"/>
    </row>
    <row r="5417" spans="1:9">
      <c r="A5417" s="108" t="s">
        <v>169</v>
      </c>
      <c r="B5417" s="108" t="s">
        <v>23599</v>
      </c>
      <c r="C5417" s="109">
        <v>43264</v>
      </c>
      <c r="D5417" s="108"/>
      <c r="E5417" s="108" t="s">
        <v>14605</v>
      </c>
      <c r="F5417" s="108" t="s">
        <v>23600</v>
      </c>
      <c r="G5417" s="110"/>
      <c r="H5417" s="108" t="s">
        <v>23588</v>
      </c>
      <c r="I5417" s="108"/>
    </row>
    <row r="5418" spans="1:9">
      <c r="A5418" s="108" t="s">
        <v>169</v>
      </c>
      <c r="B5418" s="108" t="s">
        <v>23601</v>
      </c>
      <c r="C5418" s="109">
        <v>43291</v>
      </c>
      <c r="D5418" s="108"/>
      <c r="E5418" s="108" t="s">
        <v>14605</v>
      </c>
      <c r="F5418" s="108" t="s">
        <v>23600</v>
      </c>
      <c r="G5418" s="110"/>
      <c r="H5418" s="108" t="s">
        <v>23588</v>
      </c>
      <c r="I5418" s="108"/>
    </row>
    <row r="5419" spans="1:9">
      <c r="A5419" s="108" t="s">
        <v>169</v>
      </c>
      <c r="B5419" s="108" t="s">
        <v>23602</v>
      </c>
      <c r="C5419" s="109">
        <v>43734</v>
      </c>
      <c r="D5419" s="108"/>
      <c r="E5419" s="108" t="s">
        <v>14605</v>
      </c>
      <c r="F5419" s="108" t="s">
        <v>23594</v>
      </c>
      <c r="G5419" s="110"/>
      <c r="H5419" s="108" t="s">
        <v>23588</v>
      </c>
      <c r="I5419" s="108"/>
    </row>
    <row r="5420" spans="1:9">
      <c r="A5420" s="108" t="s">
        <v>237</v>
      </c>
      <c r="B5420" s="108" t="s">
        <v>23603</v>
      </c>
      <c r="C5420" s="109">
        <v>42355</v>
      </c>
      <c r="D5420" s="108"/>
      <c r="E5420" s="108" t="s">
        <v>14605</v>
      </c>
      <c r="F5420" s="108" t="s">
        <v>23604</v>
      </c>
      <c r="G5420" s="110"/>
      <c r="H5420" s="108" t="s">
        <v>23588</v>
      </c>
      <c r="I5420" s="108"/>
    </row>
    <row r="5421" spans="1:9" ht="27.6">
      <c r="A5421" s="108" t="s">
        <v>571</v>
      </c>
      <c r="B5421" s="108" t="s">
        <v>23605</v>
      </c>
      <c r="C5421" s="109">
        <v>44222</v>
      </c>
      <c r="D5421" s="108"/>
      <c r="E5421" s="108" t="s">
        <v>14605</v>
      </c>
      <c r="F5421" s="108" t="s">
        <v>23606</v>
      </c>
      <c r="G5421" s="110"/>
      <c r="H5421" s="108" t="s">
        <v>23588</v>
      </c>
      <c r="I5421" s="108"/>
    </row>
    <row r="5422" spans="1:9" ht="27.6">
      <c r="A5422" s="108" t="s">
        <v>15075</v>
      </c>
      <c r="B5422" s="108" t="s">
        <v>23607</v>
      </c>
      <c r="C5422" s="109">
        <v>45022</v>
      </c>
      <c r="D5422" s="108"/>
      <c r="E5422" s="108" t="s">
        <v>14605</v>
      </c>
      <c r="F5422" s="108" t="s">
        <v>23608</v>
      </c>
      <c r="G5422" s="110"/>
      <c r="H5422" s="108" t="s">
        <v>23588</v>
      </c>
      <c r="I5422" s="108"/>
    </row>
    <row r="5423" spans="1:9" ht="27.6">
      <c r="A5423" s="108" t="s">
        <v>15075</v>
      </c>
      <c r="B5423" s="108" t="s">
        <v>23609</v>
      </c>
      <c r="C5423" s="109">
        <v>45216</v>
      </c>
      <c r="D5423" s="108"/>
      <c r="E5423" s="108" t="s">
        <v>14605</v>
      </c>
      <c r="F5423" s="108" t="s">
        <v>15261</v>
      </c>
      <c r="G5423" s="110"/>
      <c r="H5423" s="108" t="s">
        <v>23588</v>
      </c>
      <c r="I5423" s="108"/>
    </row>
    <row r="5424" spans="1:9" ht="27.6">
      <c r="A5424" s="108" t="s">
        <v>16935</v>
      </c>
      <c r="B5424" s="108" t="s">
        <v>23610</v>
      </c>
      <c r="C5424" s="109">
        <v>39205</v>
      </c>
      <c r="D5424" s="108"/>
      <c r="E5424" s="108" t="s">
        <v>14605</v>
      </c>
      <c r="F5424" s="108" t="s">
        <v>23611</v>
      </c>
      <c r="G5424" s="110"/>
      <c r="H5424" s="108" t="s">
        <v>23588</v>
      </c>
      <c r="I5424" s="108"/>
    </row>
    <row r="5425" spans="1:9" ht="41.4">
      <c r="A5425" s="108" t="s">
        <v>87</v>
      </c>
      <c r="B5425" s="108" t="s">
        <v>23612</v>
      </c>
      <c r="C5425" s="109">
        <v>40884</v>
      </c>
      <c r="D5425" s="108"/>
      <c r="E5425" s="108" t="s">
        <v>14605</v>
      </c>
      <c r="F5425" s="108" t="s">
        <v>23613</v>
      </c>
      <c r="G5425" s="110"/>
      <c r="H5425" s="108" t="s">
        <v>23588</v>
      </c>
      <c r="I5425" s="108"/>
    </row>
    <row r="5426" spans="1:9" ht="27.6">
      <c r="A5426" s="108" t="s">
        <v>479</v>
      </c>
      <c r="B5426" s="108" t="s">
        <v>23614</v>
      </c>
      <c r="C5426" s="109">
        <v>40735</v>
      </c>
      <c r="D5426" s="108"/>
      <c r="E5426" s="108" t="s">
        <v>14605</v>
      </c>
      <c r="F5426" s="108" t="s">
        <v>23615</v>
      </c>
      <c r="G5426" s="110"/>
      <c r="H5426" s="108" t="s">
        <v>23588</v>
      </c>
      <c r="I5426" s="108"/>
    </row>
    <row r="5427" spans="1:9" ht="27.6">
      <c r="A5427" s="108" t="s">
        <v>96</v>
      </c>
      <c r="B5427" s="108" t="s">
        <v>23616</v>
      </c>
      <c r="C5427" s="109">
        <v>44148</v>
      </c>
      <c r="D5427" s="108" t="s">
        <v>23617</v>
      </c>
      <c r="E5427" s="108" t="s">
        <v>14605</v>
      </c>
      <c r="F5427" s="108" t="s">
        <v>23618</v>
      </c>
      <c r="G5427" s="109">
        <v>45287</v>
      </c>
      <c r="H5427" s="108" t="s">
        <v>23588</v>
      </c>
      <c r="I5427" s="108" t="s">
        <v>102</v>
      </c>
    </row>
    <row r="5428" spans="1:9" ht="27.6">
      <c r="A5428" s="108" t="s">
        <v>14950</v>
      </c>
      <c r="B5428" s="108" t="s">
        <v>23619</v>
      </c>
      <c r="C5428" s="109">
        <v>44153</v>
      </c>
      <c r="D5428" s="108" t="s">
        <v>23620</v>
      </c>
      <c r="E5428" s="108" t="s">
        <v>14605</v>
      </c>
      <c r="F5428" s="108" t="s">
        <v>23621</v>
      </c>
      <c r="G5428" s="109">
        <v>45978</v>
      </c>
      <c r="H5428" s="108" t="s">
        <v>23588</v>
      </c>
      <c r="I5428" s="108" t="s">
        <v>95</v>
      </c>
    </row>
    <row r="5429" spans="1:9" ht="27.6">
      <c r="A5429" s="108" t="s">
        <v>109</v>
      </c>
      <c r="B5429" s="108" t="s">
        <v>23622</v>
      </c>
      <c r="C5429" s="109">
        <v>45234</v>
      </c>
      <c r="D5429" s="108" t="s">
        <v>23623</v>
      </c>
      <c r="E5429" s="108" t="s">
        <v>14605</v>
      </c>
      <c r="F5429" s="108" t="s">
        <v>15261</v>
      </c>
      <c r="G5429" s="109">
        <v>45964</v>
      </c>
      <c r="H5429" s="108" t="s">
        <v>23588</v>
      </c>
      <c r="I5429" s="108" t="s">
        <v>95</v>
      </c>
    </row>
    <row r="5430" spans="1:9">
      <c r="A5430" s="108" t="s">
        <v>15990</v>
      </c>
      <c r="B5430" s="108" t="s">
        <v>23624</v>
      </c>
      <c r="C5430" s="109">
        <v>45177</v>
      </c>
      <c r="D5430" s="108" t="s">
        <v>23625</v>
      </c>
      <c r="E5430" s="108" t="s">
        <v>14605</v>
      </c>
      <c r="F5430" s="108" t="s">
        <v>15261</v>
      </c>
      <c r="G5430" s="109">
        <v>45981</v>
      </c>
      <c r="H5430" s="108" t="s">
        <v>23588</v>
      </c>
      <c r="I5430" s="108" t="s">
        <v>95</v>
      </c>
    </row>
    <row r="5431" spans="1:9">
      <c r="A5431" s="108" t="s">
        <v>15990</v>
      </c>
      <c r="B5431" s="108" t="s">
        <v>23626</v>
      </c>
      <c r="C5431" s="109">
        <v>45295</v>
      </c>
      <c r="D5431" s="108" t="s">
        <v>23627</v>
      </c>
      <c r="E5431" s="108" t="s">
        <v>14605</v>
      </c>
      <c r="F5431" s="108" t="s">
        <v>15261</v>
      </c>
      <c r="G5431" s="109">
        <v>47186</v>
      </c>
      <c r="H5431" s="108" t="s">
        <v>23588</v>
      </c>
      <c r="I5431" s="108" t="s">
        <v>95</v>
      </c>
    </row>
    <row r="5432" spans="1:9">
      <c r="A5432" s="108" t="s">
        <v>16151</v>
      </c>
      <c r="B5432" s="108" t="s">
        <v>23628</v>
      </c>
      <c r="C5432" s="109">
        <v>45217</v>
      </c>
      <c r="D5432" s="108" t="s">
        <v>23629</v>
      </c>
      <c r="E5432" s="108" t="s">
        <v>14605</v>
      </c>
      <c r="F5432" s="108" t="s">
        <v>15261</v>
      </c>
      <c r="G5432" s="109">
        <v>47053</v>
      </c>
      <c r="H5432" s="108" t="s">
        <v>23588</v>
      </c>
      <c r="I5432" s="108" t="s">
        <v>95</v>
      </c>
    </row>
    <row r="5433" spans="1:9" ht="27.6">
      <c r="A5433" s="108" t="s">
        <v>388</v>
      </c>
      <c r="B5433" s="108" t="s">
        <v>23630</v>
      </c>
      <c r="C5433" s="109">
        <v>44153</v>
      </c>
      <c r="D5433" s="108" t="s">
        <v>23631</v>
      </c>
      <c r="E5433" s="108" t="s">
        <v>14605</v>
      </c>
      <c r="F5433" s="108" t="s">
        <v>23621</v>
      </c>
      <c r="G5433" s="109">
        <v>45978</v>
      </c>
      <c r="H5433" s="108" t="s">
        <v>23588</v>
      </c>
      <c r="I5433" s="108" t="s">
        <v>95</v>
      </c>
    </row>
    <row r="5434" spans="1:9" ht="27.6">
      <c r="A5434" s="108" t="s">
        <v>388</v>
      </c>
      <c r="B5434" s="108" t="s">
        <v>23632</v>
      </c>
      <c r="C5434" s="109">
        <v>44223</v>
      </c>
      <c r="D5434" s="108" t="s">
        <v>23633</v>
      </c>
      <c r="E5434" s="108" t="s">
        <v>14605</v>
      </c>
      <c r="F5434" s="108" t="s">
        <v>23608</v>
      </c>
      <c r="G5434" s="109">
        <v>46037</v>
      </c>
      <c r="H5434" s="108" t="s">
        <v>23588</v>
      </c>
      <c r="I5434" s="108" t="s">
        <v>95</v>
      </c>
    </row>
    <row r="5435" spans="1:9" ht="27.6">
      <c r="A5435" s="108" t="s">
        <v>388</v>
      </c>
      <c r="B5435" s="108" t="s">
        <v>23634</v>
      </c>
      <c r="C5435" s="109">
        <v>44845</v>
      </c>
      <c r="D5435" s="108" t="s">
        <v>23635</v>
      </c>
      <c r="E5435" s="108" t="s">
        <v>14605</v>
      </c>
      <c r="F5435" s="108" t="s">
        <v>15261</v>
      </c>
      <c r="G5435" s="109">
        <v>46076</v>
      </c>
      <c r="H5435" s="108" t="s">
        <v>23588</v>
      </c>
      <c r="I5435" s="108" t="s">
        <v>95</v>
      </c>
    </row>
    <row r="5436" spans="1:9" ht="27.6">
      <c r="A5436" s="108" t="s">
        <v>118</v>
      </c>
      <c r="B5436" s="108" t="s">
        <v>23636</v>
      </c>
      <c r="C5436" s="109">
        <v>42867</v>
      </c>
      <c r="D5436" s="108" t="s">
        <v>23637</v>
      </c>
      <c r="E5436" s="108" t="s">
        <v>14605</v>
      </c>
      <c r="F5436" s="108" t="s">
        <v>23606</v>
      </c>
      <c r="G5436" s="109">
        <v>45808</v>
      </c>
      <c r="H5436" s="108" t="s">
        <v>23588</v>
      </c>
      <c r="I5436" s="108" t="s">
        <v>642</v>
      </c>
    </row>
    <row r="5437" spans="1:9">
      <c r="A5437" s="108" t="s">
        <v>1465</v>
      </c>
      <c r="B5437" s="108" t="s">
        <v>3240</v>
      </c>
      <c r="C5437" s="109">
        <v>41642</v>
      </c>
      <c r="D5437" s="108"/>
      <c r="E5437" s="108" t="s">
        <v>14605</v>
      </c>
      <c r="F5437" s="108" t="s">
        <v>3241</v>
      </c>
      <c r="G5437" s="110"/>
      <c r="H5437" s="108" t="s">
        <v>899</v>
      </c>
      <c r="I5437" s="108"/>
    </row>
    <row r="5438" spans="1:9" ht="27.6">
      <c r="A5438" s="108" t="s">
        <v>169</v>
      </c>
      <c r="B5438" s="108" t="s">
        <v>1888</v>
      </c>
      <c r="C5438" s="109">
        <v>44286</v>
      </c>
      <c r="D5438" s="108"/>
      <c r="E5438" s="108" t="s">
        <v>14605</v>
      </c>
      <c r="F5438" s="108" t="s">
        <v>1887</v>
      </c>
      <c r="G5438" s="110"/>
      <c r="H5438" s="108" t="s">
        <v>899</v>
      </c>
      <c r="I5438" s="108"/>
    </row>
    <row r="5439" spans="1:9" ht="27.6">
      <c r="A5439" s="108" t="s">
        <v>169</v>
      </c>
      <c r="B5439" s="108" t="s">
        <v>1886</v>
      </c>
      <c r="C5439" s="109">
        <v>44286</v>
      </c>
      <c r="D5439" s="108"/>
      <c r="E5439" s="108" t="s">
        <v>14605</v>
      </c>
      <c r="F5439" s="108" t="s">
        <v>1887</v>
      </c>
      <c r="G5439" s="110"/>
      <c r="H5439" s="108" t="s">
        <v>899</v>
      </c>
      <c r="I5439" s="108"/>
    </row>
    <row r="5440" spans="1:9" ht="27.6">
      <c r="A5440" s="108" t="s">
        <v>169</v>
      </c>
      <c r="B5440" s="108" t="s">
        <v>1157</v>
      </c>
      <c r="C5440" s="109">
        <v>44448</v>
      </c>
      <c r="D5440" s="108"/>
      <c r="E5440" s="108" t="s">
        <v>14605</v>
      </c>
      <c r="F5440" s="108" t="s">
        <v>1156</v>
      </c>
      <c r="G5440" s="110"/>
      <c r="H5440" s="108" t="s">
        <v>899</v>
      </c>
      <c r="I5440" s="108"/>
    </row>
    <row r="5441" spans="1:9" ht="27.6">
      <c r="A5441" s="108" t="s">
        <v>169</v>
      </c>
      <c r="B5441" s="108" t="s">
        <v>1155</v>
      </c>
      <c r="C5441" s="109">
        <v>44448</v>
      </c>
      <c r="D5441" s="108"/>
      <c r="E5441" s="108" t="s">
        <v>14605</v>
      </c>
      <c r="F5441" s="108" t="s">
        <v>1156</v>
      </c>
      <c r="G5441" s="110"/>
      <c r="H5441" s="108" t="s">
        <v>899</v>
      </c>
      <c r="I5441" s="108"/>
    </row>
    <row r="5442" spans="1:9">
      <c r="A5442" s="108" t="s">
        <v>1465</v>
      </c>
      <c r="B5442" s="108" t="s">
        <v>4108</v>
      </c>
      <c r="C5442" s="109">
        <v>43738</v>
      </c>
      <c r="D5442" s="108" t="s">
        <v>4110</v>
      </c>
      <c r="E5442" s="108" t="s">
        <v>14605</v>
      </c>
      <c r="F5442" s="108" t="s">
        <v>4109</v>
      </c>
      <c r="G5442" s="109">
        <v>45991</v>
      </c>
      <c r="H5442" s="108" t="s">
        <v>899</v>
      </c>
      <c r="I5442" s="108" t="s">
        <v>79</v>
      </c>
    </row>
    <row r="5443" spans="1:9">
      <c r="A5443" s="108" t="s">
        <v>8194</v>
      </c>
      <c r="B5443" s="108" t="s">
        <v>23638</v>
      </c>
      <c r="C5443" s="109">
        <v>46230</v>
      </c>
      <c r="D5443" s="108"/>
      <c r="E5443" s="108" t="s">
        <v>14605</v>
      </c>
      <c r="F5443" s="108" t="s">
        <v>4947</v>
      </c>
      <c r="G5443" s="110"/>
      <c r="H5443" s="108" t="s">
        <v>23639</v>
      </c>
      <c r="I5443" s="108"/>
    </row>
    <row r="5444" spans="1:9" ht="27.6">
      <c r="A5444" s="108" t="s">
        <v>14950</v>
      </c>
      <c r="B5444" s="108" t="s">
        <v>23640</v>
      </c>
      <c r="C5444" s="109">
        <v>43664</v>
      </c>
      <c r="D5444" s="108" t="s">
        <v>23641</v>
      </c>
      <c r="E5444" s="108" t="s">
        <v>14605</v>
      </c>
      <c r="F5444" s="108" t="s">
        <v>23642</v>
      </c>
      <c r="G5444" s="109">
        <v>44029</v>
      </c>
      <c r="H5444" s="108" t="s">
        <v>23639</v>
      </c>
      <c r="I5444" s="108" t="s">
        <v>108</v>
      </c>
    </row>
    <row r="5445" spans="1:9" ht="27.6">
      <c r="A5445" s="108" t="s">
        <v>14950</v>
      </c>
      <c r="B5445" s="108" t="s">
        <v>23643</v>
      </c>
      <c r="C5445" s="109">
        <v>44257</v>
      </c>
      <c r="D5445" s="108" t="s">
        <v>23644</v>
      </c>
      <c r="E5445" s="108" t="s">
        <v>14605</v>
      </c>
      <c r="F5445" s="108" t="s">
        <v>23642</v>
      </c>
      <c r="G5445" s="109">
        <v>44390</v>
      </c>
      <c r="H5445" s="108" t="s">
        <v>23639</v>
      </c>
      <c r="I5445" s="108" t="s">
        <v>108</v>
      </c>
    </row>
    <row r="5446" spans="1:9">
      <c r="A5446" s="108" t="s">
        <v>16151</v>
      </c>
      <c r="B5446" s="108" t="s">
        <v>23645</v>
      </c>
      <c r="C5446" s="109">
        <v>43664</v>
      </c>
      <c r="D5446" s="108" t="s">
        <v>23646</v>
      </c>
      <c r="E5446" s="108" t="s">
        <v>16121</v>
      </c>
      <c r="F5446" s="108" t="s">
        <v>23642</v>
      </c>
      <c r="G5446" s="109">
        <v>46096</v>
      </c>
      <c r="H5446" s="108" t="s">
        <v>23639</v>
      </c>
      <c r="I5446" s="108" t="s">
        <v>19708</v>
      </c>
    </row>
    <row r="5447" spans="1:9">
      <c r="A5447" s="108" t="s">
        <v>16151</v>
      </c>
      <c r="B5447" s="108" t="s">
        <v>23647</v>
      </c>
      <c r="C5447" s="109">
        <v>44257</v>
      </c>
      <c r="D5447" s="108" t="s">
        <v>23648</v>
      </c>
      <c r="E5447" s="108" t="s">
        <v>16121</v>
      </c>
      <c r="F5447" s="108" t="s">
        <v>23642</v>
      </c>
      <c r="G5447" s="109">
        <v>45975</v>
      </c>
      <c r="H5447" s="108" t="s">
        <v>23649</v>
      </c>
      <c r="I5447" s="108" t="s">
        <v>19708</v>
      </c>
    </row>
    <row r="5448" spans="1:9" ht="27.6">
      <c r="A5448" s="108" t="s">
        <v>207</v>
      </c>
      <c r="B5448" s="108" t="s">
        <v>23650</v>
      </c>
      <c r="C5448" s="109">
        <v>45972</v>
      </c>
      <c r="D5448" s="108" t="s">
        <v>23651</v>
      </c>
      <c r="E5448" s="108" t="s">
        <v>14605</v>
      </c>
      <c r="F5448" s="108" t="s">
        <v>22833</v>
      </c>
      <c r="G5448" s="109">
        <v>45572</v>
      </c>
      <c r="H5448" s="108" t="s">
        <v>23652</v>
      </c>
      <c r="I5448" s="108" t="s">
        <v>108</v>
      </c>
    </row>
    <row r="5449" spans="1:9">
      <c r="A5449" s="108" t="s">
        <v>169</v>
      </c>
      <c r="B5449" s="108" t="s">
        <v>23653</v>
      </c>
      <c r="C5449" s="109">
        <v>43101</v>
      </c>
      <c r="D5449" s="108"/>
      <c r="E5449" s="108" t="s">
        <v>14605</v>
      </c>
      <c r="F5449" s="108" t="s">
        <v>23654</v>
      </c>
      <c r="G5449" s="110"/>
      <c r="H5449" s="108" t="s">
        <v>23655</v>
      </c>
      <c r="I5449" s="108"/>
    </row>
    <row r="5450" spans="1:9" ht="27.6">
      <c r="A5450" s="108" t="s">
        <v>169</v>
      </c>
      <c r="B5450" s="108" t="s">
        <v>23656</v>
      </c>
      <c r="C5450" s="109">
        <v>43753</v>
      </c>
      <c r="D5450" s="108"/>
      <c r="E5450" s="108" t="s">
        <v>14605</v>
      </c>
      <c r="F5450" s="108" t="s">
        <v>23657</v>
      </c>
      <c r="G5450" s="110"/>
      <c r="H5450" s="108" t="s">
        <v>23655</v>
      </c>
      <c r="I5450" s="108"/>
    </row>
    <row r="5451" spans="1:9">
      <c r="A5451" s="108" t="s">
        <v>2002</v>
      </c>
      <c r="B5451" s="108" t="s">
        <v>23658</v>
      </c>
      <c r="C5451" s="109">
        <v>42402</v>
      </c>
      <c r="D5451" s="108"/>
      <c r="E5451" s="108" t="s">
        <v>14605</v>
      </c>
      <c r="F5451" s="108" t="s">
        <v>23659</v>
      </c>
      <c r="G5451" s="110"/>
      <c r="H5451" s="108" t="s">
        <v>23655</v>
      </c>
      <c r="I5451" s="108"/>
    </row>
    <row r="5452" spans="1:9" ht="41.4">
      <c r="A5452" s="108" t="s">
        <v>227</v>
      </c>
      <c r="B5452" s="108" t="s">
        <v>23660</v>
      </c>
      <c r="C5452" s="109">
        <v>43966</v>
      </c>
      <c r="D5452" s="108"/>
      <c r="E5452" s="108" t="s">
        <v>14605</v>
      </c>
      <c r="F5452" s="108" t="s">
        <v>23661</v>
      </c>
      <c r="G5452" s="110"/>
      <c r="H5452" s="108" t="s">
        <v>23655</v>
      </c>
      <c r="I5452" s="108"/>
    </row>
    <row r="5453" spans="1:9">
      <c r="A5453" s="108" t="s">
        <v>169</v>
      </c>
      <c r="B5453" s="108" t="s">
        <v>23662</v>
      </c>
      <c r="C5453" s="109">
        <v>44299</v>
      </c>
      <c r="D5453" s="108"/>
      <c r="E5453" s="108" t="s">
        <v>14605</v>
      </c>
      <c r="F5453" s="108" t="s">
        <v>23663</v>
      </c>
      <c r="G5453" s="110"/>
      <c r="H5453" s="108" t="s">
        <v>23655</v>
      </c>
      <c r="I5453" s="108"/>
    </row>
    <row r="5454" spans="1:9" ht="27.6">
      <c r="A5454" s="108" t="s">
        <v>2002</v>
      </c>
      <c r="B5454" s="108" t="s">
        <v>23664</v>
      </c>
      <c r="C5454" s="109">
        <v>41191</v>
      </c>
      <c r="D5454" s="108"/>
      <c r="E5454" s="108" t="s">
        <v>14605</v>
      </c>
      <c r="F5454" s="108" t="s">
        <v>23665</v>
      </c>
      <c r="G5454" s="110"/>
      <c r="H5454" s="108" t="s">
        <v>23666</v>
      </c>
      <c r="I5454" s="108"/>
    </row>
    <row r="5455" spans="1:9" ht="27.6">
      <c r="A5455" s="108" t="s">
        <v>1465</v>
      </c>
      <c r="B5455" s="108" t="s">
        <v>23667</v>
      </c>
      <c r="C5455" s="109">
        <v>42425</v>
      </c>
      <c r="D5455" s="108"/>
      <c r="E5455" s="108" t="s">
        <v>14605</v>
      </c>
      <c r="F5455" s="108" t="s">
        <v>23668</v>
      </c>
      <c r="G5455" s="110"/>
      <c r="H5455" s="108" t="s">
        <v>23666</v>
      </c>
      <c r="I5455" s="108"/>
    </row>
    <row r="5456" spans="1:9">
      <c r="A5456" s="108" t="s">
        <v>237</v>
      </c>
      <c r="B5456" s="108" t="s">
        <v>23669</v>
      </c>
      <c r="C5456" s="109">
        <v>41499</v>
      </c>
      <c r="D5456" s="108"/>
      <c r="E5456" s="108" t="s">
        <v>14605</v>
      </c>
      <c r="F5456" s="108" t="s">
        <v>23670</v>
      </c>
      <c r="G5456" s="110"/>
      <c r="H5456" s="108" t="s">
        <v>23666</v>
      </c>
      <c r="I5456" s="108"/>
    </row>
    <row r="5457" spans="1:9" ht="27.6">
      <c r="A5457" s="108" t="s">
        <v>169</v>
      </c>
      <c r="B5457" s="108" t="s">
        <v>23671</v>
      </c>
      <c r="C5457" s="109">
        <v>42788</v>
      </c>
      <c r="D5457" s="108"/>
      <c r="E5457" s="108" t="s">
        <v>14605</v>
      </c>
      <c r="F5457" s="108" t="s">
        <v>23672</v>
      </c>
      <c r="G5457" s="110"/>
      <c r="H5457" s="108" t="s">
        <v>23666</v>
      </c>
      <c r="I5457" s="108"/>
    </row>
    <row r="5458" spans="1:9">
      <c r="A5458" s="108" t="s">
        <v>169</v>
      </c>
      <c r="B5458" s="108" t="s">
        <v>23673</v>
      </c>
      <c r="C5458" s="109">
        <v>43019</v>
      </c>
      <c r="D5458" s="108"/>
      <c r="E5458" s="108" t="s">
        <v>14605</v>
      </c>
      <c r="F5458" s="108" t="s">
        <v>23674</v>
      </c>
      <c r="G5458" s="110"/>
      <c r="H5458" s="108" t="s">
        <v>23666</v>
      </c>
      <c r="I5458" s="108"/>
    </row>
    <row r="5459" spans="1:9">
      <c r="A5459" s="108" t="s">
        <v>169</v>
      </c>
      <c r="B5459" s="108" t="s">
        <v>23675</v>
      </c>
      <c r="C5459" s="109">
        <v>42984</v>
      </c>
      <c r="D5459" s="108"/>
      <c r="E5459" s="108" t="s">
        <v>14605</v>
      </c>
      <c r="F5459" s="108" t="s">
        <v>23676</v>
      </c>
      <c r="G5459" s="110"/>
      <c r="H5459" s="108" t="s">
        <v>23666</v>
      </c>
      <c r="I5459" s="108"/>
    </row>
    <row r="5460" spans="1:9">
      <c r="A5460" s="108" t="s">
        <v>169</v>
      </c>
      <c r="B5460" s="108" t="s">
        <v>23677</v>
      </c>
      <c r="C5460" s="109">
        <v>43094</v>
      </c>
      <c r="D5460" s="108"/>
      <c r="E5460" s="108" t="s">
        <v>14605</v>
      </c>
      <c r="F5460" s="108" t="s">
        <v>23678</v>
      </c>
      <c r="G5460" s="110"/>
      <c r="H5460" s="108" t="s">
        <v>23666</v>
      </c>
      <c r="I5460" s="108"/>
    </row>
    <row r="5461" spans="1:9">
      <c r="A5461" s="108" t="s">
        <v>169</v>
      </c>
      <c r="B5461" s="108" t="s">
        <v>23679</v>
      </c>
      <c r="C5461" s="109">
        <v>43361</v>
      </c>
      <c r="D5461" s="108"/>
      <c r="E5461" s="108" t="s">
        <v>14605</v>
      </c>
      <c r="F5461" s="108" t="s">
        <v>23680</v>
      </c>
      <c r="G5461" s="110"/>
      <c r="H5461" s="108" t="s">
        <v>23666</v>
      </c>
      <c r="I5461" s="108"/>
    </row>
    <row r="5462" spans="1:9">
      <c r="A5462" s="108" t="s">
        <v>169</v>
      </c>
      <c r="B5462" s="108" t="s">
        <v>23681</v>
      </c>
      <c r="C5462" s="109">
        <v>43790</v>
      </c>
      <c r="D5462" s="108"/>
      <c r="E5462" s="108" t="s">
        <v>14605</v>
      </c>
      <c r="F5462" s="108" t="s">
        <v>23682</v>
      </c>
      <c r="G5462" s="110"/>
      <c r="H5462" s="108" t="s">
        <v>23666</v>
      </c>
      <c r="I5462" s="108"/>
    </row>
    <row r="5463" spans="1:9">
      <c r="A5463" s="108" t="s">
        <v>169</v>
      </c>
      <c r="B5463" s="108" t="s">
        <v>23683</v>
      </c>
      <c r="C5463" s="109">
        <v>43804</v>
      </c>
      <c r="D5463" s="108"/>
      <c r="E5463" s="108" t="s">
        <v>14605</v>
      </c>
      <c r="F5463" s="108" t="s">
        <v>23684</v>
      </c>
      <c r="G5463" s="110"/>
      <c r="H5463" s="108" t="s">
        <v>23666</v>
      </c>
      <c r="I5463" s="108"/>
    </row>
    <row r="5464" spans="1:9">
      <c r="A5464" s="108" t="s">
        <v>169</v>
      </c>
      <c r="B5464" s="108" t="s">
        <v>23685</v>
      </c>
      <c r="C5464" s="109">
        <v>43899</v>
      </c>
      <c r="D5464" s="108"/>
      <c r="E5464" s="108" t="s">
        <v>14605</v>
      </c>
      <c r="F5464" s="108" t="s">
        <v>23686</v>
      </c>
      <c r="G5464" s="110"/>
      <c r="H5464" s="108" t="s">
        <v>23666</v>
      </c>
      <c r="I5464" s="108"/>
    </row>
    <row r="5465" spans="1:9">
      <c r="A5465" s="108" t="s">
        <v>169</v>
      </c>
      <c r="B5465" s="108" t="s">
        <v>23687</v>
      </c>
      <c r="C5465" s="109">
        <v>43899</v>
      </c>
      <c r="D5465" s="108"/>
      <c r="E5465" s="108" t="s">
        <v>14605</v>
      </c>
      <c r="F5465" s="108" t="s">
        <v>23686</v>
      </c>
      <c r="G5465" s="110"/>
      <c r="H5465" s="108" t="s">
        <v>23666</v>
      </c>
      <c r="I5465" s="108"/>
    </row>
    <row r="5466" spans="1:9">
      <c r="A5466" s="108" t="s">
        <v>169</v>
      </c>
      <c r="B5466" s="108" t="s">
        <v>23688</v>
      </c>
      <c r="C5466" s="109">
        <v>43749</v>
      </c>
      <c r="D5466" s="108"/>
      <c r="E5466" s="108" t="s">
        <v>14605</v>
      </c>
      <c r="F5466" s="108" t="s">
        <v>14852</v>
      </c>
      <c r="G5466" s="110"/>
      <c r="H5466" s="108" t="s">
        <v>23666</v>
      </c>
      <c r="I5466" s="108"/>
    </row>
    <row r="5467" spans="1:9" ht="27.6">
      <c r="A5467" s="108" t="s">
        <v>14690</v>
      </c>
      <c r="B5467" s="108" t="s">
        <v>23689</v>
      </c>
      <c r="C5467" s="109">
        <v>42290</v>
      </c>
      <c r="D5467" s="108"/>
      <c r="E5467" s="108" t="s">
        <v>14605</v>
      </c>
      <c r="F5467" s="108" t="s">
        <v>23690</v>
      </c>
      <c r="G5467" s="110"/>
      <c r="H5467" s="108" t="s">
        <v>23666</v>
      </c>
      <c r="I5467" s="108"/>
    </row>
    <row r="5468" spans="1:9" ht="27.6">
      <c r="A5468" s="108" t="s">
        <v>14690</v>
      </c>
      <c r="B5468" s="108" t="s">
        <v>23691</v>
      </c>
      <c r="C5468" s="109">
        <v>42234</v>
      </c>
      <c r="D5468" s="108"/>
      <c r="E5468" s="108" t="s">
        <v>14605</v>
      </c>
      <c r="F5468" s="108" t="s">
        <v>23690</v>
      </c>
      <c r="G5468" s="110"/>
      <c r="H5468" s="108" t="s">
        <v>23666</v>
      </c>
      <c r="I5468" s="108"/>
    </row>
    <row r="5469" spans="1:9">
      <c r="A5469" s="108" t="s">
        <v>571</v>
      </c>
      <c r="B5469" s="108" t="s">
        <v>23692</v>
      </c>
      <c r="C5469" s="109">
        <v>42290</v>
      </c>
      <c r="D5469" s="108"/>
      <c r="E5469" s="108" t="s">
        <v>14605</v>
      </c>
      <c r="F5469" s="108" t="s">
        <v>23690</v>
      </c>
      <c r="G5469" s="110"/>
      <c r="H5469" s="108" t="s">
        <v>23666</v>
      </c>
      <c r="I5469" s="108"/>
    </row>
    <row r="5470" spans="1:9" ht="27.6">
      <c r="A5470" s="108" t="s">
        <v>571</v>
      </c>
      <c r="B5470" s="108" t="s">
        <v>23693</v>
      </c>
      <c r="C5470" s="109">
        <v>42402</v>
      </c>
      <c r="D5470" s="108"/>
      <c r="E5470" s="108" t="s">
        <v>14605</v>
      </c>
      <c r="F5470" s="108" t="s">
        <v>23694</v>
      </c>
      <c r="G5470" s="110"/>
      <c r="H5470" s="108" t="s">
        <v>23666</v>
      </c>
      <c r="I5470" s="108"/>
    </row>
    <row r="5471" spans="1:9">
      <c r="A5471" s="108" t="s">
        <v>571</v>
      </c>
      <c r="B5471" s="108" t="s">
        <v>23695</v>
      </c>
      <c r="C5471" s="109">
        <v>42806</v>
      </c>
      <c r="D5471" s="108"/>
      <c r="E5471" s="108" t="s">
        <v>14605</v>
      </c>
      <c r="F5471" s="108" t="s">
        <v>23690</v>
      </c>
      <c r="G5471" s="110"/>
      <c r="H5471" s="108" t="s">
        <v>23666</v>
      </c>
      <c r="I5471" s="108"/>
    </row>
    <row r="5472" spans="1:9">
      <c r="A5472" s="108" t="s">
        <v>571</v>
      </c>
      <c r="B5472" s="108" t="s">
        <v>23696</v>
      </c>
      <c r="C5472" s="109">
        <v>42471</v>
      </c>
      <c r="D5472" s="108"/>
      <c r="E5472" s="108" t="s">
        <v>14605</v>
      </c>
      <c r="F5472" s="108" t="s">
        <v>23690</v>
      </c>
      <c r="G5472" s="110"/>
      <c r="H5472" s="108" t="s">
        <v>23666</v>
      </c>
      <c r="I5472" s="108"/>
    </row>
    <row r="5473" spans="1:9">
      <c r="A5473" s="108" t="s">
        <v>571</v>
      </c>
      <c r="B5473" s="108" t="s">
        <v>23697</v>
      </c>
      <c r="C5473" s="109">
        <v>42471</v>
      </c>
      <c r="D5473" s="108"/>
      <c r="E5473" s="108" t="s">
        <v>14605</v>
      </c>
      <c r="F5473" s="108" t="s">
        <v>23690</v>
      </c>
      <c r="G5473" s="110"/>
      <c r="H5473" s="108" t="s">
        <v>23666</v>
      </c>
      <c r="I5473" s="108"/>
    </row>
    <row r="5474" spans="1:9">
      <c r="A5474" s="108" t="s">
        <v>571</v>
      </c>
      <c r="B5474" s="108" t="s">
        <v>23698</v>
      </c>
      <c r="C5474" s="109">
        <v>42999</v>
      </c>
      <c r="D5474" s="108"/>
      <c r="E5474" s="108" t="s">
        <v>14605</v>
      </c>
      <c r="F5474" s="108" t="s">
        <v>23699</v>
      </c>
      <c r="G5474" s="110"/>
      <c r="H5474" s="108" t="s">
        <v>23666</v>
      </c>
      <c r="I5474" s="108"/>
    </row>
    <row r="5475" spans="1:9" ht="27.6">
      <c r="A5475" s="108" t="s">
        <v>571</v>
      </c>
      <c r="B5475" s="108" t="s">
        <v>23700</v>
      </c>
      <c r="C5475" s="109">
        <v>43005</v>
      </c>
      <c r="D5475" s="108"/>
      <c r="E5475" s="108" t="s">
        <v>14605</v>
      </c>
      <c r="F5475" s="108" t="s">
        <v>23701</v>
      </c>
      <c r="G5475" s="110"/>
      <c r="H5475" s="108" t="s">
        <v>23666</v>
      </c>
      <c r="I5475" s="108"/>
    </row>
    <row r="5476" spans="1:9">
      <c r="A5476" s="108" t="s">
        <v>571</v>
      </c>
      <c r="B5476" s="108" t="s">
        <v>23702</v>
      </c>
      <c r="C5476" s="109">
        <v>42971</v>
      </c>
      <c r="D5476" s="108"/>
      <c r="E5476" s="108" t="s">
        <v>14605</v>
      </c>
      <c r="F5476" s="108" t="s">
        <v>23690</v>
      </c>
      <c r="G5476" s="110"/>
      <c r="H5476" s="108" t="s">
        <v>23666</v>
      </c>
      <c r="I5476" s="108"/>
    </row>
    <row r="5477" spans="1:9">
      <c r="A5477" s="108" t="s">
        <v>571</v>
      </c>
      <c r="B5477" s="108" t="s">
        <v>23703</v>
      </c>
      <c r="C5477" s="109">
        <v>43452</v>
      </c>
      <c r="D5477" s="108"/>
      <c r="E5477" s="108" t="s">
        <v>14605</v>
      </c>
      <c r="F5477" s="108" t="s">
        <v>14746</v>
      </c>
      <c r="G5477" s="110"/>
      <c r="H5477" s="108" t="s">
        <v>23666</v>
      </c>
      <c r="I5477" s="108"/>
    </row>
    <row r="5478" spans="1:9" ht="27.6">
      <c r="A5478" s="108" t="s">
        <v>2002</v>
      </c>
      <c r="B5478" s="108" t="s">
        <v>23704</v>
      </c>
      <c r="C5478" s="109">
        <v>42334</v>
      </c>
      <c r="D5478" s="108"/>
      <c r="E5478" s="108" t="s">
        <v>14605</v>
      </c>
      <c r="F5478" s="108" t="s">
        <v>23705</v>
      </c>
      <c r="G5478" s="110"/>
      <c r="H5478" s="108" t="s">
        <v>23666</v>
      </c>
      <c r="I5478" s="108"/>
    </row>
    <row r="5479" spans="1:9">
      <c r="A5479" s="108" t="s">
        <v>2002</v>
      </c>
      <c r="B5479" s="108" t="s">
        <v>23706</v>
      </c>
      <c r="C5479" s="109">
        <v>42783</v>
      </c>
      <c r="D5479" s="108"/>
      <c r="E5479" s="108" t="s">
        <v>14605</v>
      </c>
      <c r="F5479" s="108" t="s">
        <v>23707</v>
      </c>
      <c r="G5479" s="110"/>
      <c r="H5479" s="108" t="s">
        <v>23666</v>
      </c>
      <c r="I5479" s="108"/>
    </row>
    <row r="5480" spans="1:9" ht="27.6">
      <c r="A5480" s="108" t="s">
        <v>1591</v>
      </c>
      <c r="B5480" s="108" t="s">
        <v>23708</v>
      </c>
      <c r="C5480" s="109">
        <v>43609</v>
      </c>
      <c r="D5480" s="108"/>
      <c r="E5480" s="108" t="s">
        <v>14605</v>
      </c>
      <c r="F5480" s="108" t="s">
        <v>23709</v>
      </c>
      <c r="G5480" s="110"/>
      <c r="H5480" s="108" t="s">
        <v>23666</v>
      </c>
      <c r="I5480" s="108"/>
    </row>
    <row r="5481" spans="1:9" ht="27.6">
      <c r="A5481" s="108" t="s">
        <v>1591</v>
      </c>
      <c r="B5481" s="108" t="s">
        <v>23710</v>
      </c>
      <c r="C5481" s="109">
        <v>43494</v>
      </c>
      <c r="D5481" s="108"/>
      <c r="E5481" s="108" t="s">
        <v>14605</v>
      </c>
      <c r="F5481" s="108" t="s">
        <v>23709</v>
      </c>
      <c r="G5481" s="110"/>
      <c r="H5481" s="108" t="s">
        <v>23666</v>
      </c>
      <c r="I5481" s="108"/>
    </row>
    <row r="5482" spans="1:9" ht="27.6">
      <c r="A5482" s="108" t="s">
        <v>17130</v>
      </c>
      <c r="B5482" s="108" t="s">
        <v>23711</v>
      </c>
      <c r="C5482" s="109">
        <v>43790</v>
      </c>
      <c r="D5482" s="108"/>
      <c r="E5482" s="108" t="s">
        <v>14605</v>
      </c>
      <c r="F5482" s="108" t="s">
        <v>23712</v>
      </c>
      <c r="G5482" s="110"/>
      <c r="H5482" s="108" t="s">
        <v>23666</v>
      </c>
      <c r="I5482" s="108"/>
    </row>
    <row r="5483" spans="1:9">
      <c r="A5483" s="108" t="s">
        <v>237</v>
      </c>
      <c r="B5483" s="108" t="s">
        <v>23713</v>
      </c>
      <c r="C5483" s="109">
        <v>44592</v>
      </c>
      <c r="D5483" s="108"/>
      <c r="E5483" s="108" t="s">
        <v>14605</v>
      </c>
      <c r="F5483" s="108" t="s">
        <v>23714</v>
      </c>
      <c r="G5483" s="110"/>
      <c r="H5483" s="108" t="s">
        <v>23666</v>
      </c>
      <c r="I5483" s="108"/>
    </row>
    <row r="5484" spans="1:9">
      <c r="A5484" s="108" t="s">
        <v>571</v>
      </c>
      <c r="B5484" s="108" t="s">
        <v>23715</v>
      </c>
      <c r="C5484" s="109">
        <v>44412</v>
      </c>
      <c r="D5484" s="108"/>
      <c r="E5484" s="108" t="s">
        <v>14605</v>
      </c>
      <c r="F5484" s="108" t="s">
        <v>23676</v>
      </c>
      <c r="G5484" s="110"/>
      <c r="H5484" s="108" t="s">
        <v>23666</v>
      </c>
      <c r="I5484" s="108"/>
    </row>
    <row r="5485" spans="1:9" ht="41.4">
      <c r="A5485" s="108" t="s">
        <v>227</v>
      </c>
      <c r="B5485" s="108" t="s">
        <v>23716</v>
      </c>
      <c r="C5485" s="109">
        <v>43261</v>
      </c>
      <c r="D5485" s="108"/>
      <c r="E5485" s="108" t="s">
        <v>14605</v>
      </c>
      <c r="F5485" s="108" t="s">
        <v>23717</v>
      </c>
      <c r="G5485" s="110"/>
      <c r="H5485" s="108" t="s">
        <v>23666</v>
      </c>
      <c r="I5485" s="108"/>
    </row>
    <row r="5486" spans="1:9">
      <c r="A5486" s="108" t="s">
        <v>227</v>
      </c>
      <c r="B5486" s="108" t="s">
        <v>23718</v>
      </c>
      <c r="C5486" s="109">
        <v>43235</v>
      </c>
      <c r="D5486" s="108"/>
      <c r="E5486" s="108" t="s">
        <v>14605</v>
      </c>
      <c r="F5486" s="108" t="s">
        <v>14878</v>
      </c>
      <c r="G5486" s="110"/>
      <c r="H5486" s="108" t="s">
        <v>23666</v>
      </c>
      <c r="I5486" s="108"/>
    </row>
    <row r="5487" spans="1:9" ht="27.6">
      <c r="A5487" s="108" t="s">
        <v>227</v>
      </c>
      <c r="B5487" s="108" t="s">
        <v>23719</v>
      </c>
      <c r="C5487" s="109">
        <v>44064</v>
      </c>
      <c r="D5487" s="108"/>
      <c r="E5487" s="108" t="s">
        <v>14605</v>
      </c>
      <c r="F5487" s="108" t="s">
        <v>23720</v>
      </c>
      <c r="G5487" s="110"/>
      <c r="H5487" s="108" t="s">
        <v>23666</v>
      </c>
      <c r="I5487" s="108"/>
    </row>
    <row r="5488" spans="1:9">
      <c r="A5488" s="108" t="s">
        <v>227</v>
      </c>
      <c r="B5488" s="108" t="s">
        <v>23721</v>
      </c>
      <c r="C5488" s="109">
        <v>44484</v>
      </c>
      <c r="D5488" s="108"/>
      <c r="E5488" s="108" t="s">
        <v>14605</v>
      </c>
      <c r="F5488" s="108" t="s">
        <v>23722</v>
      </c>
      <c r="G5488" s="110"/>
      <c r="H5488" s="108" t="s">
        <v>23666</v>
      </c>
      <c r="I5488" s="108"/>
    </row>
    <row r="5489" spans="1:9" ht="27.6">
      <c r="A5489" s="108" t="s">
        <v>227</v>
      </c>
      <c r="B5489" s="108" t="s">
        <v>23723</v>
      </c>
      <c r="C5489" s="109">
        <v>44484</v>
      </c>
      <c r="D5489" s="108"/>
      <c r="E5489" s="108" t="s">
        <v>14605</v>
      </c>
      <c r="F5489" s="108" t="s">
        <v>23724</v>
      </c>
      <c r="G5489" s="110"/>
      <c r="H5489" s="108" t="s">
        <v>23666</v>
      </c>
      <c r="I5489" s="108"/>
    </row>
    <row r="5490" spans="1:9" ht="27.6">
      <c r="A5490" s="108" t="s">
        <v>21696</v>
      </c>
      <c r="B5490" s="108" t="s">
        <v>23725</v>
      </c>
      <c r="C5490" s="109">
        <v>36878</v>
      </c>
      <c r="D5490" s="108"/>
      <c r="E5490" s="108" t="s">
        <v>14605</v>
      </c>
      <c r="F5490" s="108" t="s">
        <v>23726</v>
      </c>
      <c r="G5490" s="110"/>
      <c r="H5490" s="108" t="s">
        <v>23666</v>
      </c>
      <c r="I5490" s="108"/>
    </row>
    <row r="5491" spans="1:9" ht="27.6">
      <c r="A5491" s="108" t="s">
        <v>207</v>
      </c>
      <c r="B5491" s="108" t="s">
        <v>23727</v>
      </c>
      <c r="C5491" s="109">
        <v>43069</v>
      </c>
      <c r="D5491" s="108"/>
      <c r="E5491" s="108" t="s">
        <v>14605</v>
      </c>
      <c r="F5491" s="108" t="s">
        <v>14746</v>
      </c>
      <c r="G5491" s="110"/>
      <c r="H5491" s="108" t="s">
        <v>23666</v>
      </c>
      <c r="I5491" s="108"/>
    </row>
    <row r="5492" spans="1:9" ht="27.6">
      <c r="A5492" s="108" t="s">
        <v>207</v>
      </c>
      <c r="B5492" s="108" t="s">
        <v>23728</v>
      </c>
      <c r="C5492" s="109">
        <v>43087</v>
      </c>
      <c r="D5492" s="108"/>
      <c r="E5492" s="108" t="s">
        <v>14605</v>
      </c>
      <c r="F5492" s="108" t="s">
        <v>14746</v>
      </c>
      <c r="G5492" s="110"/>
      <c r="H5492" s="108" t="s">
        <v>23666</v>
      </c>
      <c r="I5492" s="108"/>
    </row>
    <row r="5493" spans="1:9">
      <c r="A5493" s="108" t="s">
        <v>23729</v>
      </c>
      <c r="B5493" s="108" t="s">
        <v>23730</v>
      </c>
      <c r="C5493" s="109">
        <v>43130</v>
      </c>
      <c r="D5493" s="108"/>
      <c r="E5493" s="108" t="s">
        <v>14605</v>
      </c>
      <c r="F5493" s="108" t="s">
        <v>14746</v>
      </c>
      <c r="G5493" s="110"/>
      <c r="H5493" s="108" t="s">
        <v>23666</v>
      </c>
      <c r="I5493" s="108"/>
    </row>
    <row r="5494" spans="1:9" ht="27.6">
      <c r="A5494" s="108" t="s">
        <v>118</v>
      </c>
      <c r="B5494" s="108" t="s">
        <v>23731</v>
      </c>
      <c r="C5494" s="109">
        <v>43790</v>
      </c>
      <c r="D5494" s="108"/>
      <c r="E5494" s="108" t="s">
        <v>14605</v>
      </c>
      <c r="F5494" s="108" t="s">
        <v>23732</v>
      </c>
      <c r="G5494" s="110"/>
      <c r="H5494" s="108" t="s">
        <v>23666</v>
      </c>
      <c r="I5494" s="108"/>
    </row>
    <row r="5495" spans="1:9" ht="27.6">
      <c r="A5495" s="108" t="s">
        <v>118</v>
      </c>
      <c r="B5495" s="108" t="s">
        <v>23733</v>
      </c>
      <c r="C5495" s="109">
        <v>44020</v>
      </c>
      <c r="D5495" s="108"/>
      <c r="E5495" s="108" t="s">
        <v>14605</v>
      </c>
      <c r="F5495" s="108" t="s">
        <v>23734</v>
      </c>
      <c r="G5495" s="110"/>
      <c r="H5495" s="108" t="s">
        <v>23666</v>
      </c>
      <c r="I5495" s="108"/>
    </row>
    <row r="5496" spans="1:9" ht="27.6">
      <c r="A5496" s="108" t="s">
        <v>118</v>
      </c>
      <c r="B5496" s="108" t="s">
        <v>23735</v>
      </c>
      <c r="C5496" s="109">
        <v>43980</v>
      </c>
      <c r="D5496" s="108"/>
      <c r="E5496" s="108" t="s">
        <v>14605</v>
      </c>
      <c r="F5496" s="108" t="s">
        <v>23736</v>
      </c>
      <c r="G5496" s="110"/>
      <c r="H5496" s="108" t="s">
        <v>23666</v>
      </c>
      <c r="I5496" s="108"/>
    </row>
    <row r="5497" spans="1:9">
      <c r="A5497" s="108" t="s">
        <v>118</v>
      </c>
      <c r="B5497" s="108" t="s">
        <v>23737</v>
      </c>
      <c r="C5497" s="109">
        <v>44433</v>
      </c>
      <c r="D5497" s="108"/>
      <c r="E5497" s="108" t="s">
        <v>14605</v>
      </c>
      <c r="F5497" s="108" t="s">
        <v>23686</v>
      </c>
      <c r="G5497" s="110"/>
      <c r="H5497" s="108" t="s">
        <v>23666</v>
      </c>
      <c r="I5497" s="108"/>
    </row>
    <row r="5498" spans="1:9">
      <c r="A5498" s="108" t="s">
        <v>118</v>
      </c>
      <c r="B5498" s="108" t="s">
        <v>23738</v>
      </c>
      <c r="C5498" s="109">
        <v>44463</v>
      </c>
      <c r="D5498" s="108"/>
      <c r="E5498" s="108" t="s">
        <v>14605</v>
      </c>
      <c r="F5498" s="108" t="s">
        <v>23739</v>
      </c>
      <c r="G5498" s="110"/>
      <c r="H5498" s="108" t="s">
        <v>23666</v>
      </c>
      <c r="I5498" s="108"/>
    </row>
    <row r="5499" spans="1:9" ht="27.6">
      <c r="A5499" s="108" t="s">
        <v>169</v>
      </c>
      <c r="B5499" s="108" t="s">
        <v>23740</v>
      </c>
      <c r="C5499" s="109">
        <v>44078</v>
      </c>
      <c r="D5499" s="108"/>
      <c r="E5499" s="108" t="s">
        <v>14605</v>
      </c>
      <c r="F5499" s="108" t="s">
        <v>23741</v>
      </c>
      <c r="G5499" s="110"/>
      <c r="H5499" s="108" t="s">
        <v>23666</v>
      </c>
      <c r="I5499" s="108"/>
    </row>
    <row r="5500" spans="1:9" ht="27.6">
      <c r="A5500" s="108" t="s">
        <v>169</v>
      </c>
      <c r="B5500" s="108" t="s">
        <v>23742</v>
      </c>
      <c r="C5500" s="109">
        <v>44127</v>
      </c>
      <c r="D5500" s="108"/>
      <c r="E5500" s="108" t="s">
        <v>14605</v>
      </c>
      <c r="F5500" s="108" t="s">
        <v>23741</v>
      </c>
      <c r="G5500" s="110"/>
      <c r="H5500" s="108" t="s">
        <v>23666</v>
      </c>
      <c r="I5500" s="108"/>
    </row>
    <row r="5501" spans="1:9">
      <c r="A5501" s="108" t="s">
        <v>169</v>
      </c>
      <c r="B5501" s="108" t="s">
        <v>23743</v>
      </c>
      <c r="C5501" s="109">
        <v>44182</v>
      </c>
      <c r="D5501" s="108"/>
      <c r="E5501" s="108" t="s">
        <v>14605</v>
      </c>
      <c r="F5501" s="108" t="s">
        <v>23686</v>
      </c>
      <c r="G5501" s="110"/>
      <c r="H5501" s="108" t="s">
        <v>23666</v>
      </c>
      <c r="I5501" s="108"/>
    </row>
    <row r="5502" spans="1:9">
      <c r="A5502" s="108" t="s">
        <v>169</v>
      </c>
      <c r="B5502" s="108" t="s">
        <v>23744</v>
      </c>
      <c r="C5502" s="109">
        <v>44271</v>
      </c>
      <c r="D5502" s="108"/>
      <c r="E5502" s="108" t="s">
        <v>14605</v>
      </c>
      <c r="F5502" s="108" t="s">
        <v>14852</v>
      </c>
      <c r="G5502" s="110"/>
      <c r="H5502" s="108" t="s">
        <v>23666</v>
      </c>
      <c r="I5502" s="108"/>
    </row>
    <row r="5503" spans="1:9">
      <c r="A5503" s="108" t="s">
        <v>169</v>
      </c>
      <c r="B5503" s="108" t="s">
        <v>23745</v>
      </c>
      <c r="C5503" s="109">
        <v>44490</v>
      </c>
      <c r="D5503" s="108"/>
      <c r="E5503" s="108" t="s">
        <v>14605</v>
      </c>
      <c r="F5503" s="108" t="s">
        <v>23686</v>
      </c>
      <c r="G5503" s="110"/>
      <c r="H5503" s="108" t="s">
        <v>23666</v>
      </c>
      <c r="I5503" s="108"/>
    </row>
    <row r="5504" spans="1:9">
      <c r="A5504" s="108" t="s">
        <v>244</v>
      </c>
      <c r="B5504" s="108" t="s">
        <v>23746</v>
      </c>
      <c r="C5504" s="109">
        <v>44977</v>
      </c>
      <c r="D5504" s="108" t="s">
        <v>23747</v>
      </c>
      <c r="E5504" s="108" t="s">
        <v>14605</v>
      </c>
      <c r="F5504" s="108" t="s">
        <v>19843</v>
      </c>
      <c r="G5504" s="109">
        <v>45119</v>
      </c>
      <c r="H5504" s="108" t="s">
        <v>23748</v>
      </c>
      <c r="I5504" s="108" t="s">
        <v>108</v>
      </c>
    </row>
    <row r="5505" spans="1:9">
      <c r="A5505" s="108" t="s">
        <v>14679</v>
      </c>
      <c r="B5505" s="108" t="s">
        <v>23749</v>
      </c>
      <c r="C5505" s="109">
        <v>45260</v>
      </c>
      <c r="D5505" s="108" t="s">
        <v>23750</v>
      </c>
      <c r="E5505" s="108" t="s">
        <v>14605</v>
      </c>
      <c r="F5505" s="108" t="s">
        <v>23751</v>
      </c>
      <c r="G5505" s="109">
        <v>45625</v>
      </c>
      <c r="H5505" s="108" t="s">
        <v>23752</v>
      </c>
      <c r="I5505" s="108" t="s">
        <v>108</v>
      </c>
    </row>
    <row r="5506" spans="1:9">
      <c r="A5506" s="108" t="s">
        <v>118</v>
      </c>
      <c r="B5506" s="108" t="s">
        <v>23753</v>
      </c>
      <c r="C5506" s="109">
        <v>45259</v>
      </c>
      <c r="D5506" s="108" t="s">
        <v>23754</v>
      </c>
      <c r="E5506" s="108" t="s">
        <v>14605</v>
      </c>
      <c r="F5506" s="108" t="s">
        <v>23755</v>
      </c>
      <c r="G5506" s="109">
        <v>45624</v>
      </c>
      <c r="H5506" s="108" t="s">
        <v>23752</v>
      </c>
      <c r="I5506" s="108" t="s">
        <v>108</v>
      </c>
    </row>
    <row r="5507" spans="1:9">
      <c r="A5507" s="108" t="s">
        <v>169</v>
      </c>
      <c r="B5507" s="108" t="s">
        <v>23756</v>
      </c>
      <c r="C5507" s="109">
        <v>42531</v>
      </c>
      <c r="D5507" s="108"/>
      <c r="E5507" s="108" t="s">
        <v>14605</v>
      </c>
      <c r="F5507" s="108" t="s">
        <v>23757</v>
      </c>
      <c r="G5507" s="110"/>
      <c r="H5507" s="108" t="s">
        <v>5265</v>
      </c>
      <c r="I5507" s="108"/>
    </row>
    <row r="5508" spans="1:9" ht="27.6">
      <c r="A5508" s="108" t="s">
        <v>169</v>
      </c>
      <c r="B5508" s="108" t="s">
        <v>23758</v>
      </c>
      <c r="C5508" s="109">
        <v>42905</v>
      </c>
      <c r="D5508" s="108"/>
      <c r="E5508" s="108" t="s">
        <v>14605</v>
      </c>
      <c r="F5508" s="108" t="s">
        <v>23759</v>
      </c>
      <c r="G5508" s="110"/>
      <c r="H5508" s="108" t="s">
        <v>5265</v>
      </c>
      <c r="I5508" s="108"/>
    </row>
    <row r="5509" spans="1:9">
      <c r="A5509" s="108" t="s">
        <v>169</v>
      </c>
      <c r="B5509" s="108" t="s">
        <v>23760</v>
      </c>
      <c r="C5509" s="109">
        <v>42965</v>
      </c>
      <c r="D5509" s="108"/>
      <c r="E5509" s="108" t="s">
        <v>14605</v>
      </c>
      <c r="F5509" s="108" t="s">
        <v>23761</v>
      </c>
      <c r="G5509" s="110"/>
      <c r="H5509" s="108" t="s">
        <v>5265</v>
      </c>
      <c r="I5509" s="108"/>
    </row>
    <row r="5510" spans="1:9">
      <c r="A5510" s="108" t="s">
        <v>169</v>
      </c>
      <c r="B5510" s="108" t="s">
        <v>23762</v>
      </c>
      <c r="C5510" s="109">
        <v>43861</v>
      </c>
      <c r="D5510" s="108"/>
      <c r="E5510" s="108" t="s">
        <v>14605</v>
      </c>
      <c r="F5510" s="108" t="s">
        <v>23763</v>
      </c>
      <c r="G5510" s="110"/>
      <c r="H5510" s="108" t="s">
        <v>5265</v>
      </c>
      <c r="I5510" s="108"/>
    </row>
    <row r="5511" spans="1:9">
      <c r="A5511" s="108" t="s">
        <v>169</v>
      </c>
      <c r="B5511" s="108" t="s">
        <v>23764</v>
      </c>
      <c r="C5511" s="109">
        <v>43777</v>
      </c>
      <c r="D5511" s="108"/>
      <c r="E5511" s="108" t="s">
        <v>14605</v>
      </c>
      <c r="F5511" s="108" t="s">
        <v>23763</v>
      </c>
      <c r="G5511" s="110"/>
      <c r="H5511" s="108" t="s">
        <v>5265</v>
      </c>
      <c r="I5511" s="108"/>
    </row>
    <row r="5512" spans="1:9" ht="27.6">
      <c r="A5512" s="108" t="s">
        <v>87</v>
      </c>
      <c r="B5512" s="108" t="s">
        <v>23765</v>
      </c>
      <c r="C5512" s="109">
        <v>42838</v>
      </c>
      <c r="D5512" s="108"/>
      <c r="E5512" s="108" t="s">
        <v>14605</v>
      </c>
      <c r="F5512" s="108" t="s">
        <v>23766</v>
      </c>
      <c r="G5512" s="110"/>
      <c r="H5512" s="108" t="s">
        <v>5265</v>
      </c>
      <c r="I5512" s="108"/>
    </row>
    <row r="5513" spans="1:9">
      <c r="A5513" s="108" t="s">
        <v>87</v>
      </c>
      <c r="B5513" s="108" t="s">
        <v>23767</v>
      </c>
      <c r="C5513" s="109">
        <v>43728</v>
      </c>
      <c r="D5513" s="108"/>
      <c r="E5513" s="108" t="s">
        <v>14605</v>
      </c>
      <c r="F5513" s="108" t="s">
        <v>23763</v>
      </c>
      <c r="G5513" s="110"/>
      <c r="H5513" s="108" t="s">
        <v>5265</v>
      </c>
      <c r="I5513" s="108"/>
    </row>
    <row r="5514" spans="1:9" ht="27.6">
      <c r="A5514" s="108" t="s">
        <v>23335</v>
      </c>
      <c r="B5514" s="108" t="s">
        <v>23768</v>
      </c>
      <c r="C5514" s="109">
        <v>43728</v>
      </c>
      <c r="D5514" s="108"/>
      <c r="E5514" s="108" t="s">
        <v>14605</v>
      </c>
      <c r="F5514" s="108" t="s">
        <v>23763</v>
      </c>
      <c r="G5514" s="110"/>
      <c r="H5514" s="108" t="s">
        <v>5265</v>
      </c>
      <c r="I5514" s="108"/>
    </row>
    <row r="5515" spans="1:9" ht="27.6">
      <c r="A5515" s="108" t="s">
        <v>14690</v>
      </c>
      <c r="B5515" s="108" t="s">
        <v>23769</v>
      </c>
      <c r="C5515" s="109">
        <v>42493</v>
      </c>
      <c r="D5515" s="108"/>
      <c r="E5515" s="108" t="s">
        <v>14605</v>
      </c>
      <c r="F5515" s="108" t="s">
        <v>23770</v>
      </c>
      <c r="G5515" s="110"/>
      <c r="H5515" s="108" t="s">
        <v>5265</v>
      </c>
      <c r="I5515" s="108"/>
    </row>
    <row r="5516" spans="1:9" ht="27.6">
      <c r="A5516" s="108" t="s">
        <v>14929</v>
      </c>
      <c r="B5516" s="108" t="s">
        <v>23771</v>
      </c>
      <c r="C5516" s="109">
        <v>43549</v>
      </c>
      <c r="D5516" s="108"/>
      <c r="E5516" s="108" t="s">
        <v>14605</v>
      </c>
      <c r="F5516" s="108" t="s">
        <v>23772</v>
      </c>
      <c r="G5516" s="110"/>
      <c r="H5516" s="108" t="s">
        <v>5265</v>
      </c>
      <c r="I5516" s="108"/>
    </row>
    <row r="5517" spans="1:9" ht="27.6">
      <c r="A5517" s="108" t="s">
        <v>14950</v>
      </c>
      <c r="B5517" s="108" t="s">
        <v>23773</v>
      </c>
      <c r="C5517" s="109">
        <v>43734</v>
      </c>
      <c r="D5517" s="108"/>
      <c r="E5517" s="108" t="s">
        <v>14605</v>
      </c>
      <c r="F5517" s="108" t="s">
        <v>23774</v>
      </c>
      <c r="G5517" s="110"/>
      <c r="H5517" s="108" t="s">
        <v>5265</v>
      </c>
      <c r="I5517" s="108"/>
    </row>
    <row r="5518" spans="1:9" ht="27.6">
      <c r="A5518" s="108" t="s">
        <v>14950</v>
      </c>
      <c r="B5518" s="108" t="s">
        <v>23775</v>
      </c>
      <c r="C5518" s="109">
        <v>43796</v>
      </c>
      <c r="D5518" s="108"/>
      <c r="E5518" s="108" t="s">
        <v>14605</v>
      </c>
      <c r="F5518" s="108" t="s">
        <v>15097</v>
      </c>
      <c r="G5518" s="110"/>
      <c r="H5518" s="108" t="s">
        <v>5265</v>
      </c>
      <c r="I5518" s="108"/>
    </row>
    <row r="5519" spans="1:9" ht="27.6">
      <c r="A5519" s="108" t="s">
        <v>14950</v>
      </c>
      <c r="B5519" s="108" t="s">
        <v>23776</v>
      </c>
      <c r="C5519" s="109">
        <v>44924</v>
      </c>
      <c r="D5519" s="108"/>
      <c r="E5519" s="108" t="s">
        <v>14605</v>
      </c>
      <c r="F5519" s="108" t="s">
        <v>16758</v>
      </c>
      <c r="G5519" s="110"/>
      <c r="H5519" s="108" t="s">
        <v>5265</v>
      </c>
      <c r="I5519" s="108"/>
    </row>
    <row r="5520" spans="1:9" ht="27.6">
      <c r="A5520" s="108" t="s">
        <v>14950</v>
      </c>
      <c r="B5520" s="108" t="s">
        <v>23777</v>
      </c>
      <c r="C5520" s="109">
        <v>44804</v>
      </c>
      <c r="D5520" s="108"/>
      <c r="E5520" s="108" t="s">
        <v>14605</v>
      </c>
      <c r="F5520" s="108" t="s">
        <v>14764</v>
      </c>
      <c r="G5520" s="110"/>
      <c r="H5520" s="108" t="s">
        <v>5265</v>
      </c>
      <c r="I5520" s="108"/>
    </row>
    <row r="5521" spans="1:9" ht="27.6">
      <c r="A5521" s="108" t="s">
        <v>14950</v>
      </c>
      <c r="B5521" s="108" t="s">
        <v>23778</v>
      </c>
      <c r="C5521" s="109">
        <v>44658</v>
      </c>
      <c r="D5521" s="108"/>
      <c r="E5521" s="108" t="s">
        <v>14605</v>
      </c>
      <c r="F5521" s="108" t="s">
        <v>16758</v>
      </c>
      <c r="G5521" s="110"/>
      <c r="H5521" s="108" t="s">
        <v>5265</v>
      </c>
      <c r="I5521" s="108"/>
    </row>
    <row r="5522" spans="1:9" ht="27.6">
      <c r="A5522" s="108" t="s">
        <v>14950</v>
      </c>
      <c r="B5522" s="108" t="s">
        <v>23779</v>
      </c>
      <c r="C5522" s="109">
        <v>44924</v>
      </c>
      <c r="D5522" s="108"/>
      <c r="E5522" s="108" t="s">
        <v>14605</v>
      </c>
      <c r="F5522" s="108" t="s">
        <v>16758</v>
      </c>
      <c r="G5522" s="110"/>
      <c r="H5522" s="108" t="s">
        <v>5265</v>
      </c>
      <c r="I5522" s="108"/>
    </row>
    <row r="5523" spans="1:9" ht="27.6">
      <c r="A5523" s="108" t="s">
        <v>17130</v>
      </c>
      <c r="B5523" s="108" t="s">
        <v>23780</v>
      </c>
      <c r="C5523" s="109">
        <v>43997</v>
      </c>
      <c r="D5523" s="108"/>
      <c r="E5523" s="108" t="s">
        <v>14605</v>
      </c>
      <c r="F5523" s="108" t="s">
        <v>23781</v>
      </c>
      <c r="G5523" s="110"/>
      <c r="H5523" s="108" t="s">
        <v>5265</v>
      </c>
      <c r="I5523" s="108"/>
    </row>
    <row r="5524" spans="1:9" ht="27.6">
      <c r="A5524" s="108" t="s">
        <v>14690</v>
      </c>
      <c r="B5524" s="108" t="s">
        <v>23782</v>
      </c>
      <c r="C5524" s="109">
        <v>44145</v>
      </c>
      <c r="D5524" s="108"/>
      <c r="E5524" s="108" t="s">
        <v>14605</v>
      </c>
      <c r="F5524" s="108" t="s">
        <v>23783</v>
      </c>
      <c r="G5524" s="110"/>
      <c r="H5524" s="108" t="s">
        <v>5265</v>
      </c>
      <c r="I5524" s="108"/>
    </row>
    <row r="5525" spans="1:9" ht="27.6">
      <c r="A5525" s="108" t="s">
        <v>15075</v>
      </c>
      <c r="B5525" s="108" t="s">
        <v>23784</v>
      </c>
      <c r="C5525" s="109">
        <v>45778</v>
      </c>
      <c r="D5525" s="108"/>
      <c r="E5525" s="108" t="s">
        <v>14605</v>
      </c>
      <c r="F5525" s="108" t="s">
        <v>16758</v>
      </c>
      <c r="G5525" s="110"/>
      <c r="H5525" s="108" t="s">
        <v>5265</v>
      </c>
      <c r="I5525" s="108"/>
    </row>
    <row r="5526" spans="1:9" ht="27.6">
      <c r="A5526" s="108" t="s">
        <v>15075</v>
      </c>
      <c r="B5526" s="108" t="s">
        <v>23785</v>
      </c>
      <c r="C5526" s="109">
        <v>45804</v>
      </c>
      <c r="D5526" s="108"/>
      <c r="E5526" s="108" t="s">
        <v>14605</v>
      </c>
      <c r="F5526" s="108" t="s">
        <v>15097</v>
      </c>
      <c r="G5526" s="110"/>
      <c r="H5526" s="108" t="s">
        <v>5265</v>
      </c>
      <c r="I5526" s="108"/>
    </row>
    <row r="5527" spans="1:9">
      <c r="A5527" s="108" t="s">
        <v>199</v>
      </c>
      <c r="B5527" s="108" t="s">
        <v>23786</v>
      </c>
      <c r="C5527" s="109">
        <v>41150</v>
      </c>
      <c r="D5527" s="108"/>
      <c r="E5527" s="108" t="s">
        <v>14605</v>
      </c>
      <c r="F5527" s="108" t="s">
        <v>23787</v>
      </c>
      <c r="G5527" s="110"/>
      <c r="H5527" s="108" t="s">
        <v>5265</v>
      </c>
      <c r="I5527" s="108"/>
    </row>
    <row r="5528" spans="1:9" ht="27.6">
      <c r="A5528" s="108" t="s">
        <v>15759</v>
      </c>
      <c r="B5528" s="108" t="s">
        <v>23788</v>
      </c>
      <c r="C5528" s="109">
        <v>45441</v>
      </c>
      <c r="D5528" s="108"/>
      <c r="E5528" s="108" t="s">
        <v>14605</v>
      </c>
      <c r="F5528" s="108" t="s">
        <v>15097</v>
      </c>
      <c r="G5528" s="110"/>
      <c r="H5528" s="108" t="s">
        <v>5265</v>
      </c>
      <c r="I5528" s="108"/>
    </row>
    <row r="5529" spans="1:9" ht="27.6">
      <c r="A5529" s="108" t="s">
        <v>207</v>
      </c>
      <c r="B5529" s="108" t="s">
        <v>23789</v>
      </c>
      <c r="C5529" s="109">
        <v>41814</v>
      </c>
      <c r="D5529" s="108"/>
      <c r="E5529" s="108" t="s">
        <v>14605</v>
      </c>
      <c r="F5529" s="108" t="s">
        <v>23766</v>
      </c>
      <c r="G5529" s="110"/>
      <c r="H5529" s="108" t="s">
        <v>5265</v>
      </c>
      <c r="I5529" s="108"/>
    </row>
    <row r="5530" spans="1:9" ht="27.6">
      <c r="A5530" s="108" t="s">
        <v>207</v>
      </c>
      <c r="B5530" s="108" t="s">
        <v>23790</v>
      </c>
      <c r="C5530" s="109">
        <v>42461</v>
      </c>
      <c r="D5530" s="108"/>
      <c r="E5530" s="108" t="s">
        <v>14605</v>
      </c>
      <c r="F5530" s="108" t="s">
        <v>23791</v>
      </c>
      <c r="G5530" s="110"/>
      <c r="H5530" s="108" t="s">
        <v>5265</v>
      </c>
      <c r="I5530" s="108"/>
    </row>
    <row r="5531" spans="1:9" ht="27.6">
      <c r="A5531" s="108" t="s">
        <v>207</v>
      </c>
      <c r="B5531" s="108" t="s">
        <v>23792</v>
      </c>
      <c r="C5531" s="109">
        <v>44358</v>
      </c>
      <c r="D5531" s="108"/>
      <c r="E5531" s="108" t="s">
        <v>14605</v>
      </c>
      <c r="F5531" s="108" t="s">
        <v>23757</v>
      </c>
      <c r="G5531" s="110"/>
      <c r="H5531" s="108" t="s">
        <v>5265</v>
      </c>
      <c r="I5531" s="108"/>
    </row>
    <row r="5532" spans="1:9">
      <c r="A5532" s="108" t="s">
        <v>169</v>
      </c>
      <c r="B5532" s="108" t="s">
        <v>23793</v>
      </c>
      <c r="C5532" s="109">
        <v>44288</v>
      </c>
      <c r="D5532" s="108"/>
      <c r="E5532" s="108" t="s">
        <v>14605</v>
      </c>
      <c r="F5532" s="108" t="s">
        <v>23763</v>
      </c>
      <c r="G5532" s="110"/>
      <c r="H5532" s="108" t="s">
        <v>5265</v>
      </c>
      <c r="I5532" s="108"/>
    </row>
    <row r="5533" spans="1:9">
      <c r="A5533" s="108" t="s">
        <v>378</v>
      </c>
      <c r="B5533" s="108" t="s">
        <v>23794</v>
      </c>
      <c r="C5533" s="109">
        <v>45391</v>
      </c>
      <c r="D5533" s="108"/>
      <c r="E5533" s="108" t="s">
        <v>14605</v>
      </c>
      <c r="F5533" s="108" t="s">
        <v>14764</v>
      </c>
      <c r="G5533" s="110"/>
      <c r="H5533" s="108" t="s">
        <v>5265</v>
      </c>
      <c r="I5533" s="108"/>
    </row>
    <row r="5534" spans="1:9" ht="27.6">
      <c r="A5534" s="108" t="s">
        <v>14950</v>
      </c>
      <c r="B5534" s="108" t="s">
        <v>23795</v>
      </c>
      <c r="C5534" s="109">
        <v>43574</v>
      </c>
      <c r="D5534" s="108" t="s">
        <v>23796</v>
      </c>
      <c r="E5534" s="108" t="s">
        <v>14605</v>
      </c>
      <c r="F5534" s="108" t="s">
        <v>23781</v>
      </c>
      <c r="G5534" s="109">
        <v>44278</v>
      </c>
      <c r="H5534" s="108" t="s">
        <v>5265</v>
      </c>
      <c r="I5534" s="108" t="s">
        <v>95</v>
      </c>
    </row>
    <row r="5535" spans="1:9" ht="27.6">
      <c r="A5535" s="108" t="s">
        <v>14950</v>
      </c>
      <c r="B5535" s="108" t="s">
        <v>23797</v>
      </c>
      <c r="C5535" s="109">
        <v>43774</v>
      </c>
      <c r="D5535" s="108" t="s">
        <v>23798</v>
      </c>
      <c r="E5535" s="108" t="s">
        <v>14605</v>
      </c>
      <c r="F5535" s="108" t="s">
        <v>23799</v>
      </c>
      <c r="G5535" s="109">
        <v>44873</v>
      </c>
      <c r="H5535" s="108" t="s">
        <v>5265</v>
      </c>
      <c r="I5535" s="108" t="s">
        <v>95</v>
      </c>
    </row>
    <row r="5536" spans="1:9" ht="27.6">
      <c r="A5536" s="108" t="s">
        <v>14950</v>
      </c>
      <c r="B5536" s="108" t="s">
        <v>23800</v>
      </c>
      <c r="C5536" s="109">
        <v>44104</v>
      </c>
      <c r="D5536" s="108" t="s">
        <v>23801</v>
      </c>
      <c r="E5536" s="108" t="s">
        <v>14605</v>
      </c>
      <c r="F5536" s="108" t="s">
        <v>16758</v>
      </c>
      <c r="G5536" s="109">
        <v>44811</v>
      </c>
      <c r="H5536" s="108" t="s">
        <v>5265</v>
      </c>
      <c r="I5536" s="108" t="s">
        <v>95</v>
      </c>
    </row>
    <row r="5537" spans="1:9" ht="27.6">
      <c r="A5537" s="108" t="s">
        <v>14950</v>
      </c>
      <c r="B5537" s="108" t="s">
        <v>23802</v>
      </c>
      <c r="C5537" s="109">
        <v>44111</v>
      </c>
      <c r="D5537" s="108" t="s">
        <v>23803</v>
      </c>
      <c r="E5537" s="108" t="s">
        <v>14605</v>
      </c>
      <c r="F5537" s="108" t="s">
        <v>16758</v>
      </c>
      <c r="G5537" s="109">
        <v>44811</v>
      </c>
      <c r="H5537" s="108" t="s">
        <v>5265</v>
      </c>
      <c r="I5537" s="108" t="s">
        <v>95</v>
      </c>
    </row>
    <row r="5538" spans="1:9" ht="27.6">
      <c r="A5538" s="108" t="s">
        <v>15075</v>
      </c>
      <c r="B5538" s="108" t="s">
        <v>23804</v>
      </c>
      <c r="C5538" s="109">
        <v>44649</v>
      </c>
      <c r="D5538" s="108" t="s">
        <v>23805</v>
      </c>
      <c r="E5538" s="108" t="s">
        <v>14605</v>
      </c>
      <c r="F5538" s="108" t="s">
        <v>23806</v>
      </c>
      <c r="G5538" s="109">
        <v>45100</v>
      </c>
      <c r="H5538" s="108" t="s">
        <v>5265</v>
      </c>
      <c r="I5538" s="108" t="s">
        <v>95</v>
      </c>
    </row>
    <row r="5539" spans="1:9" ht="27.6">
      <c r="A5539" s="108" t="s">
        <v>96</v>
      </c>
      <c r="B5539" s="108" t="s">
        <v>23807</v>
      </c>
      <c r="C5539" s="109">
        <v>43544</v>
      </c>
      <c r="D5539" s="108" t="s">
        <v>23808</v>
      </c>
      <c r="E5539" s="108" t="s">
        <v>14605</v>
      </c>
      <c r="F5539" s="108" t="s">
        <v>23774</v>
      </c>
      <c r="G5539" s="109">
        <v>45107</v>
      </c>
      <c r="H5539" s="108" t="s">
        <v>5265</v>
      </c>
      <c r="I5539" s="108" t="s">
        <v>95</v>
      </c>
    </row>
    <row r="5540" spans="1:9">
      <c r="A5540" s="108" t="s">
        <v>16151</v>
      </c>
      <c r="B5540" s="108" t="s">
        <v>23809</v>
      </c>
      <c r="C5540" s="109">
        <v>44714</v>
      </c>
      <c r="D5540" s="108" t="s">
        <v>23810</v>
      </c>
      <c r="E5540" s="108" t="s">
        <v>14605</v>
      </c>
      <c r="F5540" s="108" t="s">
        <v>15097</v>
      </c>
      <c r="G5540" s="109">
        <v>45200</v>
      </c>
      <c r="H5540" s="108" t="s">
        <v>5265</v>
      </c>
      <c r="I5540" s="108" t="s">
        <v>95</v>
      </c>
    </row>
    <row r="5541" spans="1:9">
      <c r="A5541" s="108" t="s">
        <v>15990</v>
      </c>
      <c r="B5541" s="108" t="s">
        <v>23811</v>
      </c>
      <c r="C5541" s="109">
        <v>44725</v>
      </c>
      <c r="D5541" s="108" t="s">
        <v>23812</v>
      </c>
      <c r="E5541" s="108" t="s">
        <v>14605</v>
      </c>
      <c r="F5541" s="108" t="s">
        <v>15887</v>
      </c>
      <c r="G5541" s="109">
        <v>45412</v>
      </c>
      <c r="H5541" s="108" t="s">
        <v>5265</v>
      </c>
      <c r="I5541" s="108" t="s">
        <v>95</v>
      </c>
    </row>
    <row r="5542" spans="1:9">
      <c r="A5542" s="108" t="s">
        <v>16151</v>
      </c>
      <c r="B5542" s="108" t="s">
        <v>23813</v>
      </c>
      <c r="C5542" s="109">
        <v>43796</v>
      </c>
      <c r="D5542" s="108" t="s">
        <v>23814</v>
      </c>
      <c r="E5542" s="108" t="s">
        <v>14605</v>
      </c>
      <c r="F5542" s="108" t="s">
        <v>15097</v>
      </c>
      <c r="G5542" s="109">
        <v>45622</v>
      </c>
      <c r="H5542" s="108" t="s">
        <v>5265</v>
      </c>
      <c r="I5542" s="108" t="s">
        <v>95</v>
      </c>
    </row>
    <row r="5543" spans="1:9">
      <c r="A5543" s="108" t="s">
        <v>16151</v>
      </c>
      <c r="B5543" s="108" t="s">
        <v>23815</v>
      </c>
      <c r="C5543" s="109">
        <v>44104</v>
      </c>
      <c r="D5543" s="108" t="s">
        <v>23816</v>
      </c>
      <c r="E5543" s="108" t="s">
        <v>14605</v>
      </c>
      <c r="F5543" s="108" t="s">
        <v>16758</v>
      </c>
      <c r="G5543" s="109">
        <v>46020</v>
      </c>
      <c r="H5543" s="108" t="s">
        <v>5265</v>
      </c>
      <c r="I5543" s="108" t="s">
        <v>95</v>
      </c>
    </row>
    <row r="5544" spans="1:9">
      <c r="A5544" s="108" t="s">
        <v>16151</v>
      </c>
      <c r="B5544" s="108" t="s">
        <v>23817</v>
      </c>
      <c r="C5544" s="109">
        <v>44111</v>
      </c>
      <c r="D5544" s="108" t="s">
        <v>23818</v>
      </c>
      <c r="E5544" s="108" t="s">
        <v>14605</v>
      </c>
      <c r="F5544" s="108" t="s">
        <v>16758</v>
      </c>
      <c r="G5544" s="109">
        <v>46020</v>
      </c>
      <c r="H5544" s="108" t="s">
        <v>5265</v>
      </c>
      <c r="I5544" s="108" t="s">
        <v>95</v>
      </c>
    </row>
    <row r="5545" spans="1:9">
      <c r="A5545" s="108" t="s">
        <v>16151</v>
      </c>
      <c r="B5545" s="108" t="s">
        <v>23819</v>
      </c>
      <c r="C5545" s="109">
        <v>44924</v>
      </c>
      <c r="D5545" s="108" t="s">
        <v>23820</v>
      </c>
      <c r="E5545" s="108" t="s">
        <v>14605</v>
      </c>
      <c r="F5545" s="108" t="s">
        <v>16758</v>
      </c>
      <c r="G5545" s="109">
        <v>46020</v>
      </c>
      <c r="H5545" s="108" t="s">
        <v>5265</v>
      </c>
      <c r="I5545" s="108" t="s">
        <v>95</v>
      </c>
    </row>
    <row r="5546" spans="1:9">
      <c r="A5546" s="108" t="s">
        <v>16151</v>
      </c>
      <c r="B5546" s="108" t="s">
        <v>23821</v>
      </c>
      <c r="C5546" s="109">
        <v>44924</v>
      </c>
      <c r="D5546" s="108" t="s">
        <v>23822</v>
      </c>
      <c r="E5546" s="108" t="s">
        <v>14605</v>
      </c>
      <c r="F5546" s="108" t="s">
        <v>16758</v>
      </c>
      <c r="G5546" s="109">
        <v>46020</v>
      </c>
      <c r="H5546" s="108" t="s">
        <v>5265</v>
      </c>
      <c r="I5546" s="108" t="s">
        <v>95</v>
      </c>
    </row>
    <row r="5547" spans="1:9" ht="27.6">
      <c r="A5547" s="108" t="s">
        <v>16149</v>
      </c>
      <c r="B5547" s="108" t="s">
        <v>5266</v>
      </c>
      <c r="C5547" s="109">
        <v>45861</v>
      </c>
      <c r="D5547" s="108" t="s">
        <v>5268</v>
      </c>
      <c r="E5547" s="108" t="s">
        <v>14605</v>
      </c>
      <c r="F5547" s="108" t="s">
        <v>14764</v>
      </c>
      <c r="G5547" s="109">
        <v>46221</v>
      </c>
      <c r="H5547" s="108" t="s">
        <v>5265</v>
      </c>
      <c r="I5547" s="108" t="s">
        <v>108</v>
      </c>
    </row>
    <row r="5548" spans="1:9">
      <c r="A5548" s="108" t="s">
        <v>16151</v>
      </c>
      <c r="B5548" s="108" t="s">
        <v>23823</v>
      </c>
      <c r="C5548" s="109">
        <v>45622</v>
      </c>
      <c r="D5548" s="108" t="s">
        <v>23824</v>
      </c>
      <c r="E5548" s="108" t="s">
        <v>14605</v>
      </c>
      <c r="F5548" s="108" t="s">
        <v>15097</v>
      </c>
      <c r="G5548" s="109">
        <v>45956</v>
      </c>
      <c r="H5548" s="108" t="s">
        <v>5265</v>
      </c>
      <c r="I5548" s="108" t="s">
        <v>108</v>
      </c>
    </row>
    <row r="5549" spans="1:9" ht="27.6">
      <c r="A5549" s="108" t="s">
        <v>103</v>
      </c>
      <c r="B5549" s="108" t="s">
        <v>23825</v>
      </c>
      <c r="C5549" s="109">
        <v>43761</v>
      </c>
      <c r="D5549" s="108" t="s">
        <v>23826</v>
      </c>
      <c r="E5549" s="108" t="s">
        <v>14605</v>
      </c>
      <c r="F5549" s="108" t="s">
        <v>15992</v>
      </c>
      <c r="G5549" s="109">
        <v>45587</v>
      </c>
      <c r="H5549" s="108" t="s">
        <v>5265</v>
      </c>
      <c r="I5549" s="108" t="s">
        <v>108</v>
      </c>
    </row>
    <row r="5550" spans="1:9">
      <c r="A5550" s="108" t="s">
        <v>16986</v>
      </c>
      <c r="B5550" s="108" t="s">
        <v>23827</v>
      </c>
      <c r="C5550" s="109">
        <v>45261</v>
      </c>
      <c r="D5550" s="108" t="s">
        <v>23828</v>
      </c>
      <c r="E5550" s="108" t="s">
        <v>14605</v>
      </c>
      <c r="F5550" s="108" t="s">
        <v>15097</v>
      </c>
      <c r="G5550" s="109">
        <v>46249</v>
      </c>
      <c r="H5550" s="108" t="s">
        <v>5265</v>
      </c>
      <c r="I5550" s="108" t="s">
        <v>19708</v>
      </c>
    </row>
    <row r="5551" spans="1:9" ht="27.6">
      <c r="A5551" s="108" t="s">
        <v>109</v>
      </c>
      <c r="B5551" s="108" t="s">
        <v>23829</v>
      </c>
      <c r="C5551" s="109">
        <v>44362</v>
      </c>
      <c r="D5551" s="108" t="s">
        <v>23830</v>
      </c>
      <c r="E5551" s="108" t="s">
        <v>14605</v>
      </c>
      <c r="F5551" s="108" t="s">
        <v>23806</v>
      </c>
      <c r="G5551" s="109">
        <v>46196</v>
      </c>
      <c r="H5551" s="108" t="s">
        <v>5265</v>
      </c>
      <c r="I5551" s="108" t="s">
        <v>19708</v>
      </c>
    </row>
    <row r="5552" spans="1:9">
      <c r="A5552" s="108" t="s">
        <v>8194</v>
      </c>
      <c r="B5552" s="108" t="s">
        <v>23831</v>
      </c>
      <c r="C5552" s="109">
        <v>44685</v>
      </c>
      <c r="D5552" s="108" t="s">
        <v>23832</v>
      </c>
      <c r="E5552" s="108" t="s">
        <v>14605</v>
      </c>
      <c r="F5552" s="108" t="s">
        <v>23781</v>
      </c>
      <c r="G5552" s="109">
        <v>45998</v>
      </c>
      <c r="H5552" s="108" t="s">
        <v>5265</v>
      </c>
      <c r="I5552" s="108" t="s">
        <v>19708</v>
      </c>
    </row>
    <row r="5553" spans="1:9" ht="27.6">
      <c r="A5553" s="108" t="s">
        <v>16151</v>
      </c>
      <c r="B5553" s="108" t="s">
        <v>23833</v>
      </c>
      <c r="C5553" s="109">
        <v>43784</v>
      </c>
      <c r="D5553" s="108" t="s">
        <v>23834</v>
      </c>
      <c r="E5553" s="108" t="s">
        <v>14605</v>
      </c>
      <c r="F5553" s="108" t="s">
        <v>23799</v>
      </c>
      <c r="G5553" s="109">
        <v>45968</v>
      </c>
      <c r="H5553" s="108" t="s">
        <v>5265</v>
      </c>
      <c r="I5553" s="108" t="s">
        <v>19708</v>
      </c>
    </row>
    <row r="5554" spans="1:9">
      <c r="A5554" s="108" t="s">
        <v>16151</v>
      </c>
      <c r="B5554" s="108" t="s">
        <v>23835</v>
      </c>
      <c r="C5554" s="109">
        <v>43992</v>
      </c>
      <c r="D5554" s="108" t="s">
        <v>23836</v>
      </c>
      <c r="E5554" s="108" t="s">
        <v>14605</v>
      </c>
      <c r="F5554" s="108" t="s">
        <v>23757</v>
      </c>
      <c r="G5554" s="109">
        <v>46201</v>
      </c>
      <c r="H5554" s="108" t="s">
        <v>5265</v>
      </c>
      <c r="I5554" s="108" t="s">
        <v>19708</v>
      </c>
    </row>
    <row r="5555" spans="1:9">
      <c r="A5555" s="108" t="s">
        <v>16151</v>
      </c>
      <c r="B5555" s="108" t="s">
        <v>23837</v>
      </c>
      <c r="C5555" s="109">
        <v>45252</v>
      </c>
      <c r="D5555" s="108" t="s">
        <v>23838</v>
      </c>
      <c r="E5555" s="108" t="s">
        <v>14605</v>
      </c>
      <c r="F5555" s="108" t="s">
        <v>23839</v>
      </c>
      <c r="G5555" s="109">
        <v>46072</v>
      </c>
      <c r="H5555" s="108" t="s">
        <v>5265</v>
      </c>
      <c r="I5555" s="108" t="s">
        <v>19708</v>
      </c>
    </row>
    <row r="5556" spans="1:9">
      <c r="A5556" s="108" t="s">
        <v>16151</v>
      </c>
      <c r="B5556" s="108" t="s">
        <v>23840</v>
      </c>
      <c r="C5556" s="109">
        <v>45493</v>
      </c>
      <c r="D5556" s="108" t="s">
        <v>23841</v>
      </c>
      <c r="E5556" s="108" t="s">
        <v>14605</v>
      </c>
      <c r="F5556" s="108" t="s">
        <v>15097</v>
      </c>
      <c r="G5556" s="109">
        <v>46502</v>
      </c>
      <c r="H5556" s="108" t="s">
        <v>5265</v>
      </c>
      <c r="I5556" s="108" t="s">
        <v>19708</v>
      </c>
    </row>
    <row r="5557" spans="1:9" ht="27.6">
      <c r="A5557" s="108" t="s">
        <v>16149</v>
      </c>
      <c r="B5557" s="108" t="s">
        <v>23842</v>
      </c>
      <c r="C5557" s="109">
        <v>44501</v>
      </c>
      <c r="D5557" s="108" t="s">
        <v>23843</v>
      </c>
      <c r="E5557" s="108" t="s">
        <v>14605</v>
      </c>
      <c r="F5557" s="108" t="s">
        <v>23844</v>
      </c>
      <c r="G5557" s="109">
        <v>46152</v>
      </c>
      <c r="H5557" s="108" t="s">
        <v>5265</v>
      </c>
      <c r="I5557" s="108" t="s">
        <v>19708</v>
      </c>
    </row>
    <row r="5558" spans="1:9" ht="27.6">
      <c r="A5558" s="108" t="s">
        <v>169</v>
      </c>
      <c r="B5558" s="108" t="s">
        <v>23845</v>
      </c>
      <c r="C5558" s="109">
        <v>43515</v>
      </c>
      <c r="D5558" s="108"/>
      <c r="E5558" s="108" t="s">
        <v>14605</v>
      </c>
      <c r="F5558" s="108" t="s">
        <v>23846</v>
      </c>
      <c r="G5558" s="110"/>
      <c r="H5558" s="108" t="s">
        <v>23847</v>
      </c>
      <c r="I5558" s="108"/>
    </row>
    <row r="5559" spans="1:9" ht="27.6">
      <c r="A5559" s="108" t="s">
        <v>169</v>
      </c>
      <c r="B5559" s="108" t="s">
        <v>23848</v>
      </c>
      <c r="C5559" s="109">
        <v>41618</v>
      </c>
      <c r="D5559" s="108"/>
      <c r="E5559" s="108" t="s">
        <v>14605</v>
      </c>
      <c r="F5559" s="108" t="s">
        <v>23849</v>
      </c>
      <c r="G5559" s="110"/>
      <c r="H5559" s="108" t="s">
        <v>23847</v>
      </c>
      <c r="I5559" s="108"/>
    </row>
    <row r="5560" spans="1:9">
      <c r="A5560" s="108" t="s">
        <v>169</v>
      </c>
      <c r="B5560" s="108" t="s">
        <v>23850</v>
      </c>
      <c r="C5560" s="109">
        <v>41662</v>
      </c>
      <c r="D5560" s="108"/>
      <c r="E5560" s="108" t="s">
        <v>14605</v>
      </c>
      <c r="F5560" s="108" t="s">
        <v>23851</v>
      </c>
      <c r="G5560" s="110"/>
      <c r="H5560" s="108" t="s">
        <v>23847</v>
      </c>
      <c r="I5560" s="108"/>
    </row>
    <row r="5561" spans="1:9" ht="27.6">
      <c r="A5561" s="108" t="s">
        <v>237</v>
      </c>
      <c r="B5561" s="108" t="s">
        <v>23852</v>
      </c>
      <c r="C5561" s="109">
        <v>42328</v>
      </c>
      <c r="D5561" s="108"/>
      <c r="E5561" s="108" t="s">
        <v>14605</v>
      </c>
      <c r="F5561" s="108" t="s">
        <v>23853</v>
      </c>
      <c r="G5561" s="110"/>
      <c r="H5561" s="108" t="s">
        <v>23847</v>
      </c>
      <c r="I5561" s="108"/>
    </row>
    <row r="5562" spans="1:9">
      <c r="A5562" s="108" t="s">
        <v>237</v>
      </c>
      <c r="B5562" s="108" t="s">
        <v>23854</v>
      </c>
      <c r="C5562" s="109">
        <v>42727</v>
      </c>
      <c r="D5562" s="108"/>
      <c r="E5562" s="108" t="s">
        <v>14605</v>
      </c>
      <c r="F5562" s="108" t="s">
        <v>23855</v>
      </c>
      <c r="G5562" s="110"/>
      <c r="H5562" s="108" t="s">
        <v>23847</v>
      </c>
      <c r="I5562" s="108"/>
    </row>
    <row r="5563" spans="1:9" ht="27.6">
      <c r="A5563" s="108" t="s">
        <v>479</v>
      </c>
      <c r="B5563" s="108" t="s">
        <v>23856</v>
      </c>
      <c r="C5563" s="109">
        <v>40815</v>
      </c>
      <c r="D5563" s="108"/>
      <c r="E5563" s="108" t="s">
        <v>14605</v>
      </c>
      <c r="F5563" s="108" t="s">
        <v>23857</v>
      </c>
      <c r="G5563" s="110"/>
      <c r="H5563" s="108" t="s">
        <v>23847</v>
      </c>
      <c r="I5563" s="108"/>
    </row>
    <row r="5564" spans="1:9">
      <c r="A5564" s="108" t="s">
        <v>169</v>
      </c>
      <c r="B5564" s="108" t="s">
        <v>23858</v>
      </c>
      <c r="C5564" s="109">
        <v>44390</v>
      </c>
      <c r="D5564" s="108"/>
      <c r="E5564" s="108" t="s">
        <v>14605</v>
      </c>
      <c r="F5564" s="108" t="s">
        <v>15827</v>
      </c>
      <c r="G5564" s="110"/>
      <c r="H5564" s="108" t="s">
        <v>23847</v>
      </c>
      <c r="I5564" s="108"/>
    </row>
    <row r="5565" spans="1:9" ht="27.6">
      <c r="A5565" s="108" t="s">
        <v>14690</v>
      </c>
      <c r="B5565" s="108" t="s">
        <v>23859</v>
      </c>
      <c r="C5565" s="109">
        <v>44210</v>
      </c>
      <c r="D5565" s="108"/>
      <c r="E5565" s="108" t="s">
        <v>14605</v>
      </c>
      <c r="F5565" s="108" t="s">
        <v>23860</v>
      </c>
      <c r="G5565" s="110"/>
      <c r="H5565" s="108" t="s">
        <v>23861</v>
      </c>
      <c r="I5565" s="108"/>
    </row>
    <row r="5566" spans="1:9" ht="27.6">
      <c r="A5566" s="108" t="s">
        <v>15759</v>
      </c>
      <c r="B5566" s="108" t="s">
        <v>23862</v>
      </c>
      <c r="C5566" s="109">
        <v>45343</v>
      </c>
      <c r="D5566" s="108"/>
      <c r="E5566" s="108" t="s">
        <v>14605</v>
      </c>
      <c r="F5566" s="108" t="s">
        <v>19759</v>
      </c>
      <c r="G5566" s="110"/>
      <c r="H5566" s="108" t="s">
        <v>23861</v>
      </c>
      <c r="I5566" s="108"/>
    </row>
    <row r="5567" spans="1:9" ht="27.6">
      <c r="A5567" s="108" t="s">
        <v>15759</v>
      </c>
      <c r="B5567" s="108" t="s">
        <v>23863</v>
      </c>
      <c r="C5567" s="109">
        <v>45957</v>
      </c>
      <c r="D5567" s="108"/>
      <c r="E5567" s="108" t="s">
        <v>14605</v>
      </c>
      <c r="F5567" s="108" t="s">
        <v>19759</v>
      </c>
      <c r="G5567" s="110"/>
      <c r="H5567" s="108" t="s">
        <v>23861</v>
      </c>
      <c r="I5567" s="108"/>
    </row>
    <row r="5568" spans="1:9">
      <c r="A5568" s="108" t="s">
        <v>118</v>
      </c>
      <c r="B5568" s="108" t="s">
        <v>23864</v>
      </c>
      <c r="C5568" s="109">
        <v>40823</v>
      </c>
      <c r="D5568" s="108"/>
      <c r="E5568" s="108" t="s">
        <v>14605</v>
      </c>
      <c r="F5568" s="108" t="s">
        <v>23865</v>
      </c>
      <c r="G5568" s="110"/>
      <c r="H5568" s="108" t="s">
        <v>23861</v>
      </c>
      <c r="I5568" s="108"/>
    </row>
    <row r="5569" spans="1:9">
      <c r="A5569" s="108" t="s">
        <v>118</v>
      </c>
      <c r="B5569" s="108" t="s">
        <v>23866</v>
      </c>
      <c r="C5569" s="109">
        <v>43521</v>
      </c>
      <c r="D5569" s="108" t="s">
        <v>23867</v>
      </c>
      <c r="E5569" s="108" t="s">
        <v>14605</v>
      </c>
      <c r="F5569" s="108" t="s">
        <v>23868</v>
      </c>
      <c r="G5569" s="109">
        <v>45869</v>
      </c>
      <c r="H5569" s="108" t="s">
        <v>23861</v>
      </c>
      <c r="I5569" s="108" t="s">
        <v>206</v>
      </c>
    </row>
    <row r="5570" spans="1:9">
      <c r="A5570" s="108" t="s">
        <v>118</v>
      </c>
      <c r="B5570" s="108" t="s">
        <v>23869</v>
      </c>
      <c r="C5570" s="109">
        <v>44418</v>
      </c>
      <c r="D5570" s="108" t="s">
        <v>23870</v>
      </c>
      <c r="E5570" s="108" t="s">
        <v>14605</v>
      </c>
      <c r="F5570" s="108" t="s">
        <v>23860</v>
      </c>
      <c r="G5570" s="109">
        <v>46264</v>
      </c>
      <c r="H5570" s="108" t="s">
        <v>23861</v>
      </c>
      <c r="I5570" s="108" t="s">
        <v>206</v>
      </c>
    </row>
    <row r="5571" spans="1:9">
      <c r="A5571" s="108" t="s">
        <v>16986</v>
      </c>
      <c r="B5571" s="108" t="s">
        <v>23871</v>
      </c>
      <c r="C5571" s="109">
        <v>45972</v>
      </c>
      <c r="D5571" s="108" t="s">
        <v>23872</v>
      </c>
      <c r="E5571" s="108" t="s">
        <v>14605</v>
      </c>
      <c r="F5571" s="108" t="s">
        <v>19759</v>
      </c>
      <c r="G5571" s="109">
        <v>45504</v>
      </c>
      <c r="H5571" s="108" t="s">
        <v>23861</v>
      </c>
      <c r="I5571" s="108" t="s">
        <v>108</v>
      </c>
    </row>
    <row r="5572" spans="1:9">
      <c r="A5572" s="108" t="s">
        <v>15859</v>
      </c>
      <c r="B5572" s="108" t="s">
        <v>23873</v>
      </c>
      <c r="C5572" s="109">
        <v>45957</v>
      </c>
      <c r="D5572" s="108" t="s">
        <v>23874</v>
      </c>
      <c r="E5572" s="108" t="s">
        <v>14605</v>
      </c>
      <c r="F5572" s="108" t="s">
        <v>19759</v>
      </c>
      <c r="G5572" s="109">
        <v>45896</v>
      </c>
      <c r="H5572" s="108" t="s">
        <v>23861</v>
      </c>
      <c r="I5572" s="108" t="s">
        <v>108</v>
      </c>
    </row>
    <row r="5573" spans="1:9" ht="27.6">
      <c r="A5573" s="108" t="s">
        <v>109</v>
      </c>
      <c r="B5573" s="108" t="s">
        <v>23875</v>
      </c>
      <c r="C5573" s="109">
        <v>45439</v>
      </c>
      <c r="D5573" s="108" t="s">
        <v>23876</v>
      </c>
      <c r="E5573" s="108" t="s">
        <v>14605</v>
      </c>
      <c r="F5573" s="108" t="s">
        <v>19759</v>
      </c>
      <c r="G5573" s="109">
        <v>45504</v>
      </c>
      <c r="H5573" s="108" t="s">
        <v>23861</v>
      </c>
      <c r="I5573" s="108" t="s">
        <v>108</v>
      </c>
    </row>
    <row r="5574" spans="1:9">
      <c r="A5574" s="108" t="s">
        <v>8194</v>
      </c>
      <c r="B5574" s="108" t="s">
        <v>23877</v>
      </c>
      <c r="C5574" s="109">
        <v>43495</v>
      </c>
      <c r="D5574" s="108" t="s">
        <v>23878</v>
      </c>
      <c r="E5574" s="108" t="s">
        <v>16121</v>
      </c>
      <c r="F5574" s="108" t="s">
        <v>15824</v>
      </c>
      <c r="G5574" s="109">
        <v>44362</v>
      </c>
      <c r="H5574" s="108" t="s">
        <v>23861</v>
      </c>
      <c r="I5574" s="108" t="s">
        <v>108</v>
      </c>
    </row>
    <row r="5575" spans="1:9">
      <c r="A5575" s="108" t="s">
        <v>169</v>
      </c>
      <c r="B5575" s="108" t="s">
        <v>23879</v>
      </c>
      <c r="C5575" s="109">
        <v>43742</v>
      </c>
      <c r="D5575" s="108"/>
      <c r="E5575" s="108" t="s">
        <v>14605</v>
      </c>
      <c r="F5575" s="108" t="s">
        <v>14801</v>
      </c>
      <c r="G5575" s="110"/>
      <c r="H5575" s="108" t="s">
        <v>23880</v>
      </c>
      <c r="I5575" s="108"/>
    </row>
    <row r="5576" spans="1:9" ht="27.6">
      <c r="A5576" s="108" t="s">
        <v>169</v>
      </c>
      <c r="B5576" s="108" t="s">
        <v>23881</v>
      </c>
      <c r="C5576" s="109">
        <v>43872</v>
      </c>
      <c r="D5576" s="108"/>
      <c r="E5576" s="108" t="s">
        <v>14605</v>
      </c>
      <c r="F5576" s="108" t="s">
        <v>14807</v>
      </c>
      <c r="G5576" s="110"/>
      <c r="H5576" s="108" t="s">
        <v>23880</v>
      </c>
      <c r="I5576" s="108"/>
    </row>
    <row r="5577" spans="1:9" ht="27.6">
      <c r="A5577" s="108" t="s">
        <v>169</v>
      </c>
      <c r="B5577" s="108" t="s">
        <v>23882</v>
      </c>
      <c r="C5577" s="109">
        <v>43872</v>
      </c>
      <c r="D5577" s="108"/>
      <c r="E5577" s="108" t="s">
        <v>14605</v>
      </c>
      <c r="F5577" s="108" t="s">
        <v>14807</v>
      </c>
      <c r="G5577" s="110"/>
      <c r="H5577" s="108" t="s">
        <v>23880</v>
      </c>
      <c r="I5577" s="108"/>
    </row>
    <row r="5578" spans="1:9">
      <c r="A5578" s="108" t="s">
        <v>169</v>
      </c>
      <c r="B5578" s="108" t="s">
        <v>23883</v>
      </c>
      <c r="C5578" s="109">
        <v>43763</v>
      </c>
      <c r="D5578" s="108"/>
      <c r="E5578" s="108" t="s">
        <v>14605</v>
      </c>
      <c r="F5578" s="108" t="s">
        <v>23884</v>
      </c>
      <c r="G5578" s="110"/>
      <c r="H5578" s="108" t="s">
        <v>23880</v>
      </c>
      <c r="I5578" s="108"/>
    </row>
    <row r="5579" spans="1:9">
      <c r="A5579" s="108" t="s">
        <v>169</v>
      </c>
      <c r="B5579" s="108" t="s">
        <v>23885</v>
      </c>
      <c r="C5579" s="109">
        <v>44414</v>
      </c>
      <c r="D5579" s="108"/>
      <c r="E5579" s="108" t="s">
        <v>14605</v>
      </c>
      <c r="F5579" s="108" t="s">
        <v>23884</v>
      </c>
      <c r="G5579" s="110"/>
      <c r="H5579" s="108" t="s">
        <v>23880</v>
      </c>
      <c r="I5579" s="108"/>
    </row>
    <row r="5580" spans="1:9">
      <c r="A5580" s="108" t="s">
        <v>169</v>
      </c>
      <c r="B5580" s="108" t="s">
        <v>23886</v>
      </c>
      <c r="C5580" s="109">
        <v>44379</v>
      </c>
      <c r="D5580" s="108"/>
      <c r="E5580" s="108" t="s">
        <v>14605</v>
      </c>
      <c r="F5580" s="108" t="s">
        <v>23884</v>
      </c>
      <c r="G5580" s="110"/>
      <c r="H5580" s="108" t="s">
        <v>23880</v>
      </c>
      <c r="I5580" s="108"/>
    </row>
    <row r="5581" spans="1:9">
      <c r="A5581" s="108" t="s">
        <v>169</v>
      </c>
      <c r="B5581" s="108" t="s">
        <v>23887</v>
      </c>
      <c r="C5581" s="109">
        <v>43994</v>
      </c>
      <c r="D5581" s="108"/>
      <c r="E5581" s="108" t="s">
        <v>14611</v>
      </c>
      <c r="F5581" s="108" t="s">
        <v>23884</v>
      </c>
      <c r="G5581" s="110"/>
      <c r="H5581" s="108" t="s">
        <v>23880</v>
      </c>
      <c r="I5581" s="108"/>
    </row>
    <row r="5582" spans="1:9">
      <c r="A5582" s="108" t="s">
        <v>169</v>
      </c>
      <c r="B5582" s="108" t="s">
        <v>23888</v>
      </c>
      <c r="C5582" s="109">
        <v>44172</v>
      </c>
      <c r="D5582" s="108"/>
      <c r="E5582" s="108" t="s">
        <v>14605</v>
      </c>
      <c r="F5582" s="108" t="s">
        <v>23884</v>
      </c>
      <c r="G5582" s="110"/>
      <c r="H5582" s="108" t="s">
        <v>23880</v>
      </c>
      <c r="I5582" s="108"/>
    </row>
    <row r="5583" spans="1:9">
      <c r="A5583" s="108" t="s">
        <v>17447</v>
      </c>
      <c r="B5583" s="108" t="s">
        <v>23889</v>
      </c>
      <c r="C5583" s="109">
        <v>44372</v>
      </c>
      <c r="D5583" s="108"/>
      <c r="E5583" s="108" t="s">
        <v>14605</v>
      </c>
      <c r="F5583" s="108" t="s">
        <v>23890</v>
      </c>
      <c r="G5583" s="110"/>
      <c r="H5583" s="108" t="s">
        <v>23880</v>
      </c>
      <c r="I5583" s="108"/>
    </row>
    <row r="5584" spans="1:9">
      <c r="A5584" s="108" t="s">
        <v>17447</v>
      </c>
      <c r="B5584" s="108" t="s">
        <v>23891</v>
      </c>
      <c r="C5584" s="109">
        <v>44372</v>
      </c>
      <c r="D5584" s="108"/>
      <c r="E5584" s="108" t="s">
        <v>14605</v>
      </c>
      <c r="F5584" s="108" t="s">
        <v>23890</v>
      </c>
      <c r="G5584" s="110"/>
      <c r="H5584" s="108" t="s">
        <v>23880</v>
      </c>
      <c r="I5584" s="108"/>
    </row>
    <row r="5585" spans="1:9">
      <c r="A5585" s="108" t="s">
        <v>17447</v>
      </c>
      <c r="B5585" s="108" t="s">
        <v>23892</v>
      </c>
      <c r="C5585" s="109">
        <v>44372</v>
      </c>
      <c r="D5585" s="108"/>
      <c r="E5585" s="108" t="s">
        <v>14605</v>
      </c>
      <c r="F5585" s="108" t="s">
        <v>23890</v>
      </c>
      <c r="G5585" s="110"/>
      <c r="H5585" s="108" t="s">
        <v>23880</v>
      </c>
      <c r="I5585" s="108"/>
    </row>
    <row r="5586" spans="1:9">
      <c r="A5586" s="108" t="s">
        <v>169</v>
      </c>
      <c r="B5586" s="108" t="s">
        <v>23893</v>
      </c>
      <c r="C5586" s="109">
        <v>44417</v>
      </c>
      <c r="D5586" s="108"/>
      <c r="E5586" s="108" t="s">
        <v>14605</v>
      </c>
      <c r="F5586" s="108" t="s">
        <v>23884</v>
      </c>
      <c r="G5586" s="110"/>
      <c r="H5586" s="108" t="s">
        <v>23880</v>
      </c>
      <c r="I5586" s="108"/>
    </row>
    <row r="5587" spans="1:9" ht="27.6">
      <c r="A5587" s="108" t="s">
        <v>14950</v>
      </c>
      <c r="B5587" s="108" t="s">
        <v>23894</v>
      </c>
      <c r="C5587" s="109">
        <v>44413</v>
      </c>
      <c r="D5587" s="108" t="s">
        <v>23895</v>
      </c>
      <c r="E5587" s="108" t="s">
        <v>14605</v>
      </c>
      <c r="F5587" s="108" t="s">
        <v>19843</v>
      </c>
      <c r="G5587" s="109">
        <v>45855</v>
      </c>
      <c r="H5587" s="108" t="s">
        <v>23880</v>
      </c>
      <c r="I5587" s="108" t="s">
        <v>19708</v>
      </c>
    </row>
    <row r="5588" spans="1:9" ht="27.6">
      <c r="A5588" s="108" t="s">
        <v>388</v>
      </c>
      <c r="B5588" s="108" t="s">
        <v>23896</v>
      </c>
      <c r="C5588" s="109">
        <v>44413</v>
      </c>
      <c r="D5588" s="108" t="s">
        <v>23897</v>
      </c>
      <c r="E5588" s="108" t="s">
        <v>16121</v>
      </c>
      <c r="F5588" s="108" t="s">
        <v>19843</v>
      </c>
      <c r="G5588" s="109">
        <v>45855</v>
      </c>
      <c r="H5588" s="108" t="s">
        <v>23880</v>
      </c>
      <c r="I5588" s="108" t="s">
        <v>19708</v>
      </c>
    </row>
    <row r="5589" spans="1:9" ht="41.4">
      <c r="A5589" s="108" t="s">
        <v>1465</v>
      </c>
      <c r="B5589" s="108" t="s">
        <v>23898</v>
      </c>
      <c r="C5589" s="109">
        <v>43115</v>
      </c>
      <c r="D5589" s="108"/>
      <c r="E5589" s="108" t="s">
        <v>14605</v>
      </c>
      <c r="F5589" s="108" t="s">
        <v>23899</v>
      </c>
      <c r="G5589" s="110"/>
      <c r="H5589" s="108" t="s">
        <v>1825</v>
      </c>
      <c r="I5589" s="108"/>
    </row>
    <row r="5590" spans="1:9" ht="27.6">
      <c r="A5590" s="108" t="s">
        <v>15075</v>
      </c>
      <c r="B5590" s="108" t="s">
        <v>23900</v>
      </c>
      <c r="C5590" s="109">
        <v>44573</v>
      </c>
      <c r="D5590" s="108"/>
      <c r="E5590" s="108" t="s">
        <v>14605</v>
      </c>
      <c r="F5590" s="108" t="s">
        <v>15983</v>
      </c>
      <c r="G5590" s="110"/>
      <c r="H5590" s="108" t="s">
        <v>1825</v>
      </c>
      <c r="I5590" s="108"/>
    </row>
    <row r="5591" spans="1:9" ht="27.6">
      <c r="A5591" s="108" t="s">
        <v>15075</v>
      </c>
      <c r="B5591" s="108" t="s">
        <v>23901</v>
      </c>
      <c r="C5591" s="109">
        <v>44736</v>
      </c>
      <c r="D5591" s="108"/>
      <c r="E5591" s="108" t="s">
        <v>16121</v>
      </c>
      <c r="F5591" s="108" t="s">
        <v>15983</v>
      </c>
      <c r="G5591" s="110"/>
      <c r="H5591" s="108" t="s">
        <v>23902</v>
      </c>
      <c r="I5591" s="108"/>
    </row>
    <row r="5592" spans="1:9">
      <c r="A5592" s="108" t="s">
        <v>1828</v>
      </c>
      <c r="B5592" s="108" t="s">
        <v>1826</v>
      </c>
      <c r="C5592" s="109">
        <v>43585</v>
      </c>
      <c r="D5592" s="108"/>
      <c r="E5592" s="108" t="s">
        <v>16121</v>
      </c>
      <c r="F5592" s="108" t="s">
        <v>1827</v>
      </c>
      <c r="G5592" s="110"/>
      <c r="H5592" s="108" t="s">
        <v>1825</v>
      </c>
      <c r="I5592" s="108"/>
    </row>
    <row r="5593" spans="1:9">
      <c r="A5593" s="108" t="s">
        <v>16151</v>
      </c>
      <c r="B5593" s="108" t="s">
        <v>23903</v>
      </c>
      <c r="C5593" s="109">
        <v>43966</v>
      </c>
      <c r="D5593" s="108" t="s">
        <v>23904</v>
      </c>
      <c r="E5593" s="108" t="s">
        <v>16121</v>
      </c>
      <c r="F5593" s="108" t="s">
        <v>15983</v>
      </c>
      <c r="G5593" s="109">
        <v>44719</v>
      </c>
      <c r="H5593" s="108" t="s">
        <v>1825</v>
      </c>
      <c r="I5593" s="108" t="s">
        <v>95</v>
      </c>
    </row>
    <row r="5594" spans="1:9" ht="27.6">
      <c r="A5594" s="108" t="s">
        <v>118</v>
      </c>
      <c r="B5594" s="108" t="s">
        <v>23905</v>
      </c>
      <c r="C5594" s="109">
        <v>43781</v>
      </c>
      <c r="D5594" s="108" t="s">
        <v>23906</v>
      </c>
      <c r="E5594" s="108" t="s">
        <v>14605</v>
      </c>
      <c r="F5594" s="108" t="s">
        <v>23907</v>
      </c>
      <c r="G5594" s="109">
        <v>46133</v>
      </c>
      <c r="H5594" s="108" t="s">
        <v>1825</v>
      </c>
      <c r="I5594" s="108" t="s">
        <v>117</v>
      </c>
    </row>
    <row r="5595" spans="1:9" ht="27.6">
      <c r="A5595" s="108" t="s">
        <v>207</v>
      </c>
      <c r="B5595" s="108" t="s">
        <v>23908</v>
      </c>
      <c r="C5595" s="109">
        <v>45116</v>
      </c>
      <c r="D5595" s="108" t="s">
        <v>23909</v>
      </c>
      <c r="E5595" s="108" t="s">
        <v>14605</v>
      </c>
      <c r="F5595" s="108" t="s">
        <v>23910</v>
      </c>
      <c r="G5595" s="109">
        <v>45480</v>
      </c>
      <c r="H5595" s="108" t="s">
        <v>1825</v>
      </c>
      <c r="I5595" s="108" t="s">
        <v>108</v>
      </c>
    </row>
    <row r="5596" spans="1:9" ht="27.6">
      <c r="A5596" s="108" t="s">
        <v>207</v>
      </c>
      <c r="B5596" s="108" t="s">
        <v>23911</v>
      </c>
      <c r="C5596" s="109">
        <v>45488</v>
      </c>
      <c r="D5596" s="108" t="s">
        <v>23912</v>
      </c>
      <c r="E5596" s="108" t="s">
        <v>14605</v>
      </c>
      <c r="F5596" s="108" t="s">
        <v>14762</v>
      </c>
      <c r="G5596" s="109">
        <v>45862</v>
      </c>
      <c r="H5596" s="108" t="s">
        <v>1825</v>
      </c>
      <c r="I5596" s="108" t="s">
        <v>108</v>
      </c>
    </row>
    <row r="5597" spans="1:9" ht="27.6">
      <c r="A5597" s="108" t="s">
        <v>109</v>
      </c>
      <c r="B5597" s="108" t="s">
        <v>23913</v>
      </c>
      <c r="C5597" s="109">
        <v>43531</v>
      </c>
      <c r="D5597" s="108" t="s">
        <v>23914</v>
      </c>
      <c r="E5597" s="108" t="s">
        <v>16121</v>
      </c>
      <c r="F5597" s="108" t="s">
        <v>15983</v>
      </c>
      <c r="G5597" s="109">
        <v>43896</v>
      </c>
      <c r="H5597" s="108" t="s">
        <v>1825</v>
      </c>
      <c r="I5597" s="108" t="s">
        <v>108</v>
      </c>
    </row>
    <row r="5598" spans="1:9" ht="27.6">
      <c r="A5598" s="108" t="s">
        <v>109</v>
      </c>
      <c r="B5598" s="108" t="s">
        <v>23915</v>
      </c>
      <c r="C5598" s="109">
        <v>43649</v>
      </c>
      <c r="D5598" s="108" t="s">
        <v>23916</v>
      </c>
      <c r="E5598" s="108" t="s">
        <v>16121</v>
      </c>
      <c r="F5598" s="108" t="s">
        <v>15983</v>
      </c>
      <c r="G5598" s="109">
        <v>43974</v>
      </c>
      <c r="H5598" s="108" t="s">
        <v>1825</v>
      </c>
      <c r="I5598" s="108" t="s">
        <v>108</v>
      </c>
    </row>
    <row r="5599" spans="1:9" ht="27.6">
      <c r="A5599" s="108" t="s">
        <v>109</v>
      </c>
      <c r="B5599" s="108" t="s">
        <v>23917</v>
      </c>
      <c r="C5599" s="109">
        <v>43740</v>
      </c>
      <c r="D5599" s="108" t="s">
        <v>23918</v>
      </c>
      <c r="E5599" s="108" t="s">
        <v>16121</v>
      </c>
      <c r="F5599" s="108" t="s">
        <v>15983</v>
      </c>
      <c r="G5599" s="109">
        <v>44119</v>
      </c>
      <c r="H5599" s="108" t="s">
        <v>1825</v>
      </c>
      <c r="I5599" s="108" t="s">
        <v>108</v>
      </c>
    </row>
    <row r="5600" spans="1:9" ht="27.6">
      <c r="A5600" s="108" t="s">
        <v>109</v>
      </c>
      <c r="B5600" s="108" t="s">
        <v>23919</v>
      </c>
      <c r="C5600" s="109">
        <v>43790</v>
      </c>
      <c r="D5600" s="108" t="s">
        <v>23920</v>
      </c>
      <c r="E5600" s="108" t="s">
        <v>16121</v>
      </c>
      <c r="F5600" s="108" t="s">
        <v>15983</v>
      </c>
      <c r="G5600" s="109">
        <v>44545</v>
      </c>
      <c r="H5600" s="108" t="s">
        <v>1825</v>
      </c>
      <c r="I5600" s="108" t="s">
        <v>108</v>
      </c>
    </row>
    <row r="5601" spans="1:9" ht="27.6">
      <c r="A5601" s="108" t="s">
        <v>250</v>
      </c>
      <c r="B5601" s="108" t="s">
        <v>23921</v>
      </c>
      <c r="C5601" s="109">
        <v>43861</v>
      </c>
      <c r="D5601" s="108" t="s">
        <v>23922</v>
      </c>
      <c r="E5601" s="108" t="s">
        <v>16121</v>
      </c>
      <c r="F5601" s="108" t="s">
        <v>15983</v>
      </c>
      <c r="G5601" s="109">
        <v>44248</v>
      </c>
      <c r="H5601" s="108" t="s">
        <v>1825</v>
      </c>
      <c r="I5601" s="108" t="s">
        <v>108</v>
      </c>
    </row>
    <row r="5602" spans="1:9" ht="27.6">
      <c r="A5602" s="108" t="s">
        <v>109</v>
      </c>
      <c r="B5602" s="108" t="s">
        <v>23923</v>
      </c>
      <c r="C5602" s="109">
        <v>43923</v>
      </c>
      <c r="D5602" s="108" t="s">
        <v>23924</v>
      </c>
      <c r="E5602" s="108" t="s">
        <v>16121</v>
      </c>
      <c r="F5602" s="108" t="s">
        <v>15983</v>
      </c>
      <c r="G5602" s="109">
        <v>44297</v>
      </c>
      <c r="H5602" s="108" t="s">
        <v>1825</v>
      </c>
      <c r="I5602" s="108" t="s">
        <v>108</v>
      </c>
    </row>
    <row r="5603" spans="1:9" ht="27.6">
      <c r="A5603" s="108" t="s">
        <v>109</v>
      </c>
      <c r="B5603" s="108" t="s">
        <v>23925</v>
      </c>
      <c r="C5603" s="109">
        <v>43900</v>
      </c>
      <c r="D5603" s="108" t="s">
        <v>23926</v>
      </c>
      <c r="E5603" s="108" t="s">
        <v>16121</v>
      </c>
      <c r="F5603" s="108" t="s">
        <v>15983</v>
      </c>
      <c r="G5603" s="109">
        <v>44259</v>
      </c>
      <c r="H5603" s="108" t="s">
        <v>1825</v>
      </c>
      <c r="I5603" s="108" t="s">
        <v>108</v>
      </c>
    </row>
    <row r="5604" spans="1:9" ht="27.6">
      <c r="A5604" s="108" t="s">
        <v>250</v>
      </c>
      <c r="B5604" s="108" t="s">
        <v>23927</v>
      </c>
      <c r="C5604" s="109">
        <v>44272</v>
      </c>
      <c r="D5604" s="108" t="s">
        <v>23928</v>
      </c>
      <c r="E5604" s="108" t="s">
        <v>16121</v>
      </c>
      <c r="F5604" s="108" t="s">
        <v>15983</v>
      </c>
      <c r="G5604" s="109">
        <v>44468</v>
      </c>
      <c r="H5604" s="108" t="s">
        <v>1825</v>
      </c>
      <c r="I5604" s="108" t="s">
        <v>108</v>
      </c>
    </row>
    <row r="5605" spans="1:9" ht="27.6">
      <c r="A5605" s="108" t="s">
        <v>109</v>
      </c>
      <c r="B5605" s="108" t="s">
        <v>23929</v>
      </c>
      <c r="C5605" s="109">
        <v>44524</v>
      </c>
      <c r="D5605" s="108" t="s">
        <v>23930</v>
      </c>
      <c r="E5605" s="108" t="s">
        <v>14605</v>
      </c>
      <c r="F5605" s="108" t="s">
        <v>15983</v>
      </c>
      <c r="G5605" s="109">
        <v>44909</v>
      </c>
      <c r="H5605" s="108" t="s">
        <v>1825</v>
      </c>
      <c r="I5605" s="108" t="s">
        <v>108</v>
      </c>
    </row>
    <row r="5606" spans="1:9" ht="27.6">
      <c r="A5606" s="108" t="s">
        <v>109</v>
      </c>
      <c r="B5606" s="108" t="s">
        <v>23931</v>
      </c>
      <c r="C5606" s="109">
        <v>44566</v>
      </c>
      <c r="D5606" s="108" t="s">
        <v>23932</v>
      </c>
      <c r="E5606" s="108" t="s">
        <v>14605</v>
      </c>
      <c r="F5606" s="108" t="s">
        <v>15983</v>
      </c>
      <c r="G5606" s="109">
        <v>44939</v>
      </c>
      <c r="H5606" s="108" t="s">
        <v>1825</v>
      </c>
      <c r="I5606" s="108" t="s">
        <v>108</v>
      </c>
    </row>
    <row r="5607" spans="1:9" ht="27.6">
      <c r="A5607" s="108" t="s">
        <v>109</v>
      </c>
      <c r="B5607" s="108" t="s">
        <v>23933</v>
      </c>
      <c r="C5607" s="109">
        <v>44595</v>
      </c>
      <c r="D5607" s="108" t="s">
        <v>23934</v>
      </c>
      <c r="E5607" s="108" t="s">
        <v>14605</v>
      </c>
      <c r="F5607" s="108" t="s">
        <v>15983</v>
      </c>
      <c r="G5607" s="109">
        <v>44973</v>
      </c>
      <c r="H5607" s="108" t="s">
        <v>1825</v>
      </c>
      <c r="I5607" s="108" t="s">
        <v>108</v>
      </c>
    </row>
    <row r="5608" spans="1:9" ht="27.6">
      <c r="A5608" s="108" t="s">
        <v>109</v>
      </c>
      <c r="B5608" s="108" t="s">
        <v>23935</v>
      </c>
      <c r="C5608" s="109">
        <v>44630</v>
      </c>
      <c r="D5608" s="108" t="s">
        <v>23936</v>
      </c>
      <c r="E5608" s="108" t="s">
        <v>14605</v>
      </c>
      <c r="F5608" s="108" t="s">
        <v>15983</v>
      </c>
      <c r="G5608" s="109">
        <v>44973</v>
      </c>
      <c r="H5608" s="108" t="s">
        <v>1825</v>
      </c>
      <c r="I5608" s="108" t="s">
        <v>108</v>
      </c>
    </row>
    <row r="5609" spans="1:9" ht="27.6">
      <c r="A5609" s="108" t="s">
        <v>109</v>
      </c>
      <c r="B5609" s="108" t="s">
        <v>23937</v>
      </c>
      <c r="C5609" s="109">
        <v>44819</v>
      </c>
      <c r="D5609" s="108" t="s">
        <v>23938</v>
      </c>
      <c r="E5609" s="108" t="s">
        <v>16121</v>
      </c>
      <c r="F5609" s="108" t="s">
        <v>15983</v>
      </c>
      <c r="G5609" s="109">
        <v>45204</v>
      </c>
      <c r="H5609" s="108" t="s">
        <v>1825</v>
      </c>
      <c r="I5609" s="108" t="s">
        <v>108</v>
      </c>
    </row>
    <row r="5610" spans="1:9" ht="27.6">
      <c r="A5610" s="108" t="s">
        <v>96</v>
      </c>
      <c r="B5610" s="108" t="s">
        <v>23939</v>
      </c>
      <c r="C5610" s="109">
        <v>43679</v>
      </c>
      <c r="D5610" s="108" t="s">
        <v>23940</v>
      </c>
      <c r="E5610" s="108" t="s">
        <v>16121</v>
      </c>
      <c r="F5610" s="108" t="s">
        <v>15983</v>
      </c>
      <c r="G5610" s="109">
        <v>44061</v>
      </c>
      <c r="H5610" s="108" t="s">
        <v>1825</v>
      </c>
      <c r="I5610" s="108" t="s">
        <v>108</v>
      </c>
    </row>
    <row r="5611" spans="1:9" ht="27.6">
      <c r="A5611" s="108" t="s">
        <v>96</v>
      </c>
      <c r="B5611" s="108" t="s">
        <v>23941</v>
      </c>
      <c r="C5611" s="109">
        <v>43788</v>
      </c>
      <c r="D5611" s="108" t="s">
        <v>23942</v>
      </c>
      <c r="E5611" s="108" t="s">
        <v>16121</v>
      </c>
      <c r="F5611" s="108" t="s">
        <v>15983</v>
      </c>
      <c r="G5611" s="109">
        <v>44176</v>
      </c>
      <c r="H5611" s="108" t="s">
        <v>1825</v>
      </c>
      <c r="I5611" s="108" t="s">
        <v>108</v>
      </c>
    </row>
    <row r="5612" spans="1:9" ht="27.6">
      <c r="A5612" s="108" t="s">
        <v>96</v>
      </c>
      <c r="B5612" s="108" t="s">
        <v>23943</v>
      </c>
      <c r="C5612" s="109">
        <v>43813</v>
      </c>
      <c r="D5612" s="108" t="s">
        <v>23944</v>
      </c>
      <c r="E5612" s="108" t="s">
        <v>16121</v>
      </c>
      <c r="F5612" s="108" t="s">
        <v>15983</v>
      </c>
      <c r="G5612" s="109">
        <v>44205</v>
      </c>
      <c r="H5612" s="108" t="s">
        <v>1825</v>
      </c>
      <c r="I5612" s="108" t="s">
        <v>108</v>
      </c>
    </row>
    <row r="5613" spans="1:9" ht="27.6">
      <c r="A5613" s="108" t="s">
        <v>96</v>
      </c>
      <c r="B5613" s="108" t="s">
        <v>23945</v>
      </c>
      <c r="C5613" s="109">
        <v>43886</v>
      </c>
      <c r="D5613" s="108" t="s">
        <v>23946</v>
      </c>
      <c r="E5613" s="108" t="s">
        <v>16121</v>
      </c>
      <c r="F5613" s="108" t="s">
        <v>15983</v>
      </c>
      <c r="G5613" s="109">
        <v>44268</v>
      </c>
      <c r="H5613" s="108" t="s">
        <v>1825</v>
      </c>
      <c r="I5613" s="108" t="s">
        <v>108</v>
      </c>
    </row>
    <row r="5614" spans="1:9" ht="27.6">
      <c r="A5614" s="108" t="s">
        <v>96</v>
      </c>
      <c r="B5614" s="108" t="s">
        <v>23947</v>
      </c>
      <c r="C5614" s="109">
        <v>44573</v>
      </c>
      <c r="D5614" s="108" t="s">
        <v>23948</v>
      </c>
      <c r="E5614" s="108" t="s">
        <v>16121</v>
      </c>
      <c r="F5614" s="108" t="s">
        <v>15983</v>
      </c>
      <c r="G5614" s="109">
        <v>44939</v>
      </c>
      <c r="H5614" s="108" t="s">
        <v>1825</v>
      </c>
      <c r="I5614" s="108" t="s">
        <v>108</v>
      </c>
    </row>
    <row r="5615" spans="1:9">
      <c r="A5615" s="108" t="s">
        <v>244</v>
      </c>
      <c r="B5615" s="108" t="s">
        <v>23949</v>
      </c>
      <c r="C5615" s="109">
        <v>45541</v>
      </c>
      <c r="D5615" s="108" t="s">
        <v>23950</v>
      </c>
      <c r="E5615" s="108" t="s">
        <v>14605</v>
      </c>
      <c r="F5615" s="108" t="s">
        <v>15983</v>
      </c>
      <c r="G5615" s="109">
        <v>45854</v>
      </c>
      <c r="H5615" s="108" t="s">
        <v>1825</v>
      </c>
      <c r="I5615" s="108" t="s">
        <v>108</v>
      </c>
    </row>
    <row r="5616" spans="1:9" ht="27.6">
      <c r="A5616" s="108" t="s">
        <v>16149</v>
      </c>
      <c r="B5616" s="108" t="s">
        <v>23951</v>
      </c>
      <c r="C5616" s="109">
        <v>45601</v>
      </c>
      <c r="D5616" s="108" t="s">
        <v>23952</v>
      </c>
      <c r="E5616" s="108" t="s">
        <v>14605</v>
      </c>
      <c r="F5616" s="108" t="s">
        <v>15983</v>
      </c>
      <c r="G5616" s="109">
        <v>45981</v>
      </c>
      <c r="H5616" s="108" t="s">
        <v>1825</v>
      </c>
      <c r="I5616" s="108" t="s">
        <v>108</v>
      </c>
    </row>
    <row r="5617" spans="1:9" ht="27.6">
      <c r="A5617" s="108" t="s">
        <v>16935</v>
      </c>
      <c r="B5617" s="108" t="s">
        <v>23953</v>
      </c>
      <c r="C5617" s="109">
        <v>39582</v>
      </c>
      <c r="D5617" s="108"/>
      <c r="E5617" s="108" t="s">
        <v>14605</v>
      </c>
      <c r="F5617" s="108" t="s">
        <v>23954</v>
      </c>
      <c r="G5617" s="110"/>
      <c r="H5617" s="108" t="s">
        <v>23955</v>
      </c>
      <c r="I5617" s="108"/>
    </row>
    <row r="5618" spans="1:9" ht="27.6">
      <c r="A5618" s="108" t="s">
        <v>2002</v>
      </c>
      <c r="B5618" s="108" t="s">
        <v>23956</v>
      </c>
      <c r="C5618" s="109">
        <v>40954</v>
      </c>
      <c r="D5618" s="108"/>
      <c r="E5618" s="108" t="s">
        <v>14605</v>
      </c>
      <c r="F5618" s="108" t="s">
        <v>23957</v>
      </c>
      <c r="G5618" s="110"/>
      <c r="H5618" s="108" t="s">
        <v>23955</v>
      </c>
      <c r="I5618" s="108"/>
    </row>
    <row r="5619" spans="1:9">
      <c r="A5619" s="108" t="s">
        <v>2002</v>
      </c>
      <c r="B5619" s="108" t="s">
        <v>23958</v>
      </c>
      <c r="C5619" s="109">
        <v>41288</v>
      </c>
      <c r="D5619" s="108"/>
      <c r="E5619" s="108" t="s">
        <v>14605</v>
      </c>
      <c r="F5619" s="108" t="s">
        <v>23959</v>
      </c>
      <c r="G5619" s="110"/>
      <c r="H5619" s="108" t="s">
        <v>23955</v>
      </c>
      <c r="I5619" s="108"/>
    </row>
    <row r="5620" spans="1:9">
      <c r="A5620" s="108" t="s">
        <v>14679</v>
      </c>
      <c r="B5620" s="108" t="s">
        <v>23960</v>
      </c>
      <c r="C5620" s="109">
        <v>41620</v>
      </c>
      <c r="D5620" s="108"/>
      <c r="E5620" s="108" t="s">
        <v>14605</v>
      </c>
      <c r="F5620" s="108" t="s">
        <v>23961</v>
      </c>
      <c r="G5620" s="110"/>
      <c r="H5620" s="108" t="s">
        <v>23955</v>
      </c>
      <c r="I5620" s="108"/>
    </row>
    <row r="5621" spans="1:9">
      <c r="A5621" s="108" t="s">
        <v>1465</v>
      </c>
      <c r="B5621" s="108" t="s">
        <v>23962</v>
      </c>
      <c r="C5621" s="109">
        <v>41823</v>
      </c>
      <c r="D5621" s="108"/>
      <c r="E5621" s="108" t="s">
        <v>14605</v>
      </c>
      <c r="F5621" s="108" t="s">
        <v>14658</v>
      </c>
      <c r="G5621" s="110"/>
      <c r="H5621" s="108" t="s">
        <v>23955</v>
      </c>
      <c r="I5621" s="108"/>
    </row>
    <row r="5622" spans="1:9">
      <c r="A5622" s="108" t="s">
        <v>169</v>
      </c>
      <c r="B5622" s="108" t="s">
        <v>23963</v>
      </c>
      <c r="C5622" s="109">
        <v>41405</v>
      </c>
      <c r="D5622" s="108"/>
      <c r="E5622" s="108" t="s">
        <v>14605</v>
      </c>
      <c r="F5622" s="108" t="s">
        <v>14658</v>
      </c>
      <c r="G5622" s="110"/>
      <c r="H5622" s="108" t="s">
        <v>23955</v>
      </c>
      <c r="I5622" s="108"/>
    </row>
    <row r="5623" spans="1:9">
      <c r="A5623" s="108" t="s">
        <v>169</v>
      </c>
      <c r="B5623" s="108" t="s">
        <v>23964</v>
      </c>
      <c r="C5623" s="109">
        <v>42341</v>
      </c>
      <c r="D5623" s="108"/>
      <c r="E5623" s="108" t="s">
        <v>14605</v>
      </c>
      <c r="F5623" s="108" t="s">
        <v>14658</v>
      </c>
      <c r="G5623" s="110"/>
      <c r="H5623" s="108" t="s">
        <v>23955</v>
      </c>
      <c r="I5623" s="108"/>
    </row>
    <row r="5624" spans="1:9">
      <c r="A5624" s="108" t="s">
        <v>169</v>
      </c>
      <c r="B5624" s="108" t="s">
        <v>23965</v>
      </c>
      <c r="C5624" s="109">
        <v>42226</v>
      </c>
      <c r="D5624" s="108"/>
      <c r="E5624" s="108" t="s">
        <v>14605</v>
      </c>
      <c r="F5624" s="108" t="s">
        <v>23966</v>
      </c>
      <c r="G5624" s="110"/>
      <c r="H5624" s="108" t="s">
        <v>23955</v>
      </c>
      <c r="I5624" s="108"/>
    </row>
    <row r="5625" spans="1:9" ht="27.6">
      <c r="A5625" s="108" t="s">
        <v>169</v>
      </c>
      <c r="B5625" s="108" t="s">
        <v>23967</v>
      </c>
      <c r="C5625" s="109">
        <v>42263</v>
      </c>
      <c r="D5625" s="108"/>
      <c r="E5625" s="108" t="s">
        <v>14605</v>
      </c>
      <c r="F5625" s="108" t="s">
        <v>23968</v>
      </c>
      <c r="G5625" s="110"/>
      <c r="H5625" s="108" t="s">
        <v>23955</v>
      </c>
      <c r="I5625" s="108"/>
    </row>
    <row r="5626" spans="1:9">
      <c r="A5626" s="108" t="s">
        <v>169</v>
      </c>
      <c r="B5626" s="108" t="s">
        <v>23969</v>
      </c>
      <c r="C5626" s="109">
        <v>42339</v>
      </c>
      <c r="D5626" s="108"/>
      <c r="E5626" s="108" t="s">
        <v>14605</v>
      </c>
      <c r="F5626" s="108" t="s">
        <v>23961</v>
      </c>
      <c r="G5626" s="110"/>
      <c r="H5626" s="108" t="s">
        <v>23955</v>
      </c>
      <c r="I5626" s="108"/>
    </row>
    <row r="5627" spans="1:9">
      <c r="A5627" s="108" t="s">
        <v>169</v>
      </c>
      <c r="B5627" s="108" t="s">
        <v>23970</v>
      </c>
      <c r="C5627" s="109">
        <v>42384</v>
      </c>
      <c r="D5627" s="108"/>
      <c r="E5627" s="108" t="s">
        <v>14605</v>
      </c>
      <c r="F5627" s="108" t="s">
        <v>23971</v>
      </c>
      <c r="G5627" s="110"/>
      <c r="H5627" s="108" t="s">
        <v>23955</v>
      </c>
      <c r="I5627" s="108"/>
    </row>
    <row r="5628" spans="1:9">
      <c r="A5628" s="108" t="s">
        <v>169</v>
      </c>
      <c r="B5628" s="108" t="s">
        <v>23972</v>
      </c>
      <c r="C5628" s="109">
        <v>42431</v>
      </c>
      <c r="D5628" s="108"/>
      <c r="E5628" s="108" t="s">
        <v>14605</v>
      </c>
      <c r="F5628" s="108" t="s">
        <v>14795</v>
      </c>
      <c r="G5628" s="110"/>
      <c r="H5628" s="108" t="s">
        <v>23955</v>
      </c>
      <c r="I5628" s="108"/>
    </row>
    <row r="5629" spans="1:9" ht="27.6">
      <c r="A5629" s="108" t="s">
        <v>169</v>
      </c>
      <c r="B5629" s="108" t="s">
        <v>23973</v>
      </c>
      <c r="C5629" s="109">
        <v>42402</v>
      </c>
      <c r="D5629" s="108"/>
      <c r="E5629" s="108" t="s">
        <v>14605</v>
      </c>
      <c r="F5629" s="108" t="s">
        <v>23974</v>
      </c>
      <c r="G5629" s="110"/>
      <c r="H5629" s="108" t="s">
        <v>23955</v>
      </c>
      <c r="I5629" s="108"/>
    </row>
    <row r="5630" spans="1:9" ht="27.6">
      <c r="A5630" s="108" t="s">
        <v>169</v>
      </c>
      <c r="B5630" s="108" t="s">
        <v>23975</v>
      </c>
      <c r="C5630" s="109">
        <v>42475</v>
      </c>
      <c r="D5630" s="108"/>
      <c r="E5630" s="108" t="s">
        <v>14605</v>
      </c>
      <c r="F5630" s="108" t="s">
        <v>23976</v>
      </c>
      <c r="G5630" s="110"/>
      <c r="H5630" s="108" t="s">
        <v>23955</v>
      </c>
      <c r="I5630" s="108"/>
    </row>
    <row r="5631" spans="1:9" ht="27.6">
      <c r="A5631" s="108" t="s">
        <v>169</v>
      </c>
      <c r="B5631" s="108" t="s">
        <v>23977</v>
      </c>
      <c r="C5631" s="109">
        <v>42978</v>
      </c>
      <c r="D5631" s="108"/>
      <c r="E5631" s="108" t="s">
        <v>14605</v>
      </c>
      <c r="F5631" s="108" t="s">
        <v>23968</v>
      </c>
      <c r="G5631" s="110"/>
      <c r="H5631" s="108" t="s">
        <v>23955</v>
      </c>
      <c r="I5631" s="108"/>
    </row>
    <row r="5632" spans="1:9" ht="41.4">
      <c r="A5632" s="108" t="s">
        <v>169</v>
      </c>
      <c r="B5632" s="108" t="s">
        <v>23978</v>
      </c>
      <c r="C5632" s="109">
        <v>43074</v>
      </c>
      <c r="D5632" s="108"/>
      <c r="E5632" s="108" t="s">
        <v>14605</v>
      </c>
      <c r="F5632" s="108" t="s">
        <v>23979</v>
      </c>
      <c r="G5632" s="110"/>
      <c r="H5632" s="108" t="s">
        <v>23955</v>
      </c>
      <c r="I5632" s="108"/>
    </row>
    <row r="5633" spans="1:9">
      <c r="A5633" s="108" t="s">
        <v>169</v>
      </c>
      <c r="B5633" s="108" t="s">
        <v>23980</v>
      </c>
      <c r="C5633" s="109">
        <v>43109</v>
      </c>
      <c r="D5633" s="108"/>
      <c r="E5633" s="108" t="s">
        <v>14605</v>
      </c>
      <c r="F5633" s="108" t="s">
        <v>23981</v>
      </c>
      <c r="G5633" s="110"/>
      <c r="H5633" s="108" t="s">
        <v>23955</v>
      </c>
      <c r="I5633" s="108"/>
    </row>
    <row r="5634" spans="1:9">
      <c r="A5634" s="108" t="s">
        <v>169</v>
      </c>
      <c r="B5634" s="108" t="s">
        <v>23982</v>
      </c>
      <c r="C5634" s="109">
        <v>43726</v>
      </c>
      <c r="D5634" s="108"/>
      <c r="E5634" s="108" t="s">
        <v>14605</v>
      </c>
      <c r="F5634" s="108" t="s">
        <v>14771</v>
      </c>
      <c r="G5634" s="110"/>
      <c r="H5634" s="108" t="s">
        <v>23955</v>
      </c>
      <c r="I5634" s="108"/>
    </row>
    <row r="5635" spans="1:9">
      <c r="A5635" s="108" t="s">
        <v>169</v>
      </c>
      <c r="B5635" s="108" t="s">
        <v>23983</v>
      </c>
      <c r="C5635" s="109">
        <v>43796</v>
      </c>
      <c r="D5635" s="108"/>
      <c r="E5635" s="108" t="s">
        <v>14605</v>
      </c>
      <c r="F5635" s="108" t="s">
        <v>14795</v>
      </c>
      <c r="G5635" s="110"/>
      <c r="H5635" s="108" t="s">
        <v>23955</v>
      </c>
      <c r="I5635" s="108"/>
    </row>
    <row r="5636" spans="1:9">
      <c r="A5636" s="108" t="s">
        <v>169</v>
      </c>
      <c r="B5636" s="108" t="s">
        <v>23984</v>
      </c>
      <c r="C5636" s="109">
        <v>43874</v>
      </c>
      <c r="D5636" s="108"/>
      <c r="E5636" s="108" t="s">
        <v>14605</v>
      </c>
      <c r="F5636" s="108" t="s">
        <v>23985</v>
      </c>
      <c r="G5636" s="110"/>
      <c r="H5636" s="108" t="s">
        <v>23955</v>
      </c>
      <c r="I5636" s="108"/>
    </row>
    <row r="5637" spans="1:9">
      <c r="A5637" s="108" t="s">
        <v>169</v>
      </c>
      <c r="B5637" s="108" t="s">
        <v>23986</v>
      </c>
      <c r="C5637" s="109">
        <v>43782</v>
      </c>
      <c r="D5637" s="108"/>
      <c r="E5637" s="108" t="s">
        <v>14605</v>
      </c>
      <c r="F5637" s="108" t="s">
        <v>23987</v>
      </c>
      <c r="G5637" s="110"/>
      <c r="H5637" s="108" t="s">
        <v>23955</v>
      </c>
      <c r="I5637" s="108"/>
    </row>
    <row r="5638" spans="1:9" ht="27.6">
      <c r="A5638" s="108" t="s">
        <v>14690</v>
      </c>
      <c r="B5638" s="108" t="s">
        <v>23988</v>
      </c>
      <c r="C5638" s="109">
        <v>42077</v>
      </c>
      <c r="D5638" s="108"/>
      <c r="E5638" s="108" t="s">
        <v>14605</v>
      </c>
      <c r="F5638" s="108" t="s">
        <v>23989</v>
      </c>
      <c r="G5638" s="110"/>
      <c r="H5638" s="108" t="s">
        <v>23955</v>
      </c>
      <c r="I5638" s="108"/>
    </row>
    <row r="5639" spans="1:9" ht="27.6">
      <c r="A5639" s="108" t="s">
        <v>316</v>
      </c>
      <c r="B5639" s="108" t="s">
        <v>23990</v>
      </c>
      <c r="C5639" s="109">
        <v>43606</v>
      </c>
      <c r="D5639" s="108"/>
      <c r="E5639" s="108" t="s">
        <v>14605</v>
      </c>
      <c r="F5639" s="108" t="s">
        <v>23991</v>
      </c>
      <c r="G5639" s="110"/>
      <c r="H5639" s="108" t="s">
        <v>23955</v>
      </c>
      <c r="I5639" s="108"/>
    </row>
    <row r="5640" spans="1:9">
      <c r="A5640" s="108" t="s">
        <v>2002</v>
      </c>
      <c r="B5640" s="108" t="s">
        <v>23992</v>
      </c>
      <c r="C5640" s="109">
        <v>43089</v>
      </c>
      <c r="D5640" s="108"/>
      <c r="E5640" s="108" t="s">
        <v>14605</v>
      </c>
      <c r="F5640" s="108" t="s">
        <v>23993</v>
      </c>
      <c r="G5640" s="110"/>
      <c r="H5640" s="108" t="s">
        <v>23955</v>
      </c>
      <c r="I5640" s="108"/>
    </row>
    <row r="5641" spans="1:9" ht="27.6">
      <c r="A5641" s="108" t="s">
        <v>2002</v>
      </c>
      <c r="B5641" s="108" t="s">
        <v>23994</v>
      </c>
      <c r="C5641" s="109">
        <v>43420</v>
      </c>
      <c r="D5641" s="108"/>
      <c r="E5641" s="108" t="s">
        <v>14605</v>
      </c>
      <c r="F5641" s="108" t="s">
        <v>23995</v>
      </c>
      <c r="G5641" s="110"/>
      <c r="H5641" s="108" t="s">
        <v>23955</v>
      </c>
      <c r="I5641" s="108"/>
    </row>
    <row r="5642" spans="1:9">
      <c r="A5642" s="108" t="s">
        <v>2002</v>
      </c>
      <c r="B5642" s="108" t="s">
        <v>23996</v>
      </c>
      <c r="C5642" s="109">
        <v>43515</v>
      </c>
      <c r="D5642" s="108"/>
      <c r="E5642" s="108" t="s">
        <v>14605</v>
      </c>
      <c r="F5642" s="108" t="s">
        <v>23997</v>
      </c>
      <c r="G5642" s="110"/>
      <c r="H5642" s="108" t="s">
        <v>23955</v>
      </c>
      <c r="I5642" s="108"/>
    </row>
    <row r="5643" spans="1:9">
      <c r="A5643" s="108" t="s">
        <v>2002</v>
      </c>
      <c r="B5643" s="108" t="s">
        <v>23998</v>
      </c>
      <c r="C5643" s="109">
        <v>43678</v>
      </c>
      <c r="D5643" s="108"/>
      <c r="E5643" s="108" t="s">
        <v>14605</v>
      </c>
      <c r="F5643" s="108" t="s">
        <v>23999</v>
      </c>
      <c r="G5643" s="110"/>
      <c r="H5643" s="108" t="s">
        <v>23955</v>
      </c>
      <c r="I5643" s="108"/>
    </row>
    <row r="5644" spans="1:9">
      <c r="A5644" s="108" t="s">
        <v>2002</v>
      </c>
      <c r="B5644" s="108" t="s">
        <v>24000</v>
      </c>
      <c r="C5644" s="109">
        <v>43872</v>
      </c>
      <c r="D5644" s="108"/>
      <c r="E5644" s="108" t="s">
        <v>14605</v>
      </c>
      <c r="F5644" s="108" t="s">
        <v>23997</v>
      </c>
      <c r="G5644" s="110"/>
      <c r="H5644" s="108" t="s">
        <v>23955</v>
      </c>
      <c r="I5644" s="108"/>
    </row>
    <row r="5645" spans="1:9">
      <c r="A5645" s="108" t="s">
        <v>2002</v>
      </c>
      <c r="B5645" s="108" t="s">
        <v>24001</v>
      </c>
      <c r="C5645" s="109">
        <v>43810</v>
      </c>
      <c r="D5645" s="108"/>
      <c r="E5645" s="108" t="s">
        <v>14605</v>
      </c>
      <c r="F5645" s="108" t="s">
        <v>24002</v>
      </c>
      <c r="G5645" s="110"/>
      <c r="H5645" s="108" t="s">
        <v>23955</v>
      </c>
      <c r="I5645" s="108"/>
    </row>
    <row r="5646" spans="1:9">
      <c r="A5646" s="108" t="s">
        <v>1465</v>
      </c>
      <c r="B5646" s="108" t="s">
        <v>24003</v>
      </c>
      <c r="C5646" s="109">
        <v>42849</v>
      </c>
      <c r="D5646" s="108"/>
      <c r="E5646" s="108" t="s">
        <v>14605</v>
      </c>
      <c r="F5646" s="108" t="s">
        <v>24004</v>
      </c>
      <c r="G5646" s="110"/>
      <c r="H5646" s="108" t="s">
        <v>23955</v>
      </c>
      <c r="I5646" s="108"/>
    </row>
    <row r="5647" spans="1:9" ht="41.4">
      <c r="A5647" s="108" t="s">
        <v>14679</v>
      </c>
      <c r="B5647" s="108" t="s">
        <v>24005</v>
      </c>
      <c r="C5647" s="109">
        <v>42458</v>
      </c>
      <c r="D5647" s="108"/>
      <c r="E5647" s="108" t="s">
        <v>14605</v>
      </c>
      <c r="F5647" s="108" t="s">
        <v>24006</v>
      </c>
      <c r="G5647" s="110"/>
      <c r="H5647" s="108" t="s">
        <v>23955</v>
      </c>
      <c r="I5647" s="108"/>
    </row>
    <row r="5648" spans="1:9" ht="27.6">
      <c r="A5648" s="108" t="s">
        <v>14928</v>
      </c>
      <c r="B5648" s="108" t="s">
        <v>24007</v>
      </c>
      <c r="C5648" s="109">
        <v>42733</v>
      </c>
      <c r="D5648" s="108"/>
      <c r="E5648" s="108" t="s">
        <v>14605</v>
      </c>
      <c r="F5648" s="108" t="s">
        <v>23976</v>
      </c>
      <c r="G5648" s="110"/>
      <c r="H5648" s="108" t="s">
        <v>23955</v>
      </c>
      <c r="I5648" s="108"/>
    </row>
    <row r="5649" spans="1:9">
      <c r="A5649" s="108" t="s">
        <v>2002</v>
      </c>
      <c r="B5649" s="108" t="s">
        <v>24008</v>
      </c>
      <c r="C5649" s="109">
        <v>44099</v>
      </c>
      <c r="D5649" s="108"/>
      <c r="E5649" s="108" t="s">
        <v>14605</v>
      </c>
      <c r="F5649" s="108" t="s">
        <v>23997</v>
      </c>
      <c r="G5649" s="110"/>
      <c r="H5649" s="108" t="s">
        <v>23955</v>
      </c>
      <c r="I5649" s="108"/>
    </row>
    <row r="5650" spans="1:9">
      <c r="A5650" s="108" t="s">
        <v>571</v>
      </c>
      <c r="B5650" s="108" t="s">
        <v>24009</v>
      </c>
      <c r="C5650" s="109">
        <v>44131</v>
      </c>
      <c r="D5650" s="108"/>
      <c r="E5650" s="108" t="s">
        <v>14605</v>
      </c>
      <c r="F5650" s="108" t="s">
        <v>24010</v>
      </c>
      <c r="G5650" s="110"/>
      <c r="H5650" s="108" t="s">
        <v>23955</v>
      </c>
      <c r="I5650" s="108"/>
    </row>
    <row r="5651" spans="1:9">
      <c r="A5651" s="108" t="s">
        <v>2002</v>
      </c>
      <c r="B5651" s="108" t="s">
        <v>24011</v>
      </c>
      <c r="C5651" s="109">
        <v>44284</v>
      </c>
      <c r="D5651" s="108"/>
      <c r="E5651" s="108" t="s">
        <v>14605</v>
      </c>
      <c r="F5651" s="108" t="s">
        <v>24010</v>
      </c>
      <c r="G5651" s="110"/>
      <c r="H5651" s="108" t="s">
        <v>23955</v>
      </c>
      <c r="I5651" s="108"/>
    </row>
    <row r="5652" spans="1:9">
      <c r="A5652" s="108" t="s">
        <v>2002</v>
      </c>
      <c r="B5652" s="108" t="s">
        <v>24012</v>
      </c>
      <c r="C5652" s="109">
        <v>44284</v>
      </c>
      <c r="D5652" s="108"/>
      <c r="E5652" s="108" t="s">
        <v>14605</v>
      </c>
      <c r="F5652" s="108" t="s">
        <v>24010</v>
      </c>
      <c r="G5652" s="110"/>
      <c r="H5652" s="108" t="s">
        <v>23955</v>
      </c>
      <c r="I5652" s="108"/>
    </row>
    <row r="5653" spans="1:9">
      <c r="A5653" s="108" t="s">
        <v>2002</v>
      </c>
      <c r="B5653" s="108" t="s">
        <v>24013</v>
      </c>
      <c r="C5653" s="109">
        <v>44284</v>
      </c>
      <c r="D5653" s="108"/>
      <c r="E5653" s="108" t="s">
        <v>14605</v>
      </c>
      <c r="F5653" s="108" t="s">
        <v>24010</v>
      </c>
      <c r="G5653" s="110"/>
      <c r="H5653" s="108" t="s">
        <v>23955</v>
      </c>
      <c r="I5653" s="108"/>
    </row>
    <row r="5654" spans="1:9">
      <c r="A5654" s="108" t="s">
        <v>2002</v>
      </c>
      <c r="B5654" s="108" t="s">
        <v>24014</v>
      </c>
      <c r="C5654" s="109">
        <v>44284</v>
      </c>
      <c r="D5654" s="108"/>
      <c r="E5654" s="108" t="s">
        <v>14605</v>
      </c>
      <c r="F5654" s="108" t="s">
        <v>24010</v>
      </c>
      <c r="G5654" s="110"/>
      <c r="H5654" s="108" t="s">
        <v>23955</v>
      </c>
      <c r="I5654" s="108"/>
    </row>
    <row r="5655" spans="1:9">
      <c r="A5655" s="108" t="s">
        <v>2002</v>
      </c>
      <c r="B5655" s="108" t="s">
        <v>24015</v>
      </c>
      <c r="C5655" s="109">
        <v>45136</v>
      </c>
      <c r="D5655" s="108"/>
      <c r="E5655" s="108" t="s">
        <v>14605</v>
      </c>
      <c r="F5655" s="108" t="s">
        <v>24016</v>
      </c>
      <c r="G5655" s="110"/>
      <c r="H5655" s="108" t="s">
        <v>23955</v>
      </c>
      <c r="I5655" s="108"/>
    </row>
    <row r="5656" spans="1:9" ht="27.6">
      <c r="A5656" s="108" t="s">
        <v>15075</v>
      </c>
      <c r="B5656" s="108" t="s">
        <v>24017</v>
      </c>
      <c r="C5656" s="109">
        <v>44494</v>
      </c>
      <c r="D5656" s="108"/>
      <c r="E5656" s="108" t="s">
        <v>14605</v>
      </c>
      <c r="F5656" s="108" t="s">
        <v>24018</v>
      </c>
      <c r="G5656" s="110"/>
      <c r="H5656" s="108" t="s">
        <v>23955</v>
      </c>
      <c r="I5656" s="108"/>
    </row>
    <row r="5657" spans="1:9" ht="27.6">
      <c r="A5657" s="108" t="s">
        <v>15075</v>
      </c>
      <c r="B5657" s="108" t="s">
        <v>24019</v>
      </c>
      <c r="C5657" s="109">
        <v>44532</v>
      </c>
      <c r="D5657" s="108"/>
      <c r="E5657" s="108" t="s">
        <v>14605</v>
      </c>
      <c r="F5657" s="108" t="s">
        <v>15140</v>
      </c>
      <c r="G5657" s="110"/>
      <c r="H5657" s="108" t="s">
        <v>23955</v>
      </c>
      <c r="I5657" s="108"/>
    </row>
    <row r="5658" spans="1:9" ht="27.6">
      <c r="A5658" s="108" t="s">
        <v>15075</v>
      </c>
      <c r="B5658" s="108" t="s">
        <v>24020</v>
      </c>
      <c r="C5658" s="109">
        <v>44637</v>
      </c>
      <c r="D5658" s="108"/>
      <c r="E5658" s="108" t="s">
        <v>14605</v>
      </c>
      <c r="F5658" s="108" t="s">
        <v>24021</v>
      </c>
      <c r="G5658" s="110"/>
      <c r="H5658" s="108" t="s">
        <v>23955</v>
      </c>
      <c r="I5658" s="108"/>
    </row>
    <row r="5659" spans="1:9" ht="27.6">
      <c r="A5659" s="108" t="s">
        <v>15075</v>
      </c>
      <c r="B5659" s="108" t="s">
        <v>24022</v>
      </c>
      <c r="C5659" s="109">
        <v>44679</v>
      </c>
      <c r="D5659" s="108"/>
      <c r="E5659" s="108" t="s">
        <v>14605</v>
      </c>
      <c r="F5659" s="108" t="s">
        <v>15140</v>
      </c>
      <c r="G5659" s="110"/>
      <c r="H5659" s="108" t="s">
        <v>23955</v>
      </c>
      <c r="I5659" s="108"/>
    </row>
    <row r="5660" spans="1:9" ht="27.6">
      <c r="A5660" s="108" t="s">
        <v>15075</v>
      </c>
      <c r="B5660" s="108" t="s">
        <v>24023</v>
      </c>
      <c r="C5660" s="109">
        <v>44734</v>
      </c>
      <c r="D5660" s="108"/>
      <c r="E5660" s="108" t="s">
        <v>14605</v>
      </c>
      <c r="F5660" s="108" t="s">
        <v>15140</v>
      </c>
      <c r="G5660" s="110"/>
      <c r="H5660" s="108" t="s">
        <v>23955</v>
      </c>
      <c r="I5660" s="108"/>
    </row>
    <row r="5661" spans="1:9" ht="27.6">
      <c r="A5661" s="108" t="s">
        <v>15075</v>
      </c>
      <c r="B5661" s="108" t="s">
        <v>24024</v>
      </c>
      <c r="C5661" s="109">
        <v>44735</v>
      </c>
      <c r="D5661" s="108"/>
      <c r="E5661" s="108" t="s">
        <v>14605</v>
      </c>
      <c r="F5661" s="108" t="s">
        <v>15140</v>
      </c>
      <c r="G5661" s="110"/>
      <c r="H5661" s="108" t="s">
        <v>23955</v>
      </c>
      <c r="I5661" s="108"/>
    </row>
    <row r="5662" spans="1:9" ht="27.6">
      <c r="A5662" s="108" t="s">
        <v>15075</v>
      </c>
      <c r="B5662" s="108" t="s">
        <v>24025</v>
      </c>
      <c r="C5662" s="109">
        <v>44854</v>
      </c>
      <c r="D5662" s="108"/>
      <c r="E5662" s="108" t="s">
        <v>14605</v>
      </c>
      <c r="F5662" s="108" t="s">
        <v>15140</v>
      </c>
      <c r="G5662" s="110"/>
      <c r="H5662" s="108" t="s">
        <v>23955</v>
      </c>
      <c r="I5662" s="108"/>
    </row>
    <row r="5663" spans="1:9" ht="27.6">
      <c r="A5663" s="108" t="s">
        <v>15075</v>
      </c>
      <c r="B5663" s="108" t="s">
        <v>24026</v>
      </c>
      <c r="C5663" s="109">
        <v>44869</v>
      </c>
      <c r="D5663" s="108"/>
      <c r="E5663" s="108" t="s">
        <v>14605</v>
      </c>
      <c r="F5663" s="108" t="s">
        <v>15140</v>
      </c>
      <c r="G5663" s="110"/>
      <c r="H5663" s="108" t="s">
        <v>23955</v>
      </c>
      <c r="I5663" s="108"/>
    </row>
    <row r="5664" spans="1:9" ht="27.6">
      <c r="A5664" s="108" t="s">
        <v>15075</v>
      </c>
      <c r="B5664" s="108" t="s">
        <v>24027</v>
      </c>
      <c r="C5664" s="109">
        <v>44858</v>
      </c>
      <c r="D5664" s="108"/>
      <c r="E5664" s="108" t="s">
        <v>14605</v>
      </c>
      <c r="F5664" s="108" t="s">
        <v>24018</v>
      </c>
      <c r="G5664" s="110"/>
      <c r="H5664" s="108" t="s">
        <v>23955</v>
      </c>
      <c r="I5664" s="108"/>
    </row>
    <row r="5665" spans="1:9" ht="27.6">
      <c r="A5665" s="108" t="s">
        <v>15075</v>
      </c>
      <c r="B5665" s="108" t="s">
        <v>24028</v>
      </c>
      <c r="C5665" s="109">
        <v>44944</v>
      </c>
      <c r="D5665" s="108"/>
      <c r="E5665" s="108" t="s">
        <v>14605</v>
      </c>
      <c r="F5665" s="108" t="s">
        <v>15140</v>
      </c>
      <c r="G5665" s="110"/>
      <c r="H5665" s="108" t="s">
        <v>23955</v>
      </c>
      <c r="I5665" s="108"/>
    </row>
    <row r="5666" spans="1:9" ht="27.6">
      <c r="A5666" s="108" t="s">
        <v>15075</v>
      </c>
      <c r="B5666" s="108" t="s">
        <v>24029</v>
      </c>
      <c r="C5666" s="109">
        <v>44945</v>
      </c>
      <c r="D5666" s="108"/>
      <c r="E5666" s="108" t="s">
        <v>14605</v>
      </c>
      <c r="F5666" s="108" t="s">
        <v>15140</v>
      </c>
      <c r="G5666" s="110"/>
      <c r="H5666" s="108" t="s">
        <v>23955</v>
      </c>
      <c r="I5666" s="108"/>
    </row>
    <row r="5667" spans="1:9" ht="27.6">
      <c r="A5667" s="108" t="s">
        <v>15075</v>
      </c>
      <c r="B5667" s="108" t="s">
        <v>24030</v>
      </c>
      <c r="C5667" s="109">
        <v>44960</v>
      </c>
      <c r="D5667" s="108"/>
      <c r="E5667" s="108" t="s">
        <v>14605</v>
      </c>
      <c r="F5667" s="108" t="s">
        <v>15140</v>
      </c>
      <c r="G5667" s="110"/>
      <c r="H5667" s="108" t="s">
        <v>23955</v>
      </c>
      <c r="I5667" s="108"/>
    </row>
    <row r="5668" spans="1:9" ht="27.6">
      <c r="A5668" s="108" t="s">
        <v>15075</v>
      </c>
      <c r="B5668" s="108" t="s">
        <v>24031</v>
      </c>
      <c r="C5668" s="109">
        <v>45038</v>
      </c>
      <c r="D5668" s="108"/>
      <c r="E5668" s="108" t="s">
        <v>14605</v>
      </c>
      <c r="F5668" s="108" t="s">
        <v>15140</v>
      </c>
      <c r="G5668" s="110"/>
      <c r="H5668" s="108" t="s">
        <v>23955</v>
      </c>
      <c r="I5668" s="108"/>
    </row>
    <row r="5669" spans="1:9" ht="27.6">
      <c r="A5669" s="108" t="s">
        <v>15075</v>
      </c>
      <c r="B5669" s="108" t="s">
        <v>24032</v>
      </c>
      <c r="C5669" s="109">
        <v>45246</v>
      </c>
      <c r="D5669" s="108"/>
      <c r="E5669" s="108" t="s">
        <v>14605</v>
      </c>
      <c r="F5669" s="108" t="s">
        <v>15140</v>
      </c>
      <c r="G5669" s="110"/>
      <c r="H5669" s="108" t="s">
        <v>23955</v>
      </c>
      <c r="I5669" s="108"/>
    </row>
    <row r="5670" spans="1:9" ht="27.6">
      <c r="A5670" s="108" t="s">
        <v>15075</v>
      </c>
      <c r="B5670" s="108" t="s">
        <v>24033</v>
      </c>
      <c r="C5670" s="109">
        <v>45251</v>
      </c>
      <c r="D5670" s="108"/>
      <c r="E5670" s="108" t="s">
        <v>14605</v>
      </c>
      <c r="F5670" s="108" t="s">
        <v>15140</v>
      </c>
      <c r="G5670" s="110"/>
      <c r="H5670" s="108" t="s">
        <v>23955</v>
      </c>
      <c r="I5670" s="108"/>
    </row>
    <row r="5671" spans="1:9" ht="27.6">
      <c r="A5671" s="108" t="s">
        <v>15075</v>
      </c>
      <c r="B5671" s="108" t="s">
        <v>24034</v>
      </c>
      <c r="C5671" s="109">
        <v>45245</v>
      </c>
      <c r="D5671" s="108"/>
      <c r="E5671" s="108" t="s">
        <v>14605</v>
      </c>
      <c r="F5671" s="108" t="s">
        <v>15140</v>
      </c>
      <c r="G5671" s="110"/>
      <c r="H5671" s="108" t="s">
        <v>23955</v>
      </c>
      <c r="I5671" s="108"/>
    </row>
    <row r="5672" spans="1:9" ht="27.6">
      <c r="A5672" s="108" t="s">
        <v>15075</v>
      </c>
      <c r="B5672" s="108" t="s">
        <v>24035</v>
      </c>
      <c r="C5672" s="109">
        <v>45349</v>
      </c>
      <c r="D5672" s="108"/>
      <c r="E5672" s="108" t="s">
        <v>14605</v>
      </c>
      <c r="F5672" s="108" t="s">
        <v>15140</v>
      </c>
      <c r="G5672" s="110"/>
      <c r="H5672" s="108" t="s">
        <v>23955</v>
      </c>
      <c r="I5672" s="108"/>
    </row>
    <row r="5673" spans="1:9" ht="27.6">
      <c r="A5673" s="108" t="s">
        <v>15075</v>
      </c>
      <c r="B5673" s="108" t="s">
        <v>24036</v>
      </c>
      <c r="C5673" s="109">
        <v>45412</v>
      </c>
      <c r="D5673" s="108"/>
      <c r="E5673" s="108" t="s">
        <v>14605</v>
      </c>
      <c r="F5673" s="108" t="s">
        <v>15140</v>
      </c>
      <c r="G5673" s="110"/>
      <c r="H5673" s="108" t="s">
        <v>23955</v>
      </c>
      <c r="I5673" s="108"/>
    </row>
    <row r="5674" spans="1:9" ht="27.6">
      <c r="A5674" s="108" t="s">
        <v>15075</v>
      </c>
      <c r="B5674" s="108" t="s">
        <v>24037</v>
      </c>
      <c r="C5674" s="109">
        <v>45516</v>
      </c>
      <c r="D5674" s="108"/>
      <c r="E5674" s="108" t="s">
        <v>14605</v>
      </c>
      <c r="F5674" s="108" t="s">
        <v>15140</v>
      </c>
      <c r="G5674" s="110"/>
      <c r="H5674" s="108" t="s">
        <v>23955</v>
      </c>
      <c r="I5674" s="108"/>
    </row>
    <row r="5675" spans="1:9" ht="27.6">
      <c r="A5675" s="108" t="s">
        <v>15075</v>
      </c>
      <c r="B5675" s="108" t="s">
        <v>24038</v>
      </c>
      <c r="C5675" s="109">
        <v>45502</v>
      </c>
      <c r="D5675" s="108"/>
      <c r="E5675" s="108" t="s">
        <v>14605</v>
      </c>
      <c r="F5675" s="108" t="s">
        <v>15140</v>
      </c>
      <c r="G5675" s="110"/>
      <c r="H5675" s="108" t="s">
        <v>23955</v>
      </c>
      <c r="I5675" s="108"/>
    </row>
    <row r="5676" spans="1:9" ht="27.6">
      <c r="A5676" s="108" t="s">
        <v>15075</v>
      </c>
      <c r="B5676" s="108" t="s">
        <v>24039</v>
      </c>
      <c r="C5676" s="109">
        <v>45561</v>
      </c>
      <c r="D5676" s="108"/>
      <c r="E5676" s="108" t="s">
        <v>14605</v>
      </c>
      <c r="F5676" s="108" t="s">
        <v>15140</v>
      </c>
      <c r="G5676" s="110"/>
      <c r="H5676" s="108" t="s">
        <v>23955</v>
      </c>
      <c r="I5676" s="108"/>
    </row>
    <row r="5677" spans="1:9" ht="27.6">
      <c r="A5677" s="108" t="s">
        <v>15075</v>
      </c>
      <c r="B5677" s="108" t="s">
        <v>24040</v>
      </c>
      <c r="C5677" s="109">
        <v>45598</v>
      </c>
      <c r="D5677" s="108"/>
      <c r="E5677" s="108" t="s">
        <v>14605</v>
      </c>
      <c r="F5677" s="108" t="s">
        <v>24041</v>
      </c>
      <c r="G5677" s="110"/>
      <c r="H5677" s="108" t="s">
        <v>23955</v>
      </c>
      <c r="I5677" s="108"/>
    </row>
    <row r="5678" spans="1:9" ht="27.6">
      <c r="A5678" s="108" t="s">
        <v>15075</v>
      </c>
      <c r="B5678" s="108" t="s">
        <v>24042</v>
      </c>
      <c r="C5678" s="109">
        <v>45580</v>
      </c>
      <c r="D5678" s="108"/>
      <c r="E5678" s="108" t="s">
        <v>14605</v>
      </c>
      <c r="F5678" s="108" t="s">
        <v>24043</v>
      </c>
      <c r="G5678" s="110"/>
      <c r="H5678" s="108" t="s">
        <v>23955</v>
      </c>
      <c r="I5678" s="108"/>
    </row>
    <row r="5679" spans="1:9" ht="27.6">
      <c r="A5679" s="108" t="s">
        <v>199</v>
      </c>
      <c r="B5679" s="108" t="s">
        <v>24044</v>
      </c>
      <c r="C5679" s="109">
        <v>41554</v>
      </c>
      <c r="D5679" s="108"/>
      <c r="E5679" s="108" t="s">
        <v>14605</v>
      </c>
      <c r="F5679" s="108" t="s">
        <v>24045</v>
      </c>
      <c r="G5679" s="110"/>
      <c r="H5679" s="108" t="s">
        <v>23955</v>
      </c>
      <c r="I5679" s="108"/>
    </row>
    <row r="5680" spans="1:9">
      <c r="A5680" s="108" t="s">
        <v>199</v>
      </c>
      <c r="B5680" s="108" t="s">
        <v>24046</v>
      </c>
      <c r="C5680" s="109">
        <v>44873</v>
      </c>
      <c r="D5680" s="108"/>
      <c r="E5680" s="108" t="s">
        <v>14605</v>
      </c>
      <c r="F5680" s="108" t="s">
        <v>24047</v>
      </c>
      <c r="G5680" s="110"/>
      <c r="H5680" s="108" t="s">
        <v>23955</v>
      </c>
      <c r="I5680" s="108"/>
    </row>
    <row r="5681" spans="1:9" ht="27.6">
      <c r="A5681" s="108" t="s">
        <v>14607</v>
      </c>
      <c r="B5681" s="108" t="s">
        <v>24048</v>
      </c>
      <c r="C5681" s="109">
        <v>37245</v>
      </c>
      <c r="D5681" s="108"/>
      <c r="E5681" s="108" t="s">
        <v>14605</v>
      </c>
      <c r="F5681" s="108" t="s">
        <v>24049</v>
      </c>
      <c r="G5681" s="110"/>
      <c r="H5681" s="108" t="s">
        <v>23955</v>
      </c>
      <c r="I5681" s="108"/>
    </row>
    <row r="5682" spans="1:9" ht="27.6">
      <c r="A5682" s="108" t="s">
        <v>14607</v>
      </c>
      <c r="B5682" s="108" t="s">
        <v>24050</v>
      </c>
      <c r="C5682" s="109">
        <v>39225</v>
      </c>
      <c r="D5682" s="108"/>
      <c r="E5682" s="108" t="s">
        <v>14605</v>
      </c>
      <c r="F5682" s="108" t="s">
        <v>24051</v>
      </c>
      <c r="G5682" s="110"/>
      <c r="H5682" s="108" t="s">
        <v>23955</v>
      </c>
      <c r="I5682" s="108"/>
    </row>
    <row r="5683" spans="1:9" ht="27.6">
      <c r="A5683" s="108" t="s">
        <v>18397</v>
      </c>
      <c r="B5683" s="108" t="s">
        <v>24052</v>
      </c>
      <c r="C5683" s="109">
        <v>39472</v>
      </c>
      <c r="D5683" s="108"/>
      <c r="E5683" s="108" t="s">
        <v>14605</v>
      </c>
      <c r="F5683" s="108" t="s">
        <v>24053</v>
      </c>
      <c r="G5683" s="110"/>
      <c r="H5683" s="108" t="s">
        <v>23955</v>
      </c>
      <c r="I5683" s="108"/>
    </row>
    <row r="5684" spans="1:9" ht="27.6">
      <c r="A5684" s="108" t="s">
        <v>18397</v>
      </c>
      <c r="B5684" s="108" t="s">
        <v>24054</v>
      </c>
      <c r="C5684" s="109">
        <v>39868</v>
      </c>
      <c r="D5684" s="108"/>
      <c r="E5684" s="108" t="s">
        <v>14605</v>
      </c>
      <c r="F5684" s="108" t="s">
        <v>24055</v>
      </c>
      <c r="G5684" s="110"/>
      <c r="H5684" s="108" t="s">
        <v>23955</v>
      </c>
      <c r="I5684" s="108"/>
    </row>
    <row r="5685" spans="1:9" ht="27.6">
      <c r="A5685" s="108"/>
      <c r="B5685" s="108" t="s">
        <v>24056</v>
      </c>
      <c r="C5685" s="109">
        <v>39853</v>
      </c>
      <c r="D5685" s="108"/>
      <c r="E5685" s="108" t="s">
        <v>14605</v>
      </c>
      <c r="F5685" s="108" t="s">
        <v>24057</v>
      </c>
      <c r="G5685" s="110"/>
      <c r="H5685" s="108" t="s">
        <v>23955</v>
      </c>
      <c r="I5685" s="108"/>
    </row>
    <row r="5686" spans="1:9" ht="27.6">
      <c r="A5686" s="108" t="s">
        <v>18397</v>
      </c>
      <c r="B5686" s="108" t="s">
        <v>24058</v>
      </c>
      <c r="C5686" s="109">
        <v>39545</v>
      </c>
      <c r="D5686" s="108"/>
      <c r="E5686" s="108" t="s">
        <v>14605</v>
      </c>
      <c r="F5686" s="108" t="s">
        <v>24049</v>
      </c>
      <c r="G5686" s="110"/>
      <c r="H5686" s="108" t="s">
        <v>23955</v>
      </c>
      <c r="I5686" s="108"/>
    </row>
    <row r="5687" spans="1:9">
      <c r="A5687" s="108" t="s">
        <v>16935</v>
      </c>
      <c r="B5687" s="108" t="s">
        <v>24059</v>
      </c>
      <c r="C5687" s="109">
        <v>39583</v>
      </c>
      <c r="D5687" s="108"/>
      <c r="E5687" s="108" t="s">
        <v>14605</v>
      </c>
      <c r="F5687" s="108" t="s">
        <v>24060</v>
      </c>
      <c r="G5687" s="110"/>
      <c r="H5687" s="108" t="s">
        <v>23955</v>
      </c>
      <c r="I5687" s="108"/>
    </row>
    <row r="5688" spans="1:9" ht="27.6">
      <c r="A5688" s="108" t="s">
        <v>2002</v>
      </c>
      <c r="B5688" s="108" t="s">
        <v>24061</v>
      </c>
      <c r="C5688" s="109">
        <v>40550</v>
      </c>
      <c r="D5688" s="108"/>
      <c r="E5688" s="108" t="s">
        <v>14605</v>
      </c>
      <c r="F5688" s="108" t="s">
        <v>24053</v>
      </c>
      <c r="G5688" s="110"/>
      <c r="H5688" s="108" t="s">
        <v>23955</v>
      </c>
      <c r="I5688" s="108"/>
    </row>
    <row r="5689" spans="1:9" ht="41.4">
      <c r="A5689" s="108" t="s">
        <v>2002</v>
      </c>
      <c r="B5689" s="108" t="s">
        <v>24062</v>
      </c>
      <c r="C5689" s="109">
        <v>40612</v>
      </c>
      <c r="D5689" s="108"/>
      <c r="E5689" s="108" t="s">
        <v>14605</v>
      </c>
      <c r="F5689" s="108" t="s">
        <v>24063</v>
      </c>
      <c r="G5689" s="110"/>
      <c r="H5689" s="108" t="s">
        <v>23955</v>
      </c>
      <c r="I5689" s="108"/>
    </row>
    <row r="5690" spans="1:9" ht="41.4">
      <c r="A5690" s="108" t="s">
        <v>2002</v>
      </c>
      <c r="B5690" s="108" t="s">
        <v>24064</v>
      </c>
      <c r="C5690" s="109">
        <v>40630</v>
      </c>
      <c r="D5690" s="108"/>
      <c r="E5690" s="108" t="s">
        <v>14605</v>
      </c>
      <c r="F5690" s="108" t="s">
        <v>24065</v>
      </c>
      <c r="G5690" s="110"/>
      <c r="H5690" s="108" t="s">
        <v>23955</v>
      </c>
      <c r="I5690" s="108"/>
    </row>
    <row r="5691" spans="1:9" ht="27.6">
      <c r="A5691" s="108" t="s">
        <v>2002</v>
      </c>
      <c r="B5691" s="108" t="s">
        <v>24066</v>
      </c>
      <c r="C5691" s="109">
        <v>40683</v>
      </c>
      <c r="D5691" s="108"/>
      <c r="E5691" s="108" t="s">
        <v>14605</v>
      </c>
      <c r="F5691" s="108" t="s">
        <v>24067</v>
      </c>
      <c r="G5691" s="110"/>
      <c r="H5691" s="108" t="s">
        <v>23955</v>
      </c>
      <c r="I5691" s="108"/>
    </row>
    <row r="5692" spans="1:9">
      <c r="A5692" s="108" t="s">
        <v>1465</v>
      </c>
      <c r="B5692" s="108" t="s">
        <v>24068</v>
      </c>
      <c r="C5692" s="109">
        <v>40592</v>
      </c>
      <c r="D5692" s="108"/>
      <c r="E5692" s="108" t="s">
        <v>14605</v>
      </c>
      <c r="F5692" s="108" t="s">
        <v>23993</v>
      </c>
      <c r="G5692" s="110"/>
      <c r="H5692" s="108" t="s">
        <v>23955</v>
      </c>
      <c r="I5692" s="108"/>
    </row>
    <row r="5693" spans="1:9">
      <c r="A5693" s="108" t="s">
        <v>1465</v>
      </c>
      <c r="B5693" s="108" t="s">
        <v>24069</v>
      </c>
      <c r="C5693" s="109">
        <v>40891</v>
      </c>
      <c r="D5693" s="108"/>
      <c r="E5693" s="108" t="s">
        <v>14605</v>
      </c>
      <c r="F5693" s="108" t="s">
        <v>24070</v>
      </c>
      <c r="G5693" s="110"/>
      <c r="H5693" s="108" t="s">
        <v>23955</v>
      </c>
      <c r="I5693" s="108"/>
    </row>
    <row r="5694" spans="1:9">
      <c r="A5694" s="108" t="s">
        <v>87</v>
      </c>
      <c r="B5694" s="108" t="s">
        <v>24071</v>
      </c>
      <c r="C5694" s="109">
        <v>40814</v>
      </c>
      <c r="D5694" s="108"/>
      <c r="E5694" s="108" t="s">
        <v>14605</v>
      </c>
      <c r="F5694" s="108" t="s">
        <v>24072</v>
      </c>
      <c r="G5694" s="110"/>
      <c r="H5694" s="108" t="s">
        <v>23955</v>
      </c>
      <c r="I5694" s="108"/>
    </row>
    <row r="5695" spans="1:9">
      <c r="A5695" s="108" t="s">
        <v>237</v>
      </c>
      <c r="B5695" s="108" t="s">
        <v>24073</v>
      </c>
      <c r="C5695" s="109">
        <v>40764</v>
      </c>
      <c r="D5695" s="108"/>
      <c r="E5695" s="108" t="s">
        <v>14605</v>
      </c>
      <c r="F5695" s="108" t="s">
        <v>24074</v>
      </c>
      <c r="G5695" s="110"/>
      <c r="H5695" s="108" t="s">
        <v>23955</v>
      </c>
      <c r="I5695" s="108"/>
    </row>
    <row r="5696" spans="1:9">
      <c r="A5696" s="108" t="s">
        <v>15705</v>
      </c>
      <c r="B5696" s="108" t="s">
        <v>24075</v>
      </c>
      <c r="C5696" s="109">
        <v>38887</v>
      </c>
      <c r="D5696" s="108"/>
      <c r="E5696" s="108" t="s">
        <v>14605</v>
      </c>
      <c r="F5696" s="108" t="s">
        <v>24076</v>
      </c>
      <c r="G5696" s="110"/>
      <c r="H5696" s="108" t="s">
        <v>23955</v>
      </c>
      <c r="I5696" s="108"/>
    </row>
    <row r="5697" spans="1:9" ht="27.6">
      <c r="A5697" s="108" t="s">
        <v>15759</v>
      </c>
      <c r="B5697" s="108" t="s">
        <v>24077</v>
      </c>
      <c r="C5697" s="109">
        <v>44999</v>
      </c>
      <c r="D5697" s="108"/>
      <c r="E5697" s="108" t="s">
        <v>14605</v>
      </c>
      <c r="F5697" s="108" t="s">
        <v>15140</v>
      </c>
      <c r="G5697" s="110"/>
      <c r="H5697" s="108" t="s">
        <v>23955</v>
      </c>
      <c r="I5697" s="108"/>
    </row>
    <row r="5698" spans="1:9" ht="27.6">
      <c r="A5698" s="108" t="s">
        <v>15759</v>
      </c>
      <c r="B5698" s="108" t="s">
        <v>24078</v>
      </c>
      <c r="C5698" s="109">
        <v>45053</v>
      </c>
      <c r="D5698" s="108"/>
      <c r="E5698" s="108" t="s">
        <v>14605</v>
      </c>
      <c r="F5698" s="108" t="s">
        <v>15140</v>
      </c>
      <c r="G5698" s="110"/>
      <c r="H5698" s="108" t="s">
        <v>23955</v>
      </c>
      <c r="I5698" s="108"/>
    </row>
    <row r="5699" spans="1:9" ht="27.6">
      <c r="A5699" s="108" t="s">
        <v>479</v>
      </c>
      <c r="B5699" s="108" t="s">
        <v>24079</v>
      </c>
      <c r="C5699" s="109">
        <v>40844</v>
      </c>
      <c r="D5699" s="108"/>
      <c r="E5699" s="108" t="s">
        <v>14605</v>
      </c>
      <c r="F5699" s="108" t="s">
        <v>24080</v>
      </c>
      <c r="G5699" s="110"/>
      <c r="H5699" s="108" t="s">
        <v>23955</v>
      </c>
      <c r="I5699" s="108"/>
    </row>
    <row r="5700" spans="1:9" ht="27.6">
      <c r="A5700" s="108" t="s">
        <v>118</v>
      </c>
      <c r="B5700" s="108" t="s">
        <v>24081</v>
      </c>
      <c r="C5700" s="109">
        <v>42272</v>
      </c>
      <c r="D5700" s="108"/>
      <c r="E5700" s="108" t="s">
        <v>14605</v>
      </c>
      <c r="F5700" s="108" t="s">
        <v>24082</v>
      </c>
      <c r="G5700" s="110"/>
      <c r="H5700" s="108" t="s">
        <v>23955</v>
      </c>
      <c r="I5700" s="108"/>
    </row>
    <row r="5701" spans="1:9" ht="27.6">
      <c r="A5701" s="108" t="s">
        <v>118</v>
      </c>
      <c r="B5701" s="108" t="s">
        <v>24083</v>
      </c>
      <c r="C5701" s="109">
        <v>44391</v>
      </c>
      <c r="D5701" s="108"/>
      <c r="E5701" s="108" t="s">
        <v>14605</v>
      </c>
      <c r="F5701" s="108" t="s">
        <v>24084</v>
      </c>
      <c r="G5701" s="110"/>
      <c r="H5701" s="108" t="s">
        <v>23955</v>
      </c>
      <c r="I5701" s="108"/>
    </row>
    <row r="5702" spans="1:9">
      <c r="A5702" s="108" t="s">
        <v>118</v>
      </c>
      <c r="B5702" s="108" t="s">
        <v>24085</v>
      </c>
      <c r="C5702" s="109">
        <v>44168</v>
      </c>
      <c r="D5702" s="108"/>
      <c r="E5702" s="108" t="s">
        <v>14605</v>
      </c>
      <c r="F5702" s="108" t="s">
        <v>24086</v>
      </c>
      <c r="G5702" s="110"/>
      <c r="H5702" s="108" t="s">
        <v>23955</v>
      </c>
      <c r="I5702" s="108"/>
    </row>
    <row r="5703" spans="1:9" ht="27.6">
      <c r="A5703" s="108" t="s">
        <v>169</v>
      </c>
      <c r="B5703" s="108" t="s">
        <v>24087</v>
      </c>
      <c r="C5703" s="109">
        <v>44271</v>
      </c>
      <c r="D5703" s="108"/>
      <c r="E5703" s="108" t="s">
        <v>14605</v>
      </c>
      <c r="F5703" s="108" t="s">
        <v>24088</v>
      </c>
      <c r="G5703" s="110"/>
      <c r="H5703" s="108" t="s">
        <v>23955</v>
      </c>
      <c r="I5703" s="108"/>
    </row>
    <row r="5704" spans="1:9">
      <c r="A5704" s="108" t="s">
        <v>15990</v>
      </c>
      <c r="B5704" s="108" t="s">
        <v>24089</v>
      </c>
      <c r="C5704" s="109">
        <v>45429</v>
      </c>
      <c r="D5704" s="108"/>
      <c r="E5704" s="108" t="s">
        <v>14605</v>
      </c>
      <c r="F5704" s="108" t="s">
        <v>14764</v>
      </c>
      <c r="G5704" s="110"/>
      <c r="H5704" s="108" t="s">
        <v>23955</v>
      </c>
      <c r="I5704" s="108"/>
    </row>
    <row r="5705" spans="1:9" ht="27.6">
      <c r="A5705" s="108" t="s">
        <v>388</v>
      </c>
      <c r="B5705" s="108" t="s">
        <v>24090</v>
      </c>
      <c r="C5705" s="109">
        <v>44266</v>
      </c>
      <c r="D5705" s="108"/>
      <c r="E5705" s="108" t="s">
        <v>14605</v>
      </c>
      <c r="F5705" s="108" t="s">
        <v>24091</v>
      </c>
      <c r="G5705" s="110"/>
      <c r="H5705" s="108" t="s">
        <v>23955</v>
      </c>
      <c r="I5705" s="108"/>
    </row>
    <row r="5706" spans="1:9">
      <c r="A5706" s="108" t="s">
        <v>8396</v>
      </c>
      <c r="B5706" s="108" t="s">
        <v>24092</v>
      </c>
      <c r="C5706" s="109">
        <v>44952</v>
      </c>
      <c r="D5706" s="108" t="s">
        <v>24093</v>
      </c>
      <c r="E5706" s="108" t="s">
        <v>14605</v>
      </c>
      <c r="F5706" s="108" t="s">
        <v>15140</v>
      </c>
      <c r="G5706" s="109">
        <v>45931</v>
      </c>
      <c r="H5706" s="108" t="s">
        <v>23955</v>
      </c>
      <c r="I5706" s="108" t="s">
        <v>102</v>
      </c>
    </row>
    <row r="5707" spans="1:9">
      <c r="A5707" s="108" t="s">
        <v>16151</v>
      </c>
      <c r="B5707" s="108" t="s">
        <v>24094</v>
      </c>
      <c r="C5707" s="109">
        <v>44385</v>
      </c>
      <c r="D5707" s="108" t="s">
        <v>24095</v>
      </c>
      <c r="E5707" s="108" t="s">
        <v>14605</v>
      </c>
      <c r="F5707" s="108" t="s">
        <v>24096</v>
      </c>
      <c r="G5707" s="109">
        <v>45846</v>
      </c>
      <c r="H5707" s="108" t="s">
        <v>23955</v>
      </c>
      <c r="I5707" s="108" t="s">
        <v>102</v>
      </c>
    </row>
    <row r="5708" spans="1:9">
      <c r="A5708" s="108" t="s">
        <v>16151</v>
      </c>
      <c r="B5708" s="108" t="s">
        <v>24097</v>
      </c>
      <c r="C5708" s="109">
        <v>44754</v>
      </c>
      <c r="D5708" s="108" t="s">
        <v>24098</v>
      </c>
      <c r="E5708" s="108" t="s">
        <v>14605</v>
      </c>
      <c r="F5708" s="108" t="s">
        <v>15140</v>
      </c>
      <c r="G5708" s="109">
        <v>45858</v>
      </c>
      <c r="H5708" s="108" t="s">
        <v>23955</v>
      </c>
      <c r="I5708" s="108" t="s">
        <v>102</v>
      </c>
    </row>
    <row r="5709" spans="1:9" ht="27.6">
      <c r="A5709" s="108" t="s">
        <v>388</v>
      </c>
      <c r="B5709" s="108" t="s">
        <v>24099</v>
      </c>
      <c r="C5709" s="109">
        <v>44301</v>
      </c>
      <c r="D5709" s="108" t="s">
        <v>24100</v>
      </c>
      <c r="E5709" s="108" t="s">
        <v>14605</v>
      </c>
      <c r="F5709" s="108" t="s">
        <v>24101</v>
      </c>
      <c r="G5709" s="109">
        <v>45657</v>
      </c>
      <c r="H5709" s="108" t="s">
        <v>23955</v>
      </c>
      <c r="I5709" s="108" t="s">
        <v>102</v>
      </c>
    </row>
    <row r="5710" spans="1:9" ht="27.6">
      <c r="A5710" s="108" t="s">
        <v>109</v>
      </c>
      <c r="B5710" s="108" t="s">
        <v>24102</v>
      </c>
      <c r="C5710" s="109">
        <v>43992</v>
      </c>
      <c r="D5710" s="108" t="s">
        <v>24103</v>
      </c>
      <c r="E5710" s="108" t="s">
        <v>14605</v>
      </c>
      <c r="F5710" s="108" t="s">
        <v>24104</v>
      </c>
      <c r="G5710" s="109">
        <v>45619</v>
      </c>
      <c r="H5710" s="108" t="s">
        <v>23955</v>
      </c>
      <c r="I5710" s="108" t="s">
        <v>95</v>
      </c>
    </row>
    <row r="5711" spans="1:9" ht="27.6">
      <c r="A5711" s="108" t="s">
        <v>16986</v>
      </c>
      <c r="B5711" s="108" t="s">
        <v>24105</v>
      </c>
      <c r="C5711" s="109">
        <v>44515</v>
      </c>
      <c r="D5711" s="108" t="s">
        <v>24106</v>
      </c>
      <c r="E5711" s="108" t="s">
        <v>14605</v>
      </c>
      <c r="F5711" s="108" t="s">
        <v>24107</v>
      </c>
      <c r="G5711" s="109">
        <v>45706</v>
      </c>
      <c r="H5711" s="108" t="s">
        <v>23955</v>
      </c>
      <c r="I5711" s="108" t="s">
        <v>95</v>
      </c>
    </row>
    <row r="5712" spans="1:9" ht="27.6">
      <c r="A5712" s="108" t="s">
        <v>109</v>
      </c>
      <c r="B5712" s="108" t="s">
        <v>24108</v>
      </c>
      <c r="C5712" s="109">
        <v>44722</v>
      </c>
      <c r="D5712" s="108" t="s">
        <v>24109</v>
      </c>
      <c r="E5712" s="108" t="s">
        <v>14605</v>
      </c>
      <c r="F5712" s="108" t="s">
        <v>15140</v>
      </c>
      <c r="G5712" s="109">
        <v>45451</v>
      </c>
      <c r="H5712" s="108" t="s">
        <v>23955</v>
      </c>
      <c r="I5712" s="108" t="s">
        <v>95</v>
      </c>
    </row>
    <row r="5713" spans="1:9" ht="27.6">
      <c r="A5713" s="108" t="s">
        <v>109</v>
      </c>
      <c r="B5713" s="108" t="s">
        <v>24110</v>
      </c>
      <c r="C5713" s="109">
        <v>45077</v>
      </c>
      <c r="D5713" s="108" t="s">
        <v>24111</v>
      </c>
      <c r="E5713" s="108" t="s">
        <v>14605</v>
      </c>
      <c r="F5713" s="108" t="s">
        <v>15140</v>
      </c>
      <c r="G5713" s="109">
        <v>45657</v>
      </c>
      <c r="H5713" s="108" t="s">
        <v>23955</v>
      </c>
      <c r="I5713" s="108" t="s">
        <v>95</v>
      </c>
    </row>
    <row r="5714" spans="1:9" ht="27.6">
      <c r="A5714" s="108" t="s">
        <v>250</v>
      </c>
      <c r="B5714" s="108" t="s">
        <v>24112</v>
      </c>
      <c r="C5714" s="109">
        <v>45817</v>
      </c>
      <c r="D5714" s="108" t="s">
        <v>24113</v>
      </c>
      <c r="E5714" s="108" t="s">
        <v>14605</v>
      </c>
      <c r="F5714" s="108" t="s">
        <v>15140</v>
      </c>
      <c r="G5714" s="109">
        <v>45958</v>
      </c>
      <c r="H5714" s="108" t="s">
        <v>23955</v>
      </c>
      <c r="I5714" s="108" t="s">
        <v>95</v>
      </c>
    </row>
    <row r="5715" spans="1:9" ht="27.6">
      <c r="A5715" s="108" t="s">
        <v>109</v>
      </c>
      <c r="B5715" s="108" t="s">
        <v>24114</v>
      </c>
      <c r="C5715" s="109">
        <v>45184</v>
      </c>
      <c r="D5715" s="108" t="s">
        <v>24115</v>
      </c>
      <c r="E5715" s="108" t="s">
        <v>14605</v>
      </c>
      <c r="F5715" s="108" t="s">
        <v>15140</v>
      </c>
      <c r="G5715" s="109">
        <v>45914</v>
      </c>
      <c r="H5715" s="108" t="s">
        <v>23955</v>
      </c>
      <c r="I5715" s="108" t="s">
        <v>95</v>
      </c>
    </row>
    <row r="5716" spans="1:9">
      <c r="A5716" s="108" t="s">
        <v>8194</v>
      </c>
      <c r="B5716" s="108" t="s">
        <v>24116</v>
      </c>
      <c r="C5716" s="109">
        <v>45155</v>
      </c>
      <c r="D5716" s="108" t="s">
        <v>24117</v>
      </c>
      <c r="E5716" s="108" t="s">
        <v>14605</v>
      </c>
      <c r="F5716" s="108" t="s">
        <v>15140</v>
      </c>
      <c r="G5716" s="109">
        <v>45838</v>
      </c>
      <c r="H5716" s="108" t="s">
        <v>23955</v>
      </c>
      <c r="I5716" s="108" t="s">
        <v>95</v>
      </c>
    </row>
    <row r="5717" spans="1:9">
      <c r="A5717" s="108" t="s">
        <v>8194</v>
      </c>
      <c r="B5717" s="108" t="s">
        <v>24118</v>
      </c>
      <c r="C5717" s="109">
        <v>43328</v>
      </c>
      <c r="D5717" s="108" t="s">
        <v>24119</v>
      </c>
      <c r="E5717" s="108" t="s">
        <v>14605</v>
      </c>
      <c r="F5717" s="108" t="s">
        <v>15140</v>
      </c>
      <c r="G5717" s="109">
        <v>45686</v>
      </c>
      <c r="H5717" s="108" t="s">
        <v>23955</v>
      </c>
      <c r="I5717" s="108" t="s">
        <v>95</v>
      </c>
    </row>
    <row r="5718" spans="1:9" ht="27.6">
      <c r="A5718" s="108" t="s">
        <v>96</v>
      </c>
      <c r="B5718" s="108" t="s">
        <v>24120</v>
      </c>
      <c r="C5718" s="109">
        <v>44188</v>
      </c>
      <c r="D5718" s="108" t="s">
        <v>24121</v>
      </c>
      <c r="E5718" s="108" t="s">
        <v>14605</v>
      </c>
      <c r="F5718" s="108" t="s">
        <v>15140</v>
      </c>
      <c r="G5718" s="109">
        <v>46022</v>
      </c>
      <c r="H5718" s="108" t="s">
        <v>23955</v>
      </c>
      <c r="I5718" s="108" t="s">
        <v>95</v>
      </c>
    </row>
    <row r="5719" spans="1:9">
      <c r="A5719" s="108" t="s">
        <v>15990</v>
      </c>
      <c r="B5719" s="108" t="s">
        <v>24122</v>
      </c>
      <c r="C5719" s="109">
        <v>44610</v>
      </c>
      <c r="D5719" s="108" t="s">
        <v>24123</v>
      </c>
      <c r="E5719" s="108" t="s">
        <v>14605</v>
      </c>
      <c r="F5719" s="108" t="s">
        <v>24124</v>
      </c>
      <c r="G5719" s="109">
        <v>45730</v>
      </c>
      <c r="H5719" s="108" t="s">
        <v>24125</v>
      </c>
      <c r="I5719" s="108" t="s">
        <v>95</v>
      </c>
    </row>
    <row r="5720" spans="1:9">
      <c r="A5720" s="108" t="s">
        <v>15990</v>
      </c>
      <c r="B5720" s="108" t="s">
        <v>24126</v>
      </c>
      <c r="C5720" s="109">
        <v>44887</v>
      </c>
      <c r="D5720" s="108" t="s">
        <v>24127</v>
      </c>
      <c r="E5720" s="108" t="s">
        <v>14605</v>
      </c>
      <c r="F5720" s="108" t="s">
        <v>15140</v>
      </c>
      <c r="G5720" s="109">
        <v>45982</v>
      </c>
      <c r="H5720" s="108" t="s">
        <v>23955</v>
      </c>
      <c r="I5720" s="108" t="s">
        <v>95</v>
      </c>
    </row>
    <row r="5721" spans="1:9">
      <c r="A5721" s="108" t="s">
        <v>244</v>
      </c>
      <c r="B5721" s="108" t="s">
        <v>24128</v>
      </c>
      <c r="C5721" s="109">
        <v>44918</v>
      </c>
      <c r="D5721" s="108" t="s">
        <v>24129</v>
      </c>
      <c r="E5721" s="108" t="s">
        <v>14605</v>
      </c>
      <c r="F5721" s="108" t="s">
        <v>15140</v>
      </c>
      <c r="G5721" s="109">
        <v>46370</v>
      </c>
      <c r="H5721" s="108" t="s">
        <v>24125</v>
      </c>
      <c r="I5721" s="108" t="s">
        <v>95</v>
      </c>
    </row>
    <row r="5722" spans="1:9">
      <c r="A5722" s="108" t="s">
        <v>15990</v>
      </c>
      <c r="B5722" s="108" t="s">
        <v>24130</v>
      </c>
      <c r="C5722" s="109">
        <v>45107</v>
      </c>
      <c r="D5722" s="108" t="s">
        <v>24131</v>
      </c>
      <c r="E5722" s="108" t="s">
        <v>14605</v>
      </c>
      <c r="F5722" s="108" t="s">
        <v>15140</v>
      </c>
      <c r="G5722" s="109">
        <v>46933</v>
      </c>
      <c r="H5722" s="108" t="s">
        <v>23955</v>
      </c>
      <c r="I5722" s="108" t="s">
        <v>95</v>
      </c>
    </row>
    <row r="5723" spans="1:9">
      <c r="A5723" s="108" t="s">
        <v>15990</v>
      </c>
      <c r="B5723" s="108" t="s">
        <v>24132</v>
      </c>
      <c r="C5723" s="109">
        <v>45174</v>
      </c>
      <c r="D5723" s="108" t="s">
        <v>24133</v>
      </c>
      <c r="E5723" s="108" t="s">
        <v>14605</v>
      </c>
      <c r="F5723" s="108" t="s">
        <v>15140</v>
      </c>
      <c r="G5723" s="109">
        <v>46388</v>
      </c>
      <c r="H5723" s="108" t="s">
        <v>23955</v>
      </c>
      <c r="I5723" s="108" t="s">
        <v>95</v>
      </c>
    </row>
    <row r="5724" spans="1:9">
      <c r="A5724" s="108" t="s">
        <v>15990</v>
      </c>
      <c r="B5724" s="108" t="s">
        <v>24134</v>
      </c>
      <c r="C5724" s="109">
        <v>45419</v>
      </c>
      <c r="D5724" s="108" t="s">
        <v>24135</v>
      </c>
      <c r="E5724" s="108" t="s">
        <v>14605</v>
      </c>
      <c r="F5724" s="108" t="s">
        <v>15140</v>
      </c>
      <c r="G5724" s="109">
        <v>46149</v>
      </c>
      <c r="H5724" s="108" t="s">
        <v>23955</v>
      </c>
      <c r="I5724" s="108" t="s">
        <v>95</v>
      </c>
    </row>
    <row r="5725" spans="1:9" ht="27.6">
      <c r="A5725" s="108" t="s">
        <v>16149</v>
      </c>
      <c r="B5725" s="108" t="s">
        <v>24136</v>
      </c>
      <c r="C5725" s="109">
        <v>44046</v>
      </c>
      <c r="D5725" s="108" t="s">
        <v>24137</v>
      </c>
      <c r="E5725" s="108" t="s">
        <v>14605</v>
      </c>
      <c r="F5725" s="108" t="s">
        <v>24138</v>
      </c>
      <c r="G5725" s="109">
        <v>46113</v>
      </c>
      <c r="H5725" s="108" t="s">
        <v>23955</v>
      </c>
      <c r="I5725" s="108" t="s">
        <v>95</v>
      </c>
    </row>
    <row r="5726" spans="1:9">
      <c r="A5726" s="108" t="s">
        <v>16151</v>
      </c>
      <c r="B5726" s="108" t="s">
        <v>24139</v>
      </c>
      <c r="C5726" s="109">
        <v>43891</v>
      </c>
      <c r="D5726" s="108" t="s">
        <v>24140</v>
      </c>
      <c r="E5726" s="108" t="s">
        <v>14605</v>
      </c>
      <c r="F5726" s="108" t="s">
        <v>15140</v>
      </c>
      <c r="G5726" s="109">
        <v>45040</v>
      </c>
      <c r="H5726" s="108" t="s">
        <v>23955</v>
      </c>
      <c r="I5726" s="108" t="s">
        <v>95</v>
      </c>
    </row>
    <row r="5727" spans="1:9">
      <c r="A5727" s="108" t="s">
        <v>16151</v>
      </c>
      <c r="B5727" s="108" t="s">
        <v>24141</v>
      </c>
      <c r="C5727" s="109">
        <v>44076</v>
      </c>
      <c r="D5727" s="108" t="s">
        <v>24142</v>
      </c>
      <c r="E5727" s="108" t="s">
        <v>14605</v>
      </c>
      <c r="F5727" s="108" t="s">
        <v>24018</v>
      </c>
      <c r="G5727" s="109">
        <v>46022</v>
      </c>
      <c r="H5727" s="108" t="s">
        <v>23955</v>
      </c>
      <c r="I5727" s="108" t="s">
        <v>95</v>
      </c>
    </row>
    <row r="5728" spans="1:9">
      <c r="A5728" s="108" t="s">
        <v>16151</v>
      </c>
      <c r="B5728" s="108" t="s">
        <v>24143</v>
      </c>
      <c r="C5728" s="109">
        <v>44322</v>
      </c>
      <c r="D5728" s="108" t="s">
        <v>24144</v>
      </c>
      <c r="E5728" s="108" t="s">
        <v>14605</v>
      </c>
      <c r="F5728" s="108" t="s">
        <v>15140</v>
      </c>
      <c r="G5728" s="109">
        <v>45777</v>
      </c>
      <c r="H5728" s="108" t="s">
        <v>23955</v>
      </c>
      <c r="I5728" s="108" t="s">
        <v>95</v>
      </c>
    </row>
    <row r="5729" spans="1:9">
      <c r="A5729" s="108" t="s">
        <v>16151</v>
      </c>
      <c r="B5729" s="108" t="s">
        <v>24145</v>
      </c>
      <c r="C5729" s="109">
        <v>44490</v>
      </c>
      <c r="D5729" s="108" t="s">
        <v>24146</v>
      </c>
      <c r="E5729" s="108" t="s">
        <v>14605</v>
      </c>
      <c r="F5729" s="108" t="s">
        <v>24018</v>
      </c>
      <c r="G5729" s="109">
        <v>46022</v>
      </c>
      <c r="H5729" s="108" t="s">
        <v>23955</v>
      </c>
      <c r="I5729" s="108" t="s">
        <v>95</v>
      </c>
    </row>
    <row r="5730" spans="1:9">
      <c r="A5730" s="108" t="s">
        <v>16151</v>
      </c>
      <c r="B5730" s="108" t="s">
        <v>24147</v>
      </c>
      <c r="C5730" s="109">
        <v>44370</v>
      </c>
      <c r="D5730" s="108" t="s">
        <v>24148</v>
      </c>
      <c r="E5730" s="108" t="s">
        <v>14605</v>
      </c>
      <c r="F5730" s="108" t="s">
        <v>15140</v>
      </c>
      <c r="G5730" s="109">
        <v>45826</v>
      </c>
      <c r="H5730" s="108" t="s">
        <v>23955</v>
      </c>
      <c r="I5730" s="108" t="s">
        <v>95</v>
      </c>
    </row>
    <row r="5731" spans="1:9">
      <c r="A5731" s="108" t="s">
        <v>16151</v>
      </c>
      <c r="B5731" s="108" t="s">
        <v>24149</v>
      </c>
      <c r="C5731" s="109">
        <v>44529</v>
      </c>
      <c r="D5731" s="108" t="s">
        <v>24150</v>
      </c>
      <c r="E5731" s="108" t="s">
        <v>14605</v>
      </c>
      <c r="F5731" s="108" t="s">
        <v>24021</v>
      </c>
      <c r="G5731" s="109">
        <v>45732</v>
      </c>
      <c r="H5731" s="108" t="s">
        <v>23955</v>
      </c>
      <c r="I5731" s="108" t="s">
        <v>95</v>
      </c>
    </row>
    <row r="5732" spans="1:9">
      <c r="A5732" s="108" t="s">
        <v>16151</v>
      </c>
      <c r="B5732" s="108" t="s">
        <v>24151</v>
      </c>
      <c r="C5732" s="109">
        <v>44588</v>
      </c>
      <c r="D5732" s="108" t="s">
        <v>24152</v>
      </c>
      <c r="E5732" s="108" t="s">
        <v>14605</v>
      </c>
      <c r="F5732" s="108" t="s">
        <v>15140</v>
      </c>
      <c r="G5732" s="109">
        <v>45774</v>
      </c>
      <c r="H5732" s="108" t="s">
        <v>23955</v>
      </c>
      <c r="I5732" s="108" t="s">
        <v>95</v>
      </c>
    </row>
    <row r="5733" spans="1:9">
      <c r="A5733" s="108" t="s">
        <v>16151</v>
      </c>
      <c r="B5733" s="108" t="s">
        <v>24153</v>
      </c>
      <c r="C5733" s="109">
        <v>44945</v>
      </c>
      <c r="D5733" s="108" t="s">
        <v>24154</v>
      </c>
      <c r="E5733" s="108" t="s">
        <v>14605</v>
      </c>
      <c r="F5733" s="108" t="s">
        <v>15140</v>
      </c>
      <c r="G5733" s="109">
        <v>46039</v>
      </c>
      <c r="H5733" s="108" t="s">
        <v>23955</v>
      </c>
      <c r="I5733" s="108" t="s">
        <v>95</v>
      </c>
    </row>
    <row r="5734" spans="1:9">
      <c r="A5734" s="108" t="s">
        <v>16151</v>
      </c>
      <c r="B5734" s="108" t="s">
        <v>24155</v>
      </c>
      <c r="C5734" s="109">
        <v>44945</v>
      </c>
      <c r="D5734" s="108" t="s">
        <v>24156</v>
      </c>
      <c r="E5734" s="108" t="s">
        <v>14605</v>
      </c>
      <c r="F5734" s="108" t="s">
        <v>15140</v>
      </c>
      <c r="G5734" s="109">
        <v>45988</v>
      </c>
      <c r="H5734" s="108" t="s">
        <v>23955</v>
      </c>
      <c r="I5734" s="108" t="s">
        <v>95</v>
      </c>
    </row>
    <row r="5735" spans="1:9">
      <c r="A5735" s="108" t="s">
        <v>16151</v>
      </c>
      <c r="B5735" s="108" t="s">
        <v>24157</v>
      </c>
      <c r="C5735" s="109">
        <v>45040</v>
      </c>
      <c r="D5735" s="108" t="s">
        <v>24158</v>
      </c>
      <c r="E5735" s="108" t="s">
        <v>14605</v>
      </c>
      <c r="F5735" s="108" t="s">
        <v>15140</v>
      </c>
      <c r="G5735" s="109">
        <v>45766</v>
      </c>
      <c r="H5735" s="108" t="s">
        <v>23955</v>
      </c>
      <c r="I5735" s="108" t="s">
        <v>95</v>
      </c>
    </row>
    <row r="5736" spans="1:9" ht="27.6">
      <c r="A5736" s="108" t="s">
        <v>16149</v>
      </c>
      <c r="B5736" s="108" t="s">
        <v>24159</v>
      </c>
      <c r="C5736" s="109">
        <v>45259</v>
      </c>
      <c r="D5736" s="108" t="s">
        <v>24160</v>
      </c>
      <c r="E5736" s="108" t="s">
        <v>14605</v>
      </c>
      <c r="F5736" s="108" t="s">
        <v>15761</v>
      </c>
      <c r="G5736" s="109">
        <v>47076</v>
      </c>
      <c r="H5736" s="108" t="s">
        <v>23955</v>
      </c>
      <c r="I5736" s="108" t="s">
        <v>95</v>
      </c>
    </row>
    <row r="5737" spans="1:9">
      <c r="A5737" s="108" t="s">
        <v>16151</v>
      </c>
      <c r="B5737" s="108" t="s">
        <v>24161</v>
      </c>
      <c r="C5737" s="109">
        <v>45245</v>
      </c>
      <c r="D5737" s="108" t="s">
        <v>24162</v>
      </c>
      <c r="E5737" s="108" t="s">
        <v>14605</v>
      </c>
      <c r="F5737" s="108" t="s">
        <v>15140</v>
      </c>
      <c r="G5737" s="109">
        <v>45972</v>
      </c>
      <c r="H5737" s="108" t="s">
        <v>23955</v>
      </c>
      <c r="I5737" s="108" t="s">
        <v>95</v>
      </c>
    </row>
    <row r="5738" spans="1:9">
      <c r="A5738" s="108" t="s">
        <v>16151</v>
      </c>
      <c r="B5738" s="108" t="s">
        <v>24163</v>
      </c>
      <c r="C5738" s="109">
        <v>45245</v>
      </c>
      <c r="D5738" s="108" t="s">
        <v>24164</v>
      </c>
      <c r="E5738" s="108" t="s">
        <v>14605</v>
      </c>
      <c r="F5738" s="108" t="s">
        <v>15140</v>
      </c>
      <c r="G5738" s="109">
        <v>45975</v>
      </c>
      <c r="H5738" s="108" t="s">
        <v>23955</v>
      </c>
      <c r="I5738" s="108" t="s">
        <v>95</v>
      </c>
    </row>
    <row r="5739" spans="1:9">
      <c r="A5739" s="108" t="s">
        <v>16151</v>
      </c>
      <c r="B5739" s="108" t="s">
        <v>24165</v>
      </c>
      <c r="C5739" s="109">
        <v>45412</v>
      </c>
      <c r="D5739" s="108" t="s">
        <v>24166</v>
      </c>
      <c r="E5739" s="108" t="s">
        <v>14605</v>
      </c>
      <c r="F5739" s="108" t="s">
        <v>15140</v>
      </c>
      <c r="G5739" s="109">
        <v>46872</v>
      </c>
      <c r="H5739" s="108" t="s">
        <v>23955</v>
      </c>
      <c r="I5739" s="108" t="s">
        <v>95</v>
      </c>
    </row>
    <row r="5740" spans="1:9" ht="27.6">
      <c r="A5740" s="108" t="s">
        <v>388</v>
      </c>
      <c r="B5740" s="108" t="s">
        <v>24167</v>
      </c>
      <c r="C5740" s="109">
        <v>44161</v>
      </c>
      <c r="D5740" s="108" t="s">
        <v>24168</v>
      </c>
      <c r="E5740" s="108" t="s">
        <v>14605</v>
      </c>
      <c r="F5740" s="108" t="s">
        <v>24169</v>
      </c>
      <c r="G5740" s="109">
        <v>44890</v>
      </c>
      <c r="H5740" s="108" t="s">
        <v>23955</v>
      </c>
      <c r="I5740" s="108" t="s">
        <v>95</v>
      </c>
    </row>
    <row r="5741" spans="1:9" ht="27.6">
      <c r="A5741" s="108" t="s">
        <v>388</v>
      </c>
      <c r="B5741" s="108" t="s">
        <v>24170</v>
      </c>
      <c r="C5741" s="109">
        <v>43886</v>
      </c>
      <c r="D5741" s="108" t="s">
        <v>24171</v>
      </c>
      <c r="E5741" s="108" t="s">
        <v>14605</v>
      </c>
      <c r="F5741" s="108" t="s">
        <v>15140</v>
      </c>
      <c r="G5741" s="109">
        <v>46142</v>
      </c>
      <c r="H5741" s="108" t="s">
        <v>23955</v>
      </c>
      <c r="I5741" s="108" t="s">
        <v>95</v>
      </c>
    </row>
    <row r="5742" spans="1:9" ht="27.6">
      <c r="A5742" s="108" t="s">
        <v>388</v>
      </c>
      <c r="B5742" s="108" t="s">
        <v>24172</v>
      </c>
      <c r="C5742" s="109">
        <v>44518</v>
      </c>
      <c r="D5742" s="108" t="s">
        <v>24173</v>
      </c>
      <c r="E5742" s="108" t="s">
        <v>14605</v>
      </c>
      <c r="F5742" s="108" t="s">
        <v>24043</v>
      </c>
      <c r="G5742" s="109">
        <v>45723</v>
      </c>
      <c r="H5742" s="108" t="s">
        <v>23955</v>
      </c>
      <c r="I5742" s="108" t="s">
        <v>95</v>
      </c>
    </row>
    <row r="5743" spans="1:9" ht="27.6">
      <c r="A5743" s="108" t="s">
        <v>388</v>
      </c>
      <c r="B5743" s="108" t="s">
        <v>24174</v>
      </c>
      <c r="C5743" s="109">
        <v>44613</v>
      </c>
      <c r="D5743" s="108" t="s">
        <v>24175</v>
      </c>
      <c r="E5743" s="108" t="s">
        <v>14605</v>
      </c>
      <c r="F5743" s="108" t="s">
        <v>15140</v>
      </c>
      <c r="G5743" s="109">
        <v>45443</v>
      </c>
      <c r="H5743" s="108" t="s">
        <v>23955</v>
      </c>
      <c r="I5743" s="108" t="s">
        <v>95</v>
      </c>
    </row>
    <row r="5744" spans="1:9" ht="27.6">
      <c r="A5744" s="108" t="s">
        <v>388</v>
      </c>
      <c r="B5744" s="108" t="s">
        <v>24176</v>
      </c>
      <c r="C5744" s="109">
        <v>44592</v>
      </c>
      <c r="D5744" s="108" t="s">
        <v>24177</v>
      </c>
      <c r="E5744" s="108" t="s">
        <v>14605</v>
      </c>
      <c r="F5744" s="108" t="s">
        <v>15140</v>
      </c>
      <c r="G5744" s="109">
        <v>45464</v>
      </c>
      <c r="H5744" s="108" t="s">
        <v>23955</v>
      </c>
      <c r="I5744" s="108" t="s">
        <v>95</v>
      </c>
    </row>
    <row r="5745" spans="1:9">
      <c r="A5745" s="108" t="s">
        <v>2002</v>
      </c>
      <c r="B5745" s="108" t="s">
        <v>24178</v>
      </c>
      <c r="C5745" s="109">
        <v>43546</v>
      </c>
      <c r="D5745" s="108" t="s">
        <v>24179</v>
      </c>
      <c r="E5745" s="108" t="s">
        <v>14605</v>
      </c>
      <c r="F5745" s="108" t="s">
        <v>24180</v>
      </c>
      <c r="G5745" s="109">
        <v>46056</v>
      </c>
      <c r="H5745" s="108" t="s">
        <v>23955</v>
      </c>
      <c r="I5745" s="108" t="s">
        <v>280</v>
      </c>
    </row>
    <row r="5746" spans="1:9">
      <c r="A5746" s="108" t="s">
        <v>2002</v>
      </c>
      <c r="B5746" s="108" t="s">
        <v>24181</v>
      </c>
      <c r="C5746" s="109">
        <v>43843</v>
      </c>
      <c r="D5746" s="108" t="s">
        <v>24182</v>
      </c>
      <c r="E5746" s="108" t="s">
        <v>14605</v>
      </c>
      <c r="F5746" s="108" t="s">
        <v>24183</v>
      </c>
      <c r="G5746" s="109">
        <v>46006</v>
      </c>
      <c r="H5746" s="108" t="s">
        <v>23955</v>
      </c>
      <c r="I5746" s="108" t="s">
        <v>280</v>
      </c>
    </row>
    <row r="5747" spans="1:9">
      <c r="A5747" s="108" t="s">
        <v>1465</v>
      </c>
      <c r="B5747" s="108" t="s">
        <v>24184</v>
      </c>
      <c r="C5747" s="109">
        <v>42989</v>
      </c>
      <c r="D5747" s="108" t="s">
        <v>24185</v>
      </c>
      <c r="E5747" s="108" t="s">
        <v>14605</v>
      </c>
      <c r="F5747" s="108" t="s">
        <v>24186</v>
      </c>
      <c r="G5747" s="109">
        <v>45740</v>
      </c>
      <c r="H5747" s="108" t="s">
        <v>23955</v>
      </c>
      <c r="I5747" s="108" t="s">
        <v>280</v>
      </c>
    </row>
    <row r="5748" spans="1:9" ht="27.6">
      <c r="A5748" s="108" t="s">
        <v>2002</v>
      </c>
      <c r="B5748" s="108" t="s">
        <v>24187</v>
      </c>
      <c r="C5748" s="109">
        <v>44097</v>
      </c>
      <c r="D5748" s="108" t="s">
        <v>24188</v>
      </c>
      <c r="E5748" s="108" t="s">
        <v>14605</v>
      </c>
      <c r="F5748" s="108" t="s">
        <v>24189</v>
      </c>
      <c r="G5748" s="109">
        <v>45912</v>
      </c>
      <c r="H5748" s="108" t="s">
        <v>23955</v>
      </c>
      <c r="I5748" s="108" t="s">
        <v>280</v>
      </c>
    </row>
    <row r="5749" spans="1:9">
      <c r="A5749" s="108" t="s">
        <v>2002</v>
      </c>
      <c r="B5749" s="108" t="s">
        <v>24190</v>
      </c>
      <c r="C5749" s="109">
        <v>44342</v>
      </c>
      <c r="D5749" s="108" t="s">
        <v>24191</v>
      </c>
      <c r="E5749" s="108" t="s">
        <v>14605</v>
      </c>
      <c r="F5749" s="108" t="s">
        <v>24192</v>
      </c>
      <c r="G5749" s="109">
        <v>45479</v>
      </c>
      <c r="H5749" s="108" t="s">
        <v>23955</v>
      </c>
      <c r="I5749" s="108" t="s">
        <v>280</v>
      </c>
    </row>
    <row r="5750" spans="1:9">
      <c r="A5750" s="108" t="s">
        <v>2002</v>
      </c>
      <c r="B5750" s="108" t="s">
        <v>24193</v>
      </c>
      <c r="C5750" s="109">
        <v>44372</v>
      </c>
      <c r="D5750" s="108" t="s">
        <v>24194</v>
      </c>
      <c r="E5750" s="108" t="s">
        <v>14605</v>
      </c>
      <c r="F5750" s="108" t="s">
        <v>24195</v>
      </c>
      <c r="G5750" s="109">
        <v>45961</v>
      </c>
      <c r="H5750" s="108" t="s">
        <v>23955</v>
      </c>
      <c r="I5750" s="108" t="s">
        <v>280</v>
      </c>
    </row>
    <row r="5751" spans="1:9">
      <c r="A5751" s="108" t="s">
        <v>2002</v>
      </c>
      <c r="B5751" s="108" t="s">
        <v>24196</v>
      </c>
      <c r="C5751" s="109">
        <v>45216</v>
      </c>
      <c r="D5751" s="108" t="s">
        <v>24197</v>
      </c>
      <c r="E5751" s="108" t="s">
        <v>14605</v>
      </c>
      <c r="F5751" s="108" t="s">
        <v>24198</v>
      </c>
      <c r="G5751" s="109">
        <v>46034</v>
      </c>
      <c r="H5751" s="108" t="s">
        <v>23955</v>
      </c>
      <c r="I5751" s="108" t="s">
        <v>280</v>
      </c>
    </row>
    <row r="5752" spans="1:9">
      <c r="A5752" s="108" t="s">
        <v>87</v>
      </c>
      <c r="B5752" s="108" t="s">
        <v>24199</v>
      </c>
      <c r="C5752" s="109">
        <v>42445</v>
      </c>
      <c r="D5752" s="108" t="s">
        <v>24200</v>
      </c>
      <c r="E5752" s="108" t="s">
        <v>14605</v>
      </c>
      <c r="F5752" s="108" t="s">
        <v>24060</v>
      </c>
      <c r="G5752" s="109">
        <v>45838</v>
      </c>
      <c r="H5752" s="108" t="s">
        <v>23955</v>
      </c>
      <c r="I5752" s="108" t="s">
        <v>79</v>
      </c>
    </row>
    <row r="5753" spans="1:9">
      <c r="A5753" s="108" t="s">
        <v>87</v>
      </c>
      <c r="B5753" s="108" t="s">
        <v>24201</v>
      </c>
      <c r="C5753" s="109">
        <v>43432</v>
      </c>
      <c r="D5753" s="108" t="s">
        <v>24202</v>
      </c>
      <c r="E5753" s="108" t="s">
        <v>14605</v>
      </c>
      <c r="F5753" s="108" t="s">
        <v>24076</v>
      </c>
      <c r="G5753" s="109">
        <v>45640</v>
      </c>
      <c r="H5753" s="108" t="s">
        <v>23955</v>
      </c>
      <c r="I5753" s="108" t="s">
        <v>79</v>
      </c>
    </row>
    <row r="5754" spans="1:9" ht="27.6">
      <c r="A5754" s="108" t="s">
        <v>2002</v>
      </c>
      <c r="B5754" s="108" t="s">
        <v>24203</v>
      </c>
      <c r="C5754" s="109">
        <v>44001</v>
      </c>
      <c r="D5754" s="108" t="s">
        <v>24204</v>
      </c>
      <c r="E5754" s="108" t="s">
        <v>14605</v>
      </c>
      <c r="F5754" s="108" t="s">
        <v>24205</v>
      </c>
      <c r="G5754" s="109">
        <v>45707</v>
      </c>
      <c r="H5754" s="108" t="s">
        <v>23955</v>
      </c>
      <c r="I5754" s="108" t="s">
        <v>79</v>
      </c>
    </row>
    <row r="5755" spans="1:9" ht="27.6">
      <c r="A5755" s="108" t="s">
        <v>207</v>
      </c>
      <c r="B5755" s="108" t="s">
        <v>24206</v>
      </c>
      <c r="C5755" s="109">
        <v>42843</v>
      </c>
      <c r="D5755" s="108" t="s">
        <v>24207</v>
      </c>
      <c r="E5755" s="108" t="s">
        <v>14605</v>
      </c>
      <c r="F5755" s="108" t="s">
        <v>24208</v>
      </c>
      <c r="G5755" s="109">
        <v>45797</v>
      </c>
      <c r="H5755" s="108" t="s">
        <v>23955</v>
      </c>
      <c r="I5755" s="108" t="s">
        <v>206</v>
      </c>
    </row>
    <row r="5756" spans="1:9">
      <c r="A5756" s="108" t="s">
        <v>169</v>
      </c>
      <c r="B5756" s="108" t="s">
        <v>24209</v>
      </c>
      <c r="C5756" s="109">
        <v>44497</v>
      </c>
      <c r="D5756" s="108" t="s">
        <v>24210</v>
      </c>
      <c r="E5756" s="108" t="s">
        <v>14605</v>
      </c>
      <c r="F5756" s="108" t="s">
        <v>24211</v>
      </c>
      <c r="G5756" s="109">
        <v>45643</v>
      </c>
      <c r="H5756" s="108" t="s">
        <v>23955</v>
      </c>
      <c r="I5756" s="108" t="s">
        <v>3315</v>
      </c>
    </row>
    <row r="5757" spans="1:9" ht="27.6">
      <c r="A5757" s="108" t="s">
        <v>19366</v>
      </c>
      <c r="B5757" s="108" t="s">
        <v>24212</v>
      </c>
      <c r="C5757" s="109">
        <v>44257</v>
      </c>
      <c r="D5757" s="108" t="s">
        <v>24213</v>
      </c>
      <c r="E5757" s="108" t="s">
        <v>14605</v>
      </c>
      <c r="F5757" s="108" t="s">
        <v>24214</v>
      </c>
      <c r="G5757" s="109">
        <v>45688</v>
      </c>
      <c r="H5757" s="108" t="s">
        <v>23955</v>
      </c>
      <c r="I5757" s="108" t="s">
        <v>133</v>
      </c>
    </row>
    <row r="5758" spans="1:9" ht="27.6">
      <c r="A5758" s="108" t="s">
        <v>109</v>
      </c>
      <c r="B5758" s="108" t="s">
        <v>24215</v>
      </c>
      <c r="C5758" s="109">
        <v>44960</v>
      </c>
      <c r="D5758" s="108" t="s">
        <v>24216</v>
      </c>
      <c r="E5758" s="108" t="s">
        <v>14605</v>
      </c>
      <c r="F5758" s="108" t="s">
        <v>15140</v>
      </c>
      <c r="G5758" s="109">
        <v>46051</v>
      </c>
      <c r="H5758" s="108" t="s">
        <v>23955</v>
      </c>
      <c r="I5758" s="108" t="s">
        <v>133</v>
      </c>
    </row>
    <row r="5759" spans="1:9">
      <c r="A5759" s="108" t="s">
        <v>244</v>
      </c>
      <c r="B5759" s="108" t="s">
        <v>24217</v>
      </c>
      <c r="C5759" s="109">
        <v>45183</v>
      </c>
      <c r="D5759" s="108" t="s">
        <v>24218</v>
      </c>
      <c r="E5759" s="108" t="s">
        <v>14605</v>
      </c>
      <c r="F5759" s="108" t="s">
        <v>15140</v>
      </c>
      <c r="G5759" s="109">
        <v>45861</v>
      </c>
      <c r="H5759" s="108" t="s">
        <v>23955</v>
      </c>
      <c r="I5759" s="108" t="s">
        <v>133</v>
      </c>
    </row>
    <row r="5760" spans="1:9">
      <c r="A5760" s="108" t="s">
        <v>16151</v>
      </c>
      <c r="B5760" s="108" t="s">
        <v>24219</v>
      </c>
      <c r="C5760" s="109">
        <v>44869</v>
      </c>
      <c r="D5760" s="108" t="s">
        <v>24220</v>
      </c>
      <c r="E5760" s="108" t="s">
        <v>14605</v>
      </c>
      <c r="F5760" s="108" t="s">
        <v>15140</v>
      </c>
      <c r="G5760" s="109">
        <v>46022</v>
      </c>
      <c r="H5760" s="108" t="s">
        <v>23955</v>
      </c>
      <c r="I5760" s="108" t="s">
        <v>133</v>
      </c>
    </row>
    <row r="5761" spans="1:9">
      <c r="A5761" s="108" t="s">
        <v>16151</v>
      </c>
      <c r="B5761" s="108" t="s">
        <v>24221</v>
      </c>
      <c r="C5761" s="109">
        <v>45251</v>
      </c>
      <c r="D5761" s="108" t="s">
        <v>24222</v>
      </c>
      <c r="E5761" s="108" t="s">
        <v>14605</v>
      </c>
      <c r="F5761" s="108" t="s">
        <v>15140</v>
      </c>
      <c r="G5761" s="109">
        <v>46022</v>
      </c>
      <c r="H5761" s="108" t="s">
        <v>23955</v>
      </c>
      <c r="I5761" s="108" t="s">
        <v>133</v>
      </c>
    </row>
    <row r="5762" spans="1:9" ht="27.6">
      <c r="A5762" s="108" t="s">
        <v>14950</v>
      </c>
      <c r="B5762" s="108" t="s">
        <v>24223</v>
      </c>
      <c r="C5762" s="109">
        <v>44063</v>
      </c>
      <c r="D5762" s="108" t="s">
        <v>24224</v>
      </c>
      <c r="E5762" s="108" t="s">
        <v>14605</v>
      </c>
      <c r="F5762" s="108" t="s">
        <v>24225</v>
      </c>
      <c r="G5762" s="109">
        <v>44427</v>
      </c>
      <c r="H5762" s="108" t="s">
        <v>23955</v>
      </c>
      <c r="I5762" s="108" t="s">
        <v>108</v>
      </c>
    </row>
    <row r="5763" spans="1:9" ht="27.6">
      <c r="A5763" s="108" t="s">
        <v>14950</v>
      </c>
      <c r="B5763" s="108" t="s">
        <v>24226</v>
      </c>
      <c r="C5763" s="109">
        <v>44161</v>
      </c>
      <c r="D5763" s="108" t="s">
        <v>24227</v>
      </c>
      <c r="E5763" s="108" t="s">
        <v>14605</v>
      </c>
      <c r="F5763" s="108" t="s">
        <v>24169</v>
      </c>
      <c r="G5763" s="109">
        <v>44525</v>
      </c>
      <c r="H5763" s="108" t="s">
        <v>23955</v>
      </c>
      <c r="I5763" s="108" t="s">
        <v>108</v>
      </c>
    </row>
    <row r="5764" spans="1:9" ht="27.6">
      <c r="A5764" s="108" t="s">
        <v>2002</v>
      </c>
      <c r="B5764" s="108" t="s">
        <v>24228</v>
      </c>
      <c r="C5764" s="109">
        <v>45590</v>
      </c>
      <c r="D5764" s="108" t="s">
        <v>24229</v>
      </c>
      <c r="E5764" s="108" t="s">
        <v>14605</v>
      </c>
      <c r="F5764" s="108" t="s">
        <v>24230</v>
      </c>
      <c r="G5764" s="109">
        <v>45953</v>
      </c>
      <c r="H5764" s="108" t="s">
        <v>23955</v>
      </c>
      <c r="I5764" s="108" t="s">
        <v>108</v>
      </c>
    </row>
    <row r="5765" spans="1:9">
      <c r="A5765" s="108" t="s">
        <v>169</v>
      </c>
      <c r="B5765" s="108" t="s">
        <v>24231</v>
      </c>
      <c r="C5765" s="109">
        <v>45013</v>
      </c>
      <c r="D5765" s="108" t="s">
        <v>24232</v>
      </c>
      <c r="E5765" s="108" t="s">
        <v>14605</v>
      </c>
      <c r="F5765" s="108" t="s">
        <v>24233</v>
      </c>
      <c r="G5765" s="109">
        <v>45512</v>
      </c>
      <c r="H5765" s="108" t="s">
        <v>23955</v>
      </c>
      <c r="I5765" s="108" t="s">
        <v>108</v>
      </c>
    </row>
    <row r="5766" spans="1:9">
      <c r="A5766" s="108" t="s">
        <v>169</v>
      </c>
      <c r="B5766" s="108" t="s">
        <v>24234</v>
      </c>
      <c r="C5766" s="109">
        <v>45013</v>
      </c>
      <c r="D5766" s="108" t="s">
        <v>24235</v>
      </c>
      <c r="E5766" s="108" t="s">
        <v>14605</v>
      </c>
      <c r="F5766" s="108" t="s">
        <v>24010</v>
      </c>
      <c r="G5766" s="109">
        <v>45378</v>
      </c>
      <c r="H5766" s="108" t="s">
        <v>23955</v>
      </c>
      <c r="I5766" s="108" t="s">
        <v>108</v>
      </c>
    </row>
    <row r="5767" spans="1:9">
      <c r="A5767" s="108" t="s">
        <v>169</v>
      </c>
      <c r="B5767" s="108" t="s">
        <v>24236</v>
      </c>
      <c r="C5767" s="109">
        <v>45069</v>
      </c>
      <c r="D5767" s="108" t="s">
        <v>24237</v>
      </c>
      <c r="E5767" s="108" t="s">
        <v>14605</v>
      </c>
      <c r="F5767" s="108" t="s">
        <v>24238</v>
      </c>
      <c r="G5767" s="109">
        <v>45434</v>
      </c>
      <c r="H5767" s="108" t="s">
        <v>23955</v>
      </c>
      <c r="I5767" s="108" t="s">
        <v>108</v>
      </c>
    </row>
    <row r="5768" spans="1:9" ht="27.6">
      <c r="A5768" s="108" t="s">
        <v>981</v>
      </c>
      <c r="B5768" s="108" t="s">
        <v>24239</v>
      </c>
      <c r="C5768" s="109">
        <v>45584</v>
      </c>
      <c r="D5768" s="108" t="s">
        <v>24240</v>
      </c>
      <c r="E5768" s="108" t="s">
        <v>14605</v>
      </c>
      <c r="F5768" s="108" t="s">
        <v>15140</v>
      </c>
      <c r="G5768" s="109">
        <v>45939</v>
      </c>
      <c r="H5768" s="108" t="s">
        <v>23955</v>
      </c>
      <c r="I5768" s="108" t="s">
        <v>108</v>
      </c>
    </row>
    <row r="5769" spans="1:9">
      <c r="A5769" s="108" t="s">
        <v>16986</v>
      </c>
      <c r="B5769" s="108" t="s">
        <v>24241</v>
      </c>
      <c r="C5769" s="109">
        <v>45053</v>
      </c>
      <c r="D5769" s="108" t="s">
        <v>24242</v>
      </c>
      <c r="E5769" s="108" t="s">
        <v>14605</v>
      </c>
      <c r="F5769" s="108" t="s">
        <v>15140</v>
      </c>
      <c r="G5769" s="109">
        <v>45405</v>
      </c>
      <c r="H5769" s="108" t="s">
        <v>23955</v>
      </c>
      <c r="I5769" s="108" t="s">
        <v>108</v>
      </c>
    </row>
    <row r="5770" spans="1:9" ht="27.6">
      <c r="A5770" s="108" t="s">
        <v>250</v>
      </c>
      <c r="B5770" s="108" t="s">
        <v>24243</v>
      </c>
      <c r="C5770" s="109">
        <v>44608</v>
      </c>
      <c r="D5770" s="108" t="s">
        <v>24244</v>
      </c>
      <c r="E5770" s="108" t="s">
        <v>14605</v>
      </c>
      <c r="F5770" s="108" t="s">
        <v>15140</v>
      </c>
      <c r="G5770" s="109">
        <v>45016</v>
      </c>
      <c r="H5770" s="108" t="s">
        <v>23955</v>
      </c>
      <c r="I5770" s="108" t="s">
        <v>108</v>
      </c>
    </row>
    <row r="5771" spans="1:9" ht="27.6">
      <c r="A5771" s="108" t="s">
        <v>250</v>
      </c>
      <c r="B5771" s="108" t="s">
        <v>24245</v>
      </c>
      <c r="C5771" s="109">
        <v>44913</v>
      </c>
      <c r="D5771" s="108" t="s">
        <v>24246</v>
      </c>
      <c r="E5771" s="108" t="s">
        <v>14605</v>
      </c>
      <c r="F5771" s="108" t="s">
        <v>15140</v>
      </c>
      <c r="G5771" s="109">
        <v>45267</v>
      </c>
      <c r="H5771" s="108" t="s">
        <v>23955</v>
      </c>
      <c r="I5771" s="108" t="s">
        <v>108</v>
      </c>
    </row>
    <row r="5772" spans="1:9" ht="27.6">
      <c r="A5772" s="108" t="s">
        <v>109</v>
      </c>
      <c r="B5772" s="108" t="s">
        <v>24247</v>
      </c>
      <c r="C5772" s="109">
        <v>45516</v>
      </c>
      <c r="D5772" s="108" t="s">
        <v>24248</v>
      </c>
      <c r="E5772" s="108" t="s">
        <v>14605</v>
      </c>
      <c r="F5772" s="108" t="s">
        <v>15140</v>
      </c>
      <c r="G5772" s="109">
        <v>45863</v>
      </c>
      <c r="H5772" s="108" t="s">
        <v>23955</v>
      </c>
      <c r="I5772" s="108" t="s">
        <v>108</v>
      </c>
    </row>
    <row r="5773" spans="1:9" ht="27.6">
      <c r="A5773" s="108" t="s">
        <v>16149</v>
      </c>
      <c r="B5773" s="108" t="s">
        <v>24249</v>
      </c>
      <c r="C5773" s="109">
        <v>45533</v>
      </c>
      <c r="D5773" s="108" t="s">
        <v>24250</v>
      </c>
      <c r="E5773" s="108" t="s">
        <v>14605</v>
      </c>
      <c r="F5773" s="108" t="s">
        <v>15140</v>
      </c>
      <c r="G5773" s="109">
        <v>45897</v>
      </c>
      <c r="H5773" s="108" t="s">
        <v>23955</v>
      </c>
      <c r="I5773" s="108" t="s">
        <v>108</v>
      </c>
    </row>
    <row r="5774" spans="1:9" ht="27.6">
      <c r="A5774" s="108" t="s">
        <v>16149</v>
      </c>
      <c r="B5774" s="108" t="s">
        <v>24251</v>
      </c>
      <c r="C5774" s="109">
        <v>43965</v>
      </c>
      <c r="D5774" s="108" t="s">
        <v>24252</v>
      </c>
      <c r="E5774" s="108" t="s">
        <v>14605</v>
      </c>
      <c r="F5774" s="108" t="s">
        <v>15140</v>
      </c>
      <c r="G5774" s="109">
        <v>45221</v>
      </c>
      <c r="H5774" s="108" t="s">
        <v>23955</v>
      </c>
      <c r="I5774" s="108" t="s">
        <v>108</v>
      </c>
    </row>
    <row r="5775" spans="1:9">
      <c r="A5775" s="108" t="s">
        <v>16151</v>
      </c>
      <c r="B5775" s="108" t="s">
        <v>24253</v>
      </c>
      <c r="C5775" s="109">
        <v>43978</v>
      </c>
      <c r="D5775" s="108" t="s">
        <v>24254</v>
      </c>
      <c r="E5775" s="108" t="s">
        <v>14605</v>
      </c>
      <c r="F5775" s="108" t="s">
        <v>24225</v>
      </c>
      <c r="G5775" s="109">
        <v>44342</v>
      </c>
      <c r="H5775" s="108" t="s">
        <v>23955</v>
      </c>
      <c r="I5775" s="108" t="s">
        <v>108</v>
      </c>
    </row>
    <row r="5776" spans="1:9">
      <c r="A5776" s="108" t="s">
        <v>16151</v>
      </c>
      <c r="B5776" s="108" t="s">
        <v>24255</v>
      </c>
      <c r="C5776" s="109">
        <v>45167</v>
      </c>
      <c r="D5776" s="108" t="s">
        <v>24256</v>
      </c>
      <c r="E5776" s="108" t="s">
        <v>14605</v>
      </c>
      <c r="F5776" s="108" t="s">
        <v>15140</v>
      </c>
      <c r="G5776" s="109">
        <v>45504</v>
      </c>
      <c r="H5776" s="108" t="s">
        <v>23955</v>
      </c>
      <c r="I5776" s="108" t="s">
        <v>108</v>
      </c>
    </row>
    <row r="5777" spans="1:9">
      <c r="A5777" s="108" t="s">
        <v>16151</v>
      </c>
      <c r="B5777" s="108" t="s">
        <v>24257</v>
      </c>
      <c r="C5777" s="109">
        <v>45561</v>
      </c>
      <c r="D5777" s="108" t="s">
        <v>24258</v>
      </c>
      <c r="E5777" s="108" t="s">
        <v>14605</v>
      </c>
      <c r="F5777" s="108" t="s">
        <v>15140</v>
      </c>
      <c r="G5777" s="109">
        <v>45928</v>
      </c>
      <c r="H5777" s="108" t="s">
        <v>23955</v>
      </c>
      <c r="I5777" s="108" t="s">
        <v>108</v>
      </c>
    </row>
    <row r="5778" spans="1:9" ht="27.6">
      <c r="A5778" s="108" t="s">
        <v>109</v>
      </c>
      <c r="B5778" s="108" t="s">
        <v>24259</v>
      </c>
      <c r="C5778" s="109">
        <v>45236</v>
      </c>
      <c r="D5778" s="108" t="s">
        <v>24260</v>
      </c>
      <c r="E5778" s="108" t="s">
        <v>14605</v>
      </c>
      <c r="F5778" s="108" t="s">
        <v>24261</v>
      </c>
      <c r="G5778" s="109">
        <v>45501</v>
      </c>
      <c r="H5778" s="108" t="s">
        <v>24262</v>
      </c>
      <c r="I5778" s="108" t="s">
        <v>108</v>
      </c>
    </row>
    <row r="5779" spans="1:9" ht="27.6">
      <c r="A5779" s="108" t="s">
        <v>18397</v>
      </c>
      <c r="B5779" s="108" t="s">
        <v>24263</v>
      </c>
      <c r="C5779" s="109">
        <v>39426</v>
      </c>
      <c r="D5779" s="108"/>
      <c r="E5779" s="108" t="s">
        <v>14605</v>
      </c>
      <c r="F5779" s="108" t="s">
        <v>14766</v>
      </c>
      <c r="G5779" s="110"/>
      <c r="H5779" s="108" t="s">
        <v>24264</v>
      </c>
      <c r="I5779" s="108"/>
    </row>
    <row r="5780" spans="1:9" ht="27.6">
      <c r="A5780" s="108" t="s">
        <v>1271</v>
      </c>
      <c r="B5780" s="108" t="s">
        <v>24265</v>
      </c>
      <c r="C5780" s="109">
        <v>41708</v>
      </c>
      <c r="D5780" s="108"/>
      <c r="E5780" s="108" t="s">
        <v>14605</v>
      </c>
      <c r="F5780" s="108" t="s">
        <v>24266</v>
      </c>
      <c r="G5780" s="110"/>
      <c r="H5780" s="108" t="s">
        <v>24264</v>
      </c>
      <c r="I5780" s="108"/>
    </row>
    <row r="5781" spans="1:9">
      <c r="A5781" s="108" t="s">
        <v>14679</v>
      </c>
      <c r="B5781" s="108" t="s">
        <v>24267</v>
      </c>
      <c r="C5781" s="109">
        <v>40925</v>
      </c>
      <c r="D5781" s="108"/>
      <c r="E5781" s="108" t="s">
        <v>14605</v>
      </c>
      <c r="F5781" s="108" t="s">
        <v>15470</v>
      </c>
      <c r="G5781" s="110"/>
      <c r="H5781" s="108" t="s">
        <v>24264</v>
      </c>
      <c r="I5781" s="108"/>
    </row>
    <row r="5782" spans="1:9">
      <c r="A5782" s="108" t="s">
        <v>169</v>
      </c>
      <c r="B5782" s="108" t="s">
        <v>24268</v>
      </c>
      <c r="C5782" s="109">
        <v>43053</v>
      </c>
      <c r="D5782" s="108"/>
      <c r="E5782" s="108" t="s">
        <v>14605</v>
      </c>
      <c r="F5782" s="108" t="s">
        <v>24269</v>
      </c>
      <c r="G5782" s="110"/>
      <c r="H5782" s="108" t="s">
        <v>24264</v>
      </c>
      <c r="I5782" s="108"/>
    </row>
    <row r="5783" spans="1:9">
      <c r="A5783" s="108" t="s">
        <v>169</v>
      </c>
      <c r="B5783" s="108" t="s">
        <v>24270</v>
      </c>
      <c r="C5783" s="109">
        <v>44061</v>
      </c>
      <c r="D5783" s="108"/>
      <c r="E5783" s="108" t="s">
        <v>14605</v>
      </c>
      <c r="F5783" s="108" t="s">
        <v>24269</v>
      </c>
      <c r="G5783" s="110"/>
      <c r="H5783" s="108" t="s">
        <v>24264</v>
      </c>
      <c r="I5783" s="108"/>
    </row>
    <row r="5784" spans="1:9" ht="27.6">
      <c r="A5784" s="108" t="s">
        <v>87</v>
      </c>
      <c r="B5784" s="108" t="s">
        <v>24271</v>
      </c>
      <c r="C5784" s="109">
        <v>42276</v>
      </c>
      <c r="D5784" s="108"/>
      <c r="E5784" s="108" t="s">
        <v>14605</v>
      </c>
      <c r="F5784" s="108" t="s">
        <v>24272</v>
      </c>
      <c r="G5784" s="110"/>
      <c r="H5784" s="108" t="s">
        <v>24264</v>
      </c>
      <c r="I5784" s="108"/>
    </row>
    <row r="5785" spans="1:9">
      <c r="A5785" s="108" t="s">
        <v>87</v>
      </c>
      <c r="B5785" s="108" t="s">
        <v>24273</v>
      </c>
      <c r="C5785" s="109">
        <v>42382</v>
      </c>
      <c r="D5785" s="108"/>
      <c r="E5785" s="108" t="s">
        <v>14605</v>
      </c>
      <c r="F5785" s="108" t="s">
        <v>14714</v>
      </c>
      <c r="G5785" s="110"/>
      <c r="H5785" s="108" t="s">
        <v>24264</v>
      </c>
      <c r="I5785" s="108"/>
    </row>
    <row r="5786" spans="1:9">
      <c r="A5786" s="108" t="s">
        <v>87</v>
      </c>
      <c r="B5786" s="108" t="s">
        <v>24274</v>
      </c>
      <c r="C5786" s="109">
        <v>42860</v>
      </c>
      <c r="D5786" s="108"/>
      <c r="E5786" s="108" t="s">
        <v>14605</v>
      </c>
      <c r="F5786" s="108" t="s">
        <v>24275</v>
      </c>
      <c r="G5786" s="110"/>
      <c r="H5786" s="108" t="s">
        <v>24264</v>
      </c>
      <c r="I5786" s="108"/>
    </row>
    <row r="5787" spans="1:9">
      <c r="A5787" s="108" t="s">
        <v>87</v>
      </c>
      <c r="B5787" s="108" t="s">
        <v>24276</v>
      </c>
      <c r="C5787" s="109">
        <v>43579</v>
      </c>
      <c r="D5787" s="108"/>
      <c r="E5787" s="108" t="s">
        <v>14605</v>
      </c>
      <c r="F5787" s="108" t="s">
        <v>24277</v>
      </c>
      <c r="G5787" s="110"/>
      <c r="H5787" s="108" t="s">
        <v>24264</v>
      </c>
      <c r="I5787" s="108"/>
    </row>
    <row r="5788" spans="1:9" ht="27.6">
      <c r="A5788" s="108" t="s">
        <v>14690</v>
      </c>
      <c r="B5788" s="108" t="s">
        <v>24278</v>
      </c>
      <c r="C5788" s="109">
        <v>43053</v>
      </c>
      <c r="D5788" s="108"/>
      <c r="E5788" s="108" t="s">
        <v>14605</v>
      </c>
      <c r="F5788" s="108" t="s">
        <v>24279</v>
      </c>
      <c r="G5788" s="110"/>
      <c r="H5788" s="108" t="s">
        <v>24264</v>
      </c>
      <c r="I5788" s="108"/>
    </row>
    <row r="5789" spans="1:9">
      <c r="A5789" s="108" t="s">
        <v>237</v>
      </c>
      <c r="B5789" s="108" t="s">
        <v>24280</v>
      </c>
      <c r="C5789" s="109">
        <v>42549</v>
      </c>
      <c r="D5789" s="108"/>
      <c r="E5789" s="108" t="s">
        <v>14605</v>
      </c>
      <c r="F5789" s="108" t="s">
        <v>24281</v>
      </c>
      <c r="G5789" s="110"/>
      <c r="H5789" s="108" t="s">
        <v>24264</v>
      </c>
      <c r="I5789" s="108"/>
    </row>
    <row r="5790" spans="1:9">
      <c r="A5790" s="108" t="s">
        <v>571</v>
      </c>
      <c r="B5790" s="108" t="s">
        <v>24282</v>
      </c>
      <c r="C5790" s="109">
        <v>43431</v>
      </c>
      <c r="D5790" s="108"/>
      <c r="E5790" s="108" t="s">
        <v>14605</v>
      </c>
      <c r="F5790" s="108" t="s">
        <v>24269</v>
      </c>
      <c r="G5790" s="110"/>
      <c r="H5790" s="108" t="s">
        <v>24264</v>
      </c>
      <c r="I5790" s="108"/>
    </row>
    <row r="5791" spans="1:9" ht="27.6">
      <c r="A5791" s="108" t="s">
        <v>14950</v>
      </c>
      <c r="B5791" s="108" t="s">
        <v>24283</v>
      </c>
      <c r="C5791" s="109">
        <v>45041</v>
      </c>
      <c r="D5791" s="108"/>
      <c r="E5791" s="108" t="s">
        <v>14605</v>
      </c>
      <c r="F5791" s="108" t="s">
        <v>24284</v>
      </c>
      <c r="G5791" s="110"/>
      <c r="H5791" s="108" t="s">
        <v>24264</v>
      </c>
      <c r="I5791" s="108"/>
    </row>
    <row r="5792" spans="1:9" ht="27.6">
      <c r="A5792" s="108" t="s">
        <v>14950</v>
      </c>
      <c r="B5792" s="108" t="s">
        <v>24285</v>
      </c>
      <c r="C5792" s="109">
        <v>45492</v>
      </c>
      <c r="D5792" s="108"/>
      <c r="E5792" s="108" t="s">
        <v>14605</v>
      </c>
      <c r="F5792" s="108" t="s">
        <v>24286</v>
      </c>
      <c r="G5792" s="110"/>
      <c r="H5792" s="108" t="s">
        <v>24264</v>
      </c>
      <c r="I5792" s="108"/>
    </row>
    <row r="5793" spans="1:9" ht="27.6">
      <c r="A5793" s="108" t="s">
        <v>17130</v>
      </c>
      <c r="B5793" s="108" t="s">
        <v>24287</v>
      </c>
      <c r="C5793" s="109">
        <v>43880</v>
      </c>
      <c r="D5793" s="108"/>
      <c r="E5793" s="108" t="s">
        <v>14605</v>
      </c>
      <c r="F5793" s="108" t="s">
        <v>24288</v>
      </c>
      <c r="G5793" s="110"/>
      <c r="H5793" s="108" t="s">
        <v>24264</v>
      </c>
      <c r="I5793" s="108"/>
    </row>
    <row r="5794" spans="1:9" ht="27.6">
      <c r="A5794" s="108" t="s">
        <v>17130</v>
      </c>
      <c r="B5794" s="108" t="s">
        <v>24289</v>
      </c>
      <c r="C5794" s="109">
        <v>44239</v>
      </c>
      <c r="D5794" s="108"/>
      <c r="E5794" s="108" t="s">
        <v>14605</v>
      </c>
      <c r="F5794" s="108" t="s">
        <v>24272</v>
      </c>
      <c r="G5794" s="110"/>
      <c r="H5794" s="108" t="s">
        <v>24264</v>
      </c>
      <c r="I5794" s="108"/>
    </row>
    <row r="5795" spans="1:9">
      <c r="A5795" s="108" t="s">
        <v>87</v>
      </c>
      <c r="B5795" s="108" t="s">
        <v>24290</v>
      </c>
      <c r="C5795" s="109">
        <v>44335</v>
      </c>
      <c r="D5795" s="108"/>
      <c r="E5795" s="108" t="s">
        <v>14605</v>
      </c>
      <c r="F5795" s="108" t="s">
        <v>24291</v>
      </c>
      <c r="G5795" s="110"/>
      <c r="H5795" s="108" t="s">
        <v>24264</v>
      </c>
      <c r="I5795" s="108"/>
    </row>
    <row r="5796" spans="1:9" ht="27.6">
      <c r="A5796" s="108" t="s">
        <v>15075</v>
      </c>
      <c r="B5796" s="108" t="s">
        <v>24292</v>
      </c>
      <c r="C5796" s="109">
        <v>45005</v>
      </c>
      <c r="D5796" s="108"/>
      <c r="E5796" s="108" t="s">
        <v>14605</v>
      </c>
      <c r="F5796" s="108" t="s">
        <v>24293</v>
      </c>
      <c r="G5796" s="110"/>
      <c r="H5796" s="108" t="s">
        <v>24264</v>
      </c>
      <c r="I5796" s="108"/>
    </row>
    <row r="5797" spans="1:9" ht="27.6">
      <c r="A5797" s="108" t="s">
        <v>15075</v>
      </c>
      <c r="B5797" s="108" t="s">
        <v>24294</v>
      </c>
      <c r="C5797" s="109">
        <v>45421</v>
      </c>
      <c r="D5797" s="108"/>
      <c r="E5797" s="108" t="s">
        <v>14605</v>
      </c>
      <c r="F5797" s="108" t="s">
        <v>24295</v>
      </c>
      <c r="G5797" s="110"/>
      <c r="H5797" s="108" t="s">
        <v>24264</v>
      </c>
      <c r="I5797" s="108"/>
    </row>
    <row r="5798" spans="1:9" ht="27.6">
      <c r="A5798" s="108" t="s">
        <v>15075</v>
      </c>
      <c r="B5798" s="108" t="s">
        <v>24296</v>
      </c>
      <c r="C5798" s="109">
        <v>45581</v>
      </c>
      <c r="D5798" s="108"/>
      <c r="E5798" s="108" t="s">
        <v>14605</v>
      </c>
      <c r="F5798" s="108" t="s">
        <v>14766</v>
      </c>
      <c r="G5798" s="110"/>
      <c r="H5798" s="108" t="s">
        <v>24264</v>
      </c>
      <c r="I5798" s="108"/>
    </row>
    <row r="5799" spans="1:9">
      <c r="A5799" s="108" t="s">
        <v>227</v>
      </c>
      <c r="B5799" s="108" t="s">
        <v>24297</v>
      </c>
      <c r="C5799" s="109">
        <v>41863</v>
      </c>
      <c r="D5799" s="108"/>
      <c r="E5799" s="108" t="s">
        <v>14605</v>
      </c>
      <c r="F5799" s="108" t="s">
        <v>15470</v>
      </c>
      <c r="G5799" s="110"/>
      <c r="H5799" s="108" t="s">
        <v>24264</v>
      </c>
      <c r="I5799" s="108"/>
    </row>
    <row r="5800" spans="1:9" ht="27.6">
      <c r="A5800" s="108" t="s">
        <v>14607</v>
      </c>
      <c r="B5800" s="108" t="s">
        <v>24298</v>
      </c>
      <c r="C5800" s="109">
        <v>39142</v>
      </c>
      <c r="D5800" s="108"/>
      <c r="E5800" s="108" t="s">
        <v>14605</v>
      </c>
      <c r="F5800" s="108" t="s">
        <v>24269</v>
      </c>
      <c r="G5800" s="110"/>
      <c r="H5800" s="108" t="s">
        <v>24264</v>
      </c>
      <c r="I5800" s="108"/>
    </row>
    <row r="5801" spans="1:9" ht="27.6">
      <c r="A5801" s="108" t="s">
        <v>14690</v>
      </c>
      <c r="B5801" s="108" t="s">
        <v>24299</v>
      </c>
      <c r="C5801" s="109">
        <v>40372</v>
      </c>
      <c r="D5801" s="108"/>
      <c r="E5801" s="108" t="s">
        <v>14605</v>
      </c>
      <c r="F5801" s="108" t="s">
        <v>24300</v>
      </c>
      <c r="G5801" s="110"/>
      <c r="H5801" s="108" t="s">
        <v>24264</v>
      </c>
      <c r="I5801" s="108"/>
    </row>
    <row r="5802" spans="1:9">
      <c r="A5802" s="108" t="s">
        <v>1465</v>
      </c>
      <c r="B5802" s="108" t="s">
        <v>24301</v>
      </c>
      <c r="C5802" s="109">
        <v>40616</v>
      </c>
      <c r="D5802" s="108"/>
      <c r="E5802" s="108" t="s">
        <v>14605</v>
      </c>
      <c r="F5802" s="108" t="s">
        <v>24302</v>
      </c>
      <c r="G5802" s="110"/>
      <c r="H5802" s="108" t="s">
        <v>24264</v>
      </c>
      <c r="I5802" s="108"/>
    </row>
    <row r="5803" spans="1:9" ht="27.6">
      <c r="A5803" s="108" t="s">
        <v>15701</v>
      </c>
      <c r="B5803" s="108" t="s">
        <v>24303</v>
      </c>
      <c r="C5803" s="109">
        <v>38383</v>
      </c>
      <c r="D5803" s="108"/>
      <c r="E5803" s="108" t="s">
        <v>14605</v>
      </c>
      <c r="F5803" s="108" t="s">
        <v>24281</v>
      </c>
      <c r="G5803" s="110"/>
      <c r="H5803" s="108" t="s">
        <v>24264</v>
      </c>
      <c r="I5803" s="108"/>
    </row>
    <row r="5804" spans="1:9" ht="27.6">
      <c r="A5804" s="108" t="s">
        <v>15701</v>
      </c>
      <c r="B5804" s="108" t="s">
        <v>24304</v>
      </c>
      <c r="C5804" s="109">
        <v>38490</v>
      </c>
      <c r="D5804" s="108"/>
      <c r="E5804" s="108" t="s">
        <v>14605</v>
      </c>
      <c r="F5804" s="108" t="s">
        <v>24305</v>
      </c>
      <c r="G5804" s="110"/>
      <c r="H5804" s="108" t="s">
        <v>24264</v>
      </c>
      <c r="I5804" s="108"/>
    </row>
    <row r="5805" spans="1:9" ht="27.6">
      <c r="A5805" s="108" t="s">
        <v>207</v>
      </c>
      <c r="B5805" s="108" t="s">
        <v>24306</v>
      </c>
      <c r="C5805" s="109">
        <v>41836</v>
      </c>
      <c r="D5805" s="108"/>
      <c r="E5805" s="108" t="s">
        <v>14605</v>
      </c>
      <c r="F5805" s="108" t="s">
        <v>24307</v>
      </c>
      <c r="G5805" s="110"/>
      <c r="H5805" s="108" t="s">
        <v>24264</v>
      </c>
      <c r="I5805" s="108"/>
    </row>
    <row r="5806" spans="1:9" ht="27.6">
      <c r="A5806" s="108" t="s">
        <v>207</v>
      </c>
      <c r="B5806" s="108" t="s">
        <v>24308</v>
      </c>
      <c r="C5806" s="109">
        <v>42090</v>
      </c>
      <c r="D5806" s="108"/>
      <c r="E5806" s="108" t="s">
        <v>14605</v>
      </c>
      <c r="F5806" s="108" t="s">
        <v>24288</v>
      </c>
      <c r="G5806" s="110"/>
      <c r="H5806" s="108" t="s">
        <v>24264</v>
      </c>
      <c r="I5806" s="108"/>
    </row>
    <row r="5807" spans="1:9">
      <c r="A5807" s="108" t="s">
        <v>169</v>
      </c>
      <c r="B5807" s="108" t="s">
        <v>24309</v>
      </c>
      <c r="C5807" s="109">
        <v>44368</v>
      </c>
      <c r="D5807" s="108"/>
      <c r="E5807" s="108" t="s">
        <v>14605</v>
      </c>
      <c r="F5807" s="108" t="s">
        <v>24269</v>
      </c>
      <c r="G5807" s="110"/>
      <c r="H5807" s="108" t="s">
        <v>24264</v>
      </c>
      <c r="I5807" s="108"/>
    </row>
    <row r="5808" spans="1:9" ht="27.6">
      <c r="A5808" s="108" t="s">
        <v>109</v>
      </c>
      <c r="B5808" s="108" t="s">
        <v>24310</v>
      </c>
      <c r="C5808" s="109">
        <v>45420</v>
      </c>
      <c r="D5808" s="108" t="s">
        <v>24311</v>
      </c>
      <c r="E5808" s="108" t="s">
        <v>14605</v>
      </c>
      <c r="F5808" s="108" t="s">
        <v>24269</v>
      </c>
      <c r="G5808" s="109">
        <v>46136</v>
      </c>
      <c r="H5808" s="108" t="s">
        <v>24264</v>
      </c>
      <c r="I5808" s="108" t="s">
        <v>95</v>
      </c>
    </row>
    <row r="5809" spans="1:9">
      <c r="A5809" s="108" t="s">
        <v>503</v>
      </c>
      <c r="B5809" s="108" t="s">
        <v>24312</v>
      </c>
      <c r="C5809" s="109">
        <v>45321</v>
      </c>
      <c r="D5809" s="108" t="s">
        <v>24313</v>
      </c>
      <c r="E5809" s="108" t="s">
        <v>14605</v>
      </c>
      <c r="F5809" s="108" t="s">
        <v>24314</v>
      </c>
      <c r="G5809" s="109">
        <v>47135</v>
      </c>
      <c r="H5809" s="108" t="s">
        <v>24264</v>
      </c>
      <c r="I5809" s="108" t="s">
        <v>95</v>
      </c>
    </row>
    <row r="5810" spans="1:9" ht="27.6">
      <c r="A5810" s="108" t="s">
        <v>16151</v>
      </c>
      <c r="B5810" s="108" t="s">
        <v>24315</v>
      </c>
      <c r="C5810" s="109">
        <v>44965</v>
      </c>
      <c r="D5810" s="108" t="s">
        <v>24316</v>
      </c>
      <c r="E5810" s="108" t="s">
        <v>14605</v>
      </c>
      <c r="F5810" s="108" t="s">
        <v>24293</v>
      </c>
      <c r="G5810" s="109">
        <v>46778</v>
      </c>
      <c r="H5810" s="108" t="s">
        <v>24264</v>
      </c>
      <c r="I5810" s="108" t="s">
        <v>95</v>
      </c>
    </row>
    <row r="5811" spans="1:9">
      <c r="A5811" s="108" t="s">
        <v>16151</v>
      </c>
      <c r="B5811" s="108" t="s">
        <v>24317</v>
      </c>
      <c r="C5811" s="109">
        <v>45146</v>
      </c>
      <c r="D5811" s="108" t="s">
        <v>24318</v>
      </c>
      <c r="E5811" s="108" t="s">
        <v>14605</v>
      </c>
      <c r="F5811" s="108" t="s">
        <v>24319</v>
      </c>
      <c r="G5811" s="109">
        <v>46972</v>
      </c>
      <c r="H5811" s="108" t="s">
        <v>24264</v>
      </c>
      <c r="I5811" s="108" t="s">
        <v>95</v>
      </c>
    </row>
    <row r="5812" spans="1:9" ht="27.6">
      <c r="A5812" s="108" t="s">
        <v>1591</v>
      </c>
      <c r="B5812" s="108" t="s">
        <v>24320</v>
      </c>
      <c r="C5812" s="109">
        <v>43564</v>
      </c>
      <c r="D5812" s="108" t="s">
        <v>24321</v>
      </c>
      <c r="E5812" s="108" t="s">
        <v>14605</v>
      </c>
      <c r="F5812" s="108" t="s">
        <v>24322</v>
      </c>
      <c r="G5812" s="109">
        <v>45390</v>
      </c>
      <c r="H5812" s="108" t="s">
        <v>24264</v>
      </c>
      <c r="I5812" s="108" t="s">
        <v>17342</v>
      </c>
    </row>
    <row r="5813" spans="1:9" ht="27.6">
      <c r="A5813" s="108" t="s">
        <v>17130</v>
      </c>
      <c r="B5813" s="108" t="s">
        <v>24323</v>
      </c>
      <c r="C5813" s="109">
        <v>44225</v>
      </c>
      <c r="D5813" s="108" t="s">
        <v>24324</v>
      </c>
      <c r="E5813" s="108" t="s">
        <v>14605</v>
      </c>
      <c r="F5813" s="108" t="s">
        <v>24322</v>
      </c>
      <c r="G5813" s="109">
        <v>45199</v>
      </c>
      <c r="H5813" s="108" t="s">
        <v>24264</v>
      </c>
      <c r="I5813" s="108" t="s">
        <v>2880</v>
      </c>
    </row>
    <row r="5814" spans="1:9">
      <c r="A5814" s="108" t="s">
        <v>87</v>
      </c>
      <c r="B5814" s="108" t="s">
        <v>24325</v>
      </c>
      <c r="C5814" s="109">
        <v>43368</v>
      </c>
      <c r="D5814" s="108" t="s">
        <v>24326</v>
      </c>
      <c r="E5814" s="108" t="s">
        <v>14605</v>
      </c>
      <c r="F5814" s="108" t="s">
        <v>15645</v>
      </c>
      <c r="G5814" s="109">
        <v>45874</v>
      </c>
      <c r="H5814" s="108" t="s">
        <v>24264</v>
      </c>
      <c r="I5814" s="108" t="s">
        <v>280</v>
      </c>
    </row>
    <row r="5815" spans="1:9">
      <c r="A5815" s="108" t="s">
        <v>2002</v>
      </c>
      <c r="B5815" s="108" t="s">
        <v>24327</v>
      </c>
      <c r="C5815" s="109">
        <v>43272</v>
      </c>
      <c r="D5815" s="108" t="s">
        <v>24328</v>
      </c>
      <c r="E5815" s="108" t="s">
        <v>14605</v>
      </c>
      <c r="F5815" s="108" t="s">
        <v>14918</v>
      </c>
      <c r="G5815" s="109">
        <v>46038</v>
      </c>
      <c r="H5815" s="108" t="s">
        <v>24264</v>
      </c>
      <c r="I5815" s="108" t="s">
        <v>280</v>
      </c>
    </row>
    <row r="5816" spans="1:9" ht="27.6">
      <c r="A5816" s="108" t="s">
        <v>14690</v>
      </c>
      <c r="B5816" s="108" t="s">
        <v>24329</v>
      </c>
      <c r="C5816" s="109">
        <v>44307</v>
      </c>
      <c r="D5816" s="108" t="s">
        <v>24330</v>
      </c>
      <c r="E5816" s="108" t="s">
        <v>14605</v>
      </c>
      <c r="F5816" s="108" t="s">
        <v>24272</v>
      </c>
      <c r="G5816" s="109">
        <v>45402</v>
      </c>
      <c r="H5816" s="108" t="s">
        <v>24264</v>
      </c>
      <c r="I5816" s="108" t="s">
        <v>280</v>
      </c>
    </row>
    <row r="5817" spans="1:9" ht="27.6">
      <c r="A5817" s="108" t="s">
        <v>1465</v>
      </c>
      <c r="B5817" s="108" t="s">
        <v>24331</v>
      </c>
      <c r="C5817" s="109">
        <v>44426</v>
      </c>
      <c r="D5817" s="108" t="s">
        <v>24332</v>
      </c>
      <c r="E5817" s="108" t="s">
        <v>14605</v>
      </c>
      <c r="F5817" s="108" t="s">
        <v>24266</v>
      </c>
      <c r="G5817" s="109">
        <v>45245</v>
      </c>
      <c r="H5817" s="108" t="s">
        <v>24264</v>
      </c>
      <c r="I5817" s="108" t="s">
        <v>280</v>
      </c>
    </row>
    <row r="5818" spans="1:9">
      <c r="A5818" s="108" t="s">
        <v>2623</v>
      </c>
      <c r="B5818" s="108" t="s">
        <v>24333</v>
      </c>
      <c r="C5818" s="109">
        <v>43511</v>
      </c>
      <c r="D5818" s="108" t="s">
        <v>24334</v>
      </c>
      <c r="E5818" s="108" t="s">
        <v>14605</v>
      </c>
      <c r="F5818" s="108" t="s">
        <v>24335</v>
      </c>
      <c r="G5818" s="109">
        <v>46067</v>
      </c>
      <c r="H5818" s="108" t="s">
        <v>24264</v>
      </c>
      <c r="I5818" s="108" t="s">
        <v>164</v>
      </c>
    </row>
    <row r="5819" spans="1:9">
      <c r="A5819" s="108" t="s">
        <v>1465</v>
      </c>
      <c r="B5819" s="108" t="s">
        <v>24336</v>
      </c>
      <c r="C5819" s="109">
        <v>44179</v>
      </c>
      <c r="D5819" s="108" t="s">
        <v>24337</v>
      </c>
      <c r="E5819" s="108" t="s">
        <v>14605</v>
      </c>
      <c r="F5819" s="108" t="s">
        <v>24338</v>
      </c>
      <c r="G5819" s="109">
        <v>46003</v>
      </c>
      <c r="H5819" s="108" t="s">
        <v>24264</v>
      </c>
      <c r="I5819" s="108" t="s">
        <v>164</v>
      </c>
    </row>
    <row r="5820" spans="1:9">
      <c r="A5820" s="108" t="s">
        <v>237</v>
      </c>
      <c r="B5820" s="108" t="s">
        <v>24339</v>
      </c>
      <c r="C5820" s="109">
        <v>44097</v>
      </c>
      <c r="D5820" s="108" t="s">
        <v>24340</v>
      </c>
      <c r="E5820" s="108" t="s">
        <v>14605</v>
      </c>
      <c r="F5820" s="108" t="s">
        <v>24277</v>
      </c>
      <c r="G5820" s="109">
        <v>45930</v>
      </c>
      <c r="H5820" s="108" t="s">
        <v>24264</v>
      </c>
      <c r="I5820" s="108" t="s">
        <v>164</v>
      </c>
    </row>
    <row r="5821" spans="1:9" ht="27.6">
      <c r="A5821" s="108" t="s">
        <v>207</v>
      </c>
      <c r="B5821" s="108" t="s">
        <v>24341</v>
      </c>
      <c r="C5821" s="109">
        <v>40920</v>
      </c>
      <c r="D5821" s="108" t="s">
        <v>24342</v>
      </c>
      <c r="E5821" s="108" t="s">
        <v>14605</v>
      </c>
      <c r="F5821" s="108" t="s">
        <v>24343</v>
      </c>
      <c r="G5821" s="109">
        <v>45716</v>
      </c>
      <c r="H5821" s="108" t="s">
        <v>24264</v>
      </c>
      <c r="I5821" s="108" t="s">
        <v>206</v>
      </c>
    </row>
    <row r="5822" spans="1:9" ht="27.6">
      <c r="A5822" s="108" t="s">
        <v>207</v>
      </c>
      <c r="B5822" s="108" t="s">
        <v>24344</v>
      </c>
      <c r="C5822" s="109">
        <v>42149</v>
      </c>
      <c r="D5822" s="108" t="s">
        <v>24345</v>
      </c>
      <c r="E5822" s="108" t="s">
        <v>14605</v>
      </c>
      <c r="F5822" s="108" t="s">
        <v>24346</v>
      </c>
      <c r="G5822" s="109">
        <v>45468</v>
      </c>
      <c r="H5822" s="108" t="s">
        <v>24264</v>
      </c>
      <c r="I5822" s="108" t="s">
        <v>206</v>
      </c>
    </row>
    <row r="5823" spans="1:9">
      <c r="A5823" s="108" t="s">
        <v>118</v>
      </c>
      <c r="B5823" s="108" t="s">
        <v>24347</v>
      </c>
      <c r="C5823" s="109">
        <v>42823</v>
      </c>
      <c r="D5823" s="108" t="s">
        <v>24348</v>
      </c>
      <c r="E5823" s="108" t="s">
        <v>14605</v>
      </c>
      <c r="F5823" s="108" t="s">
        <v>24269</v>
      </c>
      <c r="G5823" s="109">
        <v>46022</v>
      </c>
      <c r="H5823" s="108" t="s">
        <v>24264</v>
      </c>
      <c r="I5823" s="108" t="s">
        <v>117</v>
      </c>
    </row>
    <row r="5824" spans="1:9">
      <c r="A5824" s="108" t="s">
        <v>169</v>
      </c>
      <c r="B5824" s="108" t="s">
        <v>24349</v>
      </c>
      <c r="C5824" s="109">
        <v>43053</v>
      </c>
      <c r="D5824" s="108" t="s">
        <v>24350</v>
      </c>
      <c r="E5824" s="108" t="s">
        <v>14605</v>
      </c>
      <c r="F5824" s="108" t="s">
        <v>24269</v>
      </c>
      <c r="G5824" s="109">
        <v>45239</v>
      </c>
      <c r="H5824" s="108" t="s">
        <v>24264</v>
      </c>
      <c r="I5824" s="108" t="s">
        <v>3315</v>
      </c>
    </row>
    <row r="5825" spans="1:9">
      <c r="A5825" s="108" t="s">
        <v>169</v>
      </c>
      <c r="B5825" s="108" t="s">
        <v>24351</v>
      </c>
      <c r="C5825" s="109">
        <v>43978</v>
      </c>
      <c r="D5825" s="108" t="s">
        <v>24352</v>
      </c>
      <c r="E5825" s="108" t="s">
        <v>14605</v>
      </c>
      <c r="F5825" s="108" t="s">
        <v>14766</v>
      </c>
      <c r="G5825" s="109">
        <v>46630</v>
      </c>
      <c r="H5825" s="108" t="s">
        <v>24264</v>
      </c>
      <c r="I5825" s="108" t="s">
        <v>3315</v>
      </c>
    </row>
    <row r="5826" spans="1:9">
      <c r="A5826" s="108" t="s">
        <v>169</v>
      </c>
      <c r="B5826" s="108" t="s">
        <v>24353</v>
      </c>
      <c r="C5826" s="109">
        <v>44131</v>
      </c>
      <c r="D5826" s="108" t="s">
        <v>24354</v>
      </c>
      <c r="E5826" s="108" t="s">
        <v>14605</v>
      </c>
      <c r="F5826" s="108" t="s">
        <v>24302</v>
      </c>
      <c r="G5826" s="109">
        <v>45930</v>
      </c>
      <c r="H5826" s="108" t="s">
        <v>24264</v>
      </c>
      <c r="I5826" s="108" t="s">
        <v>3315</v>
      </c>
    </row>
    <row r="5827" spans="1:9">
      <c r="A5827" s="108" t="s">
        <v>169</v>
      </c>
      <c r="B5827" s="108" t="s">
        <v>24355</v>
      </c>
      <c r="C5827" s="109">
        <v>45098</v>
      </c>
      <c r="D5827" s="108" t="s">
        <v>24356</v>
      </c>
      <c r="E5827" s="108" t="s">
        <v>14605</v>
      </c>
      <c r="F5827" s="108" t="s">
        <v>24269</v>
      </c>
      <c r="G5827" s="109">
        <v>45823</v>
      </c>
      <c r="H5827" s="108" t="s">
        <v>24264</v>
      </c>
      <c r="I5827" s="108" t="s">
        <v>721</v>
      </c>
    </row>
    <row r="5828" spans="1:9">
      <c r="A5828" s="108" t="s">
        <v>169</v>
      </c>
      <c r="B5828" s="108" t="s">
        <v>24357</v>
      </c>
      <c r="C5828" s="109">
        <v>45257</v>
      </c>
      <c r="D5828" s="108" t="s">
        <v>24358</v>
      </c>
      <c r="E5828" s="108" t="s">
        <v>14605</v>
      </c>
      <c r="F5828" s="108" t="s">
        <v>24359</v>
      </c>
      <c r="G5828" s="109">
        <v>45928</v>
      </c>
      <c r="H5828" s="108" t="s">
        <v>24264</v>
      </c>
      <c r="I5828" s="108" t="s">
        <v>721</v>
      </c>
    </row>
    <row r="5829" spans="1:9">
      <c r="A5829" s="108" t="s">
        <v>169</v>
      </c>
      <c r="B5829" s="108" t="s">
        <v>24360</v>
      </c>
      <c r="C5829" s="109">
        <v>45257</v>
      </c>
      <c r="D5829" s="108" t="s">
        <v>24361</v>
      </c>
      <c r="E5829" s="108" t="s">
        <v>14605</v>
      </c>
      <c r="F5829" s="108" t="s">
        <v>24359</v>
      </c>
      <c r="G5829" s="109">
        <v>45928</v>
      </c>
      <c r="H5829" s="108" t="s">
        <v>24264</v>
      </c>
      <c r="I5829" s="108" t="s">
        <v>721</v>
      </c>
    </row>
    <row r="5830" spans="1:9" ht="27.6">
      <c r="A5830" s="108" t="s">
        <v>14950</v>
      </c>
      <c r="B5830" s="108" t="s">
        <v>24362</v>
      </c>
      <c r="C5830" s="109">
        <v>43775</v>
      </c>
      <c r="D5830" s="108" t="s">
        <v>24363</v>
      </c>
      <c r="E5830" s="108" t="s">
        <v>14605</v>
      </c>
      <c r="F5830" s="108" t="s">
        <v>24284</v>
      </c>
      <c r="G5830" s="109">
        <v>45801</v>
      </c>
      <c r="H5830" s="108" t="s">
        <v>24264</v>
      </c>
      <c r="I5830" s="108" t="s">
        <v>133</v>
      </c>
    </row>
    <row r="5831" spans="1:9" ht="27.6">
      <c r="A5831" s="108" t="s">
        <v>109</v>
      </c>
      <c r="B5831" s="108" t="s">
        <v>24364</v>
      </c>
      <c r="C5831" s="109">
        <v>43657</v>
      </c>
      <c r="D5831" s="108" t="s">
        <v>24365</v>
      </c>
      <c r="E5831" s="108" t="s">
        <v>14605</v>
      </c>
      <c r="F5831" s="108" t="s">
        <v>24366</v>
      </c>
      <c r="G5831" s="109">
        <v>46115</v>
      </c>
      <c r="H5831" s="108" t="s">
        <v>24264</v>
      </c>
      <c r="I5831" s="108" t="s">
        <v>133</v>
      </c>
    </row>
    <row r="5832" spans="1:9" ht="27.6">
      <c r="A5832" s="108" t="s">
        <v>109</v>
      </c>
      <c r="B5832" s="108" t="s">
        <v>24367</v>
      </c>
      <c r="C5832" s="109">
        <v>44260</v>
      </c>
      <c r="D5832" s="108" t="s">
        <v>24368</v>
      </c>
      <c r="E5832" s="108" t="s">
        <v>14605</v>
      </c>
      <c r="F5832" s="108" t="s">
        <v>24369</v>
      </c>
      <c r="G5832" s="109">
        <v>46085</v>
      </c>
      <c r="H5832" s="108" t="s">
        <v>24264</v>
      </c>
      <c r="I5832" s="108" t="s">
        <v>133</v>
      </c>
    </row>
    <row r="5833" spans="1:9" ht="27.6">
      <c r="A5833" s="108" t="s">
        <v>96</v>
      </c>
      <c r="B5833" s="108" t="s">
        <v>24370</v>
      </c>
      <c r="C5833" s="109">
        <v>43886</v>
      </c>
      <c r="D5833" s="108" t="s">
        <v>24371</v>
      </c>
      <c r="E5833" s="108" t="s">
        <v>14605</v>
      </c>
      <c r="F5833" s="108" t="s">
        <v>24284</v>
      </c>
      <c r="G5833" s="109">
        <v>46166</v>
      </c>
      <c r="H5833" s="108" t="s">
        <v>24264</v>
      </c>
      <c r="I5833" s="108" t="s">
        <v>133</v>
      </c>
    </row>
    <row r="5834" spans="1:9">
      <c r="A5834" s="108" t="s">
        <v>16151</v>
      </c>
      <c r="B5834" s="108" t="s">
        <v>24372</v>
      </c>
      <c r="C5834" s="109">
        <v>43943</v>
      </c>
      <c r="D5834" s="108" t="s">
        <v>24373</v>
      </c>
      <c r="E5834" s="108" t="s">
        <v>14605</v>
      </c>
      <c r="F5834" s="108" t="s">
        <v>24374</v>
      </c>
      <c r="G5834" s="109">
        <v>46133</v>
      </c>
      <c r="H5834" s="108" t="s">
        <v>24264</v>
      </c>
      <c r="I5834" s="108" t="s">
        <v>133</v>
      </c>
    </row>
    <row r="5835" spans="1:9">
      <c r="A5835" s="108" t="s">
        <v>15990</v>
      </c>
      <c r="B5835" s="108" t="s">
        <v>24375</v>
      </c>
      <c r="C5835" s="109">
        <v>45114</v>
      </c>
      <c r="D5835" s="108" t="s">
        <v>24376</v>
      </c>
      <c r="E5835" s="108" t="s">
        <v>14605</v>
      </c>
      <c r="F5835" s="108" t="s">
        <v>24284</v>
      </c>
      <c r="G5835" s="109">
        <v>46134</v>
      </c>
      <c r="H5835" s="108" t="s">
        <v>24264</v>
      </c>
      <c r="I5835" s="108" t="s">
        <v>133</v>
      </c>
    </row>
    <row r="5836" spans="1:9" ht="27.6">
      <c r="A5836" s="108" t="s">
        <v>16151</v>
      </c>
      <c r="B5836" s="108" t="s">
        <v>24377</v>
      </c>
      <c r="C5836" s="109">
        <v>44265</v>
      </c>
      <c r="D5836" s="108" t="s">
        <v>24378</v>
      </c>
      <c r="E5836" s="108" t="s">
        <v>14605</v>
      </c>
      <c r="F5836" s="108" t="s">
        <v>24295</v>
      </c>
      <c r="G5836" s="109">
        <v>45748</v>
      </c>
      <c r="H5836" s="108" t="s">
        <v>24264</v>
      </c>
      <c r="I5836" s="108" t="s">
        <v>133</v>
      </c>
    </row>
    <row r="5837" spans="1:9">
      <c r="A5837" s="108" t="s">
        <v>16151</v>
      </c>
      <c r="B5837" s="108" t="s">
        <v>24379</v>
      </c>
      <c r="C5837" s="109">
        <v>45021</v>
      </c>
      <c r="D5837" s="108" t="s">
        <v>24380</v>
      </c>
      <c r="E5837" s="108" t="s">
        <v>14605</v>
      </c>
      <c r="F5837" s="108" t="s">
        <v>24284</v>
      </c>
      <c r="G5837" s="109">
        <v>46134</v>
      </c>
      <c r="H5837" s="108" t="s">
        <v>24264</v>
      </c>
      <c r="I5837" s="108" t="s">
        <v>133</v>
      </c>
    </row>
    <row r="5838" spans="1:9">
      <c r="A5838" s="108" t="s">
        <v>16151</v>
      </c>
      <c r="B5838" s="108" t="s">
        <v>24381</v>
      </c>
      <c r="C5838" s="109">
        <v>43523</v>
      </c>
      <c r="D5838" s="108" t="s">
        <v>24382</v>
      </c>
      <c r="E5838" s="108" t="s">
        <v>14605</v>
      </c>
      <c r="F5838" s="108" t="s">
        <v>24284</v>
      </c>
      <c r="G5838" s="109">
        <v>46166</v>
      </c>
      <c r="H5838" s="108" t="s">
        <v>24264</v>
      </c>
      <c r="I5838" s="108" t="s">
        <v>133</v>
      </c>
    </row>
    <row r="5839" spans="1:9" ht="27.6">
      <c r="A5839" s="108" t="s">
        <v>388</v>
      </c>
      <c r="B5839" s="108" t="s">
        <v>24383</v>
      </c>
      <c r="C5839" s="109">
        <v>45495</v>
      </c>
      <c r="D5839" s="108" t="s">
        <v>24384</v>
      </c>
      <c r="E5839" s="108" t="s">
        <v>14605</v>
      </c>
      <c r="F5839" s="108" t="s">
        <v>24286</v>
      </c>
      <c r="G5839" s="109">
        <v>46227</v>
      </c>
      <c r="H5839" s="108" t="s">
        <v>24264</v>
      </c>
      <c r="I5839" s="108" t="s">
        <v>133</v>
      </c>
    </row>
    <row r="5840" spans="1:9" ht="27.6">
      <c r="A5840" s="108" t="s">
        <v>14950</v>
      </c>
      <c r="B5840" s="108" t="s">
        <v>24385</v>
      </c>
      <c r="C5840" s="109">
        <v>43657</v>
      </c>
      <c r="D5840" s="108" t="s">
        <v>24386</v>
      </c>
      <c r="E5840" s="108" t="s">
        <v>14605</v>
      </c>
      <c r="F5840" s="108" t="s">
        <v>24366</v>
      </c>
      <c r="G5840" s="109">
        <v>44022</v>
      </c>
      <c r="H5840" s="108" t="s">
        <v>24264</v>
      </c>
      <c r="I5840" s="108" t="s">
        <v>108</v>
      </c>
    </row>
    <row r="5841" spans="1:9" ht="27.6">
      <c r="A5841" s="108" t="s">
        <v>14950</v>
      </c>
      <c r="B5841" s="108" t="s">
        <v>24387</v>
      </c>
      <c r="C5841" s="109">
        <v>43523</v>
      </c>
      <c r="D5841" s="108" t="s">
        <v>24388</v>
      </c>
      <c r="E5841" s="108" t="s">
        <v>14605</v>
      </c>
      <c r="F5841" s="108" t="s">
        <v>24284</v>
      </c>
      <c r="G5841" s="109">
        <v>44253</v>
      </c>
      <c r="H5841" s="108" t="s">
        <v>24264</v>
      </c>
      <c r="I5841" s="108" t="s">
        <v>108</v>
      </c>
    </row>
    <row r="5842" spans="1:9" ht="27.6">
      <c r="A5842" s="108" t="s">
        <v>14950</v>
      </c>
      <c r="B5842" s="108" t="s">
        <v>24389</v>
      </c>
      <c r="C5842" s="109">
        <v>44260</v>
      </c>
      <c r="D5842" s="108" t="s">
        <v>24390</v>
      </c>
      <c r="E5842" s="108" t="s">
        <v>14605</v>
      </c>
      <c r="F5842" s="108" t="s">
        <v>24369</v>
      </c>
      <c r="G5842" s="109">
        <v>44624</v>
      </c>
      <c r="H5842" s="108" t="s">
        <v>24264</v>
      </c>
      <c r="I5842" s="108" t="s">
        <v>108</v>
      </c>
    </row>
    <row r="5843" spans="1:9" ht="27.6">
      <c r="A5843" s="108" t="s">
        <v>14950</v>
      </c>
      <c r="B5843" s="108" t="s">
        <v>24391</v>
      </c>
      <c r="C5843" s="109">
        <v>44265</v>
      </c>
      <c r="D5843" s="108" t="s">
        <v>24392</v>
      </c>
      <c r="E5843" s="108" t="s">
        <v>14605</v>
      </c>
      <c r="F5843" s="108" t="s">
        <v>24295</v>
      </c>
      <c r="G5843" s="109">
        <v>44629</v>
      </c>
      <c r="H5843" s="108" t="s">
        <v>24264</v>
      </c>
      <c r="I5843" s="108" t="s">
        <v>108</v>
      </c>
    </row>
    <row r="5844" spans="1:9" ht="27.6">
      <c r="A5844" s="108" t="s">
        <v>109</v>
      </c>
      <c r="B5844" s="108" t="s">
        <v>24393</v>
      </c>
      <c r="C5844" s="109">
        <v>45581</v>
      </c>
      <c r="D5844" s="108" t="s">
        <v>24394</v>
      </c>
      <c r="E5844" s="108" t="s">
        <v>14605</v>
      </c>
      <c r="F5844" s="108" t="s">
        <v>14766</v>
      </c>
      <c r="G5844" s="109">
        <v>45927</v>
      </c>
      <c r="H5844" s="108" t="s">
        <v>24264</v>
      </c>
      <c r="I5844" s="108" t="s">
        <v>108</v>
      </c>
    </row>
    <row r="5845" spans="1:9">
      <c r="A5845" s="108" t="s">
        <v>16935</v>
      </c>
      <c r="B5845" s="108" t="s">
        <v>24395</v>
      </c>
      <c r="C5845" s="109">
        <v>39299</v>
      </c>
      <c r="D5845" s="108"/>
      <c r="E5845" s="108" t="s">
        <v>14605</v>
      </c>
      <c r="F5845" s="108" t="s">
        <v>14846</v>
      </c>
      <c r="G5845" s="110"/>
      <c r="H5845" s="108" t="s">
        <v>24396</v>
      </c>
      <c r="I5845" s="108"/>
    </row>
    <row r="5846" spans="1:9">
      <c r="A5846" s="108" t="s">
        <v>14679</v>
      </c>
      <c r="B5846" s="108" t="s">
        <v>24397</v>
      </c>
      <c r="C5846" s="109">
        <v>41520</v>
      </c>
      <c r="D5846" s="108"/>
      <c r="E5846" s="108" t="s">
        <v>14605</v>
      </c>
      <c r="F5846" s="108" t="s">
        <v>15220</v>
      </c>
      <c r="G5846" s="110"/>
      <c r="H5846" s="108" t="s">
        <v>24396</v>
      </c>
      <c r="I5846" s="108"/>
    </row>
    <row r="5847" spans="1:9" ht="27.6">
      <c r="A5847" s="108" t="s">
        <v>1271</v>
      </c>
      <c r="B5847" s="108" t="s">
        <v>24398</v>
      </c>
      <c r="C5847" s="109">
        <v>41960</v>
      </c>
      <c r="D5847" s="108"/>
      <c r="E5847" s="108" t="s">
        <v>14605</v>
      </c>
      <c r="F5847" s="108" t="s">
        <v>24399</v>
      </c>
      <c r="G5847" s="110"/>
      <c r="H5847" s="108" t="s">
        <v>24396</v>
      </c>
      <c r="I5847" s="108"/>
    </row>
    <row r="5848" spans="1:9">
      <c r="A5848" s="108" t="s">
        <v>87</v>
      </c>
      <c r="B5848" s="108" t="s">
        <v>24400</v>
      </c>
      <c r="C5848" s="109">
        <v>40925</v>
      </c>
      <c r="D5848" s="108"/>
      <c r="E5848" s="108" t="s">
        <v>14605</v>
      </c>
      <c r="F5848" s="108" t="s">
        <v>24401</v>
      </c>
      <c r="G5848" s="110"/>
      <c r="H5848" s="108" t="s">
        <v>24396</v>
      </c>
      <c r="I5848" s="108"/>
    </row>
    <row r="5849" spans="1:9" ht="27.6">
      <c r="A5849" s="108" t="s">
        <v>14690</v>
      </c>
      <c r="B5849" s="108" t="s">
        <v>24402</v>
      </c>
      <c r="C5849" s="109">
        <v>40609</v>
      </c>
      <c r="D5849" s="108"/>
      <c r="E5849" s="108" t="s">
        <v>14605</v>
      </c>
      <c r="F5849" s="108" t="s">
        <v>24403</v>
      </c>
      <c r="G5849" s="110"/>
      <c r="H5849" s="108" t="s">
        <v>24396</v>
      </c>
      <c r="I5849" s="108"/>
    </row>
    <row r="5850" spans="1:9" ht="27.6">
      <c r="A5850" s="108" t="s">
        <v>14690</v>
      </c>
      <c r="B5850" s="108" t="s">
        <v>24404</v>
      </c>
      <c r="C5850" s="109">
        <v>41014</v>
      </c>
      <c r="D5850" s="108"/>
      <c r="E5850" s="108" t="s">
        <v>14605</v>
      </c>
      <c r="F5850" s="108" t="s">
        <v>24405</v>
      </c>
      <c r="G5850" s="110"/>
      <c r="H5850" s="108" t="s">
        <v>24396</v>
      </c>
      <c r="I5850" s="108"/>
    </row>
    <row r="5851" spans="1:9" ht="27.6">
      <c r="A5851" s="108" t="s">
        <v>14690</v>
      </c>
      <c r="B5851" s="108" t="s">
        <v>24406</v>
      </c>
      <c r="C5851" s="109">
        <v>41555</v>
      </c>
      <c r="D5851" s="108"/>
      <c r="E5851" s="108" t="s">
        <v>14605</v>
      </c>
      <c r="F5851" s="108" t="s">
        <v>24407</v>
      </c>
      <c r="G5851" s="110"/>
      <c r="H5851" s="108" t="s">
        <v>24396</v>
      </c>
      <c r="I5851" s="108"/>
    </row>
    <row r="5852" spans="1:9">
      <c r="A5852" s="108" t="s">
        <v>316</v>
      </c>
      <c r="B5852" s="108" t="s">
        <v>24408</v>
      </c>
      <c r="C5852" s="109">
        <v>41754</v>
      </c>
      <c r="D5852" s="108"/>
      <c r="E5852" s="108" t="s">
        <v>14605</v>
      </c>
      <c r="F5852" s="108" t="s">
        <v>24409</v>
      </c>
      <c r="G5852" s="110"/>
      <c r="H5852" s="108" t="s">
        <v>24396</v>
      </c>
      <c r="I5852" s="108"/>
    </row>
    <row r="5853" spans="1:9" ht="27.6">
      <c r="A5853" s="108" t="s">
        <v>185</v>
      </c>
      <c r="B5853" s="108" t="s">
        <v>24410</v>
      </c>
      <c r="C5853" s="109">
        <v>41014</v>
      </c>
      <c r="D5853" s="108"/>
      <c r="E5853" s="108" t="s">
        <v>14605</v>
      </c>
      <c r="F5853" s="108" t="s">
        <v>24411</v>
      </c>
      <c r="G5853" s="110"/>
      <c r="H5853" s="108" t="s">
        <v>24396</v>
      </c>
      <c r="I5853" s="108"/>
    </row>
    <row r="5854" spans="1:9" ht="27.6">
      <c r="A5854" s="108" t="s">
        <v>185</v>
      </c>
      <c r="B5854" s="108" t="s">
        <v>24412</v>
      </c>
      <c r="C5854" s="109">
        <v>41134</v>
      </c>
      <c r="D5854" s="108"/>
      <c r="E5854" s="108" t="s">
        <v>14605</v>
      </c>
      <c r="F5854" s="108" t="s">
        <v>14846</v>
      </c>
      <c r="G5854" s="110"/>
      <c r="H5854" s="108" t="s">
        <v>24396</v>
      </c>
      <c r="I5854" s="108"/>
    </row>
    <row r="5855" spans="1:9">
      <c r="A5855" s="108" t="s">
        <v>169</v>
      </c>
      <c r="B5855" s="108" t="s">
        <v>24413</v>
      </c>
      <c r="C5855" s="109">
        <v>42375</v>
      </c>
      <c r="D5855" s="108"/>
      <c r="E5855" s="108" t="s">
        <v>14605</v>
      </c>
      <c r="F5855" s="108" t="s">
        <v>24414</v>
      </c>
      <c r="G5855" s="110"/>
      <c r="H5855" s="108" t="s">
        <v>24396</v>
      </c>
      <c r="I5855" s="108"/>
    </row>
    <row r="5856" spans="1:9">
      <c r="A5856" s="108" t="s">
        <v>169</v>
      </c>
      <c r="B5856" s="108" t="s">
        <v>24415</v>
      </c>
      <c r="C5856" s="109">
        <v>42244</v>
      </c>
      <c r="D5856" s="108"/>
      <c r="E5856" s="108" t="s">
        <v>14605</v>
      </c>
      <c r="F5856" s="108" t="s">
        <v>24416</v>
      </c>
      <c r="G5856" s="110"/>
      <c r="H5856" s="108" t="s">
        <v>24396</v>
      </c>
      <c r="I5856" s="108"/>
    </row>
    <row r="5857" spans="1:9">
      <c r="A5857" s="108" t="s">
        <v>169</v>
      </c>
      <c r="B5857" s="108" t="s">
        <v>24417</v>
      </c>
      <c r="C5857" s="109">
        <v>43852</v>
      </c>
      <c r="D5857" s="108"/>
      <c r="E5857" s="108" t="s">
        <v>14605</v>
      </c>
      <c r="F5857" s="108" t="s">
        <v>14846</v>
      </c>
      <c r="G5857" s="110"/>
      <c r="H5857" s="108" t="s">
        <v>24396</v>
      </c>
      <c r="I5857" s="108"/>
    </row>
    <row r="5858" spans="1:9">
      <c r="A5858" s="108" t="s">
        <v>169</v>
      </c>
      <c r="B5858" s="108" t="s">
        <v>24418</v>
      </c>
      <c r="C5858" s="109">
        <v>43734</v>
      </c>
      <c r="D5858" s="108"/>
      <c r="E5858" s="108" t="s">
        <v>14605</v>
      </c>
      <c r="F5858" s="108" t="s">
        <v>14846</v>
      </c>
      <c r="G5858" s="110"/>
      <c r="H5858" s="108" t="s">
        <v>24396</v>
      </c>
      <c r="I5858" s="108"/>
    </row>
    <row r="5859" spans="1:9">
      <c r="A5859" s="108" t="s">
        <v>169</v>
      </c>
      <c r="B5859" s="108" t="s">
        <v>24419</v>
      </c>
      <c r="C5859" s="109">
        <v>44152</v>
      </c>
      <c r="D5859" s="108"/>
      <c r="E5859" s="108" t="s">
        <v>14605</v>
      </c>
      <c r="F5859" s="108" t="s">
        <v>24416</v>
      </c>
      <c r="G5859" s="110"/>
      <c r="H5859" s="108" t="s">
        <v>24396</v>
      </c>
      <c r="I5859" s="108"/>
    </row>
    <row r="5860" spans="1:9">
      <c r="A5860" s="108" t="s">
        <v>237</v>
      </c>
      <c r="B5860" s="108" t="s">
        <v>24420</v>
      </c>
      <c r="C5860" s="109">
        <v>43145</v>
      </c>
      <c r="D5860" s="108"/>
      <c r="E5860" s="108" t="s">
        <v>14605</v>
      </c>
      <c r="F5860" s="108" t="s">
        <v>14846</v>
      </c>
      <c r="G5860" s="110"/>
      <c r="H5860" s="108" t="s">
        <v>24396</v>
      </c>
      <c r="I5860" s="108"/>
    </row>
    <row r="5861" spans="1:9">
      <c r="A5861" s="108" t="s">
        <v>2002</v>
      </c>
      <c r="B5861" s="108" t="s">
        <v>24421</v>
      </c>
      <c r="C5861" s="109">
        <v>42975</v>
      </c>
      <c r="D5861" s="108"/>
      <c r="E5861" s="108" t="s">
        <v>14605</v>
      </c>
      <c r="F5861" s="108" t="s">
        <v>24411</v>
      </c>
      <c r="G5861" s="110"/>
      <c r="H5861" s="108" t="s">
        <v>24396</v>
      </c>
      <c r="I5861" s="108"/>
    </row>
    <row r="5862" spans="1:9">
      <c r="A5862" s="108" t="s">
        <v>8271</v>
      </c>
      <c r="B5862" s="108" t="s">
        <v>24422</v>
      </c>
      <c r="C5862" s="109">
        <v>44553</v>
      </c>
      <c r="D5862" s="108"/>
      <c r="E5862" s="108" t="s">
        <v>14605</v>
      </c>
      <c r="F5862" s="108" t="s">
        <v>24423</v>
      </c>
      <c r="G5862" s="110"/>
      <c r="H5862" s="108" t="s">
        <v>24396</v>
      </c>
      <c r="I5862" s="108"/>
    </row>
    <row r="5863" spans="1:9">
      <c r="A5863" s="108" t="s">
        <v>8271</v>
      </c>
      <c r="B5863" s="108" t="s">
        <v>24424</v>
      </c>
      <c r="C5863" s="109">
        <v>45019</v>
      </c>
      <c r="D5863" s="108"/>
      <c r="E5863" s="108" t="s">
        <v>14605</v>
      </c>
      <c r="F5863" s="108" t="s">
        <v>24425</v>
      </c>
      <c r="G5863" s="110"/>
      <c r="H5863" s="108" t="s">
        <v>24396</v>
      </c>
      <c r="I5863" s="108"/>
    </row>
    <row r="5864" spans="1:9" ht="27.6">
      <c r="A5864" s="108" t="s">
        <v>14950</v>
      </c>
      <c r="B5864" s="108" t="s">
        <v>24426</v>
      </c>
      <c r="C5864" s="109">
        <v>44713</v>
      </c>
      <c r="D5864" s="108"/>
      <c r="E5864" s="108" t="s">
        <v>14605</v>
      </c>
      <c r="F5864" s="108" t="s">
        <v>16169</v>
      </c>
      <c r="G5864" s="110"/>
      <c r="H5864" s="108" t="s">
        <v>24396</v>
      </c>
      <c r="I5864" s="108"/>
    </row>
    <row r="5865" spans="1:9" ht="27.6">
      <c r="A5865" s="108" t="s">
        <v>14950</v>
      </c>
      <c r="B5865" s="108" t="s">
        <v>24427</v>
      </c>
      <c r="C5865" s="109">
        <v>45435</v>
      </c>
      <c r="D5865" s="108"/>
      <c r="E5865" s="108" t="s">
        <v>14605</v>
      </c>
      <c r="F5865" s="108" t="s">
        <v>24428</v>
      </c>
      <c r="G5865" s="110"/>
      <c r="H5865" s="108" t="s">
        <v>24396</v>
      </c>
      <c r="I5865" s="108"/>
    </row>
    <row r="5866" spans="1:9">
      <c r="A5866" s="108" t="s">
        <v>477</v>
      </c>
      <c r="B5866" s="108" t="s">
        <v>24429</v>
      </c>
      <c r="C5866" s="109">
        <v>44327</v>
      </c>
      <c r="D5866" s="108"/>
      <c r="E5866" s="108" t="s">
        <v>14605</v>
      </c>
      <c r="F5866" s="108" t="s">
        <v>15017</v>
      </c>
      <c r="G5866" s="110"/>
      <c r="H5866" s="108" t="s">
        <v>24396</v>
      </c>
      <c r="I5866" s="108"/>
    </row>
    <row r="5867" spans="1:9">
      <c r="A5867" s="108" t="s">
        <v>87</v>
      </c>
      <c r="B5867" s="108" t="s">
        <v>24430</v>
      </c>
      <c r="C5867" s="109">
        <v>44487</v>
      </c>
      <c r="D5867" s="108"/>
      <c r="E5867" s="108" t="s">
        <v>14605</v>
      </c>
      <c r="F5867" s="108" t="s">
        <v>24431</v>
      </c>
      <c r="G5867" s="110"/>
      <c r="H5867" s="108" t="s">
        <v>24396</v>
      </c>
      <c r="I5867" s="108"/>
    </row>
    <row r="5868" spans="1:9" ht="27.6">
      <c r="A5868" s="108" t="s">
        <v>15075</v>
      </c>
      <c r="B5868" s="108" t="s">
        <v>24432</v>
      </c>
      <c r="C5868" s="109">
        <v>45488</v>
      </c>
      <c r="D5868" s="108"/>
      <c r="E5868" s="108" t="s">
        <v>14605</v>
      </c>
      <c r="F5868" s="108" t="s">
        <v>14846</v>
      </c>
      <c r="G5868" s="110"/>
      <c r="H5868" s="108" t="s">
        <v>24396</v>
      </c>
      <c r="I5868" s="108"/>
    </row>
    <row r="5869" spans="1:9" ht="27.6">
      <c r="A5869" s="108" t="s">
        <v>15075</v>
      </c>
      <c r="B5869" s="108" t="s">
        <v>24433</v>
      </c>
      <c r="C5869" s="109">
        <v>44746</v>
      </c>
      <c r="D5869" s="108"/>
      <c r="E5869" s="108" t="s">
        <v>14605</v>
      </c>
      <c r="F5869" s="108" t="s">
        <v>24434</v>
      </c>
      <c r="G5869" s="110"/>
      <c r="H5869" s="108" t="s">
        <v>24396</v>
      </c>
      <c r="I5869" s="108"/>
    </row>
    <row r="5870" spans="1:9" ht="27.6">
      <c r="A5870" s="108" t="s">
        <v>15075</v>
      </c>
      <c r="B5870" s="108" t="s">
        <v>24435</v>
      </c>
      <c r="C5870" s="109">
        <v>44545</v>
      </c>
      <c r="D5870" s="108"/>
      <c r="E5870" s="108" t="s">
        <v>14605</v>
      </c>
      <c r="F5870" s="108" t="s">
        <v>24436</v>
      </c>
      <c r="G5870" s="110"/>
      <c r="H5870" s="108" t="s">
        <v>24396</v>
      </c>
      <c r="I5870" s="108"/>
    </row>
    <row r="5871" spans="1:9" ht="27.6">
      <c r="A5871" s="108" t="s">
        <v>15075</v>
      </c>
      <c r="B5871" s="108" t="s">
        <v>24437</v>
      </c>
      <c r="C5871" s="109">
        <v>44571</v>
      </c>
      <c r="D5871" s="108"/>
      <c r="E5871" s="108" t="s">
        <v>14605</v>
      </c>
      <c r="F5871" s="108" t="s">
        <v>24416</v>
      </c>
      <c r="G5871" s="110"/>
      <c r="H5871" s="108" t="s">
        <v>24396</v>
      </c>
      <c r="I5871" s="108"/>
    </row>
    <row r="5872" spans="1:9" ht="27.6">
      <c r="A5872" s="108" t="s">
        <v>15075</v>
      </c>
      <c r="B5872" s="108" t="s">
        <v>24438</v>
      </c>
      <c r="C5872" s="109">
        <v>44588</v>
      </c>
      <c r="D5872" s="108"/>
      <c r="E5872" s="108" t="s">
        <v>14605</v>
      </c>
      <c r="F5872" s="108" t="s">
        <v>24439</v>
      </c>
      <c r="G5872" s="110"/>
      <c r="H5872" s="108" t="s">
        <v>24396</v>
      </c>
      <c r="I5872" s="108"/>
    </row>
    <row r="5873" spans="1:9" ht="27.6">
      <c r="A5873" s="108" t="s">
        <v>15075</v>
      </c>
      <c r="B5873" s="108" t="s">
        <v>24440</v>
      </c>
      <c r="C5873" s="109">
        <v>44610</v>
      </c>
      <c r="D5873" s="108"/>
      <c r="E5873" s="108" t="s">
        <v>14605</v>
      </c>
      <c r="F5873" s="108" t="s">
        <v>14846</v>
      </c>
      <c r="G5873" s="110"/>
      <c r="H5873" s="108" t="s">
        <v>24396</v>
      </c>
      <c r="I5873" s="108"/>
    </row>
    <row r="5874" spans="1:9" ht="27.6">
      <c r="A5874" s="108" t="s">
        <v>15075</v>
      </c>
      <c r="B5874" s="108" t="s">
        <v>24441</v>
      </c>
      <c r="C5874" s="109">
        <v>44662</v>
      </c>
      <c r="D5874" s="108"/>
      <c r="E5874" s="108" t="s">
        <v>14605</v>
      </c>
      <c r="F5874" s="108" t="s">
        <v>24442</v>
      </c>
      <c r="G5874" s="110"/>
      <c r="H5874" s="108" t="s">
        <v>24396</v>
      </c>
      <c r="I5874" s="108"/>
    </row>
    <row r="5875" spans="1:9" ht="27.6">
      <c r="A5875" s="108" t="s">
        <v>15075</v>
      </c>
      <c r="B5875" s="108" t="s">
        <v>24443</v>
      </c>
      <c r="C5875" s="109">
        <v>44676</v>
      </c>
      <c r="D5875" s="108"/>
      <c r="E5875" s="108" t="s">
        <v>14605</v>
      </c>
      <c r="F5875" s="108" t="s">
        <v>24444</v>
      </c>
      <c r="G5875" s="110"/>
      <c r="H5875" s="108" t="s">
        <v>24396</v>
      </c>
      <c r="I5875" s="108"/>
    </row>
    <row r="5876" spans="1:9" ht="27.6">
      <c r="A5876" s="108" t="s">
        <v>15075</v>
      </c>
      <c r="B5876" s="108" t="s">
        <v>24445</v>
      </c>
      <c r="C5876" s="109">
        <v>44767</v>
      </c>
      <c r="D5876" s="108"/>
      <c r="E5876" s="108" t="s">
        <v>14605</v>
      </c>
      <c r="F5876" s="108" t="s">
        <v>24434</v>
      </c>
      <c r="G5876" s="110"/>
      <c r="H5876" s="108" t="s">
        <v>24396</v>
      </c>
      <c r="I5876" s="108"/>
    </row>
    <row r="5877" spans="1:9" ht="27.6">
      <c r="A5877" s="108" t="s">
        <v>15075</v>
      </c>
      <c r="B5877" s="108" t="s">
        <v>24446</v>
      </c>
      <c r="C5877" s="109">
        <v>44826</v>
      </c>
      <c r="D5877" s="108"/>
      <c r="E5877" s="108" t="s">
        <v>14605</v>
      </c>
      <c r="F5877" s="108" t="s">
        <v>24447</v>
      </c>
      <c r="G5877" s="110"/>
      <c r="H5877" s="108" t="s">
        <v>24396</v>
      </c>
      <c r="I5877" s="108"/>
    </row>
    <row r="5878" spans="1:9" ht="27.6">
      <c r="A5878" s="108" t="s">
        <v>15075</v>
      </c>
      <c r="B5878" s="108" t="s">
        <v>24448</v>
      </c>
      <c r="C5878" s="109">
        <v>44824</v>
      </c>
      <c r="D5878" s="108"/>
      <c r="E5878" s="108" t="s">
        <v>14605</v>
      </c>
      <c r="F5878" s="108" t="s">
        <v>24449</v>
      </c>
      <c r="G5878" s="110"/>
      <c r="H5878" s="108" t="s">
        <v>24396</v>
      </c>
      <c r="I5878" s="108"/>
    </row>
    <row r="5879" spans="1:9" ht="27.6">
      <c r="A5879" s="108" t="s">
        <v>15075</v>
      </c>
      <c r="B5879" s="108" t="s">
        <v>24450</v>
      </c>
      <c r="C5879" s="109">
        <v>44838</v>
      </c>
      <c r="D5879" s="108"/>
      <c r="E5879" s="108" t="s">
        <v>14605</v>
      </c>
      <c r="F5879" s="108" t="s">
        <v>15246</v>
      </c>
      <c r="G5879" s="110"/>
      <c r="H5879" s="108" t="s">
        <v>24396</v>
      </c>
      <c r="I5879" s="108"/>
    </row>
    <row r="5880" spans="1:9" ht="27.6">
      <c r="A5880" s="108" t="s">
        <v>15075</v>
      </c>
      <c r="B5880" s="108" t="s">
        <v>24451</v>
      </c>
      <c r="C5880" s="109">
        <v>44879</v>
      </c>
      <c r="D5880" s="108"/>
      <c r="E5880" s="108" t="s">
        <v>14605</v>
      </c>
      <c r="F5880" s="108" t="s">
        <v>24452</v>
      </c>
      <c r="G5880" s="110"/>
      <c r="H5880" s="108" t="s">
        <v>24396</v>
      </c>
      <c r="I5880" s="108"/>
    </row>
    <row r="5881" spans="1:9" ht="27.6">
      <c r="A5881" s="108" t="s">
        <v>15075</v>
      </c>
      <c r="B5881" s="108" t="s">
        <v>24453</v>
      </c>
      <c r="C5881" s="109">
        <v>44950</v>
      </c>
      <c r="D5881" s="108"/>
      <c r="E5881" s="108" t="s">
        <v>14605</v>
      </c>
      <c r="F5881" s="108" t="s">
        <v>24439</v>
      </c>
      <c r="G5881" s="110"/>
      <c r="H5881" s="108" t="s">
        <v>24396</v>
      </c>
      <c r="I5881" s="108"/>
    </row>
    <row r="5882" spans="1:9" ht="27.6">
      <c r="A5882" s="108" t="s">
        <v>15075</v>
      </c>
      <c r="B5882" s="108" t="s">
        <v>24454</v>
      </c>
      <c r="C5882" s="109">
        <v>44916</v>
      </c>
      <c r="D5882" s="108"/>
      <c r="E5882" s="108" t="s">
        <v>14605</v>
      </c>
      <c r="F5882" s="108" t="s">
        <v>24439</v>
      </c>
      <c r="G5882" s="110"/>
      <c r="H5882" s="108" t="s">
        <v>24396</v>
      </c>
      <c r="I5882" s="108"/>
    </row>
    <row r="5883" spans="1:9" ht="27.6">
      <c r="A5883" s="108" t="s">
        <v>15075</v>
      </c>
      <c r="B5883" s="108" t="s">
        <v>24455</v>
      </c>
      <c r="C5883" s="109">
        <v>44956</v>
      </c>
      <c r="D5883" s="108"/>
      <c r="E5883" s="108" t="s">
        <v>14605</v>
      </c>
      <c r="F5883" s="108" t="s">
        <v>16035</v>
      </c>
      <c r="G5883" s="110"/>
      <c r="H5883" s="108" t="s">
        <v>24396</v>
      </c>
      <c r="I5883" s="108"/>
    </row>
    <row r="5884" spans="1:9" ht="27.6">
      <c r="A5884" s="108" t="s">
        <v>15075</v>
      </c>
      <c r="B5884" s="108" t="s">
        <v>24456</v>
      </c>
      <c r="C5884" s="109">
        <v>44979</v>
      </c>
      <c r="D5884" s="108"/>
      <c r="E5884" s="108" t="s">
        <v>14605</v>
      </c>
      <c r="F5884" s="108" t="s">
        <v>24434</v>
      </c>
      <c r="G5884" s="110"/>
      <c r="H5884" s="108" t="s">
        <v>24396</v>
      </c>
      <c r="I5884" s="108"/>
    </row>
    <row r="5885" spans="1:9" ht="27.6">
      <c r="A5885" s="108" t="s">
        <v>15075</v>
      </c>
      <c r="B5885" s="108" t="s">
        <v>24457</v>
      </c>
      <c r="C5885" s="109">
        <v>45309</v>
      </c>
      <c r="D5885" s="108"/>
      <c r="E5885" s="108" t="s">
        <v>14605</v>
      </c>
      <c r="F5885" s="108" t="s">
        <v>16035</v>
      </c>
      <c r="G5885" s="110"/>
      <c r="H5885" s="108" t="s">
        <v>24396</v>
      </c>
      <c r="I5885" s="108"/>
    </row>
    <row r="5886" spans="1:9" ht="27.6">
      <c r="A5886" s="108" t="s">
        <v>15075</v>
      </c>
      <c r="B5886" s="108" t="s">
        <v>24458</v>
      </c>
      <c r="C5886" s="109">
        <v>45309</v>
      </c>
      <c r="D5886" s="108"/>
      <c r="E5886" s="108" t="s">
        <v>14605</v>
      </c>
      <c r="F5886" s="108" t="s">
        <v>16035</v>
      </c>
      <c r="G5886" s="110"/>
      <c r="H5886" s="108" t="s">
        <v>24396</v>
      </c>
      <c r="I5886" s="108"/>
    </row>
    <row r="5887" spans="1:9" ht="27.6">
      <c r="A5887" s="108" t="s">
        <v>15075</v>
      </c>
      <c r="B5887" s="108" t="s">
        <v>24459</v>
      </c>
      <c r="C5887" s="109">
        <v>45244</v>
      </c>
      <c r="D5887" s="108"/>
      <c r="E5887" s="108" t="s">
        <v>14605</v>
      </c>
      <c r="F5887" s="108" t="s">
        <v>24436</v>
      </c>
      <c r="G5887" s="110"/>
      <c r="H5887" s="108" t="s">
        <v>24396</v>
      </c>
      <c r="I5887" s="108"/>
    </row>
    <row r="5888" spans="1:9" ht="27.6">
      <c r="A5888" s="108" t="s">
        <v>15075</v>
      </c>
      <c r="B5888" s="108" t="s">
        <v>24460</v>
      </c>
      <c r="C5888" s="109">
        <v>45239</v>
      </c>
      <c r="D5888" s="108"/>
      <c r="E5888" s="108" t="s">
        <v>14605</v>
      </c>
      <c r="F5888" s="108" t="s">
        <v>24447</v>
      </c>
      <c r="G5888" s="110"/>
      <c r="H5888" s="108" t="s">
        <v>24396</v>
      </c>
      <c r="I5888" s="108"/>
    </row>
    <row r="5889" spans="1:9" ht="27.6">
      <c r="A5889" s="108" t="s">
        <v>15075</v>
      </c>
      <c r="B5889" s="108" t="s">
        <v>24461</v>
      </c>
      <c r="C5889" s="109">
        <v>45244</v>
      </c>
      <c r="D5889" s="108"/>
      <c r="E5889" s="108" t="s">
        <v>14605</v>
      </c>
      <c r="F5889" s="108" t="s">
        <v>24462</v>
      </c>
      <c r="G5889" s="110"/>
      <c r="H5889" s="108" t="s">
        <v>24396</v>
      </c>
      <c r="I5889" s="108"/>
    </row>
    <row r="5890" spans="1:9" ht="27.6">
      <c r="A5890" s="108" t="s">
        <v>15075</v>
      </c>
      <c r="B5890" s="108" t="s">
        <v>24463</v>
      </c>
      <c r="C5890" s="109">
        <v>45272</v>
      </c>
      <c r="D5890" s="108"/>
      <c r="E5890" s="108" t="s">
        <v>14605</v>
      </c>
      <c r="F5890" s="108" t="s">
        <v>24464</v>
      </c>
      <c r="G5890" s="110"/>
      <c r="H5890" s="108" t="s">
        <v>24396</v>
      </c>
      <c r="I5890" s="108"/>
    </row>
    <row r="5891" spans="1:9" ht="27.6">
      <c r="A5891" s="108" t="s">
        <v>15075</v>
      </c>
      <c r="B5891" s="108" t="s">
        <v>24465</v>
      </c>
      <c r="C5891" s="109">
        <v>45308</v>
      </c>
      <c r="D5891" s="108"/>
      <c r="E5891" s="108" t="s">
        <v>14605</v>
      </c>
      <c r="F5891" s="108" t="s">
        <v>24466</v>
      </c>
      <c r="G5891" s="110"/>
      <c r="H5891" s="108" t="s">
        <v>24396</v>
      </c>
      <c r="I5891" s="108"/>
    </row>
    <row r="5892" spans="1:9" ht="27.6">
      <c r="A5892" s="108" t="s">
        <v>15075</v>
      </c>
      <c r="B5892" s="108" t="s">
        <v>24467</v>
      </c>
      <c r="C5892" s="109">
        <v>45362</v>
      </c>
      <c r="D5892" s="108"/>
      <c r="E5892" s="108" t="s">
        <v>14605</v>
      </c>
      <c r="F5892" s="108" t="s">
        <v>24468</v>
      </c>
      <c r="G5892" s="110"/>
      <c r="H5892" s="108" t="s">
        <v>24396</v>
      </c>
      <c r="I5892" s="108"/>
    </row>
    <row r="5893" spans="1:9" ht="27.6">
      <c r="A5893" s="108" t="s">
        <v>15075</v>
      </c>
      <c r="B5893" s="108" t="s">
        <v>24469</v>
      </c>
      <c r="C5893" s="109">
        <v>45315</v>
      </c>
      <c r="D5893" s="108"/>
      <c r="E5893" s="108" t="s">
        <v>14605</v>
      </c>
      <c r="F5893" s="108" t="s">
        <v>24470</v>
      </c>
      <c r="G5893" s="110"/>
      <c r="H5893" s="108" t="s">
        <v>24396</v>
      </c>
      <c r="I5893" s="108"/>
    </row>
    <row r="5894" spans="1:9" ht="27.6">
      <c r="A5894" s="108" t="s">
        <v>15075</v>
      </c>
      <c r="B5894" s="108" t="s">
        <v>24471</v>
      </c>
      <c r="C5894" s="109">
        <v>45351</v>
      </c>
      <c r="D5894" s="108"/>
      <c r="E5894" s="108" t="s">
        <v>14605</v>
      </c>
      <c r="F5894" s="108" t="s">
        <v>24468</v>
      </c>
      <c r="G5894" s="110"/>
      <c r="H5894" s="108" t="s">
        <v>24396</v>
      </c>
      <c r="I5894" s="108"/>
    </row>
    <row r="5895" spans="1:9" ht="27.6">
      <c r="A5895" s="108" t="s">
        <v>15075</v>
      </c>
      <c r="B5895" s="108" t="s">
        <v>24472</v>
      </c>
      <c r="C5895" s="109">
        <v>45484</v>
      </c>
      <c r="D5895" s="108"/>
      <c r="E5895" s="108" t="s">
        <v>14605</v>
      </c>
      <c r="F5895" s="108" t="s">
        <v>15017</v>
      </c>
      <c r="G5895" s="110"/>
      <c r="H5895" s="108" t="s">
        <v>24396</v>
      </c>
      <c r="I5895" s="108"/>
    </row>
    <row r="5896" spans="1:9" ht="27.6">
      <c r="A5896" s="108" t="s">
        <v>15075</v>
      </c>
      <c r="B5896" s="108" t="s">
        <v>24473</v>
      </c>
      <c r="C5896" s="109">
        <v>45499</v>
      </c>
      <c r="D5896" s="108"/>
      <c r="E5896" s="108" t="s">
        <v>14605</v>
      </c>
      <c r="F5896" s="108" t="s">
        <v>24474</v>
      </c>
      <c r="G5896" s="110"/>
      <c r="H5896" s="108" t="s">
        <v>24396</v>
      </c>
      <c r="I5896" s="108"/>
    </row>
    <row r="5897" spans="1:9" ht="27.6">
      <c r="A5897" s="108" t="s">
        <v>15075</v>
      </c>
      <c r="B5897" s="108" t="s">
        <v>24475</v>
      </c>
      <c r="C5897" s="109">
        <v>45595</v>
      </c>
      <c r="D5897" s="108"/>
      <c r="E5897" s="108" t="s">
        <v>14605</v>
      </c>
      <c r="F5897" s="108" t="s">
        <v>14738</v>
      </c>
      <c r="G5897" s="110"/>
      <c r="H5897" s="108" t="s">
        <v>24396</v>
      </c>
      <c r="I5897" s="108"/>
    </row>
    <row r="5898" spans="1:9" ht="27.6">
      <c r="A5898" s="108" t="s">
        <v>15075</v>
      </c>
      <c r="B5898" s="108" t="s">
        <v>24476</v>
      </c>
      <c r="C5898" s="109">
        <v>45587</v>
      </c>
      <c r="D5898" s="108"/>
      <c r="E5898" s="108" t="s">
        <v>14605</v>
      </c>
      <c r="F5898" s="108" t="s">
        <v>24436</v>
      </c>
      <c r="G5898" s="110"/>
      <c r="H5898" s="108" t="s">
        <v>24396</v>
      </c>
      <c r="I5898" s="108"/>
    </row>
    <row r="5899" spans="1:9">
      <c r="A5899" s="108" t="s">
        <v>227</v>
      </c>
      <c r="B5899" s="108" t="s">
        <v>24477</v>
      </c>
      <c r="C5899" s="109">
        <v>43067</v>
      </c>
      <c r="D5899" s="108"/>
      <c r="E5899" s="108" t="s">
        <v>14605</v>
      </c>
      <c r="F5899" s="108" t="s">
        <v>24478</v>
      </c>
      <c r="G5899" s="110"/>
      <c r="H5899" s="108" t="s">
        <v>24396</v>
      </c>
      <c r="I5899" s="108"/>
    </row>
    <row r="5900" spans="1:9">
      <c r="A5900" s="108" t="s">
        <v>16935</v>
      </c>
      <c r="B5900" s="108" t="s">
        <v>24479</v>
      </c>
      <c r="C5900" s="109">
        <v>39708</v>
      </c>
      <c r="D5900" s="108"/>
      <c r="E5900" s="108" t="s">
        <v>14605</v>
      </c>
      <c r="F5900" s="108" t="s">
        <v>24480</v>
      </c>
      <c r="G5900" s="110"/>
      <c r="H5900" s="108" t="s">
        <v>24396</v>
      </c>
      <c r="I5900" s="108"/>
    </row>
    <row r="5901" spans="1:9" ht="27.6">
      <c r="A5901" s="108" t="s">
        <v>14607</v>
      </c>
      <c r="B5901" s="108" t="s">
        <v>24481</v>
      </c>
      <c r="C5901" s="109">
        <v>40312</v>
      </c>
      <c r="D5901" s="108"/>
      <c r="E5901" s="108" t="s">
        <v>14605</v>
      </c>
      <c r="F5901" s="108" t="s">
        <v>24482</v>
      </c>
      <c r="G5901" s="110"/>
      <c r="H5901" s="108" t="s">
        <v>24396</v>
      </c>
      <c r="I5901" s="108"/>
    </row>
    <row r="5902" spans="1:9" ht="27.6">
      <c r="A5902" s="108" t="s">
        <v>14607</v>
      </c>
      <c r="B5902" s="108" t="s">
        <v>24483</v>
      </c>
      <c r="C5902" s="109">
        <v>40163</v>
      </c>
      <c r="D5902" s="108"/>
      <c r="E5902" s="108" t="s">
        <v>14605</v>
      </c>
      <c r="F5902" s="108" t="s">
        <v>14738</v>
      </c>
      <c r="G5902" s="110"/>
      <c r="H5902" s="108" t="s">
        <v>24396</v>
      </c>
      <c r="I5902" s="108"/>
    </row>
    <row r="5903" spans="1:9" ht="27.6">
      <c r="A5903" s="108" t="s">
        <v>14607</v>
      </c>
      <c r="B5903" s="108" t="s">
        <v>24484</v>
      </c>
      <c r="C5903" s="109">
        <v>37862</v>
      </c>
      <c r="D5903" s="108"/>
      <c r="E5903" s="108" t="s">
        <v>14605</v>
      </c>
      <c r="F5903" s="108" t="s">
        <v>24485</v>
      </c>
      <c r="G5903" s="110"/>
      <c r="H5903" s="108" t="s">
        <v>24396</v>
      </c>
      <c r="I5903" s="108"/>
    </row>
    <row r="5904" spans="1:9">
      <c r="A5904" s="108" t="s">
        <v>16935</v>
      </c>
      <c r="B5904" s="108" t="s">
        <v>24486</v>
      </c>
      <c r="C5904" s="109">
        <v>40157</v>
      </c>
      <c r="D5904" s="108"/>
      <c r="E5904" s="108" t="s">
        <v>14605</v>
      </c>
      <c r="F5904" s="108" t="s">
        <v>14846</v>
      </c>
      <c r="G5904" s="110"/>
      <c r="H5904" s="108" t="s">
        <v>24396</v>
      </c>
      <c r="I5904" s="108"/>
    </row>
    <row r="5905" spans="1:9" ht="27.6">
      <c r="A5905" s="108" t="s">
        <v>18397</v>
      </c>
      <c r="B5905" s="108" t="s">
        <v>24487</v>
      </c>
      <c r="C5905" s="109">
        <v>39604</v>
      </c>
      <c r="D5905" s="108"/>
      <c r="E5905" s="108" t="s">
        <v>14605</v>
      </c>
      <c r="F5905" s="108" t="s">
        <v>24488</v>
      </c>
      <c r="G5905" s="110"/>
      <c r="H5905" s="108" t="s">
        <v>24396</v>
      </c>
      <c r="I5905" s="108"/>
    </row>
    <row r="5906" spans="1:9" ht="27.6">
      <c r="A5906" s="108" t="s">
        <v>16932</v>
      </c>
      <c r="B5906" s="108" t="s">
        <v>24489</v>
      </c>
      <c r="C5906" s="109">
        <v>40184</v>
      </c>
      <c r="D5906" s="108"/>
      <c r="E5906" s="108" t="s">
        <v>14605</v>
      </c>
      <c r="F5906" s="108" t="s">
        <v>24490</v>
      </c>
      <c r="G5906" s="110"/>
      <c r="H5906" s="108" t="s">
        <v>24396</v>
      </c>
      <c r="I5906" s="108"/>
    </row>
    <row r="5907" spans="1:9">
      <c r="A5907" s="108" t="s">
        <v>16935</v>
      </c>
      <c r="B5907" s="108" t="s">
        <v>24491</v>
      </c>
      <c r="C5907" s="109">
        <v>39581</v>
      </c>
      <c r="D5907" s="108"/>
      <c r="E5907" s="108" t="s">
        <v>14605</v>
      </c>
      <c r="F5907" s="108" t="s">
        <v>24485</v>
      </c>
      <c r="G5907" s="110"/>
      <c r="H5907" s="108" t="s">
        <v>24396</v>
      </c>
      <c r="I5907" s="108"/>
    </row>
    <row r="5908" spans="1:9" ht="27.6">
      <c r="A5908" s="108" t="s">
        <v>16932</v>
      </c>
      <c r="B5908" s="108" t="s">
        <v>24492</v>
      </c>
      <c r="C5908" s="109">
        <v>40289</v>
      </c>
      <c r="D5908" s="108"/>
      <c r="E5908" s="108" t="s">
        <v>14605</v>
      </c>
      <c r="F5908" s="108" t="s">
        <v>24493</v>
      </c>
      <c r="G5908" s="110"/>
      <c r="H5908" s="108" t="s">
        <v>24396</v>
      </c>
      <c r="I5908" s="108"/>
    </row>
    <row r="5909" spans="1:9">
      <c r="A5909" s="108" t="s">
        <v>237</v>
      </c>
      <c r="B5909" s="108" t="s">
        <v>24494</v>
      </c>
      <c r="C5909" s="109">
        <v>40395</v>
      </c>
      <c r="D5909" s="108"/>
      <c r="E5909" s="108" t="s">
        <v>14605</v>
      </c>
      <c r="F5909" s="108" t="s">
        <v>24495</v>
      </c>
      <c r="G5909" s="110"/>
      <c r="H5909" s="108" t="s">
        <v>24396</v>
      </c>
      <c r="I5909" s="108"/>
    </row>
    <row r="5910" spans="1:9" ht="27.6">
      <c r="A5910" s="108" t="s">
        <v>14690</v>
      </c>
      <c r="B5910" s="108" t="s">
        <v>24496</v>
      </c>
      <c r="C5910" s="109">
        <v>40260</v>
      </c>
      <c r="D5910" s="108"/>
      <c r="E5910" s="108" t="s">
        <v>14605</v>
      </c>
      <c r="F5910" s="108" t="s">
        <v>24497</v>
      </c>
      <c r="G5910" s="110"/>
      <c r="H5910" s="108" t="s">
        <v>24396</v>
      </c>
      <c r="I5910" s="108"/>
    </row>
    <row r="5911" spans="1:9" ht="27.6">
      <c r="A5911" s="108" t="s">
        <v>14690</v>
      </c>
      <c r="B5911" s="108" t="s">
        <v>24498</v>
      </c>
      <c r="C5911" s="109">
        <v>40261</v>
      </c>
      <c r="D5911" s="108"/>
      <c r="E5911" s="108" t="s">
        <v>14605</v>
      </c>
      <c r="F5911" s="108" t="s">
        <v>24499</v>
      </c>
      <c r="G5911" s="110"/>
      <c r="H5911" s="108" t="s">
        <v>24396</v>
      </c>
      <c r="I5911" s="108"/>
    </row>
    <row r="5912" spans="1:9">
      <c r="A5912" s="108" t="s">
        <v>2002</v>
      </c>
      <c r="B5912" s="108" t="s">
        <v>24500</v>
      </c>
      <c r="C5912" s="109">
        <v>40896</v>
      </c>
      <c r="D5912" s="108"/>
      <c r="E5912" s="108" t="s">
        <v>14605</v>
      </c>
      <c r="F5912" s="108" t="s">
        <v>14728</v>
      </c>
      <c r="G5912" s="110"/>
      <c r="H5912" s="108" t="s">
        <v>24396</v>
      </c>
      <c r="I5912" s="108"/>
    </row>
    <row r="5913" spans="1:9">
      <c r="A5913" s="108" t="s">
        <v>2002</v>
      </c>
      <c r="B5913" s="108" t="s">
        <v>24501</v>
      </c>
      <c r="C5913" s="109">
        <v>40896</v>
      </c>
      <c r="D5913" s="108"/>
      <c r="E5913" s="108" t="s">
        <v>14605</v>
      </c>
      <c r="F5913" s="108" t="s">
        <v>14728</v>
      </c>
      <c r="G5913" s="110"/>
      <c r="H5913" s="108" t="s">
        <v>24396</v>
      </c>
      <c r="I5913" s="108"/>
    </row>
    <row r="5914" spans="1:9" ht="27.6">
      <c r="A5914" s="108" t="s">
        <v>14690</v>
      </c>
      <c r="B5914" s="108" t="s">
        <v>24502</v>
      </c>
      <c r="C5914" s="109">
        <v>41200</v>
      </c>
      <c r="D5914" s="108"/>
      <c r="E5914" s="108" t="s">
        <v>14605</v>
      </c>
      <c r="F5914" s="108" t="s">
        <v>24503</v>
      </c>
      <c r="G5914" s="110"/>
      <c r="H5914" s="108" t="s">
        <v>24396</v>
      </c>
      <c r="I5914" s="108"/>
    </row>
    <row r="5915" spans="1:9">
      <c r="A5915" s="108" t="s">
        <v>237</v>
      </c>
      <c r="B5915" s="108" t="s">
        <v>24504</v>
      </c>
      <c r="C5915" s="109">
        <v>40881</v>
      </c>
      <c r="D5915" s="108"/>
      <c r="E5915" s="108" t="s">
        <v>14605</v>
      </c>
      <c r="F5915" s="108" t="s">
        <v>14728</v>
      </c>
      <c r="G5915" s="110"/>
      <c r="H5915" s="108" t="s">
        <v>24396</v>
      </c>
      <c r="I5915" s="108"/>
    </row>
    <row r="5916" spans="1:9">
      <c r="A5916" s="108" t="s">
        <v>237</v>
      </c>
      <c r="B5916" s="108" t="s">
        <v>24505</v>
      </c>
      <c r="C5916" s="109">
        <v>41078</v>
      </c>
      <c r="D5916" s="108"/>
      <c r="E5916" s="108" t="s">
        <v>14605</v>
      </c>
      <c r="F5916" s="108" t="s">
        <v>14846</v>
      </c>
      <c r="G5916" s="110"/>
      <c r="H5916" s="108" t="s">
        <v>24396</v>
      </c>
      <c r="I5916" s="108"/>
    </row>
    <row r="5917" spans="1:9" ht="27.6">
      <c r="A5917" s="108" t="s">
        <v>15701</v>
      </c>
      <c r="B5917" s="108" t="s">
        <v>24506</v>
      </c>
      <c r="C5917" s="109">
        <v>39525</v>
      </c>
      <c r="D5917" s="108"/>
      <c r="E5917" s="108" t="s">
        <v>14605</v>
      </c>
      <c r="F5917" s="108" t="s">
        <v>24480</v>
      </c>
      <c r="G5917" s="110"/>
      <c r="H5917" s="108" t="s">
        <v>24396</v>
      </c>
      <c r="I5917" s="108"/>
    </row>
    <row r="5918" spans="1:9" ht="27.6">
      <c r="A5918" s="108" t="s">
        <v>15701</v>
      </c>
      <c r="B5918" s="108" t="s">
        <v>24507</v>
      </c>
      <c r="C5918" s="109">
        <v>39224</v>
      </c>
      <c r="D5918" s="108"/>
      <c r="E5918" s="108" t="s">
        <v>14605</v>
      </c>
      <c r="F5918" s="108" t="s">
        <v>24508</v>
      </c>
      <c r="G5918" s="110"/>
      <c r="H5918" s="108" t="s">
        <v>24396</v>
      </c>
      <c r="I5918" s="108"/>
    </row>
    <row r="5919" spans="1:9" ht="27.6">
      <c r="A5919" s="108" t="s">
        <v>16935</v>
      </c>
      <c r="B5919" s="108" t="s">
        <v>24509</v>
      </c>
      <c r="C5919" s="109">
        <v>39499</v>
      </c>
      <c r="D5919" s="108"/>
      <c r="E5919" s="108" t="s">
        <v>14605</v>
      </c>
      <c r="F5919" s="108" t="s">
        <v>14738</v>
      </c>
      <c r="G5919" s="110"/>
      <c r="H5919" s="108" t="s">
        <v>24396</v>
      </c>
      <c r="I5919" s="108"/>
    </row>
    <row r="5920" spans="1:9" ht="27.6">
      <c r="A5920" s="108" t="s">
        <v>15759</v>
      </c>
      <c r="B5920" s="108" t="s">
        <v>24510</v>
      </c>
      <c r="C5920" s="109">
        <v>45086</v>
      </c>
      <c r="D5920" s="108"/>
      <c r="E5920" s="108" t="s">
        <v>14605</v>
      </c>
      <c r="F5920" s="108" t="s">
        <v>24511</v>
      </c>
      <c r="G5920" s="110"/>
      <c r="H5920" s="108" t="s">
        <v>24396</v>
      </c>
      <c r="I5920" s="108"/>
    </row>
    <row r="5921" spans="1:9" ht="27.6">
      <c r="A5921" s="108" t="s">
        <v>15759</v>
      </c>
      <c r="B5921" s="108" t="s">
        <v>24512</v>
      </c>
      <c r="C5921" s="109">
        <v>45084</v>
      </c>
      <c r="D5921" s="108"/>
      <c r="E5921" s="108" t="s">
        <v>14605</v>
      </c>
      <c r="F5921" s="108" t="s">
        <v>24511</v>
      </c>
      <c r="G5921" s="110"/>
      <c r="H5921" s="108" t="s">
        <v>24396</v>
      </c>
      <c r="I5921" s="108"/>
    </row>
    <row r="5922" spans="1:9" ht="27.6">
      <c r="A5922" s="108" t="s">
        <v>15759</v>
      </c>
      <c r="B5922" s="108" t="s">
        <v>24513</v>
      </c>
      <c r="C5922" s="109">
        <v>45301</v>
      </c>
      <c r="D5922" s="108"/>
      <c r="E5922" s="108" t="s">
        <v>14605</v>
      </c>
      <c r="F5922" s="108" t="s">
        <v>15082</v>
      </c>
      <c r="G5922" s="110"/>
      <c r="H5922" s="108" t="s">
        <v>24396</v>
      </c>
      <c r="I5922" s="108"/>
    </row>
    <row r="5923" spans="1:9" ht="27.6">
      <c r="A5923" s="108" t="s">
        <v>479</v>
      </c>
      <c r="B5923" s="108" t="s">
        <v>24514</v>
      </c>
      <c r="C5923" s="109">
        <v>40420</v>
      </c>
      <c r="D5923" s="108"/>
      <c r="E5923" s="108" t="s">
        <v>14605</v>
      </c>
      <c r="F5923" s="108" t="s">
        <v>24515</v>
      </c>
      <c r="G5923" s="110"/>
      <c r="H5923" s="108" t="s">
        <v>24396</v>
      </c>
      <c r="I5923" s="108"/>
    </row>
    <row r="5924" spans="1:9" ht="27.6">
      <c r="A5924" s="108" t="s">
        <v>207</v>
      </c>
      <c r="B5924" s="108" t="s">
        <v>24516</v>
      </c>
      <c r="C5924" s="109">
        <v>41016</v>
      </c>
      <c r="D5924" s="108"/>
      <c r="E5924" s="108" t="s">
        <v>14605</v>
      </c>
      <c r="F5924" s="108" t="s">
        <v>24517</v>
      </c>
      <c r="G5924" s="110"/>
      <c r="H5924" s="108" t="s">
        <v>24396</v>
      </c>
      <c r="I5924" s="108"/>
    </row>
    <row r="5925" spans="1:9" ht="27.6">
      <c r="A5925" s="108" t="s">
        <v>207</v>
      </c>
      <c r="B5925" s="108" t="s">
        <v>24518</v>
      </c>
      <c r="C5925" s="109">
        <v>41355</v>
      </c>
      <c r="D5925" s="108"/>
      <c r="E5925" s="108" t="s">
        <v>14605</v>
      </c>
      <c r="F5925" s="108" t="s">
        <v>24416</v>
      </c>
      <c r="G5925" s="110"/>
      <c r="H5925" s="108" t="s">
        <v>24396</v>
      </c>
      <c r="I5925" s="108"/>
    </row>
    <row r="5926" spans="1:9" ht="27.6">
      <c r="A5926" s="108" t="s">
        <v>207</v>
      </c>
      <c r="B5926" s="108" t="s">
        <v>24519</v>
      </c>
      <c r="C5926" s="109">
        <v>42877</v>
      </c>
      <c r="D5926" s="108"/>
      <c r="E5926" s="108" t="s">
        <v>14605</v>
      </c>
      <c r="F5926" s="108" t="s">
        <v>24411</v>
      </c>
      <c r="G5926" s="110"/>
      <c r="H5926" s="108" t="s">
        <v>24396</v>
      </c>
      <c r="I5926" s="108"/>
    </row>
    <row r="5927" spans="1:9">
      <c r="A5927" s="108" t="s">
        <v>169</v>
      </c>
      <c r="B5927" s="108" t="s">
        <v>24520</v>
      </c>
      <c r="C5927" s="109">
        <v>42167</v>
      </c>
      <c r="D5927" s="108"/>
      <c r="E5927" s="108" t="s">
        <v>14605</v>
      </c>
      <c r="F5927" s="108" t="s">
        <v>15220</v>
      </c>
      <c r="G5927" s="110"/>
      <c r="H5927" s="108" t="s">
        <v>24396</v>
      </c>
      <c r="I5927" s="108"/>
    </row>
    <row r="5928" spans="1:9">
      <c r="A5928" s="108" t="s">
        <v>16151</v>
      </c>
      <c r="B5928" s="108" t="s">
        <v>24521</v>
      </c>
      <c r="C5928" s="109">
        <v>44160</v>
      </c>
      <c r="D5928" s="108" t="s">
        <v>24522</v>
      </c>
      <c r="E5928" s="108" t="s">
        <v>14605</v>
      </c>
      <c r="F5928" s="108" t="s">
        <v>24439</v>
      </c>
      <c r="G5928" s="109">
        <v>45561</v>
      </c>
      <c r="H5928" s="108" t="s">
        <v>24396</v>
      </c>
      <c r="I5928" s="108" t="s">
        <v>102</v>
      </c>
    </row>
    <row r="5929" spans="1:9">
      <c r="A5929" s="108" t="s">
        <v>16151</v>
      </c>
      <c r="B5929" s="108" t="s">
        <v>24523</v>
      </c>
      <c r="C5929" s="109">
        <v>44746</v>
      </c>
      <c r="D5929" s="108" t="s">
        <v>24524</v>
      </c>
      <c r="E5929" s="108" t="s">
        <v>14605</v>
      </c>
      <c r="F5929" s="108" t="s">
        <v>24444</v>
      </c>
      <c r="G5929" s="109">
        <v>46038</v>
      </c>
      <c r="H5929" s="108" t="s">
        <v>24396</v>
      </c>
      <c r="I5929" s="108" t="s">
        <v>102</v>
      </c>
    </row>
    <row r="5930" spans="1:9" ht="27.6">
      <c r="A5930" s="108" t="s">
        <v>16151</v>
      </c>
      <c r="B5930" s="108" t="s">
        <v>24525</v>
      </c>
      <c r="C5930" s="109">
        <v>44783</v>
      </c>
      <c r="D5930" s="108" t="s">
        <v>24526</v>
      </c>
      <c r="E5930" s="108" t="s">
        <v>14605</v>
      </c>
      <c r="F5930" s="108" t="s">
        <v>24449</v>
      </c>
      <c r="G5930" s="109">
        <v>45894</v>
      </c>
      <c r="H5930" s="108" t="s">
        <v>24396</v>
      </c>
      <c r="I5930" s="108" t="s">
        <v>102</v>
      </c>
    </row>
    <row r="5931" spans="1:9">
      <c r="A5931" s="108" t="s">
        <v>16986</v>
      </c>
      <c r="B5931" s="108" t="s">
        <v>24527</v>
      </c>
      <c r="C5931" s="109">
        <v>44432</v>
      </c>
      <c r="D5931" s="108" t="s">
        <v>24528</v>
      </c>
      <c r="E5931" s="108" t="s">
        <v>14605</v>
      </c>
      <c r="F5931" s="108" t="s">
        <v>15761</v>
      </c>
      <c r="G5931" s="109">
        <v>46615</v>
      </c>
      <c r="H5931" s="108" t="s">
        <v>24396</v>
      </c>
      <c r="I5931" s="108" t="s">
        <v>95</v>
      </c>
    </row>
    <row r="5932" spans="1:9">
      <c r="A5932" s="108" t="s">
        <v>16986</v>
      </c>
      <c r="B5932" s="108" t="s">
        <v>24529</v>
      </c>
      <c r="C5932" s="109">
        <v>45086</v>
      </c>
      <c r="D5932" s="108" t="s">
        <v>24530</v>
      </c>
      <c r="E5932" s="108" t="s">
        <v>14605</v>
      </c>
      <c r="F5932" s="108" t="s">
        <v>24511</v>
      </c>
      <c r="G5932" s="109">
        <v>45822</v>
      </c>
      <c r="H5932" s="108" t="s">
        <v>24396</v>
      </c>
      <c r="I5932" s="108" t="s">
        <v>95</v>
      </c>
    </row>
    <row r="5933" spans="1:9">
      <c r="A5933" s="108" t="s">
        <v>16986</v>
      </c>
      <c r="B5933" s="108" t="s">
        <v>24531</v>
      </c>
      <c r="C5933" s="109">
        <v>45195</v>
      </c>
      <c r="D5933" s="108" t="s">
        <v>24532</v>
      </c>
      <c r="E5933" s="108" t="s">
        <v>14605</v>
      </c>
      <c r="F5933" s="108" t="s">
        <v>24511</v>
      </c>
      <c r="G5933" s="109">
        <v>45777</v>
      </c>
      <c r="H5933" s="108" t="s">
        <v>24396</v>
      </c>
      <c r="I5933" s="108" t="s">
        <v>95</v>
      </c>
    </row>
    <row r="5934" spans="1:9" ht="27.6">
      <c r="A5934" s="108" t="s">
        <v>16986</v>
      </c>
      <c r="B5934" s="108" t="s">
        <v>24533</v>
      </c>
      <c r="C5934" s="109">
        <v>45301</v>
      </c>
      <c r="D5934" s="108" t="s">
        <v>24534</v>
      </c>
      <c r="E5934" s="108" t="s">
        <v>14605</v>
      </c>
      <c r="F5934" s="108" t="s">
        <v>15082</v>
      </c>
      <c r="G5934" s="109">
        <v>46040</v>
      </c>
      <c r="H5934" s="108" t="s">
        <v>24396</v>
      </c>
      <c r="I5934" s="108" t="s">
        <v>95</v>
      </c>
    </row>
    <row r="5935" spans="1:9" ht="27.6">
      <c r="A5935" s="108" t="s">
        <v>15990</v>
      </c>
      <c r="B5935" s="108" t="s">
        <v>24535</v>
      </c>
      <c r="C5935" s="109">
        <v>45194</v>
      </c>
      <c r="D5935" s="108" t="s">
        <v>24536</v>
      </c>
      <c r="E5935" s="108" t="s">
        <v>14605</v>
      </c>
      <c r="F5935" s="108" t="s">
        <v>14738</v>
      </c>
      <c r="G5935" s="109">
        <v>46033</v>
      </c>
      <c r="H5935" s="108" t="s">
        <v>24396</v>
      </c>
      <c r="I5935" s="108" t="s">
        <v>95</v>
      </c>
    </row>
    <row r="5936" spans="1:9">
      <c r="A5936" s="108" t="s">
        <v>503</v>
      </c>
      <c r="B5936" s="108" t="s">
        <v>24537</v>
      </c>
      <c r="C5936" s="109">
        <v>45392</v>
      </c>
      <c r="D5936" s="108" t="s">
        <v>24538</v>
      </c>
      <c r="E5936" s="108" t="s">
        <v>14605</v>
      </c>
      <c r="F5936" s="108" t="s">
        <v>24428</v>
      </c>
      <c r="G5936" s="109">
        <v>46852</v>
      </c>
      <c r="H5936" s="108" t="s">
        <v>24396</v>
      </c>
      <c r="I5936" s="108" t="s">
        <v>95</v>
      </c>
    </row>
    <row r="5937" spans="1:9" ht="27.6">
      <c r="A5937" s="108" t="s">
        <v>16151</v>
      </c>
      <c r="B5937" s="108" t="s">
        <v>24539</v>
      </c>
      <c r="C5937" s="109">
        <v>43803</v>
      </c>
      <c r="D5937" s="108" t="s">
        <v>24540</v>
      </c>
      <c r="E5937" s="108" t="s">
        <v>14605</v>
      </c>
      <c r="F5937" s="108" t="s">
        <v>24436</v>
      </c>
      <c r="G5937" s="109">
        <v>46359</v>
      </c>
      <c r="H5937" s="108" t="s">
        <v>24396</v>
      </c>
      <c r="I5937" s="108" t="s">
        <v>95</v>
      </c>
    </row>
    <row r="5938" spans="1:9" ht="27.6">
      <c r="A5938" s="108" t="s">
        <v>16151</v>
      </c>
      <c r="B5938" s="108" t="s">
        <v>24541</v>
      </c>
      <c r="C5938" s="109">
        <v>43811</v>
      </c>
      <c r="D5938" s="108" t="s">
        <v>24542</v>
      </c>
      <c r="E5938" s="108" t="s">
        <v>14605</v>
      </c>
      <c r="F5938" s="108" t="s">
        <v>16169</v>
      </c>
      <c r="G5938" s="109">
        <v>45954</v>
      </c>
      <c r="H5938" s="108" t="s">
        <v>24396</v>
      </c>
      <c r="I5938" s="108" t="s">
        <v>95</v>
      </c>
    </row>
    <row r="5939" spans="1:9">
      <c r="A5939" s="108" t="s">
        <v>16151</v>
      </c>
      <c r="B5939" s="108" t="s">
        <v>24543</v>
      </c>
      <c r="C5939" s="109">
        <v>44027</v>
      </c>
      <c r="D5939" s="108" t="s">
        <v>24544</v>
      </c>
      <c r="E5939" s="108" t="s">
        <v>14605</v>
      </c>
      <c r="F5939" s="108" t="s">
        <v>24468</v>
      </c>
      <c r="G5939" s="109">
        <v>46053</v>
      </c>
      <c r="H5939" s="108" t="s">
        <v>24396</v>
      </c>
      <c r="I5939" s="108" t="s">
        <v>95</v>
      </c>
    </row>
    <row r="5940" spans="1:9">
      <c r="A5940" s="108" t="s">
        <v>16151</v>
      </c>
      <c r="B5940" s="108" t="s">
        <v>24545</v>
      </c>
      <c r="C5940" s="109">
        <v>44041</v>
      </c>
      <c r="D5940" s="108" t="s">
        <v>24546</v>
      </c>
      <c r="E5940" s="108" t="s">
        <v>14605</v>
      </c>
      <c r="F5940" s="108" t="s">
        <v>24547</v>
      </c>
      <c r="G5940" s="109">
        <v>46109</v>
      </c>
      <c r="H5940" s="108" t="s">
        <v>24396</v>
      </c>
      <c r="I5940" s="108" t="s">
        <v>95</v>
      </c>
    </row>
    <row r="5941" spans="1:9">
      <c r="A5941" s="108" t="s">
        <v>16151</v>
      </c>
      <c r="B5941" s="108" t="s">
        <v>24548</v>
      </c>
      <c r="C5941" s="109">
        <v>44551</v>
      </c>
      <c r="D5941" s="108" t="s">
        <v>24549</v>
      </c>
      <c r="E5941" s="108" t="s">
        <v>14605</v>
      </c>
      <c r="F5941" s="108" t="s">
        <v>24434</v>
      </c>
      <c r="G5941" s="109">
        <v>45225</v>
      </c>
      <c r="H5941" s="108" t="s">
        <v>24396</v>
      </c>
      <c r="I5941" s="108" t="s">
        <v>95</v>
      </c>
    </row>
    <row r="5942" spans="1:9">
      <c r="A5942" s="108" t="s">
        <v>16151</v>
      </c>
      <c r="B5942" s="108" t="s">
        <v>24550</v>
      </c>
      <c r="C5942" s="109">
        <v>44510</v>
      </c>
      <c r="D5942" s="108" t="s">
        <v>24551</v>
      </c>
      <c r="E5942" s="108" t="s">
        <v>14605</v>
      </c>
      <c r="F5942" s="108" t="s">
        <v>24434</v>
      </c>
      <c r="G5942" s="109">
        <v>45225</v>
      </c>
      <c r="H5942" s="108" t="s">
        <v>24396</v>
      </c>
      <c r="I5942" s="108" t="s">
        <v>95</v>
      </c>
    </row>
    <row r="5943" spans="1:9">
      <c r="A5943" s="108" t="s">
        <v>16151</v>
      </c>
      <c r="B5943" s="108" t="s">
        <v>24552</v>
      </c>
      <c r="C5943" s="109">
        <v>44592</v>
      </c>
      <c r="D5943" s="108" t="s">
        <v>24553</v>
      </c>
      <c r="E5943" s="108" t="s">
        <v>14605</v>
      </c>
      <c r="F5943" s="108" t="s">
        <v>24439</v>
      </c>
      <c r="G5943" s="109">
        <v>45304</v>
      </c>
      <c r="H5943" s="108" t="s">
        <v>24396</v>
      </c>
      <c r="I5943" s="108" t="s">
        <v>95</v>
      </c>
    </row>
    <row r="5944" spans="1:9" ht="27.6">
      <c r="A5944" s="108" t="s">
        <v>16151</v>
      </c>
      <c r="B5944" s="108" t="s">
        <v>24554</v>
      </c>
      <c r="C5944" s="109">
        <v>44565</v>
      </c>
      <c r="D5944" s="108" t="s">
        <v>24555</v>
      </c>
      <c r="E5944" s="108" t="s">
        <v>14605</v>
      </c>
      <c r="F5944" s="108" t="s">
        <v>16169</v>
      </c>
      <c r="G5944" s="109">
        <v>45304</v>
      </c>
      <c r="H5944" s="108" t="s">
        <v>24396</v>
      </c>
      <c r="I5944" s="108" t="s">
        <v>95</v>
      </c>
    </row>
    <row r="5945" spans="1:9">
      <c r="A5945" s="108" t="s">
        <v>16151</v>
      </c>
      <c r="B5945" s="108" t="s">
        <v>24556</v>
      </c>
      <c r="C5945" s="109">
        <v>44580</v>
      </c>
      <c r="D5945" s="108" t="s">
        <v>24557</v>
      </c>
      <c r="E5945" s="108" t="s">
        <v>14605</v>
      </c>
      <c r="F5945" s="108" t="s">
        <v>16382</v>
      </c>
      <c r="G5945" s="109">
        <v>46043</v>
      </c>
      <c r="H5945" s="108" t="s">
        <v>24396</v>
      </c>
      <c r="I5945" s="108" t="s">
        <v>95</v>
      </c>
    </row>
    <row r="5946" spans="1:9" ht="27.6">
      <c r="A5946" s="108" t="s">
        <v>16151</v>
      </c>
      <c r="B5946" s="108" t="s">
        <v>24558</v>
      </c>
      <c r="C5946" s="109">
        <v>44649</v>
      </c>
      <c r="D5946" s="108" t="s">
        <v>24559</v>
      </c>
      <c r="E5946" s="108" t="s">
        <v>14605</v>
      </c>
      <c r="F5946" s="108" t="s">
        <v>24447</v>
      </c>
      <c r="G5946" s="109">
        <v>45921</v>
      </c>
      <c r="H5946" s="108" t="s">
        <v>24396</v>
      </c>
      <c r="I5946" s="108" t="s">
        <v>95</v>
      </c>
    </row>
    <row r="5947" spans="1:9">
      <c r="A5947" s="108" t="s">
        <v>16151</v>
      </c>
      <c r="B5947" s="108" t="s">
        <v>24560</v>
      </c>
      <c r="C5947" s="109">
        <v>44712</v>
      </c>
      <c r="D5947" s="108" t="s">
        <v>24561</v>
      </c>
      <c r="E5947" s="108" t="s">
        <v>14605</v>
      </c>
      <c r="F5947" s="108" t="s">
        <v>24434</v>
      </c>
      <c r="G5947" s="109">
        <v>46184</v>
      </c>
      <c r="H5947" s="108" t="s">
        <v>24396</v>
      </c>
      <c r="I5947" s="108" t="s">
        <v>95</v>
      </c>
    </row>
    <row r="5948" spans="1:9">
      <c r="A5948" s="108" t="s">
        <v>16151</v>
      </c>
      <c r="B5948" s="108" t="s">
        <v>24562</v>
      </c>
      <c r="C5948" s="109">
        <v>44950</v>
      </c>
      <c r="D5948" s="108" t="s">
        <v>24563</v>
      </c>
      <c r="E5948" s="108" t="s">
        <v>14605</v>
      </c>
      <c r="F5948" s="108" t="s">
        <v>24439</v>
      </c>
      <c r="G5948" s="109">
        <v>45670</v>
      </c>
      <c r="H5948" s="108" t="s">
        <v>24396</v>
      </c>
      <c r="I5948" s="108" t="s">
        <v>95</v>
      </c>
    </row>
    <row r="5949" spans="1:9">
      <c r="A5949" s="108" t="s">
        <v>16151</v>
      </c>
      <c r="B5949" s="108" t="s">
        <v>24564</v>
      </c>
      <c r="C5949" s="109">
        <v>44830</v>
      </c>
      <c r="D5949" s="108" t="s">
        <v>24565</v>
      </c>
      <c r="E5949" s="108" t="s">
        <v>14605</v>
      </c>
      <c r="F5949" s="108" t="s">
        <v>15246</v>
      </c>
      <c r="G5949" s="109">
        <v>45961</v>
      </c>
      <c r="H5949" s="108" t="s">
        <v>24396</v>
      </c>
      <c r="I5949" s="108" t="s">
        <v>95</v>
      </c>
    </row>
    <row r="5950" spans="1:9">
      <c r="A5950" s="108" t="s">
        <v>16151</v>
      </c>
      <c r="B5950" s="108" t="s">
        <v>24566</v>
      </c>
      <c r="C5950" s="109">
        <v>44916</v>
      </c>
      <c r="D5950" s="108" t="s">
        <v>24567</v>
      </c>
      <c r="E5950" s="108" t="s">
        <v>14605</v>
      </c>
      <c r="F5950" s="108" t="s">
        <v>24439</v>
      </c>
      <c r="G5950" s="109">
        <v>45670</v>
      </c>
      <c r="H5950" s="108" t="s">
        <v>24396</v>
      </c>
      <c r="I5950" s="108" t="s">
        <v>95</v>
      </c>
    </row>
    <row r="5951" spans="1:9">
      <c r="A5951" s="108" t="s">
        <v>16151</v>
      </c>
      <c r="B5951" s="108" t="s">
        <v>24568</v>
      </c>
      <c r="C5951" s="109">
        <v>44979</v>
      </c>
      <c r="D5951" s="108" t="s">
        <v>24569</v>
      </c>
      <c r="E5951" s="108" t="s">
        <v>14605</v>
      </c>
      <c r="F5951" s="108" t="s">
        <v>24434</v>
      </c>
      <c r="G5951" s="109">
        <v>45728</v>
      </c>
      <c r="H5951" s="108" t="s">
        <v>24396</v>
      </c>
      <c r="I5951" s="108" t="s">
        <v>95</v>
      </c>
    </row>
    <row r="5952" spans="1:9" ht="27.6">
      <c r="A5952" s="108" t="s">
        <v>16151</v>
      </c>
      <c r="B5952" s="108" t="s">
        <v>24570</v>
      </c>
      <c r="C5952" s="109">
        <v>45244</v>
      </c>
      <c r="D5952" s="108" t="s">
        <v>24571</v>
      </c>
      <c r="E5952" s="108" t="s">
        <v>14605</v>
      </c>
      <c r="F5952" s="108" t="s">
        <v>24436</v>
      </c>
      <c r="G5952" s="109">
        <v>46345</v>
      </c>
      <c r="H5952" s="108" t="s">
        <v>24396</v>
      </c>
      <c r="I5952" s="108" t="s">
        <v>95</v>
      </c>
    </row>
    <row r="5953" spans="1:9">
      <c r="A5953" s="108" t="s">
        <v>16151</v>
      </c>
      <c r="B5953" s="108" t="s">
        <v>24572</v>
      </c>
      <c r="C5953" s="109">
        <v>45315</v>
      </c>
      <c r="D5953" s="108" t="s">
        <v>24573</v>
      </c>
      <c r="E5953" s="108" t="s">
        <v>14605</v>
      </c>
      <c r="F5953" s="108" t="s">
        <v>24470</v>
      </c>
      <c r="G5953" s="109">
        <v>46408</v>
      </c>
      <c r="H5953" s="108" t="s">
        <v>24396</v>
      </c>
      <c r="I5953" s="108" t="s">
        <v>95</v>
      </c>
    </row>
    <row r="5954" spans="1:9">
      <c r="A5954" s="108" t="s">
        <v>16151</v>
      </c>
      <c r="B5954" s="108" t="s">
        <v>24574</v>
      </c>
      <c r="C5954" s="109">
        <v>45362</v>
      </c>
      <c r="D5954" s="108" t="s">
        <v>24575</v>
      </c>
      <c r="E5954" s="108" t="s">
        <v>14605</v>
      </c>
      <c r="F5954" s="108" t="s">
        <v>24468</v>
      </c>
      <c r="G5954" s="109">
        <v>46752</v>
      </c>
      <c r="H5954" s="108" t="s">
        <v>24396</v>
      </c>
      <c r="I5954" s="108" t="s">
        <v>95</v>
      </c>
    </row>
    <row r="5955" spans="1:9">
      <c r="A5955" s="108" t="s">
        <v>16151</v>
      </c>
      <c r="B5955" s="108" t="s">
        <v>24576</v>
      </c>
      <c r="C5955" s="109">
        <v>45484</v>
      </c>
      <c r="D5955" s="108" t="s">
        <v>24577</v>
      </c>
      <c r="E5955" s="108" t="s">
        <v>14605</v>
      </c>
      <c r="F5955" s="108" t="s">
        <v>15017</v>
      </c>
      <c r="G5955" s="109">
        <v>46221</v>
      </c>
      <c r="H5955" s="108" t="s">
        <v>24396</v>
      </c>
      <c r="I5955" s="108" t="s">
        <v>95</v>
      </c>
    </row>
    <row r="5956" spans="1:9">
      <c r="A5956" s="108" t="s">
        <v>16151</v>
      </c>
      <c r="B5956" s="108" t="s">
        <v>24578</v>
      </c>
      <c r="C5956" s="109">
        <v>43719</v>
      </c>
      <c r="D5956" s="108" t="s">
        <v>24579</v>
      </c>
      <c r="E5956" s="108" t="s">
        <v>14605</v>
      </c>
      <c r="F5956" s="108" t="s">
        <v>14846</v>
      </c>
      <c r="G5956" s="109">
        <v>45900</v>
      </c>
      <c r="H5956" s="108" t="s">
        <v>24396</v>
      </c>
      <c r="I5956" s="108" t="s">
        <v>95</v>
      </c>
    </row>
    <row r="5957" spans="1:9">
      <c r="A5957" s="108" t="s">
        <v>16151</v>
      </c>
      <c r="B5957" s="108" t="s">
        <v>24580</v>
      </c>
      <c r="C5957" s="109">
        <v>43718</v>
      </c>
      <c r="D5957" s="108" t="s">
        <v>24581</v>
      </c>
      <c r="E5957" s="108" t="s">
        <v>14605</v>
      </c>
      <c r="F5957" s="108" t="s">
        <v>14846</v>
      </c>
      <c r="G5957" s="109">
        <v>45900</v>
      </c>
      <c r="H5957" s="108" t="s">
        <v>24396</v>
      </c>
      <c r="I5957" s="108" t="s">
        <v>95</v>
      </c>
    </row>
    <row r="5958" spans="1:9" ht="27.6">
      <c r="A5958" s="108" t="s">
        <v>16149</v>
      </c>
      <c r="B5958" s="108" t="s">
        <v>24582</v>
      </c>
      <c r="C5958" s="109">
        <v>44522</v>
      </c>
      <c r="D5958" s="108" t="s">
        <v>24583</v>
      </c>
      <c r="E5958" s="108" t="s">
        <v>14605</v>
      </c>
      <c r="F5958" s="108" t="s">
        <v>24416</v>
      </c>
      <c r="G5958" s="109">
        <v>45261</v>
      </c>
      <c r="H5958" s="108" t="s">
        <v>24396</v>
      </c>
      <c r="I5958" s="108" t="s">
        <v>95</v>
      </c>
    </row>
    <row r="5959" spans="1:9">
      <c r="A5959" s="108" t="s">
        <v>16151</v>
      </c>
      <c r="B5959" s="108" t="s">
        <v>24584</v>
      </c>
      <c r="C5959" s="109">
        <v>43890</v>
      </c>
      <c r="D5959" s="108" t="s">
        <v>24585</v>
      </c>
      <c r="E5959" s="108" t="s">
        <v>14605</v>
      </c>
      <c r="F5959" s="108" t="s">
        <v>16382</v>
      </c>
      <c r="G5959" s="109">
        <v>46081</v>
      </c>
      <c r="H5959" s="108" t="s">
        <v>24396</v>
      </c>
      <c r="I5959" s="108" t="s">
        <v>95</v>
      </c>
    </row>
    <row r="5960" spans="1:9">
      <c r="A5960" s="108" t="s">
        <v>16151</v>
      </c>
      <c r="B5960" s="108" t="s">
        <v>24586</v>
      </c>
      <c r="C5960" s="109">
        <v>43487</v>
      </c>
      <c r="D5960" s="108" t="s">
        <v>24587</v>
      </c>
      <c r="E5960" s="108" t="s">
        <v>14605</v>
      </c>
      <c r="F5960" s="108" t="s">
        <v>24547</v>
      </c>
      <c r="G5960" s="109">
        <v>46109</v>
      </c>
      <c r="H5960" s="108" t="s">
        <v>24396</v>
      </c>
      <c r="I5960" s="108" t="s">
        <v>95</v>
      </c>
    </row>
    <row r="5961" spans="1:9" ht="27.6">
      <c r="A5961" s="108" t="s">
        <v>16151</v>
      </c>
      <c r="B5961" s="108" t="s">
        <v>24588</v>
      </c>
      <c r="C5961" s="109">
        <v>44153</v>
      </c>
      <c r="D5961" s="108" t="s">
        <v>24589</v>
      </c>
      <c r="E5961" s="108" t="s">
        <v>14605</v>
      </c>
      <c r="F5961" s="108" t="s">
        <v>14738</v>
      </c>
      <c r="G5961" s="109">
        <v>46049</v>
      </c>
      <c r="H5961" s="108" t="s">
        <v>24396</v>
      </c>
      <c r="I5961" s="108" t="s">
        <v>95</v>
      </c>
    </row>
    <row r="5962" spans="1:9" ht="27.6">
      <c r="A5962" s="108" t="s">
        <v>388</v>
      </c>
      <c r="B5962" s="108" t="s">
        <v>24590</v>
      </c>
      <c r="C5962" s="109">
        <v>44587</v>
      </c>
      <c r="D5962" s="108" t="s">
        <v>24591</v>
      </c>
      <c r="E5962" s="108" t="s">
        <v>14605</v>
      </c>
      <c r="F5962" s="108" t="s">
        <v>24428</v>
      </c>
      <c r="G5962" s="109">
        <v>46065</v>
      </c>
      <c r="H5962" s="108" t="s">
        <v>24396</v>
      </c>
      <c r="I5962" s="108" t="s">
        <v>95</v>
      </c>
    </row>
    <row r="5963" spans="1:9" ht="27.6">
      <c r="A5963" s="108" t="s">
        <v>388</v>
      </c>
      <c r="B5963" s="108" t="s">
        <v>24592</v>
      </c>
      <c r="C5963" s="109">
        <v>45436</v>
      </c>
      <c r="D5963" s="108" t="s">
        <v>24593</v>
      </c>
      <c r="E5963" s="108" t="s">
        <v>14605</v>
      </c>
      <c r="F5963" s="108" t="s">
        <v>24428</v>
      </c>
      <c r="G5963" s="109">
        <v>46852</v>
      </c>
      <c r="H5963" s="108" t="s">
        <v>24396</v>
      </c>
      <c r="I5963" s="108" t="s">
        <v>95</v>
      </c>
    </row>
    <row r="5964" spans="1:9" ht="27.6">
      <c r="A5964" s="108" t="s">
        <v>388</v>
      </c>
      <c r="B5964" s="108" t="s">
        <v>24594</v>
      </c>
      <c r="C5964" s="109">
        <v>45272</v>
      </c>
      <c r="D5964" s="108" t="s">
        <v>24595</v>
      </c>
      <c r="E5964" s="108" t="s">
        <v>14605</v>
      </c>
      <c r="F5964" s="108" t="s">
        <v>24464</v>
      </c>
      <c r="G5964" s="109">
        <v>46017</v>
      </c>
      <c r="H5964" s="108" t="s">
        <v>24396</v>
      </c>
      <c r="I5964" s="108" t="s">
        <v>95</v>
      </c>
    </row>
    <row r="5965" spans="1:9">
      <c r="A5965" s="108" t="s">
        <v>87</v>
      </c>
      <c r="B5965" s="108" t="s">
        <v>24596</v>
      </c>
      <c r="C5965" s="109">
        <v>42247</v>
      </c>
      <c r="D5965" s="108" t="s">
        <v>24597</v>
      </c>
      <c r="E5965" s="108" t="s">
        <v>14605</v>
      </c>
      <c r="F5965" s="108" t="s">
        <v>24480</v>
      </c>
      <c r="G5965" s="109">
        <v>45882</v>
      </c>
      <c r="H5965" s="108" t="s">
        <v>24396</v>
      </c>
      <c r="I5965" s="108" t="s">
        <v>280</v>
      </c>
    </row>
    <row r="5966" spans="1:9" ht="27.6">
      <c r="A5966" s="108" t="s">
        <v>87</v>
      </c>
      <c r="B5966" s="108" t="s">
        <v>24598</v>
      </c>
      <c r="C5966" s="109">
        <v>42625</v>
      </c>
      <c r="D5966" s="108" t="s">
        <v>24599</v>
      </c>
      <c r="E5966" s="108" t="s">
        <v>14605</v>
      </c>
      <c r="F5966" s="108" t="s">
        <v>24600</v>
      </c>
      <c r="G5966" s="109">
        <v>46053</v>
      </c>
      <c r="H5966" s="108" t="s">
        <v>24396</v>
      </c>
      <c r="I5966" s="108" t="s">
        <v>280</v>
      </c>
    </row>
    <row r="5967" spans="1:9">
      <c r="A5967" s="108" t="s">
        <v>2002</v>
      </c>
      <c r="B5967" s="108" t="s">
        <v>24601</v>
      </c>
      <c r="C5967" s="109">
        <v>44176</v>
      </c>
      <c r="D5967" s="108" t="s">
        <v>24602</v>
      </c>
      <c r="E5967" s="108" t="s">
        <v>14605</v>
      </c>
      <c r="F5967" s="108" t="s">
        <v>15246</v>
      </c>
      <c r="G5967" s="109">
        <v>46022</v>
      </c>
      <c r="H5967" s="108" t="s">
        <v>24396</v>
      </c>
      <c r="I5967" s="108" t="s">
        <v>280</v>
      </c>
    </row>
    <row r="5968" spans="1:9">
      <c r="A5968" s="108" t="s">
        <v>87</v>
      </c>
      <c r="B5968" s="108" t="s">
        <v>24603</v>
      </c>
      <c r="C5968" s="109">
        <v>44209</v>
      </c>
      <c r="D5968" s="108" t="s">
        <v>24604</v>
      </c>
      <c r="E5968" s="108" t="s">
        <v>14605</v>
      </c>
      <c r="F5968" s="108" t="s">
        <v>15246</v>
      </c>
      <c r="G5968" s="109">
        <v>46022</v>
      </c>
      <c r="H5968" s="108" t="s">
        <v>24396</v>
      </c>
      <c r="I5968" s="108" t="s">
        <v>280</v>
      </c>
    </row>
    <row r="5969" spans="1:9">
      <c r="A5969" s="108" t="s">
        <v>87</v>
      </c>
      <c r="B5969" s="108" t="s">
        <v>24605</v>
      </c>
      <c r="C5969" s="109">
        <v>44245</v>
      </c>
      <c r="D5969" s="108" t="s">
        <v>24606</v>
      </c>
      <c r="E5969" s="108" t="s">
        <v>14605</v>
      </c>
      <c r="F5969" s="108" t="s">
        <v>24480</v>
      </c>
      <c r="G5969" s="109">
        <v>46067</v>
      </c>
      <c r="H5969" s="108" t="s">
        <v>24396</v>
      </c>
      <c r="I5969" s="108" t="s">
        <v>280</v>
      </c>
    </row>
    <row r="5970" spans="1:9">
      <c r="A5970" s="108" t="s">
        <v>237</v>
      </c>
      <c r="B5970" s="108" t="s">
        <v>24607</v>
      </c>
      <c r="C5970" s="109">
        <v>45436</v>
      </c>
      <c r="D5970" s="108" t="s">
        <v>24608</v>
      </c>
      <c r="E5970" s="108" t="s">
        <v>14605</v>
      </c>
      <c r="F5970" s="108" t="s">
        <v>24609</v>
      </c>
      <c r="G5970" s="109">
        <v>46165</v>
      </c>
      <c r="H5970" s="108" t="s">
        <v>24396</v>
      </c>
      <c r="I5970" s="108" t="s">
        <v>280</v>
      </c>
    </row>
    <row r="5971" spans="1:9" ht="27.6">
      <c r="A5971" s="108" t="s">
        <v>87</v>
      </c>
      <c r="B5971" s="108" t="s">
        <v>24610</v>
      </c>
      <c r="C5971" s="109">
        <v>44085</v>
      </c>
      <c r="D5971" s="108" t="s">
        <v>24611</v>
      </c>
      <c r="E5971" s="108" t="s">
        <v>14605</v>
      </c>
      <c r="F5971" s="108" t="s">
        <v>24612</v>
      </c>
      <c r="G5971" s="109">
        <v>46181</v>
      </c>
      <c r="H5971" s="108" t="s">
        <v>24396</v>
      </c>
      <c r="I5971" s="108" t="s">
        <v>79</v>
      </c>
    </row>
    <row r="5972" spans="1:9">
      <c r="A5972" s="108" t="s">
        <v>227</v>
      </c>
      <c r="B5972" s="108" t="s">
        <v>24613</v>
      </c>
      <c r="C5972" s="109">
        <v>41743</v>
      </c>
      <c r="D5972" s="108" t="s">
        <v>24614</v>
      </c>
      <c r="E5972" s="108" t="s">
        <v>14605</v>
      </c>
      <c r="F5972" s="108" t="s">
        <v>24615</v>
      </c>
      <c r="G5972" s="109">
        <v>45421</v>
      </c>
      <c r="H5972" s="108" t="s">
        <v>24396</v>
      </c>
      <c r="I5972" s="108" t="s">
        <v>3876</v>
      </c>
    </row>
    <row r="5973" spans="1:9" ht="27.6">
      <c r="A5973" s="108" t="s">
        <v>207</v>
      </c>
      <c r="B5973" s="108" t="s">
        <v>24616</v>
      </c>
      <c r="C5973" s="109">
        <v>42786</v>
      </c>
      <c r="D5973" s="108" t="s">
        <v>24617</v>
      </c>
      <c r="E5973" s="108" t="s">
        <v>14605</v>
      </c>
      <c r="F5973" s="108" t="s">
        <v>24468</v>
      </c>
      <c r="G5973" s="109">
        <v>46003</v>
      </c>
      <c r="H5973" s="108" t="s">
        <v>24396</v>
      </c>
      <c r="I5973" s="108" t="s">
        <v>206</v>
      </c>
    </row>
    <row r="5974" spans="1:9" ht="27.6">
      <c r="A5974" s="108" t="s">
        <v>207</v>
      </c>
      <c r="B5974" s="108" t="s">
        <v>24618</v>
      </c>
      <c r="C5974" s="109">
        <v>40800</v>
      </c>
      <c r="D5974" s="108" t="s">
        <v>24619</v>
      </c>
      <c r="E5974" s="108" t="s">
        <v>14605</v>
      </c>
      <c r="F5974" s="108" t="s">
        <v>15246</v>
      </c>
      <c r="G5974" s="109">
        <v>46022</v>
      </c>
      <c r="H5974" s="108" t="s">
        <v>24396</v>
      </c>
      <c r="I5974" s="108" t="s">
        <v>206</v>
      </c>
    </row>
    <row r="5975" spans="1:9" ht="27.6">
      <c r="A5975" s="108" t="s">
        <v>207</v>
      </c>
      <c r="B5975" s="108" t="s">
        <v>24620</v>
      </c>
      <c r="C5975" s="109">
        <v>42349</v>
      </c>
      <c r="D5975" s="108" t="s">
        <v>24621</v>
      </c>
      <c r="E5975" s="108" t="s">
        <v>14605</v>
      </c>
      <c r="F5975" s="108" t="s">
        <v>14846</v>
      </c>
      <c r="G5975" s="109">
        <v>45747</v>
      </c>
      <c r="H5975" s="108" t="s">
        <v>24396</v>
      </c>
      <c r="I5975" s="108" t="s">
        <v>206</v>
      </c>
    </row>
    <row r="5976" spans="1:9" ht="27.6">
      <c r="A5976" s="108" t="s">
        <v>207</v>
      </c>
      <c r="B5976" s="108" t="s">
        <v>24622</v>
      </c>
      <c r="C5976" s="109">
        <v>45215</v>
      </c>
      <c r="D5976" s="108" t="s">
        <v>24623</v>
      </c>
      <c r="E5976" s="108" t="s">
        <v>14605</v>
      </c>
      <c r="F5976" s="108" t="s">
        <v>24624</v>
      </c>
      <c r="G5976" s="109">
        <v>45945</v>
      </c>
      <c r="H5976" s="108" t="s">
        <v>24396</v>
      </c>
      <c r="I5976" s="108" t="s">
        <v>206</v>
      </c>
    </row>
    <row r="5977" spans="1:9" ht="27.6">
      <c r="A5977" s="108" t="s">
        <v>207</v>
      </c>
      <c r="B5977" s="108" t="s">
        <v>24625</v>
      </c>
      <c r="C5977" s="109">
        <v>45281</v>
      </c>
      <c r="D5977" s="108" t="s">
        <v>24626</v>
      </c>
      <c r="E5977" s="108" t="s">
        <v>14605</v>
      </c>
      <c r="F5977" s="108" t="s">
        <v>24627</v>
      </c>
      <c r="G5977" s="109">
        <v>46011</v>
      </c>
      <c r="H5977" s="108" t="s">
        <v>24396</v>
      </c>
      <c r="I5977" s="108" t="s">
        <v>117</v>
      </c>
    </row>
    <row r="5978" spans="1:9" ht="27.6">
      <c r="A5978" s="108" t="s">
        <v>207</v>
      </c>
      <c r="B5978" s="108" t="s">
        <v>24628</v>
      </c>
      <c r="C5978" s="109">
        <v>45525</v>
      </c>
      <c r="D5978" s="108" t="s">
        <v>24629</v>
      </c>
      <c r="E5978" s="108" t="s">
        <v>14605</v>
      </c>
      <c r="F5978" s="108" t="s">
        <v>24630</v>
      </c>
      <c r="G5978" s="109">
        <v>46222</v>
      </c>
      <c r="H5978" s="108" t="s">
        <v>24396</v>
      </c>
      <c r="I5978" s="108" t="s">
        <v>117</v>
      </c>
    </row>
    <row r="5979" spans="1:9">
      <c r="A5979" s="108" t="s">
        <v>169</v>
      </c>
      <c r="B5979" s="108" t="s">
        <v>24631</v>
      </c>
      <c r="C5979" s="109">
        <v>44176</v>
      </c>
      <c r="D5979" s="108" t="s">
        <v>24632</v>
      </c>
      <c r="E5979" s="108" t="s">
        <v>14605</v>
      </c>
      <c r="F5979" s="108" t="s">
        <v>15246</v>
      </c>
      <c r="G5979" s="109">
        <v>46022</v>
      </c>
      <c r="H5979" s="108" t="s">
        <v>24396</v>
      </c>
      <c r="I5979" s="108" t="s">
        <v>3315</v>
      </c>
    </row>
    <row r="5980" spans="1:9" ht="27.6">
      <c r="A5980" s="108" t="s">
        <v>109</v>
      </c>
      <c r="B5980" s="108" t="s">
        <v>24633</v>
      </c>
      <c r="C5980" s="109">
        <v>44217</v>
      </c>
      <c r="D5980" s="108" t="s">
        <v>24634</v>
      </c>
      <c r="E5980" s="108" t="s">
        <v>14605</v>
      </c>
      <c r="F5980" s="108" t="s">
        <v>15246</v>
      </c>
      <c r="G5980" s="109">
        <v>46022</v>
      </c>
      <c r="H5980" s="108" t="s">
        <v>24396</v>
      </c>
      <c r="I5980" s="108" t="s">
        <v>133</v>
      </c>
    </row>
    <row r="5981" spans="1:9" ht="27.6">
      <c r="A5981" s="108" t="s">
        <v>109</v>
      </c>
      <c r="B5981" s="108" t="s">
        <v>24635</v>
      </c>
      <c r="C5981" s="109">
        <v>45314</v>
      </c>
      <c r="D5981" s="108" t="s">
        <v>24636</v>
      </c>
      <c r="E5981" s="108" t="s">
        <v>14605</v>
      </c>
      <c r="F5981" s="108" t="s">
        <v>16035</v>
      </c>
      <c r="G5981" s="109">
        <v>46022</v>
      </c>
      <c r="H5981" s="108" t="s">
        <v>24396</v>
      </c>
      <c r="I5981" s="108" t="s">
        <v>133</v>
      </c>
    </row>
    <row r="5982" spans="1:9">
      <c r="A5982" s="108" t="s">
        <v>15990</v>
      </c>
      <c r="B5982" s="108" t="s">
        <v>24637</v>
      </c>
      <c r="C5982" s="109">
        <v>45008</v>
      </c>
      <c r="D5982" s="108" t="s">
        <v>24638</v>
      </c>
      <c r="E5982" s="108" t="s">
        <v>14605</v>
      </c>
      <c r="F5982" s="108" t="s">
        <v>24639</v>
      </c>
      <c r="G5982" s="109">
        <v>46103</v>
      </c>
      <c r="H5982" s="108" t="s">
        <v>24396</v>
      </c>
      <c r="I5982" s="108" t="s">
        <v>133</v>
      </c>
    </row>
    <row r="5983" spans="1:9" ht="27.6">
      <c r="A5983" s="108" t="s">
        <v>16151</v>
      </c>
      <c r="B5983" s="108" t="s">
        <v>24640</v>
      </c>
      <c r="C5983" s="109">
        <v>44029</v>
      </c>
      <c r="D5983" s="108" t="s">
        <v>24641</v>
      </c>
      <c r="E5983" s="108" t="s">
        <v>14605</v>
      </c>
      <c r="F5983" s="108" t="s">
        <v>16035</v>
      </c>
      <c r="G5983" s="109">
        <v>46022</v>
      </c>
      <c r="H5983" s="108" t="s">
        <v>24396</v>
      </c>
      <c r="I5983" s="108" t="s">
        <v>133</v>
      </c>
    </row>
    <row r="5984" spans="1:9">
      <c r="A5984" s="108" t="s">
        <v>16151</v>
      </c>
      <c r="B5984" s="108" t="s">
        <v>24642</v>
      </c>
      <c r="C5984" s="109">
        <v>44050</v>
      </c>
      <c r="D5984" s="108" t="s">
        <v>24643</v>
      </c>
      <c r="E5984" s="108" t="s">
        <v>14605</v>
      </c>
      <c r="F5984" s="108" t="s">
        <v>24425</v>
      </c>
      <c r="G5984" s="109">
        <v>46138</v>
      </c>
      <c r="H5984" s="108" t="s">
        <v>24396</v>
      </c>
      <c r="I5984" s="108" t="s">
        <v>133</v>
      </c>
    </row>
    <row r="5985" spans="1:9">
      <c r="A5985" s="108" t="s">
        <v>16151</v>
      </c>
      <c r="B5985" s="108" t="s">
        <v>24644</v>
      </c>
      <c r="C5985" s="109">
        <v>44166</v>
      </c>
      <c r="D5985" s="108" t="s">
        <v>24645</v>
      </c>
      <c r="E5985" s="108" t="s">
        <v>14605</v>
      </c>
      <c r="F5985" s="108" t="s">
        <v>24466</v>
      </c>
      <c r="G5985" s="109">
        <v>46142</v>
      </c>
      <c r="H5985" s="108" t="s">
        <v>24396</v>
      </c>
      <c r="I5985" s="108" t="s">
        <v>133</v>
      </c>
    </row>
    <row r="5986" spans="1:9" ht="27.6">
      <c r="A5986" s="108" t="s">
        <v>16149</v>
      </c>
      <c r="B5986" s="108" t="s">
        <v>24646</v>
      </c>
      <c r="C5986" s="109">
        <v>44966</v>
      </c>
      <c r="D5986" s="108" t="s">
        <v>24647</v>
      </c>
      <c r="E5986" s="108" t="s">
        <v>14605</v>
      </c>
      <c r="F5986" s="108" t="s">
        <v>16035</v>
      </c>
      <c r="G5986" s="109">
        <v>46022</v>
      </c>
      <c r="H5986" s="108" t="s">
        <v>24396</v>
      </c>
      <c r="I5986" s="108" t="s">
        <v>133</v>
      </c>
    </row>
    <row r="5987" spans="1:9">
      <c r="A5987" s="108" t="s">
        <v>16151</v>
      </c>
      <c r="B5987" s="108" t="s">
        <v>24648</v>
      </c>
      <c r="C5987" s="109">
        <v>45482</v>
      </c>
      <c r="D5987" s="108" t="s">
        <v>24649</v>
      </c>
      <c r="E5987" s="108" t="s">
        <v>14605</v>
      </c>
      <c r="F5987" s="108" t="s">
        <v>24474</v>
      </c>
      <c r="G5987" s="109">
        <v>46222</v>
      </c>
      <c r="H5987" s="108" t="s">
        <v>24396</v>
      </c>
      <c r="I5987" s="108" t="s">
        <v>133</v>
      </c>
    </row>
    <row r="5988" spans="1:9" ht="27.6">
      <c r="A5988" s="108" t="s">
        <v>16151</v>
      </c>
      <c r="B5988" s="108" t="s">
        <v>24650</v>
      </c>
      <c r="C5988" s="109">
        <v>43465</v>
      </c>
      <c r="D5988" s="108" t="s">
        <v>24651</v>
      </c>
      <c r="E5988" s="108" t="s">
        <v>14605</v>
      </c>
      <c r="F5988" s="108" t="s">
        <v>16035</v>
      </c>
      <c r="G5988" s="109">
        <v>46022</v>
      </c>
      <c r="H5988" s="108" t="s">
        <v>24396</v>
      </c>
      <c r="I5988" s="108" t="s">
        <v>133</v>
      </c>
    </row>
    <row r="5989" spans="1:9" ht="27.6">
      <c r="A5989" s="108" t="s">
        <v>388</v>
      </c>
      <c r="B5989" s="108" t="s">
        <v>24652</v>
      </c>
      <c r="C5989" s="109">
        <v>43892</v>
      </c>
      <c r="D5989" s="108" t="s">
        <v>24653</v>
      </c>
      <c r="E5989" s="108" t="s">
        <v>14605</v>
      </c>
      <c r="F5989" s="108" t="s">
        <v>24423</v>
      </c>
      <c r="G5989" s="109">
        <v>46082</v>
      </c>
      <c r="H5989" s="108" t="s">
        <v>24396</v>
      </c>
      <c r="I5989" s="108" t="s">
        <v>133</v>
      </c>
    </row>
    <row r="5990" spans="1:9" ht="27.6">
      <c r="A5990" s="108" t="s">
        <v>14950</v>
      </c>
      <c r="B5990" s="108" t="s">
        <v>24654</v>
      </c>
      <c r="C5990" s="109">
        <v>43809</v>
      </c>
      <c r="D5990" s="108" t="s">
        <v>24655</v>
      </c>
      <c r="E5990" s="108" t="s">
        <v>14605</v>
      </c>
      <c r="F5990" s="108" t="s">
        <v>24442</v>
      </c>
      <c r="G5990" s="109">
        <v>44174</v>
      </c>
      <c r="H5990" s="108" t="s">
        <v>24396</v>
      </c>
      <c r="I5990" s="108" t="s">
        <v>108</v>
      </c>
    </row>
    <row r="5991" spans="1:9" ht="27.6">
      <c r="A5991" s="108" t="s">
        <v>14950</v>
      </c>
      <c r="B5991" s="108" t="s">
        <v>24656</v>
      </c>
      <c r="C5991" s="109">
        <v>44027</v>
      </c>
      <c r="D5991" s="108" t="s">
        <v>24657</v>
      </c>
      <c r="E5991" s="108" t="s">
        <v>14605</v>
      </c>
      <c r="F5991" s="108" t="s">
        <v>24468</v>
      </c>
      <c r="G5991" s="109">
        <v>44391</v>
      </c>
      <c r="H5991" s="108" t="s">
        <v>24396</v>
      </c>
      <c r="I5991" s="108" t="s">
        <v>108</v>
      </c>
    </row>
    <row r="5992" spans="1:9">
      <c r="A5992" s="108" t="s">
        <v>169</v>
      </c>
      <c r="B5992" s="108" t="s">
        <v>24658</v>
      </c>
      <c r="C5992" s="109">
        <v>44715</v>
      </c>
      <c r="D5992" s="108" t="s">
        <v>24659</v>
      </c>
      <c r="E5992" s="108" t="s">
        <v>14605</v>
      </c>
      <c r="F5992" s="108" t="s">
        <v>24660</v>
      </c>
      <c r="G5992" s="109">
        <v>45095</v>
      </c>
      <c r="H5992" s="108" t="s">
        <v>24396</v>
      </c>
      <c r="I5992" s="108" t="s">
        <v>108</v>
      </c>
    </row>
    <row r="5993" spans="1:9" ht="27.6">
      <c r="A5993" s="108" t="s">
        <v>8376</v>
      </c>
      <c r="B5993" s="108" t="s">
        <v>24661</v>
      </c>
      <c r="C5993" s="109">
        <v>45666</v>
      </c>
      <c r="D5993" s="108" t="s">
        <v>24662</v>
      </c>
      <c r="E5993" s="108" t="s">
        <v>14605</v>
      </c>
      <c r="F5993" s="108" t="s">
        <v>15082</v>
      </c>
      <c r="G5993" s="109">
        <v>46038</v>
      </c>
      <c r="H5993" s="108" t="s">
        <v>24396</v>
      </c>
      <c r="I5993" s="108" t="s">
        <v>108</v>
      </c>
    </row>
    <row r="5994" spans="1:9" ht="27.6">
      <c r="A5994" s="108" t="s">
        <v>109</v>
      </c>
      <c r="B5994" s="108" t="s">
        <v>24663</v>
      </c>
      <c r="C5994" s="109">
        <v>44662</v>
      </c>
      <c r="D5994" s="108" t="s">
        <v>24664</v>
      </c>
      <c r="E5994" s="108" t="s">
        <v>14605</v>
      </c>
      <c r="F5994" s="108" t="s">
        <v>24442</v>
      </c>
      <c r="G5994" s="109">
        <v>45037</v>
      </c>
      <c r="H5994" s="108" t="s">
        <v>24396</v>
      </c>
      <c r="I5994" s="108" t="s">
        <v>108</v>
      </c>
    </row>
    <row r="5995" spans="1:9" ht="27.6">
      <c r="A5995" s="108" t="s">
        <v>109</v>
      </c>
      <c r="B5995" s="108" t="s">
        <v>24665</v>
      </c>
      <c r="C5995" s="109">
        <v>45244</v>
      </c>
      <c r="D5995" s="108" t="s">
        <v>24666</v>
      </c>
      <c r="E5995" s="108" t="s">
        <v>14605</v>
      </c>
      <c r="F5995" s="108" t="s">
        <v>24462</v>
      </c>
      <c r="G5995" s="109">
        <v>45615</v>
      </c>
      <c r="H5995" s="108" t="s">
        <v>24396</v>
      </c>
      <c r="I5995" s="108" t="s">
        <v>108</v>
      </c>
    </row>
    <row r="5996" spans="1:9" ht="27.6">
      <c r="A5996" s="108" t="s">
        <v>388</v>
      </c>
      <c r="B5996" s="108" t="s">
        <v>24667</v>
      </c>
      <c r="C5996" s="109">
        <v>43809</v>
      </c>
      <c r="D5996" s="108" t="s">
        <v>24668</v>
      </c>
      <c r="E5996" s="108" t="s">
        <v>14605</v>
      </c>
      <c r="F5996" s="108" t="s">
        <v>24442</v>
      </c>
      <c r="G5996" s="109">
        <v>44191</v>
      </c>
      <c r="H5996" s="108" t="s">
        <v>24396</v>
      </c>
      <c r="I5996" s="108" t="s">
        <v>108</v>
      </c>
    </row>
    <row r="5997" spans="1:9" ht="27.6">
      <c r="A5997" s="108" t="s">
        <v>96</v>
      </c>
      <c r="B5997" s="108" t="s">
        <v>24669</v>
      </c>
      <c r="C5997" s="109">
        <v>44880</v>
      </c>
      <c r="D5997" s="108" t="s">
        <v>24670</v>
      </c>
      <c r="E5997" s="108" t="s">
        <v>14605</v>
      </c>
      <c r="F5997" s="108" t="s">
        <v>24452</v>
      </c>
      <c r="G5997" s="109">
        <v>45246</v>
      </c>
      <c r="H5997" s="108" t="s">
        <v>24396</v>
      </c>
      <c r="I5997" s="108" t="s">
        <v>108</v>
      </c>
    </row>
    <row r="5998" spans="1:9">
      <c r="A5998" s="108" t="s">
        <v>15990</v>
      </c>
      <c r="B5998" s="108" t="s">
        <v>24671</v>
      </c>
      <c r="C5998" s="109">
        <v>45855</v>
      </c>
      <c r="D5998" s="108" t="s">
        <v>24672</v>
      </c>
      <c r="E5998" s="108" t="s">
        <v>14605</v>
      </c>
      <c r="F5998" s="108" t="s">
        <v>14846</v>
      </c>
      <c r="G5998" s="109">
        <v>46052</v>
      </c>
      <c r="H5998" s="108" t="s">
        <v>24396</v>
      </c>
      <c r="I5998" s="108" t="s">
        <v>108</v>
      </c>
    </row>
    <row r="5999" spans="1:9" ht="27.6">
      <c r="A5999" s="108" t="s">
        <v>15990</v>
      </c>
      <c r="B5999" s="108" t="s">
        <v>24673</v>
      </c>
      <c r="C5999" s="109">
        <v>45594</v>
      </c>
      <c r="D5999" s="108" t="s">
        <v>24674</v>
      </c>
      <c r="E5999" s="108" t="s">
        <v>14605</v>
      </c>
      <c r="F5999" s="108" t="s">
        <v>16035</v>
      </c>
      <c r="G5999" s="109">
        <v>45956</v>
      </c>
      <c r="H5999" s="108" t="s">
        <v>24396</v>
      </c>
      <c r="I5999" s="108" t="s">
        <v>108</v>
      </c>
    </row>
    <row r="6000" spans="1:9" ht="27.6">
      <c r="A6000" s="108" t="s">
        <v>16151</v>
      </c>
      <c r="B6000" s="108" t="s">
        <v>24675</v>
      </c>
      <c r="C6000" s="109">
        <v>45239</v>
      </c>
      <c r="D6000" s="108" t="s">
        <v>24676</v>
      </c>
      <c r="E6000" s="108" t="s">
        <v>14605</v>
      </c>
      <c r="F6000" s="108" t="s">
        <v>24447</v>
      </c>
      <c r="G6000" s="109">
        <v>45605</v>
      </c>
      <c r="H6000" s="108" t="s">
        <v>24396</v>
      </c>
      <c r="I6000" s="108" t="s">
        <v>108</v>
      </c>
    </row>
    <row r="6001" spans="1:9" ht="27.6">
      <c r="A6001" s="108" t="s">
        <v>16151</v>
      </c>
      <c r="B6001" s="108" t="s">
        <v>24677</v>
      </c>
      <c r="C6001" s="109">
        <v>45595</v>
      </c>
      <c r="D6001" s="108" t="s">
        <v>24678</v>
      </c>
      <c r="E6001" s="108" t="s">
        <v>14605</v>
      </c>
      <c r="F6001" s="108" t="s">
        <v>14738</v>
      </c>
      <c r="G6001" s="109">
        <v>45940</v>
      </c>
      <c r="H6001" s="108" t="s">
        <v>24396</v>
      </c>
      <c r="I6001" s="108" t="s">
        <v>108</v>
      </c>
    </row>
    <row r="6002" spans="1:9" ht="27.6">
      <c r="A6002" s="108" t="s">
        <v>16151</v>
      </c>
      <c r="B6002" s="108" t="s">
        <v>24679</v>
      </c>
      <c r="C6002" s="109">
        <v>45587</v>
      </c>
      <c r="D6002" s="108" t="s">
        <v>24680</v>
      </c>
      <c r="E6002" s="108" t="s">
        <v>14605</v>
      </c>
      <c r="F6002" s="108" t="s">
        <v>24436</v>
      </c>
      <c r="G6002" s="109">
        <v>45942</v>
      </c>
      <c r="H6002" s="108" t="s">
        <v>24396</v>
      </c>
      <c r="I6002" s="108" t="s">
        <v>108</v>
      </c>
    </row>
    <row r="6003" spans="1:9">
      <c r="A6003" s="108" t="s">
        <v>2002</v>
      </c>
      <c r="B6003" s="108" t="s">
        <v>24681</v>
      </c>
      <c r="C6003" s="109">
        <v>41429</v>
      </c>
      <c r="D6003" s="108"/>
      <c r="E6003" s="108" t="s">
        <v>14605</v>
      </c>
      <c r="F6003" s="108" t="s">
        <v>24682</v>
      </c>
      <c r="G6003" s="110"/>
      <c r="H6003" s="108" t="s">
        <v>24683</v>
      </c>
      <c r="I6003" s="108"/>
    </row>
    <row r="6004" spans="1:9">
      <c r="A6004" s="108" t="s">
        <v>2002</v>
      </c>
      <c r="B6004" s="108" t="s">
        <v>24684</v>
      </c>
      <c r="C6004" s="109">
        <v>41910</v>
      </c>
      <c r="D6004" s="108"/>
      <c r="E6004" s="108" t="s">
        <v>14605</v>
      </c>
      <c r="F6004" s="108" t="s">
        <v>24685</v>
      </c>
      <c r="G6004" s="110"/>
      <c r="H6004" s="108" t="s">
        <v>24683</v>
      </c>
      <c r="I6004" s="108"/>
    </row>
    <row r="6005" spans="1:9">
      <c r="A6005" s="108" t="s">
        <v>87</v>
      </c>
      <c r="B6005" s="108" t="s">
        <v>24686</v>
      </c>
      <c r="C6005" s="109">
        <v>41161</v>
      </c>
      <c r="D6005" s="108"/>
      <c r="E6005" s="108" t="s">
        <v>14605</v>
      </c>
      <c r="F6005" s="108" t="s">
        <v>24687</v>
      </c>
      <c r="G6005" s="110"/>
      <c r="H6005" s="108" t="s">
        <v>24683</v>
      </c>
      <c r="I6005" s="108"/>
    </row>
    <row r="6006" spans="1:9">
      <c r="A6006" s="108" t="s">
        <v>87</v>
      </c>
      <c r="B6006" s="108" t="s">
        <v>24688</v>
      </c>
      <c r="C6006" s="109">
        <v>41472</v>
      </c>
      <c r="D6006" s="108"/>
      <c r="E6006" s="108" t="s">
        <v>14605</v>
      </c>
      <c r="F6006" s="108" t="s">
        <v>24687</v>
      </c>
      <c r="G6006" s="110"/>
      <c r="H6006" s="108" t="s">
        <v>24683</v>
      </c>
      <c r="I6006" s="108"/>
    </row>
    <row r="6007" spans="1:9" ht="27.6">
      <c r="A6007" s="108" t="s">
        <v>14690</v>
      </c>
      <c r="B6007" s="108" t="s">
        <v>24689</v>
      </c>
      <c r="C6007" s="109">
        <v>41900</v>
      </c>
      <c r="D6007" s="108"/>
      <c r="E6007" s="108" t="s">
        <v>14605</v>
      </c>
      <c r="F6007" s="108" t="s">
        <v>24690</v>
      </c>
      <c r="G6007" s="110"/>
      <c r="H6007" s="108" t="s">
        <v>24683</v>
      </c>
      <c r="I6007" s="108"/>
    </row>
    <row r="6008" spans="1:9" ht="27.6">
      <c r="A6008" s="108" t="s">
        <v>237</v>
      </c>
      <c r="B6008" s="108" t="s">
        <v>24691</v>
      </c>
      <c r="C6008" s="109">
        <v>41162</v>
      </c>
      <c r="D6008" s="108"/>
      <c r="E6008" s="108" t="s">
        <v>14605</v>
      </c>
      <c r="F6008" s="108" t="s">
        <v>24692</v>
      </c>
      <c r="G6008" s="110"/>
      <c r="H6008" s="108" t="s">
        <v>24683</v>
      </c>
      <c r="I6008" s="108"/>
    </row>
    <row r="6009" spans="1:9">
      <c r="A6009" s="108" t="s">
        <v>169</v>
      </c>
      <c r="B6009" s="108" t="s">
        <v>24693</v>
      </c>
      <c r="C6009" s="109">
        <v>42474</v>
      </c>
      <c r="D6009" s="108"/>
      <c r="E6009" s="108" t="s">
        <v>14605</v>
      </c>
      <c r="F6009" s="108" t="s">
        <v>16051</v>
      </c>
      <c r="G6009" s="110"/>
      <c r="H6009" s="108" t="s">
        <v>24683</v>
      </c>
      <c r="I6009" s="108"/>
    </row>
    <row r="6010" spans="1:9">
      <c r="A6010" s="108" t="s">
        <v>169</v>
      </c>
      <c r="B6010" s="108" t="s">
        <v>24694</v>
      </c>
      <c r="C6010" s="109">
        <v>42863</v>
      </c>
      <c r="D6010" s="108"/>
      <c r="E6010" s="108" t="s">
        <v>14605</v>
      </c>
      <c r="F6010" s="108" t="s">
        <v>24682</v>
      </c>
      <c r="G6010" s="110"/>
      <c r="H6010" s="108" t="s">
        <v>24683</v>
      </c>
      <c r="I6010" s="108"/>
    </row>
    <row r="6011" spans="1:9">
      <c r="A6011" s="108" t="s">
        <v>169</v>
      </c>
      <c r="B6011" s="108" t="s">
        <v>24695</v>
      </c>
      <c r="C6011" s="109">
        <v>43114</v>
      </c>
      <c r="D6011" s="108"/>
      <c r="E6011" s="108" t="s">
        <v>14605</v>
      </c>
      <c r="F6011" s="108" t="s">
        <v>16051</v>
      </c>
      <c r="G6011" s="110"/>
      <c r="H6011" s="108" t="s">
        <v>24683</v>
      </c>
      <c r="I6011" s="108"/>
    </row>
    <row r="6012" spans="1:9">
      <c r="A6012" s="108" t="s">
        <v>169</v>
      </c>
      <c r="B6012" s="108" t="s">
        <v>24696</v>
      </c>
      <c r="C6012" s="109">
        <v>42968</v>
      </c>
      <c r="D6012" s="108"/>
      <c r="E6012" s="108" t="s">
        <v>14605</v>
      </c>
      <c r="F6012" s="108" t="s">
        <v>24697</v>
      </c>
      <c r="G6012" s="110"/>
      <c r="H6012" s="108" t="s">
        <v>24683</v>
      </c>
      <c r="I6012" s="108"/>
    </row>
    <row r="6013" spans="1:9">
      <c r="A6013" s="108" t="s">
        <v>87</v>
      </c>
      <c r="B6013" s="108" t="s">
        <v>24698</v>
      </c>
      <c r="C6013" s="109">
        <v>43159</v>
      </c>
      <c r="D6013" s="108"/>
      <c r="E6013" s="108" t="s">
        <v>14605</v>
      </c>
      <c r="F6013" s="108" t="s">
        <v>24699</v>
      </c>
      <c r="G6013" s="110"/>
      <c r="H6013" s="108" t="s">
        <v>24683</v>
      </c>
      <c r="I6013" s="108"/>
    </row>
    <row r="6014" spans="1:9">
      <c r="A6014" s="108" t="s">
        <v>87</v>
      </c>
      <c r="B6014" s="108" t="s">
        <v>24700</v>
      </c>
      <c r="C6014" s="109">
        <v>43023</v>
      </c>
      <c r="D6014" s="108"/>
      <c r="E6014" s="108" t="s">
        <v>14605</v>
      </c>
      <c r="F6014" s="108" t="s">
        <v>24701</v>
      </c>
      <c r="G6014" s="110"/>
      <c r="H6014" s="108" t="s">
        <v>24683</v>
      </c>
      <c r="I6014" s="108"/>
    </row>
    <row r="6015" spans="1:9" ht="27.6">
      <c r="A6015" s="108" t="s">
        <v>14690</v>
      </c>
      <c r="B6015" s="108" t="s">
        <v>24702</v>
      </c>
      <c r="C6015" s="109">
        <v>42629</v>
      </c>
      <c r="D6015" s="108"/>
      <c r="E6015" s="108" t="s">
        <v>14605</v>
      </c>
      <c r="F6015" s="108" t="s">
        <v>24703</v>
      </c>
      <c r="G6015" s="110"/>
      <c r="H6015" s="108" t="s">
        <v>24683</v>
      </c>
      <c r="I6015" s="108"/>
    </row>
    <row r="6016" spans="1:9" ht="27.6">
      <c r="A6016" s="108" t="s">
        <v>14690</v>
      </c>
      <c r="B6016" s="108" t="s">
        <v>24704</v>
      </c>
      <c r="C6016" s="109">
        <v>42962</v>
      </c>
      <c r="D6016" s="108"/>
      <c r="E6016" s="108" t="s">
        <v>14605</v>
      </c>
      <c r="F6016" s="108" t="s">
        <v>24705</v>
      </c>
      <c r="G6016" s="110"/>
      <c r="H6016" s="108" t="s">
        <v>24683</v>
      </c>
      <c r="I6016" s="108"/>
    </row>
    <row r="6017" spans="1:9" ht="27.6">
      <c r="A6017" s="108" t="s">
        <v>14690</v>
      </c>
      <c r="B6017" s="108" t="s">
        <v>24706</v>
      </c>
      <c r="C6017" s="109">
        <v>42925</v>
      </c>
      <c r="D6017" s="108"/>
      <c r="E6017" s="108" t="s">
        <v>14605</v>
      </c>
      <c r="F6017" s="108" t="s">
        <v>24707</v>
      </c>
      <c r="G6017" s="110"/>
      <c r="H6017" s="108" t="s">
        <v>24683</v>
      </c>
      <c r="I6017" s="108"/>
    </row>
    <row r="6018" spans="1:9">
      <c r="A6018" s="108" t="s">
        <v>1465</v>
      </c>
      <c r="B6018" s="108" t="s">
        <v>24708</v>
      </c>
      <c r="C6018" s="109">
        <v>42352</v>
      </c>
      <c r="D6018" s="108"/>
      <c r="E6018" s="108" t="s">
        <v>14605</v>
      </c>
      <c r="F6018" s="108" t="s">
        <v>24709</v>
      </c>
      <c r="G6018" s="110"/>
      <c r="H6018" s="108" t="s">
        <v>24683</v>
      </c>
      <c r="I6018" s="108"/>
    </row>
    <row r="6019" spans="1:9">
      <c r="A6019" s="108" t="s">
        <v>1465</v>
      </c>
      <c r="B6019" s="108" t="s">
        <v>24710</v>
      </c>
      <c r="C6019" s="109">
        <v>42727</v>
      </c>
      <c r="D6019" s="108"/>
      <c r="E6019" s="108" t="s">
        <v>14605</v>
      </c>
      <c r="F6019" s="108" t="s">
        <v>24711</v>
      </c>
      <c r="G6019" s="110"/>
      <c r="H6019" s="108" t="s">
        <v>24683</v>
      </c>
      <c r="I6019" s="108"/>
    </row>
    <row r="6020" spans="1:9">
      <c r="A6020" s="108" t="s">
        <v>1465</v>
      </c>
      <c r="B6020" s="108" t="s">
        <v>24712</v>
      </c>
      <c r="C6020" s="109">
        <v>42859</v>
      </c>
      <c r="D6020" s="108"/>
      <c r="E6020" s="108" t="s">
        <v>14605</v>
      </c>
      <c r="F6020" s="108" t="s">
        <v>24713</v>
      </c>
      <c r="G6020" s="110"/>
      <c r="H6020" s="108" t="s">
        <v>24683</v>
      </c>
      <c r="I6020" s="108"/>
    </row>
    <row r="6021" spans="1:9">
      <c r="A6021" s="108" t="s">
        <v>1465</v>
      </c>
      <c r="B6021" s="108" t="s">
        <v>24714</v>
      </c>
      <c r="C6021" s="109">
        <v>42813</v>
      </c>
      <c r="D6021" s="108"/>
      <c r="E6021" s="108" t="s">
        <v>14605</v>
      </c>
      <c r="F6021" s="108" t="s">
        <v>24682</v>
      </c>
      <c r="G6021" s="110"/>
      <c r="H6021" s="108" t="s">
        <v>24683</v>
      </c>
      <c r="I6021" s="108"/>
    </row>
    <row r="6022" spans="1:9">
      <c r="A6022" s="108" t="s">
        <v>1465</v>
      </c>
      <c r="B6022" s="108" t="s">
        <v>24715</v>
      </c>
      <c r="C6022" s="109">
        <v>42904</v>
      </c>
      <c r="D6022" s="108"/>
      <c r="E6022" s="108" t="s">
        <v>14605</v>
      </c>
      <c r="F6022" s="108" t="s">
        <v>24716</v>
      </c>
      <c r="G6022" s="110"/>
      <c r="H6022" s="108" t="s">
        <v>24683</v>
      </c>
      <c r="I6022" s="108"/>
    </row>
    <row r="6023" spans="1:9">
      <c r="A6023" s="108" t="s">
        <v>1465</v>
      </c>
      <c r="B6023" s="108" t="s">
        <v>24717</v>
      </c>
      <c r="C6023" s="109">
        <v>43020</v>
      </c>
      <c r="D6023" s="108"/>
      <c r="E6023" s="108" t="s">
        <v>14605</v>
      </c>
      <c r="F6023" s="108" t="s">
        <v>24718</v>
      </c>
      <c r="G6023" s="110"/>
      <c r="H6023" s="108" t="s">
        <v>24683</v>
      </c>
      <c r="I6023" s="108"/>
    </row>
    <row r="6024" spans="1:9">
      <c r="A6024" s="108" t="s">
        <v>1465</v>
      </c>
      <c r="B6024" s="108" t="s">
        <v>24719</v>
      </c>
      <c r="C6024" s="109">
        <v>43034</v>
      </c>
      <c r="D6024" s="108"/>
      <c r="E6024" s="108" t="s">
        <v>14605</v>
      </c>
      <c r="F6024" s="108" t="s">
        <v>18462</v>
      </c>
      <c r="G6024" s="110"/>
      <c r="H6024" s="108" t="s">
        <v>24683</v>
      </c>
      <c r="I6024" s="108"/>
    </row>
    <row r="6025" spans="1:9">
      <c r="A6025" s="108" t="s">
        <v>1465</v>
      </c>
      <c r="B6025" s="108" t="s">
        <v>24720</v>
      </c>
      <c r="C6025" s="109">
        <v>42934</v>
      </c>
      <c r="D6025" s="108"/>
      <c r="E6025" s="108" t="s">
        <v>14605</v>
      </c>
      <c r="F6025" s="108" t="s">
        <v>18462</v>
      </c>
      <c r="G6025" s="110"/>
      <c r="H6025" s="108" t="s">
        <v>24683</v>
      </c>
      <c r="I6025" s="108"/>
    </row>
    <row r="6026" spans="1:9">
      <c r="A6026" s="108" t="s">
        <v>1003</v>
      </c>
      <c r="B6026" s="108" t="s">
        <v>24721</v>
      </c>
      <c r="C6026" s="109">
        <v>42898</v>
      </c>
      <c r="D6026" s="108"/>
      <c r="E6026" s="108" t="s">
        <v>14605</v>
      </c>
      <c r="F6026" s="108" t="s">
        <v>24722</v>
      </c>
      <c r="G6026" s="110"/>
      <c r="H6026" s="108" t="s">
        <v>24683</v>
      </c>
      <c r="I6026" s="108"/>
    </row>
    <row r="6027" spans="1:9">
      <c r="A6027" s="108" t="s">
        <v>1465</v>
      </c>
      <c r="B6027" s="108" t="s">
        <v>24723</v>
      </c>
      <c r="C6027" s="109">
        <v>42568</v>
      </c>
      <c r="D6027" s="108"/>
      <c r="E6027" s="108" t="s">
        <v>14605</v>
      </c>
      <c r="F6027" s="108" t="s">
        <v>18462</v>
      </c>
      <c r="G6027" s="110"/>
      <c r="H6027" s="108" t="s">
        <v>24683</v>
      </c>
      <c r="I6027" s="108"/>
    </row>
    <row r="6028" spans="1:9">
      <c r="A6028" s="108" t="s">
        <v>14679</v>
      </c>
      <c r="B6028" s="108" t="s">
        <v>24724</v>
      </c>
      <c r="C6028" s="109">
        <v>44211</v>
      </c>
      <c r="D6028" s="108"/>
      <c r="E6028" s="108" t="s">
        <v>14605</v>
      </c>
      <c r="F6028" s="108" t="s">
        <v>16087</v>
      </c>
      <c r="G6028" s="110"/>
      <c r="H6028" s="108" t="s">
        <v>24683</v>
      </c>
      <c r="I6028" s="108"/>
    </row>
    <row r="6029" spans="1:9">
      <c r="A6029" s="108" t="s">
        <v>1465</v>
      </c>
      <c r="B6029" s="108" t="s">
        <v>24725</v>
      </c>
      <c r="C6029" s="109">
        <v>44369</v>
      </c>
      <c r="D6029" s="108"/>
      <c r="E6029" s="108" t="s">
        <v>14605</v>
      </c>
      <c r="F6029" s="108" t="s">
        <v>16051</v>
      </c>
      <c r="G6029" s="110"/>
      <c r="H6029" s="108" t="s">
        <v>24683</v>
      </c>
      <c r="I6029" s="108"/>
    </row>
    <row r="6030" spans="1:9">
      <c r="A6030" s="108" t="s">
        <v>1465</v>
      </c>
      <c r="B6030" s="108" t="s">
        <v>24726</v>
      </c>
      <c r="C6030" s="109">
        <v>44400</v>
      </c>
      <c r="D6030" s="108"/>
      <c r="E6030" s="108" t="s">
        <v>14605</v>
      </c>
      <c r="F6030" s="108" t="s">
        <v>16051</v>
      </c>
      <c r="G6030" s="110"/>
      <c r="H6030" s="108" t="s">
        <v>24683</v>
      </c>
      <c r="I6030" s="108"/>
    </row>
    <row r="6031" spans="1:9" ht="27.6">
      <c r="A6031" s="108" t="s">
        <v>15075</v>
      </c>
      <c r="B6031" s="108" t="s">
        <v>24727</v>
      </c>
      <c r="C6031" s="109">
        <v>45134</v>
      </c>
      <c r="D6031" s="108"/>
      <c r="E6031" s="108" t="s">
        <v>14605</v>
      </c>
      <c r="F6031" s="108" t="s">
        <v>15989</v>
      </c>
      <c r="G6031" s="110"/>
      <c r="H6031" s="108" t="s">
        <v>24683</v>
      </c>
      <c r="I6031" s="108"/>
    </row>
    <row r="6032" spans="1:9" ht="27.6">
      <c r="A6032" s="108" t="s">
        <v>15075</v>
      </c>
      <c r="B6032" s="108" t="s">
        <v>24728</v>
      </c>
      <c r="C6032" s="109">
        <v>44995</v>
      </c>
      <c r="D6032" s="108"/>
      <c r="E6032" s="108" t="s">
        <v>16121</v>
      </c>
      <c r="F6032" s="108" t="s">
        <v>15989</v>
      </c>
      <c r="G6032" s="110"/>
      <c r="H6032" s="108" t="s">
        <v>24683</v>
      </c>
      <c r="I6032" s="108"/>
    </row>
    <row r="6033" spans="1:9" ht="27.6">
      <c r="A6033" s="108" t="s">
        <v>199</v>
      </c>
      <c r="B6033" s="108" t="s">
        <v>24729</v>
      </c>
      <c r="C6033" s="109">
        <v>40784</v>
      </c>
      <c r="D6033" s="108"/>
      <c r="E6033" s="108" t="s">
        <v>14605</v>
      </c>
      <c r="F6033" s="108" t="s">
        <v>24730</v>
      </c>
      <c r="G6033" s="110"/>
      <c r="H6033" s="108" t="s">
        <v>24683</v>
      </c>
      <c r="I6033" s="108"/>
    </row>
    <row r="6034" spans="1:9" ht="27.6">
      <c r="A6034" s="108" t="s">
        <v>479</v>
      </c>
      <c r="B6034" s="108" t="s">
        <v>24731</v>
      </c>
      <c r="C6034" s="109">
        <v>40240</v>
      </c>
      <c r="D6034" s="108"/>
      <c r="E6034" s="108" t="s">
        <v>14605</v>
      </c>
      <c r="F6034" s="108" t="s">
        <v>24732</v>
      </c>
      <c r="G6034" s="110"/>
      <c r="H6034" s="108" t="s">
        <v>24683</v>
      </c>
      <c r="I6034" s="108"/>
    </row>
    <row r="6035" spans="1:9" ht="27.6">
      <c r="A6035" s="108" t="s">
        <v>118</v>
      </c>
      <c r="B6035" s="108" t="s">
        <v>24733</v>
      </c>
      <c r="C6035" s="109">
        <v>42620</v>
      </c>
      <c r="D6035" s="108"/>
      <c r="E6035" s="108" t="s">
        <v>14605</v>
      </c>
      <c r="F6035" s="108" t="s">
        <v>24734</v>
      </c>
      <c r="G6035" s="110"/>
      <c r="H6035" s="108" t="s">
        <v>24683</v>
      </c>
      <c r="I6035" s="108"/>
    </row>
    <row r="6036" spans="1:9">
      <c r="A6036" s="108" t="s">
        <v>169</v>
      </c>
      <c r="B6036" s="108" t="s">
        <v>24735</v>
      </c>
      <c r="C6036" s="109">
        <v>44092</v>
      </c>
      <c r="D6036" s="108"/>
      <c r="E6036" s="108" t="s">
        <v>14605</v>
      </c>
      <c r="F6036" s="108" t="s">
        <v>16051</v>
      </c>
      <c r="G6036" s="110"/>
      <c r="H6036" s="108" t="s">
        <v>24683</v>
      </c>
      <c r="I6036" s="108"/>
    </row>
    <row r="6037" spans="1:9">
      <c r="A6037" s="108" t="s">
        <v>169</v>
      </c>
      <c r="B6037" s="108" t="s">
        <v>24736</v>
      </c>
      <c r="C6037" s="109">
        <v>44309</v>
      </c>
      <c r="D6037" s="108"/>
      <c r="E6037" s="108" t="s">
        <v>14605</v>
      </c>
      <c r="F6037" s="108" t="s">
        <v>16051</v>
      </c>
      <c r="G6037" s="110"/>
      <c r="H6037" s="108" t="s">
        <v>24683</v>
      </c>
      <c r="I6037" s="108"/>
    </row>
    <row r="6038" spans="1:9">
      <c r="A6038" s="108" t="s">
        <v>169</v>
      </c>
      <c r="B6038" s="108" t="s">
        <v>24737</v>
      </c>
      <c r="C6038" s="109">
        <v>44281</v>
      </c>
      <c r="D6038" s="108"/>
      <c r="E6038" s="108" t="s">
        <v>14605</v>
      </c>
      <c r="F6038" s="108" t="s">
        <v>16051</v>
      </c>
      <c r="G6038" s="110"/>
      <c r="H6038" s="108" t="s">
        <v>24683</v>
      </c>
      <c r="I6038" s="108"/>
    </row>
    <row r="6039" spans="1:9">
      <c r="A6039" s="108" t="s">
        <v>169</v>
      </c>
      <c r="B6039" s="108" t="s">
        <v>24738</v>
      </c>
      <c r="C6039" s="109">
        <v>44432</v>
      </c>
      <c r="D6039" s="108"/>
      <c r="E6039" s="108" t="s">
        <v>14605</v>
      </c>
      <c r="F6039" s="108" t="s">
        <v>16051</v>
      </c>
      <c r="G6039" s="110"/>
      <c r="H6039" s="108" t="s">
        <v>24683</v>
      </c>
      <c r="I6039" s="108"/>
    </row>
    <row r="6040" spans="1:9">
      <c r="A6040" s="108" t="s">
        <v>169</v>
      </c>
      <c r="B6040" s="108" t="s">
        <v>24739</v>
      </c>
      <c r="C6040" s="109">
        <v>44456</v>
      </c>
      <c r="D6040" s="108"/>
      <c r="E6040" s="108" t="s">
        <v>14605</v>
      </c>
      <c r="F6040" s="108" t="s">
        <v>16051</v>
      </c>
      <c r="G6040" s="110"/>
      <c r="H6040" s="108" t="s">
        <v>24683</v>
      </c>
      <c r="I6040" s="108"/>
    </row>
    <row r="6041" spans="1:9">
      <c r="A6041" s="108" t="s">
        <v>169</v>
      </c>
      <c r="B6041" s="108" t="s">
        <v>24740</v>
      </c>
      <c r="C6041" s="109">
        <v>44718</v>
      </c>
      <c r="D6041" s="108"/>
      <c r="E6041" s="108" t="s">
        <v>14605</v>
      </c>
      <c r="F6041" s="108" t="s">
        <v>16051</v>
      </c>
      <c r="G6041" s="110"/>
      <c r="H6041" s="108" t="s">
        <v>24683</v>
      </c>
      <c r="I6041" s="108"/>
    </row>
    <row r="6042" spans="1:9">
      <c r="A6042" s="108" t="s">
        <v>169</v>
      </c>
      <c r="B6042" s="108" t="s">
        <v>24741</v>
      </c>
      <c r="C6042" s="109">
        <v>44718</v>
      </c>
      <c r="D6042" s="108"/>
      <c r="E6042" s="108" t="s">
        <v>14605</v>
      </c>
      <c r="F6042" s="108" t="s">
        <v>16051</v>
      </c>
      <c r="G6042" s="110"/>
      <c r="H6042" s="108" t="s">
        <v>24683</v>
      </c>
      <c r="I6042" s="108"/>
    </row>
    <row r="6043" spans="1:9">
      <c r="A6043" s="108" t="s">
        <v>169</v>
      </c>
      <c r="B6043" s="108" t="s">
        <v>24742</v>
      </c>
      <c r="C6043" s="109">
        <v>44718</v>
      </c>
      <c r="D6043" s="108"/>
      <c r="E6043" s="108" t="s">
        <v>14605</v>
      </c>
      <c r="F6043" s="108" t="s">
        <v>16051</v>
      </c>
      <c r="G6043" s="110"/>
      <c r="H6043" s="108" t="s">
        <v>24683</v>
      </c>
      <c r="I6043" s="108"/>
    </row>
    <row r="6044" spans="1:9" ht="27.6">
      <c r="A6044" s="108" t="s">
        <v>118</v>
      </c>
      <c r="B6044" s="108" t="s">
        <v>24743</v>
      </c>
      <c r="C6044" s="109">
        <v>44351</v>
      </c>
      <c r="D6044" s="108" t="s">
        <v>24744</v>
      </c>
      <c r="E6044" s="108" t="s">
        <v>14605</v>
      </c>
      <c r="F6044" s="108" t="s">
        <v>24692</v>
      </c>
      <c r="G6044" s="109">
        <v>45486</v>
      </c>
      <c r="H6044" s="108" t="s">
        <v>24683</v>
      </c>
      <c r="I6044" s="108" t="s">
        <v>24745</v>
      </c>
    </row>
    <row r="6045" spans="1:9">
      <c r="A6045" s="108" t="s">
        <v>169</v>
      </c>
      <c r="B6045" s="108" t="s">
        <v>24746</v>
      </c>
      <c r="C6045" s="109">
        <v>45006</v>
      </c>
      <c r="D6045" s="108" t="s">
        <v>24747</v>
      </c>
      <c r="E6045" s="108" t="s">
        <v>14605</v>
      </c>
      <c r="F6045" s="108" t="s">
        <v>16051</v>
      </c>
      <c r="G6045" s="109">
        <v>45371</v>
      </c>
      <c r="H6045" s="108" t="s">
        <v>24683</v>
      </c>
      <c r="I6045" s="108" t="s">
        <v>108</v>
      </c>
    </row>
    <row r="6046" spans="1:9" ht="27.6">
      <c r="A6046" s="108" t="s">
        <v>1072</v>
      </c>
      <c r="B6046" s="108" t="s">
        <v>24748</v>
      </c>
      <c r="C6046" s="109">
        <v>44873</v>
      </c>
      <c r="D6046" s="108" t="s">
        <v>24749</v>
      </c>
      <c r="E6046" s="108" t="s">
        <v>14605</v>
      </c>
      <c r="F6046" s="108" t="s">
        <v>15989</v>
      </c>
      <c r="G6046" s="109">
        <v>45127</v>
      </c>
      <c r="H6046" s="108" t="s">
        <v>24683</v>
      </c>
      <c r="I6046" s="108" t="s">
        <v>108</v>
      </c>
    </row>
    <row r="6047" spans="1:9" ht="27.6">
      <c r="A6047" s="108" t="s">
        <v>109</v>
      </c>
      <c r="B6047" s="108" t="s">
        <v>24750</v>
      </c>
      <c r="C6047" s="109">
        <v>44879</v>
      </c>
      <c r="D6047" s="108" t="s">
        <v>24751</v>
      </c>
      <c r="E6047" s="108" t="s">
        <v>14605</v>
      </c>
      <c r="F6047" s="108" t="s">
        <v>15989</v>
      </c>
      <c r="G6047" s="109">
        <v>44995</v>
      </c>
      <c r="H6047" s="108" t="s">
        <v>24683</v>
      </c>
      <c r="I6047" s="108" t="s">
        <v>108</v>
      </c>
    </row>
    <row r="6048" spans="1:9" ht="27.6">
      <c r="A6048" s="108" t="s">
        <v>109</v>
      </c>
      <c r="B6048" s="108" t="s">
        <v>24752</v>
      </c>
      <c r="C6048" s="109">
        <v>44424</v>
      </c>
      <c r="D6048" s="108" t="s">
        <v>24753</v>
      </c>
      <c r="E6048" s="108" t="s">
        <v>14605</v>
      </c>
      <c r="F6048" s="108" t="s">
        <v>24754</v>
      </c>
      <c r="G6048" s="109">
        <v>44756</v>
      </c>
      <c r="H6048" s="108" t="s">
        <v>24683</v>
      </c>
      <c r="I6048" s="108" t="s">
        <v>108</v>
      </c>
    </row>
    <row r="6049" spans="1:9" ht="27.6">
      <c r="A6049" s="108" t="s">
        <v>109</v>
      </c>
      <c r="B6049" s="108" t="s">
        <v>24755</v>
      </c>
      <c r="C6049" s="109">
        <v>45063</v>
      </c>
      <c r="D6049" s="108" t="s">
        <v>24756</v>
      </c>
      <c r="E6049" s="108" t="s">
        <v>16121</v>
      </c>
      <c r="F6049" s="108" t="s">
        <v>15989</v>
      </c>
      <c r="G6049" s="109">
        <v>45409</v>
      </c>
      <c r="H6049" s="108" t="s">
        <v>24683</v>
      </c>
      <c r="I6049" s="108" t="s">
        <v>108</v>
      </c>
    </row>
    <row r="6050" spans="1:9" ht="27.6">
      <c r="A6050" s="108" t="s">
        <v>109</v>
      </c>
      <c r="B6050" s="108" t="s">
        <v>24757</v>
      </c>
      <c r="C6050" s="109">
        <v>44536</v>
      </c>
      <c r="D6050" s="108" t="s">
        <v>24758</v>
      </c>
      <c r="E6050" s="108" t="s">
        <v>14605</v>
      </c>
      <c r="F6050" s="108" t="s">
        <v>15989</v>
      </c>
      <c r="G6050" s="109">
        <v>45004</v>
      </c>
      <c r="H6050" s="108" t="s">
        <v>24683</v>
      </c>
      <c r="I6050" s="108" t="s">
        <v>19708</v>
      </c>
    </row>
    <row r="6051" spans="1:9" ht="27.6">
      <c r="A6051" s="108" t="s">
        <v>109</v>
      </c>
      <c r="B6051" s="108" t="s">
        <v>24759</v>
      </c>
      <c r="C6051" s="109">
        <v>44531</v>
      </c>
      <c r="D6051" s="108" t="s">
        <v>24760</v>
      </c>
      <c r="E6051" s="108" t="s">
        <v>14605</v>
      </c>
      <c r="F6051" s="108" t="s">
        <v>24754</v>
      </c>
      <c r="G6051" s="109">
        <v>45487</v>
      </c>
      <c r="H6051" s="108" t="s">
        <v>24683</v>
      </c>
      <c r="I6051" s="108" t="s">
        <v>19708</v>
      </c>
    </row>
    <row r="6052" spans="1:9" ht="27.6">
      <c r="A6052" s="108" t="s">
        <v>981</v>
      </c>
      <c r="B6052" s="108" t="s">
        <v>24761</v>
      </c>
      <c r="C6052" s="109">
        <v>44995</v>
      </c>
      <c r="D6052" s="108" t="s">
        <v>24762</v>
      </c>
      <c r="E6052" s="108" t="s">
        <v>16121</v>
      </c>
      <c r="F6052" s="108" t="s">
        <v>15989</v>
      </c>
      <c r="G6052" s="109">
        <v>45958</v>
      </c>
      <c r="H6052" s="108" t="s">
        <v>24683</v>
      </c>
      <c r="I6052" s="108" t="s">
        <v>19708</v>
      </c>
    </row>
    <row r="6053" spans="1:9" ht="27.6">
      <c r="A6053" s="108" t="s">
        <v>96</v>
      </c>
      <c r="B6053" s="108" t="s">
        <v>24763</v>
      </c>
      <c r="C6053" s="109">
        <v>44223</v>
      </c>
      <c r="D6053" s="108" t="s">
        <v>24764</v>
      </c>
      <c r="E6053" s="108" t="s">
        <v>14605</v>
      </c>
      <c r="F6053" s="108" t="s">
        <v>24765</v>
      </c>
      <c r="G6053" s="109">
        <v>46425</v>
      </c>
      <c r="H6053" s="108" t="s">
        <v>24683</v>
      </c>
      <c r="I6053" s="108" t="s">
        <v>19708</v>
      </c>
    </row>
    <row r="6054" spans="1:9">
      <c r="A6054" s="108" t="s">
        <v>15990</v>
      </c>
      <c r="B6054" s="108" t="s">
        <v>24766</v>
      </c>
      <c r="C6054" s="109">
        <v>44900</v>
      </c>
      <c r="D6054" s="108" t="s">
        <v>24767</v>
      </c>
      <c r="E6054" s="108" t="s">
        <v>14605</v>
      </c>
      <c r="F6054" s="108" t="s">
        <v>15989</v>
      </c>
      <c r="G6054" s="109">
        <v>45592</v>
      </c>
      <c r="H6054" s="108" t="s">
        <v>24683</v>
      </c>
      <c r="I6054" s="108" t="s">
        <v>19708</v>
      </c>
    </row>
    <row r="6055" spans="1:9">
      <c r="A6055" s="108" t="s">
        <v>16151</v>
      </c>
      <c r="B6055" s="108" t="s">
        <v>24768</v>
      </c>
      <c r="C6055" s="109">
        <v>44754</v>
      </c>
      <c r="D6055" s="108" t="s">
        <v>24769</v>
      </c>
      <c r="E6055" s="108" t="s">
        <v>16121</v>
      </c>
      <c r="F6055" s="108" t="s">
        <v>15989</v>
      </c>
      <c r="G6055" s="109">
        <v>45439</v>
      </c>
      <c r="H6055" s="108" t="s">
        <v>24683</v>
      </c>
      <c r="I6055" s="108" t="s">
        <v>19708</v>
      </c>
    </row>
    <row r="6056" spans="1:9">
      <c r="A6056" s="108" t="s">
        <v>8259</v>
      </c>
      <c r="B6056" s="108" t="s">
        <v>24770</v>
      </c>
      <c r="C6056" s="109">
        <v>44547</v>
      </c>
      <c r="D6056" s="108" t="s">
        <v>24771</v>
      </c>
      <c r="E6056" s="108" t="s">
        <v>14605</v>
      </c>
      <c r="F6056" s="108" t="s">
        <v>24754</v>
      </c>
      <c r="G6056" s="109">
        <v>45274</v>
      </c>
      <c r="H6056" s="108" t="s">
        <v>24683</v>
      </c>
      <c r="I6056" s="108" t="s">
        <v>19708</v>
      </c>
    </row>
    <row r="6057" spans="1:9" ht="27.6">
      <c r="A6057" s="108" t="s">
        <v>169</v>
      </c>
      <c r="B6057" s="108" t="s">
        <v>24772</v>
      </c>
      <c r="C6057" s="109">
        <v>43931</v>
      </c>
      <c r="D6057" s="108"/>
      <c r="E6057" s="108" t="s">
        <v>14605</v>
      </c>
      <c r="F6057" s="108" t="s">
        <v>24773</v>
      </c>
      <c r="G6057" s="110"/>
      <c r="H6057" s="108" t="s">
        <v>24774</v>
      </c>
      <c r="I6057" s="108"/>
    </row>
    <row r="6058" spans="1:9" ht="27.6">
      <c r="A6058" s="108" t="s">
        <v>169</v>
      </c>
      <c r="B6058" s="108" t="s">
        <v>24775</v>
      </c>
      <c r="C6058" s="109">
        <v>43969</v>
      </c>
      <c r="D6058" s="108"/>
      <c r="E6058" s="108" t="s">
        <v>14605</v>
      </c>
      <c r="F6058" s="108" t="s">
        <v>24773</v>
      </c>
      <c r="G6058" s="110"/>
      <c r="H6058" s="108" t="s">
        <v>24774</v>
      </c>
      <c r="I6058" s="108"/>
    </row>
    <row r="6059" spans="1:9" ht="27.6">
      <c r="A6059" s="108" t="s">
        <v>169</v>
      </c>
      <c r="B6059" s="108" t="s">
        <v>24776</v>
      </c>
      <c r="C6059" s="109">
        <v>44141</v>
      </c>
      <c r="D6059" s="108"/>
      <c r="E6059" s="108" t="s">
        <v>14605</v>
      </c>
      <c r="F6059" s="108" t="s">
        <v>24773</v>
      </c>
      <c r="G6059" s="110"/>
      <c r="H6059" s="108" t="s">
        <v>24774</v>
      </c>
      <c r="I6059" s="108"/>
    </row>
    <row r="6060" spans="1:9" ht="27.6">
      <c r="A6060" s="108" t="s">
        <v>87</v>
      </c>
      <c r="B6060" s="108" t="s">
        <v>24777</v>
      </c>
      <c r="C6060" s="109">
        <v>43998</v>
      </c>
      <c r="D6060" s="108"/>
      <c r="E6060" s="108" t="s">
        <v>14605</v>
      </c>
      <c r="F6060" s="108" t="s">
        <v>24778</v>
      </c>
      <c r="G6060" s="110"/>
      <c r="H6060" s="108" t="s">
        <v>24774</v>
      </c>
      <c r="I6060" s="108"/>
    </row>
    <row r="6061" spans="1:9" ht="27.6">
      <c r="A6061" s="108" t="s">
        <v>14690</v>
      </c>
      <c r="B6061" s="108" t="s">
        <v>24779</v>
      </c>
      <c r="C6061" s="109">
        <v>43987</v>
      </c>
      <c r="D6061" s="108"/>
      <c r="E6061" s="108" t="s">
        <v>14605</v>
      </c>
      <c r="F6061" s="108" t="s">
        <v>24780</v>
      </c>
      <c r="G6061" s="110"/>
      <c r="H6061" s="108" t="s">
        <v>24774</v>
      </c>
      <c r="I6061" s="108"/>
    </row>
    <row r="6062" spans="1:9" ht="27.6">
      <c r="A6062" s="108" t="s">
        <v>14690</v>
      </c>
      <c r="B6062" s="108" t="s">
        <v>24781</v>
      </c>
      <c r="C6062" s="109">
        <v>44239</v>
      </c>
      <c r="D6062" s="108"/>
      <c r="E6062" s="108" t="s">
        <v>14605</v>
      </c>
      <c r="F6062" s="108" t="s">
        <v>24782</v>
      </c>
      <c r="G6062" s="110"/>
      <c r="H6062" s="108" t="s">
        <v>24774</v>
      </c>
      <c r="I6062" s="108"/>
    </row>
    <row r="6063" spans="1:9" ht="27.6">
      <c r="A6063" s="108" t="s">
        <v>15075</v>
      </c>
      <c r="B6063" s="108" t="s">
        <v>24783</v>
      </c>
      <c r="C6063" s="109">
        <v>45504</v>
      </c>
      <c r="D6063" s="108"/>
      <c r="E6063" s="108" t="s">
        <v>14605</v>
      </c>
      <c r="F6063" s="108" t="s">
        <v>15898</v>
      </c>
      <c r="G6063" s="110"/>
      <c r="H6063" s="108" t="s">
        <v>24774</v>
      </c>
      <c r="I6063" s="108"/>
    </row>
    <row r="6064" spans="1:9">
      <c r="A6064" s="108" t="s">
        <v>227</v>
      </c>
      <c r="B6064" s="108" t="s">
        <v>24784</v>
      </c>
      <c r="C6064" s="109">
        <v>42247</v>
      </c>
      <c r="D6064" s="108"/>
      <c r="E6064" s="108" t="s">
        <v>14605</v>
      </c>
      <c r="F6064" s="108" t="s">
        <v>24785</v>
      </c>
      <c r="G6064" s="110"/>
      <c r="H6064" s="108" t="s">
        <v>24774</v>
      </c>
      <c r="I6064" s="108"/>
    </row>
    <row r="6065" spans="1:9">
      <c r="A6065" s="108" t="s">
        <v>227</v>
      </c>
      <c r="B6065" s="108" t="s">
        <v>24786</v>
      </c>
      <c r="C6065" s="109">
        <v>43377</v>
      </c>
      <c r="D6065" s="108"/>
      <c r="E6065" s="108" t="s">
        <v>14605</v>
      </c>
      <c r="F6065" s="108" t="s">
        <v>24787</v>
      </c>
      <c r="G6065" s="110"/>
      <c r="H6065" s="108" t="s">
        <v>24774</v>
      </c>
      <c r="I6065" s="108"/>
    </row>
    <row r="6066" spans="1:9" ht="27.6">
      <c r="A6066" s="108" t="s">
        <v>118</v>
      </c>
      <c r="B6066" s="108" t="s">
        <v>24788</v>
      </c>
      <c r="C6066" s="109">
        <v>44127</v>
      </c>
      <c r="D6066" s="108"/>
      <c r="E6066" s="108" t="s">
        <v>14605</v>
      </c>
      <c r="F6066" s="108" t="s">
        <v>24789</v>
      </c>
      <c r="G6066" s="110"/>
      <c r="H6066" s="108" t="s">
        <v>24774</v>
      </c>
      <c r="I6066" s="108"/>
    </row>
    <row r="6067" spans="1:9" ht="27.6">
      <c r="A6067" s="108" t="s">
        <v>169</v>
      </c>
      <c r="B6067" s="108" t="s">
        <v>24790</v>
      </c>
      <c r="C6067" s="109">
        <v>44057</v>
      </c>
      <c r="D6067" s="108"/>
      <c r="E6067" s="108" t="s">
        <v>14605</v>
      </c>
      <c r="F6067" s="108" t="s">
        <v>24773</v>
      </c>
      <c r="G6067" s="110"/>
      <c r="H6067" s="108" t="s">
        <v>24774</v>
      </c>
      <c r="I6067" s="108"/>
    </row>
    <row r="6068" spans="1:9" ht="27.6">
      <c r="A6068" s="108" t="s">
        <v>169</v>
      </c>
      <c r="B6068" s="108" t="s">
        <v>24791</v>
      </c>
      <c r="C6068" s="109">
        <v>44218</v>
      </c>
      <c r="D6068" s="108"/>
      <c r="E6068" s="108" t="s">
        <v>14605</v>
      </c>
      <c r="F6068" s="108" t="s">
        <v>24773</v>
      </c>
      <c r="G6068" s="110"/>
      <c r="H6068" s="108" t="s">
        <v>24774</v>
      </c>
      <c r="I6068" s="108"/>
    </row>
    <row r="6069" spans="1:9" ht="27.6">
      <c r="A6069" s="108" t="s">
        <v>169</v>
      </c>
      <c r="B6069" s="108" t="s">
        <v>24792</v>
      </c>
      <c r="C6069" s="109">
        <v>44281</v>
      </c>
      <c r="D6069" s="108"/>
      <c r="E6069" s="108" t="s">
        <v>14605</v>
      </c>
      <c r="F6069" s="108" t="s">
        <v>24773</v>
      </c>
      <c r="G6069" s="110"/>
      <c r="H6069" s="108" t="s">
        <v>24774</v>
      </c>
      <c r="I6069" s="108"/>
    </row>
    <row r="6070" spans="1:9" ht="27.6">
      <c r="A6070" s="108" t="s">
        <v>169</v>
      </c>
      <c r="B6070" s="108" t="s">
        <v>24793</v>
      </c>
      <c r="C6070" s="109">
        <v>44463</v>
      </c>
      <c r="D6070" s="108"/>
      <c r="E6070" s="108" t="s">
        <v>14605</v>
      </c>
      <c r="F6070" s="108" t="s">
        <v>24773</v>
      </c>
      <c r="G6070" s="110"/>
      <c r="H6070" s="108" t="s">
        <v>24774</v>
      </c>
      <c r="I6070" s="108"/>
    </row>
    <row r="6071" spans="1:9" ht="27.6">
      <c r="A6071" s="108" t="s">
        <v>169</v>
      </c>
      <c r="B6071" s="108" t="s">
        <v>24794</v>
      </c>
      <c r="C6071" s="109">
        <v>45013</v>
      </c>
      <c r="D6071" s="108" t="s">
        <v>24795</v>
      </c>
      <c r="E6071" s="108" t="s">
        <v>14605</v>
      </c>
      <c r="F6071" s="108" t="s">
        <v>24773</v>
      </c>
      <c r="G6071" s="109">
        <v>45378</v>
      </c>
      <c r="H6071" s="108" t="s">
        <v>24774</v>
      </c>
      <c r="I6071" s="108" t="s">
        <v>108</v>
      </c>
    </row>
    <row r="6072" spans="1:9" ht="27.6">
      <c r="A6072" s="108" t="s">
        <v>169</v>
      </c>
      <c r="B6072" s="108" t="s">
        <v>24796</v>
      </c>
      <c r="C6072" s="109">
        <v>45043</v>
      </c>
      <c r="D6072" s="108" t="s">
        <v>24797</v>
      </c>
      <c r="E6072" s="108" t="s">
        <v>14605</v>
      </c>
      <c r="F6072" s="108" t="s">
        <v>24773</v>
      </c>
      <c r="G6072" s="109">
        <v>45408</v>
      </c>
      <c r="H6072" s="108" t="s">
        <v>24774</v>
      </c>
      <c r="I6072" s="108" t="s">
        <v>108</v>
      </c>
    </row>
    <row r="6073" spans="1:9" ht="27.6">
      <c r="A6073" s="108" t="s">
        <v>169</v>
      </c>
      <c r="B6073" s="108" t="s">
        <v>24798</v>
      </c>
      <c r="C6073" s="109">
        <v>45057</v>
      </c>
      <c r="D6073" s="108" t="s">
        <v>24799</v>
      </c>
      <c r="E6073" s="108" t="s">
        <v>14605</v>
      </c>
      <c r="F6073" s="108" t="s">
        <v>24773</v>
      </c>
      <c r="G6073" s="109">
        <v>45422</v>
      </c>
      <c r="H6073" s="108" t="s">
        <v>24774</v>
      </c>
      <c r="I6073" s="108" t="s">
        <v>108</v>
      </c>
    </row>
    <row r="6074" spans="1:9" ht="27.6">
      <c r="A6074" s="108" t="s">
        <v>109</v>
      </c>
      <c r="B6074" s="108" t="s">
        <v>24800</v>
      </c>
      <c r="C6074" s="109">
        <v>44734</v>
      </c>
      <c r="D6074" s="108" t="s">
        <v>24801</v>
      </c>
      <c r="E6074" s="108" t="s">
        <v>14605</v>
      </c>
      <c r="F6074" s="108" t="s">
        <v>15898</v>
      </c>
      <c r="G6074" s="109">
        <v>45072</v>
      </c>
      <c r="H6074" s="108" t="s">
        <v>24802</v>
      </c>
      <c r="I6074" s="108" t="s">
        <v>108</v>
      </c>
    </row>
    <row r="6075" spans="1:9" ht="27.6">
      <c r="A6075" s="108" t="s">
        <v>109</v>
      </c>
      <c r="B6075" s="108" t="s">
        <v>24803</v>
      </c>
      <c r="C6075" s="109">
        <v>45487</v>
      </c>
      <c r="D6075" s="108" t="s">
        <v>24804</v>
      </c>
      <c r="E6075" s="108" t="s">
        <v>14605</v>
      </c>
      <c r="F6075" s="108" t="s">
        <v>15898</v>
      </c>
      <c r="G6075" s="109">
        <v>45823</v>
      </c>
      <c r="H6075" s="108" t="s">
        <v>24774</v>
      </c>
      <c r="I6075" s="108" t="s">
        <v>108</v>
      </c>
    </row>
    <row r="6076" spans="1:9" ht="27.6">
      <c r="A6076" s="108" t="s">
        <v>96</v>
      </c>
      <c r="B6076" s="108" t="s">
        <v>24805</v>
      </c>
      <c r="C6076" s="109">
        <v>45504</v>
      </c>
      <c r="D6076" s="108" t="s">
        <v>24806</v>
      </c>
      <c r="E6076" s="108" t="s">
        <v>14605</v>
      </c>
      <c r="F6076" s="108" t="s">
        <v>15898</v>
      </c>
      <c r="G6076" s="109">
        <v>46226</v>
      </c>
      <c r="H6076" s="108" t="s">
        <v>24774</v>
      </c>
      <c r="I6076" s="108" t="s">
        <v>19708</v>
      </c>
    </row>
    <row r="6077" spans="1:9" ht="27.6">
      <c r="A6077" s="108" t="s">
        <v>14950</v>
      </c>
      <c r="B6077" s="108" t="s">
        <v>24807</v>
      </c>
      <c r="C6077" s="109">
        <v>43531</v>
      </c>
      <c r="D6077" s="108"/>
      <c r="E6077" s="108" t="s">
        <v>14605</v>
      </c>
      <c r="F6077" s="108" t="s">
        <v>24808</v>
      </c>
      <c r="G6077" s="110"/>
      <c r="H6077" s="108" t="s">
        <v>24809</v>
      </c>
      <c r="I6077" s="108"/>
    </row>
    <row r="6078" spans="1:9" ht="27.6">
      <c r="A6078" s="108" t="s">
        <v>96</v>
      </c>
      <c r="B6078" s="108" t="s">
        <v>24810</v>
      </c>
      <c r="C6078" s="109">
        <v>43531</v>
      </c>
      <c r="D6078" s="108" t="s">
        <v>24811</v>
      </c>
      <c r="E6078" s="108" t="s">
        <v>14605</v>
      </c>
      <c r="F6078" s="108" t="s">
        <v>24808</v>
      </c>
      <c r="G6078" s="109">
        <v>44255</v>
      </c>
      <c r="H6078" s="108" t="s">
        <v>24809</v>
      </c>
      <c r="I6078" s="108" t="s">
        <v>102</v>
      </c>
    </row>
    <row r="6079" spans="1:9">
      <c r="A6079" s="108" t="s">
        <v>169</v>
      </c>
      <c r="B6079" s="108" t="s">
        <v>24812</v>
      </c>
      <c r="C6079" s="109">
        <v>43896</v>
      </c>
      <c r="D6079" s="108"/>
      <c r="E6079" s="108" t="s">
        <v>14605</v>
      </c>
      <c r="F6079" s="108" t="s">
        <v>22835</v>
      </c>
      <c r="G6079" s="110"/>
      <c r="H6079" s="108" t="s">
        <v>24813</v>
      </c>
      <c r="I6079" s="108"/>
    </row>
    <row r="6080" spans="1:9" ht="27.6">
      <c r="A6080" s="108" t="s">
        <v>19366</v>
      </c>
      <c r="B6080" s="108" t="s">
        <v>24814</v>
      </c>
      <c r="C6080" s="109">
        <v>44372</v>
      </c>
      <c r="D6080" s="108" t="s">
        <v>24815</v>
      </c>
      <c r="E6080" s="108" t="s">
        <v>14605</v>
      </c>
      <c r="F6080" s="108" t="s">
        <v>24816</v>
      </c>
      <c r="G6080" s="109">
        <v>44743</v>
      </c>
      <c r="H6080" s="108" t="s">
        <v>24817</v>
      </c>
      <c r="I6080" s="108" t="s">
        <v>108</v>
      </c>
    </row>
    <row r="6081" spans="1:9">
      <c r="A6081" s="108" t="s">
        <v>169</v>
      </c>
      <c r="B6081" s="108" t="s">
        <v>24818</v>
      </c>
      <c r="C6081" s="109">
        <v>43896</v>
      </c>
      <c r="D6081" s="108"/>
      <c r="E6081" s="108" t="s">
        <v>14605</v>
      </c>
      <c r="F6081" s="108" t="s">
        <v>24819</v>
      </c>
      <c r="G6081" s="110"/>
      <c r="H6081" s="108" t="s">
        <v>24820</v>
      </c>
      <c r="I6081" s="108"/>
    </row>
    <row r="6082" spans="1:9">
      <c r="A6082" s="108" t="s">
        <v>169</v>
      </c>
      <c r="B6082" s="108" t="s">
        <v>24821</v>
      </c>
      <c r="C6082" s="109">
        <v>44148</v>
      </c>
      <c r="D6082" s="108"/>
      <c r="E6082" s="108" t="s">
        <v>14605</v>
      </c>
      <c r="F6082" s="108" t="s">
        <v>24819</v>
      </c>
      <c r="G6082" s="110"/>
      <c r="H6082" s="108" t="s">
        <v>24820</v>
      </c>
      <c r="I6082" s="108"/>
    </row>
    <row r="6083" spans="1:9" ht="27.6">
      <c r="A6083" s="108" t="s">
        <v>87</v>
      </c>
      <c r="B6083" s="108" t="s">
        <v>24822</v>
      </c>
      <c r="C6083" s="109">
        <v>44188</v>
      </c>
      <c r="D6083" s="108"/>
      <c r="E6083" s="108" t="s">
        <v>14605</v>
      </c>
      <c r="F6083" s="108" t="s">
        <v>24823</v>
      </c>
      <c r="G6083" s="110"/>
      <c r="H6083" s="108" t="s">
        <v>24820</v>
      </c>
      <c r="I6083" s="108"/>
    </row>
    <row r="6084" spans="1:9" ht="27.6">
      <c r="A6084" s="108" t="s">
        <v>14950</v>
      </c>
      <c r="B6084" s="108" t="s">
        <v>24824</v>
      </c>
      <c r="C6084" s="109">
        <v>44622</v>
      </c>
      <c r="D6084" s="108"/>
      <c r="E6084" s="108" t="s">
        <v>14605</v>
      </c>
      <c r="F6084" s="108" t="s">
        <v>19843</v>
      </c>
      <c r="G6084" s="110"/>
      <c r="H6084" s="108" t="s">
        <v>24820</v>
      </c>
      <c r="I6084" s="108"/>
    </row>
    <row r="6085" spans="1:9" ht="27.6">
      <c r="A6085" s="108" t="s">
        <v>17130</v>
      </c>
      <c r="B6085" s="108" t="s">
        <v>24825</v>
      </c>
      <c r="C6085" s="109">
        <v>44371</v>
      </c>
      <c r="D6085" s="108"/>
      <c r="E6085" s="108" t="s">
        <v>14605</v>
      </c>
      <c r="F6085" s="108" t="s">
        <v>24819</v>
      </c>
      <c r="G6085" s="110"/>
      <c r="H6085" s="108" t="s">
        <v>24820</v>
      </c>
      <c r="I6085" s="108"/>
    </row>
    <row r="6086" spans="1:9" ht="27.6">
      <c r="A6086" s="108" t="s">
        <v>14690</v>
      </c>
      <c r="B6086" s="108" t="s">
        <v>24826</v>
      </c>
      <c r="C6086" s="109">
        <v>43889</v>
      </c>
      <c r="D6086" s="108"/>
      <c r="E6086" s="108" t="s">
        <v>14605</v>
      </c>
      <c r="F6086" s="108" t="s">
        <v>24819</v>
      </c>
      <c r="G6086" s="110"/>
      <c r="H6086" s="108" t="s">
        <v>24820</v>
      </c>
      <c r="I6086" s="108"/>
    </row>
    <row r="6087" spans="1:9" ht="27.6">
      <c r="A6087" s="108" t="s">
        <v>981</v>
      </c>
      <c r="B6087" s="108" t="s">
        <v>24827</v>
      </c>
      <c r="C6087" s="109">
        <v>44517</v>
      </c>
      <c r="D6087" s="108" t="s">
        <v>24828</v>
      </c>
      <c r="E6087" s="108" t="s">
        <v>14605</v>
      </c>
      <c r="F6087" s="108" t="s">
        <v>19843</v>
      </c>
      <c r="G6087" s="109">
        <v>44980</v>
      </c>
      <c r="H6087" s="108" t="s">
        <v>24820</v>
      </c>
      <c r="I6087" s="108" t="s">
        <v>95</v>
      </c>
    </row>
    <row r="6088" spans="1:9" ht="27.6">
      <c r="A6088" s="108" t="s">
        <v>17130</v>
      </c>
      <c r="B6088" s="108" t="s">
        <v>24829</v>
      </c>
      <c r="C6088" s="109">
        <v>44574</v>
      </c>
      <c r="D6088" s="108" t="s">
        <v>24830</v>
      </c>
      <c r="E6088" s="108" t="s">
        <v>14605</v>
      </c>
      <c r="F6088" s="108" t="s">
        <v>24819</v>
      </c>
      <c r="G6088" s="109">
        <v>45303</v>
      </c>
      <c r="H6088" s="108" t="s">
        <v>24820</v>
      </c>
      <c r="I6088" s="108" t="s">
        <v>24831</v>
      </c>
    </row>
    <row r="6089" spans="1:9">
      <c r="A6089" s="108" t="s">
        <v>16986</v>
      </c>
      <c r="B6089" s="108" t="s">
        <v>24832</v>
      </c>
      <c r="C6089" s="109">
        <v>44300</v>
      </c>
      <c r="D6089" s="108" t="s">
        <v>24833</v>
      </c>
      <c r="E6089" s="108" t="s">
        <v>14605</v>
      </c>
      <c r="F6089" s="108" t="s">
        <v>19843</v>
      </c>
      <c r="G6089" s="109">
        <v>44664</v>
      </c>
      <c r="H6089" s="108" t="s">
        <v>24820</v>
      </c>
      <c r="I6089" s="108" t="s">
        <v>108</v>
      </c>
    </row>
    <row r="6090" spans="1:9" ht="27.6">
      <c r="A6090" s="108" t="s">
        <v>388</v>
      </c>
      <c r="B6090" s="108" t="s">
        <v>24834</v>
      </c>
      <c r="C6090" s="109">
        <v>44622</v>
      </c>
      <c r="D6090" s="108" t="s">
        <v>24835</v>
      </c>
      <c r="E6090" s="108" t="s">
        <v>14605</v>
      </c>
      <c r="F6090" s="108" t="s">
        <v>19843</v>
      </c>
      <c r="G6090" s="109">
        <v>45685</v>
      </c>
      <c r="H6090" s="108" t="s">
        <v>24820</v>
      </c>
      <c r="I6090" s="108" t="s">
        <v>19708</v>
      </c>
    </row>
    <row r="6091" spans="1:9">
      <c r="A6091" s="108" t="s">
        <v>169</v>
      </c>
      <c r="B6091" s="108" t="s">
        <v>24836</v>
      </c>
      <c r="C6091" s="109">
        <v>43521</v>
      </c>
      <c r="D6091" s="108"/>
      <c r="E6091" s="108" t="s">
        <v>14605</v>
      </c>
      <c r="F6091" s="108" t="s">
        <v>24837</v>
      </c>
      <c r="G6091" s="110"/>
      <c r="H6091" s="108" t="s">
        <v>24838</v>
      </c>
      <c r="I6091" s="108"/>
    </row>
    <row r="6092" spans="1:9">
      <c r="A6092" s="108" t="s">
        <v>14928</v>
      </c>
      <c r="B6092" s="108" t="s">
        <v>24839</v>
      </c>
      <c r="C6092" s="109">
        <v>42474</v>
      </c>
      <c r="D6092" s="108"/>
      <c r="E6092" s="108" t="s">
        <v>14605</v>
      </c>
      <c r="F6092" s="108" t="s">
        <v>15157</v>
      </c>
      <c r="G6092" s="110"/>
      <c r="H6092" s="108" t="s">
        <v>24838</v>
      </c>
      <c r="I6092" s="108"/>
    </row>
    <row r="6093" spans="1:9">
      <c r="A6093" s="108" t="s">
        <v>237</v>
      </c>
      <c r="B6093" s="108" t="s">
        <v>24840</v>
      </c>
      <c r="C6093" s="109">
        <v>41700</v>
      </c>
      <c r="D6093" s="108"/>
      <c r="E6093" s="108" t="s">
        <v>14605</v>
      </c>
      <c r="F6093" s="108" t="s">
        <v>24841</v>
      </c>
      <c r="G6093" s="110"/>
      <c r="H6093" s="108" t="s">
        <v>24838</v>
      </c>
      <c r="I6093" s="108"/>
    </row>
    <row r="6094" spans="1:9">
      <c r="A6094" s="108" t="s">
        <v>1465</v>
      </c>
      <c r="B6094" s="108" t="s">
        <v>24842</v>
      </c>
      <c r="C6094" s="109">
        <v>41197</v>
      </c>
      <c r="D6094" s="108"/>
      <c r="E6094" s="108" t="s">
        <v>14605</v>
      </c>
      <c r="F6094" s="108" t="s">
        <v>24843</v>
      </c>
      <c r="G6094" s="110"/>
      <c r="H6094" s="108" t="s">
        <v>24838</v>
      </c>
      <c r="I6094" s="108"/>
    </row>
    <row r="6095" spans="1:9">
      <c r="A6095" s="108" t="s">
        <v>14679</v>
      </c>
      <c r="B6095" s="108" t="s">
        <v>24844</v>
      </c>
      <c r="C6095" s="109">
        <v>41284</v>
      </c>
      <c r="D6095" s="108"/>
      <c r="E6095" s="108" t="s">
        <v>14605</v>
      </c>
      <c r="F6095" s="108" t="s">
        <v>24845</v>
      </c>
      <c r="G6095" s="110"/>
      <c r="H6095" s="108" t="s">
        <v>24838</v>
      </c>
      <c r="I6095" s="108"/>
    </row>
    <row r="6096" spans="1:9">
      <c r="A6096" s="108" t="s">
        <v>2623</v>
      </c>
      <c r="B6096" s="108" t="s">
        <v>24846</v>
      </c>
      <c r="C6096" s="109">
        <v>41284</v>
      </c>
      <c r="D6096" s="108"/>
      <c r="E6096" s="108" t="s">
        <v>14605</v>
      </c>
      <c r="F6096" s="108" t="s">
        <v>24847</v>
      </c>
      <c r="G6096" s="110"/>
      <c r="H6096" s="108" t="s">
        <v>24838</v>
      </c>
      <c r="I6096" s="108"/>
    </row>
    <row r="6097" spans="1:9">
      <c r="A6097" s="108" t="s">
        <v>2002</v>
      </c>
      <c r="B6097" s="108" t="s">
        <v>24848</v>
      </c>
      <c r="C6097" s="109">
        <v>41443</v>
      </c>
      <c r="D6097" s="108"/>
      <c r="E6097" s="108" t="s">
        <v>14605</v>
      </c>
      <c r="F6097" s="108" t="s">
        <v>24849</v>
      </c>
      <c r="G6097" s="110"/>
      <c r="H6097" s="108" t="s">
        <v>24838</v>
      </c>
      <c r="I6097" s="108"/>
    </row>
    <row r="6098" spans="1:9">
      <c r="A6098" s="108" t="s">
        <v>2002</v>
      </c>
      <c r="B6098" s="108" t="s">
        <v>24850</v>
      </c>
      <c r="C6098" s="109">
        <v>41779</v>
      </c>
      <c r="D6098" s="108"/>
      <c r="E6098" s="108" t="s">
        <v>14605</v>
      </c>
      <c r="F6098" s="108" t="s">
        <v>24851</v>
      </c>
      <c r="G6098" s="110"/>
      <c r="H6098" s="108" t="s">
        <v>24838</v>
      </c>
      <c r="I6098" s="108"/>
    </row>
    <row r="6099" spans="1:9" ht="27.6">
      <c r="A6099" s="108" t="s">
        <v>14690</v>
      </c>
      <c r="B6099" s="108" t="s">
        <v>24852</v>
      </c>
      <c r="C6099" s="109">
        <v>41039</v>
      </c>
      <c r="D6099" s="108"/>
      <c r="E6099" s="108" t="s">
        <v>14605</v>
      </c>
      <c r="F6099" s="108" t="s">
        <v>24853</v>
      </c>
      <c r="G6099" s="110"/>
      <c r="H6099" s="108" t="s">
        <v>24838</v>
      </c>
      <c r="I6099" s="108"/>
    </row>
    <row r="6100" spans="1:9">
      <c r="A6100" s="108" t="s">
        <v>237</v>
      </c>
      <c r="B6100" s="108" t="s">
        <v>24854</v>
      </c>
      <c r="C6100" s="109">
        <v>41346</v>
      </c>
      <c r="D6100" s="108"/>
      <c r="E6100" s="108" t="s">
        <v>14605</v>
      </c>
      <c r="F6100" s="108" t="s">
        <v>24855</v>
      </c>
      <c r="G6100" s="110"/>
      <c r="H6100" s="108" t="s">
        <v>24838</v>
      </c>
      <c r="I6100" s="108"/>
    </row>
    <row r="6101" spans="1:9">
      <c r="A6101" s="108" t="s">
        <v>237</v>
      </c>
      <c r="B6101" s="108" t="s">
        <v>24856</v>
      </c>
      <c r="C6101" s="109">
        <v>41310</v>
      </c>
      <c r="D6101" s="108"/>
      <c r="E6101" s="108" t="s">
        <v>14605</v>
      </c>
      <c r="F6101" s="108" t="s">
        <v>24857</v>
      </c>
      <c r="G6101" s="110"/>
      <c r="H6101" s="108" t="s">
        <v>24838</v>
      </c>
      <c r="I6101" s="108"/>
    </row>
    <row r="6102" spans="1:9" ht="27.6">
      <c r="A6102" s="108" t="s">
        <v>14690</v>
      </c>
      <c r="B6102" s="108" t="s">
        <v>24858</v>
      </c>
      <c r="C6102" s="109">
        <v>41332</v>
      </c>
      <c r="D6102" s="108"/>
      <c r="E6102" s="108" t="s">
        <v>14605</v>
      </c>
      <c r="F6102" s="108" t="s">
        <v>24859</v>
      </c>
      <c r="G6102" s="110"/>
      <c r="H6102" s="108" t="s">
        <v>24838</v>
      </c>
      <c r="I6102" s="108"/>
    </row>
    <row r="6103" spans="1:9">
      <c r="A6103" s="108" t="s">
        <v>237</v>
      </c>
      <c r="B6103" s="108" t="s">
        <v>24860</v>
      </c>
      <c r="C6103" s="109">
        <v>41374</v>
      </c>
      <c r="D6103" s="108"/>
      <c r="E6103" s="108" t="s">
        <v>14605</v>
      </c>
      <c r="F6103" s="108" t="s">
        <v>24861</v>
      </c>
      <c r="G6103" s="110"/>
      <c r="H6103" s="108" t="s">
        <v>24838</v>
      </c>
      <c r="I6103" s="108"/>
    </row>
    <row r="6104" spans="1:9">
      <c r="A6104" s="108" t="s">
        <v>237</v>
      </c>
      <c r="B6104" s="108" t="s">
        <v>24862</v>
      </c>
      <c r="C6104" s="109">
        <v>41671</v>
      </c>
      <c r="D6104" s="108"/>
      <c r="E6104" s="108" t="s">
        <v>14605</v>
      </c>
      <c r="F6104" s="108" t="s">
        <v>15405</v>
      </c>
      <c r="G6104" s="110"/>
      <c r="H6104" s="108" t="s">
        <v>24838</v>
      </c>
      <c r="I6104" s="108"/>
    </row>
    <row r="6105" spans="1:9">
      <c r="A6105" s="108" t="s">
        <v>237</v>
      </c>
      <c r="B6105" s="108" t="s">
        <v>24863</v>
      </c>
      <c r="C6105" s="109">
        <v>41653</v>
      </c>
      <c r="D6105" s="108"/>
      <c r="E6105" s="108" t="s">
        <v>14605</v>
      </c>
      <c r="F6105" s="108" t="s">
        <v>24864</v>
      </c>
      <c r="G6105" s="110"/>
      <c r="H6105" s="108" t="s">
        <v>24838</v>
      </c>
      <c r="I6105" s="108"/>
    </row>
    <row r="6106" spans="1:9">
      <c r="A6106" s="108" t="s">
        <v>87</v>
      </c>
      <c r="B6106" s="108" t="s">
        <v>24865</v>
      </c>
      <c r="C6106" s="109">
        <v>41856</v>
      </c>
      <c r="D6106" s="108"/>
      <c r="E6106" s="108" t="s">
        <v>14605</v>
      </c>
      <c r="F6106" s="108" t="s">
        <v>14725</v>
      </c>
      <c r="G6106" s="110"/>
      <c r="H6106" s="108" t="s">
        <v>24838</v>
      </c>
      <c r="I6106" s="108"/>
    </row>
    <row r="6107" spans="1:9" ht="27.6">
      <c r="A6107" s="108" t="s">
        <v>14690</v>
      </c>
      <c r="B6107" s="108" t="s">
        <v>24866</v>
      </c>
      <c r="C6107" s="109">
        <v>41752</v>
      </c>
      <c r="D6107" s="108"/>
      <c r="E6107" s="108" t="s">
        <v>14605</v>
      </c>
      <c r="F6107" s="108" t="s">
        <v>24867</v>
      </c>
      <c r="G6107" s="110"/>
      <c r="H6107" s="108" t="s">
        <v>24838</v>
      </c>
      <c r="I6107" s="108"/>
    </row>
    <row r="6108" spans="1:9" ht="27.6">
      <c r="A6108" s="108" t="s">
        <v>14690</v>
      </c>
      <c r="B6108" s="108" t="s">
        <v>24868</v>
      </c>
      <c r="C6108" s="109">
        <v>41799</v>
      </c>
      <c r="D6108" s="108"/>
      <c r="E6108" s="108" t="s">
        <v>14605</v>
      </c>
      <c r="F6108" s="108" t="s">
        <v>24869</v>
      </c>
      <c r="G6108" s="110"/>
      <c r="H6108" s="108" t="s">
        <v>24838</v>
      </c>
      <c r="I6108" s="108"/>
    </row>
    <row r="6109" spans="1:9">
      <c r="A6109" s="108" t="s">
        <v>87</v>
      </c>
      <c r="B6109" s="108" t="s">
        <v>24870</v>
      </c>
      <c r="C6109" s="109">
        <v>41399</v>
      </c>
      <c r="D6109" s="108"/>
      <c r="E6109" s="108" t="s">
        <v>14605</v>
      </c>
      <c r="F6109" s="108" t="s">
        <v>24871</v>
      </c>
      <c r="G6109" s="110"/>
      <c r="H6109" s="108" t="s">
        <v>24838</v>
      </c>
      <c r="I6109" s="108"/>
    </row>
    <row r="6110" spans="1:9" ht="27.6">
      <c r="A6110" s="108" t="s">
        <v>185</v>
      </c>
      <c r="B6110" s="108" t="s">
        <v>24872</v>
      </c>
      <c r="C6110" s="109">
        <v>42650</v>
      </c>
      <c r="D6110" s="108"/>
      <c r="E6110" s="108" t="s">
        <v>14605</v>
      </c>
      <c r="F6110" s="108" t="s">
        <v>24873</v>
      </c>
      <c r="G6110" s="110"/>
      <c r="H6110" s="108" t="s">
        <v>24838</v>
      </c>
      <c r="I6110" s="108"/>
    </row>
    <row r="6111" spans="1:9">
      <c r="A6111" s="108" t="s">
        <v>169</v>
      </c>
      <c r="B6111" s="108" t="s">
        <v>24874</v>
      </c>
      <c r="C6111" s="109">
        <v>41943</v>
      </c>
      <c r="D6111" s="108"/>
      <c r="E6111" s="108" t="s">
        <v>14605</v>
      </c>
      <c r="F6111" s="108" t="s">
        <v>15159</v>
      </c>
      <c r="G6111" s="110"/>
      <c r="H6111" s="108" t="s">
        <v>24838</v>
      </c>
      <c r="I6111" s="108"/>
    </row>
    <row r="6112" spans="1:9">
      <c r="A6112" s="108" t="s">
        <v>169</v>
      </c>
      <c r="B6112" s="108" t="s">
        <v>24875</v>
      </c>
      <c r="C6112" s="109">
        <v>41243</v>
      </c>
      <c r="D6112" s="108"/>
      <c r="E6112" s="108" t="s">
        <v>14605</v>
      </c>
      <c r="F6112" s="108" t="s">
        <v>24876</v>
      </c>
      <c r="G6112" s="110"/>
      <c r="H6112" s="108" t="s">
        <v>24838</v>
      </c>
      <c r="I6112" s="108"/>
    </row>
    <row r="6113" spans="1:9">
      <c r="A6113" s="108" t="s">
        <v>169</v>
      </c>
      <c r="B6113" s="108" t="s">
        <v>24877</v>
      </c>
      <c r="C6113" s="109">
        <v>41470</v>
      </c>
      <c r="D6113" s="108"/>
      <c r="E6113" s="108" t="s">
        <v>14605</v>
      </c>
      <c r="F6113" s="108" t="s">
        <v>24878</v>
      </c>
      <c r="G6113" s="110"/>
      <c r="H6113" s="108" t="s">
        <v>24838</v>
      </c>
      <c r="I6113" s="108"/>
    </row>
    <row r="6114" spans="1:9">
      <c r="A6114" s="108" t="s">
        <v>169</v>
      </c>
      <c r="B6114" s="108" t="s">
        <v>24879</v>
      </c>
      <c r="C6114" s="109">
        <v>41437</v>
      </c>
      <c r="D6114" s="108"/>
      <c r="E6114" s="108" t="s">
        <v>14605</v>
      </c>
      <c r="F6114" s="108" t="s">
        <v>24841</v>
      </c>
      <c r="G6114" s="110"/>
      <c r="H6114" s="108" t="s">
        <v>24838</v>
      </c>
      <c r="I6114" s="108"/>
    </row>
    <row r="6115" spans="1:9">
      <c r="A6115" s="108" t="s">
        <v>169</v>
      </c>
      <c r="B6115" s="108" t="s">
        <v>24880</v>
      </c>
      <c r="C6115" s="109">
        <v>41459</v>
      </c>
      <c r="D6115" s="108"/>
      <c r="E6115" s="108" t="s">
        <v>14605</v>
      </c>
      <c r="F6115" s="108" t="s">
        <v>24881</v>
      </c>
      <c r="G6115" s="110"/>
      <c r="H6115" s="108" t="s">
        <v>24838</v>
      </c>
      <c r="I6115" s="108"/>
    </row>
    <row r="6116" spans="1:9" ht="27.6">
      <c r="A6116" s="108" t="s">
        <v>169</v>
      </c>
      <c r="B6116" s="108" t="s">
        <v>24882</v>
      </c>
      <c r="C6116" s="109">
        <v>41247</v>
      </c>
      <c r="D6116" s="108"/>
      <c r="E6116" s="108" t="s">
        <v>14605</v>
      </c>
      <c r="F6116" s="108" t="s">
        <v>14750</v>
      </c>
      <c r="G6116" s="110"/>
      <c r="H6116" s="108" t="s">
        <v>24838</v>
      </c>
      <c r="I6116" s="108"/>
    </row>
    <row r="6117" spans="1:9">
      <c r="A6117" s="108" t="s">
        <v>169</v>
      </c>
      <c r="B6117" s="108" t="s">
        <v>24883</v>
      </c>
      <c r="C6117" s="109">
        <v>41493</v>
      </c>
      <c r="D6117" s="108"/>
      <c r="E6117" s="108" t="s">
        <v>14605</v>
      </c>
      <c r="F6117" s="108" t="s">
        <v>24859</v>
      </c>
      <c r="G6117" s="110"/>
      <c r="H6117" s="108" t="s">
        <v>24838</v>
      </c>
      <c r="I6117" s="108"/>
    </row>
    <row r="6118" spans="1:9">
      <c r="A6118" s="108" t="s">
        <v>169</v>
      </c>
      <c r="B6118" s="108" t="s">
        <v>24884</v>
      </c>
      <c r="C6118" s="109">
        <v>41708</v>
      </c>
      <c r="D6118" s="108"/>
      <c r="E6118" s="108" t="s">
        <v>14605</v>
      </c>
      <c r="F6118" s="108" t="s">
        <v>24885</v>
      </c>
      <c r="G6118" s="110"/>
      <c r="H6118" s="108" t="s">
        <v>24838</v>
      </c>
      <c r="I6118" s="108"/>
    </row>
    <row r="6119" spans="1:9">
      <c r="A6119" s="108" t="s">
        <v>169</v>
      </c>
      <c r="B6119" s="108" t="s">
        <v>24886</v>
      </c>
      <c r="C6119" s="109">
        <v>41550</v>
      </c>
      <c r="D6119" s="108"/>
      <c r="E6119" s="108" t="s">
        <v>14605</v>
      </c>
      <c r="F6119" s="108" t="s">
        <v>24887</v>
      </c>
      <c r="G6119" s="110"/>
      <c r="H6119" s="108" t="s">
        <v>24838</v>
      </c>
      <c r="I6119" s="108"/>
    </row>
    <row r="6120" spans="1:9">
      <c r="A6120" s="108" t="s">
        <v>169</v>
      </c>
      <c r="B6120" s="108" t="s">
        <v>24888</v>
      </c>
      <c r="C6120" s="109">
        <v>41660</v>
      </c>
      <c r="D6120" s="108"/>
      <c r="E6120" s="108" t="s">
        <v>14605</v>
      </c>
      <c r="F6120" s="108" t="s">
        <v>14741</v>
      </c>
      <c r="G6120" s="110"/>
      <c r="H6120" s="108" t="s">
        <v>24838</v>
      </c>
      <c r="I6120" s="108"/>
    </row>
    <row r="6121" spans="1:9">
      <c r="A6121" s="108" t="s">
        <v>169</v>
      </c>
      <c r="B6121" s="108" t="s">
        <v>24889</v>
      </c>
      <c r="C6121" s="109">
        <v>41813</v>
      </c>
      <c r="D6121" s="108"/>
      <c r="E6121" s="108" t="s">
        <v>14605</v>
      </c>
      <c r="F6121" s="108" t="s">
        <v>16407</v>
      </c>
      <c r="G6121" s="110"/>
      <c r="H6121" s="108" t="s">
        <v>24838</v>
      </c>
      <c r="I6121" s="108"/>
    </row>
    <row r="6122" spans="1:9">
      <c r="A6122" s="108" t="s">
        <v>169</v>
      </c>
      <c r="B6122" s="108" t="s">
        <v>24890</v>
      </c>
      <c r="C6122" s="109">
        <v>41817</v>
      </c>
      <c r="D6122" s="108"/>
      <c r="E6122" s="108" t="s">
        <v>14605</v>
      </c>
      <c r="F6122" s="108" t="s">
        <v>24891</v>
      </c>
      <c r="G6122" s="110"/>
      <c r="H6122" s="108" t="s">
        <v>24838</v>
      </c>
      <c r="I6122" s="108"/>
    </row>
    <row r="6123" spans="1:9">
      <c r="A6123" s="108" t="s">
        <v>169</v>
      </c>
      <c r="B6123" s="108" t="s">
        <v>24892</v>
      </c>
      <c r="C6123" s="109">
        <v>41891</v>
      </c>
      <c r="D6123" s="108"/>
      <c r="E6123" s="108" t="s">
        <v>14605</v>
      </c>
      <c r="F6123" s="108" t="s">
        <v>24841</v>
      </c>
      <c r="G6123" s="110"/>
      <c r="H6123" s="108" t="s">
        <v>24838</v>
      </c>
      <c r="I6123" s="108"/>
    </row>
    <row r="6124" spans="1:9" ht="27.6">
      <c r="A6124" s="108" t="s">
        <v>169</v>
      </c>
      <c r="B6124" s="108" t="s">
        <v>24893</v>
      </c>
      <c r="C6124" s="109">
        <v>42160</v>
      </c>
      <c r="D6124" s="108"/>
      <c r="E6124" s="108" t="s">
        <v>14605</v>
      </c>
      <c r="F6124" s="108" t="s">
        <v>24894</v>
      </c>
      <c r="G6124" s="110"/>
      <c r="H6124" s="108" t="s">
        <v>24838</v>
      </c>
      <c r="I6124" s="108"/>
    </row>
    <row r="6125" spans="1:9" ht="27.6">
      <c r="A6125" s="108" t="s">
        <v>169</v>
      </c>
      <c r="B6125" s="108" t="s">
        <v>24895</v>
      </c>
      <c r="C6125" s="109">
        <v>42273</v>
      </c>
      <c r="D6125" s="108"/>
      <c r="E6125" s="108" t="s">
        <v>14605</v>
      </c>
      <c r="F6125" s="108" t="s">
        <v>24896</v>
      </c>
      <c r="G6125" s="110"/>
      <c r="H6125" s="108" t="s">
        <v>24838</v>
      </c>
      <c r="I6125" s="108"/>
    </row>
    <row r="6126" spans="1:9">
      <c r="A6126" s="108" t="s">
        <v>169</v>
      </c>
      <c r="B6126" s="108" t="s">
        <v>24897</v>
      </c>
      <c r="C6126" s="109">
        <v>42404</v>
      </c>
      <c r="D6126" s="108"/>
      <c r="E6126" s="108" t="s">
        <v>14605</v>
      </c>
      <c r="F6126" s="108" t="s">
        <v>24898</v>
      </c>
      <c r="G6126" s="110"/>
      <c r="H6126" s="108" t="s">
        <v>24838</v>
      </c>
      <c r="I6126" s="108"/>
    </row>
    <row r="6127" spans="1:9">
      <c r="A6127" s="108" t="s">
        <v>169</v>
      </c>
      <c r="B6127" s="108" t="s">
        <v>24899</v>
      </c>
      <c r="C6127" s="109">
        <v>42346</v>
      </c>
      <c r="D6127" s="108"/>
      <c r="E6127" s="108" t="s">
        <v>14605</v>
      </c>
      <c r="F6127" s="108" t="s">
        <v>24900</v>
      </c>
      <c r="G6127" s="110"/>
      <c r="H6127" s="108" t="s">
        <v>24838</v>
      </c>
      <c r="I6127" s="108"/>
    </row>
    <row r="6128" spans="1:9">
      <c r="A6128" s="108" t="s">
        <v>169</v>
      </c>
      <c r="B6128" s="108" t="s">
        <v>24901</v>
      </c>
      <c r="C6128" s="109">
        <v>42361</v>
      </c>
      <c r="D6128" s="108"/>
      <c r="E6128" s="108" t="s">
        <v>14605</v>
      </c>
      <c r="F6128" s="108" t="s">
        <v>24837</v>
      </c>
      <c r="G6128" s="110"/>
      <c r="H6128" s="108" t="s">
        <v>24838</v>
      </c>
      <c r="I6128" s="108"/>
    </row>
    <row r="6129" spans="1:9">
      <c r="A6129" s="108" t="s">
        <v>169</v>
      </c>
      <c r="B6129" s="108" t="s">
        <v>24902</v>
      </c>
      <c r="C6129" s="109">
        <v>42447</v>
      </c>
      <c r="D6129" s="108"/>
      <c r="E6129" s="108" t="s">
        <v>14605</v>
      </c>
      <c r="F6129" s="108" t="s">
        <v>14741</v>
      </c>
      <c r="G6129" s="110"/>
      <c r="H6129" s="108" t="s">
        <v>24838</v>
      </c>
      <c r="I6129" s="108"/>
    </row>
    <row r="6130" spans="1:9">
      <c r="A6130" s="108" t="s">
        <v>169</v>
      </c>
      <c r="B6130" s="108" t="s">
        <v>24903</v>
      </c>
      <c r="C6130" s="109">
        <v>42437</v>
      </c>
      <c r="D6130" s="108"/>
      <c r="E6130" s="108" t="s">
        <v>14605</v>
      </c>
      <c r="F6130" s="108" t="s">
        <v>24904</v>
      </c>
      <c r="G6130" s="110"/>
      <c r="H6130" s="108" t="s">
        <v>24838</v>
      </c>
      <c r="I6130" s="108"/>
    </row>
    <row r="6131" spans="1:9">
      <c r="A6131" s="108" t="s">
        <v>169</v>
      </c>
      <c r="B6131" s="108" t="s">
        <v>24905</v>
      </c>
      <c r="C6131" s="109">
        <v>42670</v>
      </c>
      <c r="D6131" s="108"/>
      <c r="E6131" s="108" t="s">
        <v>14605</v>
      </c>
      <c r="F6131" s="108" t="s">
        <v>24906</v>
      </c>
      <c r="G6131" s="110"/>
      <c r="H6131" s="108" t="s">
        <v>24838</v>
      </c>
      <c r="I6131" s="108"/>
    </row>
    <row r="6132" spans="1:9">
      <c r="A6132" s="108" t="s">
        <v>169</v>
      </c>
      <c r="B6132" s="108" t="s">
        <v>24907</v>
      </c>
      <c r="C6132" s="109">
        <v>42805</v>
      </c>
      <c r="D6132" s="108"/>
      <c r="E6132" s="108" t="s">
        <v>14605</v>
      </c>
      <c r="F6132" s="108" t="s">
        <v>24908</v>
      </c>
      <c r="G6132" s="110"/>
      <c r="H6132" s="108" t="s">
        <v>24838</v>
      </c>
      <c r="I6132" s="108"/>
    </row>
    <row r="6133" spans="1:9">
      <c r="A6133" s="108" t="s">
        <v>169</v>
      </c>
      <c r="B6133" s="108" t="s">
        <v>24909</v>
      </c>
      <c r="C6133" s="109">
        <v>43089</v>
      </c>
      <c r="D6133" s="108"/>
      <c r="E6133" s="108" t="s">
        <v>14605</v>
      </c>
      <c r="F6133" s="108" t="s">
        <v>24910</v>
      </c>
      <c r="G6133" s="110"/>
      <c r="H6133" s="108" t="s">
        <v>24838</v>
      </c>
      <c r="I6133" s="108"/>
    </row>
    <row r="6134" spans="1:9">
      <c r="A6134" s="108" t="s">
        <v>169</v>
      </c>
      <c r="B6134" s="108" t="s">
        <v>24911</v>
      </c>
      <c r="C6134" s="109">
        <v>43000</v>
      </c>
      <c r="D6134" s="108"/>
      <c r="E6134" s="108" t="s">
        <v>14605</v>
      </c>
      <c r="F6134" s="108" t="s">
        <v>24912</v>
      </c>
      <c r="G6134" s="110"/>
      <c r="H6134" s="108" t="s">
        <v>24838</v>
      </c>
      <c r="I6134" s="108"/>
    </row>
    <row r="6135" spans="1:9">
      <c r="A6135" s="108" t="s">
        <v>169</v>
      </c>
      <c r="B6135" s="108" t="s">
        <v>24913</v>
      </c>
      <c r="C6135" s="109">
        <v>43004</v>
      </c>
      <c r="D6135" s="108"/>
      <c r="E6135" s="108" t="s">
        <v>14605</v>
      </c>
      <c r="F6135" s="108" t="s">
        <v>24912</v>
      </c>
      <c r="G6135" s="110"/>
      <c r="H6135" s="108" t="s">
        <v>24838</v>
      </c>
      <c r="I6135" s="108"/>
    </row>
    <row r="6136" spans="1:9">
      <c r="A6136" s="108" t="s">
        <v>169</v>
      </c>
      <c r="B6136" s="108" t="s">
        <v>24914</v>
      </c>
      <c r="C6136" s="109">
        <v>43089</v>
      </c>
      <c r="D6136" s="108"/>
      <c r="E6136" s="108" t="s">
        <v>14605</v>
      </c>
      <c r="F6136" s="108" t="s">
        <v>24910</v>
      </c>
      <c r="G6136" s="110"/>
      <c r="H6136" s="108" t="s">
        <v>24838</v>
      </c>
      <c r="I6136" s="108"/>
    </row>
    <row r="6137" spans="1:9">
      <c r="A6137" s="108" t="s">
        <v>169</v>
      </c>
      <c r="B6137" s="108" t="s">
        <v>24915</v>
      </c>
      <c r="C6137" s="109">
        <v>43089</v>
      </c>
      <c r="D6137" s="108"/>
      <c r="E6137" s="108" t="s">
        <v>14605</v>
      </c>
      <c r="F6137" s="108" t="s">
        <v>24910</v>
      </c>
      <c r="G6137" s="110"/>
      <c r="H6137" s="108" t="s">
        <v>24838</v>
      </c>
      <c r="I6137" s="108"/>
    </row>
    <row r="6138" spans="1:9">
      <c r="A6138" s="108" t="s">
        <v>169</v>
      </c>
      <c r="B6138" s="108" t="s">
        <v>24916</v>
      </c>
      <c r="C6138" s="109">
        <v>43089</v>
      </c>
      <c r="D6138" s="108"/>
      <c r="E6138" s="108" t="s">
        <v>14605</v>
      </c>
      <c r="F6138" s="108" t="s">
        <v>24910</v>
      </c>
      <c r="G6138" s="110"/>
      <c r="H6138" s="108" t="s">
        <v>24838</v>
      </c>
      <c r="I6138" s="108"/>
    </row>
    <row r="6139" spans="1:9">
      <c r="A6139" s="108" t="s">
        <v>169</v>
      </c>
      <c r="B6139" s="108" t="s">
        <v>24917</v>
      </c>
      <c r="C6139" s="109">
        <v>43025</v>
      </c>
      <c r="D6139" s="108"/>
      <c r="E6139" s="108" t="s">
        <v>14605</v>
      </c>
      <c r="F6139" s="108" t="s">
        <v>14730</v>
      </c>
      <c r="G6139" s="110"/>
      <c r="H6139" s="108" t="s">
        <v>24838</v>
      </c>
      <c r="I6139" s="108"/>
    </row>
    <row r="6140" spans="1:9">
      <c r="A6140" s="108" t="s">
        <v>169</v>
      </c>
      <c r="B6140" s="108" t="s">
        <v>24918</v>
      </c>
      <c r="C6140" s="109">
        <v>43080</v>
      </c>
      <c r="D6140" s="108"/>
      <c r="E6140" s="108" t="s">
        <v>14605</v>
      </c>
      <c r="F6140" s="108" t="s">
        <v>15159</v>
      </c>
      <c r="G6140" s="110"/>
      <c r="H6140" s="108" t="s">
        <v>24838</v>
      </c>
      <c r="I6140" s="108"/>
    </row>
    <row r="6141" spans="1:9">
      <c r="A6141" s="108" t="s">
        <v>169</v>
      </c>
      <c r="B6141" s="108" t="s">
        <v>24919</v>
      </c>
      <c r="C6141" s="109">
        <v>43152</v>
      </c>
      <c r="D6141" s="108"/>
      <c r="E6141" s="108" t="s">
        <v>14605</v>
      </c>
      <c r="F6141" s="108" t="s">
        <v>24841</v>
      </c>
      <c r="G6141" s="110"/>
      <c r="H6141" s="108" t="s">
        <v>24838</v>
      </c>
      <c r="I6141" s="108"/>
    </row>
    <row r="6142" spans="1:9" ht="27.6">
      <c r="A6142" s="108" t="s">
        <v>169</v>
      </c>
      <c r="B6142" s="108" t="s">
        <v>24920</v>
      </c>
      <c r="C6142" s="109">
        <v>43154</v>
      </c>
      <c r="D6142" s="108"/>
      <c r="E6142" s="108" t="s">
        <v>14605</v>
      </c>
      <c r="F6142" s="108" t="s">
        <v>24921</v>
      </c>
      <c r="G6142" s="110"/>
      <c r="H6142" s="108" t="s">
        <v>24838</v>
      </c>
      <c r="I6142" s="108"/>
    </row>
    <row r="6143" spans="1:9">
      <c r="A6143" s="108" t="s">
        <v>169</v>
      </c>
      <c r="B6143" s="108" t="s">
        <v>24922</v>
      </c>
      <c r="C6143" s="109">
        <v>43223</v>
      </c>
      <c r="D6143" s="108"/>
      <c r="E6143" s="108" t="s">
        <v>14605</v>
      </c>
      <c r="F6143" s="108" t="s">
        <v>24841</v>
      </c>
      <c r="G6143" s="110"/>
      <c r="H6143" s="108" t="s">
        <v>24838</v>
      </c>
      <c r="I6143" s="108"/>
    </row>
    <row r="6144" spans="1:9">
      <c r="A6144" s="108" t="s">
        <v>169</v>
      </c>
      <c r="B6144" s="108" t="s">
        <v>24923</v>
      </c>
      <c r="C6144" s="109">
        <v>43322</v>
      </c>
      <c r="D6144" s="108"/>
      <c r="E6144" s="108" t="s">
        <v>14605</v>
      </c>
      <c r="F6144" s="108" t="s">
        <v>24924</v>
      </c>
      <c r="G6144" s="110"/>
      <c r="H6144" s="108" t="s">
        <v>24838</v>
      </c>
      <c r="I6144" s="108"/>
    </row>
    <row r="6145" spans="1:9">
      <c r="A6145" s="108" t="s">
        <v>169</v>
      </c>
      <c r="B6145" s="108" t="s">
        <v>24925</v>
      </c>
      <c r="C6145" s="109">
        <v>43306</v>
      </c>
      <c r="D6145" s="108"/>
      <c r="E6145" s="108" t="s">
        <v>14605</v>
      </c>
      <c r="F6145" s="108" t="s">
        <v>15761</v>
      </c>
      <c r="G6145" s="110"/>
      <c r="H6145" s="108" t="s">
        <v>24838</v>
      </c>
      <c r="I6145" s="108"/>
    </row>
    <row r="6146" spans="1:9">
      <c r="A6146" s="108" t="s">
        <v>169</v>
      </c>
      <c r="B6146" s="108" t="s">
        <v>24926</v>
      </c>
      <c r="C6146" s="109">
        <v>43306</v>
      </c>
      <c r="D6146" s="108"/>
      <c r="E6146" s="108" t="s">
        <v>14605</v>
      </c>
      <c r="F6146" s="108" t="s">
        <v>24841</v>
      </c>
      <c r="G6146" s="110"/>
      <c r="H6146" s="108" t="s">
        <v>24838</v>
      </c>
      <c r="I6146" s="108"/>
    </row>
    <row r="6147" spans="1:9">
      <c r="A6147" s="108" t="s">
        <v>169</v>
      </c>
      <c r="B6147" s="108" t="s">
        <v>24927</v>
      </c>
      <c r="C6147" s="109">
        <v>43521</v>
      </c>
      <c r="D6147" s="108"/>
      <c r="E6147" s="108" t="s">
        <v>14605</v>
      </c>
      <c r="F6147" s="108" t="s">
        <v>24928</v>
      </c>
      <c r="G6147" s="110"/>
      <c r="H6147" s="108" t="s">
        <v>24838</v>
      </c>
      <c r="I6147" s="108"/>
    </row>
    <row r="6148" spans="1:9">
      <c r="A6148" s="108" t="s">
        <v>169</v>
      </c>
      <c r="B6148" s="108" t="s">
        <v>24929</v>
      </c>
      <c r="C6148" s="109">
        <v>43521</v>
      </c>
      <c r="D6148" s="108"/>
      <c r="E6148" s="108" t="s">
        <v>14605</v>
      </c>
      <c r="F6148" s="108" t="s">
        <v>24928</v>
      </c>
      <c r="G6148" s="110"/>
      <c r="H6148" s="108" t="s">
        <v>24838</v>
      </c>
      <c r="I6148" s="108"/>
    </row>
    <row r="6149" spans="1:9">
      <c r="A6149" s="108" t="s">
        <v>169</v>
      </c>
      <c r="B6149" s="108" t="s">
        <v>24930</v>
      </c>
      <c r="C6149" s="109">
        <v>43438</v>
      </c>
      <c r="D6149" s="108"/>
      <c r="E6149" s="108" t="s">
        <v>14605</v>
      </c>
      <c r="F6149" s="108" t="s">
        <v>24928</v>
      </c>
      <c r="G6149" s="110"/>
      <c r="H6149" s="108" t="s">
        <v>24838</v>
      </c>
      <c r="I6149" s="108"/>
    </row>
    <row r="6150" spans="1:9">
      <c r="A6150" s="108" t="s">
        <v>169</v>
      </c>
      <c r="B6150" s="108" t="s">
        <v>24931</v>
      </c>
      <c r="C6150" s="109">
        <v>43438</v>
      </c>
      <c r="D6150" s="108"/>
      <c r="E6150" s="108" t="s">
        <v>14605</v>
      </c>
      <c r="F6150" s="108" t="s">
        <v>24928</v>
      </c>
      <c r="G6150" s="110"/>
      <c r="H6150" s="108" t="s">
        <v>24838</v>
      </c>
      <c r="I6150" s="108"/>
    </row>
    <row r="6151" spans="1:9">
      <c r="A6151" s="108" t="s">
        <v>169</v>
      </c>
      <c r="B6151" s="108" t="s">
        <v>24932</v>
      </c>
      <c r="C6151" s="109">
        <v>43570</v>
      </c>
      <c r="D6151" s="108"/>
      <c r="E6151" s="108" t="s">
        <v>14605</v>
      </c>
      <c r="F6151" s="108" t="s">
        <v>24885</v>
      </c>
      <c r="G6151" s="110"/>
      <c r="H6151" s="108" t="s">
        <v>24838</v>
      </c>
      <c r="I6151" s="108"/>
    </row>
    <row r="6152" spans="1:9">
      <c r="A6152" s="108" t="s">
        <v>169</v>
      </c>
      <c r="B6152" s="108" t="s">
        <v>24933</v>
      </c>
      <c r="C6152" s="109">
        <v>43822</v>
      </c>
      <c r="D6152" s="108"/>
      <c r="E6152" s="108" t="s">
        <v>14605</v>
      </c>
      <c r="F6152" s="108" t="s">
        <v>24934</v>
      </c>
      <c r="G6152" s="110"/>
      <c r="H6152" s="108" t="s">
        <v>24838</v>
      </c>
      <c r="I6152" s="108"/>
    </row>
    <row r="6153" spans="1:9">
      <c r="A6153" s="108" t="s">
        <v>237</v>
      </c>
      <c r="B6153" s="108" t="s">
        <v>24935</v>
      </c>
      <c r="C6153" s="109">
        <v>43642</v>
      </c>
      <c r="D6153" s="108"/>
      <c r="E6153" s="108" t="s">
        <v>14605</v>
      </c>
      <c r="F6153" s="108" t="s">
        <v>24936</v>
      </c>
      <c r="G6153" s="110"/>
      <c r="H6153" s="108" t="s">
        <v>24838</v>
      </c>
      <c r="I6153" s="108"/>
    </row>
    <row r="6154" spans="1:9" ht="27.6">
      <c r="A6154" s="108" t="s">
        <v>14690</v>
      </c>
      <c r="B6154" s="108" t="s">
        <v>24937</v>
      </c>
      <c r="C6154" s="109">
        <v>42094</v>
      </c>
      <c r="D6154" s="108"/>
      <c r="E6154" s="108" t="s">
        <v>14605</v>
      </c>
      <c r="F6154" s="108" t="s">
        <v>14750</v>
      </c>
      <c r="G6154" s="110"/>
      <c r="H6154" s="108" t="s">
        <v>24838</v>
      </c>
      <c r="I6154" s="108"/>
    </row>
    <row r="6155" spans="1:9" ht="27.6">
      <c r="A6155" s="108" t="s">
        <v>14690</v>
      </c>
      <c r="B6155" s="108" t="s">
        <v>24938</v>
      </c>
      <c r="C6155" s="109">
        <v>42304</v>
      </c>
      <c r="D6155" s="108"/>
      <c r="E6155" s="108" t="s">
        <v>14605</v>
      </c>
      <c r="F6155" s="108" t="s">
        <v>24939</v>
      </c>
      <c r="G6155" s="110"/>
      <c r="H6155" s="108" t="s">
        <v>24838</v>
      </c>
      <c r="I6155" s="108"/>
    </row>
    <row r="6156" spans="1:9" ht="27.6">
      <c r="A6156" s="108" t="s">
        <v>14690</v>
      </c>
      <c r="B6156" s="108" t="s">
        <v>24940</v>
      </c>
      <c r="C6156" s="109">
        <v>42311</v>
      </c>
      <c r="D6156" s="108"/>
      <c r="E6156" s="108" t="s">
        <v>14605</v>
      </c>
      <c r="F6156" s="108" t="s">
        <v>24941</v>
      </c>
      <c r="G6156" s="110"/>
      <c r="H6156" s="108" t="s">
        <v>24838</v>
      </c>
      <c r="I6156" s="108"/>
    </row>
    <row r="6157" spans="1:9" ht="27.6">
      <c r="A6157" s="108" t="s">
        <v>14690</v>
      </c>
      <c r="B6157" s="108" t="s">
        <v>24942</v>
      </c>
      <c r="C6157" s="109">
        <v>42450</v>
      </c>
      <c r="D6157" s="108"/>
      <c r="E6157" s="108" t="s">
        <v>14605</v>
      </c>
      <c r="F6157" s="108" t="s">
        <v>24943</v>
      </c>
      <c r="G6157" s="110"/>
      <c r="H6157" s="108" t="s">
        <v>24838</v>
      </c>
      <c r="I6157" s="108"/>
    </row>
    <row r="6158" spans="1:9" ht="27.6">
      <c r="A6158" s="108" t="s">
        <v>14690</v>
      </c>
      <c r="B6158" s="108" t="s">
        <v>24944</v>
      </c>
      <c r="C6158" s="109">
        <v>42724</v>
      </c>
      <c r="D6158" s="108"/>
      <c r="E6158" s="108" t="s">
        <v>14605</v>
      </c>
      <c r="F6158" s="108" t="s">
        <v>24941</v>
      </c>
      <c r="G6158" s="110"/>
      <c r="H6158" s="108" t="s">
        <v>24838</v>
      </c>
      <c r="I6158" s="108"/>
    </row>
    <row r="6159" spans="1:9" ht="27.6">
      <c r="A6159" s="108" t="s">
        <v>14690</v>
      </c>
      <c r="B6159" s="108" t="s">
        <v>24945</v>
      </c>
      <c r="C6159" s="109">
        <v>43237</v>
      </c>
      <c r="D6159" s="108"/>
      <c r="E6159" s="108" t="s">
        <v>14605</v>
      </c>
      <c r="F6159" s="108" t="s">
        <v>14904</v>
      </c>
      <c r="G6159" s="110"/>
      <c r="H6159" s="108" t="s">
        <v>24838</v>
      </c>
      <c r="I6159" s="108"/>
    </row>
    <row r="6160" spans="1:9">
      <c r="A6160" s="108" t="s">
        <v>237</v>
      </c>
      <c r="B6160" s="108" t="s">
        <v>24946</v>
      </c>
      <c r="C6160" s="109">
        <v>42242</v>
      </c>
      <c r="D6160" s="108"/>
      <c r="E6160" s="108" t="s">
        <v>14605</v>
      </c>
      <c r="F6160" s="108" t="s">
        <v>24906</v>
      </c>
      <c r="G6160" s="110"/>
      <c r="H6160" s="108" t="s">
        <v>24838</v>
      </c>
      <c r="I6160" s="108"/>
    </row>
    <row r="6161" spans="1:9">
      <c r="A6161" s="108" t="s">
        <v>237</v>
      </c>
      <c r="B6161" s="108" t="s">
        <v>24947</v>
      </c>
      <c r="C6161" s="109">
        <v>43628</v>
      </c>
      <c r="D6161" s="108"/>
      <c r="E6161" s="108" t="s">
        <v>14605</v>
      </c>
      <c r="F6161" s="108" t="s">
        <v>24948</v>
      </c>
      <c r="G6161" s="110"/>
      <c r="H6161" s="108" t="s">
        <v>24838</v>
      </c>
      <c r="I6161" s="108"/>
    </row>
    <row r="6162" spans="1:9">
      <c r="A6162" s="108" t="s">
        <v>15043</v>
      </c>
      <c r="B6162" s="108" t="s">
        <v>24949</v>
      </c>
      <c r="C6162" s="109">
        <v>42359</v>
      </c>
      <c r="D6162" s="108"/>
      <c r="E6162" s="108" t="s">
        <v>14605</v>
      </c>
      <c r="F6162" s="108" t="s">
        <v>14912</v>
      </c>
      <c r="G6162" s="110"/>
      <c r="H6162" s="108" t="s">
        <v>24838</v>
      </c>
      <c r="I6162" s="108"/>
    </row>
    <row r="6163" spans="1:9" ht="27.6">
      <c r="A6163" s="108" t="s">
        <v>15043</v>
      </c>
      <c r="B6163" s="108" t="s">
        <v>24950</v>
      </c>
      <c r="C6163" s="109">
        <v>42490</v>
      </c>
      <c r="D6163" s="108"/>
      <c r="E6163" s="108" t="s">
        <v>14605</v>
      </c>
      <c r="F6163" s="108" t="s">
        <v>24951</v>
      </c>
      <c r="G6163" s="110"/>
      <c r="H6163" s="108" t="s">
        <v>24838</v>
      </c>
      <c r="I6163" s="108"/>
    </row>
    <row r="6164" spans="1:9" ht="27.6">
      <c r="A6164" s="108" t="s">
        <v>571</v>
      </c>
      <c r="B6164" s="108" t="s">
        <v>24952</v>
      </c>
      <c r="C6164" s="109">
        <v>41884</v>
      </c>
      <c r="D6164" s="108"/>
      <c r="E6164" s="108" t="s">
        <v>14605</v>
      </c>
      <c r="F6164" s="108" t="s">
        <v>24953</v>
      </c>
      <c r="G6164" s="110"/>
      <c r="H6164" s="108" t="s">
        <v>24838</v>
      </c>
      <c r="I6164" s="108"/>
    </row>
    <row r="6165" spans="1:9">
      <c r="A6165" s="108" t="s">
        <v>571</v>
      </c>
      <c r="B6165" s="108" t="s">
        <v>24954</v>
      </c>
      <c r="C6165" s="109">
        <v>41955</v>
      </c>
      <c r="D6165" s="108"/>
      <c r="E6165" s="108" t="s">
        <v>14605</v>
      </c>
      <c r="F6165" s="108" t="s">
        <v>14732</v>
      </c>
      <c r="G6165" s="110"/>
      <c r="H6165" s="108" t="s">
        <v>24838</v>
      </c>
      <c r="I6165" s="108"/>
    </row>
    <row r="6166" spans="1:9">
      <c r="A6166" s="108" t="s">
        <v>571</v>
      </c>
      <c r="B6166" s="108" t="s">
        <v>24955</v>
      </c>
      <c r="C6166" s="109">
        <v>43090</v>
      </c>
      <c r="D6166" s="108"/>
      <c r="E6166" s="108" t="s">
        <v>14605</v>
      </c>
      <c r="F6166" s="108" t="s">
        <v>24956</v>
      </c>
      <c r="G6166" s="110"/>
      <c r="H6166" s="108" t="s">
        <v>24838</v>
      </c>
      <c r="I6166" s="108"/>
    </row>
    <row r="6167" spans="1:9">
      <c r="A6167" s="108" t="s">
        <v>571</v>
      </c>
      <c r="B6167" s="108" t="s">
        <v>24957</v>
      </c>
      <c r="C6167" s="109">
        <v>42676</v>
      </c>
      <c r="D6167" s="108"/>
      <c r="E6167" s="108" t="s">
        <v>14605</v>
      </c>
      <c r="F6167" s="108" t="s">
        <v>24958</v>
      </c>
      <c r="G6167" s="110"/>
      <c r="H6167" s="108" t="s">
        <v>24838</v>
      </c>
      <c r="I6167" s="108"/>
    </row>
    <row r="6168" spans="1:9">
      <c r="A6168" s="108" t="s">
        <v>2002</v>
      </c>
      <c r="B6168" s="108" t="s">
        <v>24959</v>
      </c>
      <c r="C6168" s="109">
        <v>42346</v>
      </c>
      <c r="D6168" s="108"/>
      <c r="E6168" s="108" t="s">
        <v>14605</v>
      </c>
      <c r="F6168" s="108" t="s">
        <v>24851</v>
      </c>
      <c r="G6168" s="110"/>
      <c r="H6168" s="108" t="s">
        <v>24838</v>
      </c>
      <c r="I6168" s="108"/>
    </row>
    <row r="6169" spans="1:9">
      <c r="A6169" s="108" t="s">
        <v>1465</v>
      </c>
      <c r="B6169" s="108" t="s">
        <v>24960</v>
      </c>
      <c r="C6169" s="109">
        <v>42579</v>
      </c>
      <c r="D6169" s="108"/>
      <c r="E6169" s="108" t="s">
        <v>14605</v>
      </c>
      <c r="F6169" s="108" t="s">
        <v>24961</v>
      </c>
      <c r="G6169" s="110"/>
      <c r="H6169" s="108" t="s">
        <v>24838</v>
      </c>
      <c r="I6169" s="108"/>
    </row>
    <row r="6170" spans="1:9">
      <c r="A6170" s="108" t="s">
        <v>1465</v>
      </c>
      <c r="B6170" s="108" t="s">
        <v>24962</v>
      </c>
      <c r="C6170" s="109">
        <v>43217</v>
      </c>
      <c r="D6170" s="108"/>
      <c r="E6170" s="108" t="s">
        <v>14605</v>
      </c>
      <c r="F6170" s="108" t="s">
        <v>24939</v>
      </c>
      <c r="G6170" s="110"/>
      <c r="H6170" s="108" t="s">
        <v>24838</v>
      </c>
      <c r="I6170" s="108"/>
    </row>
    <row r="6171" spans="1:9">
      <c r="A6171" s="108" t="s">
        <v>14928</v>
      </c>
      <c r="B6171" s="108" t="s">
        <v>24963</v>
      </c>
      <c r="C6171" s="109">
        <v>42655</v>
      </c>
      <c r="D6171" s="108"/>
      <c r="E6171" s="108" t="s">
        <v>14605</v>
      </c>
      <c r="F6171" s="108" t="s">
        <v>24964</v>
      </c>
      <c r="G6171" s="110"/>
      <c r="H6171" s="108" t="s">
        <v>24838</v>
      </c>
      <c r="I6171" s="108"/>
    </row>
    <row r="6172" spans="1:9" ht="27.6">
      <c r="A6172" s="108" t="s">
        <v>14929</v>
      </c>
      <c r="B6172" s="108" t="s">
        <v>24965</v>
      </c>
      <c r="C6172" s="109">
        <v>43642</v>
      </c>
      <c r="D6172" s="108"/>
      <c r="E6172" s="108" t="s">
        <v>14605</v>
      </c>
      <c r="F6172" s="108" t="s">
        <v>24964</v>
      </c>
      <c r="G6172" s="110"/>
      <c r="H6172" s="108" t="s">
        <v>24838</v>
      </c>
      <c r="I6172" s="108"/>
    </row>
    <row r="6173" spans="1:9">
      <c r="A6173" s="108" t="s">
        <v>169</v>
      </c>
      <c r="B6173" s="108" t="s">
        <v>24966</v>
      </c>
      <c r="C6173" s="109">
        <v>42504</v>
      </c>
      <c r="D6173" s="108"/>
      <c r="E6173" s="108" t="s">
        <v>14605</v>
      </c>
      <c r="F6173" s="108" t="s">
        <v>24841</v>
      </c>
      <c r="G6173" s="110"/>
      <c r="H6173" s="108" t="s">
        <v>24838</v>
      </c>
      <c r="I6173" s="108"/>
    </row>
    <row r="6174" spans="1:9" ht="27.6">
      <c r="A6174" s="108" t="s">
        <v>14950</v>
      </c>
      <c r="B6174" s="108" t="s">
        <v>24967</v>
      </c>
      <c r="C6174" s="109">
        <v>44001</v>
      </c>
      <c r="D6174" s="108"/>
      <c r="E6174" s="108" t="s">
        <v>16121</v>
      </c>
      <c r="F6174" s="108" t="s">
        <v>24968</v>
      </c>
      <c r="G6174" s="110"/>
      <c r="H6174" s="108" t="s">
        <v>24838</v>
      </c>
      <c r="I6174" s="108"/>
    </row>
    <row r="6175" spans="1:9" ht="27.6">
      <c r="A6175" s="108" t="s">
        <v>14950</v>
      </c>
      <c r="B6175" s="108" t="s">
        <v>24969</v>
      </c>
      <c r="C6175" s="109">
        <v>44984</v>
      </c>
      <c r="D6175" s="108"/>
      <c r="E6175" s="108" t="s">
        <v>14605</v>
      </c>
      <c r="F6175" s="108" t="s">
        <v>24968</v>
      </c>
      <c r="G6175" s="110"/>
      <c r="H6175" s="108" t="s">
        <v>24838</v>
      </c>
      <c r="I6175" s="108"/>
    </row>
    <row r="6176" spans="1:9" ht="27.6">
      <c r="A6176" s="108" t="s">
        <v>1591</v>
      </c>
      <c r="B6176" s="108" t="s">
        <v>24970</v>
      </c>
      <c r="C6176" s="109">
        <v>43476</v>
      </c>
      <c r="D6176" s="108"/>
      <c r="E6176" s="108" t="s">
        <v>14605</v>
      </c>
      <c r="F6176" s="108" t="s">
        <v>24971</v>
      </c>
      <c r="G6176" s="110"/>
      <c r="H6176" s="108" t="s">
        <v>24838</v>
      </c>
      <c r="I6176" s="108"/>
    </row>
    <row r="6177" spans="1:9" ht="27.6">
      <c r="A6177" s="108" t="s">
        <v>1591</v>
      </c>
      <c r="B6177" s="108" t="s">
        <v>24972</v>
      </c>
      <c r="C6177" s="109">
        <v>43607</v>
      </c>
      <c r="D6177" s="108"/>
      <c r="E6177" s="108" t="s">
        <v>14605</v>
      </c>
      <c r="F6177" s="108" t="s">
        <v>24878</v>
      </c>
      <c r="G6177" s="110"/>
      <c r="H6177" s="108" t="s">
        <v>24838</v>
      </c>
      <c r="I6177" s="108"/>
    </row>
    <row r="6178" spans="1:9" ht="27.6">
      <c r="A6178" s="108" t="s">
        <v>14690</v>
      </c>
      <c r="B6178" s="108" t="s">
        <v>24973</v>
      </c>
      <c r="C6178" s="109">
        <v>44078</v>
      </c>
      <c r="D6178" s="108"/>
      <c r="E6178" s="108" t="s">
        <v>14605</v>
      </c>
      <c r="F6178" s="108" t="s">
        <v>24849</v>
      </c>
      <c r="G6178" s="110"/>
      <c r="H6178" s="108" t="s">
        <v>24838</v>
      </c>
      <c r="I6178" s="108"/>
    </row>
    <row r="6179" spans="1:9">
      <c r="A6179" s="108" t="s">
        <v>87</v>
      </c>
      <c r="B6179" s="108" t="s">
        <v>24974</v>
      </c>
      <c r="C6179" s="109">
        <v>44244</v>
      </c>
      <c r="D6179" s="108"/>
      <c r="E6179" s="108" t="s">
        <v>14605</v>
      </c>
      <c r="F6179" s="108" t="s">
        <v>24975</v>
      </c>
      <c r="G6179" s="110"/>
      <c r="H6179" s="108" t="s">
        <v>24838</v>
      </c>
      <c r="I6179" s="108"/>
    </row>
    <row r="6180" spans="1:9" ht="27.6">
      <c r="A6180" s="108" t="s">
        <v>14690</v>
      </c>
      <c r="B6180" s="108" t="s">
        <v>24976</v>
      </c>
      <c r="C6180" s="109">
        <v>44229</v>
      </c>
      <c r="D6180" s="108"/>
      <c r="E6180" s="108" t="s">
        <v>14605</v>
      </c>
      <c r="F6180" s="108" t="s">
        <v>24977</v>
      </c>
      <c r="G6180" s="110"/>
      <c r="H6180" s="108" t="s">
        <v>24838</v>
      </c>
      <c r="I6180" s="108"/>
    </row>
    <row r="6181" spans="1:9" ht="27.6">
      <c r="A6181" s="108" t="s">
        <v>15075</v>
      </c>
      <c r="B6181" s="108" t="s">
        <v>24978</v>
      </c>
      <c r="C6181" s="109">
        <v>45216</v>
      </c>
      <c r="D6181" s="108"/>
      <c r="E6181" s="108" t="s">
        <v>14605</v>
      </c>
      <c r="F6181" s="108" t="s">
        <v>24979</v>
      </c>
      <c r="G6181" s="110"/>
      <c r="H6181" s="108" t="s">
        <v>24838</v>
      </c>
      <c r="I6181" s="108"/>
    </row>
    <row r="6182" spans="1:9" ht="27.6">
      <c r="A6182" s="108" t="s">
        <v>15075</v>
      </c>
      <c r="B6182" s="108" t="s">
        <v>24980</v>
      </c>
      <c r="C6182" s="109">
        <v>44844</v>
      </c>
      <c r="D6182" s="108"/>
      <c r="E6182" s="108" t="s">
        <v>14605</v>
      </c>
      <c r="F6182" s="108" t="s">
        <v>24968</v>
      </c>
      <c r="G6182" s="110"/>
      <c r="H6182" s="108" t="s">
        <v>24838</v>
      </c>
      <c r="I6182" s="108"/>
    </row>
    <row r="6183" spans="1:9" ht="27.6">
      <c r="A6183" s="108" t="s">
        <v>15075</v>
      </c>
      <c r="B6183" s="108" t="s">
        <v>24981</v>
      </c>
      <c r="C6183" s="109">
        <v>44616</v>
      </c>
      <c r="D6183" s="108"/>
      <c r="E6183" s="108" t="s">
        <v>14605</v>
      </c>
      <c r="F6183" s="108" t="s">
        <v>24982</v>
      </c>
      <c r="G6183" s="110"/>
      <c r="H6183" s="108" t="s">
        <v>24838</v>
      </c>
      <c r="I6183" s="108"/>
    </row>
    <row r="6184" spans="1:9" ht="27.6">
      <c r="A6184" s="108" t="s">
        <v>15075</v>
      </c>
      <c r="B6184" s="108" t="s">
        <v>24983</v>
      </c>
      <c r="C6184" s="109">
        <v>45216</v>
      </c>
      <c r="D6184" s="108"/>
      <c r="E6184" s="108" t="s">
        <v>14605</v>
      </c>
      <c r="F6184" s="108" t="s">
        <v>24984</v>
      </c>
      <c r="G6184" s="110"/>
      <c r="H6184" s="108" t="s">
        <v>24838</v>
      </c>
      <c r="I6184" s="108"/>
    </row>
    <row r="6185" spans="1:9" ht="27.6">
      <c r="A6185" s="108" t="s">
        <v>15075</v>
      </c>
      <c r="B6185" s="108" t="s">
        <v>24985</v>
      </c>
      <c r="C6185" s="109">
        <v>45216</v>
      </c>
      <c r="D6185" s="108"/>
      <c r="E6185" s="108" t="s">
        <v>14605</v>
      </c>
      <c r="F6185" s="108" t="s">
        <v>24885</v>
      </c>
      <c r="G6185" s="110"/>
      <c r="H6185" s="108" t="s">
        <v>24838</v>
      </c>
      <c r="I6185" s="108"/>
    </row>
    <row r="6186" spans="1:9" ht="27.6">
      <c r="A6186" s="108" t="s">
        <v>15075</v>
      </c>
      <c r="B6186" s="108" t="s">
        <v>24986</v>
      </c>
      <c r="C6186" s="109">
        <v>44833</v>
      </c>
      <c r="D6186" s="108"/>
      <c r="E6186" s="108" t="s">
        <v>14605</v>
      </c>
      <c r="F6186" s="108" t="s">
        <v>24987</v>
      </c>
      <c r="G6186" s="110"/>
      <c r="H6186" s="108" t="s">
        <v>24838</v>
      </c>
      <c r="I6186" s="108"/>
    </row>
    <row r="6187" spans="1:9" ht="27.6">
      <c r="A6187" s="108" t="s">
        <v>15075</v>
      </c>
      <c r="B6187" s="108" t="s">
        <v>24988</v>
      </c>
      <c r="C6187" s="109">
        <v>45216</v>
      </c>
      <c r="D6187" s="108"/>
      <c r="E6187" s="108" t="s">
        <v>14605</v>
      </c>
      <c r="F6187" s="108" t="s">
        <v>16659</v>
      </c>
      <c r="G6187" s="110"/>
      <c r="H6187" s="108" t="s">
        <v>24838</v>
      </c>
      <c r="I6187" s="108"/>
    </row>
    <row r="6188" spans="1:9" ht="27.6">
      <c r="A6188" s="108" t="s">
        <v>15075</v>
      </c>
      <c r="B6188" s="108" t="s">
        <v>24989</v>
      </c>
      <c r="C6188" s="109">
        <v>45055</v>
      </c>
      <c r="D6188" s="108"/>
      <c r="E6188" s="108" t="s">
        <v>14605</v>
      </c>
      <c r="F6188" s="108" t="s">
        <v>24841</v>
      </c>
      <c r="G6188" s="110"/>
      <c r="H6188" s="108" t="s">
        <v>24838</v>
      </c>
      <c r="I6188" s="108"/>
    </row>
    <row r="6189" spans="1:9" ht="27.6">
      <c r="A6189" s="108" t="s">
        <v>15075</v>
      </c>
      <c r="B6189" s="108" t="s">
        <v>24990</v>
      </c>
      <c r="C6189" s="109">
        <v>45068</v>
      </c>
      <c r="D6189" s="108"/>
      <c r="E6189" s="108" t="s">
        <v>14605</v>
      </c>
      <c r="F6189" s="108" t="s">
        <v>14904</v>
      </c>
      <c r="G6189" s="110"/>
      <c r="H6189" s="108" t="s">
        <v>24838</v>
      </c>
      <c r="I6189" s="108"/>
    </row>
    <row r="6190" spans="1:9" ht="27.6">
      <c r="A6190" s="108" t="s">
        <v>15075</v>
      </c>
      <c r="B6190" s="108" t="s">
        <v>24991</v>
      </c>
      <c r="C6190" s="109">
        <v>45260</v>
      </c>
      <c r="D6190" s="108"/>
      <c r="E6190" s="108" t="s">
        <v>16121</v>
      </c>
      <c r="F6190" s="108" t="s">
        <v>24968</v>
      </c>
      <c r="G6190" s="110"/>
      <c r="H6190" s="108" t="s">
        <v>24838</v>
      </c>
      <c r="I6190" s="108"/>
    </row>
    <row r="6191" spans="1:9" ht="27.6">
      <c r="A6191" s="108" t="s">
        <v>15075</v>
      </c>
      <c r="B6191" s="108" t="s">
        <v>24992</v>
      </c>
      <c r="C6191" s="109">
        <v>45265</v>
      </c>
      <c r="D6191" s="108"/>
      <c r="E6191" s="108" t="s">
        <v>16121</v>
      </c>
      <c r="F6191" s="108" t="s">
        <v>24968</v>
      </c>
      <c r="G6191" s="110"/>
      <c r="H6191" s="108" t="s">
        <v>24838</v>
      </c>
      <c r="I6191" s="108"/>
    </row>
    <row r="6192" spans="1:9" ht="27.6">
      <c r="A6192" s="108" t="s">
        <v>15075</v>
      </c>
      <c r="B6192" s="108" t="s">
        <v>24993</v>
      </c>
      <c r="C6192" s="109">
        <v>45261</v>
      </c>
      <c r="D6192" s="108"/>
      <c r="E6192" s="108" t="s">
        <v>16121</v>
      </c>
      <c r="F6192" s="108" t="s">
        <v>24968</v>
      </c>
      <c r="G6192" s="110"/>
      <c r="H6192" s="108" t="s">
        <v>24838</v>
      </c>
      <c r="I6192" s="108"/>
    </row>
    <row r="6193" spans="1:9" ht="27.6">
      <c r="A6193" s="108" t="s">
        <v>15075</v>
      </c>
      <c r="B6193" s="108" t="s">
        <v>24994</v>
      </c>
      <c r="C6193" s="109">
        <v>45266</v>
      </c>
      <c r="D6193" s="108"/>
      <c r="E6193" s="108" t="s">
        <v>16121</v>
      </c>
      <c r="F6193" s="108" t="s">
        <v>24968</v>
      </c>
      <c r="G6193" s="110"/>
      <c r="H6193" s="108" t="s">
        <v>24838</v>
      </c>
      <c r="I6193" s="108"/>
    </row>
    <row r="6194" spans="1:9" ht="27.6">
      <c r="A6194" s="108" t="s">
        <v>15075</v>
      </c>
      <c r="B6194" s="108" t="s">
        <v>24995</v>
      </c>
      <c r="C6194" s="109">
        <v>45267</v>
      </c>
      <c r="D6194" s="108"/>
      <c r="E6194" s="108" t="s">
        <v>16121</v>
      </c>
      <c r="F6194" s="108" t="s">
        <v>24968</v>
      </c>
      <c r="G6194" s="110"/>
      <c r="H6194" s="108" t="s">
        <v>24838</v>
      </c>
      <c r="I6194" s="108"/>
    </row>
    <row r="6195" spans="1:9" ht="27.6">
      <c r="A6195" s="108" t="s">
        <v>15075</v>
      </c>
      <c r="B6195" s="108" t="s">
        <v>24996</v>
      </c>
      <c r="C6195" s="109">
        <v>45264</v>
      </c>
      <c r="D6195" s="108"/>
      <c r="E6195" s="108" t="s">
        <v>16121</v>
      </c>
      <c r="F6195" s="108" t="s">
        <v>24968</v>
      </c>
      <c r="G6195" s="110"/>
      <c r="H6195" s="108" t="s">
        <v>24838</v>
      </c>
      <c r="I6195" s="108"/>
    </row>
    <row r="6196" spans="1:9" ht="27.6">
      <c r="A6196" s="108" t="s">
        <v>15075</v>
      </c>
      <c r="B6196" s="108" t="s">
        <v>24997</v>
      </c>
      <c r="C6196" s="109">
        <v>45959</v>
      </c>
      <c r="D6196" s="108"/>
      <c r="E6196" s="108" t="s">
        <v>14605</v>
      </c>
      <c r="F6196" s="108" t="s">
        <v>24998</v>
      </c>
      <c r="G6196" s="110"/>
      <c r="H6196" s="108" t="s">
        <v>24838</v>
      </c>
      <c r="I6196" s="108"/>
    </row>
    <row r="6197" spans="1:9" ht="27.6">
      <c r="A6197" s="108" t="s">
        <v>15075</v>
      </c>
      <c r="B6197" s="108" t="s">
        <v>24999</v>
      </c>
      <c r="C6197" s="109">
        <v>45726</v>
      </c>
      <c r="D6197" s="108"/>
      <c r="E6197" s="108" t="s">
        <v>14605</v>
      </c>
      <c r="F6197" s="108" t="s">
        <v>15155</v>
      </c>
      <c r="G6197" s="110"/>
      <c r="H6197" s="108" t="s">
        <v>24838</v>
      </c>
      <c r="I6197" s="108"/>
    </row>
    <row r="6198" spans="1:9">
      <c r="A6198" s="108" t="s">
        <v>227</v>
      </c>
      <c r="B6198" s="108" t="s">
        <v>25000</v>
      </c>
      <c r="C6198" s="109">
        <v>41605</v>
      </c>
      <c r="D6198" s="108"/>
      <c r="E6198" s="108" t="s">
        <v>14605</v>
      </c>
      <c r="F6198" s="108" t="s">
        <v>24898</v>
      </c>
      <c r="G6198" s="110"/>
      <c r="H6198" s="108" t="s">
        <v>24838</v>
      </c>
      <c r="I6198" s="108"/>
    </row>
    <row r="6199" spans="1:9">
      <c r="A6199" s="108" t="s">
        <v>227</v>
      </c>
      <c r="B6199" s="108" t="s">
        <v>25001</v>
      </c>
      <c r="C6199" s="109">
        <v>42611</v>
      </c>
      <c r="D6199" s="108"/>
      <c r="E6199" s="108" t="s">
        <v>14605</v>
      </c>
      <c r="F6199" s="108" t="s">
        <v>25002</v>
      </c>
      <c r="G6199" s="110"/>
      <c r="H6199" s="108" t="s">
        <v>24838</v>
      </c>
      <c r="I6199" s="108"/>
    </row>
    <row r="6200" spans="1:9" ht="27.6">
      <c r="A6200" s="108" t="s">
        <v>14607</v>
      </c>
      <c r="B6200" s="108" t="s">
        <v>25003</v>
      </c>
      <c r="C6200" s="109">
        <v>37304</v>
      </c>
      <c r="D6200" s="108"/>
      <c r="E6200" s="108" t="s">
        <v>14605</v>
      </c>
      <c r="F6200" s="108" t="s">
        <v>25004</v>
      </c>
      <c r="G6200" s="110"/>
      <c r="H6200" s="108" t="s">
        <v>24838</v>
      </c>
      <c r="I6200" s="108"/>
    </row>
    <row r="6201" spans="1:9" ht="27.6">
      <c r="A6201" s="108" t="s">
        <v>14607</v>
      </c>
      <c r="B6201" s="108" t="s">
        <v>25005</v>
      </c>
      <c r="C6201" s="109">
        <v>39117</v>
      </c>
      <c r="D6201" s="108"/>
      <c r="E6201" s="108" t="s">
        <v>14605</v>
      </c>
      <c r="F6201" s="108" t="s">
        <v>15155</v>
      </c>
      <c r="G6201" s="110"/>
      <c r="H6201" s="108" t="s">
        <v>24838</v>
      </c>
      <c r="I6201" s="108"/>
    </row>
    <row r="6202" spans="1:9" ht="27.6">
      <c r="A6202" s="108" t="s">
        <v>14607</v>
      </c>
      <c r="B6202" s="108" t="s">
        <v>25006</v>
      </c>
      <c r="C6202" s="109">
        <v>37316</v>
      </c>
      <c r="D6202" s="108"/>
      <c r="E6202" s="108" t="s">
        <v>14605</v>
      </c>
      <c r="F6202" s="108" t="s">
        <v>15155</v>
      </c>
      <c r="G6202" s="110"/>
      <c r="H6202" s="108" t="s">
        <v>24838</v>
      </c>
      <c r="I6202" s="108"/>
    </row>
    <row r="6203" spans="1:9" ht="27.6">
      <c r="A6203" s="108" t="s">
        <v>14607</v>
      </c>
      <c r="B6203" s="108" t="s">
        <v>25007</v>
      </c>
      <c r="C6203" s="109">
        <v>37466</v>
      </c>
      <c r="D6203" s="108"/>
      <c r="E6203" s="108" t="s">
        <v>14605</v>
      </c>
      <c r="F6203" s="108" t="s">
        <v>25008</v>
      </c>
      <c r="G6203" s="110"/>
      <c r="H6203" s="108" t="s">
        <v>24838</v>
      </c>
      <c r="I6203" s="108"/>
    </row>
    <row r="6204" spans="1:9" ht="27.6">
      <c r="A6204" s="108" t="s">
        <v>14607</v>
      </c>
      <c r="B6204" s="108" t="s">
        <v>25009</v>
      </c>
      <c r="C6204" s="109">
        <v>37561</v>
      </c>
      <c r="D6204" s="108"/>
      <c r="E6204" s="108" t="s">
        <v>14605</v>
      </c>
      <c r="F6204" s="108" t="s">
        <v>14904</v>
      </c>
      <c r="G6204" s="110"/>
      <c r="H6204" s="108" t="s">
        <v>24838</v>
      </c>
      <c r="I6204" s="108"/>
    </row>
    <row r="6205" spans="1:9" ht="27.6">
      <c r="A6205" s="108" t="s">
        <v>14607</v>
      </c>
      <c r="B6205" s="108" t="s">
        <v>25010</v>
      </c>
      <c r="C6205" s="109">
        <v>37622</v>
      </c>
      <c r="D6205" s="108"/>
      <c r="E6205" s="108" t="s">
        <v>14605</v>
      </c>
      <c r="F6205" s="108" t="s">
        <v>15405</v>
      </c>
      <c r="G6205" s="110"/>
      <c r="H6205" s="108" t="s">
        <v>24838</v>
      </c>
      <c r="I6205" s="108"/>
    </row>
    <row r="6206" spans="1:9" ht="27.6">
      <c r="A6206" s="108" t="s">
        <v>14607</v>
      </c>
      <c r="B6206" s="108" t="s">
        <v>25011</v>
      </c>
      <c r="C6206" s="109">
        <v>37622</v>
      </c>
      <c r="D6206" s="108"/>
      <c r="E6206" s="108" t="s">
        <v>14605</v>
      </c>
      <c r="F6206" s="108" t="s">
        <v>25012</v>
      </c>
      <c r="G6206" s="110"/>
      <c r="H6206" s="108" t="s">
        <v>24838</v>
      </c>
      <c r="I6206" s="108"/>
    </row>
    <row r="6207" spans="1:9" ht="27.6">
      <c r="A6207" s="108" t="s">
        <v>19802</v>
      </c>
      <c r="B6207" s="108" t="s">
        <v>25013</v>
      </c>
      <c r="C6207" s="109">
        <v>39546</v>
      </c>
      <c r="D6207" s="108"/>
      <c r="E6207" s="108" t="s">
        <v>14605</v>
      </c>
      <c r="F6207" s="108" t="s">
        <v>14687</v>
      </c>
      <c r="G6207" s="110"/>
      <c r="H6207" s="108" t="s">
        <v>24838</v>
      </c>
      <c r="I6207" s="108"/>
    </row>
    <row r="6208" spans="1:9" ht="27.6">
      <c r="A6208" s="108" t="s">
        <v>14607</v>
      </c>
      <c r="B6208" s="108" t="s">
        <v>25014</v>
      </c>
      <c r="C6208" s="109">
        <v>38380</v>
      </c>
      <c r="D6208" s="108"/>
      <c r="E6208" s="108" t="s">
        <v>14605</v>
      </c>
      <c r="F6208" s="108" t="s">
        <v>25015</v>
      </c>
      <c r="G6208" s="110"/>
      <c r="H6208" s="108" t="s">
        <v>24838</v>
      </c>
      <c r="I6208" s="108"/>
    </row>
    <row r="6209" spans="1:9" ht="27.6">
      <c r="A6209" s="108" t="s">
        <v>14607</v>
      </c>
      <c r="B6209" s="108" t="s">
        <v>25016</v>
      </c>
      <c r="C6209" s="109">
        <v>40150</v>
      </c>
      <c r="D6209" s="108"/>
      <c r="E6209" s="108" t="s">
        <v>14605</v>
      </c>
      <c r="F6209" s="108" t="s">
        <v>25008</v>
      </c>
      <c r="G6209" s="110"/>
      <c r="H6209" s="108" t="s">
        <v>24838</v>
      </c>
      <c r="I6209" s="108"/>
    </row>
    <row r="6210" spans="1:9" ht="27.6">
      <c r="A6210" s="108" t="s">
        <v>14607</v>
      </c>
      <c r="B6210" s="108" t="s">
        <v>25017</v>
      </c>
      <c r="C6210" s="109">
        <v>40679</v>
      </c>
      <c r="D6210" s="108"/>
      <c r="E6210" s="108" t="s">
        <v>14605</v>
      </c>
      <c r="F6210" s="108" t="s">
        <v>24928</v>
      </c>
      <c r="G6210" s="110"/>
      <c r="H6210" s="108" t="s">
        <v>24838</v>
      </c>
      <c r="I6210" s="108"/>
    </row>
    <row r="6211" spans="1:9" ht="27.6">
      <c r="A6211" s="108" t="s">
        <v>18397</v>
      </c>
      <c r="B6211" s="108" t="s">
        <v>25018</v>
      </c>
      <c r="C6211" s="109">
        <v>38827</v>
      </c>
      <c r="D6211" s="108"/>
      <c r="E6211" s="108" t="s">
        <v>14605</v>
      </c>
      <c r="F6211" s="108" t="s">
        <v>25019</v>
      </c>
      <c r="G6211" s="110"/>
      <c r="H6211" s="108" t="s">
        <v>24838</v>
      </c>
      <c r="I6211" s="108"/>
    </row>
    <row r="6212" spans="1:9" ht="27.6">
      <c r="A6212" s="108" t="s">
        <v>18397</v>
      </c>
      <c r="B6212" s="108" t="s">
        <v>25020</v>
      </c>
      <c r="C6212" s="109">
        <v>39462</v>
      </c>
      <c r="D6212" s="108"/>
      <c r="E6212" s="108" t="s">
        <v>14605</v>
      </c>
      <c r="F6212" s="108" t="s">
        <v>25021</v>
      </c>
      <c r="G6212" s="110"/>
      <c r="H6212" s="108" t="s">
        <v>24838</v>
      </c>
      <c r="I6212" s="108"/>
    </row>
    <row r="6213" spans="1:9" ht="27.6">
      <c r="A6213" s="108" t="s">
        <v>22461</v>
      </c>
      <c r="B6213" s="108" t="s">
        <v>25022</v>
      </c>
      <c r="C6213" s="109">
        <v>39891</v>
      </c>
      <c r="D6213" s="108"/>
      <c r="E6213" s="108" t="s">
        <v>14605</v>
      </c>
      <c r="F6213" s="108" t="s">
        <v>24873</v>
      </c>
      <c r="G6213" s="110"/>
      <c r="H6213" s="108" t="s">
        <v>24838</v>
      </c>
      <c r="I6213" s="108"/>
    </row>
    <row r="6214" spans="1:9" ht="27.6">
      <c r="A6214" s="108" t="s">
        <v>18397</v>
      </c>
      <c r="B6214" s="108" t="s">
        <v>25023</v>
      </c>
      <c r="C6214" s="109">
        <v>40073</v>
      </c>
      <c r="D6214" s="108"/>
      <c r="E6214" s="108" t="s">
        <v>14605</v>
      </c>
      <c r="F6214" s="108" t="s">
        <v>24939</v>
      </c>
      <c r="G6214" s="110"/>
      <c r="H6214" s="108" t="s">
        <v>24838</v>
      </c>
      <c r="I6214" s="108"/>
    </row>
    <row r="6215" spans="1:9" ht="27.6">
      <c r="A6215" s="108" t="s">
        <v>16935</v>
      </c>
      <c r="B6215" s="108" t="s">
        <v>25024</v>
      </c>
      <c r="C6215" s="109">
        <v>39104</v>
      </c>
      <c r="D6215" s="108"/>
      <c r="E6215" s="108" t="s">
        <v>14605</v>
      </c>
      <c r="F6215" s="108" t="s">
        <v>25025</v>
      </c>
      <c r="G6215" s="110"/>
      <c r="H6215" s="108" t="s">
        <v>24838</v>
      </c>
      <c r="I6215" s="108"/>
    </row>
    <row r="6216" spans="1:9">
      <c r="A6216" s="108" t="s">
        <v>16935</v>
      </c>
      <c r="B6216" s="108" t="s">
        <v>25026</v>
      </c>
      <c r="C6216" s="109">
        <v>39171</v>
      </c>
      <c r="D6216" s="108"/>
      <c r="E6216" s="108" t="s">
        <v>14605</v>
      </c>
      <c r="F6216" s="108" t="s">
        <v>15405</v>
      </c>
      <c r="G6216" s="110"/>
      <c r="H6216" s="108" t="s">
        <v>24838</v>
      </c>
      <c r="I6216" s="108"/>
    </row>
    <row r="6217" spans="1:9">
      <c r="A6217" s="108" t="s">
        <v>16935</v>
      </c>
      <c r="B6217" s="108" t="s">
        <v>25027</v>
      </c>
      <c r="C6217" s="109">
        <v>39246</v>
      </c>
      <c r="D6217" s="108"/>
      <c r="E6217" s="108" t="s">
        <v>14605</v>
      </c>
      <c r="F6217" s="108" t="s">
        <v>14683</v>
      </c>
      <c r="G6217" s="110"/>
      <c r="H6217" s="108" t="s">
        <v>24838</v>
      </c>
      <c r="I6217" s="108"/>
    </row>
    <row r="6218" spans="1:9">
      <c r="A6218" s="108" t="s">
        <v>16935</v>
      </c>
      <c r="B6218" s="108" t="s">
        <v>25028</v>
      </c>
      <c r="C6218" s="109">
        <v>39250</v>
      </c>
      <c r="D6218" s="108"/>
      <c r="E6218" s="108" t="s">
        <v>14605</v>
      </c>
      <c r="F6218" s="108" t="s">
        <v>24906</v>
      </c>
      <c r="G6218" s="110"/>
      <c r="H6218" s="108" t="s">
        <v>24838</v>
      </c>
      <c r="I6218" s="108"/>
    </row>
    <row r="6219" spans="1:9">
      <c r="A6219" s="108" t="s">
        <v>16935</v>
      </c>
      <c r="B6219" s="108" t="s">
        <v>25029</v>
      </c>
      <c r="C6219" s="109">
        <v>42914</v>
      </c>
      <c r="D6219" s="108"/>
      <c r="E6219" s="108" t="s">
        <v>14605</v>
      </c>
      <c r="F6219" s="108" t="s">
        <v>25030</v>
      </c>
      <c r="G6219" s="110"/>
      <c r="H6219" s="108" t="s">
        <v>24838</v>
      </c>
      <c r="I6219" s="108"/>
    </row>
    <row r="6220" spans="1:9">
      <c r="A6220" s="108" t="s">
        <v>16935</v>
      </c>
      <c r="B6220" s="108" t="s">
        <v>25031</v>
      </c>
      <c r="C6220" s="109">
        <v>39869</v>
      </c>
      <c r="D6220" s="108"/>
      <c r="E6220" s="108" t="s">
        <v>14605</v>
      </c>
      <c r="F6220" s="108" t="s">
        <v>25032</v>
      </c>
      <c r="G6220" s="110"/>
      <c r="H6220" s="108" t="s">
        <v>24838</v>
      </c>
      <c r="I6220" s="108"/>
    </row>
    <row r="6221" spans="1:9" ht="27.6">
      <c r="A6221" s="108" t="s">
        <v>16932</v>
      </c>
      <c r="B6221" s="108" t="s">
        <v>25033</v>
      </c>
      <c r="C6221" s="109">
        <v>40014</v>
      </c>
      <c r="D6221" s="108"/>
      <c r="E6221" s="108" t="s">
        <v>14605</v>
      </c>
      <c r="F6221" s="108" t="s">
        <v>24853</v>
      </c>
      <c r="G6221" s="110"/>
      <c r="H6221" s="108" t="s">
        <v>24838</v>
      </c>
      <c r="I6221" s="108"/>
    </row>
    <row r="6222" spans="1:9" ht="27.6">
      <c r="A6222" s="108" t="s">
        <v>16935</v>
      </c>
      <c r="B6222" s="108" t="s">
        <v>25034</v>
      </c>
      <c r="C6222" s="109">
        <v>40001</v>
      </c>
      <c r="D6222" s="108"/>
      <c r="E6222" s="108" t="s">
        <v>14605</v>
      </c>
      <c r="F6222" s="108" t="s">
        <v>25035</v>
      </c>
      <c r="G6222" s="110"/>
      <c r="H6222" s="108" t="s">
        <v>24838</v>
      </c>
      <c r="I6222" s="108"/>
    </row>
    <row r="6223" spans="1:9" ht="27.6">
      <c r="A6223" s="108" t="s">
        <v>16932</v>
      </c>
      <c r="B6223" s="108" t="s">
        <v>25036</v>
      </c>
      <c r="C6223" s="109">
        <v>40248</v>
      </c>
      <c r="D6223" s="108"/>
      <c r="E6223" s="108" t="s">
        <v>14605</v>
      </c>
      <c r="F6223" s="108" t="s">
        <v>25037</v>
      </c>
      <c r="G6223" s="110"/>
      <c r="H6223" s="108" t="s">
        <v>24838</v>
      </c>
      <c r="I6223" s="108"/>
    </row>
    <row r="6224" spans="1:9">
      <c r="A6224" s="108" t="s">
        <v>237</v>
      </c>
      <c r="B6224" s="108" t="s">
        <v>25038</v>
      </c>
      <c r="C6224" s="109">
        <v>40092</v>
      </c>
      <c r="D6224" s="108"/>
      <c r="E6224" s="108" t="s">
        <v>14605</v>
      </c>
      <c r="F6224" s="108" t="s">
        <v>25039</v>
      </c>
      <c r="G6224" s="110"/>
      <c r="H6224" s="108" t="s">
        <v>24838</v>
      </c>
      <c r="I6224" s="108"/>
    </row>
    <row r="6225" spans="1:9">
      <c r="A6225" s="108" t="s">
        <v>237</v>
      </c>
      <c r="B6225" s="108" t="s">
        <v>25040</v>
      </c>
      <c r="C6225" s="109">
        <v>40406</v>
      </c>
      <c r="D6225" s="108"/>
      <c r="E6225" s="108" t="s">
        <v>14605</v>
      </c>
      <c r="F6225" s="108" t="s">
        <v>24906</v>
      </c>
      <c r="G6225" s="110"/>
      <c r="H6225" s="108" t="s">
        <v>24838</v>
      </c>
      <c r="I6225" s="108"/>
    </row>
    <row r="6226" spans="1:9">
      <c r="A6226" s="108" t="s">
        <v>237</v>
      </c>
      <c r="B6226" s="108" t="s">
        <v>25041</v>
      </c>
      <c r="C6226" s="109">
        <v>40408</v>
      </c>
      <c r="D6226" s="108"/>
      <c r="E6226" s="108" t="s">
        <v>14605</v>
      </c>
      <c r="F6226" s="108" t="s">
        <v>24906</v>
      </c>
      <c r="G6226" s="110"/>
      <c r="H6226" s="108" t="s">
        <v>24838</v>
      </c>
      <c r="I6226" s="108"/>
    </row>
    <row r="6227" spans="1:9" ht="27.6">
      <c r="A6227" s="108" t="s">
        <v>2002</v>
      </c>
      <c r="B6227" s="108" t="s">
        <v>25042</v>
      </c>
      <c r="C6227" s="109">
        <v>40777</v>
      </c>
      <c r="D6227" s="108"/>
      <c r="E6227" s="108" t="s">
        <v>14605</v>
      </c>
      <c r="F6227" s="108" t="s">
        <v>25043</v>
      </c>
      <c r="G6227" s="110"/>
      <c r="H6227" s="108" t="s">
        <v>24838</v>
      </c>
      <c r="I6227" s="108"/>
    </row>
    <row r="6228" spans="1:9">
      <c r="A6228" s="108" t="s">
        <v>2002</v>
      </c>
      <c r="B6228" s="108" t="s">
        <v>25044</v>
      </c>
      <c r="C6228" s="109">
        <v>40851</v>
      </c>
      <c r="D6228" s="108"/>
      <c r="E6228" s="108" t="s">
        <v>14605</v>
      </c>
      <c r="F6228" s="108" t="s">
        <v>25045</v>
      </c>
      <c r="G6228" s="110"/>
      <c r="H6228" s="108" t="s">
        <v>24838</v>
      </c>
      <c r="I6228" s="108"/>
    </row>
    <row r="6229" spans="1:9">
      <c r="A6229" s="108" t="s">
        <v>1465</v>
      </c>
      <c r="B6229" s="108" t="s">
        <v>25046</v>
      </c>
      <c r="C6229" s="109">
        <v>40813</v>
      </c>
      <c r="D6229" s="108"/>
      <c r="E6229" s="108" t="s">
        <v>14605</v>
      </c>
      <c r="F6229" s="108" t="s">
        <v>25047</v>
      </c>
      <c r="G6229" s="110"/>
      <c r="H6229" s="108" t="s">
        <v>24838</v>
      </c>
      <c r="I6229" s="108"/>
    </row>
    <row r="6230" spans="1:9">
      <c r="A6230" s="108" t="s">
        <v>1465</v>
      </c>
      <c r="B6230" s="108" t="s">
        <v>25048</v>
      </c>
      <c r="C6230" s="109">
        <v>40876</v>
      </c>
      <c r="D6230" s="108"/>
      <c r="E6230" s="108" t="s">
        <v>14605</v>
      </c>
      <c r="F6230" s="108" t="s">
        <v>25049</v>
      </c>
      <c r="G6230" s="110"/>
      <c r="H6230" s="108" t="s">
        <v>24838</v>
      </c>
      <c r="I6230" s="108"/>
    </row>
    <row r="6231" spans="1:9">
      <c r="A6231" s="108" t="s">
        <v>14679</v>
      </c>
      <c r="B6231" s="108" t="s">
        <v>25050</v>
      </c>
      <c r="C6231" s="109">
        <v>40616</v>
      </c>
      <c r="D6231" s="108"/>
      <c r="E6231" s="108" t="s">
        <v>14605</v>
      </c>
      <c r="F6231" s="108" t="s">
        <v>24898</v>
      </c>
      <c r="G6231" s="110"/>
      <c r="H6231" s="108" t="s">
        <v>24838</v>
      </c>
      <c r="I6231" s="108"/>
    </row>
    <row r="6232" spans="1:9">
      <c r="A6232" s="108" t="s">
        <v>87</v>
      </c>
      <c r="B6232" s="108" t="s">
        <v>25051</v>
      </c>
      <c r="C6232" s="109">
        <v>40864</v>
      </c>
      <c r="D6232" s="108"/>
      <c r="E6232" s="108" t="s">
        <v>14605</v>
      </c>
      <c r="F6232" s="108" t="s">
        <v>25052</v>
      </c>
      <c r="G6232" s="110"/>
      <c r="H6232" s="108" t="s">
        <v>24838</v>
      </c>
      <c r="I6232" s="108"/>
    </row>
    <row r="6233" spans="1:9" ht="27.6">
      <c r="A6233" s="108" t="s">
        <v>14690</v>
      </c>
      <c r="B6233" s="108" t="s">
        <v>25053</v>
      </c>
      <c r="C6233" s="109">
        <v>40589</v>
      </c>
      <c r="D6233" s="108"/>
      <c r="E6233" s="108" t="s">
        <v>14605</v>
      </c>
      <c r="F6233" s="108" t="s">
        <v>14683</v>
      </c>
      <c r="G6233" s="110"/>
      <c r="H6233" s="108" t="s">
        <v>24838</v>
      </c>
      <c r="I6233" s="108"/>
    </row>
    <row r="6234" spans="1:9" ht="27.6">
      <c r="A6234" s="108" t="s">
        <v>14690</v>
      </c>
      <c r="B6234" s="108" t="s">
        <v>25054</v>
      </c>
      <c r="C6234" s="109">
        <v>40868</v>
      </c>
      <c r="D6234" s="108"/>
      <c r="E6234" s="108" t="s">
        <v>14605</v>
      </c>
      <c r="F6234" s="108" t="s">
        <v>25055</v>
      </c>
      <c r="G6234" s="110"/>
      <c r="H6234" s="108" t="s">
        <v>24838</v>
      </c>
      <c r="I6234" s="108"/>
    </row>
    <row r="6235" spans="1:9">
      <c r="A6235" s="108" t="s">
        <v>237</v>
      </c>
      <c r="B6235" s="108" t="s">
        <v>25056</v>
      </c>
      <c r="C6235" s="109">
        <v>40730</v>
      </c>
      <c r="D6235" s="108"/>
      <c r="E6235" s="108" t="s">
        <v>14605</v>
      </c>
      <c r="F6235" s="108" t="s">
        <v>15602</v>
      </c>
      <c r="G6235" s="110"/>
      <c r="H6235" s="108" t="s">
        <v>24838</v>
      </c>
      <c r="I6235" s="108"/>
    </row>
    <row r="6236" spans="1:9">
      <c r="A6236" s="108" t="s">
        <v>237</v>
      </c>
      <c r="B6236" s="108" t="s">
        <v>25057</v>
      </c>
      <c r="C6236" s="109">
        <v>40844</v>
      </c>
      <c r="D6236" s="108"/>
      <c r="E6236" s="108" t="s">
        <v>14605</v>
      </c>
      <c r="F6236" s="108" t="s">
        <v>24906</v>
      </c>
      <c r="G6236" s="110"/>
      <c r="H6236" s="108" t="s">
        <v>24838</v>
      </c>
      <c r="I6236" s="108"/>
    </row>
    <row r="6237" spans="1:9">
      <c r="A6237" s="108" t="s">
        <v>237</v>
      </c>
      <c r="B6237" s="108" t="s">
        <v>25058</v>
      </c>
      <c r="C6237" s="109">
        <v>40934</v>
      </c>
      <c r="D6237" s="108"/>
      <c r="E6237" s="108" t="s">
        <v>14605</v>
      </c>
      <c r="F6237" s="108" t="s">
        <v>25059</v>
      </c>
      <c r="G6237" s="110"/>
      <c r="H6237" s="108" t="s">
        <v>24838</v>
      </c>
      <c r="I6237" s="108"/>
    </row>
    <row r="6238" spans="1:9">
      <c r="A6238" s="108" t="s">
        <v>87</v>
      </c>
      <c r="B6238" s="108" t="s">
        <v>25060</v>
      </c>
      <c r="C6238" s="109">
        <v>41898</v>
      </c>
      <c r="D6238" s="108"/>
      <c r="E6238" s="108" t="s">
        <v>14605</v>
      </c>
      <c r="F6238" s="108" t="s">
        <v>24964</v>
      </c>
      <c r="G6238" s="110"/>
      <c r="H6238" s="108" t="s">
        <v>24838</v>
      </c>
      <c r="I6238" s="108"/>
    </row>
    <row r="6239" spans="1:9">
      <c r="A6239" s="108" t="s">
        <v>237</v>
      </c>
      <c r="B6239" s="108" t="s">
        <v>25061</v>
      </c>
      <c r="C6239" s="109">
        <v>41095</v>
      </c>
      <c r="D6239" s="108"/>
      <c r="E6239" s="108" t="s">
        <v>14605</v>
      </c>
      <c r="F6239" s="108" t="s">
        <v>25062</v>
      </c>
      <c r="G6239" s="110"/>
      <c r="H6239" s="108" t="s">
        <v>24838</v>
      </c>
      <c r="I6239" s="108"/>
    </row>
    <row r="6240" spans="1:9">
      <c r="A6240" s="108" t="s">
        <v>237</v>
      </c>
      <c r="B6240" s="108" t="s">
        <v>25063</v>
      </c>
      <c r="C6240" s="109">
        <v>41205</v>
      </c>
      <c r="D6240" s="108"/>
      <c r="E6240" s="108" t="s">
        <v>14605</v>
      </c>
      <c r="F6240" s="108" t="s">
        <v>25064</v>
      </c>
      <c r="G6240" s="110"/>
      <c r="H6240" s="108" t="s">
        <v>24838</v>
      </c>
      <c r="I6240" s="108"/>
    </row>
    <row r="6241" spans="1:9" ht="27.6">
      <c r="A6241" s="108" t="s">
        <v>15701</v>
      </c>
      <c r="B6241" s="108" t="s">
        <v>25065</v>
      </c>
      <c r="C6241" s="109">
        <v>38835</v>
      </c>
      <c r="D6241" s="108"/>
      <c r="E6241" s="108" t="s">
        <v>14605</v>
      </c>
      <c r="F6241" s="108" t="s">
        <v>25066</v>
      </c>
      <c r="G6241" s="110"/>
      <c r="H6241" s="108" t="s">
        <v>24838</v>
      </c>
      <c r="I6241" s="108"/>
    </row>
    <row r="6242" spans="1:9" ht="27.6">
      <c r="A6242" s="108" t="s">
        <v>15701</v>
      </c>
      <c r="B6242" s="108" t="s">
        <v>25067</v>
      </c>
      <c r="C6242" s="109">
        <v>39000</v>
      </c>
      <c r="D6242" s="108"/>
      <c r="E6242" s="108" t="s">
        <v>14605</v>
      </c>
      <c r="F6242" s="108" t="s">
        <v>24873</v>
      </c>
      <c r="G6242" s="110"/>
      <c r="H6242" s="108" t="s">
        <v>24838</v>
      </c>
      <c r="I6242" s="108"/>
    </row>
    <row r="6243" spans="1:9">
      <c r="A6243" s="108" t="s">
        <v>15705</v>
      </c>
      <c r="B6243" s="108" t="s">
        <v>25068</v>
      </c>
      <c r="C6243" s="109">
        <v>38898</v>
      </c>
      <c r="D6243" s="108"/>
      <c r="E6243" s="108" t="s">
        <v>14605</v>
      </c>
      <c r="F6243" s="108" t="s">
        <v>25069</v>
      </c>
      <c r="G6243" s="110"/>
      <c r="H6243" s="108" t="s">
        <v>24838</v>
      </c>
      <c r="I6243" s="108"/>
    </row>
    <row r="6244" spans="1:9">
      <c r="A6244" s="108" t="s">
        <v>15705</v>
      </c>
      <c r="B6244" s="108" t="s">
        <v>25070</v>
      </c>
      <c r="C6244" s="109">
        <v>38929</v>
      </c>
      <c r="D6244" s="108"/>
      <c r="E6244" s="108" t="s">
        <v>14605</v>
      </c>
      <c r="F6244" s="108" t="s">
        <v>15155</v>
      </c>
      <c r="G6244" s="110"/>
      <c r="H6244" s="108" t="s">
        <v>24838</v>
      </c>
      <c r="I6244" s="108"/>
    </row>
    <row r="6245" spans="1:9" ht="27.6">
      <c r="A6245" s="108" t="s">
        <v>15705</v>
      </c>
      <c r="B6245" s="108" t="s">
        <v>25071</v>
      </c>
      <c r="C6245" s="109">
        <v>39021</v>
      </c>
      <c r="D6245" s="108"/>
      <c r="E6245" s="108" t="s">
        <v>14605</v>
      </c>
      <c r="F6245" s="108" t="s">
        <v>25072</v>
      </c>
      <c r="G6245" s="110"/>
      <c r="H6245" s="108" t="s">
        <v>24838</v>
      </c>
      <c r="I6245" s="108"/>
    </row>
    <row r="6246" spans="1:9" ht="27.6">
      <c r="A6246" s="108" t="s">
        <v>15701</v>
      </c>
      <c r="B6246" s="108" t="s">
        <v>25073</v>
      </c>
      <c r="C6246" s="109">
        <v>39517</v>
      </c>
      <c r="D6246" s="108"/>
      <c r="E6246" s="108" t="s">
        <v>14605</v>
      </c>
      <c r="F6246" s="108" t="s">
        <v>25074</v>
      </c>
      <c r="G6246" s="110"/>
      <c r="H6246" s="108" t="s">
        <v>24838</v>
      </c>
      <c r="I6246" s="108"/>
    </row>
    <row r="6247" spans="1:9">
      <c r="A6247" s="108" t="s">
        <v>15705</v>
      </c>
      <c r="B6247" s="108" t="s">
        <v>25075</v>
      </c>
      <c r="C6247" s="109">
        <v>39012</v>
      </c>
      <c r="D6247" s="108"/>
      <c r="E6247" s="108" t="s">
        <v>14605</v>
      </c>
      <c r="F6247" s="108" t="s">
        <v>25076</v>
      </c>
      <c r="G6247" s="110"/>
      <c r="H6247" s="108" t="s">
        <v>24838</v>
      </c>
      <c r="I6247" s="108"/>
    </row>
    <row r="6248" spans="1:9" ht="27.6">
      <c r="A6248" s="108" t="s">
        <v>479</v>
      </c>
      <c r="B6248" s="108" t="s">
        <v>25077</v>
      </c>
      <c r="C6248" s="109">
        <v>40639</v>
      </c>
      <c r="D6248" s="108"/>
      <c r="E6248" s="108" t="s">
        <v>14605</v>
      </c>
      <c r="F6248" s="108" t="s">
        <v>14730</v>
      </c>
      <c r="G6248" s="110"/>
      <c r="H6248" s="108" t="s">
        <v>24838</v>
      </c>
      <c r="I6248" s="108"/>
    </row>
    <row r="6249" spans="1:9" ht="27.6">
      <c r="A6249" s="108" t="s">
        <v>479</v>
      </c>
      <c r="B6249" s="108" t="s">
        <v>25078</v>
      </c>
      <c r="C6249" s="109">
        <v>40732</v>
      </c>
      <c r="D6249" s="108"/>
      <c r="E6249" s="108" t="s">
        <v>14605</v>
      </c>
      <c r="F6249" s="108" t="s">
        <v>15405</v>
      </c>
      <c r="G6249" s="110"/>
      <c r="H6249" s="108" t="s">
        <v>24838</v>
      </c>
      <c r="I6249" s="108"/>
    </row>
    <row r="6250" spans="1:9" ht="27.6">
      <c r="A6250" s="108" t="s">
        <v>207</v>
      </c>
      <c r="B6250" s="108" t="s">
        <v>25079</v>
      </c>
      <c r="C6250" s="109">
        <v>41417</v>
      </c>
      <c r="D6250" s="108"/>
      <c r="E6250" s="108" t="s">
        <v>14605</v>
      </c>
      <c r="F6250" s="108" t="s">
        <v>25080</v>
      </c>
      <c r="G6250" s="110"/>
      <c r="H6250" s="108" t="s">
        <v>24838</v>
      </c>
      <c r="I6250" s="108"/>
    </row>
    <row r="6251" spans="1:9">
      <c r="A6251" s="108" t="s">
        <v>118</v>
      </c>
      <c r="B6251" s="108" t="s">
        <v>25081</v>
      </c>
      <c r="C6251" s="109">
        <v>42185</v>
      </c>
      <c r="D6251" s="108"/>
      <c r="E6251" s="108" t="s">
        <v>14605</v>
      </c>
      <c r="F6251" s="108" t="s">
        <v>15155</v>
      </c>
      <c r="G6251" s="110"/>
      <c r="H6251" s="108" t="s">
        <v>24838</v>
      </c>
      <c r="I6251" s="108"/>
    </row>
    <row r="6252" spans="1:9">
      <c r="A6252" s="108" t="s">
        <v>22674</v>
      </c>
      <c r="B6252" s="108" t="s">
        <v>25082</v>
      </c>
      <c r="C6252" s="109">
        <v>43144</v>
      </c>
      <c r="D6252" s="108"/>
      <c r="E6252" s="108" t="s">
        <v>14605</v>
      </c>
      <c r="F6252" s="108" t="s">
        <v>25083</v>
      </c>
      <c r="G6252" s="110"/>
      <c r="H6252" s="108" t="s">
        <v>24838</v>
      </c>
      <c r="I6252" s="108"/>
    </row>
    <row r="6253" spans="1:9">
      <c r="A6253" s="108" t="s">
        <v>169</v>
      </c>
      <c r="B6253" s="108" t="s">
        <v>25084</v>
      </c>
      <c r="C6253" s="109">
        <v>44354</v>
      </c>
      <c r="D6253" s="108"/>
      <c r="E6253" s="108" t="s">
        <v>14605</v>
      </c>
      <c r="F6253" s="108" t="s">
        <v>25085</v>
      </c>
      <c r="G6253" s="110"/>
      <c r="H6253" s="108" t="s">
        <v>24838</v>
      </c>
      <c r="I6253" s="108"/>
    </row>
    <row r="6254" spans="1:9">
      <c r="A6254" s="108" t="s">
        <v>169</v>
      </c>
      <c r="B6254" s="108" t="s">
        <v>25086</v>
      </c>
      <c r="C6254" s="109">
        <v>44358</v>
      </c>
      <c r="D6254" s="108"/>
      <c r="E6254" s="108" t="s">
        <v>14605</v>
      </c>
      <c r="F6254" s="108" t="s">
        <v>14725</v>
      </c>
      <c r="G6254" s="110"/>
      <c r="H6254" s="108" t="s">
        <v>24838</v>
      </c>
      <c r="I6254" s="108"/>
    </row>
    <row r="6255" spans="1:9">
      <c r="A6255" s="108" t="s">
        <v>169</v>
      </c>
      <c r="B6255" s="108" t="s">
        <v>25087</v>
      </c>
      <c r="C6255" s="109">
        <v>44439</v>
      </c>
      <c r="D6255" s="108"/>
      <c r="E6255" s="108" t="s">
        <v>14605</v>
      </c>
      <c r="F6255" s="108" t="s">
        <v>25088</v>
      </c>
      <c r="G6255" s="110"/>
      <c r="H6255" s="108" t="s">
        <v>24838</v>
      </c>
      <c r="I6255" s="108"/>
    </row>
    <row r="6256" spans="1:9" ht="27.6">
      <c r="A6256" s="108" t="s">
        <v>169</v>
      </c>
      <c r="B6256" s="108" t="s">
        <v>25089</v>
      </c>
      <c r="C6256" s="109">
        <v>43276</v>
      </c>
      <c r="D6256" s="108"/>
      <c r="E6256" s="108" t="s">
        <v>14605</v>
      </c>
      <c r="F6256" s="108" t="s">
        <v>25090</v>
      </c>
      <c r="G6256" s="110"/>
      <c r="H6256" s="108" t="s">
        <v>24838</v>
      </c>
      <c r="I6256" s="108"/>
    </row>
    <row r="6257" spans="1:9">
      <c r="A6257" s="108" t="s">
        <v>16151</v>
      </c>
      <c r="B6257" s="108" t="s">
        <v>25091</v>
      </c>
      <c r="C6257" s="109">
        <v>45152</v>
      </c>
      <c r="D6257" s="108"/>
      <c r="E6257" s="108" t="s">
        <v>14605</v>
      </c>
      <c r="F6257" s="108" t="s">
        <v>24878</v>
      </c>
      <c r="G6257" s="110"/>
      <c r="H6257" s="108" t="s">
        <v>24838</v>
      </c>
      <c r="I6257" s="108"/>
    </row>
    <row r="6258" spans="1:9" ht="27.6">
      <c r="A6258" s="108" t="s">
        <v>16151</v>
      </c>
      <c r="B6258" s="108" t="s">
        <v>25092</v>
      </c>
      <c r="C6258" s="109">
        <v>46264</v>
      </c>
      <c r="D6258" s="108"/>
      <c r="E6258" s="108" t="s">
        <v>14605</v>
      </c>
      <c r="F6258" s="108" t="s">
        <v>2224</v>
      </c>
      <c r="G6258" s="110"/>
      <c r="H6258" s="108" t="s">
        <v>24838</v>
      </c>
      <c r="I6258" s="108"/>
    </row>
    <row r="6259" spans="1:9" ht="27.6">
      <c r="A6259" s="108" t="s">
        <v>14950</v>
      </c>
      <c r="B6259" s="108" t="s">
        <v>25093</v>
      </c>
      <c r="C6259" s="109">
        <v>43886</v>
      </c>
      <c r="D6259" s="108" t="s">
        <v>25094</v>
      </c>
      <c r="E6259" s="108" t="s">
        <v>14605</v>
      </c>
      <c r="F6259" s="108" t="s">
        <v>21530</v>
      </c>
      <c r="G6259" s="109">
        <v>46121</v>
      </c>
      <c r="H6259" s="108" t="s">
        <v>24838</v>
      </c>
      <c r="I6259" s="108" t="s">
        <v>95</v>
      </c>
    </row>
    <row r="6260" spans="1:9" ht="27.6">
      <c r="A6260" s="108" t="s">
        <v>14950</v>
      </c>
      <c r="B6260" s="108" t="s">
        <v>25095</v>
      </c>
      <c r="C6260" s="109">
        <v>44379</v>
      </c>
      <c r="D6260" s="108" t="s">
        <v>25096</v>
      </c>
      <c r="E6260" s="108" t="s">
        <v>16121</v>
      </c>
      <c r="F6260" s="108" t="s">
        <v>24912</v>
      </c>
      <c r="G6260" s="109">
        <v>45128</v>
      </c>
      <c r="H6260" s="108" t="s">
        <v>24838</v>
      </c>
      <c r="I6260" s="108" t="s">
        <v>95</v>
      </c>
    </row>
    <row r="6261" spans="1:9" ht="27.6">
      <c r="A6261" s="108" t="s">
        <v>15075</v>
      </c>
      <c r="B6261" s="108" t="s">
        <v>25097</v>
      </c>
      <c r="C6261" s="109">
        <v>45145</v>
      </c>
      <c r="D6261" s="108" t="s">
        <v>25098</v>
      </c>
      <c r="E6261" s="108" t="s">
        <v>14605</v>
      </c>
      <c r="F6261" s="108" t="s">
        <v>24859</v>
      </c>
      <c r="G6261" s="109">
        <v>46202</v>
      </c>
      <c r="H6261" s="108" t="s">
        <v>24838</v>
      </c>
      <c r="I6261" s="108" t="s">
        <v>95</v>
      </c>
    </row>
    <row r="6262" spans="1:9" ht="27.6">
      <c r="A6262" s="108" t="s">
        <v>207</v>
      </c>
      <c r="B6262" s="108" t="s">
        <v>25099</v>
      </c>
      <c r="C6262" s="109">
        <v>45372</v>
      </c>
      <c r="D6262" s="108" t="s">
        <v>25100</v>
      </c>
      <c r="E6262" s="108" t="s">
        <v>21552</v>
      </c>
      <c r="F6262" s="108" t="s">
        <v>24841</v>
      </c>
      <c r="G6262" s="109">
        <v>46101</v>
      </c>
      <c r="H6262" s="108" t="s">
        <v>24838</v>
      </c>
      <c r="I6262" s="108" t="s">
        <v>95</v>
      </c>
    </row>
    <row r="6263" spans="1:9" ht="27.6">
      <c r="A6263" s="108" t="s">
        <v>109</v>
      </c>
      <c r="B6263" s="108" t="s">
        <v>25101</v>
      </c>
      <c r="C6263" s="109">
        <v>44221</v>
      </c>
      <c r="D6263" s="108" t="s">
        <v>25102</v>
      </c>
      <c r="E6263" s="108" t="s">
        <v>16121</v>
      </c>
      <c r="F6263" s="108" t="s">
        <v>25103</v>
      </c>
      <c r="G6263" s="109">
        <v>46046</v>
      </c>
      <c r="H6263" s="108" t="s">
        <v>24838</v>
      </c>
      <c r="I6263" s="108" t="s">
        <v>95</v>
      </c>
    </row>
    <row r="6264" spans="1:9" ht="27.6">
      <c r="A6264" s="108" t="s">
        <v>109</v>
      </c>
      <c r="B6264" s="108" t="s">
        <v>25104</v>
      </c>
      <c r="C6264" s="109">
        <v>44221</v>
      </c>
      <c r="D6264" s="108" t="s">
        <v>25105</v>
      </c>
      <c r="E6264" s="108" t="s">
        <v>16121</v>
      </c>
      <c r="F6264" s="108" t="s">
        <v>25106</v>
      </c>
      <c r="G6264" s="109">
        <v>45681</v>
      </c>
      <c r="H6264" s="108" t="s">
        <v>24838</v>
      </c>
      <c r="I6264" s="108" t="s">
        <v>95</v>
      </c>
    </row>
    <row r="6265" spans="1:9" ht="27.6">
      <c r="A6265" s="108" t="s">
        <v>109</v>
      </c>
      <c r="B6265" s="108" t="s">
        <v>25107</v>
      </c>
      <c r="C6265" s="109">
        <v>44372</v>
      </c>
      <c r="D6265" s="108" t="s">
        <v>25108</v>
      </c>
      <c r="E6265" s="108" t="s">
        <v>16121</v>
      </c>
      <c r="F6265" s="108" t="s">
        <v>25109</v>
      </c>
      <c r="G6265" s="109">
        <v>46224</v>
      </c>
      <c r="H6265" s="108" t="s">
        <v>24838</v>
      </c>
      <c r="I6265" s="108" t="s">
        <v>95</v>
      </c>
    </row>
    <row r="6266" spans="1:9" ht="27.6">
      <c r="A6266" s="108" t="s">
        <v>96</v>
      </c>
      <c r="B6266" s="108" t="s">
        <v>25110</v>
      </c>
      <c r="C6266" s="109">
        <v>43216</v>
      </c>
      <c r="D6266" s="108" t="s">
        <v>25111</v>
      </c>
      <c r="E6266" s="108" t="s">
        <v>14605</v>
      </c>
      <c r="F6266" s="108" t="s">
        <v>25112</v>
      </c>
      <c r="G6266" s="109">
        <v>46233</v>
      </c>
      <c r="H6266" s="108" t="s">
        <v>24838</v>
      </c>
      <c r="I6266" s="108" t="s">
        <v>95</v>
      </c>
    </row>
    <row r="6267" spans="1:9">
      <c r="A6267" s="108" t="s">
        <v>16151</v>
      </c>
      <c r="B6267" s="108" t="s">
        <v>25113</v>
      </c>
      <c r="C6267" s="109">
        <v>43174</v>
      </c>
      <c r="D6267" s="108" t="s">
        <v>25114</v>
      </c>
      <c r="E6267" s="108" t="s">
        <v>14605</v>
      </c>
      <c r="F6267" s="108" t="s">
        <v>15589</v>
      </c>
      <c r="G6267" s="109">
        <v>46233</v>
      </c>
      <c r="H6267" s="108" t="s">
        <v>24838</v>
      </c>
      <c r="I6267" s="108" t="s">
        <v>95</v>
      </c>
    </row>
    <row r="6268" spans="1:9">
      <c r="A6268" s="108" t="s">
        <v>16151</v>
      </c>
      <c r="B6268" s="108" t="s">
        <v>25115</v>
      </c>
      <c r="C6268" s="109">
        <v>43698</v>
      </c>
      <c r="D6268" s="108" t="s">
        <v>25116</v>
      </c>
      <c r="E6268" s="108" t="s">
        <v>14605</v>
      </c>
      <c r="F6268" s="108" t="s">
        <v>15159</v>
      </c>
      <c r="G6268" s="109">
        <v>45928</v>
      </c>
      <c r="H6268" s="108" t="s">
        <v>24838</v>
      </c>
      <c r="I6268" s="108" t="s">
        <v>95</v>
      </c>
    </row>
    <row r="6269" spans="1:9" ht="27.6">
      <c r="A6269" s="108" t="s">
        <v>16151</v>
      </c>
      <c r="B6269" s="108" t="s">
        <v>25117</v>
      </c>
      <c r="C6269" s="109">
        <v>43685</v>
      </c>
      <c r="D6269" s="108" t="s">
        <v>25118</v>
      </c>
      <c r="E6269" s="108" t="s">
        <v>14605</v>
      </c>
      <c r="F6269" s="108" t="s">
        <v>25119</v>
      </c>
      <c r="G6269" s="109">
        <v>45876</v>
      </c>
      <c r="H6269" s="108" t="s">
        <v>24838</v>
      </c>
      <c r="I6269" s="108" t="s">
        <v>95</v>
      </c>
    </row>
    <row r="6270" spans="1:9" ht="27.6">
      <c r="A6270" s="108" t="s">
        <v>103</v>
      </c>
      <c r="B6270" s="108" t="s">
        <v>25120</v>
      </c>
      <c r="C6270" s="109">
        <v>44050</v>
      </c>
      <c r="D6270" s="108" t="s">
        <v>25121</v>
      </c>
      <c r="E6270" s="108" t="s">
        <v>14605</v>
      </c>
      <c r="F6270" s="108" t="s">
        <v>25122</v>
      </c>
      <c r="G6270" s="109">
        <v>45904</v>
      </c>
      <c r="H6270" s="108" t="s">
        <v>24838</v>
      </c>
      <c r="I6270" s="108" t="s">
        <v>95</v>
      </c>
    </row>
    <row r="6271" spans="1:9" ht="41.4">
      <c r="A6271" s="108" t="s">
        <v>16151</v>
      </c>
      <c r="B6271" s="108" t="s">
        <v>25123</v>
      </c>
      <c r="C6271" s="109">
        <v>44204</v>
      </c>
      <c r="D6271" s="108" t="s">
        <v>25124</v>
      </c>
      <c r="E6271" s="108" t="s">
        <v>16121</v>
      </c>
      <c r="F6271" s="108" t="s">
        <v>25125</v>
      </c>
      <c r="G6271" s="109">
        <v>46029</v>
      </c>
      <c r="H6271" s="108" t="s">
        <v>24838</v>
      </c>
      <c r="I6271" s="108" t="s">
        <v>95</v>
      </c>
    </row>
    <row r="6272" spans="1:9" ht="27.6">
      <c r="A6272" s="108" t="s">
        <v>388</v>
      </c>
      <c r="B6272" s="108" t="s">
        <v>25126</v>
      </c>
      <c r="C6272" s="109">
        <v>44277</v>
      </c>
      <c r="D6272" s="108" t="s">
        <v>25127</v>
      </c>
      <c r="E6272" s="108" t="s">
        <v>16121</v>
      </c>
      <c r="F6272" s="108" t="s">
        <v>14904</v>
      </c>
      <c r="G6272" s="109">
        <v>46022</v>
      </c>
      <c r="H6272" s="108" t="s">
        <v>24838</v>
      </c>
      <c r="I6272" s="108" t="s">
        <v>95</v>
      </c>
    </row>
    <row r="6273" spans="1:9" ht="27.6">
      <c r="A6273" s="108" t="s">
        <v>96</v>
      </c>
      <c r="B6273" s="108" t="s">
        <v>25128</v>
      </c>
      <c r="C6273" s="109">
        <v>44379</v>
      </c>
      <c r="D6273" s="108" t="s">
        <v>25129</v>
      </c>
      <c r="E6273" s="108" t="s">
        <v>16121</v>
      </c>
      <c r="F6273" s="108" t="s">
        <v>24912</v>
      </c>
      <c r="G6273" s="109">
        <v>46224</v>
      </c>
      <c r="H6273" s="108" t="s">
        <v>24838</v>
      </c>
      <c r="I6273" s="108" t="s">
        <v>95</v>
      </c>
    </row>
    <row r="6274" spans="1:9" ht="27.6">
      <c r="A6274" s="108" t="s">
        <v>96</v>
      </c>
      <c r="B6274" s="108" t="s">
        <v>25130</v>
      </c>
      <c r="C6274" s="109">
        <v>45216</v>
      </c>
      <c r="D6274" s="108" t="s">
        <v>25131</v>
      </c>
      <c r="E6274" s="108" t="s">
        <v>14605</v>
      </c>
      <c r="F6274" s="108" t="s">
        <v>24885</v>
      </c>
      <c r="G6274" s="109">
        <v>45768</v>
      </c>
      <c r="H6274" s="108" t="s">
        <v>24838</v>
      </c>
      <c r="I6274" s="108" t="s">
        <v>95</v>
      </c>
    </row>
    <row r="6275" spans="1:9">
      <c r="A6275" s="108" t="s">
        <v>16151</v>
      </c>
      <c r="B6275" s="108" t="s">
        <v>25132</v>
      </c>
      <c r="C6275" s="109">
        <v>43710</v>
      </c>
      <c r="D6275" s="108" t="s">
        <v>25133</v>
      </c>
      <c r="E6275" s="108" t="s">
        <v>14605</v>
      </c>
      <c r="F6275" s="108" t="s">
        <v>16407</v>
      </c>
      <c r="G6275" s="109">
        <v>45896</v>
      </c>
      <c r="H6275" s="108" t="s">
        <v>24838</v>
      </c>
      <c r="I6275" s="108" t="s">
        <v>95</v>
      </c>
    </row>
    <row r="6276" spans="1:9" ht="27.6">
      <c r="A6276" s="108" t="s">
        <v>16151</v>
      </c>
      <c r="B6276" s="108" t="s">
        <v>25134</v>
      </c>
      <c r="C6276" s="109">
        <v>43707</v>
      </c>
      <c r="D6276" s="108" t="s">
        <v>25135</v>
      </c>
      <c r="E6276" s="108" t="s">
        <v>14605</v>
      </c>
      <c r="F6276" s="108" t="s">
        <v>25136</v>
      </c>
      <c r="G6276" s="109">
        <v>45921</v>
      </c>
      <c r="H6276" s="108" t="s">
        <v>24838</v>
      </c>
      <c r="I6276" s="108" t="s">
        <v>95</v>
      </c>
    </row>
    <row r="6277" spans="1:9">
      <c r="A6277" s="108" t="s">
        <v>16151</v>
      </c>
      <c r="B6277" s="108" t="s">
        <v>25137</v>
      </c>
      <c r="C6277" s="109">
        <v>43894</v>
      </c>
      <c r="D6277" s="108" t="s">
        <v>25138</v>
      </c>
      <c r="E6277" s="108" t="s">
        <v>16121</v>
      </c>
      <c r="F6277" s="108" t="s">
        <v>15157</v>
      </c>
      <c r="G6277" s="109">
        <v>46810</v>
      </c>
      <c r="H6277" s="108" t="s">
        <v>24838</v>
      </c>
      <c r="I6277" s="108" t="s">
        <v>95</v>
      </c>
    </row>
    <row r="6278" spans="1:9" ht="27.6">
      <c r="A6278" s="108" t="s">
        <v>16151</v>
      </c>
      <c r="B6278" s="108" t="s">
        <v>25139</v>
      </c>
      <c r="C6278" s="109">
        <v>44039</v>
      </c>
      <c r="D6278" s="108" t="s">
        <v>25140</v>
      </c>
      <c r="E6278" s="108" t="s">
        <v>16121</v>
      </c>
      <c r="F6278" s="108" t="s">
        <v>25141</v>
      </c>
      <c r="G6278" s="109">
        <v>46086</v>
      </c>
      <c r="H6278" s="108" t="s">
        <v>24838</v>
      </c>
      <c r="I6278" s="108" t="s">
        <v>95</v>
      </c>
    </row>
    <row r="6279" spans="1:9">
      <c r="A6279" s="108" t="s">
        <v>16151</v>
      </c>
      <c r="B6279" s="108" t="s">
        <v>25142</v>
      </c>
      <c r="C6279" s="109">
        <v>44027</v>
      </c>
      <c r="D6279" s="108" t="s">
        <v>25143</v>
      </c>
      <c r="E6279" s="108" t="s">
        <v>16121</v>
      </c>
      <c r="F6279" s="108" t="s">
        <v>24968</v>
      </c>
      <c r="G6279" s="109">
        <v>45911</v>
      </c>
      <c r="H6279" s="108" t="s">
        <v>24838</v>
      </c>
      <c r="I6279" s="108" t="s">
        <v>95</v>
      </c>
    </row>
    <row r="6280" spans="1:9">
      <c r="A6280" s="108" t="s">
        <v>16151</v>
      </c>
      <c r="B6280" s="108" t="s">
        <v>25144</v>
      </c>
      <c r="C6280" s="109">
        <v>44048</v>
      </c>
      <c r="D6280" s="108" t="s">
        <v>25145</v>
      </c>
      <c r="E6280" s="108" t="s">
        <v>14605</v>
      </c>
      <c r="F6280" s="108" t="s">
        <v>24968</v>
      </c>
      <c r="G6280" s="109">
        <v>45911</v>
      </c>
      <c r="H6280" s="108" t="s">
        <v>24838</v>
      </c>
      <c r="I6280" s="108" t="s">
        <v>95</v>
      </c>
    </row>
    <row r="6281" spans="1:9">
      <c r="A6281" s="108" t="s">
        <v>16151</v>
      </c>
      <c r="B6281" s="108" t="s">
        <v>25146</v>
      </c>
      <c r="C6281" s="109">
        <v>44109</v>
      </c>
      <c r="D6281" s="108" t="s">
        <v>25147</v>
      </c>
      <c r="E6281" s="108" t="s">
        <v>14605</v>
      </c>
      <c r="F6281" s="108" t="s">
        <v>24968</v>
      </c>
      <c r="G6281" s="109">
        <v>45911</v>
      </c>
      <c r="H6281" s="108" t="s">
        <v>24838</v>
      </c>
      <c r="I6281" s="108" t="s">
        <v>95</v>
      </c>
    </row>
    <row r="6282" spans="1:9">
      <c r="A6282" s="108" t="s">
        <v>16151</v>
      </c>
      <c r="B6282" s="108" t="s">
        <v>25148</v>
      </c>
      <c r="C6282" s="109">
        <v>44083</v>
      </c>
      <c r="D6282" s="108" t="s">
        <v>25149</v>
      </c>
      <c r="E6282" s="108" t="s">
        <v>14605</v>
      </c>
      <c r="F6282" s="108" t="s">
        <v>24968</v>
      </c>
      <c r="G6282" s="109">
        <v>45911</v>
      </c>
      <c r="H6282" s="108" t="s">
        <v>24838</v>
      </c>
      <c r="I6282" s="108" t="s">
        <v>95</v>
      </c>
    </row>
    <row r="6283" spans="1:9" ht="27.6">
      <c r="A6283" s="108" t="s">
        <v>16151</v>
      </c>
      <c r="B6283" s="108" t="s">
        <v>25150</v>
      </c>
      <c r="C6283" s="109">
        <v>44050</v>
      </c>
      <c r="D6283" s="108" t="s">
        <v>25151</v>
      </c>
      <c r="E6283" s="108" t="s">
        <v>14605</v>
      </c>
      <c r="F6283" s="108" t="s">
        <v>25152</v>
      </c>
      <c r="G6283" s="109">
        <v>46971</v>
      </c>
      <c r="H6283" s="108" t="s">
        <v>24838</v>
      </c>
      <c r="I6283" s="108" t="s">
        <v>95</v>
      </c>
    </row>
    <row r="6284" spans="1:9">
      <c r="A6284" s="108" t="s">
        <v>16151</v>
      </c>
      <c r="B6284" s="108" t="s">
        <v>25153</v>
      </c>
      <c r="C6284" s="109">
        <v>44104</v>
      </c>
      <c r="D6284" s="108" t="s">
        <v>25154</v>
      </c>
      <c r="E6284" s="108" t="s">
        <v>16121</v>
      </c>
      <c r="F6284" s="108" t="s">
        <v>24968</v>
      </c>
      <c r="G6284" s="109">
        <v>45911</v>
      </c>
      <c r="H6284" s="108" t="s">
        <v>24838</v>
      </c>
      <c r="I6284" s="108" t="s">
        <v>95</v>
      </c>
    </row>
    <row r="6285" spans="1:9">
      <c r="A6285" s="108" t="s">
        <v>16151</v>
      </c>
      <c r="B6285" s="108" t="s">
        <v>25155</v>
      </c>
      <c r="C6285" s="109">
        <v>44104</v>
      </c>
      <c r="D6285" s="108" t="s">
        <v>25156</v>
      </c>
      <c r="E6285" s="108" t="s">
        <v>16121</v>
      </c>
      <c r="F6285" s="108" t="s">
        <v>24968</v>
      </c>
      <c r="G6285" s="109">
        <v>45911</v>
      </c>
      <c r="H6285" s="108" t="s">
        <v>24838</v>
      </c>
      <c r="I6285" s="108" t="s">
        <v>95</v>
      </c>
    </row>
    <row r="6286" spans="1:9">
      <c r="A6286" s="108" t="s">
        <v>16151</v>
      </c>
      <c r="B6286" s="108" t="s">
        <v>25157</v>
      </c>
      <c r="C6286" s="109">
        <v>44169</v>
      </c>
      <c r="D6286" s="108" t="s">
        <v>25158</v>
      </c>
      <c r="E6286" s="108" t="s">
        <v>14605</v>
      </c>
      <c r="F6286" s="108" t="s">
        <v>15155</v>
      </c>
      <c r="G6286" s="109">
        <v>46074</v>
      </c>
      <c r="H6286" s="108" t="s">
        <v>24838</v>
      </c>
      <c r="I6286" s="108" t="s">
        <v>95</v>
      </c>
    </row>
    <row r="6287" spans="1:9">
      <c r="A6287" s="108" t="s">
        <v>16151</v>
      </c>
      <c r="B6287" s="108" t="s">
        <v>25159</v>
      </c>
      <c r="C6287" s="109">
        <v>44175</v>
      </c>
      <c r="D6287" s="108" t="s">
        <v>25160</v>
      </c>
      <c r="E6287" s="108" t="s">
        <v>16121</v>
      </c>
      <c r="F6287" s="108" t="s">
        <v>15405</v>
      </c>
      <c r="G6287" s="109">
        <v>46022</v>
      </c>
      <c r="H6287" s="108" t="s">
        <v>24838</v>
      </c>
      <c r="I6287" s="108" t="s">
        <v>95</v>
      </c>
    </row>
    <row r="6288" spans="1:9">
      <c r="A6288" s="108" t="s">
        <v>16151</v>
      </c>
      <c r="B6288" s="108" t="s">
        <v>25161</v>
      </c>
      <c r="C6288" s="109">
        <v>44214</v>
      </c>
      <c r="D6288" s="108" t="s">
        <v>25162</v>
      </c>
      <c r="E6288" s="108" t="s">
        <v>16121</v>
      </c>
      <c r="F6288" s="108" t="s">
        <v>25103</v>
      </c>
      <c r="G6288" s="109">
        <v>46039</v>
      </c>
      <c r="H6288" s="108" t="s">
        <v>24838</v>
      </c>
      <c r="I6288" s="108" t="s">
        <v>95</v>
      </c>
    </row>
    <row r="6289" spans="1:9">
      <c r="A6289" s="108" t="s">
        <v>16151</v>
      </c>
      <c r="B6289" s="108" t="s">
        <v>25163</v>
      </c>
      <c r="C6289" s="109">
        <v>44292</v>
      </c>
      <c r="D6289" s="108" t="s">
        <v>25094</v>
      </c>
      <c r="E6289" s="108" t="s">
        <v>16121</v>
      </c>
      <c r="F6289" s="108" t="s">
        <v>14730</v>
      </c>
      <c r="G6289" s="109">
        <v>46121</v>
      </c>
      <c r="H6289" s="108" t="s">
        <v>24838</v>
      </c>
      <c r="I6289" s="108" t="s">
        <v>95</v>
      </c>
    </row>
    <row r="6290" spans="1:9" ht="27.6">
      <c r="A6290" s="108" t="s">
        <v>16151</v>
      </c>
      <c r="B6290" s="108" t="s">
        <v>25164</v>
      </c>
      <c r="C6290" s="109">
        <v>44284</v>
      </c>
      <c r="D6290" s="108" t="s">
        <v>25165</v>
      </c>
      <c r="E6290" s="108" t="s">
        <v>16121</v>
      </c>
      <c r="F6290" s="108" t="s">
        <v>25166</v>
      </c>
      <c r="G6290" s="109">
        <v>46119</v>
      </c>
      <c r="H6290" s="108" t="s">
        <v>24838</v>
      </c>
      <c r="I6290" s="108" t="s">
        <v>95</v>
      </c>
    </row>
    <row r="6291" spans="1:9">
      <c r="A6291" s="108" t="s">
        <v>16151</v>
      </c>
      <c r="B6291" s="108" t="s">
        <v>25167</v>
      </c>
      <c r="C6291" s="109">
        <v>44301</v>
      </c>
      <c r="D6291" s="108" t="s">
        <v>25168</v>
      </c>
      <c r="E6291" s="108" t="s">
        <v>14605</v>
      </c>
      <c r="F6291" s="108" t="s">
        <v>24982</v>
      </c>
      <c r="G6291" s="109">
        <v>46079</v>
      </c>
      <c r="H6291" s="108" t="s">
        <v>24838</v>
      </c>
      <c r="I6291" s="108" t="s">
        <v>95</v>
      </c>
    </row>
    <row r="6292" spans="1:9" ht="27.6">
      <c r="A6292" s="108" t="s">
        <v>16151</v>
      </c>
      <c r="B6292" s="108" t="s">
        <v>25169</v>
      </c>
      <c r="C6292" s="109">
        <v>44406</v>
      </c>
      <c r="D6292" s="108" t="s">
        <v>25170</v>
      </c>
      <c r="E6292" s="108" t="s">
        <v>16121</v>
      </c>
      <c r="F6292" s="108" t="s">
        <v>25171</v>
      </c>
      <c r="G6292" s="109">
        <v>46231</v>
      </c>
      <c r="H6292" s="108" t="s">
        <v>24838</v>
      </c>
      <c r="I6292" s="108" t="s">
        <v>95</v>
      </c>
    </row>
    <row r="6293" spans="1:9">
      <c r="A6293" s="108" t="s">
        <v>16151</v>
      </c>
      <c r="B6293" s="108" t="s">
        <v>25172</v>
      </c>
      <c r="C6293" s="109">
        <v>44384</v>
      </c>
      <c r="D6293" s="108" t="s">
        <v>25173</v>
      </c>
      <c r="E6293" s="108" t="s">
        <v>16121</v>
      </c>
      <c r="F6293" s="108" t="s">
        <v>24891</v>
      </c>
      <c r="G6293" s="109">
        <v>46224</v>
      </c>
      <c r="H6293" s="108" t="s">
        <v>24838</v>
      </c>
      <c r="I6293" s="108" t="s">
        <v>95</v>
      </c>
    </row>
    <row r="6294" spans="1:9">
      <c r="A6294" s="108" t="s">
        <v>16151</v>
      </c>
      <c r="B6294" s="108" t="s">
        <v>25174</v>
      </c>
      <c r="C6294" s="109">
        <v>44284</v>
      </c>
      <c r="D6294" s="108" t="s">
        <v>25175</v>
      </c>
      <c r="E6294" s="108" t="s">
        <v>16121</v>
      </c>
      <c r="F6294" s="108" t="s">
        <v>15155</v>
      </c>
      <c r="G6294" s="109">
        <v>46022</v>
      </c>
      <c r="H6294" s="108" t="s">
        <v>24838</v>
      </c>
      <c r="I6294" s="108" t="s">
        <v>95</v>
      </c>
    </row>
    <row r="6295" spans="1:9">
      <c r="A6295" s="108" t="s">
        <v>16151</v>
      </c>
      <c r="B6295" s="108" t="s">
        <v>25176</v>
      </c>
      <c r="C6295" s="109">
        <v>44649</v>
      </c>
      <c r="D6295" s="108" t="s">
        <v>25177</v>
      </c>
      <c r="E6295" s="108" t="s">
        <v>14605</v>
      </c>
      <c r="F6295" s="108" t="s">
        <v>24968</v>
      </c>
      <c r="G6295" s="109">
        <v>45911</v>
      </c>
      <c r="H6295" s="108" t="s">
        <v>24838</v>
      </c>
      <c r="I6295" s="108" t="s">
        <v>95</v>
      </c>
    </row>
    <row r="6296" spans="1:9">
      <c r="A6296" s="108" t="s">
        <v>16151</v>
      </c>
      <c r="B6296" s="108" t="s">
        <v>25178</v>
      </c>
      <c r="C6296" s="109">
        <v>45842</v>
      </c>
      <c r="D6296" s="108" t="s">
        <v>25179</v>
      </c>
      <c r="E6296" s="108" t="s">
        <v>14605</v>
      </c>
      <c r="F6296" s="108" t="s">
        <v>15761</v>
      </c>
      <c r="G6296" s="109">
        <v>46731</v>
      </c>
      <c r="H6296" s="108" t="s">
        <v>24838</v>
      </c>
      <c r="I6296" s="108" t="s">
        <v>95</v>
      </c>
    </row>
    <row r="6297" spans="1:9">
      <c r="A6297" s="108" t="s">
        <v>16151</v>
      </c>
      <c r="B6297" s="108" t="s">
        <v>25180</v>
      </c>
      <c r="C6297" s="109">
        <v>44586</v>
      </c>
      <c r="D6297" s="108" t="s">
        <v>25181</v>
      </c>
      <c r="E6297" s="108" t="s">
        <v>16121</v>
      </c>
      <c r="F6297" s="108" t="s">
        <v>16251</v>
      </c>
      <c r="G6297" s="109">
        <v>46437</v>
      </c>
      <c r="H6297" s="108" t="s">
        <v>24838</v>
      </c>
      <c r="I6297" s="108" t="s">
        <v>95</v>
      </c>
    </row>
    <row r="6298" spans="1:9">
      <c r="A6298" s="108" t="s">
        <v>16151</v>
      </c>
      <c r="B6298" s="108" t="s">
        <v>25182</v>
      </c>
      <c r="C6298" s="109">
        <v>44771</v>
      </c>
      <c r="D6298" s="108" t="s">
        <v>25183</v>
      </c>
      <c r="E6298" s="108" t="s">
        <v>14605</v>
      </c>
      <c r="F6298" s="108" t="s">
        <v>25184</v>
      </c>
      <c r="G6298" s="109">
        <v>46079</v>
      </c>
      <c r="H6298" s="108" t="s">
        <v>24838</v>
      </c>
      <c r="I6298" s="108" t="s">
        <v>95</v>
      </c>
    </row>
    <row r="6299" spans="1:9">
      <c r="A6299" s="108" t="s">
        <v>16151</v>
      </c>
      <c r="B6299" s="108" t="s">
        <v>25185</v>
      </c>
      <c r="C6299" s="109">
        <v>44872</v>
      </c>
      <c r="D6299" s="108" t="s">
        <v>25186</v>
      </c>
      <c r="E6299" s="108" t="s">
        <v>14605</v>
      </c>
      <c r="F6299" s="108" t="s">
        <v>24968</v>
      </c>
      <c r="G6299" s="109">
        <v>45911</v>
      </c>
      <c r="H6299" s="108" t="s">
        <v>24838</v>
      </c>
      <c r="I6299" s="108" t="s">
        <v>95</v>
      </c>
    </row>
    <row r="6300" spans="1:9" ht="27.6">
      <c r="A6300" s="108" t="s">
        <v>16151</v>
      </c>
      <c r="B6300" s="108" t="s">
        <v>25187</v>
      </c>
      <c r="C6300" s="109">
        <v>45216</v>
      </c>
      <c r="D6300" s="108" t="s">
        <v>25188</v>
      </c>
      <c r="E6300" s="108" t="s">
        <v>14605</v>
      </c>
      <c r="F6300" s="108" t="s">
        <v>16659</v>
      </c>
      <c r="G6300" s="109">
        <v>46834</v>
      </c>
      <c r="H6300" s="108" t="s">
        <v>24838</v>
      </c>
      <c r="I6300" s="108" t="s">
        <v>95</v>
      </c>
    </row>
    <row r="6301" spans="1:9">
      <c r="A6301" s="108" t="s">
        <v>16151</v>
      </c>
      <c r="B6301" s="108" t="s">
        <v>25189</v>
      </c>
      <c r="C6301" s="109">
        <v>45243</v>
      </c>
      <c r="D6301" s="108" t="s">
        <v>25190</v>
      </c>
      <c r="E6301" s="108" t="s">
        <v>14605</v>
      </c>
      <c r="F6301" s="108" t="s">
        <v>14904</v>
      </c>
      <c r="G6301" s="109">
        <v>46022</v>
      </c>
      <c r="H6301" s="108" t="s">
        <v>24838</v>
      </c>
      <c r="I6301" s="108" t="s">
        <v>95</v>
      </c>
    </row>
    <row r="6302" spans="1:9" ht="27.6">
      <c r="A6302" s="108" t="s">
        <v>16151</v>
      </c>
      <c r="B6302" s="108" t="s">
        <v>25191</v>
      </c>
      <c r="C6302" s="109">
        <v>45057</v>
      </c>
      <c r="D6302" s="108" t="s">
        <v>25192</v>
      </c>
      <c r="E6302" s="108" t="s">
        <v>14605</v>
      </c>
      <c r="F6302" s="108" t="s">
        <v>25119</v>
      </c>
      <c r="G6302" s="109">
        <v>46531</v>
      </c>
      <c r="H6302" s="108" t="s">
        <v>24838</v>
      </c>
      <c r="I6302" s="108" t="s">
        <v>95</v>
      </c>
    </row>
    <row r="6303" spans="1:9">
      <c r="A6303" s="108" t="s">
        <v>16151</v>
      </c>
      <c r="B6303" s="108" t="s">
        <v>25193</v>
      </c>
      <c r="C6303" s="109">
        <v>46140</v>
      </c>
      <c r="D6303" s="108" t="s">
        <v>25194</v>
      </c>
      <c r="E6303" s="108" t="s">
        <v>14605</v>
      </c>
      <c r="F6303" s="108" t="s">
        <v>15157</v>
      </c>
      <c r="G6303" s="109">
        <v>47444</v>
      </c>
      <c r="H6303" s="108" t="s">
        <v>24838</v>
      </c>
      <c r="I6303" s="108" t="s">
        <v>95</v>
      </c>
    </row>
    <row r="6304" spans="1:9" ht="27.6">
      <c r="A6304" s="108" t="s">
        <v>16149</v>
      </c>
      <c r="B6304" s="108" t="s">
        <v>25195</v>
      </c>
      <c r="C6304" s="109">
        <v>45915</v>
      </c>
      <c r="D6304" s="108" t="s">
        <v>25196</v>
      </c>
      <c r="E6304" s="108" t="s">
        <v>14605</v>
      </c>
      <c r="F6304" s="108" t="s">
        <v>16890</v>
      </c>
      <c r="G6304" s="109">
        <v>45716</v>
      </c>
      <c r="H6304" s="108" t="s">
        <v>24838</v>
      </c>
      <c r="I6304" s="108" t="s">
        <v>95</v>
      </c>
    </row>
    <row r="6305" spans="1:9">
      <c r="A6305" s="108" t="s">
        <v>16151</v>
      </c>
      <c r="B6305" s="108" t="s">
        <v>25197</v>
      </c>
      <c r="C6305" s="109">
        <v>43791</v>
      </c>
      <c r="D6305" s="108" t="s">
        <v>25198</v>
      </c>
      <c r="E6305" s="108" t="s">
        <v>16121</v>
      </c>
      <c r="F6305" s="108" t="s">
        <v>15155</v>
      </c>
      <c r="G6305" s="109">
        <v>46074</v>
      </c>
      <c r="H6305" s="108" t="s">
        <v>24838</v>
      </c>
      <c r="I6305" s="108" t="s">
        <v>95</v>
      </c>
    </row>
    <row r="6306" spans="1:9" ht="27.6">
      <c r="A6306" s="108" t="s">
        <v>388</v>
      </c>
      <c r="B6306" s="108" t="s">
        <v>25199</v>
      </c>
      <c r="C6306" s="109">
        <v>43851</v>
      </c>
      <c r="D6306" s="108" t="s">
        <v>25200</v>
      </c>
      <c r="E6306" s="108" t="s">
        <v>14605</v>
      </c>
      <c r="F6306" s="108" t="s">
        <v>15155</v>
      </c>
      <c r="G6306" s="109">
        <v>46074</v>
      </c>
      <c r="H6306" s="108" t="s">
        <v>24838</v>
      </c>
      <c r="I6306" s="108" t="s">
        <v>95</v>
      </c>
    </row>
    <row r="6307" spans="1:9" ht="27.6">
      <c r="A6307" s="108" t="s">
        <v>103</v>
      </c>
      <c r="B6307" s="108" t="s">
        <v>25201</v>
      </c>
      <c r="C6307" s="109">
        <v>44060</v>
      </c>
      <c r="D6307" s="108" t="s">
        <v>25202</v>
      </c>
      <c r="E6307" s="108" t="s">
        <v>14605</v>
      </c>
      <c r="F6307" s="108" t="s">
        <v>25203</v>
      </c>
      <c r="G6307" s="109">
        <v>46022</v>
      </c>
      <c r="H6307" s="108" t="s">
        <v>24838</v>
      </c>
      <c r="I6307" s="108" t="s">
        <v>95</v>
      </c>
    </row>
    <row r="6308" spans="1:9" ht="27.6">
      <c r="A6308" s="108" t="s">
        <v>103</v>
      </c>
      <c r="B6308" s="108" t="s">
        <v>25204</v>
      </c>
      <c r="C6308" s="109">
        <v>44245</v>
      </c>
      <c r="D6308" s="108" t="s">
        <v>25205</v>
      </c>
      <c r="E6308" s="108" t="s">
        <v>16121</v>
      </c>
      <c r="F6308" s="108" t="s">
        <v>16137</v>
      </c>
      <c r="G6308" s="109">
        <v>46479</v>
      </c>
      <c r="H6308" s="108" t="s">
        <v>24838</v>
      </c>
      <c r="I6308" s="108" t="s">
        <v>95</v>
      </c>
    </row>
    <row r="6309" spans="1:9" ht="27.6">
      <c r="A6309" s="108" t="s">
        <v>103</v>
      </c>
      <c r="B6309" s="108" t="s">
        <v>25206</v>
      </c>
      <c r="C6309" s="109">
        <v>45216</v>
      </c>
      <c r="D6309" s="108" t="s">
        <v>25207</v>
      </c>
      <c r="E6309" s="108" t="s">
        <v>14605</v>
      </c>
      <c r="F6309" s="108" t="s">
        <v>25203</v>
      </c>
      <c r="G6309" s="109">
        <v>46022</v>
      </c>
      <c r="H6309" s="108" t="s">
        <v>24838</v>
      </c>
      <c r="I6309" s="108" t="s">
        <v>95</v>
      </c>
    </row>
    <row r="6310" spans="1:9">
      <c r="A6310" s="108" t="s">
        <v>16151</v>
      </c>
      <c r="B6310" s="108" t="s">
        <v>25208</v>
      </c>
      <c r="C6310" s="109">
        <v>45853</v>
      </c>
      <c r="D6310" s="108" t="s">
        <v>25209</v>
      </c>
      <c r="E6310" s="108" t="s">
        <v>14605</v>
      </c>
      <c r="F6310" s="108" t="s">
        <v>15159</v>
      </c>
      <c r="G6310" s="109">
        <v>46116</v>
      </c>
      <c r="H6310" s="108" t="s">
        <v>24838</v>
      </c>
      <c r="I6310" s="108" t="s">
        <v>95</v>
      </c>
    </row>
    <row r="6311" spans="1:9" ht="27.6">
      <c r="A6311" s="108" t="s">
        <v>103</v>
      </c>
      <c r="B6311" s="108" t="s">
        <v>25210</v>
      </c>
      <c r="C6311" s="109">
        <v>45055</v>
      </c>
      <c r="D6311" s="108" t="s">
        <v>25211</v>
      </c>
      <c r="E6311" s="108" t="s">
        <v>14605</v>
      </c>
      <c r="F6311" s="108" t="s">
        <v>24841</v>
      </c>
      <c r="G6311" s="109">
        <v>46168</v>
      </c>
      <c r="H6311" s="108" t="s">
        <v>24838</v>
      </c>
      <c r="I6311" s="108" t="s">
        <v>95</v>
      </c>
    </row>
    <row r="6312" spans="1:9">
      <c r="A6312" s="108" t="s">
        <v>16151</v>
      </c>
      <c r="B6312" s="108" t="s">
        <v>25212</v>
      </c>
      <c r="C6312" s="109">
        <v>44098</v>
      </c>
      <c r="D6312" s="108" t="s">
        <v>25213</v>
      </c>
      <c r="E6312" s="108" t="s">
        <v>14605</v>
      </c>
      <c r="F6312" s="108" t="s">
        <v>24979</v>
      </c>
      <c r="G6312" s="109">
        <v>45923</v>
      </c>
      <c r="H6312" s="108" t="s">
        <v>24838</v>
      </c>
      <c r="I6312" s="108" t="s">
        <v>95</v>
      </c>
    </row>
    <row r="6313" spans="1:9" ht="27.6">
      <c r="A6313" s="108" t="s">
        <v>1591</v>
      </c>
      <c r="B6313" s="108" t="s">
        <v>25214</v>
      </c>
      <c r="C6313" s="109">
        <v>43622</v>
      </c>
      <c r="D6313" s="108" t="s">
        <v>25215</v>
      </c>
      <c r="E6313" s="108" t="s">
        <v>14605</v>
      </c>
      <c r="F6313" s="108" t="s">
        <v>25216</v>
      </c>
      <c r="G6313" s="109">
        <v>45957</v>
      </c>
      <c r="H6313" s="108" t="s">
        <v>24838</v>
      </c>
      <c r="I6313" s="108" t="s">
        <v>17342</v>
      </c>
    </row>
    <row r="6314" spans="1:9" ht="27.6">
      <c r="A6314" s="108" t="s">
        <v>22340</v>
      </c>
      <c r="B6314" s="108" t="s">
        <v>25217</v>
      </c>
      <c r="C6314" s="109">
        <v>43550</v>
      </c>
      <c r="D6314" s="108" t="s">
        <v>25218</v>
      </c>
      <c r="E6314" s="108" t="s">
        <v>14605</v>
      </c>
      <c r="F6314" s="108" t="s">
        <v>25219</v>
      </c>
      <c r="G6314" s="109">
        <v>46203</v>
      </c>
      <c r="H6314" s="108" t="s">
        <v>24838</v>
      </c>
      <c r="I6314" s="108" t="s">
        <v>2880</v>
      </c>
    </row>
    <row r="6315" spans="1:9" ht="27.6">
      <c r="A6315" s="108" t="s">
        <v>17130</v>
      </c>
      <c r="B6315" s="108" t="s">
        <v>25220</v>
      </c>
      <c r="C6315" s="109">
        <v>44096</v>
      </c>
      <c r="D6315" s="108" t="s">
        <v>25221</v>
      </c>
      <c r="E6315" s="108" t="s">
        <v>14605</v>
      </c>
      <c r="F6315" s="108" t="s">
        <v>24971</v>
      </c>
      <c r="G6315" s="109">
        <v>45199</v>
      </c>
      <c r="H6315" s="108" t="s">
        <v>24838</v>
      </c>
      <c r="I6315" s="108" t="s">
        <v>2880</v>
      </c>
    </row>
    <row r="6316" spans="1:9" ht="27.6">
      <c r="A6316" s="108" t="s">
        <v>17130</v>
      </c>
      <c r="B6316" s="108" t="s">
        <v>25222</v>
      </c>
      <c r="C6316" s="109">
        <v>44434</v>
      </c>
      <c r="D6316" s="108" t="s">
        <v>25223</v>
      </c>
      <c r="E6316" s="108" t="s">
        <v>14605</v>
      </c>
      <c r="F6316" s="108" t="s">
        <v>25002</v>
      </c>
      <c r="G6316" s="109">
        <v>45164</v>
      </c>
      <c r="H6316" s="108" t="s">
        <v>24838</v>
      </c>
      <c r="I6316" s="108" t="s">
        <v>2880</v>
      </c>
    </row>
    <row r="6317" spans="1:9" ht="27.6">
      <c r="A6317" s="108" t="s">
        <v>17130</v>
      </c>
      <c r="B6317" s="108" t="s">
        <v>25224</v>
      </c>
      <c r="C6317" s="109">
        <v>44162</v>
      </c>
      <c r="D6317" s="108" t="s">
        <v>25225</v>
      </c>
      <c r="E6317" s="108" t="s">
        <v>14605</v>
      </c>
      <c r="F6317" s="108" t="s">
        <v>25103</v>
      </c>
      <c r="G6317" s="109">
        <v>45256</v>
      </c>
      <c r="H6317" s="108" t="s">
        <v>24838</v>
      </c>
      <c r="I6317" s="108" t="s">
        <v>2880</v>
      </c>
    </row>
    <row r="6318" spans="1:9" ht="27.6">
      <c r="A6318" s="108" t="s">
        <v>17130</v>
      </c>
      <c r="B6318" s="108" t="s">
        <v>25226</v>
      </c>
      <c r="C6318" s="109">
        <v>44312</v>
      </c>
      <c r="D6318" s="108" t="s">
        <v>25227</v>
      </c>
      <c r="E6318" s="108" t="s">
        <v>14605</v>
      </c>
      <c r="F6318" s="108" t="s">
        <v>24841</v>
      </c>
      <c r="G6318" s="109">
        <v>46138</v>
      </c>
      <c r="H6318" s="108" t="s">
        <v>24838</v>
      </c>
      <c r="I6318" s="108" t="s">
        <v>2880</v>
      </c>
    </row>
    <row r="6319" spans="1:9" ht="27.6">
      <c r="A6319" s="108" t="s">
        <v>17130</v>
      </c>
      <c r="B6319" s="108" t="s">
        <v>25228</v>
      </c>
      <c r="C6319" s="109">
        <v>44362</v>
      </c>
      <c r="D6319" s="108" t="s">
        <v>25229</v>
      </c>
      <c r="E6319" s="108" t="s">
        <v>14605</v>
      </c>
      <c r="F6319" s="108" t="s">
        <v>24971</v>
      </c>
      <c r="G6319" s="109">
        <v>45808</v>
      </c>
      <c r="H6319" s="108" t="s">
        <v>24838</v>
      </c>
      <c r="I6319" s="108" t="s">
        <v>21535</v>
      </c>
    </row>
    <row r="6320" spans="1:9" ht="27.6">
      <c r="A6320" s="108" t="s">
        <v>17130</v>
      </c>
      <c r="B6320" s="108" t="s">
        <v>25230</v>
      </c>
      <c r="C6320" s="109">
        <v>44349</v>
      </c>
      <c r="D6320" s="108" t="s">
        <v>25231</v>
      </c>
      <c r="E6320" s="108" t="s">
        <v>14605</v>
      </c>
      <c r="F6320" s="108" t="s">
        <v>24971</v>
      </c>
      <c r="G6320" s="109">
        <v>45808</v>
      </c>
      <c r="H6320" s="108" t="s">
        <v>24838</v>
      </c>
      <c r="I6320" s="108" t="s">
        <v>21535</v>
      </c>
    </row>
    <row r="6321" spans="1:9" ht="27.6">
      <c r="A6321" s="108" t="s">
        <v>14690</v>
      </c>
      <c r="B6321" s="108" t="s">
        <v>25232</v>
      </c>
      <c r="C6321" s="109">
        <v>42613</v>
      </c>
      <c r="D6321" s="108" t="s">
        <v>25233</v>
      </c>
      <c r="E6321" s="108" t="s">
        <v>14605</v>
      </c>
      <c r="F6321" s="108" t="s">
        <v>25234</v>
      </c>
      <c r="G6321" s="109">
        <v>45547</v>
      </c>
      <c r="H6321" s="108" t="s">
        <v>24838</v>
      </c>
      <c r="I6321" s="108" t="s">
        <v>280</v>
      </c>
    </row>
    <row r="6322" spans="1:9" ht="27.6">
      <c r="A6322" s="108" t="s">
        <v>14690</v>
      </c>
      <c r="B6322" s="108" t="s">
        <v>25235</v>
      </c>
      <c r="C6322" s="109">
        <v>42860</v>
      </c>
      <c r="D6322" s="108" t="s">
        <v>25236</v>
      </c>
      <c r="E6322" s="108" t="s">
        <v>14605</v>
      </c>
      <c r="F6322" s="108" t="s">
        <v>25237</v>
      </c>
      <c r="G6322" s="109">
        <v>45437</v>
      </c>
      <c r="H6322" s="108" t="s">
        <v>24838</v>
      </c>
      <c r="I6322" s="108" t="s">
        <v>280</v>
      </c>
    </row>
    <row r="6323" spans="1:9">
      <c r="A6323" s="108" t="s">
        <v>237</v>
      </c>
      <c r="B6323" s="108" t="s">
        <v>25238</v>
      </c>
      <c r="C6323" s="109">
        <v>42556</v>
      </c>
      <c r="D6323" s="108" t="s">
        <v>25239</v>
      </c>
      <c r="E6323" s="108" t="s">
        <v>14605</v>
      </c>
      <c r="F6323" s="108" t="s">
        <v>15405</v>
      </c>
      <c r="G6323" s="109">
        <v>45794</v>
      </c>
      <c r="H6323" s="108" t="s">
        <v>24838</v>
      </c>
      <c r="I6323" s="108" t="s">
        <v>280</v>
      </c>
    </row>
    <row r="6324" spans="1:9">
      <c r="A6324" s="108" t="s">
        <v>237</v>
      </c>
      <c r="B6324" s="108" t="s">
        <v>25240</v>
      </c>
      <c r="C6324" s="109">
        <v>43089</v>
      </c>
      <c r="D6324" s="108" t="s">
        <v>25241</v>
      </c>
      <c r="E6324" s="108" t="s">
        <v>14605</v>
      </c>
      <c r="F6324" s="108" t="s">
        <v>24910</v>
      </c>
      <c r="G6324" s="109">
        <v>45869</v>
      </c>
      <c r="H6324" s="108" t="s">
        <v>24838</v>
      </c>
      <c r="I6324" s="108" t="s">
        <v>280</v>
      </c>
    </row>
    <row r="6325" spans="1:9">
      <c r="A6325" s="108" t="s">
        <v>237</v>
      </c>
      <c r="B6325" s="108" t="s">
        <v>25242</v>
      </c>
      <c r="C6325" s="109">
        <v>43263</v>
      </c>
      <c r="D6325" s="108" t="s">
        <v>25243</v>
      </c>
      <c r="E6325" s="108" t="s">
        <v>14605</v>
      </c>
      <c r="F6325" s="108" t="s">
        <v>15155</v>
      </c>
      <c r="G6325" s="109">
        <v>45107</v>
      </c>
      <c r="H6325" s="108" t="s">
        <v>24838</v>
      </c>
      <c r="I6325" s="108" t="s">
        <v>280</v>
      </c>
    </row>
    <row r="6326" spans="1:9">
      <c r="A6326" s="108" t="s">
        <v>571</v>
      </c>
      <c r="B6326" s="108" t="s">
        <v>25244</v>
      </c>
      <c r="C6326" s="109">
        <v>43507</v>
      </c>
      <c r="D6326" s="108" t="s">
        <v>25245</v>
      </c>
      <c r="E6326" s="108" t="s">
        <v>14605</v>
      </c>
      <c r="F6326" s="108" t="s">
        <v>14912</v>
      </c>
      <c r="G6326" s="109">
        <v>45302</v>
      </c>
      <c r="H6326" s="108" t="s">
        <v>24838</v>
      </c>
      <c r="I6326" s="108" t="s">
        <v>280</v>
      </c>
    </row>
    <row r="6327" spans="1:9" ht="27.6">
      <c r="A6327" s="108" t="s">
        <v>571</v>
      </c>
      <c r="B6327" s="108" t="s">
        <v>25246</v>
      </c>
      <c r="C6327" s="109">
        <v>43866</v>
      </c>
      <c r="D6327" s="108" t="s">
        <v>25247</v>
      </c>
      <c r="E6327" s="108" t="s">
        <v>14605</v>
      </c>
      <c r="F6327" s="108" t="s">
        <v>25043</v>
      </c>
      <c r="G6327" s="109">
        <v>46064</v>
      </c>
      <c r="H6327" s="108" t="s">
        <v>24838</v>
      </c>
      <c r="I6327" s="108" t="s">
        <v>280</v>
      </c>
    </row>
    <row r="6328" spans="1:9">
      <c r="A6328" s="108" t="s">
        <v>1465</v>
      </c>
      <c r="B6328" s="108" t="s">
        <v>25248</v>
      </c>
      <c r="C6328" s="109">
        <v>42061</v>
      </c>
      <c r="D6328" s="108" t="s">
        <v>25249</v>
      </c>
      <c r="E6328" s="108" t="s">
        <v>14605</v>
      </c>
      <c r="F6328" s="108" t="s">
        <v>25250</v>
      </c>
      <c r="G6328" s="109">
        <v>45664</v>
      </c>
      <c r="H6328" s="108" t="s">
        <v>24838</v>
      </c>
      <c r="I6328" s="108" t="s">
        <v>280</v>
      </c>
    </row>
    <row r="6329" spans="1:9">
      <c r="A6329" s="108" t="s">
        <v>1465</v>
      </c>
      <c r="B6329" s="108" t="s">
        <v>25251</v>
      </c>
      <c r="C6329" s="109">
        <v>42256</v>
      </c>
      <c r="D6329" s="108" t="s">
        <v>25252</v>
      </c>
      <c r="E6329" s="108" t="s">
        <v>14605</v>
      </c>
      <c r="F6329" s="108" t="s">
        <v>15157</v>
      </c>
      <c r="G6329" s="109">
        <v>45843</v>
      </c>
      <c r="H6329" s="108" t="s">
        <v>24838</v>
      </c>
      <c r="I6329" s="108" t="s">
        <v>280</v>
      </c>
    </row>
    <row r="6330" spans="1:9">
      <c r="A6330" s="108" t="s">
        <v>1465</v>
      </c>
      <c r="B6330" s="108" t="s">
        <v>25253</v>
      </c>
      <c r="C6330" s="109">
        <v>42439</v>
      </c>
      <c r="D6330" s="108" t="s">
        <v>25254</v>
      </c>
      <c r="E6330" s="108" t="s">
        <v>14605</v>
      </c>
      <c r="F6330" s="108" t="s">
        <v>25255</v>
      </c>
      <c r="G6330" s="109">
        <v>45871</v>
      </c>
      <c r="H6330" s="108" t="s">
        <v>24838</v>
      </c>
      <c r="I6330" s="108" t="s">
        <v>280</v>
      </c>
    </row>
    <row r="6331" spans="1:9">
      <c r="A6331" s="108" t="s">
        <v>1465</v>
      </c>
      <c r="B6331" s="108" t="s">
        <v>25256</v>
      </c>
      <c r="C6331" s="109">
        <v>43091</v>
      </c>
      <c r="D6331" s="108" t="s">
        <v>25257</v>
      </c>
      <c r="E6331" s="108" t="s">
        <v>14605</v>
      </c>
      <c r="F6331" s="108" t="s">
        <v>25008</v>
      </c>
      <c r="G6331" s="109">
        <v>46142</v>
      </c>
      <c r="H6331" s="108" t="s">
        <v>24838</v>
      </c>
      <c r="I6331" s="108" t="s">
        <v>280</v>
      </c>
    </row>
    <row r="6332" spans="1:9">
      <c r="A6332" s="108" t="s">
        <v>14928</v>
      </c>
      <c r="B6332" s="108" t="s">
        <v>25258</v>
      </c>
      <c r="C6332" s="109">
        <v>43370</v>
      </c>
      <c r="D6332" s="108" t="s">
        <v>25259</v>
      </c>
      <c r="E6332" s="108" t="s">
        <v>14605</v>
      </c>
      <c r="F6332" s="108" t="s">
        <v>24964</v>
      </c>
      <c r="G6332" s="109">
        <v>46247</v>
      </c>
      <c r="H6332" s="108" t="s">
        <v>24838</v>
      </c>
      <c r="I6332" s="108" t="s">
        <v>280</v>
      </c>
    </row>
    <row r="6333" spans="1:9">
      <c r="A6333" s="108" t="s">
        <v>571</v>
      </c>
      <c r="B6333" s="108" t="s">
        <v>25260</v>
      </c>
      <c r="C6333" s="109">
        <v>44140</v>
      </c>
      <c r="D6333" s="108" t="s">
        <v>25261</v>
      </c>
      <c r="E6333" s="108" t="s">
        <v>14605</v>
      </c>
      <c r="F6333" s="108" t="s">
        <v>24864</v>
      </c>
      <c r="G6333" s="109">
        <v>45966</v>
      </c>
      <c r="H6333" s="108" t="s">
        <v>24838</v>
      </c>
      <c r="I6333" s="108" t="s">
        <v>280</v>
      </c>
    </row>
    <row r="6334" spans="1:9">
      <c r="A6334" s="108" t="s">
        <v>14928</v>
      </c>
      <c r="B6334" s="108" t="s">
        <v>25262</v>
      </c>
      <c r="C6334" s="109">
        <v>44214</v>
      </c>
      <c r="D6334" s="108" t="s">
        <v>25263</v>
      </c>
      <c r="E6334" s="108" t="s">
        <v>14605</v>
      </c>
      <c r="F6334" s="108" t="s">
        <v>24964</v>
      </c>
      <c r="G6334" s="109">
        <v>46053</v>
      </c>
      <c r="H6334" s="108" t="s">
        <v>24838</v>
      </c>
      <c r="I6334" s="108" t="s">
        <v>280</v>
      </c>
    </row>
    <row r="6335" spans="1:9">
      <c r="A6335" s="108" t="s">
        <v>4190</v>
      </c>
      <c r="B6335" s="108" t="s">
        <v>25264</v>
      </c>
      <c r="C6335" s="109">
        <v>44280</v>
      </c>
      <c r="D6335" s="108" t="s">
        <v>25265</v>
      </c>
      <c r="E6335" s="108" t="s">
        <v>14605</v>
      </c>
      <c r="F6335" s="108" t="s">
        <v>24841</v>
      </c>
      <c r="G6335" s="109">
        <v>45838</v>
      </c>
      <c r="H6335" s="108" t="s">
        <v>24838</v>
      </c>
      <c r="I6335" s="108" t="s">
        <v>280</v>
      </c>
    </row>
    <row r="6336" spans="1:9">
      <c r="A6336" s="108" t="s">
        <v>237</v>
      </c>
      <c r="B6336" s="108" t="s">
        <v>25266</v>
      </c>
      <c r="C6336" s="109">
        <v>44452</v>
      </c>
      <c r="D6336" s="108" t="s">
        <v>25267</v>
      </c>
      <c r="E6336" s="108" t="s">
        <v>14605</v>
      </c>
      <c r="F6336" s="108" t="s">
        <v>25268</v>
      </c>
      <c r="G6336" s="109">
        <v>45189</v>
      </c>
      <c r="H6336" s="108" t="s">
        <v>24838</v>
      </c>
      <c r="I6336" s="108" t="s">
        <v>280</v>
      </c>
    </row>
    <row r="6337" spans="1:9">
      <c r="A6337" s="108" t="s">
        <v>237</v>
      </c>
      <c r="B6337" s="108" t="s">
        <v>25269</v>
      </c>
      <c r="C6337" s="109">
        <v>46050</v>
      </c>
      <c r="D6337" s="108" t="s">
        <v>25270</v>
      </c>
      <c r="E6337" s="108" t="s">
        <v>14605</v>
      </c>
      <c r="F6337" s="108" t="s">
        <v>25271</v>
      </c>
      <c r="G6337" s="109">
        <v>46188</v>
      </c>
      <c r="H6337" s="108" t="s">
        <v>24838</v>
      </c>
      <c r="I6337" s="108" t="s">
        <v>280</v>
      </c>
    </row>
    <row r="6338" spans="1:9">
      <c r="A6338" s="108" t="s">
        <v>87</v>
      </c>
      <c r="B6338" s="108" t="s">
        <v>25272</v>
      </c>
      <c r="C6338" s="109">
        <v>43797</v>
      </c>
      <c r="D6338" s="108" t="s">
        <v>25273</v>
      </c>
      <c r="E6338" s="108" t="s">
        <v>14605</v>
      </c>
      <c r="F6338" s="108" t="s">
        <v>14725</v>
      </c>
      <c r="G6338" s="109">
        <v>45657</v>
      </c>
      <c r="H6338" s="108" t="s">
        <v>24838</v>
      </c>
      <c r="I6338" s="108" t="s">
        <v>79</v>
      </c>
    </row>
    <row r="6339" spans="1:9">
      <c r="A6339" s="108" t="s">
        <v>87</v>
      </c>
      <c r="B6339" s="108" t="s">
        <v>25274</v>
      </c>
      <c r="C6339" s="109">
        <v>43816</v>
      </c>
      <c r="D6339" s="108" t="s">
        <v>25275</v>
      </c>
      <c r="E6339" s="108" t="s">
        <v>14605</v>
      </c>
      <c r="F6339" s="108" t="s">
        <v>24887</v>
      </c>
      <c r="G6339" s="109">
        <v>45276</v>
      </c>
      <c r="H6339" s="108" t="s">
        <v>24838</v>
      </c>
      <c r="I6339" s="108" t="s">
        <v>79</v>
      </c>
    </row>
    <row r="6340" spans="1:9">
      <c r="A6340" s="108" t="s">
        <v>237</v>
      </c>
      <c r="B6340" s="108" t="s">
        <v>25276</v>
      </c>
      <c r="C6340" s="109">
        <v>43194</v>
      </c>
      <c r="D6340" s="108" t="s">
        <v>25277</v>
      </c>
      <c r="E6340" s="108" t="s">
        <v>14605</v>
      </c>
      <c r="F6340" s="108" t="s">
        <v>24956</v>
      </c>
      <c r="G6340" s="109">
        <v>46104</v>
      </c>
      <c r="H6340" s="108" t="s">
        <v>24838</v>
      </c>
      <c r="I6340" s="108" t="s">
        <v>79</v>
      </c>
    </row>
    <row r="6341" spans="1:9" ht="27.6">
      <c r="A6341" s="108" t="s">
        <v>237</v>
      </c>
      <c r="B6341" s="108" t="s">
        <v>25278</v>
      </c>
      <c r="C6341" s="109">
        <v>43734</v>
      </c>
      <c r="D6341" s="108" t="s">
        <v>25279</v>
      </c>
      <c r="E6341" s="108" t="s">
        <v>14605</v>
      </c>
      <c r="F6341" s="108" t="s">
        <v>14687</v>
      </c>
      <c r="G6341" s="109">
        <v>45752</v>
      </c>
      <c r="H6341" s="108" t="s">
        <v>24838</v>
      </c>
      <c r="I6341" s="108" t="s">
        <v>79</v>
      </c>
    </row>
    <row r="6342" spans="1:9">
      <c r="A6342" s="108" t="s">
        <v>2623</v>
      </c>
      <c r="B6342" s="108" t="s">
        <v>25280</v>
      </c>
      <c r="C6342" s="109">
        <v>42877</v>
      </c>
      <c r="D6342" s="108" t="s">
        <v>25281</v>
      </c>
      <c r="E6342" s="108" t="s">
        <v>14605</v>
      </c>
      <c r="F6342" s="108" t="s">
        <v>24876</v>
      </c>
      <c r="G6342" s="109">
        <v>46173</v>
      </c>
      <c r="H6342" s="108" t="s">
        <v>24838</v>
      </c>
      <c r="I6342" s="108" t="s">
        <v>79</v>
      </c>
    </row>
    <row r="6343" spans="1:9">
      <c r="A6343" s="108" t="s">
        <v>87</v>
      </c>
      <c r="B6343" s="108" t="s">
        <v>25282</v>
      </c>
      <c r="C6343" s="109">
        <v>43984</v>
      </c>
      <c r="D6343" s="108" t="s">
        <v>25283</v>
      </c>
      <c r="E6343" s="108" t="s">
        <v>14605</v>
      </c>
      <c r="F6343" s="108" t="s">
        <v>14725</v>
      </c>
      <c r="G6343" s="109">
        <v>46022</v>
      </c>
      <c r="H6343" s="108" t="s">
        <v>24838</v>
      </c>
      <c r="I6343" s="108" t="s">
        <v>79</v>
      </c>
    </row>
    <row r="6344" spans="1:9">
      <c r="A6344" s="108" t="s">
        <v>571</v>
      </c>
      <c r="B6344" s="108" t="s">
        <v>25284</v>
      </c>
      <c r="C6344" s="109">
        <v>44182</v>
      </c>
      <c r="D6344" s="108" t="s">
        <v>25285</v>
      </c>
      <c r="E6344" s="108" t="s">
        <v>14605</v>
      </c>
      <c r="F6344" s="108" t="s">
        <v>24964</v>
      </c>
      <c r="G6344" s="109">
        <v>46022</v>
      </c>
      <c r="H6344" s="108" t="s">
        <v>24838</v>
      </c>
      <c r="I6344" s="108" t="s">
        <v>79</v>
      </c>
    </row>
    <row r="6345" spans="1:9">
      <c r="A6345" s="108" t="s">
        <v>87</v>
      </c>
      <c r="B6345" s="108" t="s">
        <v>25286</v>
      </c>
      <c r="C6345" s="109">
        <v>44220</v>
      </c>
      <c r="D6345" s="108" t="s">
        <v>25287</v>
      </c>
      <c r="E6345" s="108" t="s">
        <v>14605</v>
      </c>
      <c r="F6345" s="108" t="s">
        <v>14725</v>
      </c>
      <c r="G6345" s="109">
        <v>46022</v>
      </c>
      <c r="H6345" s="108" t="s">
        <v>24838</v>
      </c>
      <c r="I6345" s="108" t="s">
        <v>79</v>
      </c>
    </row>
    <row r="6346" spans="1:9">
      <c r="A6346" s="108" t="s">
        <v>87</v>
      </c>
      <c r="B6346" s="108" t="s">
        <v>25288</v>
      </c>
      <c r="C6346" s="109">
        <v>44220</v>
      </c>
      <c r="D6346" s="108" t="s">
        <v>25289</v>
      </c>
      <c r="E6346" s="108" t="s">
        <v>14605</v>
      </c>
      <c r="F6346" s="108" t="s">
        <v>14725</v>
      </c>
      <c r="G6346" s="109">
        <v>46022</v>
      </c>
      <c r="H6346" s="108" t="s">
        <v>24838</v>
      </c>
      <c r="I6346" s="108" t="s">
        <v>79</v>
      </c>
    </row>
    <row r="6347" spans="1:9">
      <c r="A6347" s="108" t="s">
        <v>571</v>
      </c>
      <c r="B6347" s="108" t="s">
        <v>25290</v>
      </c>
      <c r="C6347" s="109">
        <v>44211</v>
      </c>
      <c r="D6347" s="108" t="s">
        <v>25291</v>
      </c>
      <c r="E6347" s="108" t="s">
        <v>14605</v>
      </c>
      <c r="F6347" s="108" t="s">
        <v>14725</v>
      </c>
      <c r="G6347" s="109">
        <v>46022</v>
      </c>
      <c r="H6347" s="108" t="s">
        <v>24838</v>
      </c>
      <c r="I6347" s="108" t="s">
        <v>79</v>
      </c>
    </row>
    <row r="6348" spans="1:9">
      <c r="A6348" s="108" t="s">
        <v>15043</v>
      </c>
      <c r="B6348" s="108" t="s">
        <v>25292</v>
      </c>
      <c r="C6348" s="109">
        <v>44404</v>
      </c>
      <c r="D6348" s="108" t="s">
        <v>25293</v>
      </c>
      <c r="E6348" s="108" t="s">
        <v>14605</v>
      </c>
      <c r="F6348" s="108" t="s">
        <v>14725</v>
      </c>
      <c r="G6348" s="109">
        <v>46022</v>
      </c>
      <c r="H6348" s="108" t="s">
        <v>24838</v>
      </c>
      <c r="I6348" s="108" t="s">
        <v>79</v>
      </c>
    </row>
    <row r="6349" spans="1:9">
      <c r="A6349" s="108" t="s">
        <v>237</v>
      </c>
      <c r="B6349" s="108" t="s">
        <v>25294</v>
      </c>
      <c r="C6349" s="109">
        <v>45162</v>
      </c>
      <c r="D6349" s="108" t="s">
        <v>25295</v>
      </c>
      <c r="E6349" s="108" t="s">
        <v>14605</v>
      </c>
      <c r="F6349" s="108" t="s">
        <v>24956</v>
      </c>
      <c r="G6349" s="109">
        <v>46104</v>
      </c>
      <c r="H6349" s="108" t="s">
        <v>24838</v>
      </c>
      <c r="I6349" s="108" t="s">
        <v>79</v>
      </c>
    </row>
    <row r="6350" spans="1:9" ht="27.6">
      <c r="A6350" s="108" t="s">
        <v>14690</v>
      </c>
      <c r="B6350" s="108" t="s">
        <v>25296</v>
      </c>
      <c r="C6350" s="109">
        <v>42136</v>
      </c>
      <c r="D6350" s="108" t="s">
        <v>25297</v>
      </c>
      <c r="E6350" s="108" t="s">
        <v>14605</v>
      </c>
      <c r="F6350" s="108" t="s">
        <v>25298</v>
      </c>
      <c r="G6350" s="109">
        <v>45244</v>
      </c>
      <c r="H6350" s="108" t="s">
        <v>24838</v>
      </c>
      <c r="I6350" s="108" t="s">
        <v>164</v>
      </c>
    </row>
    <row r="6351" spans="1:9" ht="27.6">
      <c r="A6351" s="108" t="s">
        <v>14690</v>
      </c>
      <c r="B6351" s="108" t="s">
        <v>25299</v>
      </c>
      <c r="C6351" s="109">
        <v>42261</v>
      </c>
      <c r="D6351" s="108" t="s">
        <v>25300</v>
      </c>
      <c r="E6351" s="108" t="s">
        <v>14605</v>
      </c>
      <c r="F6351" s="108" t="s">
        <v>25298</v>
      </c>
      <c r="G6351" s="109">
        <v>45244</v>
      </c>
      <c r="H6351" s="108" t="s">
        <v>24838</v>
      </c>
      <c r="I6351" s="108" t="s">
        <v>164</v>
      </c>
    </row>
    <row r="6352" spans="1:9" ht="27.6">
      <c r="A6352" s="108" t="s">
        <v>14690</v>
      </c>
      <c r="B6352" s="108" t="s">
        <v>25301</v>
      </c>
      <c r="C6352" s="109">
        <v>44005</v>
      </c>
      <c r="D6352" s="108" t="s">
        <v>25302</v>
      </c>
      <c r="E6352" s="108" t="s">
        <v>14605</v>
      </c>
      <c r="F6352" s="108" t="s">
        <v>16137</v>
      </c>
      <c r="G6352" s="109">
        <v>45465</v>
      </c>
      <c r="H6352" s="108" t="s">
        <v>24838</v>
      </c>
      <c r="I6352" s="108" t="s">
        <v>164</v>
      </c>
    </row>
    <row r="6353" spans="1:9">
      <c r="A6353" s="108" t="s">
        <v>237</v>
      </c>
      <c r="B6353" s="108" t="s">
        <v>25303</v>
      </c>
      <c r="C6353" s="109">
        <v>44042</v>
      </c>
      <c r="D6353" s="108" t="s">
        <v>25304</v>
      </c>
      <c r="E6353" s="108" t="s">
        <v>14605</v>
      </c>
      <c r="F6353" s="108" t="s">
        <v>24906</v>
      </c>
      <c r="G6353" s="109">
        <v>45867</v>
      </c>
      <c r="H6353" s="108" t="s">
        <v>24838</v>
      </c>
      <c r="I6353" s="108" t="s">
        <v>164</v>
      </c>
    </row>
    <row r="6354" spans="1:9">
      <c r="A6354" s="108" t="s">
        <v>237</v>
      </c>
      <c r="B6354" s="108" t="s">
        <v>25305</v>
      </c>
      <c r="C6354" s="109">
        <v>46282</v>
      </c>
      <c r="D6354" s="108" t="s">
        <v>25306</v>
      </c>
      <c r="E6354" s="108" t="s">
        <v>14605</v>
      </c>
      <c r="F6354" s="108" t="s">
        <v>25307</v>
      </c>
      <c r="G6354" s="109">
        <v>46260</v>
      </c>
      <c r="H6354" s="108" t="s">
        <v>24838</v>
      </c>
      <c r="I6354" s="108" t="s">
        <v>164</v>
      </c>
    </row>
    <row r="6355" spans="1:9" ht="27.6">
      <c r="A6355" s="108" t="s">
        <v>14928</v>
      </c>
      <c r="B6355" s="108" t="s">
        <v>25308</v>
      </c>
      <c r="C6355" s="109">
        <v>45428</v>
      </c>
      <c r="D6355" s="108" t="s">
        <v>25309</v>
      </c>
      <c r="E6355" s="108" t="s">
        <v>14605</v>
      </c>
      <c r="F6355" s="108" t="s">
        <v>25310</v>
      </c>
      <c r="G6355" s="109">
        <v>46451</v>
      </c>
      <c r="H6355" s="108" t="s">
        <v>24838</v>
      </c>
      <c r="I6355" s="108" t="s">
        <v>164</v>
      </c>
    </row>
    <row r="6356" spans="1:9">
      <c r="A6356" s="108" t="s">
        <v>316</v>
      </c>
      <c r="B6356" s="108" t="s">
        <v>25311</v>
      </c>
      <c r="C6356" s="109">
        <v>43615</v>
      </c>
      <c r="D6356" s="108" t="s">
        <v>25312</v>
      </c>
      <c r="E6356" s="108" t="s">
        <v>14605</v>
      </c>
      <c r="F6356" s="108" t="s">
        <v>25313</v>
      </c>
      <c r="G6356" s="109">
        <v>45440</v>
      </c>
      <c r="H6356" s="108" t="s">
        <v>24838</v>
      </c>
      <c r="I6356" s="108" t="s">
        <v>18860</v>
      </c>
    </row>
    <row r="6357" spans="1:9" ht="27.6">
      <c r="A6357" s="108" t="s">
        <v>118</v>
      </c>
      <c r="B6357" s="108" t="s">
        <v>25314</v>
      </c>
      <c r="C6357" s="109">
        <v>42453</v>
      </c>
      <c r="D6357" s="108" t="s">
        <v>25315</v>
      </c>
      <c r="E6357" s="108" t="s">
        <v>14605</v>
      </c>
      <c r="F6357" s="108" t="s">
        <v>25166</v>
      </c>
      <c r="G6357" s="109">
        <v>46104</v>
      </c>
      <c r="H6357" s="108" t="s">
        <v>24838</v>
      </c>
      <c r="I6357" s="108" t="s">
        <v>206</v>
      </c>
    </row>
    <row r="6358" spans="1:9">
      <c r="A6358" s="108" t="s">
        <v>118</v>
      </c>
      <c r="B6358" s="108" t="s">
        <v>25316</v>
      </c>
      <c r="C6358" s="109">
        <v>42726</v>
      </c>
      <c r="D6358" s="108" t="s">
        <v>25317</v>
      </c>
      <c r="E6358" s="108" t="s">
        <v>14605</v>
      </c>
      <c r="F6358" s="108" t="s">
        <v>24964</v>
      </c>
      <c r="G6358" s="109">
        <v>46216</v>
      </c>
      <c r="H6358" s="108" t="s">
        <v>24838</v>
      </c>
      <c r="I6358" s="108" t="s">
        <v>206</v>
      </c>
    </row>
    <row r="6359" spans="1:9">
      <c r="A6359" s="108" t="s">
        <v>118</v>
      </c>
      <c r="B6359" s="108" t="s">
        <v>25318</v>
      </c>
      <c r="C6359" s="109">
        <v>42895</v>
      </c>
      <c r="D6359" s="108" t="s">
        <v>25319</v>
      </c>
      <c r="E6359" s="108" t="s">
        <v>14605</v>
      </c>
      <c r="F6359" s="108" t="s">
        <v>25320</v>
      </c>
      <c r="G6359" s="109">
        <v>45930</v>
      </c>
      <c r="H6359" s="108" t="s">
        <v>24838</v>
      </c>
      <c r="I6359" s="108" t="s">
        <v>206</v>
      </c>
    </row>
    <row r="6360" spans="1:9">
      <c r="A6360" s="108" t="s">
        <v>118</v>
      </c>
      <c r="B6360" s="108" t="s">
        <v>25321</v>
      </c>
      <c r="C6360" s="109">
        <v>43045</v>
      </c>
      <c r="D6360" s="108" t="s">
        <v>25322</v>
      </c>
      <c r="E6360" s="108" t="s">
        <v>14605</v>
      </c>
      <c r="F6360" s="108" t="s">
        <v>24928</v>
      </c>
      <c r="G6360" s="109">
        <v>45601</v>
      </c>
      <c r="H6360" s="108" t="s">
        <v>24838</v>
      </c>
      <c r="I6360" s="108" t="s">
        <v>206</v>
      </c>
    </row>
    <row r="6361" spans="1:9">
      <c r="A6361" s="108" t="s">
        <v>118</v>
      </c>
      <c r="B6361" s="108" t="s">
        <v>25323</v>
      </c>
      <c r="C6361" s="109">
        <v>43529</v>
      </c>
      <c r="D6361" s="108" t="s">
        <v>25324</v>
      </c>
      <c r="E6361" s="108" t="s">
        <v>14605</v>
      </c>
      <c r="F6361" s="108" t="s">
        <v>25062</v>
      </c>
      <c r="G6361" s="109">
        <v>46085</v>
      </c>
      <c r="H6361" s="108" t="s">
        <v>24838</v>
      </c>
      <c r="I6361" s="108" t="s">
        <v>206</v>
      </c>
    </row>
    <row r="6362" spans="1:9">
      <c r="A6362" s="108" t="s">
        <v>118</v>
      </c>
      <c r="B6362" s="108" t="s">
        <v>25325</v>
      </c>
      <c r="C6362" s="109">
        <v>43613</v>
      </c>
      <c r="D6362" s="108" t="s">
        <v>25326</v>
      </c>
      <c r="E6362" s="108" t="s">
        <v>14605</v>
      </c>
      <c r="F6362" s="108" t="s">
        <v>15155</v>
      </c>
      <c r="G6362" s="109">
        <v>46168</v>
      </c>
      <c r="H6362" s="108" t="s">
        <v>24838</v>
      </c>
      <c r="I6362" s="108" t="s">
        <v>206</v>
      </c>
    </row>
    <row r="6363" spans="1:9" ht="27.6">
      <c r="A6363" s="108" t="s">
        <v>207</v>
      </c>
      <c r="B6363" s="108" t="s">
        <v>25327</v>
      </c>
      <c r="C6363" s="109">
        <v>45274</v>
      </c>
      <c r="D6363" s="108" t="s">
        <v>25328</v>
      </c>
      <c r="E6363" s="108" t="s">
        <v>14605</v>
      </c>
      <c r="F6363" s="108" t="s">
        <v>25329</v>
      </c>
      <c r="G6363" s="109">
        <v>46004</v>
      </c>
      <c r="H6363" s="108" t="s">
        <v>24838</v>
      </c>
      <c r="I6363" s="108" t="s">
        <v>206</v>
      </c>
    </row>
    <row r="6364" spans="1:9" ht="27.6">
      <c r="A6364" s="108" t="s">
        <v>207</v>
      </c>
      <c r="B6364" s="108" t="s">
        <v>25330</v>
      </c>
      <c r="C6364" s="109">
        <v>40448</v>
      </c>
      <c r="D6364" s="108" t="s">
        <v>25331</v>
      </c>
      <c r="E6364" s="108" t="s">
        <v>14605</v>
      </c>
      <c r="F6364" s="108" t="s">
        <v>25141</v>
      </c>
      <c r="G6364" s="109">
        <v>45657</v>
      </c>
      <c r="H6364" s="108" t="s">
        <v>24838</v>
      </c>
      <c r="I6364" s="108" t="s">
        <v>117</v>
      </c>
    </row>
    <row r="6365" spans="1:9" ht="27.6">
      <c r="A6365" s="108" t="s">
        <v>207</v>
      </c>
      <c r="B6365" s="108" t="s">
        <v>25332</v>
      </c>
      <c r="C6365" s="109">
        <v>41864</v>
      </c>
      <c r="D6365" s="108" t="s">
        <v>25333</v>
      </c>
      <c r="E6365" s="108" t="s">
        <v>14605</v>
      </c>
      <c r="F6365" s="108" t="s">
        <v>25103</v>
      </c>
      <c r="G6365" s="109">
        <v>45646</v>
      </c>
      <c r="H6365" s="108" t="s">
        <v>24838</v>
      </c>
      <c r="I6365" s="108" t="s">
        <v>117</v>
      </c>
    </row>
    <row r="6366" spans="1:9" ht="27.6">
      <c r="A6366" s="108" t="s">
        <v>207</v>
      </c>
      <c r="B6366" s="108" t="s">
        <v>25334</v>
      </c>
      <c r="C6366" s="109">
        <v>41577</v>
      </c>
      <c r="D6366" s="108" t="s">
        <v>25335</v>
      </c>
      <c r="E6366" s="108" t="s">
        <v>14605</v>
      </c>
      <c r="F6366" s="108" t="s">
        <v>15159</v>
      </c>
      <c r="G6366" s="109">
        <v>46234</v>
      </c>
      <c r="H6366" s="108" t="s">
        <v>24838</v>
      </c>
      <c r="I6366" s="108" t="s">
        <v>117</v>
      </c>
    </row>
    <row r="6367" spans="1:9" ht="27.6">
      <c r="A6367" s="108" t="s">
        <v>207</v>
      </c>
      <c r="B6367" s="108" t="s">
        <v>25336</v>
      </c>
      <c r="C6367" s="109">
        <v>42261</v>
      </c>
      <c r="D6367" s="108" t="s">
        <v>25337</v>
      </c>
      <c r="E6367" s="108" t="s">
        <v>14605</v>
      </c>
      <c r="F6367" s="108" t="s">
        <v>25338</v>
      </c>
      <c r="G6367" s="109">
        <v>46112</v>
      </c>
      <c r="H6367" s="108" t="s">
        <v>24838</v>
      </c>
      <c r="I6367" s="108" t="s">
        <v>117</v>
      </c>
    </row>
    <row r="6368" spans="1:9" ht="27.6">
      <c r="A6368" s="108" t="s">
        <v>207</v>
      </c>
      <c r="B6368" s="108" t="s">
        <v>25339</v>
      </c>
      <c r="C6368" s="109">
        <v>41446</v>
      </c>
      <c r="D6368" s="108" t="s">
        <v>25340</v>
      </c>
      <c r="E6368" s="108" t="s">
        <v>14605</v>
      </c>
      <c r="F6368" s="108" t="s">
        <v>16407</v>
      </c>
      <c r="G6368" s="109">
        <v>46192</v>
      </c>
      <c r="H6368" s="108" t="s">
        <v>24838</v>
      </c>
      <c r="I6368" s="108" t="s">
        <v>117</v>
      </c>
    </row>
    <row r="6369" spans="1:9" ht="27.6">
      <c r="A6369" s="108" t="s">
        <v>207</v>
      </c>
      <c r="B6369" s="108" t="s">
        <v>25341</v>
      </c>
      <c r="C6369" s="109">
        <v>41459</v>
      </c>
      <c r="D6369" s="108" t="s">
        <v>25342</v>
      </c>
      <c r="E6369" s="108" t="s">
        <v>14605</v>
      </c>
      <c r="F6369" s="108" t="s">
        <v>14750</v>
      </c>
      <c r="G6369" s="109">
        <v>46223</v>
      </c>
      <c r="H6369" s="108" t="s">
        <v>24838</v>
      </c>
      <c r="I6369" s="108" t="s">
        <v>117</v>
      </c>
    </row>
    <row r="6370" spans="1:9" ht="27.6">
      <c r="A6370" s="108" t="s">
        <v>207</v>
      </c>
      <c r="B6370" s="108" t="s">
        <v>25343</v>
      </c>
      <c r="C6370" s="109">
        <v>41522</v>
      </c>
      <c r="D6370" s="108" t="s">
        <v>25344</v>
      </c>
      <c r="E6370" s="108" t="s">
        <v>14605</v>
      </c>
      <c r="F6370" s="108" t="s">
        <v>16137</v>
      </c>
      <c r="G6370" s="109">
        <v>46112</v>
      </c>
      <c r="H6370" s="108" t="s">
        <v>24838</v>
      </c>
      <c r="I6370" s="108" t="s">
        <v>117</v>
      </c>
    </row>
    <row r="6371" spans="1:9" ht="27.6">
      <c r="A6371" s="108" t="s">
        <v>207</v>
      </c>
      <c r="B6371" s="108" t="s">
        <v>25345</v>
      </c>
      <c r="C6371" s="109">
        <v>41907</v>
      </c>
      <c r="D6371" s="108" t="s">
        <v>25346</v>
      </c>
      <c r="E6371" s="108" t="s">
        <v>14605</v>
      </c>
      <c r="F6371" s="108" t="s">
        <v>24878</v>
      </c>
      <c r="G6371" s="109">
        <v>45923</v>
      </c>
      <c r="H6371" s="108" t="s">
        <v>24838</v>
      </c>
      <c r="I6371" s="108" t="s">
        <v>117</v>
      </c>
    </row>
    <row r="6372" spans="1:9" ht="27.6">
      <c r="A6372" s="108" t="s">
        <v>207</v>
      </c>
      <c r="B6372" s="108" t="s">
        <v>25347</v>
      </c>
      <c r="C6372" s="109">
        <v>41970</v>
      </c>
      <c r="D6372" s="108" t="s">
        <v>25348</v>
      </c>
      <c r="E6372" s="108" t="s">
        <v>14605</v>
      </c>
      <c r="F6372" s="108" t="s">
        <v>15788</v>
      </c>
      <c r="G6372" s="109">
        <v>45859</v>
      </c>
      <c r="H6372" s="108" t="s">
        <v>24838</v>
      </c>
      <c r="I6372" s="108" t="s">
        <v>117</v>
      </c>
    </row>
    <row r="6373" spans="1:9">
      <c r="A6373" s="108" t="s">
        <v>118</v>
      </c>
      <c r="B6373" s="108" t="s">
        <v>25349</v>
      </c>
      <c r="C6373" s="109">
        <v>42095</v>
      </c>
      <c r="D6373" s="108" t="s">
        <v>25350</v>
      </c>
      <c r="E6373" s="108" t="s">
        <v>14605</v>
      </c>
      <c r="F6373" s="108" t="s">
        <v>15157</v>
      </c>
      <c r="G6373" s="109">
        <v>45955</v>
      </c>
      <c r="H6373" s="108" t="s">
        <v>24838</v>
      </c>
      <c r="I6373" s="108" t="s">
        <v>117</v>
      </c>
    </row>
    <row r="6374" spans="1:9">
      <c r="A6374" s="108" t="s">
        <v>118</v>
      </c>
      <c r="B6374" s="108" t="s">
        <v>25351</v>
      </c>
      <c r="C6374" s="109">
        <v>42261</v>
      </c>
      <c r="D6374" s="108" t="s">
        <v>25352</v>
      </c>
      <c r="E6374" s="108" t="s">
        <v>14605</v>
      </c>
      <c r="F6374" s="108" t="s">
        <v>25307</v>
      </c>
      <c r="G6374" s="109">
        <v>45942</v>
      </c>
      <c r="H6374" s="108" t="s">
        <v>24838</v>
      </c>
      <c r="I6374" s="108" t="s">
        <v>117</v>
      </c>
    </row>
    <row r="6375" spans="1:9" ht="27.6">
      <c r="A6375" s="108" t="s">
        <v>207</v>
      </c>
      <c r="B6375" s="108" t="s">
        <v>25353</v>
      </c>
      <c r="C6375" s="109">
        <v>42740</v>
      </c>
      <c r="D6375" s="108" t="s">
        <v>25354</v>
      </c>
      <c r="E6375" s="108" t="s">
        <v>14605</v>
      </c>
      <c r="F6375" s="108" t="s">
        <v>24841</v>
      </c>
      <c r="G6375" s="109">
        <v>45859</v>
      </c>
      <c r="H6375" s="108" t="s">
        <v>24838</v>
      </c>
      <c r="I6375" s="108" t="s">
        <v>117</v>
      </c>
    </row>
    <row r="6376" spans="1:9">
      <c r="A6376" s="108" t="s">
        <v>118</v>
      </c>
      <c r="B6376" s="108" t="s">
        <v>25355</v>
      </c>
      <c r="C6376" s="109">
        <v>43551</v>
      </c>
      <c r="D6376" s="108" t="s">
        <v>25356</v>
      </c>
      <c r="E6376" s="108" t="s">
        <v>14605</v>
      </c>
      <c r="F6376" s="108" t="s">
        <v>25313</v>
      </c>
      <c r="G6376" s="109">
        <v>45375</v>
      </c>
      <c r="H6376" s="108" t="s">
        <v>24838</v>
      </c>
      <c r="I6376" s="108" t="s">
        <v>117</v>
      </c>
    </row>
    <row r="6377" spans="1:9">
      <c r="A6377" s="108" t="s">
        <v>118</v>
      </c>
      <c r="B6377" s="108" t="s">
        <v>25357</v>
      </c>
      <c r="C6377" s="109">
        <v>43811</v>
      </c>
      <c r="D6377" s="108" t="s">
        <v>25358</v>
      </c>
      <c r="E6377" s="108" t="s">
        <v>14605</v>
      </c>
      <c r="F6377" s="108" t="s">
        <v>15157</v>
      </c>
      <c r="G6377" s="109">
        <v>45961</v>
      </c>
      <c r="H6377" s="108" t="s">
        <v>24838</v>
      </c>
      <c r="I6377" s="108" t="s">
        <v>117</v>
      </c>
    </row>
    <row r="6378" spans="1:9">
      <c r="A6378" s="108" t="s">
        <v>118</v>
      </c>
      <c r="B6378" s="108" t="s">
        <v>25359</v>
      </c>
      <c r="C6378" s="109">
        <v>44284</v>
      </c>
      <c r="D6378" s="108" t="s">
        <v>25360</v>
      </c>
      <c r="E6378" s="108" t="s">
        <v>14605</v>
      </c>
      <c r="F6378" s="108" t="s">
        <v>15589</v>
      </c>
      <c r="G6378" s="109">
        <v>46109</v>
      </c>
      <c r="H6378" s="108" t="s">
        <v>24838</v>
      </c>
      <c r="I6378" s="108" t="s">
        <v>117</v>
      </c>
    </row>
    <row r="6379" spans="1:9">
      <c r="A6379" s="108" t="s">
        <v>118</v>
      </c>
      <c r="B6379" s="108" t="s">
        <v>25361</v>
      </c>
      <c r="C6379" s="109">
        <v>44284</v>
      </c>
      <c r="D6379" s="108" t="s">
        <v>25362</v>
      </c>
      <c r="E6379" s="108" t="s">
        <v>14605</v>
      </c>
      <c r="F6379" s="108" t="s">
        <v>25363</v>
      </c>
      <c r="G6379" s="109">
        <v>46109</v>
      </c>
      <c r="H6379" s="108" t="s">
        <v>24838</v>
      </c>
      <c r="I6379" s="108" t="s">
        <v>117</v>
      </c>
    </row>
    <row r="6380" spans="1:9">
      <c r="A6380" s="108" t="s">
        <v>118</v>
      </c>
      <c r="B6380" s="108" t="s">
        <v>25364</v>
      </c>
      <c r="C6380" s="109">
        <v>44323</v>
      </c>
      <c r="D6380" s="108" t="s">
        <v>25365</v>
      </c>
      <c r="E6380" s="108" t="s">
        <v>14605</v>
      </c>
      <c r="F6380" s="108" t="s">
        <v>25366</v>
      </c>
      <c r="G6380" s="109">
        <v>46148</v>
      </c>
      <c r="H6380" s="108" t="s">
        <v>24838</v>
      </c>
      <c r="I6380" s="108" t="s">
        <v>117</v>
      </c>
    </row>
    <row r="6381" spans="1:9" ht="27.6">
      <c r="A6381" s="108" t="s">
        <v>207</v>
      </c>
      <c r="B6381" s="108" t="s">
        <v>25367</v>
      </c>
      <c r="C6381" s="109">
        <v>45294</v>
      </c>
      <c r="D6381" s="108" t="s">
        <v>25368</v>
      </c>
      <c r="E6381" s="108" t="s">
        <v>14605</v>
      </c>
      <c r="F6381" s="108" t="s">
        <v>16677</v>
      </c>
      <c r="G6381" s="109">
        <v>46377</v>
      </c>
      <c r="H6381" s="108" t="s">
        <v>24838</v>
      </c>
      <c r="I6381" s="108" t="s">
        <v>117</v>
      </c>
    </row>
    <row r="6382" spans="1:9">
      <c r="A6382" s="108" t="s">
        <v>118</v>
      </c>
      <c r="B6382" s="108" t="s">
        <v>25369</v>
      </c>
      <c r="C6382" s="109">
        <v>42440</v>
      </c>
      <c r="D6382" s="108" t="s">
        <v>25370</v>
      </c>
      <c r="E6382" s="108" t="s">
        <v>14605</v>
      </c>
      <c r="F6382" s="108" t="s">
        <v>25371</v>
      </c>
      <c r="G6382" s="109">
        <v>46157</v>
      </c>
      <c r="H6382" s="108" t="s">
        <v>24838</v>
      </c>
      <c r="I6382" s="108" t="s">
        <v>642</v>
      </c>
    </row>
    <row r="6383" spans="1:9">
      <c r="A6383" s="108" t="s">
        <v>169</v>
      </c>
      <c r="B6383" s="108" t="s">
        <v>25372</v>
      </c>
      <c r="C6383" s="109">
        <v>41497</v>
      </c>
      <c r="D6383" s="108" t="s">
        <v>25373</v>
      </c>
      <c r="E6383" s="108" t="s">
        <v>14605</v>
      </c>
      <c r="F6383" s="108" t="s">
        <v>25255</v>
      </c>
      <c r="G6383" s="109">
        <v>45871</v>
      </c>
      <c r="H6383" s="108" t="s">
        <v>24838</v>
      </c>
      <c r="I6383" s="108" t="s">
        <v>3315</v>
      </c>
    </row>
    <row r="6384" spans="1:9">
      <c r="A6384" s="108" t="s">
        <v>169</v>
      </c>
      <c r="B6384" s="108" t="s">
        <v>25374</v>
      </c>
      <c r="C6384" s="109">
        <v>43977</v>
      </c>
      <c r="D6384" s="108" t="s">
        <v>25375</v>
      </c>
      <c r="E6384" s="108" t="s">
        <v>14605</v>
      </c>
      <c r="F6384" s="108" t="s">
        <v>25376</v>
      </c>
      <c r="G6384" s="109">
        <v>45877</v>
      </c>
      <c r="H6384" s="108" t="s">
        <v>24838</v>
      </c>
      <c r="I6384" s="108" t="s">
        <v>3315</v>
      </c>
    </row>
    <row r="6385" spans="1:9" ht="27.6">
      <c r="A6385" s="108" t="s">
        <v>169</v>
      </c>
      <c r="B6385" s="108" t="s">
        <v>25377</v>
      </c>
      <c r="C6385" s="109">
        <v>41905</v>
      </c>
      <c r="D6385" s="108" t="s">
        <v>25378</v>
      </c>
      <c r="E6385" s="108" t="s">
        <v>14605</v>
      </c>
      <c r="F6385" s="108" t="s">
        <v>25166</v>
      </c>
      <c r="G6385" s="109">
        <v>45922</v>
      </c>
      <c r="H6385" s="108" t="s">
        <v>24838</v>
      </c>
      <c r="I6385" s="108" t="s">
        <v>721</v>
      </c>
    </row>
    <row r="6386" spans="1:9">
      <c r="A6386" s="108" t="s">
        <v>169</v>
      </c>
      <c r="B6386" s="108" t="s">
        <v>25379</v>
      </c>
      <c r="C6386" s="109">
        <v>42504</v>
      </c>
      <c r="D6386" s="108" t="s">
        <v>25380</v>
      </c>
      <c r="E6386" s="108" t="s">
        <v>14605</v>
      </c>
      <c r="F6386" s="108" t="s">
        <v>24841</v>
      </c>
      <c r="G6386" s="109">
        <v>46117</v>
      </c>
      <c r="H6386" s="108" t="s">
        <v>24838</v>
      </c>
      <c r="I6386" s="108" t="s">
        <v>721</v>
      </c>
    </row>
    <row r="6387" spans="1:9">
      <c r="A6387" s="108" t="s">
        <v>169</v>
      </c>
      <c r="B6387" s="108" t="s">
        <v>25381</v>
      </c>
      <c r="C6387" s="109">
        <v>42809</v>
      </c>
      <c r="D6387" s="108" t="s">
        <v>25382</v>
      </c>
      <c r="E6387" s="108" t="s">
        <v>14605</v>
      </c>
      <c r="F6387" s="108" t="s">
        <v>24841</v>
      </c>
      <c r="G6387" s="109">
        <v>45387</v>
      </c>
      <c r="H6387" s="108" t="s">
        <v>24838</v>
      </c>
      <c r="I6387" s="108" t="s">
        <v>721</v>
      </c>
    </row>
    <row r="6388" spans="1:9">
      <c r="A6388" s="108" t="s">
        <v>169</v>
      </c>
      <c r="B6388" s="108" t="s">
        <v>25383</v>
      </c>
      <c r="C6388" s="109">
        <v>43024</v>
      </c>
      <c r="D6388" s="108" t="s">
        <v>25384</v>
      </c>
      <c r="E6388" s="108" t="s">
        <v>14605</v>
      </c>
      <c r="F6388" s="108" t="s">
        <v>25385</v>
      </c>
      <c r="G6388" s="109">
        <v>45596</v>
      </c>
      <c r="H6388" s="108" t="s">
        <v>24838</v>
      </c>
      <c r="I6388" s="108" t="s">
        <v>721</v>
      </c>
    </row>
    <row r="6389" spans="1:9">
      <c r="A6389" s="108" t="s">
        <v>169</v>
      </c>
      <c r="B6389" s="108" t="s">
        <v>25386</v>
      </c>
      <c r="C6389" s="109">
        <v>43024</v>
      </c>
      <c r="D6389" s="108" t="s">
        <v>25387</v>
      </c>
      <c r="E6389" s="108" t="s">
        <v>14605</v>
      </c>
      <c r="F6389" s="108" t="s">
        <v>25385</v>
      </c>
      <c r="G6389" s="109">
        <v>45596</v>
      </c>
      <c r="H6389" s="108" t="s">
        <v>24838</v>
      </c>
      <c r="I6389" s="108" t="s">
        <v>721</v>
      </c>
    </row>
    <row r="6390" spans="1:9">
      <c r="A6390" s="108" t="s">
        <v>169</v>
      </c>
      <c r="B6390" s="108" t="s">
        <v>25388</v>
      </c>
      <c r="C6390" s="109">
        <v>43360</v>
      </c>
      <c r="D6390" s="108" t="s">
        <v>25389</v>
      </c>
      <c r="E6390" s="108" t="s">
        <v>14605</v>
      </c>
      <c r="F6390" s="108" t="s">
        <v>24898</v>
      </c>
      <c r="G6390" s="109">
        <v>45930</v>
      </c>
      <c r="H6390" s="108" t="s">
        <v>24838</v>
      </c>
      <c r="I6390" s="108" t="s">
        <v>721</v>
      </c>
    </row>
    <row r="6391" spans="1:9">
      <c r="A6391" s="108" t="s">
        <v>169</v>
      </c>
      <c r="B6391" s="108" t="s">
        <v>25390</v>
      </c>
      <c r="C6391" s="109">
        <v>44355</v>
      </c>
      <c r="D6391" s="108" t="s">
        <v>25391</v>
      </c>
      <c r="E6391" s="108" t="s">
        <v>14605</v>
      </c>
      <c r="F6391" s="108" t="s">
        <v>24906</v>
      </c>
      <c r="G6391" s="109">
        <v>45807</v>
      </c>
      <c r="H6391" s="108" t="s">
        <v>24838</v>
      </c>
      <c r="I6391" s="108" t="s">
        <v>721</v>
      </c>
    </row>
    <row r="6392" spans="1:9">
      <c r="A6392" s="108" t="s">
        <v>169</v>
      </c>
      <c r="B6392" s="108" t="s">
        <v>25392</v>
      </c>
      <c r="C6392" s="109">
        <v>44414</v>
      </c>
      <c r="D6392" s="108" t="s">
        <v>25393</v>
      </c>
      <c r="E6392" s="108" t="s">
        <v>14605</v>
      </c>
      <c r="F6392" s="108" t="s">
        <v>25394</v>
      </c>
      <c r="G6392" s="109">
        <v>45143</v>
      </c>
      <c r="H6392" s="108" t="s">
        <v>24838</v>
      </c>
      <c r="I6392" s="108" t="s">
        <v>20371</v>
      </c>
    </row>
    <row r="6393" spans="1:9" ht="27.6">
      <c r="A6393" s="108" t="s">
        <v>8247</v>
      </c>
      <c r="B6393" s="108" t="s">
        <v>25395</v>
      </c>
      <c r="C6393" s="109">
        <v>44385</v>
      </c>
      <c r="D6393" s="108" t="s">
        <v>25396</v>
      </c>
      <c r="E6393" s="108" t="s">
        <v>16121</v>
      </c>
      <c r="F6393" s="108" t="s">
        <v>24841</v>
      </c>
      <c r="G6393" s="109">
        <v>45999</v>
      </c>
      <c r="H6393" s="108" t="s">
        <v>24838</v>
      </c>
      <c r="I6393" s="108" t="s">
        <v>133</v>
      </c>
    </row>
    <row r="6394" spans="1:9">
      <c r="A6394" s="108" t="s">
        <v>16151</v>
      </c>
      <c r="B6394" s="108" t="s">
        <v>25397</v>
      </c>
      <c r="C6394" s="109">
        <v>44358</v>
      </c>
      <c r="D6394" s="108" t="s">
        <v>25398</v>
      </c>
      <c r="E6394" s="108" t="s">
        <v>16121</v>
      </c>
      <c r="F6394" s="108" t="s">
        <v>15405</v>
      </c>
      <c r="G6394" s="109">
        <v>46201</v>
      </c>
      <c r="H6394" s="108" t="s">
        <v>24838</v>
      </c>
      <c r="I6394" s="108" t="s">
        <v>133</v>
      </c>
    </row>
    <row r="6395" spans="1:9">
      <c r="A6395" s="108" t="s">
        <v>16151</v>
      </c>
      <c r="B6395" s="108" t="s">
        <v>25399</v>
      </c>
      <c r="C6395" s="109">
        <v>44826</v>
      </c>
      <c r="D6395" s="108" t="s">
        <v>25400</v>
      </c>
      <c r="E6395" s="108" t="s">
        <v>14605</v>
      </c>
      <c r="F6395" s="108" t="s">
        <v>24987</v>
      </c>
      <c r="G6395" s="109">
        <v>46070</v>
      </c>
      <c r="H6395" s="108" t="s">
        <v>24838</v>
      </c>
      <c r="I6395" s="108" t="s">
        <v>133</v>
      </c>
    </row>
    <row r="6396" spans="1:9" ht="27.6">
      <c r="A6396" s="108" t="s">
        <v>14950</v>
      </c>
      <c r="B6396" s="108" t="s">
        <v>25401</v>
      </c>
      <c r="C6396" s="109">
        <v>43972</v>
      </c>
      <c r="D6396" s="108" t="s">
        <v>25402</v>
      </c>
      <c r="E6396" s="108" t="s">
        <v>16121</v>
      </c>
      <c r="F6396" s="108" t="s">
        <v>21530</v>
      </c>
      <c r="G6396" s="109">
        <v>44336</v>
      </c>
      <c r="H6396" s="108" t="s">
        <v>24838</v>
      </c>
      <c r="I6396" s="108" t="s">
        <v>108</v>
      </c>
    </row>
    <row r="6397" spans="1:9" ht="27.6">
      <c r="A6397" s="108" t="s">
        <v>14950</v>
      </c>
      <c r="B6397" s="108" t="s">
        <v>25403</v>
      </c>
      <c r="C6397" s="109">
        <v>44056</v>
      </c>
      <c r="D6397" s="108" t="s">
        <v>25404</v>
      </c>
      <c r="E6397" s="108" t="s">
        <v>16121</v>
      </c>
      <c r="F6397" s="108" t="s">
        <v>24968</v>
      </c>
      <c r="G6397" s="109">
        <v>44473</v>
      </c>
      <c r="H6397" s="108" t="s">
        <v>24838</v>
      </c>
      <c r="I6397" s="108" t="s">
        <v>108</v>
      </c>
    </row>
    <row r="6398" spans="1:9" ht="27.6">
      <c r="A6398" s="108" t="s">
        <v>14950</v>
      </c>
      <c r="B6398" s="108" t="s">
        <v>25405</v>
      </c>
      <c r="C6398" s="109">
        <v>44258</v>
      </c>
      <c r="D6398" s="108" t="s">
        <v>25406</v>
      </c>
      <c r="E6398" s="108" t="s">
        <v>16121</v>
      </c>
      <c r="F6398" s="108" t="s">
        <v>16137</v>
      </c>
      <c r="G6398" s="109">
        <v>45353</v>
      </c>
      <c r="H6398" s="108" t="s">
        <v>24838</v>
      </c>
      <c r="I6398" s="108" t="s">
        <v>108</v>
      </c>
    </row>
    <row r="6399" spans="1:9" ht="27.6">
      <c r="A6399" s="108" t="s">
        <v>14950</v>
      </c>
      <c r="B6399" s="108" t="s">
        <v>25407</v>
      </c>
      <c r="C6399" s="109">
        <v>44257</v>
      </c>
      <c r="D6399" s="108" t="s">
        <v>25408</v>
      </c>
      <c r="E6399" s="108" t="s">
        <v>16121</v>
      </c>
      <c r="F6399" s="108" t="s">
        <v>14904</v>
      </c>
      <c r="G6399" s="109">
        <v>44623</v>
      </c>
      <c r="H6399" s="108" t="s">
        <v>24838</v>
      </c>
      <c r="I6399" s="108" t="s">
        <v>108</v>
      </c>
    </row>
    <row r="6400" spans="1:9" ht="27.6">
      <c r="A6400" s="108" t="s">
        <v>14950</v>
      </c>
      <c r="B6400" s="108" t="s">
        <v>25409</v>
      </c>
      <c r="C6400" s="109">
        <v>44379</v>
      </c>
      <c r="D6400" s="108" t="s">
        <v>25410</v>
      </c>
      <c r="E6400" s="108" t="s">
        <v>16121</v>
      </c>
      <c r="F6400" s="108" t="s">
        <v>15589</v>
      </c>
      <c r="G6400" s="109">
        <v>44703</v>
      </c>
      <c r="H6400" s="108" t="s">
        <v>24838</v>
      </c>
      <c r="I6400" s="108" t="s">
        <v>108</v>
      </c>
    </row>
    <row r="6401" spans="1:9" ht="27.6">
      <c r="A6401" s="108" t="s">
        <v>14950</v>
      </c>
      <c r="B6401" s="108" t="s">
        <v>25411</v>
      </c>
      <c r="C6401" s="109">
        <v>44358</v>
      </c>
      <c r="D6401" s="108" t="s">
        <v>25412</v>
      </c>
      <c r="E6401" s="108" t="s">
        <v>16121</v>
      </c>
      <c r="F6401" s="108" t="s">
        <v>15405</v>
      </c>
      <c r="G6401" s="109">
        <v>44741</v>
      </c>
      <c r="H6401" s="108" t="s">
        <v>24838</v>
      </c>
      <c r="I6401" s="108" t="s">
        <v>108</v>
      </c>
    </row>
    <row r="6402" spans="1:9" ht="27.6">
      <c r="A6402" s="108" t="s">
        <v>14950</v>
      </c>
      <c r="B6402" s="108" t="s">
        <v>25413</v>
      </c>
      <c r="C6402" s="109">
        <v>44362</v>
      </c>
      <c r="D6402" s="108" t="s">
        <v>25414</v>
      </c>
      <c r="E6402" s="108" t="s">
        <v>16121</v>
      </c>
      <c r="F6402" s="108" t="s">
        <v>25415</v>
      </c>
      <c r="G6402" s="109">
        <v>44738</v>
      </c>
      <c r="H6402" s="108" t="s">
        <v>24838</v>
      </c>
      <c r="I6402" s="108" t="s">
        <v>108</v>
      </c>
    </row>
    <row r="6403" spans="1:9" ht="27.6">
      <c r="A6403" s="108" t="s">
        <v>14950</v>
      </c>
      <c r="B6403" s="108" t="s">
        <v>25416</v>
      </c>
      <c r="C6403" s="109">
        <v>44372</v>
      </c>
      <c r="D6403" s="108" t="s">
        <v>25417</v>
      </c>
      <c r="E6403" s="108" t="s">
        <v>16121</v>
      </c>
      <c r="F6403" s="108" t="s">
        <v>25109</v>
      </c>
      <c r="G6403" s="109">
        <v>44763</v>
      </c>
      <c r="H6403" s="108" t="s">
        <v>24838</v>
      </c>
      <c r="I6403" s="108" t="s">
        <v>108</v>
      </c>
    </row>
    <row r="6404" spans="1:9" ht="27.6">
      <c r="A6404" s="108" t="s">
        <v>14950</v>
      </c>
      <c r="B6404" s="108" t="s">
        <v>25418</v>
      </c>
      <c r="C6404" s="109">
        <v>44384</v>
      </c>
      <c r="D6404" s="108" t="s">
        <v>25419</v>
      </c>
      <c r="E6404" s="108" t="s">
        <v>16121</v>
      </c>
      <c r="F6404" s="108" t="s">
        <v>24891</v>
      </c>
      <c r="G6404" s="109">
        <v>46224</v>
      </c>
      <c r="H6404" s="108" t="s">
        <v>24838</v>
      </c>
      <c r="I6404" s="108" t="s">
        <v>108</v>
      </c>
    </row>
    <row r="6405" spans="1:9">
      <c r="A6405" s="108" t="s">
        <v>477</v>
      </c>
      <c r="B6405" s="108" t="s">
        <v>25420</v>
      </c>
      <c r="C6405" s="109">
        <v>45139</v>
      </c>
      <c r="D6405" s="108" t="s">
        <v>25421</v>
      </c>
      <c r="E6405" s="108" t="s">
        <v>14605</v>
      </c>
      <c r="F6405" s="108" t="s">
        <v>24841</v>
      </c>
      <c r="G6405" s="109">
        <v>45657</v>
      </c>
      <c r="H6405" s="108" t="s">
        <v>24838</v>
      </c>
      <c r="I6405" s="108" t="s">
        <v>108</v>
      </c>
    </row>
    <row r="6406" spans="1:9" ht="27.6">
      <c r="A6406" s="108" t="s">
        <v>20001</v>
      </c>
      <c r="B6406" s="108" t="s">
        <v>25422</v>
      </c>
      <c r="C6406" s="109">
        <v>45436</v>
      </c>
      <c r="D6406" s="108" t="s">
        <v>25423</v>
      </c>
      <c r="E6406" s="108" t="s">
        <v>14605</v>
      </c>
      <c r="F6406" s="108" t="s">
        <v>25424</v>
      </c>
      <c r="G6406" s="109">
        <v>45409</v>
      </c>
      <c r="H6406" s="108" t="s">
        <v>24838</v>
      </c>
      <c r="I6406" s="108" t="s">
        <v>108</v>
      </c>
    </row>
    <row r="6407" spans="1:9">
      <c r="A6407" s="108" t="s">
        <v>87</v>
      </c>
      <c r="B6407" s="108" t="s">
        <v>25425</v>
      </c>
      <c r="C6407" s="109">
        <v>45092</v>
      </c>
      <c r="D6407" s="108" t="s">
        <v>25426</v>
      </c>
      <c r="E6407" s="108" t="s">
        <v>14605</v>
      </c>
      <c r="F6407" s="108" t="s">
        <v>14741</v>
      </c>
      <c r="G6407" s="109">
        <v>45467</v>
      </c>
      <c r="H6407" s="108" t="s">
        <v>24838</v>
      </c>
      <c r="I6407" s="108" t="s">
        <v>108</v>
      </c>
    </row>
    <row r="6408" spans="1:9" ht="27.6">
      <c r="A6408" s="108" t="s">
        <v>96</v>
      </c>
      <c r="B6408" s="108" t="s">
        <v>25427</v>
      </c>
      <c r="C6408" s="109">
        <v>45959</v>
      </c>
      <c r="D6408" s="108" t="s">
        <v>25428</v>
      </c>
      <c r="E6408" s="108" t="s">
        <v>14605</v>
      </c>
      <c r="F6408" s="108" t="s">
        <v>24998</v>
      </c>
      <c r="G6408" s="109">
        <v>46129</v>
      </c>
      <c r="H6408" s="108" t="s">
        <v>24838</v>
      </c>
      <c r="I6408" s="108" t="s">
        <v>108</v>
      </c>
    </row>
    <row r="6409" spans="1:9">
      <c r="A6409" s="108" t="s">
        <v>16151</v>
      </c>
      <c r="B6409" s="108" t="s">
        <v>25429</v>
      </c>
      <c r="C6409" s="109">
        <v>46140</v>
      </c>
      <c r="D6409" s="108" t="s">
        <v>25430</v>
      </c>
      <c r="E6409" s="108" t="s">
        <v>14605</v>
      </c>
      <c r="F6409" s="108" t="s">
        <v>25431</v>
      </c>
      <c r="G6409" s="109">
        <v>45353</v>
      </c>
      <c r="H6409" s="108" t="s">
        <v>24838</v>
      </c>
      <c r="I6409" s="108" t="s">
        <v>108</v>
      </c>
    </row>
    <row r="6410" spans="1:9">
      <c r="A6410" s="108" t="s">
        <v>16151</v>
      </c>
      <c r="B6410" s="108" t="s">
        <v>25432</v>
      </c>
      <c r="C6410" s="109">
        <v>45643</v>
      </c>
      <c r="D6410" s="108" t="s">
        <v>25433</v>
      </c>
      <c r="E6410" s="108" t="s">
        <v>14605</v>
      </c>
      <c r="F6410" s="108" t="s">
        <v>15155</v>
      </c>
      <c r="G6410" s="109">
        <v>45947</v>
      </c>
      <c r="H6410" s="108" t="s">
        <v>24838</v>
      </c>
      <c r="I6410" s="108" t="s">
        <v>108</v>
      </c>
    </row>
    <row r="6411" spans="1:9">
      <c r="A6411" s="108" t="s">
        <v>16151</v>
      </c>
      <c r="B6411" s="108" t="s">
        <v>25434</v>
      </c>
      <c r="C6411" s="109">
        <v>45691</v>
      </c>
      <c r="D6411" s="108" t="s">
        <v>25435</v>
      </c>
      <c r="E6411" s="108" t="s">
        <v>14605</v>
      </c>
      <c r="F6411" s="108" t="s">
        <v>15155</v>
      </c>
      <c r="G6411" s="109">
        <v>46022</v>
      </c>
      <c r="H6411" s="108" t="s">
        <v>24838</v>
      </c>
      <c r="I6411" s="108" t="s">
        <v>108</v>
      </c>
    </row>
    <row r="6412" spans="1:9" ht="27.6">
      <c r="A6412" s="108" t="s">
        <v>103</v>
      </c>
      <c r="B6412" s="108" t="s">
        <v>25436</v>
      </c>
      <c r="C6412" s="109">
        <v>45506</v>
      </c>
      <c r="D6412" s="108" t="s">
        <v>25437</v>
      </c>
      <c r="E6412" s="108" t="s">
        <v>14605</v>
      </c>
      <c r="F6412" s="108" t="s">
        <v>14741</v>
      </c>
      <c r="G6412" s="109">
        <v>45870</v>
      </c>
      <c r="H6412" s="108" t="s">
        <v>24838</v>
      </c>
      <c r="I6412" s="108" t="s">
        <v>108</v>
      </c>
    </row>
    <row r="6413" spans="1:9" ht="27.6">
      <c r="A6413" s="108" t="s">
        <v>14950</v>
      </c>
      <c r="B6413" s="108" t="s">
        <v>25438</v>
      </c>
      <c r="C6413" s="109">
        <v>43707</v>
      </c>
      <c r="D6413" s="108" t="s">
        <v>25439</v>
      </c>
      <c r="E6413" s="108" t="s">
        <v>14605</v>
      </c>
      <c r="F6413" s="108" t="s">
        <v>25136</v>
      </c>
      <c r="G6413" s="109">
        <v>44072</v>
      </c>
      <c r="H6413" s="108" t="s">
        <v>24838</v>
      </c>
      <c r="I6413" s="108" t="s">
        <v>19708</v>
      </c>
    </row>
    <row r="6414" spans="1:9" ht="27.6">
      <c r="A6414" s="108" t="s">
        <v>14950</v>
      </c>
      <c r="B6414" s="108" t="s">
        <v>25440</v>
      </c>
      <c r="C6414" s="109">
        <v>43691</v>
      </c>
      <c r="D6414" s="108" t="s">
        <v>25441</v>
      </c>
      <c r="E6414" s="108" t="s">
        <v>14605</v>
      </c>
      <c r="F6414" s="108" t="s">
        <v>21530</v>
      </c>
      <c r="G6414" s="109">
        <v>44056</v>
      </c>
      <c r="H6414" s="108" t="s">
        <v>24838</v>
      </c>
      <c r="I6414" s="108" t="s">
        <v>19708</v>
      </c>
    </row>
    <row r="6415" spans="1:9" ht="27.6">
      <c r="A6415" s="108" t="s">
        <v>14950</v>
      </c>
      <c r="B6415" s="108" t="s">
        <v>25442</v>
      </c>
      <c r="C6415" s="109">
        <v>43791</v>
      </c>
      <c r="D6415" s="108" t="s">
        <v>25443</v>
      </c>
      <c r="E6415" s="108" t="s">
        <v>16121</v>
      </c>
      <c r="F6415" s="108" t="s">
        <v>15155</v>
      </c>
      <c r="G6415" s="109">
        <v>44156</v>
      </c>
      <c r="H6415" s="108" t="s">
        <v>24838</v>
      </c>
      <c r="I6415" s="108" t="s">
        <v>19708</v>
      </c>
    </row>
    <row r="6416" spans="1:9" ht="27.6">
      <c r="A6416" s="108" t="s">
        <v>14950</v>
      </c>
      <c r="B6416" s="108" t="s">
        <v>25444</v>
      </c>
      <c r="C6416" s="109">
        <v>44039</v>
      </c>
      <c r="D6416" s="108" t="s">
        <v>25445</v>
      </c>
      <c r="E6416" s="108" t="s">
        <v>16121</v>
      </c>
      <c r="F6416" s="108" t="s">
        <v>15157</v>
      </c>
      <c r="G6416" s="109">
        <v>44254</v>
      </c>
      <c r="H6416" s="108" t="s">
        <v>24838</v>
      </c>
      <c r="I6416" s="108" t="s">
        <v>19708</v>
      </c>
    </row>
    <row r="6417" spans="1:9">
      <c r="A6417" s="108" t="s">
        <v>16151</v>
      </c>
      <c r="B6417" s="108" t="s">
        <v>25446</v>
      </c>
      <c r="C6417" s="109">
        <v>44431</v>
      </c>
      <c r="D6417" s="108" t="s">
        <v>25447</v>
      </c>
      <c r="E6417" s="108" t="s">
        <v>14605</v>
      </c>
      <c r="F6417" s="108" t="s">
        <v>25448</v>
      </c>
      <c r="G6417" s="109">
        <v>45178</v>
      </c>
      <c r="H6417" s="108" t="s">
        <v>24838</v>
      </c>
      <c r="I6417" s="108" t="s">
        <v>19708</v>
      </c>
    </row>
    <row r="6418" spans="1:9" ht="27.6">
      <c r="A6418" s="108" t="s">
        <v>25449</v>
      </c>
      <c r="B6418" s="108" t="s">
        <v>25450</v>
      </c>
      <c r="C6418" s="109">
        <v>45975</v>
      </c>
      <c r="D6418" s="108" t="s">
        <v>25451</v>
      </c>
      <c r="E6418" s="108" t="s">
        <v>14605</v>
      </c>
      <c r="F6418" s="108" t="s">
        <v>15916</v>
      </c>
      <c r="G6418" s="109">
        <v>45593</v>
      </c>
      <c r="H6418" s="108" t="s">
        <v>24838</v>
      </c>
      <c r="I6418" s="108" t="s">
        <v>19708</v>
      </c>
    </row>
    <row r="6419" spans="1:9">
      <c r="A6419" s="108" t="s">
        <v>16151</v>
      </c>
      <c r="B6419" s="108" t="s">
        <v>25452</v>
      </c>
      <c r="C6419" s="109">
        <v>43405</v>
      </c>
      <c r="D6419" s="108" t="s">
        <v>25453</v>
      </c>
      <c r="E6419" s="108" t="s">
        <v>16121</v>
      </c>
      <c r="F6419" s="108" t="s">
        <v>25454</v>
      </c>
      <c r="G6419" s="109">
        <v>45506</v>
      </c>
      <c r="H6419" s="108" t="s">
        <v>24838</v>
      </c>
      <c r="I6419" s="108" t="s">
        <v>19708</v>
      </c>
    </row>
    <row r="6420" spans="1:9" ht="27.6">
      <c r="A6420" s="108" t="s">
        <v>388</v>
      </c>
      <c r="B6420" s="108" t="s">
        <v>25455</v>
      </c>
      <c r="C6420" s="109">
        <v>44362</v>
      </c>
      <c r="D6420" s="108" t="s">
        <v>25456</v>
      </c>
      <c r="E6420" s="108" t="s">
        <v>16121</v>
      </c>
      <c r="F6420" s="108" t="s">
        <v>25415</v>
      </c>
      <c r="G6420" s="109">
        <v>45469</v>
      </c>
      <c r="H6420" s="108" t="s">
        <v>24838</v>
      </c>
      <c r="I6420" s="108" t="s">
        <v>19708</v>
      </c>
    </row>
    <row r="6421" spans="1:9" ht="27.6">
      <c r="A6421" s="108" t="s">
        <v>96</v>
      </c>
      <c r="B6421" s="108" t="s">
        <v>25457</v>
      </c>
      <c r="C6421" s="109">
        <v>44217</v>
      </c>
      <c r="D6421" s="108"/>
      <c r="E6421" s="108" t="s">
        <v>14605</v>
      </c>
      <c r="F6421" s="108" t="s">
        <v>23092</v>
      </c>
      <c r="G6421" s="110"/>
      <c r="H6421" s="108" t="s">
        <v>25458</v>
      </c>
      <c r="I6421" s="108"/>
    </row>
    <row r="6422" spans="1:9">
      <c r="A6422" s="108" t="s">
        <v>14634</v>
      </c>
      <c r="B6422" s="108" t="s">
        <v>25459</v>
      </c>
      <c r="C6422" s="109">
        <v>41425</v>
      </c>
      <c r="D6422" s="108"/>
      <c r="E6422" s="108" t="s">
        <v>14605</v>
      </c>
      <c r="F6422" s="108" t="s">
        <v>25460</v>
      </c>
      <c r="G6422" s="110"/>
      <c r="H6422" s="108" t="s">
        <v>25458</v>
      </c>
      <c r="I6422" s="108"/>
    </row>
    <row r="6423" spans="1:9">
      <c r="A6423" s="108" t="s">
        <v>14634</v>
      </c>
      <c r="B6423" s="108" t="s">
        <v>25461</v>
      </c>
      <c r="C6423" s="109">
        <v>42146</v>
      </c>
      <c r="D6423" s="108"/>
      <c r="E6423" s="108" t="s">
        <v>14605</v>
      </c>
      <c r="F6423" s="108" t="s">
        <v>14654</v>
      </c>
      <c r="G6423" s="110"/>
      <c r="H6423" s="108" t="s">
        <v>25458</v>
      </c>
      <c r="I6423" s="108"/>
    </row>
    <row r="6424" spans="1:9">
      <c r="A6424" s="108" t="s">
        <v>14662</v>
      </c>
      <c r="B6424" s="108" t="s">
        <v>25462</v>
      </c>
      <c r="C6424" s="109">
        <v>42682</v>
      </c>
      <c r="D6424" s="108"/>
      <c r="E6424" s="108" t="s">
        <v>14605</v>
      </c>
      <c r="F6424" s="108" t="s">
        <v>25463</v>
      </c>
      <c r="G6424" s="110"/>
      <c r="H6424" s="108" t="s">
        <v>25458</v>
      </c>
      <c r="I6424" s="108"/>
    </row>
    <row r="6425" spans="1:9" ht="27.6">
      <c r="A6425" s="108" t="s">
        <v>14662</v>
      </c>
      <c r="B6425" s="108" t="s">
        <v>25464</v>
      </c>
      <c r="C6425" s="109">
        <v>43617</v>
      </c>
      <c r="D6425" s="108"/>
      <c r="E6425" s="108" t="s">
        <v>14605</v>
      </c>
      <c r="F6425" s="108" t="s">
        <v>4000</v>
      </c>
      <c r="G6425" s="110"/>
      <c r="H6425" s="108" t="s">
        <v>25458</v>
      </c>
      <c r="I6425" s="108"/>
    </row>
    <row r="6426" spans="1:9">
      <c r="A6426" s="108" t="s">
        <v>14662</v>
      </c>
      <c r="B6426" s="108" t="s">
        <v>25465</v>
      </c>
      <c r="C6426" s="109">
        <v>42963</v>
      </c>
      <c r="D6426" s="108"/>
      <c r="E6426" s="108" t="s">
        <v>14605</v>
      </c>
      <c r="F6426" s="108" t="s">
        <v>1519</v>
      </c>
      <c r="G6426" s="110"/>
      <c r="H6426" s="108" t="s">
        <v>25458</v>
      </c>
      <c r="I6426" s="108"/>
    </row>
    <row r="6427" spans="1:9">
      <c r="A6427" s="108" t="s">
        <v>14662</v>
      </c>
      <c r="B6427" s="108" t="s">
        <v>25466</v>
      </c>
      <c r="C6427" s="109">
        <v>43081</v>
      </c>
      <c r="D6427" s="108"/>
      <c r="E6427" s="108" t="s">
        <v>14605</v>
      </c>
      <c r="F6427" s="108" t="s">
        <v>2609</v>
      </c>
      <c r="G6427" s="110"/>
      <c r="H6427" s="108" t="s">
        <v>25458</v>
      </c>
      <c r="I6427" s="108"/>
    </row>
    <row r="6428" spans="1:9">
      <c r="A6428" s="108" t="s">
        <v>14634</v>
      </c>
      <c r="B6428" s="108" t="s">
        <v>25467</v>
      </c>
      <c r="C6428" s="109">
        <v>43294</v>
      </c>
      <c r="D6428" s="108"/>
      <c r="E6428" s="108" t="s">
        <v>14605</v>
      </c>
      <c r="F6428" s="108" t="s">
        <v>25468</v>
      </c>
      <c r="G6428" s="110"/>
      <c r="H6428" s="108" t="s">
        <v>25458</v>
      </c>
      <c r="I6428" s="108"/>
    </row>
    <row r="6429" spans="1:9">
      <c r="A6429" s="108" t="s">
        <v>16151</v>
      </c>
      <c r="B6429" s="108" t="s">
        <v>25469</v>
      </c>
      <c r="C6429" s="109">
        <v>44225</v>
      </c>
      <c r="D6429" s="108"/>
      <c r="E6429" s="108" t="s">
        <v>15275</v>
      </c>
      <c r="F6429" s="108" t="s">
        <v>23092</v>
      </c>
      <c r="G6429" s="110"/>
      <c r="H6429" s="108" t="s">
        <v>25458</v>
      </c>
      <c r="I6429" s="108"/>
    </row>
    <row r="6430" spans="1:9">
      <c r="A6430" s="108" t="s">
        <v>2002</v>
      </c>
      <c r="B6430" s="108" t="s">
        <v>3408</v>
      </c>
      <c r="C6430" s="109">
        <v>40780</v>
      </c>
      <c r="D6430" s="108"/>
      <c r="E6430" s="108" t="s">
        <v>14605</v>
      </c>
      <c r="F6430" s="108" t="s">
        <v>14672</v>
      </c>
      <c r="G6430" s="110"/>
      <c r="H6430" s="108" t="s">
        <v>25458</v>
      </c>
      <c r="I6430" s="108"/>
    </row>
    <row r="6431" spans="1:9">
      <c r="A6431" s="108" t="s">
        <v>2002</v>
      </c>
      <c r="B6431" s="108" t="s">
        <v>3407</v>
      </c>
      <c r="C6431" s="109">
        <v>40780</v>
      </c>
      <c r="D6431" s="108"/>
      <c r="E6431" s="108" t="s">
        <v>14605</v>
      </c>
      <c r="F6431" s="108" t="s">
        <v>14672</v>
      </c>
      <c r="G6431" s="110"/>
      <c r="H6431" s="108" t="s">
        <v>25458</v>
      </c>
      <c r="I6431" s="108"/>
    </row>
    <row r="6432" spans="1:9">
      <c r="A6432" s="108" t="s">
        <v>2002</v>
      </c>
      <c r="B6432" s="108" t="s">
        <v>2001</v>
      </c>
      <c r="C6432" s="109">
        <v>41092</v>
      </c>
      <c r="D6432" s="108"/>
      <c r="E6432" s="108" t="s">
        <v>14605</v>
      </c>
      <c r="F6432" s="108" t="s">
        <v>2000</v>
      </c>
      <c r="G6432" s="110"/>
      <c r="H6432" s="108" t="s">
        <v>25458</v>
      </c>
      <c r="I6432" s="108"/>
    </row>
    <row r="6433" spans="1:9">
      <c r="A6433" s="108" t="s">
        <v>2002</v>
      </c>
      <c r="B6433" s="108" t="s">
        <v>880</v>
      </c>
      <c r="C6433" s="109">
        <v>41226</v>
      </c>
      <c r="D6433" s="108"/>
      <c r="E6433" s="108" t="s">
        <v>14605</v>
      </c>
      <c r="F6433" s="108" t="s">
        <v>879</v>
      </c>
      <c r="G6433" s="110"/>
      <c r="H6433" s="108" t="s">
        <v>25458</v>
      </c>
      <c r="I6433" s="108"/>
    </row>
    <row r="6434" spans="1:9">
      <c r="A6434" s="108" t="s">
        <v>2002</v>
      </c>
      <c r="B6434" s="108" t="s">
        <v>3762</v>
      </c>
      <c r="C6434" s="109">
        <v>41204</v>
      </c>
      <c r="D6434" s="108"/>
      <c r="E6434" s="108" t="s">
        <v>14605</v>
      </c>
      <c r="F6434" s="108" t="s">
        <v>3763</v>
      </c>
      <c r="G6434" s="110"/>
      <c r="H6434" s="108" t="s">
        <v>25458</v>
      </c>
      <c r="I6434" s="108"/>
    </row>
    <row r="6435" spans="1:9">
      <c r="A6435" s="108" t="s">
        <v>2002</v>
      </c>
      <c r="B6435" s="108" t="s">
        <v>3665</v>
      </c>
      <c r="C6435" s="109">
        <v>41369</v>
      </c>
      <c r="D6435" s="108"/>
      <c r="E6435" s="108" t="s">
        <v>14605</v>
      </c>
      <c r="F6435" s="108" t="s">
        <v>3666</v>
      </c>
      <c r="G6435" s="110"/>
      <c r="H6435" s="108" t="s">
        <v>25458</v>
      </c>
      <c r="I6435" s="108"/>
    </row>
    <row r="6436" spans="1:9" ht="27.6">
      <c r="A6436" s="108" t="s">
        <v>2002</v>
      </c>
      <c r="B6436" s="108" t="s">
        <v>2392</v>
      </c>
      <c r="C6436" s="109">
        <v>41344</v>
      </c>
      <c r="D6436" s="108"/>
      <c r="E6436" s="108" t="s">
        <v>14605</v>
      </c>
      <c r="F6436" s="108" t="s">
        <v>2393</v>
      </c>
      <c r="G6436" s="110"/>
      <c r="H6436" s="108" t="s">
        <v>25458</v>
      </c>
      <c r="I6436" s="108"/>
    </row>
    <row r="6437" spans="1:9">
      <c r="A6437" s="108" t="s">
        <v>2002</v>
      </c>
      <c r="B6437" s="108" t="s">
        <v>5065</v>
      </c>
      <c r="C6437" s="109">
        <v>41582</v>
      </c>
      <c r="D6437" s="108"/>
      <c r="E6437" s="108" t="s">
        <v>14605</v>
      </c>
      <c r="F6437" s="108" t="s">
        <v>5057</v>
      </c>
      <c r="G6437" s="110"/>
      <c r="H6437" s="108" t="s">
        <v>25458</v>
      </c>
      <c r="I6437" s="108"/>
    </row>
    <row r="6438" spans="1:9" ht="27.6">
      <c r="A6438" s="108" t="s">
        <v>2002</v>
      </c>
      <c r="B6438" s="108" t="s">
        <v>3188</v>
      </c>
      <c r="C6438" s="109">
        <v>41681</v>
      </c>
      <c r="D6438" s="108"/>
      <c r="E6438" s="108" t="s">
        <v>14605</v>
      </c>
      <c r="F6438" s="108" t="s">
        <v>3182</v>
      </c>
      <c r="G6438" s="110"/>
      <c r="H6438" s="108" t="s">
        <v>25458</v>
      </c>
      <c r="I6438" s="108"/>
    </row>
    <row r="6439" spans="1:9">
      <c r="A6439" s="108" t="s">
        <v>2002</v>
      </c>
      <c r="B6439" s="108" t="s">
        <v>4573</v>
      </c>
      <c r="C6439" s="109">
        <v>43787</v>
      </c>
      <c r="D6439" s="108"/>
      <c r="E6439" s="108" t="s">
        <v>14605</v>
      </c>
      <c r="F6439" s="108" t="s">
        <v>4559</v>
      </c>
      <c r="G6439" s="110"/>
      <c r="H6439" s="108" t="s">
        <v>25458</v>
      </c>
      <c r="I6439" s="108"/>
    </row>
    <row r="6440" spans="1:9">
      <c r="A6440" s="108" t="s">
        <v>2002</v>
      </c>
      <c r="B6440" s="108" t="s">
        <v>3957</v>
      </c>
      <c r="C6440" s="109">
        <v>41680</v>
      </c>
      <c r="D6440" s="108"/>
      <c r="E6440" s="108" t="s">
        <v>14605</v>
      </c>
      <c r="F6440" s="108" t="s">
        <v>3953</v>
      </c>
      <c r="G6440" s="110"/>
      <c r="H6440" s="108" t="s">
        <v>25458</v>
      </c>
      <c r="I6440" s="108"/>
    </row>
    <row r="6441" spans="1:9">
      <c r="A6441" s="108" t="s">
        <v>2002</v>
      </c>
      <c r="B6441" s="108" t="s">
        <v>5126</v>
      </c>
      <c r="C6441" s="109">
        <v>41731</v>
      </c>
      <c r="D6441" s="108"/>
      <c r="E6441" s="108" t="s">
        <v>14605</v>
      </c>
      <c r="F6441" s="108" t="s">
        <v>5127</v>
      </c>
      <c r="G6441" s="110"/>
      <c r="H6441" s="108" t="s">
        <v>25458</v>
      </c>
      <c r="I6441" s="108"/>
    </row>
    <row r="6442" spans="1:9">
      <c r="A6442" s="108" t="s">
        <v>2002</v>
      </c>
      <c r="B6442" s="108" t="s">
        <v>1387</v>
      </c>
      <c r="C6442" s="109">
        <v>41844</v>
      </c>
      <c r="D6442" s="108"/>
      <c r="E6442" s="108" t="s">
        <v>14605</v>
      </c>
      <c r="F6442" s="108" t="s">
        <v>1388</v>
      </c>
      <c r="G6442" s="110"/>
      <c r="H6442" s="108" t="s">
        <v>25458</v>
      </c>
      <c r="I6442" s="108"/>
    </row>
    <row r="6443" spans="1:9">
      <c r="A6443" s="108" t="s">
        <v>2002</v>
      </c>
      <c r="B6443" s="108" t="s">
        <v>4425</v>
      </c>
      <c r="C6443" s="109">
        <v>41841</v>
      </c>
      <c r="D6443" s="108"/>
      <c r="E6443" s="108" t="s">
        <v>14605</v>
      </c>
      <c r="F6443" s="108" t="s">
        <v>4416</v>
      </c>
      <c r="G6443" s="110"/>
      <c r="H6443" s="108" t="s">
        <v>25458</v>
      </c>
      <c r="I6443" s="108"/>
    </row>
    <row r="6444" spans="1:9">
      <c r="A6444" s="108" t="s">
        <v>2002</v>
      </c>
      <c r="B6444" s="108" t="s">
        <v>1060</v>
      </c>
      <c r="C6444" s="109">
        <v>42320</v>
      </c>
      <c r="D6444" s="108"/>
      <c r="E6444" s="108" t="s">
        <v>14605</v>
      </c>
      <c r="F6444" s="108" t="s">
        <v>1061</v>
      </c>
      <c r="G6444" s="110"/>
      <c r="H6444" s="108" t="s">
        <v>25458</v>
      </c>
      <c r="I6444" s="108"/>
    </row>
    <row r="6445" spans="1:9">
      <c r="A6445" s="108" t="s">
        <v>2002</v>
      </c>
      <c r="B6445" s="108" t="s">
        <v>1223</v>
      </c>
      <c r="C6445" s="109">
        <v>41893</v>
      </c>
      <c r="D6445" s="108"/>
      <c r="E6445" s="108" t="s">
        <v>14605</v>
      </c>
      <c r="F6445" s="108" t="s">
        <v>1221</v>
      </c>
      <c r="G6445" s="110"/>
      <c r="H6445" s="108" t="s">
        <v>25458</v>
      </c>
      <c r="I6445" s="108"/>
    </row>
    <row r="6446" spans="1:9">
      <c r="A6446" s="108" t="s">
        <v>2002</v>
      </c>
      <c r="B6446" s="108" t="s">
        <v>1118</v>
      </c>
      <c r="C6446" s="109">
        <v>41921</v>
      </c>
      <c r="D6446" s="108"/>
      <c r="E6446" s="108" t="s">
        <v>14605</v>
      </c>
      <c r="F6446" s="108" t="s">
        <v>1106</v>
      </c>
      <c r="G6446" s="110"/>
      <c r="H6446" s="108" t="s">
        <v>25458</v>
      </c>
      <c r="I6446" s="108"/>
    </row>
    <row r="6447" spans="1:9" ht="27.6">
      <c r="A6447" s="108" t="s">
        <v>2002</v>
      </c>
      <c r="B6447" s="108" t="s">
        <v>774</v>
      </c>
      <c r="C6447" s="109">
        <v>42030</v>
      </c>
      <c r="D6447" s="108"/>
      <c r="E6447" s="108" t="s">
        <v>14605</v>
      </c>
      <c r="F6447" s="108" t="s">
        <v>775</v>
      </c>
      <c r="G6447" s="110"/>
      <c r="H6447" s="108" t="s">
        <v>25458</v>
      </c>
      <c r="I6447" s="108"/>
    </row>
    <row r="6448" spans="1:9">
      <c r="A6448" s="108" t="s">
        <v>1465</v>
      </c>
      <c r="B6448" s="108" t="s">
        <v>25470</v>
      </c>
      <c r="C6448" s="109">
        <v>41743</v>
      </c>
      <c r="D6448" s="108"/>
      <c r="E6448" s="108" t="s">
        <v>14605</v>
      </c>
      <c r="F6448" s="108" t="s">
        <v>14746</v>
      </c>
      <c r="G6448" s="110"/>
      <c r="H6448" s="108" t="s">
        <v>25458</v>
      </c>
      <c r="I6448" s="108"/>
    </row>
    <row r="6449" spans="1:9">
      <c r="A6449" s="108" t="s">
        <v>1465</v>
      </c>
      <c r="B6449" s="108" t="s">
        <v>500</v>
      </c>
      <c r="C6449" s="109">
        <v>41789</v>
      </c>
      <c r="D6449" s="108"/>
      <c r="E6449" s="108" t="s">
        <v>14605</v>
      </c>
      <c r="F6449" s="108" t="s">
        <v>484</v>
      </c>
      <c r="G6449" s="110"/>
      <c r="H6449" s="108" t="s">
        <v>25458</v>
      </c>
      <c r="I6449" s="108"/>
    </row>
    <row r="6450" spans="1:9">
      <c r="A6450" s="108" t="s">
        <v>1465</v>
      </c>
      <c r="B6450" s="108" t="s">
        <v>770</v>
      </c>
      <c r="C6450" s="109">
        <v>41843</v>
      </c>
      <c r="D6450" s="108"/>
      <c r="E6450" s="108" t="s">
        <v>14605</v>
      </c>
      <c r="F6450" s="108" t="s">
        <v>771</v>
      </c>
      <c r="G6450" s="110"/>
      <c r="H6450" s="108" t="s">
        <v>25458</v>
      </c>
      <c r="I6450" s="108"/>
    </row>
    <row r="6451" spans="1:9">
      <c r="A6451" s="108" t="s">
        <v>1465</v>
      </c>
      <c r="B6451" s="108" t="s">
        <v>4103</v>
      </c>
      <c r="C6451" s="109">
        <v>41900</v>
      </c>
      <c r="D6451" s="108"/>
      <c r="E6451" s="108" t="s">
        <v>14605</v>
      </c>
      <c r="F6451" s="108" t="s">
        <v>4104</v>
      </c>
      <c r="G6451" s="110"/>
      <c r="H6451" s="108" t="s">
        <v>25458</v>
      </c>
      <c r="I6451" s="108"/>
    </row>
    <row r="6452" spans="1:9" ht="27.6">
      <c r="A6452" s="108" t="s">
        <v>1465</v>
      </c>
      <c r="B6452" s="108" t="s">
        <v>309</v>
      </c>
      <c r="C6452" s="109">
        <v>41960</v>
      </c>
      <c r="D6452" s="108"/>
      <c r="E6452" s="108" t="s">
        <v>14605</v>
      </c>
      <c r="F6452" s="108" t="s">
        <v>310</v>
      </c>
      <c r="G6452" s="110"/>
      <c r="H6452" s="108" t="s">
        <v>25458</v>
      </c>
      <c r="I6452" s="108"/>
    </row>
    <row r="6453" spans="1:9" ht="27.6">
      <c r="A6453" s="108" t="s">
        <v>14679</v>
      </c>
      <c r="B6453" s="108" t="s">
        <v>4852</v>
      </c>
      <c r="C6453" s="109">
        <v>41926</v>
      </c>
      <c r="D6453" s="108"/>
      <c r="E6453" s="108" t="s">
        <v>14605</v>
      </c>
      <c r="F6453" s="108" t="s">
        <v>4846</v>
      </c>
      <c r="G6453" s="110"/>
      <c r="H6453" s="108" t="s">
        <v>25458</v>
      </c>
      <c r="I6453" s="108"/>
    </row>
    <row r="6454" spans="1:9">
      <c r="A6454" s="108" t="s">
        <v>14679</v>
      </c>
      <c r="B6454" s="108" t="s">
        <v>350</v>
      </c>
      <c r="C6454" s="109">
        <v>41928</v>
      </c>
      <c r="D6454" s="108"/>
      <c r="E6454" s="108" t="s">
        <v>14605</v>
      </c>
      <c r="F6454" s="108" t="s">
        <v>351</v>
      </c>
      <c r="G6454" s="110"/>
      <c r="H6454" s="108" t="s">
        <v>25458</v>
      </c>
      <c r="I6454" s="108"/>
    </row>
    <row r="6455" spans="1:9">
      <c r="A6455" s="108" t="s">
        <v>14679</v>
      </c>
      <c r="B6455" s="108" t="s">
        <v>2954</v>
      </c>
      <c r="C6455" s="109">
        <v>41962</v>
      </c>
      <c r="D6455" s="108"/>
      <c r="E6455" s="108" t="s">
        <v>14605</v>
      </c>
      <c r="F6455" s="108" t="s">
        <v>2953</v>
      </c>
      <c r="G6455" s="110"/>
      <c r="H6455" s="108" t="s">
        <v>25458</v>
      </c>
      <c r="I6455" s="108"/>
    </row>
    <row r="6456" spans="1:9" ht="27.6">
      <c r="A6456" s="108" t="s">
        <v>1379</v>
      </c>
      <c r="B6456" s="108" t="s">
        <v>1377</v>
      </c>
      <c r="C6456" s="109">
        <v>41829</v>
      </c>
      <c r="D6456" s="108"/>
      <c r="E6456" s="108" t="s">
        <v>14605</v>
      </c>
      <c r="F6456" s="108" t="s">
        <v>1378</v>
      </c>
      <c r="G6456" s="110"/>
      <c r="H6456" s="108" t="s">
        <v>25458</v>
      </c>
      <c r="I6456" s="108"/>
    </row>
    <row r="6457" spans="1:9" ht="27.6">
      <c r="A6457" s="108" t="s">
        <v>499</v>
      </c>
      <c r="B6457" s="108" t="s">
        <v>4043</v>
      </c>
      <c r="C6457" s="109">
        <v>41556</v>
      </c>
      <c r="D6457" s="108"/>
      <c r="E6457" s="108" t="s">
        <v>14605</v>
      </c>
      <c r="F6457" s="108" t="s">
        <v>25471</v>
      </c>
      <c r="G6457" s="110"/>
      <c r="H6457" s="108" t="s">
        <v>25458</v>
      </c>
      <c r="I6457" s="108"/>
    </row>
    <row r="6458" spans="1:9" ht="27.6">
      <c r="A6458" s="108" t="s">
        <v>1271</v>
      </c>
      <c r="B6458" s="108" t="s">
        <v>1269</v>
      </c>
      <c r="C6458" s="109">
        <v>42192</v>
      </c>
      <c r="D6458" s="108"/>
      <c r="E6458" s="108" t="s">
        <v>14605</v>
      </c>
      <c r="F6458" s="108" t="s">
        <v>1270</v>
      </c>
      <c r="G6458" s="110"/>
      <c r="H6458" s="108" t="s">
        <v>25458</v>
      </c>
      <c r="I6458" s="108"/>
    </row>
    <row r="6459" spans="1:9">
      <c r="A6459" s="108" t="s">
        <v>87</v>
      </c>
      <c r="B6459" s="108" t="s">
        <v>1903</v>
      </c>
      <c r="C6459" s="109">
        <v>40679</v>
      </c>
      <c r="D6459" s="108"/>
      <c r="E6459" s="108" t="s">
        <v>14605</v>
      </c>
      <c r="F6459" s="108" t="s">
        <v>1904</v>
      </c>
      <c r="G6459" s="110"/>
      <c r="H6459" s="108" t="s">
        <v>25458</v>
      </c>
      <c r="I6459" s="108"/>
    </row>
    <row r="6460" spans="1:9">
      <c r="A6460" s="108" t="s">
        <v>87</v>
      </c>
      <c r="B6460" s="108" t="s">
        <v>2647</v>
      </c>
      <c r="C6460" s="109">
        <v>41037</v>
      </c>
      <c r="D6460" s="108"/>
      <c r="E6460" s="108" t="s">
        <v>14605</v>
      </c>
      <c r="F6460" s="108" t="s">
        <v>2622</v>
      </c>
      <c r="G6460" s="110"/>
      <c r="H6460" s="108" t="s">
        <v>25458</v>
      </c>
      <c r="I6460" s="108"/>
    </row>
    <row r="6461" spans="1:9" ht="27.6">
      <c r="A6461" s="108" t="s">
        <v>14690</v>
      </c>
      <c r="B6461" s="108" t="s">
        <v>4655</v>
      </c>
      <c r="C6461" s="109">
        <v>41491</v>
      </c>
      <c r="D6461" s="108"/>
      <c r="E6461" s="108" t="s">
        <v>14605</v>
      </c>
      <c r="F6461" s="108" t="s">
        <v>4638</v>
      </c>
      <c r="G6461" s="110"/>
      <c r="H6461" s="108" t="s">
        <v>25458</v>
      </c>
      <c r="I6461" s="108"/>
    </row>
    <row r="6462" spans="1:9" ht="27.6">
      <c r="A6462" s="108" t="s">
        <v>87</v>
      </c>
      <c r="B6462" s="108" t="s">
        <v>289</v>
      </c>
      <c r="C6462" s="109">
        <v>40864</v>
      </c>
      <c r="D6462" s="108"/>
      <c r="E6462" s="108" t="s">
        <v>14605</v>
      </c>
      <c r="F6462" s="108" t="s">
        <v>290</v>
      </c>
      <c r="G6462" s="110"/>
      <c r="H6462" s="108" t="s">
        <v>25458</v>
      </c>
      <c r="I6462" s="108"/>
    </row>
    <row r="6463" spans="1:9" ht="27.6">
      <c r="A6463" s="108" t="s">
        <v>14690</v>
      </c>
      <c r="B6463" s="108" t="s">
        <v>3281</v>
      </c>
      <c r="C6463" s="109">
        <v>41501</v>
      </c>
      <c r="D6463" s="108"/>
      <c r="E6463" s="108" t="s">
        <v>14605</v>
      </c>
      <c r="F6463" s="108" t="s">
        <v>3282</v>
      </c>
      <c r="G6463" s="110"/>
      <c r="H6463" s="108" t="s">
        <v>25458</v>
      </c>
      <c r="I6463" s="108"/>
    </row>
    <row r="6464" spans="1:9" ht="27.6">
      <c r="A6464" s="108" t="s">
        <v>14690</v>
      </c>
      <c r="B6464" s="108" t="s">
        <v>1424</v>
      </c>
      <c r="C6464" s="109">
        <v>41495</v>
      </c>
      <c r="D6464" s="108"/>
      <c r="E6464" s="108" t="s">
        <v>14605</v>
      </c>
      <c r="F6464" s="108" t="s">
        <v>1425</v>
      </c>
      <c r="G6464" s="110"/>
      <c r="H6464" s="108" t="s">
        <v>25458</v>
      </c>
      <c r="I6464" s="108"/>
    </row>
    <row r="6465" spans="1:9">
      <c r="A6465" s="108" t="s">
        <v>87</v>
      </c>
      <c r="B6465" s="108" t="s">
        <v>1999</v>
      </c>
      <c r="C6465" s="109">
        <v>41032</v>
      </c>
      <c r="D6465" s="108"/>
      <c r="E6465" s="108" t="s">
        <v>14605</v>
      </c>
      <c r="F6465" s="108" t="s">
        <v>2000</v>
      </c>
      <c r="G6465" s="110"/>
      <c r="H6465" s="108" t="s">
        <v>25458</v>
      </c>
      <c r="I6465" s="108"/>
    </row>
    <row r="6466" spans="1:9">
      <c r="A6466" s="108" t="s">
        <v>87</v>
      </c>
      <c r="B6466" s="108" t="s">
        <v>2646</v>
      </c>
      <c r="C6466" s="109">
        <v>41037</v>
      </c>
      <c r="D6466" s="108"/>
      <c r="E6466" s="108" t="s">
        <v>14605</v>
      </c>
      <c r="F6466" s="108" t="s">
        <v>2622</v>
      </c>
      <c r="G6466" s="110"/>
      <c r="H6466" s="108" t="s">
        <v>25458</v>
      </c>
      <c r="I6466" s="108"/>
    </row>
    <row r="6467" spans="1:9">
      <c r="A6467" s="108" t="s">
        <v>87</v>
      </c>
      <c r="B6467" s="108" t="s">
        <v>1218</v>
      </c>
      <c r="C6467" s="109">
        <v>41059</v>
      </c>
      <c r="D6467" s="108"/>
      <c r="E6467" s="108" t="s">
        <v>14605</v>
      </c>
      <c r="F6467" s="108" t="s">
        <v>1219</v>
      </c>
      <c r="G6467" s="110"/>
      <c r="H6467" s="108" t="s">
        <v>25458</v>
      </c>
      <c r="I6467" s="108"/>
    </row>
    <row r="6468" spans="1:9">
      <c r="A6468" s="108" t="s">
        <v>87</v>
      </c>
      <c r="B6468" s="108" t="s">
        <v>2645</v>
      </c>
      <c r="C6468" s="109">
        <v>41059</v>
      </c>
      <c r="D6468" s="108"/>
      <c r="E6468" s="108" t="s">
        <v>14605</v>
      </c>
      <c r="F6468" s="108" t="s">
        <v>2622</v>
      </c>
      <c r="G6468" s="110"/>
      <c r="H6468" s="108" t="s">
        <v>25458</v>
      </c>
      <c r="I6468" s="108"/>
    </row>
    <row r="6469" spans="1:9" ht="27.6">
      <c r="A6469" s="108" t="s">
        <v>87</v>
      </c>
      <c r="B6469" s="108" t="s">
        <v>1882</v>
      </c>
      <c r="C6469" s="109">
        <v>41180</v>
      </c>
      <c r="D6469" s="108"/>
      <c r="E6469" s="108" t="s">
        <v>14605</v>
      </c>
      <c r="F6469" s="108" t="s">
        <v>1883</v>
      </c>
      <c r="G6469" s="110"/>
      <c r="H6469" s="108" t="s">
        <v>25458</v>
      </c>
      <c r="I6469" s="108"/>
    </row>
    <row r="6470" spans="1:9">
      <c r="A6470" s="108" t="s">
        <v>87</v>
      </c>
      <c r="B6470" s="108" t="s">
        <v>2644</v>
      </c>
      <c r="C6470" s="109">
        <v>41201</v>
      </c>
      <c r="D6470" s="108"/>
      <c r="E6470" s="108" t="s">
        <v>14605</v>
      </c>
      <c r="F6470" s="108" t="s">
        <v>2622</v>
      </c>
      <c r="G6470" s="110"/>
      <c r="H6470" s="108" t="s">
        <v>25458</v>
      </c>
      <c r="I6470" s="108"/>
    </row>
    <row r="6471" spans="1:9">
      <c r="A6471" s="108" t="s">
        <v>87</v>
      </c>
      <c r="B6471" s="108" t="s">
        <v>1263</v>
      </c>
      <c r="C6471" s="109">
        <v>41502</v>
      </c>
      <c r="D6471" s="108"/>
      <c r="E6471" s="108" t="s">
        <v>14605</v>
      </c>
      <c r="F6471" s="108" t="s">
        <v>1228</v>
      </c>
      <c r="G6471" s="110"/>
      <c r="H6471" s="108" t="s">
        <v>25458</v>
      </c>
      <c r="I6471" s="108"/>
    </row>
    <row r="6472" spans="1:9">
      <c r="A6472" s="108" t="s">
        <v>87</v>
      </c>
      <c r="B6472" s="108" t="s">
        <v>5129</v>
      </c>
      <c r="C6472" s="109">
        <v>41214</v>
      </c>
      <c r="D6472" s="108"/>
      <c r="E6472" s="108" t="s">
        <v>14605</v>
      </c>
      <c r="F6472" s="108" t="s">
        <v>23105</v>
      </c>
      <c r="G6472" s="110"/>
      <c r="H6472" s="108" t="s">
        <v>25458</v>
      </c>
      <c r="I6472" s="108"/>
    </row>
    <row r="6473" spans="1:9">
      <c r="A6473" s="108" t="s">
        <v>87</v>
      </c>
      <c r="B6473" s="108" t="s">
        <v>4769</v>
      </c>
      <c r="C6473" s="109">
        <v>41227</v>
      </c>
      <c r="D6473" s="108"/>
      <c r="E6473" s="108" t="s">
        <v>14605</v>
      </c>
      <c r="F6473" s="108" t="s">
        <v>4763</v>
      </c>
      <c r="G6473" s="110"/>
      <c r="H6473" s="108" t="s">
        <v>25458</v>
      </c>
      <c r="I6473" s="108"/>
    </row>
    <row r="6474" spans="1:9">
      <c r="A6474" s="108" t="s">
        <v>87</v>
      </c>
      <c r="B6474" s="108" t="s">
        <v>3231</v>
      </c>
      <c r="C6474" s="109">
        <v>41309</v>
      </c>
      <c r="D6474" s="108"/>
      <c r="E6474" s="108" t="s">
        <v>14605</v>
      </c>
      <c r="F6474" s="108" t="s">
        <v>3228</v>
      </c>
      <c r="G6474" s="110"/>
      <c r="H6474" s="108" t="s">
        <v>25458</v>
      </c>
      <c r="I6474" s="108"/>
    </row>
    <row r="6475" spans="1:9">
      <c r="A6475" s="108" t="s">
        <v>87</v>
      </c>
      <c r="B6475" s="108" t="s">
        <v>2643</v>
      </c>
      <c r="C6475" s="109">
        <v>41282</v>
      </c>
      <c r="D6475" s="108"/>
      <c r="E6475" s="108" t="s">
        <v>14605</v>
      </c>
      <c r="F6475" s="108" t="s">
        <v>25472</v>
      </c>
      <c r="G6475" s="110"/>
      <c r="H6475" s="108" t="s">
        <v>25458</v>
      </c>
      <c r="I6475" s="108"/>
    </row>
    <row r="6476" spans="1:9">
      <c r="A6476" s="108" t="s">
        <v>87</v>
      </c>
      <c r="B6476" s="108" t="s">
        <v>5318</v>
      </c>
      <c r="C6476" s="109">
        <v>41338</v>
      </c>
      <c r="D6476" s="108"/>
      <c r="E6476" s="108" t="s">
        <v>14605</v>
      </c>
      <c r="F6476" s="108" t="s">
        <v>15021</v>
      </c>
      <c r="G6476" s="110"/>
      <c r="H6476" s="108" t="s">
        <v>25458</v>
      </c>
      <c r="I6476" s="108"/>
    </row>
    <row r="6477" spans="1:9" ht="27.6">
      <c r="A6477" s="108" t="s">
        <v>14690</v>
      </c>
      <c r="B6477" s="108" t="s">
        <v>1956</v>
      </c>
      <c r="C6477" s="109">
        <v>40987</v>
      </c>
      <c r="D6477" s="108"/>
      <c r="E6477" s="108" t="s">
        <v>14605</v>
      </c>
      <c r="F6477" s="108" t="s">
        <v>1957</v>
      </c>
      <c r="G6477" s="110"/>
      <c r="H6477" s="108" t="s">
        <v>25458</v>
      </c>
      <c r="I6477" s="108"/>
    </row>
    <row r="6478" spans="1:9" ht="27.6">
      <c r="A6478" s="108" t="s">
        <v>14690</v>
      </c>
      <c r="B6478" s="108" t="s">
        <v>4751</v>
      </c>
      <c r="C6478" s="109">
        <v>41005</v>
      </c>
      <c r="D6478" s="108"/>
      <c r="E6478" s="108" t="s">
        <v>14605</v>
      </c>
      <c r="F6478" s="108" t="s">
        <v>4732</v>
      </c>
      <c r="G6478" s="110"/>
      <c r="H6478" s="108" t="s">
        <v>25458</v>
      </c>
      <c r="I6478" s="108"/>
    </row>
    <row r="6479" spans="1:9" ht="27.6">
      <c r="A6479" s="108" t="s">
        <v>14690</v>
      </c>
      <c r="B6479" s="108" t="s">
        <v>776</v>
      </c>
      <c r="C6479" s="109">
        <v>41086</v>
      </c>
      <c r="D6479" s="108"/>
      <c r="E6479" s="108" t="s">
        <v>14605</v>
      </c>
      <c r="F6479" s="108" t="s">
        <v>777</v>
      </c>
      <c r="G6479" s="110"/>
      <c r="H6479" s="108" t="s">
        <v>25458</v>
      </c>
      <c r="I6479" s="108"/>
    </row>
    <row r="6480" spans="1:9" ht="27.6">
      <c r="A6480" s="108" t="s">
        <v>14690</v>
      </c>
      <c r="B6480" s="108" t="s">
        <v>297</v>
      </c>
      <c r="C6480" s="109">
        <v>41093</v>
      </c>
      <c r="D6480" s="108"/>
      <c r="E6480" s="108" t="s">
        <v>14605</v>
      </c>
      <c r="F6480" s="108" t="s">
        <v>25473</v>
      </c>
      <c r="G6480" s="110"/>
      <c r="H6480" s="108" t="s">
        <v>25458</v>
      </c>
      <c r="I6480" s="108"/>
    </row>
    <row r="6481" spans="1:9" ht="27.6">
      <c r="A6481" s="108" t="s">
        <v>14690</v>
      </c>
      <c r="B6481" s="108" t="s">
        <v>1767</v>
      </c>
      <c r="C6481" s="109">
        <v>41172</v>
      </c>
      <c r="D6481" s="108"/>
      <c r="E6481" s="108" t="s">
        <v>14605</v>
      </c>
      <c r="F6481" s="108" t="s">
        <v>1768</v>
      </c>
      <c r="G6481" s="110"/>
      <c r="H6481" s="108" t="s">
        <v>25458</v>
      </c>
      <c r="I6481" s="108"/>
    </row>
    <row r="6482" spans="1:9" ht="27.6">
      <c r="A6482" s="108" t="s">
        <v>14690</v>
      </c>
      <c r="B6482" s="108" t="s">
        <v>4310</v>
      </c>
      <c r="C6482" s="109">
        <v>41248</v>
      </c>
      <c r="D6482" s="108"/>
      <c r="E6482" s="108" t="s">
        <v>14605</v>
      </c>
      <c r="F6482" s="108" t="s">
        <v>4307</v>
      </c>
      <c r="G6482" s="110"/>
      <c r="H6482" s="108" t="s">
        <v>25458</v>
      </c>
      <c r="I6482" s="108"/>
    </row>
    <row r="6483" spans="1:9">
      <c r="A6483" s="108" t="s">
        <v>237</v>
      </c>
      <c r="B6483" s="108" t="s">
        <v>3172</v>
      </c>
      <c r="C6483" s="109">
        <v>40976</v>
      </c>
      <c r="D6483" s="108"/>
      <c r="E6483" s="108" t="s">
        <v>14605</v>
      </c>
      <c r="F6483" s="108" t="s">
        <v>3173</v>
      </c>
      <c r="G6483" s="110"/>
      <c r="H6483" s="108" t="s">
        <v>25458</v>
      </c>
      <c r="I6483" s="108"/>
    </row>
    <row r="6484" spans="1:9" ht="27.6">
      <c r="A6484" s="108" t="s">
        <v>237</v>
      </c>
      <c r="B6484" s="108" t="s">
        <v>4270</v>
      </c>
      <c r="C6484" s="109">
        <v>41031</v>
      </c>
      <c r="D6484" s="108"/>
      <c r="E6484" s="108" t="s">
        <v>14605</v>
      </c>
      <c r="F6484" s="108" t="s">
        <v>4260</v>
      </c>
      <c r="G6484" s="110"/>
      <c r="H6484" s="108" t="s">
        <v>25458</v>
      </c>
      <c r="I6484" s="108"/>
    </row>
    <row r="6485" spans="1:9">
      <c r="A6485" s="108" t="s">
        <v>237</v>
      </c>
      <c r="B6485" s="108" t="s">
        <v>2961</v>
      </c>
      <c r="C6485" s="109">
        <v>41227</v>
      </c>
      <c r="D6485" s="108"/>
      <c r="E6485" s="108" t="s">
        <v>14605</v>
      </c>
      <c r="F6485" s="108" t="s">
        <v>2962</v>
      </c>
      <c r="G6485" s="110"/>
      <c r="H6485" s="108" t="s">
        <v>25458</v>
      </c>
      <c r="I6485" s="108"/>
    </row>
    <row r="6486" spans="1:9">
      <c r="A6486" s="108" t="s">
        <v>237</v>
      </c>
      <c r="B6486" s="108" t="s">
        <v>2534</v>
      </c>
      <c r="C6486" s="109">
        <v>41066</v>
      </c>
      <c r="D6486" s="108"/>
      <c r="E6486" s="108" t="s">
        <v>14605</v>
      </c>
      <c r="F6486" s="108" t="s">
        <v>2529</v>
      </c>
      <c r="G6486" s="110"/>
      <c r="H6486" s="108" t="s">
        <v>25458</v>
      </c>
      <c r="I6486" s="108"/>
    </row>
    <row r="6487" spans="1:9">
      <c r="A6487" s="108" t="s">
        <v>237</v>
      </c>
      <c r="B6487" s="108" t="s">
        <v>2588</v>
      </c>
      <c r="C6487" s="109">
        <v>41159</v>
      </c>
      <c r="D6487" s="108"/>
      <c r="E6487" s="108" t="s">
        <v>14605</v>
      </c>
      <c r="F6487" s="108" t="s">
        <v>2552</v>
      </c>
      <c r="G6487" s="110"/>
      <c r="H6487" s="108" t="s">
        <v>25458</v>
      </c>
      <c r="I6487" s="108"/>
    </row>
    <row r="6488" spans="1:9" ht="27.6">
      <c r="A6488" s="108" t="s">
        <v>237</v>
      </c>
      <c r="B6488" s="108" t="s">
        <v>4532</v>
      </c>
      <c r="C6488" s="109">
        <v>41502</v>
      </c>
      <c r="D6488" s="108"/>
      <c r="E6488" s="108" t="s">
        <v>14605</v>
      </c>
      <c r="F6488" s="108" t="s">
        <v>4530</v>
      </c>
      <c r="G6488" s="110"/>
      <c r="H6488" s="108" t="s">
        <v>25458</v>
      </c>
      <c r="I6488" s="108"/>
    </row>
    <row r="6489" spans="1:9">
      <c r="A6489" s="108" t="s">
        <v>237</v>
      </c>
      <c r="B6489" s="108" t="s">
        <v>2747</v>
      </c>
      <c r="C6489" s="109">
        <v>41906</v>
      </c>
      <c r="D6489" s="108"/>
      <c r="E6489" s="108" t="s">
        <v>14605</v>
      </c>
      <c r="F6489" s="108" t="s">
        <v>15729</v>
      </c>
      <c r="G6489" s="110"/>
      <c r="H6489" s="108" t="s">
        <v>25458</v>
      </c>
      <c r="I6489" s="108"/>
    </row>
    <row r="6490" spans="1:9">
      <c r="A6490" s="108" t="s">
        <v>87</v>
      </c>
      <c r="B6490" s="108" t="s">
        <v>284</v>
      </c>
      <c r="C6490" s="109">
        <v>41361</v>
      </c>
      <c r="D6490" s="108"/>
      <c r="E6490" s="108" t="s">
        <v>14605</v>
      </c>
      <c r="F6490" s="108" t="s">
        <v>276</v>
      </c>
      <c r="G6490" s="110"/>
      <c r="H6490" s="108" t="s">
        <v>25458</v>
      </c>
      <c r="I6490" s="108"/>
    </row>
    <row r="6491" spans="1:9" ht="27.6">
      <c r="A6491" s="108" t="s">
        <v>87</v>
      </c>
      <c r="B6491" s="108" t="s">
        <v>4662</v>
      </c>
      <c r="C6491" s="109">
        <v>41480</v>
      </c>
      <c r="D6491" s="108"/>
      <c r="E6491" s="108" t="s">
        <v>14605</v>
      </c>
      <c r="F6491" s="108" t="s">
        <v>4663</v>
      </c>
      <c r="G6491" s="110"/>
      <c r="H6491" s="108" t="s">
        <v>25458</v>
      </c>
      <c r="I6491" s="108"/>
    </row>
    <row r="6492" spans="1:9" ht="27.6">
      <c r="A6492" s="108" t="s">
        <v>14690</v>
      </c>
      <c r="B6492" s="108" t="s">
        <v>4088</v>
      </c>
      <c r="C6492" s="109">
        <v>41332</v>
      </c>
      <c r="D6492" s="108"/>
      <c r="E6492" s="108" t="s">
        <v>14605</v>
      </c>
      <c r="F6492" s="108" t="s">
        <v>4074</v>
      </c>
      <c r="G6492" s="110"/>
      <c r="H6492" s="108" t="s">
        <v>25458</v>
      </c>
      <c r="I6492" s="108"/>
    </row>
    <row r="6493" spans="1:9" ht="27.6">
      <c r="A6493" s="108" t="s">
        <v>14690</v>
      </c>
      <c r="B6493" s="108" t="s">
        <v>3248</v>
      </c>
      <c r="C6493" s="109">
        <v>41498</v>
      </c>
      <c r="D6493" s="108"/>
      <c r="E6493" s="108" t="s">
        <v>14605</v>
      </c>
      <c r="F6493" s="108" t="s">
        <v>25474</v>
      </c>
      <c r="G6493" s="110"/>
      <c r="H6493" s="108" t="s">
        <v>25458</v>
      </c>
      <c r="I6493" s="108"/>
    </row>
    <row r="6494" spans="1:9" ht="27.6">
      <c r="A6494" s="108" t="s">
        <v>237</v>
      </c>
      <c r="B6494" s="108" t="s">
        <v>743</v>
      </c>
      <c r="C6494" s="109">
        <v>41401</v>
      </c>
      <c r="D6494" s="108"/>
      <c r="E6494" s="108" t="s">
        <v>14605</v>
      </c>
      <c r="F6494" s="108" t="s">
        <v>733</v>
      </c>
      <c r="G6494" s="110"/>
      <c r="H6494" s="108" t="s">
        <v>25458</v>
      </c>
      <c r="I6494" s="108"/>
    </row>
    <row r="6495" spans="1:9">
      <c r="A6495" s="108" t="s">
        <v>237</v>
      </c>
      <c r="B6495" s="108" t="s">
        <v>2587</v>
      </c>
      <c r="C6495" s="109">
        <v>41596</v>
      </c>
      <c r="D6495" s="108"/>
      <c r="E6495" s="108" t="s">
        <v>14605</v>
      </c>
      <c r="F6495" s="108" t="s">
        <v>2552</v>
      </c>
      <c r="G6495" s="110"/>
      <c r="H6495" s="108" t="s">
        <v>25458</v>
      </c>
      <c r="I6495" s="108"/>
    </row>
    <row r="6496" spans="1:9">
      <c r="A6496" s="108" t="s">
        <v>237</v>
      </c>
      <c r="B6496" s="108" t="s">
        <v>1601</v>
      </c>
      <c r="C6496" s="109">
        <v>41465</v>
      </c>
      <c r="D6496" s="108"/>
      <c r="E6496" s="108" t="s">
        <v>14605</v>
      </c>
      <c r="F6496" s="108" t="s">
        <v>25475</v>
      </c>
      <c r="G6496" s="110"/>
      <c r="H6496" s="108" t="s">
        <v>25458</v>
      </c>
      <c r="I6496" s="108"/>
    </row>
    <row r="6497" spans="1:9">
      <c r="A6497" s="108" t="s">
        <v>237</v>
      </c>
      <c r="B6497" s="108" t="s">
        <v>3583</v>
      </c>
      <c r="C6497" s="109">
        <v>41456</v>
      </c>
      <c r="D6497" s="108"/>
      <c r="E6497" s="108" t="s">
        <v>14605</v>
      </c>
      <c r="F6497" s="108" t="s">
        <v>15251</v>
      </c>
      <c r="G6497" s="110"/>
      <c r="H6497" s="108" t="s">
        <v>25458</v>
      </c>
      <c r="I6497" s="108"/>
    </row>
    <row r="6498" spans="1:9">
      <c r="A6498" s="108" t="s">
        <v>237</v>
      </c>
      <c r="B6498" s="108" t="s">
        <v>2533</v>
      </c>
      <c r="C6498" s="109">
        <v>41489</v>
      </c>
      <c r="D6498" s="108"/>
      <c r="E6498" s="108" t="s">
        <v>14605</v>
      </c>
      <c r="F6498" s="108" t="s">
        <v>2529</v>
      </c>
      <c r="G6498" s="110"/>
      <c r="H6498" s="108" t="s">
        <v>25458</v>
      </c>
      <c r="I6498" s="108"/>
    </row>
    <row r="6499" spans="1:9">
      <c r="A6499" s="108" t="s">
        <v>237</v>
      </c>
      <c r="B6499" s="108" t="s">
        <v>4723</v>
      </c>
      <c r="C6499" s="109">
        <v>41570</v>
      </c>
      <c r="D6499" s="108"/>
      <c r="E6499" s="108" t="s">
        <v>14605</v>
      </c>
      <c r="F6499" s="108" t="s">
        <v>4702</v>
      </c>
      <c r="G6499" s="110"/>
      <c r="H6499" s="108" t="s">
        <v>25458</v>
      </c>
      <c r="I6499" s="108"/>
    </row>
    <row r="6500" spans="1:9">
      <c r="A6500" s="108" t="s">
        <v>237</v>
      </c>
      <c r="B6500" s="108" t="s">
        <v>1752</v>
      </c>
      <c r="C6500" s="109">
        <v>41583</v>
      </c>
      <c r="D6500" s="108"/>
      <c r="E6500" s="108" t="s">
        <v>14605</v>
      </c>
      <c r="F6500" s="108" t="s">
        <v>1745</v>
      </c>
      <c r="G6500" s="110"/>
      <c r="H6500" s="108" t="s">
        <v>25458</v>
      </c>
      <c r="I6500" s="108"/>
    </row>
    <row r="6501" spans="1:9">
      <c r="A6501" s="108" t="s">
        <v>237</v>
      </c>
      <c r="B6501" s="108" t="s">
        <v>4940</v>
      </c>
      <c r="C6501" s="109">
        <v>41619</v>
      </c>
      <c r="D6501" s="108"/>
      <c r="E6501" s="108" t="s">
        <v>14605</v>
      </c>
      <c r="F6501" s="108" t="s">
        <v>4920</v>
      </c>
      <c r="G6501" s="110"/>
      <c r="H6501" s="108" t="s">
        <v>25458</v>
      </c>
      <c r="I6501" s="108"/>
    </row>
    <row r="6502" spans="1:9">
      <c r="A6502" s="108" t="s">
        <v>237</v>
      </c>
      <c r="B6502" s="108" t="s">
        <v>3148</v>
      </c>
      <c r="C6502" s="109">
        <v>41646</v>
      </c>
      <c r="D6502" s="108"/>
      <c r="E6502" s="108" t="s">
        <v>14605</v>
      </c>
      <c r="F6502" s="108" t="s">
        <v>3149</v>
      </c>
      <c r="G6502" s="110"/>
      <c r="H6502" s="108" t="s">
        <v>25458</v>
      </c>
      <c r="I6502" s="108"/>
    </row>
    <row r="6503" spans="1:9">
      <c r="A6503" s="108" t="s">
        <v>237</v>
      </c>
      <c r="B6503" s="108" t="s">
        <v>1593</v>
      </c>
      <c r="C6503" s="109">
        <v>41675</v>
      </c>
      <c r="D6503" s="108"/>
      <c r="E6503" s="108" t="s">
        <v>14605</v>
      </c>
      <c r="F6503" s="108" t="s">
        <v>1577</v>
      </c>
      <c r="G6503" s="110"/>
      <c r="H6503" s="108" t="s">
        <v>25458</v>
      </c>
      <c r="I6503" s="108"/>
    </row>
    <row r="6504" spans="1:9">
      <c r="A6504" s="108" t="s">
        <v>316</v>
      </c>
      <c r="B6504" s="108" t="s">
        <v>4792</v>
      </c>
      <c r="C6504" s="109">
        <v>41617</v>
      </c>
      <c r="D6504" s="108"/>
      <c r="E6504" s="108" t="s">
        <v>14605</v>
      </c>
      <c r="F6504" s="108" t="s">
        <v>4786</v>
      </c>
      <c r="G6504" s="110"/>
      <c r="H6504" s="108" t="s">
        <v>25458</v>
      </c>
      <c r="I6504" s="108"/>
    </row>
    <row r="6505" spans="1:9">
      <c r="A6505" s="108" t="s">
        <v>87</v>
      </c>
      <c r="B6505" s="108" t="s">
        <v>2467</v>
      </c>
      <c r="C6505" s="109">
        <v>41746</v>
      </c>
      <c r="D6505" s="108"/>
      <c r="E6505" s="108" t="s">
        <v>14605</v>
      </c>
      <c r="F6505" s="108" t="s">
        <v>2461</v>
      </c>
      <c r="G6505" s="110"/>
      <c r="H6505" s="108" t="s">
        <v>25458</v>
      </c>
      <c r="I6505" s="108"/>
    </row>
    <row r="6506" spans="1:9">
      <c r="A6506" s="108" t="s">
        <v>87</v>
      </c>
      <c r="B6506" s="108" t="s">
        <v>191</v>
      </c>
      <c r="C6506" s="109">
        <v>41752</v>
      </c>
      <c r="D6506" s="108"/>
      <c r="E6506" s="108" t="s">
        <v>14605</v>
      </c>
      <c r="F6506" s="108" t="s">
        <v>190</v>
      </c>
      <c r="G6506" s="110"/>
      <c r="H6506" s="108" t="s">
        <v>25458</v>
      </c>
      <c r="I6506" s="108"/>
    </row>
    <row r="6507" spans="1:9" ht="27.6">
      <c r="A6507" s="108" t="s">
        <v>87</v>
      </c>
      <c r="B6507" s="108" t="s">
        <v>2994</v>
      </c>
      <c r="C6507" s="109">
        <v>41760</v>
      </c>
      <c r="D6507" s="108"/>
      <c r="E6507" s="108" t="s">
        <v>14605</v>
      </c>
      <c r="F6507" s="108" t="s">
        <v>16249</v>
      </c>
      <c r="G6507" s="110"/>
      <c r="H6507" s="108" t="s">
        <v>25458</v>
      </c>
      <c r="I6507" s="108"/>
    </row>
    <row r="6508" spans="1:9">
      <c r="A6508" s="108" t="s">
        <v>87</v>
      </c>
      <c r="B6508" s="108" t="s">
        <v>1446</v>
      </c>
      <c r="C6508" s="109">
        <v>41813</v>
      </c>
      <c r="D6508" s="108"/>
      <c r="E6508" s="108" t="s">
        <v>14605</v>
      </c>
      <c r="F6508" s="108" t="s">
        <v>1447</v>
      </c>
      <c r="G6508" s="110"/>
      <c r="H6508" s="108" t="s">
        <v>25458</v>
      </c>
      <c r="I6508" s="108"/>
    </row>
    <row r="6509" spans="1:9">
      <c r="A6509" s="108" t="s">
        <v>87</v>
      </c>
      <c r="B6509" s="108" t="s">
        <v>4783</v>
      </c>
      <c r="C6509" s="109">
        <v>41816</v>
      </c>
      <c r="D6509" s="108"/>
      <c r="E6509" s="108" t="s">
        <v>14605</v>
      </c>
      <c r="F6509" s="108" t="s">
        <v>4784</v>
      </c>
      <c r="G6509" s="110"/>
      <c r="H6509" s="108" t="s">
        <v>25458</v>
      </c>
      <c r="I6509" s="108"/>
    </row>
    <row r="6510" spans="1:9">
      <c r="A6510" s="108" t="s">
        <v>87</v>
      </c>
      <c r="B6510" s="108" t="s">
        <v>4233</v>
      </c>
      <c r="C6510" s="109">
        <v>41886</v>
      </c>
      <c r="D6510" s="108"/>
      <c r="E6510" s="108" t="s">
        <v>14605</v>
      </c>
      <c r="F6510" s="108" t="s">
        <v>4229</v>
      </c>
      <c r="G6510" s="110"/>
      <c r="H6510" s="108" t="s">
        <v>25458</v>
      </c>
      <c r="I6510" s="108"/>
    </row>
    <row r="6511" spans="1:9">
      <c r="A6511" s="108" t="s">
        <v>87</v>
      </c>
      <c r="B6511" s="108" t="s">
        <v>3239</v>
      </c>
      <c r="C6511" s="109">
        <v>41919</v>
      </c>
      <c r="D6511" s="108"/>
      <c r="E6511" s="108" t="s">
        <v>14605</v>
      </c>
      <c r="F6511" s="108" t="s">
        <v>3238</v>
      </c>
      <c r="G6511" s="110"/>
      <c r="H6511" s="108" t="s">
        <v>25458</v>
      </c>
      <c r="I6511" s="108"/>
    </row>
    <row r="6512" spans="1:9">
      <c r="A6512" s="108" t="s">
        <v>87</v>
      </c>
      <c r="B6512" s="108" t="s">
        <v>3825</v>
      </c>
      <c r="C6512" s="109">
        <v>41925</v>
      </c>
      <c r="D6512" s="108"/>
      <c r="E6512" s="108" t="s">
        <v>14605</v>
      </c>
      <c r="F6512" s="108" t="s">
        <v>3817</v>
      </c>
      <c r="G6512" s="110"/>
      <c r="H6512" s="108" t="s">
        <v>25458</v>
      </c>
      <c r="I6512" s="108"/>
    </row>
    <row r="6513" spans="1:9">
      <c r="A6513" s="108" t="s">
        <v>87</v>
      </c>
      <c r="B6513" s="108" t="s">
        <v>2192</v>
      </c>
      <c r="C6513" s="109">
        <v>42054</v>
      </c>
      <c r="D6513" s="108"/>
      <c r="E6513" s="108" t="s">
        <v>14605</v>
      </c>
      <c r="F6513" s="108" t="s">
        <v>2193</v>
      </c>
      <c r="G6513" s="110"/>
      <c r="H6513" s="108" t="s">
        <v>25458</v>
      </c>
      <c r="I6513" s="108"/>
    </row>
    <row r="6514" spans="1:9">
      <c r="A6514" s="108" t="s">
        <v>87</v>
      </c>
      <c r="B6514" s="108" t="s">
        <v>439</v>
      </c>
      <c r="C6514" s="109">
        <v>42012</v>
      </c>
      <c r="D6514" s="108"/>
      <c r="E6514" s="108" t="s">
        <v>14605</v>
      </c>
      <c r="F6514" s="108" t="s">
        <v>438</v>
      </c>
      <c r="G6514" s="110"/>
      <c r="H6514" s="108" t="s">
        <v>25458</v>
      </c>
      <c r="I6514" s="108"/>
    </row>
    <row r="6515" spans="1:9" ht="27.6">
      <c r="A6515" s="108" t="s">
        <v>14690</v>
      </c>
      <c r="B6515" s="108" t="s">
        <v>1881</v>
      </c>
      <c r="C6515" s="109">
        <v>41857</v>
      </c>
      <c r="D6515" s="108"/>
      <c r="E6515" s="108" t="s">
        <v>14605</v>
      </c>
      <c r="F6515" s="108" t="s">
        <v>1875</v>
      </c>
      <c r="G6515" s="110"/>
      <c r="H6515" s="108" t="s">
        <v>25458</v>
      </c>
      <c r="I6515" s="108"/>
    </row>
    <row r="6516" spans="1:9" ht="27.6">
      <c r="A6516" s="108" t="s">
        <v>14690</v>
      </c>
      <c r="B6516" s="108" t="s">
        <v>747</v>
      </c>
      <c r="C6516" s="109">
        <v>41870</v>
      </c>
      <c r="D6516" s="108"/>
      <c r="E6516" s="108" t="s">
        <v>14605</v>
      </c>
      <c r="F6516" s="108" t="s">
        <v>25476</v>
      </c>
      <c r="G6516" s="110"/>
      <c r="H6516" s="108" t="s">
        <v>25458</v>
      </c>
      <c r="I6516" s="108"/>
    </row>
    <row r="6517" spans="1:9" ht="27.6">
      <c r="A6517" s="108" t="s">
        <v>14690</v>
      </c>
      <c r="B6517" s="108" t="s">
        <v>3998</v>
      </c>
      <c r="C6517" s="109">
        <v>41871</v>
      </c>
      <c r="D6517" s="108"/>
      <c r="E6517" s="108" t="s">
        <v>14605</v>
      </c>
      <c r="F6517" s="108" t="s">
        <v>3997</v>
      </c>
      <c r="G6517" s="110"/>
      <c r="H6517" s="108" t="s">
        <v>25458</v>
      </c>
      <c r="I6517" s="108"/>
    </row>
    <row r="6518" spans="1:9" ht="27.6">
      <c r="A6518" s="108" t="s">
        <v>14690</v>
      </c>
      <c r="B6518" s="108" t="s">
        <v>91</v>
      </c>
      <c r="C6518" s="109">
        <v>41921</v>
      </c>
      <c r="D6518" s="108"/>
      <c r="E6518" s="108" t="s">
        <v>14605</v>
      </c>
      <c r="F6518" s="108" t="s">
        <v>89</v>
      </c>
      <c r="G6518" s="110"/>
      <c r="H6518" s="108" t="s">
        <v>25458</v>
      </c>
      <c r="I6518" s="108"/>
    </row>
    <row r="6519" spans="1:9" ht="27.6">
      <c r="A6519" s="108" t="s">
        <v>14690</v>
      </c>
      <c r="B6519" s="108" t="s">
        <v>1865</v>
      </c>
      <c r="C6519" s="109">
        <v>41954</v>
      </c>
      <c r="D6519" s="108"/>
      <c r="E6519" s="108" t="s">
        <v>14605</v>
      </c>
      <c r="F6519" s="108" t="s">
        <v>1866</v>
      </c>
      <c r="G6519" s="110"/>
      <c r="H6519" s="108" t="s">
        <v>25458</v>
      </c>
      <c r="I6519" s="108"/>
    </row>
    <row r="6520" spans="1:9" ht="27.6">
      <c r="A6520" s="108" t="s">
        <v>14690</v>
      </c>
      <c r="B6520" s="108" t="s">
        <v>436</v>
      </c>
      <c r="C6520" s="109">
        <v>42031</v>
      </c>
      <c r="D6520" s="108"/>
      <c r="E6520" s="108" t="s">
        <v>14605</v>
      </c>
      <c r="F6520" s="108" t="s">
        <v>433</v>
      </c>
      <c r="G6520" s="110"/>
      <c r="H6520" s="108" t="s">
        <v>25458</v>
      </c>
      <c r="I6520" s="108"/>
    </row>
    <row r="6521" spans="1:9" ht="27.6">
      <c r="A6521" s="108" t="s">
        <v>14690</v>
      </c>
      <c r="B6521" s="108" t="s">
        <v>2976</v>
      </c>
      <c r="C6521" s="109">
        <v>41989</v>
      </c>
      <c r="D6521" s="108"/>
      <c r="E6521" s="108" t="s">
        <v>14605</v>
      </c>
      <c r="F6521" s="108" t="s">
        <v>2967</v>
      </c>
      <c r="G6521" s="110"/>
      <c r="H6521" s="108" t="s">
        <v>25458</v>
      </c>
      <c r="I6521" s="108"/>
    </row>
    <row r="6522" spans="1:9" ht="27.6">
      <c r="A6522" s="108" t="s">
        <v>14690</v>
      </c>
      <c r="B6522" s="108" t="s">
        <v>3945</v>
      </c>
      <c r="C6522" s="109">
        <v>41983</v>
      </c>
      <c r="D6522" s="108"/>
      <c r="E6522" s="108" t="s">
        <v>14605</v>
      </c>
      <c r="F6522" s="108" t="s">
        <v>3940</v>
      </c>
      <c r="G6522" s="110"/>
      <c r="H6522" s="108" t="s">
        <v>25458</v>
      </c>
      <c r="I6522" s="108"/>
    </row>
    <row r="6523" spans="1:9" ht="27.6">
      <c r="A6523" s="108" t="s">
        <v>14690</v>
      </c>
      <c r="B6523" s="108" t="s">
        <v>3854</v>
      </c>
      <c r="C6523" s="109">
        <v>42073</v>
      </c>
      <c r="D6523" s="108"/>
      <c r="E6523" s="108" t="s">
        <v>14605</v>
      </c>
      <c r="F6523" s="108" t="s">
        <v>3855</v>
      </c>
      <c r="G6523" s="110"/>
      <c r="H6523" s="108" t="s">
        <v>25458</v>
      </c>
      <c r="I6523" s="108"/>
    </row>
    <row r="6524" spans="1:9">
      <c r="A6524" s="108" t="s">
        <v>237</v>
      </c>
      <c r="B6524" s="108" t="s">
        <v>82</v>
      </c>
      <c r="C6524" s="109">
        <v>41738</v>
      </c>
      <c r="D6524" s="108"/>
      <c r="E6524" s="108" t="s">
        <v>14605</v>
      </c>
      <c r="F6524" s="108" t="s">
        <v>83</v>
      </c>
      <c r="G6524" s="110"/>
      <c r="H6524" s="108" t="s">
        <v>25458</v>
      </c>
      <c r="I6524" s="108"/>
    </row>
    <row r="6525" spans="1:9">
      <c r="A6525" s="108" t="s">
        <v>237</v>
      </c>
      <c r="B6525" s="108" t="s">
        <v>4939</v>
      </c>
      <c r="C6525" s="109">
        <v>41767</v>
      </c>
      <c r="D6525" s="108"/>
      <c r="E6525" s="108" t="s">
        <v>14605</v>
      </c>
      <c r="F6525" s="108" t="s">
        <v>4920</v>
      </c>
      <c r="G6525" s="110"/>
      <c r="H6525" s="108" t="s">
        <v>25458</v>
      </c>
      <c r="I6525" s="108"/>
    </row>
    <row r="6526" spans="1:9">
      <c r="A6526" s="108" t="s">
        <v>237</v>
      </c>
      <c r="B6526" s="108" t="s">
        <v>1863</v>
      </c>
      <c r="C6526" s="109">
        <v>41768</v>
      </c>
      <c r="D6526" s="108"/>
      <c r="E6526" s="108" t="s">
        <v>14605</v>
      </c>
      <c r="F6526" s="108" t="s">
        <v>1864</v>
      </c>
      <c r="G6526" s="110"/>
      <c r="H6526" s="108" t="s">
        <v>25458</v>
      </c>
      <c r="I6526" s="108"/>
    </row>
    <row r="6527" spans="1:9">
      <c r="A6527" s="108" t="s">
        <v>237</v>
      </c>
      <c r="B6527" s="108" t="s">
        <v>2532</v>
      </c>
      <c r="C6527" s="109">
        <v>41772</v>
      </c>
      <c r="D6527" s="108"/>
      <c r="E6527" s="108" t="s">
        <v>14605</v>
      </c>
      <c r="F6527" s="108" t="s">
        <v>2529</v>
      </c>
      <c r="G6527" s="110"/>
      <c r="H6527" s="108" t="s">
        <v>25458</v>
      </c>
      <c r="I6527" s="108"/>
    </row>
    <row r="6528" spans="1:9" ht="27.6">
      <c r="A6528" s="108" t="s">
        <v>237</v>
      </c>
      <c r="B6528" s="108" t="s">
        <v>1164</v>
      </c>
      <c r="C6528" s="109">
        <v>41915</v>
      </c>
      <c r="D6528" s="108"/>
      <c r="E6528" s="108" t="s">
        <v>14605</v>
      </c>
      <c r="F6528" s="108" t="s">
        <v>1165</v>
      </c>
      <c r="G6528" s="110"/>
      <c r="H6528" s="108" t="s">
        <v>25458</v>
      </c>
      <c r="I6528" s="108"/>
    </row>
    <row r="6529" spans="1:9">
      <c r="A6529" s="108" t="s">
        <v>237</v>
      </c>
      <c r="B6529" s="108" t="s">
        <v>1426</v>
      </c>
      <c r="C6529" s="109">
        <v>42046</v>
      </c>
      <c r="D6529" s="108"/>
      <c r="E6529" s="108" t="s">
        <v>14605</v>
      </c>
      <c r="F6529" s="108" t="s">
        <v>1427</v>
      </c>
      <c r="G6529" s="110"/>
      <c r="H6529" s="108" t="s">
        <v>25458</v>
      </c>
      <c r="I6529" s="108"/>
    </row>
    <row r="6530" spans="1:9">
      <c r="A6530" s="108" t="s">
        <v>237</v>
      </c>
      <c r="B6530" s="108" t="s">
        <v>1636</v>
      </c>
      <c r="C6530" s="109">
        <v>42011</v>
      </c>
      <c r="D6530" s="108"/>
      <c r="E6530" s="108" t="s">
        <v>14605</v>
      </c>
      <c r="F6530" s="108" t="s">
        <v>1633</v>
      </c>
      <c r="G6530" s="110"/>
      <c r="H6530" s="108" t="s">
        <v>25458</v>
      </c>
      <c r="I6530" s="108"/>
    </row>
    <row r="6531" spans="1:9">
      <c r="A6531" s="108"/>
      <c r="B6531" s="108" t="s">
        <v>648</v>
      </c>
      <c r="C6531" s="109">
        <v>42200</v>
      </c>
      <c r="D6531" s="108"/>
      <c r="E6531" s="108" t="s">
        <v>14605</v>
      </c>
      <c r="F6531" s="108" t="s">
        <v>649</v>
      </c>
      <c r="G6531" s="110"/>
      <c r="H6531" s="108" t="s">
        <v>25458</v>
      </c>
      <c r="I6531" s="108"/>
    </row>
    <row r="6532" spans="1:9" ht="27.6">
      <c r="A6532" s="108" t="s">
        <v>14690</v>
      </c>
      <c r="B6532" s="108" t="s">
        <v>569</v>
      </c>
      <c r="C6532" s="109">
        <v>42558</v>
      </c>
      <c r="D6532" s="108"/>
      <c r="E6532" s="108" t="s">
        <v>14605</v>
      </c>
      <c r="F6532" s="108" t="s">
        <v>559</v>
      </c>
      <c r="G6532" s="110"/>
      <c r="H6532" s="108" t="s">
        <v>25458</v>
      </c>
      <c r="I6532" s="108"/>
    </row>
    <row r="6533" spans="1:9" ht="27.6">
      <c r="A6533" s="108" t="s">
        <v>647</v>
      </c>
      <c r="B6533" s="108" t="s">
        <v>645</v>
      </c>
      <c r="C6533" s="109">
        <v>42684</v>
      </c>
      <c r="D6533" s="108"/>
      <c r="E6533" s="108" t="s">
        <v>14605</v>
      </c>
      <c r="F6533" s="108" t="s">
        <v>646</v>
      </c>
      <c r="G6533" s="110"/>
      <c r="H6533" s="108" t="s">
        <v>25458</v>
      </c>
      <c r="I6533" s="108"/>
    </row>
    <row r="6534" spans="1:9" ht="27.6">
      <c r="A6534" s="108" t="s">
        <v>647</v>
      </c>
      <c r="B6534" s="108" t="s">
        <v>2007</v>
      </c>
      <c r="C6534" s="109">
        <v>41876</v>
      </c>
      <c r="D6534" s="108"/>
      <c r="E6534" s="108" t="s">
        <v>14605</v>
      </c>
      <c r="F6534" s="108" t="s">
        <v>2006</v>
      </c>
      <c r="G6534" s="110"/>
      <c r="H6534" s="108" t="s">
        <v>25458</v>
      </c>
      <c r="I6534" s="108"/>
    </row>
    <row r="6535" spans="1:9" ht="27.6">
      <c r="A6535" s="108" t="s">
        <v>647</v>
      </c>
      <c r="B6535" s="108" t="s">
        <v>3310</v>
      </c>
      <c r="C6535" s="109">
        <v>41760</v>
      </c>
      <c r="D6535" s="108"/>
      <c r="E6535" s="108" t="s">
        <v>14605</v>
      </c>
      <c r="F6535" s="108" t="s">
        <v>3306</v>
      </c>
      <c r="G6535" s="110"/>
      <c r="H6535" s="108" t="s">
        <v>25458</v>
      </c>
      <c r="I6535" s="108"/>
    </row>
    <row r="6536" spans="1:9">
      <c r="A6536" s="108" t="s">
        <v>237</v>
      </c>
      <c r="B6536" s="108" t="s">
        <v>1278</v>
      </c>
      <c r="C6536" s="109">
        <v>40931</v>
      </c>
      <c r="D6536" s="108"/>
      <c r="E6536" s="108" t="s">
        <v>14605</v>
      </c>
      <c r="F6536" s="108" t="s">
        <v>1279</v>
      </c>
      <c r="G6536" s="110"/>
      <c r="H6536" s="108" t="s">
        <v>25458</v>
      </c>
      <c r="I6536" s="108"/>
    </row>
    <row r="6537" spans="1:9" ht="27.6">
      <c r="A6537" s="108" t="s">
        <v>185</v>
      </c>
      <c r="B6537" s="108" t="s">
        <v>1555</v>
      </c>
      <c r="C6537" s="109">
        <v>42347</v>
      </c>
      <c r="D6537" s="108"/>
      <c r="E6537" s="108" t="s">
        <v>14605</v>
      </c>
      <c r="F6537" s="108" t="s">
        <v>1556</v>
      </c>
      <c r="G6537" s="110"/>
      <c r="H6537" s="108" t="s">
        <v>25458</v>
      </c>
      <c r="I6537" s="108"/>
    </row>
    <row r="6538" spans="1:9">
      <c r="A6538" s="108" t="s">
        <v>237</v>
      </c>
      <c r="B6538" s="108" t="s">
        <v>3419</v>
      </c>
      <c r="C6538" s="109">
        <v>41878</v>
      </c>
      <c r="D6538" s="108"/>
      <c r="E6538" s="108" t="s">
        <v>14605</v>
      </c>
      <c r="F6538" s="108" t="s">
        <v>3420</v>
      </c>
      <c r="G6538" s="110"/>
      <c r="H6538" s="108" t="s">
        <v>25458</v>
      </c>
      <c r="I6538" s="108"/>
    </row>
    <row r="6539" spans="1:9" ht="27.6">
      <c r="A6539" s="108" t="s">
        <v>185</v>
      </c>
      <c r="B6539" s="108" t="s">
        <v>3663</v>
      </c>
      <c r="C6539" s="109">
        <v>41045</v>
      </c>
      <c r="D6539" s="108"/>
      <c r="E6539" s="108" t="s">
        <v>14605</v>
      </c>
      <c r="F6539" s="108" t="s">
        <v>3664</v>
      </c>
      <c r="G6539" s="110"/>
      <c r="H6539" s="108" t="s">
        <v>25458</v>
      </c>
      <c r="I6539" s="108"/>
    </row>
    <row r="6540" spans="1:9" ht="27.6">
      <c r="A6540" s="108" t="s">
        <v>185</v>
      </c>
      <c r="B6540" s="108" t="s">
        <v>4750</v>
      </c>
      <c r="C6540" s="109">
        <v>41060</v>
      </c>
      <c r="D6540" s="108"/>
      <c r="E6540" s="108" t="s">
        <v>14605</v>
      </c>
      <c r="F6540" s="108" t="s">
        <v>4732</v>
      </c>
      <c r="G6540" s="110"/>
      <c r="H6540" s="108" t="s">
        <v>25458</v>
      </c>
      <c r="I6540" s="108"/>
    </row>
    <row r="6541" spans="1:9" ht="27.6">
      <c r="A6541" s="108" t="s">
        <v>185</v>
      </c>
      <c r="B6541" s="108" t="s">
        <v>4087</v>
      </c>
      <c r="C6541" s="109">
        <v>41067</v>
      </c>
      <c r="D6541" s="108"/>
      <c r="E6541" s="108" t="s">
        <v>14605</v>
      </c>
      <c r="F6541" s="108" t="s">
        <v>4074</v>
      </c>
      <c r="G6541" s="110"/>
      <c r="H6541" s="108" t="s">
        <v>25458</v>
      </c>
      <c r="I6541" s="108"/>
    </row>
    <row r="6542" spans="1:9" ht="27.6">
      <c r="A6542" s="108" t="s">
        <v>185</v>
      </c>
      <c r="B6542" s="108" t="s">
        <v>265</v>
      </c>
      <c r="C6542" s="109">
        <v>42032</v>
      </c>
      <c r="D6542" s="108"/>
      <c r="E6542" s="108" t="s">
        <v>14605</v>
      </c>
      <c r="F6542" s="108" t="s">
        <v>266</v>
      </c>
      <c r="G6542" s="110"/>
      <c r="H6542" s="108" t="s">
        <v>25458</v>
      </c>
      <c r="I6542" s="108"/>
    </row>
    <row r="6543" spans="1:9">
      <c r="A6543" s="108" t="s">
        <v>237</v>
      </c>
      <c r="B6543" s="108" t="s">
        <v>307</v>
      </c>
      <c r="C6543" s="109">
        <v>42174</v>
      </c>
      <c r="D6543" s="108"/>
      <c r="E6543" s="108" t="s">
        <v>14605</v>
      </c>
      <c r="F6543" s="108" t="s">
        <v>306</v>
      </c>
      <c r="G6543" s="110"/>
      <c r="H6543" s="108" t="s">
        <v>25458</v>
      </c>
      <c r="I6543" s="108"/>
    </row>
    <row r="6544" spans="1:9">
      <c r="A6544" s="108" t="s">
        <v>237</v>
      </c>
      <c r="B6544" s="108" t="s">
        <v>305</v>
      </c>
      <c r="C6544" s="109">
        <v>42174</v>
      </c>
      <c r="D6544" s="108"/>
      <c r="E6544" s="108" t="s">
        <v>14605</v>
      </c>
      <c r="F6544" s="108" t="s">
        <v>306</v>
      </c>
      <c r="G6544" s="110"/>
      <c r="H6544" s="108" t="s">
        <v>25458</v>
      </c>
      <c r="I6544" s="108"/>
    </row>
    <row r="6545" spans="1:9" ht="27.6">
      <c r="A6545" s="108" t="s">
        <v>185</v>
      </c>
      <c r="B6545" s="108" t="s">
        <v>4625</v>
      </c>
      <c r="C6545" s="109">
        <v>41526</v>
      </c>
      <c r="D6545" s="108"/>
      <c r="E6545" s="108" t="s">
        <v>14605</v>
      </c>
      <c r="F6545" s="108" t="s">
        <v>4626</v>
      </c>
      <c r="G6545" s="110"/>
      <c r="H6545" s="108" t="s">
        <v>25458</v>
      </c>
      <c r="I6545" s="108"/>
    </row>
    <row r="6546" spans="1:9" ht="27.6">
      <c r="A6546" s="108" t="s">
        <v>185</v>
      </c>
      <c r="B6546" s="108" t="s">
        <v>2531</v>
      </c>
      <c r="C6546" s="109">
        <v>41549</v>
      </c>
      <c r="D6546" s="108"/>
      <c r="E6546" s="108" t="s">
        <v>14605</v>
      </c>
      <c r="F6546" s="108" t="s">
        <v>2529</v>
      </c>
      <c r="G6546" s="110"/>
      <c r="H6546" s="108" t="s">
        <v>25458</v>
      </c>
      <c r="I6546" s="108"/>
    </row>
    <row r="6547" spans="1:9" ht="27.6">
      <c r="A6547" s="108" t="s">
        <v>185</v>
      </c>
      <c r="B6547" s="108" t="s">
        <v>4782</v>
      </c>
      <c r="C6547" s="109">
        <v>42530</v>
      </c>
      <c r="D6547" s="108"/>
      <c r="E6547" s="108" t="s">
        <v>14605</v>
      </c>
      <c r="F6547" s="108" t="s">
        <v>4776</v>
      </c>
      <c r="G6547" s="110"/>
      <c r="H6547" s="108" t="s">
        <v>25458</v>
      </c>
      <c r="I6547" s="108"/>
    </row>
    <row r="6548" spans="1:9" ht="27.6">
      <c r="A6548" s="108" t="s">
        <v>185</v>
      </c>
      <c r="B6548" s="108" t="s">
        <v>3636</v>
      </c>
      <c r="C6548" s="109">
        <v>41766</v>
      </c>
      <c r="D6548" s="108"/>
      <c r="E6548" s="108" t="s">
        <v>14605</v>
      </c>
      <c r="F6548" s="108" t="s">
        <v>3637</v>
      </c>
      <c r="G6548" s="110"/>
      <c r="H6548" s="108" t="s">
        <v>25458</v>
      </c>
      <c r="I6548" s="108"/>
    </row>
    <row r="6549" spans="1:9" ht="27.6">
      <c r="A6549" s="108" t="s">
        <v>464</v>
      </c>
      <c r="B6549" s="108" t="s">
        <v>2334</v>
      </c>
      <c r="C6549" s="109">
        <v>44470</v>
      </c>
      <c r="D6549" s="108"/>
      <c r="E6549" s="108" t="s">
        <v>14605</v>
      </c>
      <c r="F6549" s="108" t="s">
        <v>2251</v>
      </c>
      <c r="G6549" s="110"/>
      <c r="H6549" s="108" t="s">
        <v>25458</v>
      </c>
      <c r="I6549" s="108"/>
    </row>
    <row r="6550" spans="1:9">
      <c r="A6550" s="108" t="s">
        <v>466</v>
      </c>
      <c r="B6550" s="108" t="s">
        <v>2333</v>
      </c>
      <c r="C6550" s="109">
        <v>44470</v>
      </c>
      <c r="D6550" s="108"/>
      <c r="E6550" s="108" t="s">
        <v>14605</v>
      </c>
      <c r="F6550" s="108" t="s">
        <v>2251</v>
      </c>
      <c r="G6550" s="110"/>
      <c r="H6550" s="108" t="s">
        <v>25458</v>
      </c>
      <c r="I6550" s="108"/>
    </row>
    <row r="6551" spans="1:9">
      <c r="A6551" s="108" t="s">
        <v>466</v>
      </c>
      <c r="B6551" s="108" t="s">
        <v>2332</v>
      </c>
      <c r="C6551" s="109">
        <v>44470</v>
      </c>
      <c r="D6551" s="108"/>
      <c r="E6551" s="108" t="s">
        <v>14605</v>
      </c>
      <c r="F6551" s="108" t="s">
        <v>2251</v>
      </c>
      <c r="G6551" s="110"/>
      <c r="H6551" s="108" t="s">
        <v>25458</v>
      </c>
      <c r="I6551" s="108"/>
    </row>
    <row r="6552" spans="1:9">
      <c r="A6552" s="108" t="s">
        <v>468</v>
      </c>
      <c r="B6552" s="108" t="s">
        <v>2331</v>
      </c>
      <c r="C6552" s="109">
        <v>44470</v>
      </c>
      <c r="D6552" s="108"/>
      <c r="E6552" s="108" t="s">
        <v>14605</v>
      </c>
      <c r="F6552" s="108" t="s">
        <v>2251</v>
      </c>
      <c r="G6552" s="110"/>
      <c r="H6552" s="108" t="s">
        <v>25458</v>
      </c>
      <c r="I6552" s="108"/>
    </row>
    <row r="6553" spans="1:9">
      <c r="A6553" s="108" t="s">
        <v>468</v>
      </c>
      <c r="B6553" s="108" t="s">
        <v>2330</v>
      </c>
      <c r="C6553" s="109">
        <v>44470</v>
      </c>
      <c r="D6553" s="108"/>
      <c r="E6553" s="108" t="s">
        <v>14605</v>
      </c>
      <c r="F6553" s="108" t="s">
        <v>2251</v>
      </c>
      <c r="G6553" s="110"/>
      <c r="H6553" s="108" t="s">
        <v>25458</v>
      </c>
      <c r="I6553" s="108"/>
    </row>
    <row r="6554" spans="1:9">
      <c r="A6554" s="108" t="s">
        <v>169</v>
      </c>
      <c r="B6554" s="108" t="s">
        <v>25477</v>
      </c>
      <c r="C6554" s="109">
        <v>44071</v>
      </c>
      <c r="D6554" s="108"/>
      <c r="E6554" s="108" t="s">
        <v>14605</v>
      </c>
      <c r="F6554" s="108" t="s">
        <v>14764</v>
      </c>
      <c r="G6554" s="110"/>
      <c r="H6554" s="108" t="s">
        <v>25458</v>
      </c>
      <c r="I6554" s="108"/>
    </row>
    <row r="6555" spans="1:9" ht="27.6">
      <c r="A6555" s="108" t="s">
        <v>464</v>
      </c>
      <c r="B6555" s="108" t="s">
        <v>25478</v>
      </c>
      <c r="C6555" s="109">
        <v>44071</v>
      </c>
      <c r="D6555" s="108"/>
      <c r="E6555" s="108" t="s">
        <v>14605</v>
      </c>
      <c r="F6555" s="108" t="s">
        <v>14764</v>
      </c>
      <c r="G6555" s="110"/>
      <c r="H6555" s="108" t="s">
        <v>25458</v>
      </c>
      <c r="I6555" s="108"/>
    </row>
    <row r="6556" spans="1:9">
      <c r="A6556" s="108" t="s">
        <v>466</v>
      </c>
      <c r="B6556" s="108" t="s">
        <v>25479</v>
      </c>
      <c r="C6556" s="109">
        <v>44071</v>
      </c>
      <c r="D6556" s="108"/>
      <c r="E6556" s="108" t="s">
        <v>14605</v>
      </c>
      <c r="F6556" s="108" t="s">
        <v>14764</v>
      </c>
      <c r="G6556" s="110"/>
      <c r="H6556" s="108" t="s">
        <v>25458</v>
      </c>
      <c r="I6556" s="108"/>
    </row>
    <row r="6557" spans="1:9">
      <c r="A6557" s="108" t="s">
        <v>466</v>
      </c>
      <c r="B6557" s="108" t="s">
        <v>25480</v>
      </c>
      <c r="C6557" s="109">
        <v>44071</v>
      </c>
      <c r="D6557" s="108"/>
      <c r="E6557" s="108" t="s">
        <v>14605</v>
      </c>
      <c r="F6557" s="108" t="s">
        <v>14764</v>
      </c>
      <c r="G6557" s="110"/>
      <c r="H6557" s="108" t="s">
        <v>25458</v>
      </c>
      <c r="I6557" s="108"/>
    </row>
    <row r="6558" spans="1:9">
      <c r="A6558" s="108" t="s">
        <v>468</v>
      </c>
      <c r="B6558" s="108" t="s">
        <v>25481</v>
      </c>
      <c r="C6558" s="109">
        <v>44071</v>
      </c>
      <c r="D6558" s="108"/>
      <c r="E6558" s="108" t="s">
        <v>14605</v>
      </c>
      <c r="F6558" s="108" t="s">
        <v>14764</v>
      </c>
      <c r="G6558" s="110"/>
      <c r="H6558" s="108" t="s">
        <v>25458</v>
      </c>
      <c r="I6558" s="108"/>
    </row>
    <row r="6559" spans="1:9">
      <c r="A6559" s="108" t="s">
        <v>468</v>
      </c>
      <c r="B6559" s="108" t="s">
        <v>25482</v>
      </c>
      <c r="C6559" s="109">
        <v>44071</v>
      </c>
      <c r="D6559" s="108"/>
      <c r="E6559" s="108" t="s">
        <v>14605</v>
      </c>
      <c r="F6559" s="108" t="s">
        <v>14764</v>
      </c>
      <c r="G6559" s="110"/>
      <c r="H6559" s="108" t="s">
        <v>25458</v>
      </c>
      <c r="I6559" s="108"/>
    </row>
    <row r="6560" spans="1:9">
      <c r="A6560" s="108" t="s">
        <v>169</v>
      </c>
      <c r="B6560" s="108" t="s">
        <v>2283</v>
      </c>
      <c r="C6560" s="109">
        <v>44481</v>
      </c>
      <c r="D6560" s="108"/>
      <c r="E6560" s="108" t="s">
        <v>14605</v>
      </c>
      <c r="F6560" s="108" t="s">
        <v>2251</v>
      </c>
      <c r="G6560" s="110"/>
      <c r="H6560" s="108" t="s">
        <v>25458</v>
      </c>
      <c r="I6560" s="108"/>
    </row>
    <row r="6561" spans="1:9">
      <c r="A6561" s="108" t="s">
        <v>468</v>
      </c>
      <c r="B6561" s="108" t="s">
        <v>2329</v>
      </c>
      <c r="C6561" s="109">
        <v>44481</v>
      </c>
      <c r="D6561" s="108"/>
      <c r="E6561" s="108" t="s">
        <v>14605</v>
      </c>
      <c r="F6561" s="108" t="s">
        <v>2251</v>
      </c>
      <c r="G6561" s="110"/>
      <c r="H6561" s="108" t="s">
        <v>25458</v>
      </c>
      <c r="I6561" s="108"/>
    </row>
    <row r="6562" spans="1:9">
      <c r="A6562" s="108" t="s">
        <v>468</v>
      </c>
      <c r="B6562" s="108" t="s">
        <v>2328</v>
      </c>
      <c r="C6562" s="109">
        <v>44481</v>
      </c>
      <c r="D6562" s="108"/>
      <c r="E6562" s="108" t="s">
        <v>14605</v>
      </c>
      <c r="F6562" s="108" t="s">
        <v>2251</v>
      </c>
      <c r="G6562" s="110"/>
      <c r="H6562" s="108" t="s">
        <v>25458</v>
      </c>
      <c r="I6562" s="108"/>
    </row>
    <row r="6563" spans="1:9">
      <c r="A6563" s="108" t="s">
        <v>466</v>
      </c>
      <c r="B6563" s="108" t="s">
        <v>2327</v>
      </c>
      <c r="C6563" s="109">
        <v>44481</v>
      </c>
      <c r="D6563" s="108"/>
      <c r="E6563" s="108" t="s">
        <v>14605</v>
      </c>
      <c r="F6563" s="108" t="s">
        <v>2251</v>
      </c>
      <c r="G6563" s="110"/>
      <c r="H6563" s="108" t="s">
        <v>25458</v>
      </c>
      <c r="I6563" s="108"/>
    </row>
    <row r="6564" spans="1:9">
      <c r="A6564" s="108" t="s">
        <v>466</v>
      </c>
      <c r="B6564" s="108" t="s">
        <v>2326</v>
      </c>
      <c r="C6564" s="109">
        <v>44481</v>
      </c>
      <c r="D6564" s="108"/>
      <c r="E6564" s="108" t="s">
        <v>14605</v>
      </c>
      <c r="F6564" s="108" t="s">
        <v>2251</v>
      </c>
      <c r="G6564" s="110"/>
      <c r="H6564" s="108" t="s">
        <v>25458</v>
      </c>
      <c r="I6564" s="108"/>
    </row>
    <row r="6565" spans="1:9" ht="27.6">
      <c r="A6565" s="108" t="s">
        <v>464</v>
      </c>
      <c r="B6565" s="108" t="s">
        <v>2325</v>
      </c>
      <c r="C6565" s="109">
        <v>44481</v>
      </c>
      <c r="D6565" s="108"/>
      <c r="E6565" s="108" t="s">
        <v>14605</v>
      </c>
      <c r="F6565" s="108" t="s">
        <v>2251</v>
      </c>
      <c r="G6565" s="110"/>
      <c r="H6565" s="108" t="s">
        <v>25458</v>
      </c>
      <c r="I6565" s="108"/>
    </row>
    <row r="6566" spans="1:9">
      <c r="A6566" s="108" t="s">
        <v>169</v>
      </c>
      <c r="B6566" s="108" t="s">
        <v>2282</v>
      </c>
      <c r="C6566" s="109">
        <v>41075</v>
      </c>
      <c r="D6566" s="108"/>
      <c r="E6566" s="108" t="s">
        <v>14605</v>
      </c>
      <c r="F6566" s="108" t="s">
        <v>2251</v>
      </c>
      <c r="G6566" s="110"/>
      <c r="H6566" s="108" t="s">
        <v>25458</v>
      </c>
      <c r="I6566" s="108"/>
    </row>
    <row r="6567" spans="1:9">
      <c r="A6567" s="108" t="s">
        <v>169</v>
      </c>
      <c r="B6567" s="108" t="s">
        <v>2281</v>
      </c>
      <c r="C6567" s="109">
        <v>43811</v>
      </c>
      <c r="D6567" s="108"/>
      <c r="E6567" s="108" t="s">
        <v>14605</v>
      </c>
      <c r="F6567" s="108" t="s">
        <v>2251</v>
      </c>
      <c r="G6567" s="110"/>
      <c r="H6567" s="108" t="s">
        <v>25458</v>
      </c>
      <c r="I6567" s="108"/>
    </row>
    <row r="6568" spans="1:9">
      <c r="A6568" s="108" t="s">
        <v>468</v>
      </c>
      <c r="B6568" s="108" t="s">
        <v>2324</v>
      </c>
      <c r="C6568" s="109">
        <v>43811</v>
      </c>
      <c r="D6568" s="108"/>
      <c r="E6568" s="108" t="s">
        <v>14605</v>
      </c>
      <c r="F6568" s="108" t="s">
        <v>2251</v>
      </c>
      <c r="G6568" s="110"/>
      <c r="H6568" s="108" t="s">
        <v>25458</v>
      </c>
      <c r="I6568" s="108"/>
    </row>
    <row r="6569" spans="1:9">
      <c r="A6569" s="108" t="s">
        <v>468</v>
      </c>
      <c r="B6569" s="108" t="s">
        <v>2323</v>
      </c>
      <c r="C6569" s="109">
        <v>43811</v>
      </c>
      <c r="D6569" s="108"/>
      <c r="E6569" s="108" t="s">
        <v>14605</v>
      </c>
      <c r="F6569" s="108" t="s">
        <v>2251</v>
      </c>
      <c r="G6569" s="110"/>
      <c r="H6569" s="108" t="s">
        <v>25458</v>
      </c>
      <c r="I6569" s="108"/>
    </row>
    <row r="6570" spans="1:9">
      <c r="A6570" s="108" t="s">
        <v>466</v>
      </c>
      <c r="B6570" s="108" t="s">
        <v>2322</v>
      </c>
      <c r="C6570" s="109">
        <v>43811</v>
      </c>
      <c r="D6570" s="108"/>
      <c r="E6570" s="108" t="s">
        <v>14605</v>
      </c>
      <c r="F6570" s="108" t="s">
        <v>2251</v>
      </c>
      <c r="G6570" s="110"/>
      <c r="H6570" s="108" t="s">
        <v>25458</v>
      </c>
      <c r="I6570" s="108"/>
    </row>
    <row r="6571" spans="1:9">
      <c r="A6571" s="108" t="s">
        <v>466</v>
      </c>
      <c r="B6571" s="108" t="s">
        <v>2321</v>
      </c>
      <c r="C6571" s="109">
        <v>43811</v>
      </c>
      <c r="D6571" s="108"/>
      <c r="E6571" s="108" t="s">
        <v>14605</v>
      </c>
      <c r="F6571" s="108" t="s">
        <v>2251</v>
      </c>
      <c r="G6571" s="110"/>
      <c r="H6571" s="108" t="s">
        <v>25458</v>
      </c>
      <c r="I6571" s="108"/>
    </row>
    <row r="6572" spans="1:9" ht="27.6">
      <c r="A6572" s="108" t="s">
        <v>464</v>
      </c>
      <c r="B6572" s="108" t="s">
        <v>2320</v>
      </c>
      <c r="C6572" s="109">
        <v>43811</v>
      </c>
      <c r="D6572" s="108"/>
      <c r="E6572" s="108" t="s">
        <v>14605</v>
      </c>
      <c r="F6572" s="108" t="s">
        <v>2251</v>
      </c>
      <c r="G6572" s="110"/>
      <c r="H6572" s="108" t="s">
        <v>25458</v>
      </c>
      <c r="I6572" s="108"/>
    </row>
    <row r="6573" spans="1:9">
      <c r="A6573" s="108" t="s">
        <v>169</v>
      </c>
      <c r="B6573" s="108" t="s">
        <v>1014</v>
      </c>
      <c r="C6573" s="109">
        <v>41260</v>
      </c>
      <c r="D6573" s="108"/>
      <c r="E6573" s="108" t="s">
        <v>14605</v>
      </c>
      <c r="F6573" s="108" t="s">
        <v>986</v>
      </c>
      <c r="G6573" s="110"/>
      <c r="H6573" s="108" t="s">
        <v>25458</v>
      </c>
      <c r="I6573" s="108"/>
    </row>
    <row r="6574" spans="1:9">
      <c r="A6574" s="108" t="s">
        <v>169</v>
      </c>
      <c r="B6574" s="108" t="s">
        <v>2280</v>
      </c>
      <c r="C6574" s="109">
        <v>41373</v>
      </c>
      <c r="D6574" s="108"/>
      <c r="E6574" s="108" t="s">
        <v>14605</v>
      </c>
      <c r="F6574" s="108" t="s">
        <v>2251</v>
      </c>
      <c r="G6574" s="110"/>
      <c r="H6574" s="108" t="s">
        <v>25458</v>
      </c>
      <c r="I6574" s="108"/>
    </row>
    <row r="6575" spans="1:9">
      <c r="A6575" s="108" t="s">
        <v>169</v>
      </c>
      <c r="B6575" s="108" t="s">
        <v>2279</v>
      </c>
      <c r="C6575" s="109">
        <v>41860</v>
      </c>
      <c r="D6575" s="108"/>
      <c r="E6575" s="108" t="s">
        <v>14605</v>
      </c>
      <c r="F6575" s="108" t="s">
        <v>2251</v>
      </c>
      <c r="G6575" s="110"/>
      <c r="H6575" s="108" t="s">
        <v>25458</v>
      </c>
      <c r="I6575" s="108"/>
    </row>
    <row r="6576" spans="1:9">
      <c r="A6576" s="108" t="s">
        <v>169</v>
      </c>
      <c r="B6576" s="108" t="s">
        <v>2278</v>
      </c>
      <c r="C6576" s="109">
        <v>44306</v>
      </c>
      <c r="D6576" s="108"/>
      <c r="E6576" s="108" t="s">
        <v>14605</v>
      </c>
      <c r="F6576" s="108" t="s">
        <v>2251</v>
      </c>
      <c r="G6576" s="110"/>
      <c r="H6576" s="108" t="s">
        <v>25458</v>
      </c>
      <c r="I6576" s="108"/>
    </row>
    <row r="6577" spans="1:9">
      <c r="A6577" s="108" t="s">
        <v>468</v>
      </c>
      <c r="B6577" s="108" t="s">
        <v>2319</v>
      </c>
      <c r="C6577" s="109">
        <v>44306</v>
      </c>
      <c r="D6577" s="108"/>
      <c r="E6577" s="108" t="s">
        <v>14605</v>
      </c>
      <c r="F6577" s="108" t="s">
        <v>2251</v>
      </c>
      <c r="G6577" s="110"/>
      <c r="H6577" s="108" t="s">
        <v>25458</v>
      </c>
      <c r="I6577" s="108"/>
    </row>
    <row r="6578" spans="1:9">
      <c r="A6578" s="108" t="s">
        <v>468</v>
      </c>
      <c r="B6578" s="108" t="s">
        <v>2318</v>
      </c>
      <c r="C6578" s="109">
        <v>44306</v>
      </c>
      <c r="D6578" s="108"/>
      <c r="E6578" s="108" t="s">
        <v>14605</v>
      </c>
      <c r="F6578" s="108" t="s">
        <v>2251</v>
      </c>
      <c r="G6578" s="110"/>
      <c r="H6578" s="108" t="s">
        <v>25458</v>
      </c>
      <c r="I6578" s="108"/>
    </row>
    <row r="6579" spans="1:9">
      <c r="A6579" s="108" t="s">
        <v>466</v>
      </c>
      <c r="B6579" s="108" t="s">
        <v>2317</v>
      </c>
      <c r="C6579" s="109">
        <v>44306</v>
      </c>
      <c r="D6579" s="108"/>
      <c r="E6579" s="108" t="s">
        <v>14605</v>
      </c>
      <c r="F6579" s="108" t="s">
        <v>2251</v>
      </c>
      <c r="G6579" s="110"/>
      <c r="H6579" s="108" t="s">
        <v>25458</v>
      </c>
      <c r="I6579" s="108"/>
    </row>
    <row r="6580" spans="1:9">
      <c r="A6580" s="108" t="s">
        <v>466</v>
      </c>
      <c r="B6580" s="108" t="s">
        <v>2316</v>
      </c>
      <c r="C6580" s="109">
        <v>44306</v>
      </c>
      <c r="D6580" s="108"/>
      <c r="E6580" s="108" t="s">
        <v>14605</v>
      </c>
      <c r="F6580" s="108" t="s">
        <v>2251</v>
      </c>
      <c r="G6580" s="110"/>
      <c r="H6580" s="108" t="s">
        <v>25458</v>
      </c>
      <c r="I6580" s="108"/>
    </row>
    <row r="6581" spans="1:9" ht="27.6">
      <c r="A6581" s="108" t="s">
        <v>464</v>
      </c>
      <c r="B6581" s="108" t="s">
        <v>2315</v>
      </c>
      <c r="C6581" s="109">
        <v>44306</v>
      </c>
      <c r="D6581" s="108"/>
      <c r="E6581" s="108" t="s">
        <v>14605</v>
      </c>
      <c r="F6581" s="108" t="s">
        <v>2251</v>
      </c>
      <c r="G6581" s="110"/>
      <c r="H6581" s="108" t="s">
        <v>25458</v>
      </c>
      <c r="I6581" s="108"/>
    </row>
    <row r="6582" spans="1:9">
      <c r="A6582" s="108" t="s">
        <v>169</v>
      </c>
      <c r="B6582" s="108" t="s">
        <v>446</v>
      </c>
      <c r="C6582" s="109">
        <v>43000</v>
      </c>
      <c r="D6582" s="108"/>
      <c r="E6582" s="108" t="s">
        <v>14605</v>
      </c>
      <c r="F6582" s="108" t="s">
        <v>447</v>
      </c>
      <c r="G6582" s="110"/>
      <c r="H6582" s="108" t="s">
        <v>25458</v>
      </c>
      <c r="I6582" s="108"/>
    </row>
    <row r="6583" spans="1:9">
      <c r="A6583" s="108" t="s">
        <v>169</v>
      </c>
      <c r="B6583" s="108" t="s">
        <v>4493</v>
      </c>
      <c r="C6583" s="109">
        <v>43725</v>
      </c>
      <c r="D6583" s="108"/>
      <c r="E6583" s="108" t="s">
        <v>14605</v>
      </c>
      <c r="F6583" s="108" t="s">
        <v>4494</v>
      </c>
      <c r="G6583" s="110"/>
      <c r="H6583" s="108" t="s">
        <v>25458</v>
      </c>
      <c r="I6583" s="108"/>
    </row>
    <row r="6584" spans="1:9">
      <c r="A6584" s="108" t="s">
        <v>169</v>
      </c>
      <c r="B6584" s="108" t="s">
        <v>1262</v>
      </c>
      <c r="C6584" s="109">
        <v>44041</v>
      </c>
      <c r="D6584" s="108"/>
      <c r="E6584" s="108" t="s">
        <v>14605</v>
      </c>
      <c r="F6584" s="108" t="s">
        <v>1228</v>
      </c>
      <c r="G6584" s="110"/>
      <c r="H6584" s="108" t="s">
        <v>25458</v>
      </c>
      <c r="I6584" s="108"/>
    </row>
    <row r="6585" spans="1:9">
      <c r="A6585" s="108" t="s">
        <v>427</v>
      </c>
      <c r="B6585" s="108" t="s">
        <v>2314</v>
      </c>
      <c r="C6585" s="109">
        <v>44203</v>
      </c>
      <c r="D6585" s="108"/>
      <c r="E6585" s="108" t="s">
        <v>14605</v>
      </c>
      <c r="F6585" s="108" t="s">
        <v>2251</v>
      </c>
      <c r="G6585" s="110"/>
      <c r="H6585" s="108" t="s">
        <v>25458</v>
      </c>
      <c r="I6585" s="108"/>
    </row>
    <row r="6586" spans="1:9" ht="27.6">
      <c r="A6586" s="108" t="s">
        <v>464</v>
      </c>
      <c r="B6586" s="108" t="s">
        <v>2313</v>
      </c>
      <c r="C6586" s="109">
        <v>44407</v>
      </c>
      <c r="D6586" s="108"/>
      <c r="E6586" s="108" t="s">
        <v>14605</v>
      </c>
      <c r="F6586" s="108" t="s">
        <v>2251</v>
      </c>
      <c r="G6586" s="110"/>
      <c r="H6586" s="108" t="s">
        <v>25458</v>
      </c>
      <c r="I6586" s="108"/>
    </row>
    <row r="6587" spans="1:9">
      <c r="A6587" s="108" t="s">
        <v>466</v>
      </c>
      <c r="B6587" s="108" t="s">
        <v>2312</v>
      </c>
      <c r="C6587" s="109">
        <v>44407</v>
      </c>
      <c r="D6587" s="108"/>
      <c r="E6587" s="108" t="s">
        <v>14605</v>
      </c>
      <c r="F6587" s="108" t="s">
        <v>2251</v>
      </c>
      <c r="G6587" s="110"/>
      <c r="H6587" s="108" t="s">
        <v>25458</v>
      </c>
      <c r="I6587" s="108"/>
    </row>
    <row r="6588" spans="1:9">
      <c r="A6588" s="108" t="s">
        <v>466</v>
      </c>
      <c r="B6588" s="108" t="s">
        <v>2311</v>
      </c>
      <c r="C6588" s="109">
        <v>44407</v>
      </c>
      <c r="D6588" s="108"/>
      <c r="E6588" s="108" t="s">
        <v>14605</v>
      </c>
      <c r="F6588" s="108" t="s">
        <v>2251</v>
      </c>
      <c r="G6588" s="110"/>
      <c r="H6588" s="108" t="s">
        <v>25458</v>
      </c>
      <c r="I6588" s="108"/>
    </row>
    <row r="6589" spans="1:9">
      <c r="A6589" s="108" t="s">
        <v>468</v>
      </c>
      <c r="B6589" s="108" t="s">
        <v>2310</v>
      </c>
      <c r="C6589" s="109">
        <v>44407</v>
      </c>
      <c r="D6589" s="108"/>
      <c r="E6589" s="108" t="s">
        <v>14605</v>
      </c>
      <c r="F6589" s="108" t="s">
        <v>2251</v>
      </c>
      <c r="G6589" s="110"/>
      <c r="H6589" s="108" t="s">
        <v>25458</v>
      </c>
      <c r="I6589" s="108"/>
    </row>
    <row r="6590" spans="1:9">
      <c r="A6590" s="108" t="s">
        <v>468</v>
      </c>
      <c r="B6590" s="108" t="s">
        <v>2309</v>
      </c>
      <c r="C6590" s="109">
        <v>44407</v>
      </c>
      <c r="D6590" s="108"/>
      <c r="E6590" s="108" t="s">
        <v>14605</v>
      </c>
      <c r="F6590" s="108" t="s">
        <v>2251</v>
      </c>
      <c r="G6590" s="110"/>
      <c r="H6590" s="108" t="s">
        <v>25458</v>
      </c>
      <c r="I6590" s="108"/>
    </row>
    <row r="6591" spans="1:9">
      <c r="A6591" s="108" t="s">
        <v>169</v>
      </c>
      <c r="B6591" s="108" t="s">
        <v>5217</v>
      </c>
      <c r="C6591" s="109">
        <v>44069</v>
      </c>
      <c r="D6591" s="108"/>
      <c r="E6591" s="108" t="s">
        <v>14605</v>
      </c>
      <c r="F6591" s="108" t="s">
        <v>5145</v>
      </c>
      <c r="G6591" s="110"/>
      <c r="H6591" s="108" t="s">
        <v>25458</v>
      </c>
      <c r="I6591" s="108"/>
    </row>
    <row r="6592" spans="1:9">
      <c r="A6592" s="108" t="s">
        <v>169</v>
      </c>
      <c r="B6592" s="108" t="s">
        <v>2277</v>
      </c>
      <c r="C6592" s="109">
        <v>43748</v>
      </c>
      <c r="D6592" s="108"/>
      <c r="E6592" s="108" t="s">
        <v>14605</v>
      </c>
      <c r="F6592" s="108" t="s">
        <v>2251</v>
      </c>
      <c r="G6592" s="110"/>
      <c r="H6592" s="108" t="s">
        <v>25458</v>
      </c>
      <c r="I6592" s="108"/>
    </row>
    <row r="6593" spans="1:9" ht="27.6">
      <c r="A6593" s="108" t="s">
        <v>464</v>
      </c>
      <c r="B6593" s="108" t="s">
        <v>2308</v>
      </c>
      <c r="C6593" s="109">
        <v>43748</v>
      </c>
      <c r="D6593" s="108"/>
      <c r="E6593" s="108" t="s">
        <v>14605</v>
      </c>
      <c r="F6593" s="108" t="s">
        <v>2251</v>
      </c>
      <c r="G6593" s="110"/>
      <c r="H6593" s="108" t="s">
        <v>25458</v>
      </c>
      <c r="I6593" s="108"/>
    </row>
    <row r="6594" spans="1:9">
      <c r="A6594" s="108" t="s">
        <v>466</v>
      </c>
      <c r="B6594" s="108" t="s">
        <v>2307</v>
      </c>
      <c r="C6594" s="109">
        <v>43748</v>
      </c>
      <c r="D6594" s="108"/>
      <c r="E6594" s="108" t="s">
        <v>14605</v>
      </c>
      <c r="F6594" s="108" t="s">
        <v>2251</v>
      </c>
      <c r="G6594" s="110"/>
      <c r="H6594" s="108" t="s">
        <v>25458</v>
      </c>
      <c r="I6594" s="108"/>
    </row>
    <row r="6595" spans="1:9">
      <c r="A6595" s="108" t="s">
        <v>466</v>
      </c>
      <c r="B6595" s="108" t="s">
        <v>2306</v>
      </c>
      <c r="C6595" s="109">
        <v>43748</v>
      </c>
      <c r="D6595" s="108"/>
      <c r="E6595" s="108" t="s">
        <v>14605</v>
      </c>
      <c r="F6595" s="108" t="s">
        <v>2251</v>
      </c>
      <c r="G6595" s="110"/>
      <c r="H6595" s="108" t="s">
        <v>25458</v>
      </c>
      <c r="I6595" s="108"/>
    </row>
    <row r="6596" spans="1:9">
      <c r="A6596" s="108" t="s">
        <v>468</v>
      </c>
      <c r="B6596" s="108" t="s">
        <v>2305</v>
      </c>
      <c r="C6596" s="109">
        <v>43748</v>
      </c>
      <c r="D6596" s="108"/>
      <c r="E6596" s="108" t="s">
        <v>14605</v>
      </c>
      <c r="F6596" s="108" t="s">
        <v>2251</v>
      </c>
      <c r="G6596" s="110"/>
      <c r="H6596" s="108" t="s">
        <v>25458</v>
      </c>
      <c r="I6596" s="108"/>
    </row>
    <row r="6597" spans="1:9">
      <c r="A6597" s="108" t="s">
        <v>468</v>
      </c>
      <c r="B6597" s="108" t="s">
        <v>2304</v>
      </c>
      <c r="C6597" s="109">
        <v>43748</v>
      </c>
      <c r="D6597" s="108"/>
      <c r="E6597" s="108" t="s">
        <v>14605</v>
      </c>
      <c r="F6597" s="108" t="s">
        <v>2251</v>
      </c>
      <c r="G6597" s="110"/>
      <c r="H6597" s="108" t="s">
        <v>25458</v>
      </c>
      <c r="I6597" s="108"/>
    </row>
    <row r="6598" spans="1:9">
      <c r="A6598" s="108" t="s">
        <v>169</v>
      </c>
      <c r="B6598" s="108" t="s">
        <v>1464</v>
      </c>
      <c r="C6598" s="109">
        <v>43643</v>
      </c>
      <c r="D6598" s="108"/>
      <c r="E6598" s="108" t="s">
        <v>14605</v>
      </c>
      <c r="F6598" s="108" t="s">
        <v>20482</v>
      </c>
      <c r="G6598" s="110"/>
      <c r="H6598" s="108" t="s">
        <v>25458</v>
      </c>
      <c r="I6598" s="108"/>
    </row>
    <row r="6599" spans="1:9">
      <c r="A6599" s="108" t="s">
        <v>169</v>
      </c>
      <c r="B6599" s="108" t="s">
        <v>3715</v>
      </c>
      <c r="C6599" s="109">
        <v>44062</v>
      </c>
      <c r="D6599" s="108"/>
      <c r="E6599" s="108" t="s">
        <v>14605</v>
      </c>
      <c r="F6599" s="108" t="s">
        <v>3713</v>
      </c>
      <c r="G6599" s="110"/>
      <c r="H6599" s="108" t="s">
        <v>25458</v>
      </c>
      <c r="I6599" s="108"/>
    </row>
    <row r="6600" spans="1:9">
      <c r="A6600" s="108" t="s">
        <v>169</v>
      </c>
      <c r="B6600" s="108" t="s">
        <v>2276</v>
      </c>
      <c r="C6600" s="109">
        <v>43893</v>
      </c>
      <c r="D6600" s="108"/>
      <c r="E6600" s="108" t="s">
        <v>14605</v>
      </c>
      <c r="F6600" s="108" t="s">
        <v>2251</v>
      </c>
      <c r="G6600" s="110"/>
      <c r="H6600" s="108" t="s">
        <v>25458</v>
      </c>
      <c r="I6600" s="108"/>
    </row>
    <row r="6601" spans="1:9">
      <c r="A6601" s="108" t="s">
        <v>169</v>
      </c>
      <c r="B6601" s="108" t="s">
        <v>2275</v>
      </c>
      <c r="C6601" s="109">
        <v>43740</v>
      </c>
      <c r="D6601" s="108"/>
      <c r="E6601" s="108" t="s">
        <v>14605</v>
      </c>
      <c r="F6601" s="108" t="s">
        <v>2251</v>
      </c>
      <c r="G6601" s="110"/>
      <c r="H6601" s="108" t="s">
        <v>25458</v>
      </c>
      <c r="I6601" s="108"/>
    </row>
    <row r="6602" spans="1:9">
      <c r="A6602" s="108" t="s">
        <v>468</v>
      </c>
      <c r="B6602" s="108" t="s">
        <v>2303</v>
      </c>
      <c r="C6602" s="109">
        <v>43740</v>
      </c>
      <c r="D6602" s="108"/>
      <c r="E6602" s="108" t="s">
        <v>14605</v>
      </c>
      <c r="F6602" s="108" t="s">
        <v>2251</v>
      </c>
      <c r="G6602" s="110"/>
      <c r="H6602" s="108" t="s">
        <v>25458</v>
      </c>
      <c r="I6602" s="108"/>
    </row>
    <row r="6603" spans="1:9">
      <c r="A6603" s="108" t="s">
        <v>468</v>
      </c>
      <c r="B6603" s="108" t="s">
        <v>2302</v>
      </c>
      <c r="C6603" s="109">
        <v>43740</v>
      </c>
      <c r="D6603" s="108"/>
      <c r="E6603" s="108" t="s">
        <v>14605</v>
      </c>
      <c r="F6603" s="108" t="s">
        <v>2251</v>
      </c>
      <c r="G6603" s="110"/>
      <c r="H6603" s="108" t="s">
        <v>25458</v>
      </c>
      <c r="I6603" s="108"/>
    </row>
    <row r="6604" spans="1:9">
      <c r="A6604" s="108" t="s">
        <v>466</v>
      </c>
      <c r="B6604" s="108" t="s">
        <v>2301</v>
      </c>
      <c r="C6604" s="109">
        <v>43740</v>
      </c>
      <c r="D6604" s="108"/>
      <c r="E6604" s="108" t="s">
        <v>14605</v>
      </c>
      <c r="F6604" s="108" t="s">
        <v>2251</v>
      </c>
      <c r="G6604" s="110"/>
      <c r="H6604" s="108" t="s">
        <v>25458</v>
      </c>
      <c r="I6604" s="108"/>
    </row>
    <row r="6605" spans="1:9">
      <c r="A6605" s="108" t="s">
        <v>466</v>
      </c>
      <c r="B6605" s="108" t="s">
        <v>2300</v>
      </c>
      <c r="C6605" s="109">
        <v>43740</v>
      </c>
      <c r="D6605" s="108"/>
      <c r="E6605" s="108" t="s">
        <v>14605</v>
      </c>
      <c r="F6605" s="108" t="s">
        <v>2251</v>
      </c>
      <c r="G6605" s="110"/>
      <c r="H6605" s="108" t="s">
        <v>25458</v>
      </c>
      <c r="I6605" s="108"/>
    </row>
    <row r="6606" spans="1:9" ht="27.6">
      <c r="A6606" s="108" t="s">
        <v>464</v>
      </c>
      <c r="B6606" s="108" t="s">
        <v>2299</v>
      </c>
      <c r="C6606" s="109">
        <v>43740</v>
      </c>
      <c r="D6606" s="108"/>
      <c r="E6606" s="108" t="s">
        <v>14605</v>
      </c>
      <c r="F6606" s="108" t="s">
        <v>2251</v>
      </c>
      <c r="G6606" s="110"/>
      <c r="H6606" s="108" t="s">
        <v>25458</v>
      </c>
      <c r="I6606" s="108"/>
    </row>
    <row r="6607" spans="1:9">
      <c r="A6607" s="108" t="s">
        <v>169</v>
      </c>
      <c r="B6607" s="108" t="s">
        <v>460</v>
      </c>
      <c r="C6607" s="109">
        <v>43738</v>
      </c>
      <c r="D6607" s="108"/>
      <c r="E6607" s="108" t="s">
        <v>14605</v>
      </c>
      <c r="F6607" s="108" t="s">
        <v>461</v>
      </c>
      <c r="G6607" s="110"/>
      <c r="H6607" s="108" t="s">
        <v>25458</v>
      </c>
      <c r="I6607" s="108"/>
    </row>
    <row r="6608" spans="1:9">
      <c r="A6608" s="108" t="s">
        <v>169</v>
      </c>
      <c r="B6608" s="108" t="s">
        <v>2274</v>
      </c>
      <c r="C6608" s="109">
        <v>44145</v>
      </c>
      <c r="D6608" s="108"/>
      <c r="E6608" s="108" t="s">
        <v>14605</v>
      </c>
      <c r="F6608" s="108" t="s">
        <v>2251</v>
      </c>
      <c r="G6608" s="110"/>
      <c r="H6608" s="108" t="s">
        <v>25458</v>
      </c>
      <c r="I6608" s="108"/>
    </row>
    <row r="6609" spans="1:9">
      <c r="A6609" s="108" t="s">
        <v>468</v>
      </c>
      <c r="B6609" s="108" t="s">
        <v>2298</v>
      </c>
      <c r="C6609" s="109">
        <v>44145</v>
      </c>
      <c r="D6609" s="108"/>
      <c r="E6609" s="108" t="s">
        <v>14605</v>
      </c>
      <c r="F6609" s="108" t="s">
        <v>2251</v>
      </c>
      <c r="G6609" s="110"/>
      <c r="H6609" s="108" t="s">
        <v>25458</v>
      </c>
      <c r="I6609" s="108"/>
    </row>
    <row r="6610" spans="1:9">
      <c r="A6610" s="108" t="s">
        <v>468</v>
      </c>
      <c r="B6610" s="108" t="s">
        <v>2297</v>
      </c>
      <c r="C6610" s="109">
        <v>44145</v>
      </c>
      <c r="D6610" s="108"/>
      <c r="E6610" s="108" t="s">
        <v>14605</v>
      </c>
      <c r="F6610" s="108" t="s">
        <v>2251</v>
      </c>
      <c r="G6610" s="110"/>
      <c r="H6610" s="108" t="s">
        <v>25458</v>
      </c>
      <c r="I6610" s="108"/>
    </row>
    <row r="6611" spans="1:9">
      <c r="A6611" s="108" t="s">
        <v>466</v>
      </c>
      <c r="B6611" s="108" t="s">
        <v>2296</v>
      </c>
      <c r="C6611" s="109">
        <v>44145</v>
      </c>
      <c r="D6611" s="108"/>
      <c r="E6611" s="108" t="s">
        <v>14605</v>
      </c>
      <c r="F6611" s="108" t="s">
        <v>2251</v>
      </c>
      <c r="G6611" s="110"/>
      <c r="H6611" s="108" t="s">
        <v>25458</v>
      </c>
      <c r="I6611" s="108"/>
    </row>
    <row r="6612" spans="1:9">
      <c r="A6612" s="108" t="s">
        <v>466</v>
      </c>
      <c r="B6612" s="108" t="s">
        <v>2295</v>
      </c>
      <c r="C6612" s="109">
        <v>44145</v>
      </c>
      <c r="D6612" s="108"/>
      <c r="E6612" s="108" t="s">
        <v>14605</v>
      </c>
      <c r="F6612" s="108" t="s">
        <v>2251</v>
      </c>
      <c r="G6612" s="110"/>
      <c r="H6612" s="108" t="s">
        <v>25458</v>
      </c>
      <c r="I6612" s="108"/>
    </row>
    <row r="6613" spans="1:9" ht="27.6">
      <c r="A6613" s="108" t="s">
        <v>464</v>
      </c>
      <c r="B6613" s="108" t="s">
        <v>2294</v>
      </c>
      <c r="C6613" s="109">
        <v>44145</v>
      </c>
      <c r="D6613" s="108"/>
      <c r="E6613" s="108" t="s">
        <v>14605</v>
      </c>
      <c r="F6613" s="108" t="s">
        <v>2251</v>
      </c>
      <c r="G6613" s="110"/>
      <c r="H6613" s="108" t="s">
        <v>25458</v>
      </c>
      <c r="I6613" s="108"/>
    </row>
    <row r="6614" spans="1:9">
      <c r="A6614" s="108" t="s">
        <v>169</v>
      </c>
      <c r="B6614" s="108" t="s">
        <v>25483</v>
      </c>
      <c r="C6614" s="109">
        <v>43724</v>
      </c>
      <c r="D6614" s="108"/>
      <c r="E6614" s="108" t="s">
        <v>14605</v>
      </c>
      <c r="F6614" s="108" t="s">
        <v>23092</v>
      </c>
      <c r="G6614" s="110"/>
      <c r="H6614" s="108" t="s">
        <v>25458</v>
      </c>
      <c r="I6614" s="108"/>
    </row>
    <row r="6615" spans="1:9">
      <c r="A6615" s="108" t="s">
        <v>468</v>
      </c>
      <c r="B6615" s="108" t="s">
        <v>25484</v>
      </c>
      <c r="C6615" s="109">
        <v>43724</v>
      </c>
      <c r="D6615" s="108"/>
      <c r="E6615" s="108" t="s">
        <v>14605</v>
      </c>
      <c r="F6615" s="108" t="s">
        <v>23092</v>
      </c>
      <c r="G6615" s="110"/>
      <c r="H6615" s="108" t="s">
        <v>25458</v>
      </c>
      <c r="I6615" s="108"/>
    </row>
    <row r="6616" spans="1:9">
      <c r="A6616" s="108" t="s">
        <v>468</v>
      </c>
      <c r="B6616" s="108" t="s">
        <v>25485</v>
      </c>
      <c r="C6616" s="109">
        <v>43724</v>
      </c>
      <c r="D6616" s="108"/>
      <c r="E6616" s="108" t="s">
        <v>14605</v>
      </c>
      <c r="F6616" s="108" t="s">
        <v>23092</v>
      </c>
      <c r="G6616" s="110"/>
      <c r="H6616" s="108" t="s">
        <v>25458</v>
      </c>
      <c r="I6616" s="108"/>
    </row>
    <row r="6617" spans="1:9">
      <c r="A6617" s="108" t="s">
        <v>466</v>
      </c>
      <c r="B6617" s="108" t="s">
        <v>25486</v>
      </c>
      <c r="C6617" s="109">
        <v>43724</v>
      </c>
      <c r="D6617" s="108"/>
      <c r="E6617" s="108" t="s">
        <v>14605</v>
      </c>
      <c r="F6617" s="108" t="s">
        <v>23092</v>
      </c>
      <c r="G6617" s="110"/>
      <c r="H6617" s="108" t="s">
        <v>25458</v>
      </c>
      <c r="I6617" s="108"/>
    </row>
    <row r="6618" spans="1:9">
      <c r="A6618" s="108" t="s">
        <v>466</v>
      </c>
      <c r="B6618" s="108" t="s">
        <v>25487</v>
      </c>
      <c r="C6618" s="109">
        <v>43724</v>
      </c>
      <c r="D6618" s="108"/>
      <c r="E6618" s="108" t="s">
        <v>14605</v>
      </c>
      <c r="F6618" s="108" t="s">
        <v>23092</v>
      </c>
      <c r="G6618" s="110"/>
      <c r="H6618" s="108" t="s">
        <v>25458</v>
      </c>
      <c r="I6618" s="108"/>
    </row>
    <row r="6619" spans="1:9" ht="27.6">
      <c r="A6619" s="108" t="s">
        <v>464</v>
      </c>
      <c r="B6619" s="108" t="s">
        <v>25488</v>
      </c>
      <c r="C6619" s="109">
        <v>43724</v>
      </c>
      <c r="D6619" s="108"/>
      <c r="E6619" s="108" t="s">
        <v>14605</v>
      </c>
      <c r="F6619" s="108" t="s">
        <v>23092</v>
      </c>
      <c r="G6619" s="110"/>
      <c r="H6619" s="108" t="s">
        <v>25458</v>
      </c>
      <c r="I6619" s="108"/>
    </row>
    <row r="6620" spans="1:9">
      <c r="A6620" s="108" t="s">
        <v>427</v>
      </c>
      <c r="B6620" s="108" t="s">
        <v>25489</v>
      </c>
      <c r="C6620" s="109">
        <v>43724</v>
      </c>
      <c r="D6620" s="108"/>
      <c r="E6620" s="108" t="s">
        <v>14605</v>
      </c>
      <c r="F6620" s="108" t="s">
        <v>23092</v>
      </c>
      <c r="G6620" s="110"/>
      <c r="H6620" s="108" t="s">
        <v>25458</v>
      </c>
      <c r="I6620" s="108"/>
    </row>
    <row r="6621" spans="1:9" ht="27.6">
      <c r="A6621" s="108" t="s">
        <v>169</v>
      </c>
      <c r="B6621" s="108" t="s">
        <v>772</v>
      </c>
      <c r="C6621" s="109">
        <v>43872</v>
      </c>
      <c r="D6621" s="108"/>
      <c r="E6621" s="108" t="s">
        <v>14605</v>
      </c>
      <c r="F6621" s="108" t="s">
        <v>773</v>
      </c>
      <c r="G6621" s="110"/>
      <c r="H6621" s="108" t="s">
        <v>25458</v>
      </c>
      <c r="I6621" s="108"/>
    </row>
    <row r="6622" spans="1:9" ht="27.6">
      <c r="A6622" s="108" t="s">
        <v>464</v>
      </c>
      <c r="B6622" s="108" t="s">
        <v>25490</v>
      </c>
      <c r="C6622" s="109">
        <v>44127</v>
      </c>
      <c r="D6622" s="108"/>
      <c r="E6622" s="108" t="s">
        <v>14605</v>
      </c>
      <c r="F6622" s="108" t="s">
        <v>14764</v>
      </c>
      <c r="G6622" s="110"/>
      <c r="H6622" s="108" t="s">
        <v>25458</v>
      </c>
      <c r="I6622" s="108"/>
    </row>
    <row r="6623" spans="1:9">
      <c r="A6623" s="108" t="s">
        <v>466</v>
      </c>
      <c r="B6623" s="108" t="s">
        <v>25491</v>
      </c>
      <c r="C6623" s="109">
        <v>44127</v>
      </c>
      <c r="D6623" s="108"/>
      <c r="E6623" s="108" t="s">
        <v>14605</v>
      </c>
      <c r="F6623" s="108" t="s">
        <v>14764</v>
      </c>
      <c r="G6623" s="110"/>
      <c r="H6623" s="108" t="s">
        <v>25458</v>
      </c>
      <c r="I6623" s="108"/>
    </row>
    <row r="6624" spans="1:9">
      <c r="A6624" s="108" t="s">
        <v>466</v>
      </c>
      <c r="B6624" s="108" t="s">
        <v>25492</v>
      </c>
      <c r="C6624" s="109">
        <v>44127</v>
      </c>
      <c r="D6624" s="108"/>
      <c r="E6624" s="108" t="s">
        <v>14605</v>
      </c>
      <c r="F6624" s="108" t="s">
        <v>14764</v>
      </c>
      <c r="G6624" s="110"/>
      <c r="H6624" s="108" t="s">
        <v>25458</v>
      </c>
      <c r="I6624" s="108"/>
    </row>
    <row r="6625" spans="1:9">
      <c r="A6625" s="108" t="s">
        <v>468</v>
      </c>
      <c r="B6625" s="108" t="s">
        <v>25493</v>
      </c>
      <c r="C6625" s="109">
        <v>44127</v>
      </c>
      <c r="D6625" s="108"/>
      <c r="E6625" s="108" t="s">
        <v>14605</v>
      </c>
      <c r="F6625" s="108" t="s">
        <v>14764</v>
      </c>
      <c r="G6625" s="110"/>
      <c r="H6625" s="108" t="s">
        <v>25458</v>
      </c>
      <c r="I6625" s="108"/>
    </row>
    <row r="6626" spans="1:9">
      <c r="A6626" s="108" t="s">
        <v>468</v>
      </c>
      <c r="B6626" s="108" t="s">
        <v>25494</v>
      </c>
      <c r="C6626" s="109">
        <v>44127</v>
      </c>
      <c r="D6626" s="108"/>
      <c r="E6626" s="108" t="s">
        <v>14605</v>
      </c>
      <c r="F6626" s="108" t="s">
        <v>14764</v>
      </c>
      <c r="G6626" s="110"/>
      <c r="H6626" s="108" t="s">
        <v>25458</v>
      </c>
      <c r="I6626" s="108"/>
    </row>
    <row r="6627" spans="1:9">
      <c r="A6627" s="108" t="s">
        <v>169</v>
      </c>
      <c r="B6627" s="108" t="s">
        <v>1713</v>
      </c>
      <c r="C6627" s="109">
        <v>43934</v>
      </c>
      <c r="D6627" s="108"/>
      <c r="E6627" s="108" t="s">
        <v>14605</v>
      </c>
      <c r="F6627" s="108" t="s">
        <v>1714</v>
      </c>
      <c r="G6627" s="110"/>
      <c r="H6627" s="108" t="s">
        <v>25458</v>
      </c>
      <c r="I6627" s="108"/>
    </row>
    <row r="6628" spans="1:9">
      <c r="A6628" s="108" t="s">
        <v>169</v>
      </c>
      <c r="B6628" s="108" t="s">
        <v>807</v>
      </c>
      <c r="C6628" s="109">
        <v>43969</v>
      </c>
      <c r="D6628" s="108"/>
      <c r="E6628" s="108" t="s">
        <v>14605</v>
      </c>
      <c r="F6628" s="108" t="s">
        <v>801</v>
      </c>
      <c r="G6628" s="110"/>
      <c r="H6628" s="108" t="s">
        <v>25458</v>
      </c>
      <c r="I6628" s="108"/>
    </row>
    <row r="6629" spans="1:9">
      <c r="A6629" s="108" t="s">
        <v>169</v>
      </c>
      <c r="B6629" s="108" t="s">
        <v>1735</v>
      </c>
      <c r="C6629" s="109">
        <v>44132</v>
      </c>
      <c r="D6629" s="108"/>
      <c r="E6629" s="108" t="s">
        <v>14605</v>
      </c>
      <c r="F6629" s="108" t="s">
        <v>1736</v>
      </c>
      <c r="G6629" s="110"/>
      <c r="H6629" s="108" t="s">
        <v>25458</v>
      </c>
      <c r="I6629" s="108"/>
    </row>
    <row r="6630" spans="1:9">
      <c r="A6630" s="108" t="s">
        <v>169</v>
      </c>
      <c r="B6630" s="108" t="s">
        <v>2884</v>
      </c>
      <c r="C6630" s="109">
        <v>44132</v>
      </c>
      <c r="D6630" s="108"/>
      <c r="E6630" s="108" t="s">
        <v>14605</v>
      </c>
      <c r="F6630" s="108" t="s">
        <v>2853</v>
      </c>
      <c r="G6630" s="110"/>
      <c r="H6630" s="108" t="s">
        <v>25458</v>
      </c>
      <c r="I6630" s="108"/>
    </row>
    <row r="6631" spans="1:9">
      <c r="A6631" s="108" t="s">
        <v>169</v>
      </c>
      <c r="B6631" s="108" t="s">
        <v>5216</v>
      </c>
      <c r="C6631" s="109">
        <v>44132</v>
      </c>
      <c r="D6631" s="108"/>
      <c r="E6631" s="108" t="s">
        <v>14605</v>
      </c>
      <c r="F6631" s="108" t="s">
        <v>5145</v>
      </c>
      <c r="G6631" s="110"/>
      <c r="H6631" s="108" t="s">
        <v>25458</v>
      </c>
      <c r="I6631" s="108"/>
    </row>
    <row r="6632" spans="1:9" ht="27.6">
      <c r="A6632" s="108" t="s">
        <v>87</v>
      </c>
      <c r="B6632" s="108" t="s">
        <v>1497</v>
      </c>
      <c r="C6632" s="109">
        <v>42040</v>
      </c>
      <c r="D6632" s="108"/>
      <c r="E6632" s="108" t="s">
        <v>14605</v>
      </c>
      <c r="F6632" s="108" t="s">
        <v>1496</v>
      </c>
      <c r="G6632" s="110"/>
      <c r="H6632" s="108" t="s">
        <v>25458</v>
      </c>
      <c r="I6632" s="108"/>
    </row>
    <row r="6633" spans="1:9" ht="27.6">
      <c r="A6633" s="108" t="s">
        <v>87</v>
      </c>
      <c r="B6633" s="108" t="s">
        <v>4654</v>
      </c>
      <c r="C6633" s="109">
        <v>42079</v>
      </c>
      <c r="D6633" s="108"/>
      <c r="E6633" s="108" t="s">
        <v>14605</v>
      </c>
      <c r="F6633" s="108" t="s">
        <v>4638</v>
      </c>
      <c r="G6633" s="110"/>
      <c r="H6633" s="108" t="s">
        <v>25458</v>
      </c>
      <c r="I6633" s="108"/>
    </row>
    <row r="6634" spans="1:9" ht="27.6">
      <c r="A6634" s="108" t="s">
        <v>87</v>
      </c>
      <c r="B6634" s="108" t="s">
        <v>5271</v>
      </c>
      <c r="C6634" s="109">
        <v>42066</v>
      </c>
      <c r="D6634" s="108"/>
      <c r="E6634" s="108" t="s">
        <v>14605</v>
      </c>
      <c r="F6634" s="108" t="s">
        <v>5272</v>
      </c>
      <c r="G6634" s="110"/>
      <c r="H6634" s="108" t="s">
        <v>25458</v>
      </c>
      <c r="I6634" s="108"/>
    </row>
    <row r="6635" spans="1:9" ht="27.6">
      <c r="A6635" s="108" t="s">
        <v>87</v>
      </c>
      <c r="B6635" s="108" t="s">
        <v>4653</v>
      </c>
      <c r="C6635" s="109">
        <v>42143</v>
      </c>
      <c r="D6635" s="108"/>
      <c r="E6635" s="108" t="s">
        <v>14605</v>
      </c>
      <c r="F6635" s="108" t="s">
        <v>4638</v>
      </c>
      <c r="G6635" s="110"/>
      <c r="H6635" s="108" t="s">
        <v>25458</v>
      </c>
      <c r="I6635" s="108"/>
    </row>
    <row r="6636" spans="1:9">
      <c r="A6636" s="108" t="s">
        <v>87</v>
      </c>
      <c r="B6636" s="108" t="s">
        <v>4138</v>
      </c>
      <c r="C6636" s="109">
        <v>42130</v>
      </c>
      <c r="D6636" s="108"/>
      <c r="E6636" s="108" t="s">
        <v>14605</v>
      </c>
      <c r="F6636" s="108" t="s">
        <v>4130</v>
      </c>
      <c r="G6636" s="110"/>
      <c r="H6636" s="108" t="s">
        <v>25458</v>
      </c>
      <c r="I6636" s="108"/>
    </row>
    <row r="6637" spans="1:9">
      <c r="A6637" s="108" t="s">
        <v>87</v>
      </c>
      <c r="B6637" s="108" t="s">
        <v>3266</v>
      </c>
      <c r="C6637" s="109">
        <v>42192</v>
      </c>
      <c r="D6637" s="108"/>
      <c r="E6637" s="108" t="s">
        <v>14605</v>
      </c>
      <c r="F6637" s="108" t="s">
        <v>3264</v>
      </c>
      <c r="G6637" s="110"/>
      <c r="H6637" s="108" t="s">
        <v>25458</v>
      </c>
      <c r="I6637" s="108"/>
    </row>
    <row r="6638" spans="1:9">
      <c r="A6638" s="108" t="s">
        <v>87</v>
      </c>
      <c r="B6638" s="108" t="s">
        <v>2642</v>
      </c>
      <c r="C6638" s="109">
        <v>42186</v>
      </c>
      <c r="D6638" s="108"/>
      <c r="E6638" s="108" t="s">
        <v>14605</v>
      </c>
      <c r="F6638" s="108" t="s">
        <v>2622</v>
      </c>
      <c r="G6638" s="110"/>
      <c r="H6638" s="108" t="s">
        <v>25458</v>
      </c>
      <c r="I6638" s="108"/>
    </row>
    <row r="6639" spans="1:9">
      <c r="A6639" s="108" t="s">
        <v>87</v>
      </c>
      <c r="B6639" s="108" t="s">
        <v>3265</v>
      </c>
      <c r="C6639" s="109">
        <v>42192</v>
      </c>
      <c r="D6639" s="108"/>
      <c r="E6639" s="108" t="s">
        <v>14605</v>
      </c>
      <c r="F6639" s="108" t="s">
        <v>3264</v>
      </c>
      <c r="G6639" s="110"/>
      <c r="H6639" s="108" t="s">
        <v>25458</v>
      </c>
      <c r="I6639" s="108"/>
    </row>
    <row r="6640" spans="1:9">
      <c r="A6640" s="108" t="s">
        <v>87</v>
      </c>
      <c r="B6640" s="108" t="s">
        <v>478</v>
      </c>
      <c r="C6640" s="109">
        <v>42240</v>
      </c>
      <c r="D6640" s="108"/>
      <c r="E6640" s="108" t="s">
        <v>14605</v>
      </c>
      <c r="F6640" s="108" t="s">
        <v>476</v>
      </c>
      <c r="G6640" s="110"/>
      <c r="H6640" s="108" t="s">
        <v>25458</v>
      </c>
      <c r="I6640" s="108"/>
    </row>
    <row r="6641" spans="1:9" ht="27.6">
      <c r="A6641" s="108" t="s">
        <v>316</v>
      </c>
      <c r="B6641" s="108" t="s">
        <v>4652</v>
      </c>
      <c r="C6641" s="109">
        <v>42256</v>
      </c>
      <c r="D6641" s="108"/>
      <c r="E6641" s="108" t="s">
        <v>14605</v>
      </c>
      <c r="F6641" s="108" t="s">
        <v>4638</v>
      </c>
      <c r="G6641" s="110"/>
      <c r="H6641" s="108" t="s">
        <v>25458</v>
      </c>
      <c r="I6641" s="108"/>
    </row>
    <row r="6642" spans="1:9">
      <c r="A6642" s="108" t="s">
        <v>316</v>
      </c>
      <c r="B6642" s="108" t="s">
        <v>25495</v>
      </c>
      <c r="C6642" s="109">
        <v>42262</v>
      </c>
      <c r="D6642" s="108"/>
      <c r="E6642" s="108" t="s">
        <v>14605</v>
      </c>
      <c r="F6642" s="108" t="s">
        <v>14746</v>
      </c>
      <c r="G6642" s="110"/>
      <c r="H6642" s="108" t="s">
        <v>25458</v>
      </c>
      <c r="I6642" s="108"/>
    </row>
    <row r="6643" spans="1:9">
      <c r="A6643" s="108" t="s">
        <v>87</v>
      </c>
      <c r="B6643" s="108" t="s">
        <v>4009</v>
      </c>
      <c r="C6643" s="109">
        <v>42278</v>
      </c>
      <c r="D6643" s="108"/>
      <c r="E6643" s="108" t="s">
        <v>14605</v>
      </c>
      <c r="F6643" s="108" t="s">
        <v>4005</v>
      </c>
      <c r="G6643" s="110"/>
      <c r="H6643" s="108" t="s">
        <v>25458</v>
      </c>
      <c r="I6643" s="108"/>
    </row>
    <row r="6644" spans="1:9">
      <c r="A6644" s="108" t="s">
        <v>87</v>
      </c>
      <c r="B6644" s="108" t="s">
        <v>4722</v>
      </c>
      <c r="C6644" s="109">
        <v>42293</v>
      </c>
      <c r="D6644" s="108"/>
      <c r="E6644" s="108" t="s">
        <v>14605</v>
      </c>
      <c r="F6644" s="108" t="s">
        <v>4702</v>
      </c>
      <c r="G6644" s="110"/>
      <c r="H6644" s="108" t="s">
        <v>25458</v>
      </c>
      <c r="I6644" s="108"/>
    </row>
    <row r="6645" spans="1:9" ht="27.6">
      <c r="A6645" s="108" t="s">
        <v>87</v>
      </c>
      <c r="B6645" s="108" t="s">
        <v>2993</v>
      </c>
      <c r="C6645" s="109">
        <v>42457</v>
      </c>
      <c r="D6645" s="108"/>
      <c r="E6645" s="108" t="s">
        <v>14605</v>
      </c>
      <c r="F6645" s="108" t="s">
        <v>16249</v>
      </c>
      <c r="G6645" s="110"/>
      <c r="H6645" s="108" t="s">
        <v>25458</v>
      </c>
      <c r="I6645" s="108"/>
    </row>
    <row r="6646" spans="1:9">
      <c r="A6646" s="108" t="s">
        <v>87</v>
      </c>
      <c r="B6646" s="108" t="s">
        <v>2057</v>
      </c>
      <c r="C6646" s="109">
        <v>42480</v>
      </c>
      <c r="D6646" s="108"/>
      <c r="E6646" s="108" t="s">
        <v>14605</v>
      </c>
      <c r="F6646" s="108" t="s">
        <v>2058</v>
      </c>
      <c r="G6646" s="110"/>
      <c r="H6646" s="108" t="s">
        <v>25458</v>
      </c>
      <c r="I6646" s="108"/>
    </row>
    <row r="6647" spans="1:9">
      <c r="A6647" s="108" t="s">
        <v>87</v>
      </c>
      <c r="B6647" s="108" t="s">
        <v>4721</v>
      </c>
      <c r="C6647" s="109">
        <v>42495</v>
      </c>
      <c r="D6647" s="108"/>
      <c r="E6647" s="108" t="s">
        <v>14605</v>
      </c>
      <c r="F6647" s="108" t="s">
        <v>4702</v>
      </c>
      <c r="G6647" s="110"/>
      <c r="H6647" s="108" t="s">
        <v>25458</v>
      </c>
      <c r="I6647" s="108"/>
    </row>
    <row r="6648" spans="1:9">
      <c r="A6648" s="108" t="s">
        <v>316</v>
      </c>
      <c r="B6648" s="108" t="s">
        <v>4720</v>
      </c>
      <c r="C6648" s="109">
        <v>42543</v>
      </c>
      <c r="D6648" s="108"/>
      <c r="E6648" s="108" t="s">
        <v>14605</v>
      </c>
      <c r="F6648" s="108" t="s">
        <v>4702</v>
      </c>
      <c r="G6648" s="110"/>
      <c r="H6648" s="108" t="s">
        <v>25458</v>
      </c>
      <c r="I6648" s="108"/>
    </row>
    <row r="6649" spans="1:9">
      <c r="A6649" s="108" t="s">
        <v>87</v>
      </c>
      <c r="B6649" s="108" t="s">
        <v>3423</v>
      </c>
      <c r="C6649" s="109">
        <v>42727</v>
      </c>
      <c r="D6649" s="108"/>
      <c r="E6649" s="108" t="s">
        <v>14605</v>
      </c>
      <c r="F6649" s="108" t="s">
        <v>3424</v>
      </c>
      <c r="G6649" s="110"/>
      <c r="H6649" s="108" t="s">
        <v>25458</v>
      </c>
      <c r="I6649" s="108"/>
    </row>
    <row r="6650" spans="1:9">
      <c r="A6650" s="108" t="s">
        <v>87</v>
      </c>
      <c r="B6650" s="108" t="s">
        <v>313</v>
      </c>
      <c r="C6650" s="109">
        <v>42720</v>
      </c>
      <c r="D6650" s="108"/>
      <c r="E6650" s="108" t="s">
        <v>14605</v>
      </c>
      <c r="F6650" s="108" t="s">
        <v>314</v>
      </c>
      <c r="G6650" s="110"/>
      <c r="H6650" s="108" t="s">
        <v>25458</v>
      </c>
      <c r="I6650" s="108"/>
    </row>
    <row r="6651" spans="1:9">
      <c r="A6651" s="108" t="s">
        <v>316</v>
      </c>
      <c r="B6651" s="108" t="s">
        <v>4309</v>
      </c>
      <c r="C6651" s="109">
        <v>42754</v>
      </c>
      <c r="D6651" s="108"/>
      <c r="E6651" s="108" t="s">
        <v>14605</v>
      </c>
      <c r="F6651" s="108" t="s">
        <v>25496</v>
      </c>
      <c r="G6651" s="110"/>
      <c r="H6651" s="108" t="s">
        <v>25458</v>
      </c>
      <c r="I6651" s="108"/>
    </row>
    <row r="6652" spans="1:9" ht="27.6">
      <c r="A6652" s="108" t="s">
        <v>87</v>
      </c>
      <c r="B6652" s="108" t="s">
        <v>4269</v>
      </c>
      <c r="C6652" s="109">
        <v>42752</v>
      </c>
      <c r="D6652" s="108"/>
      <c r="E6652" s="108" t="s">
        <v>14605</v>
      </c>
      <c r="F6652" s="108" t="s">
        <v>4260</v>
      </c>
      <c r="G6652" s="110"/>
      <c r="H6652" s="108" t="s">
        <v>25458</v>
      </c>
      <c r="I6652" s="108"/>
    </row>
    <row r="6653" spans="1:9">
      <c r="A6653" s="108" t="s">
        <v>87</v>
      </c>
      <c r="B6653" s="108" t="s">
        <v>2053</v>
      </c>
      <c r="C6653" s="109">
        <v>42797</v>
      </c>
      <c r="D6653" s="108"/>
      <c r="E6653" s="108" t="s">
        <v>14605</v>
      </c>
      <c r="F6653" s="108" t="s">
        <v>2049</v>
      </c>
      <c r="G6653" s="110"/>
      <c r="H6653" s="108" t="s">
        <v>25458</v>
      </c>
      <c r="I6653" s="108"/>
    </row>
    <row r="6654" spans="1:9">
      <c r="A6654" s="108" t="s">
        <v>87</v>
      </c>
      <c r="B6654" s="108" t="s">
        <v>5251</v>
      </c>
      <c r="C6654" s="109">
        <v>42824</v>
      </c>
      <c r="D6654" s="108"/>
      <c r="E6654" s="108" t="s">
        <v>14605</v>
      </c>
      <c r="F6654" s="108" t="s">
        <v>5248</v>
      </c>
      <c r="G6654" s="110"/>
      <c r="H6654" s="108" t="s">
        <v>25458</v>
      </c>
      <c r="I6654" s="108"/>
    </row>
    <row r="6655" spans="1:9">
      <c r="A6655" s="108" t="s">
        <v>87</v>
      </c>
      <c r="B6655" s="108" t="s">
        <v>2722</v>
      </c>
      <c r="C6655" s="109">
        <v>43060</v>
      </c>
      <c r="D6655" s="108"/>
      <c r="E6655" s="108" t="s">
        <v>14605</v>
      </c>
      <c r="F6655" s="108" t="s">
        <v>2694</v>
      </c>
      <c r="G6655" s="110"/>
      <c r="H6655" s="108" t="s">
        <v>25458</v>
      </c>
      <c r="I6655" s="108"/>
    </row>
    <row r="6656" spans="1:9">
      <c r="A6656" s="108" t="s">
        <v>87</v>
      </c>
      <c r="B6656" s="108" t="s">
        <v>2105</v>
      </c>
      <c r="C6656" s="109">
        <v>42879</v>
      </c>
      <c r="D6656" s="108"/>
      <c r="E6656" s="108" t="s">
        <v>14605</v>
      </c>
      <c r="F6656" s="108" t="s">
        <v>25497</v>
      </c>
      <c r="G6656" s="110"/>
      <c r="H6656" s="108" t="s">
        <v>25458</v>
      </c>
      <c r="I6656" s="108"/>
    </row>
    <row r="6657" spans="1:9">
      <c r="A6657" s="108" t="s">
        <v>316</v>
      </c>
      <c r="B6657" s="108" t="s">
        <v>2061</v>
      </c>
      <c r="C6657" s="109">
        <v>42996</v>
      </c>
      <c r="D6657" s="108"/>
      <c r="E6657" s="108" t="s">
        <v>14605</v>
      </c>
      <c r="F6657" s="108" t="s">
        <v>2062</v>
      </c>
      <c r="G6657" s="110"/>
      <c r="H6657" s="108" t="s">
        <v>25458</v>
      </c>
      <c r="I6657" s="108"/>
    </row>
    <row r="6658" spans="1:9">
      <c r="A6658" s="108" t="s">
        <v>87</v>
      </c>
      <c r="B6658" s="108" t="s">
        <v>288</v>
      </c>
      <c r="C6658" s="109">
        <v>42919</v>
      </c>
      <c r="D6658" s="108"/>
      <c r="E6658" s="108" t="s">
        <v>14605</v>
      </c>
      <c r="F6658" s="108" t="s">
        <v>286</v>
      </c>
      <c r="G6658" s="110"/>
      <c r="H6658" s="108" t="s">
        <v>25458</v>
      </c>
      <c r="I6658" s="108"/>
    </row>
    <row r="6659" spans="1:9">
      <c r="A6659" s="108" t="s">
        <v>316</v>
      </c>
      <c r="B6659" s="108" t="s">
        <v>4158</v>
      </c>
      <c r="C6659" s="109">
        <v>43039</v>
      </c>
      <c r="D6659" s="108"/>
      <c r="E6659" s="108" t="s">
        <v>14605</v>
      </c>
      <c r="F6659" s="108" t="s">
        <v>4151</v>
      </c>
      <c r="G6659" s="110"/>
      <c r="H6659" s="108" t="s">
        <v>25458</v>
      </c>
      <c r="I6659" s="108"/>
    </row>
    <row r="6660" spans="1:9">
      <c r="A6660" s="108" t="s">
        <v>87</v>
      </c>
      <c r="B6660" s="108" t="s">
        <v>4308</v>
      </c>
      <c r="C6660" s="109">
        <v>43095</v>
      </c>
      <c r="D6660" s="108"/>
      <c r="E6660" s="108" t="s">
        <v>14605</v>
      </c>
      <c r="F6660" s="108" t="s">
        <v>4307</v>
      </c>
      <c r="G6660" s="110"/>
      <c r="H6660" s="108" t="s">
        <v>25458</v>
      </c>
      <c r="I6660" s="108"/>
    </row>
    <row r="6661" spans="1:9">
      <c r="A6661" s="108" t="s">
        <v>87</v>
      </c>
      <c r="B6661" s="108" t="s">
        <v>4086</v>
      </c>
      <c r="C6661" s="109">
        <v>43175</v>
      </c>
      <c r="D6661" s="108"/>
      <c r="E6661" s="108" t="s">
        <v>14605</v>
      </c>
      <c r="F6661" s="108" t="s">
        <v>4074</v>
      </c>
      <c r="G6661" s="110"/>
      <c r="H6661" s="108" t="s">
        <v>25458</v>
      </c>
      <c r="I6661" s="108"/>
    </row>
    <row r="6662" spans="1:9">
      <c r="A6662" s="108" t="s">
        <v>87</v>
      </c>
      <c r="B6662" s="108" t="s">
        <v>590</v>
      </c>
      <c r="C6662" s="109">
        <v>43237</v>
      </c>
      <c r="D6662" s="108"/>
      <c r="E6662" s="108" t="s">
        <v>14605</v>
      </c>
      <c r="F6662" s="108" t="s">
        <v>591</v>
      </c>
      <c r="G6662" s="110"/>
      <c r="H6662" s="108" t="s">
        <v>25458</v>
      </c>
      <c r="I6662" s="108"/>
    </row>
    <row r="6663" spans="1:9">
      <c r="A6663" s="108" t="s">
        <v>87</v>
      </c>
      <c r="B6663" s="108" t="s">
        <v>2641</v>
      </c>
      <c r="C6663" s="109">
        <v>43279</v>
      </c>
      <c r="D6663" s="108"/>
      <c r="E6663" s="108" t="s">
        <v>14605</v>
      </c>
      <c r="F6663" s="108" t="s">
        <v>2622</v>
      </c>
      <c r="G6663" s="110"/>
      <c r="H6663" s="108" t="s">
        <v>25458</v>
      </c>
      <c r="I6663" s="108"/>
    </row>
    <row r="6664" spans="1:9">
      <c r="A6664" s="108" t="s">
        <v>87</v>
      </c>
      <c r="B6664" s="108" t="s">
        <v>85</v>
      </c>
      <c r="C6664" s="109">
        <v>43371</v>
      </c>
      <c r="D6664" s="108"/>
      <c r="E6664" s="108" t="s">
        <v>14605</v>
      </c>
      <c r="F6664" s="108" t="s">
        <v>86</v>
      </c>
      <c r="G6664" s="110"/>
      <c r="H6664" s="108" t="s">
        <v>25458</v>
      </c>
      <c r="I6664" s="108"/>
    </row>
    <row r="6665" spans="1:9">
      <c r="A6665" s="108" t="s">
        <v>87</v>
      </c>
      <c r="B6665" s="108" t="s">
        <v>1057</v>
      </c>
      <c r="C6665" s="109">
        <v>43411</v>
      </c>
      <c r="D6665" s="108"/>
      <c r="E6665" s="108" t="s">
        <v>14605</v>
      </c>
      <c r="F6665" s="108" t="s">
        <v>1053</v>
      </c>
      <c r="G6665" s="110"/>
      <c r="H6665" s="108" t="s">
        <v>25458</v>
      </c>
      <c r="I6665" s="108"/>
    </row>
    <row r="6666" spans="1:9">
      <c r="A6666" s="108" t="s">
        <v>87</v>
      </c>
      <c r="B6666" s="108" t="s">
        <v>200</v>
      </c>
      <c r="C6666" s="109">
        <v>43433</v>
      </c>
      <c r="D6666" s="108"/>
      <c r="E6666" s="108" t="s">
        <v>14605</v>
      </c>
      <c r="F6666" s="108" t="s">
        <v>201</v>
      </c>
      <c r="G6666" s="110"/>
      <c r="H6666" s="108" t="s">
        <v>25458</v>
      </c>
      <c r="I6666" s="108"/>
    </row>
    <row r="6667" spans="1:9">
      <c r="A6667" s="108" t="s">
        <v>87</v>
      </c>
      <c r="B6667" s="108" t="s">
        <v>588</v>
      </c>
      <c r="C6667" s="109">
        <v>43491</v>
      </c>
      <c r="D6667" s="108"/>
      <c r="E6667" s="108" t="s">
        <v>14605</v>
      </c>
      <c r="F6667" s="108" t="s">
        <v>589</v>
      </c>
      <c r="G6667" s="110"/>
      <c r="H6667" s="108" t="s">
        <v>25458</v>
      </c>
      <c r="I6667" s="108"/>
    </row>
    <row r="6668" spans="1:9">
      <c r="A6668" s="108" t="s">
        <v>87</v>
      </c>
      <c r="B6668" s="108" t="s">
        <v>1326</v>
      </c>
      <c r="C6668" s="109">
        <v>43559</v>
      </c>
      <c r="D6668" s="108"/>
      <c r="E6668" s="108" t="s">
        <v>14605</v>
      </c>
      <c r="F6668" s="108" t="s">
        <v>1327</v>
      </c>
      <c r="G6668" s="110"/>
      <c r="H6668" s="108" t="s">
        <v>25458</v>
      </c>
      <c r="I6668" s="108"/>
    </row>
    <row r="6669" spans="1:9" ht="27.6">
      <c r="A6669" s="108" t="s">
        <v>87</v>
      </c>
      <c r="B6669" s="108" t="s">
        <v>1495</v>
      </c>
      <c r="C6669" s="109">
        <v>43581</v>
      </c>
      <c r="D6669" s="108"/>
      <c r="E6669" s="108" t="s">
        <v>14605</v>
      </c>
      <c r="F6669" s="108" t="s">
        <v>1496</v>
      </c>
      <c r="G6669" s="110"/>
      <c r="H6669" s="108" t="s">
        <v>25458</v>
      </c>
      <c r="I6669" s="108"/>
    </row>
    <row r="6670" spans="1:9">
      <c r="A6670" s="108" t="s">
        <v>87</v>
      </c>
      <c r="B6670" s="108" t="s">
        <v>2640</v>
      </c>
      <c r="C6670" s="109">
        <v>43581</v>
      </c>
      <c r="D6670" s="108"/>
      <c r="E6670" s="108" t="s">
        <v>14605</v>
      </c>
      <c r="F6670" s="108" t="s">
        <v>2622</v>
      </c>
      <c r="G6670" s="110"/>
      <c r="H6670" s="108" t="s">
        <v>25458</v>
      </c>
      <c r="I6670" s="108"/>
    </row>
    <row r="6671" spans="1:9">
      <c r="A6671" s="108" t="s">
        <v>87</v>
      </c>
      <c r="B6671" s="108" t="s">
        <v>1056</v>
      </c>
      <c r="C6671" s="109">
        <v>43642</v>
      </c>
      <c r="D6671" s="108"/>
      <c r="E6671" s="108" t="s">
        <v>14605</v>
      </c>
      <c r="F6671" s="108" t="s">
        <v>1053</v>
      </c>
      <c r="G6671" s="110"/>
      <c r="H6671" s="108" t="s">
        <v>25458</v>
      </c>
      <c r="I6671" s="108"/>
    </row>
    <row r="6672" spans="1:9">
      <c r="A6672" s="108" t="s">
        <v>87</v>
      </c>
      <c r="B6672" s="108" t="s">
        <v>2273</v>
      </c>
      <c r="C6672" s="109">
        <v>43900</v>
      </c>
      <c r="D6672" s="108"/>
      <c r="E6672" s="108" t="s">
        <v>14605</v>
      </c>
      <c r="F6672" s="108" t="s">
        <v>2251</v>
      </c>
      <c r="G6672" s="110"/>
      <c r="H6672" s="108" t="s">
        <v>25458</v>
      </c>
      <c r="I6672" s="108"/>
    </row>
    <row r="6673" spans="1:9" ht="27.6">
      <c r="A6673" s="108" t="s">
        <v>14690</v>
      </c>
      <c r="B6673" s="108" t="s">
        <v>2035</v>
      </c>
      <c r="C6673" s="109">
        <v>42129</v>
      </c>
      <c r="D6673" s="108"/>
      <c r="E6673" s="108" t="s">
        <v>14605</v>
      </c>
      <c r="F6673" s="108" t="s">
        <v>2013</v>
      </c>
      <c r="G6673" s="110"/>
      <c r="H6673" s="108" t="s">
        <v>25458</v>
      </c>
      <c r="I6673" s="108"/>
    </row>
    <row r="6674" spans="1:9" ht="27.6">
      <c r="A6674" s="108" t="s">
        <v>14690</v>
      </c>
      <c r="B6674" s="108" t="s">
        <v>4465</v>
      </c>
      <c r="C6674" s="109">
        <v>42067</v>
      </c>
      <c r="D6674" s="108"/>
      <c r="E6674" s="108" t="s">
        <v>14605</v>
      </c>
      <c r="F6674" s="108" t="s">
        <v>4448</v>
      </c>
      <c r="G6674" s="110"/>
      <c r="H6674" s="108" t="s">
        <v>25458</v>
      </c>
      <c r="I6674" s="108"/>
    </row>
    <row r="6675" spans="1:9" ht="27.6">
      <c r="A6675" s="108" t="s">
        <v>14690</v>
      </c>
      <c r="B6675" s="108" t="s">
        <v>2414</v>
      </c>
      <c r="C6675" s="109">
        <v>42062</v>
      </c>
      <c r="D6675" s="108"/>
      <c r="E6675" s="108" t="s">
        <v>14605</v>
      </c>
      <c r="F6675" s="108" t="s">
        <v>2415</v>
      </c>
      <c r="G6675" s="110"/>
      <c r="H6675" s="108" t="s">
        <v>25458</v>
      </c>
      <c r="I6675" s="108"/>
    </row>
    <row r="6676" spans="1:9" ht="27.6">
      <c r="A6676" s="108" t="s">
        <v>14690</v>
      </c>
      <c r="B6676" s="108" t="s">
        <v>4651</v>
      </c>
      <c r="C6676" s="109">
        <v>42102</v>
      </c>
      <c r="D6676" s="108"/>
      <c r="E6676" s="108" t="s">
        <v>14605</v>
      </c>
      <c r="F6676" s="108" t="s">
        <v>4638</v>
      </c>
      <c r="G6676" s="110"/>
      <c r="H6676" s="108" t="s">
        <v>25458</v>
      </c>
      <c r="I6676" s="108"/>
    </row>
    <row r="6677" spans="1:9" ht="27.6">
      <c r="A6677" s="108" t="s">
        <v>14690</v>
      </c>
      <c r="B6677" s="108" t="s">
        <v>2586</v>
      </c>
      <c r="C6677" s="109">
        <v>42145</v>
      </c>
      <c r="D6677" s="108"/>
      <c r="E6677" s="108" t="s">
        <v>14605</v>
      </c>
      <c r="F6677" s="108" t="s">
        <v>2552</v>
      </c>
      <c r="G6677" s="110"/>
      <c r="H6677" s="108" t="s">
        <v>25458</v>
      </c>
      <c r="I6677" s="108"/>
    </row>
    <row r="6678" spans="1:9" ht="27.6">
      <c r="A6678" s="108" t="s">
        <v>14690</v>
      </c>
      <c r="B6678" s="108" t="s">
        <v>1332</v>
      </c>
      <c r="C6678" s="109">
        <v>42138</v>
      </c>
      <c r="D6678" s="108"/>
      <c r="E6678" s="108" t="s">
        <v>14605</v>
      </c>
      <c r="F6678" s="108" t="s">
        <v>1329</v>
      </c>
      <c r="G6678" s="110"/>
      <c r="H6678" s="108" t="s">
        <v>25458</v>
      </c>
      <c r="I6678" s="108"/>
    </row>
    <row r="6679" spans="1:9" ht="27.6">
      <c r="A6679" s="108" t="s">
        <v>14690</v>
      </c>
      <c r="B6679" s="108" t="s">
        <v>2689</v>
      </c>
      <c r="C6679" s="109">
        <v>42157</v>
      </c>
      <c r="D6679" s="108"/>
      <c r="E6679" s="108" t="s">
        <v>14605</v>
      </c>
      <c r="F6679" s="108" t="s">
        <v>2687</v>
      </c>
      <c r="G6679" s="110"/>
      <c r="H6679" s="108" t="s">
        <v>25458</v>
      </c>
      <c r="I6679" s="108"/>
    </row>
    <row r="6680" spans="1:9" ht="27.6">
      <c r="A6680" s="108" t="s">
        <v>14690</v>
      </c>
      <c r="B6680" s="108" t="s">
        <v>2078</v>
      </c>
      <c r="C6680" s="109">
        <v>42165</v>
      </c>
      <c r="D6680" s="108"/>
      <c r="E6680" s="108" t="s">
        <v>14605</v>
      </c>
      <c r="F6680" s="108" t="s">
        <v>2079</v>
      </c>
      <c r="G6680" s="110"/>
      <c r="H6680" s="108" t="s">
        <v>25458</v>
      </c>
      <c r="I6680" s="108"/>
    </row>
    <row r="6681" spans="1:9" ht="27.6">
      <c r="A6681" s="108" t="s">
        <v>14690</v>
      </c>
      <c r="B6681" s="108" t="s">
        <v>881</v>
      </c>
      <c r="C6681" s="109">
        <v>42173</v>
      </c>
      <c r="D6681" s="108"/>
      <c r="E6681" s="108" t="s">
        <v>14605</v>
      </c>
      <c r="F6681" s="108" t="s">
        <v>882</v>
      </c>
      <c r="G6681" s="110"/>
      <c r="H6681" s="108" t="s">
        <v>25458</v>
      </c>
      <c r="I6681" s="108"/>
    </row>
    <row r="6682" spans="1:9" ht="27.6">
      <c r="A6682" s="108" t="s">
        <v>14690</v>
      </c>
      <c r="B6682" s="108" t="s">
        <v>168</v>
      </c>
      <c r="C6682" s="109">
        <v>42177</v>
      </c>
      <c r="D6682" s="108"/>
      <c r="E6682" s="108" t="s">
        <v>14605</v>
      </c>
      <c r="F6682" s="108" t="s">
        <v>162</v>
      </c>
      <c r="G6682" s="110"/>
      <c r="H6682" s="108" t="s">
        <v>25458</v>
      </c>
      <c r="I6682" s="108"/>
    </row>
    <row r="6683" spans="1:9" ht="27.6">
      <c r="A6683" s="108" t="s">
        <v>14690</v>
      </c>
      <c r="B6683" s="108" t="s">
        <v>2513</v>
      </c>
      <c r="C6683" s="109">
        <v>42191</v>
      </c>
      <c r="D6683" s="108"/>
      <c r="E6683" s="108" t="s">
        <v>14605</v>
      </c>
      <c r="F6683" s="108" t="s">
        <v>2514</v>
      </c>
      <c r="G6683" s="110"/>
      <c r="H6683" s="108" t="s">
        <v>25458</v>
      </c>
      <c r="I6683" s="108"/>
    </row>
    <row r="6684" spans="1:9" ht="27.6">
      <c r="A6684" s="108" t="s">
        <v>14690</v>
      </c>
      <c r="B6684" s="108" t="s">
        <v>4952</v>
      </c>
      <c r="C6684" s="109">
        <v>42248</v>
      </c>
      <c r="D6684" s="108"/>
      <c r="E6684" s="108" t="s">
        <v>14605</v>
      </c>
      <c r="F6684" s="108" t="s">
        <v>4947</v>
      </c>
      <c r="G6684" s="110"/>
      <c r="H6684" s="108" t="s">
        <v>25458</v>
      </c>
      <c r="I6684" s="108"/>
    </row>
    <row r="6685" spans="1:9" ht="27.6">
      <c r="A6685" s="108" t="s">
        <v>14690</v>
      </c>
      <c r="B6685" s="108" t="s">
        <v>4945</v>
      </c>
      <c r="C6685" s="109">
        <v>42269</v>
      </c>
      <c r="D6685" s="108"/>
      <c r="E6685" s="108" t="s">
        <v>14605</v>
      </c>
      <c r="F6685" s="108" t="s">
        <v>4943</v>
      </c>
      <c r="G6685" s="110"/>
      <c r="H6685" s="108" t="s">
        <v>25458</v>
      </c>
      <c r="I6685" s="108"/>
    </row>
    <row r="6686" spans="1:9" ht="27.6">
      <c r="A6686" s="108" t="s">
        <v>14690</v>
      </c>
      <c r="B6686" s="108" t="s">
        <v>211</v>
      </c>
      <c r="C6686" s="109">
        <v>42269</v>
      </c>
      <c r="D6686" s="108"/>
      <c r="E6686" s="108" t="s">
        <v>14605</v>
      </c>
      <c r="F6686" s="108" t="s">
        <v>209</v>
      </c>
      <c r="G6686" s="110"/>
      <c r="H6686" s="108" t="s">
        <v>25458</v>
      </c>
      <c r="I6686" s="108"/>
    </row>
    <row r="6687" spans="1:9" ht="27.6">
      <c r="A6687" s="108" t="s">
        <v>14690</v>
      </c>
      <c r="B6687" s="108" t="s">
        <v>4851</v>
      </c>
      <c r="C6687" s="109">
        <v>42341</v>
      </c>
      <c r="D6687" s="108"/>
      <c r="E6687" s="108" t="s">
        <v>14605</v>
      </c>
      <c r="F6687" s="108" t="s">
        <v>4846</v>
      </c>
      <c r="G6687" s="110"/>
      <c r="H6687" s="108" t="s">
        <v>25458</v>
      </c>
      <c r="I6687" s="108"/>
    </row>
    <row r="6688" spans="1:9" ht="27.6">
      <c r="A6688" s="108" t="s">
        <v>14690</v>
      </c>
      <c r="B6688" s="108" t="s">
        <v>1889</v>
      </c>
      <c r="C6688" s="109">
        <v>42349</v>
      </c>
      <c r="D6688" s="108"/>
      <c r="E6688" s="108" t="s">
        <v>14605</v>
      </c>
      <c r="F6688" s="108" t="s">
        <v>1890</v>
      </c>
      <c r="G6688" s="110"/>
      <c r="H6688" s="108" t="s">
        <v>25458</v>
      </c>
      <c r="I6688" s="108"/>
    </row>
    <row r="6689" spans="1:9" ht="27.6">
      <c r="A6689" s="108" t="s">
        <v>14690</v>
      </c>
      <c r="B6689" s="108" t="s">
        <v>25498</v>
      </c>
      <c r="C6689" s="109">
        <v>42440</v>
      </c>
      <c r="D6689" s="108"/>
      <c r="E6689" s="108" t="s">
        <v>14605</v>
      </c>
      <c r="F6689" s="108" t="s">
        <v>14746</v>
      </c>
      <c r="G6689" s="110"/>
      <c r="H6689" s="108" t="s">
        <v>25458</v>
      </c>
      <c r="I6689" s="108"/>
    </row>
    <row r="6690" spans="1:9" ht="27.6">
      <c r="A6690" s="108" t="s">
        <v>14690</v>
      </c>
      <c r="B6690" s="108" t="s">
        <v>1436</v>
      </c>
      <c r="C6690" s="109">
        <v>42412</v>
      </c>
      <c r="D6690" s="108"/>
      <c r="E6690" s="108" t="s">
        <v>14605</v>
      </c>
      <c r="F6690" s="108" t="s">
        <v>1437</v>
      </c>
      <c r="G6690" s="110"/>
      <c r="H6690" s="108" t="s">
        <v>25458</v>
      </c>
      <c r="I6690" s="108"/>
    </row>
    <row r="6691" spans="1:9" ht="27.6">
      <c r="A6691" s="108" t="s">
        <v>14690</v>
      </c>
      <c r="B6691" s="108" t="s">
        <v>4620</v>
      </c>
      <c r="C6691" s="109">
        <v>42451</v>
      </c>
      <c r="D6691" s="108"/>
      <c r="E6691" s="108" t="s">
        <v>14605</v>
      </c>
      <c r="F6691" s="108" t="s">
        <v>4621</v>
      </c>
      <c r="G6691" s="110"/>
      <c r="H6691" s="108" t="s">
        <v>25458</v>
      </c>
      <c r="I6691" s="108"/>
    </row>
    <row r="6692" spans="1:9" ht="27.6">
      <c r="A6692" s="108" t="s">
        <v>14690</v>
      </c>
      <c r="B6692" s="108" t="s">
        <v>2650</v>
      </c>
      <c r="C6692" s="109">
        <v>42468</v>
      </c>
      <c r="D6692" s="108"/>
      <c r="E6692" s="108" t="s">
        <v>14605</v>
      </c>
      <c r="F6692" s="108" t="s">
        <v>2651</v>
      </c>
      <c r="G6692" s="110"/>
      <c r="H6692" s="108" t="s">
        <v>25458</v>
      </c>
      <c r="I6692" s="108"/>
    </row>
    <row r="6693" spans="1:9" ht="27.6">
      <c r="A6693" s="108" t="s">
        <v>14690</v>
      </c>
      <c r="B6693" s="108" t="s">
        <v>2639</v>
      </c>
      <c r="C6693" s="109">
        <v>42543</v>
      </c>
      <c r="D6693" s="108"/>
      <c r="E6693" s="108" t="s">
        <v>14605</v>
      </c>
      <c r="F6693" s="108" t="s">
        <v>2622</v>
      </c>
      <c r="G6693" s="110"/>
      <c r="H6693" s="108" t="s">
        <v>25458</v>
      </c>
      <c r="I6693" s="108"/>
    </row>
    <row r="6694" spans="1:9" ht="27.6">
      <c r="A6694" s="108" t="s">
        <v>14690</v>
      </c>
      <c r="B6694" s="108" t="s">
        <v>1467</v>
      </c>
      <c r="C6694" s="109">
        <v>42550</v>
      </c>
      <c r="D6694" s="108"/>
      <c r="E6694" s="108" t="s">
        <v>14605</v>
      </c>
      <c r="F6694" s="108" t="s">
        <v>1468</v>
      </c>
      <c r="G6694" s="110"/>
      <c r="H6694" s="108" t="s">
        <v>25458</v>
      </c>
      <c r="I6694" s="108"/>
    </row>
    <row r="6695" spans="1:9" ht="27.6">
      <c r="A6695" s="108" t="s">
        <v>14690</v>
      </c>
      <c r="B6695" s="108" t="s">
        <v>4383</v>
      </c>
      <c r="C6695" s="109">
        <v>42545</v>
      </c>
      <c r="D6695" s="108"/>
      <c r="E6695" s="108" t="s">
        <v>14605</v>
      </c>
      <c r="F6695" s="108" t="s">
        <v>4384</v>
      </c>
      <c r="G6695" s="110"/>
      <c r="H6695" s="108" t="s">
        <v>25458</v>
      </c>
      <c r="I6695" s="108"/>
    </row>
    <row r="6696" spans="1:9" ht="27.6">
      <c r="A6696" s="108" t="s">
        <v>14690</v>
      </c>
      <c r="B6696" s="108" t="s">
        <v>453</v>
      </c>
      <c r="C6696" s="109">
        <v>42635</v>
      </c>
      <c r="D6696" s="108"/>
      <c r="E6696" s="108" t="s">
        <v>14605</v>
      </c>
      <c r="F6696" s="108" t="s">
        <v>454</v>
      </c>
      <c r="G6696" s="110"/>
      <c r="H6696" s="108" t="s">
        <v>25458</v>
      </c>
      <c r="I6696" s="108"/>
    </row>
    <row r="6697" spans="1:9" ht="27.6">
      <c r="A6697" s="108" t="s">
        <v>14690</v>
      </c>
      <c r="B6697" s="108" t="s">
        <v>1536</v>
      </c>
      <c r="C6697" s="109">
        <v>42641</v>
      </c>
      <c r="D6697" s="108"/>
      <c r="E6697" s="108" t="s">
        <v>14605</v>
      </c>
      <c r="F6697" s="108" t="s">
        <v>1519</v>
      </c>
      <c r="G6697" s="110"/>
      <c r="H6697" s="108" t="s">
        <v>25458</v>
      </c>
      <c r="I6697" s="108"/>
    </row>
    <row r="6698" spans="1:9" ht="27.6">
      <c r="A6698" s="108" t="s">
        <v>14690</v>
      </c>
      <c r="B6698" s="108" t="s">
        <v>311</v>
      </c>
      <c r="C6698" s="109">
        <v>42641</v>
      </c>
      <c r="D6698" s="108"/>
      <c r="E6698" s="108" t="s">
        <v>14605</v>
      </c>
      <c r="F6698" s="108" t="s">
        <v>312</v>
      </c>
      <c r="G6698" s="110"/>
      <c r="H6698" s="108" t="s">
        <v>25458</v>
      </c>
      <c r="I6698" s="108"/>
    </row>
    <row r="6699" spans="1:9" ht="27.6">
      <c r="A6699" s="108" t="s">
        <v>14690</v>
      </c>
      <c r="B6699" s="108" t="s">
        <v>2451</v>
      </c>
      <c r="C6699" s="109">
        <v>42692</v>
      </c>
      <c r="D6699" s="108"/>
      <c r="E6699" s="108" t="s">
        <v>14605</v>
      </c>
      <c r="F6699" s="108" t="s">
        <v>2431</v>
      </c>
      <c r="G6699" s="110"/>
      <c r="H6699" s="108" t="s">
        <v>25458</v>
      </c>
      <c r="I6699" s="108"/>
    </row>
    <row r="6700" spans="1:9" ht="27.6">
      <c r="A6700" s="108" t="s">
        <v>14690</v>
      </c>
      <c r="B6700" s="108" t="s">
        <v>742</v>
      </c>
      <c r="C6700" s="109">
        <v>42717</v>
      </c>
      <c r="D6700" s="108"/>
      <c r="E6700" s="108" t="s">
        <v>14605</v>
      </c>
      <c r="F6700" s="108" t="s">
        <v>733</v>
      </c>
      <c r="G6700" s="110"/>
      <c r="H6700" s="108" t="s">
        <v>25458</v>
      </c>
      <c r="I6700" s="108"/>
    </row>
    <row r="6701" spans="1:9" ht="27.6">
      <c r="A6701" s="108" t="s">
        <v>14690</v>
      </c>
      <c r="B6701" s="108" t="s">
        <v>564</v>
      </c>
      <c r="C6701" s="109">
        <v>42733</v>
      </c>
      <c r="D6701" s="108"/>
      <c r="E6701" s="108" t="s">
        <v>14605</v>
      </c>
      <c r="F6701" s="108" t="s">
        <v>559</v>
      </c>
      <c r="G6701" s="110"/>
      <c r="H6701" s="108" t="s">
        <v>25458</v>
      </c>
      <c r="I6701" s="108"/>
    </row>
    <row r="6702" spans="1:9" ht="27.6">
      <c r="A6702" s="108" t="s">
        <v>14690</v>
      </c>
      <c r="B6702" s="108" t="s">
        <v>3230</v>
      </c>
      <c r="C6702" s="109">
        <v>42955</v>
      </c>
      <c r="D6702" s="108"/>
      <c r="E6702" s="108" t="s">
        <v>14605</v>
      </c>
      <c r="F6702" s="108" t="s">
        <v>3228</v>
      </c>
      <c r="G6702" s="110"/>
      <c r="H6702" s="108" t="s">
        <v>25458</v>
      </c>
      <c r="I6702" s="108"/>
    </row>
    <row r="6703" spans="1:9" ht="27.6">
      <c r="A6703" s="108" t="s">
        <v>14690</v>
      </c>
      <c r="B6703" s="108" t="s">
        <v>4803</v>
      </c>
      <c r="C6703" s="109">
        <v>42999</v>
      </c>
      <c r="D6703" s="108"/>
      <c r="E6703" s="108" t="s">
        <v>14605</v>
      </c>
      <c r="F6703" s="108" t="s">
        <v>4796</v>
      </c>
      <c r="G6703" s="110"/>
      <c r="H6703" s="108" t="s">
        <v>25458</v>
      </c>
      <c r="I6703" s="108"/>
    </row>
    <row r="6704" spans="1:9" ht="27.6">
      <c r="A6704" s="108" t="s">
        <v>14690</v>
      </c>
      <c r="B6704" s="108" t="s">
        <v>167</v>
      </c>
      <c r="C6704" s="109">
        <v>42851</v>
      </c>
      <c r="D6704" s="108"/>
      <c r="E6704" s="108" t="s">
        <v>14605</v>
      </c>
      <c r="F6704" s="108" t="s">
        <v>162</v>
      </c>
      <c r="G6704" s="110"/>
      <c r="H6704" s="108" t="s">
        <v>25458</v>
      </c>
      <c r="I6704" s="108"/>
    </row>
    <row r="6705" spans="1:9" ht="27.6">
      <c r="A6705" s="108" t="s">
        <v>14690</v>
      </c>
      <c r="B6705" s="108" t="s">
        <v>3633</v>
      </c>
      <c r="C6705" s="109">
        <v>43089</v>
      </c>
      <c r="D6705" s="108"/>
      <c r="E6705" s="108" t="s">
        <v>14605</v>
      </c>
      <c r="F6705" s="108" t="s">
        <v>3634</v>
      </c>
      <c r="G6705" s="110"/>
      <c r="H6705" s="108" t="s">
        <v>25458</v>
      </c>
      <c r="I6705" s="108"/>
    </row>
    <row r="6706" spans="1:9" ht="27.6">
      <c r="A6706" s="108" t="s">
        <v>14690</v>
      </c>
      <c r="B6706" s="108" t="s">
        <v>5241</v>
      </c>
      <c r="C6706" s="109">
        <v>43070</v>
      </c>
      <c r="D6706" s="108"/>
      <c r="E6706" s="108" t="s">
        <v>14605</v>
      </c>
      <c r="F6706" s="108" t="s">
        <v>5227</v>
      </c>
      <c r="G6706" s="110"/>
      <c r="H6706" s="108" t="s">
        <v>25458</v>
      </c>
      <c r="I6706" s="108"/>
    </row>
    <row r="6707" spans="1:9" ht="27.6">
      <c r="A6707" s="108" t="s">
        <v>14690</v>
      </c>
      <c r="B6707" s="108" t="s">
        <v>1099</v>
      </c>
      <c r="C6707" s="109">
        <v>42892</v>
      </c>
      <c r="D6707" s="108"/>
      <c r="E6707" s="108" t="s">
        <v>14605</v>
      </c>
      <c r="F6707" s="108" t="s">
        <v>15106</v>
      </c>
      <c r="G6707" s="110"/>
      <c r="H6707" s="108" t="s">
        <v>25458</v>
      </c>
      <c r="I6707" s="108"/>
    </row>
    <row r="6708" spans="1:9" ht="27.6">
      <c r="A6708" s="108" t="s">
        <v>14690</v>
      </c>
      <c r="B6708" s="108" t="s">
        <v>339</v>
      </c>
      <c r="C6708" s="109">
        <v>42916</v>
      </c>
      <c r="D6708" s="108"/>
      <c r="E6708" s="108" t="s">
        <v>14605</v>
      </c>
      <c r="F6708" s="108" t="s">
        <v>340</v>
      </c>
      <c r="G6708" s="110"/>
      <c r="H6708" s="108" t="s">
        <v>25458</v>
      </c>
      <c r="I6708" s="108"/>
    </row>
    <row r="6709" spans="1:9" ht="27.6">
      <c r="A6709" s="108" t="s">
        <v>14690</v>
      </c>
      <c r="B6709" s="108" t="s">
        <v>2403</v>
      </c>
      <c r="C6709" s="109">
        <v>42913</v>
      </c>
      <c r="D6709" s="108"/>
      <c r="E6709" s="108" t="s">
        <v>14605</v>
      </c>
      <c r="F6709" s="108" t="s">
        <v>2398</v>
      </c>
      <c r="G6709" s="110"/>
      <c r="H6709" s="108" t="s">
        <v>25458</v>
      </c>
      <c r="I6709" s="108"/>
    </row>
    <row r="6710" spans="1:9" ht="27.6">
      <c r="A6710" s="108" t="s">
        <v>14690</v>
      </c>
      <c r="B6710" s="108" t="s">
        <v>3421</v>
      </c>
      <c r="C6710" s="109">
        <v>43096</v>
      </c>
      <c r="D6710" s="108"/>
      <c r="E6710" s="108" t="s">
        <v>14605</v>
      </c>
      <c r="F6710" s="108" t="s">
        <v>3422</v>
      </c>
      <c r="G6710" s="110"/>
      <c r="H6710" s="108" t="s">
        <v>25458</v>
      </c>
      <c r="I6710" s="108"/>
    </row>
    <row r="6711" spans="1:9" ht="27.6">
      <c r="A6711" s="108" t="s">
        <v>14690</v>
      </c>
      <c r="B6711" s="108" t="s">
        <v>2638</v>
      </c>
      <c r="C6711" s="109">
        <v>42993</v>
      </c>
      <c r="D6711" s="108"/>
      <c r="E6711" s="108" t="s">
        <v>14605</v>
      </c>
      <c r="F6711" s="108" t="s">
        <v>2622</v>
      </c>
      <c r="G6711" s="110"/>
      <c r="H6711" s="108" t="s">
        <v>25458</v>
      </c>
      <c r="I6711" s="108"/>
    </row>
    <row r="6712" spans="1:9" ht="27.6">
      <c r="A6712" s="108" t="s">
        <v>14690</v>
      </c>
      <c r="B6712" s="108" t="s">
        <v>1766</v>
      </c>
      <c r="C6712" s="109">
        <v>43188</v>
      </c>
      <c r="D6712" s="108"/>
      <c r="E6712" s="108" t="s">
        <v>14605</v>
      </c>
      <c r="F6712" s="108" t="s">
        <v>25499</v>
      </c>
      <c r="G6712" s="110"/>
      <c r="H6712" s="108" t="s">
        <v>25458</v>
      </c>
      <c r="I6712" s="108"/>
    </row>
    <row r="6713" spans="1:9" ht="27.6">
      <c r="A6713" s="108" t="s">
        <v>14690</v>
      </c>
      <c r="B6713" s="108" t="s">
        <v>2585</v>
      </c>
      <c r="C6713" s="109">
        <v>43187</v>
      </c>
      <c r="D6713" s="108"/>
      <c r="E6713" s="108" t="s">
        <v>14605</v>
      </c>
      <c r="F6713" s="108" t="s">
        <v>2552</v>
      </c>
      <c r="G6713" s="110"/>
      <c r="H6713" s="108" t="s">
        <v>25458</v>
      </c>
      <c r="I6713" s="108"/>
    </row>
    <row r="6714" spans="1:9" ht="27.6">
      <c r="A6714" s="108" t="s">
        <v>14690</v>
      </c>
      <c r="B6714" s="108" t="s">
        <v>3402</v>
      </c>
      <c r="C6714" s="109">
        <v>43186</v>
      </c>
      <c r="D6714" s="108"/>
      <c r="E6714" s="108" t="s">
        <v>14605</v>
      </c>
      <c r="F6714" s="108" t="s">
        <v>14672</v>
      </c>
      <c r="G6714" s="110"/>
      <c r="H6714" s="108" t="s">
        <v>25458</v>
      </c>
      <c r="I6714" s="108"/>
    </row>
    <row r="6715" spans="1:9" ht="27.6">
      <c r="A6715" s="108" t="s">
        <v>14690</v>
      </c>
      <c r="B6715" s="108" t="s">
        <v>4676</v>
      </c>
      <c r="C6715" s="109">
        <v>43367</v>
      </c>
      <c r="D6715" s="108"/>
      <c r="E6715" s="108" t="s">
        <v>14605</v>
      </c>
      <c r="F6715" s="108" t="s">
        <v>4674</v>
      </c>
      <c r="G6715" s="110"/>
      <c r="H6715" s="108" t="s">
        <v>25458</v>
      </c>
      <c r="I6715" s="108"/>
    </row>
    <row r="6716" spans="1:9" ht="27.6">
      <c r="A6716" s="108" t="s">
        <v>14690</v>
      </c>
      <c r="B6716" s="108" t="s">
        <v>283</v>
      </c>
      <c r="C6716" s="109">
        <v>43447</v>
      </c>
      <c r="D6716" s="108"/>
      <c r="E6716" s="108" t="s">
        <v>14605</v>
      </c>
      <c r="F6716" s="108" t="s">
        <v>276</v>
      </c>
      <c r="G6716" s="110"/>
      <c r="H6716" s="108" t="s">
        <v>25458</v>
      </c>
      <c r="I6716" s="108"/>
    </row>
    <row r="6717" spans="1:9" ht="27.6">
      <c r="A6717" s="108" t="s">
        <v>14690</v>
      </c>
      <c r="B6717" s="108" t="s">
        <v>2746</v>
      </c>
      <c r="C6717" s="109">
        <v>43439</v>
      </c>
      <c r="D6717" s="108"/>
      <c r="E6717" s="108" t="s">
        <v>14605</v>
      </c>
      <c r="F6717" s="108" t="s">
        <v>15729</v>
      </c>
      <c r="G6717" s="110"/>
      <c r="H6717" s="108" t="s">
        <v>25458</v>
      </c>
      <c r="I6717" s="108"/>
    </row>
    <row r="6718" spans="1:9" ht="27.6">
      <c r="A6718" s="108" t="s">
        <v>14690</v>
      </c>
      <c r="B6718" s="108" t="s">
        <v>3187</v>
      </c>
      <c r="C6718" s="109">
        <v>43445</v>
      </c>
      <c r="D6718" s="108"/>
      <c r="E6718" s="108" t="s">
        <v>14605</v>
      </c>
      <c r="F6718" s="108" t="s">
        <v>3182</v>
      </c>
      <c r="G6718" s="110"/>
      <c r="H6718" s="108" t="s">
        <v>25458</v>
      </c>
      <c r="I6718" s="108"/>
    </row>
    <row r="6719" spans="1:9" ht="27.6">
      <c r="A6719" s="108" t="s">
        <v>14690</v>
      </c>
      <c r="B6719" s="108" t="s">
        <v>1666</v>
      </c>
      <c r="C6719" s="109">
        <v>43619</v>
      </c>
      <c r="D6719" s="108"/>
      <c r="E6719" s="108" t="s">
        <v>14605</v>
      </c>
      <c r="F6719" s="108" t="s">
        <v>1667</v>
      </c>
      <c r="G6719" s="110"/>
      <c r="H6719" s="108" t="s">
        <v>25458</v>
      </c>
      <c r="I6719" s="108"/>
    </row>
    <row r="6720" spans="1:9" ht="27.6">
      <c r="A6720" s="108" t="s">
        <v>14690</v>
      </c>
      <c r="B6720" s="108" t="s">
        <v>1009</v>
      </c>
      <c r="C6720" s="109">
        <v>43774</v>
      </c>
      <c r="D6720" s="108"/>
      <c r="E6720" s="108" t="s">
        <v>14605</v>
      </c>
      <c r="F6720" s="108" t="s">
        <v>986</v>
      </c>
      <c r="G6720" s="110"/>
      <c r="H6720" s="108" t="s">
        <v>25458</v>
      </c>
      <c r="I6720" s="108"/>
    </row>
    <row r="6721" spans="1:9" ht="27.6">
      <c r="A6721" s="108" t="s">
        <v>14690</v>
      </c>
      <c r="B6721" s="108" t="s">
        <v>3271</v>
      </c>
      <c r="C6721" s="109">
        <v>43781</v>
      </c>
      <c r="D6721" s="108"/>
      <c r="E6721" s="108" t="s">
        <v>14605</v>
      </c>
      <c r="F6721" s="108" t="s">
        <v>3272</v>
      </c>
      <c r="G6721" s="110"/>
      <c r="H6721" s="108" t="s">
        <v>25458</v>
      </c>
      <c r="I6721" s="108"/>
    </row>
    <row r="6722" spans="1:9" ht="27.6">
      <c r="A6722" s="108" t="s">
        <v>14690</v>
      </c>
      <c r="B6722" s="108" t="s">
        <v>2931</v>
      </c>
      <c r="C6722" s="109">
        <v>43784</v>
      </c>
      <c r="D6722" s="108"/>
      <c r="E6722" s="108" t="s">
        <v>14605</v>
      </c>
      <c r="F6722" s="108" t="s">
        <v>2932</v>
      </c>
      <c r="G6722" s="110"/>
      <c r="H6722" s="108" t="s">
        <v>25458</v>
      </c>
      <c r="I6722" s="108"/>
    </row>
    <row r="6723" spans="1:9" ht="27.6">
      <c r="A6723" s="108" t="s">
        <v>14690</v>
      </c>
      <c r="B6723" s="108" t="s">
        <v>4369</v>
      </c>
      <c r="C6723" s="109">
        <v>43887</v>
      </c>
      <c r="D6723" s="108"/>
      <c r="E6723" s="108" t="s">
        <v>14605</v>
      </c>
      <c r="F6723" s="108" t="s">
        <v>4365</v>
      </c>
      <c r="G6723" s="110"/>
      <c r="H6723" s="108" t="s">
        <v>25458</v>
      </c>
      <c r="I6723" s="108"/>
    </row>
    <row r="6724" spans="1:9" ht="27.6">
      <c r="A6724" s="108" t="s">
        <v>4372</v>
      </c>
      <c r="B6724" s="108" t="s">
        <v>4371</v>
      </c>
      <c r="C6724" s="109">
        <v>43879</v>
      </c>
      <c r="D6724" s="108"/>
      <c r="E6724" s="108" t="s">
        <v>14605</v>
      </c>
      <c r="F6724" s="108" t="s">
        <v>4365</v>
      </c>
      <c r="G6724" s="110"/>
      <c r="H6724" s="108" t="s">
        <v>25458</v>
      </c>
      <c r="I6724" s="108"/>
    </row>
    <row r="6725" spans="1:9">
      <c r="A6725" s="108" t="s">
        <v>237</v>
      </c>
      <c r="B6725" s="108" t="s">
        <v>4249</v>
      </c>
      <c r="C6725" s="109">
        <v>42053</v>
      </c>
      <c r="D6725" s="108"/>
      <c r="E6725" s="108" t="s">
        <v>14605</v>
      </c>
      <c r="F6725" s="108" t="s">
        <v>4242</v>
      </c>
      <c r="G6725" s="110"/>
      <c r="H6725" s="108" t="s">
        <v>25458</v>
      </c>
      <c r="I6725" s="108"/>
    </row>
    <row r="6726" spans="1:9">
      <c r="A6726" s="108" t="s">
        <v>237</v>
      </c>
      <c r="B6726" s="108" t="s">
        <v>1438</v>
      </c>
      <c r="C6726" s="109">
        <v>42199</v>
      </c>
      <c r="D6726" s="108"/>
      <c r="E6726" s="108" t="s">
        <v>14605</v>
      </c>
      <c r="F6726" s="108" t="s">
        <v>1439</v>
      </c>
      <c r="G6726" s="110"/>
      <c r="H6726" s="108" t="s">
        <v>25458</v>
      </c>
      <c r="I6726" s="108"/>
    </row>
    <row r="6727" spans="1:9">
      <c r="A6727" s="108" t="s">
        <v>237</v>
      </c>
      <c r="B6727" s="108" t="s">
        <v>5027</v>
      </c>
      <c r="C6727" s="109">
        <v>42423</v>
      </c>
      <c r="D6727" s="108"/>
      <c r="E6727" s="108" t="s">
        <v>14605</v>
      </c>
      <c r="F6727" s="108" t="s">
        <v>5018</v>
      </c>
      <c r="G6727" s="110"/>
      <c r="H6727" s="108" t="s">
        <v>25458</v>
      </c>
      <c r="I6727" s="108"/>
    </row>
    <row r="6728" spans="1:9" ht="27.6">
      <c r="A6728" s="108" t="s">
        <v>237</v>
      </c>
      <c r="B6728" s="108" t="s">
        <v>2452</v>
      </c>
      <c r="C6728" s="109">
        <v>42452</v>
      </c>
      <c r="D6728" s="108"/>
      <c r="E6728" s="108" t="s">
        <v>14605</v>
      </c>
      <c r="F6728" s="108" t="s">
        <v>2453</v>
      </c>
      <c r="G6728" s="110"/>
      <c r="H6728" s="108" t="s">
        <v>25458</v>
      </c>
      <c r="I6728" s="108"/>
    </row>
    <row r="6729" spans="1:9">
      <c r="A6729" s="108" t="s">
        <v>237</v>
      </c>
      <c r="B6729" s="108" t="s">
        <v>1091</v>
      </c>
      <c r="C6729" s="109">
        <v>42495</v>
      </c>
      <c r="D6729" s="108"/>
      <c r="E6729" s="108" t="s">
        <v>14605</v>
      </c>
      <c r="F6729" s="108" t="s">
        <v>1092</v>
      </c>
      <c r="G6729" s="110"/>
      <c r="H6729" s="108" t="s">
        <v>25458</v>
      </c>
      <c r="I6729" s="108"/>
    </row>
    <row r="6730" spans="1:9">
      <c r="A6730" s="108" t="s">
        <v>237</v>
      </c>
      <c r="B6730" s="108" t="s">
        <v>5224</v>
      </c>
      <c r="C6730" s="109">
        <v>42530</v>
      </c>
      <c r="D6730" s="108"/>
      <c r="E6730" s="108" t="s">
        <v>14605</v>
      </c>
      <c r="F6730" s="108" t="s">
        <v>5225</v>
      </c>
      <c r="G6730" s="110"/>
      <c r="H6730" s="108" t="s">
        <v>25458</v>
      </c>
      <c r="I6730" s="108"/>
    </row>
    <row r="6731" spans="1:9">
      <c r="A6731" s="108" t="s">
        <v>237</v>
      </c>
      <c r="B6731" s="108" t="s">
        <v>751</v>
      </c>
      <c r="C6731" s="109">
        <v>42760</v>
      </c>
      <c r="D6731" s="108"/>
      <c r="E6731" s="108" t="s">
        <v>14605</v>
      </c>
      <c r="F6731" s="108" t="s">
        <v>749</v>
      </c>
      <c r="G6731" s="110"/>
      <c r="H6731" s="108" t="s">
        <v>25458</v>
      </c>
      <c r="I6731" s="108"/>
    </row>
    <row r="6732" spans="1:9">
      <c r="A6732" s="108" t="s">
        <v>237</v>
      </c>
      <c r="B6732" s="108" t="s">
        <v>3174</v>
      </c>
      <c r="C6732" s="109">
        <v>42823</v>
      </c>
      <c r="D6732" s="108"/>
      <c r="E6732" s="108" t="s">
        <v>14605</v>
      </c>
      <c r="F6732" s="108" t="s">
        <v>25500</v>
      </c>
      <c r="G6732" s="110"/>
      <c r="H6732" s="108" t="s">
        <v>25458</v>
      </c>
      <c r="I6732" s="108"/>
    </row>
    <row r="6733" spans="1:9">
      <c r="A6733" s="108" t="s">
        <v>237</v>
      </c>
      <c r="B6733" s="108" t="s">
        <v>379</v>
      </c>
      <c r="C6733" s="109">
        <v>42808</v>
      </c>
      <c r="D6733" s="108"/>
      <c r="E6733" s="108" t="s">
        <v>14605</v>
      </c>
      <c r="F6733" s="108" t="s">
        <v>380</v>
      </c>
      <c r="G6733" s="110"/>
      <c r="H6733" s="108" t="s">
        <v>25458</v>
      </c>
      <c r="I6733" s="108"/>
    </row>
    <row r="6734" spans="1:9">
      <c r="A6734" s="108" t="s">
        <v>237</v>
      </c>
      <c r="B6734" s="108" t="s">
        <v>1331</v>
      </c>
      <c r="C6734" s="109">
        <v>42909</v>
      </c>
      <c r="D6734" s="108"/>
      <c r="E6734" s="108" t="s">
        <v>14605</v>
      </c>
      <c r="F6734" s="108" t="s">
        <v>1329</v>
      </c>
      <c r="G6734" s="110"/>
      <c r="H6734" s="108" t="s">
        <v>25458</v>
      </c>
      <c r="I6734" s="108"/>
    </row>
    <row r="6735" spans="1:9">
      <c r="A6735" s="108" t="s">
        <v>237</v>
      </c>
      <c r="B6735" s="108" t="s">
        <v>455</v>
      </c>
      <c r="C6735" s="109">
        <v>43006</v>
      </c>
      <c r="D6735" s="108"/>
      <c r="E6735" s="108" t="s">
        <v>14605</v>
      </c>
      <c r="F6735" s="108" t="s">
        <v>456</v>
      </c>
      <c r="G6735" s="110"/>
      <c r="H6735" s="108" t="s">
        <v>25458</v>
      </c>
      <c r="I6735" s="108"/>
    </row>
    <row r="6736" spans="1:9">
      <c r="A6736" s="108" t="s">
        <v>237</v>
      </c>
      <c r="B6736" s="108" t="s">
        <v>3017</v>
      </c>
      <c r="C6736" s="109">
        <v>43059</v>
      </c>
      <c r="D6736" s="108"/>
      <c r="E6736" s="108" t="s">
        <v>14605</v>
      </c>
      <c r="F6736" s="108" t="s">
        <v>3018</v>
      </c>
      <c r="G6736" s="110"/>
      <c r="H6736" s="108" t="s">
        <v>25458</v>
      </c>
      <c r="I6736" s="108"/>
    </row>
    <row r="6737" spans="1:9">
      <c r="A6737" s="108" t="s">
        <v>237</v>
      </c>
      <c r="B6737" s="108" t="s">
        <v>4823</v>
      </c>
      <c r="C6737" s="109">
        <v>43097</v>
      </c>
      <c r="D6737" s="108"/>
      <c r="E6737" s="108" t="s">
        <v>14605</v>
      </c>
      <c r="F6737" s="108" t="s">
        <v>4818</v>
      </c>
      <c r="G6737" s="110"/>
      <c r="H6737" s="108" t="s">
        <v>25458</v>
      </c>
      <c r="I6737" s="108"/>
    </row>
    <row r="6738" spans="1:9">
      <c r="A6738" s="108" t="s">
        <v>237</v>
      </c>
      <c r="B6738" s="108" t="s">
        <v>2960</v>
      </c>
      <c r="C6738" s="109">
        <v>42996</v>
      </c>
      <c r="D6738" s="108"/>
      <c r="E6738" s="108" t="s">
        <v>14605</v>
      </c>
      <c r="F6738" s="108" t="s">
        <v>2956</v>
      </c>
      <c r="G6738" s="110"/>
      <c r="H6738" s="108" t="s">
        <v>25458</v>
      </c>
      <c r="I6738" s="108"/>
    </row>
    <row r="6739" spans="1:9">
      <c r="A6739" s="108" t="s">
        <v>237</v>
      </c>
      <c r="B6739" s="108" t="s">
        <v>4719</v>
      </c>
      <c r="C6739" s="109">
        <v>43081</v>
      </c>
      <c r="D6739" s="108"/>
      <c r="E6739" s="108" t="s">
        <v>14605</v>
      </c>
      <c r="F6739" s="108" t="s">
        <v>4702</v>
      </c>
      <c r="G6739" s="110"/>
      <c r="H6739" s="108" t="s">
        <v>25458</v>
      </c>
      <c r="I6739" s="108"/>
    </row>
    <row r="6740" spans="1:9">
      <c r="A6740" s="108" t="s">
        <v>237</v>
      </c>
      <c r="B6740" s="108" t="s">
        <v>4488</v>
      </c>
      <c r="C6740" s="109">
        <v>43189</v>
      </c>
      <c r="D6740" s="108"/>
      <c r="E6740" s="108" t="s">
        <v>14605</v>
      </c>
      <c r="F6740" s="108" t="s">
        <v>4486</v>
      </c>
      <c r="G6740" s="110"/>
      <c r="H6740" s="108" t="s">
        <v>25458</v>
      </c>
      <c r="I6740" s="108"/>
    </row>
    <row r="6741" spans="1:9">
      <c r="A6741" s="108" t="s">
        <v>237</v>
      </c>
      <c r="B6741" s="108" t="s">
        <v>1758</v>
      </c>
      <c r="C6741" s="109">
        <v>43370</v>
      </c>
      <c r="D6741" s="108"/>
      <c r="E6741" s="108" t="s">
        <v>14605</v>
      </c>
      <c r="F6741" s="108" t="s">
        <v>1756</v>
      </c>
      <c r="G6741" s="110"/>
      <c r="H6741" s="108" t="s">
        <v>25458</v>
      </c>
      <c r="I6741" s="108"/>
    </row>
    <row r="6742" spans="1:9">
      <c r="A6742" s="108" t="s">
        <v>237</v>
      </c>
      <c r="B6742" s="108" t="s">
        <v>2549</v>
      </c>
      <c r="C6742" s="109">
        <v>43364</v>
      </c>
      <c r="D6742" s="108"/>
      <c r="E6742" s="108" t="s">
        <v>14605</v>
      </c>
      <c r="F6742" s="108" t="s">
        <v>2550</v>
      </c>
      <c r="G6742" s="110"/>
      <c r="H6742" s="108" t="s">
        <v>25458</v>
      </c>
      <c r="I6742" s="108"/>
    </row>
    <row r="6743" spans="1:9">
      <c r="A6743" s="108" t="s">
        <v>237</v>
      </c>
      <c r="B6743" s="108" t="s">
        <v>3232</v>
      </c>
      <c r="C6743" s="109">
        <v>43698</v>
      </c>
      <c r="D6743" s="108"/>
      <c r="E6743" s="108" t="s">
        <v>14605</v>
      </c>
      <c r="F6743" s="108" t="s">
        <v>3233</v>
      </c>
      <c r="G6743" s="110"/>
      <c r="H6743" s="108" t="s">
        <v>25458</v>
      </c>
      <c r="I6743" s="108"/>
    </row>
    <row r="6744" spans="1:9">
      <c r="A6744" s="108" t="s">
        <v>15043</v>
      </c>
      <c r="B6744" s="108" t="s">
        <v>675</v>
      </c>
      <c r="C6744" s="109">
        <v>42437</v>
      </c>
      <c r="D6744" s="108"/>
      <c r="E6744" s="108" t="s">
        <v>14605</v>
      </c>
      <c r="F6744" s="108" t="s">
        <v>665</v>
      </c>
      <c r="G6744" s="110"/>
      <c r="H6744" s="108" t="s">
        <v>25458</v>
      </c>
      <c r="I6744" s="108"/>
    </row>
    <row r="6745" spans="1:9">
      <c r="A6745" s="108" t="s">
        <v>15043</v>
      </c>
      <c r="B6745" s="108" t="s">
        <v>189</v>
      </c>
      <c r="C6745" s="109">
        <v>43059</v>
      </c>
      <c r="D6745" s="108"/>
      <c r="E6745" s="108" t="s">
        <v>14605</v>
      </c>
      <c r="F6745" s="108" t="s">
        <v>190</v>
      </c>
      <c r="G6745" s="110"/>
      <c r="H6745" s="108" t="s">
        <v>25458</v>
      </c>
      <c r="I6745" s="108"/>
    </row>
    <row r="6746" spans="1:9">
      <c r="A6746" s="108" t="s">
        <v>15043</v>
      </c>
      <c r="B6746" s="108" t="s">
        <v>4636</v>
      </c>
      <c r="C6746" s="109">
        <v>43139</v>
      </c>
      <c r="D6746" s="108"/>
      <c r="E6746" s="108" t="s">
        <v>14605</v>
      </c>
      <c r="F6746" s="108" t="s">
        <v>4631</v>
      </c>
      <c r="G6746" s="110"/>
      <c r="H6746" s="108" t="s">
        <v>25458</v>
      </c>
      <c r="I6746" s="108"/>
    </row>
    <row r="6747" spans="1:9">
      <c r="A6747" s="108" t="s">
        <v>15043</v>
      </c>
      <c r="B6747" s="108" t="s">
        <v>2637</v>
      </c>
      <c r="C6747" s="109">
        <v>43364</v>
      </c>
      <c r="D6747" s="108"/>
      <c r="E6747" s="108" t="s">
        <v>14605</v>
      </c>
      <c r="F6747" s="108" t="s">
        <v>2622</v>
      </c>
      <c r="G6747" s="110"/>
      <c r="H6747" s="108" t="s">
        <v>25458</v>
      </c>
      <c r="I6747" s="108"/>
    </row>
    <row r="6748" spans="1:9">
      <c r="A6748" s="108" t="s">
        <v>15043</v>
      </c>
      <c r="B6748" s="108" t="s">
        <v>2679</v>
      </c>
      <c r="C6748" s="109">
        <v>43448</v>
      </c>
      <c r="D6748" s="108"/>
      <c r="E6748" s="108" t="s">
        <v>14605</v>
      </c>
      <c r="F6748" s="108" t="s">
        <v>25501</v>
      </c>
      <c r="G6748" s="110"/>
      <c r="H6748" s="108" t="s">
        <v>25458</v>
      </c>
      <c r="I6748" s="108"/>
    </row>
    <row r="6749" spans="1:9">
      <c r="A6749" s="108" t="s">
        <v>571</v>
      </c>
      <c r="B6749" s="108" t="s">
        <v>2636</v>
      </c>
      <c r="C6749" s="109">
        <v>41897</v>
      </c>
      <c r="D6749" s="108"/>
      <c r="E6749" s="108" t="s">
        <v>14605</v>
      </c>
      <c r="F6749" s="108" t="s">
        <v>2622</v>
      </c>
      <c r="G6749" s="110"/>
      <c r="H6749" s="108" t="s">
        <v>25458</v>
      </c>
      <c r="I6749" s="108"/>
    </row>
    <row r="6750" spans="1:9">
      <c r="A6750" s="108" t="s">
        <v>571</v>
      </c>
      <c r="B6750" s="108" t="s">
        <v>5128</v>
      </c>
      <c r="C6750" s="109">
        <v>41920</v>
      </c>
      <c r="D6750" s="108"/>
      <c r="E6750" s="108" t="s">
        <v>14605</v>
      </c>
      <c r="F6750" s="108" t="s">
        <v>23105</v>
      </c>
      <c r="G6750" s="110"/>
      <c r="H6750" s="108" t="s">
        <v>25458</v>
      </c>
      <c r="I6750" s="108"/>
    </row>
    <row r="6751" spans="1:9">
      <c r="A6751" s="108" t="s">
        <v>571</v>
      </c>
      <c r="B6751" s="108" t="s">
        <v>4977</v>
      </c>
      <c r="C6751" s="109">
        <v>41919</v>
      </c>
      <c r="D6751" s="108"/>
      <c r="E6751" s="108" t="s">
        <v>14605</v>
      </c>
      <c r="F6751" s="108" t="s">
        <v>4973</v>
      </c>
      <c r="G6751" s="110"/>
      <c r="H6751" s="108" t="s">
        <v>25458</v>
      </c>
      <c r="I6751" s="108"/>
    </row>
    <row r="6752" spans="1:9">
      <c r="A6752" s="108" t="s">
        <v>571</v>
      </c>
      <c r="B6752" s="108" t="s">
        <v>798</v>
      </c>
      <c r="C6752" s="109">
        <v>42024</v>
      </c>
      <c r="D6752" s="108"/>
      <c r="E6752" s="108" t="s">
        <v>14605</v>
      </c>
      <c r="F6752" s="108" t="s">
        <v>799</v>
      </c>
      <c r="G6752" s="110"/>
      <c r="H6752" s="108" t="s">
        <v>25458</v>
      </c>
      <c r="I6752" s="108"/>
    </row>
    <row r="6753" spans="1:9">
      <c r="A6753" s="108" t="s">
        <v>571</v>
      </c>
      <c r="B6753" s="108" t="s">
        <v>1559</v>
      </c>
      <c r="C6753" s="109">
        <v>42065</v>
      </c>
      <c r="D6753" s="108"/>
      <c r="E6753" s="108" t="s">
        <v>14605</v>
      </c>
      <c r="F6753" s="108" t="s">
        <v>1560</v>
      </c>
      <c r="G6753" s="110"/>
      <c r="H6753" s="108" t="s">
        <v>25458</v>
      </c>
      <c r="I6753" s="108"/>
    </row>
    <row r="6754" spans="1:9">
      <c r="A6754" s="108" t="s">
        <v>571</v>
      </c>
      <c r="B6754" s="108" t="s">
        <v>4341</v>
      </c>
      <c r="C6754" s="109">
        <v>42061</v>
      </c>
      <c r="D6754" s="108"/>
      <c r="E6754" s="108" t="s">
        <v>14605</v>
      </c>
      <c r="F6754" s="108" t="s">
        <v>4337</v>
      </c>
      <c r="G6754" s="110"/>
      <c r="H6754" s="108" t="s">
        <v>25458</v>
      </c>
      <c r="I6754" s="108"/>
    </row>
    <row r="6755" spans="1:9">
      <c r="A6755" s="108" t="s">
        <v>571</v>
      </c>
      <c r="B6755" s="108" t="s">
        <v>4528</v>
      </c>
      <c r="C6755" s="109">
        <v>42108</v>
      </c>
      <c r="D6755" s="108"/>
      <c r="E6755" s="108" t="s">
        <v>14605</v>
      </c>
      <c r="F6755" s="108" t="s">
        <v>4515</v>
      </c>
      <c r="G6755" s="110"/>
      <c r="H6755" s="108" t="s">
        <v>25458</v>
      </c>
      <c r="I6755" s="108"/>
    </row>
    <row r="6756" spans="1:9">
      <c r="A6756" s="108" t="s">
        <v>571</v>
      </c>
      <c r="B6756" s="108" t="s">
        <v>1553</v>
      </c>
      <c r="C6756" s="109">
        <v>42082</v>
      </c>
      <c r="D6756" s="108"/>
      <c r="E6756" s="108" t="s">
        <v>14605</v>
      </c>
      <c r="F6756" s="108" t="s">
        <v>1554</v>
      </c>
      <c r="G6756" s="110"/>
      <c r="H6756" s="108" t="s">
        <v>25458</v>
      </c>
      <c r="I6756" s="108"/>
    </row>
    <row r="6757" spans="1:9">
      <c r="A6757" s="108" t="s">
        <v>571</v>
      </c>
      <c r="B6757" s="108" t="s">
        <v>3143</v>
      </c>
      <c r="C6757" s="109">
        <v>42088</v>
      </c>
      <c r="D6757" s="108"/>
      <c r="E6757" s="108" t="s">
        <v>14605</v>
      </c>
      <c r="F6757" s="108" t="s">
        <v>25502</v>
      </c>
      <c r="G6757" s="110"/>
      <c r="H6757" s="108" t="s">
        <v>25458</v>
      </c>
      <c r="I6757" s="108"/>
    </row>
    <row r="6758" spans="1:9">
      <c r="A6758" s="108" t="s">
        <v>2291</v>
      </c>
      <c r="B6758" s="108" t="s">
        <v>2293</v>
      </c>
      <c r="C6758" s="109">
        <v>44413</v>
      </c>
      <c r="D6758" s="108"/>
      <c r="E6758" s="108" t="s">
        <v>14605</v>
      </c>
      <c r="F6758" s="108" t="s">
        <v>2251</v>
      </c>
      <c r="G6758" s="110"/>
      <c r="H6758" s="108" t="s">
        <v>25458</v>
      </c>
      <c r="I6758" s="108"/>
    </row>
    <row r="6759" spans="1:9">
      <c r="A6759" s="108" t="s">
        <v>571</v>
      </c>
      <c r="B6759" s="108" t="s">
        <v>1892</v>
      </c>
      <c r="C6759" s="109">
        <v>42109</v>
      </c>
      <c r="D6759" s="108"/>
      <c r="E6759" s="108" t="s">
        <v>14605</v>
      </c>
      <c r="F6759" s="108" t="s">
        <v>25503</v>
      </c>
      <c r="G6759" s="110"/>
      <c r="H6759" s="108" t="s">
        <v>25458</v>
      </c>
      <c r="I6759" s="108"/>
    </row>
    <row r="6760" spans="1:9">
      <c r="A6760" s="108" t="s">
        <v>571</v>
      </c>
      <c r="B6760" s="108" t="s">
        <v>3580</v>
      </c>
      <c r="C6760" s="109">
        <v>42171</v>
      </c>
      <c r="D6760" s="108"/>
      <c r="E6760" s="108" t="s">
        <v>14605</v>
      </c>
      <c r="F6760" s="108" t="s">
        <v>15303</v>
      </c>
      <c r="G6760" s="110"/>
      <c r="H6760" s="108" t="s">
        <v>25458</v>
      </c>
      <c r="I6760" s="108"/>
    </row>
    <row r="6761" spans="1:9" ht="27.6">
      <c r="A6761" s="108" t="s">
        <v>571</v>
      </c>
      <c r="B6761" s="108" t="s">
        <v>402</v>
      </c>
      <c r="C6761" s="109">
        <v>42194</v>
      </c>
      <c r="D6761" s="108"/>
      <c r="E6761" s="108" t="s">
        <v>14605</v>
      </c>
      <c r="F6761" s="108" t="s">
        <v>394</v>
      </c>
      <c r="G6761" s="110"/>
      <c r="H6761" s="108" t="s">
        <v>25458</v>
      </c>
      <c r="I6761" s="108"/>
    </row>
    <row r="6762" spans="1:9">
      <c r="A6762" s="108" t="s">
        <v>571</v>
      </c>
      <c r="B6762" s="108" t="s">
        <v>3718</v>
      </c>
      <c r="C6762" s="109">
        <v>42215</v>
      </c>
      <c r="D6762" s="108"/>
      <c r="E6762" s="108" t="s">
        <v>14611</v>
      </c>
      <c r="F6762" s="108" t="s">
        <v>3717</v>
      </c>
      <c r="G6762" s="110"/>
      <c r="H6762" s="108" t="s">
        <v>25458</v>
      </c>
      <c r="I6762" s="108"/>
    </row>
    <row r="6763" spans="1:9">
      <c r="A6763" s="108" t="s">
        <v>571</v>
      </c>
      <c r="B6763" s="108" t="s">
        <v>2635</v>
      </c>
      <c r="C6763" s="109">
        <v>42213</v>
      </c>
      <c r="D6763" s="108"/>
      <c r="E6763" s="108" t="s">
        <v>14605</v>
      </c>
      <c r="F6763" s="108" t="s">
        <v>2622</v>
      </c>
      <c r="G6763" s="110"/>
      <c r="H6763" s="108" t="s">
        <v>25458</v>
      </c>
      <c r="I6763" s="108"/>
    </row>
    <row r="6764" spans="1:9">
      <c r="A6764" s="108" t="s">
        <v>571</v>
      </c>
      <c r="B6764" s="108" t="s">
        <v>3507</v>
      </c>
      <c r="C6764" s="109">
        <v>42261</v>
      </c>
      <c r="D6764" s="108"/>
      <c r="E6764" s="108" t="s">
        <v>14605</v>
      </c>
      <c r="F6764" s="108" t="s">
        <v>3506</v>
      </c>
      <c r="G6764" s="110"/>
      <c r="H6764" s="108" t="s">
        <v>25458</v>
      </c>
      <c r="I6764" s="108"/>
    </row>
    <row r="6765" spans="1:9" ht="27.6">
      <c r="A6765" s="108" t="s">
        <v>571</v>
      </c>
      <c r="B6765" s="108" t="s">
        <v>4069</v>
      </c>
      <c r="C6765" s="109">
        <v>42236</v>
      </c>
      <c r="D6765" s="108"/>
      <c r="E6765" s="108" t="s">
        <v>14605</v>
      </c>
      <c r="F6765" s="108" t="s">
        <v>25504</v>
      </c>
      <c r="G6765" s="110"/>
      <c r="H6765" s="108" t="s">
        <v>25458</v>
      </c>
      <c r="I6765" s="108"/>
    </row>
    <row r="6766" spans="1:9">
      <c r="A6766" s="108" t="s">
        <v>571</v>
      </c>
      <c r="B6766" s="108" t="s">
        <v>2667</v>
      </c>
      <c r="C6766" s="109">
        <v>42325</v>
      </c>
      <c r="D6766" s="108"/>
      <c r="E6766" s="108" t="s">
        <v>14605</v>
      </c>
      <c r="F6766" s="108" t="s">
        <v>2664</v>
      </c>
      <c r="G6766" s="110"/>
      <c r="H6766" s="108" t="s">
        <v>25458</v>
      </c>
      <c r="I6766" s="108"/>
    </row>
    <row r="6767" spans="1:9">
      <c r="A6767" s="108" t="s">
        <v>571</v>
      </c>
      <c r="B6767" s="108" t="s">
        <v>3744</v>
      </c>
      <c r="C6767" s="109">
        <v>42313</v>
      </c>
      <c r="D6767" s="108"/>
      <c r="E6767" s="108" t="s">
        <v>14605</v>
      </c>
      <c r="F6767" s="108" t="s">
        <v>3745</v>
      </c>
      <c r="G6767" s="110"/>
      <c r="H6767" s="108" t="s">
        <v>25458</v>
      </c>
      <c r="I6767" s="108"/>
    </row>
    <row r="6768" spans="1:9" ht="27.6">
      <c r="A6768" s="108" t="s">
        <v>571</v>
      </c>
      <c r="B6768" s="108" t="s">
        <v>609</v>
      </c>
      <c r="C6768" s="109">
        <v>42348</v>
      </c>
      <c r="D6768" s="108"/>
      <c r="E6768" s="108" t="s">
        <v>14605</v>
      </c>
      <c r="F6768" s="108" t="s">
        <v>607</v>
      </c>
      <c r="G6768" s="110"/>
      <c r="H6768" s="108" t="s">
        <v>25458</v>
      </c>
      <c r="I6768" s="108"/>
    </row>
    <row r="6769" spans="1:9">
      <c r="A6769" s="108" t="s">
        <v>571</v>
      </c>
      <c r="B6769" s="108" t="s">
        <v>25505</v>
      </c>
      <c r="C6769" s="109">
        <v>44272</v>
      </c>
      <c r="D6769" s="108"/>
      <c r="E6769" s="108" t="s">
        <v>14605</v>
      </c>
      <c r="F6769" s="108" t="s">
        <v>14764</v>
      </c>
      <c r="G6769" s="110"/>
      <c r="H6769" s="108" t="s">
        <v>25458</v>
      </c>
      <c r="I6769" s="108"/>
    </row>
    <row r="6770" spans="1:9">
      <c r="A6770" s="108" t="s">
        <v>571</v>
      </c>
      <c r="B6770" s="108" t="s">
        <v>3716</v>
      </c>
      <c r="C6770" s="109">
        <v>42635</v>
      </c>
      <c r="D6770" s="108"/>
      <c r="E6770" s="108" t="s">
        <v>14605</v>
      </c>
      <c r="F6770" s="108" t="s">
        <v>3717</v>
      </c>
      <c r="G6770" s="110"/>
      <c r="H6770" s="108" t="s">
        <v>25458</v>
      </c>
      <c r="I6770" s="108"/>
    </row>
    <row r="6771" spans="1:9">
      <c r="A6771" s="108" t="s">
        <v>571</v>
      </c>
      <c r="B6771" s="108" t="s">
        <v>2402</v>
      </c>
      <c r="C6771" s="109">
        <v>42634</v>
      </c>
      <c r="D6771" s="108"/>
      <c r="E6771" s="108" t="s">
        <v>14605</v>
      </c>
      <c r="F6771" s="108" t="s">
        <v>2398</v>
      </c>
      <c r="G6771" s="110"/>
      <c r="H6771" s="108" t="s">
        <v>25458</v>
      </c>
      <c r="I6771" s="108"/>
    </row>
    <row r="6772" spans="1:9">
      <c r="A6772" s="108" t="s">
        <v>571</v>
      </c>
      <c r="B6772" s="108" t="s">
        <v>2662</v>
      </c>
      <c r="C6772" s="109">
        <v>42635</v>
      </c>
      <c r="D6772" s="108"/>
      <c r="E6772" s="108" t="s">
        <v>14605</v>
      </c>
      <c r="F6772" s="108" t="s">
        <v>25506</v>
      </c>
      <c r="G6772" s="110"/>
      <c r="H6772" s="108" t="s">
        <v>25458</v>
      </c>
      <c r="I6772" s="108"/>
    </row>
    <row r="6773" spans="1:9" ht="27.6">
      <c r="A6773" s="108" t="s">
        <v>571</v>
      </c>
      <c r="B6773" s="108" t="s">
        <v>3520</v>
      </c>
      <c r="C6773" s="109">
        <v>42632</v>
      </c>
      <c r="D6773" s="108"/>
      <c r="E6773" s="108" t="s">
        <v>14605</v>
      </c>
      <c r="F6773" s="108" t="s">
        <v>3512</v>
      </c>
      <c r="G6773" s="110"/>
      <c r="H6773" s="108" t="s">
        <v>25458</v>
      </c>
      <c r="I6773" s="108"/>
    </row>
    <row r="6774" spans="1:9">
      <c r="A6774" s="108" t="s">
        <v>571</v>
      </c>
      <c r="B6774" s="108" t="s">
        <v>5026</v>
      </c>
      <c r="C6774" s="109">
        <v>42823</v>
      </c>
      <c r="D6774" s="108"/>
      <c r="E6774" s="108" t="s">
        <v>14605</v>
      </c>
      <c r="F6774" s="108" t="s">
        <v>5018</v>
      </c>
      <c r="G6774" s="110"/>
      <c r="H6774" s="108" t="s">
        <v>25458</v>
      </c>
      <c r="I6774" s="108"/>
    </row>
    <row r="6775" spans="1:9">
      <c r="A6775" s="108" t="s">
        <v>571</v>
      </c>
      <c r="B6775" s="108" t="s">
        <v>1289</v>
      </c>
      <c r="C6775" s="109">
        <v>42816</v>
      </c>
      <c r="D6775" s="108"/>
      <c r="E6775" s="108" t="s">
        <v>14605</v>
      </c>
      <c r="F6775" s="108" t="s">
        <v>1281</v>
      </c>
      <c r="G6775" s="110"/>
      <c r="H6775" s="108" t="s">
        <v>25458</v>
      </c>
      <c r="I6775" s="108"/>
    </row>
    <row r="6776" spans="1:9">
      <c r="A6776" s="108" t="s">
        <v>571</v>
      </c>
      <c r="B6776" s="108" t="s">
        <v>2757</v>
      </c>
      <c r="C6776" s="109">
        <v>42860</v>
      </c>
      <c r="D6776" s="108"/>
      <c r="E6776" s="108" t="s">
        <v>14605</v>
      </c>
      <c r="F6776" s="108" t="s">
        <v>25507</v>
      </c>
      <c r="G6776" s="110"/>
      <c r="H6776" s="108" t="s">
        <v>25458</v>
      </c>
      <c r="I6776" s="108"/>
    </row>
    <row r="6777" spans="1:9">
      <c r="A6777" s="108" t="s">
        <v>571</v>
      </c>
      <c r="B6777" s="108" t="s">
        <v>2756</v>
      </c>
      <c r="C6777" s="109">
        <v>42915</v>
      </c>
      <c r="D6777" s="108"/>
      <c r="E6777" s="108" t="s">
        <v>14605</v>
      </c>
      <c r="F6777" s="108" t="s">
        <v>25507</v>
      </c>
      <c r="G6777" s="110"/>
      <c r="H6777" s="108" t="s">
        <v>25458</v>
      </c>
      <c r="I6777" s="108"/>
    </row>
    <row r="6778" spans="1:9">
      <c r="A6778" s="108" t="s">
        <v>571</v>
      </c>
      <c r="B6778" s="108" t="s">
        <v>2272</v>
      </c>
      <c r="C6778" s="109">
        <v>44315</v>
      </c>
      <c r="D6778" s="108"/>
      <c r="E6778" s="108" t="s">
        <v>14605</v>
      </c>
      <c r="F6778" s="108" t="s">
        <v>2251</v>
      </c>
      <c r="G6778" s="110"/>
      <c r="H6778" s="108" t="s">
        <v>25458</v>
      </c>
      <c r="I6778" s="108"/>
    </row>
    <row r="6779" spans="1:9">
      <c r="A6779" s="108" t="s">
        <v>2291</v>
      </c>
      <c r="B6779" s="108" t="s">
        <v>2290</v>
      </c>
      <c r="C6779" s="109">
        <v>44315</v>
      </c>
      <c r="D6779" s="108"/>
      <c r="E6779" s="108" t="s">
        <v>14605</v>
      </c>
      <c r="F6779" s="108" t="s">
        <v>2251</v>
      </c>
      <c r="G6779" s="110"/>
      <c r="H6779" s="108" t="s">
        <v>25458</v>
      </c>
      <c r="I6779" s="108"/>
    </row>
    <row r="6780" spans="1:9" ht="27.6">
      <c r="A6780" s="108" t="s">
        <v>571</v>
      </c>
      <c r="B6780" s="108" t="s">
        <v>4983</v>
      </c>
      <c r="C6780" s="109">
        <v>43006</v>
      </c>
      <c r="D6780" s="108"/>
      <c r="E6780" s="108" t="s">
        <v>14605</v>
      </c>
      <c r="F6780" s="108" t="s">
        <v>4984</v>
      </c>
      <c r="G6780" s="110"/>
      <c r="H6780" s="108" t="s">
        <v>25458</v>
      </c>
      <c r="I6780" s="108"/>
    </row>
    <row r="6781" spans="1:9">
      <c r="A6781" s="108" t="s">
        <v>571</v>
      </c>
      <c r="B6781" s="108" t="s">
        <v>4527</v>
      </c>
      <c r="C6781" s="109">
        <v>43073</v>
      </c>
      <c r="D6781" s="108"/>
      <c r="E6781" s="108" t="s">
        <v>14605</v>
      </c>
      <c r="F6781" s="108" t="s">
        <v>4515</v>
      </c>
      <c r="G6781" s="110"/>
      <c r="H6781" s="108" t="s">
        <v>25458</v>
      </c>
      <c r="I6781" s="108"/>
    </row>
    <row r="6782" spans="1:9">
      <c r="A6782" s="108" t="s">
        <v>571</v>
      </c>
      <c r="B6782" s="108" t="s">
        <v>5123</v>
      </c>
      <c r="C6782" s="109">
        <v>43158</v>
      </c>
      <c r="D6782" s="108"/>
      <c r="E6782" s="108" t="s">
        <v>14605</v>
      </c>
      <c r="F6782" s="108" t="s">
        <v>5124</v>
      </c>
      <c r="G6782" s="110"/>
      <c r="H6782" s="108" t="s">
        <v>25458</v>
      </c>
      <c r="I6782" s="108"/>
    </row>
    <row r="6783" spans="1:9">
      <c r="A6783" s="108" t="s">
        <v>571</v>
      </c>
      <c r="B6783" s="108" t="s">
        <v>3799</v>
      </c>
      <c r="C6783" s="109">
        <v>43116</v>
      </c>
      <c r="D6783" s="108"/>
      <c r="E6783" s="108" t="s">
        <v>14605</v>
      </c>
      <c r="F6783" s="108" t="s">
        <v>3800</v>
      </c>
      <c r="G6783" s="110"/>
      <c r="H6783" s="108" t="s">
        <v>25458</v>
      </c>
      <c r="I6783" s="108"/>
    </row>
    <row r="6784" spans="1:9">
      <c r="A6784" s="108" t="s">
        <v>571</v>
      </c>
      <c r="B6784" s="108" t="s">
        <v>4635</v>
      </c>
      <c r="C6784" s="109">
        <v>43142</v>
      </c>
      <c r="D6784" s="108"/>
      <c r="E6784" s="108" t="s">
        <v>14605</v>
      </c>
      <c r="F6784" s="108" t="s">
        <v>4631</v>
      </c>
      <c r="G6784" s="110"/>
      <c r="H6784" s="108" t="s">
        <v>25458</v>
      </c>
      <c r="I6784" s="108"/>
    </row>
    <row r="6785" spans="1:9">
      <c r="A6785" s="108" t="s">
        <v>571</v>
      </c>
      <c r="B6785" s="108" t="s">
        <v>3996</v>
      </c>
      <c r="C6785" s="109">
        <v>43286</v>
      </c>
      <c r="D6785" s="108"/>
      <c r="E6785" s="108" t="s">
        <v>14605</v>
      </c>
      <c r="F6785" s="108" t="s">
        <v>3997</v>
      </c>
      <c r="G6785" s="110"/>
      <c r="H6785" s="108" t="s">
        <v>25458</v>
      </c>
      <c r="I6785" s="108"/>
    </row>
    <row r="6786" spans="1:9">
      <c r="A6786" s="108" t="s">
        <v>571</v>
      </c>
      <c r="B6786" s="108" t="s">
        <v>1006</v>
      </c>
      <c r="C6786" s="109">
        <v>43371</v>
      </c>
      <c r="D6786" s="108"/>
      <c r="E6786" s="108" t="s">
        <v>14605</v>
      </c>
      <c r="F6786" s="108" t="s">
        <v>986</v>
      </c>
      <c r="G6786" s="110"/>
      <c r="H6786" s="108" t="s">
        <v>25458</v>
      </c>
      <c r="I6786" s="108"/>
    </row>
    <row r="6787" spans="1:9">
      <c r="A6787" s="108" t="s">
        <v>571</v>
      </c>
      <c r="B6787" s="108" t="s">
        <v>4464</v>
      </c>
      <c r="C6787" s="109">
        <v>43502</v>
      </c>
      <c r="D6787" s="108"/>
      <c r="E6787" s="108" t="s">
        <v>14605</v>
      </c>
      <c r="F6787" s="108" t="s">
        <v>4448</v>
      </c>
      <c r="G6787" s="110"/>
      <c r="H6787" s="108" t="s">
        <v>25458</v>
      </c>
      <c r="I6787" s="108"/>
    </row>
    <row r="6788" spans="1:9">
      <c r="A6788" s="108" t="s">
        <v>571</v>
      </c>
      <c r="B6788" s="108" t="s">
        <v>570</v>
      </c>
      <c r="C6788" s="109">
        <v>43594</v>
      </c>
      <c r="D6788" s="108"/>
      <c r="E6788" s="108" t="s">
        <v>14605</v>
      </c>
      <c r="F6788" s="108" t="s">
        <v>25508</v>
      </c>
      <c r="G6788" s="110"/>
      <c r="H6788" s="108" t="s">
        <v>25458</v>
      </c>
      <c r="I6788" s="108"/>
    </row>
    <row r="6789" spans="1:9">
      <c r="A6789" s="108" t="s">
        <v>571</v>
      </c>
      <c r="B6789" s="108" t="s">
        <v>2271</v>
      </c>
      <c r="C6789" s="109">
        <v>43770</v>
      </c>
      <c r="D6789" s="108"/>
      <c r="E6789" s="108" t="s">
        <v>14605</v>
      </c>
      <c r="F6789" s="108" t="s">
        <v>2251</v>
      </c>
      <c r="G6789" s="110"/>
      <c r="H6789" s="108" t="s">
        <v>25458</v>
      </c>
      <c r="I6789" s="108"/>
    </row>
    <row r="6790" spans="1:9">
      <c r="A6790" s="108" t="s">
        <v>571</v>
      </c>
      <c r="B6790" s="108" t="s">
        <v>2584</v>
      </c>
      <c r="C6790" s="109">
        <v>43879</v>
      </c>
      <c r="D6790" s="108"/>
      <c r="E6790" s="108" t="s">
        <v>14605</v>
      </c>
      <c r="F6790" s="108" t="s">
        <v>2552</v>
      </c>
      <c r="G6790" s="110"/>
      <c r="H6790" s="108" t="s">
        <v>25458</v>
      </c>
      <c r="I6790" s="108"/>
    </row>
    <row r="6791" spans="1:9">
      <c r="A6791" s="108" t="s">
        <v>571</v>
      </c>
      <c r="B6791" s="108" t="s">
        <v>2150</v>
      </c>
      <c r="C6791" s="109">
        <v>43937</v>
      </c>
      <c r="D6791" s="108"/>
      <c r="E6791" s="108" t="s">
        <v>14605</v>
      </c>
      <c r="F6791" s="108" t="s">
        <v>2151</v>
      </c>
      <c r="G6791" s="110"/>
      <c r="H6791" s="108" t="s">
        <v>25458</v>
      </c>
      <c r="I6791" s="108"/>
    </row>
    <row r="6792" spans="1:9">
      <c r="A6792" s="108" t="s">
        <v>316</v>
      </c>
      <c r="B6792" s="108" t="s">
        <v>3311</v>
      </c>
      <c r="C6792" s="109">
        <v>43454</v>
      </c>
      <c r="D6792" s="108"/>
      <c r="E6792" s="108" t="s">
        <v>14605</v>
      </c>
      <c r="F6792" s="108" t="s">
        <v>3312</v>
      </c>
      <c r="G6792" s="110"/>
      <c r="H6792" s="108" t="s">
        <v>25458</v>
      </c>
      <c r="I6792" s="108"/>
    </row>
    <row r="6793" spans="1:9">
      <c r="A6793" s="108" t="s">
        <v>316</v>
      </c>
      <c r="B6793" s="108" t="s">
        <v>498</v>
      </c>
      <c r="C6793" s="109">
        <v>43601</v>
      </c>
      <c r="D6793" s="108"/>
      <c r="E6793" s="108" t="s">
        <v>14605</v>
      </c>
      <c r="F6793" s="108" t="s">
        <v>484</v>
      </c>
      <c r="G6793" s="110"/>
      <c r="H6793" s="108" t="s">
        <v>25458</v>
      </c>
      <c r="I6793" s="108"/>
    </row>
    <row r="6794" spans="1:9">
      <c r="A6794" s="108" t="s">
        <v>316</v>
      </c>
      <c r="B6794" s="108" t="s">
        <v>4629</v>
      </c>
      <c r="C6794" s="109">
        <v>43691</v>
      </c>
      <c r="D6794" s="108"/>
      <c r="E6794" s="108" t="s">
        <v>14605</v>
      </c>
      <c r="F6794" s="108" t="s">
        <v>4628</v>
      </c>
      <c r="G6794" s="110"/>
      <c r="H6794" s="108" t="s">
        <v>25458</v>
      </c>
      <c r="I6794" s="108"/>
    </row>
    <row r="6795" spans="1:9" ht="27.6">
      <c r="A6795" s="108" t="s">
        <v>4274</v>
      </c>
      <c r="B6795" s="108" t="s">
        <v>4273</v>
      </c>
      <c r="C6795" s="109">
        <v>43696</v>
      </c>
      <c r="D6795" s="108"/>
      <c r="E6795" s="108" t="s">
        <v>14605</v>
      </c>
      <c r="F6795" s="108" t="s">
        <v>4260</v>
      </c>
      <c r="G6795" s="110"/>
      <c r="H6795" s="108" t="s">
        <v>25458</v>
      </c>
      <c r="I6795" s="108"/>
    </row>
    <row r="6796" spans="1:9" ht="27.6">
      <c r="A6796" s="108" t="s">
        <v>14690</v>
      </c>
      <c r="B6796" s="108" t="s">
        <v>3852</v>
      </c>
      <c r="C6796" s="109">
        <v>42535</v>
      </c>
      <c r="D6796" s="108"/>
      <c r="E6796" s="108" t="s">
        <v>14605</v>
      </c>
      <c r="F6796" s="108" t="s">
        <v>3853</v>
      </c>
      <c r="G6796" s="110"/>
      <c r="H6796" s="108" t="s">
        <v>25458</v>
      </c>
      <c r="I6796" s="108"/>
    </row>
    <row r="6797" spans="1:9" ht="27.6">
      <c r="A6797" s="108" t="s">
        <v>2002</v>
      </c>
      <c r="B6797" s="108" t="s">
        <v>3742</v>
      </c>
      <c r="C6797" s="109">
        <v>42124</v>
      </c>
      <c r="D6797" s="108"/>
      <c r="E6797" s="108" t="s">
        <v>14605</v>
      </c>
      <c r="F6797" s="108" t="s">
        <v>3743</v>
      </c>
      <c r="G6797" s="110"/>
      <c r="H6797" s="108" t="s">
        <v>25458</v>
      </c>
      <c r="I6797" s="108"/>
    </row>
    <row r="6798" spans="1:9">
      <c r="A6798" s="108" t="s">
        <v>2002</v>
      </c>
      <c r="B6798" s="108" t="s">
        <v>3956</v>
      </c>
      <c r="C6798" s="109">
        <v>42131</v>
      </c>
      <c r="D6798" s="108"/>
      <c r="E6798" s="108" t="s">
        <v>14605</v>
      </c>
      <c r="F6798" s="108" t="s">
        <v>3953</v>
      </c>
      <c r="G6798" s="110"/>
      <c r="H6798" s="108" t="s">
        <v>25458</v>
      </c>
      <c r="I6798" s="108"/>
    </row>
    <row r="6799" spans="1:9">
      <c r="A6799" s="108" t="s">
        <v>2002</v>
      </c>
      <c r="B6799" s="108" t="s">
        <v>3955</v>
      </c>
      <c r="C6799" s="109">
        <v>42220</v>
      </c>
      <c r="D6799" s="108"/>
      <c r="E6799" s="108" t="s">
        <v>14605</v>
      </c>
      <c r="F6799" s="108" t="s">
        <v>3953</v>
      </c>
      <c r="G6799" s="110"/>
      <c r="H6799" s="108" t="s">
        <v>25458</v>
      </c>
      <c r="I6799" s="108"/>
    </row>
    <row r="6800" spans="1:9">
      <c r="A6800" s="108" t="s">
        <v>2002</v>
      </c>
      <c r="B6800" s="108" t="s">
        <v>1025</v>
      </c>
      <c r="C6800" s="109">
        <v>42240</v>
      </c>
      <c r="D6800" s="108"/>
      <c r="E6800" s="108" t="s">
        <v>14605</v>
      </c>
      <c r="F6800" s="108" t="s">
        <v>1026</v>
      </c>
      <c r="G6800" s="110"/>
      <c r="H6800" s="108" t="s">
        <v>25458</v>
      </c>
      <c r="I6800" s="108"/>
    </row>
    <row r="6801" spans="1:9" ht="27.6">
      <c r="A6801" s="108" t="s">
        <v>2002</v>
      </c>
      <c r="B6801" s="108" t="s">
        <v>3944</v>
      </c>
      <c r="C6801" s="109">
        <v>42264</v>
      </c>
      <c r="D6801" s="108"/>
      <c r="E6801" s="108" t="s">
        <v>14605</v>
      </c>
      <c r="F6801" s="108" t="s">
        <v>3940</v>
      </c>
      <c r="G6801" s="110"/>
      <c r="H6801" s="108" t="s">
        <v>25458</v>
      </c>
      <c r="I6801" s="108"/>
    </row>
    <row r="6802" spans="1:9" ht="27.6">
      <c r="A6802" s="108" t="s">
        <v>2002</v>
      </c>
      <c r="B6802" s="108" t="s">
        <v>5263</v>
      </c>
      <c r="C6802" s="109">
        <v>42312</v>
      </c>
      <c r="D6802" s="108"/>
      <c r="E6802" s="108" t="s">
        <v>14605</v>
      </c>
      <c r="F6802" s="108" t="s">
        <v>5264</v>
      </c>
      <c r="G6802" s="110"/>
      <c r="H6802" s="108" t="s">
        <v>25458</v>
      </c>
      <c r="I6802" s="108"/>
    </row>
    <row r="6803" spans="1:9" ht="27.6">
      <c r="A6803" s="108" t="s">
        <v>2002</v>
      </c>
      <c r="B6803" s="108" t="s">
        <v>4264</v>
      </c>
      <c r="C6803" s="109">
        <v>42417</v>
      </c>
      <c r="D6803" s="108"/>
      <c r="E6803" s="108" t="s">
        <v>14605</v>
      </c>
      <c r="F6803" s="108" t="s">
        <v>4260</v>
      </c>
      <c r="G6803" s="110"/>
      <c r="H6803" s="108" t="s">
        <v>25458</v>
      </c>
      <c r="I6803" s="108"/>
    </row>
    <row r="6804" spans="1:9">
      <c r="A6804" s="108" t="s">
        <v>2002</v>
      </c>
      <c r="B6804" s="108" t="s">
        <v>364</v>
      </c>
      <c r="C6804" s="109">
        <v>42457</v>
      </c>
      <c r="D6804" s="108"/>
      <c r="E6804" s="108" t="s">
        <v>14605</v>
      </c>
      <c r="F6804" s="108" t="s">
        <v>365</v>
      </c>
      <c r="G6804" s="110"/>
      <c r="H6804" s="108" t="s">
        <v>25458</v>
      </c>
      <c r="I6804" s="108"/>
    </row>
    <row r="6805" spans="1:9">
      <c r="A6805" s="108" t="s">
        <v>2002</v>
      </c>
      <c r="B6805" s="108" t="s">
        <v>1688</v>
      </c>
      <c r="C6805" s="109">
        <v>42548</v>
      </c>
      <c r="D6805" s="108"/>
      <c r="E6805" s="108" t="s">
        <v>14605</v>
      </c>
      <c r="F6805" s="108" t="s">
        <v>1689</v>
      </c>
      <c r="G6805" s="110"/>
      <c r="H6805" s="108" t="s">
        <v>25458</v>
      </c>
      <c r="I6805" s="108"/>
    </row>
    <row r="6806" spans="1:9">
      <c r="A6806" s="108" t="s">
        <v>2002</v>
      </c>
      <c r="B6806" s="108" t="s">
        <v>5064</v>
      </c>
      <c r="C6806" s="109">
        <v>42640</v>
      </c>
      <c r="D6806" s="108"/>
      <c r="E6806" s="108" t="s">
        <v>14605</v>
      </c>
      <c r="F6806" s="108" t="s">
        <v>5057</v>
      </c>
      <c r="G6806" s="110"/>
      <c r="H6806" s="108" t="s">
        <v>25458</v>
      </c>
      <c r="I6806" s="108"/>
    </row>
    <row r="6807" spans="1:9">
      <c r="A6807" s="108" t="s">
        <v>2002</v>
      </c>
      <c r="B6807" s="108" t="s">
        <v>1075</v>
      </c>
      <c r="C6807" s="109">
        <v>42682</v>
      </c>
      <c r="D6807" s="108"/>
      <c r="E6807" s="108" t="s">
        <v>14605</v>
      </c>
      <c r="F6807" s="108" t="s">
        <v>1066</v>
      </c>
      <c r="G6807" s="110"/>
      <c r="H6807" s="108" t="s">
        <v>25458</v>
      </c>
      <c r="I6807" s="108"/>
    </row>
    <row r="6808" spans="1:9">
      <c r="A6808" s="108" t="s">
        <v>2002</v>
      </c>
      <c r="B6808" s="108" t="s">
        <v>2450</v>
      </c>
      <c r="C6808" s="109">
        <v>42915</v>
      </c>
      <c r="D6808" s="108"/>
      <c r="E6808" s="108" t="s">
        <v>14605</v>
      </c>
      <c r="F6808" s="108" t="s">
        <v>2431</v>
      </c>
      <c r="G6808" s="110"/>
      <c r="H6808" s="108" t="s">
        <v>25458</v>
      </c>
      <c r="I6808" s="108"/>
    </row>
    <row r="6809" spans="1:9">
      <c r="A6809" s="108" t="s">
        <v>2002</v>
      </c>
      <c r="B6809" s="108" t="s">
        <v>335</v>
      </c>
      <c r="C6809" s="109">
        <v>42913</v>
      </c>
      <c r="D6809" s="108"/>
      <c r="E6809" s="108" t="s">
        <v>14605</v>
      </c>
      <c r="F6809" s="108" t="s">
        <v>334</v>
      </c>
      <c r="G6809" s="110"/>
      <c r="H6809" s="108" t="s">
        <v>25458</v>
      </c>
      <c r="I6809" s="108"/>
    </row>
    <row r="6810" spans="1:9">
      <c r="A6810" s="108" t="s">
        <v>2623</v>
      </c>
      <c r="B6810" s="108" t="s">
        <v>2684</v>
      </c>
      <c r="C6810" s="109">
        <v>42963</v>
      </c>
      <c r="D6810" s="108"/>
      <c r="E6810" s="108" t="s">
        <v>14605</v>
      </c>
      <c r="F6810" s="108" t="s">
        <v>2685</v>
      </c>
      <c r="G6810" s="110"/>
      <c r="H6810" s="108" t="s">
        <v>25458</v>
      </c>
      <c r="I6810" s="108"/>
    </row>
    <row r="6811" spans="1:9">
      <c r="A6811" s="108" t="s">
        <v>2002</v>
      </c>
      <c r="B6811" s="108" t="s">
        <v>3242</v>
      </c>
      <c r="C6811" s="109">
        <v>43068</v>
      </c>
      <c r="D6811" s="108"/>
      <c r="E6811" s="108" t="s">
        <v>14605</v>
      </c>
      <c r="F6811" s="108" t="s">
        <v>3243</v>
      </c>
      <c r="G6811" s="110"/>
      <c r="H6811" s="108" t="s">
        <v>25458</v>
      </c>
      <c r="I6811" s="108"/>
    </row>
    <row r="6812" spans="1:9">
      <c r="A6812" s="108" t="s">
        <v>2002</v>
      </c>
      <c r="B6812" s="108" t="s">
        <v>2200</v>
      </c>
      <c r="C6812" s="109">
        <v>43255</v>
      </c>
      <c r="D6812" s="108"/>
      <c r="E6812" s="108" t="s">
        <v>14605</v>
      </c>
      <c r="F6812" s="108" t="s">
        <v>2201</v>
      </c>
      <c r="G6812" s="110"/>
      <c r="H6812" s="108" t="s">
        <v>25458</v>
      </c>
      <c r="I6812" s="108"/>
    </row>
    <row r="6813" spans="1:9">
      <c r="A6813" s="108" t="s">
        <v>2002</v>
      </c>
      <c r="B6813" s="108" t="s">
        <v>4411</v>
      </c>
      <c r="C6813" s="109">
        <v>43369</v>
      </c>
      <c r="D6813" s="108"/>
      <c r="E6813" s="108" t="s">
        <v>14605</v>
      </c>
      <c r="F6813" s="108" t="s">
        <v>4390</v>
      </c>
      <c r="G6813" s="110"/>
      <c r="H6813" s="108" t="s">
        <v>25458</v>
      </c>
      <c r="I6813" s="108"/>
    </row>
    <row r="6814" spans="1:9">
      <c r="A6814" s="108" t="s">
        <v>2002</v>
      </c>
      <c r="B6814" s="108" t="s">
        <v>2210</v>
      </c>
      <c r="C6814" s="109">
        <v>43640</v>
      </c>
      <c r="D6814" s="108"/>
      <c r="E6814" s="108" t="s">
        <v>14605</v>
      </c>
      <c r="F6814" s="108" t="s">
        <v>2211</v>
      </c>
      <c r="G6814" s="110"/>
      <c r="H6814" s="108" t="s">
        <v>25458</v>
      </c>
      <c r="I6814" s="108"/>
    </row>
    <row r="6815" spans="1:9">
      <c r="A6815" s="108" t="s">
        <v>2002</v>
      </c>
      <c r="B6815" s="108" t="s">
        <v>4999</v>
      </c>
      <c r="C6815" s="109">
        <v>43725</v>
      </c>
      <c r="D6815" s="108"/>
      <c r="E6815" s="108" t="s">
        <v>14605</v>
      </c>
      <c r="F6815" s="108" t="s">
        <v>25509</v>
      </c>
      <c r="G6815" s="110"/>
      <c r="H6815" s="108" t="s">
        <v>25458</v>
      </c>
      <c r="I6815" s="108"/>
    </row>
    <row r="6816" spans="1:9" ht="27.6">
      <c r="A6816" s="108" t="s">
        <v>2002</v>
      </c>
      <c r="B6816" s="108" t="s">
        <v>930</v>
      </c>
      <c r="C6816" s="109">
        <v>43815</v>
      </c>
      <c r="D6816" s="108"/>
      <c r="E6816" s="108" t="s">
        <v>14605</v>
      </c>
      <c r="F6816" s="108" t="s">
        <v>931</v>
      </c>
      <c r="G6816" s="110"/>
      <c r="H6816" s="108" t="s">
        <v>25458</v>
      </c>
      <c r="I6816" s="108"/>
    </row>
    <row r="6817" spans="1:9">
      <c r="A6817" s="108" t="s">
        <v>2002</v>
      </c>
      <c r="B6817" s="108" t="s">
        <v>3135</v>
      </c>
      <c r="C6817" s="109">
        <v>43817</v>
      </c>
      <c r="D6817" s="108"/>
      <c r="E6817" s="108" t="s">
        <v>14605</v>
      </c>
      <c r="F6817" s="108" t="s">
        <v>3136</v>
      </c>
      <c r="G6817" s="110"/>
      <c r="H6817" s="108" t="s">
        <v>25458</v>
      </c>
      <c r="I6817" s="108"/>
    </row>
    <row r="6818" spans="1:9">
      <c r="A6818" s="108" t="s">
        <v>2002</v>
      </c>
      <c r="B6818" s="108" t="s">
        <v>3679</v>
      </c>
      <c r="C6818" s="109">
        <v>43822</v>
      </c>
      <c r="D6818" s="108"/>
      <c r="E6818" s="108" t="s">
        <v>14605</v>
      </c>
      <c r="F6818" s="108" t="s">
        <v>3680</v>
      </c>
      <c r="G6818" s="110"/>
      <c r="H6818" s="108" t="s">
        <v>25458</v>
      </c>
      <c r="I6818" s="108"/>
    </row>
    <row r="6819" spans="1:9">
      <c r="A6819" s="108" t="s">
        <v>2002</v>
      </c>
      <c r="B6819" s="108" t="s">
        <v>4139</v>
      </c>
      <c r="C6819" s="109">
        <v>43829</v>
      </c>
      <c r="D6819" s="108"/>
      <c r="E6819" s="108" t="s">
        <v>14605</v>
      </c>
      <c r="F6819" s="108" t="s">
        <v>4140</v>
      </c>
      <c r="G6819" s="110"/>
      <c r="H6819" s="108" t="s">
        <v>25458</v>
      </c>
      <c r="I6819" s="108"/>
    </row>
    <row r="6820" spans="1:9" ht="27.6">
      <c r="A6820" s="108" t="s">
        <v>2002</v>
      </c>
      <c r="B6820" s="108" t="s">
        <v>3102</v>
      </c>
      <c r="C6820" s="109">
        <v>43826</v>
      </c>
      <c r="D6820" s="108"/>
      <c r="E6820" s="108" t="s">
        <v>14605</v>
      </c>
      <c r="F6820" s="108" t="s">
        <v>3096</v>
      </c>
      <c r="G6820" s="110"/>
      <c r="H6820" s="108" t="s">
        <v>25458</v>
      </c>
      <c r="I6820" s="108"/>
    </row>
    <row r="6821" spans="1:9">
      <c r="A6821" s="108" t="s">
        <v>1465</v>
      </c>
      <c r="B6821" s="108" t="s">
        <v>173</v>
      </c>
      <c r="C6821" s="109">
        <v>42130</v>
      </c>
      <c r="D6821" s="108"/>
      <c r="E6821" s="108" t="s">
        <v>14605</v>
      </c>
      <c r="F6821" s="108" t="s">
        <v>174</v>
      </c>
      <c r="G6821" s="110"/>
      <c r="H6821" s="108" t="s">
        <v>25458</v>
      </c>
      <c r="I6821" s="108"/>
    </row>
    <row r="6822" spans="1:9">
      <c r="A6822" s="108" t="s">
        <v>1465</v>
      </c>
      <c r="B6822" s="108" t="s">
        <v>5063</v>
      </c>
      <c r="C6822" s="109">
        <v>42130</v>
      </c>
      <c r="D6822" s="108"/>
      <c r="E6822" s="108" t="s">
        <v>14605</v>
      </c>
      <c r="F6822" s="108" t="s">
        <v>5057</v>
      </c>
      <c r="G6822" s="110"/>
      <c r="H6822" s="108" t="s">
        <v>25458</v>
      </c>
      <c r="I6822" s="108"/>
    </row>
    <row r="6823" spans="1:9">
      <c r="A6823" s="108" t="s">
        <v>1465</v>
      </c>
      <c r="B6823" s="108" t="s">
        <v>5031</v>
      </c>
      <c r="C6823" s="109">
        <v>42268</v>
      </c>
      <c r="D6823" s="108"/>
      <c r="E6823" s="108" t="s">
        <v>14605</v>
      </c>
      <c r="F6823" s="108" t="s">
        <v>5032</v>
      </c>
      <c r="G6823" s="110"/>
      <c r="H6823" s="108" t="s">
        <v>25458</v>
      </c>
      <c r="I6823" s="108"/>
    </row>
    <row r="6824" spans="1:9">
      <c r="A6824" s="108" t="s">
        <v>1465</v>
      </c>
      <c r="B6824" s="108" t="s">
        <v>1592</v>
      </c>
      <c r="C6824" s="109">
        <v>42723</v>
      </c>
      <c r="D6824" s="108"/>
      <c r="E6824" s="108" t="s">
        <v>14605</v>
      </c>
      <c r="F6824" s="108" t="s">
        <v>1577</v>
      </c>
      <c r="G6824" s="110"/>
      <c r="H6824" s="108" t="s">
        <v>25458</v>
      </c>
      <c r="I6824" s="108"/>
    </row>
    <row r="6825" spans="1:9">
      <c r="A6825" s="108" t="s">
        <v>1465</v>
      </c>
      <c r="B6825" s="108" t="s">
        <v>5296</v>
      </c>
      <c r="C6825" s="109">
        <v>42780</v>
      </c>
      <c r="D6825" s="108"/>
      <c r="E6825" s="108" t="s">
        <v>14605</v>
      </c>
      <c r="F6825" s="108" t="s">
        <v>5288</v>
      </c>
      <c r="G6825" s="110"/>
      <c r="H6825" s="108" t="s">
        <v>25458</v>
      </c>
      <c r="I6825" s="108"/>
    </row>
    <row r="6826" spans="1:9">
      <c r="A6826" s="108" t="s">
        <v>1465</v>
      </c>
      <c r="B6826" s="108" t="s">
        <v>1385</v>
      </c>
      <c r="C6826" s="109">
        <v>42993</v>
      </c>
      <c r="D6826" s="108"/>
      <c r="E6826" s="108" t="s">
        <v>14605</v>
      </c>
      <c r="F6826" s="108" t="s">
        <v>1386</v>
      </c>
      <c r="G6826" s="110"/>
      <c r="H6826" s="108" t="s">
        <v>25458</v>
      </c>
      <c r="I6826" s="108"/>
    </row>
    <row r="6827" spans="1:9">
      <c r="A6827" s="108" t="s">
        <v>1465</v>
      </c>
      <c r="B6827" s="108" t="s">
        <v>4137</v>
      </c>
      <c r="C6827" s="109">
        <v>43007</v>
      </c>
      <c r="D6827" s="108"/>
      <c r="E6827" s="108" t="s">
        <v>14605</v>
      </c>
      <c r="F6827" s="108" t="s">
        <v>4130</v>
      </c>
      <c r="G6827" s="110"/>
      <c r="H6827" s="108" t="s">
        <v>25458</v>
      </c>
      <c r="I6827" s="108"/>
    </row>
    <row r="6828" spans="1:9">
      <c r="A6828" s="108" t="s">
        <v>1465</v>
      </c>
      <c r="B6828" s="108" t="s">
        <v>2336</v>
      </c>
      <c r="C6828" s="109">
        <v>43277</v>
      </c>
      <c r="D6828" s="108"/>
      <c r="E6828" s="108" t="s">
        <v>14605</v>
      </c>
      <c r="F6828" s="108" t="s">
        <v>2337</v>
      </c>
      <c r="G6828" s="110"/>
      <c r="H6828" s="108" t="s">
        <v>25458</v>
      </c>
      <c r="I6828" s="108"/>
    </row>
    <row r="6829" spans="1:9" ht="27.6">
      <c r="A6829" s="108" t="s">
        <v>1465</v>
      </c>
      <c r="B6829" s="108" t="s">
        <v>4263</v>
      </c>
      <c r="C6829" s="109">
        <v>43514</v>
      </c>
      <c r="D6829" s="108"/>
      <c r="E6829" s="108" t="s">
        <v>14605</v>
      </c>
      <c r="F6829" s="108" t="s">
        <v>4260</v>
      </c>
      <c r="G6829" s="110"/>
      <c r="H6829" s="108" t="s">
        <v>25458</v>
      </c>
      <c r="I6829" s="108"/>
    </row>
    <row r="6830" spans="1:9">
      <c r="A6830" s="108" t="s">
        <v>1465</v>
      </c>
      <c r="B6830" s="108" t="s">
        <v>2735</v>
      </c>
      <c r="C6830" s="109">
        <v>43636</v>
      </c>
      <c r="D6830" s="108"/>
      <c r="E6830" s="108" t="s">
        <v>14605</v>
      </c>
      <c r="F6830" s="108" t="s">
        <v>2736</v>
      </c>
      <c r="G6830" s="110"/>
      <c r="H6830" s="108" t="s">
        <v>25458</v>
      </c>
      <c r="I6830" s="108"/>
    </row>
    <row r="6831" spans="1:9" ht="27.6">
      <c r="A6831" s="108" t="s">
        <v>1465</v>
      </c>
      <c r="B6831" s="108" t="s">
        <v>4157</v>
      </c>
      <c r="C6831" s="109">
        <v>43746</v>
      </c>
      <c r="D6831" s="108"/>
      <c r="E6831" s="108" t="s">
        <v>14605</v>
      </c>
      <c r="F6831" s="108" t="s">
        <v>1179</v>
      </c>
      <c r="G6831" s="110"/>
      <c r="H6831" s="108" t="s">
        <v>25458</v>
      </c>
      <c r="I6831" s="108"/>
    </row>
    <row r="6832" spans="1:9" ht="27.6">
      <c r="A6832" s="108" t="s">
        <v>14679</v>
      </c>
      <c r="B6832" s="108" t="s">
        <v>4017</v>
      </c>
      <c r="C6832" s="109">
        <v>42436</v>
      </c>
      <c r="D6832" s="108"/>
      <c r="E6832" s="108" t="s">
        <v>14605</v>
      </c>
      <c r="F6832" s="108" t="s">
        <v>4014</v>
      </c>
      <c r="G6832" s="110"/>
      <c r="H6832" s="108" t="s">
        <v>25458</v>
      </c>
      <c r="I6832" s="108"/>
    </row>
    <row r="6833" spans="1:9">
      <c r="A6833" s="108" t="s">
        <v>14679</v>
      </c>
      <c r="B6833" s="108" t="s">
        <v>3841</v>
      </c>
      <c r="C6833" s="109">
        <v>43350</v>
      </c>
      <c r="D6833" s="108"/>
      <c r="E6833" s="108" t="s">
        <v>14605</v>
      </c>
      <c r="F6833" s="108" t="s">
        <v>3839</v>
      </c>
      <c r="G6833" s="110"/>
      <c r="H6833" s="108" t="s">
        <v>25458</v>
      </c>
      <c r="I6833" s="108"/>
    </row>
    <row r="6834" spans="1:9" ht="27.6">
      <c r="A6834" s="108" t="s">
        <v>14679</v>
      </c>
      <c r="B6834" s="108" t="s">
        <v>3101</v>
      </c>
      <c r="C6834" s="109">
        <v>43404</v>
      </c>
      <c r="D6834" s="108"/>
      <c r="E6834" s="108" t="s">
        <v>14605</v>
      </c>
      <c r="F6834" s="108" t="s">
        <v>3096</v>
      </c>
      <c r="G6834" s="110"/>
      <c r="H6834" s="108" t="s">
        <v>25458</v>
      </c>
      <c r="I6834" s="108"/>
    </row>
    <row r="6835" spans="1:9">
      <c r="A6835" s="108" t="s">
        <v>14679</v>
      </c>
      <c r="B6835" s="108" t="s">
        <v>3977</v>
      </c>
      <c r="C6835" s="109">
        <v>43418</v>
      </c>
      <c r="D6835" s="108"/>
      <c r="E6835" s="108" t="s">
        <v>14605</v>
      </c>
      <c r="F6835" s="108" t="s">
        <v>3978</v>
      </c>
      <c r="G6835" s="110"/>
      <c r="H6835" s="108" t="s">
        <v>25458</v>
      </c>
      <c r="I6835" s="108"/>
    </row>
    <row r="6836" spans="1:9">
      <c r="A6836" s="108" t="s">
        <v>923</v>
      </c>
      <c r="B6836" s="108" t="s">
        <v>3882</v>
      </c>
      <c r="C6836" s="109">
        <v>41927</v>
      </c>
      <c r="D6836" s="108"/>
      <c r="E6836" s="108" t="s">
        <v>14605</v>
      </c>
      <c r="F6836" s="108" t="s">
        <v>3878</v>
      </c>
      <c r="G6836" s="110"/>
      <c r="H6836" s="108" t="s">
        <v>25458</v>
      </c>
      <c r="I6836" s="108"/>
    </row>
    <row r="6837" spans="1:9">
      <c r="A6837" s="108" t="s">
        <v>923</v>
      </c>
      <c r="B6837" s="108" t="s">
        <v>2270</v>
      </c>
      <c r="C6837" s="109">
        <v>44273</v>
      </c>
      <c r="D6837" s="108"/>
      <c r="E6837" s="108" t="s">
        <v>14605</v>
      </c>
      <c r="F6837" s="108" t="s">
        <v>2251</v>
      </c>
      <c r="G6837" s="110"/>
      <c r="H6837" s="108" t="s">
        <v>25458</v>
      </c>
      <c r="I6837" s="108"/>
    </row>
    <row r="6838" spans="1:9">
      <c r="A6838" s="108" t="s">
        <v>2289</v>
      </c>
      <c r="B6838" s="108" t="s">
        <v>2288</v>
      </c>
      <c r="C6838" s="109">
        <v>44273</v>
      </c>
      <c r="D6838" s="108"/>
      <c r="E6838" s="108" t="s">
        <v>14605</v>
      </c>
      <c r="F6838" s="108" t="s">
        <v>2251</v>
      </c>
      <c r="G6838" s="110"/>
      <c r="H6838" s="108" t="s">
        <v>25458</v>
      </c>
      <c r="I6838" s="108"/>
    </row>
    <row r="6839" spans="1:9">
      <c r="A6839" s="108" t="s">
        <v>2287</v>
      </c>
      <c r="B6839" s="108" t="s">
        <v>2286</v>
      </c>
      <c r="C6839" s="109">
        <v>44273</v>
      </c>
      <c r="D6839" s="108"/>
      <c r="E6839" s="108" t="s">
        <v>14605</v>
      </c>
      <c r="F6839" s="108" t="s">
        <v>2251</v>
      </c>
      <c r="G6839" s="110"/>
      <c r="H6839" s="108" t="s">
        <v>25458</v>
      </c>
      <c r="I6839" s="108"/>
    </row>
    <row r="6840" spans="1:9" ht="27.6">
      <c r="A6840" s="108" t="s">
        <v>2284</v>
      </c>
      <c r="B6840" s="108" t="s">
        <v>2285</v>
      </c>
      <c r="C6840" s="109">
        <v>44273</v>
      </c>
      <c r="D6840" s="108"/>
      <c r="E6840" s="108" t="s">
        <v>14605</v>
      </c>
      <c r="F6840" s="108" t="s">
        <v>2251</v>
      </c>
      <c r="G6840" s="110"/>
      <c r="H6840" s="108" t="s">
        <v>25458</v>
      </c>
      <c r="I6840" s="108"/>
    </row>
    <row r="6841" spans="1:9">
      <c r="A6841" s="108" t="s">
        <v>923</v>
      </c>
      <c r="B6841" s="108" t="s">
        <v>2975</v>
      </c>
      <c r="C6841" s="109">
        <v>42656</v>
      </c>
      <c r="D6841" s="108"/>
      <c r="E6841" s="108" t="s">
        <v>14605</v>
      </c>
      <c r="F6841" s="108" t="s">
        <v>2967</v>
      </c>
      <c r="G6841" s="110"/>
      <c r="H6841" s="108" t="s">
        <v>25458</v>
      </c>
      <c r="I6841" s="108"/>
    </row>
    <row r="6842" spans="1:9">
      <c r="A6842" s="108" t="s">
        <v>14928</v>
      </c>
      <c r="B6842" s="108" t="s">
        <v>4878</v>
      </c>
      <c r="C6842" s="109">
        <v>42704</v>
      </c>
      <c r="D6842" s="108"/>
      <c r="E6842" s="108" t="s">
        <v>14605</v>
      </c>
      <c r="F6842" s="108" t="s">
        <v>4857</v>
      </c>
      <c r="G6842" s="110"/>
      <c r="H6842" s="108" t="s">
        <v>25458</v>
      </c>
      <c r="I6842" s="108"/>
    </row>
    <row r="6843" spans="1:9">
      <c r="A6843" s="108" t="s">
        <v>14928</v>
      </c>
      <c r="B6843" s="108" t="s">
        <v>4718</v>
      </c>
      <c r="C6843" s="109">
        <v>43091</v>
      </c>
      <c r="D6843" s="108"/>
      <c r="E6843" s="108" t="s">
        <v>14605</v>
      </c>
      <c r="F6843" s="108" t="s">
        <v>4702</v>
      </c>
      <c r="G6843" s="110"/>
      <c r="H6843" s="108" t="s">
        <v>25458</v>
      </c>
      <c r="I6843" s="108"/>
    </row>
    <row r="6844" spans="1:9">
      <c r="A6844" s="108" t="s">
        <v>14928</v>
      </c>
      <c r="B6844" s="108" t="s">
        <v>5049</v>
      </c>
      <c r="C6844" s="109">
        <v>43133</v>
      </c>
      <c r="D6844" s="108"/>
      <c r="E6844" s="108" t="s">
        <v>14605</v>
      </c>
      <c r="F6844" s="108" t="s">
        <v>5050</v>
      </c>
      <c r="G6844" s="110"/>
      <c r="H6844" s="108" t="s">
        <v>25458</v>
      </c>
      <c r="I6844" s="108"/>
    </row>
    <row r="6845" spans="1:9">
      <c r="A6845" s="108" t="s">
        <v>14928</v>
      </c>
      <c r="B6845" s="108" t="s">
        <v>1708</v>
      </c>
      <c r="C6845" s="109">
        <v>43356</v>
      </c>
      <c r="D6845" s="108"/>
      <c r="E6845" s="108" t="s">
        <v>14605</v>
      </c>
      <c r="F6845" s="108" t="s">
        <v>25510</v>
      </c>
      <c r="G6845" s="110"/>
      <c r="H6845" s="108" t="s">
        <v>25458</v>
      </c>
      <c r="I6845" s="108"/>
    </row>
    <row r="6846" spans="1:9">
      <c r="A6846" s="108" t="s">
        <v>14928</v>
      </c>
      <c r="B6846" s="108" t="s">
        <v>4717</v>
      </c>
      <c r="C6846" s="109">
        <v>43385</v>
      </c>
      <c r="D6846" s="108"/>
      <c r="E6846" s="108" t="s">
        <v>14605</v>
      </c>
      <c r="F6846" s="108" t="s">
        <v>4702</v>
      </c>
      <c r="G6846" s="110"/>
      <c r="H6846" s="108" t="s">
        <v>25458</v>
      </c>
      <c r="I6846" s="108"/>
    </row>
    <row r="6847" spans="1:9">
      <c r="A6847" s="108" t="s">
        <v>14928</v>
      </c>
      <c r="B6847" s="108" t="s">
        <v>1483</v>
      </c>
      <c r="C6847" s="109">
        <v>43643</v>
      </c>
      <c r="D6847" s="108"/>
      <c r="E6847" s="108" t="s">
        <v>14605</v>
      </c>
      <c r="F6847" s="108" t="s">
        <v>1470</v>
      </c>
      <c r="G6847" s="110"/>
      <c r="H6847" s="108" t="s">
        <v>25458</v>
      </c>
      <c r="I6847" s="108"/>
    </row>
    <row r="6848" spans="1:9">
      <c r="A6848" s="108" t="s">
        <v>14928</v>
      </c>
      <c r="B6848" s="108" t="s">
        <v>5277</v>
      </c>
      <c r="C6848" s="109">
        <v>43734</v>
      </c>
      <c r="D6848" s="108"/>
      <c r="E6848" s="108" t="s">
        <v>14605</v>
      </c>
      <c r="F6848" s="108" t="s">
        <v>25511</v>
      </c>
      <c r="G6848" s="110"/>
      <c r="H6848" s="108" t="s">
        <v>25458</v>
      </c>
      <c r="I6848" s="108"/>
    </row>
    <row r="6849" spans="1:9" ht="27.6">
      <c r="A6849" s="108" t="s">
        <v>5279</v>
      </c>
      <c r="B6849" s="108" t="s">
        <v>5278</v>
      </c>
      <c r="C6849" s="109">
        <v>43720</v>
      </c>
      <c r="D6849" s="108"/>
      <c r="E6849" s="108" t="s">
        <v>14605</v>
      </c>
      <c r="F6849" s="108" t="s">
        <v>25511</v>
      </c>
      <c r="G6849" s="110"/>
      <c r="H6849" s="108" t="s">
        <v>25458</v>
      </c>
      <c r="I6849" s="108"/>
    </row>
    <row r="6850" spans="1:9">
      <c r="A6850" s="108" t="s">
        <v>477</v>
      </c>
      <c r="B6850" s="108" t="s">
        <v>2666</v>
      </c>
      <c r="C6850" s="109">
        <v>42461</v>
      </c>
      <c r="D6850" s="108"/>
      <c r="E6850" s="108" t="s">
        <v>14605</v>
      </c>
      <c r="F6850" s="108" t="s">
        <v>2664</v>
      </c>
      <c r="G6850" s="110"/>
      <c r="H6850" s="108" t="s">
        <v>25458</v>
      </c>
      <c r="I6850" s="108"/>
    </row>
    <row r="6851" spans="1:9">
      <c r="A6851" s="108" t="s">
        <v>571</v>
      </c>
      <c r="B6851" s="108" t="s">
        <v>25512</v>
      </c>
      <c r="C6851" s="109">
        <v>43945</v>
      </c>
      <c r="D6851" s="108"/>
      <c r="E6851" s="108" t="s">
        <v>14605</v>
      </c>
      <c r="F6851" s="108" t="s">
        <v>23092</v>
      </c>
      <c r="G6851" s="110"/>
      <c r="H6851" s="108" t="s">
        <v>25458</v>
      </c>
      <c r="I6851" s="108"/>
    </row>
    <row r="6852" spans="1:9">
      <c r="A6852" s="108" t="s">
        <v>477</v>
      </c>
      <c r="B6852" s="108" t="s">
        <v>555</v>
      </c>
      <c r="C6852" s="109">
        <v>42866</v>
      </c>
      <c r="D6852" s="108"/>
      <c r="E6852" s="108" t="s">
        <v>14605</v>
      </c>
      <c r="F6852" s="108" t="s">
        <v>556</v>
      </c>
      <c r="G6852" s="110"/>
      <c r="H6852" s="108" t="s">
        <v>25458</v>
      </c>
      <c r="I6852" s="108"/>
    </row>
    <row r="6853" spans="1:9">
      <c r="A6853" s="108" t="s">
        <v>477</v>
      </c>
      <c r="B6853" s="108" t="s">
        <v>2583</v>
      </c>
      <c r="C6853" s="109">
        <v>42909</v>
      </c>
      <c r="D6853" s="108"/>
      <c r="E6853" s="108" t="s">
        <v>14605</v>
      </c>
      <c r="F6853" s="108" t="s">
        <v>2552</v>
      </c>
      <c r="G6853" s="110"/>
      <c r="H6853" s="108" t="s">
        <v>25458</v>
      </c>
      <c r="I6853" s="108"/>
    </row>
    <row r="6854" spans="1:9" ht="27.6">
      <c r="A6854" s="108" t="s">
        <v>477</v>
      </c>
      <c r="B6854" s="108" t="s">
        <v>3100</v>
      </c>
      <c r="C6854" s="109">
        <v>43004</v>
      </c>
      <c r="D6854" s="108"/>
      <c r="E6854" s="108" t="s">
        <v>14605</v>
      </c>
      <c r="F6854" s="108" t="s">
        <v>3096</v>
      </c>
      <c r="G6854" s="110"/>
      <c r="H6854" s="108" t="s">
        <v>25458</v>
      </c>
      <c r="I6854" s="108"/>
    </row>
    <row r="6855" spans="1:9">
      <c r="A6855" s="108" t="s">
        <v>477</v>
      </c>
      <c r="B6855" s="108" t="s">
        <v>333</v>
      </c>
      <c r="C6855" s="109">
        <v>43046</v>
      </c>
      <c r="D6855" s="108"/>
      <c r="E6855" s="108" t="s">
        <v>14605</v>
      </c>
      <c r="F6855" s="108" t="s">
        <v>334</v>
      </c>
      <c r="G6855" s="110"/>
      <c r="H6855" s="108" t="s">
        <v>25458</v>
      </c>
      <c r="I6855" s="108"/>
    </row>
    <row r="6856" spans="1:9" ht="27.6">
      <c r="A6856" s="108" t="s">
        <v>477</v>
      </c>
      <c r="B6856" s="108" t="s">
        <v>5275</v>
      </c>
      <c r="C6856" s="109">
        <v>43189</v>
      </c>
      <c r="D6856" s="108"/>
      <c r="E6856" s="108" t="s">
        <v>14605</v>
      </c>
      <c r="F6856" s="108" t="s">
        <v>5276</v>
      </c>
      <c r="G6856" s="110"/>
      <c r="H6856" s="108" t="s">
        <v>25458</v>
      </c>
      <c r="I6856" s="108"/>
    </row>
    <row r="6857" spans="1:9">
      <c r="A6857" s="108" t="s">
        <v>477</v>
      </c>
      <c r="B6857" s="108" t="s">
        <v>2582</v>
      </c>
      <c r="C6857" s="109">
        <v>43643</v>
      </c>
      <c r="D6857" s="108"/>
      <c r="E6857" s="108" t="s">
        <v>14605</v>
      </c>
      <c r="F6857" s="108" t="s">
        <v>2552</v>
      </c>
      <c r="G6857" s="110"/>
      <c r="H6857" s="108" t="s">
        <v>25458</v>
      </c>
      <c r="I6857" s="108"/>
    </row>
    <row r="6858" spans="1:9">
      <c r="A6858" s="108" t="s">
        <v>477</v>
      </c>
      <c r="B6858" s="108" t="s">
        <v>4042</v>
      </c>
      <c r="C6858" s="109">
        <v>43812</v>
      </c>
      <c r="D6858" s="108"/>
      <c r="E6858" s="108" t="s">
        <v>14605</v>
      </c>
      <c r="F6858" s="108" t="s">
        <v>25471</v>
      </c>
      <c r="G6858" s="110"/>
      <c r="H6858" s="108" t="s">
        <v>25458</v>
      </c>
      <c r="I6858" s="108"/>
    </row>
    <row r="6859" spans="1:9">
      <c r="A6859" s="108" t="s">
        <v>18180</v>
      </c>
      <c r="B6859" s="108" t="s">
        <v>4822</v>
      </c>
      <c r="C6859" s="109">
        <v>42522</v>
      </c>
      <c r="D6859" s="108"/>
      <c r="E6859" s="108" t="s">
        <v>14605</v>
      </c>
      <c r="F6859" s="108" t="s">
        <v>4818</v>
      </c>
      <c r="G6859" s="110"/>
      <c r="H6859" s="108" t="s">
        <v>25458</v>
      </c>
      <c r="I6859" s="108"/>
    </row>
    <row r="6860" spans="1:9" ht="27.6">
      <c r="A6860" s="108" t="s">
        <v>14929</v>
      </c>
      <c r="B6860" s="108" t="s">
        <v>2665</v>
      </c>
      <c r="C6860" s="109">
        <v>42430</v>
      </c>
      <c r="D6860" s="108"/>
      <c r="E6860" s="108" t="s">
        <v>14605</v>
      </c>
      <c r="F6860" s="108" t="s">
        <v>2664</v>
      </c>
      <c r="G6860" s="110"/>
      <c r="H6860" s="108" t="s">
        <v>25458</v>
      </c>
      <c r="I6860" s="108"/>
    </row>
    <row r="6861" spans="1:9" ht="27.6">
      <c r="A6861" s="108" t="s">
        <v>14929</v>
      </c>
      <c r="B6861" s="108" t="s">
        <v>2581</v>
      </c>
      <c r="C6861" s="109">
        <v>42461</v>
      </c>
      <c r="D6861" s="108"/>
      <c r="E6861" s="108" t="s">
        <v>14605</v>
      </c>
      <c r="F6861" s="108" t="s">
        <v>2552</v>
      </c>
      <c r="G6861" s="110"/>
      <c r="H6861" s="108" t="s">
        <v>25458</v>
      </c>
      <c r="I6861" s="108"/>
    </row>
    <row r="6862" spans="1:9" ht="27.6">
      <c r="A6862" s="108" t="s">
        <v>14929</v>
      </c>
      <c r="B6862" s="108" t="s">
        <v>1789</v>
      </c>
      <c r="C6862" s="109">
        <v>42822</v>
      </c>
      <c r="D6862" s="108"/>
      <c r="E6862" s="108" t="s">
        <v>14605</v>
      </c>
      <c r="F6862" s="108" t="s">
        <v>1770</v>
      </c>
      <c r="G6862" s="110"/>
      <c r="H6862" s="108" t="s">
        <v>25458</v>
      </c>
      <c r="I6862" s="108"/>
    </row>
    <row r="6863" spans="1:9" ht="27.6">
      <c r="A6863" s="108" t="s">
        <v>14929</v>
      </c>
      <c r="B6863" s="108" t="s">
        <v>2408</v>
      </c>
      <c r="C6863" s="109">
        <v>42723</v>
      </c>
      <c r="D6863" s="108"/>
      <c r="E6863" s="108" t="s">
        <v>14605</v>
      </c>
      <c r="F6863" s="108" t="s">
        <v>2405</v>
      </c>
      <c r="G6863" s="110"/>
      <c r="H6863" s="108" t="s">
        <v>25458</v>
      </c>
      <c r="I6863" s="108"/>
    </row>
    <row r="6864" spans="1:9" ht="27.6">
      <c r="A6864" s="108" t="s">
        <v>14929</v>
      </c>
      <c r="B6864" s="108" t="s">
        <v>2580</v>
      </c>
      <c r="C6864" s="109">
        <v>42825</v>
      </c>
      <c r="D6864" s="108"/>
      <c r="E6864" s="108" t="s">
        <v>14605</v>
      </c>
      <c r="F6864" s="108" t="s">
        <v>2552</v>
      </c>
      <c r="G6864" s="110"/>
      <c r="H6864" s="108" t="s">
        <v>25458</v>
      </c>
      <c r="I6864" s="108"/>
    </row>
    <row r="6865" spans="1:9" ht="27.6">
      <c r="A6865" s="108" t="s">
        <v>14929</v>
      </c>
      <c r="B6865" s="108" t="s">
        <v>2672</v>
      </c>
      <c r="C6865" s="109">
        <v>43697</v>
      </c>
      <c r="D6865" s="108"/>
      <c r="E6865" s="108" t="s">
        <v>14605</v>
      </c>
      <c r="F6865" s="108" t="s">
        <v>2673</v>
      </c>
      <c r="G6865" s="110"/>
      <c r="H6865" s="108" t="s">
        <v>25458</v>
      </c>
      <c r="I6865" s="108"/>
    </row>
    <row r="6866" spans="1:9" ht="27.6">
      <c r="A6866" s="108" t="s">
        <v>14929</v>
      </c>
      <c r="B6866" s="108" t="s">
        <v>2579</v>
      </c>
      <c r="C6866" s="109">
        <v>43035</v>
      </c>
      <c r="D6866" s="108"/>
      <c r="E6866" s="108" t="s">
        <v>14605</v>
      </c>
      <c r="F6866" s="108" t="s">
        <v>2552</v>
      </c>
      <c r="G6866" s="110"/>
      <c r="H6866" s="108" t="s">
        <v>25458</v>
      </c>
      <c r="I6866" s="108"/>
    </row>
    <row r="6867" spans="1:9">
      <c r="A6867" s="108" t="s">
        <v>1003</v>
      </c>
      <c r="B6867" s="108" t="s">
        <v>1002</v>
      </c>
      <c r="C6867" s="109">
        <v>42831</v>
      </c>
      <c r="D6867" s="108"/>
      <c r="E6867" s="108" t="s">
        <v>14605</v>
      </c>
      <c r="F6867" s="108" t="s">
        <v>986</v>
      </c>
      <c r="G6867" s="110"/>
      <c r="H6867" s="108" t="s">
        <v>25458</v>
      </c>
      <c r="I6867" s="108"/>
    </row>
    <row r="6868" spans="1:9" ht="27.6">
      <c r="A6868" s="108" t="s">
        <v>15075</v>
      </c>
      <c r="B6868" s="108" t="s">
        <v>25513</v>
      </c>
      <c r="C6868" s="109">
        <v>44294</v>
      </c>
      <c r="D6868" s="108"/>
      <c r="E6868" s="108" t="s">
        <v>14605</v>
      </c>
      <c r="F6868" s="108" t="s">
        <v>15996</v>
      </c>
      <c r="G6868" s="110"/>
      <c r="H6868" s="108" t="s">
        <v>25458</v>
      </c>
      <c r="I6868" s="108"/>
    </row>
    <row r="6869" spans="1:9" ht="27.6">
      <c r="A6869" s="108" t="s">
        <v>96</v>
      </c>
      <c r="B6869" s="108" t="s">
        <v>25514</v>
      </c>
      <c r="C6869" s="109">
        <v>43036</v>
      </c>
      <c r="D6869" s="108"/>
      <c r="E6869" s="108" t="s">
        <v>14605</v>
      </c>
      <c r="F6869" s="108" t="s">
        <v>14764</v>
      </c>
      <c r="G6869" s="110"/>
      <c r="H6869" s="108" t="s">
        <v>25458</v>
      </c>
      <c r="I6869" s="108"/>
    </row>
    <row r="6870" spans="1:9" ht="27.6">
      <c r="A6870" s="108" t="s">
        <v>14950</v>
      </c>
      <c r="B6870" s="108" t="s">
        <v>25515</v>
      </c>
      <c r="C6870" s="109">
        <v>44407</v>
      </c>
      <c r="D6870" s="108"/>
      <c r="E6870" s="108" t="s">
        <v>14605</v>
      </c>
      <c r="F6870" s="108" t="s">
        <v>3802</v>
      </c>
      <c r="G6870" s="110"/>
      <c r="H6870" s="108" t="s">
        <v>25458</v>
      </c>
      <c r="I6870" s="108"/>
    </row>
    <row r="6871" spans="1:9" ht="27.6">
      <c r="A6871" s="108" t="s">
        <v>14950</v>
      </c>
      <c r="B6871" s="108" t="s">
        <v>25516</v>
      </c>
      <c r="C6871" s="109">
        <v>43536</v>
      </c>
      <c r="D6871" s="108"/>
      <c r="E6871" s="108" t="s">
        <v>14605</v>
      </c>
      <c r="F6871" s="108" t="s">
        <v>14764</v>
      </c>
      <c r="G6871" s="110"/>
      <c r="H6871" s="108" t="s">
        <v>25458</v>
      </c>
      <c r="I6871" s="108"/>
    </row>
    <row r="6872" spans="1:9" ht="27.6">
      <c r="A6872" s="108" t="s">
        <v>14950</v>
      </c>
      <c r="B6872" s="108" t="s">
        <v>25517</v>
      </c>
      <c r="C6872" s="109">
        <v>45566</v>
      </c>
      <c r="D6872" s="108"/>
      <c r="E6872" s="108" t="s">
        <v>14605</v>
      </c>
      <c r="F6872" s="108" t="s">
        <v>2552</v>
      </c>
      <c r="G6872" s="110"/>
      <c r="H6872" s="108" t="s">
        <v>25458</v>
      </c>
      <c r="I6872" s="108"/>
    </row>
    <row r="6873" spans="1:9" ht="27.6">
      <c r="A6873" s="108" t="s">
        <v>14950</v>
      </c>
      <c r="B6873" s="108" t="s">
        <v>25518</v>
      </c>
      <c r="C6873" s="109">
        <v>44482</v>
      </c>
      <c r="D6873" s="108"/>
      <c r="E6873" s="108" t="s">
        <v>14605</v>
      </c>
      <c r="F6873" s="108" t="s">
        <v>2013</v>
      </c>
      <c r="G6873" s="110"/>
      <c r="H6873" s="108" t="s">
        <v>25458</v>
      </c>
      <c r="I6873" s="108"/>
    </row>
    <row r="6874" spans="1:9" ht="27.6">
      <c r="A6874" s="108" t="s">
        <v>14950</v>
      </c>
      <c r="B6874" s="108" t="s">
        <v>25519</v>
      </c>
      <c r="C6874" s="109">
        <v>43780</v>
      </c>
      <c r="D6874" s="108"/>
      <c r="E6874" s="108" t="s">
        <v>14605</v>
      </c>
      <c r="F6874" s="108" t="s">
        <v>1077</v>
      </c>
      <c r="G6874" s="110"/>
      <c r="H6874" s="108" t="s">
        <v>25458</v>
      </c>
      <c r="I6874" s="108"/>
    </row>
    <row r="6875" spans="1:9">
      <c r="A6875" s="108" t="s">
        <v>8271</v>
      </c>
      <c r="B6875" s="108" t="s">
        <v>25520</v>
      </c>
      <c r="C6875" s="109">
        <v>45589</v>
      </c>
      <c r="D6875" s="108"/>
      <c r="E6875" s="108" t="s">
        <v>14605</v>
      </c>
      <c r="F6875" s="108" t="s">
        <v>3975</v>
      </c>
      <c r="G6875" s="110"/>
      <c r="H6875" s="108" t="s">
        <v>25458</v>
      </c>
      <c r="I6875" s="108"/>
    </row>
    <row r="6876" spans="1:9" ht="27.6">
      <c r="A6876" s="108" t="s">
        <v>15075</v>
      </c>
      <c r="B6876" s="108" t="s">
        <v>25521</v>
      </c>
      <c r="C6876" s="109">
        <v>45322</v>
      </c>
      <c r="D6876" s="108"/>
      <c r="E6876" s="108" t="s">
        <v>14605</v>
      </c>
      <c r="F6876" s="108" t="s">
        <v>14764</v>
      </c>
      <c r="G6876" s="110"/>
      <c r="H6876" s="108" t="s">
        <v>25458</v>
      </c>
      <c r="I6876" s="108"/>
    </row>
    <row r="6877" spans="1:9" ht="27.6">
      <c r="A6877" s="108" t="s">
        <v>14950</v>
      </c>
      <c r="B6877" s="108" t="s">
        <v>25522</v>
      </c>
      <c r="C6877" s="109">
        <v>45002</v>
      </c>
      <c r="D6877" s="108"/>
      <c r="E6877" s="108" t="s">
        <v>14605</v>
      </c>
      <c r="F6877" s="108" t="s">
        <v>5227</v>
      </c>
      <c r="G6877" s="110"/>
      <c r="H6877" s="108" t="s">
        <v>25458</v>
      </c>
      <c r="I6877" s="108"/>
    </row>
    <row r="6878" spans="1:9" ht="27.6">
      <c r="A6878" s="108" t="s">
        <v>14950</v>
      </c>
      <c r="B6878" s="108" t="s">
        <v>25523</v>
      </c>
      <c r="C6878" s="109">
        <v>44545</v>
      </c>
      <c r="D6878" s="108"/>
      <c r="E6878" s="108" t="s">
        <v>14605</v>
      </c>
      <c r="F6878" s="108" t="s">
        <v>484</v>
      </c>
      <c r="G6878" s="110"/>
      <c r="H6878" s="108" t="s">
        <v>25458</v>
      </c>
      <c r="I6878" s="108"/>
    </row>
    <row r="6879" spans="1:9" ht="27.6">
      <c r="A6879" s="108" t="s">
        <v>14950</v>
      </c>
      <c r="B6879" s="108" t="s">
        <v>25524</v>
      </c>
      <c r="C6879" s="109">
        <v>43844</v>
      </c>
      <c r="D6879" s="108"/>
      <c r="E6879" s="108" t="s">
        <v>14605</v>
      </c>
      <c r="F6879" s="108" t="s">
        <v>2013</v>
      </c>
      <c r="G6879" s="110"/>
      <c r="H6879" s="108" t="s">
        <v>25458</v>
      </c>
      <c r="I6879" s="108"/>
    </row>
    <row r="6880" spans="1:9">
      <c r="A6880" s="108" t="s">
        <v>8271</v>
      </c>
      <c r="B6880" s="108" t="s">
        <v>25525</v>
      </c>
      <c r="C6880" s="109">
        <v>44539</v>
      </c>
      <c r="D6880" s="108"/>
      <c r="E6880" s="108" t="s">
        <v>14605</v>
      </c>
      <c r="F6880" s="108" t="s">
        <v>25526</v>
      </c>
      <c r="G6880" s="110"/>
      <c r="H6880" s="108" t="s">
        <v>25458</v>
      </c>
      <c r="I6880" s="108"/>
    </row>
    <row r="6881" spans="1:9" ht="27.6">
      <c r="A6881" s="108" t="s">
        <v>14950</v>
      </c>
      <c r="B6881" s="108" t="s">
        <v>25527</v>
      </c>
      <c r="C6881" s="109">
        <v>44442</v>
      </c>
      <c r="D6881" s="108"/>
      <c r="E6881" s="108" t="s">
        <v>14605</v>
      </c>
      <c r="F6881" s="108" t="s">
        <v>2783</v>
      </c>
      <c r="G6881" s="110"/>
      <c r="H6881" s="108" t="s">
        <v>25458</v>
      </c>
      <c r="I6881" s="108"/>
    </row>
    <row r="6882" spans="1:9" ht="27.6">
      <c r="A6882" s="108" t="s">
        <v>14950</v>
      </c>
      <c r="B6882" s="108" t="s">
        <v>25528</v>
      </c>
      <c r="C6882" s="109">
        <v>44005</v>
      </c>
      <c r="D6882" s="108"/>
      <c r="E6882" s="108" t="s">
        <v>14605</v>
      </c>
      <c r="F6882" s="108" t="s">
        <v>1228</v>
      </c>
      <c r="G6882" s="110"/>
      <c r="H6882" s="108" t="s">
        <v>25458</v>
      </c>
      <c r="I6882" s="108"/>
    </row>
    <row r="6883" spans="1:9" ht="27.6">
      <c r="A6883" s="108" t="s">
        <v>14950</v>
      </c>
      <c r="B6883" s="108" t="s">
        <v>25529</v>
      </c>
      <c r="C6883" s="109">
        <v>44039</v>
      </c>
      <c r="D6883" s="108"/>
      <c r="E6883" s="108" t="s">
        <v>14605</v>
      </c>
      <c r="F6883" s="108" t="s">
        <v>3512</v>
      </c>
      <c r="G6883" s="110"/>
      <c r="H6883" s="108" t="s">
        <v>25458</v>
      </c>
      <c r="I6883" s="108"/>
    </row>
    <row r="6884" spans="1:9" ht="27.6">
      <c r="A6884" s="108" t="s">
        <v>14950</v>
      </c>
      <c r="B6884" s="108" t="s">
        <v>25530</v>
      </c>
      <c r="C6884" s="109">
        <v>44070</v>
      </c>
      <c r="D6884" s="108"/>
      <c r="E6884" s="108" t="s">
        <v>14605</v>
      </c>
      <c r="F6884" s="108" t="s">
        <v>4251</v>
      </c>
      <c r="G6884" s="110"/>
      <c r="H6884" s="108" t="s">
        <v>25458</v>
      </c>
      <c r="I6884" s="108"/>
    </row>
    <row r="6885" spans="1:9" ht="27.6">
      <c r="A6885" s="108" t="s">
        <v>14950</v>
      </c>
      <c r="B6885" s="108" t="s">
        <v>25531</v>
      </c>
      <c r="C6885" s="109">
        <v>45394</v>
      </c>
      <c r="D6885" s="108"/>
      <c r="E6885" s="108" t="s">
        <v>14605</v>
      </c>
      <c r="F6885" s="108" t="s">
        <v>2552</v>
      </c>
      <c r="G6885" s="110"/>
      <c r="H6885" s="108" t="s">
        <v>25458</v>
      </c>
      <c r="I6885" s="108"/>
    </row>
    <row r="6886" spans="1:9" ht="27.6">
      <c r="A6886" s="108" t="s">
        <v>14950</v>
      </c>
      <c r="B6886" s="108" t="s">
        <v>25532</v>
      </c>
      <c r="C6886" s="109">
        <v>44099</v>
      </c>
      <c r="D6886" s="108"/>
      <c r="E6886" s="108" t="s">
        <v>14605</v>
      </c>
      <c r="F6886" s="108" t="s">
        <v>2795</v>
      </c>
      <c r="G6886" s="110"/>
      <c r="H6886" s="108" t="s">
        <v>25458</v>
      </c>
      <c r="I6886" s="108"/>
    </row>
    <row r="6887" spans="1:9" ht="27.6">
      <c r="A6887" s="108" t="s">
        <v>14950</v>
      </c>
      <c r="B6887" s="108" t="s">
        <v>25533</v>
      </c>
      <c r="C6887" s="109">
        <v>44111</v>
      </c>
      <c r="D6887" s="108"/>
      <c r="E6887" s="108" t="s">
        <v>14605</v>
      </c>
      <c r="F6887" s="108" t="s">
        <v>2853</v>
      </c>
      <c r="G6887" s="110"/>
      <c r="H6887" s="108" t="s">
        <v>25458</v>
      </c>
      <c r="I6887" s="108"/>
    </row>
    <row r="6888" spans="1:9" ht="27.6">
      <c r="A6888" s="108" t="s">
        <v>14950</v>
      </c>
      <c r="B6888" s="108" t="s">
        <v>25534</v>
      </c>
      <c r="C6888" s="109">
        <v>44496</v>
      </c>
      <c r="D6888" s="108"/>
      <c r="E6888" s="108" t="s">
        <v>14605</v>
      </c>
      <c r="F6888" s="108" t="s">
        <v>14764</v>
      </c>
      <c r="G6888" s="110"/>
      <c r="H6888" s="108" t="s">
        <v>25458</v>
      </c>
      <c r="I6888" s="108"/>
    </row>
    <row r="6889" spans="1:9" ht="27.6">
      <c r="A6889" s="108" t="s">
        <v>14950</v>
      </c>
      <c r="B6889" s="108" t="s">
        <v>25535</v>
      </c>
      <c r="C6889" s="109">
        <v>44130</v>
      </c>
      <c r="D6889" s="108"/>
      <c r="E6889" s="108" t="s">
        <v>14605</v>
      </c>
      <c r="F6889" s="108" t="s">
        <v>1338</v>
      </c>
      <c r="G6889" s="110"/>
      <c r="H6889" s="108" t="s">
        <v>25458</v>
      </c>
      <c r="I6889" s="108"/>
    </row>
    <row r="6890" spans="1:9" ht="27.6">
      <c r="A6890" s="108" t="s">
        <v>14950</v>
      </c>
      <c r="B6890" s="108" t="s">
        <v>25536</v>
      </c>
      <c r="C6890" s="109">
        <v>44256</v>
      </c>
      <c r="D6890" s="108"/>
      <c r="E6890" s="108" t="s">
        <v>14605</v>
      </c>
      <c r="F6890" s="108" t="s">
        <v>517</v>
      </c>
      <c r="G6890" s="110"/>
      <c r="H6890" s="108" t="s">
        <v>25458</v>
      </c>
      <c r="I6890" s="108"/>
    </row>
    <row r="6891" spans="1:9" ht="27.6">
      <c r="A6891" s="108" t="s">
        <v>14950</v>
      </c>
      <c r="B6891" s="108" t="s">
        <v>25537</v>
      </c>
      <c r="C6891" s="109">
        <v>44221</v>
      </c>
      <c r="D6891" s="108"/>
      <c r="E6891" s="108" t="s">
        <v>16121</v>
      </c>
      <c r="F6891" s="108" t="s">
        <v>16114</v>
      </c>
      <c r="G6891" s="110"/>
      <c r="H6891" s="108" t="s">
        <v>25458</v>
      </c>
      <c r="I6891" s="108"/>
    </row>
    <row r="6892" spans="1:9" ht="27.6">
      <c r="A6892" s="108" t="s">
        <v>14950</v>
      </c>
      <c r="B6892" s="108" t="s">
        <v>25538</v>
      </c>
      <c r="C6892" s="109">
        <v>44680</v>
      </c>
      <c r="D6892" s="108"/>
      <c r="E6892" s="108" t="s">
        <v>14605</v>
      </c>
      <c r="F6892" s="108" t="s">
        <v>14764</v>
      </c>
      <c r="G6892" s="110"/>
      <c r="H6892" s="108" t="s">
        <v>25458</v>
      </c>
      <c r="I6892" s="108"/>
    </row>
    <row r="6893" spans="1:9" ht="27.6">
      <c r="A6893" s="108" t="s">
        <v>14950</v>
      </c>
      <c r="B6893" s="108" t="s">
        <v>25539</v>
      </c>
      <c r="C6893" s="109">
        <v>44473</v>
      </c>
      <c r="D6893" s="108"/>
      <c r="E6893" s="108" t="s">
        <v>14605</v>
      </c>
      <c r="F6893" s="108" t="s">
        <v>5145</v>
      </c>
      <c r="G6893" s="110"/>
      <c r="H6893" s="108" t="s">
        <v>25458</v>
      </c>
      <c r="I6893" s="108"/>
    </row>
    <row r="6894" spans="1:9" ht="27.6">
      <c r="A6894" s="108" t="s">
        <v>14950</v>
      </c>
      <c r="B6894" s="108" t="s">
        <v>25540</v>
      </c>
      <c r="C6894" s="109">
        <v>44253</v>
      </c>
      <c r="D6894" s="108"/>
      <c r="E6894" s="108" t="s">
        <v>14605</v>
      </c>
      <c r="F6894" s="108" t="s">
        <v>25541</v>
      </c>
      <c r="G6894" s="110"/>
      <c r="H6894" s="108" t="s">
        <v>25458</v>
      </c>
      <c r="I6894" s="108"/>
    </row>
    <row r="6895" spans="1:9" ht="27.6">
      <c r="A6895" s="108" t="s">
        <v>14950</v>
      </c>
      <c r="B6895" s="108" t="s">
        <v>25542</v>
      </c>
      <c r="C6895" s="109">
        <v>45742</v>
      </c>
      <c r="D6895" s="108"/>
      <c r="E6895" s="108" t="s">
        <v>14605</v>
      </c>
      <c r="F6895" s="108" t="s">
        <v>14764</v>
      </c>
      <c r="G6895" s="110"/>
      <c r="H6895" s="108" t="s">
        <v>25458</v>
      </c>
      <c r="I6895" s="108"/>
    </row>
    <row r="6896" spans="1:9" ht="27.6">
      <c r="A6896" s="108" t="s">
        <v>14950</v>
      </c>
      <c r="B6896" s="108" t="s">
        <v>25543</v>
      </c>
      <c r="C6896" s="109">
        <v>44285</v>
      </c>
      <c r="D6896" s="108"/>
      <c r="E6896" s="108" t="s">
        <v>14605</v>
      </c>
      <c r="F6896" s="108" t="s">
        <v>3734</v>
      </c>
      <c r="G6896" s="110"/>
      <c r="H6896" s="108" t="s">
        <v>25458</v>
      </c>
      <c r="I6896" s="108"/>
    </row>
    <row r="6897" spans="1:9">
      <c r="A6897" s="108" t="s">
        <v>8271</v>
      </c>
      <c r="B6897" s="108" t="s">
        <v>25544</v>
      </c>
      <c r="C6897" s="109">
        <v>44708</v>
      </c>
      <c r="D6897" s="108"/>
      <c r="E6897" s="108" t="s">
        <v>14605</v>
      </c>
      <c r="F6897" s="108" t="s">
        <v>25545</v>
      </c>
      <c r="G6897" s="110"/>
      <c r="H6897" s="108" t="s">
        <v>25458</v>
      </c>
      <c r="I6897" s="108"/>
    </row>
    <row r="6898" spans="1:9" ht="27.6">
      <c r="A6898" s="108" t="s">
        <v>14950</v>
      </c>
      <c r="B6898" s="108" t="s">
        <v>25546</v>
      </c>
      <c r="C6898" s="109">
        <v>44514</v>
      </c>
      <c r="D6898" s="108"/>
      <c r="E6898" s="108" t="s">
        <v>14605</v>
      </c>
      <c r="F6898" s="108" t="s">
        <v>5145</v>
      </c>
      <c r="G6898" s="110"/>
      <c r="H6898" s="108" t="s">
        <v>25458</v>
      </c>
      <c r="I6898" s="108"/>
    </row>
    <row r="6899" spans="1:9" ht="27.6">
      <c r="A6899" s="108" t="s">
        <v>14950</v>
      </c>
      <c r="B6899" s="108" t="s">
        <v>25547</v>
      </c>
      <c r="C6899" s="109">
        <v>44334</v>
      </c>
      <c r="D6899" s="108"/>
      <c r="E6899" s="108" t="s">
        <v>14605</v>
      </c>
      <c r="F6899" s="108" t="s">
        <v>14764</v>
      </c>
      <c r="G6899" s="110"/>
      <c r="H6899" s="108" t="s">
        <v>25458</v>
      </c>
      <c r="I6899" s="108"/>
    </row>
    <row r="6900" spans="1:9" ht="27.6">
      <c r="A6900" s="108" t="s">
        <v>14950</v>
      </c>
      <c r="B6900" s="108" t="s">
        <v>25548</v>
      </c>
      <c r="C6900" s="109">
        <v>44575</v>
      </c>
      <c r="D6900" s="108"/>
      <c r="E6900" s="108" t="s">
        <v>14605</v>
      </c>
      <c r="F6900" s="108" t="s">
        <v>25549</v>
      </c>
      <c r="G6900" s="110"/>
      <c r="H6900" s="108" t="s">
        <v>25458</v>
      </c>
      <c r="I6900" s="108"/>
    </row>
    <row r="6901" spans="1:9" ht="27.6">
      <c r="A6901" s="108" t="s">
        <v>14950</v>
      </c>
      <c r="B6901" s="108" t="s">
        <v>25550</v>
      </c>
      <c r="C6901" s="109">
        <v>44470</v>
      </c>
      <c r="D6901" s="108"/>
      <c r="E6901" s="108" t="s">
        <v>14605</v>
      </c>
      <c r="F6901" s="108" t="s">
        <v>1429</v>
      </c>
      <c r="G6901" s="110"/>
      <c r="H6901" s="108" t="s">
        <v>25458</v>
      </c>
      <c r="I6901" s="108"/>
    </row>
    <row r="6902" spans="1:9" ht="27.6">
      <c r="A6902" s="108" t="s">
        <v>14950</v>
      </c>
      <c r="B6902" s="108" t="s">
        <v>25551</v>
      </c>
      <c r="C6902" s="109">
        <v>44629</v>
      </c>
      <c r="D6902" s="108"/>
      <c r="E6902" s="108" t="s">
        <v>14605</v>
      </c>
      <c r="F6902" s="108" t="s">
        <v>2143</v>
      </c>
      <c r="G6902" s="110"/>
      <c r="H6902" s="108" t="s">
        <v>25458</v>
      </c>
      <c r="I6902" s="108"/>
    </row>
    <row r="6903" spans="1:9" ht="27.6">
      <c r="A6903" s="108" t="s">
        <v>14950</v>
      </c>
      <c r="B6903" s="108" t="s">
        <v>25552</v>
      </c>
      <c r="C6903" s="109">
        <v>44693</v>
      </c>
      <c r="D6903" s="108"/>
      <c r="E6903" s="108" t="s">
        <v>14605</v>
      </c>
      <c r="F6903" s="108" t="s">
        <v>2379</v>
      </c>
      <c r="G6903" s="110"/>
      <c r="H6903" s="108" t="s">
        <v>25458</v>
      </c>
      <c r="I6903" s="108"/>
    </row>
    <row r="6904" spans="1:9" ht="27.6">
      <c r="A6904" s="108" t="s">
        <v>14950</v>
      </c>
      <c r="B6904" s="108" t="s">
        <v>25553</v>
      </c>
      <c r="C6904" s="109">
        <v>44679</v>
      </c>
      <c r="D6904" s="108"/>
      <c r="E6904" s="108" t="s">
        <v>14605</v>
      </c>
      <c r="F6904" s="108" t="s">
        <v>2379</v>
      </c>
      <c r="G6904" s="110"/>
      <c r="H6904" s="108" t="s">
        <v>25458</v>
      </c>
      <c r="I6904" s="108"/>
    </row>
    <row r="6905" spans="1:9" ht="27.6">
      <c r="A6905" s="108" t="s">
        <v>14950</v>
      </c>
      <c r="B6905" s="108" t="s">
        <v>25554</v>
      </c>
      <c r="C6905" s="109">
        <v>44657</v>
      </c>
      <c r="D6905" s="108"/>
      <c r="E6905" s="108" t="s">
        <v>14605</v>
      </c>
      <c r="F6905" s="108" t="s">
        <v>2379</v>
      </c>
      <c r="G6905" s="110"/>
      <c r="H6905" s="108" t="s">
        <v>25458</v>
      </c>
      <c r="I6905" s="108"/>
    </row>
    <row r="6906" spans="1:9" ht="27.6">
      <c r="A6906" s="108" t="s">
        <v>14950</v>
      </c>
      <c r="B6906" s="108" t="s">
        <v>25555</v>
      </c>
      <c r="C6906" s="109">
        <v>44712</v>
      </c>
      <c r="D6906" s="108"/>
      <c r="E6906" s="108" t="s">
        <v>14605</v>
      </c>
      <c r="F6906" s="108" t="s">
        <v>1050</v>
      </c>
      <c r="G6906" s="110"/>
      <c r="H6906" s="108" t="s">
        <v>25458</v>
      </c>
      <c r="I6906" s="108"/>
    </row>
    <row r="6907" spans="1:9" ht="27.6">
      <c r="A6907" s="108" t="s">
        <v>14950</v>
      </c>
      <c r="B6907" s="108" t="s">
        <v>25556</v>
      </c>
      <c r="C6907" s="109">
        <v>44847</v>
      </c>
      <c r="D6907" s="108"/>
      <c r="E6907" s="108" t="s">
        <v>14605</v>
      </c>
      <c r="F6907" s="108" t="s">
        <v>600</v>
      </c>
      <c r="G6907" s="110"/>
      <c r="H6907" s="108" t="s">
        <v>25458</v>
      </c>
      <c r="I6907" s="108"/>
    </row>
    <row r="6908" spans="1:9" ht="27.6">
      <c r="A6908" s="108" t="s">
        <v>14950</v>
      </c>
      <c r="B6908" s="108" t="s">
        <v>25557</v>
      </c>
      <c r="C6908" s="109">
        <v>44857</v>
      </c>
      <c r="D6908" s="108"/>
      <c r="E6908" s="108" t="s">
        <v>14605</v>
      </c>
      <c r="F6908" s="108" t="s">
        <v>242</v>
      </c>
      <c r="G6908" s="110"/>
      <c r="H6908" s="108" t="s">
        <v>25558</v>
      </c>
      <c r="I6908" s="108"/>
    </row>
    <row r="6909" spans="1:9" ht="27.6">
      <c r="A6909" s="108" t="s">
        <v>14950</v>
      </c>
      <c r="B6909" s="108" t="s">
        <v>25559</v>
      </c>
      <c r="C6909" s="109">
        <v>44722</v>
      </c>
      <c r="D6909" s="108"/>
      <c r="E6909" s="108" t="s">
        <v>14605</v>
      </c>
      <c r="F6909" s="108" t="s">
        <v>430</v>
      </c>
      <c r="G6909" s="110"/>
      <c r="H6909" s="108" t="s">
        <v>25458</v>
      </c>
      <c r="I6909" s="108"/>
    </row>
    <row r="6910" spans="1:9" ht="27.6">
      <c r="A6910" s="108" t="s">
        <v>14950</v>
      </c>
      <c r="B6910" s="108" t="s">
        <v>25560</v>
      </c>
      <c r="C6910" s="109">
        <v>44761</v>
      </c>
      <c r="D6910" s="108"/>
      <c r="E6910" s="108" t="s">
        <v>14605</v>
      </c>
      <c r="F6910" s="108" t="s">
        <v>25561</v>
      </c>
      <c r="G6910" s="110"/>
      <c r="H6910" s="108" t="s">
        <v>25558</v>
      </c>
      <c r="I6910" s="108"/>
    </row>
    <row r="6911" spans="1:9" ht="27.6">
      <c r="A6911" s="108" t="s">
        <v>14950</v>
      </c>
      <c r="B6911" s="108" t="s">
        <v>25562</v>
      </c>
      <c r="C6911" s="109">
        <v>44813</v>
      </c>
      <c r="D6911" s="108"/>
      <c r="E6911" s="108" t="s">
        <v>14605</v>
      </c>
      <c r="F6911" s="108" t="s">
        <v>3687</v>
      </c>
      <c r="G6911" s="110"/>
      <c r="H6911" s="108" t="s">
        <v>25458</v>
      </c>
      <c r="I6911" s="108"/>
    </row>
    <row r="6912" spans="1:9" ht="27.6">
      <c r="A6912" s="108" t="s">
        <v>14950</v>
      </c>
      <c r="B6912" s="108" t="s">
        <v>25563</v>
      </c>
      <c r="C6912" s="109">
        <v>45442</v>
      </c>
      <c r="D6912" s="108"/>
      <c r="E6912" s="108" t="s">
        <v>14605</v>
      </c>
      <c r="F6912" s="108" t="s">
        <v>25549</v>
      </c>
      <c r="G6912" s="110"/>
      <c r="H6912" s="108" t="s">
        <v>25458</v>
      </c>
      <c r="I6912" s="108"/>
    </row>
    <row r="6913" spans="1:9" ht="27.6">
      <c r="A6913" s="108" t="s">
        <v>14950</v>
      </c>
      <c r="B6913" s="108" t="s">
        <v>25564</v>
      </c>
      <c r="C6913" s="109">
        <v>45763</v>
      </c>
      <c r="D6913" s="108"/>
      <c r="E6913" s="108" t="s">
        <v>14605</v>
      </c>
      <c r="F6913" s="108" t="s">
        <v>16622</v>
      </c>
      <c r="G6913" s="110"/>
      <c r="H6913" s="108" t="s">
        <v>25458</v>
      </c>
      <c r="I6913" s="108"/>
    </row>
    <row r="6914" spans="1:9" ht="27.6">
      <c r="A6914" s="108" t="s">
        <v>14950</v>
      </c>
      <c r="B6914" s="108" t="s">
        <v>25565</v>
      </c>
      <c r="C6914" s="109">
        <v>45008</v>
      </c>
      <c r="D6914" s="108"/>
      <c r="E6914" s="108" t="s">
        <v>14605</v>
      </c>
      <c r="F6914" s="108" t="s">
        <v>442</v>
      </c>
      <c r="G6914" s="110"/>
      <c r="H6914" s="108" t="s">
        <v>25458</v>
      </c>
      <c r="I6914" s="108"/>
    </row>
    <row r="6915" spans="1:9" ht="27.6">
      <c r="A6915" s="108" t="s">
        <v>14950</v>
      </c>
      <c r="B6915" s="108" t="s">
        <v>25566</v>
      </c>
      <c r="C6915" s="109">
        <v>45008</v>
      </c>
      <c r="D6915" s="108"/>
      <c r="E6915" s="108" t="s">
        <v>14605</v>
      </c>
      <c r="F6915" s="108" t="s">
        <v>442</v>
      </c>
      <c r="G6915" s="110"/>
      <c r="H6915" s="108" t="s">
        <v>25458</v>
      </c>
      <c r="I6915" s="108"/>
    </row>
    <row r="6916" spans="1:9" ht="27.6">
      <c r="A6916" s="108" t="s">
        <v>1591</v>
      </c>
      <c r="B6916" s="108" t="s">
        <v>2269</v>
      </c>
      <c r="C6916" s="109">
        <v>43343</v>
      </c>
      <c r="D6916" s="108"/>
      <c r="E6916" s="108" t="s">
        <v>14605</v>
      </c>
      <c r="F6916" s="108" t="s">
        <v>2251</v>
      </c>
      <c r="G6916" s="110"/>
      <c r="H6916" s="108" t="s">
        <v>25458</v>
      </c>
      <c r="I6916" s="108"/>
    </row>
    <row r="6917" spans="1:9">
      <c r="A6917" s="108" t="s">
        <v>2268</v>
      </c>
      <c r="B6917" s="108" t="s">
        <v>2267</v>
      </c>
      <c r="C6917" s="109">
        <v>43594</v>
      </c>
      <c r="D6917" s="108"/>
      <c r="E6917" s="108" t="s">
        <v>14605</v>
      </c>
      <c r="F6917" s="108" t="s">
        <v>2251</v>
      </c>
      <c r="G6917" s="110"/>
      <c r="H6917" s="108" t="s">
        <v>25458</v>
      </c>
      <c r="I6917" s="108"/>
    </row>
    <row r="6918" spans="1:9" ht="27.6">
      <c r="A6918" s="108" t="s">
        <v>25567</v>
      </c>
      <c r="B6918" s="108" t="s">
        <v>25568</v>
      </c>
      <c r="C6918" s="109">
        <v>43249</v>
      </c>
      <c r="D6918" s="108"/>
      <c r="E6918" s="108" t="s">
        <v>14605</v>
      </c>
      <c r="F6918" s="108" t="s">
        <v>2251</v>
      </c>
      <c r="G6918" s="110"/>
      <c r="H6918" s="108" t="s">
        <v>25458</v>
      </c>
      <c r="I6918" s="108"/>
    </row>
    <row r="6919" spans="1:9" ht="27.6">
      <c r="A6919" s="108" t="s">
        <v>1591</v>
      </c>
      <c r="B6919" s="108" t="s">
        <v>2266</v>
      </c>
      <c r="C6919" s="109">
        <v>43371</v>
      </c>
      <c r="D6919" s="108"/>
      <c r="E6919" s="108" t="s">
        <v>14605</v>
      </c>
      <c r="F6919" s="108" t="s">
        <v>2251</v>
      </c>
      <c r="G6919" s="110"/>
      <c r="H6919" s="108" t="s">
        <v>25458</v>
      </c>
      <c r="I6919" s="108"/>
    </row>
    <row r="6920" spans="1:9" ht="27.6">
      <c r="A6920" s="108" t="s">
        <v>1591</v>
      </c>
      <c r="B6920" s="108" t="s">
        <v>2265</v>
      </c>
      <c r="C6920" s="109">
        <v>43370</v>
      </c>
      <c r="D6920" s="108"/>
      <c r="E6920" s="108" t="s">
        <v>14605</v>
      </c>
      <c r="F6920" s="108" t="s">
        <v>2251</v>
      </c>
      <c r="G6920" s="110"/>
      <c r="H6920" s="108" t="s">
        <v>25458</v>
      </c>
      <c r="I6920" s="108"/>
    </row>
    <row r="6921" spans="1:9" ht="27.6">
      <c r="A6921" s="108" t="s">
        <v>1591</v>
      </c>
      <c r="B6921" s="108" t="s">
        <v>2264</v>
      </c>
      <c r="C6921" s="109">
        <v>43550</v>
      </c>
      <c r="D6921" s="108"/>
      <c r="E6921" s="108" t="s">
        <v>14605</v>
      </c>
      <c r="F6921" s="108" t="s">
        <v>2251</v>
      </c>
      <c r="G6921" s="110"/>
      <c r="H6921" s="108" t="s">
        <v>25458</v>
      </c>
      <c r="I6921" s="108"/>
    </row>
    <row r="6922" spans="1:9" ht="27.6">
      <c r="A6922" s="108" t="s">
        <v>17130</v>
      </c>
      <c r="B6922" s="108" t="s">
        <v>25569</v>
      </c>
      <c r="C6922" s="109">
        <v>45245</v>
      </c>
      <c r="D6922" s="108"/>
      <c r="E6922" s="108" t="s">
        <v>14605</v>
      </c>
      <c r="F6922" s="108" t="s">
        <v>25570</v>
      </c>
      <c r="G6922" s="110"/>
      <c r="H6922" s="108" t="s">
        <v>25458</v>
      </c>
      <c r="I6922" s="108"/>
    </row>
    <row r="6923" spans="1:9" ht="27.6">
      <c r="A6923" s="108" t="s">
        <v>17130</v>
      </c>
      <c r="B6923" s="108" t="s">
        <v>25571</v>
      </c>
      <c r="C6923" s="109">
        <v>44066</v>
      </c>
      <c r="D6923" s="108"/>
      <c r="E6923" s="108" t="s">
        <v>14605</v>
      </c>
      <c r="F6923" s="108" t="s">
        <v>2250</v>
      </c>
      <c r="G6923" s="110"/>
      <c r="H6923" s="108" t="s">
        <v>25458</v>
      </c>
      <c r="I6923" s="108"/>
    </row>
    <row r="6924" spans="1:9" ht="27.6">
      <c r="A6924" s="108" t="s">
        <v>1591</v>
      </c>
      <c r="B6924" s="108" t="s">
        <v>2263</v>
      </c>
      <c r="C6924" s="109">
        <v>43550</v>
      </c>
      <c r="D6924" s="108"/>
      <c r="E6924" s="108" t="s">
        <v>14605</v>
      </c>
      <c r="F6924" s="108" t="s">
        <v>2251</v>
      </c>
      <c r="G6924" s="110"/>
      <c r="H6924" s="108" t="s">
        <v>25458</v>
      </c>
      <c r="I6924" s="108"/>
    </row>
    <row r="6925" spans="1:9" ht="27.6">
      <c r="A6925" s="108" t="s">
        <v>17130</v>
      </c>
      <c r="B6925" s="108" t="s">
        <v>25572</v>
      </c>
      <c r="C6925" s="109">
        <v>44252</v>
      </c>
      <c r="D6925" s="108"/>
      <c r="E6925" s="108" t="s">
        <v>14605</v>
      </c>
      <c r="F6925" s="108" t="s">
        <v>4857</v>
      </c>
      <c r="G6925" s="110"/>
      <c r="H6925" s="108" t="s">
        <v>25458</v>
      </c>
      <c r="I6925" s="108"/>
    </row>
    <row r="6926" spans="1:9" ht="27.6">
      <c r="A6926" s="108" t="s">
        <v>1591</v>
      </c>
      <c r="B6926" s="108" t="s">
        <v>2262</v>
      </c>
      <c r="C6926" s="109">
        <v>43644</v>
      </c>
      <c r="D6926" s="108"/>
      <c r="E6926" s="108" t="s">
        <v>14605</v>
      </c>
      <c r="F6926" s="108" t="s">
        <v>2251</v>
      </c>
      <c r="G6926" s="110"/>
      <c r="H6926" s="108" t="s">
        <v>25458</v>
      </c>
      <c r="I6926" s="108"/>
    </row>
    <row r="6927" spans="1:9" ht="27.6">
      <c r="A6927" s="108" t="s">
        <v>17130</v>
      </c>
      <c r="B6927" s="108" t="s">
        <v>25573</v>
      </c>
      <c r="C6927" s="109">
        <v>44238</v>
      </c>
      <c r="D6927" s="108"/>
      <c r="E6927" s="108" t="s">
        <v>14605</v>
      </c>
      <c r="F6927" s="108" t="s">
        <v>25574</v>
      </c>
      <c r="G6927" s="110"/>
      <c r="H6927" s="108" t="s">
        <v>25458</v>
      </c>
      <c r="I6927" s="108"/>
    </row>
    <row r="6928" spans="1:9" ht="27.6">
      <c r="A6928" s="108" t="s">
        <v>17130</v>
      </c>
      <c r="B6928" s="108" t="s">
        <v>25575</v>
      </c>
      <c r="C6928" s="109">
        <v>43830</v>
      </c>
      <c r="D6928" s="108"/>
      <c r="E6928" s="108" t="s">
        <v>14605</v>
      </c>
      <c r="F6928" s="108" t="s">
        <v>956</v>
      </c>
      <c r="G6928" s="110"/>
      <c r="H6928" s="108" t="s">
        <v>25458</v>
      </c>
      <c r="I6928" s="108"/>
    </row>
    <row r="6929" spans="1:9" ht="27.6">
      <c r="A6929" s="108" t="s">
        <v>17130</v>
      </c>
      <c r="B6929" s="108" t="s">
        <v>25576</v>
      </c>
      <c r="C6929" s="109">
        <v>44013</v>
      </c>
      <c r="D6929" s="108"/>
      <c r="E6929" s="108" t="s">
        <v>14605</v>
      </c>
      <c r="F6929" s="108" t="s">
        <v>2251</v>
      </c>
      <c r="G6929" s="110"/>
      <c r="H6929" s="108" t="s">
        <v>25458</v>
      </c>
      <c r="I6929" s="108"/>
    </row>
    <row r="6930" spans="1:9" ht="27.6">
      <c r="A6930" s="108" t="s">
        <v>17130</v>
      </c>
      <c r="B6930" s="108" t="s">
        <v>25577</v>
      </c>
      <c r="C6930" s="109">
        <v>44103</v>
      </c>
      <c r="D6930" s="108"/>
      <c r="E6930" s="108" t="s">
        <v>14605</v>
      </c>
      <c r="F6930" s="108" t="s">
        <v>25578</v>
      </c>
      <c r="G6930" s="110"/>
      <c r="H6930" s="108" t="s">
        <v>25458</v>
      </c>
      <c r="I6930" s="108"/>
    </row>
    <row r="6931" spans="1:9" ht="27.6">
      <c r="A6931" s="108" t="s">
        <v>17130</v>
      </c>
      <c r="B6931" s="108" t="s">
        <v>25579</v>
      </c>
      <c r="C6931" s="109">
        <v>44384</v>
      </c>
      <c r="D6931" s="108"/>
      <c r="E6931" s="108" t="s">
        <v>14605</v>
      </c>
      <c r="F6931" s="108" t="s">
        <v>2251</v>
      </c>
      <c r="G6931" s="110"/>
      <c r="H6931" s="108" t="s">
        <v>25458</v>
      </c>
      <c r="I6931" s="108"/>
    </row>
    <row r="6932" spans="1:9" ht="27.6">
      <c r="A6932" s="108" t="s">
        <v>17130</v>
      </c>
      <c r="B6932" s="108" t="s">
        <v>25580</v>
      </c>
      <c r="C6932" s="109">
        <v>44071</v>
      </c>
      <c r="D6932" s="108"/>
      <c r="E6932" s="108" t="s">
        <v>14605</v>
      </c>
      <c r="F6932" s="108" t="s">
        <v>2251</v>
      </c>
      <c r="G6932" s="110"/>
      <c r="H6932" s="108" t="s">
        <v>25458</v>
      </c>
      <c r="I6932" s="108"/>
    </row>
    <row r="6933" spans="1:9" ht="27.6">
      <c r="A6933" s="108" t="s">
        <v>17130</v>
      </c>
      <c r="B6933" s="108" t="s">
        <v>25581</v>
      </c>
      <c r="C6933" s="109">
        <v>44266</v>
      </c>
      <c r="D6933" s="108"/>
      <c r="E6933" s="108" t="s">
        <v>14605</v>
      </c>
      <c r="F6933" s="108" t="s">
        <v>5018</v>
      </c>
      <c r="G6933" s="110"/>
      <c r="H6933" s="108" t="s">
        <v>25458</v>
      </c>
      <c r="I6933" s="108"/>
    </row>
    <row r="6934" spans="1:9" ht="27.6">
      <c r="A6934" s="108" t="s">
        <v>17130</v>
      </c>
      <c r="B6934" s="108" t="s">
        <v>25582</v>
      </c>
      <c r="C6934" s="109">
        <v>44281</v>
      </c>
      <c r="D6934" s="108"/>
      <c r="E6934" s="108" t="s">
        <v>14605</v>
      </c>
      <c r="F6934" s="108" t="s">
        <v>2251</v>
      </c>
      <c r="G6934" s="110"/>
      <c r="H6934" s="108" t="s">
        <v>25458</v>
      </c>
      <c r="I6934" s="108"/>
    </row>
    <row r="6935" spans="1:9" ht="27.6">
      <c r="A6935" s="108" t="s">
        <v>17130</v>
      </c>
      <c r="B6935" s="108" t="s">
        <v>25583</v>
      </c>
      <c r="C6935" s="109">
        <v>44463</v>
      </c>
      <c r="D6935" s="108"/>
      <c r="E6935" s="108" t="s">
        <v>14605</v>
      </c>
      <c r="F6935" s="108" t="s">
        <v>2251</v>
      </c>
      <c r="G6935" s="110"/>
      <c r="H6935" s="108" t="s">
        <v>25458</v>
      </c>
      <c r="I6935" s="108"/>
    </row>
    <row r="6936" spans="1:9">
      <c r="A6936" s="108" t="s">
        <v>14978</v>
      </c>
      <c r="B6936" s="108" t="s">
        <v>25584</v>
      </c>
      <c r="C6936" s="109">
        <v>42772</v>
      </c>
      <c r="D6936" s="108"/>
      <c r="E6936" s="108" t="s">
        <v>14605</v>
      </c>
      <c r="F6936" s="108" t="s">
        <v>5138</v>
      </c>
      <c r="G6936" s="110"/>
      <c r="H6936" s="108" t="s">
        <v>25458</v>
      </c>
      <c r="I6936" s="108"/>
    </row>
    <row r="6937" spans="1:9">
      <c r="A6937" s="108" t="s">
        <v>14978</v>
      </c>
      <c r="B6937" s="108" t="s">
        <v>25585</v>
      </c>
      <c r="C6937" s="109">
        <v>41599</v>
      </c>
      <c r="D6937" s="108"/>
      <c r="E6937" s="108" t="s">
        <v>14605</v>
      </c>
      <c r="F6937" s="108" t="s">
        <v>25586</v>
      </c>
      <c r="G6937" s="110"/>
      <c r="H6937" s="108" t="s">
        <v>25458</v>
      </c>
      <c r="I6937" s="108"/>
    </row>
    <row r="6938" spans="1:9">
      <c r="A6938" s="108" t="s">
        <v>14978</v>
      </c>
      <c r="B6938" s="108" t="s">
        <v>25587</v>
      </c>
      <c r="C6938" s="109">
        <v>41782</v>
      </c>
      <c r="D6938" s="108"/>
      <c r="E6938" s="108" t="s">
        <v>14605</v>
      </c>
      <c r="F6938" s="108" t="s">
        <v>2691</v>
      </c>
      <c r="G6938" s="110"/>
      <c r="H6938" s="108" t="s">
        <v>25458</v>
      </c>
      <c r="I6938" s="108"/>
    </row>
    <row r="6939" spans="1:9">
      <c r="A6939" s="108" t="s">
        <v>14928</v>
      </c>
      <c r="B6939" s="108" t="s">
        <v>3467</v>
      </c>
      <c r="C6939" s="109">
        <v>43838</v>
      </c>
      <c r="D6939" s="108"/>
      <c r="E6939" s="108" t="s">
        <v>14605</v>
      </c>
      <c r="F6939" s="108" t="s">
        <v>3468</v>
      </c>
      <c r="G6939" s="110"/>
      <c r="H6939" s="108" t="s">
        <v>25458</v>
      </c>
      <c r="I6939" s="108"/>
    </row>
    <row r="6940" spans="1:9">
      <c r="A6940" s="108" t="s">
        <v>477</v>
      </c>
      <c r="B6940" s="108" t="s">
        <v>1757</v>
      </c>
      <c r="C6940" s="109">
        <v>43818</v>
      </c>
      <c r="D6940" s="108"/>
      <c r="E6940" s="108" t="s">
        <v>14605</v>
      </c>
      <c r="F6940" s="108" t="s">
        <v>1756</v>
      </c>
      <c r="G6940" s="110"/>
      <c r="H6940" s="108" t="s">
        <v>25458</v>
      </c>
      <c r="I6940" s="108"/>
    </row>
    <row r="6941" spans="1:9">
      <c r="A6941" s="108" t="s">
        <v>237</v>
      </c>
      <c r="B6941" s="108" t="s">
        <v>2116</v>
      </c>
      <c r="C6941" s="109">
        <v>44029</v>
      </c>
      <c r="D6941" s="108"/>
      <c r="E6941" s="108" t="s">
        <v>14605</v>
      </c>
      <c r="F6941" s="108" t="s">
        <v>2117</v>
      </c>
      <c r="G6941" s="110"/>
      <c r="H6941" s="108" t="s">
        <v>25458</v>
      </c>
      <c r="I6941" s="108"/>
    </row>
    <row r="6942" spans="1:9">
      <c r="A6942" s="108" t="s">
        <v>477</v>
      </c>
      <c r="B6942" s="108" t="s">
        <v>475</v>
      </c>
      <c r="C6942" s="109">
        <v>44048</v>
      </c>
      <c r="D6942" s="108"/>
      <c r="E6942" s="108" t="s">
        <v>14605</v>
      </c>
      <c r="F6942" s="108" t="s">
        <v>476</v>
      </c>
      <c r="G6942" s="110"/>
      <c r="H6942" s="108" t="s">
        <v>25458</v>
      </c>
      <c r="I6942" s="108"/>
    </row>
    <row r="6943" spans="1:9">
      <c r="A6943" s="108" t="s">
        <v>14928</v>
      </c>
      <c r="B6943" s="108" t="s">
        <v>659</v>
      </c>
      <c r="C6943" s="109">
        <v>43899</v>
      </c>
      <c r="D6943" s="108"/>
      <c r="E6943" s="108" t="s">
        <v>14605</v>
      </c>
      <c r="F6943" s="108" t="s">
        <v>660</v>
      </c>
      <c r="G6943" s="110"/>
      <c r="H6943" s="108" t="s">
        <v>25458</v>
      </c>
      <c r="I6943" s="108"/>
    </row>
    <row r="6944" spans="1:9">
      <c r="A6944" s="108" t="s">
        <v>2002</v>
      </c>
      <c r="B6944" s="108" t="s">
        <v>810</v>
      </c>
      <c r="C6944" s="109">
        <v>43881</v>
      </c>
      <c r="D6944" s="108"/>
      <c r="E6944" s="108" t="s">
        <v>14605</v>
      </c>
      <c r="F6944" s="108" t="s">
        <v>809</v>
      </c>
      <c r="G6944" s="110"/>
      <c r="H6944" s="108" t="s">
        <v>25458</v>
      </c>
      <c r="I6944" s="108"/>
    </row>
    <row r="6945" spans="1:9">
      <c r="A6945" s="108" t="s">
        <v>2002</v>
      </c>
      <c r="B6945" s="108" t="s">
        <v>808</v>
      </c>
      <c r="C6945" s="109">
        <v>43881</v>
      </c>
      <c r="D6945" s="108"/>
      <c r="E6945" s="108" t="s">
        <v>14605</v>
      </c>
      <c r="F6945" s="108" t="s">
        <v>809</v>
      </c>
      <c r="G6945" s="110"/>
      <c r="H6945" s="108" t="s">
        <v>25458</v>
      </c>
      <c r="I6945" s="108"/>
    </row>
    <row r="6946" spans="1:9">
      <c r="A6946" s="108" t="s">
        <v>477</v>
      </c>
      <c r="B6946" s="108" t="s">
        <v>1755</v>
      </c>
      <c r="C6946" s="109">
        <v>44076</v>
      </c>
      <c r="D6946" s="108"/>
      <c r="E6946" s="108" t="s">
        <v>14605</v>
      </c>
      <c r="F6946" s="108" t="s">
        <v>1756</v>
      </c>
      <c r="G6946" s="110"/>
      <c r="H6946" s="108" t="s">
        <v>25458</v>
      </c>
      <c r="I6946" s="108"/>
    </row>
    <row r="6947" spans="1:9" ht="27.6">
      <c r="A6947" s="108" t="s">
        <v>14929</v>
      </c>
      <c r="B6947" s="108" t="s">
        <v>1836</v>
      </c>
      <c r="C6947" s="109">
        <v>44111</v>
      </c>
      <c r="D6947" s="108"/>
      <c r="E6947" s="108" t="s">
        <v>14605</v>
      </c>
      <c r="F6947" s="108" t="s">
        <v>1830</v>
      </c>
      <c r="G6947" s="110"/>
      <c r="H6947" s="108" t="s">
        <v>25458</v>
      </c>
      <c r="I6947" s="108"/>
    </row>
    <row r="6948" spans="1:9">
      <c r="A6948" s="108" t="s">
        <v>15043</v>
      </c>
      <c r="B6948" s="108" t="s">
        <v>5258</v>
      </c>
      <c r="C6948" s="109">
        <v>44148</v>
      </c>
      <c r="D6948" s="108"/>
      <c r="E6948" s="108" t="s">
        <v>14605</v>
      </c>
      <c r="F6948" s="108" t="s">
        <v>5259</v>
      </c>
      <c r="G6948" s="110"/>
      <c r="H6948" s="108" t="s">
        <v>25458</v>
      </c>
      <c r="I6948" s="108"/>
    </row>
    <row r="6949" spans="1:9" ht="27.6">
      <c r="A6949" s="108" t="s">
        <v>14690</v>
      </c>
      <c r="B6949" s="108" t="s">
        <v>1646</v>
      </c>
      <c r="C6949" s="109">
        <v>43921</v>
      </c>
      <c r="D6949" s="108"/>
      <c r="E6949" s="108" t="s">
        <v>14605</v>
      </c>
      <c r="F6949" s="108" t="s">
        <v>15243</v>
      </c>
      <c r="G6949" s="110"/>
      <c r="H6949" s="108" t="s">
        <v>25458</v>
      </c>
      <c r="I6949" s="108"/>
    </row>
    <row r="6950" spans="1:9">
      <c r="A6950" s="108" t="s">
        <v>2002</v>
      </c>
      <c r="B6950" s="108" t="s">
        <v>170</v>
      </c>
      <c r="C6950" s="109">
        <v>44103</v>
      </c>
      <c r="D6950" s="108"/>
      <c r="E6950" s="108" t="s">
        <v>14605</v>
      </c>
      <c r="F6950" s="108" t="s">
        <v>171</v>
      </c>
      <c r="G6950" s="110"/>
      <c r="H6950" s="108" t="s">
        <v>25458</v>
      </c>
      <c r="I6950" s="108"/>
    </row>
    <row r="6951" spans="1:9">
      <c r="A6951" s="108" t="s">
        <v>14928</v>
      </c>
      <c r="B6951" s="108" t="s">
        <v>4410</v>
      </c>
      <c r="C6951" s="109">
        <v>44047</v>
      </c>
      <c r="D6951" s="108"/>
      <c r="E6951" s="108" t="s">
        <v>14605</v>
      </c>
      <c r="F6951" s="108" t="s">
        <v>4390</v>
      </c>
      <c r="G6951" s="110"/>
      <c r="H6951" s="108" t="s">
        <v>25458</v>
      </c>
      <c r="I6951" s="108"/>
    </row>
    <row r="6952" spans="1:9" ht="27.6">
      <c r="A6952" s="108" t="s">
        <v>14690</v>
      </c>
      <c r="B6952" s="108" t="s">
        <v>563</v>
      </c>
      <c r="C6952" s="109">
        <v>44075</v>
      </c>
      <c r="D6952" s="108"/>
      <c r="E6952" s="108" t="s">
        <v>14605</v>
      </c>
      <c r="F6952" s="108" t="s">
        <v>559</v>
      </c>
      <c r="G6952" s="110"/>
      <c r="H6952" s="108" t="s">
        <v>25458</v>
      </c>
      <c r="I6952" s="108"/>
    </row>
    <row r="6953" spans="1:9" ht="27.6">
      <c r="A6953" s="108" t="s">
        <v>571</v>
      </c>
      <c r="B6953" s="108" t="s">
        <v>422</v>
      </c>
      <c r="C6953" s="109">
        <v>43958</v>
      </c>
      <c r="D6953" s="108"/>
      <c r="E6953" s="108" t="s">
        <v>14605</v>
      </c>
      <c r="F6953" s="108" t="s">
        <v>420</v>
      </c>
      <c r="G6953" s="110"/>
      <c r="H6953" s="108" t="s">
        <v>25458</v>
      </c>
      <c r="I6953" s="108"/>
    </row>
    <row r="6954" spans="1:9">
      <c r="A6954" s="108" t="s">
        <v>87</v>
      </c>
      <c r="B6954" s="108" t="s">
        <v>2634</v>
      </c>
      <c r="C6954" s="109">
        <v>44012</v>
      </c>
      <c r="D6954" s="108"/>
      <c r="E6954" s="108" t="s">
        <v>14605</v>
      </c>
      <c r="F6954" s="108" t="s">
        <v>2616</v>
      </c>
      <c r="G6954" s="110"/>
      <c r="H6954" s="108" t="s">
        <v>25458</v>
      </c>
      <c r="I6954" s="108"/>
    </row>
    <row r="6955" spans="1:9" ht="27.6">
      <c r="A6955" s="108" t="s">
        <v>316</v>
      </c>
      <c r="B6955" s="108" t="s">
        <v>4833</v>
      </c>
      <c r="C6955" s="109">
        <v>44153</v>
      </c>
      <c r="D6955" s="108"/>
      <c r="E6955" s="108" t="s">
        <v>14605</v>
      </c>
      <c r="F6955" s="108" t="s">
        <v>4829</v>
      </c>
      <c r="G6955" s="110"/>
      <c r="H6955" s="108" t="s">
        <v>25458</v>
      </c>
      <c r="I6955" s="108"/>
    </row>
    <row r="6956" spans="1:9">
      <c r="A6956" s="108" t="s">
        <v>237</v>
      </c>
      <c r="B6956" s="108" t="s">
        <v>4489</v>
      </c>
      <c r="C6956" s="109">
        <v>44097</v>
      </c>
      <c r="D6956" s="108"/>
      <c r="E6956" s="108" t="s">
        <v>14605</v>
      </c>
      <c r="F6956" s="108" t="s">
        <v>4490</v>
      </c>
      <c r="G6956" s="110"/>
      <c r="H6956" s="108" t="s">
        <v>25458</v>
      </c>
      <c r="I6956" s="108"/>
    </row>
    <row r="6957" spans="1:9" ht="27.6">
      <c r="A6957" s="108" t="s">
        <v>237</v>
      </c>
      <c r="B6957" s="108" t="s">
        <v>892</v>
      </c>
      <c r="C6957" s="109">
        <v>44120</v>
      </c>
      <c r="D6957" s="108"/>
      <c r="E6957" s="108" t="s">
        <v>14605</v>
      </c>
      <c r="F6957" s="108" t="s">
        <v>889</v>
      </c>
      <c r="G6957" s="110"/>
      <c r="H6957" s="108" t="s">
        <v>25458</v>
      </c>
      <c r="I6957" s="108"/>
    </row>
    <row r="6958" spans="1:9" ht="27.6">
      <c r="A6958" s="108" t="s">
        <v>14929</v>
      </c>
      <c r="B6958" s="108" t="s">
        <v>2737</v>
      </c>
      <c r="C6958" s="109">
        <v>44159</v>
      </c>
      <c r="D6958" s="108"/>
      <c r="E6958" s="108" t="s">
        <v>14605</v>
      </c>
      <c r="F6958" s="108" t="s">
        <v>2738</v>
      </c>
      <c r="G6958" s="110"/>
      <c r="H6958" s="108" t="s">
        <v>25458</v>
      </c>
      <c r="I6958" s="108"/>
    </row>
    <row r="6959" spans="1:9">
      <c r="A6959" s="108" t="s">
        <v>477</v>
      </c>
      <c r="B6959" s="108" t="s">
        <v>2261</v>
      </c>
      <c r="C6959" s="109">
        <v>44082</v>
      </c>
      <c r="D6959" s="108"/>
      <c r="E6959" s="108" t="s">
        <v>14605</v>
      </c>
      <c r="F6959" s="108" t="s">
        <v>2251</v>
      </c>
      <c r="G6959" s="110"/>
      <c r="H6959" s="108" t="s">
        <v>25458</v>
      </c>
      <c r="I6959" s="108"/>
    </row>
    <row r="6960" spans="1:9" ht="27.6">
      <c r="A6960" s="108" t="s">
        <v>87</v>
      </c>
      <c r="B6960" s="108" t="s">
        <v>3667</v>
      </c>
      <c r="C6960" s="109">
        <v>44097</v>
      </c>
      <c r="D6960" s="108"/>
      <c r="E6960" s="108" t="s">
        <v>14605</v>
      </c>
      <c r="F6960" s="108" t="s">
        <v>3668</v>
      </c>
      <c r="G6960" s="110"/>
      <c r="H6960" s="108" t="s">
        <v>25458</v>
      </c>
      <c r="I6960" s="108"/>
    </row>
    <row r="6961" spans="1:9">
      <c r="A6961" s="108" t="s">
        <v>571</v>
      </c>
      <c r="B6961" s="108" t="s">
        <v>1296</v>
      </c>
      <c r="C6961" s="109">
        <v>44103</v>
      </c>
      <c r="D6961" s="108"/>
      <c r="E6961" s="108" t="s">
        <v>14605</v>
      </c>
      <c r="F6961" s="108" t="s">
        <v>1297</v>
      </c>
      <c r="G6961" s="110"/>
      <c r="H6961" s="108" t="s">
        <v>25458</v>
      </c>
      <c r="I6961" s="108"/>
    </row>
    <row r="6962" spans="1:9">
      <c r="A6962" s="108" t="s">
        <v>87</v>
      </c>
      <c r="B6962" s="108" t="s">
        <v>3533</v>
      </c>
      <c r="C6962" s="109">
        <v>44096</v>
      </c>
      <c r="D6962" s="108"/>
      <c r="E6962" s="108" t="s">
        <v>14605</v>
      </c>
      <c r="F6962" s="108" t="s">
        <v>3531</v>
      </c>
      <c r="G6962" s="110"/>
      <c r="H6962" s="108" t="s">
        <v>25458</v>
      </c>
      <c r="I6962" s="108"/>
    </row>
    <row r="6963" spans="1:9">
      <c r="A6963" s="108" t="s">
        <v>87</v>
      </c>
      <c r="B6963" s="108" t="s">
        <v>4716</v>
      </c>
      <c r="C6963" s="109">
        <v>44151</v>
      </c>
      <c r="D6963" s="108"/>
      <c r="E6963" s="108" t="s">
        <v>14605</v>
      </c>
      <c r="F6963" s="108" t="s">
        <v>4702</v>
      </c>
      <c r="G6963" s="110"/>
      <c r="H6963" s="108" t="s">
        <v>25458</v>
      </c>
      <c r="I6963" s="108"/>
    </row>
    <row r="6964" spans="1:9">
      <c r="A6964" s="108" t="s">
        <v>571</v>
      </c>
      <c r="B6964" s="108" t="s">
        <v>3954</v>
      </c>
      <c r="C6964" s="109">
        <v>44166</v>
      </c>
      <c r="D6964" s="108"/>
      <c r="E6964" s="108" t="s">
        <v>14605</v>
      </c>
      <c r="F6964" s="108" t="s">
        <v>3953</v>
      </c>
      <c r="G6964" s="110"/>
      <c r="H6964" s="108" t="s">
        <v>25458</v>
      </c>
      <c r="I6964" s="108"/>
    </row>
    <row r="6965" spans="1:9">
      <c r="A6965" s="108" t="s">
        <v>87</v>
      </c>
      <c r="B6965" s="108" t="s">
        <v>2678</v>
      </c>
      <c r="C6965" s="109">
        <v>44148</v>
      </c>
      <c r="D6965" s="108"/>
      <c r="E6965" s="108" t="s">
        <v>14605</v>
      </c>
      <c r="F6965" s="108" t="s">
        <v>25588</v>
      </c>
      <c r="G6965" s="110"/>
      <c r="H6965" s="108" t="s">
        <v>25458</v>
      </c>
      <c r="I6965" s="108"/>
    </row>
    <row r="6966" spans="1:9">
      <c r="A6966" s="108" t="s">
        <v>2002</v>
      </c>
      <c r="B6966" s="108" t="s">
        <v>25589</v>
      </c>
      <c r="C6966" s="109">
        <v>44137</v>
      </c>
      <c r="D6966" s="108"/>
      <c r="E6966" s="108" t="s">
        <v>14605</v>
      </c>
      <c r="F6966" s="108" t="s">
        <v>15761</v>
      </c>
      <c r="G6966" s="110"/>
      <c r="H6966" s="108" t="s">
        <v>25458</v>
      </c>
      <c r="I6966" s="108"/>
    </row>
    <row r="6967" spans="1:9">
      <c r="A6967" s="108" t="s">
        <v>237</v>
      </c>
      <c r="B6967" s="108" t="s">
        <v>562</v>
      </c>
      <c r="C6967" s="109">
        <v>44181</v>
      </c>
      <c r="D6967" s="108"/>
      <c r="E6967" s="108" t="s">
        <v>14605</v>
      </c>
      <c r="F6967" s="108" t="s">
        <v>559</v>
      </c>
      <c r="G6967" s="110"/>
      <c r="H6967" s="108" t="s">
        <v>25458</v>
      </c>
      <c r="I6967" s="108"/>
    </row>
    <row r="6968" spans="1:9">
      <c r="A6968" s="108" t="s">
        <v>87</v>
      </c>
      <c r="B6968" s="108" t="s">
        <v>25590</v>
      </c>
      <c r="C6968" s="109">
        <v>44148</v>
      </c>
      <c r="D6968" s="108"/>
      <c r="E6968" s="108" t="s">
        <v>14605</v>
      </c>
      <c r="F6968" s="108" t="s">
        <v>14764</v>
      </c>
      <c r="G6968" s="110"/>
      <c r="H6968" s="108" t="s">
        <v>25458</v>
      </c>
      <c r="I6968" s="108"/>
    </row>
    <row r="6969" spans="1:9">
      <c r="A6969" s="108" t="s">
        <v>237</v>
      </c>
      <c r="B6969" s="108" t="s">
        <v>3579</v>
      </c>
      <c r="C6969" s="109">
        <v>44148</v>
      </c>
      <c r="D6969" s="108"/>
      <c r="E6969" s="108" t="s">
        <v>14605</v>
      </c>
      <c r="F6969" s="108" t="s">
        <v>15251</v>
      </c>
      <c r="G6969" s="110"/>
      <c r="H6969" s="108" t="s">
        <v>25458</v>
      </c>
      <c r="I6969" s="108"/>
    </row>
    <row r="6970" spans="1:9" ht="27.6">
      <c r="A6970" s="108" t="s">
        <v>87</v>
      </c>
      <c r="B6970" s="108" t="s">
        <v>382</v>
      </c>
      <c r="C6970" s="109">
        <v>44375</v>
      </c>
      <c r="D6970" s="108"/>
      <c r="E6970" s="108" t="s">
        <v>14605</v>
      </c>
      <c r="F6970" s="108" t="s">
        <v>381</v>
      </c>
      <c r="G6970" s="110"/>
      <c r="H6970" s="108" t="s">
        <v>25458</v>
      </c>
      <c r="I6970" s="108"/>
    </row>
    <row r="6971" spans="1:9">
      <c r="A6971" s="108" t="s">
        <v>87</v>
      </c>
      <c r="B6971" s="108" t="s">
        <v>2633</v>
      </c>
      <c r="C6971" s="109">
        <v>44211</v>
      </c>
      <c r="D6971" s="108"/>
      <c r="E6971" s="108" t="s">
        <v>14605</v>
      </c>
      <c r="F6971" s="108" t="s">
        <v>2622</v>
      </c>
      <c r="G6971" s="110"/>
      <c r="H6971" s="108" t="s">
        <v>25458</v>
      </c>
      <c r="I6971" s="108"/>
    </row>
    <row r="6972" spans="1:9">
      <c r="A6972" s="108" t="s">
        <v>87</v>
      </c>
      <c r="B6972" s="108" t="s">
        <v>557</v>
      </c>
      <c r="C6972" s="109">
        <v>44180</v>
      </c>
      <c r="D6972" s="108"/>
      <c r="E6972" s="108" t="s">
        <v>14605</v>
      </c>
      <c r="F6972" s="108" t="s">
        <v>558</v>
      </c>
      <c r="G6972" s="110"/>
      <c r="H6972" s="108" t="s">
        <v>25458</v>
      </c>
      <c r="I6972" s="108"/>
    </row>
    <row r="6973" spans="1:9" ht="27.6">
      <c r="A6973" s="108" t="s">
        <v>14929</v>
      </c>
      <c r="B6973" s="108" t="s">
        <v>4690</v>
      </c>
      <c r="C6973" s="109">
        <v>44176</v>
      </c>
      <c r="D6973" s="108"/>
      <c r="E6973" s="108" t="s">
        <v>14605</v>
      </c>
      <c r="F6973" s="108" t="s">
        <v>4685</v>
      </c>
      <c r="G6973" s="110"/>
      <c r="H6973" s="108" t="s">
        <v>25458</v>
      </c>
      <c r="I6973" s="108"/>
    </row>
    <row r="6974" spans="1:9" ht="27.6">
      <c r="A6974" s="108" t="s">
        <v>14690</v>
      </c>
      <c r="B6974" s="108" t="s">
        <v>1330</v>
      </c>
      <c r="C6974" s="109">
        <v>44181</v>
      </c>
      <c r="D6974" s="108"/>
      <c r="E6974" s="108" t="s">
        <v>14605</v>
      </c>
      <c r="F6974" s="108" t="s">
        <v>25591</v>
      </c>
      <c r="G6974" s="110"/>
      <c r="H6974" s="108" t="s">
        <v>25458</v>
      </c>
      <c r="I6974" s="108"/>
    </row>
    <row r="6975" spans="1:9" ht="27.6">
      <c r="A6975" s="108" t="s">
        <v>571</v>
      </c>
      <c r="B6975" s="108" t="s">
        <v>4650</v>
      </c>
      <c r="C6975" s="109">
        <v>44183</v>
      </c>
      <c r="D6975" s="108"/>
      <c r="E6975" s="108" t="s">
        <v>14605</v>
      </c>
      <c r="F6975" s="108" t="s">
        <v>4638</v>
      </c>
      <c r="G6975" s="110"/>
      <c r="H6975" s="108" t="s">
        <v>25458</v>
      </c>
      <c r="I6975" s="108"/>
    </row>
    <row r="6976" spans="1:9">
      <c r="A6976" s="108" t="s">
        <v>87</v>
      </c>
      <c r="B6976" s="108" t="s">
        <v>3672</v>
      </c>
      <c r="C6976" s="109">
        <v>44194</v>
      </c>
      <c r="D6976" s="108"/>
      <c r="E6976" s="108" t="s">
        <v>14605</v>
      </c>
      <c r="F6976" s="108" t="s">
        <v>3673</v>
      </c>
      <c r="G6976" s="110"/>
      <c r="H6976" s="108" t="s">
        <v>25458</v>
      </c>
      <c r="I6976" s="108"/>
    </row>
    <row r="6977" spans="1:9" ht="27.6">
      <c r="A6977" s="108" t="s">
        <v>1465</v>
      </c>
      <c r="B6977" s="108" t="s">
        <v>2659</v>
      </c>
      <c r="C6977" s="109">
        <v>44186</v>
      </c>
      <c r="D6977" s="108"/>
      <c r="E6977" s="108" t="s">
        <v>14605</v>
      </c>
      <c r="F6977" s="108" t="s">
        <v>2660</v>
      </c>
      <c r="G6977" s="110"/>
      <c r="H6977" s="108" t="s">
        <v>25458</v>
      </c>
      <c r="I6977" s="108"/>
    </row>
    <row r="6978" spans="1:9">
      <c r="A6978" s="108" t="s">
        <v>87</v>
      </c>
      <c r="B6978" s="108" t="s">
        <v>3459</v>
      </c>
      <c r="C6978" s="109">
        <v>44244</v>
      </c>
      <c r="D6978" s="108"/>
      <c r="E6978" s="108" t="s">
        <v>14605</v>
      </c>
      <c r="F6978" s="108" t="s">
        <v>3458</v>
      </c>
      <c r="G6978" s="110"/>
      <c r="H6978" s="108" t="s">
        <v>25458</v>
      </c>
      <c r="I6978" s="108"/>
    </row>
    <row r="6979" spans="1:9" ht="27.6">
      <c r="A6979" s="108" t="s">
        <v>14690</v>
      </c>
      <c r="B6979" s="108" t="s">
        <v>4827</v>
      </c>
      <c r="C6979" s="109">
        <v>44244</v>
      </c>
      <c r="D6979" s="108"/>
      <c r="E6979" s="108" t="s">
        <v>14605</v>
      </c>
      <c r="F6979" s="108" t="s">
        <v>4826</v>
      </c>
      <c r="G6979" s="110"/>
      <c r="H6979" s="108" t="s">
        <v>25458</v>
      </c>
      <c r="I6979" s="108"/>
    </row>
    <row r="6980" spans="1:9" ht="27.6">
      <c r="A6980" s="108" t="s">
        <v>14690</v>
      </c>
      <c r="B6980" s="108" t="s">
        <v>4825</v>
      </c>
      <c r="C6980" s="109">
        <v>44244</v>
      </c>
      <c r="D6980" s="108"/>
      <c r="E6980" s="108" t="s">
        <v>14605</v>
      </c>
      <c r="F6980" s="108" t="s">
        <v>4826</v>
      </c>
      <c r="G6980" s="110"/>
      <c r="H6980" s="108" t="s">
        <v>25458</v>
      </c>
      <c r="I6980" s="108"/>
    </row>
    <row r="6981" spans="1:9">
      <c r="A6981" s="108" t="s">
        <v>316</v>
      </c>
      <c r="B6981" s="108" t="s">
        <v>4134</v>
      </c>
      <c r="C6981" s="109">
        <v>44246</v>
      </c>
      <c r="D6981" s="108"/>
      <c r="E6981" s="108" t="s">
        <v>14605</v>
      </c>
      <c r="F6981" s="108" t="s">
        <v>4130</v>
      </c>
      <c r="G6981" s="110"/>
      <c r="H6981" s="108" t="s">
        <v>25458</v>
      </c>
      <c r="I6981" s="108"/>
    </row>
    <row r="6982" spans="1:9">
      <c r="A6982" s="108" t="s">
        <v>87</v>
      </c>
      <c r="B6982" s="108" t="s">
        <v>3208</v>
      </c>
      <c r="C6982" s="109">
        <v>44284</v>
      </c>
      <c r="D6982" s="108"/>
      <c r="E6982" s="108" t="s">
        <v>14605</v>
      </c>
      <c r="F6982" s="108" t="s">
        <v>3206</v>
      </c>
      <c r="G6982" s="110"/>
      <c r="H6982" s="108" t="s">
        <v>25458</v>
      </c>
      <c r="I6982" s="108"/>
    </row>
    <row r="6983" spans="1:9">
      <c r="A6983" s="108" t="s">
        <v>237</v>
      </c>
      <c r="B6983" s="108" t="s">
        <v>3655</v>
      </c>
      <c r="C6983" s="109">
        <v>44267</v>
      </c>
      <c r="D6983" s="108"/>
      <c r="E6983" s="108" t="s">
        <v>14605</v>
      </c>
      <c r="F6983" s="108" t="s">
        <v>2049</v>
      </c>
      <c r="G6983" s="110"/>
      <c r="H6983" s="108" t="s">
        <v>25458</v>
      </c>
      <c r="I6983" s="108"/>
    </row>
    <row r="6984" spans="1:9">
      <c r="A6984" s="108" t="s">
        <v>87</v>
      </c>
      <c r="B6984" s="108" t="s">
        <v>4587</v>
      </c>
      <c r="C6984" s="109">
        <v>44280</v>
      </c>
      <c r="D6984" s="108"/>
      <c r="E6984" s="108" t="s">
        <v>14605</v>
      </c>
      <c r="F6984" s="108" t="s">
        <v>4576</v>
      </c>
      <c r="G6984" s="110"/>
      <c r="H6984" s="108" t="s">
        <v>25458</v>
      </c>
      <c r="I6984" s="108"/>
    </row>
    <row r="6985" spans="1:9">
      <c r="A6985" s="108" t="s">
        <v>571</v>
      </c>
      <c r="B6985" s="108" t="s">
        <v>5250</v>
      </c>
      <c r="C6985" s="109">
        <v>44280</v>
      </c>
      <c r="D6985" s="108"/>
      <c r="E6985" s="108" t="s">
        <v>14605</v>
      </c>
      <c r="F6985" s="108" t="s">
        <v>5248</v>
      </c>
      <c r="G6985" s="110"/>
      <c r="H6985" s="108" t="s">
        <v>25458</v>
      </c>
      <c r="I6985" s="108"/>
    </row>
    <row r="6986" spans="1:9">
      <c r="A6986" s="108" t="s">
        <v>2002</v>
      </c>
      <c r="B6986" s="108" t="s">
        <v>1480</v>
      </c>
      <c r="C6986" s="109">
        <v>44354</v>
      </c>
      <c r="D6986" s="108"/>
      <c r="E6986" s="108" t="s">
        <v>14605</v>
      </c>
      <c r="F6986" s="108" t="s">
        <v>1470</v>
      </c>
      <c r="G6986" s="110"/>
      <c r="H6986" s="108" t="s">
        <v>25458</v>
      </c>
      <c r="I6986" s="108"/>
    </row>
    <row r="6987" spans="1:9" ht="27.6">
      <c r="A6987" s="108" t="s">
        <v>2002</v>
      </c>
      <c r="B6987" s="108" t="s">
        <v>3362</v>
      </c>
      <c r="C6987" s="109">
        <v>44322</v>
      </c>
      <c r="D6987" s="108"/>
      <c r="E6987" s="108" t="s">
        <v>14605</v>
      </c>
      <c r="F6987" s="108" t="s">
        <v>15554</v>
      </c>
      <c r="G6987" s="110"/>
      <c r="H6987" s="108" t="s">
        <v>25458</v>
      </c>
      <c r="I6987" s="108"/>
    </row>
    <row r="6988" spans="1:9" ht="27.6">
      <c r="A6988" s="108" t="s">
        <v>14929</v>
      </c>
      <c r="B6988" s="108" t="s">
        <v>4649</v>
      </c>
      <c r="C6988" s="109">
        <v>44363</v>
      </c>
      <c r="D6988" s="108"/>
      <c r="E6988" s="108" t="s">
        <v>14605</v>
      </c>
      <c r="F6988" s="108" t="s">
        <v>4638</v>
      </c>
      <c r="G6988" s="110"/>
      <c r="H6988" s="108" t="s">
        <v>25458</v>
      </c>
      <c r="I6988" s="108"/>
    </row>
    <row r="6989" spans="1:9" ht="27.6">
      <c r="A6989" s="108" t="s">
        <v>87</v>
      </c>
      <c r="B6989" s="108" t="s">
        <v>4844</v>
      </c>
      <c r="C6989" s="109">
        <v>44358</v>
      </c>
      <c r="D6989" s="108"/>
      <c r="E6989" s="108" t="s">
        <v>14605</v>
      </c>
      <c r="F6989" s="108" t="s">
        <v>4840</v>
      </c>
      <c r="G6989" s="110"/>
      <c r="H6989" s="108" t="s">
        <v>25458</v>
      </c>
      <c r="I6989" s="108"/>
    </row>
    <row r="6990" spans="1:9">
      <c r="A6990" s="108" t="s">
        <v>87</v>
      </c>
      <c r="B6990" s="108" t="s">
        <v>2624</v>
      </c>
      <c r="C6990" s="109">
        <v>44375</v>
      </c>
      <c r="D6990" s="108"/>
      <c r="E6990" s="108" t="s">
        <v>14605</v>
      </c>
      <c r="F6990" s="108" t="s">
        <v>2622</v>
      </c>
      <c r="G6990" s="110"/>
      <c r="H6990" s="108" t="s">
        <v>25458</v>
      </c>
      <c r="I6990" s="108"/>
    </row>
    <row r="6991" spans="1:9" ht="27.6">
      <c r="A6991" s="108" t="s">
        <v>14690</v>
      </c>
      <c r="B6991" s="108" t="s">
        <v>166</v>
      </c>
      <c r="C6991" s="109">
        <v>44375</v>
      </c>
      <c r="D6991" s="108"/>
      <c r="E6991" s="108" t="s">
        <v>14605</v>
      </c>
      <c r="F6991" s="108" t="s">
        <v>16279</v>
      </c>
      <c r="G6991" s="110"/>
      <c r="H6991" s="108" t="s">
        <v>25458</v>
      </c>
      <c r="I6991" s="108"/>
    </row>
    <row r="6992" spans="1:9" ht="27.6">
      <c r="A6992" s="108" t="s">
        <v>20001</v>
      </c>
      <c r="B6992" s="108" t="s">
        <v>3457</v>
      </c>
      <c r="C6992" s="109">
        <v>44372</v>
      </c>
      <c r="D6992" s="108"/>
      <c r="E6992" s="108" t="s">
        <v>14605</v>
      </c>
      <c r="F6992" s="108" t="s">
        <v>3458</v>
      </c>
      <c r="G6992" s="110"/>
      <c r="H6992" s="108" t="s">
        <v>25458</v>
      </c>
      <c r="I6992" s="108"/>
    </row>
    <row r="6993" spans="1:9" ht="27.6">
      <c r="A6993" s="108" t="s">
        <v>14690</v>
      </c>
      <c r="B6993" s="108" t="s">
        <v>561</v>
      </c>
      <c r="C6993" s="109">
        <v>44432</v>
      </c>
      <c r="D6993" s="108"/>
      <c r="E6993" s="108" t="s">
        <v>14605</v>
      </c>
      <c r="F6993" s="108" t="s">
        <v>559</v>
      </c>
      <c r="G6993" s="110"/>
      <c r="H6993" s="108" t="s">
        <v>25458</v>
      </c>
      <c r="I6993" s="108"/>
    </row>
    <row r="6994" spans="1:9">
      <c r="A6994" s="108" t="s">
        <v>316</v>
      </c>
      <c r="B6994" s="108" t="s">
        <v>2260</v>
      </c>
      <c r="C6994" s="109">
        <v>44392</v>
      </c>
      <c r="D6994" s="108"/>
      <c r="E6994" s="108" t="s">
        <v>14605</v>
      </c>
      <c r="F6994" s="108" t="s">
        <v>2251</v>
      </c>
      <c r="G6994" s="110"/>
      <c r="H6994" s="108" t="s">
        <v>25458</v>
      </c>
      <c r="I6994" s="108"/>
    </row>
    <row r="6995" spans="1:9" ht="27.6">
      <c r="A6995" s="108" t="s">
        <v>14928</v>
      </c>
      <c r="B6995" s="108" t="s">
        <v>891</v>
      </c>
      <c r="C6995" s="109">
        <v>44421</v>
      </c>
      <c r="D6995" s="108"/>
      <c r="E6995" s="108" t="s">
        <v>14605</v>
      </c>
      <c r="F6995" s="108" t="s">
        <v>889</v>
      </c>
      <c r="G6995" s="110"/>
      <c r="H6995" s="108" t="s">
        <v>25458</v>
      </c>
      <c r="I6995" s="108"/>
    </row>
    <row r="6996" spans="1:9">
      <c r="A6996" s="108" t="s">
        <v>87</v>
      </c>
      <c r="B6996" s="108" t="s">
        <v>1055</v>
      </c>
      <c r="C6996" s="109">
        <v>44418</v>
      </c>
      <c r="D6996" s="108"/>
      <c r="E6996" s="108" t="s">
        <v>14605</v>
      </c>
      <c r="F6996" s="108" t="s">
        <v>1053</v>
      </c>
      <c r="G6996" s="110"/>
      <c r="H6996" s="108" t="s">
        <v>25458</v>
      </c>
      <c r="I6996" s="108"/>
    </row>
    <row r="6997" spans="1:9" ht="27.6">
      <c r="A6997" s="108" t="s">
        <v>87</v>
      </c>
      <c r="B6997" s="108" t="s">
        <v>759</v>
      </c>
      <c r="C6997" s="109">
        <v>44453</v>
      </c>
      <c r="D6997" s="108"/>
      <c r="E6997" s="108" t="s">
        <v>14605</v>
      </c>
      <c r="F6997" s="108" t="s">
        <v>760</v>
      </c>
      <c r="G6997" s="110"/>
      <c r="H6997" s="108" t="s">
        <v>25458</v>
      </c>
      <c r="I6997" s="108"/>
    </row>
    <row r="6998" spans="1:9">
      <c r="A6998" s="108" t="s">
        <v>87</v>
      </c>
      <c r="B6998" s="108" t="s">
        <v>4715</v>
      </c>
      <c r="C6998" s="109">
        <v>44448</v>
      </c>
      <c r="D6998" s="108"/>
      <c r="E6998" s="108" t="s">
        <v>14605</v>
      </c>
      <c r="F6998" s="108" t="s">
        <v>334</v>
      </c>
      <c r="G6998" s="110"/>
      <c r="H6998" s="108" t="s">
        <v>25458</v>
      </c>
      <c r="I6998" s="108"/>
    </row>
    <row r="6999" spans="1:9">
      <c r="A6999" s="108" t="s">
        <v>87</v>
      </c>
      <c r="B6999" s="108" t="s">
        <v>437</v>
      </c>
      <c r="C6999" s="109">
        <v>44460</v>
      </c>
      <c r="D6999" s="108"/>
      <c r="E6999" s="108" t="s">
        <v>14605</v>
      </c>
      <c r="F6999" s="108" t="s">
        <v>438</v>
      </c>
      <c r="G6999" s="110"/>
      <c r="H6999" s="108" t="s">
        <v>25458</v>
      </c>
      <c r="I6999" s="108"/>
    </row>
    <row r="7000" spans="1:9">
      <c r="A7000" s="108" t="s">
        <v>316</v>
      </c>
      <c r="B7000" s="108" t="s">
        <v>2416</v>
      </c>
      <c r="C7000" s="109">
        <v>44488</v>
      </c>
      <c r="D7000" s="108"/>
      <c r="E7000" s="108" t="s">
        <v>14605</v>
      </c>
      <c r="F7000" s="108" t="s">
        <v>25592</v>
      </c>
      <c r="G7000" s="110"/>
      <c r="H7000" s="108" t="s">
        <v>25458</v>
      </c>
      <c r="I7000" s="108"/>
    </row>
    <row r="7001" spans="1:9" ht="27.6">
      <c r="A7001" s="108" t="s">
        <v>14929</v>
      </c>
      <c r="B7001" s="108" t="s">
        <v>2104</v>
      </c>
      <c r="C7001" s="109">
        <v>44462</v>
      </c>
      <c r="D7001" s="108"/>
      <c r="E7001" s="108" t="s">
        <v>14605</v>
      </c>
      <c r="F7001" s="108" t="s">
        <v>25475</v>
      </c>
      <c r="G7001" s="110"/>
      <c r="H7001" s="108" t="s">
        <v>25458</v>
      </c>
      <c r="I7001" s="108"/>
    </row>
    <row r="7002" spans="1:9">
      <c r="A7002" s="108" t="s">
        <v>316</v>
      </c>
      <c r="B7002" s="108" t="s">
        <v>1197</v>
      </c>
      <c r="C7002" s="109">
        <v>44468</v>
      </c>
      <c r="D7002" s="108"/>
      <c r="E7002" s="108" t="s">
        <v>14605</v>
      </c>
      <c r="F7002" s="108" t="s">
        <v>1198</v>
      </c>
      <c r="G7002" s="110"/>
      <c r="H7002" s="108" t="s">
        <v>25458</v>
      </c>
      <c r="I7002" s="108"/>
    </row>
    <row r="7003" spans="1:9">
      <c r="A7003" s="108" t="s">
        <v>2002</v>
      </c>
      <c r="B7003" s="108" t="s">
        <v>2877</v>
      </c>
      <c r="C7003" s="109">
        <v>44468</v>
      </c>
      <c r="D7003" s="108"/>
      <c r="E7003" s="108" t="s">
        <v>14605</v>
      </c>
      <c r="F7003" s="108" t="s">
        <v>2853</v>
      </c>
      <c r="G7003" s="110"/>
      <c r="H7003" s="108" t="s">
        <v>25458</v>
      </c>
      <c r="I7003" s="108"/>
    </row>
    <row r="7004" spans="1:9" ht="27.6">
      <c r="A7004" s="108" t="s">
        <v>571</v>
      </c>
      <c r="B7004" s="108" t="s">
        <v>4980</v>
      </c>
      <c r="C7004" s="109">
        <v>44504</v>
      </c>
      <c r="D7004" s="108"/>
      <c r="E7004" s="108" t="s">
        <v>14605</v>
      </c>
      <c r="F7004" s="108" t="s">
        <v>25593</v>
      </c>
      <c r="G7004" s="110"/>
      <c r="H7004" s="108" t="s">
        <v>25458</v>
      </c>
      <c r="I7004" s="108"/>
    </row>
    <row r="7005" spans="1:9" ht="27.6">
      <c r="A7005" s="108" t="s">
        <v>87</v>
      </c>
      <c r="B7005" s="108" t="s">
        <v>1993</v>
      </c>
      <c r="C7005" s="109">
        <v>44544</v>
      </c>
      <c r="D7005" s="108"/>
      <c r="E7005" s="108" t="s">
        <v>14605</v>
      </c>
      <c r="F7005" s="108" t="s">
        <v>15284</v>
      </c>
      <c r="G7005" s="110"/>
      <c r="H7005" s="108" t="s">
        <v>25458</v>
      </c>
      <c r="I7005" s="108"/>
    </row>
    <row r="7006" spans="1:9" ht="27.6">
      <c r="A7006" s="108" t="s">
        <v>316</v>
      </c>
      <c r="B7006" s="108" t="s">
        <v>4016</v>
      </c>
      <c r="C7006" s="109">
        <v>44699</v>
      </c>
      <c r="D7006" s="108"/>
      <c r="E7006" s="108" t="s">
        <v>14605</v>
      </c>
      <c r="F7006" s="108" t="s">
        <v>4014</v>
      </c>
      <c r="G7006" s="110"/>
      <c r="H7006" s="108" t="s">
        <v>25458</v>
      </c>
      <c r="I7006" s="108"/>
    </row>
    <row r="7007" spans="1:9" ht="27.6">
      <c r="A7007" s="108" t="s">
        <v>571</v>
      </c>
      <c r="B7007" s="108" t="s">
        <v>739</v>
      </c>
      <c r="C7007" s="109">
        <v>44530</v>
      </c>
      <c r="D7007" s="108"/>
      <c r="E7007" s="108" t="s">
        <v>14605</v>
      </c>
      <c r="F7007" s="108" t="s">
        <v>733</v>
      </c>
      <c r="G7007" s="110"/>
      <c r="H7007" s="108" t="s">
        <v>25458</v>
      </c>
      <c r="I7007" s="108"/>
    </row>
    <row r="7008" spans="1:9">
      <c r="A7008" s="108" t="s">
        <v>14928</v>
      </c>
      <c r="B7008" s="108" t="s">
        <v>428</v>
      </c>
      <c r="C7008" s="109">
        <v>44524</v>
      </c>
      <c r="D7008" s="108"/>
      <c r="E7008" s="108" t="s">
        <v>14605</v>
      </c>
      <c r="F7008" s="108" t="s">
        <v>25594</v>
      </c>
      <c r="G7008" s="110"/>
      <c r="H7008" s="108" t="s">
        <v>25458</v>
      </c>
      <c r="I7008" s="108"/>
    </row>
    <row r="7009" spans="1:9">
      <c r="A7009" s="108" t="s">
        <v>87</v>
      </c>
      <c r="B7009" s="108" t="s">
        <v>1123</v>
      </c>
      <c r="C7009" s="109">
        <v>44573</v>
      </c>
      <c r="D7009" s="108"/>
      <c r="E7009" s="108" t="s">
        <v>14605</v>
      </c>
      <c r="F7009" s="108" t="s">
        <v>1124</v>
      </c>
      <c r="G7009" s="110"/>
      <c r="H7009" s="108" t="s">
        <v>25458</v>
      </c>
      <c r="I7009" s="108"/>
    </row>
    <row r="7010" spans="1:9" ht="27.6">
      <c r="A7010" s="108" t="s">
        <v>14690</v>
      </c>
      <c r="B7010" s="108" t="s">
        <v>90</v>
      </c>
      <c r="C7010" s="109">
        <v>44560</v>
      </c>
      <c r="D7010" s="108"/>
      <c r="E7010" s="108" t="s">
        <v>14605</v>
      </c>
      <c r="F7010" s="108" t="s">
        <v>25595</v>
      </c>
      <c r="G7010" s="110"/>
      <c r="H7010" s="108" t="s">
        <v>25458</v>
      </c>
      <c r="I7010" s="108"/>
    </row>
    <row r="7011" spans="1:9" ht="27.6">
      <c r="A7011" s="108" t="s">
        <v>14690</v>
      </c>
      <c r="B7011" s="108" t="s">
        <v>3146</v>
      </c>
      <c r="C7011" s="109">
        <v>44593</v>
      </c>
      <c r="D7011" s="108"/>
      <c r="E7011" s="108" t="s">
        <v>14605</v>
      </c>
      <c r="F7011" s="108" t="s">
        <v>3147</v>
      </c>
      <c r="G7011" s="110"/>
      <c r="H7011" s="108" t="s">
        <v>25458</v>
      </c>
      <c r="I7011" s="108"/>
    </row>
    <row r="7012" spans="1:9">
      <c r="A7012" s="108" t="s">
        <v>87</v>
      </c>
      <c r="B7012" s="108" t="s">
        <v>2677</v>
      </c>
      <c r="C7012" s="109">
        <v>44629</v>
      </c>
      <c r="D7012" s="108"/>
      <c r="E7012" s="108" t="s">
        <v>14605</v>
      </c>
      <c r="F7012" s="108" t="s">
        <v>25588</v>
      </c>
      <c r="G7012" s="110"/>
      <c r="H7012" s="108" t="s">
        <v>25458</v>
      </c>
      <c r="I7012" s="108"/>
    </row>
    <row r="7013" spans="1:9">
      <c r="A7013" s="108" t="s">
        <v>15043</v>
      </c>
      <c r="B7013" s="108" t="s">
        <v>97</v>
      </c>
      <c r="C7013" s="109">
        <v>44615</v>
      </c>
      <c r="D7013" s="108"/>
      <c r="E7013" s="108" t="s">
        <v>14605</v>
      </c>
      <c r="F7013" s="108" t="s">
        <v>98</v>
      </c>
      <c r="G7013" s="110"/>
      <c r="H7013" s="108" t="s">
        <v>25458</v>
      </c>
      <c r="I7013" s="108"/>
    </row>
    <row r="7014" spans="1:9">
      <c r="A7014" s="108" t="s">
        <v>1465</v>
      </c>
      <c r="B7014" s="108" t="s">
        <v>3125</v>
      </c>
      <c r="C7014" s="109">
        <v>44671</v>
      </c>
      <c r="D7014" s="108"/>
      <c r="E7014" s="108" t="s">
        <v>14605</v>
      </c>
      <c r="F7014" s="108" t="s">
        <v>3126</v>
      </c>
      <c r="G7014" s="110"/>
      <c r="H7014" s="108" t="s">
        <v>25458</v>
      </c>
      <c r="I7014" s="108"/>
    </row>
    <row r="7015" spans="1:9" ht="27.6">
      <c r="A7015" s="108" t="s">
        <v>14690</v>
      </c>
      <c r="B7015" s="108" t="s">
        <v>1328</v>
      </c>
      <c r="C7015" s="109">
        <v>44718</v>
      </c>
      <c r="D7015" s="108"/>
      <c r="E7015" s="108" t="s">
        <v>14605</v>
      </c>
      <c r="F7015" s="108" t="s">
        <v>1329</v>
      </c>
      <c r="G7015" s="110"/>
      <c r="H7015" s="108" t="s">
        <v>25458</v>
      </c>
      <c r="I7015" s="108"/>
    </row>
    <row r="7016" spans="1:9" ht="27.6">
      <c r="A7016" s="108" t="s">
        <v>14690</v>
      </c>
      <c r="B7016" s="108" t="s">
        <v>88</v>
      </c>
      <c r="C7016" s="109">
        <v>44715</v>
      </c>
      <c r="D7016" s="108"/>
      <c r="E7016" s="108" t="s">
        <v>14605</v>
      </c>
      <c r="F7016" s="108" t="s">
        <v>25595</v>
      </c>
      <c r="G7016" s="110"/>
      <c r="H7016" s="108" t="s">
        <v>25458</v>
      </c>
      <c r="I7016" s="108"/>
    </row>
    <row r="7017" spans="1:9">
      <c r="A7017" s="108" t="s">
        <v>87</v>
      </c>
      <c r="B7017" s="108" t="s">
        <v>5283</v>
      </c>
      <c r="C7017" s="109">
        <v>44714</v>
      </c>
      <c r="D7017" s="108"/>
      <c r="E7017" s="108" t="s">
        <v>14605</v>
      </c>
      <c r="F7017" s="108" t="s">
        <v>5284</v>
      </c>
      <c r="G7017" s="110"/>
      <c r="H7017" s="108" t="s">
        <v>25458</v>
      </c>
      <c r="I7017" s="108"/>
    </row>
    <row r="7018" spans="1:9">
      <c r="A7018" s="108" t="s">
        <v>571</v>
      </c>
      <c r="B7018" s="108" t="s">
        <v>25596</v>
      </c>
      <c r="C7018" s="109">
        <v>45110</v>
      </c>
      <c r="D7018" s="108"/>
      <c r="E7018" s="108" t="s">
        <v>14605</v>
      </c>
      <c r="F7018" s="108" t="s">
        <v>14764</v>
      </c>
      <c r="G7018" s="110"/>
      <c r="H7018" s="108" t="s">
        <v>25458</v>
      </c>
      <c r="I7018" s="108"/>
    </row>
    <row r="7019" spans="1:9">
      <c r="A7019" s="108" t="s">
        <v>2002</v>
      </c>
      <c r="B7019" s="108" t="s">
        <v>1107</v>
      </c>
      <c r="C7019" s="109">
        <v>45637</v>
      </c>
      <c r="D7019" s="108"/>
      <c r="E7019" s="108" t="s">
        <v>14605</v>
      </c>
      <c r="F7019" s="108" t="s">
        <v>1106</v>
      </c>
      <c r="G7019" s="110"/>
      <c r="H7019" s="108" t="s">
        <v>25458</v>
      </c>
      <c r="I7019" s="108"/>
    </row>
    <row r="7020" spans="1:9">
      <c r="A7020" s="108" t="s">
        <v>2002</v>
      </c>
      <c r="B7020" s="108" t="s">
        <v>1105</v>
      </c>
      <c r="C7020" s="109">
        <v>45841</v>
      </c>
      <c r="D7020" s="108"/>
      <c r="E7020" s="108" t="s">
        <v>14605</v>
      </c>
      <c r="F7020" s="108" t="s">
        <v>1106</v>
      </c>
      <c r="G7020" s="110"/>
      <c r="H7020" s="108" t="s">
        <v>25458</v>
      </c>
      <c r="I7020" s="108"/>
    </row>
    <row r="7021" spans="1:9">
      <c r="A7021" s="108" t="s">
        <v>25597</v>
      </c>
      <c r="B7021" s="108" t="s">
        <v>25598</v>
      </c>
      <c r="C7021" s="109">
        <v>41157</v>
      </c>
      <c r="D7021" s="108"/>
      <c r="E7021" s="108" t="s">
        <v>14605</v>
      </c>
      <c r="F7021" s="108" t="s">
        <v>524</v>
      </c>
      <c r="G7021" s="110"/>
      <c r="H7021" s="108" t="s">
        <v>25458</v>
      </c>
      <c r="I7021" s="108"/>
    </row>
    <row r="7022" spans="1:9">
      <c r="A7022" s="108" t="s">
        <v>25597</v>
      </c>
      <c r="B7022" s="108" t="s">
        <v>25599</v>
      </c>
      <c r="C7022" s="109">
        <v>40616</v>
      </c>
      <c r="D7022" s="108"/>
      <c r="E7022" s="108" t="s">
        <v>14605</v>
      </c>
      <c r="F7022" s="108" t="s">
        <v>14654</v>
      </c>
      <c r="G7022" s="110"/>
      <c r="H7022" s="108" t="s">
        <v>25458</v>
      </c>
      <c r="I7022" s="108"/>
    </row>
    <row r="7023" spans="1:9" ht="27.6">
      <c r="A7023" s="108" t="s">
        <v>15075</v>
      </c>
      <c r="B7023" s="108" t="s">
        <v>25600</v>
      </c>
      <c r="C7023" s="109">
        <v>44609</v>
      </c>
      <c r="D7023" s="108"/>
      <c r="E7023" s="108" t="s">
        <v>14605</v>
      </c>
      <c r="F7023" s="108" t="s">
        <v>14656</v>
      </c>
      <c r="G7023" s="110"/>
      <c r="H7023" s="108" t="s">
        <v>25458</v>
      </c>
      <c r="I7023" s="108"/>
    </row>
    <row r="7024" spans="1:9" ht="27.6">
      <c r="A7024" s="108" t="s">
        <v>15075</v>
      </c>
      <c r="B7024" s="108" t="s">
        <v>25601</v>
      </c>
      <c r="C7024" s="109">
        <v>44662</v>
      </c>
      <c r="D7024" s="108"/>
      <c r="E7024" s="108" t="s">
        <v>14605</v>
      </c>
      <c r="F7024" s="108" t="s">
        <v>25602</v>
      </c>
      <c r="G7024" s="110"/>
      <c r="H7024" s="108" t="s">
        <v>25458</v>
      </c>
      <c r="I7024" s="108"/>
    </row>
    <row r="7025" spans="1:9" ht="27.6">
      <c r="A7025" s="108" t="s">
        <v>15075</v>
      </c>
      <c r="B7025" s="108" t="s">
        <v>25603</v>
      </c>
      <c r="C7025" s="109">
        <v>45016</v>
      </c>
      <c r="D7025" s="108"/>
      <c r="E7025" s="108" t="s">
        <v>14605</v>
      </c>
      <c r="F7025" s="108" t="s">
        <v>1519</v>
      </c>
      <c r="G7025" s="110"/>
      <c r="H7025" s="108" t="s">
        <v>25458</v>
      </c>
      <c r="I7025" s="108"/>
    </row>
    <row r="7026" spans="1:9" ht="27.6">
      <c r="A7026" s="108" t="s">
        <v>15075</v>
      </c>
      <c r="B7026" s="108" t="s">
        <v>25604</v>
      </c>
      <c r="C7026" s="109">
        <v>44749</v>
      </c>
      <c r="D7026" s="108"/>
      <c r="E7026" s="108" t="s">
        <v>14605</v>
      </c>
      <c r="F7026" s="108" t="s">
        <v>449</v>
      </c>
      <c r="G7026" s="110"/>
      <c r="H7026" s="108" t="s">
        <v>25458</v>
      </c>
      <c r="I7026" s="108"/>
    </row>
    <row r="7027" spans="1:9" ht="27.6">
      <c r="A7027" s="108" t="s">
        <v>15075</v>
      </c>
      <c r="B7027" s="108" t="s">
        <v>25605</v>
      </c>
      <c r="C7027" s="109">
        <v>44620</v>
      </c>
      <c r="D7027" s="108"/>
      <c r="E7027" s="108" t="s">
        <v>14605</v>
      </c>
      <c r="F7027" s="108" t="s">
        <v>5227</v>
      </c>
      <c r="G7027" s="110"/>
      <c r="H7027" s="108" t="s">
        <v>25458</v>
      </c>
      <c r="I7027" s="108"/>
    </row>
    <row r="7028" spans="1:9" ht="27.6">
      <c r="A7028" s="108" t="s">
        <v>15075</v>
      </c>
      <c r="B7028" s="108" t="s">
        <v>25606</v>
      </c>
      <c r="C7028" s="109">
        <v>44378</v>
      </c>
      <c r="D7028" s="108"/>
      <c r="E7028" s="108" t="s">
        <v>14605</v>
      </c>
      <c r="F7028" s="108" t="s">
        <v>2889</v>
      </c>
      <c r="G7028" s="110"/>
      <c r="H7028" s="108" t="s">
        <v>25458</v>
      </c>
      <c r="I7028" s="108"/>
    </row>
    <row r="7029" spans="1:9" ht="27.6">
      <c r="A7029" s="108" t="s">
        <v>15075</v>
      </c>
      <c r="B7029" s="108" t="s">
        <v>25607</v>
      </c>
      <c r="C7029" s="109">
        <v>44424</v>
      </c>
      <c r="D7029" s="108"/>
      <c r="E7029" s="108" t="s">
        <v>14605</v>
      </c>
      <c r="F7029" s="108" t="s">
        <v>2124</v>
      </c>
      <c r="G7029" s="110"/>
      <c r="H7029" s="108" t="s">
        <v>25458</v>
      </c>
      <c r="I7029" s="108"/>
    </row>
    <row r="7030" spans="1:9" ht="27.6">
      <c r="A7030" s="108" t="s">
        <v>8278</v>
      </c>
      <c r="B7030" s="108" t="s">
        <v>25608</v>
      </c>
      <c r="C7030" s="109">
        <v>44755</v>
      </c>
      <c r="D7030" s="108"/>
      <c r="E7030" s="108" t="s">
        <v>14605</v>
      </c>
      <c r="F7030" s="108" t="s">
        <v>2475</v>
      </c>
      <c r="G7030" s="110"/>
      <c r="H7030" s="108" t="s">
        <v>25458</v>
      </c>
      <c r="I7030" s="108"/>
    </row>
    <row r="7031" spans="1:9" ht="27.6">
      <c r="A7031" s="108" t="s">
        <v>8278</v>
      </c>
      <c r="B7031" s="108" t="s">
        <v>25609</v>
      </c>
      <c r="C7031" s="109">
        <v>45274</v>
      </c>
      <c r="D7031" s="108"/>
      <c r="E7031" s="108" t="s">
        <v>14605</v>
      </c>
      <c r="F7031" s="108" t="s">
        <v>5145</v>
      </c>
      <c r="G7031" s="110"/>
      <c r="H7031" s="108" t="s">
        <v>25458</v>
      </c>
      <c r="I7031" s="108"/>
    </row>
    <row r="7032" spans="1:9" ht="27.6">
      <c r="A7032" s="108" t="s">
        <v>15075</v>
      </c>
      <c r="B7032" s="108" t="s">
        <v>25610</v>
      </c>
      <c r="C7032" s="109">
        <v>44532</v>
      </c>
      <c r="D7032" s="108"/>
      <c r="E7032" s="108" t="s">
        <v>14605</v>
      </c>
      <c r="F7032" s="108" t="s">
        <v>2675</v>
      </c>
      <c r="G7032" s="110"/>
      <c r="H7032" s="108" t="s">
        <v>25458</v>
      </c>
      <c r="I7032" s="108"/>
    </row>
    <row r="7033" spans="1:9" ht="27.6">
      <c r="A7033" s="108" t="s">
        <v>8278</v>
      </c>
      <c r="B7033" s="108" t="s">
        <v>25611</v>
      </c>
      <c r="C7033" s="109">
        <v>45324</v>
      </c>
      <c r="D7033" s="108"/>
      <c r="E7033" s="108" t="s">
        <v>14605</v>
      </c>
      <c r="F7033" s="108" t="s">
        <v>3473</v>
      </c>
      <c r="G7033" s="110"/>
      <c r="H7033" s="108" t="s">
        <v>25458</v>
      </c>
      <c r="I7033" s="108"/>
    </row>
    <row r="7034" spans="1:9" ht="27.6">
      <c r="A7034" s="108" t="s">
        <v>8278</v>
      </c>
      <c r="B7034" s="108" t="s">
        <v>25612</v>
      </c>
      <c r="C7034" s="109">
        <v>45349</v>
      </c>
      <c r="D7034" s="108"/>
      <c r="E7034" s="108" t="s">
        <v>14605</v>
      </c>
      <c r="F7034" s="108" t="s">
        <v>2552</v>
      </c>
      <c r="G7034" s="110"/>
      <c r="H7034" s="108" t="s">
        <v>25458</v>
      </c>
      <c r="I7034" s="108"/>
    </row>
    <row r="7035" spans="1:9" ht="27.6">
      <c r="A7035" s="108" t="s">
        <v>15075</v>
      </c>
      <c r="B7035" s="108" t="s">
        <v>25613</v>
      </c>
      <c r="C7035" s="109">
        <v>44497</v>
      </c>
      <c r="D7035" s="108"/>
      <c r="E7035" s="108" t="s">
        <v>14605</v>
      </c>
      <c r="F7035" s="108" t="s">
        <v>1803</v>
      </c>
      <c r="G7035" s="110"/>
      <c r="H7035" s="108" t="s">
        <v>25458</v>
      </c>
      <c r="I7035" s="108"/>
    </row>
    <row r="7036" spans="1:9" ht="27.6">
      <c r="A7036" s="108" t="s">
        <v>15075</v>
      </c>
      <c r="B7036" s="108" t="s">
        <v>25614</v>
      </c>
      <c r="C7036" s="109">
        <v>44469</v>
      </c>
      <c r="D7036" s="108"/>
      <c r="E7036" s="108" t="s">
        <v>14605</v>
      </c>
      <c r="F7036" s="108" t="s">
        <v>4319</v>
      </c>
      <c r="G7036" s="110"/>
      <c r="H7036" s="108" t="s">
        <v>25458</v>
      </c>
      <c r="I7036" s="108"/>
    </row>
    <row r="7037" spans="1:9" ht="27.6">
      <c r="A7037" s="108" t="s">
        <v>15075</v>
      </c>
      <c r="B7037" s="108" t="s">
        <v>25615</v>
      </c>
      <c r="C7037" s="109">
        <v>44469</v>
      </c>
      <c r="D7037" s="108"/>
      <c r="E7037" s="108" t="s">
        <v>14605</v>
      </c>
      <c r="F7037" s="108" t="s">
        <v>2552</v>
      </c>
      <c r="G7037" s="110"/>
      <c r="H7037" s="108" t="s">
        <v>25458</v>
      </c>
      <c r="I7037" s="108"/>
    </row>
    <row r="7038" spans="1:9" ht="27.6">
      <c r="A7038" s="108" t="s">
        <v>15075</v>
      </c>
      <c r="B7038" s="108" t="s">
        <v>25616</v>
      </c>
      <c r="C7038" s="109">
        <v>44498</v>
      </c>
      <c r="D7038" s="108"/>
      <c r="E7038" s="108" t="s">
        <v>14605</v>
      </c>
      <c r="F7038" s="108" t="s">
        <v>3814</v>
      </c>
      <c r="G7038" s="110"/>
      <c r="H7038" s="108" t="s">
        <v>25458</v>
      </c>
      <c r="I7038" s="108"/>
    </row>
    <row r="7039" spans="1:9" ht="27.6">
      <c r="A7039" s="108" t="s">
        <v>15075</v>
      </c>
      <c r="B7039" s="108" t="s">
        <v>25617</v>
      </c>
      <c r="C7039" s="109">
        <v>44487</v>
      </c>
      <c r="D7039" s="108"/>
      <c r="E7039" s="108" t="s">
        <v>14605</v>
      </c>
      <c r="F7039" s="108" t="s">
        <v>4416</v>
      </c>
      <c r="G7039" s="110"/>
      <c r="H7039" s="108" t="s">
        <v>25458</v>
      </c>
      <c r="I7039" s="108"/>
    </row>
    <row r="7040" spans="1:9" ht="27.6">
      <c r="A7040" s="108" t="s">
        <v>15075</v>
      </c>
      <c r="B7040" s="108" t="s">
        <v>25618</v>
      </c>
      <c r="C7040" s="109">
        <v>44481</v>
      </c>
      <c r="D7040" s="108"/>
      <c r="E7040" s="108" t="s">
        <v>14605</v>
      </c>
      <c r="F7040" s="108" t="s">
        <v>5307</v>
      </c>
      <c r="G7040" s="110"/>
      <c r="H7040" s="108" t="s">
        <v>25458</v>
      </c>
      <c r="I7040" s="108"/>
    </row>
    <row r="7041" spans="1:9" ht="27.6">
      <c r="A7041" s="108" t="s">
        <v>15075</v>
      </c>
      <c r="B7041" s="108" t="s">
        <v>25619</v>
      </c>
      <c r="C7041" s="109">
        <v>44546</v>
      </c>
      <c r="D7041" s="108"/>
      <c r="E7041" s="108" t="s">
        <v>14605</v>
      </c>
      <c r="F7041" s="108" t="s">
        <v>2795</v>
      </c>
      <c r="G7041" s="110"/>
      <c r="H7041" s="108" t="s">
        <v>25458</v>
      </c>
      <c r="I7041" s="108"/>
    </row>
    <row r="7042" spans="1:9" ht="27.6">
      <c r="A7042" s="108" t="s">
        <v>15075</v>
      </c>
      <c r="B7042" s="108" t="s">
        <v>25620</v>
      </c>
      <c r="C7042" s="109">
        <v>44470</v>
      </c>
      <c r="D7042" s="108"/>
      <c r="E7042" s="108" t="s">
        <v>14605</v>
      </c>
      <c r="F7042" s="108" t="s">
        <v>766</v>
      </c>
      <c r="G7042" s="110"/>
      <c r="H7042" s="108" t="s">
        <v>25458</v>
      </c>
      <c r="I7042" s="108"/>
    </row>
    <row r="7043" spans="1:9" ht="27.6">
      <c r="A7043" s="108" t="s">
        <v>15075</v>
      </c>
      <c r="B7043" s="108" t="s">
        <v>25621</v>
      </c>
      <c r="C7043" s="109">
        <v>44503</v>
      </c>
      <c r="D7043" s="108"/>
      <c r="E7043" s="108" t="s">
        <v>14605</v>
      </c>
      <c r="F7043" s="108" t="s">
        <v>2552</v>
      </c>
      <c r="G7043" s="110"/>
      <c r="H7043" s="108" t="s">
        <v>25458</v>
      </c>
      <c r="I7043" s="108"/>
    </row>
    <row r="7044" spans="1:9" ht="27.6">
      <c r="A7044" s="108" t="s">
        <v>15075</v>
      </c>
      <c r="B7044" s="108" t="s">
        <v>25622</v>
      </c>
      <c r="C7044" s="109">
        <v>44642</v>
      </c>
      <c r="D7044" s="108"/>
      <c r="E7044" s="108" t="s">
        <v>14605</v>
      </c>
      <c r="F7044" s="108" t="s">
        <v>3909</v>
      </c>
      <c r="G7044" s="110"/>
      <c r="H7044" s="108" t="s">
        <v>25458</v>
      </c>
      <c r="I7044" s="108"/>
    </row>
    <row r="7045" spans="1:9" ht="27.6">
      <c r="A7045" s="108" t="s">
        <v>15075</v>
      </c>
      <c r="B7045" s="108" t="s">
        <v>25623</v>
      </c>
      <c r="C7045" s="109">
        <v>44574</v>
      </c>
      <c r="D7045" s="108"/>
      <c r="E7045" s="108" t="s">
        <v>14605</v>
      </c>
      <c r="F7045" s="108" t="s">
        <v>25624</v>
      </c>
      <c r="G7045" s="110"/>
      <c r="H7045" s="108" t="s">
        <v>25458</v>
      </c>
      <c r="I7045" s="108"/>
    </row>
    <row r="7046" spans="1:9" ht="27.6">
      <c r="A7046" s="108" t="s">
        <v>15075</v>
      </c>
      <c r="B7046" s="108" t="s">
        <v>25625</v>
      </c>
      <c r="C7046" s="109">
        <v>44603</v>
      </c>
      <c r="D7046" s="108"/>
      <c r="E7046" s="108" t="s">
        <v>14605</v>
      </c>
      <c r="F7046" s="108" t="s">
        <v>25626</v>
      </c>
      <c r="G7046" s="110"/>
      <c r="H7046" s="108" t="s">
        <v>25458</v>
      </c>
      <c r="I7046" s="108"/>
    </row>
    <row r="7047" spans="1:9" ht="27.6">
      <c r="A7047" s="108" t="s">
        <v>15075</v>
      </c>
      <c r="B7047" s="108" t="s">
        <v>25627</v>
      </c>
      <c r="C7047" s="109">
        <v>44883</v>
      </c>
      <c r="D7047" s="108"/>
      <c r="E7047" s="108" t="s">
        <v>14605</v>
      </c>
      <c r="F7047" s="108" t="s">
        <v>724</v>
      </c>
      <c r="G7047" s="110"/>
      <c r="H7047" s="108" t="s">
        <v>25458</v>
      </c>
      <c r="I7047" s="108"/>
    </row>
    <row r="7048" spans="1:9" ht="27.6">
      <c r="A7048" s="108" t="s">
        <v>15075</v>
      </c>
      <c r="B7048" s="108" t="s">
        <v>25628</v>
      </c>
      <c r="C7048" s="109">
        <v>44574</v>
      </c>
      <c r="D7048" s="108"/>
      <c r="E7048" s="108" t="s">
        <v>14605</v>
      </c>
      <c r="F7048" s="108" t="s">
        <v>2783</v>
      </c>
      <c r="G7048" s="110"/>
      <c r="H7048" s="108" t="s">
        <v>25458</v>
      </c>
      <c r="I7048" s="108"/>
    </row>
    <row r="7049" spans="1:9" ht="27.6">
      <c r="A7049" s="108" t="s">
        <v>15075</v>
      </c>
      <c r="B7049" s="108" t="s">
        <v>25629</v>
      </c>
      <c r="C7049" s="109">
        <v>44550</v>
      </c>
      <c r="D7049" s="108"/>
      <c r="E7049" s="108" t="s">
        <v>14605</v>
      </c>
      <c r="F7049" s="108" t="s">
        <v>1381</v>
      </c>
      <c r="G7049" s="110"/>
      <c r="H7049" s="108" t="s">
        <v>25458</v>
      </c>
      <c r="I7049" s="108"/>
    </row>
    <row r="7050" spans="1:9" ht="27.6">
      <c r="A7050" s="108" t="s">
        <v>15075</v>
      </c>
      <c r="B7050" s="108" t="s">
        <v>25630</v>
      </c>
      <c r="C7050" s="109">
        <v>44511</v>
      </c>
      <c r="D7050" s="108"/>
      <c r="E7050" s="108" t="s">
        <v>14605</v>
      </c>
      <c r="F7050" s="108" t="s">
        <v>2013</v>
      </c>
      <c r="G7050" s="110"/>
      <c r="H7050" s="108" t="s">
        <v>25458</v>
      </c>
      <c r="I7050" s="108"/>
    </row>
    <row r="7051" spans="1:9" ht="27.6">
      <c r="A7051" s="108" t="s">
        <v>15075</v>
      </c>
      <c r="B7051" s="108" t="s">
        <v>25631</v>
      </c>
      <c r="C7051" s="109">
        <v>44544</v>
      </c>
      <c r="D7051" s="108"/>
      <c r="E7051" s="108" t="s">
        <v>14605</v>
      </c>
      <c r="F7051" s="108" t="s">
        <v>25541</v>
      </c>
      <c r="G7051" s="110"/>
      <c r="H7051" s="108" t="s">
        <v>25458</v>
      </c>
      <c r="I7051" s="108"/>
    </row>
    <row r="7052" spans="1:9" ht="27.6">
      <c r="A7052" s="108" t="s">
        <v>15075</v>
      </c>
      <c r="B7052" s="108" t="s">
        <v>25632</v>
      </c>
      <c r="C7052" s="109">
        <v>44512</v>
      </c>
      <c r="D7052" s="108"/>
      <c r="E7052" s="108" t="s">
        <v>14605</v>
      </c>
      <c r="F7052" s="108" t="s">
        <v>2694</v>
      </c>
      <c r="G7052" s="110"/>
      <c r="H7052" s="108" t="s">
        <v>25458</v>
      </c>
      <c r="I7052" s="108"/>
    </row>
    <row r="7053" spans="1:9" ht="27.6">
      <c r="A7053" s="108" t="s">
        <v>15075</v>
      </c>
      <c r="B7053" s="108" t="s">
        <v>25633</v>
      </c>
      <c r="C7053" s="109">
        <v>44550</v>
      </c>
      <c r="D7053" s="108"/>
      <c r="E7053" s="108" t="s">
        <v>14605</v>
      </c>
      <c r="F7053" s="108" t="s">
        <v>4434</v>
      </c>
      <c r="G7053" s="110"/>
      <c r="H7053" s="108" t="s">
        <v>25458</v>
      </c>
      <c r="I7053" s="108"/>
    </row>
    <row r="7054" spans="1:9" ht="27.6">
      <c r="A7054" s="108" t="s">
        <v>15075</v>
      </c>
      <c r="B7054" s="108" t="s">
        <v>25634</v>
      </c>
      <c r="C7054" s="109">
        <v>44543</v>
      </c>
      <c r="D7054" s="108"/>
      <c r="E7054" s="108" t="s">
        <v>14605</v>
      </c>
      <c r="F7054" s="108" t="s">
        <v>25635</v>
      </c>
      <c r="G7054" s="110"/>
      <c r="H7054" s="108" t="s">
        <v>25458</v>
      </c>
      <c r="I7054" s="108"/>
    </row>
    <row r="7055" spans="1:9" ht="27.6">
      <c r="A7055" s="108" t="s">
        <v>15075</v>
      </c>
      <c r="B7055" s="108" t="s">
        <v>25636</v>
      </c>
      <c r="C7055" s="109">
        <v>44514</v>
      </c>
      <c r="D7055" s="108"/>
      <c r="E7055" s="108" t="s">
        <v>14605</v>
      </c>
      <c r="F7055" s="108" t="s">
        <v>3587</v>
      </c>
      <c r="G7055" s="110"/>
      <c r="H7055" s="108" t="s">
        <v>25458</v>
      </c>
      <c r="I7055" s="108"/>
    </row>
    <row r="7056" spans="1:9" ht="27.6">
      <c r="A7056" s="108" t="s">
        <v>15075</v>
      </c>
      <c r="B7056" s="108" t="s">
        <v>25637</v>
      </c>
      <c r="C7056" s="109">
        <v>44537</v>
      </c>
      <c r="D7056" s="108"/>
      <c r="E7056" s="108" t="s">
        <v>14605</v>
      </c>
      <c r="F7056" s="108" t="s">
        <v>24964</v>
      </c>
      <c r="G7056" s="110"/>
      <c r="H7056" s="108" t="s">
        <v>25458</v>
      </c>
      <c r="I7056" s="108"/>
    </row>
    <row r="7057" spans="1:9" ht="27.6">
      <c r="A7057" s="108" t="s">
        <v>15075</v>
      </c>
      <c r="B7057" s="108" t="s">
        <v>25638</v>
      </c>
      <c r="C7057" s="109">
        <v>44541</v>
      </c>
      <c r="D7057" s="108"/>
      <c r="E7057" s="108" t="s">
        <v>14605</v>
      </c>
      <c r="F7057" s="108" t="s">
        <v>14672</v>
      </c>
      <c r="G7057" s="110"/>
      <c r="H7057" s="108" t="s">
        <v>25458</v>
      </c>
      <c r="I7057" s="108"/>
    </row>
    <row r="7058" spans="1:9" ht="27.6">
      <c r="A7058" s="108" t="s">
        <v>15075</v>
      </c>
      <c r="B7058" s="108" t="s">
        <v>25639</v>
      </c>
      <c r="C7058" s="109">
        <v>44550</v>
      </c>
      <c r="D7058" s="108"/>
      <c r="E7058" s="108" t="s">
        <v>14605</v>
      </c>
      <c r="F7058" s="108" t="s">
        <v>1397</v>
      </c>
      <c r="G7058" s="110"/>
      <c r="H7058" s="108" t="s">
        <v>25458</v>
      </c>
      <c r="I7058" s="108"/>
    </row>
    <row r="7059" spans="1:9" ht="27.6">
      <c r="A7059" s="108" t="s">
        <v>15075</v>
      </c>
      <c r="B7059" s="108" t="s">
        <v>25640</v>
      </c>
      <c r="C7059" s="109">
        <v>44529</v>
      </c>
      <c r="D7059" s="108"/>
      <c r="E7059" s="108" t="s">
        <v>14605</v>
      </c>
      <c r="F7059" s="108" t="s">
        <v>1397</v>
      </c>
      <c r="G7059" s="110"/>
      <c r="H7059" s="108" t="s">
        <v>25458</v>
      </c>
      <c r="I7059" s="108"/>
    </row>
    <row r="7060" spans="1:9" ht="27.6">
      <c r="A7060" s="108" t="s">
        <v>15075</v>
      </c>
      <c r="B7060" s="108" t="s">
        <v>25641</v>
      </c>
      <c r="C7060" s="109">
        <v>44522</v>
      </c>
      <c r="D7060" s="108"/>
      <c r="E7060" s="108" t="s">
        <v>14605</v>
      </c>
      <c r="F7060" s="108" t="s">
        <v>1140</v>
      </c>
      <c r="G7060" s="110"/>
      <c r="H7060" s="108" t="s">
        <v>25458</v>
      </c>
      <c r="I7060" s="108"/>
    </row>
    <row r="7061" spans="1:9" ht="27.6">
      <c r="A7061" s="108" t="s">
        <v>15075</v>
      </c>
      <c r="B7061" s="108" t="s">
        <v>25642</v>
      </c>
      <c r="C7061" s="109">
        <v>44531</v>
      </c>
      <c r="D7061" s="108"/>
      <c r="E7061" s="108" t="s">
        <v>14605</v>
      </c>
      <c r="F7061" s="108" t="s">
        <v>1671</v>
      </c>
      <c r="G7061" s="110"/>
      <c r="H7061" s="108" t="s">
        <v>25458</v>
      </c>
      <c r="I7061" s="108"/>
    </row>
    <row r="7062" spans="1:9" ht="27.6">
      <c r="A7062" s="108" t="s">
        <v>15075</v>
      </c>
      <c r="B7062" s="108" t="s">
        <v>25643</v>
      </c>
      <c r="C7062" s="109">
        <v>44724</v>
      </c>
      <c r="D7062" s="108"/>
      <c r="E7062" s="108" t="s">
        <v>14605</v>
      </c>
      <c r="F7062" s="108" t="s">
        <v>142</v>
      </c>
      <c r="G7062" s="110"/>
      <c r="H7062" s="108" t="s">
        <v>25458</v>
      </c>
      <c r="I7062" s="108"/>
    </row>
    <row r="7063" spans="1:9" ht="27.6">
      <c r="A7063" s="108" t="s">
        <v>15075</v>
      </c>
      <c r="B7063" s="108" t="s">
        <v>25644</v>
      </c>
      <c r="C7063" s="109">
        <v>44572</v>
      </c>
      <c r="D7063" s="108"/>
      <c r="E7063" s="108" t="s">
        <v>14605</v>
      </c>
      <c r="F7063" s="108" t="s">
        <v>3303</v>
      </c>
      <c r="G7063" s="110"/>
      <c r="H7063" s="108" t="s">
        <v>25458</v>
      </c>
      <c r="I7063" s="108"/>
    </row>
    <row r="7064" spans="1:9" ht="27.6">
      <c r="A7064" s="108" t="s">
        <v>15075</v>
      </c>
      <c r="B7064" s="108" t="s">
        <v>25645</v>
      </c>
      <c r="C7064" s="109">
        <v>44543</v>
      </c>
      <c r="D7064" s="108"/>
      <c r="E7064" s="108" t="s">
        <v>14605</v>
      </c>
      <c r="F7064" s="108" t="s">
        <v>1338</v>
      </c>
      <c r="G7064" s="110"/>
      <c r="H7064" s="108" t="s">
        <v>25458</v>
      </c>
      <c r="I7064" s="108"/>
    </row>
    <row r="7065" spans="1:9" ht="27.6">
      <c r="A7065" s="108" t="s">
        <v>8278</v>
      </c>
      <c r="B7065" s="108" t="s">
        <v>25646</v>
      </c>
      <c r="C7065" s="109">
        <v>45964</v>
      </c>
      <c r="D7065" s="108"/>
      <c r="E7065" s="108" t="s">
        <v>14605</v>
      </c>
      <c r="F7065" s="108" t="s">
        <v>21448</v>
      </c>
      <c r="G7065" s="110"/>
      <c r="H7065" s="108" t="s">
        <v>25458</v>
      </c>
      <c r="I7065" s="108"/>
    </row>
    <row r="7066" spans="1:9" ht="27.6">
      <c r="A7066" s="108" t="s">
        <v>15075</v>
      </c>
      <c r="B7066" s="108" t="s">
        <v>25647</v>
      </c>
      <c r="C7066" s="109">
        <v>44550</v>
      </c>
      <c r="D7066" s="108"/>
      <c r="E7066" s="108" t="s">
        <v>14605</v>
      </c>
      <c r="F7066" s="108" t="s">
        <v>25648</v>
      </c>
      <c r="G7066" s="110"/>
      <c r="H7066" s="108" t="s">
        <v>25458</v>
      </c>
      <c r="I7066" s="108"/>
    </row>
    <row r="7067" spans="1:9" ht="27.6">
      <c r="A7067" s="108" t="s">
        <v>15075</v>
      </c>
      <c r="B7067" s="108" t="s">
        <v>25649</v>
      </c>
      <c r="C7067" s="109">
        <v>44543</v>
      </c>
      <c r="D7067" s="108"/>
      <c r="E7067" s="108" t="s">
        <v>14605</v>
      </c>
      <c r="F7067" s="108" t="s">
        <v>4805</v>
      </c>
      <c r="G7067" s="110"/>
      <c r="H7067" s="108" t="s">
        <v>25458</v>
      </c>
      <c r="I7067" s="108"/>
    </row>
    <row r="7068" spans="1:9" ht="27.6">
      <c r="A7068" s="108" t="s">
        <v>15075</v>
      </c>
      <c r="B7068" s="108" t="s">
        <v>25650</v>
      </c>
      <c r="C7068" s="109">
        <v>44533</v>
      </c>
      <c r="D7068" s="108"/>
      <c r="E7068" s="108" t="s">
        <v>14605</v>
      </c>
      <c r="F7068" s="108" t="s">
        <v>25651</v>
      </c>
      <c r="G7068" s="110"/>
      <c r="H7068" s="108" t="s">
        <v>25458</v>
      </c>
      <c r="I7068" s="108"/>
    </row>
    <row r="7069" spans="1:9" ht="27.6">
      <c r="A7069" s="108" t="s">
        <v>15075</v>
      </c>
      <c r="B7069" s="108" t="s">
        <v>25652</v>
      </c>
      <c r="C7069" s="109">
        <v>44582</v>
      </c>
      <c r="D7069" s="108"/>
      <c r="E7069" s="108" t="s">
        <v>14605</v>
      </c>
      <c r="F7069" s="108" t="s">
        <v>2088</v>
      </c>
      <c r="G7069" s="110"/>
      <c r="H7069" s="108" t="s">
        <v>25458</v>
      </c>
      <c r="I7069" s="108"/>
    </row>
    <row r="7070" spans="1:9" ht="27.6">
      <c r="A7070" s="108" t="s">
        <v>15075</v>
      </c>
      <c r="B7070" s="108" t="s">
        <v>25653</v>
      </c>
      <c r="C7070" s="109">
        <v>44558</v>
      </c>
      <c r="D7070" s="108"/>
      <c r="E7070" s="108" t="s">
        <v>14605</v>
      </c>
      <c r="F7070" s="108" t="s">
        <v>14672</v>
      </c>
      <c r="G7070" s="110"/>
      <c r="H7070" s="108" t="s">
        <v>25458</v>
      </c>
      <c r="I7070" s="108"/>
    </row>
    <row r="7071" spans="1:9" ht="27.6">
      <c r="A7071" s="108" t="s">
        <v>8278</v>
      </c>
      <c r="B7071" s="108" t="s">
        <v>25654</v>
      </c>
      <c r="C7071" s="109">
        <v>45484</v>
      </c>
      <c r="D7071" s="108"/>
      <c r="E7071" s="108" t="s">
        <v>14605</v>
      </c>
      <c r="F7071" s="108" t="s">
        <v>5145</v>
      </c>
      <c r="G7071" s="110"/>
      <c r="H7071" s="108" t="s">
        <v>25458</v>
      </c>
      <c r="I7071" s="108"/>
    </row>
    <row r="7072" spans="1:9" ht="27.6">
      <c r="A7072" s="108" t="s">
        <v>15075</v>
      </c>
      <c r="B7072" s="108" t="s">
        <v>25655</v>
      </c>
      <c r="C7072" s="109">
        <v>44565</v>
      </c>
      <c r="D7072" s="108"/>
      <c r="E7072" s="108" t="s">
        <v>14605</v>
      </c>
      <c r="F7072" s="108" t="s">
        <v>3947</v>
      </c>
      <c r="G7072" s="110"/>
      <c r="H7072" s="108" t="s">
        <v>25458</v>
      </c>
      <c r="I7072" s="108"/>
    </row>
    <row r="7073" spans="1:9" ht="27.6">
      <c r="A7073" s="108" t="s">
        <v>15075</v>
      </c>
      <c r="B7073" s="108" t="s">
        <v>25656</v>
      </c>
      <c r="C7073" s="109">
        <v>44565</v>
      </c>
      <c r="D7073" s="108"/>
      <c r="E7073" s="108" t="s">
        <v>14605</v>
      </c>
      <c r="F7073" s="108" t="s">
        <v>4095</v>
      </c>
      <c r="G7073" s="110"/>
      <c r="H7073" s="108" t="s">
        <v>25458</v>
      </c>
      <c r="I7073" s="108"/>
    </row>
    <row r="7074" spans="1:9" ht="27.6">
      <c r="A7074" s="108" t="s">
        <v>15075</v>
      </c>
      <c r="B7074" s="108" t="s">
        <v>25657</v>
      </c>
      <c r="C7074" s="109">
        <v>44585</v>
      </c>
      <c r="D7074" s="108"/>
      <c r="E7074" s="108" t="s">
        <v>14605</v>
      </c>
      <c r="F7074" s="108" t="s">
        <v>345</v>
      </c>
      <c r="G7074" s="110"/>
      <c r="H7074" s="108" t="s">
        <v>25458</v>
      </c>
      <c r="I7074" s="108"/>
    </row>
    <row r="7075" spans="1:9" ht="27.6">
      <c r="A7075" s="108" t="s">
        <v>15075</v>
      </c>
      <c r="B7075" s="108" t="s">
        <v>25658</v>
      </c>
      <c r="C7075" s="109">
        <v>44575</v>
      </c>
      <c r="D7075" s="108"/>
      <c r="E7075" s="108" t="s">
        <v>14605</v>
      </c>
      <c r="F7075" s="108" t="s">
        <v>4763</v>
      </c>
      <c r="G7075" s="110"/>
      <c r="H7075" s="108" t="s">
        <v>25458</v>
      </c>
      <c r="I7075" s="108"/>
    </row>
    <row r="7076" spans="1:9" ht="27.6">
      <c r="A7076" s="108" t="s">
        <v>15075</v>
      </c>
      <c r="B7076" s="108" t="s">
        <v>25659</v>
      </c>
      <c r="C7076" s="109">
        <v>44600</v>
      </c>
      <c r="D7076" s="108"/>
      <c r="E7076" s="108" t="s">
        <v>14605</v>
      </c>
      <c r="F7076" s="108" t="s">
        <v>3009</v>
      </c>
      <c r="G7076" s="110"/>
      <c r="H7076" s="108" t="s">
        <v>25458</v>
      </c>
      <c r="I7076" s="108"/>
    </row>
    <row r="7077" spans="1:9" ht="27.6">
      <c r="A7077" s="108" t="s">
        <v>15075</v>
      </c>
      <c r="B7077" s="108" t="s">
        <v>25660</v>
      </c>
      <c r="C7077" s="109">
        <v>44603</v>
      </c>
      <c r="D7077" s="108"/>
      <c r="E7077" s="108" t="s">
        <v>14605</v>
      </c>
      <c r="F7077" s="108" t="s">
        <v>845</v>
      </c>
      <c r="G7077" s="110"/>
      <c r="H7077" s="108" t="s">
        <v>25458</v>
      </c>
      <c r="I7077" s="108"/>
    </row>
    <row r="7078" spans="1:9" ht="27.6">
      <c r="A7078" s="108" t="s">
        <v>15075</v>
      </c>
      <c r="B7078" s="108" t="s">
        <v>25661</v>
      </c>
      <c r="C7078" s="109">
        <v>44601</v>
      </c>
      <c r="D7078" s="108"/>
      <c r="E7078" s="108" t="s">
        <v>14605</v>
      </c>
      <c r="F7078" s="108" t="s">
        <v>3009</v>
      </c>
      <c r="G7078" s="110"/>
      <c r="H7078" s="108" t="s">
        <v>25458</v>
      </c>
      <c r="I7078" s="108"/>
    </row>
    <row r="7079" spans="1:9" ht="27.6">
      <c r="A7079" s="108" t="s">
        <v>15075</v>
      </c>
      <c r="B7079" s="108" t="s">
        <v>25662</v>
      </c>
      <c r="C7079" s="109">
        <v>44596</v>
      </c>
      <c r="D7079" s="108"/>
      <c r="E7079" s="108" t="s">
        <v>14605</v>
      </c>
      <c r="F7079" s="108" t="s">
        <v>3734</v>
      </c>
      <c r="G7079" s="110"/>
      <c r="H7079" s="108" t="s">
        <v>25458</v>
      </c>
      <c r="I7079" s="108"/>
    </row>
    <row r="7080" spans="1:9" ht="27.6">
      <c r="A7080" s="108" t="s">
        <v>15075</v>
      </c>
      <c r="B7080" s="108" t="s">
        <v>25663</v>
      </c>
      <c r="C7080" s="109">
        <v>44581</v>
      </c>
      <c r="D7080" s="108"/>
      <c r="E7080" s="108" t="s">
        <v>14605</v>
      </c>
      <c r="F7080" s="108" t="s">
        <v>1499</v>
      </c>
      <c r="G7080" s="110"/>
      <c r="H7080" s="108" t="s">
        <v>25458</v>
      </c>
      <c r="I7080" s="108"/>
    </row>
    <row r="7081" spans="1:9" ht="27.6">
      <c r="A7081" s="108" t="s">
        <v>15075</v>
      </c>
      <c r="B7081" s="108" t="s">
        <v>25664</v>
      </c>
      <c r="C7081" s="109">
        <v>44622</v>
      </c>
      <c r="D7081" s="108"/>
      <c r="E7081" s="108" t="s">
        <v>14605</v>
      </c>
      <c r="F7081" s="108" t="s">
        <v>24998</v>
      </c>
      <c r="G7081" s="110"/>
      <c r="H7081" s="108" t="s">
        <v>25458</v>
      </c>
      <c r="I7081" s="108"/>
    </row>
    <row r="7082" spans="1:9" ht="27.6">
      <c r="A7082" s="108" t="s">
        <v>15075</v>
      </c>
      <c r="B7082" s="108" t="s">
        <v>25665</v>
      </c>
      <c r="C7082" s="109">
        <v>44603</v>
      </c>
      <c r="D7082" s="108"/>
      <c r="E7082" s="108" t="s">
        <v>14605</v>
      </c>
      <c r="F7082" s="108" t="s">
        <v>845</v>
      </c>
      <c r="G7082" s="110"/>
      <c r="H7082" s="108" t="s">
        <v>25458</v>
      </c>
      <c r="I7082" s="108"/>
    </row>
    <row r="7083" spans="1:9" ht="27.6">
      <c r="A7083" s="108" t="s">
        <v>15075</v>
      </c>
      <c r="B7083" s="108" t="s">
        <v>25666</v>
      </c>
      <c r="C7083" s="109">
        <v>44601</v>
      </c>
      <c r="D7083" s="108"/>
      <c r="E7083" s="108" t="s">
        <v>14605</v>
      </c>
      <c r="F7083" s="108" t="s">
        <v>25667</v>
      </c>
      <c r="G7083" s="110"/>
      <c r="H7083" s="108" t="s">
        <v>25458</v>
      </c>
      <c r="I7083" s="108"/>
    </row>
    <row r="7084" spans="1:9" ht="27.6">
      <c r="A7084" s="108" t="s">
        <v>15075</v>
      </c>
      <c r="B7084" s="108" t="s">
        <v>25668</v>
      </c>
      <c r="C7084" s="109">
        <v>44631</v>
      </c>
      <c r="D7084" s="108"/>
      <c r="E7084" s="108" t="s">
        <v>14605</v>
      </c>
      <c r="F7084" s="108" t="s">
        <v>2725</v>
      </c>
      <c r="G7084" s="110"/>
      <c r="H7084" s="108" t="s">
        <v>25458</v>
      </c>
      <c r="I7084" s="108"/>
    </row>
    <row r="7085" spans="1:9" ht="27.6">
      <c r="A7085" s="108" t="s">
        <v>15075</v>
      </c>
      <c r="B7085" s="108" t="s">
        <v>25669</v>
      </c>
      <c r="C7085" s="109">
        <v>44601</v>
      </c>
      <c r="D7085" s="108"/>
      <c r="E7085" s="108" t="s">
        <v>14605</v>
      </c>
      <c r="F7085" s="108" t="s">
        <v>2013</v>
      </c>
      <c r="G7085" s="110"/>
      <c r="H7085" s="108" t="s">
        <v>25458</v>
      </c>
      <c r="I7085" s="108"/>
    </row>
    <row r="7086" spans="1:9" ht="27.6">
      <c r="A7086" s="108" t="s">
        <v>15075</v>
      </c>
      <c r="B7086" s="108" t="s">
        <v>25670</v>
      </c>
      <c r="C7086" s="109">
        <v>44594</v>
      </c>
      <c r="D7086" s="108"/>
      <c r="E7086" s="108" t="s">
        <v>14605</v>
      </c>
      <c r="F7086" s="108" t="s">
        <v>3044</v>
      </c>
      <c r="G7086" s="110"/>
      <c r="H7086" s="108" t="s">
        <v>25458</v>
      </c>
      <c r="I7086" s="108"/>
    </row>
    <row r="7087" spans="1:9" ht="27.6">
      <c r="A7087" s="108" t="s">
        <v>15075</v>
      </c>
      <c r="B7087" s="108" t="s">
        <v>25671</v>
      </c>
      <c r="C7087" s="109">
        <v>44749</v>
      </c>
      <c r="D7087" s="108"/>
      <c r="E7087" s="108" t="s">
        <v>14605</v>
      </c>
      <c r="F7087" s="108" t="s">
        <v>2694</v>
      </c>
      <c r="G7087" s="110"/>
      <c r="H7087" s="108" t="s">
        <v>25458</v>
      </c>
      <c r="I7087" s="108"/>
    </row>
    <row r="7088" spans="1:9" ht="27.6">
      <c r="A7088" s="108" t="s">
        <v>15075</v>
      </c>
      <c r="B7088" s="108" t="s">
        <v>25672</v>
      </c>
      <c r="C7088" s="109">
        <v>44609</v>
      </c>
      <c r="D7088" s="108"/>
      <c r="E7088" s="108" t="s">
        <v>14605</v>
      </c>
      <c r="F7088" s="108" t="s">
        <v>409</v>
      </c>
      <c r="G7088" s="110"/>
      <c r="H7088" s="108" t="s">
        <v>25458</v>
      </c>
      <c r="I7088" s="108"/>
    </row>
    <row r="7089" spans="1:9" ht="27.6">
      <c r="A7089" s="108" t="s">
        <v>15075</v>
      </c>
      <c r="B7089" s="108" t="s">
        <v>25673</v>
      </c>
      <c r="C7089" s="109">
        <v>44608</v>
      </c>
      <c r="D7089" s="108"/>
      <c r="E7089" s="108" t="s">
        <v>14605</v>
      </c>
      <c r="F7089" s="108" t="s">
        <v>25674</v>
      </c>
      <c r="G7089" s="110"/>
      <c r="H7089" s="108" t="s">
        <v>25458</v>
      </c>
      <c r="I7089" s="108"/>
    </row>
    <row r="7090" spans="1:9" ht="27.6">
      <c r="A7090" s="108" t="s">
        <v>15075</v>
      </c>
      <c r="B7090" s="108" t="s">
        <v>25675</v>
      </c>
      <c r="C7090" s="109">
        <v>44600</v>
      </c>
      <c r="D7090" s="108"/>
      <c r="E7090" s="108" t="s">
        <v>14605</v>
      </c>
      <c r="F7090" s="108" t="s">
        <v>3747</v>
      </c>
      <c r="G7090" s="110"/>
      <c r="H7090" s="108" t="s">
        <v>25458</v>
      </c>
      <c r="I7090" s="108"/>
    </row>
    <row r="7091" spans="1:9" ht="27.6">
      <c r="A7091" s="108" t="s">
        <v>15075</v>
      </c>
      <c r="B7091" s="108" t="s">
        <v>25676</v>
      </c>
      <c r="C7091" s="109">
        <v>44757</v>
      </c>
      <c r="D7091" s="108"/>
      <c r="E7091" s="108" t="s">
        <v>14605</v>
      </c>
      <c r="F7091" s="108" t="s">
        <v>3531</v>
      </c>
      <c r="G7091" s="110"/>
      <c r="H7091" s="108" t="s">
        <v>25458</v>
      </c>
      <c r="I7091" s="108"/>
    </row>
    <row r="7092" spans="1:9" ht="27.6">
      <c r="A7092" s="108" t="s">
        <v>15075</v>
      </c>
      <c r="B7092" s="108" t="s">
        <v>25677</v>
      </c>
      <c r="C7092" s="109">
        <v>44788</v>
      </c>
      <c r="D7092" s="108"/>
      <c r="E7092" s="108" t="s">
        <v>14605</v>
      </c>
      <c r="F7092" s="108" t="s">
        <v>1097</v>
      </c>
      <c r="G7092" s="110"/>
      <c r="H7092" s="108" t="s">
        <v>25458</v>
      </c>
      <c r="I7092" s="108"/>
    </row>
    <row r="7093" spans="1:9" ht="27.6">
      <c r="A7093" s="108" t="s">
        <v>15075</v>
      </c>
      <c r="B7093" s="108" t="s">
        <v>25678</v>
      </c>
      <c r="C7093" s="109">
        <v>44722</v>
      </c>
      <c r="D7093" s="108"/>
      <c r="E7093" s="108" t="s">
        <v>14605</v>
      </c>
      <c r="F7093" s="108" t="s">
        <v>1418</v>
      </c>
      <c r="G7093" s="110"/>
      <c r="H7093" s="108" t="s">
        <v>25458</v>
      </c>
      <c r="I7093" s="108"/>
    </row>
    <row r="7094" spans="1:9" ht="27.6">
      <c r="A7094" s="108" t="s">
        <v>15075</v>
      </c>
      <c r="B7094" s="108" t="s">
        <v>25679</v>
      </c>
      <c r="C7094" s="109">
        <v>44614</v>
      </c>
      <c r="D7094" s="108"/>
      <c r="E7094" s="108" t="s">
        <v>14605</v>
      </c>
      <c r="F7094" s="108" t="s">
        <v>3777</v>
      </c>
      <c r="G7094" s="110"/>
      <c r="H7094" s="108" t="s">
        <v>25458</v>
      </c>
      <c r="I7094" s="108"/>
    </row>
    <row r="7095" spans="1:9" ht="27.6">
      <c r="A7095" s="108" t="s">
        <v>15075</v>
      </c>
      <c r="B7095" s="108" t="s">
        <v>25680</v>
      </c>
      <c r="C7095" s="109">
        <v>45525</v>
      </c>
      <c r="D7095" s="108"/>
      <c r="E7095" s="108" t="s">
        <v>14605</v>
      </c>
      <c r="F7095" s="108" t="s">
        <v>1302</v>
      </c>
      <c r="G7095" s="110"/>
      <c r="H7095" s="108" t="s">
        <v>25458</v>
      </c>
      <c r="I7095" s="108"/>
    </row>
    <row r="7096" spans="1:9" ht="27.6">
      <c r="A7096" s="108" t="s">
        <v>15075</v>
      </c>
      <c r="B7096" s="108" t="s">
        <v>25681</v>
      </c>
      <c r="C7096" s="109">
        <v>44620</v>
      </c>
      <c r="D7096" s="108"/>
      <c r="E7096" s="108" t="s">
        <v>14605</v>
      </c>
      <c r="F7096" s="108" t="s">
        <v>3138</v>
      </c>
      <c r="G7096" s="110"/>
      <c r="H7096" s="108" t="s">
        <v>25458</v>
      </c>
      <c r="I7096" s="108"/>
    </row>
    <row r="7097" spans="1:9" ht="27.6">
      <c r="A7097" s="108" t="s">
        <v>15075</v>
      </c>
      <c r="B7097" s="108" t="s">
        <v>25682</v>
      </c>
      <c r="C7097" s="109">
        <v>44606</v>
      </c>
      <c r="D7097" s="108"/>
      <c r="E7097" s="108" t="s">
        <v>14605</v>
      </c>
      <c r="F7097" s="108" t="s">
        <v>4671</v>
      </c>
      <c r="G7097" s="110"/>
      <c r="H7097" s="108" t="s">
        <v>25458</v>
      </c>
      <c r="I7097" s="108"/>
    </row>
    <row r="7098" spans="1:9" ht="27.6">
      <c r="A7098" s="108" t="s">
        <v>15075</v>
      </c>
      <c r="B7098" s="108" t="s">
        <v>25683</v>
      </c>
      <c r="C7098" s="109">
        <v>44686</v>
      </c>
      <c r="D7098" s="108"/>
      <c r="E7098" s="108" t="s">
        <v>14605</v>
      </c>
      <c r="F7098" s="108" t="s">
        <v>1797</v>
      </c>
      <c r="G7098" s="110"/>
      <c r="H7098" s="108" t="s">
        <v>25458</v>
      </c>
      <c r="I7098" s="108"/>
    </row>
    <row r="7099" spans="1:9" ht="27.6">
      <c r="A7099" s="108" t="s">
        <v>15075</v>
      </c>
      <c r="B7099" s="108" t="s">
        <v>25684</v>
      </c>
      <c r="C7099" s="109">
        <v>44648</v>
      </c>
      <c r="D7099" s="108"/>
      <c r="E7099" s="108" t="s">
        <v>14605</v>
      </c>
      <c r="F7099" s="108" t="s">
        <v>3199</v>
      </c>
      <c r="G7099" s="110"/>
      <c r="H7099" s="108" t="s">
        <v>25458</v>
      </c>
      <c r="I7099" s="108"/>
    </row>
    <row r="7100" spans="1:9" ht="27.6">
      <c r="A7100" s="108" t="s">
        <v>15075</v>
      </c>
      <c r="B7100" s="108" t="s">
        <v>25685</v>
      </c>
      <c r="C7100" s="109">
        <v>44594</v>
      </c>
      <c r="D7100" s="108"/>
      <c r="E7100" s="108" t="s">
        <v>14605</v>
      </c>
      <c r="F7100" s="108" t="s">
        <v>1302</v>
      </c>
      <c r="G7100" s="110"/>
      <c r="H7100" s="108" t="s">
        <v>25458</v>
      </c>
      <c r="I7100" s="108"/>
    </row>
    <row r="7101" spans="1:9" ht="27.6">
      <c r="A7101" s="108" t="s">
        <v>15075</v>
      </c>
      <c r="B7101" s="108" t="s">
        <v>25686</v>
      </c>
      <c r="C7101" s="109">
        <v>44638</v>
      </c>
      <c r="D7101" s="108"/>
      <c r="E7101" s="108" t="s">
        <v>14605</v>
      </c>
      <c r="F7101" s="108" t="s">
        <v>5145</v>
      </c>
      <c r="G7101" s="110"/>
      <c r="H7101" s="108" t="s">
        <v>25458</v>
      </c>
      <c r="I7101" s="108"/>
    </row>
    <row r="7102" spans="1:9" ht="27.6">
      <c r="A7102" s="108" t="s">
        <v>15075</v>
      </c>
      <c r="B7102" s="108" t="s">
        <v>25687</v>
      </c>
      <c r="C7102" s="109">
        <v>44636</v>
      </c>
      <c r="D7102" s="108"/>
      <c r="E7102" s="108" t="s">
        <v>14605</v>
      </c>
      <c r="F7102" s="108" t="s">
        <v>409</v>
      </c>
      <c r="G7102" s="110"/>
      <c r="H7102" s="108" t="s">
        <v>25458</v>
      </c>
      <c r="I7102" s="108"/>
    </row>
    <row r="7103" spans="1:9" ht="27.6">
      <c r="A7103" s="108" t="s">
        <v>15075</v>
      </c>
      <c r="B7103" s="108" t="s">
        <v>25688</v>
      </c>
      <c r="C7103" s="109">
        <v>44628</v>
      </c>
      <c r="D7103" s="108"/>
      <c r="E7103" s="108" t="s">
        <v>14605</v>
      </c>
      <c r="F7103" s="108" t="s">
        <v>4678</v>
      </c>
      <c r="G7103" s="110"/>
      <c r="H7103" s="108" t="s">
        <v>25458</v>
      </c>
      <c r="I7103" s="108"/>
    </row>
    <row r="7104" spans="1:9" ht="27.6">
      <c r="A7104" s="108" t="s">
        <v>15075</v>
      </c>
      <c r="B7104" s="108" t="s">
        <v>25689</v>
      </c>
      <c r="C7104" s="109">
        <v>44858</v>
      </c>
      <c r="D7104" s="108"/>
      <c r="E7104" s="108" t="s">
        <v>14605</v>
      </c>
      <c r="F7104" s="108" t="s">
        <v>986</v>
      </c>
      <c r="G7104" s="110"/>
      <c r="H7104" s="108" t="s">
        <v>25558</v>
      </c>
      <c r="I7104" s="108"/>
    </row>
    <row r="7105" spans="1:9" ht="27.6">
      <c r="A7105" s="108" t="s">
        <v>15075</v>
      </c>
      <c r="B7105" s="108" t="s">
        <v>25690</v>
      </c>
      <c r="C7105" s="109">
        <v>44608</v>
      </c>
      <c r="D7105" s="108"/>
      <c r="E7105" s="108" t="s">
        <v>14605</v>
      </c>
      <c r="F7105" s="108" t="s">
        <v>15137</v>
      </c>
      <c r="G7105" s="110"/>
      <c r="H7105" s="108" t="s">
        <v>25458</v>
      </c>
      <c r="I7105" s="108"/>
    </row>
    <row r="7106" spans="1:9" ht="27.6">
      <c r="A7106" s="108" t="s">
        <v>15075</v>
      </c>
      <c r="B7106" s="108" t="s">
        <v>25691</v>
      </c>
      <c r="C7106" s="109">
        <v>44606</v>
      </c>
      <c r="D7106" s="108"/>
      <c r="E7106" s="108" t="s">
        <v>14605</v>
      </c>
      <c r="F7106" s="108" t="s">
        <v>2081</v>
      </c>
      <c r="G7106" s="110"/>
      <c r="H7106" s="108" t="s">
        <v>25458</v>
      </c>
      <c r="I7106" s="108"/>
    </row>
    <row r="7107" spans="1:9" ht="27.6">
      <c r="A7107" s="108" t="s">
        <v>15075</v>
      </c>
      <c r="B7107" s="108" t="s">
        <v>25692</v>
      </c>
      <c r="C7107" s="109">
        <v>44720</v>
      </c>
      <c r="D7107" s="108"/>
      <c r="E7107" s="108" t="s">
        <v>14605</v>
      </c>
      <c r="F7107" s="108" t="s">
        <v>2339</v>
      </c>
      <c r="G7107" s="110"/>
      <c r="H7107" s="108" t="s">
        <v>25458</v>
      </c>
      <c r="I7107" s="108"/>
    </row>
    <row r="7108" spans="1:9" ht="27.6">
      <c r="A7108" s="108" t="s">
        <v>15075</v>
      </c>
      <c r="B7108" s="108" t="s">
        <v>25693</v>
      </c>
      <c r="C7108" s="109">
        <v>44703</v>
      </c>
      <c r="D7108" s="108"/>
      <c r="E7108" s="108" t="s">
        <v>14605</v>
      </c>
      <c r="F7108" s="108" t="s">
        <v>691</v>
      </c>
      <c r="G7108" s="110"/>
      <c r="H7108" s="108" t="s">
        <v>25558</v>
      </c>
      <c r="I7108" s="108"/>
    </row>
    <row r="7109" spans="1:9" ht="27.6">
      <c r="A7109" s="108" t="s">
        <v>15075</v>
      </c>
      <c r="B7109" s="108" t="s">
        <v>25694</v>
      </c>
      <c r="C7109" s="109">
        <v>44652</v>
      </c>
      <c r="D7109" s="108"/>
      <c r="E7109" s="108" t="s">
        <v>14605</v>
      </c>
      <c r="F7109" s="108" t="s">
        <v>3802</v>
      </c>
      <c r="G7109" s="110"/>
      <c r="H7109" s="108" t="s">
        <v>25458</v>
      </c>
      <c r="I7109" s="108"/>
    </row>
    <row r="7110" spans="1:9" ht="27.6">
      <c r="A7110" s="108" t="s">
        <v>15075</v>
      </c>
      <c r="B7110" s="108" t="s">
        <v>25695</v>
      </c>
      <c r="C7110" s="109">
        <v>44644</v>
      </c>
      <c r="D7110" s="108"/>
      <c r="E7110" s="108" t="s">
        <v>14605</v>
      </c>
      <c r="F7110" s="108" t="s">
        <v>25696</v>
      </c>
      <c r="G7110" s="110"/>
      <c r="H7110" s="108" t="s">
        <v>25458</v>
      </c>
      <c r="I7110" s="108"/>
    </row>
    <row r="7111" spans="1:9" ht="27.6">
      <c r="A7111" s="108" t="s">
        <v>15075</v>
      </c>
      <c r="B7111" s="108" t="s">
        <v>25697</v>
      </c>
      <c r="C7111" s="109">
        <v>44666</v>
      </c>
      <c r="D7111" s="108"/>
      <c r="E7111" s="108" t="s">
        <v>14605</v>
      </c>
      <c r="F7111" s="108" t="s">
        <v>682</v>
      </c>
      <c r="G7111" s="110"/>
      <c r="H7111" s="108" t="s">
        <v>25458</v>
      </c>
      <c r="I7111" s="108"/>
    </row>
    <row r="7112" spans="1:9" ht="27.6">
      <c r="A7112" s="108" t="s">
        <v>15075</v>
      </c>
      <c r="B7112" s="108" t="s">
        <v>25698</v>
      </c>
      <c r="C7112" s="109">
        <v>44666</v>
      </c>
      <c r="D7112" s="108"/>
      <c r="E7112" s="108" t="s">
        <v>14605</v>
      </c>
      <c r="F7112" s="108" t="s">
        <v>15303</v>
      </c>
      <c r="G7112" s="110"/>
      <c r="H7112" s="108" t="s">
        <v>25458</v>
      </c>
      <c r="I7112" s="108"/>
    </row>
    <row r="7113" spans="1:9" ht="27.6">
      <c r="A7113" s="108" t="s">
        <v>15075</v>
      </c>
      <c r="B7113" s="108" t="s">
        <v>25699</v>
      </c>
      <c r="C7113" s="109">
        <v>44671</v>
      </c>
      <c r="D7113" s="108"/>
      <c r="E7113" s="108" t="s">
        <v>14605</v>
      </c>
      <c r="F7113" s="108" t="s">
        <v>3354</v>
      </c>
      <c r="G7113" s="110"/>
      <c r="H7113" s="108" t="s">
        <v>25458</v>
      </c>
      <c r="I7113" s="108"/>
    </row>
    <row r="7114" spans="1:9" ht="27.6">
      <c r="A7114" s="108" t="s">
        <v>15075</v>
      </c>
      <c r="B7114" s="108" t="s">
        <v>25700</v>
      </c>
      <c r="C7114" s="109">
        <v>44692</v>
      </c>
      <c r="D7114" s="108"/>
      <c r="E7114" s="108" t="s">
        <v>14605</v>
      </c>
      <c r="F7114" s="108" t="s">
        <v>4857</v>
      </c>
      <c r="G7114" s="110"/>
      <c r="H7114" s="108" t="s">
        <v>25458</v>
      </c>
      <c r="I7114" s="108"/>
    </row>
    <row r="7115" spans="1:9" ht="27.6">
      <c r="A7115" s="108" t="s">
        <v>15075</v>
      </c>
      <c r="B7115" s="108" t="s">
        <v>25701</v>
      </c>
      <c r="C7115" s="109">
        <v>44652</v>
      </c>
      <c r="D7115" s="108"/>
      <c r="E7115" s="108" t="s">
        <v>14605</v>
      </c>
      <c r="F7115" s="108" t="s">
        <v>966</v>
      </c>
      <c r="G7115" s="110"/>
      <c r="H7115" s="108" t="s">
        <v>25458</v>
      </c>
      <c r="I7115" s="108"/>
    </row>
    <row r="7116" spans="1:9" ht="27.6">
      <c r="A7116" s="108" t="s">
        <v>15075</v>
      </c>
      <c r="B7116" s="108" t="s">
        <v>25702</v>
      </c>
      <c r="C7116" s="109">
        <v>44648</v>
      </c>
      <c r="D7116" s="108"/>
      <c r="E7116" s="108" t="s">
        <v>14605</v>
      </c>
      <c r="F7116" s="108" t="s">
        <v>1294</v>
      </c>
      <c r="G7116" s="110"/>
      <c r="H7116" s="108" t="s">
        <v>25458</v>
      </c>
      <c r="I7116" s="108"/>
    </row>
    <row r="7117" spans="1:9" ht="27.6">
      <c r="A7117" s="108" t="s">
        <v>15075</v>
      </c>
      <c r="B7117" s="108" t="s">
        <v>25703</v>
      </c>
      <c r="C7117" s="109">
        <v>44691</v>
      </c>
      <c r="D7117" s="108"/>
      <c r="E7117" s="108" t="s">
        <v>14605</v>
      </c>
      <c r="F7117" s="108" t="s">
        <v>4857</v>
      </c>
      <c r="G7117" s="110"/>
      <c r="H7117" s="108" t="s">
        <v>25458</v>
      </c>
      <c r="I7117" s="108"/>
    </row>
    <row r="7118" spans="1:9" ht="27.6">
      <c r="A7118" s="108" t="s">
        <v>15075</v>
      </c>
      <c r="B7118" s="108" t="s">
        <v>25704</v>
      </c>
      <c r="C7118" s="109">
        <v>46027</v>
      </c>
      <c r="D7118" s="108"/>
      <c r="E7118" s="108" t="s">
        <v>14605</v>
      </c>
      <c r="F7118" s="108" t="s">
        <v>2790</v>
      </c>
      <c r="G7118" s="110"/>
      <c r="H7118" s="108" t="s">
        <v>25458</v>
      </c>
      <c r="I7118" s="108"/>
    </row>
    <row r="7119" spans="1:9" ht="27.6">
      <c r="A7119" s="108" t="s">
        <v>15075</v>
      </c>
      <c r="B7119" s="108" t="s">
        <v>25705</v>
      </c>
      <c r="C7119" s="109">
        <v>44666</v>
      </c>
      <c r="D7119" s="108"/>
      <c r="E7119" s="108" t="s">
        <v>14605</v>
      </c>
      <c r="F7119" s="108" t="s">
        <v>904</v>
      </c>
      <c r="G7119" s="110"/>
      <c r="H7119" s="108" t="s">
        <v>25458</v>
      </c>
      <c r="I7119" s="108"/>
    </row>
    <row r="7120" spans="1:9" ht="27.6">
      <c r="A7120" s="108" t="s">
        <v>15075</v>
      </c>
      <c r="B7120" s="108" t="s">
        <v>25706</v>
      </c>
      <c r="C7120" s="109">
        <v>44650</v>
      </c>
      <c r="D7120" s="108"/>
      <c r="E7120" s="108" t="s">
        <v>14605</v>
      </c>
      <c r="F7120" s="108" t="s">
        <v>25707</v>
      </c>
      <c r="G7120" s="110"/>
      <c r="H7120" s="108" t="s">
        <v>25458</v>
      </c>
      <c r="I7120" s="108"/>
    </row>
    <row r="7121" spans="1:9" ht="27.6">
      <c r="A7121" s="108" t="s">
        <v>15075</v>
      </c>
      <c r="B7121" s="108" t="s">
        <v>25708</v>
      </c>
      <c r="C7121" s="109">
        <v>44650</v>
      </c>
      <c r="D7121" s="108"/>
      <c r="E7121" s="108" t="s">
        <v>14605</v>
      </c>
      <c r="F7121" s="108" t="s">
        <v>25709</v>
      </c>
      <c r="G7121" s="110"/>
      <c r="H7121" s="108" t="s">
        <v>25458</v>
      </c>
      <c r="I7121" s="108"/>
    </row>
    <row r="7122" spans="1:9" ht="27.6">
      <c r="A7122" s="108" t="s">
        <v>15075</v>
      </c>
      <c r="B7122" s="108" t="s">
        <v>25710</v>
      </c>
      <c r="C7122" s="109">
        <v>44847</v>
      </c>
      <c r="D7122" s="108"/>
      <c r="E7122" s="108" t="s">
        <v>14605</v>
      </c>
      <c r="F7122" s="108" t="s">
        <v>4343</v>
      </c>
      <c r="G7122" s="110"/>
      <c r="H7122" s="108" t="s">
        <v>25458</v>
      </c>
      <c r="I7122" s="108"/>
    </row>
    <row r="7123" spans="1:9" ht="27.6">
      <c r="A7123" s="108" t="s">
        <v>15075</v>
      </c>
      <c r="B7123" s="108" t="s">
        <v>25711</v>
      </c>
      <c r="C7123" s="109">
        <v>44702</v>
      </c>
      <c r="D7123" s="108"/>
      <c r="E7123" s="108" t="s">
        <v>14605</v>
      </c>
      <c r="F7123" s="108" t="s">
        <v>16674</v>
      </c>
      <c r="G7123" s="110"/>
      <c r="H7123" s="108" t="s">
        <v>25458</v>
      </c>
      <c r="I7123" s="108"/>
    </row>
    <row r="7124" spans="1:9" ht="27.6">
      <c r="A7124" s="108" t="s">
        <v>15075</v>
      </c>
      <c r="B7124" s="108" t="s">
        <v>25712</v>
      </c>
      <c r="C7124" s="109">
        <v>44673</v>
      </c>
      <c r="D7124" s="108"/>
      <c r="E7124" s="108" t="s">
        <v>14605</v>
      </c>
      <c r="F7124" s="108" t="s">
        <v>2725</v>
      </c>
      <c r="G7124" s="110"/>
      <c r="H7124" s="108" t="s">
        <v>25458</v>
      </c>
      <c r="I7124" s="108"/>
    </row>
    <row r="7125" spans="1:9" ht="27.6">
      <c r="A7125" s="108" t="s">
        <v>15075</v>
      </c>
      <c r="B7125" s="108" t="s">
        <v>25713</v>
      </c>
      <c r="C7125" s="109">
        <v>44720</v>
      </c>
      <c r="D7125" s="108"/>
      <c r="E7125" s="108" t="s">
        <v>14605</v>
      </c>
      <c r="F7125" s="108" t="s">
        <v>2004</v>
      </c>
      <c r="G7125" s="110"/>
      <c r="H7125" s="108" t="s">
        <v>25458</v>
      </c>
      <c r="I7125" s="108"/>
    </row>
    <row r="7126" spans="1:9" ht="27.6">
      <c r="A7126" s="108" t="s">
        <v>15075</v>
      </c>
      <c r="B7126" s="108" t="s">
        <v>25714</v>
      </c>
      <c r="C7126" s="109">
        <v>44730</v>
      </c>
      <c r="D7126" s="108"/>
      <c r="E7126" s="108" t="s">
        <v>14605</v>
      </c>
      <c r="F7126" s="108" t="s">
        <v>3721</v>
      </c>
      <c r="G7126" s="110"/>
      <c r="H7126" s="108" t="s">
        <v>25458</v>
      </c>
      <c r="I7126" s="108"/>
    </row>
    <row r="7127" spans="1:9" ht="27.6">
      <c r="A7127" s="108" t="s">
        <v>15075</v>
      </c>
      <c r="B7127" s="108" t="s">
        <v>25715</v>
      </c>
      <c r="C7127" s="109">
        <v>44812</v>
      </c>
      <c r="D7127" s="108"/>
      <c r="E7127" s="108" t="s">
        <v>14605</v>
      </c>
      <c r="F7127" s="108" t="s">
        <v>4732</v>
      </c>
      <c r="G7127" s="110"/>
      <c r="H7127" s="108" t="s">
        <v>25558</v>
      </c>
      <c r="I7127" s="108"/>
    </row>
    <row r="7128" spans="1:9" ht="27.6">
      <c r="A7128" s="108" t="s">
        <v>15075</v>
      </c>
      <c r="B7128" s="108" t="s">
        <v>25716</v>
      </c>
      <c r="C7128" s="109">
        <v>44861</v>
      </c>
      <c r="D7128" s="108"/>
      <c r="E7128" s="108" t="s">
        <v>14605</v>
      </c>
      <c r="F7128" s="108" t="s">
        <v>2844</v>
      </c>
      <c r="G7128" s="110"/>
      <c r="H7128" s="108" t="s">
        <v>25458</v>
      </c>
      <c r="I7128" s="108"/>
    </row>
    <row r="7129" spans="1:9" ht="27.6">
      <c r="A7129" s="108" t="s">
        <v>15075</v>
      </c>
      <c r="B7129" s="108" t="s">
        <v>25717</v>
      </c>
      <c r="C7129" s="109">
        <v>44697</v>
      </c>
      <c r="D7129" s="108"/>
      <c r="E7129" s="108" t="s">
        <v>14605</v>
      </c>
      <c r="F7129" s="108" t="s">
        <v>2655</v>
      </c>
      <c r="G7129" s="110"/>
      <c r="H7129" s="108" t="s">
        <v>25458</v>
      </c>
      <c r="I7129" s="108"/>
    </row>
    <row r="7130" spans="1:9" ht="27.6">
      <c r="A7130" s="108" t="s">
        <v>15075</v>
      </c>
      <c r="B7130" s="108" t="s">
        <v>25718</v>
      </c>
      <c r="C7130" s="109">
        <v>44726</v>
      </c>
      <c r="D7130" s="108"/>
      <c r="E7130" s="108" t="s">
        <v>14605</v>
      </c>
      <c r="F7130" s="108" t="s">
        <v>5052</v>
      </c>
      <c r="G7130" s="110"/>
      <c r="H7130" s="108" t="s">
        <v>25458</v>
      </c>
      <c r="I7130" s="108"/>
    </row>
    <row r="7131" spans="1:9" ht="27.6">
      <c r="A7131" s="108" t="s">
        <v>8278</v>
      </c>
      <c r="B7131" s="108" t="s">
        <v>25719</v>
      </c>
      <c r="C7131" s="109">
        <v>44720</v>
      </c>
      <c r="D7131" s="108"/>
      <c r="E7131" s="108" t="s">
        <v>14605</v>
      </c>
      <c r="F7131" s="108" t="s">
        <v>16055</v>
      </c>
      <c r="G7131" s="110"/>
      <c r="H7131" s="108" t="s">
        <v>25458</v>
      </c>
      <c r="I7131" s="108"/>
    </row>
    <row r="7132" spans="1:9" ht="27.6">
      <c r="A7132" s="108" t="s">
        <v>15075</v>
      </c>
      <c r="B7132" s="108" t="s">
        <v>25720</v>
      </c>
      <c r="C7132" s="109">
        <v>44726</v>
      </c>
      <c r="D7132" s="108"/>
      <c r="E7132" s="108" t="s">
        <v>14605</v>
      </c>
      <c r="F7132" s="108" t="s">
        <v>15303</v>
      </c>
      <c r="G7132" s="110"/>
      <c r="H7132" s="108" t="s">
        <v>25458</v>
      </c>
      <c r="I7132" s="108"/>
    </row>
    <row r="7133" spans="1:9" ht="27.6">
      <c r="A7133" s="108" t="s">
        <v>15075</v>
      </c>
      <c r="B7133" s="108" t="s">
        <v>25721</v>
      </c>
      <c r="C7133" s="109">
        <v>44721</v>
      </c>
      <c r="D7133" s="108"/>
      <c r="E7133" s="108" t="s">
        <v>14605</v>
      </c>
      <c r="F7133" s="108" t="s">
        <v>4319</v>
      </c>
      <c r="G7133" s="110"/>
      <c r="H7133" s="108" t="s">
        <v>25458</v>
      </c>
      <c r="I7133" s="108"/>
    </row>
    <row r="7134" spans="1:9" ht="27.6">
      <c r="A7134" s="108" t="s">
        <v>15075</v>
      </c>
      <c r="B7134" s="108" t="s">
        <v>25722</v>
      </c>
      <c r="C7134" s="109">
        <v>44757</v>
      </c>
      <c r="D7134" s="108"/>
      <c r="E7134" s="108" t="s">
        <v>14605</v>
      </c>
      <c r="F7134" s="108" t="s">
        <v>4276</v>
      </c>
      <c r="G7134" s="110"/>
      <c r="H7134" s="108" t="s">
        <v>25458</v>
      </c>
      <c r="I7134" s="108"/>
    </row>
    <row r="7135" spans="1:9" ht="27.6">
      <c r="A7135" s="108" t="s">
        <v>15075</v>
      </c>
      <c r="B7135" s="108" t="s">
        <v>25723</v>
      </c>
      <c r="C7135" s="109">
        <v>44729</v>
      </c>
      <c r="D7135" s="108"/>
      <c r="E7135" s="108" t="s">
        <v>14605</v>
      </c>
      <c r="F7135" s="108" t="s">
        <v>691</v>
      </c>
      <c r="G7135" s="110"/>
      <c r="H7135" s="108" t="s">
        <v>25458</v>
      </c>
      <c r="I7135" s="108"/>
    </row>
    <row r="7136" spans="1:9" ht="27.6">
      <c r="A7136" s="108" t="s">
        <v>15075</v>
      </c>
      <c r="B7136" s="108" t="s">
        <v>25724</v>
      </c>
      <c r="C7136" s="109">
        <v>44708</v>
      </c>
      <c r="D7136" s="108"/>
      <c r="E7136" s="108" t="s">
        <v>14605</v>
      </c>
      <c r="F7136" s="108" t="s">
        <v>3522</v>
      </c>
      <c r="G7136" s="110"/>
      <c r="H7136" s="108" t="s">
        <v>25458</v>
      </c>
      <c r="I7136" s="108"/>
    </row>
    <row r="7137" spans="1:9" ht="27.6">
      <c r="A7137" s="108" t="s">
        <v>15075</v>
      </c>
      <c r="B7137" s="108" t="s">
        <v>25725</v>
      </c>
      <c r="C7137" s="109">
        <v>44839</v>
      </c>
      <c r="D7137" s="108"/>
      <c r="E7137" s="108" t="s">
        <v>14605</v>
      </c>
      <c r="F7137" s="108" t="s">
        <v>2368</v>
      </c>
      <c r="G7137" s="110"/>
      <c r="H7137" s="108" t="s">
        <v>25458</v>
      </c>
      <c r="I7137" s="108"/>
    </row>
    <row r="7138" spans="1:9" ht="27.6">
      <c r="A7138" s="108" t="s">
        <v>15075</v>
      </c>
      <c r="B7138" s="108" t="s">
        <v>25726</v>
      </c>
      <c r="C7138" s="109">
        <v>44705</v>
      </c>
      <c r="D7138" s="108"/>
      <c r="E7138" s="108" t="s">
        <v>14605</v>
      </c>
      <c r="F7138" s="108" t="s">
        <v>4486</v>
      </c>
      <c r="G7138" s="110"/>
      <c r="H7138" s="108" t="s">
        <v>25558</v>
      </c>
      <c r="I7138" s="108"/>
    </row>
    <row r="7139" spans="1:9" ht="27.6">
      <c r="A7139" s="108" t="s">
        <v>15075</v>
      </c>
      <c r="B7139" s="108" t="s">
        <v>25727</v>
      </c>
      <c r="C7139" s="109">
        <v>44769</v>
      </c>
      <c r="D7139" s="108"/>
      <c r="E7139" s="108" t="s">
        <v>14605</v>
      </c>
      <c r="F7139" s="108" t="s">
        <v>3947</v>
      </c>
      <c r="G7139" s="110"/>
      <c r="H7139" s="108" t="s">
        <v>25458</v>
      </c>
      <c r="I7139" s="108"/>
    </row>
    <row r="7140" spans="1:9" ht="27.6">
      <c r="A7140" s="108" t="s">
        <v>15075</v>
      </c>
      <c r="B7140" s="108" t="s">
        <v>25728</v>
      </c>
      <c r="C7140" s="109">
        <v>44733</v>
      </c>
      <c r="D7140" s="108"/>
      <c r="E7140" s="108" t="s">
        <v>14605</v>
      </c>
      <c r="F7140" s="108" t="s">
        <v>3219</v>
      </c>
      <c r="G7140" s="110"/>
      <c r="H7140" s="108" t="s">
        <v>25458</v>
      </c>
      <c r="I7140" s="108"/>
    </row>
    <row r="7141" spans="1:9" ht="27.6">
      <c r="A7141" s="108" t="s">
        <v>15075</v>
      </c>
      <c r="B7141" s="108" t="s">
        <v>25729</v>
      </c>
      <c r="C7141" s="109">
        <v>44827</v>
      </c>
      <c r="D7141" s="108"/>
      <c r="E7141" s="108" t="s">
        <v>14605</v>
      </c>
      <c r="F7141" s="108" t="s">
        <v>794</v>
      </c>
      <c r="G7141" s="110"/>
      <c r="H7141" s="108" t="s">
        <v>25458</v>
      </c>
      <c r="I7141" s="108"/>
    </row>
    <row r="7142" spans="1:9" ht="27.6">
      <c r="A7142" s="108" t="s">
        <v>15075</v>
      </c>
      <c r="B7142" s="108" t="s">
        <v>25730</v>
      </c>
      <c r="C7142" s="109">
        <v>44851</v>
      </c>
      <c r="D7142" s="108"/>
      <c r="E7142" s="108" t="s">
        <v>14605</v>
      </c>
      <c r="F7142" s="108" t="s">
        <v>15535</v>
      </c>
      <c r="G7142" s="110"/>
      <c r="H7142" s="108" t="s">
        <v>25458</v>
      </c>
      <c r="I7142" s="108"/>
    </row>
    <row r="7143" spans="1:9" ht="27.6">
      <c r="A7143" s="108" t="s">
        <v>15075</v>
      </c>
      <c r="B7143" s="108" t="s">
        <v>25731</v>
      </c>
      <c r="C7143" s="109">
        <v>44869</v>
      </c>
      <c r="D7143" s="108"/>
      <c r="E7143" s="108" t="s">
        <v>14605</v>
      </c>
      <c r="F7143" s="108" t="s">
        <v>15535</v>
      </c>
      <c r="G7143" s="110"/>
      <c r="H7143" s="108" t="s">
        <v>25458</v>
      </c>
      <c r="I7143" s="108"/>
    </row>
    <row r="7144" spans="1:9" ht="27.6">
      <c r="A7144" s="108" t="s">
        <v>15075</v>
      </c>
      <c r="B7144" s="108" t="s">
        <v>25732</v>
      </c>
      <c r="C7144" s="109">
        <v>44869</v>
      </c>
      <c r="D7144" s="108"/>
      <c r="E7144" s="108" t="s">
        <v>14605</v>
      </c>
      <c r="F7144" s="108" t="s">
        <v>15535</v>
      </c>
      <c r="G7144" s="110"/>
      <c r="H7144" s="108" t="s">
        <v>25458</v>
      </c>
      <c r="I7144" s="108"/>
    </row>
    <row r="7145" spans="1:9" ht="27.6">
      <c r="A7145" s="108" t="s">
        <v>15075</v>
      </c>
      <c r="B7145" s="108" t="s">
        <v>25733</v>
      </c>
      <c r="C7145" s="109">
        <v>44830</v>
      </c>
      <c r="D7145" s="108"/>
      <c r="E7145" s="108" t="s">
        <v>14605</v>
      </c>
      <c r="F7145" s="108" t="s">
        <v>2124</v>
      </c>
      <c r="G7145" s="110"/>
      <c r="H7145" s="108" t="s">
        <v>25458</v>
      </c>
      <c r="I7145" s="108"/>
    </row>
    <row r="7146" spans="1:9" ht="27.6">
      <c r="A7146" s="108" t="s">
        <v>15075</v>
      </c>
      <c r="B7146" s="108" t="s">
        <v>25734</v>
      </c>
      <c r="C7146" s="109">
        <v>44862</v>
      </c>
      <c r="D7146" s="108"/>
      <c r="E7146" s="108" t="s">
        <v>14605</v>
      </c>
      <c r="F7146" s="108" t="s">
        <v>1159</v>
      </c>
      <c r="G7146" s="110"/>
      <c r="H7146" s="108" t="s">
        <v>25458</v>
      </c>
      <c r="I7146" s="108"/>
    </row>
    <row r="7147" spans="1:9" ht="27.6">
      <c r="A7147" s="108" t="s">
        <v>15075</v>
      </c>
      <c r="B7147" s="108" t="s">
        <v>25735</v>
      </c>
      <c r="C7147" s="109">
        <v>44888</v>
      </c>
      <c r="D7147" s="108"/>
      <c r="E7147" s="108" t="s">
        <v>14605</v>
      </c>
      <c r="F7147" s="108" t="s">
        <v>348</v>
      </c>
      <c r="G7147" s="110"/>
      <c r="H7147" s="108" t="s">
        <v>25458</v>
      </c>
      <c r="I7147" s="108"/>
    </row>
    <row r="7148" spans="1:9" ht="27.6">
      <c r="A7148" s="108" t="s">
        <v>15075</v>
      </c>
      <c r="B7148" s="108" t="s">
        <v>25736</v>
      </c>
      <c r="C7148" s="109">
        <v>44725</v>
      </c>
      <c r="D7148" s="108"/>
      <c r="E7148" s="108" t="s">
        <v>14605</v>
      </c>
      <c r="F7148" s="108" t="s">
        <v>5106</v>
      </c>
      <c r="G7148" s="110"/>
      <c r="H7148" s="108" t="s">
        <v>25558</v>
      </c>
      <c r="I7148" s="108"/>
    </row>
    <row r="7149" spans="1:9" ht="27.6">
      <c r="A7149" s="108" t="s">
        <v>15075</v>
      </c>
      <c r="B7149" s="108" t="s">
        <v>25737</v>
      </c>
      <c r="C7149" s="109">
        <v>44951</v>
      </c>
      <c r="D7149" s="108"/>
      <c r="E7149" s="108" t="s">
        <v>14605</v>
      </c>
      <c r="F7149" s="108" t="s">
        <v>1140</v>
      </c>
      <c r="G7149" s="110"/>
      <c r="H7149" s="108" t="s">
        <v>25558</v>
      </c>
      <c r="I7149" s="108"/>
    </row>
    <row r="7150" spans="1:9" ht="27.6">
      <c r="A7150" s="108" t="s">
        <v>15075</v>
      </c>
      <c r="B7150" s="108" t="s">
        <v>25738</v>
      </c>
      <c r="C7150" s="109">
        <v>44819</v>
      </c>
      <c r="D7150" s="108"/>
      <c r="E7150" s="108" t="s">
        <v>14605</v>
      </c>
      <c r="F7150" s="108" t="s">
        <v>5145</v>
      </c>
      <c r="G7150" s="110"/>
      <c r="H7150" s="108" t="s">
        <v>25458</v>
      </c>
      <c r="I7150" s="108"/>
    </row>
    <row r="7151" spans="1:9" ht="27.6">
      <c r="A7151" s="108" t="s">
        <v>15075</v>
      </c>
      <c r="B7151" s="108" t="s">
        <v>25739</v>
      </c>
      <c r="C7151" s="109">
        <v>44790</v>
      </c>
      <c r="D7151" s="108"/>
      <c r="E7151" s="108" t="s">
        <v>14605</v>
      </c>
      <c r="F7151" s="108" t="s">
        <v>1228</v>
      </c>
      <c r="G7151" s="110"/>
      <c r="H7151" s="108" t="s">
        <v>25458</v>
      </c>
      <c r="I7151" s="108"/>
    </row>
    <row r="7152" spans="1:9" ht="27.6">
      <c r="A7152" s="108" t="s">
        <v>15075</v>
      </c>
      <c r="B7152" s="108" t="s">
        <v>25740</v>
      </c>
      <c r="C7152" s="109">
        <v>44742</v>
      </c>
      <c r="D7152" s="108"/>
      <c r="E7152" s="108" t="s">
        <v>14605</v>
      </c>
      <c r="F7152" s="108" t="s">
        <v>2853</v>
      </c>
      <c r="G7152" s="110"/>
      <c r="H7152" s="108" t="s">
        <v>25458</v>
      </c>
      <c r="I7152" s="108"/>
    </row>
    <row r="7153" spans="1:9" ht="27.6">
      <c r="A7153" s="108" t="s">
        <v>15075</v>
      </c>
      <c r="B7153" s="108" t="s">
        <v>25741</v>
      </c>
      <c r="C7153" s="109">
        <v>44771</v>
      </c>
      <c r="D7153" s="108"/>
      <c r="E7153" s="108" t="s">
        <v>14605</v>
      </c>
      <c r="F7153" s="108" t="s">
        <v>25184</v>
      </c>
      <c r="G7153" s="110"/>
      <c r="H7153" s="108" t="s">
        <v>25458</v>
      </c>
      <c r="I7153" s="108"/>
    </row>
    <row r="7154" spans="1:9" ht="27.6">
      <c r="A7154" s="108" t="s">
        <v>15075</v>
      </c>
      <c r="B7154" s="108" t="s">
        <v>25742</v>
      </c>
      <c r="C7154" s="109">
        <v>44757</v>
      </c>
      <c r="D7154" s="108"/>
      <c r="E7154" s="108" t="s">
        <v>14605</v>
      </c>
      <c r="F7154" s="108" t="s">
        <v>16211</v>
      </c>
      <c r="G7154" s="110"/>
      <c r="H7154" s="108" t="s">
        <v>25458</v>
      </c>
      <c r="I7154" s="108"/>
    </row>
    <row r="7155" spans="1:9" ht="27.6">
      <c r="A7155" s="108" t="s">
        <v>15075</v>
      </c>
      <c r="B7155" s="108" t="s">
        <v>25743</v>
      </c>
      <c r="C7155" s="109">
        <v>44894</v>
      </c>
      <c r="D7155" s="108"/>
      <c r="E7155" s="108" t="s">
        <v>14605</v>
      </c>
      <c r="F7155" s="108" t="s">
        <v>458</v>
      </c>
      <c r="G7155" s="110"/>
      <c r="H7155" s="108" t="s">
        <v>25558</v>
      </c>
      <c r="I7155" s="108"/>
    </row>
    <row r="7156" spans="1:9" ht="27.6">
      <c r="A7156" s="108" t="s">
        <v>15075</v>
      </c>
      <c r="B7156" s="108" t="s">
        <v>25744</v>
      </c>
      <c r="C7156" s="109">
        <v>44770</v>
      </c>
      <c r="D7156" s="108"/>
      <c r="E7156" s="108" t="s">
        <v>14605</v>
      </c>
      <c r="F7156" s="108" t="s">
        <v>4846</v>
      </c>
      <c r="G7156" s="110"/>
      <c r="H7156" s="108" t="s">
        <v>25458</v>
      </c>
      <c r="I7156" s="108"/>
    </row>
    <row r="7157" spans="1:9" ht="27.6">
      <c r="A7157" s="108" t="s">
        <v>15075</v>
      </c>
      <c r="B7157" s="108" t="s">
        <v>25745</v>
      </c>
      <c r="C7157" s="109">
        <v>44776</v>
      </c>
      <c r="D7157" s="108"/>
      <c r="E7157" s="108" t="s">
        <v>14605</v>
      </c>
      <c r="F7157" s="108" t="s">
        <v>3024</v>
      </c>
      <c r="G7157" s="110"/>
      <c r="H7157" s="108" t="s">
        <v>25458</v>
      </c>
      <c r="I7157" s="108"/>
    </row>
    <row r="7158" spans="1:9" ht="27.6">
      <c r="A7158" s="108" t="s">
        <v>15075</v>
      </c>
      <c r="B7158" s="108" t="s">
        <v>25746</v>
      </c>
      <c r="C7158" s="109">
        <v>44950</v>
      </c>
      <c r="D7158" s="108"/>
      <c r="E7158" s="108" t="s">
        <v>14605</v>
      </c>
      <c r="F7158" s="108" t="s">
        <v>3306</v>
      </c>
      <c r="G7158" s="110"/>
      <c r="H7158" s="108" t="s">
        <v>25458</v>
      </c>
      <c r="I7158" s="108"/>
    </row>
    <row r="7159" spans="1:9" ht="27.6">
      <c r="A7159" s="108" t="s">
        <v>15075</v>
      </c>
      <c r="B7159" s="108" t="s">
        <v>25747</v>
      </c>
      <c r="C7159" s="109">
        <v>44853</v>
      </c>
      <c r="D7159" s="108"/>
      <c r="E7159" s="108" t="s">
        <v>14605</v>
      </c>
      <c r="F7159" s="108" t="s">
        <v>129</v>
      </c>
      <c r="G7159" s="110"/>
      <c r="H7159" s="108" t="s">
        <v>25458</v>
      </c>
      <c r="I7159" s="108"/>
    </row>
    <row r="7160" spans="1:9" ht="27.6">
      <c r="A7160" s="108" t="s">
        <v>15075</v>
      </c>
      <c r="B7160" s="108" t="s">
        <v>25748</v>
      </c>
      <c r="C7160" s="109">
        <v>44866</v>
      </c>
      <c r="D7160" s="108"/>
      <c r="E7160" s="108" t="s">
        <v>14605</v>
      </c>
      <c r="F7160" s="108" t="s">
        <v>4857</v>
      </c>
      <c r="G7160" s="110"/>
      <c r="H7160" s="108" t="s">
        <v>25458</v>
      </c>
      <c r="I7160" s="108"/>
    </row>
    <row r="7161" spans="1:9" ht="27.6">
      <c r="A7161" s="108" t="s">
        <v>15075</v>
      </c>
      <c r="B7161" s="108" t="s">
        <v>25749</v>
      </c>
      <c r="C7161" s="109">
        <v>44832</v>
      </c>
      <c r="D7161" s="108"/>
      <c r="E7161" s="108" t="s">
        <v>14605</v>
      </c>
      <c r="F7161" s="108" t="s">
        <v>16249</v>
      </c>
      <c r="G7161" s="110"/>
      <c r="H7161" s="108" t="s">
        <v>25458</v>
      </c>
      <c r="I7161" s="108"/>
    </row>
    <row r="7162" spans="1:9" ht="27.6">
      <c r="A7162" s="108" t="s">
        <v>15075</v>
      </c>
      <c r="B7162" s="108" t="s">
        <v>25750</v>
      </c>
      <c r="C7162" s="109">
        <v>44882</v>
      </c>
      <c r="D7162" s="108"/>
      <c r="E7162" s="108" t="s">
        <v>14605</v>
      </c>
      <c r="F7162" s="108" t="s">
        <v>4229</v>
      </c>
      <c r="G7162" s="110"/>
      <c r="H7162" s="108" t="s">
        <v>25458</v>
      </c>
      <c r="I7162" s="108"/>
    </row>
    <row r="7163" spans="1:9" ht="27.6">
      <c r="A7163" s="108" t="s">
        <v>15075</v>
      </c>
      <c r="B7163" s="108" t="s">
        <v>25751</v>
      </c>
      <c r="C7163" s="109">
        <v>44827</v>
      </c>
      <c r="D7163" s="108"/>
      <c r="E7163" s="108" t="s">
        <v>14605</v>
      </c>
      <c r="F7163" s="108" t="s">
        <v>2591</v>
      </c>
      <c r="G7163" s="110"/>
      <c r="H7163" s="108" t="s">
        <v>25458</v>
      </c>
      <c r="I7163" s="108"/>
    </row>
    <row r="7164" spans="1:9" ht="27.6">
      <c r="A7164" s="108" t="s">
        <v>15075</v>
      </c>
      <c r="B7164" s="108" t="s">
        <v>25752</v>
      </c>
      <c r="C7164" s="109">
        <v>44855</v>
      </c>
      <c r="D7164" s="108"/>
      <c r="E7164" s="108" t="s">
        <v>14605</v>
      </c>
      <c r="F7164" s="108" t="s">
        <v>327</v>
      </c>
      <c r="G7164" s="110"/>
      <c r="H7164" s="108" t="s">
        <v>25458</v>
      </c>
      <c r="I7164" s="108"/>
    </row>
    <row r="7165" spans="1:9" ht="27.6">
      <c r="A7165" s="108" t="s">
        <v>15075</v>
      </c>
      <c r="B7165" s="108" t="s">
        <v>25753</v>
      </c>
      <c r="C7165" s="109">
        <v>44838</v>
      </c>
      <c r="D7165" s="108"/>
      <c r="E7165" s="108" t="s">
        <v>14605</v>
      </c>
      <c r="F7165" s="108" t="s">
        <v>2762</v>
      </c>
      <c r="G7165" s="110"/>
      <c r="H7165" s="108" t="s">
        <v>25458</v>
      </c>
      <c r="I7165" s="108"/>
    </row>
    <row r="7166" spans="1:9" ht="27.6">
      <c r="A7166" s="108" t="s">
        <v>15075</v>
      </c>
      <c r="B7166" s="108" t="s">
        <v>25754</v>
      </c>
      <c r="C7166" s="109">
        <v>44879</v>
      </c>
      <c r="D7166" s="108"/>
      <c r="E7166" s="108" t="s">
        <v>14605</v>
      </c>
      <c r="F7166" s="108" t="s">
        <v>129</v>
      </c>
      <c r="G7166" s="110"/>
      <c r="H7166" s="108" t="s">
        <v>25458</v>
      </c>
      <c r="I7166" s="108"/>
    </row>
    <row r="7167" spans="1:9" ht="27.6">
      <c r="A7167" s="108" t="s">
        <v>15075</v>
      </c>
      <c r="B7167" s="108" t="s">
        <v>25755</v>
      </c>
      <c r="C7167" s="109">
        <v>44756</v>
      </c>
      <c r="D7167" s="108"/>
      <c r="E7167" s="108" t="s">
        <v>14605</v>
      </c>
      <c r="F7167" s="108" t="s">
        <v>3670</v>
      </c>
      <c r="G7167" s="110"/>
      <c r="H7167" s="108" t="s">
        <v>25558</v>
      </c>
      <c r="I7167" s="108"/>
    </row>
    <row r="7168" spans="1:9" ht="27.6">
      <c r="A7168" s="108" t="s">
        <v>15075</v>
      </c>
      <c r="B7168" s="108" t="s">
        <v>25756</v>
      </c>
      <c r="C7168" s="109">
        <v>44756</v>
      </c>
      <c r="D7168" s="108"/>
      <c r="E7168" s="108" t="s">
        <v>14605</v>
      </c>
      <c r="F7168" s="108" t="s">
        <v>1671</v>
      </c>
      <c r="G7168" s="110"/>
      <c r="H7168" s="108" t="s">
        <v>25458</v>
      </c>
      <c r="I7168" s="108"/>
    </row>
    <row r="7169" spans="1:9" ht="27.6">
      <c r="A7169" s="108" t="s">
        <v>15075</v>
      </c>
      <c r="B7169" s="108" t="s">
        <v>25757</v>
      </c>
      <c r="C7169" s="109">
        <v>44788</v>
      </c>
      <c r="D7169" s="108"/>
      <c r="E7169" s="108" t="s">
        <v>14605</v>
      </c>
      <c r="F7169" s="108" t="s">
        <v>3170</v>
      </c>
      <c r="G7169" s="110"/>
      <c r="H7169" s="108" t="s">
        <v>25458</v>
      </c>
      <c r="I7169" s="108"/>
    </row>
    <row r="7170" spans="1:9" ht="27.6">
      <c r="A7170" s="108" t="s">
        <v>15075</v>
      </c>
      <c r="B7170" s="108" t="s">
        <v>25758</v>
      </c>
      <c r="C7170" s="109">
        <v>44757</v>
      </c>
      <c r="D7170" s="108"/>
      <c r="E7170" s="108" t="s">
        <v>14605</v>
      </c>
      <c r="F7170" s="108" t="s">
        <v>1818</v>
      </c>
      <c r="G7170" s="110"/>
      <c r="H7170" s="108" t="s">
        <v>25458</v>
      </c>
      <c r="I7170" s="108"/>
    </row>
    <row r="7171" spans="1:9" ht="27.6">
      <c r="A7171" s="108" t="s">
        <v>15075</v>
      </c>
      <c r="B7171" s="108" t="s">
        <v>25759</v>
      </c>
      <c r="C7171" s="109">
        <v>44830</v>
      </c>
      <c r="D7171" s="108"/>
      <c r="E7171" s="108" t="s">
        <v>14605</v>
      </c>
      <c r="F7171" s="108" t="s">
        <v>2431</v>
      </c>
      <c r="G7171" s="110"/>
      <c r="H7171" s="108" t="s">
        <v>25458</v>
      </c>
      <c r="I7171" s="108"/>
    </row>
    <row r="7172" spans="1:9" ht="27.6">
      <c r="A7172" s="108" t="s">
        <v>15075</v>
      </c>
      <c r="B7172" s="108" t="s">
        <v>25760</v>
      </c>
      <c r="C7172" s="109">
        <v>44936</v>
      </c>
      <c r="D7172" s="108"/>
      <c r="E7172" s="108" t="s">
        <v>14605</v>
      </c>
      <c r="F7172" s="108" t="s">
        <v>2844</v>
      </c>
      <c r="G7172" s="110"/>
      <c r="H7172" s="108" t="s">
        <v>25458</v>
      </c>
      <c r="I7172" s="108"/>
    </row>
    <row r="7173" spans="1:9" ht="27.6">
      <c r="A7173" s="108" t="s">
        <v>15075</v>
      </c>
      <c r="B7173" s="108" t="s">
        <v>25761</v>
      </c>
      <c r="C7173" s="109">
        <v>44908</v>
      </c>
      <c r="D7173" s="108"/>
      <c r="E7173" s="108" t="s">
        <v>14605</v>
      </c>
      <c r="F7173" s="108" t="s">
        <v>3892</v>
      </c>
      <c r="G7173" s="110"/>
      <c r="H7173" s="108" t="s">
        <v>25458</v>
      </c>
      <c r="I7173" s="108"/>
    </row>
    <row r="7174" spans="1:9" ht="27.6">
      <c r="A7174" s="108" t="s">
        <v>15075</v>
      </c>
      <c r="B7174" s="108" t="s">
        <v>25762</v>
      </c>
      <c r="C7174" s="109">
        <v>44834</v>
      </c>
      <c r="D7174" s="108"/>
      <c r="E7174" s="108" t="s">
        <v>14605</v>
      </c>
      <c r="F7174" s="108" t="s">
        <v>584</v>
      </c>
      <c r="G7174" s="110"/>
      <c r="H7174" s="108" t="s">
        <v>25458</v>
      </c>
      <c r="I7174" s="108"/>
    </row>
    <row r="7175" spans="1:9" ht="27.6">
      <c r="A7175" s="108" t="s">
        <v>15075</v>
      </c>
      <c r="B7175" s="108" t="s">
        <v>25763</v>
      </c>
      <c r="C7175" s="109">
        <v>44838</v>
      </c>
      <c r="D7175" s="108"/>
      <c r="E7175" s="108" t="s">
        <v>14605</v>
      </c>
      <c r="F7175" s="108" t="s">
        <v>5145</v>
      </c>
      <c r="G7175" s="110"/>
      <c r="H7175" s="108" t="s">
        <v>25458</v>
      </c>
      <c r="I7175" s="108"/>
    </row>
    <row r="7176" spans="1:9" ht="27.6">
      <c r="A7176" s="108" t="s">
        <v>15075</v>
      </c>
      <c r="B7176" s="108" t="s">
        <v>25764</v>
      </c>
      <c r="C7176" s="109">
        <v>44798</v>
      </c>
      <c r="D7176" s="108"/>
      <c r="E7176" s="108" t="s">
        <v>14605</v>
      </c>
      <c r="F7176" s="108" t="s">
        <v>25765</v>
      </c>
      <c r="G7176" s="110"/>
      <c r="H7176" s="108" t="s">
        <v>25458</v>
      </c>
      <c r="I7176" s="108"/>
    </row>
    <row r="7177" spans="1:9" ht="27.6">
      <c r="A7177" s="108" t="s">
        <v>15075</v>
      </c>
      <c r="B7177" s="108" t="s">
        <v>25766</v>
      </c>
      <c r="C7177" s="109">
        <v>44755</v>
      </c>
      <c r="D7177" s="108"/>
      <c r="E7177" s="108" t="s">
        <v>14605</v>
      </c>
      <c r="F7177" s="108" t="s">
        <v>2248</v>
      </c>
      <c r="G7177" s="110"/>
      <c r="H7177" s="108" t="s">
        <v>25458</v>
      </c>
      <c r="I7177" s="108"/>
    </row>
    <row r="7178" spans="1:9" ht="27.6">
      <c r="A7178" s="108" t="s">
        <v>15075</v>
      </c>
      <c r="B7178" s="108" t="s">
        <v>25767</v>
      </c>
      <c r="C7178" s="109">
        <v>44768</v>
      </c>
      <c r="D7178" s="108"/>
      <c r="E7178" s="108" t="s">
        <v>14605</v>
      </c>
      <c r="F7178" s="108" t="s">
        <v>3330</v>
      </c>
      <c r="G7178" s="110"/>
      <c r="H7178" s="108" t="s">
        <v>25458</v>
      </c>
      <c r="I7178" s="108"/>
    </row>
    <row r="7179" spans="1:9" ht="27.6">
      <c r="A7179" s="108" t="s">
        <v>15075</v>
      </c>
      <c r="B7179" s="108" t="s">
        <v>25768</v>
      </c>
      <c r="C7179" s="109">
        <v>44869</v>
      </c>
      <c r="D7179" s="108"/>
      <c r="E7179" s="108" t="s">
        <v>14605</v>
      </c>
      <c r="F7179" s="108" t="s">
        <v>129</v>
      </c>
      <c r="G7179" s="110"/>
      <c r="H7179" s="108" t="s">
        <v>25458</v>
      </c>
      <c r="I7179" s="108"/>
    </row>
    <row r="7180" spans="1:9" ht="27.6">
      <c r="A7180" s="108" t="s">
        <v>15075</v>
      </c>
      <c r="B7180" s="108" t="s">
        <v>25769</v>
      </c>
      <c r="C7180" s="109">
        <v>44776</v>
      </c>
      <c r="D7180" s="108"/>
      <c r="E7180" s="108" t="s">
        <v>14605</v>
      </c>
      <c r="F7180" s="108" t="s">
        <v>3620</v>
      </c>
      <c r="G7180" s="110"/>
      <c r="H7180" s="108" t="s">
        <v>25458</v>
      </c>
      <c r="I7180" s="108"/>
    </row>
    <row r="7181" spans="1:9" ht="27.6">
      <c r="A7181" s="108" t="s">
        <v>15075</v>
      </c>
      <c r="B7181" s="108" t="s">
        <v>25770</v>
      </c>
      <c r="C7181" s="109">
        <v>44749</v>
      </c>
      <c r="D7181" s="108"/>
      <c r="E7181" s="108" t="s">
        <v>14605</v>
      </c>
      <c r="F7181" s="108" t="s">
        <v>2694</v>
      </c>
      <c r="G7181" s="110"/>
      <c r="H7181" s="108" t="s">
        <v>25458</v>
      </c>
      <c r="I7181" s="108"/>
    </row>
    <row r="7182" spans="1:9" ht="27.6">
      <c r="A7182" s="108" t="s">
        <v>15075</v>
      </c>
      <c r="B7182" s="108" t="s">
        <v>25771</v>
      </c>
      <c r="C7182" s="109">
        <v>44769</v>
      </c>
      <c r="D7182" s="108"/>
      <c r="E7182" s="108" t="s">
        <v>14605</v>
      </c>
      <c r="F7182" s="108" t="s">
        <v>1132</v>
      </c>
      <c r="G7182" s="110"/>
      <c r="H7182" s="108" t="s">
        <v>25458</v>
      </c>
      <c r="I7182" s="108"/>
    </row>
    <row r="7183" spans="1:9" ht="27.6">
      <c r="A7183" s="108" t="s">
        <v>15075</v>
      </c>
      <c r="B7183" s="108" t="s">
        <v>25772</v>
      </c>
      <c r="C7183" s="109">
        <v>44816</v>
      </c>
      <c r="D7183" s="108"/>
      <c r="E7183" s="108" t="s">
        <v>14605</v>
      </c>
      <c r="F7183" s="108" t="s">
        <v>2762</v>
      </c>
      <c r="G7183" s="110"/>
      <c r="H7183" s="108" t="s">
        <v>25558</v>
      </c>
      <c r="I7183" s="108"/>
    </row>
    <row r="7184" spans="1:9" ht="27.6">
      <c r="A7184" s="108" t="s">
        <v>15075</v>
      </c>
      <c r="B7184" s="108" t="s">
        <v>25773</v>
      </c>
      <c r="C7184" s="109">
        <v>44816</v>
      </c>
      <c r="D7184" s="108"/>
      <c r="E7184" s="108" t="s">
        <v>14605</v>
      </c>
      <c r="F7184" s="108" t="s">
        <v>691</v>
      </c>
      <c r="G7184" s="110"/>
      <c r="H7184" s="108" t="s">
        <v>25458</v>
      </c>
      <c r="I7184" s="108"/>
    </row>
    <row r="7185" spans="1:9" ht="27.6">
      <c r="A7185" s="108" t="s">
        <v>15075</v>
      </c>
      <c r="B7185" s="108" t="s">
        <v>25774</v>
      </c>
      <c r="C7185" s="109">
        <v>44816</v>
      </c>
      <c r="D7185" s="108"/>
      <c r="E7185" s="108" t="s">
        <v>14605</v>
      </c>
      <c r="F7185" s="108" t="s">
        <v>691</v>
      </c>
      <c r="G7185" s="110"/>
      <c r="H7185" s="108" t="s">
        <v>25458</v>
      </c>
      <c r="I7185" s="108"/>
    </row>
    <row r="7186" spans="1:9" ht="27.6">
      <c r="A7186" s="108" t="s">
        <v>15075</v>
      </c>
      <c r="B7186" s="108" t="s">
        <v>25775</v>
      </c>
      <c r="C7186" s="109">
        <v>44806</v>
      </c>
      <c r="D7186" s="108"/>
      <c r="E7186" s="108" t="s">
        <v>14605</v>
      </c>
      <c r="F7186" s="108" t="s">
        <v>4628</v>
      </c>
      <c r="G7186" s="110"/>
      <c r="H7186" s="108" t="s">
        <v>25458</v>
      </c>
      <c r="I7186" s="108"/>
    </row>
    <row r="7187" spans="1:9" ht="27.6">
      <c r="A7187" s="108" t="s">
        <v>15075</v>
      </c>
      <c r="B7187" s="108" t="s">
        <v>25776</v>
      </c>
      <c r="C7187" s="109">
        <v>44841</v>
      </c>
      <c r="D7187" s="108"/>
      <c r="E7187" s="108" t="s">
        <v>14605</v>
      </c>
      <c r="F7187" s="108" t="s">
        <v>25777</v>
      </c>
      <c r="G7187" s="110"/>
      <c r="H7187" s="108" t="s">
        <v>25458</v>
      </c>
      <c r="I7187" s="108"/>
    </row>
    <row r="7188" spans="1:9" ht="27.6">
      <c r="A7188" s="108" t="s">
        <v>15075</v>
      </c>
      <c r="B7188" s="108" t="s">
        <v>25778</v>
      </c>
      <c r="C7188" s="109">
        <v>44806</v>
      </c>
      <c r="D7188" s="108"/>
      <c r="E7188" s="108" t="s">
        <v>14605</v>
      </c>
      <c r="F7188" s="108" t="s">
        <v>14672</v>
      </c>
      <c r="G7188" s="110"/>
      <c r="H7188" s="108" t="s">
        <v>25458</v>
      </c>
      <c r="I7188" s="108"/>
    </row>
    <row r="7189" spans="1:9" ht="27.6">
      <c r="A7189" s="108" t="s">
        <v>15075</v>
      </c>
      <c r="B7189" s="108" t="s">
        <v>25779</v>
      </c>
      <c r="C7189" s="109">
        <v>44874</v>
      </c>
      <c r="D7189" s="108"/>
      <c r="E7189" s="108" t="s">
        <v>14605</v>
      </c>
      <c r="F7189" s="108" t="s">
        <v>2795</v>
      </c>
      <c r="G7189" s="110"/>
      <c r="H7189" s="108" t="s">
        <v>25458</v>
      </c>
      <c r="I7189" s="108"/>
    </row>
    <row r="7190" spans="1:9" ht="27.6">
      <c r="A7190" s="108" t="s">
        <v>15075</v>
      </c>
      <c r="B7190" s="108" t="s">
        <v>25780</v>
      </c>
      <c r="C7190" s="109">
        <v>44816</v>
      </c>
      <c r="D7190" s="108"/>
      <c r="E7190" s="108" t="s">
        <v>14605</v>
      </c>
      <c r="F7190" s="108" t="s">
        <v>484</v>
      </c>
      <c r="G7190" s="110"/>
      <c r="H7190" s="108" t="s">
        <v>25458</v>
      </c>
      <c r="I7190" s="108"/>
    </row>
    <row r="7191" spans="1:9" ht="27.6">
      <c r="A7191" s="108" t="s">
        <v>15075</v>
      </c>
      <c r="B7191" s="108" t="s">
        <v>25781</v>
      </c>
      <c r="C7191" s="109">
        <v>44831</v>
      </c>
      <c r="D7191" s="108"/>
      <c r="E7191" s="108" t="s">
        <v>14605</v>
      </c>
      <c r="F7191" s="108" t="s">
        <v>5145</v>
      </c>
      <c r="G7191" s="110"/>
      <c r="H7191" s="108" t="s">
        <v>25458</v>
      </c>
      <c r="I7191" s="108"/>
    </row>
    <row r="7192" spans="1:9" ht="27.6">
      <c r="A7192" s="108" t="s">
        <v>15075</v>
      </c>
      <c r="B7192" s="108" t="s">
        <v>25782</v>
      </c>
      <c r="C7192" s="109">
        <v>44830</v>
      </c>
      <c r="D7192" s="108"/>
      <c r="E7192" s="108" t="s">
        <v>14605</v>
      </c>
      <c r="F7192" s="108" t="s">
        <v>1519</v>
      </c>
      <c r="G7192" s="110"/>
      <c r="H7192" s="108" t="s">
        <v>25458</v>
      </c>
      <c r="I7192" s="108"/>
    </row>
    <row r="7193" spans="1:9" ht="27.6">
      <c r="A7193" s="108" t="s">
        <v>15075</v>
      </c>
      <c r="B7193" s="108" t="s">
        <v>25783</v>
      </c>
      <c r="C7193" s="109">
        <v>44837</v>
      </c>
      <c r="D7193" s="108"/>
      <c r="E7193" s="108" t="s">
        <v>14605</v>
      </c>
      <c r="F7193" s="108" t="s">
        <v>1441</v>
      </c>
      <c r="G7193" s="110"/>
      <c r="H7193" s="108" t="s">
        <v>25558</v>
      </c>
      <c r="I7193" s="108"/>
    </row>
    <row r="7194" spans="1:9" ht="27.6">
      <c r="A7194" s="108" t="s">
        <v>15075</v>
      </c>
      <c r="B7194" s="108" t="s">
        <v>25784</v>
      </c>
      <c r="C7194" s="109">
        <v>44820</v>
      </c>
      <c r="D7194" s="108"/>
      <c r="E7194" s="108" t="s">
        <v>14605</v>
      </c>
      <c r="F7194" s="108" t="s">
        <v>840</v>
      </c>
      <c r="G7194" s="110"/>
      <c r="H7194" s="108" t="s">
        <v>25458</v>
      </c>
      <c r="I7194" s="108"/>
    </row>
    <row r="7195" spans="1:9" ht="27.6">
      <c r="A7195" s="108" t="s">
        <v>15075</v>
      </c>
      <c r="B7195" s="108" t="s">
        <v>25785</v>
      </c>
      <c r="C7195" s="109">
        <v>44797</v>
      </c>
      <c r="D7195" s="108"/>
      <c r="E7195" s="108" t="s">
        <v>14605</v>
      </c>
      <c r="F7195" s="108" t="s">
        <v>1307</v>
      </c>
      <c r="G7195" s="110"/>
      <c r="H7195" s="108" t="s">
        <v>25458</v>
      </c>
      <c r="I7195" s="108"/>
    </row>
    <row r="7196" spans="1:9" ht="27.6">
      <c r="A7196" s="108" t="s">
        <v>15075</v>
      </c>
      <c r="B7196" s="108" t="s">
        <v>25786</v>
      </c>
      <c r="C7196" s="109">
        <v>44797</v>
      </c>
      <c r="D7196" s="108"/>
      <c r="E7196" s="108" t="s">
        <v>14605</v>
      </c>
      <c r="F7196" s="108" t="s">
        <v>4685</v>
      </c>
      <c r="G7196" s="110"/>
      <c r="H7196" s="108" t="s">
        <v>25458</v>
      </c>
      <c r="I7196" s="108"/>
    </row>
    <row r="7197" spans="1:9" ht="27.6">
      <c r="A7197" s="108" t="s">
        <v>15075</v>
      </c>
      <c r="B7197" s="108" t="s">
        <v>25787</v>
      </c>
      <c r="C7197" s="109">
        <v>44804</v>
      </c>
      <c r="D7197" s="108"/>
      <c r="E7197" s="108" t="s">
        <v>14605</v>
      </c>
      <c r="F7197" s="108" t="s">
        <v>3543</v>
      </c>
      <c r="G7197" s="110"/>
      <c r="H7197" s="108" t="s">
        <v>25458</v>
      </c>
      <c r="I7197" s="108"/>
    </row>
    <row r="7198" spans="1:9" ht="27.6">
      <c r="A7198" s="108" t="s">
        <v>15075</v>
      </c>
      <c r="B7198" s="108" t="s">
        <v>25788</v>
      </c>
      <c r="C7198" s="109">
        <v>44851</v>
      </c>
      <c r="D7198" s="108"/>
      <c r="E7198" s="108" t="s">
        <v>14605</v>
      </c>
      <c r="F7198" s="108" t="s">
        <v>4470</v>
      </c>
      <c r="G7198" s="110"/>
      <c r="H7198" s="108" t="s">
        <v>25458</v>
      </c>
      <c r="I7198" s="108"/>
    </row>
    <row r="7199" spans="1:9" ht="27.6">
      <c r="A7199" s="108" t="s">
        <v>15075</v>
      </c>
      <c r="B7199" s="108" t="s">
        <v>25789</v>
      </c>
      <c r="C7199" s="109">
        <v>44837</v>
      </c>
      <c r="D7199" s="108"/>
      <c r="E7199" s="108" t="s">
        <v>14605</v>
      </c>
      <c r="F7199" s="108" t="s">
        <v>691</v>
      </c>
      <c r="G7199" s="110"/>
      <c r="H7199" s="108" t="s">
        <v>25458</v>
      </c>
      <c r="I7199" s="108"/>
    </row>
    <row r="7200" spans="1:9" ht="27.6">
      <c r="A7200" s="108" t="s">
        <v>15075</v>
      </c>
      <c r="B7200" s="108" t="s">
        <v>25790</v>
      </c>
      <c r="C7200" s="109">
        <v>44939</v>
      </c>
      <c r="D7200" s="108"/>
      <c r="E7200" s="108" t="s">
        <v>14605</v>
      </c>
      <c r="F7200" s="108" t="s">
        <v>3167</v>
      </c>
      <c r="G7200" s="110"/>
      <c r="H7200" s="108" t="s">
        <v>25458</v>
      </c>
      <c r="I7200" s="108"/>
    </row>
    <row r="7201" spans="1:9" ht="27.6">
      <c r="A7201" s="108" t="s">
        <v>15075</v>
      </c>
      <c r="B7201" s="108" t="s">
        <v>25791</v>
      </c>
      <c r="C7201" s="109">
        <v>44805</v>
      </c>
      <c r="D7201" s="108"/>
      <c r="E7201" s="108" t="s">
        <v>14605</v>
      </c>
      <c r="F7201" s="108" t="s">
        <v>706</v>
      </c>
      <c r="G7201" s="110"/>
      <c r="H7201" s="108" t="s">
        <v>25458</v>
      </c>
      <c r="I7201" s="108"/>
    </row>
    <row r="7202" spans="1:9" ht="27.6">
      <c r="A7202" s="108" t="s">
        <v>15075</v>
      </c>
      <c r="B7202" s="108" t="s">
        <v>25792</v>
      </c>
      <c r="C7202" s="109">
        <v>44817</v>
      </c>
      <c r="D7202" s="108"/>
      <c r="E7202" s="108" t="s">
        <v>14605</v>
      </c>
      <c r="F7202" s="108" t="s">
        <v>1273</v>
      </c>
      <c r="G7202" s="110"/>
      <c r="H7202" s="108" t="s">
        <v>25458</v>
      </c>
      <c r="I7202" s="108"/>
    </row>
    <row r="7203" spans="1:9" ht="27.6">
      <c r="A7203" s="108" t="s">
        <v>15075</v>
      </c>
      <c r="B7203" s="108" t="s">
        <v>25793</v>
      </c>
      <c r="C7203" s="109">
        <v>44818</v>
      </c>
      <c r="D7203" s="108"/>
      <c r="E7203" s="108" t="s">
        <v>14605</v>
      </c>
      <c r="F7203" s="108" t="s">
        <v>25794</v>
      </c>
      <c r="G7203" s="110"/>
      <c r="H7203" s="108" t="s">
        <v>25458</v>
      </c>
      <c r="I7203" s="108"/>
    </row>
    <row r="7204" spans="1:9" ht="27.6">
      <c r="A7204" s="108" t="s">
        <v>15075</v>
      </c>
      <c r="B7204" s="108" t="s">
        <v>25795</v>
      </c>
      <c r="C7204" s="109">
        <v>44812</v>
      </c>
      <c r="D7204" s="108"/>
      <c r="E7204" s="108" t="s">
        <v>14605</v>
      </c>
      <c r="F7204" s="108" t="s">
        <v>5288</v>
      </c>
      <c r="G7204" s="110"/>
      <c r="H7204" s="108" t="s">
        <v>25458</v>
      </c>
      <c r="I7204" s="108"/>
    </row>
    <row r="7205" spans="1:9" ht="27.6">
      <c r="A7205" s="108" t="s">
        <v>15075</v>
      </c>
      <c r="B7205" s="108" t="s">
        <v>25796</v>
      </c>
      <c r="C7205" s="109">
        <v>44819</v>
      </c>
      <c r="D7205" s="108"/>
      <c r="E7205" s="108" t="s">
        <v>14605</v>
      </c>
      <c r="F7205" s="108" t="s">
        <v>15535</v>
      </c>
      <c r="G7205" s="110"/>
      <c r="H7205" s="108" t="s">
        <v>25558</v>
      </c>
      <c r="I7205" s="108"/>
    </row>
    <row r="7206" spans="1:9" ht="27.6">
      <c r="A7206" s="108" t="s">
        <v>15075</v>
      </c>
      <c r="B7206" s="108" t="s">
        <v>25797</v>
      </c>
      <c r="C7206" s="109">
        <v>44818</v>
      </c>
      <c r="D7206" s="108"/>
      <c r="E7206" s="108" t="s">
        <v>14605</v>
      </c>
      <c r="F7206" s="108" t="s">
        <v>4319</v>
      </c>
      <c r="G7206" s="110"/>
      <c r="H7206" s="108" t="s">
        <v>25458</v>
      </c>
      <c r="I7206" s="108"/>
    </row>
    <row r="7207" spans="1:9" ht="27.6">
      <c r="A7207" s="108" t="s">
        <v>15075</v>
      </c>
      <c r="B7207" s="108" t="s">
        <v>25798</v>
      </c>
      <c r="C7207" s="109">
        <v>44868</v>
      </c>
      <c r="D7207" s="108"/>
      <c r="E7207" s="108" t="s">
        <v>14605</v>
      </c>
      <c r="F7207" s="108" t="s">
        <v>252</v>
      </c>
      <c r="G7207" s="110"/>
      <c r="H7207" s="108" t="s">
        <v>25458</v>
      </c>
      <c r="I7207" s="108"/>
    </row>
    <row r="7208" spans="1:9" ht="27.6">
      <c r="A7208" s="108" t="s">
        <v>15075</v>
      </c>
      <c r="B7208" s="108" t="s">
        <v>25799</v>
      </c>
      <c r="C7208" s="109">
        <v>44859</v>
      </c>
      <c r="D7208" s="108"/>
      <c r="E7208" s="108" t="s">
        <v>14605</v>
      </c>
      <c r="F7208" s="108" t="s">
        <v>4898</v>
      </c>
      <c r="G7208" s="110"/>
      <c r="H7208" s="108" t="s">
        <v>25458</v>
      </c>
      <c r="I7208" s="108"/>
    </row>
    <row r="7209" spans="1:9" ht="27.6">
      <c r="A7209" s="108" t="s">
        <v>15075</v>
      </c>
      <c r="B7209" s="108" t="s">
        <v>25800</v>
      </c>
      <c r="C7209" s="109">
        <v>44817</v>
      </c>
      <c r="D7209" s="108"/>
      <c r="E7209" s="108" t="s">
        <v>14605</v>
      </c>
      <c r="F7209" s="108" t="s">
        <v>4813</v>
      </c>
      <c r="G7209" s="110"/>
      <c r="H7209" s="108" t="s">
        <v>25458</v>
      </c>
      <c r="I7209" s="108"/>
    </row>
    <row r="7210" spans="1:9" ht="27.6">
      <c r="A7210" s="108" t="s">
        <v>15075</v>
      </c>
      <c r="B7210" s="108" t="s">
        <v>25801</v>
      </c>
      <c r="C7210" s="109">
        <v>44844</v>
      </c>
      <c r="D7210" s="108"/>
      <c r="E7210" s="108" t="s">
        <v>14605</v>
      </c>
      <c r="F7210" s="108" t="s">
        <v>532</v>
      </c>
      <c r="G7210" s="110"/>
      <c r="H7210" s="108" t="s">
        <v>25458</v>
      </c>
      <c r="I7210" s="108"/>
    </row>
    <row r="7211" spans="1:9" ht="27.6">
      <c r="A7211" s="108" t="s">
        <v>15075</v>
      </c>
      <c r="B7211" s="108" t="s">
        <v>25802</v>
      </c>
      <c r="C7211" s="109">
        <v>44880</v>
      </c>
      <c r="D7211" s="108"/>
      <c r="E7211" s="108" t="s">
        <v>14605</v>
      </c>
      <c r="F7211" s="108" t="s">
        <v>714</v>
      </c>
      <c r="G7211" s="110"/>
      <c r="H7211" s="108" t="s">
        <v>25458</v>
      </c>
      <c r="I7211" s="108"/>
    </row>
    <row r="7212" spans="1:9" ht="27.6">
      <c r="A7212" s="108" t="s">
        <v>15075</v>
      </c>
      <c r="B7212" s="108" t="s">
        <v>25803</v>
      </c>
      <c r="C7212" s="109">
        <v>44848</v>
      </c>
      <c r="D7212" s="108"/>
      <c r="E7212" s="108" t="s">
        <v>14605</v>
      </c>
      <c r="F7212" s="108" t="s">
        <v>3794</v>
      </c>
      <c r="G7212" s="110"/>
      <c r="H7212" s="108" t="s">
        <v>25458</v>
      </c>
      <c r="I7212" s="108"/>
    </row>
    <row r="7213" spans="1:9" ht="27.6">
      <c r="A7213" s="108" t="s">
        <v>15075</v>
      </c>
      <c r="B7213" s="108" t="s">
        <v>25804</v>
      </c>
      <c r="C7213" s="109">
        <v>44880</v>
      </c>
      <c r="D7213" s="108"/>
      <c r="E7213" s="108" t="s">
        <v>14605</v>
      </c>
      <c r="F7213" s="108" t="s">
        <v>1397</v>
      </c>
      <c r="G7213" s="110"/>
      <c r="H7213" s="108" t="s">
        <v>25458</v>
      </c>
      <c r="I7213" s="108"/>
    </row>
    <row r="7214" spans="1:9" ht="27.6">
      <c r="A7214" s="108" t="s">
        <v>15075</v>
      </c>
      <c r="B7214" s="108" t="s">
        <v>25805</v>
      </c>
      <c r="C7214" s="109">
        <v>44868</v>
      </c>
      <c r="D7214" s="108"/>
      <c r="E7214" s="108" t="s">
        <v>14605</v>
      </c>
      <c r="F7214" s="108" t="s">
        <v>3162</v>
      </c>
      <c r="G7214" s="110"/>
      <c r="H7214" s="108" t="s">
        <v>25558</v>
      </c>
      <c r="I7214" s="108"/>
    </row>
    <row r="7215" spans="1:9" ht="27.6">
      <c r="A7215" s="108" t="s">
        <v>15075</v>
      </c>
      <c r="B7215" s="108" t="s">
        <v>25806</v>
      </c>
      <c r="C7215" s="109">
        <v>45366</v>
      </c>
      <c r="D7215" s="108"/>
      <c r="E7215" s="108" t="s">
        <v>14605</v>
      </c>
      <c r="F7215" s="108" t="s">
        <v>3104</v>
      </c>
      <c r="G7215" s="110"/>
      <c r="H7215" s="108" t="s">
        <v>25558</v>
      </c>
      <c r="I7215" s="108"/>
    </row>
    <row r="7216" spans="1:9" ht="27.6">
      <c r="A7216" s="108" t="s">
        <v>15075</v>
      </c>
      <c r="B7216" s="108" t="s">
        <v>25807</v>
      </c>
      <c r="C7216" s="109">
        <v>44852</v>
      </c>
      <c r="D7216" s="108"/>
      <c r="E7216" s="108" t="s">
        <v>14605</v>
      </c>
      <c r="F7216" s="108" t="s">
        <v>2425</v>
      </c>
      <c r="G7216" s="110"/>
      <c r="H7216" s="108" t="s">
        <v>25458</v>
      </c>
      <c r="I7216" s="108"/>
    </row>
    <row r="7217" spans="1:9" ht="27.6">
      <c r="A7217" s="108" t="s">
        <v>15075</v>
      </c>
      <c r="B7217" s="108" t="s">
        <v>25808</v>
      </c>
      <c r="C7217" s="109">
        <v>44860</v>
      </c>
      <c r="D7217" s="108"/>
      <c r="E7217" s="108" t="s">
        <v>14605</v>
      </c>
      <c r="F7217" s="108" t="s">
        <v>1179</v>
      </c>
      <c r="G7217" s="110"/>
      <c r="H7217" s="108" t="s">
        <v>25458</v>
      </c>
      <c r="I7217" s="108"/>
    </row>
    <row r="7218" spans="1:9" ht="27.6">
      <c r="A7218" s="108" t="s">
        <v>15075</v>
      </c>
      <c r="B7218" s="108" t="s">
        <v>25809</v>
      </c>
      <c r="C7218" s="109">
        <v>44859</v>
      </c>
      <c r="D7218" s="108"/>
      <c r="E7218" s="108" t="s">
        <v>14605</v>
      </c>
      <c r="F7218" s="108" t="s">
        <v>4448</v>
      </c>
      <c r="G7218" s="110"/>
      <c r="H7218" s="108" t="s">
        <v>25458</v>
      </c>
      <c r="I7218" s="108"/>
    </row>
    <row r="7219" spans="1:9" ht="27.6">
      <c r="A7219" s="108" t="s">
        <v>15075</v>
      </c>
      <c r="B7219" s="108" t="s">
        <v>25810</v>
      </c>
      <c r="C7219" s="109">
        <v>45201</v>
      </c>
      <c r="D7219" s="108"/>
      <c r="E7219" s="108" t="s">
        <v>14605</v>
      </c>
      <c r="F7219" s="108" t="s">
        <v>4947</v>
      </c>
      <c r="G7219" s="110"/>
      <c r="H7219" s="108" t="s">
        <v>25458</v>
      </c>
      <c r="I7219" s="108"/>
    </row>
    <row r="7220" spans="1:9" ht="27.6">
      <c r="A7220" s="108" t="s">
        <v>15075</v>
      </c>
      <c r="B7220" s="108" t="s">
        <v>25811</v>
      </c>
      <c r="C7220" s="109">
        <v>44862</v>
      </c>
      <c r="D7220" s="108"/>
      <c r="E7220" s="108" t="s">
        <v>14605</v>
      </c>
      <c r="F7220" s="108" t="s">
        <v>473</v>
      </c>
      <c r="G7220" s="110"/>
      <c r="H7220" s="108" t="s">
        <v>25458</v>
      </c>
      <c r="I7220" s="108"/>
    </row>
    <row r="7221" spans="1:9" ht="27.6">
      <c r="A7221" s="108" t="s">
        <v>15075</v>
      </c>
      <c r="B7221" s="108" t="s">
        <v>25812</v>
      </c>
      <c r="C7221" s="109">
        <v>46099</v>
      </c>
      <c r="D7221" s="108"/>
      <c r="E7221" s="108" t="s">
        <v>14605</v>
      </c>
      <c r="F7221" s="108" t="s">
        <v>3033</v>
      </c>
      <c r="G7221" s="110"/>
      <c r="H7221" s="108" t="s">
        <v>25458</v>
      </c>
      <c r="I7221" s="108"/>
    </row>
    <row r="7222" spans="1:9" ht="27.6">
      <c r="A7222" s="108" t="s">
        <v>15075</v>
      </c>
      <c r="B7222" s="108" t="s">
        <v>25813</v>
      </c>
      <c r="C7222" s="109">
        <v>44873</v>
      </c>
      <c r="D7222" s="108"/>
      <c r="E7222" s="108" t="s">
        <v>14605</v>
      </c>
      <c r="F7222" s="108" t="s">
        <v>1830</v>
      </c>
      <c r="G7222" s="110"/>
      <c r="H7222" s="108" t="s">
        <v>25458</v>
      </c>
      <c r="I7222" s="108"/>
    </row>
    <row r="7223" spans="1:9" ht="27.6">
      <c r="A7223" s="108" t="s">
        <v>15075</v>
      </c>
      <c r="B7223" s="108" t="s">
        <v>25814</v>
      </c>
      <c r="C7223" s="109">
        <v>44867</v>
      </c>
      <c r="D7223" s="108"/>
      <c r="E7223" s="108" t="s">
        <v>14605</v>
      </c>
      <c r="F7223" s="108" t="s">
        <v>4546</v>
      </c>
      <c r="G7223" s="110"/>
      <c r="H7223" s="108" t="s">
        <v>25458</v>
      </c>
      <c r="I7223" s="108"/>
    </row>
    <row r="7224" spans="1:9" ht="27.6">
      <c r="A7224" s="108" t="s">
        <v>15075</v>
      </c>
      <c r="B7224" s="108" t="s">
        <v>25815</v>
      </c>
      <c r="C7224" s="109">
        <v>44883</v>
      </c>
      <c r="D7224" s="108"/>
      <c r="E7224" s="108" t="s">
        <v>14605</v>
      </c>
      <c r="F7224" s="108" t="s">
        <v>1907</v>
      </c>
      <c r="G7224" s="110"/>
      <c r="H7224" s="108" t="s">
        <v>25458</v>
      </c>
      <c r="I7224" s="108"/>
    </row>
    <row r="7225" spans="1:9" ht="27.6">
      <c r="A7225" s="108" t="s">
        <v>15075</v>
      </c>
      <c r="B7225" s="108" t="s">
        <v>25816</v>
      </c>
      <c r="C7225" s="109">
        <v>44881</v>
      </c>
      <c r="D7225" s="108"/>
      <c r="E7225" s="108" t="s">
        <v>14605</v>
      </c>
      <c r="F7225" s="108" t="s">
        <v>2725</v>
      </c>
      <c r="G7225" s="110"/>
      <c r="H7225" s="108" t="s">
        <v>25458</v>
      </c>
      <c r="I7225" s="108"/>
    </row>
    <row r="7226" spans="1:9" ht="27.6">
      <c r="A7226" s="108" t="s">
        <v>15075</v>
      </c>
      <c r="B7226" s="108" t="s">
        <v>25817</v>
      </c>
      <c r="C7226" s="109">
        <v>44881</v>
      </c>
      <c r="D7226" s="108"/>
      <c r="E7226" s="108" t="s">
        <v>14605</v>
      </c>
      <c r="F7226" s="108" t="s">
        <v>2725</v>
      </c>
      <c r="G7226" s="110"/>
      <c r="H7226" s="108" t="s">
        <v>25458</v>
      </c>
      <c r="I7226" s="108"/>
    </row>
    <row r="7227" spans="1:9" ht="27.6">
      <c r="A7227" s="108" t="s">
        <v>15075</v>
      </c>
      <c r="B7227" s="108" t="s">
        <v>25818</v>
      </c>
      <c r="C7227" s="109">
        <v>45132</v>
      </c>
      <c r="D7227" s="108"/>
      <c r="E7227" s="108" t="s">
        <v>14605</v>
      </c>
      <c r="F7227" s="108" t="s">
        <v>682</v>
      </c>
      <c r="G7227" s="110"/>
      <c r="H7227" s="108" t="s">
        <v>25458</v>
      </c>
      <c r="I7227" s="108"/>
    </row>
    <row r="7228" spans="1:9" ht="27.6">
      <c r="A7228" s="108" t="s">
        <v>15075</v>
      </c>
      <c r="B7228" s="108" t="s">
        <v>25819</v>
      </c>
      <c r="C7228" s="109">
        <v>44880</v>
      </c>
      <c r="D7228" s="108"/>
      <c r="E7228" s="108" t="s">
        <v>14605</v>
      </c>
      <c r="F7228" s="108" t="s">
        <v>1803</v>
      </c>
      <c r="G7228" s="110"/>
      <c r="H7228" s="108" t="s">
        <v>25458</v>
      </c>
      <c r="I7228" s="108"/>
    </row>
    <row r="7229" spans="1:9" ht="27.6">
      <c r="A7229" s="108" t="s">
        <v>15075</v>
      </c>
      <c r="B7229" s="108" t="s">
        <v>25820</v>
      </c>
      <c r="C7229" s="109">
        <v>44872</v>
      </c>
      <c r="D7229" s="108"/>
      <c r="E7229" s="108" t="s">
        <v>14605</v>
      </c>
      <c r="F7229" s="108" t="s">
        <v>2795</v>
      </c>
      <c r="G7229" s="110"/>
      <c r="H7229" s="108" t="s">
        <v>25458</v>
      </c>
      <c r="I7229" s="108"/>
    </row>
    <row r="7230" spans="1:9" ht="27.6">
      <c r="A7230" s="108" t="s">
        <v>15075</v>
      </c>
      <c r="B7230" s="108" t="s">
        <v>25821</v>
      </c>
      <c r="C7230" s="109">
        <v>44915</v>
      </c>
      <c r="D7230" s="108"/>
      <c r="E7230" s="108" t="s">
        <v>14605</v>
      </c>
      <c r="F7230" s="108" t="s">
        <v>3033</v>
      </c>
      <c r="G7230" s="110"/>
      <c r="H7230" s="108" t="s">
        <v>25458</v>
      </c>
      <c r="I7230" s="108"/>
    </row>
    <row r="7231" spans="1:9" ht="27.6">
      <c r="A7231" s="108" t="s">
        <v>15075</v>
      </c>
      <c r="B7231" s="108" t="s">
        <v>25822</v>
      </c>
      <c r="C7231" s="109">
        <v>44960</v>
      </c>
      <c r="D7231" s="108"/>
      <c r="E7231" s="108" t="s">
        <v>14605</v>
      </c>
      <c r="F7231" s="108" t="s">
        <v>14664</v>
      </c>
      <c r="G7231" s="110"/>
      <c r="H7231" s="108" t="s">
        <v>25458</v>
      </c>
      <c r="I7231" s="108"/>
    </row>
    <row r="7232" spans="1:9" ht="27.6">
      <c r="A7232" s="108" t="s">
        <v>15075</v>
      </c>
      <c r="B7232" s="108" t="s">
        <v>25823</v>
      </c>
      <c r="C7232" s="109">
        <v>44960</v>
      </c>
      <c r="D7232" s="108"/>
      <c r="E7232" s="108" t="s">
        <v>14605</v>
      </c>
      <c r="F7232" s="108" t="s">
        <v>14664</v>
      </c>
      <c r="G7232" s="110"/>
      <c r="H7232" s="108" t="s">
        <v>25458</v>
      </c>
      <c r="I7232" s="108"/>
    </row>
    <row r="7233" spans="1:9" ht="27.6">
      <c r="A7233" s="108" t="s">
        <v>15075</v>
      </c>
      <c r="B7233" s="108" t="s">
        <v>25824</v>
      </c>
      <c r="C7233" s="109">
        <v>44902</v>
      </c>
      <c r="D7233" s="108"/>
      <c r="E7233" s="108" t="s">
        <v>14605</v>
      </c>
      <c r="F7233" s="108" t="s">
        <v>25667</v>
      </c>
      <c r="G7233" s="110"/>
      <c r="H7233" s="108" t="s">
        <v>25458</v>
      </c>
      <c r="I7233" s="108"/>
    </row>
    <row r="7234" spans="1:9" ht="27.6">
      <c r="A7234" s="108" t="s">
        <v>15075</v>
      </c>
      <c r="B7234" s="108" t="s">
        <v>25825</v>
      </c>
      <c r="C7234" s="109">
        <v>44888</v>
      </c>
      <c r="D7234" s="108"/>
      <c r="E7234" s="108" t="s">
        <v>14605</v>
      </c>
      <c r="F7234" s="108" t="s">
        <v>910</v>
      </c>
      <c r="G7234" s="110"/>
      <c r="H7234" s="108" t="s">
        <v>25458</v>
      </c>
      <c r="I7234" s="108"/>
    </row>
    <row r="7235" spans="1:9" ht="27.6">
      <c r="A7235" s="108" t="s">
        <v>15075</v>
      </c>
      <c r="B7235" s="108" t="s">
        <v>25826</v>
      </c>
      <c r="C7235" s="109">
        <v>44895</v>
      </c>
      <c r="D7235" s="108"/>
      <c r="E7235" s="108" t="s">
        <v>14605</v>
      </c>
      <c r="F7235" s="108" t="s">
        <v>5227</v>
      </c>
      <c r="G7235" s="110"/>
      <c r="H7235" s="108" t="s">
        <v>25458</v>
      </c>
      <c r="I7235" s="108"/>
    </row>
    <row r="7236" spans="1:9" ht="27.6">
      <c r="A7236" s="108" t="s">
        <v>15075</v>
      </c>
      <c r="B7236" s="108" t="s">
        <v>25827</v>
      </c>
      <c r="C7236" s="109">
        <v>44896</v>
      </c>
      <c r="D7236" s="108"/>
      <c r="E7236" s="108" t="s">
        <v>14605</v>
      </c>
      <c r="F7236" s="108" t="s">
        <v>16674</v>
      </c>
      <c r="G7236" s="110"/>
      <c r="H7236" s="108" t="s">
        <v>25458</v>
      </c>
      <c r="I7236" s="108"/>
    </row>
    <row r="7237" spans="1:9" ht="27.6">
      <c r="A7237" s="108" t="s">
        <v>15075</v>
      </c>
      <c r="B7237" s="108" t="s">
        <v>25828</v>
      </c>
      <c r="C7237" s="109">
        <v>44910</v>
      </c>
      <c r="D7237" s="108"/>
      <c r="E7237" s="108" t="s">
        <v>14605</v>
      </c>
      <c r="F7237" s="108" t="s">
        <v>2516</v>
      </c>
      <c r="G7237" s="110"/>
      <c r="H7237" s="108" t="s">
        <v>25458</v>
      </c>
      <c r="I7237" s="108"/>
    </row>
    <row r="7238" spans="1:9" ht="27.6">
      <c r="A7238" s="108" t="s">
        <v>15075</v>
      </c>
      <c r="B7238" s="108" t="s">
        <v>25829</v>
      </c>
      <c r="C7238" s="109">
        <v>44895</v>
      </c>
      <c r="D7238" s="108"/>
      <c r="E7238" s="108" t="s">
        <v>14605</v>
      </c>
      <c r="F7238" s="108" t="s">
        <v>5145</v>
      </c>
      <c r="G7238" s="110"/>
      <c r="H7238" s="108" t="s">
        <v>25458</v>
      </c>
      <c r="I7238" s="108"/>
    </row>
    <row r="7239" spans="1:9" ht="27.6">
      <c r="A7239" s="108" t="s">
        <v>15075</v>
      </c>
      <c r="B7239" s="108" t="s">
        <v>25830</v>
      </c>
      <c r="C7239" s="109">
        <v>44930</v>
      </c>
      <c r="D7239" s="108"/>
      <c r="E7239" s="108" t="s">
        <v>14605</v>
      </c>
      <c r="F7239" s="108" t="s">
        <v>801</v>
      </c>
      <c r="G7239" s="110"/>
      <c r="H7239" s="108" t="s">
        <v>25458</v>
      </c>
      <c r="I7239" s="108"/>
    </row>
    <row r="7240" spans="1:9" ht="27.6">
      <c r="A7240" s="108" t="s">
        <v>15075</v>
      </c>
      <c r="B7240" s="108" t="s">
        <v>25831</v>
      </c>
      <c r="C7240" s="109">
        <v>44910</v>
      </c>
      <c r="D7240" s="108"/>
      <c r="E7240" s="108" t="s">
        <v>14605</v>
      </c>
      <c r="F7240" s="108" t="s">
        <v>3603</v>
      </c>
      <c r="G7240" s="110"/>
      <c r="H7240" s="108" t="s">
        <v>25458</v>
      </c>
      <c r="I7240" s="108"/>
    </row>
    <row r="7241" spans="1:9" ht="27.6">
      <c r="A7241" s="108" t="s">
        <v>15075</v>
      </c>
      <c r="B7241" s="108" t="s">
        <v>25832</v>
      </c>
      <c r="C7241" s="109">
        <v>44917</v>
      </c>
      <c r="D7241" s="108"/>
      <c r="E7241" s="108" t="s">
        <v>14605</v>
      </c>
      <c r="F7241" s="108" t="s">
        <v>2347</v>
      </c>
      <c r="G7241" s="110"/>
      <c r="H7241" s="108" t="s">
        <v>25458</v>
      </c>
      <c r="I7241" s="108"/>
    </row>
    <row r="7242" spans="1:9" ht="27.6">
      <c r="A7242" s="108" t="s">
        <v>15075</v>
      </c>
      <c r="B7242" s="108" t="s">
        <v>25833</v>
      </c>
      <c r="C7242" s="109">
        <v>44908</v>
      </c>
      <c r="D7242" s="108"/>
      <c r="E7242" s="108" t="s">
        <v>14605</v>
      </c>
      <c r="F7242" s="108" t="s">
        <v>2694</v>
      </c>
      <c r="G7242" s="110"/>
      <c r="H7242" s="108" t="s">
        <v>25458</v>
      </c>
      <c r="I7242" s="108"/>
    </row>
    <row r="7243" spans="1:9" ht="27.6">
      <c r="A7243" s="108" t="s">
        <v>15075</v>
      </c>
      <c r="B7243" s="108" t="s">
        <v>25834</v>
      </c>
      <c r="C7243" s="109">
        <v>44910</v>
      </c>
      <c r="D7243" s="108"/>
      <c r="E7243" s="108" t="s">
        <v>14605</v>
      </c>
      <c r="F7243" s="108" t="s">
        <v>2342</v>
      </c>
      <c r="G7243" s="110"/>
      <c r="H7243" s="108" t="s">
        <v>25458</v>
      </c>
      <c r="I7243" s="108"/>
    </row>
    <row r="7244" spans="1:9" ht="27.6">
      <c r="A7244" s="108" t="s">
        <v>15075</v>
      </c>
      <c r="B7244" s="108" t="s">
        <v>25835</v>
      </c>
      <c r="C7244" s="109">
        <v>44902</v>
      </c>
      <c r="D7244" s="108"/>
      <c r="E7244" s="108" t="s">
        <v>14605</v>
      </c>
      <c r="F7244" s="108" t="s">
        <v>1800</v>
      </c>
      <c r="G7244" s="110"/>
      <c r="H7244" s="108" t="s">
        <v>25458</v>
      </c>
      <c r="I7244" s="108"/>
    </row>
    <row r="7245" spans="1:9" ht="27.6">
      <c r="A7245" s="108" t="s">
        <v>8278</v>
      </c>
      <c r="B7245" s="108" t="s">
        <v>25836</v>
      </c>
      <c r="C7245" s="109">
        <v>45392</v>
      </c>
      <c r="D7245" s="108"/>
      <c r="E7245" s="108" t="s">
        <v>14605</v>
      </c>
      <c r="F7245" s="108" t="s">
        <v>5145</v>
      </c>
      <c r="G7245" s="110"/>
      <c r="H7245" s="108" t="s">
        <v>25458</v>
      </c>
      <c r="I7245" s="108"/>
    </row>
    <row r="7246" spans="1:9" ht="27.6">
      <c r="A7246" s="108" t="s">
        <v>15075</v>
      </c>
      <c r="B7246" s="108" t="s">
        <v>25837</v>
      </c>
      <c r="C7246" s="109">
        <v>44931</v>
      </c>
      <c r="D7246" s="108"/>
      <c r="E7246" s="108" t="s">
        <v>14605</v>
      </c>
      <c r="F7246" s="108" t="s">
        <v>3056</v>
      </c>
      <c r="G7246" s="110"/>
      <c r="H7246" s="108" t="s">
        <v>25458</v>
      </c>
      <c r="I7246" s="108"/>
    </row>
    <row r="7247" spans="1:9" ht="27.6">
      <c r="A7247" s="108" t="s">
        <v>15075</v>
      </c>
      <c r="B7247" s="108" t="s">
        <v>25838</v>
      </c>
      <c r="C7247" s="109">
        <v>44923</v>
      </c>
      <c r="D7247" s="108"/>
      <c r="E7247" s="108" t="s">
        <v>14605</v>
      </c>
      <c r="F7247" s="108" t="s">
        <v>25839</v>
      </c>
      <c r="G7247" s="110"/>
      <c r="H7247" s="108" t="s">
        <v>25458</v>
      </c>
      <c r="I7247" s="108"/>
    </row>
    <row r="7248" spans="1:9" ht="27.6">
      <c r="A7248" s="108" t="s">
        <v>15075</v>
      </c>
      <c r="B7248" s="108" t="s">
        <v>25840</v>
      </c>
      <c r="C7248" s="109">
        <v>44931</v>
      </c>
      <c r="D7248" s="108"/>
      <c r="E7248" s="108" t="s">
        <v>14605</v>
      </c>
      <c r="F7248" s="108" t="s">
        <v>3687</v>
      </c>
      <c r="G7248" s="110"/>
      <c r="H7248" s="108" t="s">
        <v>25458</v>
      </c>
      <c r="I7248" s="108"/>
    </row>
    <row r="7249" spans="1:9" ht="27.6">
      <c r="A7249" s="108" t="s">
        <v>15075</v>
      </c>
      <c r="B7249" s="108" t="s">
        <v>25841</v>
      </c>
      <c r="C7249" s="109">
        <v>44931</v>
      </c>
      <c r="D7249" s="108"/>
      <c r="E7249" s="108" t="s">
        <v>14605</v>
      </c>
      <c r="F7249" s="108" t="s">
        <v>3687</v>
      </c>
      <c r="G7249" s="110"/>
      <c r="H7249" s="108" t="s">
        <v>25458</v>
      </c>
      <c r="I7249" s="108"/>
    </row>
    <row r="7250" spans="1:9" ht="27.6">
      <c r="A7250" s="108" t="s">
        <v>15075</v>
      </c>
      <c r="B7250" s="108" t="s">
        <v>25842</v>
      </c>
      <c r="C7250" s="109">
        <v>44931</v>
      </c>
      <c r="D7250" s="108"/>
      <c r="E7250" s="108" t="s">
        <v>14605</v>
      </c>
      <c r="F7250" s="108" t="s">
        <v>3687</v>
      </c>
      <c r="G7250" s="110"/>
      <c r="H7250" s="108" t="s">
        <v>25458</v>
      </c>
      <c r="I7250" s="108"/>
    </row>
    <row r="7251" spans="1:9" ht="27.6">
      <c r="A7251" s="108" t="s">
        <v>15075</v>
      </c>
      <c r="B7251" s="108" t="s">
        <v>25843</v>
      </c>
      <c r="C7251" s="109">
        <v>44939</v>
      </c>
      <c r="D7251" s="108"/>
      <c r="E7251" s="108" t="s">
        <v>14605</v>
      </c>
      <c r="F7251" s="108" t="s">
        <v>2347</v>
      </c>
      <c r="G7251" s="110"/>
      <c r="H7251" s="108" t="s">
        <v>25458</v>
      </c>
      <c r="I7251" s="108"/>
    </row>
    <row r="7252" spans="1:9" ht="27.6">
      <c r="A7252" s="108" t="s">
        <v>15075</v>
      </c>
      <c r="B7252" s="108" t="s">
        <v>25844</v>
      </c>
      <c r="C7252" s="109">
        <v>44951</v>
      </c>
      <c r="D7252" s="108"/>
      <c r="E7252" s="108" t="s">
        <v>14605</v>
      </c>
      <c r="F7252" s="108" t="s">
        <v>2347</v>
      </c>
      <c r="G7252" s="110"/>
      <c r="H7252" s="108" t="s">
        <v>25458</v>
      </c>
      <c r="I7252" s="108"/>
    </row>
    <row r="7253" spans="1:9" ht="27.6">
      <c r="A7253" s="108" t="s">
        <v>15075</v>
      </c>
      <c r="B7253" s="108" t="s">
        <v>25845</v>
      </c>
      <c r="C7253" s="109">
        <v>44935</v>
      </c>
      <c r="D7253" s="108"/>
      <c r="E7253" s="108" t="s">
        <v>14605</v>
      </c>
      <c r="F7253" s="108" t="s">
        <v>2368</v>
      </c>
      <c r="G7253" s="110"/>
      <c r="H7253" s="108" t="s">
        <v>25458</v>
      </c>
      <c r="I7253" s="108"/>
    </row>
    <row r="7254" spans="1:9" ht="27.6">
      <c r="A7254" s="108" t="s">
        <v>15075</v>
      </c>
      <c r="B7254" s="108" t="s">
        <v>25846</v>
      </c>
      <c r="C7254" s="109">
        <v>44930</v>
      </c>
      <c r="D7254" s="108"/>
      <c r="E7254" s="108" t="s">
        <v>14605</v>
      </c>
      <c r="F7254" s="108" t="s">
        <v>4966</v>
      </c>
      <c r="G7254" s="110"/>
      <c r="H7254" s="108" t="s">
        <v>25458</v>
      </c>
      <c r="I7254" s="108"/>
    </row>
    <row r="7255" spans="1:9" ht="27.6">
      <c r="A7255" s="108" t="s">
        <v>15075</v>
      </c>
      <c r="B7255" s="108" t="s">
        <v>25847</v>
      </c>
      <c r="C7255" s="109">
        <v>44954</v>
      </c>
      <c r="D7255" s="108"/>
      <c r="E7255" s="108" t="s">
        <v>14605</v>
      </c>
      <c r="F7255" s="108" t="s">
        <v>14672</v>
      </c>
      <c r="G7255" s="110"/>
      <c r="H7255" s="108" t="s">
        <v>25458</v>
      </c>
      <c r="I7255" s="108"/>
    </row>
    <row r="7256" spans="1:9" ht="27.6">
      <c r="A7256" s="108" t="s">
        <v>15075</v>
      </c>
      <c r="B7256" s="108" t="s">
        <v>25848</v>
      </c>
      <c r="C7256" s="109">
        <v>44939</v>
      </c>
      <c r="D7256" s="108"/>
      <c r="E7256" s="108" t="s">
        <v>14605</v>
      </c>
      <c r="F7256" s="108" t="s">
        <v>484</v>
      </c>
      <c r="G7256" s="110"/>
      <c r="H7256" s="108" t="s">
        <v>25458</v>
      </c>
      <c r="I7256" s="108"/>
    </row>
    <row r="7257" spans="1:9" ht="27.6">
      <c r="A7257" s="108" t="s">
        <v>15075</v>
      </c>
      <c r="B7257" s="108" t="s">
        <v>25849</v>
      </c>
      <c r="C7257" s="109">
        <v>44953</v>
      </c>
      <c r="D7257" s="108"/>
      <c r="E7257" s="108" t="s">
        <v>14605</v>
      </c>
      <c r="F7257" s="108" t="s">
        <v>14672</v>
      </c>
      <c r="G7257" s="110"/>
      <c r="H7257" s="108" t="s">
        <v>25458</v>
      </c>
      <c r="I7257" s="108"/>
    </row>
    <row r="7258" spans="1:9" ht="27.6">
      <c r="A7258" s="108" t="s">
        <v>15075</v>
      </c>
      <c r="B7258" s="108" t="s">
        <v>25850</v>
      </c>
      <c r="C7258" s="109">
        <v>44952</v>
      </c>
      <c r="D7258" s="108"/>
      <c r="E7258" s="108" t="s">
        <v>14605</v>
      </c>
      <c r="F7258" s="108" t="s">
        <v>14672</v>
      </c>
      <c r="G7258" s="110"/>
      <c r="H7258" s="108" t="s">
        <v>25458</v>
      </c>
      <c r="I7258" s="108"/>
    </row>
    <row r="7259" spans="1:9" ht="27.6">
      <c r="A7259" s="108" t="s">
        <v>15075</v>
      </c>
      <c r="B7259" s="108" t="s">
        <v>25851</v>
      </c>
      <c r="C7259" s="109">
        <v>44942</v>
      </c>
      <c r="D7259" s="108"/>
      <c r="E7259" s="108" t="s">
        <v>14605</v>
      </c>
      <c r="F7259" s="108" t="s">
        <v>2055</v>
      </c>
      <c r="G7259" s="110"/>
      <c r="H7259" s="108" t="s">
        <v>25458</v>
      </c>
      <c r="I7259" s="108"/>
    </row>
    <row r="7260" spans="1:9" ht="27.6">
      <c r="A7260" s="108" t="s">
        <v>15075</v>
      </c>
      <c r="B7260" s="108" t="s">
        <v>25852</v>
      </c>
      <c r="C7260" s="109">
        <v>44979</v>
      </c>
      <c r="D7260" s="108"/>
      <c r="E7260" s="108" t="s">
        <v>14605</v>
      </c>
      <c r="F7260" s="108" t="s">
        <v>409</v>
      </c>
      <c r="G7260" s="110"/>
      <c r="H7260" s="108" t="s">
        <v>25458</v>
      </c>
      <c r="I7260" s="108"/>
    </row>
    <row r="7261" spans="1:9" ht="27.6">
      <c r="A7261" s="108" t="s">
        <v>15075</v>
      </c>
      <c r="B7261" s="108" t="s">
        <v>25853</v>
      </c>
      <c r="C7261" s="109">
        <v>44956</v>
      </c>
      <c r="D7261" s="108"/>
      <c r="E7261" s="108" t="s">
        <v>14605</v>
      </c>
      <c r="F7261" s="108" t="s">
        <v>1338</v>
      </c>
      <c r="G7261" s="110"/>
      <c r="H7261" s="108" t="s">
        <v>25458</v>
      </c>
      <c r="I7261" s="108"/>
    </row>
    <row r="7262" spans="1:9" ht="27.6">
      <c r="A7262" s="108" t="s">
        <v>15075</v>
      </c>
      <c r="B7262" s="108" t="s">
        <v>25854</v>
      </c>
      <c r="C7262" s="109">
        <v>44945</v>
      </c>
      <c r="D7262" s="108"/>
      <c r="E7262" s="108" t="s">
        <v>14605</v>
      </c>
      <c r="F7262" s="108" t="s">
        <v>3980</v>
      </c>
      <c r="G7262" s="110"/>
      <c r="H7262" s="108" t="s">
        <v>25458</v>
      </c>
      <c r="I7262" s="108"/>
    </row>
    <row r="7263" spans="1:9" ht="27.6">
      <c r="A7263" s="108" t="s">
        <v>15075</v>
      </c>
      <c r="B7263" s="108" t="s">
        <v>25855</v>
      </c>
      <c r="C7263" s="109">
        <v>44938</v>
      </c>
      <c r="D7263" s="108"/>
      <c r="E7263" s="108" t="s">
        <v>14605</v>
      </c>
      <c r="F7263" s="108" t="s">
        <v>2694</v>
      </c>
      <c r="G7263" s="110"/>
      <c r="H7263" s="108" t="s">
        <v>25458</v>
      </c>
      <c r="I7263" s="108"/>
    </row>
    <row r="7264" spans="1:9" ht="27.6">
      <c r="A7264" s="108" t="s">
        <v>15075</v>
      </c>
      <c r="B7264" s="108" t="s">
        <v>25856</v>
      </c>
      <c r="C7264" s="109">
        <v>44943</v>
      </c>
      <c r="D7264" s="108"/>
      <c r="E7264" s="108" t="s">
        <v>14605</v>
      </c>
      <c r="F7264" s="108" t="s">
        <v>111</v>
      </c>
      <c r="G7264" s="110"/>
      <c r="H7264" s="108" t="s">
        <v>25458</v>
      </c>
      <c r="I7264" s="108"/>
    </row>
    <row r="7265" spans="1:9" ht="27.6">
      <c r="A7265" s="108" t="s">
        <v>15075</v>
      </c>
      <c r="B7265" s="108" t="s">
        <v>25857</v>
      </c>
      <c r="C7265" s="109">
        <v>44992</v>
      </c>
      <c r="D7265" s="108"/>
      <c r="E7265" s="108" t="s">
        <v>14605</v>
      </c>
      <c r="F7265" s="108" t="s">
        <v>1562</v>
      </c>
      <c r="G7265" s="110"/>
      <c r="H7265" s="108" t="s">
        <v>25458</v>
      </c>
      <c r="I7265" s="108"/>
    </row>
    <row r="7266" spans="1:9" ht="27.6">
      <c r="A7266" s="108" t="s">
        <v>15075</v>
      </c>
      <c r="B7266" s="108" t="s">
        <v>25858</v>
      </c>
      <c r="C7266" s="109">
        <v>44943</v>
      </c>
      <c r="D7266" s="108"/>
      <c r="E7266" s="108" t="s">
        <v>14605</v>
      </c>
      <c r="F7266" s="108" t="s">
        <v>1577</v>
      </c>
      <c r="G7266" s="110"/>
      <c r="H7266" s="108" t="s">
        <v>25458</v>
      </c>
      <c r="I7266" s="108"/>
    </row>
    <row r="7267" spans="1:9" ht="27.6">
      <c r="A7267" s="108" t="s">
        <v>15075</v>
      </c>
      <c r="B7267" s="108" t="s">
        <v>25859</v>
      </c>
      <c r="C7267" s="109">
        <v>44960</v>
      </c>
      <c r="D7267" s="108"/>
      <c r="E7267" s="108" t="s">
        <v>14605</v>
      </c>
      <c r="F7267" s="108" t="s">
        <v>845</v>
      </c>
      <c r="G7267" s="110"/>
      <c r="H7267" s="108" t="s">
        <v>25458</v>
      </c>
      <c r="I7267" s="108"/>
    </row>
    <row r="7268" spans="1:9" ht="27.6">
      <c r="A7268" s="108" t="s">
        <v>15075</v>
      </c>
      <c r="B7268" s="108" t="s">
        <v>25860</v>
      </c>
      <c r="C7268" s="109">
        <v>44963</v>
      </c>
      <c r="D7268" s="108"/>
      <c r="E7268" s="108" t="s">
        <v>14605</v>
      </c>
      <c r="F7268" s="108" t="s">
        <v>4242</v>
      </c>
      <c r="G7268" s="110"/>
      <c r="H7268" s="108" t="s">
        <v>25458</v>
      </c>
      <c r="I7268" s="108"/>
    </row>
    <row r="7269" spans="1:9" ht="27.6">
      <c r="A7269" s="108" t="s">
        <v>15075</v>
      </c>
      <c r="B7269" s="108" t="s">
        <v>25861</v>
      </c>
      <c r="C7269" s="109">
        <v>44943</v>
      </c>
      <c r="D7269" s="108"/>
      <c r="E7269" s="108" t="s">
        <v>14605</v>
      </c>
      <c r="F7269" s="108" t="s">
        <v>4476</v>
      </c>
      <c r="G7269" s="110"/>
      <c r="H7269" s="108" t="s">
        <v>25458</v>
      </c>
      <c r="I7269" s="108"/>
    </row>
    <row r="7270" spans="1:9" ht="27.6">
      <c r="A7270" s="108" t="s">
        <v>15075</v>
      </c>
      <c r="B7270" s="108" t="s">
        <v>25862</v>
      </c>
      <c r="C7270" s="109">
        <v>44970</v>
      </c>
      <c r="D7270" s="108"/>
      <c r="E7270" s="108" t="s">
        <v>14605</v>
      </c>
      <c r="F7270" s="108" t="s">
        <v>3194</v>
      </c>
      <c r="G7270" s="110"/>
      <c r="H7270" s="108" t="s">
        <v>25458</v>
      </c>
      <c r="I7270" s="108"/>
    </row>
    <row r="7271" spans="1:9" ht="27.6">
      <c r="A7271" s="108" t="s">
        <v>15075</v>
      </c>
      <c r="B7271" s="108" t="s">
        <v>25863</v>
      </c>
      <c r="C7271" s="109">
        <v>44938</v>
      </c>
      <c r="D7271" s="108"/>
      <c r="E7271" s="108" t="s">
        <v>14605</v>
      </c>
      <c r="F7271" s="108" t="s">
        <v>25474</v>
      </c>
      <c r="G7271" s="110"/>
      <c r="H7271" s="108" t="s">
        <v>25458</v>
      </c>
      <c r="I7271" s="108"/>
    </row>
    <row r="7272" spans="1:9" ht="27.6">
      <c r="A7272" s="108" t="s">
        <v>15075</v>
      </c>
      <c r="B7272" s="108" t="s">
        <v>25864</v>
      </c>
      <c r="C7272" s="109">
        <v>44932</v>
      </c>
      <c r="D7272" s="108"/>
      <c r="E7272" s="108" t="s">
        <v>14605</v>
      </c>
      <c r="F7272" s="108" t="s">
        <v>5145</v>
      </c>
      <c r="G7272" s="110"/>
      <c r="H7272" s="108" t="s">
        <v>25458</v>
      </c>
      <c r="I7272" s="108"/>
    </row>
    <row r="7273" spans="1:9" ht="27.6">
      <c r="A7273" s="108" t="s">
        <v>15075</v>
      </c>
      <c r="B7273" s="108" t="s">
        <v>25865</v>
      </c>
      <c r="C7273" s="109">
        <v>45072</v>
      </c>
      <c r="D7273" s="108"/>
      <c r="E7273" s="108" t="s">
        <v>14605</v>
      </c>
      <c r="F7273" s="108" t="s">
        <v>3856</v>
      </c>
      <c r="G7273" s="110"/>
      <c r="H7273" s="108" t="s">
        <v>25458</v>
      </c>
      <c r="I7273" s="108"/>
    </row>
    <row r="7274" spans="1:9" ht="27.6">
      <c r="A7274" s="108" t="s">
        <v>15075</v>
      </c>
      <c r="B7274" s="108" t="s">
        <v>25866</v>
      </c>
      <c r="C7274" s="109">
        <v>45055</v>
      </c>
      <c r="D7274" s="108"/>
      <c r="E7274" s="108" t="s">
        <v>14605</v>
      </c>
      <c r="F7274" s="108" t="s">
        <v>25867</v>
      </c>
      <c r="G7274" s="110"/>
      <c r="H7274" s="108" t="s">
        <v>25458</v>
      </c>
      <c r="I7274" s="108"/>
    </row>
    <row r="7275" spans="1:9" ht="27.6">
      <c r="A7275" s="108" t="s">
        <v>15075</v>
      </c>
      <c r="B7275" s="108" t="s">
        <v>25868</v>
      </c>
      <c r="C7275" s="109">
        <v>44934</v>
      </c>
      <c r="D7275" s="108"/>
      <c r="E7275" s="108" t="s">
        <v>14605</v>
      </c>
      <c r="F7275" s="108" t="s">
        <v>353</v>
      </c>
      <c r="G7275" s="110"/>
      <c r="H7275" s="108" t="s">
        <v>25458</v>
      </c>
      <c r="I7275" s="108"/>
    </row>
    <row r="7276" spans="1:9" ht="27.6">
      <c r="A7276" s="108" t="s">
        <v>15075</v>
      </c>
      <c r="B7276" s="108" t="s">
        <v>25869</v>
      </c>
      <c r="C7276" s="109">
        <v>44932</v>
      </c>
      <c r="D7276" s="108"/>
      <c r="E7276" s="108" t="s">
        <v>14605</v>
      </c>
      <c r="F7276" s="108" t="s">
        <v>1547</v>
      </c>
      <c r="G7276" s="110"/>
      <c r="H7276" s="108" t="s">
        <v>25458</v>
      </c>
      <c r="I7276" s="108"/>
    </row>
    <row r="7277" spans="1:9" ht="27.6">
      <c r="A7277" s="108" t="s">
        <v>15075</v>
      </c>
      <c r="B7277" s="108" t="s">
        <v>25870</v>
      </c>
      <c r="C7277" s="109">
        <v>44932</v>
      </c>
      <c r="D7277" s="108"/>
      <c r="E7277" s="108" t="s">
        <v>14605</v>
      </c>
      <c r="F7277" s="108" t="s">
        <v>1547</v>
      </c>
      <c r="G7277" s="110"/>
      <c r="H7277" s="108" t="s">
        <v>25458</v>
      </c>
      <c r="I7277" s="108"/>
    </row>
    <row r="7278" spans="1:9" ht="27.6">
      <c r="A7278" s="108" t="s">
        <v>15075</v>
      </c>
      <c r="B7278" s="108" t="s">
        <v>25871</v>
      </c>
      <c r="C7278" s="109">
        <v>44965</v>
      </c>
      <c r="D7278" s="108"/>
      <c r="E7278" s="108" t="s">
        <v>14605</v>
      </c>
      <c r="F7278" s="108" t="s">
        <v>1170</v>
      </c>
      <c r="G7278" s="110"/>
      <c r="H7278" s="108" t="s">
        <v>25458</v>
      </c>
      <c r="I7278" s="108"/>
    </row>
    <row r="7279" spans="1:9" ht="27.6">
      <c r="A7279" s="108" t="s">
        <v>15075</v>
      </c>
      <c r="B7279" s="108" t="s">
        <v>25872</v>
      </c>
      <c r="C7279" s="109">
        <v>44957</v>
      </c>
      <c r="D7279" s="108"/>
      <c r="E7279" s="108" t="s">
        <v>14605</v>
      </c>
      <c r="F7279" s="108" t="s">
        <v>3651</v>
      </c>
      <c r="G7279" s="110"/>
      <c r="H7279" s="108" t="s">
        <v>25458</v>
      </c>
      <c r="I7279" s="108"/>
    </row>
    <row r="7280" spans="1:9" ht="27.6">
      <c r="A7280" s="108" t="s">
        <v>15075</v>
      </c>
      <c r="B7280" s="108" t="s">
        <v>25873</v>
      </c>
      <c r="C7280" s="109">
        <v>44960</v>
      </c>
      <c r="D7280" s="108"/>
      <c r="E7280" s="108" t="s">
        <v>14605</v>
      </c>
      <c r="F7280" s="108" t="s">
        <v>3848</v>
      </c>
      <c r="G7280" s="110"/>
      <c r="H7280" s="108" t="s">
        <v>25458</v>
      </c>
      <c r="I7280" s="108"/>
    </row>
    <row r="7281" spans="1:9" ht="27.6">
      <c r="A7281" s="108" t="s">
        <v>15075</v>
      </c>
      <c r="B7281" s="108" t="s">
        <v>25874</v>
      </c>
      <c r="C7281" s="109">
        <v>44939</v>
      </c>
      <c r="D7281" s="108"/>
      <c r="E7281" s="108" t="s">
        <v>14605</v>
      </c>
      <c r="F7281" s="108" t="s">
        <v>4343</v>
      </c>
      <c r="G7281" s="110"/>
      <c r="H7281" s="108" t="s">
        <v>25458</v>
      </c>
      <c r="I7281" s="108"/>
    </row>
    <row r="7282" spans="1:9" ht="27.6">
      <c r="A7282" s="108" t="s">
        <v>15075</v>
      </c>
      <c r="B7282" s="108" t="s">
        <v>25875</v>
      </c>
      <c r="C7282" s="109">
        <v>44965</v>
      </c>
      <c r="D7282" s="108"/>
      <c r="E7282" s="108" t="s">
        <v>14605</v>
      </c>
      <c r="F7282" s="108" t="s">
        <v>25876</v>
      </c>
      <c r="G7282" s="110"/>
      <c r="H7282" s="108" t="s">
        <v>25458</v>
      </c>
      <c r="I7282" s="108"/>
    </row>
    <row r="7283" spans="1:9" ht="27.6">
      <c r="A7283" s="108" t="s">
        <v>15075</v>
      </c>
      <c r="B7283" s="108" t="s">
        <v>25877</v>
      </c>
      <c r="C7283" s="109">
        <v>44957</v>
      </c>
      <c r="D7283" s="108"/>
      <c r="E7283" s="108" t="s">
        <v>14605</v>
      </c>
      <c r="F7283" s="108" t="s">
        <v>1875</v>
      </c>
      <c r="G7283" s="110"/>
      <c r="H7283" s="108" t="s">
        <v>25458</v>
      </c>
      <c r="I7283" s="108"/>
    </row>
    <row r="7284" spans="1:9" ht="27.6">
      <c r="A7284" s="108" t="s">
        <v>15075</v>
      </c>
      <c r="B7284" s="108" t="s">
        <v>25878</v>
      </c>
      <c r="C7284" s="109">
        <v>44978</v>
      </c>
      <c r="D7284" s="108"/>
      <c r="E7284" s="108" t="s">
        <v>14605</v>
      </c>
      <c r="F7284" s="108" t="s">
        <v>665</v>
      </c>
      <c r="G7284" s="110"/>
      <c r="H7284" s="108" t="s">
        <v>25458</v>
      </c>
      <c r="I7284" s="108"/>
    </row>
    <row r="7285" spans="1:9" ht="27.6">
      <c r="A7285" s="108" t="s">
        <v>15075</v>
      </c>
      <c r="B7285" s="108" t="s">
        <v>25879</v>
      </c>
      <c r="C7285" s="109">
        <v>44980</v>
      </c>
      <c r="D7285" s="108"/>
      <c r="E7285" s="108" t="s">
        <v>14605</v>
      </c>
      <c r="F7285" s="108" t="s">
        <v>4276</v>
      </c>
      <c r="G7285" s="110"/>
      <c r="H7285" s="108" t="s">
        <v>25458</v>
      </c>
      <c r="I7285" s="108"/>
    </row>
    <row r="7286" spans="1:9" ht="27.6">
      <c r="A7286" s="108" t="s">
        <v>15075</v>
      </c>
      <c r="B7286" s="108" t="s">
        <v>25880</v>
      </c>
      <c r="C7286" s="109">
        <v>44932</v>
      </c>
      <c r="D7286" s="108"/>
      <c r="E7286" s="108" t="s">
        <v>14605</v>
      </c>
      <c r="F7286" s="108" t="s">
        <v>484</v>
      </c>
      <c r="G7286" s="110"/>
      <c r="H7286" s="108" t="s">
        <v>25458</v>
      </c>
      <c r="I7286" s="108"/>
    </row>
    <row r="7287" spans="1:9" ht="27.6">
      <c r="A7287" s="108" t="s">
        <v>15075</v>
      </c>
      <c r="B7287" s="108" t="s">
        <v>25881</v>
      </c>
      <c r="C7287" s="109">
        <v>44974</v>
      </c>
      <c r="D7287" s="108"/>
      <c r="E7287" s="108" t="s">
        <v>14605</v>
      </c>
      <c r="F7287" s="108" t="s">
        <v>1770</v>
      </c>
      <c r="G7287" s="110"/>
      <c r="H7287" s="108" t="s">
        <v>25458</v>
      </c>
      <c r="I7287" s="108"/>
    </row>
    <row r="7288" spans="1:9" ht="27.6">
      <c r="A7288" s="108" t="s">
        <v>15075</v>
      </c>
      <c r="B7288" s="108" t="s">
        <v>25882</v>
      </c>
      <c r="C7288" s="109">
        <v>44972</v>
      </c>
      <c r="D7288" s="108"/>
      <c r="E7288" s="108" t="s">
        <v>14605</v>
      </c>
      <c r="F7288" s="108" t="s">
        <v>4732</v>
      </c>
      <c r="G7288" s="110"/>
      <c r="H7288" s="108" t="s">
        <v>25458</v>
      </c>
      <c r="I7288" s="108"/>
    </row>
    <row r="7289" spans="1:9" ht="27.6">
      <c r="A7289" s="108" t="s">
        <v>15075</v>
      </c>
      <c r="B7289" s="108" t="s">
        <v>25883</v>
      </c>
      <c r="C7289" s="109">
        <v>45005</v>
      </c>
      <c r="D7289" s="108"/>
      <c r="E7289" s="108" t="s">
        <v>14605</v>
      </c>
      <c r="F7289" s="108" t="s">
        <v>2598</v>
      </c>
      <c r="G7289" s="110"/>
      <c r="H7289" s="108" t="s">
        <v>25458</v>
      </c>
      <c r="I7289" s="108"/>
    </row>
    <row r="7290" spans="1:9" ht="27.6">
      <c r="A7290" s="108" t="s">
        <v>15075</v>
      </c>
      <c r="B7290" s="108" t="s">
        <v>25884</v>
      </c>
      <c r="C7290" s="109">
        <v>44981</v>
      </c>
      <c r="D7290" s="108"/>
      <c r="E7290" s="108" t="s">
        <v>14605</v>
      </c>
      <c r="F7290" s="108" t="s">
        <v>3734</v>
      </c>
      <c r="G7290" s="110"/>
      <c r="H7290" s="108" t="s">
        <v>25458</v>
      </c>
      <c r="I7290" s="108"/>
    </row>
    <row r="7291" spans="1:9" ht="27.6">
      <c r="A7291" s="108" t="s">
        <v>15075</v>
      </c>
      <c r="B7291" s="108" t="s">
        <v>25885</v>
      </c>
      <c r="C7291" s="109">
        <v>44981</v>
      </c>
      <c r="D7291" s="108"/>
      <c r="E7291" s="108" t="s">
        <v>14605</v>
      </c>
      <c r="F7291" s="108" t="s">
        <v>16249</v>
      </c>
      <c r="G7291" s="110"/>
      <c r="H7291" s="108" t="s">
        <v>25458</v>
      </c>
      <c r="I7291" s="108"/>
    </row>
    <row r="7292" spans="1:9" ht="27.6">
      <c r="A7292" s="108" t="s">
        <v>15075</v>
      </c>
      <c r="B7292" s="108" t="s">
        <v>25886</v>
      </c>
      <c r="C7292" s="109">
        <v>45036</v>
      </c>
      <c r="D7292" s="108"/>
      <c r="E7292" s="108" t="s">
        <v>14605</v>
      </c>
      <c r="F7292" s="108" t="s">
        <v>3219</v>
      </c>
      <c r="G7292" s="110"/>
      <c r="H7292" s="108" t="s">
        <v>25458</v>
      </c>
      <c r="I7292" s="108"/>
    </row>
    <row r="7293" spans="1:9" ht="27.6">
      <c r="A7293" s="108" t="s">
        <v>15075</v>
      </c>
      <c r="B7293" s="108" t="s">
        <v>25887</v>
      </c>
      <c r="C7293" s="109">
        <v>45072</v>
      </c>
      <c r="D7293" s="108"/>
      <c r="E7293" s="108" t="s">
        <v>14605</v>
      </c>
      <c r="F7293" s="108" t="s">
        <v>4390</v>
      </c>
      <c r="G7293" s="110"/>
      <c r="H7293" s="108" t="s">
        <v>25458</v>
      </c>
      <c r="I7293" s="108"/>
    </row>
    <row r="7294" spans="1:9" ht="27.6">
      <c r="A7294" s="108" t="s">
        <v>15075</v>
      </c>
      <c r="B7294" s="108" t="s">
        <v>25888</v>
      </c>
      <c r="C7294" s="109">
        <v>44993</v>
      </c>
      <c r="D7294" s="108"/>
      <c r="E7294" s="108" t="s">
        <v>14605</v>
      </c>
      <c r="F7294" s="108" t="s">
        <v>4966</v>
      </c>
      <c r="G7294" s="110"/>
      <c r="H7294" s="108" t="s">
        <v>25458</v>
      </c>
      <c r="I7294" s="108"/>
    </row>
    <row r="7295" spans="1:9" ht="27.6">
      <c r="A7295" s="108" t="s">
        <v>15075</v>
      </c>
      <c r="B7295" s="108" t="s">
        <v>25889</v>
      </c>
      <c r="C7295" s="109">
        <v>44984</v>
      </c>
      <c r="D7295" s="108"/>
      <c r="E7295" s="108" t="s">
        <v>14605</v>
      </c>
      <c r="F7295" s="108" t="s">
        <v>4559</v>
      </c>
      <c r="G7295" s="110"/>
      <c r="H7295" s="108" t="s">
        <v>25458</v>
      </c>
      <c r="I7295" s="108"/>
    </row>
    <row r="7296" spans="1:9" ht="27.6">
      <c r="A7296" s="108" t="s">
        <v>15075</v>
      </c>
      <c r="B7296" s="108" t="s">
        <v>25890</v>
      </c>
      <c r="C7296" s="109">
        <v>45058</v>
      </c>
      <c r="D7296" s="108"/>
      <c r="E7296" s="108" t="s">
        <v>14605</v>
      </c>
      <c r="F7296" s="108" t="s">
        <v>3210</v>
      </c>
      <c r="G7296" s="110"/>
      <c r="H7296" s="108" t="s">
        <v>25458</v>
      </c>
      <c r="I7296" s="108"/>
    </row>
    <row r="7297" spans="1:9" ht="27.6">
      <c r="A7297" s="108" t="s">
        <v>15075</v>
      </c>
      <c r="B7297" s="108" t="s">
        <v>25891</v>
      </c>
      <c r="C7297" s="109">
        <v>45068</v>
      </c>
      <c r="D7297" s="108"/>
      <c r="E7297" s="108" t="s">
        <v>14605</v>
      </c>
      <c r="F7297" s="108" t="s">
        <v>1063</v>
      </c>
      <c r="G7297" s="110"/>
      <c r="H7297" s="108" t="s">
        <v>25458</v>
      </c>
      <c r="I7297" s="108"/>
    </row>
    <row r="7298" spans="1:9" ht="27.6">
      <c r="A7298" s="108" t="s">
        <v>15075</v>
      </c>
      <c r="B7298" s="108" t="s">
        <v>25892</v>
      </c>
      <c r="C7298" s="109">
        <v>45097</v>
      </c>
      <c r="D7298" s="108"/>
      <c r="E7298" s="108" t="s">
        <v>14605</v>
      </c>
      <c r="F7298" s="108" t="s">
        <v>1338</v>
      </c>
      <c r="G7298" s="110"/>
      <c r="H7298" s="108" t="s">
        <v>25458</v>
      </c>
      <c r="I7298" s="108"/>
    </row>
    <row r="7299" spans="1:9" ht="27.6">
      <c r="A7299" s="108" t="s">
        <v>8278</v>
      </c>
      <c r="B7299" s="108" t="s">
        <v>25893</v>
      </c>
      <c r="C7299" s="109">
        <v>45295</v>
      </c>
      <c r="D7299" s="108"/>
      <c r="E7299" s="108" t="s">
        <v>14605</v>
      </c>
      <c r="F7299" s="108" t="s">
        <v>634</v>
      </c>
      <c r="G7299" s="110"/>
      <c r="H7299" s="108" t="s">
        <v>25458</v>
      </c>
      <c r="I7299" s="108"/>
    </row>
    <row r="7300" spans="1:9" ht="27.6">
      <c r="A7300" s="108" t="s">
        <v>15075</v>
      </c>
      <c r="B7300" s="108" t="s">
        <v>25894</v>
      </c>
      <c r="C7300" s="109">
        <v>45007</v>
      </c>
      <c r="D7300" s="108"/>
      <c r="E7300" s="108" t="s">
        <v>14605</v>
      </c>
      <c r="F7300" s="108" t="s">
        <v>2694</v>
      </c>
      <c r="G7300" s="110"/>
      <c r="H7300" s="108" t="s">
        <v>25458</v>
      </c>
      <c r="I7300" s="108"/>
    </row>
    <row r="7301" spans="1:9" ht="27.6">
      <c r="A7301" s="108" t="s">
        <v>15075</v>
      </c>
      <c r="B7301" s="108" t="s">
        <v>25895</v>
      </c>
      <c r="C7301" s="109">
        <v>45008</v>
      </c>
      <c r="D7301" s="108"/>
      <c r="E7301" s="108" t="s">
        <v>14605</v>
      </c>
      <c r="F7301" s="108" t="s">
        <v>662</v>
      </c>
      <c r="G7301" s="110"/>
      <c r="H7301" s="108" t="s">
        <v>25458</v>
      </c>
      <c r="I7301" s="108"/>
    </row>
    <row r="7302" spans="1:9" ht="27.6">
      <c r="A7302" s="108" t="s">
        <v>15075</v>
      </c>
      <c r="B7302" s="108" t="s">
        <v>25896</v>
      </c>
      <c r="C7302" s="109">
        <v>45029</v>
      </c>
      <c r="D7302" s="108"/>
      <c r="E7302" s="108" t="s">
        <v>14605</v>
      </c>
      <c r="F7302" s="108" t="s">
        <v>3219</v>
      </c>
      <c r="G7302" s="110"/>
      <c r="H7302" s="108" t="s">
        <v>25458</v>
      </c>
      <c r="I7302" s="108"/>
    </row>
    <row r="7303" spans="1:9" ht="27.6">
      <c r="A7303" s="108" t="s">
        <v>15075</v>
      </c>
      <c r="B7303" s="108" t="s">
        <v>25897</v>
      </c>
      <c r="C7303" s="109">
        <v>45030</v>
      </c>
      <c r="D7303" s="108"/>
      <c r="E7303" s="108" t="s">
        <v>14605</v>
      </c>
      <c r="F7303" s="108" t="s">
        <v>597</v>
      </c>
      <c r="G7303" s="110"/>
      <c r="H7303" s="108" t="s">
        <v>25458</v>
      </c>
      <c r="I7303" s="108"/>
    </row>
    <row r="7304" spans="1:9" ht="27.6">
      <c r="A7304" s="108" t="s">
        <v>15075</v>
      </c>
      <c r="B7304" s="108" t="s">
        <v>25898</v>
      </c>
      <c r="C7304" s="109">
        <v>45058</v>
      </c>
      <c r="D7304" s="108"/>
      <c r="E7304" s="108" t="s">
        <v>14605</v>
      </c>
      <c r="F7304" s="108" t="s">
        <v>2074</v>
      </c>
      <c r="G7304" s="110"/>
      <c r="H7304" s="108" t="s">
        <v>25458</v>
      </c>
      <c r="I7304" s="108"/>
    </row>
    <row r="7305" spans="1:9" ht="27.6">
      <c r="A7305" s="108" t="s">
        <v>15075</v>
      </c>
      <c r="B7305" s="108" t="s">
        <v>25899</v>
      </c>
      <c r="C7305" s="109">
        <v>45048</v>
      </c>
      <c r="D7305" s="108"/>
      <c r="E7305" s="108" t="s">
        <v>14605</v>
      </c>
      <c r="F7305" s="108" t="s">
        <v>1519</v>
      </c>
      <c r="G7305" s="110"/>
      <c r="H7305" s="108" t="s">
        <v>25458</v>
      </c>
      <c r="I7305" s="108"/>
    </row>
    <row r="7306" spans="1:9" ht="27.6">
      <c r="A7306" s="108" t="s">
        <v>15075</v>
      </c>
      <c r="B7306" s="108" t="s">
        <v>25900</v>
      </c>
      <c r="C7306" s="109">
        <v>45028</v>
      </c>
      <c r="D7306" s="108"/>
      <c r="E7306" s="108" t="s">
        <v>14605</v>
      </c>
      <c r="F7306" s="108" t="s">
        <v>2074</v>
      </c>
      <c r="G7306" s="110"/>
      <c r="H7306" s="108" t="s">
        <v>25458</v>
      </c>
      <c r="I7306" s="108"/>
    </row>
    <row r="7307" spans="1:9" ht="27.6">
      <c r="A7307" s="108" t="s">
        <v>15075</v>
      </c>
      <c r="B7307" s="108" t="s">
        <v>25901</v>
      </c>
      <c r="C7307" s="109">
        <v>45085</v>
      </c>
      <c r="D7307" s="108"/>
      <c r="E7307" s="108" t="s">
        <v>14605</v>
      </c>
      <c r="F7307" s="108" t="s">
        <v>3162</v>
      </c>
      <c r="G7307" s="110"/>
      <c r="H7307" s="108" t="s">
        <v>25458</v>
      </c>
      <c r="I7307" s="108"/>
    </row>
    <row r="7308" spans="1:9" ht="27.6">
      <c r="A7308" s="108" t="s">
        <v>15075</v>
      </c>
      <c r="B7308" s="108" t="s">
        <v>25902</v>
      </c>
      <c r="C7308" s="109">
        <v>45097</v>
      </c>
      <c r="D7308" s="108"/>
      <c r="E7308" s="108" t="s">
        <v>14605</v>
      </c>
      <c r="F7308" s="108" t="s">
        <v>1853</v>
      </c>
      <c r="G7308" s="110"/>
      <c r="H7308" s="108" t="s">
        <v>25458</v>
      </c>
      <c r="I7308" s="108"/>
    </row>
    <row r="7309" spans="1:9" ht="27.6">
      <c r="A7309" s="108" t="s">
        <v>15075</v>
      </c>
      <c r="B7309" s="108" t="s">
        <v>25903</v>
      </c>
      <c r="C7309" s="109">
        <v>45400</v>
      </c>
      <c r="D7309" s="108"/>
      <c r="E7309" s="108" t="s">
        <v>14605</v>
      </c>
      <c r="F7309" s="108" t="s">
        <v>4515</v>
      </c>
      <c r="G7309" s="110"/>
      <c r="H7309" s="108" t="s">
        <v>25458</v>
      </c>
      <c r="I7309" s="108"/>
    </row>
    <row r="7310" spans="1:9" ht="27.6">
      <c r="A7310" s="108" t="s">
        <v>15075</v>
      </c>
      <c r="B7310" s="108" t="s">
        <v>25904</v>
      </c>
      <c r="C7310" s="109">
        <v>45015</v>
      </c>
      <c r="D7310" s="108"/>
      <c r="E7310" s="108" t="s">
        <v>14605</v>
      </c>
      <c r="F7310" s="108" t="s">
        <v>1577</v>
      </c>
      <c r="G7310" s="110"/>
      <c r="H7310" s="108" t="s">
        <v>25458</v>
      </c>
      <c r="I7310" s="108"/>
    </row>
    <row r="7311" spans="1:9" ht="27.6">
      <c r="A7311" s="108" t="s">
        <v>15075</v>
      </c>
      <c r="B7311" s="108" t="s">
        <v>25905</v>
      </c>
      <c r="C7311" s="109">
        <v>45015</v>
      </c>
      <c r="D7311" s="108"/>
      <c r="E7311" s="108" t="s">
        <v>14605</v>
      </c>
      <c r="F7311" s="108" t="s">
        <v>4818</v>
      </c>
      <c r="G7311" s="110"/>
      <c r="H7311" s="108" t="s">
        <v>25458</v>
      </c>
      <c r="I7311" s="108"/>
    </row>
    <row r="7312" spans="1:9" ht="27.6">
      <c r="A7312" s="108" t="s">
        <v>15075</v>
      </c>
      <c r="B7312" s="108" t="s">
        <v>25906</v>
      </c>
      <c r="C7312" s="109">
        <v>45022</v>
      </c>
      <c r="D7312" s="108"/>
      <c r="E7312" s="108" t="s">
        <v>14605</v>
      </c>
      <c r="F7312" s="108" t="s">
        <v>25907</v>
      </c>
      <c r="G7312" s="110"/>
      <c r="H7312" s="108" t="s">
        <v>25458</v>
      </c>
      <c r="I7312" s="108"/>
    </row>
    <row r="7313" spans="1:9" ht="27.6">
      <c r="A7313" s="108" t="s">
        <v>15075</v>
      </c>
      <c r="B7313" s="108" t="s">
        <v>25908</v>
      </c>
      <c r="C7313" s="109">
        <v>45097</v>
      </c>
      <c r="D7313" s="108"/>
      <c r="E7313" s="108" t="s">
        <v>14605</v>
      </c>
      <c r="F7313" s="108" t="s">
        <v>14672</v>
      </c>
      <c r="G7313" s="110"/>
      <c r="H7313" s="108" t="s">
        <v>25458</v>
      </c>
      <c r="I7313" s="108"/>
    </row>
    <row r="7314" spans="1:9" ht="27.6">
      <c r="A7314" s="108" t="s">
        <v>15075</v>
      </c>
      <c r="B7314" s="108" t="s">
        <v>25909</v>
      </c>
      <c r="C7314" s="109">
        <v>45016</v>
      </c>
      <c r="D7314" s="108"/>
      <c r="E7314" s="108" t="s">
        <v>14605</v>
      </c>
      <c r="F7314" s="108" t="s">
        <v>2475</v>
      </c>
      <c r="G7314" s="110"/>
      <c r="H7314" s="108" t="s">
        <v>25458</v>
      </c>
      <c r="I7314" s="108"/>
    </row>
    <row r="7315" spans="1:9" ht="27.6">
      <c r="A7315" s="108" t="s">
        <v>15075</v>
      </c>
      <c r="B7315" s="108" t="s">
        <v>25910</v>
      </c>
      <c r="C7315" s="109">
        <v>45097</v>
      </c>
      <c r="D7315" s="108"/>
      <c r="E7315" s="108" t="s">
        <v>14605</v>
      </c>
      <c r="F7315" s="108" t="s">
        <v>14672</v>
      </c>
      <c r="G7315" s="110"/>
      <c r="H7315" s="108" t="s">
        <v>25458</v>
      </c>
      <c r="I7315" s="108"/>
    </row>
    <row r="7316" spans="1:9" ht="27.6">
      <c r="A7316" s="108" t="s">
        <v>15075</v>
      </c>
      <c r="B7316" s="108" t="s">
        <v>25911</v>
      </c>
      <c r="C7316" s="109">
        <v>45030</v>
      </c>
      <c r="D7316" s="108"/>
      <c r="E7316" s="108" t="s">
        <v>14605</v>
      </c>
      <c r="F7316" s="108" t="s">
        <v>3856</v>
      </c>
      <c r="G7316" s="110"/>
      <c r="H7316" s="108" t="s">
        <v>25458</v>
      </c>
      <c r="I7316" s="108"/>
    </row>
    <row r="7317" spans="1:9" ht="27.6">
      <c r="A7317" s="108" t="s">
        <v>15075</v>
      </c>
      <c r="B7317" s="108" t="s">
        <v>25912</v>
      </c>
      <c r="C7317" s="109">
        <v>45050</v>
      </c>
      <c r="D7317" s="108"/>
      <c r="E7317" s="108" t="s">
        <v>14605</v>
      </c>
      <c r="F7317" s="108" t="s">
        <v>25913</v>
      </c>
      <c r="G7317" s="110"/>
      <c r="H7317" s="108" t="s">
        <v>25458</v>
      </c>
      <c r="I7317" s="108"/>
    </row>
    <row r="7318" spans="1:9" ht="27.6">
      <c r="A7318" s="108" t="s">
        <v>15075</v>
      </c>
      <c r="B7318" s="108" t="s">
        <v>25914</v>
      </c>
      <c r="C7318" s="109">
        <v>45034</v>
      </c>
      <c r="D7318" s="108"/>
      <c r="E7318" s="108" t="s">
        <v>14605</v>
      </c>
      <c r="F7318" s="108" t="s">
        <v>15021</v>
      </c>
      <c r="G7318" s="110"/>
      <c r="H7318" s="108" t="s">
        <v>25458</v>
      </c>
      <c r="I7318" s="108"/>
    </row>
    <row r="7319" spans="1:9" ht="27.6">
      <c r="A7319" s="108" t="s">
        <v>15075</v>
      </c>
      <c r="B7319" s="108" t="s">
        <v>25915</v>
      </c>
      <c r="C7319" s="109">
        <v>45051</v>
      </c>
      <c r="D7319" s="108"/>
      <c r="E7319" s="108" t="s">
        <v>14605</v>
      </c>
      <c r="F7319" s="108" t="s">
        <v>3657</v>
      </c>
      <c r="G7319" s="110"/>
      <c r="H7319" s="108" t="s">
        <v>25458</v>
      </c>
      <c r="I7319" s="108"/>
    </row>
    <row r="7320" spans="1:9" ht="27.6">
      <c r="A7320" s="108" t="s">
        <v>15075</v>
      </c>
      <c r="B7320" s="108" t="s">
        <v>25916</v>
      </c>
      <c r="C7320" s="109">
        <v>45030</v>
      </c>
      <c r="D7320" s="108"/>
      <c r="E7320" s="108" t="s">
        <v>14605</v>
      </c>
      <c r="F7320" s="108" t="s">
        <v>4515</v>
      </c>
      <c r="G7320" s="110"/>
      <c r="H7320" s="108" t="s">
        <v>25458</v>
      </c>
      <c r="I7320" s="108"/>
    </row>
    <row r="7321" spans="1:9" ht="27.6">
      <c r="A7321" s="108" t="s">
        <v>15075</v>
      </c>
      <c r="B7321" s="108" t="s">
        <v>25917</v>
      </c>
      <c r="C7321" s="109">
        <v>45026</v>
      </c>
      <c r="D7321" s="108"/>
      <c r="E7321" s="108" t="s">
        <v>14605</v>
      </c>
      <c r="F7321" s="108" t="s">
        <v>151</v>
      </c>
      <c r="G7321" s="110"/>
      <c r="H7321" s="108" t="s">
        <v>25458</v>
      </c>
      <c r="I7321" s="108"/>
    </row>
    <row r="7322" spans="1:9" ht="27.6">
      <c r="A7322" s="108" t="s">
        <v>15075</v>
      </c>
      <c r="B7322" s="108" t="s">
        <v>25918</v>
      </c>
      <c r="C7322" s="109">
        <v>45078</v>
      </c>
      <c r="D7322" s="108"/>
      <c r="E7322" s="108" t="s">
        <v>14605</v>
      </c>
      <c r="F7322" s="108" t="s">
        <v>4576</v>
      </c>
      <c r="G7322" s="110"/>
      <c r="H7322" s="108" t="s">
        <v>25458</v>
      </c>
      <c r="I7322" s="108"/>
    </row>
    <row r="7323" spans="1:9" ht="27.6">
      <c r="A7323" s="108" t="s">
        <v>15075</v>
      </c>
      <c r="B7323" s="108" t="s">
        <v>25919</v>
      </c>
      <c r="C7323" s="109">
        <v>45064</v>
      </c>
      <c r="D7323" s="108"/>
      <c r="E7323" s="108" t="s">
        <v>14605</v>
      </c>
      <c r="F7323" s="108" t="s">
        <v>3182</v>
      </c>
      <c r="G7323" s="110"/>
      <c r="H7323" s="108" t="s">
        <v>25458</v>
      </c>
      <c r="I7323" s="108"/>
    </row>
    <row r="7324" spans="1:9" ht="27.6">
      <c r="A7324" s="108" t="s">
        <v>15075</v>
      </c>
      <c r="B7324" s="108" t="s">
        <v>25920</v>
      </c>
      <c r="C7324" s="109">
        <v>45078</v>
      </c>
      <c r="D7324" s="108"/>
      <c r="E7324" s="108" t="s">
        <v>14605</v>
      </c>
      <c r="F7324" s="108" t="s">
        <v>4576</v>
      </c>
      <c r="G7324" s="110"/>
      <c r="H7324" s="108" t="s">
        <v>25458</v>
      </c>
      <c r="I7324" s="108"/>
    </row>
    <row r="7325" spans="1:9" ht="27.6">
      <c r="A7325" s="108" t="s">
        <v>15075</v>
      </c>
      <c r="B7325" s="108" t="s">
        <v>25921</v>
      </c>
      <c r="C7325" s="109">
        <v>46170</v>
      </c>
      <c r="D7325" s="108"/>
      <c r="E7325" s="108" t="s">
        <v>14605</v>
      </c>
      <c r="F7325" s="108" t="s">
        <v>3473</v>
      </c>
      <c r="G7325" s="110"/>
      <c r="H7325" s="108" t="s">
        <v>25458</v>
      </c>
      <c r="I7325" s="108"/>
    </row>
    <row r="7326" spans="1:9" ht="27.6">
      <c r="A7326" s="108" t="s">
        <v>15075</v>
      </c>
      <c r="B7326" s="108" t="s">
        <v>25922</v>
      </c>
      <c r="C7326" s="109">
        <v>45061</v>
      </c>
      <c r="D7326" s="108"/>
      <c r="E7326" s="108" t="s">
        <v>14605</v>
      </c>
      <c r="F7326" s="108" t="s">
        <v>1681</v>
      </c>
      <c r="G7326" s="110"/>
      <c r="H7326" s="108" t="s">
        <v>25458</v>
      </c>
      <c r="I7326" s="108"/>
    </row>
    <row r="7327" spans="1:9" ht="27.6">
      <c r="A7327" s="108" t="s">
        <v>15075</v>
      </c>
      <c r="B7327" s="108" t="s">
        <v>25923</v>
      </c>
      <c r="C7327" s="109">
        <v>45084</v>
      </c>
      <c r="D7327" s="108"/>
      <c r="E7327" s="108" t="s">
        <v>14605</v>
      </c>
      <c r="F7327" s="108" t="s">
        <v>3687</v>
      </c>
      <c r="G7327" s="110"/>
      <c r="H7327" s="108" t="s">
        <v>25458</v>
      </c>
      <c r="I7327" s="108"/>
    </row>
    <row r="7328" spans="1:9" ht="27.6">
      <c r="A7328" s="108" t="s">
        <v>15075</v>
      </c>
      <c r="B7328" s="108" t="s">
        <v>25924</v>
      </c>
      <c r="C7328" s="109">
        <v>45077</v>
      </c>
      <c r="D7328" s="108"/>
      <c r="E7328" s="108" t="s">
        <v>14605</v>
      </c>
      <c r="F7328" s="108" t="s">
        <v>2146</v>
      </c>
      <c r="G7328" s="110"/>
      <c r="H7328" s="108" t="s">
        <v>25458</v>
      </c>
      <c r="I7328" s="108"/>
    </row>
    <row r="7329" spans="1:9" ht="27.6">
      <c r="A7329" s="108" t="s">
        <v>15075</v>
      </c>
      <c r="B7329" s="108" t="s">
        <v>25925</v>
      </c>
      <c r="C7329" s="109">
        <v>45064</v>
      </c>
      <c r="D7329" s="108"/>
      <c r="E7329" s="108" t="s">
        <v>14605</v>
      </c>
      <c r="F7329" s="108" t="s">
        <v>1745</v>
      </c>
      <c r="G7329" s="110"/>
      <c r="H7329" s="108" t="s">
        <v>25458</v>
      </c>
      <c r="I7329" s="108"/>
    </row>
    <row r="7330" spans="1:9" ht="27.6">
      <c r="A7330" s="108" t="s">
        <v>15075</v>
      </c>
      <c r="B7330" s="108" t="s">
        <v>25926</v>
      </c>
      <c r="C7330" s="109">
        <v>45083</v>
      </c>
      <c r="D7330" s="108"/>
      <c r="E7330" s="108" t="s">
        <v>14605</v>
      </c>
      <c r="F7330" s="108" t="s">
        <v>3587</v>
      </c>
      <c r="G7330" s="110"/>
      <c r="H7330" s="108" t="s">
        <v>25458</v>
      </c>
      <c r="I7330" s="108"/>
    </row>
    <row r="7331" spans="1:9" ht="27.6">
      <c r="A7331" s="108" t="s">
        <v>15075</v>
      </c>
      <c r="B7331" s="108" t="s">
        <v>25927</v>
      </c>
      <c r="C7331" s="109">
        <v>45054</v>
      </c>
      <c r="D7331" s="108"/>
      <c r="E7331" s="108" t="s">
        <v>14605</v>
      </c>
      <c r="F7331" s="108" t="s">
        <v>2236</v>
      </c>
      <c r="G7331" s="110"/>
      <c r="H7331" s="108" t="s">
        <v>25458</v>
      </c>
      <c r="I7331" s="108"/>
    </row>
    <row r="7332" spans="1:9" ht="27.6">
      <c r="A7332" s="108" t="s">
        <v>15075</v>
      </c>
      <c r="B7332" s="108" t="s">
        <v>25928</v>
      </c>
      <c r="C7332" s="109">
        <v>45066</v>
      </c>
      <c r="D7332" s="108"/>
      <c r="E7332" s="108" t="s">
        <v>14605</v>
      </c>
      <c r="F7332" s="108" t="s">
        <v>4623</v>
      </c>
      <c r="G7332" s="110"/>
      <c r="H7332" s="108" t="s">
        <v>25458</v>
      </c>
      <c r="I7332" s="108"/>
    </row>
    <row r="7333" spans="1:9" ht="27.6">
      <c r="A7333" s="108" t="s">
        <v>15075</v>
      </c>
      <c r="B7333" s="108" t="s">
        <v>25929</v>
      </c>
      <c r="C7333" s="109">
        <v>45131</v>
      </c>
      <c r="D7333" s="108"/>
      <c r="E7333" s="108" t="s">
        <v>14605</v>
      </c>
      <c r="F7333" s="108" t="s">
        <v>4857</v>
      </c>
      <c r="G7333" s="110"/>
      <c r="H7333" s="108" t="s">
        <v>25458</v>
      </c>
      <c r="I7333" s="108"/>
    </row>
    <row r="7334" spans="1:9" ht="27.6">
      <c r="A7334" s="108" t="s">
        <v>15075</v>
      </c>
      <c r="B7334" s="108" t="s">
        <v>25930</v>
      </c>
      <c r="C7334" s="109">
        <v>45072</v>
      </c>
      <c r="D7334" s="108"/>
      <c r="E7334" s="108" t="s">
        <v>14605</v>
      </c>
      <c r="F7334" s="108" t="s">
        <v>255</v>
      </c>
      <c r="G7334" s="110"/>
      <c r="H7334" s="108" t="s">
        <v>25458</v>
      </c>
      <c r="I7334" s="108"/>
    </row>
    <row r="7335" spans="1:9" ht="27.6">
      <c r="A7335" s="108" t="s">
        <v>15075</v>
      </c>
      <c r="B7335" s="108" t="s">
        <v>25931</v>
      </c>
      <c r="C7335" s="109">
        <v>45086</v>
      </c>
      <c r="D7335" s="108"/>
      <c r="E7335" s="108" t="s">
        <v>14605</v>
      </c>
      <c r="F7335" s="108" t="s">
        <v>1204</v>
      </c>
      <c r="G7335" s="110"/>
      <c r="H7335" s="108" t="s">
        <v>25458</v>
      </c>
      <c r="I7335" s="108"/>
    </row>
    <row r="7336" spans="1:9" ht="27.6">
      <c r="A7336" s="108" t="s">
        <v>15075</v>
      </c>
      <c r="B7336" s="108" t="s">
        <v>25932</v>
      </c>
      <c r="C7336" s="109">
        <v>45086</v>
      </c>
      <c r="D7336" s="108"/>
      <c r="E7336" s="108" t="s">
        <v>14605</v>
      </c>
      <c r="F7336" s="108" t="s">
        <v>25933</v>
      </c>
      <c r="G7336" s="110"/>
      <c r="H7336" s="108" t="s">
        <v>25458</v>
      </c>
      <c r="I7336" s="108"/>
    </row>
    <row r="7337" spans="1:9" ht="27.6">
      <c r="A7337" s="108" t="s">
        <v>15075</v>
      </c>
      <c r="B7337" s="108" t="s">
        <v>25934</v>
      </c>
      <c r="C7337" s="109">
        <v>45219</v>
      </c>
      <c r="D7337" s="108"/>
      <c r="E7337" s="108" t="s">
        <v>14605</v>
      </c>
      <c r="F7337" s="108" t="s">
        <v>25933</v>
      </c>
      <c r="G7337" s="110"/>
      <c r="H7337" s="108" t="s">
        <v>25458</v>
      </c>
      <c r="I7337" s="108"/>
    </row>
    <row r="7338" spans="1:9" ht="27.6">
      <c r="A7338" s="108" t="s">
        <v>15075</v>
      </c>
      <c r="B7338" s="108" t="s">
        <v>25935</v>
      </c>
      <c r="C7338" s="109">
        <v>45077</v>
      </c>
      <c r="D7338" s="108"/>
      <c r="E7338" s="108" t="s">
        <v>14605</v>
      </c>
      <c r="F7338" s="108" t="s">
        <v>2395</v>
      </c>
      <c r="G7338" s="110"/>
      <c r="H7338" s="108" t="s">
        <v>25458</v>
      </c>
      <c r="I7338" s="108"/>
    </row>
    <row r="7339" spans="1:9" ht="27.6">
      <c r="A7339" s="108" t="s">
        <v>8278</v>
      </c>
      <c r="B7339" s="108" t="s">
        <v>25936</v>
      </c>
      <c r="C7339" s="109">
        <v>45772</v>
      </c>
      <c r="D7339" s="108"/>
      <c r="E7339" s="108" t="s">
        <v>14605</v>
      </c>
      <c r="F7339" s="108" t="s">
        <v>3333</v>
      </c>
      <c r="G7339" s="110"/>
      <c r="H7339" s="108" t="s">
        <v>25458</v>
      </c>
      <c r="I7339" s="108"/>
    </row>
    <row r="7340" spans="1:9" ht="27.6">
      <c r="A7340" s="108" t="s">
        <v>15075</v>
      </c>
      <c r="B7340" s="108" t="s">
        <v>25937</v>
      </c>
      <c r="C7340" s="109">
        <v>45131</v>
      </c>
      <c r="D7340" s="108"/>
      <c r="E7340" s="108" t="s">
        <v>14605</v>
      </c>
      <c r="F7340" s="108" t="s">
        <v>4857</v>
      </c>
      <c r="G7340" s="110"/>
      <c r="H7340" s="108" t="s">
        <v>25458</v>
      </c>
      <c r="I7340" s="108"/>
    </row>
    <row r="7341" spans="1:9" ht="27.6">
      <c r="A7341" s="108" t="s">
        <v>15075</v>
      </c>
      <c r="B7341" s="108" t="s">
        <v>25938</v>
      </c>
      <c r="C7341" s="109">
        <v>45069</v>
      </c>
      <c r="D7341" s="108"/>
      <c r="E7341" s="108" t="s">
        <v>14605</v>
      </c>
      <c r="F7341" s="108" t="s">
        <v>3587</v>
      </c>
      <c r="G7341" s="110"/>
      <c r="H7341" s="108" t="s">
        <v>25458</v>
      </c>
      <c r="I7341" s="108"/>
    </row>
    <row r="7342" spans="1:9" ht="27.6">
      <c r="A7342" s="108" t="s">
        <v>15075</v>
      </c>
      <c r="B7342" s="108" t="s">
        <v>25939</v>
      </c>
      <c r="C7342" s="109">
        <v>45114</v>
      </c>
      <c r="D7342" s="108"/>
      <c r="E7342" s="108" t="s">
        <v>14605</v>
      </c>
      <c r="F7342" s="108" t="s">
        <v>2694</v>
      </c>
      <c r="G7342" s="110"/>
      <c r="H7342" s="108" t="s">
        <v>25458</v>
      </c>
      <c r="I7342" s="108"/>
    </row>
    <row r="7343" spans="1:9" ht="27.6">
      <c r="A7343" s="108" t="s">
        <v>15075</v>
      </c>
      <c r="B7343" s="108" t="s">
        <v>25940</v>
      </c>
      <c r="C7343" s="109">
        <v>45099</v>
      </c>
      <c r="D7343" s="108"/>
      <c r="E7343" s="108" t="s">
        <v>14605</v>
      </c>
      <c r="F7343" s="108" t="s">
        <v>3349</v>
      </c>
      <c r="G7343" s="110"/>
      <c r="H7343" s="108" t="s">
        <v>25458</v>
      </c>
      <c r="I7343" s="108"/>
    </row>
    <row r="7344" spans="1:9" ht="27.6">
      <c r="A7344" s="108" t="s">
        <v>15075</v>
      </c>
      <c r="B7344" s="108" t="s">
        <v>25941</v>
      </c>
      <c r="C7344" s="109">
        <v>45114</v>
      </c>
      <c r="D7344" s="108"/>
      <c r="E7344" s="108" t="s">
        <v>14605</v>
      </c>
      <c r="F7344" s="108" t="s">
        <v>2694</v>
      </c>
      <c r="G7344" s="110"/>
      <c r="H7344" s="108" t="s">
        <v>25458</v>
      </c>
      <c r="I7344" s="108"/>
    </row>
    <row r="7345" spans="1:9" ht="27.6">
      <c r="A7345" s="108" t="s">
        <v>15075</v>
      </c>
      <c r="B7345" s="108" t="s">
        <v>25942</v>
      </c>
      <c r="C7345" s="109">
        <v>46223</v>
      </c>
      <c r="D7345" s="108"/>
      <c r="E7345" s="108" t="s">
        <v>14605</v>
      </c>
      <c r="F7345" s="108" t="s">
        <v>1770</v>
      </c>
      <c r="G7345" s="110"/>
      <c r="H7345" s="108" t="s">
        <v>25458</v>
      </c>
      <c r="I7345" s="108"/>
    </row>
    <row r="7346" spans="1:9" ht="27.6">
      <c r="A7346" s="108" t="s">
        <v>15075</v>
      </c>
      <c r="B7346" s="108" t="s">
        <v>25943</v>
      </c>
      <c r="C7346" s="109">
        <v>45261</v>
      </c>
      <c r="D7346" s="108"/>
      <c r="E7346" s="108" t="s">
        <v>14605</v>
      </c>
      <c r="F7346" s="108" t="s">
        <v>1770</v>
      </c>
      <c r="G7346" s="110"/>
      <c r="H7346" s="108" t="s">
        <v>25458</v>
      </c>
      <c r="I7346" s="108"/>
    </row>
    <row r="7347" spans="1:9" ht="27.6">
      <c r="A7347" s="108" t="s">
        <v>15075</v>
      </c>
      <c r="B7347" s="108" t="s">
        <v>25944</v>
      </c>
      <c r="C7347" s="109">
        <v>45131</v>
      </c>
      <c r="D7347" s="108"/>
      <c r="E7347" s="108" t="s">
        <v>14605</v>
      </c>
      <c r="F7347" s="108" t="s">
        <v>1307</v>
      </c>
      <c r="G7347" s="110"/>
      <c r="H7347" s="108" t="s">
        <v>25458</v>
      </c>
      <c r="I7347" s="108"/>
    </row>
    <row r="7348" spans="1:9" ht="27.6">
      <c r="A7348" s="108" t="s">
        <v>15075</v>
      </c>
      <c r="B7348" s="108" t="s">
        <v>25945</v>
      </c>
      <c r="C7348" s="109">
        <v>45140</v>
      </c>
      <c r="D7348" s="108"/>
      <c r="E7348" s="108" t="s">
        <v>14605</v>
      </c>
      <c r="F7348" s="108" t="s">
        <v>4064</v>
      </c>
      <c r="G7348" s="110"/>
      <c r="H7348" s="108" t="s">
        <v>25458</v>
      </c>
      <c r="I7348" s="108"/>
    </row>
    <row r="7349" spans="1:9" ht="27.6">
      <c r="A7349" s="108" t="s">
        <v>15075</v>
      </c>
      <c r="B7349" s="108" t="s">
        <v>25946</v>
      </c>
      <c r="C7349" s="109">
        <v>45114</v>
      </c>
      <c r="D7349" s="108"/>
      <c r="E7349" s="108" t="s">
        <v>14605</v>
      </c>
      <c r="F7349" s="108" t="s">
        <v>2206</v>
      </c>
      <c r="G7349" s="110"/>
      <c r="H7349" s="108" t="s">
        <v>25458</v>
      </c>
      <c r="I7349" s="108"/>
    </row>
    <row r="7350" spans="1:9" ht="27.6">
      <c r="A7350" s="108" t="s">
        <v>15075</v>
      </c>
      <c r="B7350" s="108" t="s">
        <v>25947</v>
      </c>
      <c r="C7350" s="109">
        <v>45377</v>
      </c>
      <c r="D7350" s="108"/>
      <c r="E7350" s="108" t="s">
        <v>14605</v>
      </c>
      <c r="F7350" s="108" t="s">
        <v>3724</v>
      </c>
      <c r="G7350" s="110"/>
      <c r="H7350" s="108" t="s">
        <v>25458</v>
      </c>
      <c r="I7350" s="108"/>
    </row>
    <row r="7351" spans="1:9" ht="27.6">
      <c r="A7351" s="108" t="s">
        <v>15075</v>
      </c>
      <c r="B7351" s="108" t="s">
        <v>25948</v>
      </c>
      <c r="C7351" s="109">
        <v>45909</v>
      </c>
      <c r="D7351" s="108"/>
      <c r="E7351" s="108" t="s">
        <v>14605</v>
      </c>
      <c r="F7351" s="108" t="s">
        <v>25949</v>
      </c>
      <c r="G7351" s="110"/>
      <c r="H7351" s="108" t="s">
        <v>25458</v>
      </c>
      <c r="I7351" s="108"/>
    </row>
    <row r="7352" spans="1:9" ht="27.6">
      <c r="A7352" s="108" t="s">
        <v>15075</v>
      </c>
      <c r="B7352" s="108" t="s">
        <v>25950</v>
      </c>
      <c r="C7352" s="109">
        <v>45103</v>
      </c>
      <c r="D7352" s="108"/>
      <c r="E7352" s="108" t="s">
        <v>14605</v>
      </c>
      <c r="F7352" s="108" t="s">
        <v>1770</v>
      </c>
      <c r="G7352" s="110"/>
      <c r="H7352" s="108" t="s">
        <v>25458</v>
      </c>
      <c r="I7352" s="108"/>
    </row>
    <row r="7353" spans="1:9" ht="27.6">
      <c r="A7353" s="108" t="s">
        <v>15075</v>
      </c>
      <c r="B7353" s="108" t="s">
        <v>25951</v>
      </c>
      <c r="C7353" s="109">
        <v>45103</v>
      </c>
      <c r="D7353" s="108"/>
      <c r="E7353" s="108" t="s">
        <v>14605</v>
      </c>
      <c r="F7353" s="108" t="s">
        <v>1916</v>
      </c>
      <c r="G7353" s="110"/>
      <c r="H7353" s="108" t="s">
        <v>25458</v>
      </c>
      <c r="I7353" s="108"/>
    </row>
    <row r="7354" spans="1:9" ht="27.6">
      <c r="A7354" s="108" t="s">
        <v>15075</v>
      </c>
      <c r="B7354" s="108" t="s">
        <v>25952</v>
      </c>
      <c r="C7354" s="109">
        <v>45104</v>
      </c>
      <c r="D7354" s="108"/>
      <c r="E7354" s="108" t="s">
        <v>14605</v>
      </c>
      <c r="F7354" s="108" t="s">
        <v>1916</v>
      </c>
      <c r="G7354" s="110"/>
      <c r="H7354" s="108" t="s">
        <v>25458</v>
      </c>
      <c r="I7354" s="108"/>
    </row>
    <row r="7355" spans="1:9" ht="27.6">
      <c r="A7355" s="108" t="s">
        <v>15075</v>
      </c>
      <c r="B7355" s="108" t="s">
        <v>25953</v>
      </c>
      <c r="C7355" s="109">
        <v>45107</v>
      </c>
      <c r="D7355" s="108"/>
      <c r="E7355" s="108" t="s">
        <v>14605</v>
      </c>
      <c r="F7355" s="108" t="s">
        <v>2694</v>
      </c>
      <c r="G7355" s="110"/>
      <c r="H7355" s="108" t="s">
        <v>25558</v>
      </c>
      <c r="I7355" s="108"/>
    </row>
    <row r="7356" spans="1:9" ht="27.6">
      <c r="A7356" s="108" t="s">
        <v>15075</v>
      </c>
      <c r="B7356" s="108" t="s">
        <v>25954</v>
      </c>
      <c r="C7356" s="109">
        <v>45100</v>
      </c>
      <c r="D7356" s="108"/>
      <c r="E7356" s="108" t="s">
        <v>14605</v>
      </c>
      <c r="F7356" s="108" t="s">
        <v>1179</v>
      </c>
      <c r="G7356" s="110"/>
      <c r="H7356" s="108" t="s">
        <v>25458</v>
      </c>
      <c r="I7356" s="108"/>
    </row>
    <row r="7357" spans="1:9" ht="27.6">
      <c r="A7357" s="108" t="s">
        <v>15075</v>
      </c>
      <c r="B7357" s="108" t="s">
        <v>25955</v>
      </c>
      <c r="C7357" s="109">
        <v>45086</v>
      </c>
      <c r="D7357" s="108"/>
      <c r="E7357" s="108" t="s">
        <v>14605</v>
      </c>
      <c r="F7357" s="108" t="s">
        <v>4732</v>
      </c>
      <c r="G7357" s="110"/>
      <c r="H7357" s="108" t="s">
        <v>25458</v>
      </c>
      <c r="I7357" s="108"/>
    </row>
    <row r="7358" spans="1:9" ht="27.6">
      <c r="A7358" s="108" t="s">
        <v>15075</v>
      </c>
      <c r="B7358" s="108" t="s">
        <v>25956</v>
      </c>
      <c r="C7358" s="109">
        <v>45118</v>
      </c>
      <c r="D7358" s="108"/>
      <c r="E7358" s="108" t="s">
        <v>14605</v>
      </c>
      <c r="F7358" s="108" t="s">
        <v>3549</v>
      </c>
      <c r="G7358" s="110"/>
      <c r="H7358" s="108" t="s">
        <v>25458</v>
      </c>
      <c r="I7358" s="108"/>
    </row>
    <row r="7359" spans="1:9" ht="27.6">
      <c r="A7359" s="108" t="s">
        <v>15075</v>
      </c>
      <c r="B7359" s="108" t="s">
        <v>25957</v>
      </c>
      <c r="C7359" s="109">
        <v>45133</v>
      </c>
      <c r="D7359" s="108"/>
      <c r="E7359" s="108" t="s">
        <v>14605</v>
      </c>
      <c r="F7359" s="108" t="s">
        <v>5145</v>
      </c>
      <c r="G7359" s="110"/>
      <c r="H7359" s="108" t="s">
        <v>25458</v>
      </c>
      <c r="I7359" s="108"/>
    </row>
    <row r="7360" spans="1:9" ht="27.6">
      <c r="A7360" s="108" t="s">
        <v>15075</v>
      </c>
      <c r="B7360" s="108" t="s">
        <v>25958</v>
      </c>
      <c r="C7360" s="109">
        <v>45149</v>
      </c>
      <c r="D7360" s="108"/>
      <c r="E7360" s="108" t="s">
        <v>14605</v>
      </c>
      <c r="F7360" s="108" t="s">
        <v>276</v>
      </c>
      <c r="G7360" s="110"/>
      <c r="H7360" s="108" t="s">
        <v>25458</v>
      </c>
      <c r="I7360" s="108"/>
    </row>
    <row r="7361" spans="1:9" ht="27.6">
      <c r="A7361" s="108" t="s">
        <v>15075</v>
      </c>
      <c r="B7361" s="108" t="s">
        <v>25959</v>
      </c>
      <c r="C7361" s="109">
        <v>45365</v>
      </c>
      <c r="D7361" s="108"/>
      <c r="E7361" s="108" t="s">
        <v>14605</v>
      </c>
      <c r="F7361" s="108" t="s">
        <v>16674</v>
      </c>
      <c r="G7361" s="110"/>
      <c r="H7361" s="108" t="s">
        <v>25458</v>
      </c>
      <c r="I7361" s="108"/>
    </row>
    <row r="7362" spans="1:9" ht="27.6">
      <c r="A7362" s="108" t="s">
        <v>15075</v>
      </c>
      <c r="B7362" s="108" t="s">
        <v>25960</v>
      </c>
      <c r="C7362" s="109">
        <v>45221</v>
      </c>
      <c r="D7362" s="108"/>
      <c r="E7362" s="108" t="s">
        <v>14605</v>
      </c>
      <c r="F7362" s="108" t="s">
        <v>5033</v>
      </c>
      <c r="G7362" s="110"/>
      <c r="H7362" s="108" t="s">
        <v>25458</v>
      </c>
      <c r="I7362" s="108"/>
    </row>
    <row r="7363" spans="1:9" ht="27.6">
      <c r="A7363" s="108" t="s">
        <v>15075</v>
      </c>
      <c r="B7363" s="108" t="s">
        <v>25961</v>
      </c>
      <c r="C7363" s="109">
        <v>45119</v>
      </c>
      <c r="D7363" s="108"/>
      <c r="E7363" s="108" t="s">
        <v>14605</v>
      </c>
      <c r="F7363" s="108" t="s">
        <v>3687</v>
      </c>
      <c r="G7363" s="110"/>
      <c r="H7363" s="108" t="s">
        <v>25458</v>
      </c>
      <c r="I7363" s="108"/>
    </row>
    <row r="7364" spans="1:9" ht="27.6">
      <c r="A7364" s="108" t="s">
        <v>15075</v>
      </c>
      <c r="B7364" s="108" t="s">
        <v>25962</v>
      </c>
      <c r="C7364" s="109">
        <v>45328</v>
      </c>
      <c r="D7364" s="108"/>
      <c r="E7364" s="108" t="s">
        <v>14605</v>
      </c>
      <c r="F7364" s="108" t="s">
        <v>5145</v>
      </c>
      <c r="G7364" s="110"/>
      <c r="H7364" s="108" t="s">
        <v>25458</v>
      </c>
      <c r="I7364" s="108"/>
    </row>
    <row r="7365" spans="1:9" ht="27.6">
      <c r="A7365" s="108" t="s">
        <v>15075</v>
      </c>
      <c r="B7365" s="108" t="s">
        <v>25963</v>
      </c>
      <c r="C7365" s="109">
        <v>45106</v>
      </c>
      <c r="D7365" s="108"/>
      <c r="E7365" s="108" t="s">
        <v>14605</v>
      </c>
      <c r="F7365" s="108" t="s">
        <v>5145</v>
      </c>
      <c r="G7365" s="110"/>
      <c r="H7365" s="108" t="s">
        <v>25458</v>
      </c>
      <c r="I7365" s="108"/>
    </row>
    <row r="7366" spans="1:9" ht="27.6">
      <c r="A7366" s="108" t="s">
        <v>15075</v>
      </c>
      <c r="B7366" s="108" t="s">
        <v>25964</v>
      </c>
      <c r="C7366" s="109">
        <v>45126</v>
      </c>
      <c r="D7366" s="108"/>
      <c r="E7366" s="108" t="s">
        <v>14605</v>
      </c>
      <c r="F7366" s="108" t="s">
        <v>5030</v>
      </c>
      <c r="G7366" s="110"/>
      <c r="H7366" s="108" t="s">
        <v>25458</v>
      </c>
      <c r="I7366" s="108"/>
    </row>
    <row r="7367" spans="1:9" ht="27.6">
      <c r="A7367" s="108" t="s">
        <v>15075</v>
      </c>
      <c r="B7367" s="108" t="s">
        <v>25965</v>
      </c>
      <c r="C7367" s="109">
        <v>45131</v>
      </c>
      <c r="D7367" s="108"/>
      <c r="E7367" s="108" t="s">
        <v>14605</v>
      </c>
      <c r="F7367" s="108" t="s">
        <v>3836</v>
      </c>
      <c r="G7367" s="110"/>
      <c r="H7367" s="108" t="s">
        <v>25458</v>
      </c>
      <c r="I7367" s="108"/>
    </row>
    <row r="7368" spans="1:9" ht="27.6">
      <c r="A7368" s="108" t="s">
        <v>15075</v>
      </c>
      <c r="B7368" s="108" t="s">
        <v>25966</v>
      </c>
      <c r="C7368" s="109">
        <v>45483</v>
      </c>
      <c r="D7368" s="108"/>
      <c r="E7368" s="108" t="s">
        <v>14605</v>
      </c>
      <c r="F7368" s="108" t="s">
        <v>25667</v>
      </c>
      <c r="G7368" s="110"/>
      <c r="H7368" s="108" t="s">
        <v>25458</v>
      </c>
      <c r="I7368" s="108"/>
    </row>
    <row r="7369" spans="1:9" ht="27.6">
      <c r="A7369" s="108" t="s">
        <v>15075</v>
      </c>
      <c r="B7369" s="108" t="s">
        <v>25967</v>
      </c>
      <c r="C7369" s="109">
        <v>45327</v>
      </c>
      <c r="D7369" s="108"/>
      <c r="E7369" s="108" t="s">
        <v>14605</v>
      </c>
      <c r="F7369" s="108" t="s">
        <v>845</v>
      </c>
      <c r="G7369" s="110"/>
      <c r="H7369" s="108" t="s">
        <v>25458</v>
      </c>
      <c r="I7369" s="108"/>
    </row>
    <row r="7370" spans="1:9" ht="27.6">
      <c r="A7370" s="108" t="s">
        <v>15075</v>
      </c>
      <c r="B7370" s="108" t="s">
        <v>25968</v>
      </c>
      <c r="C7370" s="109">
        <v>45139</v>
      </c>
      <c r="D7370" s="108"/>
      <c r="E7370" s="108" t="s">
        <v>14605</v>
      </c>
      <c r="F7370" s="108" t="s">
        <v>1209</v>
      </c>
      <c r="G7370" s="110"/>
      <c r="H7370" s="108" t="s">
        <v>25458</v>
      </c>
      <c r="I7370" s="108"/>
    </row>
    <row r="7371" spans="1:9" ht="27.6">
      <c r="A7371" s="108" t="s">
        <v>15075</v>
      </c>
      <c r="B7371" s="108" t="s">
        <v>25969</v>
      </c>
      <c r="C7371" s="109">
        <v>45208</v>
      </c>
      <c r="D7371" s="108"/>
      <c r="E7371" s="108" t="s">
        <v>14605</v>
      </c>
      <c r="F7371" s="108" t="s">
        <v>845</v>
      </c>
      <c r="G7371" s="110"/>
      <c r="H7371" s="108" t="s">
        <v>25458</v>
      </c>
      <c r="I7371" s="108"/>
    </row>
    <row r="7372" spans="1:9" ht="27.6">
      <c r="A7372" s="108" t="s">
        <v>15075</v>
      </c>
      <c r="B7372" s="108" t="s">
        <v>25970</v>
      </c>
      <c r="C7372" s="109">
        <v>45127</v>
      </c>
      <c r="D7372" s="108"/>
      <c r="E7372" s="108" t="s">
        <v>14605</v>
      </c>
      <c r="F7372" s="108" t="s">
        <v>1470</v>
      </c>
      <c r="G7372" s="110"/>
      <c r="H7372" s="108" t="s">
        <v>25458</v>
      </c>
      <c r="I7372" s="108"/>
    </row>
    <row r="7373" spans="1:9" ht="27.6">
      <c r="A7373" s="108" t="s">
        <v>15075</v>
      </c>
      <c r="B7373" s="108" t="s">
        <v>25971</v>
      </c>
      <c r="C7373" s="109">
        <v>45141</v>
      </c>
      <c r="D7373" s="108"/>
      <c r="E7373" s="108" t="s">
        <v>14605</v>
      </c>
      <c r="F7373" s="108" t="s">
        <v>394</v>
      </c>
      <c r="G7373" s="110"/>
      <c r="H7373" s="108" t="s">
        <v>25458</v>
      </c>
      <c r="I7373" s="108"/>
    </row>
    <row r="7374" spans="1:9" ht="27.6">
      <c r="A7374" s="108" t="s">
        <v>15075</v>
      </c>
      <c r="B7374" s="108" t="s">
        <v>25972</v>
      </c>
      <c r="C7374" s="109">
        <v>45180</v>
      </c>
      <c r="D7374" s="108"/>
      <c r="E7374" s="108" t="s">
        <v>14605</v>
      </c>
      <c r="F7374" s="108" t="s">
        <v>390</v>
      </c>
      <c r="G7374" s="110"/>
      <c r="H7374" s="108" t="s">
        <v>25458</v>
      </c>
      <c r="I7374" s="108"/>
    </row>
    <row r="7375" spans="1:9" ht="27.6">
      <c r="A7375" s="108" t="s">
        <v>15075</v>
      </c>
      <c r="B7375" s="108" t="s">
        <v>25973</v>
      </c>
      <c r="C7375" s="109">
        <v>45138</v>
      </c>
      <c r="D7375" s="108"/>
      <c r="E7375" s="108" t="s">
        <v>14605</v>
      </c>
      <c r="F7375" s="108" t="s">
        <v>14672</v>
      </c>
      <c r="G7375" s="110"/>
      <c r="H7375" s="108" t="s">
        <v>25458</v>
      </c>
      <c r="I7375" s="108"/>
    </row>
    <row r="7376" spans="1:9" ht="27.6">
      <c r="A7376" s="108" t="s">
        <v>15075</v>
      </c>
      <c r="B7376" s="108" t="s">
        <v>25974</v>
      </c>
      <c r="C7376" s="109">
        <v>45154</v>
      </c>
      <c r="D7376" s="108"/>
      <c r="E7376" s="108" t="s">
        <v>14605</v>
      </c>
      <c r="F7376" s="108" t="s">
        <v>5298</v>
      </c>
      <c r="G7376" s="110"/>
      <c r="H7376" s="108" t="s">
        <v>25458</v>
      </c>
      <c r="I7376" s="108"/>
    </row>
    <row r="7377" spans="1:9" ht="27.6">
      <c r="A7377" s="108" t="s">
        <v>15075</v>
      </c>
      <c r="B7377" s="108" t="s">
        <v>25975</v>
      </c>
      <c r="C7377" s="109">
        <v>45145</v>
      </c>
      <c r="D7377" s="108"/>
      <c r="E7377" s="108" t="s">
        <v>14605</v>
      </c>
      <c r="F7377" s="108" t="s">
        <v>390</v>
      </c>
      <c r="G7377" s="110"/>
      <c r="H7377" s="108" t="s">
        <v>25458</v>
      </c>
      <c r="I7377" s="108"/>
    </row>
    <row r="7378" spans="1:9" ht="27.6">
      <c r="A7378" s="108" t="s">
        <v>15075</v>
      </c>
      <c r="B7378" s="108" t="s">
        <v>25976</v>
      </c>
      <c r="C7378" s="109">
        <v>45165</v>
      </c>
      <c r="D7378" s="108"/>
      <c r="E7378" s="108" t="s">
        <v>14605</v>
      </c>
      <c r="F7378" s="108" t="s">
        <v>3044</v>
      </c>
      <c r="G7378" s="110"/>
      <c r="H7378" s="108" t="s">
        <v>25458</v>
      </c>
      <c r="I7378" s="108"/>
    </row>
    <row r="7379" spans="1:9" ht="27.6">
      <c r="A7379" s="108" t="s">
        <v>15075</v>
      </c>
      <c r="B7379" s="108" t="s">
        <v>25977</v>
      </c>
      <c r="C7379" s="109">
        <v>45161</v>
      </c>
      <c r="D7379" s="108"/>
      <c r="E7379" s="108" t="s">
        <v>14605</v>
      </c>
      <c r="F7379" s="108" t="s">
        <v>1547</v>
      </c>
      <c r="G7379" s="110"/>
      <c r="H7379" s="108" t="s">
        <v>25458</v>
      </c>
      <c r="I7379" s="108"/>
    </row>
    <row r="7380" spans="1:9" ht="27.6">
      <c r="A7380" s="108" t="s">
        <v>15075</v>
      </c>
      <c r="B7380" s="108" t="s">
        <v>25978</v>
      </c>
      <c r="C7380" s="109">
        <v>45379</v>
      </c>
      <c r="D7380" s="108"/>
      <c r="E7380" s="108" t="s">
        <v>14605</v>
      </c>
      <c r="F7380" s="108" t="s">
        <v>3802</v>
      </c>
      <c r="G7380" s="110"/>
      <c r="H7380" s="108" t="s">
        <v>25458</v>
      </c>
      <c r="I7380" s="108"/>
    </row>
    <row r="7381" spans="1:9" ht="27.6">
      <c r="A7381" s="108" t="s">
        <v>15075</v>
      </c>
      <c r="B7381" s="108" t="s">
        <v>25979</v>
      </c>
      <c r="C7381" s="109">
        <v>45245</v>
      </c>
      <c r="D7381" s="108"/>
      <c r="E7381" s="108" t="s">
        <v>14605</v>
      </c>
      <c r="F7381" s="108" t="s">
        <v>3802</v>
      </c>
      <c r="G7381" s="110"/>
      <c r="H7381" s="108" t="s">
        <v>25458</v>
      </c>
      <c r="I7381" s="108"/>
    </row>
    <row r="7382" spans="1:9" ht="27.6">
      <c r="A7382" s="108" t="s">
        <v>15075</v>
      </c>
      <c r="B7382" s="108" t="s">
        <v>25980</v>
      </c>
      <c r="C7382" s="109">
        <v>45183</v>
      </c>
      <c r="D7382" s="108"/>
      <c r="E7382" s="108" t="s">
        <v>14605</v>
      </c>
      <c r="F7382" s="108" t="s">
        <v>679</v>
      </c>
      <c r="G7382" s="110"/>
      <c r="H7382" s="108" t="s">
        <v>25458</v>
      </c>
      <c r="I7382" s="108"/>
    </row>
    <row r="7383" spans="1:9" ht="27.6">
      <c r="A7383" s="108" t="s">
        <v>15075</v>
      </c>
      <c r="B7383" s="108" t="s">
        <v>25981</v>
      </c>
      <c r="C7383" s="109">
        <v>45177</v>
      </c>
      <c r="D7383" s="108"/>
      <c r="E7383" s="108" t="s">
        <v>14605</v>
      </c>
      <c r="F7383" s="108" t="s">
        <v>2853</v>
      </c>
      <c r="G7383" s="110"/>
      <c r="H7383" s="108" t="s">
        <v>25458</v>
      </c>
      <c r="I7383" s="108"/>
    </row>
    <row r="7384" spans="1:9" ht="27.6">
      <c r="A7384" s="108" t="s">
        <v>15075</v>
      </c>
      <c r="B7384" s="108" t="s">
        <v>25982</v>
      </c>
      <c r="C7384" s="109">
        <v>45203</v>
      </c>
      <c r="D7384" s="108"/>
      <c r="E7384" s="108" t="s">
        <v>14605</v>
      </c>
      <c r="F7384" s="108" t="s">
        <v>15243</v>
      </c>
      <c r="G7384" s="110"/>
      <c r="H7384" s="108" t="s">
        <v>25458</v>
      </c>
      <c r="I7384" s="108"/>
    </row>
    <row r="7385" spans="1:9" ht="27.6">
      <c r="A7385" s="108" t="s">
        <v>15075</v>
      </c>
      <c r="B7385" s="108" t="s">
        <v>25983</v>
      </c>
      <c r="C7385" s="109">
        <v>45173</v>
      </c>
      <c r="D7385" s="108"/>
      <c r="E7385" s="108" t="s">
        <v>14605</v>
      </c>
      <c r="F7385" s="108" t="s">
        <v>1338</v>
      </c>
      <c r="G7385" s="110"/>
      <c r="H7385" s="108" t="s">
        <v>25458</v>
      </c>
      <c r="I7385" s="108"/>
    </row>
    <row r="7386" spans="1:9" ht="27.6">
      <c r="A7386" s="108" t="s">
        <v>15075</v>
      </c>
      <c r="B7386" s="108" t="s">
        <v>25984</v>
      </c>
      <c r="C7386" s="109">
        <v>45170</v>
      </c>
      <c r="D7386" s="108"/>
      <c r="E7386" s="108" t="s">
        <v>14605</v>
      </c>
      <c r="F7386" s="108" t="s">
        <v>3056</v>
      </c>
      <c r="G7386" s="110"/>
      <c r="H7386" s="108" t="s">
        <v>25458</v>
      </c>
      <c r="I7386" s="108"/>
    </row>
    <row r="7387" spans="1:9" ht="27.6">
      <c r="A7387" s="108" t="s">
        <v>15075</v>
      </c>
      <c r="B7387" s="108" t="s">
        <v>25985</v>
      </c>
      <c r="C7387" s="109">
        <v>45170</v>
      </c>
      <c r="D7387" s="108"/>
      <c r="E7387" s="108" t="s">
        <v>14605</v>
      </c>
      <c r="F7387" s="108" t="s">
        <v>2379</v>
      </c>
      <c r="G7387" s="110"/>
      <c r="H7387" s="108" t="s">
        <v>25458</v>
      </c>
      <c r="I7387" s="108"/>
    </row>
    <row r="7388" spans="1:9" ht="27.6">
      <c r="A7388" s="108" t="s">
        <v>15075</v>
      </c>
      <c r="B7388" s="108" t="s">
        <v>25986</v>
      </c>
      <c r="C7388" s="109">
        <v>45231</v>
      </c>
      <c r="D7388" s="108"/>
      <c r="E7388" s="108" t="s">
        <v>14605</v>
      </c>
      <c r="F7388" s="108" t="s">
        <v>15303</v>
      </c>
      <c r="G7388" s="110"/>
      <c r="H7388" s="108" t="s">
        <v>25458</v>
      </c>
      <c r="I7388" s="108"/>
    </row>
    <row r="7389" spans="1:9" ht="27.6">
      <c r="A7389" s="108" t="s">
        <v>15075</v>
      </c>
      <c r="B7389" s="108" t="s">
        <v>25987</v>
      </c>
      <c r="C7389" s="109">
        <v>45175</v>
      </c>
      <c r="D7389" s="108"/>
      <c r="E7389" s="108" t="s">
        <v>14605</v>
      </c>
      <c r="F7389" s="108" t="s">
        <v>3053</v>
      </c>
      <c r="G7389" s="110"/>
      <c r="H7389" s="108" t="s">
        <v>25458</v>
      </c>
      <c r="I7389" s="108"/>
    </row>
    <row r="7390" spans="1:9" ht="27.6">
      <c r="A7390" s="108" t="s">
        <v>15075</v>
      </c>
      <c r="B7390" s="108" t="s">
        <v>25988</v>
      </c>
      <c r="C7390" s="109">
        <v>45166</v>
      </c>
      <c r="D7390" s="108"/>
      <c r="E7390" s="108" t="s">
        <v>14605</v>
      </c>
      <c r="F7390" s="108" t="s">
        <v>3994</v>
      </c>
      <c r="G7390" s="110"/>
      <c r="H7390" s="108" t="s">
        <v>25458</v>
      </c>
      <c r="I7390" s="108"/>
    </row>
    <row r="7391" spans="1:9" ht="27.6">
      <c r="A7391" s="108" t="s">
        <v>15075</v>
      </c>
      <c r="B7391" s="108" t="s">
        <v>25989</v>
      </c>
      <c r="C7391" s="109">
        <v>45180</v>
      </c>
      <c r="D7391" s="108"/>
      <c r="E7391" s="108" t="s">
        <v>14605</v>
      </c>
      <c r="F7391" s="108" t="s">
        <v>1204</v>
      </c>
      <c r="G7391" s="110"/>
      <c r="H7391" s="108" t="s">
        <v>25458</v>
      </c>
      <c r="I7391" s="108"/>
    </row>
    <row r="7392" spans="1:9" ht="27.6">
      <c r="A7392" s="108" t="s">
        <v>15075</v>
      </c>
      <c r="B7392" s="108" t="s">
        <v>25990</v>
      </c>
      <c r="C7392" s="109">
        <v>45202</v>
      </c>
      <c r="D7392" s="108"/>
      <c r="E7392" s="108" t="s">
        <v>14605</v>
      </c>
      <c r="F7392" s="108" t="s">
        <v>3620</v>
      </c>
      <c r="G7392" s="110"/>
      <c r="H7392" s="108" t="s">
        <v>25458</v>
      </c>
      <c r="I7392" s="108"/>
    </row>
    <row r="7393" spans="1:9" ht="27.6">
      <c r="A7393" s="108" t="s">
        <v>15075</v>
      </c>
      <c r="B7393" s="108" t="s">
        <v>25991</v>
      </c>
      <c r="C7393" s="109">
        <v>45261</v>
      </c>
      <c r="D7393" s="108"/>
      <c r="E7393" s="108" t="s">
        <v>14605</v>
      </c>
      <c r="F7393" s="108" t="s">
        <v>5145</v>
      </c>
      <c r="G7393" s="110"/>
      <c r="H7393" s="108" t="s">
        <v>25458</v>
      </c>
      <c r="I7393" s="108"/>
    </row>
    <row r="7394" spans="1:9" ht="27.6">
      <c r="A7394" s="108" t="s">
        <v>15075</v>
      </c>
      <c r="B7394" s="108" t="s">
        <v>25992</v>
      </c>
      <c r="C7394" s="109">
        <v>45272</v>
      </c>
      <c r="D7394" s="108"/>
      <c r="E7394" s="108" t="s">
        <v>14605</v>
      </c>
      <c r="F7394" s="108" t="s">
        <v>5145</v>
      </c>
      <c r="G7394" s="110"/>
      <c r="H7394" s="108" t="s">
        <v>25458</v>
      </c>
      <c r="I7394" s="108"/>
    </row>
    <row r="7395" spans="1:9" ht="27.6">
      <c r="A7395" s="108" t="s">
        <v>15075</v>
      </c>
      <c r="B7395" s="108" t="s">
        <v>25993</v>
      </c>
      <c r="C7395" s="109">
        <v>45217</v>
      </c>
      <c r="D7395" s="108"/>
      <c r="E7395" s="108" t="s">
        <v>14605</v>
      </c>
      <c r="F7395" s="108" t="s">
        <v>816</v>
      </c>
      <c r="G7395" s="110"/>
      <c r="H7395" s="108" t="s">
        <v>25458</v>
      </c>
      <c r="I7395" s="108"/>
    </row>
    <row r="7396" spans="1:9" ht="27.6">
      <c r="A7396" s="108" t="s">
        <v>15075</v>
      </c>
      <c r="B7396" s="108" t="s">
        <v>25994</v>
      </c>
      <c r="C7396" s="109">
        <v>45219</v>
      </c>
      <c r="D7396" s="108"/>
      <c r="E7396" s="108" t="s">
        <v>14605</v>
      </c>
      <c r="F7396" s="108" t="s">
        <v>816</v>
      </c>
      <c r="G7396" s="110"/>
      <c r="H7396" s="108" t="s">
        <v>25458</v>
      </c>
      <c r="I7396" s="108"/>
    </row>
    <row r="7397" spans="1:9" ht="27.6">
      <c r="A7397" s="108" t="s">
        <v>15075</v>
      </c>
      <c r="B7397" s="108" t="s">
        <v>25995</v>
      </c>
      <c r="C7397" s="109">
        <v>45217</v>
      </c>
      <c r="D7397" s="108"/>
      <c r="E7397" s="108" t="s">
        <v>14605</v>
      </c>
      <c r="F7397" s="108" t="s">
        <v>449</v>
      </c>
      <c r="G7397" s="110"/>
      <c r="H7397" s="108" t="s">
        <v>25458</v>
      </c>
      <c r="I7397" s="108"/>
    </row>
    <row r="7398" spans="1:9" ht="27.6">
      <c r="A7398" s="108" t="s">
        <v>15075</v>
      </c>
      <c r="B7398" s="108" t="s">
        <v>25996</v>
      </c>
      <c r="C7398" s="109">
        <v>45204</v>
      </c>
      <c r="D7398" s="108"/>
      <c r="E7398" s="108" t="s">
        <v>14605</v>
      </c>
      <c r="F7398" s="108" t="s">
        <v>2538</v>
      </c>
      <c r="G7398" s="110"/>
      <c r="H7398" s="108" t="s">
        <v>25458</v>
      </c>
      <c r="I7398" s="108"/>
    </row>
    <row r="7399" spans="1:9" ht="27.6">
      <c r="A7399" s="108" t="s">
        <v>15075</v>
      </c>
      <c r="B7399" s="108" t="s">
        <v>25997</v>
      </c>
      <c r="C7399" s="109">
        <v>45237</v>
      </c>
      <c r="D7399" s="108"/>
      <c r="E7399" s="108" t="s">
        <v>14605</v>
      </c>
      <c r="F7399" s="108" t="s">
        <v>1397</v>
      </c>
      <c r="G7399" s="110"/>
      <c r="H7399" s="108" t="s">
        <v>25458</v>
      </c>
      <c r="I7399" s="108"/>
    </row>
    <row r="7400" spans="1:9" ht="27.6">
      <c r="A7400" s="108" t="s">
        <v>15075</v>
      </c>
      <c r="B7400" s="108" t="s">
        <v>25998</v>
      </c>
      <c r="C7400" s="109">
        <v>45203</v>
      </c>
      <c r="D7400" s="108"/>
      <c r="E7400" s="108" t="s">
        <v>14605</v>
      </c>
      <c r="F7400" s="108" t="s">
        <v>3493</v>
      </c>
      <c r="G7400" s="110"/>
      <c r="H7400" s="108" t="s">
        <v>25458</v>
      </c>
      <c r="I7400" s="108"/>
    </row>
    <row r="7401" spans="1:9" ht="27.6">
      <c r="A7401" s="108" t="s">
        <v>15075</v>
      </c>
      <c r="B7401" s="108" t="s">
        <v>25999</v>
      </c>
      <c r="C7401" s="109">
        <v>45203</v>
      </c>
      <c r="D7401" s="108"/>
      <c r="E7401" s="108" t="s">
        <v>14605</v>
      </c>
      <c r="F7401" s="108" t="s">
        <v>26000</v>
      </c>
      <c r="G7401" s="110"/>
      <c r="H7401" s="108" t="s">
        <v>25458</v>
      </c>
      <c r="I7401" s="108"/>
    </row>
    <row r="7402" spans="1:9" ht="27.6">
      <c r="A7402" s="108" t="s">
        <v>15075</v>
      </c>
      <c r="B7402" s="108" t="s">
        <v>26001</v>
      </c>
      <c r="C7402" s="109">
        <v>45236</v>
      </c>
      <c r="D7402" s="108"/>
      <c r="E7402" s="108" t="s">
        <v>14605</v>
      </c>
      <c r="F7402" s="108" t="s">
        <v>16000</v>
      </c>
      <c r="G7402" s="110"/>
      <c r="H7402" s="108" t="s">
        <v>25458</v>
      </c>
      <c r="I7402" s="108"/>
    </row>
    <row r="7403" spans="1:9" ht="27.6">
      <c r="A7403" s="108" t="s">
        <v>15075</v>
      </c>
      <c r="B7403" s="108" t="s">
        <v>26002</v>
      </c>
      <c r="C7403" s="109">
        <v>45240</v>
      </c>
      <c r="D7403" s="108"/>
      <c r="E7403" s="108" t="s">
        <v>14605</v>
      </c>
      <c r="F7403" s="108" t="s">
        <v>5052</v>
      </c>
      <c r="G7403" s="110"/>
      <c r="H7403" s="108" t="s">
        <v>25458</v>
      </c>
      <c r="I7403" s="108"/>
    </row>
    <row r="7404" spans="1:9" ht="27.6">
      <c r="A7404" s="108" t="s">
        <v>15075</v>
      </c>
      <c r="B7404" s="108" t="s">
        <v>26003</v>
      </c>
      <c r="C7404" s="109">
        <v>45184</v>
      </c>
      <c r="D7404" s="108"/>
      <c r="E7404" s="108" t="s">
        <v>14605</v>
      </c>
      <c r="F7404" s="108" t="s">
        <v>15243</v>
      </c>
      <c r="G7404" s="110"/>
      <c r="H7404" s="108" t="s">
        <v>25458</v>
      </c>
      <c r="I7404" s="108"/>
    </row>
    <row r="7405" spans="1:9" ht="27.6">
      <c r="A7405" s="108" t="s">
        <v>15075</v>
      </c>
      <c r="B7405" s="108" t="s">
        <v>26004</v>
      </c>
      <c r="C7405" s="109">
        <v>45205</v>
      </c>
      <c r="D7405" s="108"/>
      <c r="E7405" s="108" t="s">
        <v>14605</v>
      </c>
      <c r="F7405" s="108" t="s">
        <v>714</v>
      </c>
      <c r="G7405" s="110"/>
      <c r="H7405" s="108" t="s">
        <v>25458</v>
      </c>
      <c r="I7405" s="108"/>
    </row>
    <row r="7406" spans="1:9" ht="27.6">
      <c r="A7406" s="108" t="s">
        <v>15075</v>
      </c>
      <c r="B7406" s="108" t="s">
        <v>26005</v>
      </c>
      <c r="C7406" s="109">
        <v>45233</v>
      </c>
      <c r="D7406" s="108"/>
      <c r="E7406" s="108" t="s">
        <v>14605</v>
      </c>
      <c r="F7406" s="108" t="s">
        <v>724</v>
      </c>
      <c r="G7406" s="110"/>
      <c r="H7406" s="108" t="s">
        <v>25458</v>
      </c>
      <c r="I7406" s="108"/>
    </row>
    <row r="7407" spans="1:9" ht="27.6">
      <c r="A7407" s="108" t="s">
        <v>15075</v>
      </c>
      <c r="B7407" s="108" t="s">
        <v>26006</v>
      </c>
      <c r="C7407" s="109">
        <v>45236</v>
      </c>
      <c r="D7407" s="108"/>
      <c r="E7407" s="108" t="s">
        <v>14605</v>
      </c>
      <c r="F7407" s="108" t="s">
        <v>1381</v>
      </c>
      <c r="G7407" s="110"/>
      <c r="H7407" s="108" t="s">
        <v>25458</v>
      </c>
      <c r="I7407" s="108"/>
    </row>
    <row r="7408" spans="1:9" ht="27.6">
      <c r="A7408" s="108" t="s">
        <v>15075</v>
      </c>
      <c r="B7408" s="108" t="s">
        <v>26007</v>
      </c>
      <c r="C7408" s="109">
        <v>45210</v>
      </c>
      <c r="D7408" s="108"/>
      <c r="E7408" s="108" t="s">
        <v>14605</v>
      </c>
      <c r="F7408" s="108" t="s">
        <v>5116</v>
      </c>
      <c r="G7408" s="110"/>
      <c r="H7408" s="108" t="s">
        <v>25458</v>
      </c>
      <c r="I7408" s="108"/>
    </row>
    <row r="7409" spans="1:9" ht="27.6">
      <c r="A7409" s="108" t="s">
        <v>15075</v>
      </c>
      <c r="B7409" s="108" t="s">
        <v>26008</v>
      </c>
      <c r="C7409" s="109">
        <v>45211</v>
      </c>
      <c r="D7409" s="108"/>
      <c r="E7409" s="108" t="s">
        <v>14605</v>
      </c>
      <c r="F7409" s="108" t="s">
        <v>220</v>
      </c>
      <c r="G7409" s="110"/>
      <c r="H7409" s="108" t="s">
        <v>25458</v>
      </c>
      <c r="I7409" s="108"/>
    </row>
    <row r="7410" spans="1:9" ht="27.6">
      <c r="A7410" s="108" t="s">
        <v>15075</v>
      </c>
      <c r="B7410" s="108" t="s">
        <v>26009</v>
      </c>
      <c r="C7410" s="109">
        <v>45218</v>
      </c>
      <c r="D7410" s="108"/>
      <c r="E7410" s="108" t="s">
        <v>14605</v>
      </c>
      <c r="F7410" s="108" t="s">
        <v>129</v>
      </c>
      <c r="G7410" s="110"/>
      <c r="H7410" s="108" t="s">
        <v>25458</v>
      </c>
      <c r="I7410" s="108"/>
    </row>
    <row r="7411" spans="1:9" ht="27.6">
      <c r="A7411" s="108" t="s">
        <v>15075</v>
      </c>
      <c r="B7411" s="108" t="s">
        <v>26010</v>
      </c>
      <c r="C7411" s="109">
        <v>45392</v>
      </c>
      <c r="D7411" s="108"/>
      <c r="E7411" s="108" t="s">
        <v>14605</v>
      </c>
      <c r="F7411" s="108" t="s">
        <v>3817</v>
      </c>
      <c r="G7411" s="110"/>
      <c r="H7411" s="108" t="s">
        <v>25458</v>
      </c>
      <c r="I7411" s="108"/>
    </row>
    <row r="7412" spans="1:9" ht="27.6">
      <c r="A7412" s="108" t="s">
        <v>15075</v>
      </c>
      <c r="B7412" s="108" t="s">
        <v>26011</v>
      </c>
      <c r="C7412" s="109">
        <v>45392</v>
      </c>
      <c r="D7412" s="108"/>
      <c r="E7412" s="108" t="s">
        <v>14605</v>
      </c>
      <c r="F7412" s="108" t="s">
        <v>3817</v>
      </c>
      <c r="G7412" s="110"/>
      <c r="H7412" s="108" t="s">
        <v>25458</v>
      </c>
      <c r="I7412" s="108"/>
    </row>
    <row r="7413" spans="1:9" ht="27.6">
      <c r="A7413" s="108" t="s">
        <v>15075</v>
      </c>
      <c r="B7413" s="108" t="s">
        <v>26012</v>
      </c>
      <c r="C7413" s="109">
        <v>45331</v>
      </c>
      <c r="D7413" s="108"/>
      <c r="E7413" s="108" t="s">
        <v>14605</v>
      </c>
      <c r="F7413" s="108" t="s">
        <v>4920</v>
      </c>
      <c r="G7413" s="110"/>
      <c r="H7413" s="108" t="s">
        <v>25458</v>
      </c>
      <c r="I7413" s="108"/>
    </row>
    <row r="7414" spans="1:9" ht="27.6">
      <c r="A7414" s="108" t="s">
        <v>15075</v>
      </c>
      <c r="B7414" s="108" t="s">
        <v>26013</v>
      </c>
      <c r="C7414" s="109">
        <v>45232</v>
      </c>
      <c r="D7414" s="108"/>
      <c r="E7414" s="108" t="s">
        <v>14605</v>
      </c>
      <c r="F7414" s="108" t="s">
        <v>1033</v>
      </c>
      <c r="G7414" s="110"/>
      <c r="H7414" s="108" t="s">
        <v>25458</v>
      </c>
      <c r="I7414" s="108"/>
    </row>
    <row r="7415" spans="1:9" ht="27.6">
      <c r="A7415" s="108" t="s">
        <v>15075</v>
      </c>
      <c r="B7415" s="108" t="s">
        <v>26014</v>
      </c>
      <c r="C7415" s="109">
        <v>45307</v>
      </c>
      <c r="D7415" s="108"/>
      <c r="E7415" s="108" t="s">
        <v>14605</v>
      </c>
      <c r="F7415" s="108" t="s">
        <v>1941</v>
      </c>
      <c r="G7415" s="110"/>
      <c r="H7415" s="108" t="s">
        <v>25458</v>
      </c>
      <c r="I7415" s="108"/>
    </row>
    <row r="7416" spans="1:9" ht="27.6">
      <c r="A7416" s="108" t="s">
        <v>15075</v>
      </c>
      <c r="B7416" s="108" t="s">
        <v>26015</v>
      </c>
      <c r="C7416" s="109">
        <v>45307</v>
      </c>
      <c r="D7416" s="108"/>
      <c r="E7416" s="108" t="s">
        <v>14605</v>
      </c>
      <c r="F7416" s="108" t="s">
        <v>1941</v>
      </c>
      <c r="G7416" s="110"/>
      <c r="H7416" s="108" t="s">
        <v>25458</v>
      </c>
      <c r="I7416" s="108"/>
    </row>
    <row r="7417" spans="1:9" ht="27.6">
      <c r="A7417" s="108" t="s">
        <v>15075</v>
      </c>
      <c r="B7417" s="108" t="s">
        <v>26016</v>
      </c>
      <c r="C7417" s="109">
        <v>45307</v>
      </c>
      <c r="D7417" s="108"/>
      <c r="E7417" s="108" t="s">
        <v>14605</v>
      </c>
      <c r="F7417" s="108" t="s">
        <v>1941</v>
      </c>
      <c r="G7417" s="110"/>
      <c r="H7417" s="108" t="s">
        <v>25458</v>
      </c>
      <c r="I7417" s="108"/>
    </row>
    <row r="7418" spans="1:9" ht="27.6">
      <c r="A7418" s="108" t="s">
        <v>15075</v>
      </c>
      <c r="B7418" s="108" t="s">
        <v>26017</v>
      </c>
      <c r="C7418" s="109">
        <v>45222</v>
      </c>
      <c r="D7418" s="108"/>
      <c r="E7418" s="108" t="s">
        <v>14605</v>
      </c>
      <c r="F7418" s="108" t="s">
        <v>1322</v>
      </c>
      <c r="G7418" s="110"/>
      <c r="H7418" s="108" t="s">
        <v>25458</v>
      </c>
      <c r="I7418" s="108"/>
    </row>
    <row r="7419" spans="1:9" ht="27.6">
      <c r="A7419" s="108" t="s">
        <v>15075</v>
      </c>
      <c r="B7419" s="108" t="s">
        <v>26018</v>
      </c>
      <c r="C7419" s="109">
        <v>45307</v>
      </c>
      <c r="D7419" s="108"/>
      <c r="E7419" s="108" t="s">
        <v>14605</v>
      </c>
      <c r="F7419" s="108" t="s">
        <v>1941</v>
      </c>
      <c r="G7419" s="110"/>
      <c r="H7419" s="108" t="s">
        <v>25458</v>
      </c>
      <c r="I7419" s="108"/>
    </row>
    <row r="7420" spans="1:9" ht="27.6">
      <c r="A7420" s="108" t="s">
        <v>15075</v>
      </c>
      <c r="B7420" s="108" t="s">
        <v>26019</v>
      </c>
      <c r="C7420" s="109">
        <v>45278</v>
      </c>
      <c r="D7420" s="108"/>
      <c r="E7420" s="108" t="s">
        <v>14605</v>
      </c>
      <c r="F7420" s="108" t="s">
        <v>26020</v>
      </c>
      <c r="G7420" s="110"/>
      <c r="H7420" s="108" t="s">
        <v>25458</v>
      </c>
      <c r="I7420" s="108"/>
    </row>
    <row r="7421" spans="1:9" ht="27.6">
      <c r="A7421" s="108" t="s">
        <v>15075</v>
      </c>
      <c r="B7421" s="108" t="s">
        <v>26021</v>
      </c>
      <c r="C7421" s="109">
        <v>45378</v>
      </c>
      <c r="D7421" s="108"/>
      <c r="E7421" s="108" t="s">
        <v>14605</v>
      </c>
      <c r="F7421" s="108" t="s">
        <v>2694</v>
      </c>
      <c r="G7421" s="110"/>
      <c r="H7421" s="108" t="s">
        <v>25458</v>
      </c>
      <c r="I7421" s="108"/>
    </row>
    <row r="7422" spans="1:9" ht="27.6">
      <c r="A7422" s="108" t="s">
        <v>15075</v>
      </c>
      <c r="B7422" s="108" t="s">
        <v>26022</v>
      </c>
      <c r="C7422" s="109">
        <v>45282</v>
      </c>
      <c r="D7422" s="108"/>
      <c r="E7422" s="108" t="s">
        <v>14605</v>
      </c>
      <c r="F7422" s="108" t="s">
        <v>321</v>
      </c>
      <c r="G7422" s="110"/>
      <c r="H7422" s="108" t="s">
        <v>25458</v>
      </c>
      <c r="I7422" s="108"/>
    </row>
    <row r="7423" spans="1:9" ht="27.6">
      <c r="A7423" s="108" t="s">
        <v>15075</v>
      </c>
      <c r="B7423" s="108" t="s">
        <v>26023</v>
      </c>
      <c r="C7423" s="109">
        <v>45244</v>
      </c>
      <c r="D7423" s="108"/>
      <c r="E7423" s="108" t="s">
        <v>14605</v>
      </c>
      <c r="F7423" s="108" t="s">
        <v>15251</v>
      </c>
      <c r="G7423" s="110"/>
      <c r="H7423" s="108" t="s">
        <v>25458</v>
      </c>
      <c r="I7423" s="108"/>
    </row>
    <row r="7424" spans="1:9" ht="27.6">
      <c r="A7424" s="108" t="s">
        <v>15075</v>
      </c>
      <c r="B7424" s="108" t="s">
        <v>26024</v>
      </c>
      <c r="C7424" s="109">
        <v>45335</v>
      </c>
      <c r="D7424" s="108"/>
      <c r="E7424" s="108" t="s">
        <v>14605</v>
      </c>
      <c r="F7424" s="108" t="s">
        <v>933</v>
      </c>
      <c r="G7424" s="110"/>
      <c r="H7424" s="108" t="s">
        <v>25458</v>
      </c>
      <c r="I7424" s="108"/>
    </row>
    <row r="7425" spans="1:9" ht="27.6">
      <c r="A7425" s="108" t="s">
        <v>15075</v>
      </c>
      <c r="B7425" s="108" t="s">
        <v>26025</v>
      </c>
      <c r="C7425" s="109">
        <v>45263</v>
      </c>
      <c r="D7425" s="108"/>
      <c r="E7425" s="108" t="s">
        <v>14605</v>
      </c>
      <c r="F7425" s="108" t="s">
        <v>933</v>
      </c>
      <c r="G7425" s="110"/>
      <c r="H7425" s="108" t="s">
        <v>25458</v>
      </c>
      <c r="I7425" s="108"/>
    </row>
    <row r="7426" spans="1:9" ht="27.6">
      <c r="A7426" s="108" t="s">
        <v>15075</v>
      </c>
      <c r="B7426" s="108" t="s">
        <v>26026</v>
      </c>
      <c r="C7426" s="109">
        <v>45263</v>
      </c>
      <c r="D7426" s="108"/>
      <c r="E7426" s="108" t="s">
        <v>14605</v>
      </c>
      <c r="F7426" s="108" t="s">
        <v>933</v>
      </c>
      <c r="G7426" s="110"/>
      <c r="H7426" s="108" t="s">
        <v>25458</v>
      </c>
      <c r="I7426" s="108"/>
    </row>
    <row r="7427" spans="1:9" ht="27.6">
      <c r="A7427" s="108" t="s">
        <v>15075</v>
      </c>
      <c r="B7427" s="108" t="s">
        <v>26027</v>
      </c>
      <c r="C7427" s="109">
        <v>45260</v>
      </c>
      <c r="D7427" s="108"/>
      <c r="E7427" s="108" t="s">
        <v>14605</v>
      </c>
      <c r="F7427" s="108" t="s">
        <v>1916</v>
      </c>
      <c r="G7427" s="110"/>
      <c r="H7427" s="108" t="s">
        <v>25458</v>
      </c>
      <c r="I7427" s="108"/>
    </row>
    <row r="7428" spans="1:9" ht="27.6">
      <c r="A7428" s="108" t="s">
        <v>15075</v>
      </c>
      <c r="B7428" s="108" t="s">
        <v>26028</v>
      </c>
      <c r="C7428" s="109">
        <v>45273</v>
      </c>
      <c r="D7428" s="108"/>
      <c r="E7428" s="108" t="s">
        <v>14605</v>
      </c>
      <c r="F7428" s="108" t="s">
        <v>1916</v>
      </c>
      <c r="G7428" s="110"/>
      <c r="H7428" s="108" t="s">
        <v>25458</v>
      </c>
      <c r="I7428" s="108"/>
    </row>
    <row r="7429" spans="1:9" ht="27.6">
      <c r="A7429" s="108" t="s">
        <v>15075</v>
      </c>
      <c r="B7429" s="108" t="s">
        <v>26029</v>
      </c>
      <c r="C7429" s="109">
        <v>45244</v>
      </c>
      <c r="D7429" s="108"/>
      <c r="E7429" s="108" t="s">
        <v>14605</v>
      </c>
      <c r="F7429" s="108" t="s">
        <v>2694</v>
      </c>
      <c r="G7429" s="110"/>
      <c r="H7429" s="108" t="s">
        <v>25458</v>
      </c>
      <c r="I7429" s="108"/>
    </row>
    <row r="7430" spans="1:9" ht="27.6">
      <c r="A7430" s="108" t="s">
        <v>15075</v>
      </c>
      <c r="B7430" s="108" t="s">
        <v>26030</v>
      </c>
      <c r="C7430" s="109">
        <v>45231</v>
      </c>
      <c r="D7430" s="108"/>
      <c r="E7430" s="108" t="s">
        <v>14605</v>
      </c>
      <c r="F7430" s="108" t="s">
        <v>5113</v>
      </c>
      <c r="G7430" s="110"/>
      <c r="H7430" s="108" t="s">
        <v>25458</v>
      </c>
      <c r="I7430" s="108"/>
    </row>
    <row r="7431" spans="1:9" ht="27.6">
      <c r="A7431" s="108" t="s">
        <v>15075</v>
      </c>
      <c r="B7431" s="108" t="s">
        <v>26031</v>
      </c>
      <c r="C7431" s="109">
        <v>45299</v>
      </c>
      <c r="D7431" s="108"/>
      <c r="E7431" s="108" t="s">
        <v>14605</v>
      </c>
      <c r="F7431" s="108" t="s">
        <v>3967</v>
      </c>
      <c r="G7431" s="110"/>
      <c r="H7431" s="108" t="s">
        <v>25458</v>
      </c>
      <c r="I7431" s="108"/>
    </row>
    <row r="7432" spans="1:9" ht="27.6">
      <c r="A7432" s="108" t="s">
        <v>15075</v>
      </c>
      <c r="B7432" s="108" t="s">
        <v>26032</v>
      </c>
      <c r="C7432" s="109">
        <v>45299</v>
      </c>
      <c r="D7432" s="108"/>
      <c r="E7432" s="108" t="s">
        <v>14605</v>
      </c>
      <c r="F7432" s="108" t="s">
        <v>3967</v>
      </c>
      <c r="G7432" s="110"/>
      <c r="H7432" s="108" t="s">
        <v>25458</v>
      </c>
      <c r="I7432" s="108"/>
    </row>
    <row r="7433" spans="1:9" ht="27.6">
      <c r="A7433" s="108" t="s">
        <v>15075</v>
      </c>
      <c r="B7433" s="108" t="s">
        <v>26033</v>
      </c>
      <c r="C7433" s="109">
        <v>45250</v>
      </c>
      <c r="D7433" s="108"/>
      <c r="E7433" s="108" t="s">
        <v>14605</v>
      </c>
      <c r="F7433" s="108" t="s">
        <v>4857</v>
      </c>
      <c r="G7433" s="110"/>
      <c r="H7433" s="108" t="s">
        <v>25458</v>
      </c>
      <c r="I7433" s="108"/>
    </row>
    <row r="7434" spans="1:9" ht="27.6">
      <c r="A7434" s="108" t="s">
        <v>15075</v>
      </c>
      <c r="B7434" s="108" t="s">
        <v>26034</v>
      </c>
      <c r="C7434" s="109">
        <v>45251</v>
      </c>
      <c r="D7434" s="108"/>
      <c r="E7434" s="108" t="s">
        <v>14605</v>
      </c>
      <c r="F7434" s="108" t="s">
        <v>505</v>
      </c>
      <c r="G7434" s="110"/>
      <c r="H7434" s="108" t="s">
        <v>25458</v>
      </c>
      <c r="I7434" s="108"/>
    </row>
    <row r="7435" spans="1:9" ht="27.6">
      <c r="A7435" s="108" t="s">
        <v>15075</v>
      </c>
      <c r="B7435" s="108" t="s">
        <v>26035</v>
      </c>
      <c r="C7435" s="109">
        <v>45337</v>
      </c>
      <c r="D7435" s="108"/>
      <c r="E7435" s="108" t="s">
        <v>14605</v>
      </c>
      <c r="F7435" s="108" t="s">
        <v>4092</v>
      </c>
      <c r="G7435" s="110"/>
      <c r="H7435" s="108" t="s">
        <v>25458</v>
      </c>
      <c r="I7435" s="108"/>
    </row>
    <row r="7436" spans="1:9" ht="27.6">
      <c r="A7436" s="108" t="s">
        <v>15075</v>
      </c>
      <c r="B7436" s="108" t="s">
        <v>26036</v>
      </c>
      <c r="C7436" s="109">
        <v>45279</v>
      </c>
      <c r="D7436" s="108"/>
      <c r="E7436" s="108" t="s">
        <v>14605</v>
      </c>
      <c r="F7436" s="108" t="s">
        <v>2609</v>
      </c>
      <c r="G7436" s="110"/>
      <c r="H7436" s="108" t="s">
        <v>25458</v>
      </c>
      <c r="I7436" s="108"/>
    </row>
    <row r="7437" spans="1:9" ht="27.6">
      <c r="A7437" s="108" t="s">
        <v>15075</v>
      </c>
      <c r="B7437" s="108" t="s">
        <v>26037</v>
      </c>
      <c r="C7437" s="109">
        <v>45266</v>
      </c>
      <c r="D7437" s="108"/>
      <c r="E7437" s="108" t="s">
        <v>14605</v>
      </c>
      <c r="F7437" s="108" t="s">
        <v>986</v>
      </c>
      <c r="G7437" s="110"/>
      <c r="H7437" s="108" t="s">
        <v>25458</v>
      </c>
      <c r="I7437" s="108"/>
    </row>
    <row r="7438" spans="1:9" ht="27.6">
      <c r="A7438" s="108" t="s">
        <v>15075</v>
      </c>
      <c r="B7438" s="108" t="s">
        <v>26038</v>
      </c>
      <c r="C7438" s="109">
        <v>45371</v>
      </c>
      <c r="D7438" s="108"/>
      <c r="E7438" s="108" t="s">
        <v>14605</v>
      </c>
      <c r="F7438" s="108" t="s">
        <v>93</v>
      </c>
      <c r="G7438" s="110"/>
      <c r="H7438" s="108" t="s">
        <v>25458</v>
      </c>
      <c r="I7438" s="108"/>
    </row>
    <row r="7439" spans="1:9" ht="27.6">
      <c r="A7439" s="108" t="s">
        <v>15075</v>
      </c>
      <c r="B7439" s="108" t="s">
        <v>26039</v>
      </c>
      <c r="C7439" s="109">
        <v>45238</v>
      </c>
      <c r="D7439" s="108"/>
      <c r="E7439" s="108" t="s">
        <v>14605</v>
      </c>
      <c r="F7439" s="108" t="s">
        <v>2359</v>
      </c>
      <c r="G7439" s="110"/>
      <c r="H7439" s="108" t="s">
        <v>25458</v>
      </c>
      <c r="I7439" s="108"/>
    </row>
    <row r="7440" spans="1:9" ht="27.6">
      <c r="A7440" s="108" t="s">
        <v>15075</v>
      </c>
      <c r="B7440" s="108" t="s">
        <v>26040</v>
      </c>
      <c r="C7440" s="109">
        <v>45230</v>
      </c>
      <c r="D7440" s="108"/>
      <c r="E7440" s="108" t="s">
        <v>14605</v>
      </c>
      <c r="F7440" s="108" t="s">
        <v>3895</v>
      </c>
      <c r="G7440" s="110"/>
      <c r="H7440" s="108" t="s">
        <v>25458</v>
      </c>
      <c r="I7440" s="108"/>
    </row>
    <row r="7441" spans="1:9" ht="27.6">
      <c r="A7441" s="108" t="s">
        <v>15075</v>
      </c>
      <c r="B7441" s="108" t="s">
        <v>26041</v>
      </c>
      <c r="C7441" s="109">
        <v>45274</v>
      </c>
      <c r="D7441" s="108"/>
      <c r="E7441" s="108" t="s">
        <v>14605</v>
      </c>
      <c r="F7441" s="108" t="s">
        <v>4776</v>
      </c>
      <c r="G7441" s="110"/>
      <c r="H7441" s="108" t="s">
        <v>25458</v>
      </c>
      <c r="I7441" s="108"/>
    </row>
    <row r="7442" spans="1:9" ht="27.6">
      <c r="A7442" s="108" t="s">
        <v>15075</v>
      </c>
      <c r="B7442" s="108" t="s">
        <v>26042</v>
      </c>
      <c r="C7442" s="109">
        <v>45275</v>
      </c>
      <c r="D7442" s="108"/>
      <c r="E7442" s="108" t="s">
        <v>14605</v>
      </c>
      <c r="F7442" s="108" t="s">
        <v>324</v>
      </c>
      <c r="G7442" s="110"/>
      <c r="H7442" s="108" t="s">
        <v>25458</v>
      </c>
      <c r="I7442" s="108"/>
    </row>
    <row r="7443" spans="1:9" ht="27.6">
      <c r="A7443" s="108" t="s">
        <v>15075</v>
      </c>
      <c r="B7443" s="108" t="s">
        <v>26043</v>
      </c>
      <c r="C7443" s="109">
        <v>45348</v>
      </c>
      <c r="D7443" s="108"/>
      <c r="E7443" s="108" t="s">
        <v>14605</v>
      </c>
      <c r="F7443" s="108" t="s">
        <v>4973</v>
      </c>
      <c r="G7443" s="110"/>
      <c r="H7443" s="108" t="s">
        <v>25458</v>
      </c>
      <c r="I7443" s="108"/>
    </row>
    <row r="7444" spans="1:9" ht="27.6">
      <c r="A7444" s="108" t="s">
        <v>15075</v>
      </c>
      <c r="B7444" s="108" t="s">
        <v>26044</v>
      </c>
      <c r="C7444" s="109">
        <v>45294</v>
      </c>
      <c r="D7444" s="108"/>
      <c r="E7444" s="108" t="s">
        <v>14605</v>
      </c>
      <c r="F7444" s="108" t="s">
        <v>2431</v>
      </c>
      <c r="G7444" s="110"/>
      <c r="H7444" s="108" t="s">
        <v>25458</v>
      </c>
      <c r="I7444" s="108"/>
    </row>
    <row r="7445" spans="1:9" ht="27.6">
      <c r="A7445" s="108" t="s">
        <v>15075</v>
      </c>
      <c r="B7445" s="108" t="s">
        <v>26045</v>
      </c>
      <c r="C7445" s="109">
        <v>45324</v>
      </c>
      <c r="D7445" s="108"/>
      <c r="E7445" s="108" t="s">
        <v>14605</v>
      </c>
      <c r="F7445" s="108" t="s">
        <v>3284</v>
      </c>
      <c r="G7445" s="110"/>
      <c r="H7445" s="108" t="s">
        <v>25458</v>
      </c>
      <c r="I7445" s="108"/>
    </row>
    <row r="7446" spans="1:9" ht="27.6">
      <c r="A7446" s="108" t="s">
        <v>15075</v>
      </c>
      <c r="B7446" s="108" t="s">
        <v>26046</v>
      </c>
      <c r="C7446" s="109">
        <v>45267</v>
      </c>
      <c r="D7446" s="108"/>
      <c r="E7446" s="108" t="s">
        <v>14605</v>
      </c>
      <c r="F7446" s="108" t="s">
        <v>1916</v>
      </c>
      <c r="G7446" s="110"/>
      <c r="H7446" s="108" t="s">
        <v>25458</v>
      </c>
      <c r="I7446" s="108"/>
    </row>
    <row r="7447" spans="1:9" ht="27.6">
      <c r="A7447" s="108" t="s">
        <v>15075</v>
      </c>
      <c r="B7447" s="108" t="s">
        <v>26047</v>
      </c>
      <c r="C7447" s="109">
        <v>45281</v>
      </c>
      <c r="D7447" s="108"/>
      <c r="E7447" s="108" t="s">
        <v>14605</v>
      </c>
      <c r="F7447" s="108" t="s">
        <v>1916</v>
      </c>
      <c r="G7447" s="110"/>
      <c r="H7447" s="108" t="s">
        <v>25458</v>
      </c>
      <c r="I7447" s="108"/>
    </row>
    <row r="7448" spans="1:9" ht="27.6">
      <c r="A7448" s="108" t="s">
        <v>15075</v>
      </c>
      <c r="B7448" s="108" t="s">
        <v>26048</v>
      </c>
      <c r="C7448" s="109">
        <v>45271</v>
      </c>
      <c r="D7448" s="108"/>
      <c r="E7448" s="108" t="s">
        <v>14605</v>
      </c>
      <c r="F7448" s="108" t="s">
        <v>1916</v>
      </c>
      <c r="G7448" s="110"/>
      <c r="H7448" s="108" t="s">
        <v>25458</v>
      </c>
      <c r="I7448" s="108"/>
    </row>
    <row r="7449" spans="1:9" ht="27.6">
      <c r="A7449" s="108" t="s">
        <v>15075</v>
      </c>
      <c r="B7449" s="108" t="s">
        <v>26049</v>
      </c>
      <c r="C7449" s="109">
        <v>45421</v>
      </c>
      <c r="D7449" s="108"/>
      <c r="E7449" s="108" t="s">
        <v>14605</v>
      </c>
      <c r="F7449" s="108" t="s">
        <v>4920</v>
      </c>
      <c r="G7449" s="110"/>
      <c r="H7449" s="108" t="s">
        <v>25458</v>
      </c>
      <c r="I7449" s="108"/>
    </row>
    <row r="7450" spans="1:9" ht="27.6">
      <c r="A7450" s="108" t="s">
        <v>15075</v>
      </c>
      <c r="B7450" s="108" t="s">
        <v>26050</v>
      </c>
      <c r="C7450" s="109">
        <v>45273</v>
      </c>
      <c r="D7450" s="108"/>
      <c r="E7450" s="108" t="s">
        <v>14605</v>
      </c>
      <c r="F7450" s="108" t="s">
        <v>1916</v>
      </c>
      <c r="G7450" s="110"/>
      <c r="H7450" s="108" t="s">
        <v>25458</v>
      </c>
      <c r="I7450" s="108"/>
    </row>
    <row r="7451" spans="1:9" ht="27.6">
      <c r="A7451" s="108" t="s">
        <v>15075</v>
      </c>
      <c r="B7451" s="108" t="s">
        <v>26051</v>
      </c>
      <c r="C7451" s="109">
        <v>45276</v>
      </c>
      <c r="D7451" s="108"/>
      <c r="E7451" s="108" t="s">
        <v>14605</v>
      </c>
      <c r="F7451" s="108" t="s">
        <v>1916</v>
      </c>
      <c r="G7451" s="110"/>
      <c r="H7451" s="108" t="s">
        <v>25458</v>
      </c>
      <c r="I7451" s="108"/>
    </row>
    <row r="7452" spans="1:9" ht="27.6">
      <c r="A7452" s="108" t="s">
        <v>15075</v>
      </c>
      <c r="B7452" s="108" t="s">
        <v>26052</v>
      </c>
      <c r="C7452" s="109">
        <v>45267</v>
      </c>
      <c r="D7452" s="108"/>
      <c r="E7452" s="108" t="s">
        <v>14605</v>
      </c>
      <c r="F7452" s="108" t="s">
        <v>714</v>
      </c>
      <c r="G7452" s="110"/>
      <c r="H7452" s="108" t="s">
        <v>25458</v>
      </c>
      <c r="I7452" s="108"/>
    </row>
    <row r="7453" spans="1:9" ht="27.6">
      <c r="A7453" s="108" t="s">
        <v>15075</v>
      </c>
      <c r="B7453" s="108" t="s">
        <v>26053</v>
      </c>
      <c r="C7453" s="109">
        <v>45421</v>
      </c>
      <c r="D7453" s="108"/>
      <c r="E7453" s="108" t="s">
        <v>14605</v>
      </c>
      <c r="F7453" s="108" t="s">
        <v>4920</v>
      </c>
      <c r="G7453" s="110"/>
      <c r="H7453" s="108" t="s">
        <v>25458</v>
      </c>
      <c r="I7453" s="108"/>
    </row>
    <row r="7454" spans="1:9" ht="27.6">
      <c r="A7454" s="108" t="s">
        <v>15075</v>
      </c>
      <c r="B7454" s="108" t="s">
        <v>26054</v>
      </c>
      <c r="C7454" s="109">
        <v>45387</v>
      </c>
      <c r="D7454" s="108"/>
      <c r="E7454" s="108" t="s">
        <v>14605</v>
      </c>
      <c r="F7454" s="108" t="s">
        <v>691</v>
      </c>
      <c r="G7454" s="110"/>
      <c r="H7454" s="108" t="s">
        <v>25458</v>
      </c>
      <c r="I7454" s="108"/>
    </row>
    <row r="7455" spans="1:9" ht="27.6">
      <c r="A7455" s="108" t="s">
        <v>15075</v>
      </c>
      <c r="B7455" s="108" t="s">
        <v>26055</v>
      </c>
      <c r="C7455" s="109">
        <v>45308</v>
      </c>
      <c r="D7455" s="108"/>
      <c r="E7455" s="108" t="s">
        <v>14605</v>
      </c>
      <c r="F7455" s="108" t="s">
        <v>4314</v>
      </c>
      <c r="G7455" s="110"/>
      <c r="H7455" s="108" t="s">
        <v>25458</v>
      </c>
      <c r="I7455" s="108"/>
    </row>
    <row r="7456" spans="1:9" ht="27.6">
      <c r="A7456" s="108" t="s">
        <v>15075</v>
      </c>
      <c r="B7456" s="108" t="s">
        <v>26056</v>
      </c>
      <c r="C7456" s="109">
        <v>45322</v>
      </c>
      <c r="D7456" s="108"/>
      <c r="E7456" s="108" t="s">
        <v>14605</v>
      </c>
      <c r="F7456" s="108" t="s">
        <v>26057</v>
      </c>
      <c r="G7456" s="110"/>
      <c r="H7456" s="108" t="s">
        <v>25458</v>
      </c>
      <c r="I7456" s="108"/>
    </row>
    <row r="7457" spans="1:9" ht="27.6">
      <c r="A7457" s="108" t="s">
        <v>15075</v>
      </c>
      <c r="B7457" s="108" t="s">
        <v>26058</v>
      </c>
      <c r="C7457" s="109">
        <v>45295</v>
      </c>
      <c r="D7457" s="108"/>
      <c r="E7457" s="108" t="s">
        <v>14605</v>
      </c>
      <c r="F7457" s="108" t="s">
        <v>634</v>
      </c>
      <c r="G7457" s="110"/>
      <c r="H7457" s="108" t="s">
        <v>25458</v>
      </c>
      <c r="I7457" s="108"/>
    </row>
    <row r="7458" spans="1:9" ht="27.6">
      <c r="A7458" s="108" t="s">
        <v>15075</v>
      </c>
      <c r="B7458" s="108" t="s">
        <v>26059</v>
      </c>
      <c r="C7458" s="109">
        <v>45307</v>
      </c>
      <c r="D7458" s="108"/>
      <c r="E7458" s="108" t="s">
        <v>14605</v>
      </c>
      <c r="F7458" s="108" t="s">
        <v>1412</v>
      </c>
      <c r="G7458" s="110"/>
      <c r="H7458" s="108" t="s">
        <v>25458</v>
      </c>
      <c r="I7458" s="108"/>
    </row>
    <row r="7459" spans="1:9" ht="27.6">
      <c r="A7459" s="108" t="s">
        <v>15075</v>
      </c>
      <c r="B7459" s="108" t="s">
        <v>26060</v>
      </c>
      <c r="C7459" s="109">
        <v>45551</v>
      </c>
      <c r="D7459" s="108"/>
      <c r="E7459" s="108" t="s">
        <v>14605</v>
      </c>
      <c r="F7459" s="108" t="s">
        <v>1489</v>
      </c>
      <c r="G7459" s="110"/>
      <c r="H7459" s="108" t="s">
        <v>25458</v>
      </c>
      <c r="I7459" s="108"/>
    </row>
    <row r="7460" spans="1:9" ht="27.6">
      <c r="A7460" s="108" t="s">
        <v>15075</v>
      </c>
      <c r="B7460" s="108" t="s">
        <v>26061</v>
      </c>
      <c r="C7460" s="109">
        <v>45551</v>
      </c>
      <c r="D7460" s="108"/>
      <c r="E7460" s="108" t="s">
        <v>14605</v>
      </c>
      <c r="F7460" s="108" t="s">
        <v>1489</v>
      </c>
      <c r="G7460" s="110"/>
      <c r="H7460" s="108" t="s">
        <v>25458</v>
      </c>
      <c r="I7460" s="108"/>
    </row>
    <row r="7461" spans="1:9" ht="27.6">
      <c r="A7461" s="108" t="s">
        <v>15075</v>
      </c>
      <c r="B7461" s="108" t="s">
        <v>26062</v>
      </c>
      <c r="C7461" s="109">
        <v>45538</v>
      </c>
      <c r="D7461" s="108"/>
      <c r="E7461" s="108" t="s">
        <v>14605</v>
      </c>
      <c r="F7461" s="108" t="s">
        <v>26063</v>
      </c>
      <c r="G7461" s="110"/>
      <c r="H7461" s="108" t="s">
        <v>25458</v>
      </c>
      <c r="I7461" s="108"/>
    </row>
    <row r="7462" spans="1:9" ht="27.6">
      <c r="A7462" s="108" t="s">
        <v>15075</v>
      </c>
      <c r="B7462" s="108" t="s">
        <v>26064</v>
      </c>
      <c r="C7462" s="109">
        <v>45323</v>
      </c>
      <c r="D7462" s="108"/>
      <c r="E7462" s="108" t="s">
        <v>14605</v>
      </c>
      <c r="F7462" s="108" t="s">
        <v>5009</v>
      </c>
      <c r="G7462" s="110"/>
      <c r="H7462" s="108" t="s">
        <v>25458</v>
      </c>
      <c r="I7462" s="108"/>
    </row>
    <row r="7463" spans="1:9" ht="27.6">
      <c r="A7463" s="108" t="s">
        <v>15075</v>
      </c>
      <c r="B7463" s="108" t="s">
        <v>26065</v>
      </c>
      <c r="C7463" s="109">
        <v>45322</v>
      </c>
      <c r="D7463" s="108"/>
      <c r="E7463" s="108" t="s">
        <v>14605</v>
      </c>
      <c r="F7463" s="108" t="s">
        <v>5288</v>
      </c>
      <c r="G7463" s="110"/>
      <c r="H7463" s="108" t="s">
        <v>25458</v>
      </c>
      <c r="I7463" s="108"/>
    </row>
    <row r="7464" spans="1:9" ht="27.6">
      <c r="A7464" s="108" t="s">
        <v>15075</v>
      </c>
      <c r="B7464" s="108" t="s">
        <v>26066</v>
      </c>
      <c r="C7464" s="109">
        <v>45467</v>
      </c>
      <c r="D7464" s="108"/>
      <c r="E7464" s="108" t="s">
        <v>14605</v>
      </c>
      <c r="F7464" s="108" t="s">
        <v>1489</v>
      </c>
      <c r="G7464" s="110"/>
      <c r="H7464" s="108" t="s">
        <v>25458</v>
      </c>
      <c r="I7464" s="108"/>
    </row>
    <row r="7465" spans="1:9" ht="27.6">
      <c r="A7465" s="108" t="s">
        <v>15075</v>
      </c>
      <c r="B7465" s="108" t="s">
        <v>26067</v>
      </c>
      <c r="C7465" s="109">
        <v>45338</v>
      </c>
      <c r="D7465" s="108"/>
      <c r="E7465" s="108" t="s">
        <v>14605</v>
      </c>
      <c r="F7465" s="108" t="s">
        <v>394</v>
      </c>
      <c r="G7465" s="110"/>
      <c r="H7465" s="108" t="s">
        <v>25458</v>
      </c>
      <c r="I7465" s="108"/>
    </row>
    <row r="7466" spans="1:9" ht="27.6">
      <c r="A7466" s="108" t="s">
        <v>15075</v>
      </c>
      <c r="B7466" s="108" t="s">
        <v>26068</v>
      </c>
      <c r="C7466" s="109">
        <v>45348</v>
      </c>
      <c r="D7466" s="108"/>
      <c r="E7466" s="108" t="s">
        <v>14605</v>
      </c>
      <c r="F7466" s="108" t="s">
        <v>986</v>
      </c>
      <c r="G7466" s="110"/>
      <c r="H7466" s="108" t="s">
        <v>25458</v>
      </c>
      <c r="I7466" s="108"/>
    </row>
    <row r="7467" spans="1:9" ht="27.6">
      <c r="A7467" s="108" t="s">
        <v>15075</v>
      </c>
      <c r="B7467" s="108" t="s">
        <v>26069</v>
      </c>
      <c r="C7467" s="109">
        <v>45307</v>
      </c>
      <c r="D7467" s="108"/>
      <c r="E7467" s="108" t="s">
        <v>14605</v>
      </c>
      <c r="F7467" s="108" t="s">
        <v>4576</v>
      </c>
      <c r="G7467" s="110"/>
      <c r="H7467" s="108" t="s">
        <v>25458</v>
      </c>
      <c r="I7467" s="108"/>
    </row>
    <row r="7468" spans="1:9" ht="27.6">
      <c r="A7468" s="108" t="s">
        <v>15075</v>
      </c>
      <c r="B7468" s="108" t="s">
        <v>26070</v>
      </c>
      <c r="C7468" s="109">
        <v>45328</v>
      </c>
      <c r="D7468" s="108"/>
      <c r="E7468" s="108" t="s">
        <v>14605</v>
      </c>
      <c r="F7468" s="108" t="s">
        <v>3947</v>
      </c>
      <c r="G7468" s="110"/>
      <c r="H7468" s="108" t="s">
        <v>25458</v>
      </c>
      <c r="I7468" s="108"/>
    </row>
    <row r="7469" spans="1:9" ht="27.6">
      <c r="A7469" s="108" t="s">
        <v>15075</v>
      </c>
      <c r="B7469" s="108" t="s">
        <v>26071</v>
      </c>
      <c r="C7469" s="109">
        <v>45323</v>
      </c>
      <c r="D7469" s="108"/>
      <c r="E7469" s="108" t="s">
        <v>14605</v>
      </c>
      <c r="F7469" s="108" t="s">
        <v>358</v>
      </c>
      <c r="G7469" s="110"/>
      <c r="H7469" s="108" t="s">
        <v>25458</v>
      </c>
      <c r="I7469" s="108"/>
    </row>
    <row r="7470" spans="1:9" ht="27.6">
      <c r="A7470" s="108" t="s">
        <v>15075</v>
      </c>
      <c r="B7470" s="108" t="s">
        <v>26072</v>
      </c>
      <c r="C7470" s="109">
        <v>45323</v>
      </c>
      <c r="D7470" s="108"/>
      <c r="E7470" s="108" t="s">
        <v>14605</v>
      </c>
      <c r="F7470" s="108" t="s">
        <v>358</v>
      </c>
      <c r="G7470" s="110"/>
      <c r="H7470" s="108" t="s">
        <v>25458</v>
      </c>
      <c r="I7470" s="108"/>
    </row>
    <row r="7471" spans="1:9" ht="27.6">
      <c r="A7471" s="108" t="s">
        <v>15075</v>
      </c>
      <c r="B7471" s="108" t="s">
        <v>26073</v>
      </c>
      <c r="C7471" s="109">
        <v>45313</v>
      </c>
      <c r="D7471" s="108"/>
      <c r="E7471" s="108" t="s">
        <v>14605</v>
      </c>
      <c r="F7471" s="108" t="s">
        <v>26074</v>
      </c>
      <c r="G7471" s="110"/>
      <c r="H7471" s="108" t="s">
        <v>25458</v>
      </c>
      <c r="I7471" s="108"/>
    </row>
    <row r="7472" spans="1:9" ht="27.6">
      <c r="A7472" s="108" t="s">
        <v>15075</v>
      </c>
      <c r="B7472" s="108" t="s">
        <v>26075</v>
      </c>
      <c r="C7472" s="109">
        <v>45517</v>
      </c>
      <c r="D7472" s="108"/>
      <c r="E7472" s="108" t="s">
        <v>14605</v>
      </c>
      <c r="F7472" s="108" t="s">
        <v>3600</v>
      </c>
      <c r="G7472" s="110"/>
      <c r="H7472" s="108" t="s">
        <v>25458</v>
      </c>
      <c r="I7472" s="108"/>
    </row>
    <row r="7473" spans="1:9" ht="27.6">
      <c r="A7473" s="108" t="s">
        <v>15075</v>
      </c>
      <c r="B7473" s="108" t="s">
        <v>26076</v>
      </c>
      <c r="C7473" s="109">
        <v>45366</v>
      </c>
      <c r="D7473" s="108"/>
      <c r="E7473" s="108" t="s">
        <v>14605</v>
      </c>
      <c r="F7473" s="108" t="s">
        <v>1701</v>
      </c>
      <c r="G7473" s="110"/>
      <c r="H7473" s="108" t="s">
        <v>25458</v>
      </c>
      <c r="I7473" s="108"/>
    </row>
    <row r="7474" spans="1:9" ht="27.6">
      <c r="A7474" s="108" t="s">
        <v>15075</v>
      </c>
      <c r="B7474" s="108" t="s">
        <v>26077</v>
      </c>
      <c r="C7474" s="109">
        <v>45341</v>
      </c>
      <c r="D7474" s="108"/>
      <c r="E7474" s="108" t="s">
        <v>14605</v>
      </c>
      <c r="F7474" s="108" t="s">
        <v>4786</v>
      </c>
      <c r="G7474" s="110"/>
      <c r="H7474" s="108" t="s">
        <v>25458</v>
      </c>
      <c r="I7474" s="108"/>
    </row>
    <row r="7475" spans="1:9" ht="27.6">
      <c r="A7475" s="108" t="s">
        <v>15075</v>
      </c>
      <c r="B7475" s="108" t="s">
        <v>26078</v>
      </c>
      <c r="C7475" s="109">
        <v>45320</v>
      </c>
      <c r="D7475" s="108"/>
      <c r="E7475" s="108" t="s">
        <v>14605</v>
      </c>
      <c r="F7475" s="108" t="s">
        <v>1170</v>
      </c>
      <c r="G7475" s="110"/>
      <c r="H7475" s="108" t="s">
        <v>25458</v>
      </c>
      <c r="I7475" s="108"/>
    </row>
    <row r="7476" spans="1:9" ht="27.6">
      <c r="A7476" s="108" t="s">
        <v>15075</v>
      </c>
      <c r="B7476" s="108" t="s">
        <v>26079</v>
      </c>
      <c r="C7476" s="109">
        <v>45324</v>
      </c>
      <c r="D7476" s="108"/>
      <c r="E7476" s="108" t="s">
        <v>14605</v>
      </c>
      <c r="F7476" s="108" t="s">
        <v>4597</v>
      </c>
      <c r="G7476" s="110"/>
      <c r="H7476" s="108" t="s">
        <v>25458</v>
      </c>
      <c r="I7476" s="108"/>
    </row>
    <row r="7477" spans="1:9" ht="27.6">
      <c r="A7477" s="108" t="s">
        <v>15075</v>
      </c>
      <c r="B7477" s="108" t="s">
        <v>26080</v>
      </c>
      <c r="C7477" s="109">
        <v>45320</v>
      </c>
      <c r="D7477" s="108"/>
      <c r="E7477" s="108" t="s">
        <v>14605</v>
      </c>
      <c r="F7477" s="108" t="s">
        <v>3895</v>
      </c>
      <c r="G7477" s="110"/>
      <c r="H7477" s="108" t="s">
        <v>25458</v>
      </c>
      <c r="I7477" s="108"/>
    </row>
    <row r="7478" spans="1:9" ht="27.6">
      <c r="A7478" s="108" t="s">
        <v>15075</v>
      </c>
      <c r="B7478" s="108" t="s">
        <v>26081</v>
      </c>
      <c r="C7478" s="109">
        <v>45336</v>
      </c>
      <c r="D7478" s="108"/>
      <c r="E7478" s="108" t="s">
        <v>14605</v>
      </c>
      <c r="F7478" s="108" t="s">
        <v>4835</v>
      </c>
      <c r="G7478" s="110"/>
      <c r="H7478" s="108" t="s">
        <v>25458</v>
      </c>
      <c r="I7478" s="108"/>
    </row>
    <row r="7479" spans="1:9" ht="27.6">
      <c r="A7479" s="108" t="s">
        <v>15075</v>
      </c>
      <c r="B7479" s="108" t="s">
        <v>26082</v>
      </c>
      <c r="C7479" s="109">
        <v>45352</v>
      </c>
      <c r="D7479" s="108"/>
      <c r="E7479" s="108" t="s">
        <v>14605</v>
      </c>
      <c r="F7479" s="108" t="s">
        <v>4973</v>
      </c>
      <c r="G7479" s="110"/>
      <c r="H7479" s="108" t="s">
        <v>25458</v>
      </c>
      <c r="I7479" s="108"/>
    </row>
    <row r="7480" spans="1:9" ht="27.6">
      <c r="A7480" s="108" t="s">
        <v>15075</v>
      </c>
      <c r="B7480" s="108" t="s">
        <v>26083</v>
      </c>
      <c r="C7480" s="109">
        <v>45311</v>
      </c>
      <c r="D7480" s="108"/>
      <c r="E7480" s="108" t="s">
        <v>14605</v>
      </c>
      <c r="F7480" s="108" t="s">
        <v>4576</v>
      </c>
      <c r="G7480" s="110"/>
      <c r="H7480" s="108" t="s">
        <v>25458</v>
      </c>
      <c r="I7480" s="108"/>
    </row>
    <row r="7481" spans="1:9" ht="27.6">
      <c r="A7481" s="108" t="s">
        <v>15075</v>
      </c>
      <c r="B7481" s="108" t="s">
        <v>26084</v>
      </c>
      <c r="C7481" s="109">
        <v>45559</v>
      </c>
      <c r="D7481" s="108"/>
      <c r="E7481" s="108" t="s">
        <v>14605</v>
      </c>
      <c r="F7481" s="108" t="s">
        <v>2013</v>
      </c>
      <c r="G7481" s="110"/>
      <c r="H7481" s="108" t="s">
        <v>25458</v>
      </c>
      <c r="I7481" s="108"/>
    </row>
    <row r="7482" spans="1:9" ht="27.6">
      <c r="A7482" s="108" t="s">
        <v>15075</v>
      </c>
      <c r="B7482" s="108" t="s">
        <v>26085</v>
      </c>
      <c r="C7482" s="109">
        <v>45411</v>
      </c>
      <c r="D7482" s="108"/>
      <c r="E7482" s="108" t="s">
        <v>14605</v>
      </c>
      <c r="F7482" s="108" t="s">
        <v>3347</v>
      </c>
      <c r="G7482" s="110"/>
      <c r="H7482" s="108" t="s">
        <v>25458</v>
      </c>
      <c r="I7482" s="108"/>
    </row>
    <row r="7483" spans="1:9" ht="27.6">
      <c r="A7483" s="108" t="s">
        <v>15075</v>
      </c>
      <c r="B7483" s="108" t="s">
        <v>26086</v>
      </c>
      <c r="C7483" s="109">
        <v>45352</v>
      </c>
      <c r="D7483" s="108"/>
      <c r="E7483" s="108" t="s">
        <v>14605</v>
      </c>
      <c r="F7483" s="108" t="s">
        <v>14764</v>
      </c>
      <c r="G7483" s="110"/>
      <c r="H7483" s="108" t="s">
        <v>25458</v>
      </c>
      <c r="I7483" s="108"/>
    </row>
    <row r="7484" spans="1:9" ht="27.6">
      <c r="A7484" s="108" t="s">
        <v>15075</v>
      </c>
      <c r="B7484" s="108" t="s">
        <v>26087</v>
      </c>
      <c r="C7484" s="109">
        <v>45366</v>
      </c>
      <c r="D7484" s="108"/>
      <c r="E7484" s="108" t="s">
        <v>14605</v>
      </c>
      <c r="F7484" s="108" t="s">
        <v>1830</v>
      </c>
      <c r="G7484" s="110"/>
      <c r="H7484" s="108" t="s">
        <v>25458</v>
      </c>
      <c r="I7484" s="108"/>
    </row>
    <row r="7485" spans="1:9" ht="27.6">
      <c r="A7485" s="108" t="s">
        <v>15075</v>
      </c>
      <c r="B7485" s="108" t="s">
        <v>26088</v>
      </c>
      <c r="C7485" s="109">
        <v>45371</v>
      </c>
      <c r="D7485" s="108"/>
      <c r="E7485" s="108" t="s">
        <v>14605</v>
      </c>
      <c r="F7485" s="108" t="s">
        <v>4786</v>
      </c>
      <c r="G7485" s="110"/>
      <c r="H7485" s="108" t="s">
        <v>25458</v>
      </c>
      <c r="I7485" s="108"/>
    </row>
    <row r="7486" spans="1:9" ht="27.6">
      <c r="A7486" s="108" t="s">
        <v>15075</v>
      </c>
      <c r="B7486" s="108" t="s">
        <v>26089</v>
      </c>
      <c r="C7486" s="109">
        <v>45374</v>
      </c>
      <c r="D7486" s="108"/>
      <c r="E7486" s="108" t="s">
        <v>14605</v>
      </c>
      <c r="F7486" s="108" t="s">
        <v>3546</v>
      </c>
      <c r="G7486" s="110"/>
      <c r="H7486" s="108" t="s">
        <v>25458</v>
      </c>
      <c r="I7486" s="108"/>
    </row>
    <row r="7487" spans="1:9" ht="27.6">
      <c r="A7487" s="108" t="s">
        <v>15075</v>
      </c>
      <c r="B7487" s="108" t="s">
        <v>26090</v>
      </c>
      <c r="C7487" s="109">
        <v>45488</v>
      </c>
      <c r="D7487" s="108"/>
      <c r="E7487" s="108" t="s">
        <v>14605</v>
      </c>
      <c r="F7487" s="108" t="s">
        <v>1454</v>
      </c>
      <c r="G7487" s="110"/>
      <c r="H7487" s="108" t="s">
        <v>25458</v>
      </c>
      <c r="I7487" s="108"/>
    </row>
    <row r="7488" spans="1:9" ht="27.6">
      <c r="A7488" s="108" t="s">
        <v>15075</v>
      </c>
      <c r="B7488" s="108" t="s">
        <v>26091</v>
      </c>
      <c r="C7488" s="109">
        <v>45380</v>
      </c>
      <c r="D7488" s="108"/>
      <c r="E7488" s="108" t="s">
        <v>14605</v>
      </c>
      <c r="F7488" s="108" t="s">
        <v>3444</v>
      </c>
      <c r="G7488" s="110"/>
      <c r="H7488" s="108" t="s">
        <v>25458</v>
      </c>
      <c r="I7488" s="108"/>
    </row>
    <row r="7489" spans="1:9" ht="27.6">
      <c r="A7489" s="108" t="s">
        <v>15075</v>
      </c>
      <c r="B7489" s="108" t="s">
        <v>26092</v>
      </c>
      <c r="C7489" s="109">
        <v>45354</v>
      </c>
      <c r="D7489" s="108"/>
      <c r="E7489" s="108" t="s">
        <v>14605</v>
      </c>
      <c r="F7489" s="108" t="s">
        <v>14764</v>
      </c>
      <c r="G7489" s="110"/>
      <c r="H7489" s="108" t="s">
        <v>25458</v>
      </c>
      <c r="I7489" s="108"/>
    </row>
    <row r="7490" spans="1:9" ht="27.6">
      <c r="A7490" s="108" t="s">
        <v>15075</v>
      </c>
      <c r="B7490" s="108" t="s">
        <v>26093</v>
      </c>
      <c r="C7490" s="109">
        <v>45386</v>
      </c>
      <c r="D7490" s="108"/>
      <c r="E7490" s="108" t="s">
        <v>14605</v>
      </c>
      <c r="F7490" s="108" t="s">
        <v>1519</v>
      </c>
      <c r="G7490" s="110"/>
      <c r="H7490" s="108" t="s">
        <v>25458</v>
      </c>
      <c r="I7490" s="108"/>
    </row>
    <row r="7491" spans="1:9" ht="27.6">
      <c r="A7491" s="108" t="s">
        <v>15075</v>
      </c>
      <c r="B7491" s="108" t="s">
        <v>26094</v>
      </c>
      <c r="C7491" s="109">
        <v>45387</v>
      </c>
      <c r="D7491" s="108"/>
      <c r="E7491" s="108" t="s">
        <v>14605</v>
      </c>
      <c r="F7491" s="108" t="s">
        <v>14764</v>
      </c>
      <c r="G7491" s="110"/>
      <c r="H7491" s="108" t="s">
        <v>25458</v>
      </c>
      <c r="I7491" s="108"/>
    </row>
    <row r="7492" spans="1:9" ht="27.6">
      <c r="A7492" s="108" t="s">
        <v>15075</v>
      </c>
      <c r="B7492" s="108" t="s">
        <v>26095</v>
      </c>
      <c r="C7492" s="109">
        <v>45387</v>
      </c>
      <c r="D7492" s="108"/>
      <c r="E7492" s="108" t="s">
        <v>14605</v>
      </c>
      <c r="F7492" s="108" t="s">
        <v>691</v>
      </c>
      <c r="G7492" s="110"/>
      <c r="H7492" s="108" t="s">
        <v>25458</v>
      </c>
      <c r="I7492" s="108"/>
    </row>
    <row r="7493" spans="1:9" ht="27.6">
      <c r="A7493" s="108" t="s">
        <v>15075</v>
      </c>
      <c r="B7493" s="108" t="s">
        <v>26096</v>
      </c>
      <c r="C7493" s="109">
        <v>45408</v>
      </c>
      <c r="D7493" s="108"/>
      <c r="E7493" s="108" t="s">
        <v>14605</v>
      </c>
      <c r="F7493" s="108" t="s">
        <v>3904</v>
      </c>
      <c r="G7493" s="110"/>
      <c r="H7493" s="108" t="s">
        <v>25458</v>
      </c>
      <c r="I7493" s="108"/>
    </row>
    <row r="7494" spans="1:9" ht="27.6">
      <c r="A7494" s="108" t="s">
        <v>15075</v>
      </c>
      <c r="B7494" s="108" t="s">
        <v>26097</v>
      </c>
      <c r="C7494" s="109">
        <v>45398</v>
      </c>
      <c r="D7494" s="108"/>
      <c r="E7494" s="108" t="s">
        <v>14605</v>
      </c>
      <c r="F7494" s="108" t="s">
        <v>1454</v>
      </c>
      <c r="G7494" s="110"/>
      <c r="H7494" s="108" t="s">
        <v>25458</v>
      </c>
      <c r="I7494" s="108"/>
    </row>
    <row r="7495" spans="1:9" ht="27.6">
      <c r="A7495" s="108" t="s">
        <v>15075</v>
      </c>
      <c r="B7495" s="108" t="s">
        <v>26098</v>
      </c>
      <c r="C7495" s="109">
        <v>45406</v>
      </c>
      <c r="D7495" s="108"/>
      <c r="E7495" s="108" t="s">
        <v>14605</v>
      </c>
      <c r="F7495" s="108" t="s">
        <v>1066</v>
      </c>
      <c r="G7495" s="110"/>
      <c r="H7495" s="108" t="s">
        <v>25458</v>
      </c>
      <c r="I7495" s="108"/>
    </row>
    <row r="7496" spans="1:9" ht="27.6">
      <c r="A7496" s="108" t="s">
        <v>15075</v>
      </c>
      <c r="B7496" s="108" t="s">
        <v>26099</v>
      </c>
      <c r="C7496" s="109">
        <v>45393</v>
      </c>
      <c r="D7496" s="108"/>
      <c r="E7496" s="108" t="s">
        <v>14605</v>
      </c>
      <c r="F7496" s="108" t="s">
        <v>3540</v>
      </c>
      <c r="G7496" s="110"/>
      <c r="H7496" s="108" t="s">
        <v>25458</v>
      </c>
      <c r="I7496" s="108"/>
    </row>
    <row r="7497" spans="1:9" ht="27.6">
      <c r="A7497" s="108" t="s">
        <v>15075</v>
      </c>
      <c r="B7497" s="108" t="s">
        <v>26100</v>
      </c>
      <c r="C7497" s="109">
        <v>45411</v>
      </c>
      <c r="D7497" s="108"/>
      <c r="E7497" s="108" t="s">
        <v>14605</v>
      </c>
      <c r="F7497" s="108" t="s">
        <v>220</v>
      </c>
      <c r="G7497" s="110"/>
      <c r="H7497" s="108" t="s">
        <v>25458</v>
      </c>
      <c r="I7497" s="108"/>
    </row>
    <row r="7498" spans="1:9" ht="27.6">
      <c r="A7498" s="108" t="s">
        <v>15075</v>
      </c>
      <c r="B7498" s="108" t="s">
        <v>26101</v>
      </c>
      <c r="C7498" s="109">
        <v>45383</v>
      </c>
      <c r="D7498" s="108"/>
      <c r="E7498" s="108" t="s">
        <v>14605</v>
      </c>
      <c r="F7498" s="108" t="s">
        <v>26102</v>
      </c>
      <c r="G7498" s="110"/>
      <c r="H7498" s="108" t="s">
        <v>25458</v>
      </c>
      <c r="I7498" s="108"/>
    </row>
    <row r="7499" spans="1:9" ht="27.6">
      <c r="A7499" s="108" t="s">
        <v>15075</v>
      </c>
      <c r="B7499" s="108" t="s">
        <v>26103</v>
      </c>
      <c r="C7499" s="109">
        <v>45391</v>
      </c>
      <c r="D7499" s="108"/>
      <c r="E7499" s="108" t="s">
        <v>14605</v>
      </c>
      <c r="F7499" s="108" t="s">
        <v>4835</v>
      </c>
      <c r="G7499" s="110"/>
      <c r="H7499" s="108" t="s">
        <v>25458</v>
      </c>
      <c r="I7499" s="108"/>
    </row>
    <row r="7500" spans="1:9" ht="27.6">
      <c r="A7500" s="108" t="s">
        <v>15075</v>
      </c>
      <c r="B7500" s="108" t="s">
        <v>26104</v>
      </c>
      <c r="C7500" s="109">
        <v>45546</v>
      </c>
      <c r="D7500" s="108"/>
      <c r="E7500" s="108" t="s">
        <v>14605</v>
      </c>
      <c r="F7500" s="108" t="s">
        <v>318</v>
      </c>
      <c r="G7500" s="110"/>
      <c r="H7500" s="108" t="s">
        <v>25458</v>
      </c>
      <c r="I7500" s="108"/>
    </row>
    <row r="7501" spans="1:9" ht="27.6">
      <c r="A7501" s="108" t="s">
        <v>15075</v>
      </c>
      <c r="B7501" s="108" t="s">
        <v>26105</v>
      </c>
      <c r="C7501" s="109">
        <v>45402</v>
      </c>
      <c r="D7501" s="108"/>
      <c r="E7501" s="108" t="s">
        <v>14605</v>
      </c>
      <c r="F7501" s="108" t="s">
        <v>845</v>
      </c>
      <c r="G7501" s="110"/>
      <c r="H7501" s="108" t="s">
        <v>25458</v>
      </c>
      <c r="I7501" s="108"/>
    </row>
    <row r="7502" spans="1:9" ht="27.6">
      <c r="A7502" s="108" t="s">
        <v>15075</v>
      </c>
      <c r="B7502" s="108" t="s">
        <v>26106</v>
      </c>
      <c r="C7502" s="109">
        <v>45443</v>
      </c>
      <c r="D7502" s="108"/>
      <c r="E7502" s="108" t="s">
        <v>14605</v>
      </c>
      <c r="F7502" s="108" t="s">
        <v>3279</v>
      </c>
      <c r="G7502" s="110"/>
      <c r="H7502" s="108" t="s">
        <v>25458</v>
      </c>
      <c r="I7502" s="108"/>
    </row>
    <row r="7503" spans="1:9" ht="27.6">
      <c r="A7503" s="108" t="s">
        <v>15075</v>
      </c>
      <c r="B7503" s="108" t="s">
        <v>26107</v>
      </c>
      <c r="C7503" s="109">
        <v>45418</v>
      </c>
      <c r="D7503" s="108"/>
      <c r="E7503" s="108" t="s">
        <v>14605</v>
      </c>
      <c r="F7503" s="108" t="s">
        <v>286</v>
      </c>
      <c r="G7503" s="110"/>
      <c r="H7503" s="108" t="s">
        <v>25458</v>
      </c>
      <c r="I7503" s="108"/>
    </row>
    <row r="7504" spans="1:9" ht="27.6">
      <c r="A7504" s="108" t="s">
        <v>15075</v>
      </c>
      <c r="B7504" s="108" t="s">
        <v>26108</v>
      </c>
      <c r="C7504" s="109">
        <v>45435</v>
      </c>
      <c r="D7504" s="108"/>
      <c r="E7504" s="108" t="s">
        <v>14605</v>
      </c>
      <c r="F7504" s="108" t="s">
        <v>3250</v>
      </c>
      <c r="G7504" s="110"/>
      <c r="H7504" s="108" t="s">
        <v>25458</v>
      </c>
      <c r="I7504" s="108"/>
    </row>
    <row r="7505" spans="1:9" ht="27.6">
      <c r="A7505" s="108" t="s">
        <v>15075</v>
      </c>
      <c r="B7505" s="108" t="s">
        <v>26109</v>
      </c>
      <c r="C7505" s="109">
        <v>45428</v>
      </c>
      <c r="D7505" s="108"/>
      <c r="E7505" s="108" t="s">
        <v>14605</v>
      </c>
      <c r="F7505" s="108" t="s">
        <v>2119</v>
      </c>
      <c r="G7505" s="110"/>
      <c r="H7505" s="108" t="s">
        <v>25458</v>
      </c>
      <c r="I7505" s="108"/>
    </row>
    <row r="7506" spans="1:9" ht="27.6">
      <c r="A7506" s="108" t="s">
        <v>15075</v>
      </c>
      <c r="B7506" s="108" t="s">
        <v>26110</v>
      </c>
      <c r="C7506" s="109">
        <v>45435</v>
      </c>
      <c r="D7506" s="108"/>
      <c r="E7506" s="108" t="s">
        <v>14605</v>
      </c>
      <c r="F7506" s="108" t="s">
        <v>3330</v>
      </c>
      <c r="G7506" s="110"/>
      <c r="H7506" s="108" t="s">
        <v>25458</v>
      </c>
      <c r="I7506" s="108"/>
    </row>
    <row r="7507" spans="1:9" ht="27.6">
      <c r="A7507" s="108" t="s">
        <v>15075</v>
      </c>
      <c r="B7507" s="108" t="s">
        <v>26111</v>
      </c>
      <c r="C7507" s="109">
        <v>45481</v>
      </c>
      <c r="D7507" s="108"/>
      <c r="E7507" s="108" t="s">
        <v>14605</v>
      </c>
      <c r="F7507" s="108" t="s">
        <v>15303</v>
      </c>
      <c r="G7507" s="110"/>
      <c r="H7507" s="108" t="s">
        <v>25458</v>
      </c>
      <c r="I7507" s="108"/>
    </row>
    <row r="7508" spans="1:9" ht="27.6">
      <c r="A7508" s="108" t="s">
        <v>15075</v>
      </c>
      <c r="B7508" s="108" t="s">
        <v>26112</v>
      </c>
      <c r="C7508" s="109">
        <v>45449</v>
      </c>
      <c r="D7508" s="108"/>
      <c r="E7508" s="108" t="s">
        <v>14605</v>
      </c>
      <c r="F7508" s="108" t="s">
        <v>3056</v>
      </c>
      <c r="G7508" s="110"/>
      <c r="H7508" s="108" t="s">
        <v>25458</v>
      </c>
      <c r="I7508" s="108"/>
    </row>
    <row r="7509" spans="1:9" ht="27.6">
      <c r="A7509" s="108" t="s">
        <v>15075</v>
      </c>
      <c r="B7509" s="108" t="s">
        <v>26113</v>
      </c>
      <c r="C7509" s="109">
        <v>45427</v>
      </c>
      <c r="D7509" s="108"/>
      <c r="E7509" s="108" t="s">
        <v>14605</v>
      </c>
      <c r="F7509" s="108" t="s">
        <v>5012</v>
      </c>
      <c r="G7509" s="110"/>
      <c r="H7509" s="108" t="s">
        <v>25458</v>
      </c>
      <c r="I7509" s="108"/>
    </row>
    <row r="7510" spans="1:9" ht="27.6">
      <c r="A7510" s="108" t="s">
        <v>15075</v>
      </c>
      <c r="B7510" s="108" t="s">
        <v>26114</v>
      </c>
      <c r="C7510" s="109">
        <v>45434</v>
      </c>
      <c r="D7510" s="108"/>
      <c r="E7510" s="108" t="s">
        <v>14605</v>
      </c>
      <c r="F7510" s="108" t="s">
        <v>4857</v>
      </c>
      <c r="G7510" s="110"/>
      <c r="H7510" s="108" t="s">
        <v>25458</v>
      </c>
      <c r="I7510" s="108"/>
    </row>
    <row r="7511" spans="1:9" ht="27.6">
      <c r="A7511" s="108" t="s">
        <v>15075</v>
      </c>
      <c r="B7511" s="108" t="s">
        <v>26115</v>
      </c>
      <c r="C7511" s="109">
        <v>45447</v>
      </c>
      <c r="D7511" s="108"/>
      <c r="E7511" s="108" t="s">
        <v>14605</v>
      </c>
      <c r="F7511" s="108" t="s">
        <v>1573</v>
      </c>
      <c r="G7511" s="110"/>
      <c r="H7511" s="108" t="s">
        <v>25458</v>
      </c>
      <c r="I7511" s="108"/>
    </row>
    <row r="7512" spans="1:9" ht="27.6">
      <c r="A7512" s="108" t="s">
        <v>15075</v>
      </c>
      <c r="B7512" s="108" t="s">
        <v>26116</v>
      </c>
      <c r="C7512" s="109">
        <v>45436</v>
      </c>
      <c r="D7512" s="108"/>
      <c r="E7512" s="108" t="s">
        <v>14605</v>
      </c>
      <c r="F7512" s="108" t="s">
        <v>1415</v>
      </c>
      <c r="G7512" s="110"/>
      <c r="H7512" s="108" t="s">
        <v>25458</v>
      </c>
      <c r="I7512" s="108"/>
    </row>
    <row r="7513" spans="1:9" ht="27.6">
      <c r="A7513" s="108" t="s">
        <v>15075</v>
      </c>
      <c r="B7513" s="108" t="s">
        <v>26117</v>
      </c>
      <c r="C7513" s="109">
        <v>45447</v>
      </c>
      <c r="D7513" s="108"/>
      <c r="E7513" s="108" t="s">
        <v>14605</v>
      </c>
      <c r="F7513" s="108" t="s">
        <v>2242</v>
      </c>
      <c r="G7513" s="110"/>
      <c r="H7513" s="108" t="s">
        <v>25458</v>
      </c>
      <c r="I7513" s="108"/>
    </row>
    <row r="7514" spans="1:9" ht="27.6">
      <c r="A7514" s="108" t="s">
        <v>15075</v>
      </c>
      <c r="B7514" s="108" t="s">
        <v>26118</v>
      </c>
      <c r="C7514" s="109">
        <v>45475</v>
      </c>
      <c r="D7514" s="108"/>
      <c r="E7514" s="108" t="s">
        <v>14605</v>
      </c>
      <c r="F7514" s="108" t="s">
        <v>2379</v>
      </c>
      <c r="G7514" s="110"/>
      <c r="H7514" s="108" t="s">
        <v>25458</v>
      </c>
      <c r="I7514" s="108"/>
    </row>
    <row r="7515" spans="1:9" ht="27.6">
      <c r="A7515" s="108" t="s">
        <v>15075</v>
      </c>
      <c r="B7515" s="108" t="s">
        <v>26119</v>
      </c>
      <c r="C7515" s="109">
        <v>45476</v>
      </c>
      <c r="D7515" s="108"/>
      <c r="E7515" s="108" t="s">
        <v>14605</v>
      </c>
      <c r="F7515" s="108" t="s">
        <v>4202</v>
      </c>
      <c r="G7515" s="110"/>
      <c r="H7515" s="108" t="s">
        <v>25458</v>
      </c>
      <c r="I7515" s="108"/>
    </row>
    <row r="7516" spans="1:9" ht="27.6">
      <c r="A7516" s="108" t="s">
        <v>15075</v>
      </c>
      <c r="B7516" s="108" t="s">
        <v>26120</v>
      </c>
      <c r="C7516" s="109">
        <v>45455</v>
      </c>
      <c r="D7516" s="108"/>
      <c r="E7516" s="108" t="s">
        <v>14605</v>
      </c>
      <c r="F7516" s="108" t="s">
        <v>3439</v>
      </c>
      <c r="G7516" s="110"/>
      <c r="H7516" s="108" t="s">
        <v>25458</v>
      </c>
      <c r="I7516" s="108"/>
    </row>
    <row r="7517" spans="1:9" ht="27.6">
      <c r="A7517" s="108" t="s">
        <v>15075</v>
      </c>
      <c r="B7517" s="108" t="s">
        <v>26121</v>
      </c>
      <c r="C7517" s="109">
        <v>45456</v>
      </c>
      <c r="D7517" s="108"/>
      <c r="E7517" s="108" t="s">
        <v>14605</v>
      </c>
      <c r="F7517" s="108" t="s">
        <v>4597</v>
      </c>
      <c r="G7517" s="110"/>
      <c r="H7517" s="108" t="s">
        <v>25458</v>
      </c>
      <c r="I7517" s="108"/>
    </row>
    <row r="7518" spans="1:9" ht="27.6">
      <c r="A7518" s="108" t="s">
        <v>15075</v>
      </c>
      <c r="B7518" s="108" t="s">
        <v>26122</v>
      </c>
      <c r="C7518" s="109">
        <v>45454</v>
      </c>
      <c r="D7518" s="108"/>
      <c r="E7518" s="108" t="s">
        <v>14605</v>
      </c>
      <c r="F7518" s="108" t="s">
        <v>3657</v>
      </c>
      <c r="G7518" s="110"/>
      <c r="H7518" s="108" t="s">
        <v>25458</v>
      </c>
      <c r="I7518" s="108"/>
    </row>
    <row r="7519" spans="1:9" ht="27.6">
      <c r="A7519" s="108" t="s">
        <v>15075</v>
      </c>
      <c r="B7519" s="108" t="s">
        <v>26123</v>
      </c>
      <c r="C7519" s="109">
        <v>45467</v>
      </c>
      <c r="D7519" s="108"/>
      <c r="E7519" s="108" t="s">
        <v>14605</v>
      </c>
      <c r="F7519" s="108" t="s">
        <v>14656</v>
      </c>
      <c r="G7519" s="110"/>
      <c r="H7519" s="108" t="s">
        <v>25458</v>
      </c>
      <c r="I7519" s="108"/>
    </row>
    <row r="7520" spans="1:9" ht="27.6">
      <c r="A7520" s="108" t="s">
        <v>15075</v>
      </c>
      <c r="B7520" s="108" t="s">
        <v>26124</v>
      </c>
      <c r="C7520" s="109">
        <v>45471</v>
      </c>
      <c r="D7520" s="108"/>
      <c r="E7520" s="108" t="s">
        <v>14605</v>
      </c>
      <c r="F7520" s="108" t="s">
        <v>2762</v>
      </c>
      <c r="G7520" s="110"/>
      <c r="H7520" s="108" t="s">
        <v>25458</v>
      </c>
      <c r="I7520" s="108"/>
    </row>
    <row r="7521" spans="1:9" ht="27.6">
      <c r="A7521" s="108" t="s">
        <v>15075</v>
      </c>
      <c r="B7521" s="108" t="s">
        <v>26125</v>
      </c>
      <c r="C7521" s="109">
        <v>45483</v>
      </c>
      <c r="D7521" s="108"/>
      <c r="E7521" s="108" t="s">
        <v>14605</v>
      </c>
      <c r="F7521" s="108" t="s">
        <v>5145</v>
      </c>
      <c r="G7521" s="110"/>
      <c r="H7521" s="108" t="s">
        <v>25458</v>
      </c>
      <c r="I7521" s="108"/>
    </row>
    <row r="7522" spans="1:9" ht="27.6">
      <c r="A7522" s="108" t="s">
        <v>15075</v>
      </c>
      <c r="B7522" s="108" t="s">
        <v>26126</v>
      </c>
      <c r="C7522" s="109">
        <v>45461</v>
      </c>
      <c r="D7522" s="108"/>
      <c r="E7522" s="108" t="s">
        <v>14605</v>
      </c>
      <c r="F7522" s="108" t="s">
        <v>2967</v>
      </c>
      <c r="G7522" s="110"/>
      <c r="H7522" s="108" t="s">
        <v>25458</v>
      </c>
      <c r="I7522" s="108"/>
    </row>
    <row r="7523" spans="1:9" ht="27.6">
      <c r="A7523" s="108" t="s">
        <v>15075</v>
      </c>
      <c r="B7523" s="108" t="s">
        <v>26127</v>
      </c>
      <c r="C7523" s="109">
        <v>45467</v>
      </c>
      <c r="D7523" s="108"/>
      <c r="E7523" s="108" t="s">
        <v>14605</v>
      </c>
      <c r="F7523" s="108" t="s">
        <v>1916</v>
      </c>
      <c r="G7523" s="110"/>
      <c r="H7523" s="108" t="s">
        <v>25458</v>
      </c>
      <c r="I7523" s="108"/>
    </row>
    <row r="7524" spans="1:9" ht="27.6">
      <c r="A7524" s="108" t="s">
        <v>15075</v>
      </c>
      <c r="B7524" s="108" t="s">
        <v>26128</v>
      </c>
      <c r="C7524" s="109">
        <v>45467</v>
      </c>
      <c r="D7524" s="108"/>
      <c r="E7524" s="108" t="s">
        <v>14605</v>
      </c>
      <c r="F7524" s="108" t="s">
        <v>1916</v>
      </c>
      <c r="G7524" s="110"/>
      <c r="H7524" s="108" t="s">
        <v>25458</v>
      </c>
      <c r="I7524" s="108"/>
    </row>
    <row r="7525" spans="1:9" ht="27.6">
      <c r="A7525" s="108" t="s">
        <v>15075</v>
      </c>
      <c r="B7525" s="108" t="s">
        <v>26129</v>
      </c>
      <c r="C7525" s="109">
        <v>45467</v>
      </c>
      <c r="D7525" s="108"/>
      <c r="E7525" s="108" t="s">
        <v>14605</v>
      </c>
      <c r="F7525" s="108" t="s">
        <v>1916</v>
      </c>
      <c r="G7525" s="110"/>
      <c r="H7525" s="108" t="s">
        <v>25458</v>
      </c>
      <c r="I7525" s="108"/>
    </row>
    <row r="7526" spans="1:9" ht="27.6">
      <c r="A7526" s="108" t="s">
        <v>15075</v>
      </c>
      <c r="B7526" s="108" t="s">
        <v>26130</v>
      </c>
      <c r="C7526" s="109">
        <v>45474</v>
      </c>
      <c r="D7526" s="108"/>
      <c r="E7526" s="108" t="s">
        <v>14605</v>
      </c>
      <c r="F7526" s="108" t="s">
        <v>4058</v>
      </c>
      <c r="G7526" s="110"/>
      <c r="H7526" s="108" t="s">
        <v>25458</v>
      </c>
      <c r="I7526" s="108"/>
    </row>
    <row r="7527" spans="1:9" ht="27.6">
      <c r="A7527" s="108" t="s">
        <v>15075</v>
      </c>
      <c r="B7527" s="108" t="s">
        <v>26131</v>
      </c>
      <c r="C7527" s="109">
        <v>45659</v>
      </c>
      <c r="D7527" s="108"/>
      <c r="E7527" s="108" t="s">
        <v>14605</v>
      </c>
      <c r="F7527" s="108" t="s">
        <v>3963</v>
      </c>
      <c r="G7527" s="110"/>
      <c r="H7527" s="108" t="s">
        <v>25458</v>
      </c>
      <c r="I7527" s="108"/>
    </row>
    <row r="7528" spans="1:9" ht="27.6">
      <c r="A7528" s="108" t="s">
        <v>15075</v>
      </c>
      <c r="B7528" s="108" t="s">
        <v>26132</v>
      </c>
      <c r="C7528" s="109">
        <v>45504</v>
      </c>
      <c r="D7528" s="108"/>
      <c r="E7528" s="108" t="s">
        <v>14605</v>
      </c>
      <c r="F7528" s="108" t="s">
        <v>3294</v>
      </c>
      <c r="G7528" s="110"/>
      <c r="H7528" s="108" t="s">
        <v>25458</v>
      </c>
      <c r="I7528" s="108"/>
    </row>
    <row r="7529" spans="1:9" ht="27.6">
      <c r="A7529" s="108" t="s">
        <v>15075</v>
      </c>
      <c r="B7529" s="108" t="s">
        <v>26133</v>
      </c>
      <c r="C7529" s="109">
        <v>45498</v>
      </c>
      <c r="D7529" s="108"/>
      <c r="E7529" s="108" t="s">
        <v>14605</v>
      </c>
      <c r="F7529" s="108" t="s">
        <v>4045</v>
      </c>
      <c r="G7529" s="110"/>
      <c r="H7529" s="108" t="s">
        <v>25458</v>
      </c>
      <c r="I7529" s="108"/>
    </row>
    <row r="7530" spans="1:9" ht="27.6">
      <c r="A7530" s="108" t="s">
        <v>15075</v>
      </c>
      <c r="B7530" s="108" t="s">
        <v>26134</v>
      </c>
      <c r="C7530" s="109">
        <v>45498</v>
      </c>
      <c r="D7530" s="108"/>
      <c r="E7530" s="108" t="s">
        <v>14605</v>
      </c>
      <c r="F7530" s="108" t="s">
        <v>4045</v>
      </c>
      <c r="G7530" s="110"/>
      <c r="H7530" s="108" t="s">
        <v>25458</v>
      </c>
      <c r="I7530" s="108"/>
    </row>
    <row r="7531" spans="1:9" ht="27.6">
      <c r="A7531" s="108" t="s">
        <v>15075</v>
      </c>
      <c r="B7531" s="108" t="s">
        <v>26135</v>
      </c>
      <c r="C7531" s="109">
        <v>45707</v>
      </c>
      <c r="D7531" s="108"/>
      <c r="E7531" s="108" t="s">
        <v>14605</v>
      </c>
      <c r="F7531" s="108" t="s">
        <v>4343</v>
      </c>
      <c r="G7531" s="110"/>
      <c r="H7531" s="108" t="s">
        <v>25458</v>
      </c>
      <c r="I7531" s="108"/>
    </row>
    <row r="7532" spans="1:9" ht="27.6">
      <c r="A7532" s="108" t="s">
        <v>15075</v>
      </c>
      <c r="B7532" s="108" t="s">
        <v>26136</v>
      </c>
      <c r="C7532" s="109">
        <v>45482</v>
      </c>
      <c r="D7532" s="108"/>
      <c r="E7532" s="108" t="s">
        <v>14605</v>
      </c>
      <c r="F7532" s="108" t="s">
        <v>1514</v>
      </c>
      <c r="G7532" s="110"/>
      <c r="H7532" s="108" t="s">
        <v>25458</v>
      </c>
      <c r="I7532" s="108"/>
    </row>
    <row r="7533" spans="1:9" ht="27.6">
      <c r="A7533" s="108" t="s">
        <v>15075</v>
      </c>
      <c r="B7533" s="108" t="s">
        <v>26137</v>
      </c>
      <c r="C7533" s="109">
        <v>45485</v>
      </c>
      <c r="D7533" s="108"/>
      <c r="E7533" s="108" t="s">
        <v>14605</v>
      </c>
      <c r="F7533" s="108" t="s">
        <v>2609</v>
      </c>
      <c r="G7533" s="110"/>
      <c r="H7533" s="108" t="s">
        <v>25458</v>
      </c>
      <c r="I7533" s="108"/>
    </row>
    <row r="7534" spans="1:9" ht="27.6">
      <c r="A7534" s="108" t="s">
        <v>15075</v>
      </c>
      <c r="B7534" s="108" t="s">
        <v>26138</v>
      </c>
      <c r="C7534" s="109">
        <v>45513</v>
      </c>
      <c r="D7534" s="108"/>
      <c r="E7534" s="108" t="s">
        <v>14605</v>
      </c>
      <c r="F7534" s="108" t="s">
        <v>1514</v>
      </c>
      <c r="G7534" s="110"/>
      <c r="H7534" s="108" t="s">
        <v>25458</v>
      </c>
      <c r="I7534" s="108"/>
    </row>
    <row r="7535" spans="1:9" ht="27.6">
      <c r="A7535" s="108" t="s">
        <v>15075</v>
      </c>
      <c r="B7535" s="108" t="s">
        <v>26139</v>
      </c>
      <c r="C7535" s="109">
        <v>45504</v>
      </c>
      <c r="D7535" s="108"/>
      <c r="E7535" s="108" t="s">
        <v>14605</v>
      </c>
      <c r="F7535" s="108" t="s">
        <v>25474</v>
      </c>
      <c r="G7535" s="110"/>
      <c r="H7535" s="108" t="s">
        <v>25458</v>
      </c>
      <c r="I7535" s="108"/>
    </row>
    <row r="7536" spans="1:9" ht="27.6">
      <c r="A7536" s="108" t="s">
        <v>15075</v>
      </c>
      <c r="B7536" s="108" t="s">
        <v>26140</v>
      </c>
      <c r="C7536" s="109">
        <v>45532</v>
      </c>
      <c r="D7536" s="108"/>
      <c r="E7536" s="108" t="s">
        <v>14605</v>
      </c>
      <c r="F7536" s="108" t="s">
        <v>14764</v>
      </c>
      <c r="G7536" s="110"/>
      <c r="H7536" s="108" t="s">
        <v>25458</v>
      </c>
      <c r="I7536" s="108"/>
    </row>
    <row r="7537" spans="1:9" ht="27.6">
      <c r="A7537" s="108" t="s">
        <v>15075</v>
      </c>
      <c r="B7537" s="108" t="s">
        <v>26141</v>
      </c>
      <c r="C7537" s="109">
        <v>45499</v>
      </c>
      <c r="D7537" s="108"/>
      <c r="E7537" s="108" t="s">
        <v>14605</v>
      </c>
      <c r="F7537" s="108" t="s">
        <v>1470</v>
      </c>
      <c r="G7537" s="110"/>
      <c r="H7537" s="108" t="s">
        <v>25458</v>
      </c>
      <c r="I7537" s="108"/>
    </row>
    <row r="7538" spans="1:9" ht="27.6">
      <c r="A7538" s="108" t="s">
        <v>15075</v>
      </c>
      <c r="B7538" s="108" t="s">
        <v>26142</v>
      </c>
      <c r="C7538" s="109">
        <v>45512</v>
      </c>
      <c r="D7538" s="108"/>
      <c r="E7538" s="108" t="s">
        <v>14605</v>
      </c>
      <c r="F7538" s="108" t="s">
        <v>2762</v>
      </c>
      <c r="G7538" s="110"/>
      <c r="H7538" s="108" t="s">
        <v>25458</v>
      </c>
      <c r="I7538" s="108"/>
    </row>
    <row r="7539" spans="1:9" ht="27.6">
      <c r="A7539" s="108" t="s">
        <v>15075</v>
      </c>
      <c r="B7539" s="108" t="s">
        <v>26143</v>
      </c>
      <c r="C7539" s="109">
        <v>45517</v>
      </c>
      <c r="D7539" s="108"/>
      <c r="E7539" s="108" t="s">
        <v>14605</v>
      </c>
      <c r="F7539" s="108" t="s">
        <v>3615</v>
      </c>
      <c r="G7539" s="110"/>
      <c r="H7539" s="108" t="s">
        <v>25458</v>
      </c>
      <c r="I7539" s="108"/>
    </row>
    <row r="7540" spans="1:9" ht="27.6">
      <c r="A7540" s="108" t="s">
        <v>15075</v>
      </c>
      <c r="B7540" s="108" t="s">
        <v>26144</v>
      </c>
      <c r="C7540" s="109">
        <v>45524</v>
      </c>
      <c r="D7540" s="108"/>
      <c r="E7540" s="108" t="s">
        <v>14605</v>
      </c>
      <c r="F7540" s="108" t="s">
        <v>5288</v>
      </c>
      <c r="G7540" s="110"/>
      <c r="H7540" s="108" t="s">
        <v>25458</v>
      </c>
      <c r="I7540" s="108"/>
    </row>
    <row r="7541" spans="1:9" ht="27.6">
      <c r="A7541" s="108" t="s">
        <v>15075</v>
      </c>
      <c r="B7541" s="108" t="s">
        <v>26145</v>
      </c>
      <c r="C7541" s="109">
        <v>45586</v>
      </c>
      <c r="D7541" s="108"/>
      <c r="E7541" s="108" t="s">
        <v>14605</v>
      </c>
      <c r="F7541" s="108" t="s">
        <v>986</v>
      </c>
      <c r="G7541" s="110"/>
      <c r="H7541" s="108" t="s">
        <v>25458</v>
      </c>
      <c r="I7541" s="108"/>
    </row>
    <row r="7542" spans="1:9" ht="27.6">
      <c r="A7542" s="108" t="s">
        <v>15075</v>
      </c>
      <c r="B7542" s="108" t="s">
        <v>26146</v>
      </c>
      <c r="C7542" s="109">
        <v>45545</v>
      </c>
      <c r="D7542" s="108"/>
      <c r="E7542" s="108" t="s">
        <v>14605</v>
      </c>
      <c r="F7542" s="108" t="s">
        <v>4678</v>
      </c>
      <c r="G7542" s="110"/>
      <c r="H7542" s="108" t="s">
        <v>25458</v>
      </c>
      <c r="I7542" s="108"/>
    </row>
    <row r="7543" spans="1:9" ht="27.6">
      <c r="A7543" s="108" t="s">
        <v>15075</v>
      </c>
      <c r="B7543" s="108" t="s">
        <v>26147</v>
      </c>
      <c r="C7543" s="109">
        <v>45585</v>
      </c>
      <c r="D7543" s="108"/>
      <c r="E7543" s="108" t="s">
        <v>14605</v>
      </c>
      <c r="F7543" s="108" t="s">
        <v>26148</v>
      </c>
      <c r="G7543" s="110"/>
      <c r="H7543" s="108" t="s">
        <v>25458</v>
      </c>
      <c r="I7543" s="108"/>
    </row>
    <row r="7544" spans="1:9" ht="27.6">
      <c r="A7544" s="108" t="s">
        <v>15075</v>
      </c>
      <c r="B7544" s="108" t="s">
        <v>26149</v>
      </c>
      <c r="C7544" s="109">
        <v>45573</v>
      </c>
      <c r="D7544" s="108"/>
      <c r="E7544" s="108" t="s">
        <v>14605</v>
      </c>
      <c r="F7544" s="108" t="s">
        <v>2725</v>
      </c>
      <c r="G7544" s="110"/>
      <c r="H7544" s="108" t="s">
        <v>25458</v>
      </c>
      <c r="I7544" s="108"/>
    </row>
    <row r="7545" spans="1:9" ht="27.6">
      <c r="A7545" s="108" t="s">
        <v>15075</v>
      </c>
      <c r="B7545" s="108" t="s">
        <v>26150</v>
      </c>
      <c r="C7545" s="109">
        <v>45562</v>
      </c>
      <c r="D7545" s="108"/>
      <c r="E7545" s="108" t="s">
        <v>14605</v>
      </c>
      <c r="F7545" s="108" t="s">
        <v>3444</v>
      </c>
      <c r="G7545" s="110"/>
      <c r="H7545" s="108" t="s">
        <v>25458</v>
      </c>
      <c r="I7545" s="108"/>
    </row>
    <row r="7546" spans="1:9" ht="27.6">
      <c r="A7546" s="108" t="s">
        <v>15075</v>
      </c>
      <c r="B7546" s="108" t="s">
        <v>26151</v>
      </c>
      <c r="C7546" s="109">
        <v>45546</v>
      </c>
      <c r="D7546" s="108"/>
      <c r="E7546" s="108" t="s">
        <v>14605</v>
      </c>
      <c r="F7546" s="108" t="s">
        <v>4501</v>
      </c>
      <c r="G7546" s="110"/>
      <c r="H7546" s="108" t="s">
        <v>25458</v>
      </c>
      <c r="I7546" s="108"/>
    </row>
    <row r="7547" spans="1:9" ht="27.6">
      <c r="A7547" s="108" t="s">
        <v>15075</v>
      </c>
      <c r="B7547" s="108" t="s">
        <v>26152</v>
      </c>
      <c r="C7547" s="109">
        <v>45580</v>
      </c>
      <c r="D7547" s="108"/>
      <c r="E7547" s="108" t="s">
        <v>14605</v>
      </c>
      <c r="F7547" s="108" t="s">
        <v>4763</v>
      </c>
      <c r="G7547" s="110"/>
      <c r="H7547" s="108" t="s">
        <v>25458</v>
      </c>
      <c r="I7547" s="108"/>
    </row>
    <row r="7548" spans="1:9" ht="27.6">
      <c r="A7548" s="108" t="s">
        <v>15075</v>
      </c>
      <c r="B7548" s="108" t="s">
        <v>26153</v>
      </c>
      <c r="C7548" s="109">
        <v>45582</v>
      </c>
      <c r="D7548" s="108"/>
      <c r="E7548" s="108" t="s">
        <v>14605</v>
      </c>
      <c r="F7548" s="108" t="s">
        <v>1519</v>
      </c>
      <c r="G7548" s="110"/>
      <c r="H7548" s="108" t="s">
        <v>25458</v>
      </c>
      <c r="I7548" s="108"/>
    </row>
    <row r="7549" spans="1:9" ht="27.6">
      <c r="A7549" s="108" t="s">
        <v>15075</v>
      </c>
      <c r="B7549" s="108" t="s">
        <v>26154</v>
      </c>
      <c r="C7549" s="109">
        <v>45555</v>
      </c>
      <c r="D7549" s="108"/>
      <c r="E7549" s="108" t="s">
        <v>14605</v>
      </c>
      <c r="F7549" s="108" t="s">
        <v>2203</v>
      </c>
      <c r="G7549" s="110"/>
      <c r="H7549" s="108" t="s">
        <v>25458</v>
      </c>
      <c r="I7549" s="108"/>
    </row>
    <row r="7550" spans="1:9" ht="27.6">
      <c r="A7550" s="108" t="s">
        <v>15075</v>
      </c>
      <c r="B7550" s="108" t="s">
        <v>26155</v>
      </c>
      <c r="C7550" s="109">
        <v>45559</v>
      </c>
      <c r="D7550" s="108"/>
      <c r="E7550" s="108" t="s">
        <v>14605</v>
      </c>
      <c r="F7550" s="108" t="s">
        <v>26156</v>
      </c>
      <c r="G7550" s="110"/>
      <c r="H7550" s="108" t="s">
        <v>25458</v>
      </c>
      <c r="I7550" s="108"/>
    </row>
    <row r="7551" spans="1:9" ht="27.6">
      <c r="A7551" s="108" t="s">
        <v>15075</v>
      </c>
      <c r="B7551" s="108" t="s">
        <v>26157</v>
      </c>
      <c r="C7551" s="109">
        <v>45586</v>
      </c>
      <c r="D7551" s="108"/>
      <c r="E7551" s="108" t="s">
        <v>14605</v>
      </c>
      <c r="F7551" s="108" t="s">
        <v>26158</v>
      </c>
      <c r="G7551" s="110"/>
      <c r="H7551" s="108" t="s">
        <v>25458</v>
      </c>
      <c r="I7551" s="108"/>
    </row>
    <row r="7552" spans="1:9" ht="27.6">
      <c r="A7552" s="108" t="s">
        <v>15075</v>
      </c>
      <c r="B7552" s="108" t="s">
        <v>26159</v>
      </c>
      <c r="C7552" s="109">
        <v>45586</v>
      </c>
      <c r="D7552" s="108"/>
      <c r="E7552" s="108" t="s">
        <v>14605</v>
      </c>
      <c r="F7552" s="108" t="s">
        <v>26158</v>
      </c>
      <c r="G7552" s="110"/>
      <c r="H7552" s="108" t="s">
        <v>25458</v>
      </c>
      <c r="I7552" s="108"/>
    </row>
    <row r="7553" spans="1:9" ht="27.6">
      <c r="A7553" s="108" t="s">
        <v>15075</v>
      </c>
      <c r="B7553" s="108" t="s">
        <v>26160</v>
      </c>
      <c r="C7553" s="109">
        <v>45787</v>
      </c>
      <c r="D7553" s="108"/>
      <c r="E7553" s="108" t="s">
        <v>14605</v>
      </c>
      <c r="F7553" s="108" t="s">
        <v>26161</v>
      </c>
      <c r="G7553" s="110"/>
      <c r="H7553" s="108" t="s">
        <v>25458</v>
      </c>
      <c r="I7553" s="108"/>
    </row>
    <row r="7554" spans="1:9" ht="27.6">
      <c r="A7554" s="108" t="s">
        <v>15075</v>
      </c>
      <c r="B7554" s="108" t="s">
        <v>26162</v>
      </c>
      <c r="C7554" s="109">
        <v>45787</v>
      </c>
      <c r="D7554" s="108"/>
      <c r="E7554" s="108" t="s">
        <v>14605</v>
      </c>
      <c r="F7554" s="108" t="s">
        <v>26158</v>
      </c>
      <c r="G7554" s="110"/>
      <c r="H7554" s="108" t="s">
        <v>25458</v>
      </c>
      <c r="I7554" s="108"/>
    </row>
    <row r="7555" spans="1:9" ht="27.6">
      <c r="A7555" s="108" t="s">
        <v>15075</v>
      </c>
      <c r="B7555" s="108" t="s">
        <v>26163</v>
      </c>
      <c r="C7555" s="109">
        <v>45575</v>
      </c>
      <c r="D7555" s="108"/>
      <c r="E7555" s="108" t="s">
        <v>14605</v>
      </c>
      <c r="F7555" s="108" t="s">
        <v>4920</v>
      </c>
      <c r="G7555" s="110"/>
      <c r="H7555" s="108" t="s">
        <v>25458</v>
      </c>
      <c r="I7555" s="108"/>
    </row>
    <row r="7556" spans="1:9" ht="27.6">
      <c r="A7556" s="108" t="s">
        <v>15075</v>
      </c>
      <c r="B7556" s="108" t="s">
        <v>26164</v>
      </c>
      <c r="C7556" s="109">
        <v>45565</v>
      </c>
      <c r="D7556" s="108"/>
      <c r="E7556" s="108" t="s">
        <v>14605</v>
      </c>
      <c r="F7556" s="108" t="s">
        <v>3014</v>
      </c>
      <c r="G7556" s="110"/>
      <c r="H7556" s="108" t="s">
        <v>25458</v>
      </c>
      <c r="I7556" s="108"/>
    </row>
    <row r="7557" spans="1:9" ht="27.6">
      <c r="A7557" s="108" t="s">
        <v>15075</v>
      </c>
      <c r="B7557" s="108" t="s">
        <v>26165</v>
      </c>
      <c r="C7557" s="109">
        <v>45686</v>
      </c>
      <c r="D7557" s="108"/>
      <c r="E7557" s="108" t="s">
        <v>14605</v>
      </c>
      <c r="F7557" s="108" t="s">
        <v>1519</v>
      </c>
      <c r="G7557" s="110"/>
      <c r="H7557" s="108" t="s">
        <v>25458</v>
      </c>
      <c r="I7557" s="108"/>
    </row>
    <row r="7558" spans="1:9" ht="27.6">
      <c r="A7558" s="108" t="s">
        <v>15075</v>
      </c>
      <c r="B7558" s="108" t="s">
        <v>26166</v>
      </c>
      <c r="C7558" s="109">
        <v>45721</v>
      </c>
      <c r="D7558" s="108"/>
      <c r="E7558" s="108" t="s">
        <v>14605</v>
      </c>
      <c r="F7558" s="108" t="s">
        <v>3141</v>
      </c>
      <c r="G7558" s="110"/>
      <c r="H7558" s="108" t="s">
        <v>25458</v>
      </c>
      <c r="I7558" s="108"/>
    </row>
    <row r="7559" spans="1:9" ht="27.6">
      <c r="A7559" s="108" t="s">
        <v>15075</v>
      </c>
      <c r="B7559" s="108" t="s">
        <v>26167</v>
      </c>
      <c r="C7559" s="109">
        <v>45600</v>
      </c>
      <c r="D7559" s="108"/>
      <c r="E7559" s="108" t="s">
        <v>14605</v>
      </c>
      <c r="F7559" s="108" t="s">
        <v>1615</v>
      </c>
      <c r="G7559" s="110"/>
      <c r="H7559" s="108" t="s">
        <v>25458</v>
      </c>
      <c r="I7559" s="108"/>
    </row>
    <row r="7560" spans="1:9" ht="27.6">
      <c r="A7560" s="108" t="s">
        <v>15075</v>
      </c>
      <c r="B7560" s="108" t="s">
        <v>26168</v>
      </c>
      <c r="C7560" s="109">
        <v>45600</v>
      </c>
      <c r="D7560" s="108"/>
      <c r="E7560" s="108" t="s">
        <v>14605</v>
      </c>
      <c r="F7560" s="108" t="s">
        <v>1615</v>
      </c>
      <c r="G7560" s="110"/>
      <c r="H7560" s="108" t="s">
        <v>25458</v>
      </c>
      <c r="I7560" s="108"/>
    </row>
    <row r="7561" spans="1:9" ht="27.6">
      <c r="A7561" s="108" t="s">
        <v>15075</v>
      </c>
      <c r="B7561" s="108" t="s">
        <v>26169</v>
      </c>
      <c r="C7561" s="109">
        <v>45583</v>
      </c>
      <c r="D7561" s="108"/>
      <c r="E7561" s="108" t="s">
        <v>14605</v>
      </c>
      <c r="F7561" s="108" t="s">
        <v>3253</v>
      </c>
      <c r="G7561" s="110"/>
      <c r="H7561" s="108" t="s">
        <v>25458</v>
      </c>
      <c r="I7561" s="108"/>
    </row>
    <row r="7562" spans="1:9" ht="27.6">
      <c r="A7562" s="108" t="s">
        <v>15075</v>
      </c>
      <c r="B7562" s="108" t="s">
        <v>26170</v>
      </c>
      <c r="C7562" s="109">
        <v>45583</v>
      </c>
      <c r="D7562" s="108"/>
      <c r="E7562" s="108" t="s">
        <v>14605</v>
      </c>
      <c r="F7562" s="108" t="s">
        <v>3253</v>
      </c>
      <c r="G7562" s="110"/>
      <c r="H7562" s="108" t="s">
        <v>25458</v>
      </c>
      <c r="I7562" s="108"/>
    </row>
    <row r="7563" spans="1:9" ht="27.6">
      <c r="A7563" s="108" t="s">
        <v>15075</v>
      </c>
      <c r="B7563" s="108" t="s">
        <v>26171</v>
      </c>
      <c r="C7563" s="109">
        <v>45569</v>
      </c>
      <c r="D7563" s="108"/>
      <c r="E7563" s="108" t="s">
        <v>14605</v>
      </c>
      <c r="F7563" s="108" t="s">
        <v>4319</v>
      </c>
      <c r="G7563" s="110"/>
      <c r="H7563" s="108" t="s">
        <v>25458</v>
      </c>
      <c r="I7563" s="108"/>
    </row>
    <row r="7564" spans="1:9" ht="27.6">
      <c r="A7564" s="108" t="s">
        <v>15075</v>
      </c>
      <c r="B7564" s="108" t="s">
        <v>26172</v>
      </c>
      <c r="C7564" s="109">
        <v>45736</v>
      </c>
      <c r="D7564" s="108"/>
      <c r="E7564" s="108" t="s">
        <v>14605</v>
      </c>
      <c r="F7564" s="108" t="s">
        <v>4276</v>
      </c>
      <c r="G7564" s="110"/>
      <c r="H7564" s="108" t="s">
        <v>25458</v>
      </c>
      <c r="I7564" s="108"/>
    </row>
    <row r="7565" spans="1:9" ht="27.6">
      <c r="A7565" s="108" t="s">
        <v>15075</v>
      </c>
      <c r="B7565" s="108" t="s">
        <v>26173</v>
      </c>
      <c r="C7565" s="109">
        <v>45722</v>
      </c>
      <c r="D7565" s="108"/>
      <c r="E7565" s="108" t="s">
        <v>14605</v>
      </c>
      <c r="F7565" s="108" t="s">
        <v>4276</v>
      </c>
      <c r="G7565" s="110"/>
      <c r="H7565" s="108" t="s">
        <v>25458</v>
      </c>
      <c r="I7565" s="108"/>
    </row>
    <row r="7566" spans="1:9" ht="27.6">
      <c r="A7566" s="108" t="s">
        <v>15075</v>
      </c>
      <c r="B7566" s="108" t="s">
        <v>26174</v>
      </c>
      <c r="C7566" s="109">
        <v>45568</v>
      </c>
      <c r="D7566" s="108"/>
      <c r="E7566" s="108" t="s">
        <v>14605</v>
      </c>
      <c r="F7566" s="108" t="s">
        <v>4829</v>
      </c>
      <c r="G7566" s="110"/>
      <c r="H7566" s="108" t="s">
        <v>25458</v>
      </c>
      <c r="I7566" s="108"/>
    </row>
    <row r="7567" spans="1:9" ht="27.6">
      <c r="A7567" s="108" t="s">
        <v>15075</v>
      </c>
      <c r="B7567" s="108" t="s">
        <v>26175</v>
      </c>
      <c r="C7567" s="109">
        <v>45593</v>
      </c>
      <c r="D7567" s="108"/>
      <c r="E7567" s="108" t="s">
        <v>14605</v>
      </c>
      <c r="F7567" s="108" t="s">
        <v>3210</v>
      </c>
      <c r="G7567" s="110"/>
      <c r="H7567" s="108" t="s">
        <v>25458</v>
      </c>
      <c r="I7567" s="108"/>
    </row>
    <row r="7568" spans="1:9" ht="27.6">
      <c r="A7568" s="108" t="s">
        <v>15075</v>
      </c>
      <c r="B7568" s="108" t="s">
        <v>26176</v>
      </c>
      <c r="C7568" s="109">
        <v>45687</v>
      </c>
      <c r="D7568" s="108"/>
      <c r="E7568" s="108" t="s">
        <v>14605</v>
      </c>
      <c r="F7568" s="108" t="s">
        <v>16249</v>
      </c>
      <c r="G7568" s="110"/>
      <c r="H7568" s="108" t="s">
        <v>25458</v>
      </c>
      <c r="I7568" s="108"/>
    </row>
    <row r="7569" spans="1:9" ht="27.6">
      <c r="A7569" s="108" t="s">
        <v>15075</v>
      </c>
      <c r="B7569" s="108" t="s">
        <v>26177</v>
      </c>
      <c r="C7569" s="109">
        <v>45615</v>
      </c>
      <c r="D7569" s="108"/>
      <c r="E7569" s="108" t="s">
        <v>14605</v>
      </c>
      <c r="F7569" s="108" t="s">
        <v>26178</v>
      </c>
      <c r="G7569" s="110"/>
      <c r="H7569" s="108" t="s">
        <v>25458</v>
      </c>
      <c r="I7569" s="108"/>
    </row>
    <row r="7570" spans="1:9" ht="27.6">
      <c r="A7570" s="108" t="s">
        <v>15075</v>
      </c>
      <c r="B7570" s="108" t="s">
        <v>26179</v>
      </c>
      <c r="C7570" s="109">
        <v>45626</v>
      </c>
      <c r="D7570" s="108"/>
      <c r="E7570" s="108" t="s">
        <v>14605</v>
      </c>
      <c r="F7570" s="108" t="s">
        <v>2379</v>
      </c>
      <c r="G7570" s="110"/>
      <c r="H7570" s="108" t="s">
        <v>25458</v>
      </c>
      <c r="I7570" s="108"/>
    </row>
    <row r="7571" spans="1:9" ht="27.6">
      <c r="A7571" s="108" t="s">
        <v>15075</v>
      </c>
      <c r="B7571" s="108" t="s">
        <v>26180</v>
      </c>
      <c r="C7571" s="109">
        <v>45602</v>
      </c>
      <c r="D7571" s="108"/>
      <c r="E7571" s="108" t="s">
        <v>14605</v>
      </c>
      <c r="F7571" s="108" t="s">
        <v>1179</v>
      </c>
      <c r="G7571" s="110"/>
      <c r="H7571" s="108" t="s">
        <v>25458</v>
      </c>
      <c r="I7571" s="108"/>
    </row>
    <row r="7572" spans="1:9" ht="27.6">
      <c r="A7572" s="108" t="s">
        <v>15075</v>
      </c>
      <c r="B7572" s="108" t="s">
        <v>26181</v>
      </c>
      <c r="C7572" s="109">
        <v>45587</v>
      </c>
      <c r="D7572" s="108"/>
      <c r="E7572" s="108" t="s">
        <v>14605</v>
      </c>
      <c r="F7572" s="108" t="s">
        <v>3687</v>
      </c>
      <c r="G7572" s="110"/>
      <c r="H7572" s="108" t="s">
        <v>25458</v>
      </c>
      <c r="I7572" s="108"/>
    </row>
    <row r="7573" spans="1:9" ht="27.6">
      <c r="A7573" s="108" t="s">
        <v>15075</v>
      </c>
      <c r="B7573" s="108" t="s">
        <v>26182</v>
      </c>
      <c r="C7573" s="109">
        <v>45649</v>
      </c>
      <c r="D7573" s="108"/>
      <c r="E7573" s="108" t="s">
        <v>14605</v>
      </c>
      <c r="F7573" s="108" t="s">
        <v>4898</v>
      </c>
      <c r="G7573" s="110"/>
      <c r="H7573" s="108" t="s">
        <v>25458</v>
      </c>
      <c r="I7573" s="108"/>
    </row>
    <row r="7574" spans="1:9" ht="27.6">
      <c r="A7574" s="108" t="s">
        <v>15075</v>
      </c>
      <c r="B7574" s="108" t="s">
        <v>26183</v>
      </c>
      <c r="C7574" s="109">
        <v>45615</v>
      </c>
      <c r="D7574" s="108"/>
      <c r="E7574" s="108" t="s">
        <v>14605</v>
      </c>
      <c r="F7574" s="108" t="s">
        <v>25907</v>
      </c>
      <c r="G7574" s="110"/>
      <c r="H7574" s="108" t="s">
        <v>25458</v>
      </c>
      <c r="I7574" s="108"/>
    </row>
    <row r="7575" spans="1:9">
      <c r="A7575" s="108" t="s">
        <v>199</v>
      </c>
      <c r="B7575" s="108" t="s">
        <v>26184</v>
      </c>
      <c r="C7575" s="109">
        <v>46108</v>
      </c>
      <c r="D7575" s="108"/>
      <c r="E7575" s="108" t="s">
        <v>14605</v>
      </c>
      <c r="F7575" s="108" t="s">
        <v>26185</v>
      </c>
      <c r="G7575" s="110"/>
      <c r="H7575" s="108" t="s">
        <v>25458</v>
      </c>
      <c r="I7575" s="108"/>
    </row>
    <row r="7576" spans="1:9" ht="27.6">
      <c r="A7576" s="108" t="s">
        <v>199</v>
      </c>
      <c r="B7576" s="108" t="s">
        <v>1462</v>
      </c>
      <c r="C7576" s="109">
        <v>40812</v>
      </c>
      <c r="D7576" s="108"/>
      <c r="E7576" s="108" t="s">
        <v>14605</v>
      </c>
      <c r="F7576" s="108" t="s">
        <v>1463</v>
      </c>
      <c r="G7576" s="110"/>
      <c r="H7576" s="108" t="s">
        <v>25458</v>
      </c>
      <c r="I7576" s="108"/>
    </row>
    <row r="7577" spans="1:9">
      <c r="A7577" s="108" t="s">
        <v>199</v>
      </c>
      <c r="B7577" s="108" t="s">
        <v>507</v>
      </c>
      <c r="C7577" s="109">
        <v>40975</v>
      </c>
      <c r="D7577" s="108"/>
      <c r="E7577" s="108" t="s">
        <v>14605</v>
      </c>
      <c r="F7577" s="108" t="s">
        <v>508</v>
      </c>
      <c r="G7577" s="110"/>
      <c r="H7577" s="108" t="s">
        <v>25458</v>
      </c>
      <c r="I7577" s="108"/>
    </row>
    <row r="7578" spans="1:9">
      <c r="A7578" s="108" t="s">
        <v>227</v>
      </c>
      <c r="B7578" s="108" t="s">
        <v>5062</v>
      </c>
      <c r="C7578" s="109">
        <v>44467</v>
      </c>
      <c r="D7578" s="108"/>
      <c r="E7578" s="108" t="s">
        <v>14605</v>
      </c>
      <c r="F7578" s="108" t="s">
        <v>5057</v>
      </c>
      <c r="G7578" s="110"/>
      <c r="H7578" s="108" t="s">
        <v>25458</v>
      </c>
      <c r="I7578" s="108"/>
    </row>
    <row r="7579" spans="1:9">
      <c r="A7579" s="108" t="s">
        <v>227</v>
      </c>
      <c r="B7579" s="108" t="s">
        <v>2259</v>
      </c>
      <c r="C7579" s="109">
        <v>44438</v>
      </c>
      <c r="D7579" s="108"/>
      <c r="E7579" s="108" t="s">
        <v>14605</v>
      </c>
      <c r="F7579" s="108" t="s">
        <v>2251</v>
      </c>
      <c r="G7579" s="110"/>
      <c r="H7579" s="108" t="s">
        <v>25458</v>
      </c>
      <c r="I7579" s="108"/>
    </row>
    <row r="7580" spans="1:9">
      <c r="A7580" s="108" t="s">
        <v>199</v>
      </c>
      <c r="B7580" s="108" t="s">
        <v>3788</v>
      </c>
      <c r="C7580" s="109">
        <v>41136</v>
      </c>
      <c r="D7580" s="108"/>
      <c r="E7580" s="108" t="s">
        <v>14605</v>
      </c>
      <c r="F7580" s="108" t="s">
        <v>3784</v>
      </c>
      <c r="G7580" s="110"/>
      <c r="H7580" s="108" t="s">
        <v>25458</v>
      </c>
      <c r="I7580" s="108"/>
    </row>
    <row r="7581" spans="1:9">
      <c r="A7581" s="108" t="s">
        <v>199</v>
      </c>
      <c r="B7581" s="108" t="s">
        <v>5130</v>
      </c>
      <c r="C7581" s="109">
        <v>41157</v>
      </c>
      <c r="D7581" s="108"/>
      <c r="E7581" s="108" t="s">
        <v>14605</v>
      </c>
      <c r="F7581" s="108" t="s">
        <v>26186</v>
      </c>
      <c r="G7581" s="110"/>
      <c r="H7581" s="108" t="s">
        <v>25458</v>
      </c>
      <c r="I7581" s="108"/>
    </row>
    <row r="7582" spans="1:9" ht="27.6">
      <c r="A7582" s="108" t="s">
        <v>199</v>
      </c>
      <c r="B7582" s="108" t="s">
        <v>3099</v>
      </c>
      <c r="C7582" s="109">
        <v>41387</v>
      </c>
      <c r="D7582" s="108"/>
      <c r="E7582" s="108" t="s">
        <v>14605</v>
      </c>
      <c r="F7582" s="108" t="s">
        <v>3096</v>
      </c>
      <c r="G7582" s="110"/>
      <c r="H7582" s="108" t="s">
        <v>25458</v>
      </c>
      <c r="I7582" s="108"/>
    </row>
    <row r="7583" spans="1:9">
      <c r="A7583" s="108" t="s">
        <v>199</v>
      </c>
      <c r="B7583" s="108" t="s">
        <v>4666</v>
      </c>
      <c r="C7583" s="109">
        <v>41198</v>
      </c>
      <c r="D7583" s="108"/>
      <c r="E7583" s="108" t="s">
        <v>14605</v>
      </c>
      <c r="F7583" s="108" t="s">
        <v>26187</v>
      </c>
      <c r="G7583" s="110"/>
      <c r="H7583" s="108" t="s">
        <v>25458</v>
      </c>
      <c r="I7583" s="108"/>
    </row>
    <row r="7584" spans="1:9">
      <c r="A7584" s="108" t="s">
        <v>199</v>
      </c>
      <c r="B7584" s="108" t="s">
        <v>2258</v>
      </c>
      <c r="C7584" s="109">
        <v>41463</v>
      </c>
      <c r="D7584" s="108"/>
      <c r="E7584" s="108" t="s">
        <v>14605</v>
      </c>
      <c r="F7584" s="108" t="s">
        <v>2251</v>
      </c>
      <c r="G7584" s="110"/>
      <c r="H7584" s="108" t="s">
        <v>25458</v>
      </c>
      <c r="I7584" s="108"/>
    </row>
    <row r="7585" spans="1:9" ht="27.6">
      <c r="A7585" s="108" t="s">
        <v>199</v>
      </c>
      <c r="B7585" s="108" t="s">
        <v>3098</v>
      </c>
      <c r="C7585" s="109">
        <v>41323</v>
      </c>
      <c r="D7585" s="108"/>
      <c r="E7585" s="108" t="s">
        <v>14605</v>
      </c>
      <c r="F7585" s="108" t="s">
        <v>3096</v>
      </c>
      <c r="G7585" s="110"/>
      <c r="H7585" s="108" t="s">
        <v>25458</v>
      </c>
      <c r="I7585" s="108"/>
    </row>
    <row r="7586" spans="1:9">
      <c r="A7586" s="108" t="s">
        <v>199</v>
      </c>
      <c r="B7586" s="108" t="s">
        <v>198</v>
      </c>
      <c r="C7586" s="109">
        <v>41471</v>
      </c>
      <c r="D7586" s="108"/>
      <c r="E7586" s="108" t="s">
        <v>14605</v>
      </c>
      <c r="F7586" s="108" t="s">
        <v>26188</v>
      </c>
      <c r="G7586" s="110"/>
      <c r="H7586" s="108" t="s">
        <v>25458</v>
      </c>
      <c r="I7586" s="108"/>
    </row>
    <row r="7587" spans="1:9">
      <c r="A7587" s="108" t="s">
        <v>199</v>
      </c>
      <c r="B7587" s="108" t="s">
        <v>3229</v>
      </c>
      <c r="C7587" s="109">
        <v>41589</v>
      </c>
      <c r="D7587" s="108"/>
      <c r="E7587" s="108" t="s">
        <v>14605</v>
      </c>
      <c r="F7587" s="108" t="s">
        <v>3228</v>
      </c>
      <c r="G7587" s="110"/>
      <c r="H7587" s="108" t="s">
        <v>25458</v>
      </c>
      <c r="I7587" s="108"/>
    </row>
    <row r="7588" spans="1:9">
      <c r="A7588" s="108" t="s">
        <v>227</v>
      </c>
      <c r="B7588" s="108" t="s">
        <v>4333</v>
      </c>
      <c r="C7588" s="109">
        <v>41746</v>
      </c>
      <c r="D7588" s="108"/>
      <c r="E7588" s="108" t="s">
        <v>14605</v>
      </c>
      <c r="F7588" s="108" t="s">
        <v>4319</v>
      </c>
      <c r="G7588" s="110"/>
      <c r="H7588" s="108" t="s">
        <v>25458</v>
      </c>
      <c r="I7588" s="108"/>
    </row>
    <row r="7589" spans="1:9" ht="27.6">
      <c r="A7589" s="108" t="s">
        <v>227</v>
      </c>
      <c r="B7589" s="108" t="s">
        <v>3186</v>
      </c>
      <c r="C7589" s="109">
        <v>41783</v>
      </c>
      <c r="D7589" s="108"/>
      <c r="E7589" s="108" t="s">
        <v>14605</v>
      </c>
      <c r="F7589" s="108" t="s">
        <v>3182</v>
      </c>
      <c r="G7589" s="110"/>
      <c r="H7589" s="108" t="s">
        <v>25458</v>
      </c>
      <c r="I7589" s="108"/>
    </row>
    <row r="7590" spans="1:9">
      <c r="A7590" s="108" t="s">
        <v>199</v>
      </c>
      <c r="B7590" s="108" t="s">
        <v>2063</v>
      </c>
      <c r="C7590" s="109">
        <v>41914</v>
      </c>
      <c r="D7590" s="108"/>
      <c r="E7590" s="108" t="s">
        <v>14605</v>
      </c>
      <c r="F7590" s="108" t="s">
        <v>2064</v>
      </c>
      <c r="G7590" s="110"/>
      <c r="H7590" s="108" t="s">
        <v>25458</v>
      </c>
      <c r="I7590" s="108"/>
    </row>
    <row r="7591" spans="1:9">
      <c r="A7591" s="108" t="s">
        <v>227</v>
      </c>
      <c r="B7591" s="108" t="s">
        <v>1588</v>
      </c>
      <c r="C7591" s="109">
        <v>41886</v>
      </c>
      <c r="D7591" s="108"/>
      <c r="E7591" s="108" t="s">
        <v>14605</v>
      </c>
      <c r="F7591" s="108" t="s">
        <v>1577</v>
      </c>
      <c r="G7591" s="110"/>
      <c r="H7591" s="108" t="s">
        <v>25458</v>
      </c>
      <c r="I7591" s="108"/>
    </row>
    <row r="7592" spans="1:9" ht="27.6">
      <c r="A7592" s="108" t="s">
        <v>227</v>
      </c>
      <c r="B7592" s="108" t="s">
        <v>4361</v>
      </c>
      <c r="C7592" s="109">
        <v>42012</v>
      </c>
      <c r="D7592" s="108"/>
      <c r="E7592" s="108" t="s">
        <v>14605</v>
      </c>
      <c r="F7592" s="108" t="s">
        <v>4343</v>
      </c>
      <c r="G7592" s="110"/>
      <c r="H7592" s="108" t="s">
        <v>25458</v>
      </c>
      <c r="I7592" s="108"/>
    </row>
    <row r="7593" spans="1:9" ht="27.6">
      <c r="A7593" s="108" t="s">
        <v>227</v>
      </c>
      <c r="B7593" s="108" t="s">
        <v>4543</v>
      </c>
      <c r="C7593" s="109">
        <v>42098</v>
      </c>
      <c r="D7593" s="108"/>
      <c r="E7593" s="108" t="s">
        <v>14605</v>
      </c>
      <c r="F7593" s="108" t="s">
        <v>4544</v>
      </c>
      <c r="G7593" s="110"/>
      <c r="H7593" s="108" t="s">
        <v>25458</v>
      </c>
      <c r="I7593" s="108"/>
    </row>
    <row r="7594" spans="1:9">
      <c r="A7594" s="108" t="s">
        <v>227</v>
      </c>
      <c r="B7594" s="108" t="s">
        <v>2661</v>
      </c>
      <c r="C7594" s="109">
        <v>42325</v>
      </c>
      <c r="D7594" s="108"/>
      <c r="E7594" s="108" t="s">
        <v>14605</v>
      </c>
      <c r="F7594" s="108" t="s">
        <v>25506</v>
      </c>
      <c r="G7594" s="110"/>
      <c r="H7594" s="108" t="s">
        <v>25458</v>
      </c>
      <c r="I7594" s="108"/>
    </row>
    <row r="7595" spans="1:9">
      <c r="A7595" s="108" t="s">
        <v>227</v>
      </c>
      <c r="B7595" s="108" t="s">
        <v>4800</v>
      </c>
      <c r="C7595" s="109">
        <v>42424</v>
      </c>
      <c r="D7595" s="108"/>
      <c r="E7595" s="108" t="s">
        <v>14605</v>
      </c>
      <c r="F7595" s="108" t="s">
        <v>4796</v>
      </c>
      <c r="G7595" s="110"/>
      <c r="H7595" s="108" t="s">
        <v>25458</v>
      </c>
      <c r="I7595" s="108"/>
    </row>
    <row r="7596" spans="1:9">
      <c r="A7596" s="108" t="s">
        <v>227</v>
      </c>
      <c r="B7596" s="108" t="s">
        <v>4430</v>
      </c>
      <c r="C7596" s="109">
        <v>42461</v>
      </c>
      <c r="D7596" s="108"/>
      <c r="E7596" s="108" t="s">
        <v>14605</v>
      </c>
      <c r="F7596" s="108" t="s">
        <v>4431</v>
      </c>
      <c r="G7596" s="110"/>
      <c r="H7596" s="108" t="s">
        <v>25458</v>
      </c>
      <c r="I7596" s="108"/>
    </row>
    <row r="7597" spans="1:9">
      <c r="A7597" s="108" t="s">
        <v>227</v>
      </c>
      <c r="B7597" s="108" t="s">
        <v>3868</v>
      </c>
      <c r="C7597" s="109">
        <v>42524</v>
      </c>
      <c r="D7597" s="108"/>
      <c r="E7597" s="108" t="s">
        <v>14605</v>
      </c>
      <c r="F7597" s="108" t="s">
        <v>3856</v>
      </c>
      <c r="G7597" s="110"/>
      <c r="H7597" s="108" t="s">
        <v>25458</v>
      </c>
      <c r="I7597" s="108"/>
    </row>
    <row r="7598" spans="1:9">
      <c r="A7598" s="108" t="s">
        <v>227</v>
      </c>
      <c r="B7598" s="108" t="s">
        <v>804</v>
      </c>
      <c r="C7598" s="109">
        <v>42824</v>
      </c>
      <c r="D7598" s="108"/>
      <c r="E7598" s="108" t="s">
        <v>14605</v>
      </c>
      <c r="F7598" s="108" t="s">
        <v>801</v>
      </c>
      <c r="G7598" s="110"/>
      <c r="H7598" s="108" t="s">
        <v>25458</v>
      </c>
      <c r="I7598" s="108"/>
    </row>
    <row r="7599" spans="1:9" ht="27.6">
      <c r="A7599" s="108" t="s">
        <v>227</v>
      </c>
      <c r="B7599" s="108" t="s">
        <v>4850</v>
      </c>
      <c r="C7599" s="109">
        <v>42942</v>
      </c>
      <c r="D7599" s="108"/>
      <c r="E7599" s="108" t="s">
        <v>14605</v>
      </c>
      <c r="F7599" s="108" t="s">
        <v>4846</v>
      </c>
      <c r="G7599" s="110"/>
      <c r="H7599" s="108" t="s">
        <v>25458</v>
      </c>
      <c r="I7599" s="108"/>
    </row>
    <row r="7600" spans="1:9">
      <c r="A7600" s="108" t="s">
        <v>227</v>
      </c>
      <c r="B7600" s="108" t="s">
        <v>2663</v>
      </c>
      <c r="C7600" s="109">
        <v>43004</v>
      </c>
      <c r="D7600" s="108"/>
      <c r="E7600" s="108" t="s">
        <v>14605</v>
      </c>
      <c r="F7600" s="108" t="s">
        <v>26189</v>
      </c>
      <c r="G7600" s="110"/>
      <c r="H7600" s="108" t="s">
        <v>25458</v>
      </c>
      <c r="I7600" s="108"/>
    </row>
    <row r="7601" spans="1:9">
      <c r="A7601" s="108" t="s">
        <v>227</v>
      </c>
      <c r="B7601" s="108" t="s">
        <v>4311</v>
      </c>
      <c r="C7601" s="109">
        <v>43116</v>
      </c>
      <c r="D7601" s="108"/>
      <c r="E7601" s="108" t="s">
        <v>14605</v>
      </c>
      <c r="F7601" s="108" t="s">
        <v>4312</v>
      </c>
      <c r="G7601" s="110"/>
      <c r="H7601" s="108" t="s">
        <v>25458</v>
      </c>
      <c r="I7601" s="108"/>
    </row>
    <row r="7602" spans="1:9">
      <c r="A7602" s="108" t="s">
        <v>227</v>
      </c>
      <c r="B7602" s="108" t="s">
        <v>2010</v>
      </c>
      <c r="C7602" s="109">
        <v>43335</v>
      </c>
      <c r="D7602" s="108"/>
      <c r="E7602" s="108" t="s">
        <v>14605</v>
      </c>
      <c r="F7602" s="108" t="s">
        <v>2011</v>
      </c>
      <c r="G7602" s="110"/>
      <c r="H7602" s="108" t="s">
        <v>25458</v>
      </c>
      <c r="I7602" s="108"/>
    </row>
    <row r="7603" spans="1:9">
      <c r="A7603" s="108" t="s">
        <v>227</v>
      </c>
      <c r="B7603" s="108" t="s">
        <v>1210</v>
      </c>
      <c r="C7603" s="109">
        <v>43371</v>
      </c>
      <c r="D7603" s="108"/>
      <c r="E7603" s="108" t="s">
        <v>14605</v>
      </c>
      <c r="F7603" s="108" t="s">
        <v>1211</v>
      </c>
      <c r="G7603" s="110"/>
      <c r="H7603" s="108" t="s">
        <v>25458</v>
      </c>
      <c r="I7603" s="108"/>
    </row>
    <row r="7604" spans="1:9">
      <c r="A7604" s="108" t="s">
        <v>227</v>
      </c>
      <c r="B7604" s="108" t="s">
        <v>4998</v>
      </c>
      <c r="C7604" s="109">
        <v>43776</v>
      </c>
      <c r="D7604" s="108"/>
      <c r="E7604" s="108" t="s">
        <v>14605</v>
      </c>
      <c r="F7604" s="108" t="s">
        <v>26190</v>
      </c>
      <c r="G7604" s="110"/>
      <c r="H7604" s="108" t="s">
        <v>25458</v>
      </c>
      <c r="I7604" s="108"/>
    </row>
    <row r="7605" spans="1:9" ht="27.6">
      <c r="A7605" s="108" t="s">
        <v>14607</v>
      </c>
      <c r="B7605" s="108" t="s">
        <v>26191</v>
      </c>
      <c r="C7605" s="109">
        <v>41499</v>
      </c>
      <c r="D7605" s="108"/>
      <c r="E7605" s="108" t="s">
        <v>14605</v>
      </c>
      <c r="F7605" s="108" t="s">
        <v>15554</v>
      </c>
      <c r="G7605" s="110"/>
      <c r="H7605" s="108" t="s">
        <v>25458</v>
      </c>
      <c r="I7605" s="108"/>
    </row>
    <row r="7606" spans="1:9" ht="27.6">
      <c r="A7606" s="108" t="s">
        <v>14607</v>
      </c>
      <c r="B7606" s="108" t="s">
        <v>26192</v>
      </c>
      <c r="C7606" s="109">
        <v>38596</v>
      </c>
      <c r="D7606" s="108"/>
      <c r="E7606" s="108" t="s">
        <v>14605</v>
      </c>
      <c r="F7606" s="108" t="s">
        <v>26193</v>
      </c>
      <c r="G7606" s="110"/>
      <c r="H7606" s="108" t="s">
        <v>25458</v>
      </c>
      <c r="I7606" s="108"/>
    </row>
    <row r="7607" spans="1:9" ht="27.6">
      <c r="A7607" s="108" t="s">
        <v>18397</v>
      </c>
      <c r="B7607" s="108" t="s">
        <v>26194</v>
      </c>
      <c r="C7607" s="109">
        <v>38751</v>
      </c>
      <c r="D7607" s="108"/>
      <c r="E7607" s="108" t="s">
        <v>14605</v>
      </c>
      <c r="F7607" s="108" t="s">
        <v>4818</v>
      </c>
      <c r="G7607" s="110"/>
      <c r="H7607" s="108" t="s">
        <v>25458</v>
      </c>
      <c r="I7607" s="108"/>
    </row>
    <row r="7608" spans="1:9" ht="27.6">
      <c r="A7608" s="108" t="s">
        <v>18397</v>
      </c>
      <c r="B7608" s="108" t="s">
        <v>26195</v>
      </c>
      <c r="C7608" s="109">
        <v>40407</v>
      </c>
      <c r="D7608" s="108"/>
      <c r="E7608" s="108" t="s">
        <v>14605</v>
      </c>
      <c r="F7608" s="108" t="s">
        <v>26196</v>
      </c>
      <c r="G7608" s="110"/>
      <c r="H7608" s="108" t="s">
        <v>25458</v>
      </c>
      <c r="I7608" s="108"/>
    </row>
    <row r="7609" spans="1:9">
      <c r="A7609" s="108" t="s">
        <v>16935</v>
      </c>
      <c r="B7609" s="108" t="s">
        <v>26197</v>
      </c>
      <c r="C7609" s="109">
        <v>39150</v>
      </c>
      <c r="D7609" s="108"/>
      <c r="E7609" s="108" t="s">
        <v>14605</v>
      </c>
      <c r="F7609" s="108" t="s">
        <v>26198</v>
      </c>
      <c r="G7609" s="110"/>
      <c r="H7609" s="108" t="s">
        <v>25458</v>
      </c>
      <c r="I7609" s="108"/>
    </row>
    <row r="7610" spans="1:9">
      <c r="A7610" s="108" t="s">
        <v>16935</v>
      </c>
      <c r="B7610" s="108" t="s">
        <v>26199</v>
      </c>
      <c r="C7610" s="109">
        <v>39149</v>
      </c>
      <c r="D7610" s="108"/>
      <c r="E7610" s="108" t="s">
        <v>14605</v>
      </c>
      <c r="F7610" s="108" t="s">
        <v>2000</v>
      </c>
      <c r="G7610" s="110"/>
      <c r="H7610" s="108" t="s">
        <v>25458</v>
      </c>
      <c r="I7610" s="108"/>
    </row>
    <row r="7611" spans="1:9">
      <c r="A7611" s="108" t="s">
        <v>16935</v>
      </c>
      <c r="B7611" s="108" t="s">
        <v>26200</v>
      </c>
      <c r="C7611" s="109">
        <v>39485</v>
      </c>
      <c r="D7611" s="108"/>
      <c r="E7611" s="108" t="s">
        <v>14605</v>
      </c>
      <c r="F7611" s="108" t="s">
        <v>26201</v>
      </c>
      <c r="G7611" s="110"/>
      <c r="H7611" s="108" t="s">
        <v>25458</v>
      </c>
      <c r="I7611" s="108"/>
    </row>
    <row r="7612" spans="1:9">
      <c r="A7612" s="108" t="s">
        <v>16935</v>
      </c>
      <c r="B7612" s="108" t="s">
        <v>26202</v>
      </c>
      <c r="C7612" s="109">
        <v>39556</v>
      </c>
      <c r="D7612" s="108"/>
      <c r="E7612" s="108" t="s">
        <v>14605</v>
      </c>
      <c r="F7612" s="108" t="s">
        <v>26203</v>
      </c>
      <c r="G7612" s="110"/>
      <c r="H7612" s="108" t="s">
        <v>25458</v>
      </c>
      <c r="I7612" s="108"/>
    </row>
    <row r="7613" spans="1:9" ht="27.6">
      <c r="A7613" s="108" t="s">
        <v>16932</v>
      </c>
      <c r="B7613" s="108" t="s">
        <v>26204</v>
      </c>
      <c r="C7613" s="109">
        <v>40091</v>
      </c>
      <c r="D7613" s="108"/>
      <c r="E7613" s="108" t="s">
        <v>14605</v>
      </c>
      <c r="F7613" s="108" t="s">
        <v>4966</v>
      </c>
      <c r="G7613" s="110"/>
      <c r="H7613" s="108" t="s">
        <v>25458</v>
      </c>
      <c r="I7613" s="108"/>
    </row>
    <row r="7614" spans="1:9" ht="27.6">
      <c r="A7614" s="108" t="s">
        <v>21405</v>
      </c>
      <c r="B7614" s="108" t="s">
        <v>26205</v>
      </c>
      <c r="C7614" s="109">
        <v>39988</v>
      </c>
      <c r="D7614" s="108"/>
      <c r="E7614" s="108" t="s">
        <v>14605</v>
      </c>
      <c r="F7614" s="108" t="s">
        <v>3182</v>
      </c>
      <c r="G7614" s="110"/>
      <c r="H7614" s="108" t="s">
        <v>25458</v>
      </c>
      <c r="I7614" s="108"/>
    </row>
    <row r="7615" spans="1:9">
      <c r="A7615" s="108" t="s">
        <v>237</v>
      </c>
      <c r="B7615" s="108" t="s">
        <v>26206</v>
      </c>
      <c r="C7615" s="109">
        <v>40058</v>
      </c>
      <c r="D7615" s="108"/>
      <c r="E7615" s="108" t="s">
        <v>14605</v>
      </c>
      <c r="F7615" s="108" t="s">
        <v>2622</v>
      </c>
      <c r="G7615" s="110"/>
      <c r="H7615" s="108" t="s">
        <v>25458</v>
      </c>
      <c r="I7615" s="108"/>
    </row>
    <row r="7616" spans="1:9" ht="27.6">
      <c r="A7616" s="108" t="s">
        <v>237</v>
      </c>
      <c r="B7616" s="108" t="s">
        <v>26207</v>
      </c>
      <c r="C7616" s="109">
        <v>40101</v>
      </c>
      <c r="D7616" s="108"/>
      <c r="E7616" s="108" t="s">
        <v>14605</v>
      </c>
      <c r="F7616" s="108" t="s">
        <v>4260</v>
      </c>
      <c r="G7616" s="110"/>
      <c r="H7616" s="108" t="s">
        <v>25458</v>
      </c>
      <c r="I7616" s="108"/>
    </row>
    <row r="7617" spans="1:9" ht="27.6">
      <c r="A7617" s="108" t="s">
        <v>237</v>
      </c>
      <c r="B7617" s="108" t="s">
        <v>26208</v>
      </c>
      <c r="C7617" s="109">
        <v>40185</v>
      </c>
      <c r="D7617" s="108"/>
      <c r="E7617" s="108" t="s">
        <v>14605</v>
      </c>
      <c r="F7617" s="108" t="s">
        <v>4260</v>
      </c>
      <c r="G7617" s="110"/>
      <c r="H7617" s="108" t="s">
        <v>25458</v>
      </c>
      <c r="I7617" s="108"/>
    </row>
    <row r="7618" spans="1:9">
      <c r="A7618" s="108" t="s">
        <v>237</v>
      </c>
      <c r="B7618" s="108" t="s">
        <v>26209</v>
      </c>
      <c r="C7618" s="109">
        <v>40406</v>
      </c>
      <c r="D7618" s="108"/>
      <c r="E7618" s="108" t="s">
        <v>14605</v>
      </c>
      <c r="F7618" s="108" t="s">
        <v>2664</v>
      </c>
      <c r="G7618" s="110"/>
      <c r="H7618" s="108" t="s">
        <v>25458</v>
      </c>
      <c r="I7618" s="108"/>
    </row>
    <row r="7619" spans="1:9">
      <c r="A7619" s="108" t="s">
        <v>237</v>
      </c>
      <c r="B7619" s="108" t="s">
        <v>26210</v>
      </c>
      <c r="C7619" s="109">
        <v>40275</v>
      </c>
      <c r="D7619" s="108"/>
      <c r="E7619" s="108" t="s">
        <v>14605</v>
      </c>
      <c r="F7619" s="108" t="s">
        <v>4337</v>
      </c>
      <c r="G7619" s="110"/>
      <c r="H7619" s="108" t="s">
        <v>25458</v>
      </c>
      <c r="I7619" s="108"/>
    </row>
    <row r="7620" spans="1:9">
      <c r="A7620" s="108" t="s">
        <v>87</v>
      </c>
      <c r="B7620" s="108" t="s">
        <v>26211</v>
      </c>
      <c r="C7620" s="109">
        <v>41506</v>
      </c>
      <c r="D7620" s="108"/>
      <c r="E7620" s="108" t="s">
        <v>14605</v>
      </c>
      <c r="F7620" s="108" t="s">
        <v>2664</v>
      </c>
      <c r="G7620" s="110"/>
      <c r="H7620" s="108" t="s">
        <v>25458</v>
      </c>
      <c r="I7620" s="108"/>
    </row>
    <row r="7621" spans="1:9">
      <c r="A7621" s="108" t="s">
        <v>237</v>
      </c>
      <c r="B7621" s="108" t="s">
        <v>26212</v>
      </c>
      <c r="C7621" s="109">
        <v>40350</v>
      </c>
      <c r="D7621" s="108"/>
      <c r="E7621" s="108" t="s">
        <v>14605</v>
      </c>
      <c r="F7621" s="108" t="s">
        <v>620</v>
      </c>
      <c r="G7621" s="110"/>
      <c r="H7621" s="108" t="s">
        <v>25458</v>
      </c>
      <c r="I7621" s="108"/>
    </row>
    <row r="7622" spans="1:9">
      <c r="A7622" s="108" t="s">
        <v>237</v>
      </c>
      <c r="B7622" s="108" t="s">
        <v>26213</v>
      </c>
      <c r="C7622" s="109">
        <v>40346</v>
      </c>
      <c r="D7622" s="108"/>
      <c r="E7622" s="108" t="s">
        <v>14605</v>
      </c>
      <c r="F7622" s="108" t="s">
        <v>4390</v>
      </c>
      <c r="G7622" s="110"/>
      <c r="H7622" s="108" t="s">
        <v>25458</v>
      </c>
      <c r="I7622" s="108"/>
    </row>
    <row r="7623" spans="1:9">
      <c r="A7623" s="108" t="s">
        <v>237</v>
      </c>
      <c r="B7623" s="108" t="s">
        <v>26214</v>
      </c>
      <c r="C7623" s="109">
        <v>40399</v>
      </c>
      <c r="D7623" s="108"/>
      <c r="E7623" s="108" t="s">
        <v>14605</v>
      </c>
      <c r="F7623" s="108" t="s">
        <v>26215</v>
      </c>
      <c r="G7623" s="110"/>
      <c r="H7623" s="108" t="s">
        <v>25458</v>
      </c>
      <c r="I7623" s="108"/>
    </row>
    <row r="7624" spans="1:9">
      <c r="A7624" s="108" t="s">
        <v>237</v>
      </c>
      <c r="B7624" s="108" t="s">
        <v>26216</v>
      </c>
      <c r="C7624" s="109">
        <v>40406</v>
      </c>
      <c r="D7624" s="108"/>
      <c r="E7624" s="108" t="s">
        <v>14605</v>
      </c>
      <c r="F7624" s="108" t="s">
        <v>26217</v>
      </c>
      <c r="G7624" s="110"/>
      <c r="H7624" s="108" t="s">
        <v>25458</v>
      </c>
      <c r="I7624" s="108"/>
    </row>
    <row r="7625" spans="1:9">
      <c r="A7625" s="108" t="s">
        <v>237</v>
      </c>
      <c r="B7625" s="108" t="s">
        <v>26218</v>
      </c>
      <c r="C7625" s="109">
        <v>40457</v>
      </c>
      <c r="D7625" s="108"/>
      <c r="E7625" s="108" t="s">
        <v>14605</v>
      </c>
      <c r="F7625" s="108" t="s">
        <v>1470</v>
      </c>
      <c r="G7625" s="110"/>
      <c r="H7625" s="108" t="s">
        <v>25458</v>
      </c>
      <c r="I7625" s="108"/>
    </row>
    <row r="7626" spans="1:9">
      <c r="A7626" s="108" t="s">
        <v>84</v>
      </c>
      <c r="B7626" s="108" t="s">
        <v>26219</v>
      </c>
      <c r="C7626" s="109">
        <v>40492</v>
      </c>
      <c r="D7626" s="108"/>
      <c r="E7626" s="108" t="s">
        <v>14605</v>
      </c>
      <c r="F7626" s="108" t="s">
        <v>26148</v>
      </c>
      <c r="G7626" s="110"/>
      <c r="H7626" s="108" t="s">
        <v>25458</v>
      </c>
      <c r="I7626" s="108"/>
    </row>
    <row r="7627" spans="1:9">
      <c r="A7627" s="108" t="s">
        <v>87</v>
      </c>
      <c r="B7627" s="108" t="s">
        <v>26220</v>
      </c>
      <c r="C7627" s="109">
        <v>40337</v>
      </c>
      <c r="D7627" s="108"/>
      <c r="E7627" s="108" t="s">
        <v>14605</v>
      </c>
      <c r="F7627" s="108" t="s">
        <v>2622</v>
      </c>
      <c r="G7627" s="110"/>
      <c r="H7627" s="108" t="s">
        <v>25458</v>
      </c>
      <c r="I7627" s="108"/>
    </row>
    <row r="7628" spans="1:9">
      <c r="A7628" s="108" t="s">
        <v>87</v>
      </c>
      <c r="B7628" s="108" t="s">
        <v>26221</v>
      </c>
      <c r="C7628" s="109">
        <v>40393</v>
      </c>
      <c r="D7628" s="108"/>
      <c r="E7628" s="108" t="s">
        <v>14605</v>
      </c>
      <c r="F7628" s="108" t="s">
        <v>2622</v>
      </c>
      <c r="G7628" s="110"/>
      <c r="H7628" s="108" t="s">
        <v>25458</v>
      </c>
      <c r="I7628" s="108"/>
    </row>
    <row r="7629" spans="1:9">
      <c r="A7629" s="108" t="s">
        <v>87</v>
      </c>
      <c r="B7629" s="108" t="s">
        <v>26222</v>
      </c>
      <c r="C7629" s="109">
        <v>40231</v>
      </c>
      <c r="D7629" s="108"/>
      <c r="E7629" s="108" t="s">
        <v>14605</v>
      </c>
      <c r="F7629" s="108" t="s">
        <v>26223</v>
      </c>
      <c r="G7629" s="110"/>
      <c r="H7629" s="108" t="s">
        <v>25458</v>
      </c>
      <c r="I7629" s="108"/>
    </row>
    <row r="7630" spans="1:9">
      <c r="A7630" s="108" t="s">
        <v>87</v>
      </c>
      <c r="B7630" s="108" t="s">
        <v>26224</v>
      </c>
      <c r="C7630" s="109">
        <v>40295</v>
      </c>
      <c r="D7630" s="108"/>
      <c r="E7630" s="108" t="s">
        <v>14605</v>
      </c>
      <c r="F7630" s="108" t="s">
        <v>538</v>
      </c>
      <c r="G7630" s="110"/>
      <c r="H7630" s="108" t="s">
        <v>25458</v>
      </c>
      <c r="I7630" s="108"/>
    </row>
    <row r="7631" spans="1:9">
      <c r="A7631" s="108" t="s">
        <v>87</v>
      </c>
      <c r="B7631" s="108" t="s">
        <v>26225</v>
      </c>
      <c r="C7631" s="109">
        <v>40464</v>
      </c>
      <c r="D7631" s="108"/>
      <c r="E7631" s="108" t="s">
        <v>14605</v>
      </c>
      <c r="F7631" s="108" t="s">
        <v>986</v>
      </c>
      <c r="G7631" s="110"/>
      <c r="H7631" s="108" t="s">
        <v>25458</v>
      </c>
      <c r="I7631" s="108"/>
    </row>
    <row r="7632" spans="1:9" ht="27.6">
      <c r="A7632" s="108" t="s">
        <v>14690</v>
      </c>
      <c r="B7632" s="108" t="s">
        <v>26226</v>
      </c>
      <c r="C7632" s="109">
        <v>40477</v>
      </c>
      <c r="D7632" s="108"/>
      <c r="E7632" s="108" t="s">
        <v>14605</v>
      </c>
      <c r="F7632" s="108" t="s">
        <v>4638</v>
      </c>
      <c r="G7632" s="110"/>
      <c r="H7632" s="108" t="s">
        <v>25458</v>
      </c>
      <c r="I7632" s="108"/>
    </row>
    <row r="7633" spans="1:9">
      <c r="A7633" s="108" t="s">
        <v>87</v>
      </c>
      <c r="B7633" s="108" t="s">
        <v>26227</v>
      </c>
      <c r="C7633" s="109">
        <v>40526</v>
      </c>
      <c r="D7633" s="108"/>
      <c r="E7633" s="108" t="s">
        <v>14605</v>
      </c>
      <c r="F7633" s="108" t="s">
        <v>26228</v>
      </c>
      <c r="G7633" s="110"/>
      <c r="H7633" s="108" t="s">
        <v>25458</v>
      </c>
      <c r="I7633" s="108"/>
    </row>
    <row r="7634" spans="1:9" ht="27.6">
      <c r="A7634" s="108" t="s">
        <v>14690</v>
      </c>
      <c r="B7634" s="108" t="s">
        <v>26229</v>
      </c>
      <c r="C7634" s="109">
        <v>40310</v>
      </c>
      <c r="D7634" s="108"/>
      <c r="E7634" s="108" t="s">
        <v>14605</v>
      </c>
      <c r="F7634" s="108" t="s">
        <v>4835</v>
      </c>
      <c r="G7634" s="110"/>
      <c r="H7634" s="108" t="s">
        <v>25458</v>
      </c>
      <c r="I7634" s="108"/>
    </row>
    <row r="7635" spans="1:9" ht="27.6">
      <c r="A7635" s="108" t="s">
        <v>14690</v>
      </c>
      <c r="B7635" s="108" t="s">
        <v>26230</v>
      </c>
      <c r="C7635" s="109">
        <v>40484</v>
      </c>
      <c r="D7635" s="108"/>
      <c r="E7635" s="108" t="s">
        <v>14605</v>
      </c>
      <c r="F7635" s="108" t="s">
        <v>4014</v>
      </c>
      <c r="G7635" s="110"/>
      <c r="H7635" s="108" t="s">
        <v>25458</v>
      </c>
      <c r="I7635" s="108"/>
    </row>
    <row r="7636" spans="1:9" ht="27.6">
      <c r="A7636" s="108" t="s">
        <v>14690</v>
      </c>
      <c r="B7636" s="108" t="s">
        <v>26231</v>
      </c>
      <c r="C7636" s="109">
        <v>40483</v>
      </c>
      <c r="D7636" s="108"/>
      <c r="E7636" s="108" t="s">
        <v>14605</v>
      </c>
      <c r="F7636" s="108" t="s">
        <v>26232</v>
      </c>
      <c r="G7636" s="110"/>
      <c r="H7636" s="108" t="s">
        <v>25458</v>
      </c>
      <c r="I7636" s="108"/>
    </row>
    <row r="7637" spans="1:9" ht="27.6">
      <c r="A7637" s="108" t="s">
        <v>14690</v>
      </c>
      <c r="B7637" s="108" t="s">
        <v>26233</v>
      </c>
      <c r="C7637" s="109">
        <v>40487</v>
      </c>
      <c r="D7637" s="108"/>
      <c r="E7637" s="108" t="s">
        <v>14605</v>
      </c>
      <c r="F7637" s="108" t="s">
        <v>26234</v>
      </c>
      <c r="G7637" s="110"/>
      <c r="H7637" s="108" t="s">
        <v>25458</v>
      </c>
      <c r="I7637" s="108"/>
    </row>
    <row r="7638" spans="1:9" ht="27.6">
      <c r="A7638" s="108" t="s">
        <v>14690</v>
      </c>
      <c r="B7638" s="108" t="s">
        <v>26235</v>
      </c>
      <c r="C7638" s="109">
        <v>40563</v>
      </c>
      <c r="D7638" s="108"/>
      <c r="E7638" s="108" t="s">
        <v>14605</v>
      </c>
      <c r="F7638" s="108" t="s">
        <v>23105</v>
      </c>
      <c r="G7638" s="110"/>
      <c r="H7638" s="108" t="s">
        <v>25458</v>
      </c>
      <c r="I7638" s="108"/>
    </row>
    <row r="7639" spans="1:9">
      <c r="A7639" s="108" t="s">
        <v>1465</v>
      </c>
      <c r="B7639" s="108" t="s">
        <v>26236</v>
      </c>
      <c r="C7639" s="109">
        <v>40582</v>
      </c>
      <c r="D7639" s="108"/>
      <c r="E7639" s="108" t="s">
        <v>14605</v>
      </c>
      <c r="F7639" s="108" t="s">
        <v>26187</v>
      </c>
      <c r="G7639" s="110"/>
      <c r="H7639" s="108" t="s">
        <v>25458</v>
      </c>
      <c r="I7639" s="108"/>
    </row>
    <row r="7640" spans="1:9">
      <c r="A7640" s="108" t="s">
        <v>1465</v>
      </c>
      <c r="B7640" s="108" t="s">
        <v>26237</v>
      </c>
      <c r="C7640" s="109">
        <v>40499</v>
      </c>
      <c r="D7640" s="108"/>
      <c r="E7640" s="108" t="s">
        <v>14605</v>
      </c>
      <c r="F7640" s="108" t="s">
        <v>4857</v>
      </c>
      <c r="G7640" s="110"/>
      <c r="H7640" s="108" t="s">
        <v>25458</v>
      </c>
      <c r="I7640" s="108"/>
    </row>
    <row r="7641" spans="1:9">
      <c r="A7641" s="108" t="s">
        <v>2002</v>
      </c>
      <c r="B7641" s="108" t="s">
        <v>26238</v>
      </c>
      <c r="C7641" s="109">
        <v>40630</v>
      </c>
      <c r="D7641" s="108"/>
      <c r="E7641" s="108" t="s">
        <v>14605</v>
      </c>
      <c r="F7641" s="108" t="s">
        <v>4229</v>
      </c>
      <c r="G7641" s="110"/>
      <c r="H7641" s="108" t="s">
        <v>25458</v>
      </c>
      <c r="I7641" s="108"/>
    </row>
    <row r="7642" spans="1:9">
      <c r="A7642" s="108" t="s">
        <v>2002</v>
      </c>
      <c r="B7642" s="108" t="s">
        <v>26239</v>
      </c>
      <c r="C7642" s="109">
        <v>40822</v>
      </c>
      <c r="D7642" s="108"/>
      <c r="E7642" s="108" t="s">
        <v>14605</v>
      </c>
      <c r="F7642" s="108" t="s">
        <v>1028</v>
      </c>
      <c r="G7642" s="110"/>
      <c r="H7642" s="108" t="s">
        <v>25458</v>
      </c>
      <c r="I7642" s="108"/>
    </row>
    <row r="7643" spans="1:9">
      <c r="A7643" s="108" t="s">
        <v>1465</v>
      </c>
      <c r="B7643" s="108" t="s">
        <v>26240</v>
      </c>
      <c r="C7643" s="109">
        <v>40674</v>
      </c>
      <c r="D7643" s="108"/>
      <c r="E7643" s="108" t="s">
        <v>14605</v>
      </c>
      <c r="F7643" s="108" t="s">
        <v>26241</v>
      </c>
      <c r="G7643" s="110"/>
      <c r="H7643" s="108" t="s">
        <v>25458</v>
      </c>
      <c r="I7643" s="108"/>
    </row>
    <row r="7644" spans="1:9" ht="27.6">
      <c r="A7644" s="108" t="s">
        <v>1465</v>
      </c>
      <c r="B7644" s="108" t="s">
        <v>26242</v>
      </c>
      <c r="C7644" s="109">
        <v>40694</v>
      </c>
      <c r="D7644" s="108"/>
      <c r="E7644" s="108" t="s">
        <v>14605</v>
      </c>
      <c r="F7644" s="108" t="s">
        <v>4661</v>
      </c>
      <c r="G7644" s="110"/>
      <c r="H7644" s="108" t="s">
        <v>25458</v>
      </c>
      <c r="I7644" s="108"/>
    </row>
    <row r="7645" spans="1:9" ht="27.6">
      <c r="A7645" s="108" t="s">
        <v>14690</v>
      </c>
      <c r="B7645" s="108" t="s">
        <v>26243</v>
      </c>
      <c r="C7645" s="109">
        <v>40564</v>
      </c>
      <c r="D7645" s="108"/>
      <c r="E7645" s="108" t="s">
        <v>14605</v>
      </c>
      <c r="F7645" s="108" t="s">
        <v>26244</v>
      </c>
      <c r="G7645" s="110"/>
      <c r="H7645" s="108" t="s">
        <v>25458</v>
      </c>
      <c r="I7645" s="108"/>
    </row>
    <row r="7646" spans="1:9">
      <c r="A7646" s="108" t="s">
        <v>87</v>
      </c>
      <c r="B7646" s="108" t="s">
        <v>26245</v>
      </c>
      <c r="C7646" s="109">
        <v>40574</v>
      </c>
      <c r="D7646" s="108"/>
      <c r="E7646" s="108" t="s">
        <v>14605</v>
      </c>
      <c r="F7646" s="108" t="s">
        <v>1554</v>
      </c>
      <c r="G7646" s="110"/>
      <c r="H7646" s="108" t="s">
        <v>25458</v>
      </c>
      <c r="I7646" s="108"/>
    </row>
    <row r="7647" spans="1:9" ht="27.6">
      <c r="A7647" s="108" t="s">
        <v>87</v>
      </c>
      <c r="B7647" s="108" t="s">
        <v>26246</v>
      </c>
      <c r="C7647" s="109">
        <v>40609</v>
      </c>
      <c r="D7647" s="108"/>
      <c r="E7647" s="108" t="s">
        <v>14605</v>
      </c>
      <c r="F7647" s="108" t="s">
        <v>5272</v>
      </c>
      <c r="G7647" s="110"/>
      <c r="H7647" s="108" t="s">
        <v>25458</v>
      </c>
      <c r="I7647" s="108"/>
    </row>
    <row r="7648" spans="1:9">
      <c r="A7648" s="108" t="s">
        <v>87</v>
      </c>
      <c r="B7648" s="108" t="s">
        <v>26247</v>
      </c>
      <c r="C7648" s="109">
        <v>40623</v>
      </c>
      <c r="D7648" s="108"/>
      <c r="E7648" s="108" t="s">
        <v>14605</v>
      </c>
      <c r="F7648" s="108" t="s">
        <v>2622</v>
      </c>
      <c r="G7648" s="110"/>
      <c r="H7648" s="108" t="s">
        <v>25458</v>
      </c>
      <c r="I7648" s="108"/>
    </row>
    <row r="7649" spans="1:9">
      <c r="A7649" s="108" t="s">
        <v>87</v>
      </c>
      <c r="B7649" s="108" t="s">
        <v>26248</v>
      </c>
      <c r="C7649" s="109">
        <v>40623</v>
      </c>
      <c r="D7649" s="108"/>
      <c r="E7649" s="108" t="s">
        <v>14605</v>
      </c>
      <c r="F7649" s="108" t="s">
        <v>2622</v>
      </c>
      <c r="G7649" s="110"/>
      <c r="H7649" s="108" t="s">
        <v>25458</v>
      </c>
      <c r="I7649" s="108"/>
    </row>
    <row r="7650" spans="1:9">
      <c r="A7650" s="108" t="s">
        <v>87</v>
      </c>
      <c r="B7650" s="108" t="s">
        <v>26249</v>
      </c>
      <c r="C7650" s="109">
        <v>40616</v>
      </c>
      <c r="D7650" s="108"/>
      <c r="E7650" s="108" t="s">
        <v>14605</v>
      </c>
      <c r="F7650" s="108" t="s">
        <v>26250</v>
      </c>
      <c r="G7650" s="110"/>
      <c r="H7650" s="108" t="s">
        <v>25458</v>
      </c>
      <c r="I7650" s="108"/>
    </row>
    <row r="7651" spans="1:9">
      <c r="A7651" s="108" t="s">
        <v>87</v>
      </c>
      <c r="B7651" s="108" t="s">
        <v>26251</v>
      </c>
      <c r="C7651" s="109">
        <v>40701</v>
      </c>
      <c r="D7651" s="108"/>
      <c r="E7651" s="108" t="s">
        <v>14605</v>
      </c>
      <c r="F7651" s="108" t="s">
        <v>23105</v>
      </c>
      <c r="G7651" s="110"/>
      <c r="H7651" s="108" t="s">
        <v>25458</v>
      </c>
      <c r="I7651" s="108"/>
    </row>
    <row r="7652" spans="1:9">
      <c r="A7652" s="108" t="s">
        <v>87</v>
      </c>
      <c r="B7652" s="108" t="s">
        <v>26252</v>
      </c>
      <c r="C7652" s="109">
        <v>40808</v>
      </c>
      <c r="D7652" s="108"/>
      <c r="E7652" s="108" t="s">
        <v>14605</v>
      </c>
      <c r="F7652" s="108" t="s">
        <v>2622</v>
      </c>
      <c r="G7652" s="110"/>
      <c r="H7652" s="108" t="s">
        <v>25458</v>
      </c>
      <c r="I7652" s="108"/>
    </row>
    <row r="7653" spans="1:9">
      <c r="A7653" s="108" t="s">
        <v>87</v>
      </c>
      <c r="B7653" s="108" t="s">
        <v>26253</v>
      </c>
      <c r="C7653" s="109">
        <v>41491</v>
      </c>
      <c r="D7653" s="108"/>
      <c r="E7653" s="108" t="s">
        <v>14605</v>
      </c>
      <c r="F7653" s="108" t="s">
        <v>26254</v>
      </c>
      <c r="G7653" s="110"/>
      <c r="H7653" s="108" t="s">
        <v>25458</v>
      </c>
      <c r="I7653" s="108"/>
    </row>
    <row r="7654" spans="1:9" ht="27.6">
      <c r="A7654" s="108" t="s">
        <v>14690</v>
      </c>
      <c r="B7654" s="108" t="s">
        <v>26255</v>
      </c>
      <c r="C7654" s="109">
        <v>40569</v>
      </c>
      <c r="D7654" s="108"/>
      <c r="E7654" s="108" t="s">
        <v>14605</v>
      </c>
      <c r="F7654" s="108" t="s">
        <v>4476</v>
      </c>
      <c r="G7654" s="110"/>
      <c r="H7654" s="108" t="s">
        <v>25458</v>
      </c>
      <c r="I7654" s="108"/>
    </row>
    <row r="7655" spans="1:9" ht="27.6">
      <c r="A7655" s="108" t="s">
        <v>14690</v>
      </c>
      <c r="B7655" s="108" t="s">
        <v>26256</v>
      </c>
      <c r="C7655" s="109">
        <v>40581</v>
      </c>
      <c r="D7655" s="108"/>
      <c r="E7655" s="108" t="s">
        <v>14605</v>
      </c>
      <c r="F7655" s="108" t="s">
        <v>4786</v>
      </c>
      <c r="G7655" s="110"/>
      <c r="H7655" s="108" t="s">
        <v>25458</v>
      </c>
      <c r="I7655" s="108"/>
    </row>
    <row r="7656" spans="1:9" ht="27.6">
      <c r="A7656" s="108" t="s">
        <v>14690</v>
      </c>
      <c r="B7656" s="108" t="s">
        <v>26257</v>
      </c>
      <c r="C7656" s="109">
        <v>40625</v>
      </c>
      <c r="D7656" s="108"/>
      <c r="E7656" s="108" t="s">
        <v>14605</v>
      </c>
      <c r="F7656" s="108" t="s">
        <v>26258</v>
      </c>
      <c r="G7656" s="110"/>
      <c r="H7656" s="108" t="s">
        <v>25458</v>
      </c>
      <c r="I7656" s="108"/>
    </row>
    <row r="7657" spans="1:9" ht="27.6">
      <c r="A7657" s="108" t="s">
        <v>14690</v>
      </c>
      <c r="B7657" s="108" t="s">
        <v>26259</v>
      </c>
      <c r="C7657" s="109">
        <v>40653</v>
      </c>
      <c r="D7657" s="108"/>
      <c r="E7657" s="108" t="s">
        <v>14605</v>
      </c>
      <c r="F7657" s="108" t="s">
        <v>23105</v>
      </c>
      <c r="G7657" s="110"/>
      <c r="H7657" s="108" t="s">
        <v>25458</v>
      </c>
      <c r="I7657" s="108"/>
    </row>
    <row r="7658" spans="1:9" ht="27.6">
      <c r="A7658" s="108" t="s">
        <v>14690</v>
      </c>
      <c r="B7658" s="108" t="s">
        <v>26260</v>
      </c>
      <c r="C7658" s="109">
        <v>40667</v>
      </c>
      <c r="D7658" s="108"/>
      <c r="E7658" s="108" t="s">
        <v>14605</v>
      </c>
      <c r="F7658" s="108" t="s">
        <v>4796</v>
      </c>
      <c r="G7658" s="110"/>
      <c r="H7658" s="108" t="s">
        <v>25458</v>
      </c>
      <c r="I7658" s="108"/>
    </row>
    <row r="7659" spans="1:9" ht="27.6">
      <c r="A7659" s="108" t="s">
        <v>14690</v>
      </c>
      <c r="B7659" s="108" t="s">
        <v>26261</v>
      </c>
      <c r="C7659" s="109">
        <v>40722</v>
      </c>
      <c r="D7659" s="108"/>
      <c r="E7659" s="108" t="s">
        <v>14605</v>
      </c>
      <c r="F7659" s="108" t="s">
        <v>26262</v>
      </c>
      <c r="G7659" s="110"/>
      <c r="H7659" s="108" t="s">
        <v>25458</v>
      </c>
      <c r="I7659" s="108"/>
    </row>
    <row r="7660" spans="1:9" ht="27.6">
      <c r="A7660" s="108" t="s">
        <v>14690</v>
      </c>
      <c r="B7660" s="108" t="s">
        <v>26263</v>
      </c>
      <c r="C7660" s="109">
        <v>40735</v>
      </c>
      <c r="D7660" s="108"/>
      <c r="E7660" s="108" t="s">
        <v>14605</v>
      </c>
      <c r="F7660" s="108" t="s">
        <v>1170</v>
      </c>
      <c r="G7660" s="110"/>
      <c r="H7660" s="108" t="s">
        <v>25458</v>
      </c>
      <c r="I7660" s="108"/>
    </row>
    <row r="7661" spans="1:9" ht="27.6">
      <c r="A7661" s="108" t="s">
        <v>14690</v>
      </c>
      <c r="B7661" s="108" t="s">
        <v>26264</v>
      </c>
      <c r="C7661" s="109">
        <v>40798</v>
      </c>
      <c r="D7661" s="108"/>
      <c r="E7661" s="108" t="s">
        <v>14605</v>
      </c>
      <c r="F7661" s="108" t="s">
        <v>4846</v>
      </c>
      <c r="G7661" s="110"/>
      <c r="H7661" s="108" t="s">
        <v>25458</v>
      </c>
      <c r="I7661" s="108"/>
    </row>
    <row r="7662" spans="1:9" ht="27.6">
      <c r="A7662" s="108" t="s">
        <v>14690</v>
      </c>
      <c r="B7662" s="108" t="s">
        <v>26265</v>
      </c>
      <c r="C7662" s="109">
        <v>40826</v>
      </c>
      <c r="D7662" s="108"/>
      <c r="E7662" s="108" t="s">
        <v>14605</v>
      </c>
      <c r="F7662" s="108" t="s">
        <v>5288</v>
      </c>
      <c r="G7662" s="110"/>
      <c r="H7662" s="108" t="s">
        <v>25458</v>
      </c>
      <c r="I7662" s="108"/>
    </row>
    <row r="7663" spans="1:9">
      <c r="A7663" s="108" t="s">
        <v>237</v>
      </c>
      <c r="B7663" s="108" t="s">
        <v>26266</v>
      </c>
      <c r="C7663" s="109">
        <v>41499</v>
      </c>
      <c r="D7663" s="108"/>
      <c r="E7663" s="108" t="s">
        <v>14605</v>
      </c>
      <c r="F7663" s="108" t="s">
        <v>3291</v>
      </c>
      <c r="G7663" s="110"/>
      <c r="H7663" s="108" t="s">
        <v>25458</v>
      </c>
      <c r="I7663" s="108"/>
    </row>
    <row r="7664" spans="1:9">
      <c r="A7664" s="108" t="s">
        <v>237</v>
      </c>
      <c r="B7664" s="108" t="s">
        <v>26267</v>
      </c>
      <c r="C7664" s="109">
        <v>40665</v>
      </c>
      <c r="D7664" s="108"/>
      <c r="E7664" s="108" t="s">
        <v>14605</v>
      </c>
      <c r="F7664" s="108" t="s">
        <v>4920</v>
      </c>
      <c r="G7664" s="110"/>
      <c r="H7664" s="108" t="s">
        <v>25458</v>
      </c>
      <c r="I7664" s="108"/>
    </row>
    <row r="7665" spans="1:9">
      <c r="A7665" s="108" t="s">
        <v>237</v>
      </c>
      <c r="B7665" s="108" t="s">
        <v>26268</v>
      </c>
      <c r="C7665" s="109">
        <v>40738</v>
      </c>
      <c r="D7665" s="108"/>
      <c r="E7665" s="108" t="s">
        <v>14605</v>
      </c>
      <c r="F7665" s="108" t="s">
        <v>1849</v>
      </c>
      <c r="G7665" s="110"/>
      <c r="H7665" s="108" t="s">
        <v>25458</v>
      </c>
      <c r="I7665" s="108"/>
    </row>
    <row r="7666" spans="1:9">
      <c r="A7666" s="108" t="s">
        <v>237</v>
      </c>
      <c r="B7666" s="108" t="s">
        <v>26269</v>
      </c>
      <c r="C7666" s="109">
        <v>40893</v>
      </c>
      <c r="D7666" s="108"/>
      <c r="E7666" s="108" t="s">
        <v>14605</v>
      </c>
      <c r="F7666" s="108" t="s">
        <v>2251</v>
      </c>
      <c r="G7666" s="110"/>
      <c r="H7666" s="108" t="s">
        <v>25458</v>
      </c>
      <c r="I7666" s="108"/>
    </row>
    <row r="7667" spans="1:9">
      <c r="A7667" s="108" t="s">
        <v>237</v>
      </c>
      <c r="B7667" s="108" t="s">
        <v>26270</v>
      </c>
      <c r="C7667" s="109">
        <v>40778</v>
      </c>
      <c r="D7667" s="108"/>
      <c r="E7667" s="108" t="s">
        <v>14605</v>
      </c>
      <c r="F7667" s="108" t="s">
        <v>25476</v>
      </c>
      <c r="G7667" s="110"/>
      <c r="H7667" s="108" t="s">
        <v>25458</v>
      </c>
      <c r="I7667" s="108"/>
    </row>
    <row r="7668" spans="1:9">
      <c r="A7668" s="108" t="s">
        <v>237</v>
      </c>
      <c r="B7668" s="108" t="s">
        <v>26271</v>
      </c>
      <c r="C7668" s="109">
        <v>40850</v>
      </c>
      <c r="D7668" s="108"/>
      <c r="E7668" s="108" t="s">
        <v>14605</v>
      </c>
      <c r="F7668" s="108" t="s">
        <v>3953</v>
      </c>
      <c r="G7668" s="110"/>
      <c r="H7668" s="108" t="s">
        <v>25458</v>
      </c>
      <c r="I7668" s="108"/>
    </row>
    <row r="7669" spans="1:9">
      <c r="A7669" s="108" t="s">
        <v>237</v>
      </c>
      <c r="B7669" s="108" t="s">
        <v>26272</v>
      </c>
      <c r="C7669" s="109">
        <v>40883</v>
      </c>
      <c r="D7669" s="108"/>
      <c r="E7669" s="108" t="s">
        <v>14605</v>
      </c>
      <c r="F7669" s="108" t="s">
        <v>26273</v>
      </c>
      <c r="G7669" s="110"/>
      <c r="H7669" s="108" t="s">
        <v>25458</v>
      </c>
      <c r="I7669" s="108"/>
    </row>
    <row r="7670" spans="1:9" ht="27.6">
      <c r="A7670" s="108" t="s">
        <v>237</v>
      </c>
      <c r="B7670" s="108" t="s">
        <v>26274</v>
      </c>
      <c r="C7670" s="109">
        <v>40920</v>
      </c>
      <c r="D7670" s="108"/>
      <c r="E7670" s="108" t="s">
        <v>14605</v>
      </c>
      <c r="F7670" s="108" t="s">
        <v>4534</v>
      </c>
      <c r="G7670" s="110"/>
      <c r="H7670" s="108" t="s">
        <v>25458</v>
      </c>
      <c r="I7670" s="108"/>
    </row>
    <row r="7671" spans="1:9">
      <c r="A7671" s="108" t="s">
        <v>237</v>
      </c>
      <c r="B7671" s="108" t="s">
        <v>26275</v>
      </c>
      <c r="C7671" s="109">
        <v>41421</v>
      </c>
      <c r="D7671" s="108"/>
      <c r="E7671" s="108" t="s">
        <v>14605</v>
      </c>
      <c r="F7671" s="108" t="s">
        <v>1121</v>
      </c>
      <c r="G7671" s="110"/>
      <c r="H7671" s="108" t="s">
        <v>25458</v>
      </c>
      <c r="I7671" s="108"/>
    </row>
    <row r="7672" spans="1:9">
      <c r="A7672" s="108" t="s">
        <v>16935</v>
      </c>
      <c r="B7672" s="108" t="s">
        <v>26276</v>
      </c>
      <c r="C7672" s="109">
        <v>38468</v>
      </c>
      <c r="D7672" s="108"/>
      <c r="E7672" s="108" t="s">
        <v>14605</v>
      </c>
      <c r="F7672" s="108" t="s">
        <v>26277</v>
      </c>
      <c r="G7672" s="110"/>
      <c r="H7672" s="108" t="s">
        <v>25458</v>
      </c>
      <c r="I7672" s="108"/>
    </row>
    <row r="7673" spans="1:9" ht="27.6">
      <c r="A7673" s="108" t="s">
        <v>15701</v>
      </c>
      <c r="B7673" s="108" t="s">
        <v>26278</v>
      </c>
      <c r="C7673" s="109">
        <v>38602</v>
      </c>
      <c r="D7673" s="108"/>
      <c r="E7673" s="108" t="s">
        <v>14605</v>
      </c>
      <c r="F7673" s="108" t="s">
        <v>26279</v>
      </c>
      <c r="G7673" s="110"/>
      <c r="H7673" s="108" t="s">
        <v>25458</v>
      </c>
      <c r="I7673" s="108"/>
    </row>
    <row r="7674" spans="1:9">
      <c r="A7674" s="108" t="s">
        <v>16935</v>
      </c>
      <c r="B7674" s="108" t="s">
        <v>26280</v>
      </c>
      <c r="C7674" s="109">
        <v>38779</v>
      </c>
      <c r="D7674" s="108"/>
      <c r="E7674" s="108" t="s">
        <v>14605</v>
      </c>
      <c r="F7674" s="108" t="s">
        <v>4307</v>
      </c>
      <c r="G7674" s="110"/>
      <c r="H7674" s="108" t="s">
        <v>25458</v>
      </c>
      <c r="I7674" s="108"/>
    </row>
    <row r="7675" spans="1:9">
      <c r="A7675" s="108" t="s">
        <v>16935</v>
      </c>
      <c r="B7675" s="108" t="s">
        <v>26281</v>
      </c>
      <c r="C7675" s="109">
        <v>38797</v>
      </c>
      <c r="D7675" s="108"/>
      <c r="E7675" s="108" t="s">
        <v>14605</v>
      </c>
      <c r="F7675" s="108" t="s">
        <v>3531</v>
      </c>
      <c r="G7675" s="110"/>
      <c r="H7675" s="108" t="s">
        <v>25458</v>
      </c>
      <c r="I7675" s="108"/>
    </row>
    <row r="7676" spans="1:9">
      <c r="A7676" s="108" t="s">
        <v>16935</v>
      </c>
      <c r="B7676" s="108" t="s">
        <v>26282</v>
      </c>
      <c r="C7676" s="109">
        <v>38937</v>
      </c>
      <c r="D7676" s="108"/>
      <c r="E7676" s="108" t="s">
        <v>14605</v>
      </c>
      <c r="F7676" s="108" t="s">
        <v>26279</v>
      </c>
      <c r="G7676" s="110"/>
      <c r="H7676" s="108" t="s">
        <v>25458</v>
      </c>
      <c r="I7676" s="108"/>
    </row>
    <row r="7677" spans="1:9" ht="27.6">
      <c r="A7677" s="108" t="s">
        <v>15701</v>
      </c>
      <c r="B7677" s="108" t="s">
        <v>26283</v>
      </c>
      <c r="C7677" s="109">
        <v>39351</v>
      </c>
      <c r="D7677" s="108"/>
      <c r="E7677" s="108" t="s">
        <v>14605</v>
      </c>
      <c r="F7677" s="108" t="s">
        <v>15535</v>
      </c>
      <c r="G7677" s="110"/>
      <c r="H7677" s="108" t="s">
        <v>25458</v>
      </c>
      <c r="I7677" s="108"/>
    </row>
    <row r="7678" spans="1:9" ht="27.6">
      <c r="A7678" s="108" t="s">
        <v>15701</v>
      </c>
      <c r="B7678" s="108" t="s">
        <v>26284</v>
      </c>
      <c r="C7678" s="109">
        <v>38958</v>
      </c>
      <c r="D7678" s="108"/>
      <c r="E7678" s="108" t="s">
        <v>14605</v>
      </c>
      <c r="F7678" s="108" t="s">
        <v>26285</v>
      </c>
      <c r="G7678" s="110"/>
      <c r="H7678" s="108" t="s">
        <v>25458</v>
      </c>
      <c r="I7678" s="108"/>
    </row>
    <row r="7679" spans="1:9">
      <c r="A7679" s="108" t="s">
        <v>16935</v>
      </c>
      <c r="B7679" s="108" t="s">
        <v>26286</v>
      </c>
      <c r="C7679" s="109">
        <v>38982</v>
      </c>
      <c r="D7679" s="108"/>
      <c r="E7679" s="108" t="s">
        <v>14605</v>
      </c>
      <c r="F7679" s="108" t="s">
        <v>2000</v>
      </c>
      <c r="G7679" s="110"/>
      <c r="H7679" s="108" t="s">
        <v>25458</v>
      </c>
      <c r="I7679" s="108"/>
    </row>
    <row r="7680" spans="1:9">
      <c r="A7680" s="108" t="s">
        <v>15705</v>
      </c>
      <c r="B7680" s="108" t="s">
        <v>26287</v>
      </c>
      <c r="C7680" s="109">
        <v>38672</v>
      </c>
      <c r="D7680" s="108"/>
      <c r="E7680" s="108" t="s">
        <v>14605</v>
      </c>
      <c r="F7680" s="108" t="s">
        <v>276</v>
      </c>
      <c r="G7680" s="110"/>
      <c r="H7680" s="108" t="s">
        <v>25458</v>
      </c>
      <c r="I7680" s="108"/>
    </row>
    <row r="7681" spans="1:9" ht="27.6">
      <c r="A7681" s="108" t="s">
        <v>16935</v>
      </c>
      <c r="B7681" s="108" t="s">
        <v>26288</v>
      </c>
      <c r="C7681" s="109">
        <v>38727</v>
      </c>
      <c r="D7681" s="108"/>
      <c r="E7681" s="108" t="s">
        <v>14605</v>
      </c>
      <c r="F7681" s="108" t="s">
        <v>3096</v>
      </c>
      <c r="G7681" s="110"/>
      <c r="H7681" s="108" t="s">
        <v>25458</v>
      </c>
      <c r="I7681" s="108"/>
    </row>
    <row r="7682" spans="1:9">
      <c r="A7682" s="108" t="s">
        <v>16935</v>
      </c>
      <c r="B7682" s="108" t="s">
        <v>26289</v>
      </c>
      <c r="C7682" s="109">
        <v>39219</v>
      </c>
      <c r="D7682" s="108"/>
      <c r="E7682" s="108" t="s">
        <v>14605</v>
      </c>
      <c r="F7682" s="108" t="s">
        <v>26279</v>
      </c>
      <c r="G7682" s="110"/>
      <c r="H7682" s="108" t="s">
        <v>25458</v>
      </c>
      <c r="I7682" s="108"/>
    </row>
    <row r="7683" spans="1:9" ht="27.6">
      <c r="A7683" s="108" t="s">
        <v>479</v>
      </c>
      <c r="B7683" s="108" t="s">
        <v>2872</v>
      </c>
      <c r="C7683" s="109">
        <v>40142</v>
      </c>
      <c r="D7683" s="108"/>
      <c r="E7683" s="108" t="s">
        <v>14605</v>
      </c>
      <c r="F7683" s="108" t="s">
        <v>2853</v>
      </c>
      <c r="G7683" s="110"/>
      <c r="H7683" s="108" t="s">
        <v>25458</v>
      </c>
      <c r="I7683" s="108"/>
    </row>
    <row r="7684" spans="1:9" ht="27.6">
      <c r="A7684" s="108" t="s">
        <v>479</v>
      </c>
      <c r="B7684" s="108" t="s">
        <v>4405</v>
      </c>
      <c r="C7684" s="109">
        <v>40191</v>
      </c>
      <c r="D7684" s="108"/>
      <c r="E7684" s="108" t="s">
        <v>14605</v>
      </c>
      <c r="F7684" s="108" t="s">
        <v>4390</v>
      </c>
      <c r="G7684" s="110"/>
      <c r="H7684" s="108" t="s">
        <v>25458</v>
      </c>
      <c r="I7684" s="108"/>
    </row>
    <row r="7685" spans="1:9" ht="27.6">
      <c r="A7685" s="108" t="s">
        <v>479</v>
      </c>
      <c r="B7685" s="108" t="s">
        <v>803</v>
      </c>
      <c r="C7685" s="109">
        <v>40212</v>
      </c>
      <c r="D7685" s="108"/>
      <c r="E7685" s="108" t="s">
        <v>14605</v>
      </c>
      <c r="F7685" s="108" t="s">
        <v>801</v>
      </c>
      <c r="G7685" s="110"/>
      <c r="H7685" s="108" t="s">
        <v>25458</v>
      </c>
      <c r="I7685" s="108"/>
    </row>
    <row r="7686" spans="1:9" ht="27.6">
      <c r="A7686" s="108" t="s">
        <v>479</v>
      </c>
      <c r="B7686" s="108" t="s">
        <v>4262</v>
      </c>
      <c r="C7686" s="109">
        <v>40198</v>
      </c>
      <c r="D7686" s="108"/>
      <c r="E7686" s="108" t="s">
        <v>14605</v>
      </c>
      <c r="F7686" s="108" t="s">
        <v>4260</v>
      </c>
      <c r="G7686" s="110"/>
      <c r="H7686" s="108" t="s">
        <v>25458</v>
      </c>
      <c r="I7686" s="108"/>
    </row>
    <row r="7687" spans="1:9" ht="27.6">
      <c r="A7687" s="108" t="s">
        <v>479</v>
      </c>
      <c r="B7687" s="108" t="s">
        <v>4759</v>
      </c>
      <c r="C7687" s="109">
        <v>40236</v>
      </c>
      <c r="D7687" s="108"/>
      <c r="E7687" s="108" t="s">
        <v>14605</v>
      </c>
      <c r="F7687" s="108" t="s">
        <v>4757</v>
      </c>
      <c r="G7687" s="110"/>
      <c r="H7687" s="108" t="s">
        <v>25458</v>
      </c>
      <c r="I7687" s="108"/>
    </row>
    <row r="7688" spans="1:9" ht="27.6">
      <c r="A7688" s="108" t="s">
        <v>207</v>
      </c>
      <c r="B7688" s="108" t="s">
        <v>4334</v>
      </c>
      <c r="C7688" s="109">
        <v>41901</v>
      </c>
      <c r="D7688" s="108"/>
      <c r="E7688" s="108" t="s">
        <v>14605</v>
      </c>
      <c r="F7688" s="108" t="s">
        <v>4335</v>
      </c>
      <c r="G7688" s="110"/>
      <c r="H7688" s="108" t="s">
        <v>25458</v>
      </c>
      <c r="I7688" s="108"/>
    </row>
    <row r="7689" spans="1:9" ht="27.6">
      <c r="A7689" s="108" t="s">
        <v>207</v>
      </c>
      <c r="B7689" s="108" t="s">
        <v>5295</v>
      </c>
      <c r="C7689" s="109">
        <v>41876</v>
      </c>
      <c r="D7689" s="108"/>
      <c r="E7689" s="108" t="s">
        <v>14605</v>
      </c>
      <c r="F7689" s="108" t="s">
        <v>5298</v>
      </c>
      <c r="G7689" s="110"/>
      <c r="H7689" s="108" t="s">
        <v>25458</v>
      </c>
      <c r="I7689" s="108"/>
    </row>
    <row r="7690" spans="1:9" ht="27.6">
      <c r="A7690" s="108" t="s">
        <v>479</v>
      </c>
      <c r="B7690" s="108" t="s">
        <v>2223</v>
      </c>
      <c r="C7690" s="109">
        <v>40338</v>
      </c>
      <c r="D7690" s="108"/>
      <c r="E7690" s="108" t="s">
        <v>14605</v>
      </c>
      <c r="F7690" s="108" t="s">
        <v>2224</v>
      </c>
      <c r="G7690" s="110"/>
      <c r="H7690" s="108" t="s">
        <v>25458</v>
      </c>
      <c r="I7690" s="108"/>
    </row>
    <row r="7691" spans="1:9" ht="27.6">
      <c r="A7691" s="108" t="s">
        <v>207</v>
      </c>
      <c r="B7691" s="108" t="s">
        <v>1251</v>
      </c>
      <c r="C7691" s="109">
        <v>41935</v>
      </c>
      <c r="D7691" s="108"/>
      <c r="E7691" s="108" t="s">
        <v>14605</v>
      </c>
      <c r="F7691" s="108" t="s">
        <v>1228</v>
      </c>
      <c r="G7691" s="110"/>
      <c r="H7691" s="108" t="s">
        <v>25458</v>
      </c>
      <c r="I7691" s="108"/>
    </row>
    <row r="7692" spans="1:9" ht="27.6">
      <c r="A7692" s="108" t="s">
        <v>479</v>
      </c>
      <c r="B7692" s="108" t="s">
        <v>4708</v>
      </c>
      <c r="C7692" s="109">
        <v>40438</v>
      </c>
      <c r="D7692" s="108"/>
      <c r="E7692" s="108" t="s">
        <v>14605</v>
      </c>
      <c r="F7692" s="108" t="s">
        <v>4702</v>
      </c>
      <c r="G7692" s="110"/>
      <c r="H7692" s="108" t="s">
        <v>25458</v>
      </c>
      <c r="I7692" s="108"/>
    </row>
    <row r="7693" spans="1:9" ht="27.6">
      <c r="A7693" s="108" t="s">
        <v>479</v>
      </c>
      <c r="B7693" s="108" t="s">
        <v>2841</v>
      </c>
      <c r="C7693" s="109">
        <v>40472</v>
      </c>
      <c r="D7693" s="108"/>
      <c r="E7693" s="108" t="s">
        <v>14605</v>
      </c>
      <c r="F7693" s="108" t="s">
        <v>2842</v>
      </c>
      <c r="G7693" s="110"/>
      <c r="H7693" s="108" t="s">
        <v>25458</v>
      </c>
      <c r="I7693" s="108"/>
    </row>
    <row r="7694" spans="1:9" ht="27.6">
      <c r="A7694" s="108" t="s">
        <v>207</v>
      </c>
      <c r="B7694" s="108" t="s">
        <v>722</v>
      </c>
      <c r="C7694" s="109">
        <v>44228</v>
      </c>
      <c r="D7694" s="108"/>
      <c r="E7694" s="108" t="s">
        <v>14605</v>
      </c>
      <c r="F7694" s="108" t="s">
        <v>720</v>
      </c>
      <c r="G7694" s="110"/>
      <c r="H7694" s="108" t="s">
        <v>25458</v>
      </c>
      <c r="I7694" s="108"/>
    </row>
    <row r="7695" spans="1:9" ht="27.6">
      <c r="A7695" s="108" t="s">
        <v>479</v>
      </c>
      <c r="B7695" s="108" t="s">
        <v>3016</v>
      </c>
      <c r="C7695" s="109">
        <v>40513</v>
      </c>
      <c r="D7695" s="108"/>
      <c r="E7695" s="108" t="s">
        <v>14605</v>
      </c>
      <c r="F7695" s="108" t="s">
        <v>26290</v>
      </c>
      <c r="G7695" s="110"/>
      <c r="H7695" s="108" t="s">
        <v>25458</v>
      </c>
      <c r="I7695" s="108"/>
    </row>
    <row r="7696" spans="1:9" ht="27.6">
      <c r="A7696" s="108" t="s">
        <v>207</v>
      </c>
      <c r="B7696" s="108" t="s">
        <v>1788</v>
      </c>
      <c r="C7696" s="109">
        <v>40542</v>
      </c>
      <c r="D7696" s="108"/>
      <c r="E7696" s="108" t="s">
        <v>14605</v>
      </c>
      <c r="F7696" s="108" t="s">
        <v>1770</v>
      </c>
      <c r="G7696" s="110"/>
      <c r="H7696" s="108" t="s">
        <v>25458</v>
      </c>
      <c r="I7696" s="108"/>
    </row>
    <row r="7697" spans="1:9" ht="27.6">
      <c r="A7697" s="108" t="s">
        <v>479</v>
      </c>
      <c r="B7697" s="108" t="s">
        <v>1749</v>
      </c>
      <c r="C7697" s="109">
        <v>40731</v>
      </c>
      <c r="D7697" s="108"/>
      <c r="E7697" s="108" t="s">
        <v>14605</v>
      </c>
      <c r="F7697" s="108" t="s">
        <v>1745</v>
      </c>
      <c r="G7697" s="110"/>
      <c r="H7697" s="108" t="s">
        <v>25458</v>
      </c>
      <c r="I7697" s="108"/>
    </row>
    <row r="7698" spans="1:9" ht="27.6">
      <c r="A7698" s="108" t="s">
        <v>479</v>
      </c>
      <c r="B7698" s="108" t="s">
        <v>2535</v>
      </c>
      <c r="C7698" s="109">
        <v>40653</v>
      </c>
      <c r="D7698" s="108"/>
      <c r="E7698" s="108" t="s">
        <v>14605</v>
      </c>
      <c r="F7698" s="108" t="s">
        <v>2536</v>
      </c>
      <c r="G7698" s="110"/>
      <c r="H7698" s="108" t="s">
        <v>25458</v>
      </c>
      <c r="I7698" s="108"/>
    </row>
    <row r="7699" spans="1:9" ht="27.6">
      <c r="A7699" s="108" t="s">
        <v>479</v>
      </c>
      <c r="B7699" s="108" t="s">
        <v>3781</v>
      </c>
      <c r="C7699" s="109">
        <v>40898</v>
      </c>
      <c r="D7699" s="108"/>
      <c r="E7699" s="108" t="s">
        <v>14605</v>
      </c>
      <c r="F7699" s="108" t="s">
        <v>3782</v>
      </c>
      <c r="G7699" s="110"/>
      <c r="H7699" s="108" t="s">
        <v>25458</v>
      </c>
      <c r="I7699" s="108"/>
    </row>
    <row r="7700" spans="1:9" ht="27.6">
      <c r="A7700" s="108" t="s">
        <v>207</v>
      </c>
      <c r="B7700" s="108" t="s">
        <v>3227</v>
      </c>
      <c r="C7700" s="109">
        <v>40851</v>
      </c>
      <c r="D7700" s="108"/>
      <c r="E7700" s="108" t="s">
        <v>14605</v>
      </c>
      <c r="F7700" s="108" t="s">
        <v>3228</v>
      </c>
      <c r="G7700" s="110"/>
      <c r="H7700" s="108" t="s">
        <v>25458</v>
      </c>
      <c r="I7700" s="108"/>
    </row>
    <row r="7701" spans="1:9" ht="27.6">
      <c r="A7701" s="108" t="s">
        <v>207</v>
      </c>
      <c r="B7701" s="108" t="s">
        <v>1535</v>
      </c>
      <c r="C7701" s="109">
        <v>41726</v>
      </c>
      <c r="D7701" s="108"/>
      <c r="E7701" s="108" t="s">
        <v>14605</v>
      </c>
      <c r="F7701" s="108" t="s">
        <v>1519</v>
      </c>
      <c r="G7701" s="110"/>
      <c r="H7701" s="108" t="s">
        <v>25458</v>
      </c>
      <c r="I7701" s="108"/>
    </row>
    <row r="7702" spans="1:9" ht="27.6">
      <c r="A7702" s="108" t="s">
        <v>207</v>
      </c>
      <c r="B7702" s="108" t="s">
        <v>2240</v>
      </c>
      <c r="C7702" s="109">
        <v>41072</v>
      </c>
      <c r="D7702" s="108"/>
      <c r="E7702" s="108" t="s">
        <v>14605</v>
      </c>
      <c r="F7702" s="108" t="s">
        <v>2236</v>
      </c>
      <c r="G7702" s="110"/>
      <c r="H7702" s="108" t="s">
        <v>25458</v>
      </c>
      <c r="I7702" s="108"/>
    </row>
    <row r="7703" spans="1:9" ht="27.6">
      <c r="A7703" s="108" t="s">
        <v>207</v>
      </c>
      <c r="B7703" s="108" t="s">
        <v>1604</v>
      </c>
      <c r="C7703" s="109">
        <v>41186</v>
      </c>
      <c r="D7703" s="108"/>
      <c r="E7703" s="108" t="s">
        <v>14605</v>
      </c>
      <c r="F7703" s="108" t="s">
        <v>25777</v>
      </c>
      <c r="G7703" s="110"/>
      <c r="H7703" s="108" t="s">
        <v>25458</v>
      </c>
      <c r="I7703" s="108"/>
    </row>
    <row r="7704" spans="1:9" ht="27.6">
      <c r="A7704" s="108" t="s">
        <v>207</v>
      </c>
      <c r="B7704" s="108" t="s">
        <v>1848</v>
      </c>
      <c r="C7704" s="109">
        <v>41284</v>
      </c>
      <c r="D7704" s="108"/>
      <c r="E7704" s="108" t="s">
        <v>14605</v>
      </c>
      <c r="F7704" s="108" t="s">
        <v>1849</v>
      </c>
      <c r="G7704" s="110"/>
      <c r="H7704" s="108" t="s">
        <v>25458</v>
      </c>
      <c r="I7704" s="108"/>
    </row>
    <row r="7705" spans="1:9" ht="27.6">
      <c r="A7705" s="108" t="s">
        <v>207</v>
      </c>
      <c r="B7705" s="108" t="s">
        <v>953</v>
      </c>
      <c r="C7705" s="109">
        <v>41305</v>
      </c>
      <c r="D7705" s="108"/>
      <c r="E7705" s="108" t="s">
        <v>14605</v>
      </c>
      <c r="F7705" s="108" t="s">
        <v>954</v>
      </c>
      <c r="G7705" s="110"/>
      <c r="H7705" s="108" t="s">
        <v>25458</v>
      </c>
      <c r="I7705" s="108"/>
    </row>
    <row r="7706" spans="1:9" ht="27.6">
      <c r="A7706" s="108" t="s">
        <v>207</v>
      </c>
      <c r="B7706" s="108" t="s">
        <v>2502</v>
      </c>
      <c r="C7706" s="109">
        <v>41353</v>
      </c>
      <c r="D7706" s="108"/>
      <c r="E7706" s="108" t="s">
        <v>14605</v>
      </c>
      <c r="F7706" s="108" t="s">
        <v>2475</v>
      </c>
      <c r="G7706" s="110"/>
      <c r="H7706" s="108" t="s">
        <v>25458</v>
      </c>
      <c r="I7706" s="108"/>
    </row>
    <row r="7707" spans="1:9" ht="27.6">
      <c r="A7707" s="108" t="s">
        <v>207</v>
      </c>
      <c r="B7707" s="108" t="s">
        <v>4949</v>
      </c>
      <c r="C7707" s="109">
        <v>41449</v>
      </c>
      <c r="D7707" s="108"/>
      <c r="E7707" s="108" t="s">
        <v>14605</v>
      </c>
      <c r="F7707" s="108" t="s">
        <v>4947</v>
      </c>
      <c r="G7707" s="110"/>
      <c r="H7707" s="108" t="s">
        <v>25458</v>
      </c>
      <c r="I7707" s="108"/>
    </row>
    <row r="7708" spans="1:9" ht="27.6">
      <c r="A7708" s="108" t="s">
        <v>207</v>
      </c>
      <c r="B7708" s="108" t="s">
        <v>5061</v>
      </c>
      <c r="C7708" s="109">
        <v>41415</v>
      </c>
      <c r="D7708" s="108"/>
      <c r="E7708" s="108" t="s">
        <v>14605</v>
      </c>
      <c r="F7708" s="108" t="s">
        <v>5057</v>
      </c>
      <c r="G7708" s="110"/>
      <c r="H7708" s="108" t="s">
        <v>25458</v>
      </c>
      <c r="I7708" s="108"/>
    </row>
    <row r="7709" spans="1:9" ht="27.6">
      <c r="A7709" s="108" t="s">
        <v>207</v>
      </c>
      <c r="B7709" s="108" t="s">
        <v>5223</v>
      </c>
      <c r="C7709" s="109">
        <v>41724</v>
      </c>
      <c r="D7709" s="108"/>
      <c r="E7709" s="108" t="s">
        <v>14605</v>
      </c>
      <c r="F7709" s="108" t="s">
        <v>5219</v>
      </c>
      <c r="G7709" s="110"/>
      <c r="H7709" s="108" t="s">
        <v>25458</v>
      </c>
      <c r="I7709" s="108"/>
    </row>
    <row r="7710" spans="1:9" ht="27.6">
      <c r="A7710" s="108" t="s">
        <v>207</v>
      </c>
      <c r="B7710" s="108" t="s">
        <v>3191</v>
      </c>
      <c r="C7710" s="109">
        <v>41778</v>
      </c>
      <c r="D7710" s="108"/>
      <c r="E7710" s="108" t="s">
        <v>14605</v>
      </c>
      <c r="F7710" s="108" t="s">
        <v>3192</v>
      </c>
      <c r="G7710" s="110"/>
      <c r="H7710" s="108" t="s">
        <v>25458</v>
      </c>
      <c r="I7710" s="108"/>
    </row>
    <row r="7711" spans="1:9" ht="27.6">
      <c r="A7711" s="108" t="s">
        <v>207</v>
      </c>
      <c r="B7711" s="108" t="s">
        <v>4508</v>
      </c>
      <c r="C7711" s="109">
        <v>41649</v>
      </c>
      <c r="D7711" s="108"/>
      <c r="E7711" s="108" t="s">
        <v>14605</v>
      </c>
      <c r="F7711" s="108" t="s">
        <v>4501</v>
      </c>
      <c r="G7711" s="110"/>
      <c r="H7711" s="108" t="s">
        <v>25458</v>
      </c>
      <c r="I7711" s="108"/>
    </row>
    <row r="7712" spans="1:9" ht="27.6">
      <c r="A7712" s="108" t="s">
        <v>207</v>
      </c>
      <c r="B7712" s="108" t="s">
        <v>4572</v>
      </c>
      <c r="C7712" s="109">
        <v>41674</v>
      </c>
      <c r="D7712" s="108"/>
      <c r="E7712" s="108" t="s">
        <v>14605</v>
      </c>
      <c r="F7712" s="108" t="s">
        <v>4559</v>
      </c>
      <c r="G7712" s="110"/>
      <c r="H7712" s="108" t="s">
        <v>25458</v>
      </c>
      <c r="I7712" s="108"/>
    </row>
    <row r="7713" spans="1:9" ht="27.6">
      <c r="A7713" s="108" t="s">
        <v>207</v>
      </c>
      <c r="B7713" s="108" t="s">
        <v>2121</v>
      </c>
      <c r="C7713" s="109">
        <v>41624</v>
      </c>
      <c r="D7713" s="108"/>
      <c r="E7713" s="108" t="s">
        <v>14605</v>
      </c>
      <c r="F7713" s="108" t="s">
        <v>2122</v>
      </c>
      <c r="G7713" s="110"/>
      <c r="H7713" s="108" t="s">
        <v>25458</v>
      </c>
      <c r="I7713" s="108"/>
    </row>
    <row r="7714" spans="1:9" ht="27.6">
      <c r="A7714" s="108" t="s">
        <v>207</v>
      </c>
      <c r="B7714" s="108" t="s">
        <v>529</v>
      </c>
      <c r="C7714" s="109">
        <v>41662</v>
      </c>
      <c r="D7714" s="108"/>
      <c r="E7714" s="108" t="s">
        <v>14605</v>
      </c>
      <c r="F7714" s="108" t="s">
        <v>530</v>
      </c>
      <c r="G7714" s="110"/>
      <c r="H7714" s="108" t="s">
        <v>25458</v>
      </c>
      <c r="I7714" s="108"/>
    </row>
    <row r="7715" spans="1:9" ht="27.6">
      <c r="A7715" s="108" t="s">
        <v>207</v>
      </c>
      <c r="B7715" s="108" t="s">
        <v>2034</v>
      </c>
      <c r="C7715" s="109">
        <v>41778</v>
      </c>
      <c r="D7715" s="108"/>
      <c r="E7715" s="108" t="s">
        <v>14605</v>
      </c>
      <c r="F7715" s="108" t="s">
        <v>2013</v>
      </c>
      <c r="G7715" s="110"/>
      <c r="H7715" s="108" t="s">
        <v>25458</v>
      </c>
      <c r="I7715" s="108"/>
    </row>
    <row r="7716" spans="1:9" ht="27.6">
      <c r="A7716" s="108" t="s">
        <v>207</v>
      </c>
      <c r="B7716" s="108" t="s">
        <v>560</v>
      </c>
      <c r="C7716" s="109">
        <v>42552</v>
      </c>
      <c r="D7716" s="108"/>
      <c r="E7716" s="108" t="s">
        <v>14605</v>
      </c>
      <c r="F7716" s="108" t="s">
        <v>559</v>
      </c>
      <c r="G7716" s="110"/>
      <c r="H7716" s="108" t="s">
        <v>25458</v>
      </c>
      <c r="I7716" s="108"/>
    </row>
    <row r="7717" spans="1:9" ht="27.6">
      <c r="A7717" s="108" t="s">
        <v>207</v>
      </c>
      <c r="B7717" s="108" t="s">
        <v>2613</v>
      </c>
      <c r="C7717" s="109">
        <v>41820</v>
      </c>
      <c r="D7717" s="108"/>
      <c r="E7717" s="108" t="s">
        <v>14605</v>
      </c>
      <c r="F7717" s="108" t="s">
        <v>2609</v>
      </c>
      <c r="G7717" s="110"/>
      <c r="H7717" s="108" t="s">
        <v>25458</v>
      </c>
      <c r="I7717" s="108"/>
    </row>
    <row r="7718" spans="1:9" ht="27.6">
      <c r="A7718" s="108" t="s">
        <v>207</v>
      </c>
      <c r="B7718" s="108" t="s">
        <v>4873</v>
      </c>
      <c r="C7718" s="109">
        <v>41897</v>
      </c>
      <c r="D7718" s="108"/>
      <c r="E7718" s="108" t="s">
        <v>14605</v>
      </c>
      <c r="F7718" s="108" t="s">
        <v>4857</v>
      </c>
      <c r="G7718" s="110"/>
      <c r="H7718" s="108" t="s">
        <v>25458</v>
      </c>
      <c r="I7718" s="108"/>
    </row>
    <row r="7719" spans="1:9" ht="27.6">
      <c r="A7719" s="108" t="s">
        <v>207</v>
      </c>
      <c r="B7719" s="108" t="s">
        <v>4022</v>
      </c>
      <c r="C7719" s="109">
        <v>41990</v>
      </c>
      <c r="D7719" s="108"/>
      <c r="E7719" s="108" t="s">
        <v>14605</v>
      </c>
      <c r="F7719" s="108" t="s">
        <v>15535</v>
      </c>
      <c r="G7719" s="110"/>
      <c r="H7719" s="108" t="s">
        <v>25458</v>
      </c>
      <c r="I7719" s="108"/>
    </row>
    <row r="7720" spans="1:9" ht="27.6">
      <c r="A7720" s="108" t="s">
        <v>207</v>
      </c>
      <c r="B7720" s="108" t="s">
        <v>4021</v>
      </c>
      <c r="C7720" s="109">
        <v>41921</v>
      </c>
      <c r="D7720" s="108"/>
      <c r="E7720" s="108" t="s">
        <v>14605</v>
      </c>
      <c r="F7720" s="108" t="s">
        <v>15535</v>
      </c>
      <c r="G7720" s="110"/>
      <c r="H7720" s="108" t="s">
        <v>25458</v>
      </c>
      <c r="I7720" s="108"/>
    </row>
    <row r="7721" spans="1:9" ht="27.6">
      <c r="A7721" s="108" t="s">
        <v>207</v>
      </c>
      <c r="B7721" s="108" t="s">
        <v>26291</v>
      </c>
      <c r="C7721" s="109">
        <v>42061</v>
      </c>
      <c r="D7721" s="108"/>
      <c r="E7721" s="108" t="s">
        <v>14605</v>
      </c>
      <c r="F7721" s="108" t="s">
        <v>23092</v>
      </c>
      <c r="G7721" s="110"/>
      <c r="H7721" s="108" t="s">
        <v>25458</v>
      </c>
      <c r="I7721" s="108"/>
    </row>
    <row r="7722" spans="1:9" ht="27.6">
      <c r="A7722" s="108" t="s">
        <v>118</v>
      </c>
      <c r="B7722" s="108" t="s">
        <v>4646</v>
      </c>
      <c r="C7722" s="109">
        <v>42243</v>
      </c>
      <c r="D7722" s="108"/>
      <c r="E7722" s="108" t="s">
        <v>14605</v>
      </c>
      <c r="F7722" s="108" t="s">
        <v>4638</v>
      </c>
      <c r="G7722" s="110"/>
      <c r="H7722" s="108" t="s">
        <v>25458</v>
      </c>
      <c r="I7722" s="108"/>
    </row>
    <row r="7723" spans="1:9">
      <c r="A7723" s="108" t="s">
        <v>118</v>
      </c>
      <c r="B7723" s="108" t="s">
        <v>26292</v>
      </c>
      <c r="C7723" s="109">
        <v>43355</v>
      </c>
      <c r="D7723" s="108"/>
      <c r="E7723" s="108" t="s">
        <v>14605</v>
      </c>
      <c r="F7723" s="108" t="s">
        <v>14764</v>
      </c>
      <c r="G7723" s="110"/>
      <c r="H7723" s="108" t="s">
        <v>25458</v>
      </c>
      <c r="I7723" s="108"/>
    </row>
    <row r="7724" spans="1:9">
      <c r="A7724" s="108" t="s">
        <v>118</v>
      </c>
      <c r="B7724" s="108" t="s">
        <v>4248</v>
      </c>
      <c r="C7724" s="109">
        <v>42226</v>
      </c>
      <c r="D7724" s="108"/>
      <c r="E7724" s="108" t="s">
        <v>14605</v>
      </c>
      <c r="F7724" s="108" t="s">
        <v>4242</v>
      </c>
      <c r="G7724" s="110"/>
      <c r="H7724" s="108" t="s">
        <v>25458</v>
      </c>
      <c r="I7724" s="108"/>
    </row>
    <row r="7725" spans="1:9" ht="27.6">
      <c r="A7725" s="108" t="s">
        <v>118</v>
      </c>
      <c r="B7725" s="108" t="s">
        <v>2951</v>
      </c>
      <c r="C7725" s="109">
        <v>42202</v>
      </c>
      <c r="D7725" s="108"/>
      <c r="E7725" s="108" t="s">
        <v>14605</v>
      </c>
      <c r="F7725" s="108" t="s">
        <v>2952</v>
      </c>
      <c r="G7725" s="110"/>
      <c r="H7725" s="108" t="s">
        <v>25458</v>
      </c>
      <c r="I7725" s="108"/>
    </row>
    <row r="7726" spans="1:9" ht="27.6">
      <c r="A7726" s="108" t="s">
        <v>118</v>
      </c>
      <c r="B7726" s="108" t="s">
        <v>4100</v>
      </c>
      <c r="C7726" s="109">
        <v>42319</v>
      </c>
      <c r="D7726" s="108"/>
      <c r="E7726" s="108" t="s">
        <v>14605</v>
      </c>
      <c r="F7726" s="108" t="s">
        <v>4098</v>
      </c>
      <c r="G7726" s="110"/>
      <c r="H7726" s="108" t="s">
        <v>25458</v>
      </c>
      <c r="I7726" s="108"/>
    </row>
    <row r="7727" spans="1:9">
      <c r="A7727" s="108" t="s">
        <v>118</v>
      </c>
      <c r="B7727" s="108" t="s">
        <v>2447</v>
      </c>
      <c r="C7727" s="109">
        <v>42458</v>
      </c>
      <c r="D7727" s="108"/>
      <c r="E7727" s="108" t="s">
        <v>14605</v>
      </c>
      <c r="F7727" s="108" t="s">
        <v>2431</v>
      </c>
      <c r="G7727" s="110"/>
      <c r="H7727" s="108" t="s">
        <v>25458</v>
      </c>
      <c r="I7727" s="108"/>
    </row>
    <row r="7728" spans="1:9" ht="27.6">
      <c r="A7728" s="108" t="s">
        <v>207</v>
      </c>
      <c r="B7728" s="108" t="s">
        <v>2257</v>
      </c>
      <c r="C7728" s="109">
        <v>42514</v>
      </c>
      <c r="D7728" s="108"/>
      <c r="E7728" s="108" t="s">
        <v>14605</v>
      </c>
      <c r="F7728" s="108" t="s">
        <v>2251</v>
      </c>
      <c r="G7728" s="110"/>
      <c r="H7728" s="108" t="s">
        <v>25458</v>
      </c>
      <c r="I7728" s="108"/>
    </row>
    <row r="7729" spans="1:9" ht="27.6">
      <c r="A7729" s="108" t="s">
        <v>118</v>
      </c>
      <c r="B7729" s="108" t="s">
        <v>2992</v>
      </c>
      <c r="C7729" s="109">
        <v>42509</v>
      </c>
      <c r="D7729" s="108"/>
      <c r="E7729" s="108" t="s">
        <v>14605</v>
      </c>
      <c r="F7729" s="108" t="s">
        <v>16249</v>
      </c>
      <c r="G7729" s="110"/>
      <c r="H7729" s="108" t="s">
        <v>25458</v>
      </c>
      <c r="I7729" s="108"/>
    </row>
    <row r="7730" spans="1:9" ht="27.6">
      <c r="A7730" s="108" t="s">
        <v>118</v>
      </c>
      <c r="B7730" s="108" t="s">
        <v>1612</v>
      </c>
      <c r="C7730" s="109">
        <v>42543</v>
      </c>
      <c r="D7730" s="108"/>
      <c r="E7730" s="108" t="s">
        <v>14605</v>
      </c>
      <c r="F7730" s="108" t="s">
        <v>1613</v>
      </c>
      <c r="G7730" s="110"/>
      <c r="H7730" s="108" t="s">
        <v>25458</v>
      </c>
      <c r="I7730" s="108"/>
    </row>
    <row r="7731" spans="1:9">
      <c r="A7731" s="108" t="s">
        <v>118</v>
      </c>
      <c r="B7731" s="108" t="s">
        <v>602</v>
      </c>
      <c r="C7731" s="109">
        <v>42633</v>
      </c>
      <c r="D7731" s="108"/>
      <c r="E7731" s="108" t="s">
        <v>14605</v>
      </c>
      <c r="F7731" s="108" t="s">
        <v>603</v>
      </c>
      <c r="G7731" s="110"/>
      <c r="H7731" s="108" t="s">
        <v>25458</v>
      </c>
      <c r="I7731" s="108"/>
    </row>
    <row r="7732" spans="1:9">
      <c r="A7732" s="108" t="s">
        <v>118</v>
      </c>
      <c r="B7732" s="108" t="s">
        <v>3578</v>
      </c>
      <c r="C7732" s="109">
        <v>42726</v>
      </c>
      <c r="D7732" s="108"/>
      <c r="E7732" s="108" t="s">
        <v>14605</v>
      </c>
      <c r="F7732" s="108" t="s">
        <v>15303</v>
      </c>
      <c r="G7732" s="110"/>
      <c r="H7732" s="108" t="s">
        <v>25458</v>
      </c>
      <c r="I7732" s="108"/>
    </row>
    <row r="7733" spans="1:9">
      <c r="A7733" s="108" t="s">
        <v>118</v>
      </c>
      <c r="B7733" s="108" t="s">
        <v>4492</v>
      </c>
      <c r="C7733" s="109">
        <v>42825</v>
      </c>
      <c r="D7733" s="108"/>
      <c r="E7733" s="108" t="s">
        <v>14605</v>
      </c>
      <c r="F7733" s="108" t="s">
        <v>4491</v>
      </c>
      <c r="G7733" s="110"/>
      <c r="H7733" s="108" t="s">
        <v>25458</v>
      </c>
      <c r="I7733" s="108"/>
    </row>
    <row r="7734" spans="1:9">
      <c r="A7734" s="108" t="s">
        <v>118</v>
      </c>
      <c r="B7734" s="108" t="s">
        <v>2739</v>
      </c>
      <c r="C7734" s="109">
        <v>42851</v>
      </c>
      <c r="D7734" s="108"/>
      <c r="E7734" s="108" t="s">
        <v>14605</v>
      </c>
      <c r="F7734" s="108" t="s">
        <v>2740</v>
      </c>
      <c r="G7734" s="110"/>
      <c r="H7734" s="108" t="s">
        <v>25458</v>
      </c>
      <c r="I7734" s="108"/>
    </row>
    <row r="7735" spans="1:9">
      <c r="A7735" s="108" t="s">
        <v>118</v>
      </c>
      <c r="B7735" s="108" t="s">
        <v>3792</v>
      </c>
      <c r="C7735" s="109">
        <v>42909</v>
      </c>
      <c r="D7735" s="108"/>
      <c r="E7735" s="108" t="s">
        <v>14605</v>
      </c>
      <c r="F7735" s="108" t="s">
        <v>3790</v>
      </c>
      <c r="G7735" s="110"/>
      <c r="H7735" s="108" t="s">
        <v>25458</v>
      </c>
      <c r="I7735" s="108"/>
    </row>
    <row r="7736" spans="1:9" ht="27.6">
      <c r="A7736" s="108" t="s">
        <v>118</v>
      </c>
      <c r="B7736" s="108" t="s">
        <v>4536</v>
      </c>
      <c r="C7736" s="109">
        <v>43193</v>
      </c>
      <c r="D7736" s="108"/>
      <c r="E7736" s="108" t="s">
        <v>14605</v>
      </c>
      <c r="F7736" s="108" t="s">
        <v>4534</v>
      </c>
      <c r="G7736" s="110"/>
      <c r="H7736" s="108" t="s">
        <v>25458</v>
      </c>
      <c r="I7736" s="108"/>
    </row>
    <row r="7737" spans="1:9">
      <c r="A7737" s="108" t="s">
        <v>118</v>
      </c>
      <c r="B7737" s="108" t="s">
        <v>2256</v>
      </c>
      <c r="C7737" s="109">
        <v>43187</v>
      </c>
      <c r="D7737" s="108"/>
      <c r="E7737" s="108" t="s">
        <v>14605</v>
      </c>
      <c r="F7737" s="108" t="s">
        <v>2251</v>
      </c>
      <c r="G7737" s="110"/>
      <c r="H7737" s="108" t="s">
        <v>25458</v>
      </c>
      <c r="I7737" s="108"/>
    </row>
    <row r="7738" spans="1:9">
      <c r="A7738" s="108" t="s">
        <v>118</v>
      </c>
      <c r="B7738" s="108" t="s">
        <v>676</v>
      </c>
      <c r="C7738" s="109">
        <v>43207</v>
      </c>
      <c r="D7738" s="108"/>
      <c r="E7738" s="108" t="s">
        <v>14605</v>
      </c>
      <c r="F7738" s="108" t="s">
        <v>677</v>
      </c>
      <c r="G7738" s="110"/>
      <c r="H7738" s="108" t="s">
        <v>25458</v>
      </c>
      <c r="I7738" s="108"/>
    </row>
    <row r="7739" spans="1:9">
      <c r="A7739" s="108" t="s">
        <v>118</v>
      </c>
      <c r="B7739" s="108" t="s">
        <v>3537</v>
      </c>
      <c r="C7739" s="109">
        <v>43238</v>
      </c>
      <c r="D7739" s="108"/>
      <c r="E7739" s="108" t="s">
        <v>14605</v>
      </c>
      <c r="F7739" s="108" t="s">
        <v>3538</v>
      </c>
      <c r="G7739" s="110"/>
      <c r="H7739" s="108" t="s">
        <v>25458</v>
      </c>
      <c r="I7739" s="108"/>
    </row>
    <row r="7740" spans="1:9" ht="27.6">
      <c r="A7740" s="108" t="s">
        <v>118</v>
      </c>
      <c r="B7740" s="108" t="s">
        <v>4181</v>
      </c>
      <c r="C7740" s="109">
        <v>43277</v>
      </c>
      <c r="D7740" s="108"/>
      <c r="E7740" s="108" t="s">
        <v>14605</v>
      </c>
      <c r="F7740" s="108" t="s">
        <v>4175</v>
      </c>
      <c r="G7740" s="110"/>
      <c r="H7740" s="108" t="s">
        <v>25458</v>
      </c>
      <c r="I7740" s="108"/>
    </row>
    <row r="7741" spans="1:9">
      <c r="A7741" s="108" t="s">
        <v>118</v>
      </c>
      <c r="B7741" s="108" t="s">
        <v>4995</v>
      </c>
      <c r="C7741" s="109">
        <v>43333</v>
      </c>
      <c r="D7741" s="108"/>
      <c r="E7741" s="108" t="s">
        <v>14605</v>
      </c>
      <c r="F7741" s="108" t="s">
        <v>2529</v>
      </c>
      <c r="G7741" s="110"/>
      <c r="H7741" s="108" t="s">
        <v>25458</v>
      </c>
      <c r="I7741" s="108"/>
    </row>
    <row r="7742" spans="1:9" ht="27.6">
      <c r="A7742" s="108" t="s">
        <v>118</v>
      </c>
      <c r="B7742" s="108" t="s">
        <v>2148</v>
      </c>
      <c r="C7742" s="109">
        <v>43370</v>
      </c>
      <c r="D7742" s="108"/>
      <c r="E7742" s="108" t="s">
        <v>14605</v>
      </c>
      <c r="F7742" s="108" t="s">
        <v>2149</v>
      </c>
      <c r="G7742" s="110"/>
      <c r="H7742" s="108" t="s">
        <v>25458</v>
      </c>
      <c r="I7742" s="108"/>
    </row>
    <row r="7743" spans="1:9" ht="27.6">
      <c r="A7743" s="108" t="s">
        <v>118</v>
      </c>
      <c r="B7743" s="108" t="s">
        <v>4978</v>
      </c>
      <c r="C7743" s="109">
        <v>43574</v>
      </c>
      <c r="D7743" s="108"/>
      <c r="E7743" s="108" t="s">
        <v>14605</v>
      </c>
      <c r="F7743" s="108" t="s">
        <v>4979</v>
      </c>
      <c r="G7743" s="110"/>
      <c r="H7743" s="108" t="s">
        <v>25458</v>
      </c>
      <c r="I7743" s="108"/>
    </row>
    <row r="7744" spans="1:9">
      <c r="A7744" s="108" t="s">
        <v>118</v>
      </c>
      <c r="B7744" s="108" t="s">
        <v>2429</v>
      </c>
      <c r="C7744" s="109">
        <v>43595</v>
      </c>
      <c r="D7744" s="108"/>
      <c r="E7744" s="108" t="s">
        <v>14605</v>
      </c>
      <c r="F7744" s="108" t="s">
        <v>2425</v>
      </c>
      <c r="G7744" s="110"/>
      <c r="H7744" s="108" t="s">
        <v>25458</v>
      </c>
      <c r="I7744" s="108"/>
    </row>
    <row r="7745" spans="1:9" ht="27.6">
      <c r="A7745" s="108" t="s">
        <v>118</v>
      </c>
      <c r="B7745" s="108" t="s">
        <v>1988</v>
      </c>
      <c r="C7745" s="109">
        <v>43630</v>
      </c>
      <c r="D7745" s="108"/>
      <c r="E7745" s="108" t="s">
        <v>14605</v>
      </c>
      <c r="F7745" s="108" t="s">
        <v>15284</v>
      </c>
      <c r="G7745" s="110"/>
      <c r="H7745" s="108" t="s">
        <v>25458</v>
      </c>
      <c r="I7745" s="108"/>
    </row>
    <row r="7746" spans="1:9" ht="27.6">
      <c r="A7746" s="108" t="s">
        <v>118</v>
      </c>
      <c r="B7746" s="108" t="s">
        <v>4689</v>
      </c>
      <c r="C7746" s="109">
        <v>43963</v>
      </c>
      <c r="D7746" s="108"/>
      <c r="E7746" s="108" t="s">
        <v>14605</v>
      </c>
      <c r="F7746" s="108" t="s">
        <v>4685</v>
      </c>
      <c r="G7746" s="110"/>
      <c r="H7746" s="108" t="s">
        <v>25458</v>
      </c>
      <c r="I7746" s="108"/>
    </row>
    <row r="7747" spans="1:9">
      <c r="A7747" s="108" t="s">
        <v>118</v>
      </c>
      <c r="B7747" s="108" t="s">
        <v>1725</v>
      </c>
      <c r="C7747" s="109">
        <v>43803</v>
      </c>
      <c r="D7747" s="108"/>
      <c r="E7747" s="108" t="s">
        <v>14605</v>
      </c>
      <c r="F7747" s="108" t="s">
        <v>1726</v>
      </c>
      <c r="G7747" s="110"/>
      <c r="H7747" s="108" t="s">
        <v>25458</v>
      </c>
      <c r="I7747" s="108"/>
    </row>
    <row r="7748" spans="1:9">
      <c r="A7748" s="108" t="s">
        <v>118</v>
      </c>
      <c r="B7748" s="108" t="s">
        <v>1448</v>
      </c>
      <c r="C7748" s="109">
        <v>44099</v>
      </c>
      <c r="D7748" s="108"/>
      <c r="E7748" s="108" t="s">
        <v>14605</v>
      </c>
      <c r="F7748" s="108" t="s">
        <v>1449</v>
      </c>
      <c r="G7748" s="110"/>
      <c r="H7748" s="108" t="s">
        <v>25458</v>
      </c>
      <c r="I7748" s="108"/>
    </row>
    <row r="7749" spans="1:9">
      <c r="A7749" s="108" t="s">
        <v>118</v>
      </c>
      <c r="B7749" s="108" t="s">
        <v>4404</v>
      </c>
      <c r="C7749" s="109">
        <v>43858</v>
      </c>
      <c r="D7749" s="108"/>
      <c r="E7749" s="108" t="s">
        <v>14605</v>
      </c>
      <c r="F7749" s="108" t="s">
        <v>4390</v>
      </c>
      <c r="G7749" s="110"/>
      <c r="H7749" s="108" t="s">
        <v>25458</v>
      </c>
      <c r="I7749" s="108"/>
    </row>
    <row r="7750" spans="1:9">
      <c r="A7750" s="108" t="s">
        <v>118</v>
      </c>
      <c r="B7750" s="108" t="s">
        <v>5215</v>
      </c>
      <c r="C7750" s="109">
        <v>43901</v>
      </c>
      <c r="D7750" s="108"/>
      <c r="E7750" s="108" t="s">
        <v>14605</v>
      </c>
      <c r="F7750" s="108" t="s">
        <v>5145</v>
      </c>
      <c r="G7750" s="110"/>
      <c r="H7750" s="108" t="s">
        <v>25458</v>
      </c>
      <c r="I7750" s="108"/>
    </row>
    <row r="7751" spans="1:9">
      <c r="A7751" s="108" t="s">
        <v>118</v>
      </c>
      <c r="B7751" s="108" t="s">
        <v>2255</v>
      </c>
      <c r="C7751" s="109">
        <v>44222</v>
      </c>
      <c r="D7751" s="108"/>
      <c r="E7751" s="108" t="s">
        <v>14605</v>
      </c>
      <c r="F7751" s="108" t="s">
        <v>2251</v>
      </c>
      <c r="G7751" s="110"/>
      <c r="H7751" s="108" t="s">
        <v>25458</v>
      </c>
      <c r="I7751" s="108"/>
    </row>
    <row r="7752" spans="1:9">
      <c r="A7752" s="108" t="s">
        <v>118</v>
      </c>
      <c r="B7752" s="108" t="s">
        <v>2254</v>
      </c>
      <c r="C7752" s="109">
        <v>44470</v>
      </c>
      <c r="D7752" s="108"/>
      <c r="E7752" s="108" t="s">
        <v>14605</v>
      </c>
      <c r="F7752" s="108" t="s">
        <v>2251</v>
      </c>
      <c r="G7752" s="110"/>
      <c r="H7752" s="108" t="s">
        <v>25458</v>
      </c>
      <c r="I7752" s="108"/>
    </row>
    <row r="7753" spans="1:9">
      <c r="A7753" s="108" t="s">
        <v>118</v>
      </c>
      <c r="B7753" s="108" t="s">
        <v>3867</v>
      </c>
      <c r="C7753" s="109">
        <v>44167</v>
      </c>
      <c r="D7753" s="108"/>
      <c r="E7753" s="108" t="s">
        <v>14605</v>
      </c>
      <c r="F7753" s="108" t="s">
        <v>3856</v>
      </c>
      <c r="G7753" s="110"/>
      <c r="H7753" s="108" t="s">
        <v>25458</v>
      </c>
      <c r="I7753" s="108"/>
    </row>
    <row r="7754" spans="1:9">
      <c r="A7754" s="108" t="s">
        <v>118</v>
      </c>
      <c r="B7754" s="108" t="s">
        <v>435</v>
      </c>
      <c r="C7754" s="109">
        <v>44503</v>
      </c>
      <c r="D7754" s="108"/>
      <c r="E7754" s="108" t="s">
        <v>14605</v>
      </c>
      <c r="F7754" s="108" t="s">
        <v>433</v>
      </c>
      <c r="G7754" s="110"/>
      <c r="H7754" s="108" t="s">
        <v>25458</v>
      </c>
      <c r="I7754" s="108"/>
    </row>
    <row r="7755" spans="1:9" ht="27.6">
      <c r="A7755" s="108" t="s">
        <v>118</v>
      </c>
      <c r="B7755" s="108" t="s">
        <v>2404</v>
      </c>
      <c r="C7755" s="109">
        <v>44588</v>
      </c>
      <c r="D7755" s="108"/>
      <c r="E7755" s="108" t="s">
        <v>14605</v>
      </c>
      <c r="F7755" s="108" t="s">
        <v>2405</v>
      </c>
      <c r="G7755" s="110"/>
      <c r="H7755" s="108" t="s">
        <v>25458</v>
      </c>
      <c r="I7755" s="108"/>
    </row>
    <row r="7756" spans="1:9">
      <c r="A7756" s="108"/>
      <c r="B7756" s="108" t="s">
        <v>3810</v>
      </c>
      <c r="C7756" s="109">
        <v>43249</v>
      </c>
      <c r="D7756" s="108"/>
      <c r="E7756" s="108" t="s">
        <v>14605</v>
      </c>
      <c r="F7756" s="108" t="s">
        <v>3811</v>
      </c>
      <c r="G7756" s="110"/>
      <c r="H7756" s="108" t="s">
        <v>25458</v>
      </c>
      <c r="I7756" s="108"/>
    </row>
    <row r="7757" spans="1:9">
      <c r="A7757" s="108" t="s">
        <v>169</v>
      </c>
      <c r="B7757" s="108" t="s">
        <v>26293</v>
      </c>
      <c r="C7757" s="109">
        <v>44377</v>
      </c>
      <c r="D7757" s="108"/>
      <c r="E7757" s="108" t="s">
        <v>14605</v>
      </c>
      <c r="F7757" s="108" t="s">
        <v>26294</v>
      </c>
      <c r="G7757" s="110"/>
      <c r="H7757" s="108" t="s">
        <v>25458</v>
      </c>
      <c r="I7757" s="108"/>
    </row>
    <row r="7758" spans="1:9">
      <c r="A7758" s="108" t="s">
        <v>169</v>
      </c>
      <c r="B7758" s="108" t="s">
        <v>1645</v>
      </c>
      <c r="C7758" s="109">
        <v>43906</v>
      </c>
      <c r="D7758" s="108"/>
      <c r="E7758" s="108" t="s">
        <v>14605</v>
      </c>
      <c r="F7758" s="108" t="s">
        <v>15243</v>
      </c>
      <c r="G7758" s="110"/>
      <c r="H7758" s="108" t="s">
        <v>25458</v>
      </c>
      <c r="I7758" s="108"/>
    </row>
    <row r="7759" spans="1:9" ht="27.6">
      <c r="A7759" s="108" t="s">
        <v>169</v>
      </c>
      <c r="B7759" s="108" t="s">
        <v>4484</v>
      </c>
      <c r="C7759" s="109">
        <v>43997</v>
      </c>
      <c r="D7759" s="108"/>
      <c r="E7759" s="108" t="s">
        <v>14605</v>
      </c>
      <c r="F7759" s="108" t="s">
        <v>4476</v>
      </c>
      <c r="G7759" s="110"/>
      <c r="H7759" s="108" t="s">
        <v>25458</v>
      </c>
      <c r="I7759" s="108"/>
    </row>
    <row r="7760" spans="1:9">
      <c r="A7760" s="108" t="s">
        <v>169</v>
      </c>
      <c r="B7760" s="108" t="s">
        <v>2865</v>
      </c>
      <c r="C7760" s="109">
        <v>44070</v>
      </c>
      <c r="D7760" s="108"/>
      <c r="E7760" s="108" t="s">
        <v>14605</v>
      </c>
      <c r="F7760" s="108" t="s">
        <v>2853</v>
      </c>
      <c r="G7760" s="110"/>
      <c r="H7760" s="108" t="s">
        <v>25458</v>
      </c>
      <c r="I7760" s="108"/>
    </row>
    <row r="7761" spans="1:9" ht="27.6">
      <c r="A7761" s="108" t="s">
        <v>169</v>
      </c>
      <c r="B7761" s="108" t="s">
        <v>4261</v>
      </c>
      <c r="C7761" s="109">
        <v>44001</v>
      </c>
      <c r="D7761" s="108"/>
      <c r="E7761" s="108" t="s">
        <v>14605</v>
      </c>
      <c r="F7761" s="108" t="s">
        <v>4260</v>
      </c>
      <c r="G7761" s="110"/>
      <c r="H7761" s="108" t="s">
        <v>25458</v>
      </c>
      <c r="I7761" s="108"/>
    </row>
    <row r="7762" spans="1:9">
      <c r="A7762" s="108" t="s">
        <v>169</v>
      </c>
      <c r="B7762" s="108" t="s">
        <v>1364</v>
      </c>
      <c r="C7762" s="109">
        <v>44007</v>
      </c>
      <c r="D7762" s="108"/>
      <c r="E7762" s="108" t="s">
        <v>14605</v>
      </c>
      <c r="F7762" s="108" t="s">
        <v>1338</v>
      </c>
      <c r="G7762" s="110"/>
      <c r="H7762" s="108" t="s">
        <v>25458</v>
      </c>
      <c r="I7762" s="108"/>
    </row>
    <row r="7763" spans="1:9">
      <c r="A7763" s="108" t="s">
        <v>169</v>
      </c>
      <c r="B7763" s="108" t="s">
        <v>2033</v>
      </c>
      <c r="C7763" s="109">
        <v>44067</v>
      </c>
      <c r="D7763" s="108"/>
      <c r="E7763" s="108" t="s">
        <v>14605</v>
      </c>
      <c r="F7763" s="108" t="s">
        <v>2013</v>
      </c>
      <c r="G7763" s="110"/>
      <c r="H7763" s="108" t="s">
        <v>25458</v>
      </c>
      <c r="I7763" s="108"/>
    </row>
    <row r="7764" spans="1:9">
      <c r="A7764" s="108" t="s">
        <v>169</v>
      </c>
      <c r="B7764" s="108" t="s">
        <v>4981</v>
      </c>
      <c r="C7764" s="109">
        <v>44074</v>
      </c>
      <c r="D7764" s="108"/>
      <c r="E7764" s="108" t="s">
        <v>14605</v>
      </c>
      <c r="F7764" s="108" t="s">
        <v>4982</v>
      </c>
      <c r="G7764" s="110"/>
      <c r="H7764" s="108" t="s">
        <v>25458</v>
      </c>
      <c r="I7764" s="108"/>
    </row>
    <row r="7765" spans="1:9" ht="27.6">
      <c r="A7765" s="108" t="s">
        <v>169</v>
      </c>
      <c r="B7765" s="108" t="s">
        <v>4540</v>
      </c>
      <c r="C7765" s="109">
        <v>44070</v>
      </c>
      <c r="D7765" s="108"/>
      <c r="E7765" s="108" t="s">
        <v>14605</v>
      </c>
      <c r="F7765" s="108" t="s">
        <v>4538</v>
      </c>
      <c r="G7765" s="110"/>
      <c r="H7765" s="108" t="s">
        <v>25458</v>
      </c>
      <c r="I7765" s="108"/>
    </row>
    <row r="7766" spans="1:9">
      <c r="A7766" s="108" t="s">
        <v>169</v>
      </c>
      <c r="B7766" s="108" t="s">
        <v>26295</v>
      </c>
      <c r="C7766" s="109">
        <v>44095</v>
      </c>
      <c r="D7766" s="108"/>
      <c r="E7766" s="108" t="s">
        <v>14605</v>
      </c>
      <c r="F7766" s="108" t="s">
        <v>26294</v>
      </c>
      <c r="G7766" s="110"/>
      <c r="H7766" s="108" t="s">
        <v>25458</v>
      </c>
      <c r="I7766" s="108"/>
    </row>
    <row r="7767" spans="1:9" ht="27.6">
      <c r="A7767" s="108" t="s">
        <v>169</v>
      </c>
      <c r="B7767" s="108" t="s">
        <v>4592</v>
      </c>
      <c r="C7767" s="109">
        <v>44118</v>
      </c>
      <c r="D7767" s="108"/>
      <c r="E7767" s="108" t="s">
        <v>14605</v>
      </c>
      <c r="F7767" s="108" t="s">
        <v>4593</v>
      </c>
      <c r="G7767" s="110"/>
      <c r="H7767" s="108" t="s">
        <v>25458</v>
      </c>
      <c r="I7767" s="108"/>
    </row>
    <row r="7768" spans="1:9">
      <c r="A7768" s="108" t="s">
        <v>169</v>
      </c>
      <c r="B7768" s="108" t="s">
        <v>3605</v>
      </c>
      <c r="C7768" s="109">
        <v>44118</v>
      </c>
      <c r="D7768" s="108"/>
      <c r="E7768" s="108" t="s">
        <v>14605</v>
      </c>
      <c r="F7768" s="108" t="s">
        <v>3603</v>
      </c>
      <c r="G7768" s="110"/>
      <c r="H7768" s="108" t="s">
        <v>25458</v>
      </c>
      <c r="I7768" s="108"/>
    </row>
    <row r="7769" spans="1:9">
      <c r="A7769" s="108" t="s">
        <v>169</v>
      </c>
      <c r="B7769" s="108" t="s">
        <v>1248</v>
      </c>
      <c r="C7769" s="109">
        <v>44123</v>
      </c>
      <c r="D7769" s="108"/>
      <c r="E7769" s="108" t="s">
        <v>14605</v>
      </c>
      <c r="F7769" s="108" t="s">
        <v>1228</v>
      </c>
      <c r="G7769" s="110"/>
      <c r="H7769" s="108" t="s">
        <v>25458</v>
      </c>
      <c r="I7769" s="108"/>
    </row>
    <row r="7770" spans="1:9">
      <c r="A7770" s="108" t="s">
        <v>169</v>
      </c>
      <c r="B7770" s="108" t="s">
        <v>3984</v>
      </c>
      <c r="C7770" s="109">
        <v>44257</v>
      </c>
      <c r="D7770" s="108"/>
      <c r="E7770" s="108" t="s">
        <v>14605</v>
      </c>
      <c r="F7770" s="108" t="s">
        <v>3983</v>
      </c>
      <c r="G7770" s="110"/>
      <c r="H7770" s="108" t="s">
        <v>25458</v>
      </c>
      <c r="I7770" s="108"/>
    </row>
    <row r="7771" spans="1:9">
      <c r="A7771" s="108" t="s">
        <v>169</v>
      </c>
      <c r="B7771" s="108" t="s">
        <v>3982</v>
      </c>
      <c r="C7771" s="109">
        <v>44257</v>
      </c>
      <c r="D7771" s="108"/>
      <c r="E7771" s="108" t="s">
        <v>14605</v>
      </c>
      <c r="F7771" s="108" t="s">
        <v>3983</v>
      </c>
      <c r="G7771" s="110"/>
      <c r="H7771" s="108" t="s">
        <v>25458</v>
      </c>
      <c r="I7771" s="108"/>
    </row>
    <row r="7772" spans="1:9">
      <c r="A7772" s="108" t="s">
        <v>169</v>
      </c>
      <c r="B7772" s="108" t="s">
        <v>2499</v>
      </c>
      <c r="C7772" s="109">
        <v>44292</v>
      </c>
      <c r="D7772" s="108"/>
      <c r="E7772" s="108" t="s">
        <v>14605</v>
      </c>
      <c r="F7772" s="108" t="s">
        <v>2475</v>
      </c>
      <c r="G7772" s="110"/>
      <c r="H7772" s="108" t="s">
        <v>25458</v>
      </c>
      <c r="I7772" s="108"/>
    </row>
    <row r="7773" spans="1:9">
      <c r="A7773" s="108" t="s">
        <v>169</v>
      </c>
      <c r="B7773" s="108" t="s">
        <v>2215</v>
      </c>
      <c r="C7773" s="109">
        <v>44417</v>
      </c>
      <c r="D7773" s="108"/>
      <c r="E7773" s="108" t="s">
        <v>14605</v>
      </c>
      <c r="F7773" s="108" t="s">
        <v>2216</v>
      </c>
      <c r="G7773" s="110"/>
      <c r="H7773" s="108" t="s">
        <v>25458</v>
      </c>
      <c r="I7773" s="108"/>
    </row>
    <row r="7774" spans="1:9">
      <c r="A7774" s="108" t="s">
        <v>169</v>
      </c>
      <c r="B7774" s="108" t="s">
        <v>3048</v>
      </c>
      <c r="C7774" s="109">
        <v>44427</v>
      </c>
      <c r="D7774" s="108"/>
      <c r="E7774" s="108" t="s">
        <v>14605</v>
      </c>
      <c r="F7774" s="108" t="s">
        <v>3044</v>
      </c>
      <c r="G7774" s="110"/>
      <c r="H7774" s="108" t="s">
        <v>25458</v>
      </c>
      <c r="I7774" s="108"/>
    </row>
    <row r="7775" spans="1:9">
      <c r="A7775" s="108" t="s">
        <v>169</v>
      </c>
      <c r="B7775" s="108" t="s">
        <v>2253</v>
      </c>
      <c r="C7775" s="109">
        <v>44433</v>
      </c>
      <c r="D7775" s="108"/>
      <c r="E7775" s="108" t="s">
        <v>14605</v>
      </c>
      <c r="F7775" s="108" t="s">
        <v>2251</v>
      </c>
      <c r="G7775" s="110"/>
      <c r="H7775" s="108" t="s">
        <v>25458</v>
      </c>
      <c r="I7775" s="108"/>
    </row>
    <row r="7776" spans="1:9">
      <c r="A7776" s="108" t="s">
        <v>169</v>
      </c>
      <c r="B7776" s="108" t="s">
        <v>4627</v>
      </c>
      <c r="C7776" s="109">
        <v>44448</v>
      </c>
      <c r="D7776" s="108"/>
      <c r="E7776" s="108" t="s">
        <v>14605</v>
      </c>
      <c r="F7776" s="108" t="s">
        <v>4628</v>
      </c>
      <c r="G7776" s="110"/>
      <c r="H7776" s="108" t="s">
        <v>25458</v>
      </c>
      <c r="I7776" s="108"/>
    </row>
    <row r="7777" spans="1:9">
      <c r="A7777" s="108" t="s">
        <v>169</v>
      </c>
      <c r="B7777" s="108" t="s">
        <v>3828</v>
      </c>
      <c r="C7777" s="109">
        <v>44469</v>
      </c>
      <c r="D7777" s="108"/>
      <c r="E7777" s="108" t="s">
        <v>14605</v>
      </c>
      <c r="F7777" s="108" t="s">
        <v>3829</v>
      </c>
      <c r="G7777" s="110"/>
      <c r="H7777" s="108" t="s">
        <v>25458</v>
      </c>
      <c r="I7777" s="108"/>
    </row>
    <row r="7778" spans="1:9">
      <c r="A7778" s="108" t="s">
        <v>169</v>
      </c>
      <c r="B7778" s="108" t="s">
        <v>4420</v>
      </c>
      <c r="C7778" s="109">
        <v>44448</v>
      </c>
      <c r="D7778" s="108"/>
      <c r="E7778" s="108" t="s">
        <v>14605</v>
      </c>
      <c r="F7778" s="108" t="s">
        <v>4416</v>
      </c>
      <c r="G7778" s="110"/>
      <c r="H7778" s="108" t="s">
        <v>25458</v>
      </c>
      <c r="I7778" s="108"/>
    </row>
    <row r="7779" spans="1:9">
      <c r="A7779" s="108" t="s">
        <v>169</v>
      </c>
      <c r="B7779" s="108" t="s">
        <v>1153</v>
      </c>
      <c r="C7779" s="109">
        <v>44469</v>
      </c>
      <c r="D7779" s="108"/>
      <c r="E7779" s="108" t="s">
        <v>14605</v>
      </c>
      <c r="F7779" s="108" t="s">
        <v>1154</v>
      </c>
      <c r="G7779" s="110"/>
      <c r="H7779" s="108" t="s">
        <v>25458</v>
      </c>
      <c r="I7779" s="108"/>
    </row>
    <row r="7780" spans="1:9">
      <c r="A7780" s="108" t="s">
        <v>169</v>
      </c>
      <c r="B7780" s="108" t="s">
        <v>423</v>
      </c>
      <c r="C7780" s="109">
        <v>44469</v>
      </c>
      <c r="D7780" s="108"/>
      <c r="E7780" s="108" t="s">
        <v>14605</v>
      </c>
      <c r="F7780" s="108" t="s">
        <v>424</v>
      </c>
      <c r="G7780" s="110"/>
      <c r="H7780" s="108" t="s">
        <v>25458</v>
      </c>
      <c r="I7780" s="108"/>
    </row>
    <row r="7781" spans="1:9">
      <c r="A7781" s="108" t="s">
        <v>169</v>
      </c>
      <c r="B7781" s="108" t="s">
        <v>2252</v>
      </c>
      <c r="C7781" s="109">
        <v>44495</v>
      </c>
      <c r="D7781" s="108"/>
      <c r="E7781" s="108" t="s">
        <v>14605</v>
      </c>
      <c r="F7781" s="108" t="s">
        <v>2251</v>
      </c>
      <c r="G7781" s="110"/>
      <c r="H7781" s="108" t="s">
        <v>25458</v>
      </c>
      <c r="I7781" s="108"/>
    </row>
    <row r="7782" spans="1:9" ht="27.6">
      <c r="A7782" s="108" t="s">
        <v>250</v>
      </c>
      <c r="B7782" s="108" t="s">
        <v>1949</v>
      </c>
      <c r="C7782" s="109">
        <v>43642</v>
      </c>
      <c r="D7782" s="108"/>
      <c r="E7782" s="108" t="s">
        <v>14605</v>
      </c>
      <c r="F7782" s="108" t="s">
        <v>1950</v>
      </c>
      <c r="G7782" s="110"/>
      <c r="H7782" s="108" t="s">
        <v>25458</v>
      </c>
      <c r="I7782" s="108"/>
    </row>
    <row r="7783" spans="1:9" ht="27.6">
      <c r="A7783" s="108" t="s">
        <v>109</v>
      </c>
      <c r="B7783" s="108" t="s">
        <v>3746</v>
      </c>
      <c r="C7783" s="109">
        <v>44018</v>
      </c>
      <c r="D7783" s="108"/>
      <c r="E7783" s="108" t="s">
        <v>14605</v>
      </c>
      <c r="F7783" s="108" t="s">
        <v>3747</v>
      </c>
      <c r="G7783" s="110"/>
      <c r="H7783" s="108" t="s">
        <v>25458</v>
      </c>
      <c r="I7783" s="108"/>
    </row>
    <row r="7784" spans="1:9" ht="27.6">
      <c r="A7784" s="108" t="s">
        <v>981</v>
      </c>
      <c r="B7784" s="108" t="s">
        <v>4505</v>
      </c>
      <c r="C7784" s="109">
        <v>46202</v>
      </c>
      <c r="D7784" s="108"/>
      <c r="E7784" s="108" t="s">
        <v>14605</v>
      </c>
      <c r="F7784" s="108" t="s">
        <v>2956</v>
      </c>
      <c r="G7784" s="110"/>
      <c r="H7784" s="108" t="s">
        <v>25458</v>
      </c>
      <c r="I7784" s="108"/>
    </row>
    <row r="7785" spans="1:9" ht="27.6">
      <c r="A7785" s="108" t="s">
        <v>109</v>
      </c>
      <c r="B7785" s="108" t="s">
        <v>26296</v>
      </c>
      <c r="C7785" s="109">
        <v>45687</v>
      </c>
      <c r="D7785" s="108"/>
      <c r="E7785" s="108" t="s">
        <v>14605</v>
      </c>
      <c r="F7785" s="108" t="s">
        <v>24964</v>
      </c>
      <c r="G7785" s="110"/>
      <c r="H7785" s="108" t="s">
        <v>25458</v>
      </c>
      <c r="I7785" s="108"/>
    </row>
    <row r="7786" spans="1:9" ht="27.6">
      <c r="A7786" s="108" t="s">
        <v>109</v>
      </c>
      <c r="B7786" s="108" t="s">
        <v>1812</v>
      </c>
      <c r="C7786" s="109">
        <v>45787</v>
      </c>
      <c r="D7786" s="108"/>
      <c r="E7786" s="108" t="s">
        <v>14605</v>
      </c>
      <c r="F7786" s="108" t="s">
        <v>26161</v>
      </c>
      <c r="G7786" s="110"/>
      <c r="H7786" s="108" t="s">
        <v>25458</v>
      </c>
      <c r="I7786" s="108"/>
    </row>
    <row r="7787" spans="1:9">
      <c r="A7787" s="108" t="s">
        <v>26297</v>
      </c>
      <c r="B7787" s="108" t="s">
        <v>26298</v>
      </c>
      <c r="C7787" s="109">
        <v>43297</v>
      </c>
      <c r="D7787" s="108"/>
      <c r="E7787" s="108" t="s">
        <v>14605</v>
      </c>
      <c r="F7787" s="108" t="s">
        <v>26299</v>
      </c>
      <c r="G7787" s="110"/>
      <c r="H7787" s="108" t="s">
        <v>25458</v>
      </c>
      <c r="I7787" s="108"/>
    </row>
    <row r="7788" spans="1:9">
      <c r="A7788" s="108" t="s">
        <v>26297</v>
      </c>
      <c r="B7788" s="108" t="s">
        <v>26300</v>
      </c>
      <c r="C7788" s="109">
        <v>43168</v>
      </c>
      <c r="D7788" s="108"/>
      <c r="E7788" s="108" t="s">
        <v>14605</v>
      </c>
      <c r="F7788" s="108" t="s">
        <v>26301</v>
      </c>
      <c r="G7788" s="110"/>
      <c r="H7788" s="108" t="s">
        <v>25458</v>
      </c>
      <c r="I7788" s="108"/>
    </row>
    <row r="7789" spans="1:9" ht="27.6">
      <c r="A7789" s="108" t="s">
        <v>388</v>
      </c>
      <c r="B7789" s="108" t="s">
        <v>2576</v>
      </c>
      <c r="C7789" s="109">
        <v>44846</v>
      </c>
      <c r="D7789" s="108"/>
      <c r="E7789" s="108" t="s">
        <v>14605</v>
      </c>
      <c r="F7789" s="108" t="s">
        <v>2552</v>
      </c>
      <c r="G7789" s="110"/>
      <c r="H7789" s="108" t="s">
        <v>25458</v>
      </c>
      <c r="I7789" s="108"/>
    </row>
    <row r="7790" spans="1:9" ht="27.6">
      <c r="A7790" s="108" t="s">
        <v>96</v>
      </c>
      <c r="B7790" s="108" t="s">
        <v>26302</v>
      </c>
      <c r="C7790" s="109">
        <v>43108</v>
      </c>
      <c r="D7790" s="108"/>
      <c r="E7790" s="108" t="s">
        <v>14605</v>
      </c>
      <c r="F7790" s="108" t="s">
        <v>14764</v>
      </c>
      <c r="G7790" s="110"/>
      <c r="H7790" s="108" t="s">
        <v>25458</v>
      </c>
      <c r="I7790" s="108"/>
    </row>
    <row r="7791" spans="1:9" ht="27.6">
      <c r="A7791" s="108" t="s">
        <v>96</v>
      </c>
      <c r="B7791" s="108" t="s">
        <v>26303</v>
      </c>
      <c r="C7791" s="109">
        <v>43411</v>
      </c>
      <c r="D7791" s="108"/>
      <c r="E7791" s="108" t="s">
        <v>15275</v>
      </c>
      <c r="F7791" s="108" t="s">
        <v>14764</v>
      </c>
      <c r="G7791" s="110"/>
      <c r="H7791" s="108" t="s">
        <v>25458</v>
      </c>
      <c r="I7791" s="108"/>
    </row>
    <row r="7792" spans="1:9" ht="27.6">
      <c r="A7792" s="108" t="s">
        <v>96</v>
      </c>
      <c r="B7792" s="108" t="s">
        <v>104</v>
      </c>
      <c r="C7792" s="109">
        <v>44266</v>
      </c>
      <c r="D7792" s="108"/>
      <c r="E7792" s="108" t="s">
        <v>14605</v>
      </c>
      <c r="F7792" s="108" t="s">
        <v>26304</v>
      </c>
      <c r="G7792" s="110"/>
      <c r="H7792" s="108" t="s">
        <v>25458</v>
      </c>
      <c r="I7792" s="108"/>
    </row>
    <row r="7793" spans="1:9">
      <c r="A7793" s="108" t="s">
        <v>15990</v>
      </c>
      <c r="B7793" s="108" t="s">
        <v>26305</v>
      </c>
      <c r="C7793" s="109">
        <v>44558</v>
      </c>
      <c r="D7793" s="108"/>
      <c r="E7793" s="108" t="s">
        <v>14605</v>
      </c>
      <c r="F7793" s="108" t="s">
        <v>14764</v>
      </c>
      <c r="G7793" s="110"/>
      <c r="H7793" s="108" t="s">
        <v>25458</v>
      </c>
      <c r="I7793" s="108"/>
    </row>
    <row r="7794" spans="1:9" ht="27.6">
      <c r="A7794" s="108" t="s">
        <v>96</v>
      </c>
      <c r="B7794" s="108" t="s">
        <v>26306</v>
      </c>
      <c r="C7794" s="109">
        <v>43926</v>
      </c>
      <c r="D7794" s="108"/>
      <c r="E7794" s="108" t="s">
        <v>14605</v>
      </c>
      <c r="F7794" s="108" t="s">
        <v>14764</v>
      </c>
      <c r="G7794" s="110"/>
      <c r="H7794" s="108" t="s">
        <v>25458</v>
      </c>
      <c r="I7794" s="108"/>
    </row>
    <row r="7795" spans="1:9" ht="27.6">
      <c r="A7795" s="108" t="s">
        <v>112</v>
      </c>
      <c r="B7795" s="108" t="s">
        <v>26307</v>
      </c>
      <c r="C7795" s="109">
        <v>43926</v>
      </c>
      <c r="D7795" s="108"/>
      <c r="E7795" s="108" t="s">
        <v>15275</v>
      </c>
      <c r="F7795" s="108" t="s">
        <v>23092</v>
      </c>
      <c r="G7795" s="110"/>
      <c r="H7795" s="108" t="s">
        <v>25458</v>
      </c>
      <c r="I7795" s="108"/>
    </row>
    <row r="7796" spans="1:9">
      <c r="A7796" s="108" t="s">
        <v>16151</v>
      </c>
      <c r="B7796" s="108" t="s">
        <v>3971</v>
      </c>
      <c r="C7796" s="109">
        <v>45637</v>
      </c>
      <c r="D7796" s="108"/>
      <c r="E7796" s="108" t="s">
        <v>14605</v>
      </c>
      <c r="F7796" s="108" t="s">
        <v>3967</v>
      </c>
      <c r="G7796" s="110"/>
      <c r="H7796" s="108" t="s">
        <v>25458</v>
      </c>
      <c r="I7796" s="108"/>
    </row>
    <row r="7797" spans="1:9" ht="27.6">
      <c r="A7797" s="108" t="s">
        <v>16149</v>
      </c>
      <c r="B7797" s="108" t="s">
        <v>26308</v>
      </c>
      <c r="C7797" s="109">
        <v>44468</v>
      </c>
      <c r="D7797" s="108"/>
      <c r="E7797" s="108" t="s">
        <v>14605</v>
      </c>
      <c r="F7797" s="108" t="s">
        <v>14764</v>
      </c>
      <c r="G7797" s="110"/>
      <c r="H7797" s="108" t="s">
        <v>25458</v>
      </c>
      <c r="I7797" s="108"/>
    </row>
    <row r="7798" spans="1:9" ht="27.6">
      <c r="A7798" s="108" t="s">
        <v>1102</v>
      </c>
      <c r="B7798" s="108" t="s">
        <v>3375</v>
      </c>
      <c r="C7798" s="109">
        <v>46031</v>
      </c>
      <c r="D7798" s="108"/>
      <c r="E7798" s="108" t="s">
        <v>14605</v>
      </c>
      <c r="F7798" s="108" t="s">
        <v>15159</v>
      </c>
      <c r="G7798" s="110"/>
      <c r="H7798" s="108" t="s">
        <v>25458</v>
      </c>
      <c r="I7798" s="108"/>
    </row>
    <row r="7799" spans="1:9">
      <c r="A7799" s="108" t="s">
        <v>16151</v>
      </c>
      <c r="B7799" s="108" t="s">
        <v>4052</v>
      </c>
      <c r="C7799" s="109">
        <v>44588</v>
      </c>
      <c r="D7799" s="108"/>
      <c r="E7799" s="108" t="s">
        <v>14605</v>
      </c>
      <c r="F7799" s="108" t="s">
        <v>4053</v>
      </c>
      <c r="G7799" s="110"/>
      <c r="H7799" s="108" t="s">
        <v>25458</v>
      </c>
      <c r="I7799" s="108"/>
    </row>
    <row r="7800" spans="1:9" ht="27.6">
      <c r="A7800" s="108" t="s">
        <v>16149</v>
      </c>
      <c r="B7800" s="108" t="s">
        <v>26309</v>
      </c>
      <c r="C7800" s="109">
        <v>45107</v>
      </c>
      <c r="D7800" s="108"/>
      <c r="E7800" s="108" t="s">
        <v>14605</v>
      </c>
      <c r="F7800" s="108" t="s">
        <v>5267</v>
      </c>
      <c r="G7800" s="110"/>
      <c r="H7800" s="108" t="s">
        <v>25458</v>
      </c>
      <c r="I7800" s="108"/>
    </row>
    <row r="7801" spans="1:9" ht="27.6">
      <c r="A7801" s="108" t="s">
        <v>16149</v>
      </c>
      <c r="B7801" s="108" t="s">
        <v>26310</v>
      </c>
      <c r="C7801" s="109">
        <v>46241</v>
      </c>
      <c r="D7801" s="108"/>
      <c r="E7801" s="108" t="s">
        <v>14605</v>
      </c>
      <c r="F7801" s="108" t="s">
        <v>15439</v>
      </c>
      <c r="G7801" s="110"/>
      <c r="H7801" s="108" t="s">
        <v>25458</v>
      </c>
      <c r="I7801" s="108"/>
    </row>
    <row r="7802" spans="1:9" ht="27.6">
      <c r="A7802" s="108" t="s">
        <v>16151</v>
      </c>
      <c r="B7802" s="108" t="s">
        <v>26311</v>
      </c>
      <c r="C7802" s="109">
        <v>45608</v>
      </c>
      <c r="D7802" s="108"/>
      <c r="E7802" s="108" t="s">
        <v>14605</v>
      </c>
      <c r="F7802" s="108" t="s">
        <v>1615</v>
      </c>
      <c r="G7802" s="110"/>
      <c r="H7802" s="108" t="s">
        <v>25458</v>
      </c>
      <c r="I7802" s="108"/>
    </row>
    <row r="7803" spans="1:9">
      <c r="A7803" s="108" t="s">
        <v>16151</v>
      </c>
      <c r="B7803" s="108" t="s">
        <v>110</v>
      </c>
      <c r="C7803" s="109">
        <v>46210</v>
      </c>
      <c r="D7803" s="108"/>
      <c r="E7803" s="108" t="s">
        <v>14605</v>
      </c>
      <c r="F7803" s="108" t="s">
        <v>15444</v>
      </c>
      <c r="G7803" s="110"/>
      <c r="H7803" s="108" t="s">
        <v>25458</v>
      </c>
      <c r="I7803" s="108"/>
    </row>
    <row r="7804" spans="1:9">
      <c r="A7804" s="108" t="s">
        <v>16151</v>
      </c>
      <c r="B7804" s="108" t="s">
        <v>26312</v>
      </c>
      <c r="C7804" s="109">
        <v>45532</v>
      </c>
      <c r="D7804" s="108"/>
      <c r="E7804" s="108" t="s">
        <v>14605</v>
      </c>
      <c r="F7804" s="108" t="s">
        <v>14764</v>
      </c>
      <c r="G7804" s="110"/>
      <c r="H7804" s="108" t="s">
        <v>25458</v>
      </c>
      <c r="I7804" s="108"/>
    </row>
    <row r="7805" spans="1:9" ht="27.6">
      <c r="A7805" s="108" t="s">
        <v>103</v>
      </c>
      <c r="B7805" s="108" t="s">
        <v>26313</v>
      </c>
      <c r="C7805" s="109">
        <v>45323</v>
      </c>
      <c r="D7805" s="108"/>
      <c r="E7805" s="108" t="s">
        <v>14605</v>
      </c>
      <c r="F7805" s="108" t="s">
        <v>14764</v>
      </c>
      <c r="G7805" s="110"/>
      <c r="H7805" s="108" t="s">
        <v>25458</v>
      </c>
      <c r="I7805" s="108"/>
    </row>
    <row r="7806" spans="1:9">
      <c r="A7806" s="108" t="s">
        <v>16197</v>
      </c>
      <c r="B7806" s="108" t="s">
        <v>26314</v>
      </c>
      <c r="C7806" s="109">
        <v>42511</v>
      </c>
      <c r="D7806" s="108"/>
      <c r="E7806" s="108" t="s">
        <v>14605</v>
      </c>
      <c r="F7806" s="108" t="s">
        <v>204</v>
      </c>
      <c r="G7806" s="110"/>
      <c r="H7806" s="108" t="s">
        <v>25458</v>
      </c>
      <c r="I7806" s="108"/>
    </row>
    <row r="7807" spans="1:9">
      <c r="A7807" s="108" t="s">
        <v>16200</v>
      </c>
      <c r="B7807" s="108" t="s">
        <v>26315</v>
      </c>
      <c r="C7807" s="109">
        <v>41505</v>
      </c>
      <c r="D7807" s="108"/>
      <c r="E7807" s="108" t="s">
        <v>14605</v>
      </c>
      <c r="F7807" s="108" t="s">
        <v>26316</v>
      </c>
      <c r="G7807" s="110"/>
      <c r="H7807" s="108" t="s">
        <v>25458</v>
      </c>
      <c r="I7807" s="108"/>
    </row>
    <row r="7808" spans="1:9">
      <c r="A7808" s="108" t="s">
        <v>16200</v>
      </c>
      <c r="B7808" s="108" t="s">
        <v>26317</v>
      </c>
      <c r="C7808" s="109">
        <v>42025</v>
      </c>
      <c r="D7808" s="108"/>
      <c r="E7808" s="108" t="s">
        <v>14605</v>
      </c>
      <c r="F7808" s="108" t="s">
        <v>26318</v>
      </c>
      <c r="G7808" s="110"/>
      <c r="H7808" s="108" t="s">
        <v>25458</v>
      </c>
      <c r="I7808" s="108"/>
    </row>
    <row r="7809" spans="1:9">
      <c r="A7809" s="108" t="s">
        <v>16151</v>
      </c>
      <c r="B7809" s="108" t="s">
        <v>3441</v>
      </c>
      <c r="C7809" s="109">
        <v>43941</v>
      </c>
      <c r="D7809" s="108"/>
      <c r="E7809" s="108" t="s">
        <v>14605</v>
      </c>
      <c r="F7809" s="108" t="s">
        <v>3442</v>
      </c>
      <c r="G7809" s="110"/>
      <c r="H7809" s="108" t="s">
        <v>25458</v>
      </c>
      <c r="I7809" s="108"/>
    </row>
    <row r="7810" spans="1:9" ht="27.6">
      <c r="A7810" s="108" t="s">
        <v>388</v>
      </c>
      <c r="B7810" s="108" t="s">
        <v>4561</v>
      </c>
      <c r="C7810" s="109">
        <v>44005</v>
      </c>
      <c r="D7810" s="108"/>
      <c r="E7810" s="108" t="s">
        <v>14605</v>
      </c>
      <c r="F7810" s="108" t="s">
        <v>4559</v>
      </c>
      <c r="G7810" s="110"/>
      <c r="H7810" s="108" t="s">
        <v>25458</v>
      </c>
      <c r="I7810" s="108"/>
    </row>
    <row r="7811" spans="1:9" ht="27.6">
      <c r="A7811" s="108" t="s">
        <v>388</v>
      </c>
      <c r="B7811" s="108" t="s">
        <v>1208</v>
      </c>
      <c r="C7811" s="109">
        <v>44435</v>
      </c>
      <c r="D7811" s="108"/>
      <c r="E7811" s="108" t="s">
        <v>14605</v>
      </c>
      <c r="F7811" s="108" t="s">
        <v>1209</v>
      </c>
      <c r="G7811" s="110"/>
      <c r="H7811" s="108" t="s">
        <v>25458</v>
      </c>
      <c r="I7811" s="108"/>
    </row>
    <row r="7812" spans="1:9">
      <c r="A7812" s="108" t="s">
        <v>14662</v>
      </c>
      <c r="B7812" s="108" t="s">
        <v>26319</v>
      </c>
      <c r="C7812" s="109">
        <v>42846</v>
      </c>
      <c r="D7812" s="108" t="s">
        <v>26320</v>
      </c>
      <c r="E7812" s="108" t="s">
        <v>14605</v>
      </c>
      <c r="F7812" s="108" t="s">
        <v>26321</v>
      </c>
      <c r="G7812" s="109">
        <v>44165</v>
      </c>
      <c r="H7812" s="108" t="s">
        <v>25458</v>
      </c>
      <c r="I7812" s="108" t="s">
        <v>26322</v>
      </c>
    </row>
    <row r="7813" spans="1:9" ht="27.6">
      <c r="A7813" s="108" t="s">
        <v>14634</v>
      </c>
      <c r="B7813" s="108" t="s">
        <v>26323</v>
      </c>
      <c r="C7813" s="109">
        <v>41960</v>
      </c>
      <c r="D7813" s="108" t="s">
        <v>26324</v>
      </c>
      <c r="E7813" s="108" t="s">
        <v>14605</v>
      </c>
      <c r="F7813" s="108" t="s">
        <v>26325</v>
      </c>
      <c r="G7813" s="109">
        <v>44041</v>
      </c>
      <c r="H7813" s="108" t="s">
        <v>25458</v>
      </c>
      <c r="I7813" s="108" t="s">
        <v>26326</v>
      </c>
    </row>
    <row r="7814" spans="1:9">
      <c r="A7814" s="108" t="s">
        <v>14662</v>
      </c>
      <c r="B7814" s="108" t="s">
        <v>26327</v>
      </c>
      <c r="C7814" s="109">
        <v>42914</v>
      </c>
      <c r="D7814" s="108" t="s">
        <v>26328</v>
      </c>
      <c r="E7814" s="108" t="s">
        <v>14605</v>
      </c>
      <c r="F7814" s="108" t="s">
        <v>755</v>
      </c>
      <c r="G7814" s="109">
        <v>44071</v>
      </c>
      <c r="H7814" s="108" t="s">
        <v>25458</v>
      </c>
      <c r="I7814" s="108" t="s">
        <v>26326</v>
      </c>
    </row>
    <row r="7815" spans="1:9">
      <c r="A7815" s="108" t="s">
        <v>16165</v>
      </c>
      <c r="B7815" s="108" t="s">
        <v>26329</v>
      </c>
      <c r="C7815" s="109">
        <v>42914</v>
      </c>
      <c r="D7815" s="108" t="s">
        <v>26330</v>
      </c>
      <c r="E7815" s="108" t="s">
        <v>14605</v>
      </c>
      <c r="F7815" s="108" t="s">
        <v>755</v>
      </c>
      <c r="G7815" s="109">
        <v>44193</v>
      </c>
      <c r="H7815" s="108" t="s">
        <v>25458</v>
      </c>
      <c r="I7815" s="108" t="s">
        <v>26326</v>
      </c>
    </row>
    <row r="7816" spans="1:9">
      <c r="A7816" s="108" t="s">
        <v>14634</v>
      </c>
      <c r="B7816" s="108" t="s">
        <v>26331</v>
      </c>
      <c r="C7816" s="109">
        <v>40658</v>
      </c>
      <c r="D7816" s="108" t="s">
        <v>26332</v>
      </c>
      <c r="E7816" s="108" t="s">
        <v>14605</v>
      </c>
      <c r="F7816" s="108" t="s">
        <v>1470</v>
      </c>
      <c r="G7816" s="109">
        <v>44106</v>
      </c>
      <c r="H7816" s="108" t="s">
        <v>25458</v>
      </c>
      <c r="I7816" s="108" t="s">
        <v>102</v>
      </c>
    </row>
    <row r="7817" spans="1:9" ht="27.6">
      <c r="A7817" s="108" t="s">
        <v>14950</v>
      </c>
      <c r="B7817" s="108" t="s">
        <v>26333</v>
      </c>
      <c r="C7817" s="109">
        <v>44131</v>
      </c>
      <c r="D7817" s="108" t="s">
        <v>26334</v>
      </c>
      <c r="E7817" s="108" t="s">
        <v>14605</v>
      </c>
      <c r="F7817" s="108" t="s">
        <v>1723</v>
      </c>
      <c r="G7817" s="109">
        <v>45587</v>
      </c>
      <c r="H7817" s="108" t="s">
        <v>25458</v>
      </c>
      <c r="I7817" s="108" t="s">
        <v>102</v>
      </c>
    </row>
    <row r="7818" spans="1:9">
      <c r="A7818" s="108" t="s">
        <v>15756</v>
      </c>
      <c r="B7818" s="108" t="s">
        <v>26335</v>
      </c>
      <c r="C7818" s="109">
        <v>42682</v>
      </c>
      <c r="D7818" s="108" t="s">
        <v>26336</v>
      </c>
      <c r="E7818" s="108" t="s">
        <v>14605</v>
      </c>
      <c r="F7818" s="108" t="s">
        <v>25463</v>
      </c>
      <c r="G7818" s="109">
        <v>44196</v>
      </c>
      <c r="H7818" s="108" t="s">
        <v>25458</v>
      </c>
      <c r="I7818" s="108" t="s">
        <v>102</v>
      </c>
    </row>
    <row r="7819" spans="1:9" ht="27.6">
      <c r="A7819" s="108" t="s">
        <v>250</v>
      </c>
      <c r="B7819" s="108" t="s">
        <v>2923</v>
      </c>
      <c r="C7819" s="109">
        <v>43623</v>
      </c>
      <c r="D7819" s="108" t="s">
        <v>2925</v>
      </c>
      <c r="E7819" s="108" t="s">
        <v>14605</v>
      </c>
      <c r="F7819" s="108" t="s">
        <v>2924</v>
      </c>
      <c r="G7819" s="109">
        <v>46251</v>
      </c>
      <c r="H7819" s="108" t="s">
        <v>25458</v>
      </c>
      <c r="I7819" s="108" t="s">
        <v>102</v>
      </c>
    </row>
    <row r="7820" spans="1:9" ht="27.6">
      <c r="A7820" s="108" t="s">
        <v>109</v>
      </c>
      <c r="B7820" s="108" t="s">
        <v>2754</v>
      </c>
      <c r="C7820" s="109">
        <v>44075</v>
      </c>
      <c r="D7820" s="108" t="s">
        <v>2755</v>
      </c>
      <c r="E7820" s="108" t="s">
        <v>14605</v>
      </c>
      <c r="F7820" s="108" t="s">
        <v>26074</v>
      </c>
      <c r="G7820" s="109">
        <v>46243</v>
      </c>
      <c r="H7820" s="108" t="s">
        <v>25458</v>
      </c>
      <c r="I7820" s="108" t="s">
        <v>102</v>
      </c>
    </row>
    <row r="7821" spans="1:9" ht="27.6">
      <c r="A7821" s="108" t="s">
        <v>109</v>
      </c>
      <c r="B7821" s="108" t="s">
        <v>4506</v>
      </c>
      <c r="C7821" s="109">
        <v>44103</v>
      </c>
      <c r="D7821" s="108" t="s">
        <v>4507</v>
      </c>
      <c r="E7821" s="108" t="s">
        <v>14605</v>
      </c>
      <c r="F7821" s="108" t="s">
        <v>4501</v>
      </c>
      <c r="G7821" s="109">
        <v>45891</v>
      </c>
      <c r="H7821" s="108" t="s">
        <v>25458</v>
      </c>
      <c r="I7821" s="108" t="s">
        <v>102</v>
      </c>
    </row>
    <row r="7822" spans="1:9" ht="27.6">
      <c r="A7822" s="108" t="s">
        <v>250</v>
      </c>
      <c r="B7822" s="108" t="s">
        <v>2891</v>
      </c>
      <c r="C7822" s="109">
        <v>44155</v>
      </c>
      <c r="D7822" s="108" t="s">
        <v>2893</v>
      </c>
      <c r="E7822" s="108" t="s">
        <v>14605</v>
      </c>
      <c r="F7822" s="108" t="s">
        <v>2892</v>
      </c>
      <c r="G7822" s="109">
        <v>46236</v>
      </c>
      <c r="H7822" s="108" t="s">
        <v>25458</v>
      </c>
      <c r="I7822" s="108" t="s">
        <v>102</v>
      </c>
    </row>
    <row r="7823" spans="1:9" ht="27.6">
      <c r="A7823" s="108" t="s">
        <v>109</v>
      </c>
      <c r="B7823" s="108" t="s">
        <v>5306</v>
      </c>
      <c r="C7823" s="109">
        <v>44481</v>
      </c>
      <c r="D7823" s="108" t="s">
        <v>5308</v>
      </c>
      <c r="E7823" s="108" t="s">
        <v>14605</v>
      </c>
      <c r="F7823" s="108" t="s">
        <v>5307</v>
      </c>
      <c r="G7823" s="109">
        <v>45929</v>
      </c>
      <c r="H7823" s="108" t="s">
        <v>25458</v>
      </c>
      <c r="I7823" s="108" t="s">
        <v>102</v>
      </c>
    </row>
    <row r="7824" spans="1:9" ht="27.6">
      <c r="A7824" s="108" t="s">
        <v>1072</v>
      </c>
      <c r="B7824" s="108" t="s">
        <v>2497</v>
      </c>
      <c r="C7824" s="109">
        <v>44476</v>
      </c>
      <c r="D7824" s="108" t="s">
        <v>2498</v>
      </c>
      <c r="E7824" s="108" t="s">
        <v>14605</v>
      </c>
      <c r="F7824" s="108" t="s">
        <v>2475</v>
      </c>
      <c r="G7824" s="109">
        <v>46249</v>
      </c>
      <c r="H7824" s="108" t="s">
        <v>25458</v>
      </c>
      <c r="I7824" s="108" t="s">
        <v>102</v>
      </c>
    </row>
    <row r="7825" spans="1:9" ht="27.6">
      <c r="A7825" s="108" t="s">
        <v>109</v>
      </c>
      <c r="B7825" s="108" t="s">
        <v>303</v>
      </c>
      <c r="C7825" s="109">
        <v>44608</v>
      </c>
      <c r="D7825" s="108" t="s">
        <v>304</v>
      </c>
      <c r="E7825" s="108" t="s">
        <v>14605</v>
      </c>
      <c r="F7825" s="108" t="s">
        <v>25674</v>
      </c>
      <c r="G7825" s="109">
        <v>45305</v>
      </c>
      <c r="H7825" s="108" t="s">
        <v>25458</v>
      </c>
      <c r="I7825" s="108" t="s">
        <v>102</v>
      </c>
    </row>
    <row r="7826" spans="1:9" ht="27.6">
      <c r="A7826" s="108" t="s">
        <v>109</v>
      </c>
      <c r="B7826" s="108" t="s">
        <v>849</v>
      </c>
      <c r="C7826" s="109">
        <v>45327</v>
      </c>
      <c r="D7826" s="108" t="s">
        <v>850</v>
      </c>
      <c r="E7826" s="108" t="s">
        <v>14605</v>
      </c>
      <c r="F7826" s="108" t="s">
        <v>845</v>
      </c>
      <c r="G7826" s="109">
        <v>46230</v>
      </c>
      <c r="H7826" s="108" t="s">
        <v>25458</v>
      </c>
      <c r="I7826" s="108" t="s">
        <v>102</v>
      </c>
    </row>
    <row r="7827" spans="1:9" ht="27.6">
      <c r="A7827" s="108" t="s">
        <v>109</v>
      </c>
      <c r="B7827" s="108" t="s">
        <v>813</v>
      </c>
      <c r="C7827" s="109">
        <v>45055</v>
      </c>
      <c r="D7827" s="108" t="s">
        <v>814</v>
      </c>
      <c r="E7827" s="108" t="s">
        <v>14605</v>
      </c>
      <c r="F7827" s="108" t="s">
        <v>25867</v>
      </c>
      <c r="G7827" s="109">
        <v>45684</v>
      </c>
      <c r="H7827" s="108" t="s">
        <v>25458</v>
      </c>
      <c r="I7827" s="108" t="s">
        <v>102</v>
      </c>
    </row>
    <row r="7828" spans="1:9" ht="27.6">
      <c r="A7828" s="108" t="s">
        <v>109</v>
      </c>
      <c r="B7828" s="108" t="s">
        <v>847</v>
      </c>
      <c r="C7828" s="109">
        <v>45170</v>
      </c>
      <c r="D7828" s="108" t="s">
        <v>848</v>
      </c>
      <c r="E7828" s="108" t="s">
        <v>14605</v>
      </c>
      <c r="F7828" s="108" t="s">
        <v>845</v>
      </c>
      <c r="G7828" s="109">
        <v>46230</v>
      </c>
      <c r="H7828" s="108" t="s">
        <v>25458</v>
      </c>
      <c r="I7828" s="108" t="s">
        <v>102</v>
      </c>
    </row>
    <row r="7829" spans="1:9" ht="27.6">
      <c r="A7829" s="108" t="s">
        <v>109</v>
      </c>
      <c r="B7829" s="108" t="s">
        <v>2741</v>
      </c>
      <c r="C7829" s="109">
        <v>45437</v>
      </c>
      <c r="D7829" s="108" t="s">
        <v>2743</v>
      </c>
      <c r="E7829" s="108" t="s">
        <v>14605</v>
      </c>
      <c r="F7829" s="108" t="s">
        <v>2742</v>
      </c>
      <c r="G7829" s="109">
        <v>46171</v>
      </c>
      <c r="H7829" s="108" t="s">
        <v>25458</v>
      </c>
      <c r="I7829" s="108" t="s">
        <v>102</v>
      </c>
    </row>
    <row r="7830" spans="1:9" ht="27.6">
      <c r="A7830" s="108" t="s">
        <v>96</v>
      </c>
      <c r="B7830" s="108" t="s">
        <v>1843</v>
      </c>
      <c r="C7830" s="109">
        <v>43956</v>
      </c>
      <c r="D7830" s="108" t="s">
        <v>1845</v>
      </c>
      <c r="E7830" s="108" t="s">
        <v>14605</v>
      </c>
      <c r="F7830" s="108" t="s">
        <v>1844</v>
      </c>
      <c r="G7830" s="109">
        <v>46192</v>
      </c>
      <c r="H7830" s="108" t="s">
        <v>25458</v>
      </c>
      <c r="I7830" s="108" t="s">
        <v>102</v>
      </c>
    </row>
    <row r="7831" spans="1:9" ht="27.6">
      <c r="A7831" s="108" t="s">
        <v>96</v>
      </c>
      <c r="B7831" s="108" t="s">
        <v>5105</v>
      </c>
      <c r="C7831" s="109">
        <v>44725</v>
      </c>
      <c r="D7831" s="108" t="s">
        <v>5107</v>
      </c>
      <c r="E7831" s="108" t="s">
        <v>14605</v>
      </c>
      <c r="F7831" s="108" t="s">
        <v>5106</v>
      </c>
      <c r="G7831" s="109">
        <v>46112</v>
      </c>
      <c r="H7831" s="108" t="s">
        <v>25558</v>
      </c>
      <c r="I7831" s="108" t="s">
        <v>102</v>
      </c>
    </row>
    <row r="7832" spans="1:9" ht="27.6">
      <c r="A7832" s="108" t="s">
        <v>96</v>
      </c>
      <c r="B7832" s="108" t="s">
        <v>429</v>
      </c>
      <c r="C7832" s="109">
        <v>44722</v>
      </c>
      <c r="D7832" s="108" t="s">
        <v>431</v>
      </c>
      <c r="E7832" s="108" t="s">
        <v>14605</v>
      </c>
      <c r="F7832" s="108" t="s">
        <v>430</v>
      </c>
      <c r="G7832" s="109">
        <v>46197</v>
      </c>
      <c r="H7832" s="108" t="s">
        <v>25458</v>
      </c>
      <c r="I7832" s="108" t="s">
        <v>102</v>
      </c>
    </row>
    <row r="7833" spans="1:9" ht="27.6">
      <c r="A7833" s="108" t="s">
        <v>96</v>
      </c>
      <c r="B7833" s="108" t="s">
        <v>4029</v>
      </c>
      <c r="C7833" s="109">
        <v>44869</v>
      </c>
      <c r="D7833" s="108" t="s">
        <v>4030</v>
      </c>
      <c r="E7833" s="108" t="s">
        <v>14605</v>
      </c>
      <c r="F7833" s="108" t="s">
        <v>15535</v>
      </c>
      <c r="G7833" s="109">
        <v>45911</v>
      </c>
      <c r="H7833" s="108" t="s">
        <v>25458</v>
      </c>
      <c r="I7833" s="108" t="s">
        <v>102</v>
      </c>
    </row>
    <row r="7834" spans="1:9" ht="27.6">
      <c r="A7834" s="108" t="s">
        <v>96</v>
      </c>
      <c r="B7834" s="108" t="s">
        <v>4063</v>
      </c>
      <c r="C7834" s="109">
        <v>45140</v>
      </c>
      <c r="D7834" s="108" t="s">
        <v>4065</v>
      </c>
      <c r="E7834" s="108" t="s">
        <v>14605</v>
      </c>
      <c r="F7834" s="108" t="s">
        <v>4064</v>
      </c>
      <c r="G7834" s="109">
        <v>46230</v>
      </c>
      <c r="H7834" s="108" t="s">
        <v>25458</v>
      </c>
      <c r="I7834" s="108" t="s">
        <v>102</v>
      </c>
    </row>
    <row r="7835" spans="1:9">
      <c r="A7835" s="108" t="s">
        <v>16151</v>
      </c>
      <c r="B7835" s="108" t="s">
        <v>1533</v>
      </c>
      <c r="C7835" s="109">
        <v>43595</v>
      </c>
      <c r="D7835" s="108" t="s">
        <v>1534</v>
      </c>
      <c r="E7835" s="108" t="s">
        <v>14605</v>
      </c>
      <c r="F7835" s="108" t="s">
        <v>1519</v>
      </c>
      <c r="G7835" s="109">
        <v>46022</v>
      </c>
      <c r="H7835" s="108" t="s">
        <v>25458</v>
      </c>
      <c r="I7835" s="108" t="s">
        <v>102</v>
      </c>
    </row>
    <row r="7836" spans="1:9">
      <c r="A7836" s="108" t="s">
        <v>16151</v>
      </c>
      <c r="B7836" s="108" t="s">
        <v>523</v>
      </c>
      <c r="C7836" s="109">
        <v>44126</v>
      </c>
      <c r="D7836" s="108" t="s">
        <v>525</v>
      </c>
      <c r="E7836" s="108" t="s">
        <v>14605</v>
      </c>
      <c r="F7836" s="108" t="s">
        <v>524</v>
      </c>
      <c r="G7836" s="109">
        <v>45951</v>
      </c>
      <c r="H7836" s="108" t="s">
        <v>25458</v>
      </c>
      <c r="I7836" s="108" t="s">
        <v>102</v>
      </c>
    </row>
    <row r="7837" spans="1:9" ht="27.6">
      <c r="A7837" s="108" t="s">
        <v>16151</v>
      </c>
      <c r="B7837" s="108" t="s">
        <v>1623</v>
      </c>
      <c r="C7837" s="109">
        <v>44267</v>
      </c>
      <c r="D7837" s="108" t="s">
        <v>1624</v>
      </c>
      <c r="E7837" s="108" t="s">
        <v>14605</v>
      </c>
      <c r="F7837" s="108" t="s">
        <v>1615</v>
      </c>
      <c r="G7837" s="109">
        <v>46137</v>
      </c>
      <c r="H7837" s="108" t="s">
        <v>25458</v>
      </c>
      <c r="I7837" s="108" t="s">
        <v>102</v>
      </c>
    </row>
    <row r="7838" spans="1:9" ht="27.6">
      <c r="A7838" s="108" t="s">
        <v>16151</v>
      </c>
      <c r="B7838" s="108" t="s">
        <v>1621</v>
      </c>
      <c r="C7838" s="109">
        <v>44263</v>
      </c>
      <c r="D7838" s="108" t="s">
        <v>1622</v>
      </c>
      <c r="E7838" s="108" t="s">
        <v>14605</v>
      </c>
      <c r="F7838" s="108" t="s">
        <v>1615</v>
      </c>
      <c r="G7838" s="109">
        <v>46137</v>
      </c>
      <c r="H7838" s="108" t="s">
        <v>25458</v>
      </c>
      <c r="I7838" s="108" t="s">
        <v>102</v>
      </c>
    </row>
    <row r="7839" spans="1:9" ht="27.6">
      <c r="A7839" s="108" t="s">
        <v>16151</v>
      </c>
      <c r="B7839" s="108" t="s">
        <v>4070</v>
      </c>
      <c r="C7839" s="109">
        <v>44320</v>
      </c>
      <c r="D7839" s="108" t="s">
        <v>4072</v>
      </c>
      <c r="E7839" s="108" t="s">
        <v>14605</v>
      </c>
      <c r="F7839" s="108" t="s">
        <v>4071</v>
      </c>
      <c r="G7839" s="109">
        <v>46170</v>
      </c>
      <c r="H7839" s="108" t="s">
        <v>25458</v>
      </c>
      <c r="I7839" s="108" t="s">
        <v>102</v>
      </c>
    </row>
    <row r="7840" spans="1:9">
      <c r="A7840" s="108" t="s">
        <v>16151</v>
      </c>
      <c r="B7840" s="108" t="s">
        <v>3772</v>
      </c>
      <c r="C7840" s="109">
        <v>44406</v>
      </c>
      <c r="D7840" s="108" t="s">
        <v>3774</v>
      </c>
      <c r="E7840" s="108" t="s">
        <v>14605</v>
      </c>
      <c r="F7840" s="108" t="s">
        <v>3773</v>
      </c>
      <c r="G7840" s="109">
        <v>46212</v>
      </c>
      <c r="H7840" s="108" t="s">
        <v>25458</v>
      </c>
      <c r="I7840" s="108" t="s">
        <v>102</v>
      </c>
    </row>
    <row r="7841" spans="1:9" ht="27.6">
      <c r="A7841" s="108" t="s">
        <v>16149</v>
      </c>
      <c r="B7841" s="108" t="s">
        <v>4244</v>
      </c>
      <c r="C7841" s="109">
        <v>44963</v>
      </c>
      <c r="D7841" s="108" t="s">
        <v>4245</v>
      </c>
      <c r="E7841" s="108" t="s">
        <v>14605</v>
      </c>
      <c r="F7841" s="108" t="s">
        <v>4242</v>
      </c>
      <c r="G7841" s="109">
        <v>46107</v>
      </c>
      <c r="H7841" s="108" t="s">
        <v>25458</v>
      </c>
      <c r="I7841" s="108" t="s">
        <v>102</v>
      </c>
    </row>
    <row r="7842" spans="1:9" ht="27.6">
      <c r="A7842" s="108" t="s">
        <v>16151</v>
      </c>
      <c r="B7842" s="108" t="s">
        <v>2100</v>
      </c>
      <c r="C7842" s="109">
        <v>44592</v>
      </c>
      <c r="D7842" s="108" t="s">
        <v>2101</v>
      </c>
      <c r="E7842" s="108" t="s">
        <v>14605</v>
      </c>
      <c r="F7842" s="108" t="s">
        <v>15193</v>
      </c>
      <c r="G7842" s="109">
        <v>46022</v>
      </c>
      <c r="H7842" s="108" t="s">
        <v>25458</v>
      </c>
      <c r="I7842" s="108" t="s">
        <v>102</v>
      </c>
    </row>
    <row r="7843" spans="1:9">
      <c r="A7843" s="108" t="s">
        <v>16151</v>
      </c>
      <c r="B7843" s="108" t="s">
        <v>5233</v>
      </c>
      <c r="C7843" s="109">
        <v>44620</v>
      </c>
      <c r="D7843" s="108" t="s">
        <v>5234</v>
      </c>
      <c r="E7843" s="108" t="s">
        <v>14605</v>
      </c>
      <c r="F7843" s="108" t="s">
        <v>5227</v>
      </c>
      <c r="G7843" s="109">
        <v>46005</v>
      </c>
      <c r="H7843" s="108" t="s">
        <v>25458</v>
      </c>
      <c r="I7843" s="108" t="s">
        <v>102</v>
      </c>
    </row>
    <row r="7844" spans="1:9">
      <c r="A7844" s="108" t="s">
        <v>16151</v>
      </c>
      <c r="B7844" s="108" t="s">
        <v>3166</v>
      </c>
      <c r="C7844" s="109">
        <v>44828</v>
      </c>
      <c r="D7844" s="108" t="s">
        <v>3168</v>
      </c>
      <c r="E7844" s="108" t="s">
        <v>14605</v>
      </c>
      <c r="F7844" s="108" t="s">
        <v>3167</v>
      </c>
      <c r="G7844" s="109">
        <v>45865</v>
      </c>
      <c r="H7844" s="108" t="s">
        <v>25458</v>
      </c>
      <c r="I7844" s="108" t="s">
        <v>102</v>
      </c>
    </row>
    <row r="7845" spans="1:9">
      <c r="A7845" s="108" t="s">
        <v>16151</v>
      </c>
      <c r="B7845" s="108" t="s">
        <v>1301</v>
      </c>
      <c r="C7845" s="109">
        <v>44833</v>
      </c>
      <c r="D7845" s="108" t="s">
        <v>1303</v>
      </c>
      <c r="E7845" s="108" t="s">
        <v>14605</v>
      </c>
      <c r="F7845" s="108" t="s">
        <v>1302</v>
      </c>
      <c r="G7845" s="109">
        <v>45931</v>
      </c>
      <c r="H7845" s="108" t="s">
        <v>25458</v>
      </c>
      <c r="I7845" s="108" t="s">
        <v>102</v>
      </c>
    </row>
    <row r="7846" spans="1:9">
      <c r="A7846" s="108" t="s">
        <v>16151</v>
      </c>
      <c r="B7846" s="108" t="s">
        <v>5231</v>
      </c>
      <c r="C7846" s="109">
        <v>44895</v>
      </c>
      <c r="D7846" s="108" t="s">
        <v>5232</v>
      </c>
      <c r="E7846" s="108" t="s">
        <v>14605</v>
      </c>
      <c r="F7846" s="108" t="s">
        <v>5227</v>
      </c>
      <c r="G7846" s="109">
        <v>46005</v>
      </c>
      <c r="H7846" s="108" t="s">
        <v>25458</v>
      </c>
      <c r="I7846" s="108" t="s">
        <v>102</v>
      </c>
    </row>
    <row r="7847" spans="1:9">
      <c r="A7847" s="108" t="s">
        <v>16151</v>
      </c>
      <c r="B7847" s="108" t="s">
        <v>486</v>
      </c>
      <c r="C7847" s="109">
        <v>44939</v>
      </c>
      <c r="D7847" s="108" t="s">
        <v>487</v>
      </c>
      <c r="E7847" s="108" t="s">
        <v>14605</v>
      </c>
      <c r="F7847" s="108" t="s">
        <v>484</v>
      </c>
      <c r="G7847" s="109">
        <v>46035</v>
      </c>
      <c r="H7847" s="108" t="s">
        <v>25458</v>
      </c>
      <c r="I7847" s="108" t="s">
        <v>102</v>
      </c>
    </row>
    <row r="7848" spans="1:9">
      <c r="A7848" s="108" t="s">
        <v>16151</v>
      </c>
      <c r="B7848" s="108" t="s">
        <v>909</v>
      </c>
      <c r="C7848" s="109">
        <v>44888</v>
      </c>
      <c r="D7848" s="108" t="s">
        <v>911</v>
      </c>
      <c r="E7848" s="108" t="s">
        <v>14605</v>
      </c>
      <c r="F7848" s="108" t="s">
        <v>910</v>
      </c>
      <c r="G7848" s="109">
        <v>46005</v>
      </c>
      <c r="H7848" s="108" t="s">
        <v>25458</v>
      </c>
      <c r="I7848" s="108" t="s">
        <v>102</v>
      </c>
    </row>
    <row r="7849" spans="1:9">
      <c r="A7849" s="108" t="s">
        <v>16151</v>
      </c>
      <c r="B7849" s="108" t="s">
        <v>1529</v>
      </c>
      <c r="C7849" s="109">
        <v>45048</v>
      </c>
      <c r="D7849" s="108" t="s">
        <v>1530</v>
      </c>
      <c r="E7849" s="108" t="s">
        <v>14605</v>
      </c>
      <c r="F7849" s="108" t="s">
        <v>1519</v>
      </c>
      <c r="G7849" s="109">
        <v>46022</v>
      </c>
      <c r="H7849" s="108" t="s">
        <v>25458</v>
      </c>
      <c r="I7849" s="108" t="s">
        <v>102</v>
      </c>
    </row>
    <row r="7850" spans="1:9">
      <c r="A7850" s="108" t="s">
        <v>16151</v>
      </c>
      <c r="B7850" s="108" t="s">
        <v>1525</v>
      </c>
      <c r="C7850" s="109">
        <v>45210</v>
      </c>
      <c r="D7850" s="108" t="s">
        <v>1526</v>
      </c>
      <c r="E7850" s="108" t="s">
        <v>14605</v>
      </c>
      <c r="F7850" s="108" t="s">
        <v>1519</v>
      </c>
      <c r="G7850" s="109">
        <v>46022</v>
      </c>
      <c r="H7850" s="108" t="s">
        <v>25458</v>
      </c>
      <c r="I7850" s="108" t="s">
        <v>102</v>
      </c>
    </row>
    <row r="7851" spans="1:9" ht="27.6">
      <c r="A7851" s="108" t="s">
        <v>103</v>
      </c>
      <c r="B7851" s="108" t="s">
        <v>99</v>
      </c>
      <c r="C7851" s="109">
        <v>44408</v>
      </c>
      <c r="D7851" s="108" t="s">
        <v>101</v>
      </c>
      <c r="E7851" s="108" t="s">
        <v>14605</v>
      </c>
      <c r="F7851" s="108" t="s">
        <v>100</v>
      </c>
      <c r="G7851" s="109">
        <v>45696</v>
      </c>
      <c r="H7851" s="108" t="s">
        <v>25458</v>
      </c>
      <c r="I7851" s="108" t="s">
        <v>102</v>
      </c>
    </row>
    <row r="7852" spans="1:9" ht="27.6">
      <c r="A7852" s="108" t="s">
        <v>1102</v>
      </c>
      <c r="B7852" s="108" t="s">
        <v>3988</v>
      </c>
      <c r="C7852" s="109">
        <v>44389</v>
      </c>
      <c r="D7852" s="108" t="s">
        <v>3989</v>
      </c>
      <c r="E7852" s="108" t="s">
        <v>14605</v>
      </c>
      <c r="F7852" s="108" t="s">
        <v>3986</v>
      </c>
      <c r="G7852" s="109">
        <v>46232</v>
      </c>
      <c r="H7852" s="108" t="s">
        <v>25458</v>
      </c>
      <c r="I7852" s="108" t="s">
        <v>102</v>
      </c>
    </row>
    <row r="7853" spans="1:9" ht="27.6">
      <c r="A7853" s="108" t="s">
        <v>388</v>
      </c>
      <c r="B7853" s="108" t="s">
        <v>3259</v>
      </c>
      <c r="C7853" s="109">
        <v>44596</v>
      </c>
      <c r="D7853" s="108" t="s">
        <v>3260</v>
      </c>
      <c r="E7853" s="108" t="s">
        <v>14605</v>
      </c>
      <c r="F7853" s="108" t="s">
        <v>26337</v>
      </c>
      <c r="G7853" s="109">
        <v>45712</v>
      </c>
      <c r="H7853" s="108" t="s">
        <v>25458</v>
      </c>
      <c r="I7853" s="108" t="s">
        <v>102</v>
      </c>
    </row>
    <row r="7854" spans="1:9" ht="27.6">
      <c r="A7854" s="108" t="s">
        <v>16151</v>
      </c>
      <c r="B7854" s="108" t="s">
        <v>4019</v>
      </c>
      <c r="C7854" s="109">
        <v>43875</v>
      </c>
      <c r="D7854" s="108" t="s">
        <v>4020</v>
      </c>
      <c r="E7854" s="108" t="s">
        <v>14605</v>
      </c>
      <c r="F7854" s="108" t="s">
        <v>26338</v>
      </c>
      <c r="G7854" s="109">
        <v>45825</v>
      </c>
      <c r="H7854" s="108" t="s">
        <v>25458</v>
      </c>
      <c r="I7854" s="108" t="s">
        <v>102</v>
      </c>
    </row>
    <row r="7855" spans="1:9" ht="27.6">
      <c r="A7855" s="108" t="s">
        <v>1102</v>
      </c>
      <c r="B7855" s="108" t="s">
        <v>3985</v>
      </c>
      <c r="C7855" s="109">
        <v>43967</v>
      </c>
      <c r="D7855" s="108" t="s">
        <v>3987</v>
      </c>
      <c r="E7855" s="108" t="s">
        <v>14605</v>
      </c>
      <c r="F7855" s="108" t="s">
        <v>3986</v>
      </c>
      <c r="G7855" s="109">
        <v>46232</v>
      </c>
      <c r="H7855" s="108" t="s">
        <v>25458</v>
      </c>
      <c r="I7855" s="108" t="s">
        <v>102</v>
      </c>
    </row>
    <row r="7856" spans="1:9" ht="27.6">
      <c r="A7856" s="108" t="s">
        <v>1102</v>
      </c>
      <c r="B7856" s="108" t="s">
        <v>3859</v>
      </c>
      <c r="C7856" s="109">
        <v>44048</v>
      </c>
      <c r="D7856" s="108" t="s">
        <v>3860</v>
      </c>
      <c r="E7856" s="108" t="s">
        <v>14605</v>
      </c>
      <c r="F7856" s="108" t="s">
        <v>3856</v>
      </c>
      <c r="G7856" s="109">
        <v>46238</v>
      </c>
      <c r="H7856" s="108" t="s">
        <v>25458</v>
      </c>
      <c r="I7856" s="108" t="s">
        <v>102</v>
      </c>
    </row>
    <row r="7857" spans="1:9" ht="27.6">
      <c r="A7857" s="108" t="s">
        <v>388</v>
      </c>
      <c r="B7857" s="108" t="s">
        <v>4558</v>
      </c>
      <c r="C7857" s="109">
        <v>44873</v>
      </c>
      <c r="D7857" s="108" t="s">
        <v>4560</v>
      </c>
      <c r="E7857" s="108" t="s">
        <v>14605</v>
      </c>
      <c r="F7857" s="108" t="s">
        <v>4559</v>
      </c>
      <c r="G7857" s="109">
        <v>45984</v>
      </c>
      <c r="H7857" s="108" t="s">
        <v>25458</v>
      </c>
      <c r="I7857" s="108" t="s">
        <v>102</v>
      </c>
    </row>
    <row r="7858" spans="1:9" ht="27.6">
      <c r="A7858" s="108" t="s">
        <v>14662</v>
      </c>
      <c r="B7858" s="108" t="s">
        <v>26339</v>
      </c>
      <c r="C7858" s="109">
        <v>42691</v>
      </c>
      <c r="D7858" s="108" t="s">
        <v>26340</v>
      </c>
      <c r="E7858" s="108" t="s">
        <v>14605</v>
      </c>
      <c r="F7858" s="108" t="s">
        <v>3734</v>
      </c>
      <c r="G7858" s="109">
        <v>44183</v>
      </c>
      <c r="H7858" s="108" t="s">
        <v>25458</v>
      </c>
      <c r="I7858" s="108" t="s">
        <v>95</v>
      </c>
    </row>
    <row r="7859" spans="1:9">
      <c r="A7859" s="108" t="s">
        <v>571</v>
      </c>
      <c r="B7859" s="108" t="s">
        <v>26341</v>
      </c>
      <c r="C7859" s="109">
        <v>45175</v>
      </c>
      <c r="D7859" s="108" t="s">
        <v>26342</v>
      </c>
      <c r="E7859" s="108" t="s">
        <v>14605</v>
      </c>
      <c r="F7859" s="108" t="s">
        <v>14764</v>
      </c>
      <c r="G7859" s="109">
        <v>47385</v>
      </c>
      <c r="H7859" s="108" t="s">
        <v>25458</v>
      </c>
      <c r="I7859" s="108" t="s">
        <v>95</v>
      </c>
    </row>
    <row r="7860" spans="1:9">
      <c r="A7860" s="108" t="s">
        <v>571</v>
      </c>
      <c r="B7860" s="108" t="s">
        <v>26343</v>
      </c>
      <c r="C7860" s="109">
        <v>45171</v>
      </c>
      <c r="D7860" s="108" t="s">
        <v>26344</v>
      </c>
      <c r="E7860" s="108" t="s">
        <v>14605</v>
      </c>
      <c r="F7860" s="108" t="s">
        <v>14764</v>
      </c>
      <c r="G7860" s="109">
        <v>47390</v>
      </c>
      <c r="H7860" s="108" t="s">
        <v>25558</v>
      </c>
      <c r="I7860" s="108" t="s">
        <v>95</v>
      </c>
    </row>
    <row r="7861" spans="1:9" ht="27.6">
      <c r="A7861" s="108" t="s">
        <v>14950</v>
      </c>
      <c r="B7861" s="108" t="s">
        <v>26345</v>
      </c>
      <c r="C7861" s="109">
        <v>43482</v>
      </c>
      <c r="D7861" s="108" t="s">
        <v>26346</v>
      </c>
      <c r="E7861" s="108" t="s">
        <v>14605</v>
      </c>
      <c r="F7861" s="108" t="s">
        <v>4074</v>
      </c>
      <c r="G7861" s="109">
        <v>44586</v>
      </c>
      <c r="H7861" s="108" t="s">
        <v>25458</v>
      </c>
      <c r="I7861" s="108" t="s">
        <v>95</v>
      </c>
    </row>
    <row r="7862" spans="1:9" ht="27.6">
      <c r="A7862" s="108" t="s">
        <v>14950</v>
      </c>
      <c r="B7862" s="108" t="s">
        <v>26347</v>
      </c>
      <c r="C7862" s="109">
        <v>43073</v>
      </c>
      <c r="D7862" s="108" t="s">
        <v>26348</v>
      </c>
      <c r="E7862" s="108" t="s">
        <v>14605</v>
      </c>
      <c r="F7862" s="108" t="s">
        <v>4920</v>
      </c>
      <c r="G7862" s="109">
        <v>44619</v>
      </c>
      <c r="H7862" s="108" t="s">
        <v>25458</v>
      </c>
      <c r="I7862" s="108" t="s">
        <v>95</v>
      </c>
    </row>
    <row r="7863" spans="1:9" ht="27.6">
      <c r="A7863" s="108" t="s">
        <v>14950</v>
      </c>
      <c r="B7863" s="108" t="s">
        <v>26349</v>
      </c>
      <c r="C7863" s="109">
        <v>45202</v>
      </c>
      <c r="D7863" s="108" t="s">
        <v>26350</v>
      </c>
      <c r="E7863" s="108" t="s">
        <v>14605</v>
      </c>
      <c r="F7863" s="108" t="s">
        <v>2354</v>
      </c>
      <c r="G7863" s="109">
        <v>45570</v>
      </c>
      <c r="H7863" s="108" t="s">
        <v>25458</v>
      </c>
      <c r="I7863" s="108" t="s">
        <v>95</v>
      </c>
    </row>
    <row r="7864" spans="1:9" ht="27.6">
      <c r="A7864" s="108" t="s">
        <v>14634</v>
      </c>
      <c r="B7864" s="108" t="s">
        <v>26351</v>
      </c>
      <c r="C7864" s="109">
        <v>43550</v>
      </c>
      <c r="D7864" s="108" t="s">
        <v>26352</v>
      </c>
      <c r="E7864" s="108" t="s">
        <v>14605</v>
      </c>
      <c r="F7864" s="108" t="s">
        <v>3734</v>
      </c>
      <c r="G7864" s="109">
        <v>44730</v>
      </c>
      <c r="H7864" s="108" t="s">
        <v>25458</v>
      </c>
      <c r="I7864" s="108" t="s">
        <v>95</v>
      </c>
    </row>
    <row r="7865" spans="1:9" ht="27.6">
      <c r="A7865" s="108" t="s">
        <v>14950</v>
      </c>
      <c r="B7865" s="108" t="s">
        <v>26353</v>
      </c>
      <c r="C7865" s="109">
        <v>43558</v>
      </c>
      <c r="D7865" s="108" t="s">
        <v>26354</v>
      </c>
      <c r="E7865" s="108" t="s">
        <v>14605</v>
      </c>
      <c r="F7865" s="108" t="s">
        <v>4818</v>
      </c>
      <c r="G7865" s="109">
        <v>44804</v>
      </c>
      <c r="H7865" s="108" t="s">
        <v>25458</v>
      </c>
      <c r="I7865" s="108" t="s">
        <v>95</v>
      </c>
    </row>
    <row r="7866" spans="1:9" ht="27.6">
      <c r="A7866" s="108" t="s">
        <v>14950</v>
      </c>
      <c r="B7866" s="108" t="s">
        <v>26355</v>
      </c>
      <c r="C7866" s="109">
        <v>43543</v>
      </c>
      <c r="D7866" s="108" t="s">
        <v>26356</v>
      </c>
      <c r="E7866" s="108" t="s">
        <v>14605</v>
      </c>
      <c r="F7866" s="108" t="s">
        <v>3687</v>
      </c>
      <c r="G7866" s="109">
        <v>44695</v>
      </c>
      <c r="H7866" s="108" t="s">
        <v>25458</v>
      </c>
      <c r="I7866" s="108" t="s">
        <v>95</v>
      </c>
    </row>
    <row r="7867" spans="1:9" ht="27.6">
      <c r="A7867" s="108" t="s">
        <v>14950</v>
      </c>
      <c r="B7867" s="108" t="s">
        <v>26357</v>
      </c>
      <c r="C7867" s="109">
        <v>43536</v>
      </c>
      <c r="D7867" s="108" t="s">
        <v>26358</v>
      </c>
      <c r="E7867" s="108" t="s">
        <v>14605</v>
      </c>
      <c r="F7867" s="108" t="s">
        <v>5227</v>
      </c>
      <c r="G7867" s="109">
        <v>45423</v>
      </c>
      <c r="H7867" s="108" t="s">
        <v>25458</v>
      </c>
      <c r="I7867" s="108" t="s">
        <v>95</v>
      </c>
    </row>
    <row r="7868" spans="1:9" ht="27.6">
      <c r="A7868" s="108" t="s">
        <v>14950</v>
      </c>
      <c r="B7868" s="108" t="s">
        <v>26359</v>
      </c>
      <c r="C7868" s="109">
        <v>43599</v>
      </c>
      <c r="D7868" s="108" t="s">
        <v>26360</v>
      </c>
      <c r="E7868" s="108" t="s">
        <v>14605</v>
      </c>
      <c r="F7868" s="108" t="s">
        <v>877</v>
      </c>
      <c r="G7868" s="109">
        <v>44959</v>
      </c>
      <c r="H7868" s="108" t="s">
        <v>25458</v>
      </c>
      <c r="I7868" s="108" t="s">
        <v>95</v>
      </c>
    </row>
    <row r="7869" spans="1:9" ht="27.6">
      <c r="A7869" s="108" t="s">
        <v>14950</v>
      </c>
      <c r="B7869" s="108" t="s">
        <v>26361</v>
      </c>
      <c r="C7869" s="109">
        <v>43556</v>
      </c>
      <c r="D7869" s="108" t="s">
        <v>4356</v>
      </c>
      <c r="E7869" s="108" t="s">
        <v>14605</v>
      </c>
      <c r="F7869" s="108" t="s">
        <v>4343</v>
      </c>
      <c r="G7869" s="109">
        <v>46113</v>
      </c>
      <c r="H7869" s="108" t="s">
        <v>25458</v>
      </c>
      <c r="I7869" s="108" t="s">
        <v>95</v>
      </c>
    </row>
    <row r="7870" spans="1:9" ht="27.6">
      <c r="A7870" s="108" t="s">
        <v>14950</v>
      </c>
      <c r="B7870" s="108" t="s">
        <v>26362</v>
      </c>
      <c r="C7870" s="109">
        <v>44148</v>
      </c>
      <c r="D7870" s="108" t="s">
        <v>26363</v>
      </c>
      <c r="E7870" s="108" t="s">
        <v>14605</v>
      </c>
      <c r="F7870" s="108" t="s">
        <v>3427</v>
      </c>
      <c r="G7870" s="109">
        <v>44513</v>
      </c>
      <c r="H7870" s="108" t="s">
        <v>25458</v>
      </c>
      <c r="I7870" s="108" t="s">
        <v>95</v>
      </c>
    </row>
    <row r="7871" spans="1:9" ht="27.6">
      <c r="A7871" s="108" t="s">
        <v>14950</v>
      </c>
      <c r="B7871" s="108" t="s">
        <v>26364</v>
      </c>
      <c r="C7871" s="109">
        <v>43494</v>
      </c>
      <c r="D7871" s="108" t="s">
        <v>26365</v>
      </c>
      <c r="E7871" s="108" t="s">
        <v>14605</v>
      </c>
      <c r="F7871" s="108" t="s">
        <v>1770</v>
      </c>
      <c r="G7871" s="109">
        <v>44742</v>
      </c>
      <c r="H7871" s="108" t="s">
        <v>25458</v>
      </c>
      <c r="I7871" s="108" t="s">
        <v>95</v>
      </c>
    </row>
    <row r="7872" spans="1:9" ht="27.6">
      <c r="A7872" s="108" t="s">
        <v>14950</v>
      </c>
      <c r="B7872" s="108" t="s">
        <v>26366</v>
      </c>
      <c r="C7872" s="109">
        <v>43573</v>
      </c>
      <c r="D7872" s="108" t="s">
        <v>26367</v>
      </c>
      <c r="E7872" s="108" t="s">
        <v>14605</v>
      </c>
      <c r="F7872" s="108" t="s">
        <v>631</v>
      </c>
      <c r="G7872" s="109">
        <v>44735</v>
      </c>
      <c r="H7872" s="108" t="s">
        <v>25458</v>
      </c>
      <c r="I7872" s="108" t="s">
        <v>95</v>
      </c>
    </row>
    <row r="7873" spans="1:9" ht="27.6">
      <c r="A7873" s="108" t="s">
        <v>14950</v>
      </c>
      <c r="B7873" s="108" t="s">
        <v>26368</v>
      </c>
      <c r="C7873" s="109">
        <v>46003</v>
      </c>
      <c r="D7873" s="108" t="s">
        <v>26369</v>
      </c>
      <c r="E7873" s="108" t="s">
        <v>14605</v>
      </c>
      <c r="F7873" s="108" t="s">
        <v>212</v>
      </c>
      <c r="G7873" s="109">
        <v>46080</v>
      </c>
      <c r="H7873" s="108" t="s">
        <v>25458</v>
      </c>
      <c r="I7873" s="108" t="s">
        <v>95</v>
      </c>
    </row>
    <row r="7874" spans="1:9" ht="27.6">
      <c r="A7874" s="108" t="s">
        <v>14950</v>
      </c>
      <c r="B7874" s="108" t="s">
        <v>26370</v>
      </c>
      <c r="C7874" s="109">
        <v>43587</v>
      </c>
      <c r="D7874" s="108" t="s">
        <v>26371</v>
      </c>
      <c r="E7874" s="108" t="s">
        <v>14605</v>
      </c>
      <c r="F7874" s="108" t="s">
        <v>2098</v>
      </c>
      <c r="G7874" s="109">
        <v>44659</v>
      </c>
      <c r="H7874" s="108" t="s">
        <v>25458</v>
      </c>
      <c r="I7874" s="108" t="s">
        <v>95</v>
      </c>
    </row>
    <row r="7875" spans="1:9" ht="27.6">
      <c r="A7875" s="108" t="s">
        <v>14950</v>
      </c>
      <c r="B7875" s="108" t="s">
        <v>26372</v>
      </c>
      <c r="C7875" s="109">
        <v>43598</v>
      </c>
      <c r="D7875" s="108" t="s">
        <v>26373</v>
      </c>
      <c r="E7875" s="108" t="s">
        <v>14605</v>
      </c>
      <c r="F7875" s="108" t="s">
        <v>129</v>
      </c>
      <c r="G7875" s="109">
        <v>44492</v>
      </c>
      <c r="H7875" s="108" t="s">
        <v>25458</v>
      </c>
      <c r="I7875" s="108" t="s">
        <v>95</v>
      </c>
    </row>
    <row r="7876" spans="1:9" ht="27.6">
      <c r="A7876" s="108" t="s">
        <v>14950</v>
      </c>
      <c r="B7876" s="108" t="s">
        <v>26374</v>
      </c>
      <c r="C7876" s="109">
        <v>43647</v>
      </c>
      <c r="D7876" s="108" t="s">
        <v>26375</v>
      </c>
      <c r="E7876" s="108" t="s">
        <v>14605</v>
      </c>
      <c r="F7876" s="108" t="s">
        <v>4098</v>
      </c>
      <c r="G7876" s="109">
        <v>45652</v>
      </c>
      <c r="H7876" s="108" t="s">
        <v>25458</v>
      </c>
      <c r="I7876" s="108" t="s">
        <v>95</v>
      </c>
    </row>
    <row r="7877" spans="1:9" ht="27.6">
      <c r="A7877" s="108" t="s">
        <v>14950</v>
      </c>
      <c r="B7877" s="108" t="s">
        <v>26376</v>
      </c>
      <c r="C7877" s="109">
        <v>43602</v>
      </c>
      <c r="D7877" s="108" t="s">
        <v>26377</v>
      </c>
      <c r="E7877" s="108" t="s">
        <v>14605</v>
      </c>
      <c r="F7877" s="108" t="s">
        <v>26057</v>
      </c>
      <c r="G7877" s="109">
        <v>46136</v>
      </c>
      <c r="H7877" s="108" t="s">
        <v>25458</v>
      </c>
      <c r="I7877" s="108" t="s">
        <v>95</v>
      </c>
    </row>
    <row r="7878" spans="1:9" ht="27.6">
      <c r="A7878" s="108" t="s">
        <v>14950</v>
      </c>
      <c r="B7878" s="108" t="s">
        <v>26378</v>
      </c>
      <c r="C7878" s="109">
        <v>43599</v>
      </c>
      <c r="D7878" s="108" t="s">
        <v>26379</v>
      </c>
      <c r="E7878" s="108" t="s">
        <v>14605</v>
      </c>
      <c r="F7878" s="108" t="s">
        <v>966</v>
      </c>
      <c r="G7878" s="109">
        <v>46200</v>
      </c>
      <c r="H7878" s="108" t="s">
        <v>25458</v>
      </c>
      <c r="I7878" s="108" t="s">
        <v>95</v>
      </c>
    </row>
    <row r="7879" spans="1:9" ht="27.6">
      <c r="A7879" s="108" t="s">
        <v>14950</v>
      </c>
      <c r="B7879" s="108" t="s">
        <v>26380</v>
      </c>
      <c r="C7879" s="109">
        <v>44403</v>
      </c>
      <c r="D7879" s="108" t="s">
        <v>26381</v>
      </c>
      <c r="E7879" s="108" t="s">
        <v>14605</v>
      </c>
      <c r="F7879" s="108" t="s">
        <v>986</v>
      </c>
      <c r="G7879" s="109">
        <v>44771</v>
      </c>
      <c r="H7879" s="108" t="s">
        <v>25458</v>
      </c>
      <c r="I7879" s="108" t="s">
        <v>95</v>
      </c>
    </row>
    <row r="7880" spans="1:9" ht="27.6">
      <c r="A7880" s="108" t="s">
        <v>14950</v>
      </c>
      <c r="B7880" s="108" t="s">
        <v>26382</v>
      </c>
      <c r="C7880" s="109">
        <v>44274</v>
      </c>
      <c r="D7880" s="108" t="s">
        <v>26383</v>
      </c>
      <c r="E7880" s="108" t="s">
        <v>14605</v>
      </c>
      <c r="F7880" s="108" t="s">
        <v>5145</v>
      </c>
      <c r="G7880" s="109">
        <v>44708</v>
      </c>
      <c r="H7880" s="108" t="s">
        <v>25458</v>
      </c>
      <c r="I7880" s="108" t="s">
        <v>95</v>
      </c>
    </row>
    <row r="7881" spans="1:9" ht="27.6">
      <c r="A7881" s="108" t="s">
        <v>14950</v>
      </c>
      <c r="B7881" s="108" t="s">
        <v>26384</v>
      </c>
      <c r="C7881" s="109">
        <v>43647</v>
      </c>
      <c r="D7881" s="108" t="s">
        <v>26385</v>
      </c>
      <c r="E7881" s="108" t="s">
        <v>14605</v>
      </c>
      <c r="F7881" s="108" t="s">
        <v>4515</v>
      </c>
      <c r="G7881" s="109">
        <v>44767</v>
      </c>
      <c r="H7881" s="108" t="s">
        <v>25458</v>
      </c>
      <c r="I7881" s="108" t="s">
        <v>95</v>
      </c>
    </row>
    <row r="7882" spans="1:9" ht="27.6">
      <c r="A7882" s="108" t="s">
        <v>14950</v>
      </c>
      <c r="B7882" s="108" t="s">
        <v>26386</v>
      </c>
      <c r="C7882" s="109">
        <v>43592</v>
      </c>
      <c r="D7882" s="108" t="s">
        <v>26387</v>
      </c>
      <c r="E7882" s="108" t="s">
        <v>15275</v>
      </c>
      <c r="F7882" s="108" t="s">
        <v>14764</v>
      </c>
      <c r="G7882" s="109">
        <v>44716</v>
      </c>
      <c r="H7882" s="108" t="s">
        <v>25458</v>
      </c>
      <c r="I7882" s="108" t="s">
        <v>95</v>
      </c>
    </row>
    <row r="7883" spans="1:9" ht="27.6">
      <c r="A7883" s="108" t="s">
        <v>14950</v>
      </c>
      <c r="B7883" s="108" t="s">
        <v>26388</v>
      </c>
      <c r="C7883" s="109">
        <v>43620</v>
      </c>
      <c r="D7883" s="108" t="s">
        <v>26389</v>
      </c>
      <c r="E7883" s="108" t="s">
        <v>14605</v>
      </c>
      <c r="F7883" s="108" t="s">
        <v>1691</v>
      </c>
      <c r="G7883" s="109">
        <v>45031</v>
      </c>
      <c r="H7883" s="108" t="s">
        <v>25458</v>
      </c>
      <c r="I7883" s="108" t="s">
        <v>95</v>
      </c>
    </row>
    <row r="7884" spans="1:9" ht="27.6">
      <c r="A7884" s="108" t="s">
        <v>14950</v>
      </c>
      <c r="B7884" s="108" t="s">
        <v>26390</v>
      </c>
      <c r="C7884" s="109">
        <v>43621</v>
      </c>
      <c r="D7884" s="108" t="s">
        <v>26391</v>
      </c>
      <c r="E7884" s="108" t="s">
        <v>14605</v>
      </c>
      <c r="F7884" s="108" t="s">
        <v>4732</v>
      </c>
      <c r="G7884" s="109">
        <v>45425</v>
      </c>
      <c r="H7884" s="108" t="s">
        <v>25458</v>
      </c>
      <c r="I7884" s="108" t="s">
        <v>95</v>
      </c>
    </row>
    <row r="7885" spans="1:9" ht="27.6">
      <c r="A7885" s="108" t="s">
        <v>14950</v>
      </c>
      <c r="B7885" s="108" t="s">
        <v>26392</v>
      </c>
      <c r="C7885" s="109">
        <v>43664</v>
      </c>
      <c r="D7885" s="108" t="s">
        <v>26393</v>
      </c>
      <c r="E7885" s="108" t="s">
        <v>14605</v>
      </c>
      <c r="F7885" s="108" t="s">
        <v>2795</v>
      </c>
      <c r="G7885" s="109">
        <v>44715</v>
      </c>
      <c r="H7885" s="108" t="s">
        <v>25458</v>
      </c>
      <c r="I7885" s="108" t="s">
        <v>95</v>
      </c>
    </row>
    <row r="7886" spans="1:9" ht="27.6">
      <c r="A7886" s="108" t="s">
        <v>14950</v>
      </c>
      <c r="B7886" s="108" t="s">
        <v>26394</v>
      </c>
      <c r="C7886" s="109">
        <v>43653</v>
      </c>
      <c r="D7886" s="108" t="s">
        <v>26395</v>
      </c>
      <c r="E7886" s="108" t="s">
        <v>14605</v>
      </c>
      <c r="F7886" s="108" t="s">
        <v>884</v>
      </c>
      <c r="G7886" s="109">
        <v>44744</v>
      </c>
      <c r="H7886" s="108" t="s">
        <v>25458</v>
      </c>
      <c r="I7886" s="108" t="s">
        <v>95</v>
      </c>
    </row>
    <row r="7887" spans="1:9" ht="27.6">
      <c r="A7887" s="108" t="s">
        <v>14950</v>
      </c>
      <c r="B7887" s="108" t="s">
        <v>26396</v>
      </c>
      <c r="C7887" s="109">
        <v>43669</v>
      </c>
      <c r="D7887" s="108" t="s">
        <v>26397</v>
      </c>
      <c r="E7887" s="108" t="s">
        <v>14605</v>
      </c>
      <c r="F7887" s="108" t="s">
        <v>433</v>
      </c>
      <c r="G7887" s="109">
        <v>45840</v>
      </c>
      <c r="H7887" s="108" t="s">
        <v>25458</v>
      </c>
      <c r="I7887" s="108" t="s">
        <v>95</v>
      </c>
    </row>
    <row r="7888" spans="1:9" ht="27.6">
      <c r="A7888" s="108" t="s">
        <v>14950</v>
      </c>
      <c r="B7888" s="108" t="s">
        <v>26398</v>
      </c>
      <c r="C7888" s="109">
        <v>43654</v>
      </c>
      <c r="D7888" s="108" t="s">
        <v>26399</v>
      </c>
      <c r="E7888" s="108" t="s">
        <v>16121</v>
      </c>
      <c r="F7888" s="108" t="s">
        <v>3967</v>
      </c>
      <c r="G7888" s="109">
        <v>44476</v>
      </c>
      <c r="H7888" s="108" t="s">
        <v>25458</v>
      </c>
      <c r="I7888" s="108" t="s">
        <v>95</v>
      </c>
    </row>
    <row r="7889" spans="1:9" ht="27.6">
      <c r="A7889" s="108" t="s">
        <v>14950</v>
      </c>
      <c r="B7889" s="108" t="s">
        <v>26400</v>
      </c>
      <c r="C7889" s="109">
        <v>43700</v>
      </c>
      <c r="D7889" s="108" t="s">
        <v>26401</v>
      </c>
      <c r="E7889" s="108" t="s">
        <v>14605</v>
      </c>
      <c r="F7889" s="108" t="s">
        <v>5018</v>
      </c>
      <c r="G7889" s="109">
        <v>44795</v>
      </c>
      <c r="H7889" s="108" t="s">
        <v>25458</v>
      </c>
      <c r="I7889" s="108" t="s">
        <v>95</v>
      </c>
    </row>
    <row r="7890" spans="1:9" ht="27.6">
      <c r="A7890" s="108" t="s">
        <v>14950</v>
      </c>
      <c r="B7890" s="108" t="s">
        <v>26402</v>
      </c>
      <c r="C7890" s="109">
        <v>43759</v>
      </c>
      <c r="D7890" s="108" t="s">
        <v>26403</v>
      </c>
      <c r="E7890" s="108" t="s">
        <v>14605</v>
      </c>
      <c r="F7890" s="108" t="s">
        <v>15303</v>
      </c>
      <c r="G7890" s="109">
        <v>44451</v>
      </c>
      <c r="H7890" s="108" t="s">
        <v>25458</v>
      </c>
      <c r="I7890" s="108" t="s">
        <v>95</v>
      </c>
    </row>
    <row r="7891" spans="1:9">
      <c r="A7891" s="108" t="s">
        <v>8271</v>
      </c>
      <c r="B7891" s="108" t="s">
        <v>26404</v>
      </c>
      <c r="C7891" s="109">
        <v>43718</v>
      </c>
      <c r="D7891" s="108" t="s">
        <v>4936</v>
      </c>
      <c r="E7891" s="108" t="s">
        <v>14605</v>
      </c>
      <c r="F7891" s="108" t="s">
        <v>4920</v>
      </c>
      <c r="G7891" s="109">
        <v>46056</v>
      </c>
      <c r="H7891" s="108" t="s">
        <v>25458</v>
      </c>
      <c r="I7891" s="108" t="s">
        <v>95</v>
      </c>
    </row>
    <row r="7892" spans="1:9" ht="27.6">
      <c r="A7892" s="108" t="s">
        <v>14950</v>
      </c>
      <c r="B7892" s="108" t="s">
        <v>26405</v>
      </c>
      <c r="C7892" s="109">
        <v>43741</v>
      </c>
      <c r="D7892" s="108" t="s">
        <v>26406</v>
      </c>
      <c r="E7892" s="108" t="s">
        <v>14605</v>
      </c>
      <c r="F7892" s="108" t="s">
        <v>4840</v>
      </c>
      <c r="G7892" s="109">
        <v>44516</v>
      </c>
      <c r="H7892" s="108" t="s">
        <v>25458</v>
      </c>
      <c r="I7892" s="108" t="s">
        <v>95</v>
      </c>
    </row>
    <row r="7893" spans="1:9" ht="27.6">
      <c r="A7893" s="108" t="s">
        <v>14950</v>
      </c>
      <c r="B7893" s="108" t="s">
        <v>26407</v>
      </c>
      <c r="C7893" s="109">
        <v>43747</v>
      </c>
      <c r="D7893" s="108" t="s">
        <v>26408</v>
      </c>
      <c r="E7893" s="108" t="s">
        <v>14605</v>
      </c>
      <c r="F7893" s="108" t="s">
        <v>4343</v>
      </c>
      <c r="G7893" s="109">
        <v>44457</v>
      </c>
      <c r="H7893" s="108" t="s">
        <v>25458</v>
      </c>
      <c r="I7893" s="108" t="s">
        <v>95</v>
      </c>
    </row>
    <row r="7894" spans="1:9" ht="27.6">
      <c r="A7894" s="108" t="s">
        <v>14950</v>
      </c>
      <c r="B7894" s="108" t="s">
        <v>26409</v>
      </c>
      <c r="C7894" s="109">
        <v>43686</v>
      </c>
      <c r="D7894" s="108" t="s">
        <v>26410</v>
      </c>
      <c r="E7894" s="108" t="s">
        <v>14605</v>
      </c>
      <c r="F7894" s="108" t="s">
        <v>1706</v>
      </c>
      <c r="G7894" s="109">
        <v>44742</v>
      </c>
      <c r="H7894" s="108" t="s">
        <v>25458</v>
      </c>
      <c r="I7894" s="108" t="s">
        <v>95</v>
      </c>
    </row>
    <row r="7895" spans="1:9" ht="27.6">
      <c r="A7895" s="108" t="s">
        <v>14950</v>
      </c>
      <c r="B7895" s="108" t="s">
        <v>26411</v>
      </c>
      <c r="C7895" s="109">
        <v>43719</v>
      </c>
      <c r="D7895" s="108" t="s">
        <v>26412</v>
      </c>
      <c r="E7895" s="108" t="s">
        <v>14605</v>
      </c>
      <c r="F7895" s="108" t="s">
        <v>2762</v>
      </c>
      <c r="G7895" s="109">
        <v>44474</v>
      </c>
      <c r="H7895" s="108" t="s">
        <v>25458</v>
      </c>
      <c r="I7895" s="108" t="s">
        <v>95</v>
      </c>
    </row>
    <row r="7896" spans="1:9" ht="27.6">
      <c r="A7896" s="108" t="s">
        <v>14950</v>
      </c>
      <c r="B7896" s="108" t="s">
        <v>26413</v>
      </c>
      <c r="C7896" s="109">
        <v>43859</v>
      </c>
      <c r="D7896" s="108" t="s">
        <v>26414</v>
      </c>
      <c r="E7896" s="108" t="s">
        <v>14605</v>
      </c>
      <c r="F7896" s="108" t="s">
        <v>5145</v>
      </c>
      <c r="G7896" s="109">
        <v>46067</v>
      </c>
      <c r="H7896" s="108" t="s">
        <v>25458</v>
      </c>
      <c r="I7896" s="108" t="s">
        <v>95</v>
      </c>
    </row>
    <row r="7897" spans="1:9" ht="27.6">
      <c r="A7897" s="108" t="s">
        <v>14950</v>
      </c>
      <c r="B7897" s="108" t="s">
        <v>26415</v>
      </c>
      <c r="C7897" s="109">
        <v>43741</v>
      </c>
      <c r="D7897" s="108" t="s">
        <v>26416</v>
      </c>
      <c r="E7897" s="108" t="s">
        <v>14605</v>
      </c>
      <c r="F7897" s="108" t="s">
        <v>4915</v>
      </c>
      <c r="G7897" s="109">
        <v>44471</v>
      </c>
      <c r="H7897" s="108" t="s">
        <v>25458</v>
      </c>
      <c r="I7897" s="108" t="s">
        <v>95</v>
      </c>
    </row>
    <row r="7898" spans="1:9" ht="27.6">
      <c r="A7898" s="108" t="s">
        <v>14950</v>
      </c>
      <c r="B7898" s="108" t="s">
        <v>26417</v>
      </c>
      <c r="C7898" s="109">
        <v>43740</v>
      </c>
      <c r="D7898" s="108" t="s">
        <v>26418</v>
      </c>
      <c r="E7898" s="108" t="s">
        <v>14605</v>
      </c>
      <c r="F7898" s="108" t="s">
        <v>3056</v>
      </c>
      <c r="G7898" s="109">
        <v>44470</v>
      </c>
      <c r="H7898" s="108" t="s">
        <v>25458</v>
      </c>
      <c r="I7898" s="108" t="s">
        <v>95</v>
      </c>
    </row>
    <row r="7899" spans="1:9" ht="27.6">
      <c r="A7899" s="108" t="s">
        <v>14950</v>
      </c>
      <c r="B7899" s="108" t="s">
        <v>26419</v>
      </c>
      <c r="C7899" s="109">
        <v>43773</v>
      </c>
      <c r="D7899" s="108" t="s">
        <v>26420</v>
      </c>
      <c r="E7899" s="108" t="s">
        <v>14605</v>
      </c>
      <c r="F7899" s="108" t="s">
        <v>1952</v>
      </c>
      <c r="G7899" s="109">
        <v>45592</v>
      </c>
      <c r="H7899" s="108" t="s">
        <v>25458</v>
      </c>
      <c r="I7899" s="108" t="s">
        <v>95</v>
      </c>
    </row>
    <row r="7900" spans="1:9" ht="27.6">
      <c r="A7900" s="108" t="s">
        <v>14950</v>
      </c>
      <c r="B7900" s="108" t="s">
        <v>26421</v>
      </c>
      <c r="C7900" s="109">
        <v>43756</v>
      </c>
      <c r="D7900" s="108" t="s">
        <v>26422</v>
      </c>
      <c r="E7900" s="108" t="s">
        <v>14605</v>
      </c>
      <c r="F7900" s="108" t="s">
        <v>1606</v>
      </c>
      <c r="G7900" s="109">
        <v>44496</v>
      </c>
      <c r="H7900" s="108" t="s">
        <v>25458</v>
      </c>
      <c r="I7900" s="108" t="s">
        <v>95</v>
      </c>
    </row>
    <row r="7901" spans="1:9">
      <c r="A7901" s="108" t="s">
        <v>14634</v>
      </c>
      <c r="B7901" s="108" t="s">
        <v>26423</v>
      </c>
      <c r="C7901" s="109">
        <v>43740</v>
      </c>
      <c r="D7901" s="108" t="s">
        <v>26424</v>
      </c>
      <c r="E7901" s="108" t="s">
        <v>14605</v>
      </c>
      <c r="F7901" s="108" t="s">
        <v>4702</v>
      </c>
      <c r="G7901" s="109">
        <v>44835</v>
      </c>
      <c r="H7901" s="108" t="s">
        <v>25458</v>
      </c>
      <c r="I7901" s="108" t="s">
        <v>95</v>
      </c>
    </row>
    <row r="7902" spans="1:9" ht="27.6">
      <c r="A7902" s="108" t="s">
        <v>14950</v>
      </c>
      <c r="B7902" s="108" t="s">
        <v>26425</v>
      </c>
      <c r="C7902" s="109">
        <v>43761</v>
      </c>
      <c r="D7902" s="108" t="s">
        <v>26426</v>
      </c>
      <c r="E7902" s="108" t="s">
        <v>14605</v>
      </c>
      <c r="F7902" s="108" t="s">
        <v>4343</v>
      </c>
      <c r="G7902" s="109">
        <v>44475</v>
      </c>
      <c r="H7902" s="108" t="s">
        <v>25458</v>
      </c>
      <c r="I7902" s="108" t="s">
        <v>95</v>
      </c>
    </row>
    <row r="7903" spans="1:9" ht="27.6">
      <c r="A7903" s="108" t="s">
        <v>14950</v>
      </c>
      <c r="B7903" s="108" t="s">
        <v>26427</v>
      </c>
      <c r="C7903" s="109">
        <v>44286</v>
      </c>
      <c r="D7903" s="108" t="s">
        <v>26428</v>
      </c>
      <c r="E7903" s="108" t="s">
        <v>14605</v>
      </c>
      <c r="F7903" s="108" t="s">
        <v>4151</v>
      </c>
      <c r="G7903" s="109">
        <v>45059</v>
      </c>
      <c r="H7903" s="108" t="s">
        <v>25458</v>
      </c>
      <c r="I7903" s="108" t="s">
        <v>95</v>
      </c>
    </row>
    <row r="7904" spans="1:9" ht="27.6">
      <c r="A7904" s="108" t="s">
        <v>14950</v>
      </c>
      <c r="B7904" s="108" t="s">
        <v>26429</v>
      </c>
      <c r="C7904" s="109">
        <v>43781</v>
      </c>
      <c r="D7904" s="108" t="s">
        <v>26430</v>
      </c>
      <c r="E7904" s="108" t="s">
        <v>14605</v>
      </c>
      <c r="F7904" s="108" t="s">
        <v>2795</v>
      </c>
      <c r="G7904" s="109">
        <v>44527</v>
      </c>
      <c r="H7904" s="108" t="s">
        <v>25458</v>
      </c>
      <c r="I7904" s="108" t="s">
        <v>95</v>
      </c>
    </row>
    <row r="7905" spans="1:9" ht="27.6">
      <c r="A7905" s="108" t="s">
        <v>14950</v>
      </c>
      <c r="B7905" s="108" t="s">
        <v>26431</v>
      </c>
      <c r="C7905" s="109">
        <v>44259</v>
      </c>
      <c r="D7905" s="108" t="s">
        <v>26432</v>
      </c>
      <c r="E7905" s="108" t="s">
        <v>14605</v>
      </c>
      <c r="F7905" s="108" t="s">
        <v>3442</v>
      </c>
      <c r="G7905" s="109">
        <v>44680</v>
      </c>
      <c r="H7905" s="108" t="s">
        <v>25458</v>
      </c>
      <c r="I7905" s="108" t="s">
        <v>95</v>
      </c>
    </row>
    <row r="7906" spans="1:9" ht="27.6">
      <c r="A7906" s="108" t="s">
        <v>14950</v>
      </c>
      <c r="B7906" s="108" t="s">
        <v>26433</v>
      </c>
      <c r="C7906" s="109">
        <v>43796</v>
      </c>
      <c r="D7906" s="108" t="s">
        <v>26434</v>
      </c>
      <c r="E7906" s="108" t="s">
        <v>14605</v>
      </c>
      <c r="F7906" s="108" t="s">
        <v>550</v>
      </c>
      <c r="G7906" s="109">
        <v>46009</v>
      </c>
      <c r="H7906" s="108" t="s">
        <v>25458</v>
      </c>
      <c r="I7906" s="108" t="s">
        <v>95</v>
      </c>
    </row>
    <row r="7907" spans="1:9" ht="27.6">
      <c r="A7907" s="108" t="s">
        <v>14950</v>
      </c>
      <c r="B7907" s="108" t="s">
        <v>26435</v>
      </c>
      <c r="C7907" s="109">
        <v>43852</v>
      </c>
      <c r="D7907" s="108" t="s">
        <v>26436</v>
      </c>
      <c r="E7907" s="108" t="s">
        <v>14605</v>
      </c>
      <c r="F7907" s="108" t="s">
        <v>484</v>
      </c>
      <c r="G7907" s="109">
        <v>46062</v>
      </c>
      <c r="H7907" s="108" t="s">
        <v>25458</v>
      </c>
      <c r="I7907" s="108" t="s">
        <v>95</v>
      </c>
    </row>
    <row r="7908" spans="1:9" ht="27.6">
      <c r="A7908" s="108" t="s">
        <v>14950</v>
      </c>
      <c r="B7908" s="108" t="s">
        <v>26437</v>
      </c>
      <c r="C7908" s="109">
        <v>43819</v>
      </c>
      <c r="D7908" s="108" t="s">
        <v>26438</v>
      </c>
      <c r="E7908" s="108" t="s">
        <v>14605</v>
      </c>
      <c r="F7908" s="108" t="s">
        <v>2853</v>
      </c>
      <c r="G7908" s="109">
        <v>44563</v>
      </c>
      <c r="H7908" s="108" t="s">
        <v>25458</v>
      </c>
      <c r="I7908" s="108" t="s">
        <v>95</v>
      </c>
    </row>
    <row r="7909" spans="1:9" ht="27.6">
      <c r="A7909" s="108" t="s">
        <v>14950</v>
      </c>
      <c r="B7909" s="108" t="s">
        <v>26439</v>
      </c>
      <c r="C7909" s="109">
        <v>43830</v>
      </c>
      <c r="D7909" s="108" t="s">
        <v>4277</v>
      </c>
      <c r="E7909" s="108" t="s">
        <v>14605</v>
      </c>
      <c r="F7909" s="108" t="s">
        <v>4276</v>
      </c>
      <c r="G7909" s="109">
        <v>46385</v>
      </c>
      <c r="H7909" s="108" t="s">
        <v>25458</v>
      </c>
      <c r="I7909" s="108" t="s">
        <v>95</v>
      </c>
    </row>
    <row r="7910" spans="1:9" ht="27.6">
      <c r="A7910" s="108" t="s">
        <v>14950</v>
      </c>
      <c r="B7910" s="108" t="s">
        <v>26440</v>
      </c>
      <c r="C7910" s="109">
        <v>44070</v>
      </c>
      <c r="D7910" s="108" t="s">
        <v>26441</v>
      </c>
      <c r="E7910" s="108" t="s">
        <v>14605</v>
      </c>
      <c r="F7910" s="108" t="s">
        <v>2365</v>
      </c>
      <c r="G7910" s="109">
        <v>45171</v>
      </c>
      <c r="H7910" s="108" t="s">
        <v>25458</v>
      </c>
      <c r="I7910" s="108" t="s">
        <v>95</v>
      </c>
    </row>
    <row r="7911" spans="1:9" ht="27.6">
      <c r="A7911" s="108" t="s">
        <v>14950</v>
      </c>
      <c r="B7911" s="108" t="s">
        <v>26442</v>
      </c>
      <c r="C7911" s="109">
        <v>43854</v>
      </c>
      <c r="D7911" s="108" t="s">
        <v>26443</v>
      </c>
      <c r="E7911" s="108" t="s">
        <v>14605</v>
      </c>
      <c r="F7911" s="108" t="s">
        <v>933</v>
      </c>
      <c r="G7911" s="109">
        <v>44601</v>
      </c>
      <c r="H7911" s="108" t="s">
        <v>25458</v>
      </c>
      <c r="I7911" s="108" t="s">
        <v>95</v>
      </c>
    </row>
    <row r="7912" spans="1:9" ht="27.6">
      <c r="A7912" s="108" t="s">
        <v>14950</v>
      </c>
      <c r="B7912" s="108" t="s">
        <v>26444</v>
      </c>
      <c r="C7912" s="109">
        <v>43861</v>
      </c>
      <c r="D7912" s="108" t="s">
        <v>26445</v>
      </c>
      <c r="E7912" s="108" t="s">
        <v>14605</v>
      </c>
      <c r="F7912" s="108" t="s">
        <v>1390</v>
      </c>
      <c r="G7912" s="109">
        <v>45873</v>
      </c>
      <c r="H7912" s="108" t="s">
        <v>25458</v>
      </c>
      <c r="I7912" s="108" t="s">
        <v>95</v>
      </c>
    </row>
    <row r="7913" spans="1:9" ht="27.6">
      <c r="A7913" s="108" t="s">
        <v>14950</v>
      </c>
      <c r="B7913" s="108" t="s">
        <v>26446</v>
      </c>
      <c r="C7913" s="109">
        <v>43889</v>
      </c>
      <c r="D7913" s="108" t="s">
        <v>26447</v>
      </c>
      <c r="E7913" s="108" t="s">
        <v>14605</v>
      </c>
      <c r="F7913" s="108" t="s">
        <v>4314</v>
      </c>
      <c r="G7913" s="109">
        <v>44631</v>
      </c>
      <c r="H7913" s="108" t="s">
        <v>25458</v>
      </c>
      <c r="I7913" s="108" t="s">
        <v>95</v>
      </c>
    </row>
    <row r="7914" spans="1:9" ht="27.6">
      <c r="A7914" s="108" t="s">
        <v>14950</v>
      </c>
      <c r="B7914" s="108" t="s">
        <v>26448</v>
      </c>
      <c r="C7914" s="109">
        <v>43886</v>
      </c>
      <c r="D7914" s="108" t="s">
        <v>26449</v>
      </c>
      <c r="E7914" s="108" t="s">
        <v>14605</v>
      </c>
      <c r="F7914" s="108" t="s">
        <v>535</v>
      </c>
      <c r="G7914" s="109">
        <v>44621</v>
      </c>
      <c r="H7914" s="108" t="s">
        <v>25458</v>
      </c>
      <c r="I7914" s="108" t="s">
        <v>95</v>
      </c>
    </row>
    <row r="7915" spans="1:9" ht="27.6">
      <c r="A7915" s="108" t="s">
        <v>14950</v>
      </c>
      <c r="B7915" s="108" t="s">
        <v>26450</v>
      </c>
      <c r="C7915" s="109">
        <v>43852</v>
      </c>
      <c r="D7915" s="108" t="s">
        <v>26451</v>
      </c>
      <c r="E7915" s="108" t="s">
        <v>14605</v>
      </c>
      <c r="F7915" s="108" t="s">
        <v>26452</v>
      </c>
      <c r="G7915" s="109">
        <v>44969</v>
      </c>
      <c r="H7915" s="108" t="s">
        <v>25458</v>
      </c>
      <c r="I7915" s="108" t="s">
        <v>95</v>
      </c>
    </row>
    <row r="7916" spans="1:9" ht="27.6">
      <c r="A7916" s="108" t="s">
        <v>14950</v>
      </c>
      <c r="B7916" s="108" t="s">
        <v>26453</v>
      </c>
      <c r="C7916" s="109">
        <v>43859</v>
      </c>
      <c r="D7916" s="108" t="s">
        <v>26454</v>
      </c>
      <c r="E7916" s="108" t="s">
        <v>14605</v>
      </c>
      <c r="F7916" s="108" t="s">
        <v>3029</v>
      </c>
      <c r="G7916" s="109">
        <v>46072</v>
      </c>
      <c r="H7916" s="108" t="s">
        <v>25458</v>
      </c>
      <c r="I7916" s="108" t="s">
        <v>95</v>
      </c>
    </row>
    <row r="7917" spans="1:9">
      <c r="A7917" s="108" t="s">
        <v>8271</v>
      </c>
      <c r="B7917" s="108" t="s">
        <v>26455</v>
      </c>
      <c r="C7917" s="109">
        <v>44145</v>
      </c>
      <c r="D7917" s="108" t="s">
        <v>26456</v>
      </c>
      <c r="E7917" s="108" t="s">
        <v>14605</v>
      </c>
      <c r="F7917" s="108" t="s">
        <v>1170</v>
      </c>
      <c r="G7917" s="109">
        <v>44861</v>
      </c>
      <c r="H7917" s="108" t="s">
        <v>25458</v>
      </c>
      <c r="I7917" s="108" t="s">
        <v>95</v>
      </c>
    </row>
    <row r="7918" spans="1:9" ht="27.6">
      <c r="A7918" s="108" t="s">
        <v>14950</v>
      </c>
      <c r="B7918" s="108" t="s">
        <v>26457</v>
      </c>
      <c r="C7918" s="109">
        <v>43893</v>
      </c>
      <c r="D7918" s="108" t="s">
        <v>26458</v>
      </c>
      <c r="E7918" s="108" t="s">
        <v>14605</v>
      </c>
      <c r="F7918" s="108" t="s">
        <v>4638</v>
      </c>
      <c r="G7918" s="109">
        <v>46237</v>
      </c>
      <c r="H7918" s="108" t="s">
        <v>25458</v>
      </c>
      <c r="I7918" s="108" t="s">
        <v>95</v>
      </c>
    </row>
    <row r="7919" spans="1:9" ht="27.6">
      <c r="A7919" s="108" t="s">
        <v>14950</v>
      </c>
      <c r="B7919" s="108" t="s">
        <v>26459</v>
      </c>
      <c r="C7919" s="109">
        <v>43872</v>
      </c>
      <c r="D7919" s="108" t="s">
        <v>26460</v>
      </c>
      <c r="E7919" s="108" t="s">
        <v>14605</v>
      </c>
      <c r="F7919" s="108" t="s">
        <v>816</v>
      </c>
      <c r="G7919" s="109">
        <v>44619</v>
      </c>
      <c r="H7919" s="108" t="s">
        <v>25458</v>
      </c>
      <c r="I7919" s="108" t="s">
        <v>95</v>
      </c>
    </row>
    <row r="7920" spans="1:9" ht="27.6">
      <c r="A7920" s="108" t="s">
        <v>14950</v>
      </c>
      <c r="B7920" s="108" t="s">
        <v>26461</v>
      </c>
      <c r="C7920" s="109">
        <v>43873</v>
      </c>
      <c r="D7920" s="108" t="s">
        <v>26462</v>
      </c>
      <c r="E7920" s="108" t="s">
        <v>14605</v>
      </c>
      <c r="F7920" s="108" t="s">
        <v>4638</v>
      </c>
      <c r="G7920" s="109">
        <v>46063</v>
      </c>
      <c r="H7920" s="108" t="s">
        <v>25458</v>
      </c>
      <c r="I7920" s="108" t="s">
        <v>95</v>
      </c>
    </row>
    <row r="7921" spans="1:9" ht="27.6">
      <c r="A7921" s="108" t="s">
        <v>14950</v>
      </c>
      <c r="B7921" s="108" t="s">
        <v>26463</v>
      </c>
      <c r="C7921" s="109">
        <v>43928</v>
      </c>
      <c r="D7921" s="108" t="s">
        <v>26464</v>
      </c>
      <c r="E7921" s="108" t="s">
        <v>14605</v>
      </c>
      <c r="F7921" s="108" t="s">
        <v>3325</v>
      </c>
      <c r="G7921" s="109">
        <v>45042</v>
      </c>
      <c r="H7921" s="108" t="s">
        <v>25458</v>
      </c>
      <c r="I7921" s="108" t="s">
        <v>95</v>
      </c>
    </row>
    <row r="7922" spans="1:9" ht="27.6">
      <c r="A7922" s="108" t="s">
        <v>14950</v>
      </c>
      <c r="B7922" s="108" t="s">
        <v>26465</v>
      </c>
      <c r="C7922" s="109">
        <v>43949</v>
      </c>
      <c r="D7922" s="108" t="s">
        <v>26466</v>
      </c>
      <c r="E7922" s="108" t="s">
        <v>14605</v>
      </c>
      <c r="F7922" s="108" t="s">
        <v>3056</v>
      </c>
      <c r="G7922" s="109">
        <v>45067</v>
      </c>
      <c r="H7922" s="108" t="s">
        <v>25458</v>
      </c>
      <c r="I7922" s="108" t="s">
        <v>95</v>
      </c>
    </row>
    <row r="7923" spans="1:9" ht="27.6">
      <c r="A7923" s="108" t="s">
        <v>14950</v>
      </c>
      <c r="B7923" s="108" t="s">
        <v>26467</v>
      </c>
      <c r="C7923" s="109">
        <v>44186</v>
      </c>
      <c r="D7923" s="108" t="s">
        <v>26468</v>
      </c>
      <c r="E7923" s="108" t="s">
        <v>14605</v>
      </c>
      <c r="F7923" s="108" t="s">
        <v>1671</v>
      </c>
      <c r="G7923" s="109">
        <v>45305</v>
      </c>
      <c r="H7923" s="108" t="s">
        <v>25458</v>
      </c>
      <c r="I7923" s="108" t="s">
        <v>95</v>
      </c>
    </row>
    <row r="7924" spans="1:9" ht="27.6">
      <c r="A7924" s="108" t="s">
        <v>14950</v>
      </c>
      <c r="B7924" s="108" t="s">
        <v>26469</v>
      </c>
      <c r="C7924" s="109">
        <v>43972</v>
      </c>
      <c r="D7924" s="108" t="s">
        <v>26470</v>
      </c>
      <c r="E7924" s="108" t="s">
        <v>14605</v>
      </c>
      <c r="F7924" s="108" t="s">
        <v>1844</v>
      </c>
      <c r="G7924" s="109">
        <v>44700</v>
      </c>
      <c r="H7924" s="108" t="s">
        <v>25458</v>
      </c>
      <c r="I7924" s="108" t="s">
        <v>95</v>
      </c>
    </row>
    <row r="7925" spans="1:9" ht="27.6">
      <c r="A7925" s="108" t="s">
        <v>14950</v>
      </c>
      <c r="B7925" s="108" t="s">
        <v>26471</v>
      </c>
      <c r="C7925" s="109">
        <v>44028</v>
      </c>
      <c r="D7925" s="108" t="s">
        <v>26472</v>
      </c>
      <c r="E7925" s="108" t="s">
        <v>14605</v>
      </c>
      <c r="F7925" s="108" t="s">
        <v>4546</v>
      </c>
      <c r="G7925" s="109">
        <v>44756</v>
      </c>
      <c r="H7925" s="108" t="s">
        <v>25458</v>
      </c>
      <c r="I7925" s="108" t="s">
        <v>95</v>
      </c>
    </row>
    <row r="7926" spans="1:9" ht="27.6">
      <c r="A7926" s="108" t="s">
        <v>14950</v>
      </c>
      <c r="B7926" s="108" t="s">
        <v>26473</v>
      </c>
      <c r="C7926" s="109">
        <v>43966</v>
      </c>
      <c r="D7926" s="108" t="s">
        <v>26474</v>
      </c>
      <c r="E7926" s="108" t="s">
        <v>14605</v>
      </c>
      <c r="F7926" s="108" t="s">
        <v>1033</v>
      </c>
      <c r="G7926" s="109">
        <v>44787</v>
      </c>
      <c r="H7926" s="108" t="s">
        <v>25458</v>
      </c>
      <c r="I7926" s="108" t="s">
        <v>95</v>
      </c>
    </row>
    <row r="7927" spans="1:9" ht="27.6">
      <c r="A7927" s="108" t="s">
        <v>14950</v>
      </c>
      <c r="B7927" s="108" t="s">
        <v>26475</v>
      </c>
      <c r="C7927" s="109">
        <v>44273</v>
      </c>
      <c r="D7927" s="108" t="s">
        <v>26476</v>
      </c>
      <c r="E7927" s="108" t="s">
        <v>14605</v>
      </c>
      <c r="F7927" s="108" t="s">
        <v>4276</v>
      </c>
      <c r="G7927" s="109">
        <v>44738</v>
      </c>
      <c r="H7927" s="108" t="s">
        <v>25458</v>
      </c>
      <c r="I7927" s="108" t="s">
        <v>95</v>
      </c>
    </row>
    <row r="7928" spans="1:9" ht="27.6">
      <c r="A7928" s="108" t="s">
        <v>14950</v>
      </c>
      <c r="B7928" s="108" t="s">
        <v>26477</v>
      </c>
      <c r="C7928" s="109">
        <v>43986</v>
      </c>
      <c r="D7928" s="108" t="s">
        <v>26478</v>
      </c>
      <c r="E7928" s="108" t="s">
        <v>14605</v>
      </c>
      <c r="F7928" s="108" t="s">
        <v>5138</v>
      </c>
      <c r="G7928" s="109">
        <v>45988</v>
      </c>
      <c r="H7928" s="108" t="s">
        <v>25458</v>
      </c>
      <c r="I7928" s="108" t="s">
        <v>95</v>
      </c>
    </row>
    <row r="7929" spans="1:9" ht="27.6">
      <c r="A7929" s="108" t="s">
        <v>14950</v>
      </c>
      <c r="B7929" s="108" t="s">
        <v>26479</v>
      </c>
      <c r="C7929" s="109">
        <v>44181</v>
      </c>
      <c r="D7929" s="108" t="s">
        <v>26480</v>
      </c>
      <c r="E7929" s="108" t="s">
        <v>14605</v>
      </c>
      <c r="F7929" s="108" t="s">
        <v>4448</v>
      </c>
      <c r="G7929" s="109">
        <v>44882</v>
      </c>
      <c r="H7929" s="108" t="s">
        <v>25458</v>
      </c>
      <c r="I7929" s="108" t="s">
        <v>95</v>
      </c>
    </row>
    <row r="7930" spans="1:9" ht="27.6">
      <c r="A7930" s="108" t="s">
        <v>14950</v>
      </c>
      <c r="B7930" s="108" t="s">
        <v>26481</v>
      </c>
      <c r="C7930" s="109">
        <v>43971</v>
      </c>
      <c r="D7930" s="108" t="s">
        <v>1694</v>
      </c>
      <c r="E7930" s="108" t="s">
        <v>14605</v>
      </c>
      <c r="F7930" s="108" t="s">
        <v>1691</v>
      </c>
      <c r="G7930" s="109">
        <v>46122</v>
      </c>
      <c r="H7930" s="108" t="s">
        <v>25458</v>
      </c>
      <c r="I7930" s="108" t="s">
        <v>95</v>
      </c>
    </row>
    <row r="7931" spans="1:9" ht="27.6">
      <c r="A7931" s="108" t="s">
        <v>14950</v>
      </c>
      <c r="B7931" s="108" t="s">
        <v>26482</v>
      </c>
      <c r="C7931" s="109">
        <v>44048</v>
      </c>
      <c r="D7931" s="108" t="s">
        <v>26483</v>
      </c>
      <c r="E7931" s="108" t="s">
        <v>14605</v>
      </c>
      <c r="F7931" s="108" t="s">
        <v>3856</v>
      </c>
      <c r="G7931" s="109">
        <v>45508</v>
      </c>
      <c r="H7931" s="108" t="s">
        <v>25458</v>
      </c>
      <c r="I7931" s="108" t="s">
        <v>95</v>
      </c>
    </row>
    <row r="7932" spans="1:9" ht="27.6">
      <c r="A7932" s="108" t="s">
        <v>14950</v>
      </c>
      <c r="B7932" s="108" t="s">
        <v>26484</v>
      </c>
      <c r="C7932" s="109">
        <v>43998</v>
      </c>
      <c r="D7932" s="108" t="s">
        <v>26485</v>
      </c>
      <c r="E7932" s="108" t="s">
        <v>14605</v>
      </c>
      <c r="F7932" s="108" t="s">
        <v>4343</v>
      </c>
      <c r="G7932" s="109">
        <v>44714</v>
      </c>
      <c r="H7932" s="108" t="s">
        <v>25458</v>
      </c>
      <c r="I7932" s="108" t="s">
        <v>95</v>
      </c>
    </row>
    <row r="7933" spans="1:9" ht="27.6">
      <c r="A7933" s="108" t="s">
        <v>14950</v>
      </c>
      <c r="B7933" s="108" t="s">
        <v>26486</v>
      </c>
      <c r="C7933" s="109">
        <v>43998</v>
      </c>
      <c r="D7933" s="108" t="s">
        <v>26487</v>
      </c>
      <c r="E7933" s="108" t="s">
        <v>14605</v>
      </c>
      <c r="F7933" s="108" t="s">
        <v>2552</v>
      </c>
      <c r="G7933" s="109">
        <v>44751</v>
      </c>
      <c r="H7933" s="108" t="s">
        <v>25458</v>
      </c>
      <c r="I7933" s="108" t="s">
        <v>95</v>
      </c>
    </row>
    <row r="7934" spans="1:9" ht="27.6">
      <c r="A7934" s="108" t="s">
        <v>14950</v>
      </c>
      <c r="B7934" s="108" t="s">
        <v>26488</v>
      </c>
      <c r="C7934" s="109">
        <v>44216</v>
      </c>
      <c r="D7934" s="108" t="s">
        <v>26489</v>
      </c>
      <c r="E7934" s="108" t="s">
        <v>14605</v>
      </c>
      <c r="F7934" s="108" t="s">
        <v>5145</v>
      </c>
      <c r="G7934" s="109">
        <v>45114</v>
      </c>
      <c r="H7934" s="108" t="s">
        <v>25458</v>
      </c>
      <c r="I7934" s="108" t="s">
        <v>95</v>
      </c>
    </row>
    <row r="7935" spans="1:9" ht="27.6">
      <c r="A7935" s="108" t="s">
        <v>14950</v>
      </c>
      <c r="B7935" s="108" t="s">
        <v>26490</v>
      </c>
      <c r="C7935" s="109">
        <v>44101</v>
      </c>
      <c r="D7935" s="108" t="s">
        <v>26491</v>
      </c>
      <c r="E7935" s="108" t="s">
        <v>14605</v>
      </c>
      <c r="F7935" s="108" t="s">
        <v>4390</v>
      </c>
      <c r="G7935" s="109">
        <v>45116</v>
      </c>
      <c r="H7935" s="108" t="s">
        <v>25458</v>
      </c>
      <c r="I7935" s="108" t="s">
        <v>95</v>
      </c>
    </row>
    <row r="7936" spans="1:9" ht="27.6">
      <c r="A7936" s="108" t="s">
        <v>14950</v>
      </c>
      <c r="B7936" s="108" t="s">
        <v>26492</v>
      </c>
      <c r="C7936" s="109">
        <v>44050</v>
      </c>
      <c r="D7936" s="108" t="s">
        <v>26493</v>
      </c>
      <c r="E7936" s="108" t="s">
        <v>14605</v>
      </c>
      <c r="F7936" s="108" t="s">
        <v>2398</v>
      </c>
      <c r="G7936" s="109">
        <v>44765</v>
      </c>
      <c r="H7936" s="108" t="s">
        <v>25458</v>
      </c>
      <c r="I7936" s="108" t="s">
        <v>95</v>
      </c>
    </row>
    <row r="7937" spans="1:9" ht="27.6">
      <c r="A7937" s="108" t="s">
        <v>14950</v>
      </c>
      <c r="B7937" s="108" t="s">
        <v>26494</v>
      </c>
      <c r="C7937" s="109">
        <v>44048</v>
      </c>
      <c r="D7937" s="108" t="s">
        <v>26495</v>
      </c>
      <c r="E7937" s="108" t="s">
        <v>14605</v>
      </c>
      <c r="F7937" s="108" t="s">
        <v>2839</v>
      </c>
      <c r="G7937" s="109">
        <v>46067</v>
      </c>
      <c r="H7937" s="108" t="s">
        <v>25458</v>
      </c>
      <c r="I7937" s="108" t="s">
        <v>95</v>
      </c>
    </row>
    <row r="7938" spans="1:9" ht="27.6">
      <c r="A7938" s="108" t="s">
        <v>14950</v>
      </c>
      <c r="B7938" s="108" t="s">
        <v>26496</v>
      </c>
      <c r="C7938" s="109">
        <v>44047</v>
      </c>
      <c r="D7938" s="108" t="s">
        <v>26497</v>
      </c>
      <c r="E7938" s="108" t="s">
        <v>14605</v>
      </c>
      <c r="F7938" s="108" t="s">
        <v>907</v>
      </c>
      <c r="G7938" s="109">
        <v>44785</v>
      </c>
      <c r="H7938" s="108" t="s">
        <v>25458</v>
      </c>
      <c r="I7938" s="108" t="s">
        <v>95</v>
      </c>
    </row>
    <row r="7939" spans="1:9" ht="27.6">
      <c r="A7939" s="108" t="s">
        <v>14950</v>
      </c>
      <c r="B7939" s="108" t="s">
        <v>26498</v>
      </c>
      <c r="C7939" s="109">
        <v>44118</v>
      </c>
      <c r="D7939" s="108" t="s">
        <v>4008</v>
      </c>
      <c r="E7939" s="108" t="s">
        <v>14605</v>
      </c>
      <c r="F7939" s="108" t="s">
        <v>4005</v>
      </c>
      <c r="G7939" s="109">
        <v>45422</v>
      </c>
      <c r="H7939" s="108" t="s">
        <v>25458</v>
      </c>
      <c r="I7939" s="108" t="s">
        <v>95</v>
      </c>
    </row>
    <row r="7940" spans="1:9" ht="27.6">
      <c r="A7940" s="108" t="s">
        <v>14950</v>
      </c>
      <c r="B7940" s="108" t="s">
        <v>26499</v>
      </c>
      <c r="C7940" s="109">
        <v>44042</v>
      </c>
      <c r="D7940" s="108" t="s">
        <v>26500</v>
      </c>
      <c r="E7940" s="108" t="s">
        <v>14605</v>
      </c>
      <c r="F7940" s="108" t="s">
        <v>3839</v>
      </c>
      <c r="G7940" s="109">
        <v>44771</v>
      </c>
      <c r="H7940" s="108" t="s">
        <v>25458</v>
      </c>
      <c r="I7940" s="108" t="s">
        <v>95</v>
      </c>
    </row>
    <row r="7941" spans="1:9" ht="27.6">
      <c r="A7941" s="108" t="s">
        <v>14950</v>
      </c>
      <c r="B7941" s="108" t="s">
        <v>26501</v>
      </c>
      <c r="C7941" s="109">
        <v>44055</v>
      </c>
      <c r="D7941" s="108" t="s">
        <v>26502</v>
      </c>
      <c r="E7941" s="108" t="s">
        <v>14605</v>
      </c>
      <c r="F7941" s="108" t="s">
        <v>299</v>
      </c>
      <c r="G7941" s="109">
        <v>46246</v>
      </c>
      <c r="H7941" s="108" t="s">
        <v>25458</v>
      </c>
      <c r="I7941" s="108" t="s">
        <v>95</v>
      </c>
    </row>
    <row r="7942" spans="1:9" ht="27.6">
      <c r="A7942" s="108" t="s">
        <v>14950</v>
      </c>
      <c r="B7942" s="108" t="s">
        <v>26503</v>
      </c>
      <c r="C7942" s="109">
        <v>43991</v>
      </c>
      <c r="D7942" s="108" t="s">
        <v>26504</v>
      </c>
      <c r="E7942" s="108" t="s">
        <v>14605</v>
      </c>
      <c r="F7942" s="108" t="s">
        <v>2124</v>
      </c>
      <c r="G7942" s="109">
        <v>45657</v>
      </c>
      <c r="H7942" s="108" t="s">
        <v>25458</v>
      </c>
      <c r="I7942" s="108" t="s">
        <v>95</v>
      </c>
    </row>
    <row r="7943" spans="1:9" ht="27.6">
      <c r="A7943" s="108" t="s">
        <v>14950</v>
      </c>
      <c r="B7943" s="108" t="s">
        <v>26505</v>
      </c>
      <c r="C7943" s="109">
        <v>44116</v>
      </c>
      <c r="D7943" s="108" t="s">
        <v>26506</v>
      </c>
      <c r="E7943" s="108" t="s">
        <v>14605</v>
      </c>
      <c r="F7943" s="108" t="s">
        <v>1429</v>
      </c>
      <c r="G7943" s="109">
        <v>44797</v>
      </c>
      <c r="H7943" s="108" t="s">
        <v>25458</v>
      </c>
      <c r="I7943" s="108" t="s">
        <v>95</v>
      </c>
    </row>
    <row r="7944" spans="1:9" ht="27.6">
      <c r="A7944" s="108" t="s">
        <v>14950</v>
      </c>
      <c r="B7944" s="108" t="s">
        <v>26507</v>
      </c>
      <c r="C7944" s="109">
        <v>44054</v>
      </c>
      <c r="D7944" s="108" t="s">
        <v>26508</v>
      </c>
      <c r="E7944" s="108" t="s">
        <v>14605</v>
      </c>
      <c r="F7944" s="108" t="s">
        <v>26509</v>
      </c>
      <c r="G7944" s="109">
        <v>44700</v>
      </c>
      <c r="H7944" s="108" t="s">
        <v>25458</v>
      </c>
      <c r="I7944" s="108" t="s">
        <v>95</v>
      </c>
    </row>
    <row r="7945" spans="1:9" ht="27.6">
      <c r="A7945" s="108" t="s">
        <v>14950</v>
      </c>
      <c r="B7945" s="108" t="s">
        <v>26510</v>
      </c>
      <c r="C7945" s="109">
        <v>44055</v>
      </c>
      <c r="D7945" s="108" t="s">
        <v>26511</v>
      </c>
      <c r="E7945" s="108" t="s">
        <v>14605</v>
      </c>
      <c r="F7945" s="108" t="s">
        <v>2013</v>
      </c>
      <c r="G7945" s="109">
        <v>44784</v>
      </c>
      <c r="H7945" s="108" t="s">
        <v>25458</v>
      </c>
      <c r="I7945" s="108" t="s">
        <v>95</v>
      </c>
    </row>
    <row r="7946" spans="1:9" ht="27.6">
      <c r="A7946" s="108" t="s">
        <v>14950</v>
      </c>
      <c r="B7946" s="108" t="s">
        <v>26512</v>
      </c>
      <c r="C7946" s="109">
        <v>44117</v>
      </c>
      <c r="D7946" s="108" t="s">
        <v>26513</v>
      </c>
      <c r="E7946" s="108" t="s">
        <v>14605</v>
      </c>
      <c r="F7946" s="108" t="s">
        <v>3000</v>
      </c>
      <c r="G7946" s="109">
        <v>44753</v>
      </c>
      <c r="H7946" s="108" t="s">
        <v>25458</v>
      </c>
      <c r="I7946" s="108" t="s">
        <v>95</v>
      </c>
    </row>
    <row r="7947" spans="1:9" ht="27.6">
      <c r="A7947" s="108" t="s">
        <v>14950</v>
      </c>
      <c r="B7947" s="108" t="s">
        <v>26514</v>
      </c>
      <c r="C7947" s="109">
        <v>44091</v>
      </c>
      <c r="D7947" s="108" t="s">
        <v>26515</v>
      </c>
      <c r="E7947" s="108" t="s">
        <v>14605</v>
      </c>
      <c r="F7947" s="108" t="s">
        <v>4702</v>
      </c>
      <c r="G7947" s="109">
        <v>44798</v>
      </c>
      <c r="H7947" s="108" t="s">
        <v>25458</v>
      </c>
      <c r="I7947" s="108" t="s">
        <v>95</v>
      </c>
    </row>
    <row r="7948" spans="1:9" ht="27.6">
      <c r="A7948" s="108" t="s">
        <v>14950</v>
      </c>
      <c r="B7948" s="108" t="s">
        <v>26516</v>
      </c>
      <c r="C7948" s="109">
        <v>44075</v>
      </c>
      <c r="D7948" s="108" t="s">
        <v>26517</v>
      </c>
      <c r="E7948" s="108" t="s">
        <v>14605</v>
      </c>
      <c r="F7948" s="108" t="s">
        <v>2552</v>
      </c>
      <c r="G7948" s="109">
        <v>44827</v>
      </c>
      <c r="H7948" s="108" t="s">
        <v>25458</v>
      </c>
      <c r="I7948" s="108" t="s">
        <v>95</v>
      </c>
    </row>
    <row r="7949" spans="1:9" ht="27.6">
      <c r="A7949" s="108" t="s">
        <v>14950</v>
      </c>
      <c r="B7949" s="108" t="s">
        <v>26518</v>
      </c>
      <c r="C7949" s="109">
        <v>44078</v>
      </c>
      <c r="D7949" s="108" t="s">
        <v>26519</v>
      </c>
      <c r="E7949" s="108" t="s">
        <v>14605</v>
      </c>
      <c r="F7949" s="108" t="s">
        <v>15243</v>
      </c>
      <c r="G7949" s="109">
        <v>44807</v>
      </c>
      <c r="H7949" s="108" t="s">
        <v>25458</v>
      </c>
      <c r="I7949" s="108" t="s">
        <v>95</v>
      </c>
    </row>
    <row r="7950" spans="1:9" ht="27.6">
      <c r="A7950" s="108" t="s">
        <v>14950</v>
      </c>
      <c r="B7950" s="108" t="s">
        <v>26520</v>
      </c>
      <c r="C7950" s="109">
        <v>44071</v>
      </c>
      <c r="D7950" s="108" t="s">
        <v>26521</v>
      </c>
      <c r="E7950" s="108" t="s">
        <v>14605</v>
      </c>
      <c r="F7950" s="108" t="s">
        <v>2114</v>
      </c>
      <c r="G7950" s="109">
        <v>44801</v>
      </c>
      <c r="H7950" s="108" t="s">
        <v>25458</v>
      </c>
      <c r="I7950" s="108" t="s">
        <v>95</v>
      </c>
    </row>
    <row r="7951" spans="1:9" ht="27.6">
      <c r="A7951" s="108" t="s">
        <v>14950</v>
      </c>
      <c r="B7951" s="108" t="s">
        <v>26522</v>
      </c>
      <c r="C7951" s="109">
        <v>44104</v>
      </c>
      <c r="D7951" s="108" t="s">
        <v>26523</v>
      </c>
      <c r="E7951" s="108" t="s">
        <v>14605</v>
      </c>
      <c r="F7951" s="108" t="s">
        <v>3056</v>
      </c>
      <c r="G7951" s="109">
        <v>44835</v>
      </c>
      <c r="H7951" s="108" t="s">
        <v>25458</v>
      </c>
      <c r="I7951" s="108" t="s">
        <v>95</v>
      </c>
    </row>
    <row r="7952" spans="1:9" ht="27.6">
      <c r="A7952" s="108" t="s">
        <v>14950</v>
      </c>
      <c r="B7952" s="108" t="s">
        <v>26524</v>
      </c>
      <c r="C7952" s="109">
        <v>44091</v>
      </c>
      <c r="D7952" s="108" t="s">
        <v>26525</v>
      </c>
      <c r="E7952" s="108" t="s">
        <v>14605</v>
      </c>
      <c r="F7952" s="108" t="s">
        <v>3727</v>
      </c>
      <c r="G7952" s="109">
        <v>44847</v>
      </c>
      <c r="H7952" s="108" t="s">
        <v>25458</v>
      </c>
      <c r="I7952" s="108" t="s">
        <v>95</v>
      </c>
    </row>
    <row r="7953" spans="1:9" ht="27.6">
      <c r="A7953" s="108" t="s">
        <v>14950</v>
      </c>
      <c r="B7953" s="108" t="s">
        <v>26526</v>
      </c>
      <c r="C7953" s="109">
        <v>44167</v>
      </c>
      <c r="D7953" s="108" t="s">
        <v>26527</v>
      </c>
      <c r="E7953" s="108" t="s">
        <v>14605</v>
      </c>
      <c r="F7953" s="108" t="s">
        <v>5227</v>
      </c>
      <c r="G7953" s="109">
        <v>45972</v>
      </c>
      <c r="H7953" s="108" t="s">
        <v>25458</v>
      </c>
      <c r="I7953" s="108" t="s">
        <v>95</v>
      </c>
    </row>
    <row r="7954" spans="1:9" ht="27.6">
      <c r="A7954" s="108" t="s">
        <v>14950</v>
      </c>
      <c r="B7954" s="108" t="s">
        <v>26528</v>
      </c>
      <c r="C7954" s="109">
        <v>44165</v>
      </c>
      <c r="D7954" s="108" t="s">
        <v>26529</v>
      </c>
      <c r="E7954" s="108" t="s">
        <v>14605</v>
      </c>
      <c r="F7954" s="108" t="s">
        <v>25626</v>
      </c>
      <c r="G7954" s="109">
        <v>44793</v>
      </c>
      <c r="H7954" s="108" t="s">
        <v>25458</v>
      </c>
      <c r="I7954" s="108" t="s">
        <v>95</v>
      </c>
    </row>
    <row r="7955" spans="1:9" ht="27.6">
      <c r="A7955" s="108" t="s">
        <v>14950</v>
      </c>
      <c r="B7955" s="108" t="s">
        <v>26530</v>
      </c>
      <c r="C7955" s="109">
        <v>44165</v>
      </c>
      <c r="D7955" s="108" t="s">
        <v>26531</v>
      </c>
      <c r="E7955" s="108" t="s">
        <v>14605</v>
      </c>
      <c r="F7955" s="108" t="s">
        <v>25626</v>
      </c>
      <c r="G7955" s="109">
        <v>44793</v>
      </c>
      <c r="H7955" s="108" t="s">
        <v>25458</v>
      </c>
      <c r="I7955" s="108" t="s">
        <v>95</v>
      </c>
    </row>
    <row r="7956" spans="1:9">
      <c r="A7956" s="108" t="s">
        <v>8271</v>
      </c>
      <c r="B7956" s="108" t="s">
        <v>26532</v>
      </c>
      <c r="C7956" s="109">
        <v>44238</v>
      </c>
      <c r="D7956" s="108" t="s">
        <v>26533</v>
      </c>
      <c r="E7956" s="108" t="s">
        <v>14605</v>
      </c>
      <c r="F7956" s="108" t="s">
        <v>3831</v>
      </c>
      <c r="G7956" s="109">
        <v>44693</v>
      </c>
      <c r="H7956" s="108" t="s">
        <v>25458</v>
      </c>
      <c r="I7956" s="108" t="s">
        <v>95</v>
      </c>
    </row>
    <row r="7957" spans="1:9" ht="27.6">
      <c r="A7957" s="108" t="s">
        <v>14950</v>
      </c>
      <c r="B7957" s="108" t="s">
        <v>26534</v>
      </c>
      <c r="C7957" s="109">
        <v>44182</v>
      </c>
      <c r="D7957" s="108" t="s">
        <v>26535</v>
      </c>
      <c r="E7957" s="108" t="s">
        <v>14605</v>
      </c>
      <c r="F7957" s="108" t="s">
        <v>3473</v>
      </c>
      <c r="G7957" s="109">
        <v>45675</v>
      </c>
      <c r="H7957" s="108" t="s">
        <v>25458</v>
      </c>
      <c r="I7957" s="108" t="s">
        <v>95</v>
      </c>
    </row>
    <row r="7958" spans="1:9" ht="27.6">
      <c r="A7958" s="108" t="s">
        <v>14950</v>
      </c>
      <c r="B7958" s="108" t="s">
        <v>26536</v>
      </c>
      <c r="C7958" s="109">
        <v>44228</v>
      </c>
      <c r="D7958" s="108" t="s">
        <v>26537</v>
      </c>
      <c r="E7958" s="108" t="s">
        <v>14605</v>
      </c>
      <c r="F7958" s="108" t="s">
        <v>5057</v>
      </c>
      <c r="G7958" s="109">
        <v>46067</v>
      </c>
      <c r="H7958" s="108" t="s">
        <v>25458</v>
      </c>
      <c r="I7958" s="108" t="s">
        <v>95</v>
      </c>
    </row>
    <row r="7959" spans="1:9" ht="27.6">
      <c r="A7959" s="108" t="s">
        <v>14950</v>
      </c>
      <c r="B7959" s="108" t="s">
        <v>26538</v>
      </c>
      <c r="C7959" s="109">
        <v>44232</v>
      </c>
      <c r="D7959" s="108" t="s">
        <v>26539</v>
      </c>
      <c r="E7959" s="108" t="s">
        <v>14605</v>
      </c>
      <c r="F7959" s="108" t="s">
        <v>416</v>
      </c>
      <c r="G7959" s="109">
        <v>45709</v>
      </c>
      <c r="H7959" s="108" t="s">
        <v>25458</v>
      </c>
      <c r="I7959" s="108" t="s">
        <v>95</v>
      </c>
    </row>
    <row r="7960" spans="1:9" ht="27.6">
      <c r="A7960" s="108" t="s">
        <v>14950</v>
      </c>
      <c r="B7960" s="108" t="s">
        <v>26540</v>
      </c>
      <c r="C7960" s="109">
        <v>44231</v>
      </c>
      <c r="D7960" s="108" t="s">
        <v>26541</v>
      </c>
      <c r="E7960" s="108" t="s">
        <v>14605</v>
      </c>
      <c r="F7960" s="108" t="s">
        <v>4886</v>
      </c>
      <c r="G7960" s="109">
        <v>45711</v>
      </c>
      <c r="H7960" s="108" t="s">
        <v>25458</v>
      </c>
      <c r="I7960" s="108" t="s">
        <v>95</v>
      </c>
    </row>
    <row r="7961" spans="1:9" ht="27.6">
      <c r="A7961" s="108" t="s">
        <v>14950</v>
      </c>
      <c r="B7961" s="108" t="s">
        <v>26542</v>
      </c>
      <c r="C7961" s="109">
        <v>44327</v>
      </c>
      <c r="D7961" s="108" t="s">
        <v>26543</v>
      </c>
      <c r="E7961" s="108" t="s">
        <v>14605</v>
      </c>
      <c r="F7961" s="108" t="s">
        <v>1338</v>
      </c>
      <c r="G7961" s="109">
        <v>44996</v>
      </c>
      <c r="H7961" s="108" t="s">
        <v>25458</v>
      </c>
      <c r="I7961" s="108" t="s">
        <v>95</v>
      </c>
    </row>
    <row r="7962" spans="1:9" ht="27.6">
      <c r="A7962" s="108" t="s">
        <v>14950</v>
      </c>
      <c r="B7962" s="108" t="s">
        <v>26544</v>
      </c>
      <c r="C7962" s="109">
        <v>44440</v>
      </c>
      <c r="D7962" s="108" t="s">
        <v>26545</v>
      </c>
      <c r="E7962" s="108" t="s">
        <v>14605</v>
      </c>
      <c r="F7962" s="108" t="s">
        <v>2552</v>
      </c>
      <c r="G7962" s="109">
        <v>44961</v>
      </c>
      <c r="H7962" s="108" t="s">
        <v>25458</v>
      </c>
      <c r="I7962" s="108" t="s">
        <v>95</v>
      </c>
    </row>
    <row r="7963" spans="1:9" ht="27.6">
      <c r="A7963" s="108" t="s">
        <v>14950</v>
      </c>
      <c r="B7963" s="108" t="s">
        <v>26546</v>
      </c>
      <c r="C7963" s="109">
        <v>44265</v>
      </c>
      <c r="D7963" s="108" t="s">
        <v>26547</v>
      </c>
      <c r="E7963" s="108" t="s">
        <v>14605</v>
      </c>
      <c r="F7963" s="108" t="s">
        <v>2912</v>
      </c>
      <c r="G7963" s="109">
        <v>45000</v>
      </c>
      <c r="H7963" s="108" t="s">
        <v>25458</v>
      </c>
      <c r="I7963" s="108" t="s">
        <v>95</v>
      </c>
    </row>
    <row r="7964" spans="1:9" ht="27.6">
      <c r="A7964" s="108" t="s">
        <v>14950</v>
      </c>
      <c r="B7964" s="108" t="s">
        <v>26548</v>
      </c>
      <c r="C7964" s="109">
        <v>44265</v>
      </c>
      <c r="D7964" s="108" t="s">
        <v>26549</v>
      </c>
      <c r="E7964" s="108" t="s">
        <v>14605</v>
      </c>
      <c r="F7964" s="108" t="s">
        <v>2912</v>
      </c>
      <c r="G7964" s="109">
        <v>45000</v>
      </c>
      <c r="H7964" s="108" t="s">
        <v>25458</v>
      </c>
      <c r="I7964" s="108" t="s">
        <v>95</v>
      </c>
    </row>
    <row r="7965" spans="1:9" ht="27.6">
      <c r="A7965" s="108" t="s">
        <v>14950</v>
      </c>
      <c r="B7965" s="108" t="s">
        <v>26550</v>
      </c>
      <c r="C7965" s="109">
        <v>44319</v>
      </c>
      <c r="D7965" s="108" t="s">
        <v>26551</v>
      </c>
      <c r="E7965" s="108" t="s">
        <v>14605</v>
      </c>
      <c r="F7965" s="108" t="s">
        <v>5145</v>
      </c>
      <c r="G7965" s="109">
        <v>46137</v>
      </c>
      <c r="H7965" s="108" t="s">
        <v>25458</v>
      </c>
      <c r="I7965" s="108" t="s">
        <v>95</v>
      </c>
    </row>
    <row r="7966" spans="1:9" ht="27.6">
      <c r="A7966" s="108" t="s">
        <v>14950</v>
      </c>
      <c r="B7966" s="108" t="s">
        <v>26552</v>
      </c>
      <c r="C7966" s="109">
        <v>44283</v>
      </c>
      <c r="D7966" s="108" t="s">
        <v>26553</v>
      </c>
      <c r="E7966" s="108" t="s">
        <v>14605</v>
      </c>
      <c r="F7966" s="108" t="s">
        <v>3176</v>
      </c>
      <c r="G7966" s="109">
        <v>45378</v>
      </c>
      <c r="H7966" s="108" t="s">
        <v>25458</v>
      </c>
      <c r="I7966" s="108" t="s">
        <v>95</v>
      </c>
    </row>
    <row r="7967" spans="1:9" ht="27.6">
      <c r="A7967" s="108" t="s">
        <v>14950</v>
      </c>
      <c r="B7967" s="108" t="s">
        <v>26554</v>
      </c>
      <c r="C7967" s="109">
        <v>44340</v>
      </c>
      <c r="D7967" s="108" t="s">
        <v>26555</v>
      </c>
      <c r="E7967" s="108" t="s">
        <v>14605</v>
      </c>
      <c r="F7967" s="108" t="s">
        <v>3727</v>
      </c>
      <c r="G7967" s="109">
        <v>45043</v>
      </c>
      <c r="H7967" s="108" t="s">
        <v>25458</v>
      </c>
      <c r="I7967" s="108" t="s">
        <v>95</v>
      </c>
    </row>
    <row r="7968" spans="1:9" ht="27.6">
      <c r="A7968" s="108" t="s">
        <v>14950</v>
      </c>
      <c r="B7968" s="108" t="s">
        <v>26556</v>
      </c>
      <c r="C7968" s="109">
        <v>44295</v>
      </c>
      <c r="D7968" s="108" t="s">
        <v>26557</v>
      </c>
      <c r="E7968" s="108" t="s">
        <v>14605</v>
      </c>
      <c r="F7968" s="108" t="s">
        <v>1367</v>
      </c>
      <c r="G7968" s="109">
        <v>45045</v>
      </c>
      <c r="H7968" s="108" t="s">
        <v>25458</v>
      </c>
      <c r="I7968" s="108" t="s">
        <v>95</v>
      </c>
    </row>
    <row r="7969" spans="1:9" ht="27.6">
      <c r="A7969" s="108" t="s">
        <v>14950</v>
      </c>
      <c r="B7969" s="108" t="s">
        <v>26558</v>
      </c>
      <c r="C7969" s="109">
        <v>44302</v>
      </c>
      <c r="D7969" s="108" t="s">
        <v>26559</v>
      </c>
      <c r="E7969" s="108" t="s">
        <v>14605</v>
      </c>
      <c r="F7969" s="108" t="s">
        <v>2552</v>
      </c>
      <c r="G7969" s="109">
        <v>45418</v>
      </c>
      <c r="H7969" s="108" t="s">
        <v>25458</v>
      </c>
      <c r="I7969" s="108" t="s">
        <v>95</v>
      </c>
    </row>
    <row r="7970" spans="1:9" ht="27.6">
      <c r="A7970" s="108" t="s">
        <v>14950</v>
      </c>
      <c r="B7970" s="108" t="s">
        <v>26560</v>
      </c>
      <c r="C7970" s="109">
        <v>44307</v>
      </c>
      <c r="D7970" s="108" t="s">
        <v>26561</v>
      </c>
      <c r="E7970" s="108" t="s">
        <v>14605</v>
      </c>
      <c r="F7970" s="108" t="s">
        <v>4776</v>
      </c>
      <c r="G7970" s="109">
        <v>45054</v>
      </c>
      <c r="H7970" s="108" t="s">
        <v>25458</v>
      </c>
      <c r="I7970" s="108" t="s">
        <v>95</v>
      </c>
    </row>
    <row r="7971" spans="1:9" ht="27.6">
      <c r="A7971" s="108" t="s">
        <v>14950</v>
      </c>
      <c r="B7971" s="108" t="s">
        <v>26562</v>
      </c>
      <c r="C7971" s="109">
        <v>44386</v>
      </c>
      <c r="D7971" s="108" t="s">
        <v>26563</v>
      </c>
      <c r="E7971" s="108" t="s">
        <v>14605</v>
      </c>
      <c r="F7971" s="108" t="s">
        <v>25541</v>
      </c>
      <c r="G7971" s="109">
        <v>45127</v>
      </c>
      <c r="H7971" s="108" t="s">
        <v>25458</v>
      </c>
      <c r="I7971" s="108" t="s">
        <v>95</v>
      </c>
    </row>
    <row r="7972" spans="1:9" ht="27.6">
      <c r="A7972" s="108" t="s">
        <v>14950</v>
      </c>
      <c r="B7972" s="108" t="s">
        <v>26564</v>
      </c>
      <c r="C7972" s="109">
        <v>44434</v>
      </c>
      <c r="D7972" s="108" t="s">
        <v>26565</v>
      </c>
      <c r="E7972" s="108" t="s">
        <v>14605</v>
      </c>
      <c r="F7972" s="108" t="s">
        <v>4242</v>
      </c>
      <c r="G7972" s="109">
        <v>45910</v>
      </c>
      <c r="H7972" s="108" t="s">
        <v>25458</v>
      </c>
      <c r="I7972" s="108" t="s">
        <v>95</v>
      </c>
    </row>
    <row r="7973" spans="1:9" ht="27.6">
      <c r="A7973" s="108" t="s">
        <v>14950</v>
      </c>
      <c r="B7973" s="108" t="s">
        <v>26566</v>
      </c>
      <c r="C7973" s="109">
        <v>44320</v>
      </c>
      <c r="D7973" s="108" t="s">
        <v>26567</v>
      </c>
      <c r="E7973" s="108" t="s">
        <v>14605</v>
      </c>
      <c r="F7973" s="108" t="s">
        <v>4071</v>
      </c>
      <c r="G7973" s="109">
        <v>45074</v>
      </c>
      <c r="H7973" s="108" t="s">
        <v>25458</v>
      </c>
      <c r="I7973" s="108" t="s">
        <v>95</v>
      </c>
    </row>
    <row r="7974" spans="1:9" ht="27.6">
      <c r="A7974" s="108" t="s">
        <v>14950</v>
      </c>
      <c r="B7974" s="108" t="s">
        <v>26568</v>
      </c>
      <c r="C7974" s="109">
        <v>44328</v>
      </c>
      <c r="D7974" s="108" t="s">
        <v>26569</v>
      </c>
      <c r="E7974" s="108" t="s">
        <v>14605</v>
      </c>
      <c r="F7974" s="108" t="s">
        <v>4538</v>
      </c>
      <c r="G7974" s="109">
        <v>46535</v>
      </c>
      <c r="H7974" s="108" t="s">
        <v>25458</v>
      </c>
      <c r="I7974" s="108" t="s">
        <v>95</v>
      </c>
    </row>
    <row r="7975" spans="1:9" ht="27.6">
      <c r="A7975" s="108" t="s">
        <v>14950</v>
      </c>
      <c r="B7975" s="108" t="s">
        <v>26570</v>
      </c>
      <c r="C7975" s="109">
        <v>44333</v>
      </c>
      <c r="D7975" s="108" t="s">
        <v>26571</v>
      </c>
      <c r="E7975" s="108" t="s">
        <v>14605</v>
      </c>
      <c r="F7975" s="108" t="s">
        <v>2655</v>
      </c>
      <c r="G7975" s="109">
        <v>45062</v>
      </c>
      <c r="H7975" s="108" t="s">
        <v>25458</v>
      </c>
      <c r="I7975" s="108" t="s">
        <v>95</v>
      </c>
    </row>
    <row r="7976" spans="1:9" ht="27.6">
      <c r="A7976" s="108" t="s">
        <v>14950</v>
      </c>
      <c r="B7976" s="108" t="s">
        <v>26572</v>
      </c>
      <c r="C7976" s="109">
        <v>44337</v>
      </c>
      <c r="D7976" s="108" t="s">
        <v>26573</v>
      </c>
      <c r="E7976" s="108" t="s">
        <v>14605</v>
      </c>
      <c r="F7976" s="108" t="s">
        <v>3056</v>
      </c>
      <c r="G7976" s="109">
        <v>45066</v>
      </c>
      <c r="H7976" s="108" t="s">
        <v>25458</v>
      </c>
      <c r="I7976" s="108" t="s">
        <v>95</v>
      </c>
    </row>
    <row r="7977" spans="1:9" ht="27.6">
      <c r="A7977" s="108" t="s">
        <v>14950</v>
      </c>
      <c r="B7977" s="108" t="s">
        <v>26574</v>
      </c>
      <c r="C7977" s="109">
        <v>44442</v>
      </c>
      <c r="D7977" s="108" t="s">
        <v>26575</v>
      </c>
      <c r="E7977" s="108" t="s">
        <v>14605</v>
      </c>
      <c r="F7977" s="108" t="s">
        <v>5310</v>
      </c>
      <c r="G7977" s="109">
        <v>45561</v>
      </c>
      <c r="H7977" s="108" t="s">
        <v>25458</v>
      </c>
      <c r="I7977" s="108" t="s">
        <v>95</v>
      </c>
    </row>
    <row r="7978" spans="1:9" ht="27.6">
      <c r="A7978" s="108" t="s">
        <v>14950</v>
      </c>
      <c r="B7978" s="108" t="s">
        <v>26576</v>
      </c>
      <c r="C7978" s="109">
        <v>44410</v>
      </c>
      <c r="D7978" s="108" t="s">
        <v>26577</v>
      </c>
      <c r="E7978" s="108" t="s">
        <v>14605</v>
      </c>
      <c r="F7978" s="108" t="s">
        <v>976</v>
      </c>
      <c r="G7978" s="109">
        <v>45880</v>
      </c>
      <c r="H7978" s="108" t="s">
        <v>25458</v>
      </c>
      <c r="I7978" s="108" t="s">
        <v>95</v>
      </c>
    </row>
    <row r="7979" spans="1:9" ht="27.6">
      <c r="A7979" s="108" t="s">
        <v>14950</v>
      </c>
      <c r="B7979" s="108" t="s">
        <v>26578</v>
      </c>
      <c r="C7979" s="109">
        <v>44630</v>
      </c>
      <c r="D7979" s="108" t="s">
        <v>26579</v>
      </c>
      <c r="E7979" s="108" t="s">
        <v>14605</v>
      </c>
      <c r="F7979" s="108" t="s">
        <v>4319</v>
      </c>
      <c r="G7979" s="109">
        <v>45782</v>
      </c>
      <c r="H7979" s="108" t="s">
        <v>25458</v>
      </c>
      <c r="I7979" s="108" t="s">
        <v>95</v>
      </c>
    </row>
    <row r="7980" spans="1:9" ht="27.6">
      <c r="A7980" s="108" t="s">
        <v>14950</v>
      </c>
      <c r="B7980" s="108" t="s">
        <v>26580</v>
      </c>
      <c r="C7980" s="109">
        <v>44733</v>
      </c>
      <c r="D7980" s="108" t="s">
        <v>3688</v>
      </c>
      <c r="E7980" s="108" t="s">
        <v>14605</v>
      </c>
      <c r="F7980" s="108" t="s">
        <v>3687</v>
      </c>
      <c r="G7980" s="109">
        <v>45916</v>
      </c>
      <c r="H7980" s="108" t="s">
        <v>25458</v>
      </c>
      <c r="I7980" s="108" t="s">
        <v>95</v>
      </c>
    </row>
    <row r="7981" spans="1:9">
      <c r="A7981" s="108" t="s">
        <v>8271</v>
      </c>
      <c r="B7981" s="108" t="s">
        <v>26581</v>
      </c>
      <c r="C7981" s="109">
        <v>44895</v>
      </c>
      <c r="D7981" s="108" t="s">
        <v>26582</v>
      </c>
      <c r="E7981" s="108" t="s">
        <v>14605</v>
      </c>
      <c r="F7981" s="108" t="s">
        <v>956</v>
      </c>
      <c r="G7981" s="109">
        <v>45494</v>
      </c>
      <c r="H7981" s="108" t="s">
        <v>25458</v>
      </c>
      <c r="I7981" s="108" t="s">
        <v>95</v>
      </c>
    </row>
    <row r="7982" spans="1:9">
      <c r="A7982" s="108" t="s">
        <v>16151</v>
      </c>
      <c r="B7982" s="108" t="s">
        <v>26583</v>
      </c>
      <c r="C7982" s="109">
        <v>44820</v>
      </c>
      <c r="D7982" s="108" t="s">
        <v>26584</v>
      </c>
      <c r="E7982" s="108" t="s">
        <v>14605</v>
      </c>
      <c r="F7982" s="108" t="s">
        <v>14764</v>
      </c>
      <c r="G7982" s="109">
        <v>46665</v>
      </c>
      <c r="H7982" s="108" t="s">
        <v>25558</v>
      </c>
      <c r="I7982" s="108" t="s">
        <v>95</v>
      </c>
    </row>
    <row r="7983" spans="1:9" ht="27.6">
      <c r="A7983" s="108" t="s">
        <v>14978</v>
      </c>
      <c r="B7983" s="108" t="s">
        <v>26585</v>
      </c>
      <c r="C7983" s="109">
        <v>42773</v>
      </c>
      <c r="D7983" s="108" t="s">
        <v>26586</v>
      </c>
      <c r="E7983" s="108" t="s">
        <v>14605</v>
      </c>
      <c r="F7983" s="108" t="s">
        <v>4251</v>
      </c>
      <c r="G7983" s="109">
        <v>44043</v>
      </c>
      <c r="H7983" s="108" t="s">
        <v>25458</v>
      </c>
      <c r="I7983" s="108" t="s">
        <v>95</v>
      </c>
    </row>
    <row r="7984" spans="1:9">
      <c r="A7984" s="108" t="s">
        <v>14978</v>
      </c>
      <c r="B7984" s="108" t="s">
        <v>26587</v>
      </c>
      <c r="C7984" s="109">
        <v>42390</v>
      </c>
      <c r="D7984" s="108" t="s">
        <v>26588</v>
      </c>
      <c r="E7984" s="108" t="s">
        <v>14605</v>
      </c>
      <c r="F7984" s="108" t="s">
        <v>16268</v>
      </c>
      <c r="G7984" s="109">
        <v>44196</v>
      </c>
      <c r="H7984" s="108" t="s">
        <v>25458</v>
      </c>
      <c r="I7984" s="108" t="s">
        <v>95</v>
      </c>
    </row>
    <row r="7985" spans="1:9" ht="27.6">
      <c r="A7985" s="108" t="s">
        <v>15075</v>
      </c>
      <c r="B7985" s="108" t="s">
        <v>26589</v>
      </c>
      <c r="C7985" s="109">
        <v>44412</v>
      </c>
      <c r="D7985" s="108" t="s">
        <v>26590</v>
      </c>
      <c r="E7985" s="108" t="s">
        <v>14605</v>
      </c>
      <c r="F7985" s="108" t="s">
        <v>26591</v>
      </c>
      <c r="G7985" s="109">
        <v>45045</v>
      </c>
      <c r="H7985" s="108" t="s">
        <v>25458</v>
      </c>
      <c r="I7985" s="108" t="s">
        <v>95</v>
      </c>
    </row>
    <row r="7986" spans="1:9" ht="27.6">
      <c r="A7986" s="108" t="s">
        <v>15075</v>
      </c>
      <c r="B7986" s="108" t="s">
        <v>26592</v>
      </c>
      <c r="C7986" s="109">
        <v>44423</v>
      </c>
      <c r="D7986" s="108" t="s">
        <v>5005</v>
      </c>
      <c r="E7986" s="108" t="s">
        <v>14605</v>
      </c>
      <c r="F7986" s="108" t="s">
        <v>5004</v>
      </c>
      <c r="G7986" s="109">
        <v>45954</v>
      </c>
      <c r="H7986" s="108" t="s">
        <v>25458</v>
      </c>
      <c r="I7986" s="108" t="s">
        <v>95</v>
      </c>
    </row>
    <row r="7987" spans="1:9" ht="27.6">
      <c r="A7987" s="108" t="s">
        <v>15075</v>
      </c>
      <c r="B7987" s="108" t="s">
        <v>26593</v>
      </c>
      <c r="C7987" s="109">
        <v>44431</v>
      </c>
      <c r="D7987" s="108" t="s">
        <v>5180</v>
      </c>
      <c r="E7987" s="108" t="s">
        <v>14605</v>
      </c>
      <c r="F7987" s="108" t="s">
        <v>5145</v>
      </c>
      <c r="G7987" s="109">
        <v>46160</v>
      </c>
      <c r="H7987" s="108" t="s">
        <v>25458</v>
      </c>
      <c r="I7987" s="108" t="s">
        <v>95</v>
      </c>
    </row>
    <row r="7988" spans="1:9" ht="27.6">
      <c r="A7988" s="108" t="s">
        <v>15075</v>
      </c>
      <c r="B7988" s="108" t="s">
        <v>26594</v>
      </c>
      <c r="C7988" s="109">
        <v>44402</v>
      </c>
      <c r="D7988" s="108" t="s">
        <v>750</v>
      </c>
      <c r="E7988" s="108" t="s">
        <v>14605</v>
      </c>
      <c r="F7988" s="108" t="s">
        <v>749</v>
      </c>
      <c r="G7988" s="109">
        <v>46196</v>
      </c>
      <c r="H7988" s="108" t="s">
        <v>25458</v>
      </c>
      <c r="I7988" s="108" t="s">
        <v>95</v>
      </c>
    </row>
    <row r="7989" spans="1:9" ht="27.6">
      <c r="A7989" s="108" t="s">
        <v>15075</v>
      </c>
      <c r="B7989" s="108" t="s">
        <v>26595</v>
      </c>
      <c r="C7989" s="109">
        <v>44428</v>
      </c>
      <c r="D7989" s="108" t="s">
        <v>26596</v>
      </c>
      <c r="E7989" s="108" t="s">
        <v>14605</v>
      </c>
      <c r="F7989" s="108" t="s">
        <v>3856</v>
      </c>
      <c r="G7989" s="109">
        <v>45593</v>
      </c>
      <c r="H7989" s="108" t="s">
        <v>25458</v>
      </c>
      <c r="I7989" s="108" t="s">
        <v>95</v>
      </c>
    </row>
    <row r="7990" spans="1:9" ht="27.6">
      <c r="A7990" s="108" t="s">
        <v>15075</v>
      </c>
      <c r="B7990" s="108" t="s">
        <v>26597</v>
      </c>
      <c r="C7990" s="109">
        <v>44420</v>
      </c>
      <c r="D7990" s="108" t="s">
        <v>26350</v>
      </c>
      <c r="E7990" s="108" t="s">
        <v>14605</v>
      </c>
      <c r="F7990" s="108" t="s">
        <v>2354</v>
      </c>
      <c r="G7990" s="109">
        <v>45570</v>
      </c>
      <c r="H7990" s="108" t="s">
        <v>25458</v>
      </c>
      <c r="I7990" s="108" t="s">
        <v>95</v>
      </c>
    </row>
    <row r="7991" spans="1:9" ht="27.6">
      <c r="A7991" s="108" t="s">
        <v>15075</v>
      </c>
      <c r="B7991" s="108" t="s">
        <v>26598</v>
      </c>
      <c r="C7991" s="109">
        <v>44480</v>
      </c>
      <c r="D7991" s="108" t="s">
        <v>5294</v>
      </c>
      <c r="E7991" s="108" t="s">
        <v>14605</v>
      </c>
      <c r="F7991" s="108" t="s">
        <v>5288</v>
      </c>
      <c r="G7991" s="109">
        <v>47402</v>
      </c>
      <c r="H7991" s="108" t="s">
        <v>25458</v>
      </c>
      <c r="I7991" s="108" t="s">
        <v>95</v>
      </c>
    </row>
    <row r="7992" spans="1:9" ht="27.6">
      <c r="A7992" s="108" t="s">
        <v>15075</v>
      </c>
      <c r="B7992" s="108" t="s">
        <v>26599</v>
      </c>
      <c r="C7992" s="109">
        <v>44534</v>
      </c>
      <c r="D7992" s="108" t="s">
        <v>3632</v>
      </c>
      <c r="E7992" s="108" t="s">
        <v>14605</v>
      </c>
      <c r="F7992" s="108" t="s">
        <v>3631</v>
      </c>
      <c r="G7992" s="109">
        <v>46592</v>
      </c>
      <c r="H7992" s="108" t="s">
        <v>25458</v>
      </c>
      <c r="I7992" s="108" t="s">
        <v>95</v>
      </c>
    </row>
    <row r="7993" spans="1:9" ht="27.6">
      <c r="A7993" s="108" t="s">
        <v>15075</v>
      </c>
      <c r="B7993" s="108" t="s">
        <v>26600</v>
      </c>
      <c r="C7993" s="109">
        <v>44572</v>
      </c>
      <c r="D7993" s="108" t="s">
        <v>4287</v>
      </c>
      <c r="E7993" s="108" t="s">
        <v>14605</v>
      </c>
      <c r="F7993" s="108" t="s">
        <v>4276</v>
      </c>
      <c r="G7993" s="109">
        <v>46403</v>
      </c>
      <c r="H7993" s="108" t="s">
        <v>25458</v>
      </c>
      <c r="I7993" s="108" t="s">
        <v>95</v>
      </c>
    </row>
    <row r="7994" spans="1:9" ht="27.6">
      <c r="A7994" s="108" t="s">
        <v>15075</v>
      </c>
      <c r="B7994" s="108" t="s">
        <v>26601</v>
      </c>
      <c r="C7994" s="109">
        <v>44567</v>
      </c>
      <c r="D7994" s="108" t="s">
        <v>767</v>
      </c>
      <c r="E7994" s="108" t="s">
        <v>14605</v>
      </c>
      <c r="F7994" s="108" t="s">
        <v>766</v>
      </c>
      <c r="G7994" s="109">
        <v>46139</v>
      </c>
      <c r="H7994" s="108" t="s">
        <v>25458</v>
      </c>
      <c r="I7994" s="108" t="s">
        <v>95</v>
      </c>
    </row>
    <row r="7995" spans="1:9" ht="27.6">
      <c r="A7995" s="108" t="s">
        <v>15075</v>
      </c>
      <c r="B7995" s="108" t="s">
        <v>26602</v>
      </c>
      <c r="C7995" s="109">
        <v>44594</v>
      </c>
      <c r="D7995" s="108" t="s">
        <v>26603</v>
      </c>
      <c r="E7995" s="108" t="s">
        <v>14605</v>
      </c>
      <c r="F7995" s="108" t="s">
        <v>14764</v>
      </c>
      <c r="G7995" s="109">
        <v>45846</v>
      </c>
      <c r="H7995" s="108" t="s">
        <v>25458</v>
      </c>
      <c r="I7995" s="108" t="s">
        <v>95</v>
      </c>
    </row>
    <row r="7996" spans="1:9" ht="27.6">
      <c r="A7996" s="108" t="s">
        <v>15075</v>
      </c>
      <c r="B7996" s="108" t="s">
        <v>26604</v>
      </c>
      <c r="C7996" s="109">
        <v>44586</v>
      </c>
      <c r="D7996" s="108" t="s">
        <v>1961</v>
      </c>
      <c r="E7996" s="108" t="s">
        <v>14605</v>
      </c>
      <c r="F7996" s="108" t="s">
        <v>25667</v>
      </c>
      <c r="G7996" s="109">
        <v>46007</v>
      </c>
      <c r="H7996" s="108" t="s">
        <v>25458</v>
      </c>
      <c r="I7996" s="108" t="s">
        <v>95</v>
      </c>
    </row>
    <row r="7997" spans="1:9" ht="27.6">
      <c r="A7997" s="108" t="s">
        <v>8278</v>
      </c>
      <c r="B7997" s="108" t="s">
        <v>26605</v>
      </c>
      <c r="C7997" s="109">
        <v>44945</v>
      </c>
      <c r="D7997" s="108" t="s">
        <v>26606</v>
      </c>
      <c r="E7997" s="108" t="s">
        <v>14605</v>
      </c>
      <c r="F7997" s="108" t="s">
        <v>3210</v>
      </c>
      <c r="G7997" s="109">
        <v>45480</v>
      </c>
      <c r="H7997" s="108" t="s">
        <v>25458</v>
      </c>
      <c r="I7997" s="108" t="s">
        <v>95</v>
      </c>
    </row>
    <row r="7998" spans="1:9" ht="27.6">
      <c r="A7998" s="108" t="s">
        <v>15075</v>
      </c>
      <c r="B7998" s="108" t="s">
        <v>26607</v>
      </c>
      <c r="C7998" s="109">
        <v>44595</v>
      </c>
      <c r="D7998" s="108" t="s">
        <v>26608</v>
      </c>
      <c r="E7998" s="108" t="s">
        <v>14605</v>
      </c>
      <c r="F7998" s="108" t="s">
        <v>3848</v>
      </c>
      <c r="G7998" s="109">
        <v>45263</v>
      </c>
      <c r="H7998" s="108" t="s">
        <v>25458</v>
      </c>
      <c r="I7998" s="108" t="s">
        <v>95</v>
      </c>
    </row>
    <row r="7999" spans="1:9" ht="27.6">
      <c r="A7999" s="108" t="s">
        <v>15075</v>
      </c>
      <c r="B7999" s="108" t="s">
        <v>26609</v>
      </c>
      <c r="C7999" s="109">
        <v>44650</v>
      </c>
      <c r="D7999" s="108" t="s">
        <v>26610</v>
      </c>
      <c r="E7999" s="108" t="s">
        <v>14605</v>
      </c>
      <c r="F7999" s="108" t="s">
        <v>5110</v>
      </c>
      <c r="G7999" s="109">
        <v>45348</v>
      </c>
      <c r="H7999" s="108" t="s">
        <v>25458</v>
      </c>
      <c r="I7999" s="108" t="s">
        <v>95</v>
      </c>
    </row>
    <row r="8000" spans="1:9" ht="27.6">
      <c r="A8000" s="108" t="s">
        <v>15075</v>
      </c>
      <c r="B8000" s="108" t="s">
        <v>26611</v>
      </c>
      <c r="C8000" s="109">
        <v>44680</v>
      </c>
      <c r="D8000" s="108" t="s">
        <v>3916</v>
      </c>
      <c r="E8000" s="108" t="s">
        <v>14605</v>
      </c>
      <c r="F8000" s="108" t="s">
        <v>3915</v>
      </c>
      <c r="G8000" s="109">
        <v>46355</v>
      </c>
      <c r="H8000" s="108" t="s">
        <v>25458</v>
      </c>
      <c r="I8000" s="108" t="s">
        <v>95</v>
      </c>
    </row>
    <row r="8001" spans="1:9" ht="27.6">
      <c r="A8001" s="108" t="s">
        <v>15075</v>
      </c>
      <c r="B8001" s="108" t="s">
        <v>26612</v>
      </c>
      <c r="C8001" s="109">
        <v>44805</v>
      </c>
      <c r="D8001" s="108" t="s">
        <v>26613</v>
      </c>
      <c r="E8001" s="108" t="s">
        <v>14605</v>
      </c>
      <c r="F8001" s="108" t="s">
        <v>151</v>
      </c>
      <c r="G8001" s="109">
        <v>44954</v>
      </c>
      <c r="H8001" s="108" t="s">
        <v>25458</v>
      </c>
      <c r="I8001" s="108" t="s">
        <v>95</v>
      </c>
    </row>
    <row r="8002" spans="1:9" ht="27.6">
      <c r="A8002" s="108" t="s">
        <v>15075</v>
      </c>
      <c r="B8002" s="108" t="s">
        <v>26614</v>
      </c>
      <c r="C8002" s="109">
        <v>44858</v>
      </c>
      <c r="D8002" s="108" t="s">
        <v>26615</v>
      </c>
      <c r="E8002" s="108" t="s">
        <v>14605</v>
      </c>
      <c r="F8002" s="108" t="s">
        <v>2124</v>
      </c>
      <c r="G8002" s="109">
        <v>45657</v>
      </c>
      <c r="H8002" s="108" t="s">
        <v>25458</v>
      </c>
      <c r="I8002" s="108" t="s">
        <v>95</v>
      </c>
    </row>
    <row r="8003" spans="1:9" ht="27.6">
      <c r="A8003" s="108" t="s">
        <v>15075</v>
      </c>
      <c r="B8003" s="108" t="s">
        <v>26616</v>
      </c>
      <c r="C8003" s="109">
        <v>44793</v>
      </c>
      <c r="D8003" s="108" t="s">
        <v>26617</v>
      </c>
      <c r="E8003" s="108" t="s">
        <v>14605</v>
      </c>
      <c r="F8003" s="108" t="s">
        <v>3620</v>
      </c>
      <c r="G8003" s="109">
        <v>45723</v>
      </c>
      <c r="H8003" s="108" t="s">
        <v>25458</v>
      </c>
      <c r="I8003" s="108" t="s">
        <v>95</v>
      </c>
    </row>
    <row r="8004" spans="1:9" ht="27.6">
      <c r="A8004" s="108" t="s">
        <v>15075</v>
      </c>
      <c r="B8004" s="108" t="s">
        <v>26618</v>
      </c>
      <c r="C8004" s="109">
        <v>44860</v>
      </c>
      <c r="D8004" s="108" t="s">
        <v>26619</v>
      </c>
      <c r="E8004" s="108" t="s">
        <v>14605</v>
      </c>
      <c r="F8004" s="108" t="s">
        <v>3947</v>
      </c>
      <c r="G8004" s="109">
        <v>45007</v>
      </c>
      <c r="H8004" s="108" t="s">
        <v>25458</v>
      </c>
      <c r="I8004" s="108" t="s">
        <v>95</v>
      </c>
    </row>
    <row r="8005" spans="1:9" ht="27.6">
      <c r="A8005" s="108" t="s">
        <v>15075</v>
      </c>
      <c r="B8005" s="108" t="s">
        <v>26620</v>
      </c>
      <c r="C8005" s="109">
        <v>44861</v>
      </c>
      <c r="D8005" s="108" t="s">
        <v>26621</v>
      </c>
      <c r="E8005" s="108" t="s">
        <v>14605</v>
      </c>
      <c r="F8005" s="108" t="s">
        <v>25794</v>
      </c>
      <c r="G8005" s="109">
        <v>45640</v>
      </c>
      <c r="H8005" s="108" t="s">
        <v>25458</v>
      </c>
      <c r="I8005" s="108" t="s">
        <v>95</v>
      </c>
    </row>
    <row r="8006" spans="1:9" ht="27.6">
      <c r="A8006" s="108" t="s">
        <v>15075</v>
      </c>
      <c r="B8006" s="108" t="s">
        <v>26622</v>
      </c>
      <c r="C8006" s="109">
        <v>44943</v>
      </c>
      <c r="D8006" s="108" t="s">
        <v>26623</v>
      </c>
      <c r="E8006" s="108" t="s">
        <v>14605</v>
      </c>
      <c r="F8006" s="108" t="s">
        <v>26624</v>
      </c>
      <c r="G8006" s="109">
        <v>45334</v>
      </c>
      <c r="H8006" s="108" t="s">
        <v>25458</v>
      </c>
      <c r="I8006" s="108" t="s">
        <v>95</v>
      </c>
    </row>
    <row r="8007" spans="1:9" ht="27.6">
      <c r="A8007" s="108" t="s">
        <v>15075</v>
      </c>
      <c r="B8007" s="108" t="s">
        <v>26625</v>
      </c>
      <c r="C8007" s="109">
        <v>45125</v>
      </c>
      <c r="D8007" s="108" t="s">
        <v>26584</v>
      </c>
      <c r="E8007" s="108" t="s">
        <v>14605</v>
      </c>
      <c r="F8007" s="108" t="s">
        <v>14764</v>
      </c>
      <c r="G8007" s="109">
        <v>46665</v>
      </c>
      <c r="H8007" s="108" t="s">
        <v>25558</v>
      </c>
      <c r="I8007" s="108" t="s">
        <v>95</v>
      </c>
    </row>
    <row r="8008" spans="1:9" ht="27.6">
      <c r="A8008" s="108" t="s">
        <v>15075</v>
      </c>
      <c r="B8008" s="108" t="s">
        <v>26626</v>
      </c>
      <c r="C8008" s="109">
        <v>45145</v>
      </c>
      <c r="D8008" s="108" t="s">
        <v>26627</v>
      </c>
      <c r="E8008" s="108" t="s">
        <v>14605</v>
      </c>
      <c r="F8008" s="108" t="s">
        <v>2836</v>
      </c>
      <c r="G8008" s="109">
        <v>46225</v>
      </c>
      <c r="H8008" s="108" t="s">
        <v>25458</v>
      </c>
      <c r="I8008" s="108" t="s">
        <v>95</v>
      </c>
    </row>
    <row r="8009" spans="1:9" ht="27.6">
      <c r="A8009" s="108" t="s">
        <v>15075</v>
      </c>
      <c r="B8009" s="108" t="s">
        <v>26628</v>
      </c>
      <c r="C8009" s="109">
        <v>45156</v>
      </c>
      <c r="D8009" s="108" t="s">
        <v>2018</v>
      </c>
      <c r="E8009" s="108" t="s">
        <v>14605</v>
      </c>
      <c r="F8009" s="108" t="s">
        <v>2013</v>
      </c>
      <c r="G8009" s="109">
        <v>46145</v>
      </c>
      <c r="H8009" s="108" t="s">
        <v>25458</v>
      </c>
      <c r="I8009" s="108" t="s">
        <v>95</v>
      </c>
    </row>
    <row r="8010" spans="1:9" ht="27.6">
      <c r="A8010" s="108" t="s">
        <v>15075</v>
      </c>
      <c r="B8010" s="108" t="s">
        <v>26629</v>
      </c>
      <c r="C8010" s="109">
        <v>45177</v>
      </c>
      <c r="D8010" s="108" t="s">
        <v>26630</v>
      </c>
      <c r="E8010" s="108" t="s">
        <v>14605</v>
      </c>
      <c r="F8010" s="108" t="s">
        <v>16674</v>
      </c>
      <c r="G8010" s="109">
        <v>45304</v>
      </c>
      <c r="H8010" s="108" t="s">
        <v>25458</v>
      </c>
      <c r="I8010" s="108" t="s">
        <v>95</v>
      </c>
    </row>
    <row r="8011" spans="1:9" ht="27.6">
      <c r="A8011" s="108" t="s">
        <v>15075</v>
      </c>
      <c r="B8011" s="108" t="s">
        <v>26631</v>
      </c>
      <c r="C8011" s="109">
        <v>45177</v>
      </c>
      <c r="D8011" s="108" t="s">
        <v>26632</v>
      </c>
      <c r="E8011" s="108" t="s">
        <v>14605</v>
      </c>
      <c r="F8011" s="108" t="s">
        <v>4476</v>
      </c>
      <c r="G8011" s="109">
        <v>45334</v>
      </c>
      <c r="H8011" s="108" t="s">
        <v>25458</v>
      </c>
      <c r="I8011" s="108" t="s">
        <v>95</v>
      </c>
    </row>
    <row r="8012" spans="1:9" ht="27.6">
      <c r="A8012" s="108" t="s">
        <v>15075</v>
      </c>
      <c r="B8012" s="108" t="s">
        <v>26633</v>
      </c>
      <c r="C8012" s="109">
        <v>45322</v>
      </c>
      <c r="D8012" s="108" t="s">
        <v>26634</v>
      </c>
      <c r="E8012" s="108" t="s">
        <v>14605</v>
      </c>
      <c r="F8012" s="108" t="s">
        <v>4343</v>
      </c>
      <c r="G8012" s="109">
        <v>46034</v>
      </c>
      <c r="H8012" s="108" t="s">
        <v>25458</v>
      </c>
      <c r="I8012" s="108" t="s">
        <v>95</v>
      </c>
    </row>
    <row r="8013" spans="1:9" ht="27.6">
      <c r="A8013" s="108" t="s">
        <v>15075</v>
      </c>
      <c r="B8013" s="108" t="s">
        <v>26635</v>
      </c>
      <c r="C8013" s="109">
        <v>45322</v>
      </c>
      <c r="D8013" s="108" t="s">
        <v>26636</v>
      </c>
      <c r="E8013" s="108" t="s">
        <v>14605</v>
      </c>
      <c r="F8013" s="108" t="s">
        <v>4343</v>
      </c>
      <c r="G8013" s="109">
        <v>46034</v>
      </c>
      <c r="H8013" s="108" t="s">
        <v>25458</v>
      </c>
      <c r="I8013" s="108" t="s">
        <v>95</v>
      </c>
    </row>
    <row r="8014" spans="1:9" ht="27.6">
      <c r="A8014" s="108" t="s">
        <v>15075</v>
      </c>
      <c r="B8014" s="108" t="s">
        <v>26637</v>
      </c>
      <c r="C8014" s="109">
        <v>45499</v>
      </c>
      <c r="D8014" s="108" t="s">
        <v>4565</v>
      </c>
      <c r="E8014" s="108" t="s">
        <v>14605</v>
      </c>
      <c r="F8014" s="108" t="s">
        <v>4559</v>
      </c>
      <c r="G8014" s="109">
        <v>45935</v>
      </c>
      <c r="H8014" s="108" t="s">
        <v>25458</v>
      </c>
      <c r="I8014" s="108" t="s">
        <v>95</v>
      </c>
    </row>
    <row r="8015" spans="1:9" ht="27.6">
      <c r="A8015" s="108" t="s">
        <v>15075</v>
      </c>
      <c r="B8015" s="108" t="s">
        <v>26638</v>
      </c>
      <c r="C8015" s="109">
        <v>45695</v>
      </c>
      <c r="D8015" s="108" t="s">
        <v>4393</v>
      </c>
      <c r="E8015" s="108" t="s">
        <v>14605</v>
      </c>
      <c r="F8015" s="108" t="s">
        <v>4390</v>
      </c>
      <c r="G8015" s="109">
        <v>46558</v>
      </c>
      <c r="H8015" s="108" t="s">
        <v>25458</v>
      </c>
      <c r="I8015" s="108" t="s">
        <v>95</v>
      </c>
    </row>
    <row r="8016" spans="1:9">
      <c r="A8016" s="108" t="s">
        <v>15756</v>
      </c>
      <c r="B8016" s="108" t="s">
        <v>26639</v>
      </c>
      <c r="C8016" s="109">
        <v>43290</v>
      </c>
      <c r="D8016" s="108" t="s">
        <v>26640</v>
      </c>
      <c r="E8016" s="108" t="s">
        <v>14605</v>
      </c>
      <c r="F8016" s="108" t="s">
        <v>25463</v>
      </c>
      <c r="G8016" s="109">
        <v>44196</v>
      </c>
      <c r="H8016" s="108" t="s">
        <v>25458</v>
      </c>
      <c r="I8016" s="108" t="s">
        <v>95</v>
      </c>
    </row>
    <row r="8017" spans="1:9">
      <c r="A8017" s="108" t="s">
        <v>15756</v>
      </c>
      <c r="B8017" s="108" t="s">
        <v>26641</v>
      </c>
      <c r="C8017" s="109">
        <v>42851</v>
      </c>
      <c r="D8017" s="108" t="s">
        <v>26642</v>
      </c>
      <c r="E8017" s="108" t="s">
        <v>14605</v>
      </c>
      <c r="F8017" s="108" t="s">
        <v>4074</v>
      </c>
      <c r="G8017" s="109">
        <v>44188</v>
      </c>
      <c r="H8017" s="108" t="s">
        <v>25458</v>
      </c>
      <c r="I8017" s="108" t="s">
        <v>95</v>
      </c>
    </row>
    <row r="8018" spans="1:9">
      <c r="A8018" s="108" t="s">
        <v>15756</v>
      </c>
      <c r="B8018" s="108" t="s">
        <v>26643</v>
      </c>
      <c r="C8018" s="109">
        <v>42374</v>
      </c>
      <c r="D8018" s="108" t="s">
        <v>26644</v>
      </c>
      <c r="E8018" s="108" t="s">
        <v>14605</v>
      </c>
      <c r="F8018" s="108" t="s">
        <v>14629</v>
      </c>
      <c r="G8018" s="109">
        <v>44033</v>
      </c>
      <c r="H8018" s="108" t="s">
        <v>25458</v>
      </c>
      <c r="I8018" s="108" t="s">
        <v>95</v>
      </c>
    </row>
    <row r="8019" spans="1:9">
      <c r="A8019" s="108" t="s">
        <v>16151</v>
      </c>
      <c r="B8019" s="108" t="s">
        <v>3384</v>
      </c>
      <c r="C8019" s="109">
        <v>44916</v>
      </c>
      <c r="D8019" s="108" t="s">
        <v>3385</v>
      </c>
      <c r="E8019" s="108" t="s">
        <v>14605</v>
      </c>
      <c r="F8019" s="108" t="s">
        <v>14672</v>
      </c>
      <c r="G8019" s="109">
        <v>45849</v>
      </c>
      <c r="H8019" s="108" t="s">
        <v>25458</v>
      </c>
      <c r="I8019" s="108" t="s">
        <v>95</v>
      </c>
    </row>
    <row r="8020" spans="1:9" ht="27.6">
      <c r="A8020" s="108" t="s">
        <v>109</v>
      </c>
      <c r="B8020" s="108" t="s">
        <v>400</v>
      </c>
      <c r="C8020" s="109">
        <v>43452</v>
      </c>
      <c r="D8020" s="108" t="s">
        <v>401</v>
      </c>
      <c r="E8020" s="108" t="s">
        <v>14605</v>
      </c>
      <c r="F8020" s="108" t="s">
        <v>394</v>
      </c>
      <c r="G8020" s="109">
        <v>46009</v>
      </c>
      <c r="H8020" s="108" t="s">
        <v>25458</v>
      </c>
      <c r="I8020" s="108" t="s">
        <v>95</v>
      </c>
    </row>
    <row r="8021" spans="1:9" ht="27.6">
      <c r="A8021" s="108" t="s">
        <v>8247</v>
      </c>
      <c r="B8021" s="108" t="s">
        <v>1085</v>
      </c>
      <c r="C8021" s="109">
        <v>44480</v>
      </c>
      <c r="D8021" s="108" t="s">
        <v>1086</v>
      </c>
      <c r="E8021" s="108" t="s">
        <v>14605</v>
      </c>
      <c r="F8021" s="108" t="s">
        <v>1077</v>
      </c>
      <c r="G8021" s="109">
        <v>45937</v>
      </c>
      <c r="H8021" s="108" t="s">
        <v>25458</v>
      </c>
      <c r="I8021" s="108" t="s">
        <v>95</v>
      </c>
    </row>
    <row r="8022" spans="1:9" ht="27.6">
      <c r="A8022" s="108" t="s">
        <v>109</v>
      </c>
      <c r="B8022" s="108" t="s">
        <v>3707</v>
      </c>
      <c r="C8022" s="109">
        <v>43543</v>
      </c>
      <c r="D8022" s="108" t="s">
        <v>3708</v>
      </c>
      <c r="E8022" s="108" t="s">
        <v>14605</v>
      </c>
      <c r="F8022" s="108" t="s">
        <v>3687</v>
      </c>
      <c r="G8022" s="109">
        <v>46156</v>
      </c>
      <c r="H8022" s="108" t="s">
        <v>25458</v>
      </c>
      <c r="I8022" s="108" t="s">
        <v>95</v>
      </c>
    </row>
    <row r="8023" spans="1:9" ht="27.6">
      <c r="A8023" s="108" t="s">
        <v>109</v>
      </c>
      <c r="B8023" s="108" t="s">
        <v>159</v>
      </c>
      <c r="C8023" s="109">
        <v>43592</v>
      </c>
      <c r="D8023" s="108" t="s">
        <v>160</v>
      </c>
      <c r="E8023" s="108" t="s">
        <v>14605</v>
      </c>
      <c r="F8023" s="108" t="s">
        <v>26645</v>
      </c>
      <c r="G8023" s="109">
        <v>44522</v>
      </c>
      <c r="H8023" s="108" t="s">
        <v>25458</v>
      </c>
      <c r="I8023" s="108" t="s">
        <v>95</v>
      </c>
    </row>
    <row r="8024" spans="1:9" ht="27.6">
      <c r="A8024" s="108" t="s">
        <v>109</v>
      </c>
      <c r="B8024" s="108" t="s">
        <v>3740</v>
      </c>
      <c r="C8024" s="109">
        <v>43599</v>
      </c>
      <c r="D8024" s="108" t="s">
        <v>3741</v>
      </c>
      <c r="E8024" s="108" t="s">
        <v>14605</v>
      </c>
      <c r="F8024" s="108" t="s">
        <v>3734</v>
      </c>
      <c r="G8024" s="109">
        <v>45881</v>
      </c>
      <c r="H8024" s="108" t="s">
        <v>25458</v>
      </c>
      <c r="I8024" s="108" t="s">
        <v>95</v>
      </c>
    </row>
    <row r="8025" spans="1:9" ht="27.6">
      <c r="A8025" s="108" t="s">
        <v>109</v>
      </c>
      <c r="B8025" s="108" t="s">
        <v>3380</v>
      </c>
      <c r="C8025" s="109">
        <v>43656</v>
      </c>
      <c r="D8025" s="108" t="s">
        <v>3381</v>
      </c>
      <c r="E8025" s="108" t="s">
        <v>14605</v>
      </c>
      <c r="F8025" s="108" t="s">
        <v>14672</v>
      </c>
      <c r="G8025" s="109">
        <v>45849</v>
      </c>
      <c r="H8025" s="108" t="s">
        <v>25458</v>
      </c>
      <c r="I8025" s="108" t="s">
        <v>95</v>
      </c>
    </row>
    <row r="8026" spans="1:9" ht="27.6">
      <c r="A8026" s="108" t="s">
        <v>109</v>
      </c>
      <c r="B8026" s="108" t="s">
        <v>3378</v>
      </c>
      <c r="C8026" s="109">
        <v>43591</v>
      </c>
      <c r="D8026" s="108" t="s">
        <v>3379</v>
      </c>
      <c r="E8026" s="108" t="s">
        <v>14605</v>
      </c>
      <c r="F8026" s="108" t="s">
        <v>14672</v>
      </c>
      <c r="G8026" s="109">
        <v>45849</v>
      </c>
      <c r="H8026" s="108" t="s">
        <v>25458</v>
      </c>
      <c r="I8026" s="108" t="s">
        <v>95</v>
      </c>
    </row>
    <row r="8027" spans="1:9" ht="27.6">
      <c r="A8027" s="108" t="s">
        <v>109</v>
      </c>
      <c r="B8027" s="108" t="s">
        <v>2445</v>
      </c>
      <c r="C8027" s="109">
        <v>43613</v>
      </c>
      <c r="D8027" s="108" t="s">
        <v>2446</v>
      </c>
      <c r="E8027" s="108" t="s">
        <v>14605</v>
      </c>
      <c r="F8027" s="108" t="s">
        <v>2431</v>
      </c>
      <c r="G8027" s="109">
        <v>46022</v>
      </c>
      <c r="H8027" s="108" t="s">
        <v>25458</v>
      </c>
      <c r="I8027" s="108" t="s">
        <v>95</v>
      </c>
    </row>
    <row r="8028" spans="1:9" ht="27.6">
      <c r="A8028" s="108" t="s">
        <v>109</v>
      </c>
      <c r="B8028" s="108" t="s">
        <v>3086</v>
      </c>
      <c r="C8028" s="109">
        <v>43705</v>
      </c>
      <c r="D8028" s="108" t="s">
        <v>3087</v>
      </c>
      <c r="E8028" s="108" t="s">
        <v>14605</v>
      </c>
      <c r="F8028" s="108" t="s">
        <v>3056</v>
      </c>
      <c r="G8028" s="109">
        <v>45896</v>
      </c>
      <c r="H8028" s="108" t="s">
        <v>25458</v>
      </c>
      <c r="I8028" s="108" t="s">
        <v>95</v>
      </c>
    </row>
    <row r="8029" spans="1:9" ht="27.6">
      <c r="A8029" s="108" t="s">
        <v>109</v>
      </c>
      <c r="B8029" s="108" t="s">
        <v>4359</v>
      </c>
      <c r="C8029" s="109">
        <v>43728</v>
      </c>
      <c r="D8029" s="108" t="s">
        <v>4360</v>
      </c>
      <c r="E8029" s="108" t="s">
        <v>14605</v>
      </c>
      <c r="F8029" s="108" t="s">
        <v>4343</v>
      </c>
      <c r="G8029" s="109">
        <v>45918</v>
      </c>
      <c r="H8029" s="108" t="s">
        <v>25458</v>
      </c>
      <c r="I8029" s="108" t="s">
        <v>95</v>
      </c>
    </row>
    <row r="8030" spans="1:9" ht="27.6">
      <c r="A8030" s="108" t="s">
        <v>109</v>
      </c>
      <c r="B8030" s="108" t="s">
        <v>492</v>
      </c>
      <c r="C8030" s="109">
        <v>43851</v>
      </c>
      <c r="D8030" s="108" t="s">
        <v>493</v>
      </c>
      <c r="E8030" s="108" t="s">
        <v>14605</v>
      </c>
      <c r="F8030" s="108" t="s">
        <v>484</v>
      </c>
      <c r="G8030" s="109">
        <v>46062</v>
      </c>
      <c r="H8030" s="108" t="s">
        <v>25458</v>
      </c>
      <c r="I8030" s="108" t="s">
        <v>95</v>
      </c>
    </row>
    <row r="8031" spans="1:9" ht="27.6">
      <c r="A8031" s="108" t="s">
        <v>109</v>
      </c>
      <c r="B8031" s="108" t="s">
        <v>824</v>
      </c>
      <c r="C8031" s="109">
        <v>43887</v>
      </c>
      <c r="D8031" s="108" t="s">
        <v>825</v>
      </c>
      <c r="E8031" s="108" t="s">
        <v>14605</v>
      </c>
      <c r="F8031" s="108" t="s">
        <v>816</v>
      </c>
      <c r="G8031" s="109">
        <v>46080</v>
      </c>
      <c r="H8031" s="108" t="s">
        <v>25458</v>
      </c>
      <c r="I8031" s="108" t="s">
        <v>95</v>
      </c>
    </row>
    <row r="8032" spans="1:9" ht="27.6">
      <c r="A8032" s="108" t="s">
        <v>109</v>
      </c>
      <c r="B8032" s="108" t="s">
        <v>822</v>
      </c>
      <c r="C8032" s="109">
        <v>43860</v>
      </c>
      <c r="D8032" s="108" t="s">
        <v>823</v>
      </c>
      <c r="E8032" s="108" t="s">
        <v>14605</v>
      </c>
      <c r="F8032" s="108" t="s">
        <v>816</v>
      </c>
      <c r="G8032" s="109">
        <v>46062</v>
      </c>
      <c r="H8032" s="108" t="s">
        <v>25458</v>
      </c>
      <c r="I8032" s="108" t="s">
        <v>95</v>
      </c>
    </row>
    <row r="8033" spans="1:9" ht="27.6">
      <c r="A8033" s="108" t="s">
        <v>981</v>
      </c>
      <c r="B8033" s="108" t="s">
        <v>4316</v>
      </c>
      <c r="C8033" s="109">
        <v>43889</v>
      </c>
      <c r="D8033" s="108" t="s">
        <v>4317</v>
      </c>
      <c r="E8033" s="108" t="s">
        <v>14605</v>
      </c>
      <c r="F8033" s="108" t="s">
        <v>4314</v>
      </c>
      <c r="G8033" s="109">
        <v>44631</v>
      </c>
      <c r="H8033" s="108" t="s">
        <v>25458</v>
      </c>
      <c r="I8033" s="108" t="s">
        <v>95</v>
      </c>
    </row>
    <row r="8034" spans="1:9" ht="27.6">
      <c r="A8034" s="108" t="s">
        <v>8247</v>
      </c>
      <c r="B8034" s="108" t="s">
        <v>3026</v>
      </c>
      <c r="C8034" s="109">
        <v>43919</v>
      </c>
      <c r="D8034" s="108" t="s">
        <v>3027</v>
      </c>
      <c r="E8034" s="108" t="s">
        <v>14605</v>
      </c>
      <c r="F8034" s="108" t="s">
        <v>3024</v>
      </c>
      <c r="G8034" s="109">
        <v>46141</v>
      </c>
      <c r="H8034" s="108" t="s">
        <v>25458</v>
      </c>
      <c r="I8034" s="108" t="s">
        <v>95</v>
      </c>
    </row>
    <row r="8035" spans="1:9" ht="27.6">
      <c r="A8035" s="108" t="s">
        <v>8247</v>
      </c>
      <c r="B8035" s="108" t="s">
        <v>853</v>
      </c>
      <c r="C8035" s="109">
        <v>43917</v>
      </c>
      <c r="D8035" s="108" t="s">
        <v>854</v>
      </c>
      <c r="E8035" s="108" t="s">
        <v>14605</v>
      </c>
      <c r="F8035" s="108" t="s">
        <v>845</v>
      </c>
      <c r="G8035" s="109">
        <v>46121</v>
      </c>
      <c r="H8035" s="108" t="s">
        <v>25458</v>
      </c>
      <c r="I8035" s="108" t="s">
        <v>95</v>
      </c>
    </row>
    <row r="8036" spans="1:9" ht="27.6">
      <c r="A8036" s="108" t="s">
        <v>109</v>
      </c>
      <c r="B8036" s="108" t="s">
        <v>3770</v>
      </c>
      <c r="C8036" s="109">
        <v>43952</v>
      </c>
      <c r="D8036" s="108" t="s">
        <v>3771</v>
      </c>
      <c r="E8036" s="108" t="s">
        <v>14605</v>
      </c>
      <c r="F8036" s="108" t="s">
        <v>3768</v>
      </c>
      <c r="G8036" s="109">
        <v>45854</v>
      </c>
      <c r="H8036" s="108" t="s">
        <v>25458</v>
      </c>
      <c r="I8036" s="108" t="s">
        <v>95</v>
      </c>
    </row>
    <row r="8037" spans="1:9" ht="27.6">
      <c r="A8037" s="108" t="s">
        <v>250</v>
      </c>
      <c r="B8037" s="108" t="s">
        <v>2904</v>
      </c>
      <c r="C8037" s="109">
        <v>44012</v>
      </c>
      <c r="D8037" s="108" t="s">
        <v>2906</v>
      </c>
      <c r="E8037" s="108" t="s">
        <v>14605</v>
      </c>
      <c r="F8037" s="108" t="s">
        <v>2905</v>
      </c>
      <c r="G8037" s="109">
        <v>46032</v>
      </c>
      <c r="H8037" s="108" t="s">
        <v>25458</v>
      </c>
      <c r="I8037" s="108" t="s">
        <v>95</v>
      </c>
    </row>
    <row r="8038" spans="1:9" ht="27.6">
      <c r="A8038" s="108" t="s">
        <v>8247</v>
      </c>
      <c r="B8038" s="108" t="s">
        <v>5140</v>
      </c>
      <c r="C8038" s="109">
        <v>44062</v>
      </c>
      <c r="D8038" s="108" t="s">
        <v>5141</v>
      </c>
      <c r="E8038" s="108" t="s">
        <v>14605</v>
      </c>
      <c r="F8038" s="108" t="s">
        <v>5138</v>
      </c>
      <c r="G8038" s="109">
        <v>46176</v>
      </c>
      <c r="H8038" s="108" t="s">
        <v>25458</v>
      </c>
      <c r="I8038" s="108" t="s">
        <v>95</v>
      </c>
    </row>
    <row r="8039" spans="1:9" ht="27.6">
      <c r="A8039" s="108" t="s">
        <v>109</v>
      </c>
      <c r="B8039" s="108" t="s">
        <v>4402</v>
      </c>
      <c r="C8039" s="109">
        <v>44097</v>
      </c>
      <c r="D8039" s="108" t="s">
        <v>4403</v>
      </c>
      <c r="E8039" s="108" t="s">
        <v>14605</v>
      </c>
      <c r="F8039" s="108" t="s">
        <v>4390</v>
      </c>
      <c r="G8039" s="109">
        <v>45847</v>
      </c>
      <c r="H8039" s="108" t="s">
        <v>25458</v>
      </c>
      <c r="I8039" s="108" t="s">
        <v>95</v>
      </c>
    </row>
    <row r="8040" spans="1:9" ht="27.6">
      <c r="A8040" s="108" t="s">
        <v>109</v>
      </c>
      <c r="B8040" s="108" t="s">
        <v>490</v>
      </c>
      <c r="C8040" s="109">
        <v>44041</v>
      </c>
      <c r="D8040" s="108" t="s">
        <v>491</v>
      </c>
      <c r="E8040" s="108" t="s">
        <v>14605</v>
      </c>
      <c r="F8040" s="108" t="s">
        <v>484</v>
      </c>
      <c r="G8040" s="109">
        <v>44786</v>
      </c>
      <c r="H8040" s="108" t="s">
        <v>25458</v>
      </c>
      <c r="I8040" s="108" t="s">
        <v>95</v>
      </c>
    </row>
    <row r="8041" spans="1:9" ht="27.6">
      <c r="A8041" s="108" t="s">
        <v>109</v>
      </c>
      <c r="B8041" s="108" t="s">
        <v>975</v>
      </c>
      <c r="C8041" s="109">
        <v>44046</v>
      </c>
      <c r="D8041" s="108" t="s">
        <v>977</v>
      </c>
      <c r="E8041" s="108" t="s">
        <v>14605</v>
      </c>
      <c r="F8041" s="108" t="s">
        <v>976</v>
      </c>
      <c r="G8041" s="109">
        <v>46245</v>
      </c>
      <c r="H8041" s="108" t="s">
        <v>25458</v>
      </c>
      <c r="I8041" s="108" t="s">
        <v>95</v>
      </c>
    </row>
    <row r="8042" spans="1:9" ht="27.6">
      <c r="A8042" s="108" t="s">
        <v>109</v>
      </c>
      <c r="B8042" s="108" t="s">
        <v>1392</v>
      </c>
      <c r="C8042" s="109">
        <v>44048</v>
      </c>
      <c r="D8042" s="108" t="s">
        <v>1393</v>
      </c>
      <c r="E8042" s="108" t="s">
        <v>14605</v>
      </c>
      <c r="F8042" s="108" t="s">
        <v>1390</v>
      </c>
      <c r="G8042" s="109">
        <v>46238</v>
      </c>
      <c r="H8042" s="108" t="s">
        <v>25458</v>
      </c>
      <c r="I8042" s="108" t="s">
        <v>95</v>
      </c>
    </row>
    <row r="8043" spans="1:9" ht="27.6">
      <c r="A8043" s="108" t="s">
        <v>109</v>
      </c>
      <c r="B8043" s="108" t="s">
        <v>2364</v>
      </c>
      <c r="C8043" s="109">
        <v>44070</v>
      </c>
      <c r="D8043" s="108" t="s">
        <v>2366</v>
      </c>
      <c r="E8043" s="108" t="s">
        <v>14605</v>
      </c>
      <c r="F8043" s="108" t="s">
        <v>2365</v>
      </c>
      <c r="G8043" s="109">
        <v>45902</v>
      </c>
      <c r="H8043" s="108" t="s">
        <v>25458</v>
      </c>
      <c r="I8043" s="108" t="s">
        <v>95</v>
      </c>
    </row>
    <row r="8044" spans="1:9" ht="27.6">
      <c r="A8044" s="108" t="s">
        <v>1072</v>
      </c>
      <c r="B8044" s="108" t="s">
        <v>4250</v>
      </c>
      <c r="C8044" s="109">
        <v>44069</v>
      </c>
      <c r="D8044" s="108" t="s">
        <v>4252</v>
      </c>
      <c r="E8044" s="108" t="s">
        <v>14605</v>
      </c>
      <c r="F8044" s="108" t="s">
        <v>4251</v>
      </c>
      <c r="G8044" s="109">
        <v>45161</v>
      </c>
      <c r="H8044" s="108" t="s">
        <v>25458</v>
      </c>
      <c r="I8044" s="108" t="s">
        <v>95</v>
      </c>
    </row>
    <row r="8045" spans="1:9" ht="27.6">
      <c r="A8045" s="108" t="s">
        <v>109</v>
      </c>
      <c r="B8045" s="108" t="s">
        <v>3082</v>
      </c>
      <c r="C8045" s="109">
        <v>44097</v>
      </c>
      <c r="D8045" s="108" t="s">
        <v>3083</v>
      </c>
      <c r="E8045" s="108" t="s">
        <v>14605</v>
      </c>
      <c r="F8045" s="108" t="s">
        <v>3056</v>
      </c>
      <c r="G8045" s="109">
        <v>45922</v>
      </c>
      <c r="H8045" s="108" t="s">
        <v>25458</v>
      </c>
      <c r="I8045" s="108" t="s">
        <v>95</v>
      </c>
    </row>
    <row r="8046" spans="1:9" ht="27.6">
      <c r="A8046" s="108" t="s">
        <v>109</v>
      </c>
      <c r="B8046" s="108" t="s">
        <v>837</v>
      </c>
      <c r="C8046" s="109">
        <v>44090</v>
      </c>
      <c r="D8046" s="108" t="s">
        <v>838</v>
      </c>
      <c r="E8046" s="108" t="s">
        <v>14605</v>
      </c>
      <c r="F8046" s="108" t="s">
        <v>833</v>
      </c>
      <c r="G8046" s="109">
        <v>46022</v>
      </c>
      <c r="H8046" s="108" t="s">
        <v>25458</v>
      </c>
      <c r="I8046" s="108" t="s">
        <v>95</v>
      </c>
    </row>
    <row r="8047" spans="1:9" ht="27.6">
      <c r="A8047" s="108" t="s">
        <v>109</v>
      </c>
      <c r="B8047" s="108" t="s">
        <v>2031</v>
      </c>
      <c r="C8047" s="109">
        <v>44119</v>
      </c>
      <c r="D8047" s="108" t="s">
        <v>2032</v>
      </c>
      <c r="E8047" s="108" t="s">
        <v>14605</v>
      </c>
      <c r="F8047" s="108" t="s">
        <v>2013</v>
      </c>
      <c r="G8047" s="109">
        <v>45932</v>
      </c>
      <c r="H8047" s="108" t="s">
        <v>25458</v>
      </c>
      <c r="I8047" s="108" t="s">
        <v>95</v>
      </c>
    </row>
    <row r="8048" spans="1:9" ht="27.6">
      <c r="A8048" s="108" t="s">
        <v>109</v>
      </c>
      <c r="B8048" s="108" t="s">
        <v>2029</v>
      </c>
      <c r="C8048" s="109">
        <v>44116</v>
      </c>
      <c r="D8048" s="108" t="s">
        <v>2030</v>
      </c>
      <c r="E8048" s="108" t="s">
        <v>14605</v>
      </c>
      <c r="F8048" s="108" t="s">
        <v>2013</v>
      </c>
      <c r="G8048" s="109">
        <v>45953</v>
      </c>
      <c r="H8048" s="108" t="s">
        <v>25458</v>
      </c>
      <c r="I8048" s="108" t="s">
        <v>95</v>
      </c>
    </row>
    <row r="8049" spans="1:9" ht="27.6">
      <c r="A8049" s="108" t="s">
        <v>109</v>
      </c>
      <c r="B8049" s="108" t="s">
        <v>1722</v>
      </c>
      <c r="C8049" s="109">
        <v>44131</v>
      </c>
      <c r="D8049" s="108" t="s">
        <v>1724</v>
      </c>
      <c r="E8049" s="108" t="s">
        <v>14605</v>
      </c>
      <c r="F8049" s="108" t="s">
        <v>1723</v>
      </c>
      <c r="G8049" s="109">
        <v>45991</v>
      </c>
      <c r="H8049" s="108" t="s">
        <v>25458</v>
      </c>
      <c r="I8049" s="108" t="s">
        <v>95</v>
      </c>
    </row>
    <row r="8050" spans="1:9" ht="27.6">
      <c r="A8050" s="108" t="s">
        <v>1072</v>
      </c>
      <c r="B8050" s="108" t="s">
        <v>1174</v>
      </c>
      <c r="C8050" s="109">
        <v>44140</v>
      </c>
      <c r="D8050" s="108" t="s">
        <v>1175</v>
      </c>
      <c r="E8050" s="108" t="s">
        <v>14605</v>
      </c>
      <c r="F8050" s="108" t="s">
        <v>1170</v>
      </c>
      <c r="G8050" s="109">
        <v>45957</v>
      </c>
      <c r="H8050" s="108" t="s">
        <v>25458</v>
      </c>
      <c r="I8050" s="108" t="s">
        <v>95</v>
      </c>
    </row>
    <row r="8051" spans="1:9" ht="27.6">
      <c r="A8051" s="108" t="s">
        <v>109</v>
      </c>
      <c r="B8051" s="108" t="s">
        <v>2902</v>
      </c>
      <c r="C8051" s="109">
        <v>44167</v>
      </c>
      <c r="D8051" s="108" t="s">
        <v>2903</v>
      </c>
      <c r="E8051" s="108" t="s">
        <v>14605</v>
      </c>
      <c r="F8051" s="108" t="s">
        <v>25624</v>
      </c>
      <c r="G8051" s="109">
        <v>45275</v>
      </c>
      <c r="H8051" s="108" t="s">
        <v>25458</v>
      </c>
      <c r="I8051" s="108" t="s">
        <v>95</v>
      </c>
    </row>
    <row r="8052" spans="1:9" ht="27.6">
      <c r="A8052" s="108" t="s">
        <v>109</v>
      </c>
      <c r="B8052" s="108" t="s">
        <v>2027</v>
      </c>
      <c r="C8052" s="109">
        <v>44216</v>
      </c>
      <c r="D8052" s="108" t="s">
        <v>2028</v>
      </c>
      <c r="E8052" s="108" t="s">
        <v>14605</v>
      </c>
      <c r="F8052" s="108" t="s">
        <v>2013</v>
      </c>
      <c r="G8052" s="109">
        <v>45972</v>
      </c>
      <c r="H8052" s="108" t="s">
        <v>25458</v>
      </c>
      <c r="I8052" s="108" t="s">
        <v>95</v>
      </c>
    </row>
    <row r="8053" spans="1:9" ht="27.6">
      <c r="A8053" s="108" t="s">
        <v>250</v>
      </c>
      <c r="B8053" s="108" t="s">
        <v>1727</v>
      </c>
      <c r="C8053" s="109">
        <v>44228</v>
      </c>
      <c r="D8053" s="108" t="s">
        <v>1729</v>
      </c>
      <c r="E8053" s="108" t="s">
        <v>14605</v>
      </c>
      <c r="F8053" s="108" t="s">
        <v>1728</v>
      </c>
      <c r="G8053" s="109">
        <v>46035</v>
      </c>
      <c r="H8053" s="108" t="s">
        <v>25458</v>
      </c>
      <c r="I8053" s="108" t="s">
        <v>95</v>
      </c>
    </row>
    <row r="8054" spans="1:9" ht="27.6">
      <c r="A8054" s="108" t="s">
        <v>109</v>
      </c>
      <c r="B8054" s="108" t="s">
        <v>1476</v>
      </c>
      <c r="C8054" s="109">
        <v>44202</v>
      </c>
      <c r="D8054" s="108" t="s">
        <v>1477</v>
      </c>
      <c r="E8054" s="108" t="s">
        <v>14605</v>
      </c>
      <c r="F8054" s="108" t="s">
        <v>1470</v>
      </c>
      <c r="G8054" s="109">
        <v>46032</v>
      </c>
      <c r="H8054" s="108" t="s">
        <v>25458</v>
      </c>
      <c r="I8054" s="108" t="s">
        <v>95</v>
      </c>
    </row>
    <row r="8055" spans="1:9" ht="27.6">
      <c r="A8055" s="108" t="s">
        <v>109</v>
      </c>
      <c r="B8055" s="108" t="s">
        <v>519</v>
      </c>
      <c r="C8055" s="109">
        <v>44256</v>
      </c>
      <c r="D8055" s="108" t="s">
        <v>520</v>
      </c>
      <c r="E8055" s="108" t="s">
        <v>14605</v>
      </c>
      <c r="F8055" s="108" t="s">
        <v>517</v>
      </c>
      <c r="G8055" s="109">
        <v>46039</v>
      </c>
      <c r="H8055" s="108" t="s">
        <v>25458</v>
      </c>
      <c r="I8055" s="108" t="s">
        <v>95</v>
      </c>
    </row>
    <row r="8056" spans="1:9" ht="27.6">
      <c r="A8056" s="108" t="s">
        <v>109</v>
      </c>
      <c r="B8056" s="108" t="s">
        <v>851</v>
      </c>
      <c r="C8056" s="109">
        <v>44246</v>
      </c>
      <c r="D8056" s="108" t="s">
        <v>852</v>
      </c>
      <c r="E8056" s="108" t="s">
        <v>14605</v>
      </c>
      <c r="F8056" s="108" t="s">
        <v>845</v>
      </c>
      <c r="G8056" s="109">
        <v>46079</v>
      </c>
      <c r="H8056" s="108" t="s">
        <v>25458</v>
      </c>
      <c r="I8056" s="108" t="s">
        <v>95</v>
      </c>
    </row>
    <row r="8057" spans="1:9" ht="27.6">
      <c r="A8057" s="108" t="s">
        <v>109</v>
      </c>
      <c r="B8057" s="108" t="s">
        <v>915</v>
      </c>
      <c r="C8057" s="109">
        <v>44257</v>
      </c>
      <c r="D8057" s="108" t="s">
        <v>916</v>
      </c>
      <c r="E8057" s="108" t="s">
        <v>14605</v>
      </c>
      <c r="F8057" s="108" t="s">
        <v>913</v>
      </c>
      <c r="G8057" s="109">
        <v>46085</v>
      </c>
      <c r="H8057" s="108" t="s">
        <v>25458</v>
      </c>
      <c r="I8057" s="108" t="s">
        <v>95</v>
      </c>
    </row>
    <row r="8058" spans="1:9" ht="27.6">
      <c r="A8058" s="108" t="s">
        <v>109</v>
      </c>
      <c r="B8058" s="108" t="s">
        <v>415</v>
      </c>
      <c r="C8058" s="109">
        <v>44232</v>
      </c>
      <c r="D8058" s="108" t="s">
        <v>417</v>
      </c>
      <c r="E8058" s="108" t="s">
        <v>14605</v>
      </c>
      <c r="F8058" s="108" t="s">
        <v>416</v>
      </c>
      <c r="G8058" s="109">
        <v>46074</v>
      </c>
      <c r="H8058" s="108" t="s">
        <v>25458</v>
      </c>
      <c r="I8058" s="108" t="s">
        <v>95</v>
      </c>
    </row>
    <row r="8059" spans="1:9" ht="27.6">
      <c r="A8059" s="108" t="s">
        <v>109</v>
      </c>
      <c r="B8059" s="108" t="s">
        <v>1148</v>
      </c>
      <c r="C8059" s="109">
        <v>44227</v>
      </c>
      <c r="D8059" s="108" t="s">
        <v>1149</v>
      </c>
      <c r="E8059" s="108" t="s">
        <v>14605</v>
      </c>
      <c r="F8059" s="108" t="s">
        <v>1146</v>
      </c>
      <c r="G8059" s="109">
        <v>46203</v>
      </c>
      <c r="H8059" s="108" t="s">
        <v>25458</v>
      </c>
      <c r="I8059" s="108" t="s">
        <v>95</v>
      </c>
    </row>
    <row r="8060" spans="1:9" ht="27.6">
      <c r="A8060" s="108" t="s">
        <v>109</v>
      </c>
      <c r="B8060" s="108" t="s">
        <v>3115</v>
      </c>
      <c r="C8060" s="109">
        <v>44253</v>
      </c>
      <c r="D8060" s="108" t="s">
        <v>3117</v>
      </c>
      <c r="E8060" s="108" t="s">
        <v>14605</v>
      </c>
      <c r="F8060" s="108" t="s">
        <v>3116</v>
      </c>
      <c r="G8060" s="109">
        <v>46080</v>
      </c>
      <c r="H8060" s="108" t="s">
        <v>25458</v>
      </c>
      <c r="I8060" s="108" t="s">
        <v>95</v>
      </c>
    </row>
    <row r="8061" spans="1:9" ht="27.6">
      <c r="A8061" s="108" t="s">
        <v>109</v>
      </c>
      <c r="B8061" s="108" t="s">
        <v>1145</v>
      </c>
      <c r="C8061" s="109">
        <v>44227</v>
      </c>
      <c r="D8061" s="108" t="s">
        <v>1147</v>
      </c>
      <c r="E8061" s="108" t="s">
        <v>14605</v>
      </c>
      <c r="F8061" s="108" t="s">
        <v>1146</v>
      </c>
      <c r="G8061" s="109">
        <v>46203</v>
      </c>
      <c r="H8061" s="108" t="s">
        <v>25458</v>
      </c>
      <c r="I8061" s="108" t="s">
        <v>95</v>
      </c>
    </row>
    <row r="8062" spans="1:9" ht="27.6">
      <c r="A8062" s="108" t="s">
        <v>109</v>
      </c>
      <c r="B8062" s="108" t="s">
        <v>4673</v>
      </c>
      <c r="C8062" s="109">
        <v>44225</v>
      </c>
      <c r="D8062" s="108" t="s">
        <v>4675</v>
      </c>
      <c r="E8062" s="108" t="s">
        <v>14605</v>
      </c>
      <c r="F8062" s="108" t="s">
        <v>4674</v>
      </c>
      <c r="G8062" s="109">
        <v>46071</v>
      </c>
      <c r="H8062" s="108" t="s">
        <v>25458</v>
      </c>
      <c r="I8062" s="108" t="s">
        <v>95</v>
      </c>
    </row>
    <row r="8063" spans="1:9" ht="27.6">
      <c r="A8063" s="108" t="s">
        <v>109</v>
      </c>
      <c r="B8063" s="108" t="s">
        <v>2657</v>
      </c>
      <c r="C8063" s="109">
        <v>44333</v>
      </c>
      <c r="D8063" s="108" t="s">
        <v>2658</v>
      </c>
      <c r="E8063" s="108" t="s">
        <v>14605</v>
      </c>
      <c r="F8063" s="108" t="s">
        <v>2655</v>
      </c>
      <c r="G8063" s="109">
        <v>45062</v>
      </c>
      <c r="H8063" s="108" t="s">
        <v>25458</v>
      </c>
      <c r="I8063" s="108" t="s">
        <v>95</v>
      </c>
    </row>
    <row r="8064" spans="1:9" ht="27.6">
      <c r="A8064" s="108" t="s">
        <v>1072</v>
      </c>
      <c r="B8064" s="108" t="s">
        <v>1224</v>
      </c>
      <c r="C8064" s="109">
        <v>44334</v>
      </c>
      <c r="D8064" s="108" t="s">
        <v>1226</v>
      </c>
      <c r="E8064" s="108" t="s">
        <v>14605</v>
      </c>
      <c r="F8064" s="108" t="s">
        <v>1225</v>
      </c>
      <c r="G8064" s="109">
        <v>45063</v>
      </c>
      <c r="H8064" s="108" t="s">
        <v>25458</v>
      </c>
      <c r="I8064" s="108" t="s">
        <v>95</v>
      </c>
    </row>
    <row r="8065" spans="1:9" ht="27.6">
      <c r="A8065" s="108" t="s">
        <v>109</v>
      </c>
      <c r="B8065" s="108" t="s">
        <v>1360</v>
      </c>
      <c r="C8065" s="109">
        <v>44327</v>
      </c>
      <c r="D8065" s="108" t="s">
        <v>1361</v>
      </c>
      <c r="E8065" s="108" t="s">
        <v>14605</v>
      </c>
      <c r="F8065" s="108" t="s">
        <v>1338</v>
      </c>
      <c r="G8065" s="109">
        <v>46092</v>
      </c>
      <c r="H8065" s="108" t="s">
        <v>25458</v>
      </c>
      <c r="I8065" s="108" t="s">
        <v>95</v>
      </c>
    </row>
    <row r="8066" spans="1:9" ht="27.6">
      <c r="A8066" s="108" t="s">
        <v>109</v>
      </c>
      <c r="B8066" s="108" t="s">
        <v>1242</v>
      </c>
      <c r="C8066" s="109">
        <v>44261</v>
      </c>
      <c r="D8066" s="108" t="s">
        <v>1243</v>
      </c>
      <c r="E8066" s="108" t="s">
        <v>14605</v>
      </c>
      <c r="F8066" s="108" t="s">
        <v>1228</v>
      </c>
      <c r="G8066" s="109">
        <v>46103</v>
      </c>
      <c r="H8066" s="108" t="s">
        <v>25458</v>
      </c>
      <c r="I8066" s="108" t="s">
        <v>95</v>
      </c>
    </row>
    <row r="8067" spans="1:9" ht="27.6">
      <c r="A8067" s="108" t="s">
        <v>109</v>
      </c>
      <c r="B8067" s="108" t="s">
        <v>3080</v>
      </c>
      <c r="C8067" s="109">
        <v>44337</v>
      </c>
      <c r="D8067" s="108" t="s">
        <v>3081</v>
      </c>
      <c r="E8067" s="108" t="s">
        <v>14605</v>
      </c>
      <c r="F8067" s="108" t="s">
        <v>3056</v>
      </c>
      <c r="G8067" s="109">
        <v>46162</v>
      </c>
      <c r="H8067" s="108" t="s">
        <v>25458</v>
      </c>
      <c r="I8067" s="108" t="s">
        <v>95</v>
      </c>
    </row>
    <row r="8068" spans="1:9" ht="27.6">
      <c r="A8068" s="108" t="s">
        <v>109</v>
      </c>
      <c r="B8068" s="108" t="s">
        <v>2861</v>
      </c>
      <c r="C8068" s="109">
        <v>44280</v>
      </c>
      <c r="D8068" s="108" t="s">
        <v>2862</v>
      </c>
      <c r="E8068" s="108" t="s">
        <v>14605</v>
      </c>
      <c r="F8068" s="108" t="s">
        <v>2853</v>
      </c>
      <c r="G8068" s="109">
        <v>46105</v>
      </c>
      <c r="H8068" s="108" t="s">
        <v>25458</v>
      </c>
      <c r="I8068" s="108" t="s">
        <v>95</v>
      </c>
    </row>
    <row r="8069" spans="1:9" ht="27.6">
      <c r="A8069" s="108" t="s">
        <v>109</v>
      </c>
      <c r="B8069" s="108" t="s">
        <v>2577</v>
      </c>
      <c r="C8069" s="109">
        <v>44302</v>
      </c>
      <c r="D8069" s="108" t="s">
        <v>2578</v>
      </c>
      <c r="E8069" s="108" t="s">
        <v>14605</v>
      </c>
      <c r="F8069" s="108" t="s">
        <v>2552</v>
      </c>
      <c r="G8069" s="109">
        <v>45418</v>
      </c>
      <c r="H8069" s="108" t="s">
        <v>25458</v>
      </c>
      <c r="I8069" s="108" t="s">
        <v>95</v>
      </c>
    </row>
    <row r="8070" spans="1:9" ht="27.6">
      <c r="A8070" s="108" t="s">
        <v>109</v>
      </c>
      <c r="B8070" s="108" t="s">
        <v>1877</v>
      </c>
      <c r="C8070" s="109">
        <v>44343</v>
      </c>
      <c r="D8070" s="108" t="s">
        <v>1878</v>
      </c>
      <c r="E8070" s="108" t="s">
        <v>14605</v>
      </c>
      <c r="F8070" s="108" t="s">
        <v>1875</v>
      </c>
      <c r="G8070" s="109">
        <v>46168</v>
      </c>
      <c r="H8070" s="108" t="s">
        <v>25458</v>
      </c>
      <c r="I8070" s="108" t="s">
        <v>95</v>
      </c>
    </row>
    <row r="8071" spans="1:9" ht="27.6">
      <c r="A8071" s="108" t="s">
        <v>250</v>
      </c>
      <c r="B8071" s="108" t="s">
        <v>1142</v>
      </c>
      <c r="C8071" s="109">
        <v>44357</v>
      </c>
      <c r="D8071" s="108" t="s">
        <v>1144</v>
      </c>
      <c r="E8071" s="108" t="s">
        <v>14605</v>
      </c>
      <c r="F8071" s="108" t="s">
        <v>1143</v>
      </c>
      <c r="G8071" s="109">
        <v>45817</v>
      </c>
      <c r="H8071" s="108" t="s">
        <v>25458</v>
      </c>
      <c r="I8071" s="108" t="s">
        <v>95</v>
      </c>
    </row>
    <row r="8072" spans="1:9" ht="27.6">
      <c r="A8072" s="108" t="s">
        <v>109</v>
      </c>
      <c r="B8072" s="108" t="s">
        <v>4179</v>
      </c>
      <c r="C8072" s="109">
        <v>44397</v>
      </c>
      <c r="D8072" s="108" t="s">
        <v>4180</v>
      </c>
      <c r="E8072" s="108" t="s">
        <v>14605</v>
      </c>
      <c r="F8072" s="108" t="s">
        <v>4175</v>
      </c>
      <c r="G8072" s="109">
        <v>45922</v>
      </c>
      <c r="H8072" s="108" t="s">
        <v>25458</v>
      </c>
      <c r="I8072" s="108" t="s">
        <v>95</v>
      </c>
    </row>
    <row r="8073" spans="1:9" ht="27.6">
      <c r="A8073" s="108" t="s">
        <v>109</v>
      </c>
      <c r="B8073" s="108" t="s">
        <v>2528</v>
      </c>
      <c r="C8073" s="109">
        <v>44362</v>
      </c>
      <c r="D8073" s="108" t="s">
        <v>2530</v>
      </c>
      <c r="E8073" s="108" t="s">
        <v>14605</v>
      </c>
      <c r="F8073" s="108" t="s">
        <v>2529</v>
      </c>
      <c r="G8073" s="109">
        <v>46120</v>
      </c>
      <c r="H8073" s="108" t="s">
        <v>25458</v>
      </c>
      <c r="I8073" s="108" t="s">
        <v>95</v>
      </c>
    </row>
    <row r="8074" spans="1:9" ht="27.6">
      <c r="A8074" s="108" t="s">
        <v>109</v>
      </c>
      <c r="B8074" s="108" t="s">
        <v>4129</v>
      </c>
      <c r="C8074" s="109">
        <v>44362</v>
      </c>
      <c r="D8074" s="108" t="s">
        <v>4131</v>
      </c>
      <c r="E8074" s="108" t="s">
        <v>14605</v>
      </c>
      <c r="F8074" s="108" t="s">
        <v>4130</v>
      </c>
      <c r="G8074" s="109">
        <v>46221</v>
      </c>
      <c r="H8074" s="108" t="s">
        <v>25458</v>
      </c>
      <c r="I8074" s="108" t="s">
        <v>95</v>
      </c>
    </row>
    <row r="8075" spans="1:9" ht="27.6">
      <c r="A8075" s="108" t="s">
        <v>109</v>
      </c>
      <c r="B8075" s="108" t="s">
        <v>2356</v>
      </c>
      <c r="C8075" s="109">
        <v>44404</v>
      </c>
      <c r="D8075" s="108" t="s">
        <v>2357</v>
      </c>
      <c r="E8075" s="108" t="s">
        <v>14605</v>
      </c>
      <c r="F8075" s="108" t="s">
        <v>2354</v>
      </c>
      <c r="G8075" s="109">
        <v>45935</v>
      </c>
      <c r="H8075" s="108" t="s">
        <v>25458</v>
      </c>
      <c r="I8075" s="108" t="s">
        <v>95</v>
      </c>
    </row>
    <row r="8076" spans="1:9" ht="27.6">
      <c r="A8076" s="108" t="s">
        <v>1072</v>
      </c>
      <c r="B8076" s="108" t="s">
        <v>4809</v>
      </c>
      <c r="C8076" s="109">
        <v>44473</v>
      </c>
      <c r="D8076" s="108" t="s">
        <v>4811</v>
      </c>
      <c r="E8076" s="108" t="s">
        <v>14605</v>
      </c>
      <c r="F8076" s="108" t="s">
        <v>4810</v>
      </c>
      <c r="G8076" s="109">
        <v>46014</v>
      </c>
      <c r="H8076" s="108" t="s">
        <v>25458</v>
      </c>
      <c r="I8076" s="108" t="s">
        <v>95</v>
      </c>
    </row>
    <row r="8077" spans="1:9" ht="27.6">
      <c r="A8077" s="108" t="s">
        <v>109</v>
      </c>
      <c r="B8077" s="108" t="s">
        <v>2758</v>
      </c>
      <c r="C8077" s="109">
        <v>44449</v>
      </c>
      <c r="D8077" s="108" t="s">
        <v>2760</v>
      </c>
      <c r="E8077" s="108" t="s">
        <v>14605</v>
      </c>
      <c r="F8077" s="108" t="s">
        <v>2759</v>
      </c>
      <c r="G8077" s="109">
        <v>45930</v>
      </c>
      <c r="H8077" s="108" t="s">
        <v>25458</v>
      </c>
      <c r="I8077" s="108" t="s">
        <v>95</v>
      </c>
    </row>
    <row r="8078" spans="1:9" ht="27.6">
      <c r="A8078" s="108" t="s">
        <v>109</v>
      </c>
      <c r="B8078" s="108" t="s">
        <v>2054</v>
      </c>
      <c r="C8078" s="109">
        <v>44942</v>
      </c>
      <c r="D8078" s="108" t="s">
        <v>2056</v>
      </c>
      <c r="E8078" s="108" t="s">
        <v>14605</v>
      </c>
      <c r="F8078" s="108" t="s">
        <v>2055</v>
      </c>
      <c r="G8078" s="109">
        <v>46400</v>
      </c>
      <c r="H8078" s="108" t="s">
        <v>25458</v>
      </c>
      <c r="I8078" s="108" t="s">
        <v>95</v>
      </c>
    </row>
    <row r="8079" spans="1:9" ht="27.6">
      <c r="A8079" s="108" t="s">
        <v>109</v>
      </c>
      <c r="B8079" s="108" t="s">
        <v>4820</v>
      </c>
      <c r="C8079" s="109">
        <v>45015</v>
      </c>
      <c r="D8079" s="108" t="s">
        <v>4821</v>
      </c>
      <c r="E8079" s="108" t="s">
        <v>14605</v>
      </c>
      <c r="F8079" s="108" t="s">
        <v>4818</v>
      </c>
      <c r="G8079" s="109">
        <v>47229</v>
      </c>
      <c r="H8079" s="108" t="s">
        <v>25458</v>
      </c>
      <c r="I8079" s="108" t="s">
        <v>95</v>
      </c>
    </row>
    <row r="8080" spans="1:9" ht="27.6">
      <c r="A8080" s="108" t="s">
        <v>109</v>
      </c>
      <c r="B8080" s="108" t="s">
        <v>3674</v>
      </c>
      <c r="C8080" s="109">
        <v>45383</v>
      </c>
      <c r="D8080" s="108" t="s">
        <v>3675</v>
      </c>
      <c r="E8080" s="108" t="s">
        <v>14605</v>
      </c>
      <c r="F8080" s="108" t="s">
        <v>26102</v>
      </c>
      <c r="G8080" s="109">
        <v>46131</v>
      </c>
      <c r="H8080" s="108" t="s">
        <v>25458</v>
      </c>
      <c r="I8080" s="108" t="s">
        <v>95</v>
      </c>
    </row>
    <row r="8081" spans="1:9" ht="27.6">
      <c r="A8081" s="108" t="s">
        <v>109</v>
      </c>
      <c r="B8081" s="108" t="s">
        <v>1414</v>
      </c>
      <c r="C8081" s="109">
        <v>45434</v>
      </c>
      <c r="D8081" s="108" t="s">
        <v>1416</v>
      </c>
      <c r="E8081" s="108" t="s">
        <v>14605</v>
      </c>
      <c r="F8081" s="108" t="s">
        <v>1415</v>
      </c>
      <c r="G8081" s="109">
        <v>46185</v>
      </c>
      <c r="H8081" s="108" t="s">
        <v>25458</v>
      </c>
      <c r="I8081" s="108" t="s">
        <v>95</v>
      </c>
    </row>
    <row r="8082" spans="1:9" ht="27.6">
      <c r="A8082" s="108" t="s">
        <v>109</v>
      </c>
      <c r="B8082" s="108" t="s">
        <v>4908</v>
      </c>
      <c r="C8082" s="109">
        <v>45453</v>
      </c>
      <c r="D8082" s="108" t="s">
        <v>4909</v>
      </c>
      <c r="E8082" s="108" t="s">
        <v>14605</v>
      </c>
      <c r="F8082" s="108" t="s">
        <v>4898</v>
      </c>
      <c r="G8082" s="109">
        <v>46252</v>
      </c>
      <c r="H8082" s="108" t="s">
        <v>25458</v>
      </c>
      <c r="I8082" s="108" t="s">
        <v>95</v>
      </c>
    </row>
    <row r="8083" spans="1:9" ht="27.6">
      <c r="A8083" s="108" t="s">
        <v>250</v>
      </c>
      <c r="B8083" s="108" t="s">
        <v>2197</v>
      </c>
      <c r="C8083" s="109">
        <v>45489</v>
      </c>
      <c r="D8083" s="108" t="s">
        <v>2199</v>
      </c>
      <c r="E8083" s="108" t="s">
        <v>14605</v>
      </c>
      <c r="F8083" s="108" t="s">
        <v>2198</v>
      </c>
      <c r="G8083" s="109">
        <v>46227</v>
      </c>
      <c r="H8083" s="108" t="s">
        <v>25458</v>
      </c>
      <c r="I8083" s="108" t="s">
        <v>95</v>
      </c>
    </row>
    <row r="8084" spans="1:9" ht="27.6">
      <c r="A8084" s="108" t="s">
        <v>109</v>
      </c>
      <c r="B8084" s="108" t="s">
        <v>3246</v>
      </c>
      <c r="C8084" s="109">
        <v>45504</v>
      </c>
      <c r="D8084" s="108" t="s">
        <v>3247</v>
      </c>
      <c r="E8084" s="108" t="s">
        <v>14605</v>
      </c>
      <c r="F8084" s="108" t="s">
        <v>25474</v>
      </c>
      <c r="G8084" s="109">
        <v>46231</v>
      </c>
      <c r="H8084" s="108" t="s">
        <v>25458</v>
      </c>
      <c r="I8084" s="108" t="s">
        <v>95</v>
      </c>
    </row>
    <row r="8085" spans="1:9" ht="27.6">
      <c r="A8085" s="108" t="s">
        <v>109</v>
      </c>
      <c r="B8085" s="108" t="s">
        <v>4246</v>
      </c>
      <c r="C8085" s="109">
        <v>44434</v>
      </c>
      <c r="D8085" s="108" t="s">
        <v>4247</v>
      </c>
      <c r="E8085" s="108" t="s">
        <v>14605</v>
      </c>
      <c r="F8085" s="108" t="s">
        <v>4242</v>
      </c>
      <c r="G8085" s="109">
        <v>45910</v>
      </c>
      <c r="H8085" s="108" t="s">
        <v>25458</v>
      </c>
      <c r="I8085" s="108" t="s">
        <v>95</v>
      </c>
    </row>
    <row r="8086" spans="1:9" ht="27.6">
      <c r="A8086" s="108" t="s">
        <v>109</v>
      </c>
      <c r="B8086" s="108" t="s">
        <v>234</v>
      </c>
      <c r="C8086" s="109">
        <v>44358</v>
      </c>
      <c r="D8086" s="108" t="s">
        <v>236</v>
      </c>
      <c r="E8086" s="108" t="s">
        <v>14605</v>
      </c>
      <c r="F8086" s="108" t="s">
        <v>235</v>
      </c>
      <c r="G8086" s="109">
        <v>45818</v>
      </c>
      <c r="H8086" s="108" t="s">
        <v>25458</v>
      </c>
      <c r="I8086" s="108" t="s">
        <v>95</v>
      </c>
    </row>
    <row r="8087" spans="1:9" ht="27.6">
      <c r="A8087" s="108" t="s">
        <v>109</v>
      </c>
      <c r="B8087" s="108" t="s">
        <v>3972</v>
      </c>
      <c r="C8087" s="109">
        <v>44416</v>
      </c>
      <c r="D8087" s="108" t="s">
        <v>3973</v>
      </c>
      <c r="E8087" s="108" t="s">
        <v>14605</v>
      </c>
      <c r="F8087" s="108" t="s">
        <v>3967</v>
      </c>
      <c r="G8087" s="109">
        <v>47375</v>
      </c>
      <c r="H8087" s="108" t="s">
        <v>25458</v>
      </c>
      <c r="I8087" s="108" t="s">
        <v>95</v>
      </c>
    </row>
    <row r="8088" spans="1:9" ht="27.6">
      <c r="A8088" s="108" t="s">
        <v>109</v>
      </c>
      <c r="B8088" s="108" t="s">
        <v>2025</v>
      </c>
      <c r="C8088" s="109">
        <v>44503</v>
      </c>
      <c r="D8088" s="108" t="s">
        <v>2026</v>
      </c>
      <c r="E8088" s="108" t="s">
        <v>14605</v>
      </c>
      <c r="F8088" s="108" t="s">
        <v>2013</v>
      </c>
      <c r="G8088" s="109">
        <v>45954</v>
      </c>
      <c r="H8088" s="108" t="s">
        <v>25458</v>
      </c>
      <c r="I8088" s="108" t="s">
        <v>95</v>
      </c>
    </row>
    <row r="8089" spans="1:9" ht="27.6">
      <c r="A8089" s="108" t="s">
        <v>250</v>
      </c>
      <c r="B8089" s="108" t="s">
        <v>963</v>
      </c>
      <c r="C8089" s="109">
        <v>44588</v>
      </c>
      <c r="D8089" s="108" t="s">
        <v>964</v>
      </c>
      <c r="E8089" s="108" t="s">
        <v>14605</v>
      </c>
      <c r="F8089" s="108" t="s">
        <v>14656</v>
      </c>
      <c r="G8089" s="109">
        <v>46038</v>
      </c>
      <c r="H8089" s="108" t="s">
        <v>25458</v>
      </c>
      <c r="I8089" s="108" t="s">
        <v>95</v>
      </c>
    </row>
    <row r="8090" spans="1:9" ht="27.6">
      <c r="A8090" s="108" t="s">
        <v>250</v>
      </c>
      <c r="B8090" s="108" t="s">
        <v>4615</v>
      </c>
      <c r="C8090" s="109">
        <v>44579</v>
      </c>
      <c r="D8090" s="108" t="s">
        <v>4617</v>
      </c>
      <c r="E8090" s="108" t="s">
        <v>14605</v>
      </c>
      <c r="F8090" s="108" t="s">
        <v>4616</v>
      </c>
      <c r="G8090" s="109">
        <v>46203</v>
      </c>
      <c r="H8090" s="108" t="s">
        <v>25458</v>
      </c>
      <c r="I8090" s="108" t="s">
        <v>95</v>
      </c>
    </row>
    <row r="8091" spans="1:9" ht="27.6">
      <c r="A8091" s="108" t="s">
        <v>109</v>
      </c>
      <c r="B8091" s="108" t="s">
        <v>3273</v>
      </c>
      <c r="C8091" s="109">
        <v>44543</v>
      </c>
      <c r="D8091" s="108" t="s">
        <v>3274</v>
      </c>
      <c r="E8091" s="108" t="s">
        <v>14605</v>
      </c>
      <c r="F8091" s="108" t="s">
        <v>25635</v>
      </c>
      <c r="G8091" s="109">
        <v>45961</v>
      </c>
      <c r="H8091" s="108" t="s">
        <v>25458</v>
      </c>
      <c r="I8091" s="108" t="s">
        <v>95</v>
      </c>
    </row>
    <row r="8092" spans="1:9" ht="27.6">
      <c r="A8092" s="108" t="s">
        <v>109</v>
      </c>
      <c r="B8092" s="108" t="s">
        <v>4642</v>
      </c>
      <c r="C8092" s="109">
        <v>44551</v>
      </c>
      <c r="D8092" s="108" t="s">
        <v>4643</v>
      </c>
      <c r="E8092" s="108" t="s">
        <v>14605</v>
      </c>
      <c r="F8092" s="108" t="s">
        <v>4638</v>
      </c>
      <c r="G8092" s="109">
        <v>46007</v>
      </c>
      <c r="H8092" s="108" t="s">
        <v>25458</v>
      </c>
      <c r="I8092" s="108" t="s">
        <v>95</v>
      </c>
    </row>
    <row r="8093" spans="1:9" ht="27.6">
      <c r="A8093" s="108" t="s">
        <v>109</v>
      </c>
      <c r="B8093" s="108" t="s">
        <v>4842</v>
      </c>
      <c r="C8093" s="109">
        <v>44566</v>
      </c>
      <c r="D8093" s="108" t="s">
        <v>4843</v>
      </c>
      <c r="E8093" s="108" t="s">
        <v>14605</v>
      </c>
      <c r="F8093" s="108" t="s">
        <v>4840</v>
      </c>
      <c r="G8093" s="109">
        <v>46395</v>
      </c>
      <c r="H8093" s="108" t="s">
        <v>25458</v>
      </c>
      <c r="I8093" s="108" t="s">
        <v>95</v>
      </c>
    </row>
    <row r="8094" spans="1:9" ht="27.6">
      <c r="A8094" s="108" t="s">
        <v>109</v>
      </c>
      <c r="B8094" s="108" t="s">
        <v>2674</v>
      </c>
      <c r="C8094" s="109">
        <v>44507</v>
      </c>
      <c r="D8094" s="108" t="s">
        <v>2676</v>
      </c>
      <c r="E8094" s="108" t="s">
        <v>14605</v>
      </c>
      <c r="F8094" s="108" t="s">
        <v>2675</v>
      </c>
      <c r="G8094" s="109">
        <v>46059</v>
      </c>
      <c r="H8094" s="108" t="s">
        <v>25458</v>
      </c>
      <c r="I8094" s="108" t="s">
        <v>95</v>
      </c>
    </row>
    <row r="8095" spans="1:9" ht="27.6">
      <c r="A8095" s="108" t="s">
        <v>109</v>
      </c>
      <c r="B8095" s="108" t="s">
        <v>1389</v>
      </c>
      <c r="C8095" s="109">
        <v>44617</v>
      </c>
      <c r="D8095" s="108" t="s">
        <v>1391</v>
      </c>
      <c r="E8095" s="108" t="s">
        <v>14605</v>
      </c>
      <c r="F8095" s="108" t="s">
        <v>1390</v>
      </c>
      <c r="G8095" s="109">
        <v>46238</v>
      </c>
      <c r="H8095" s="108" t="s">
        <v>25558</v>
      </c>
      <c r="I8095" s="108" t="s">
        <v>95</v>
      </c>
    </row>
    <row r="8096" spans="1:9" ht="27.6">
      <c r="A8096" s="108" t="s">
        <v>109</v>
      </c>
      <c r="B8096" s="108" t="s">
        <v>1409</v>
      </c>
      <c r="C8096" s="109">
        <v>44575</v>
      </c>
      <c r="D8096" s="108" t="s">
        <v>1410</v>
      </c>
      <c r="E8096" s="108" t="s">
        <v>14605</v>
      </c>
      <c r="F8096" s="108" t="s">
        <v>25549</v>
      </c>
      <c r="G8096" s="109">
        <v>46027</v>
      </c>
      <c r="H8096" s="108" t="s">
        <v>25458</v>
      </c>
      <c r="I8096" s="108" t="s">
        <v>95</v>
      </c>
    </row>
    <row r="8097" spans="1:9" ht="27.6">
      <c r="A8097" s="108" t="s">
        <v>1072</v>
      </c>
      <c r="B8097" s="108" t="s">
        <v>5209</v>
      </c>
      <c r="C8097" s="109">
        <v>45119</v>
      </c>
      <c r="D8097" s="108" t="s">
        <v>5210</v>
      </c>
      <c r="E8097" s="108" t="s">
        <v>14605</v>
      </c>
      <c r="F8097" s="108" t="s">
        <v>5145</v>
      </c>
      <c r="G8097" s="109">
        <v>45869</v>
      </c>
      <c r="H8097" s="108" t="s">
        <v>25458</v>
      </c>
      <c r="I8097" s="108" t="s">
        <v>95</v>
      </c>
    </row>
    <row r="8098" spans="1:9" ht="27.6">
      <c r="A8098" s="108" t="s">
        <v>109</v>
      </c>
      <c r="B8098" s="108" t="s">
        <v>4436</v>
      </c>
      <c r="C8098" s="109">
        <v>44580</v>
      </c>
      <c r="D8098" s="108" t="s">
        <v>4437</v>
      </c>
      <c r="E8098" s="108" t="s">
        <v>14605</v>
      </c>
      <c r="F8098" s="108" t="s">
        <v>4434</v>
      </c>
      <c r="G8098" s="109">
        <v>46044</v>
      </c>
      <c r="H8098" s="108" t="s">
        <v>25458</v>
      </c>
      <c r="I8098" s="108" t="s">
        <v>95</v>
      </c>
    </row>
    <row r="8099" spans="1:9" ht="27.6">
      <c r="A8099" s="108" t="s">
        <v>109</v>
      </c>
      <c r="B8099" s="108" t="s">
        <v>4935</v>
      </c>
      <c r="C8099" s="109">
        <v>44595</v>
      </c>
      <c r="D8099" s="108" t="s">
        <v>4936</v>
      </c>
      <c r="E8099" s="108" t="s">
        <v>14605</v>
      </c>
      <c r="F8099" s="108" t="s">
        <v>4920</v>
      </c>
      <c r="G8099" s="109">
        <v>46056</v>
      </c>
      <c r="H8099" s="108" t="s">
        <v>25458</v>
      </c>
      <c r="I8099" s="108" t="s">
        <v>95</v>
      </c>
    </row>
    <row r="8100" spans="1:9" ht="27.6">
      <c r="A8100" s="108" t="s">
        <v>109</v>
      </c>
      <c r="B8100" s="108" t="s">
        <v>1049</v>
      </c>
      <c r="C8100" s="109">
        <v>44711</v>
      </c>
      <c r="D8100" s="108" t="s">
        <v>1051</v>
      </c>
      <c r="E8100" s="108" t="s">
        <v>14605</v>
      </c>
      <c r="F8100" s="108" t="s">
        <v>1050</v>
      </c>
      <c r="G8100" s="109">
        <v>46182</v>
      </c>
      <c r="H8100" s="108" t="s">
        <v>25458</v>
      </c>
      <c r="I8100" s="108" t="s">
        <v>95</v>
      </c>
    </row>
    <row r="8101" spans="1:9" ht="27.6">
      <c r="A8101" s="108" t="s">
        <v>109</v>
      </c>
      <c r="B8101" s="108" t="s">
        <v>2247</v>
      </c>
      <c r="C8101" s="109">
        <v>44718</v>
      </c>
      <c r="D8101" s="108" t="s">
        <v>2249</v>
      </c>
      <c r="E8101" s="108" t="s">
        <v>14605</v>
      </c>
      <c r="F8101" s="108" t="s">
        <v>2248</v>
      </c>
      <c r="G8101" s="109">
        <v>46188</v>
      </c>
      <c r="H8101" s="108" t="s">
        <v>25458</v>
      </c>
      <c r="I8101" s="108" t="s">
        <v>95</v>
      </c>
    </row>
    <row r="8102" spans="1:9" ht="27.6">
      <c r="A8102" s="108" t="s">
        <v>109</v>
      </c>
      <c r="B8102" s="108" t="s">
        <v>245</v>
      </c>
      <c r="C8102" s="109">
        <v>44741</v>
      </c>
      <c r="D8102" s="108" t="s">
        <v>246</v>
      </c>
      <c r="E8102" s="108" t="s">
        <v>14605</v>
      </c>
      <c r="F8102" s="108" t="s">
        <v>242</v>
      </c>
      <c r="G8102" s="109">
        <v>46050</v>
      </c>
      <c r="H8102" s="108" t="s">
        <v>25558</v>
      </c>
      <c r="I8102" s="108" t="s">
        <v>95</v>
      </c>
    </row>
    <row r="8103" spans="1:9" ht="27.6">
      <c r="A8103" s="108" t="s">
        <v>109</v>
      </c>
      <c r="B8103" s="108" t="s">
        <v>1131</v>
      </c>
      <c r="C8103" s="109">
        <v>44769</v>
      </c>
      <c r="D8103" s="108" t="s">
        <v>1133</v>
      </c>
      <c r="E8103" s="108" t="s">
        <v>14605</v>
      </c>
      <c r="F8103" s="108" t="s">
        <v>1132</v>
      </c>
      <c r="G8103" s="109">
        <v>46198</v>
      </c>
      <c r="H8103" s="108" t="s">
        <v>25458</v>
      </c>
      <c r="I8103" s="108" t="s">
        <v>95</v>
      </c>
    </row>
    <row r="8104" spans="1:9" ht="27.6">
      <c r="A8104" s="108" t="s">
        <v>109</v>
      </c>
      <c r="B8104" s="108" t="s">
        <v>1584</v>
      </c>
      <c r="C8104" s="109">
        <v>44943</v>
      </c>
      <c r="D8104" s="108" t="s">
        <v>1585</v>
      </c>
      <c r="E8104" s="108" t="s">
        <v>14605</v>
      </c>
      <c r="F8104" s="108" t="s">
        <v>1577</v>
      </c>
      <c r="G8104" s="109">
        <v>46429</v>
      </c>
      <c r="H8104" s="108" t="s">
        <v>25458</v>
      </c>
      <c r="I8104" s="108" t="s">
        <v>95</v>
      </c>
    </row>
    <row r="8105" spans="1:9" ht="27.6">
      <c r="A8105" s="108" t="s">
        <v>109</v>
      </c>
      <c r="B8105" s="108" t="s">
        <v>970</v>
      </c>
      <c r="C8105" s="109">
        <v>44841</v>
      </c>
      <c r="D8105" s="108" t="s">
        <v>971</v>
      </c>
      <c r="E8105" s="108" t="s">
        <v>14605</v>
      </c>
      <c r="F8105" s="108" t="s">
        <v>966</v>
      </c>
      <c r="G8105" s="109">
        <v>46200</v>
      </c>
      <c r="H8105" s="108" t="s">
        <v>25458</v>
      </c>
      <c r="I8105" s="108" t="s">
        <v>95</v>
      </c>
    </row>
    <row r="8106" spans="1:9" ht="27.6">
      <c r="A8106" s="108" t="s">
        <v>1072</v>
      </c>
      <c r="B8106" s="108" t="s">
        <v>1070</v>
      </c>
      <c r="C8106" s="109">
        <v>45406</v>
      </c>
      <c r="D8106" s="108" t="s">
        <v>1071</v>
      </c>
      <c r="E8106" s="108" t="s">
        <v>14605</v>
      </c>
      <c r="F8106" s="108" t="s">
        <v>1066</v>
      </c>
      <c r="G8106" s="109">
        <v>46132</v>
      </c>
      <c r="H8106" s="108" t="s">
        <v>25458</v>
      </c>
      <c r="I8106" s="108" t="s">
        <v>95</v>
      </c>
    </row>
    <row r="8107" spans="1:9" ht="27.6">
      <c r="A8107" s="108" t="s">
        <v>109</v>
      </c>
      <c r="B8107" s="108" t="s">
        <v>5207</v>
      </c>
      <c r="C8107" s="109">
        <v>44638</v>
      </c>
      <c r="D8107" s="108" t="s">
        <v>5208</v>
      </c>
      <c r="E8107" s="108" t="s">
        <v>14605</v>
      </c>
      <c r="F8107" s="108" t="s">
        <v>5145</v>
      </c>
      <c r="G8107" s="109">
        <v>46215</v>
      </c>
      <c r="H8107" s="108" t="s">
        <v>25458</v>
      </c>
      <c r="I8107" s="108" t="s">
        <v>95</v>
      </c>
    </row>
    <row r="8108" spans="1:9" ht="27.6">
      <c r="A8108" s="108" t="s">
        <v>109</v>
      </c>
      <c r="B8108" s="108" t="s">
        <v>5205</v>
      </c>
      <c r="C8108" s="109">
        <v>44638</v>
      </c>
      <c r="D8108" s="108" t="s">
        <v>5206</v>
      </c>
      <c r="E8108" s="108" t="s">
        <v>14605</v>
      </c>
      <c r="F8108" s="108" t="s">
        <v>5145</v>
      </c>
      <c r="G8108" s="109">
        <v>46215</v>
      </c>
      <c r="H8108" s="108" t="s">
        <v>25458</v>
      </c>
      <c r="I8108" s="108" t="s">
        <v>95</v>
      </c>
    </row>
    <row r="8109" spans="1:9" ht="27.6">
      <c r="A8109" s="108" t="s">
        <v>109</v>
      </c>
      <c r="B8109" s="108" t="s">
        <v>222</v>
      </c>
      <c r="C8109" s="109">
        <v>45208</v>
      </c>
      <c r="D8109" s="108" t="s">
        <v>223</v>
      </c>
      <c r="E8109" s="108" t="s">
        <v>14605</v>
      </c>
      <c r="F8109" s="108" t="s">
        <v>220</v>
      </c>
      <c r="G8109" s="109">
        <v>45957</v>
      </c>
      <c r="H8109" s="108" t="s">
        <v>25458</v>
      </c>
      <c r="I8109" s="108" t="s">
        <v>95</v>
      </c>
    </row>
    <row r="8110" spans="1:9" ht="27.6">
      <c r="A8110" s="108" t="s">
        <v>109</v>
      </c>
      <c r="B8110" s="108" t="s">
        <v>2390</v>
      </c>
      <c r="C8110" s="109">
        <v>44693</v>
      </c>
      <c r="D8110" s="108" t="s">
        <v>2391</v>
      </c>
      <c r="E8110" s="108" t="s">
        <v>14605</v>
      </c>
      <c r="F8110" s="108" t="s">
        <v>2379</v>
      </c>
      <c r="G8110" s="109">
        <v>46139</v>
      </c>
      <c r="H8110" s="108" t="s">
        <v>25458</v>
      </c>
      <c r="I8110" s="108" t="s">
        <v>95</v>
      </c>
    </row>
    <row r="8111" spans="1:9" ht="27.6">
      <c r="A8111" s="108" t="s">
        <v>109</v>
      </c>
      <c r="B8111" s="108" t="s">
        <v>4871</v>
      </c>
      <c r="C8111" s="109">
        <v>44643</v>
      </c>
      <c r="D8111" s="108" t="s">
        <v>4872</v>
      </c>
      <c r="E8111" s="108" t="s">
        <v>14605</v>
      </c>
      <c r="F8111" s="108" t="s">
        <v>4857</v>
      </c>
      <c r="G8111" s="109">
        <v>45392</v>
      </c>
      <c r="H8111" s="108" t="s">
        <v>25458</v>
      </c>
      <c r="I8111" s="108" t="s">
        <v>95</v>
      </c>
    </row>
    <row r="8112" spans="1:9" ht="27.6">
      <c r="A8112" s="108" t="s">
        <v>109</v>
      </c>
      <c r="B8112" s="108" t="s">
        <v>3353</v>
      </c>
      <c r="C8112" s="109">
        <v>44671</v>
      </c>
      <c r="D8112" s="108" t="s">
        <v>3355</v>
      </c>
      <c r="E8112" s="108" t="s">
        <v>14605</v>
      </c>
      <c r="F8112" s="108" t="s">
        <v>3354</v>
      </c>
      <c r="G8112" s="109">
        <v>46135</v>
      </c>
      <c r="H8112" s="108" t="s">
        <v>25458</v>
      </c>
      <c r="I8112" s="108" t="s">
        <v>95</v>
      </c>
    </row>
    <row r="8113" spans="1:9" ht="27.6">
      <c r="A8113" s="108" t="s">
        <v>109</v>
      </c>
      <c r="B8113" s="108" t="s">
        <v>2388</v>
      </c>
      <c r="C8113" s="109">
        <v>44679</v>
      </c>
      <c r="D8113" s="108" t="s">
        <v>2389</v>
      </c>
      <c r="E8113" s="108" t="s">
        <v>14605</v>
      </c>
      <c r="F8113" s="108" t="s">
        <v>2379</v>
      </c>
      <c r="G8113" s="109">
        <v>46139</v>
      </c>
      <c r="H8113" s="108" t="s">
        <v>25458</v>
      </c>
      <c r="I8113" s="108" t="s">
        <v>95</v>
      </c>
    </row>
    <row r="8114" spans="1:9" ht="27.6">
      <c r="A8114" s="108" t="s">
        <v>109</v>
      </c>
      <c r="B8114" s="108" t="s">
        <v>4746</v>
      </c>
      <c r="C8114" s="109">
        <v>44747</v>
      </c>
      <c r="D8114" s="108" t="s">
        <v>4747</v>
      </c>
      <c r="E8114" s="108" t="s">
        <v>14605</v>
      </c>
      <c r="F8114" s="108" t="s">
        <v>4732</v>
      </c>
      <c r="G8114" s="109">
        <v>45487</v>
      </c>
      <c r="H8114" s="108" t="s">
        <v>25458</v>
      </c>
      <c r="I8114" s="108" t="s">
        <v>95</v>
      </c>
    </row>
    <row r="8115" spans="1:9" ht="27.6">
      <c r="A8115" s="108" t="s">
        <v>109</v>
      </c>
      <c r="B8115" s="108" t="s">
        <v>451</v>
      </c>
      <c r="C8115" s="109">
        <v>44750</v>
      </c>
      <c r="D8115" s="108" t="s">
        <v>452</v>
      </c>
      <c r="E8115" s="108" t="s">
        <v>14605</v>
      </c>
      <c r="F8115" s="108" t="s">
        <v>449</v>
      </c>
      <c r="G8115" s="109">
        <v>46315</v>
      </c>
      <c r="H8115" s="108" t="s">
        <v>25458</v>
      </c>
      <c r="I8115" s="108" t="s">
        <v>95</v>
      </c>
    </row>
    <row r="8116" spans="1:9" ht="27.6">
      <c r="A8116" s="108" t="s">
        <v>109</v>
      </c>
      <c r="B8116" s="108" t="s">
        <v>4869</v>
      </c>
      <c r="C8116" s="109">
        <v>44782</v>
      </c>
      <c r="D8116" s="108" t="s">
        <v>4870</v>
      </c>
      <c r="E8116" s="108" t="s">
        <v>14605</v>
      </c>
      <c r="F8116" s="108" t="s">
        <v>4857</v>
      </c>
      <c r="G8116" s="109">
        <v>46251</v>
      </c>
      <c r="H8116" s="108" t="s">
        <v>25458</v>
      </c>
      <c r="I8116" s="108" t="s">
        <v>95</v>
      </c>
    </row>
    <row r="8117" spans="1:9" ht="27.6">
      <c r="A8117" s="108" t="s">
        <v>109</v>
      </c>
      <c r="B8117" s="108" t="s">
        <v>4031</v>
      </c>
      <c r="C8117" s="109">
        <v>44791</v>
      </c>
      <c r="D8117" s="108" t="s">
        <v>4032</v>
      </c>
      <c r="E8117" s="108" t="s">
        <v>14605</v>
      </c>
      <c r="F8117" s="108" t="s">
        <v>15535</v>
      </c>
      <c r="G8117" s="109">
        <v>46632</v>
      </c>
      <c r="H8117" s="108" t="s">
        <v>25558</v>
      </c>
      <c r="I8117" s="108" t="s">
        <v>95</v>
      </c>
    </row>
    <row r="8118" spans="1:9" ht="27.6">
      <c r="A8118" s="108" t="s">
        <v>109</v>
      </c>
      <c r="B8118" s="108" t="s">
        <v>793</v>
      </c>
      <c r="C8118" s="109">
        <v>44826</v>
      </c>
      <c r="D8118" s="108" t="s">
        <v>795</v>
      </c>
      <c r="E8118" s="108" t="s">
        <v>14605</v>
      </c>
      <c r="F8118" s="108" t="s">
        <v>794</v>
      </c>
      <c r="G8118" s="109">
        <v>45922</v>
      </c>
      <c r="H8118" s="108" t="s">
        <v>25458</v>
      </c>
      <c r="I8118" s="108" t="s">
        <v>95</v>
      </c>
    </row>
    <row r="8119" spans="1:9" ht="27.6">
      <c r="A8119" s="108" t="s">
        <v>109</v>
      </c>
      <c r="B8119" s="108" t="s">
        <v>5203</v>
      </c>
      <c r="C8119" s="109">
        <v>44838</v>
      </c>
      <c r="D8119" s="108" t="s">
        <v>5204</v>
      </c>
      <c r="E8119" s="108" t="s">
        <v>14605</v>
      </c>
      <c r="F8119" s="108" t="s">
        <v>5145</v>
      </c>
      <c r="G8119" s="109">
        <v>45950</v>
      </c>
      <c r="H8119" s="108" t="s">
        <v>25458</v>
      </c>
      <c r="I8119" s="108" t="s">
        <v>95</v>
      </c>
    </row>
    <row r="8120" spans="1:9" ht="27.6">
      <c r="A8120" s="108" t="s">
        <v>109</v>
      </c>
      <c r="B8120" s="108" t="s">
        <v>3164</v>
      </c>
      <c r="C8120" s="109">
        <v>44854</v>
      </c>
      <c r="D8120" s="108" t="s">
        <v>3165</v>
      </c>
      <c r="E8120" s="108" t="s">
        <v>14605</v>
      </c>
      <c r="F8120" s="108" t="s">
        <v>3162</v>
      </c>
      <c r="G8120" s="109">
        <v>45958</v>
      </c>
      <c r="H8120" s="108" t="s">
        <v>25558</v>
      </c>
      <c r="I8120" s="108" t="s">
        <v>95</v>
      </c>
    </row>
    <row r="8121" spans="1:9" ht="27.6">
      <c r="A8121" s="108" t="s">
        <v>109</v>
      </c>
      <c r="B8121" s="108" t="s">
        <v>3041</v>
      </c>
      <c r="C8121" s="109">
        <v>44868</v>
      </c>
      <c r="D8121" s="108" t="s">
        <v>3042</v>
      </c>
      <c r="E8121" s="108" t="s">
        <v>14605</v>
      </c>
      <c r="F8121" s="108" t="s">
        <v>3033</v>
      </c>
      <c r="G8121" s="109">
        <v>45984</v>
      </c>
      <c r="H8121" s="108" t="s">
        <v>25458</v>
      </c>
      <c r="I8121" s="108" t="s">
        <v>95</v>
      </c>
    </row>
    <row r="8122" spans="1:9" ht="27.6">
      <c r="A8122" s="108" t="s">
        <v>109</v>
      </c>
      <c r="B8122" s="108" t="s">
        <v>1703</v>
      </c>
      <c r="C8122" s="109">
        <v>44960</v>
      </c>
      <c r="D8122" s="108" t="s">
        <v>1704</v>
      </c>
      <c r="E8122" s="108" t="s">
        <v>14605</v>
      </c>
      <c r="F8122" s="108" t="s">
        <v>1701</v>
      </c>
      <c r="G8122" s="109">
        <v>46040</v>
      </c>
      <c r="H8122" s="108" t="s">
        <v>25458</v>
      </c>
      <c r="I8122" s="108" t="s">
        <v>95</v>
      </c>
    </row>
    <row r="8123" spans="1:9" ht="27.6">
      <c r="A8123" s="108" t="s">
        <v>109</v>
      </c>
      <c r="B8123" s="108" t="s">
        <v>1861</v>
      </c>
      <c r="C8123" s="109">
        <v>44922</v>
      </c>
      <c r="D8123" s="108" t="s">
        <v>1862</v>
      </c>
      <c r="E8123" s="108" t="s">
        <v>14605</v>
      </c>
      <c r="F8123" s="108" t="s">
        <v>25839</v>
      </c>
      <c r="G8123" s="109">
        <v>46026</v>
      </c>
      <c r="H8123" s="108" t="s">
        <v>25458</v>
      </c>
      <c r="I8123" s="108" t="s">
        <v>95</v>
      </c>
    </row>
    <row r="8124" spans="1:9" ht="27.6">
      <c r="A8124" s="108" t="s">
        <v>250</v>
      </c>
      <c r="B8124" s="108" t="s">
        <v>982</v>
      </c>
      <c r="C8124" s="109">
        <v>45243</v>
      </c>
      <c r="D8124" s="108" t="s">
        <v>984</v>
      </c>
      <c r="E8124" s="108" t="s">
        <v>14605</v>
      </c>
      <c r="F8124" s="108" t="s">
        <v>983</v>
      </c>
      <c r="G8124" s="109">
        <v>45972</v>
      </c>
      <c r="H8124" s="108" t="s">
        <v>25458</v>
      </c>
      <c r="I8124" s="108" t="s">
        <v>95</v>
      </c>
    </row>
    <row r="8125" spans="1:9" ht="27.6">
      <c r="A8125" s="108" t="s">
        <v>109</v>
      </c>
      <c r="B8125" s="108" t="s">
        <v>4570</v>
      </c>
      <c r="C8125" s="109">
        <v>44943</v>
      </c>
      <c r="D8125" s="108" t="s">
        <v>4571</v>
      </c>
      <c r="E8125" s="108" t="s">
        <v>14605</v>
      </c>
      <c r="F8125" s="108" t="s">
        <v>4559</v>
      </c>
      <c r="G8125" s="109">
        <v>45676</v>
      </c>
      <c r="H8125" s="108" t="s">
        <v>25458</v>
      </c>
      <c r="I8125" s="108" t="s">
        <v>95</v>
      </c>
    </row>
    <row r="8126" spans="1:9" ht="27.6">
      <c r="A8126" s="108" t="s">
        <v>109</v>
      </c>
      <c r="B8126" s="108" t="s">
        <v>5115</v>
      </c>
      <c r="C8126" s="109">
        <v>45086</v>
      </c>
      <c r="D8126" s="108" t="s">
        <v>5117</v>
      </c>
      <c r="E8126" s="108" t="s">
        <v>14605</v>
      </c>
      <c r="F8126" s="108" t="s">
        <v>5116</v>
      </c>
      <c r="G8126" s="109">
        <v>46177</v>
      </c>
      <c r="H8126" s="108" t="s">
        <v>25458</v>
      </c>
      <c r="I8126" s="108" t="s">
        <v>95</v>
      </c>
    </row>
    <row r="8127" spans="1:9" ht="27.6">
      <c r="A8127" s="108" t="s">
        <v>109</v>
      </c>
      <c r="B8127" s="108" t="s">
        <v>3850</v>
      </c>
      <c r="C8127" s="109">
        <v>44939</v>
      </c>
      <c r="D8127" s="108" t="s">
        <v>3851</v>
      </c>
      <c r="E8127" s="108" t="s">
        <v>14605</v>
      </c>
      <c r="F8127" s="108" t="s">
        <v>3848</v>
      </c>
      <c r="G8127" s="109">
        <v>46041</v>
      </c>
      <c r="H8127" s="108" t="s">
        <v>25458</v>
      </c>
      <c r="I8127" s="108" t="s">
        <v>95</v>
      </c>
    </row>
    <row r="8128" spans="1:9" ht="27.6">
      <c r="A8128" s="108" t="s">
        <v>109</v>
      </c>
      <c r="B8128" s="108" t="s">
        <v>1874</v>
      </c>
      <c r="C8128" s="109">
        <v>44954</v>
      </c>
      <c r="D8128" s="108" t="s">
        <v>1876</v>
      </c>
      <c r="E8128" s="108" t="s">
        <v>14605</v>
      </c>
      <c r="F8128" s="108" t="s">
        <v>1875</v>
      </c>
      <c r="G8128" s="109">
        <v>46168</v>
      </c>
      <c r="H8128" s="108" t="s">
        <v>25458</v>
      </c>
      <c r="I8128" s="108" t="s">
        <v>95</v>
      </c>
    </row>
    <row r="8129" spans="1:9" ht="27.6">
      <c r="A8129" s="108" t="s">
        <v>109</v>
      </c>
      <c r="B8129" s="108" t="s">
        <v>669</v>
      </c>
      <c r="C8129" s="109">
        <v>44978</v>
      </c>
      <c r="D8129" s="108" t="s">
        <v>670</v>
      </c>
      <c r="E8129" s="108" t="s">
        <v>14605</v>
      </c>
      <c r="F8129" s="108" t="s">
        <v>665</v>
      </c>
      <c r="G8129" s="109">
        <v>46781</v>
      </c>
      <c r="H8129" s="108" t="s">
        <v>25458</v>
      </c>
      <c r="I8129" s="108" t="s">
        <v>95</v>
      </c>
    </row>
    <row r="8130" spans="1:9" ht="27.6">
      <c r="A8130" s="108" t="s">
        <v>109</v>
      </c>
      <c r="B8130" s="108" t="s">
        <v>4568</v>
      </c>
      <c r="C8130" s="109">
        <v>44966</v>
      </c>
      <c r="D8130" s="108" t="s">
        <v>4569</v>
      </c>
      <c r="E8130" s="108" t="s">
        <v>14605</v>
      </c>
      <c r="F8130" s="108" t="s">
        <v>4559</v>
      </c>
      <c r="G8130" s="109">
        <v>46072</v>
      </c>
      <c r="H8130" s="108" t="s">
        <v>25558</v>
      </c>
      <c r="I8130" s="108" t="s">
        <v>95</v>
      </c>
    </row>
    <row r="8131" spans="1:9" ht="27.6">
      <c r="A8131" s="108" t="s">
        <v>109</v>
      </c>
      <c r="B8131" s="108" t="s">
        <v>3676</v>
      </c>
      <c r="C8131" s="109">
        <v>45008</v>
      </c>
      <c r="D8131" s="108" t="s">
        <v>3678</v>
      </c>
      <c r="E8131" s="108" t="s">
        <v>14605</v>
      </c>
      <c r="F8131" s="108" t="s">
        <v>3677</v>
      </c>
      <c r="G8131" s="109">
        <v>46112</v>
      </c>
      <c r="H8131" s="108" t="s">
        <v>25458</v>
      </c>
      <c r="I8131" s="108" t="s">
        <v>95</v>
      </c>
    </row>
    <row r="8132" spans="1:9" ht="27.6">
      <c r="A8132" s="108" t="s">
        <v>109</v>
      </c>
      <c r="B8132" s="108" t="s">
        <v>4778</v>
      </c>
      <c r="C8132" s="109">
        <v>44915</v>
      </c>
      <c r="D8132" s="108" t="s">
        <v>4779</v>
      </c>
      <c r="E8132" s="108" t="s">
        <v>14605</v>
      </c>
      <c r="F8132" s="108" t="s">
        <v>4776</v>
      </c>
      <c r="G8132" s="109">
        <v>46036</v>
      </c>
      <c r="H8132" s="108" t="s">
        <v>25458</v>
      </c>
      <c r="I8132" s="108" t="s">
        <v>95</v>
      </c>
    </row>
    <row r="8133" spans="1:9" ht="27.6">
      <c r="A8133" s="108" t="s">
        <v>109</v>
      </c>
      <c r="B8133" s="108" t="s">
        <v>2495</v>
      </c>
      <c r="C8133" s="109">
        <v>45016</v>
      </c>
      <c r="D8133" s="108" t="s">
        <v>2496</v>
      </c>
      <c r="E8133" s="108" t="s">
        <v>14605</v>
      </c>
      <c r="F8133" s="108" t="s">
        <v>2475</v>
      </c>
      <c r="G8133" s="109">
        <v>46865</v>
      </c>
      <c r="H8133" s="108" t="s">
        <v>25458</v>
      </c>
      <c r="I8133" s="108" t="s">
        <v>95</v>
      </c>
    </row>
    <row r="8134" spans="1:9" ht="27.6">
      <c r="A8134" s="108" t="s">
        <v>109</v>
      </c>
      <c r="B8134" s="108" t="s">
        <v>1857</v>
      </c>
      <c r="C8134" s="109">
        <v>45097</v>
      </c>
      <c r="D8134" s="108" t="s">
        <v>1858</v>
      </c>
      <c r="E8134" s="108" t="s">
        <v>14605</v>
      </c>
      <c r="F8134" s="108" t="s">
        <v>1853</v>
      </c>
      <c r="G8134" s="109">
        <v>46197</v>
      </c>
      <c r="H8134" s="108" t="s">
        <v>25458</v>
      </c>
      <c r="I8134" s="108" t="s">
        <v>95</v>
      </c>
    </row>
    <row r="8135" spans="1:9" ht="27.6">
      <c r="A8135" s="108" t="s">
        <v>109</v>
      </c>
      <c r="B8135" s="108" t="s">
        <v>2205</v>
      </c>
      <c r="C8135" s="109">
        <v>45114</v>
      </c>
      <c r="D8135" s="108" t="s">
        <v>2207</v>
      </c>
      <c r="E8135" s="108" t="s">
        <v>14605</v>
      </c>
      <c r="F8135" s="108" t="s">
        <v>2206</v>
      </c>
      <c r="G8135" s="109">
        <v>47315</v>
      </c>
      <c r="H8135" s="108" t="s">
        <v>25458</v>
      </c>
      <c r="I8135" s="108" t="s">
        <v>95</v>
      </c>
    </row>
    <row r="8136" spans="1:9" ht="27.6">
      <c r="A8136" s="108" t="s">
        <v>109</v>
      </c>
      <c r="B8136" s="108" t="s">
        <v>3705</v>
      </c>
      <c r="C8136" s="109">
        <v>45119</v>
      </c>
      <c r="D8136" s="108" t="s">
        <v>3706</v>
      </c>
      <c r="E8136" s="108" t="s">
        <v>14605</v>
      </c>
      <c r="F8136" s="108" t="s">
        <v>3687</v>
      </c>
      <c r="G8136" s="109">
        <v>46229</v>
      </c>
      <c r="H8136" s="108" t="s">
        <v>25458</v>
      </c>
      <c r="I8136" s="108" t="s">
        <v>95</v>
      </c>
    </row>
    <row r="8137" spans="1:9" ht="27.6">
      <c r="A8137" s="108" t="s">
        <v>109</v>
      </c>
      <c r="B8137" s="108" t="s">
        <v>2921</v>
      </c>
      <c r="C8137" s="109">
        <v>45086</v>
      </c>
      <c r="D8137" s="108" t="s">
        <v>2922</v>
      </c>
      <c r="E8137" s="108" t="s">
        <v>14605</v>
      </c>
      <c r="F8137" s="108" t="s">
        <v>25933</v>
      </c>
      <c r="G8137" s="109">
        <v>46203</v>
      </c>
      <c r="H8137" s="108" t="s">
        <v>25458</v>
      </c>
      <c r="I8137" s="108" t="s">
        <v>95</v>
      </c>
    </row>
    <row r="8138" spans="1:9" ht="27.6">
      <c r="A8138" s="108" t="s">
        <v>109</v>
      </c>
      <c r="B8138" s="108" t="s">
        <v>2919</v>
      </c>
      <c r="C8138" s="109">
        <v>45217</v>
      </c>
      <c r="D8138" s="108" t="s">
        <v>2920</v>
      </c>
      <c r="E8138" s="108" t="s">
        <v>14605</v>
      </c>
      <c r="F8138" s="108" t="s">
        <v>25933</v>
      </c>
      <c r="G8138" s="109">
        <v>46203</v>
      </c>
      <c r="H8138" s="108" t="s">
        <v>25458</v>
      </c>
      <c r="I8138" s="108" t="s">
        <v>95</v>
      </c>
    </row>
    <row r="8139" spans="1:9" ht="27.6">
      <c r="A8139" s="108" t="s">
        <v>109</v>
      </c>
      <c r="B8139" s="108" t="s">
        <v>5201</v>
      </c>
      <c r="C8139" s="109">
        <v>45133</v>
      </c>
      <c r="D8139" s="108" t="s">
        <v>5202</v>
      </c>
      <c r="E8139" s="108" t="s">
        <v>14605</v>
      </c>
      <c r="F8139" s="108" t="s">
        <v>5145</v>
      </c>
      <c r="G8139" s="109">
        <v>46216</v>
      </c>
      <c r="H8139" s="108" t="s">
        <v>25458</v>
      </c>
      <c r="I8139" s="108" t="s">
        <v>95</v>
      </c>
    </row>
    <row r="8140" spans="1:9" ht="27.6">
      <c r="A8140" s="108" t="s">
        <v>109</v>
      </c>
      <c r="B8140" s="108" t="s">
        <v>2386</v>
      </c>
      <c r="C8140" s="109">
        <v>45170</v>
      </c>
      <c r="D8140" s="108" t="s">
        <v>2387</v>
      </c>
      <c r="E8140" s="108" t="s">
        <v>14605</v>
      </c>
      <c r="F8140" s="108" t="s">
        <v>2379</v>
      </c>
      <c r="G8140" s="109">
        <v>45914</v>
      </c>
      <c r="H8140" s="108" t="s">
        <v>25458</v>
      </c>
      <c r="I8140" s="108" t="s">
        <v>95</v>
      </c>
    </row>
    <row r="8141" spans="1:9" ht="27.6">
      <c r="A8141" s="108" t="s">
        <v>109</v>
      </c>
      <c r="B8141" s="108" t="s">
        <v>1369</v>
      </c>
      <c r="C8141" s="109">
        <v>45408</v>
      </c>
      <c r="D8141" s="108" t="s">
        <v>1371</v>
      </c>
      <c r="E8141" s="108" t="s">
        <v>14605</v>
      </c>
      <c r="F8141" s="108" t="s">
        <v>14764</v>
      </c>
      <c r="G8141" s="109">
        <v>46972</v>
      </c>
      <c r="H8141" s="108" t="s">
        <v>25458</v>
      </c>
      <c r="I8141" s="108" t="s">
        <v>95</v>
      </c>
    </row>
    <row r="8142" spans="1:9" ht="27.6">
      <c r="A8142" s="108" t="s">
        <v>109</v>
      </c>
      <c r="B8142" s="108" t="s">
        <v>1784</v>
      </c>
      <c r="C8142" s="109">
        <v>45114</v>
      </c>
      <c r="D8142" s="108" t="s">
        <v>1785</v>
      </c>
      <c r="E8142" s="108" t="s">
        <v>14605</v>
      </c>
      <c r="F8142" s="108" t="s">
        <v>1770</v>
      </c>
      <c r="G8142" s="109">
        <v>47322</v>
      </c>
      <c r="H8142" s="108" t="s">
        <v>25458</v>
      </c>
      <c r="I8142" s="108" t="s">
        <v>95</v>
      </c>
    </row>
    <row r="8143" spans="1:9" ht="27.6">
      <c r="A8143" s="108" t="s">
        <v>109</v>
      </c>
      <c r="B8143" s="108" t="s">
        <v>3993</v>
      </c>
      <c r="C8143" s="109">
        <v>45166</v>
      </c>
      <c r="D8143" s="108" t="s">
        <v>3995</v>
      </c>
      <c r="E8143" s="108" t="s">
        <v>14605</v>
      </c>
      <c r="F8143" s="108" t="s">
        <v>3994</v>
      </c>
      <c r="G8143" s="109">
        <v>45920</v>
      </c>
      <c r="H8143" s="108" t="s">
        <v>25458</v>
      </c>
      <c r="I8143" s="108" t="s">
        <v>95</v>
      </c>
    </row>
    <row r="8144" spans="1:9" ht="27.6">
      <c r="A8144" s="108" t="s">
        <v>109</v>
      </c>
      <c r="B8144" s="108" t="s">
        <v>5199</v>
      </c>
      <c r="C8144" s="109">
        <v>45222</v>
      </c>
      <c r="D8144" s="108" t="s">
        <v>5200</v>
      </c>
      <c r="E8144" s="108" t="s">
        <v>14605</v>
      </c>
      <c r="F8144" s="108" t="s">
        <v>5145</v>
      </c>
      <c r="G8144" s="109">
        <v>47057</v>
      </c>
      <c r="H8144" s="108" t="s">
        <v>25458</v>
      </c>
      <c r="I8144" s="108" t="s">
        <v>95</v>
      </c>
    </row>
    <row r="8145" spans="1:9" ht="27.6">
      <c r="A8145" s="108" t="s">
        <v>109</v>
      </c>
      <c r="B8145" s="108" t="s">
        <v>444</v>
      </c>
      <c r="C8145" s="109">
        <v>45008</v>
      </c>
      <c r="D8145" s="108" t="s">
        <v>445</v>
      </c>
      <c r="E8145" s="108" t="s">
        <v>14605</v>
      </c>
      <c r="F8145" s="108" t="s">
        <v>442</v>
      </c>
      <c r="G8145" s="109">
        <v>45761</v>
      </c>
      <c r="H8145" s="108" t="s">
        <v>25458</v>
      </c>
      <c r="I8145" s="108" t="s">
        <v>95</v>
      </c>
    </row>
    <row r="8146" spans="1:9" ht="27.6">
      <c r="A8146" s="108" t="s">
        <v>109</v>
      </c>
      <c r="B8146" s="108" t="s">
        <v>441</v>
      </c>
      <c r="C8146" s="109">
        <v>45008</v>
      </c>
      <c r="D8146" s="108" t="s">
        <v>443</v>
      </c>
      <c r="E8146" s="108" t="s">
        <v>14605</v>
      </c>
      <c r="F8146" s="108" t="s">
        <v>442</v>
      </c>
      <c r="G8146" s="109">
        <v>46126</v>
      </c>
      <c r="H8146" s="108" t="s">
        <v>25458</v>
      </c>
      <c r="I8146" s="108" t="s">
        <v>95</v>
      </c>
    </row>
    <row r="8147" spans="1:9" ht="27.6">
      <c r="A8147" s="108" t="s">
        <v>109</v>
      </c>
      <c r="B8147" s="108" t="s">
        <v>3140</v>
      </c>
      <c r="C8147" s="109">
        <v>45168</v>
      </c>
      <c r="D8147" s="108" t="s">
        <v>3142</v>
      </c>
      <c r="E8147" s="108" t="s">
        <v>14605</v>
      </c>
      <c r="F8147" s="108" t="s">
        <v>3141</v>
      </c>
      <c r="G8147" s="109">
        <v>45922</v>
      </c>
      <c r="H8147" s="108" t="s">
        <v>25458</v>
      </c>
      <c r="I8147" s="108" t="s">
        <v>95</v>
      </c>
    </row>
    <row r="8148" spans="1:9" ht="27.6">
      <c r="A8148" s="108" t="s">
        <v>109</v>
      </c>
      <c r="B8148" s="108" t="s">
        <v>4933</v>
      </c>
      <c r="C8148" s="109">
        <v>45331</v>
      </c>
      <c r="D8148" s="108" t="s">
        <v>4934</v>
      </c>
      <c r="E8148" s="108" t="s">
        <v>14605</v>
      </c>
      <c r="F8148" s="108" t="s">
        <v>4920</v>
      </c>
      <c r="G8148" s="109">
        <v>47063</v>
      </c>
      <c r="H8148" s="108" t="s">
        <v>25458</v>
      </c>
      <c r="I8148" s="108" t="s">
        <v>95</v>
      </c>
    </row>
    <row r="8149" spans="1:9" ht="27.6">
      <c r="A8149" s="108" t="s">
        <v>109</v>
      </c>
      <c r="B8149" s="108" t="s">
        <v>504</v>
      </c>
      <c r="C8149" s="109">
        <v>45251</v>
      </c>
      <c r="D8149" s="108" t="s">
        <v>506</v>
      </c>
      <c r="E8149" s="108" t="s">
        <v>14605</v>
      </c>
      <c r="F8149" s="108" t="s">
        <v>505</v>
      </c>
      <c r="G8149" s="109">
        <v>46344</v>
      </c>
      <c r="H8149" s="108" t="s">
        <v>25458</v>
      </c>
      <c r="I8149" s="108" t="s">
        <v>95</v>
      </c>
    </row>
    <row r="8150" spans="1:9" ht="27.6">
      <c r="A8150" s="108" t="s">
        <v>109</v>
      </c>
      <c r="B8150" s="108" t="s">
        <v>820</v>
      </c>
      <c r="C8150" s="109">
        <v>45219</v>
      </c>
      <c r="D8150" s="108" t="s">
        <v>821</v>
      </c>
      <c r="E8150" s="108" t="s">
        <v>14605</v>
      </c>
      <c r="F8150" s="108" t="s">
        <v>816</v>
      </c>
      <c r="G8150" s="109">
        <v>47392</v>
      </c>
      <c r="H8150" s="108" t="s">
        <v>25458</v>
      </c>
      <c r="I8150" s="108" t="s">
        <v>95</v>
      </c>
    </row>
    <row r="8151" spans="1:9" ht="27.6">
      <c r="A8151" s="108" t="s">
        <v>109</v>
      </c>
      <c r="B8151" s="108" t="s">
        <v>4975</v>
      </c>
      <c r="C8151" s="109">
        <v>45352</v>
      </c>
      <c r="D8151" s="108" t="s">
        <v>4976</v>
      </c>
      <c r="E8151" s="108" t="s">
        <v>14605</v>
      </c>
      <c r="F8151" s="108" t="s">
        <v>4973</v>
      </c>
      <c r="G8151" s="109">
        <v>46800</v>
      </c>
      <c r="H8151" s="108" t="s">
        <v>25458</v>
      </c>
      <c r="I8151" s="108" t="s">
        <v>95</v>
      </c>
    </row>
    <row r="8152" spans="1:9" ht="27.6">
      <c r="A8152" s="108" t="s">
        <v>109</v>
      </c>
      <c r="B8152" s="108" t="s">
        <v>5293</v>
      </c>
      <c r="C8152" s="109">
        <v>45191</v>
      </c>
      <c r="D8152" s="108" t="s">
        <v>5294</v>
      </c>
      <c r="E8152" s="108" t="s">
        <v>14605</v>
      </c>
      <c r="F8152" s="108" t="s">
        <v>5288</v>
      </c>
      <c r="G8152" s="109">
        <v>47402</v>
      </c>
      <c r="H8152" s="108" t="s">
        <v>25458</v>
      </c>
      <c r="I8152" s="108" t="s">
        <v>95</v>
      </c>
    </row>
    <row r="8153" spans="1:9" ht="27.6">
      <c r="A8153" s="108" t="s">
        <v>109</v>
      </c>
      <c r="B8153" s="108" t="s">
        <v>3844</v>
      </c>
      <c r="C8153" s="109">
        <v>45406</v>
      </c>
      <c r="D8153" s="108" t="s">
        <v>3846</v>
      </c>
      <c r="E8153" s="108" t="s">
        <v>14605</v>
      </c>
      <c r="F8153" s="108" t="s">
        <v>3845</v>
      </c>
      <c r="G8153" s="109">
        <v>46107</v>
      </c>
      <c r="H8153" s="108" t="s">
        <v>25458</v>
      </c>
      <c r="I8153" s="108" t="s">
        <v>95</v>
      </c>
    </row>
    <row r="8154" spans="1:9" ht="27.6">
      <c r="A8154" s="108" t="s">
        <v>109</v>
      </c>
      <c r="B8154" s="108" t="s">
        <v>818</v>
      </c>
      <c r="C8154" s="109">
        <v>45217</v>
      </c>
      <c r="D8154" s="108" t="s">
        <v>819</v>
      </c>
      <c r="E8154" s="108" t="s">
        <v>14605</v>
      </c>
      <c r="F8154" s="108" t="s">
        <v>816</v>
      </c>
      <c r="G8154" s="109">
        <v>47392</v>
      </c>
      <c r="H8154" s="108" t="s">
        <v>25458</v>
      </c>
      <c r="I8154" s="108" t="s">
        <v>95</v>
      </c>
    </row>
    <row r="8155" spans="1:9" ht="27.6">
      <c r="A8155" s="108" t="s">
        <v>109</v>
      </c>
      <c r="B8155" s="108" t="s">
        <v>3597</v>
      </c>
      <c r="C8155" s="109">
        <v>45236</v>
      </c>
      <c r="D8155" s="108" t="s">
        <v>3598</v>
      </c>
      <c r="E8155" s="108" t="s">
        <v>14605</v>
      </c>
      <c r="F8155" s="108" t="s">
        <v>16000</v>
      </c>
      <c r="G8155" s="109">
        <v>46322</v>
      </c>
      <c r="H8155" s="108" t="s">
        <v>25458</v>
      </c>
      <c r="I8155" s="108" t="s">
        <v>95</v>
      </c>
    </row>
    <row r="8156" spans="1:9" ht="27.6">
      <c r="A8156" s="108" t="s">
        <v>109</v>
      </c>
      <c r="B8156" s="108" t="s">
        <v>448</v>
      </c>
      <c r="C8156" s="109">
        <v>45217</v>
      </c>
      <c r="D8156" s="108" t="s">
        <v>450</v>
      </c>
      <c r="E8156" s="108" t="s">
        <v>14605</v>
      </c>
      <c r="F8156" s="108" t="s">
        <v>449</v>
      </c>
      <c r="G8156" s="109">
        <v>46315</v>
      </c>
      <c r="H8156" s="108" t="s">
        <v>25458</v>
      </c>
      <c r="I8156" s="108" t="s">
        <v>95</v>
      </c>
    </row>
    <row r="8157" spans="1:9" ht="27.6">
      <c r="A8157" s="108" t="s">
        <v>109</v>
      </c>
      <c r="B8157" s="108" t="s">
        <v>4972</v>
      </c>
      <c r="C8157" s="109">
        <v>45348</v>
      </c>
      <c r="D8157" s="108" t="s">
        <v>4974</v>
      </c>
      <c r="E8157" s="108" t="s">
        <v>14605</v>
      </c>
      <c r="F8157" s="108" t="s">
        <v>4973</v>
      </c>
      <c r="G8157" s="109">
        <v>47484</v>
      </c>
      <c r="H8157" s="108" t="s">
        <v>25458</v>
      </c>
      <c r="I8157" s="108" t="s">
        <v>95</v>
      </c>
    </row>
    <row r="8158" spans="1:9" ht="27.6">
      <c r="A8158" s="108" t="s">
        <v>109</v>
      </c>
      <c r="B8158" s="108" t="s">
        <v>323</v>
      </c>
      <c r="C8158" s="109">
        <v>45275</v>
      </c>
      <c r="D8158" s="108" t="s">
        <v>325</v>
      </c>
      <c r="E8158" s="108" t="s">
        <v>14605</v>
      </c>
      <c r="F8158" s="108" t="s">
        <v>324</v>
      </c>
      <c r="G8158" s="109">
        <v>46023</v>
      </c>
      <c r="H8158" s="108" t="s">
        <v>25458</v>
      </c>
      <c r="I8158" s="108" t="s">
        <v>95</v>
      </c>
    </row>
    <row r="8159" spans="1:9" ht="27.6">
      <c r="A8159" s="108" t="s">
        <v>109</v>
      </c>
      <c r="B8159" s="108" t="s">
        <v>2441</v>
      </c>
      <c r="C8159" s="109">
        <v>45294</v>
      </c>
      <c r="D8159" s="108" t="s">
        <v>2442</v>
      </c>
      <c r="E8159" s="108" t="s">
        <v>14605</v>
      </c>
      <c r="F8159" s="108" t="s">
        <v>2431</v>
      </c>
      <c r="G8159" s="109">
        <v>46022</v>
      </c>
      <c r="H8159" s="108" t="s">
        <v>25458</v>
      </c>
      <c r="I8159" s="108" t="s">
        <v>95</v>
      </c>
    </row>
    <row r="8160" spans="1:9" ht="27.6">
      <c r="A8160" s="108" t="s">
        <v>109</v>
      </c>
      <c r="B8160" s="108" t="s">
        <v>1700</v>
      </c>
      <c r="C8160" s="109">
        <v>45366</v>
      </c>
      <c r="D8160" s="108" t="s">
        <v>1702</v>
      </c>
      <c r="E8160" s="108" t="s">
        <v>14605</v>
      </c>
      <c r="F8160" s="108" t="s">
        <v>1701</v>
      </c>
      <c r="G8160" s="109">
        <v>46415</v>
      </c>
      <c r="H8160" s="108" t="s">
        <v>25458</v>
      </c>
      <c r="I8160" s="108" t="s">
        <v>95</v>
      </c>
    </row>
    <row r="8161" spans="1:9" ht="27.6">
      <c r="A8161" s="108" t="s">
        <v>109</v>
      </c>
      <c r="B8161" s="108" t="s">
        <v>26646</v>
      </c>
      <c r="C8161" s="109">
        <v>45352</v>
      </c>
      <c r="D8161" s="108" t="s">
        <v>26647</v>
      </c>
      <c r="E8161" s="108" t="s">
        <v>14605</v>
      </c>
      <c r="F8161" s="108" t="s">
        <v>14764</v>
      </c>
      <c r="G8161" s="109">
        <v>47536</v>
      </c>
      <c r="H8161" s="108" t="s">
        <v>25458</v>
      </c>
      <c r="I8161" s="108" t="s">
        <v>95</v>
      </c>
    </row>
    <row r="8162" spans="1:9" ht="27.6">
      <c r="A8162" s="108" t="s">
        <v>109</v>
      </c>
      <c r="B8162" s="108" t="s">
        <v>3092</v>
      </c>
      <c r="C8162" s="109">
        <v>45363</v>
      </c>
      <c r="D8162" s="108" t="s">
        <v>3094</v>
      </c>
      <c r="E8162" s="108" t="s">
        <v>14605</v>
      </c>
      <c r="F8162" s="108" t="s">
        <v>3093</v>
      </c>
      <c r="G8162" s="109">
        <v>46447</v>
      </c>
      <c r="H8162" s="108" t="s">
        <v>25458</v>
      </c>
      <c r="I8162" s="108" t="s">
        <v>95</v>
      </c>
    </row>
    <row r="8163" spans="1:9" ht="27.6">
      <c r="A8163" s="108" t="s">
        <v>109</v>
      </c>
      <c r="B8163" s="108" t="s">
        <v>3346</v>
      </c>
      <c r="C8163" s="109">
        <v>45411</v>
      </c>
      <c r="D8163" s="108" t="s">
        <v>3348</v>
      </c>
      <c r="E8163" s="108" t="s">
        <v>14605</v>
      </c>
      <c r="F8163" s="108" t="s">
        <v>3347</v>
      </c>
      <c r="G8163" s="109">
        <v>46827</v>
      </c>
      <c r="H8163" s="108" t="s">
        <v>25458</v>
      </c>
      <c r="I8163" s="108" t="s">
        <v>95</v>
      </c>
    </row>
    <row r="8164" spans="1:9" ht="27.6">
      <c r="A8164" s="108" t="s">
        <v>109</v>
      </c>
      <c r="B8164" s="108" t="s">
        <v>26648</v>
      </c>
      <c r="C8164" s="109">
        <v>45354</v>
      </c>
      <c r="D8164" s="108" t="s">
        <v>26649</v>
      </c>
      <c r="E8164" s="108" t="s">
        <v>14605</v>
      </c>
      <c r="F8164" s="108" t="s">
        <v>14764</v>
      </c>
      <c r="G8164" s="109">
        <v>47536</v>
      </c>
      <c r="H8164" s="108" t="s">
        <v>25458</v>
      </c>
      <c r="I8164" s="108" t="s">
        <v>95</v>
      </c>
    </row>
    <row r="8165" spans="1:9" ht="27.6">
      <c r="A8165" s="108" t="s">
        <v>1072</v>
      </c>
      <c r="B8165" s="108" t="s">
        <v>4376</v>
      </c>
      <c r="C8165" s="109">
        <v>45440</v>
      </c>
      <c r="D8165" s="108" t="s">
        <v>4377</v>
      </c>
      <c r="E8165" s="108" t="s">
        <v>14605</v>
      </c>
      <c r="F8165" s="108" t="s">
        <v>4374</v>
      </c>
      <c r="G8165" s="109">
        <v>47627</v>
      </c>
      <c r="H8165" s="108" t="s">
        <v>25458</v>
      </c>
      <c r="I8165" s="108" t="s">
        <v>95</v>
      </c>
    </row>
    <row r="8166" spans="1:9" ht="27.6">
      <c r="A8166" s="108" t="s">
        <v>109</v>
      </c>
      <c r="B8166" s="108" t="s">
        <v>3599</v>
      </c>
      <c r="C8166" s="109">
        <v>45517</v>
      </c>
      <c r="D8166" s="108" t="s">
        <v>3601</v>
      </c>
      <c r="E8166" s="108" t="s">
        <v>14605</v>
      </c>
      <c r="F8166" s="108" t="s">
        <v>3600</v>
      </c>
      <c r="G8166" s="109">
        <v>46252</v>
      </c>
      <c r="H8166" s="108" t="s">
        <v>25458</v>
      </c>
      <c r="I8166" s="108" t="s">
        <v>95</v>
      </c>
    </row>
    <row r="8167" spans="1:9">
      <c r="A8167" s="108" t="s">
        <v>26297</v>
      </c>
      <c r="B8167" s="108" t="s">
        <v>26650</v>
      </c>
      <c r="C8167" s="109">
        <v>42971</v>
      </c>
      <c r="D8167" s="108" t="s">
        <v>26651</v>
      </c>
      <c r="E8167" s="108" t="s">
        <v>14605</v>
      </c>
      <c r="F8167" s="108" t="s">
        <v>1228</v>
      </c>
      <c r="G8167" s="109">
        <v>44066</v>
      </c>
      <c r="H8167" s="108" t="s">
        <v>25458</v>
      </c>
      <c r="I8167" s="108" t="s">
        <v>95</v>
      </c>
    </row>
    <row r="8168" spans="1:9">
      <c r="A8168" s="108" t="s">
        <v>15990</v>
      </c>
      <c r="B8168" s="108" t="s">
        <v>26652</v>
      </c>
      <c r="C8168" s="109">
        <v>44358</v>
      </c>
      <c r="D8168" s="108" t="s">
        <v>26653</v>
      </c>
      <c r="E8168" s="108" t="s">
        <v>14605</v>
      </c>
      <c r="F8168" s="108" t="s">
        <v>14764</v>
      </c>
      <c r="G8168" s="109">
        <v>46246</v>
      </c>
      <c r="H8168" s="108" t="s">
        <v>25458</v>
      </c>
      <c r="I8168" s="108" t="s">
        <v>95</v>
      </c>
    </row>
    <row r="8169" spans="1:9">
      <c r="A8169" s="108" t="s">
        <v>378</v>
      </c>
      <c r="B8169" s="108" t="s">
        <v>26654</v>
      </c>
      <c r="C8169" s="109">
        <v>45385</v>
      </c>
      <c r="D8169" s="108" t="s">
        <v>26655</v>
      </c>
      <c r="E8169" s="108" t="s">
        <v>14605</v>
      </c>
      <c r="F8169" s="108" t="s">
        <v>15996</v>
      </c>
      <c r="G8169" s="109">
        <v>47223</v>
      </c>
      <c r="H8169" s="108" t="s">
        <v>25458</v>
      </c>
      <c r="I8169" s="108" t="s">
        <v>95</v>
      </c>
    </row>
    <row r="8170" spans="1:9" ht="27.6">
      <c r="A8170" s="108" t="s">
        <v>26297</v>
      </c>
      <c r="B8170" s="108" t="s">
        <v>26656</v>
      </c>
      <c r="C8170" s="109">
        <v>42713</v>
      </c>
      <c r="D8170" s="108" t="s">
        <v>26657</v>
      </c>
      <c r="E8170" s="108" t="s">
        <v>14605</v>
      </c>
      <c r="F8170" s="108" t="s">
        <v>4000</v>
      </c>
      <c r="G8170" s="109">
        <v>44196</v>
      </c>
      <c r="H8170" s="108" t="s">
        <v>25458</v>
      </c>
      <c r="I8170" s="108" t="s">
        <v>95</v>
      </c>
    </row>
    <row r="8171" spans="1:9">
      <c r="A8171" s="108" t="s">
        <v>26297</v>
      </c>
      <c r="B8171" s="108" t="s">
        <v>26658</v>
      </c>
      <c r="C8171" s="109">
        <v>42565</v>
      </c>
      <c r="D8171" s="108" t="s">
        <v>26659</v>
      </c>
      <c r="E8171" s="108" t="s">
        <v>14605</v>
      </c>
      <c r="F8171" s="108" t="s">
        <v>1562</v>
      </c>
      <c r="G8171" s="109">
        <v>44106</v>
      </c>
      <c r="H8171" s="108" t="s">
        <v>25458</v>
      </c>
      <c r="I8171" s="108" t="s">
        <v>95</v>
      </c>
    </row>
    <row r="8172" spans="1:9">
      <c r="A8172" s="108" t="s">
        <v>16151</v>
      </c>
      <c r="B8172" s="108" t="s">
        <v>4931</v>
      </c>
      <c r="C8172" s="109">
        <v>44972</v>
      </c>
      <c r="D8172" s="108" t="s">
        <v>4932</v>
      </c>
      <c r="E8172" s="108" t="s">
        <v>14605</v>
      </c>
      <c r="F8172" s="108" t="s">
        <v>4920</v>
      </c>
      <c r="G8172" s="109">
        <v>47184</v>
      </c>
      <c r="H8172" s="108" t="s">
        <v>25458</v>
      </c>
      <c r="I8172" s="108" t="s">
        <v>95</v>
      </c>
    </row>
    <row r="8173" spans="1:9" ht="27.6">
      <c r="A8173" s="108" t="s">
        <v>96</v>
      </c>
      <c r="B8173" s="108" t="s">
        <v>3078</v>
      </c>
      <c r="C8173" s="109">
        <v>43048</v>
      </c>
      <c r="D8173" s="108" t="s">
        <v>3079</v>
      </c>
      <c r="E8173" s="108" t="s">
        <v>14605</v>
      </c>
      <c r="F8173" s="108" t="s">
        <v>3056</v>
      </c>
      <c r="G8173" s="109">
        <v>46020</v>
      </c>
      <c r="H8173" s="108" t="s">
        <v>25458</v>
      </c>
      <c r="I8173" s="108" t="s">
        <v>95</v>
      </c>
    </row>
    <row r="8174" spans="1:9" ht="27.6">
      <c r="A8174" s="108" t="s">
        <v>96</v>
      </c>
      <c r="B8174" s="108" t="s">
        <v>3453</v>
      </c>
      <c r="C8174" s="109">
        <v>43047</v>
      </c>
      <c r="D8174" s="108" t="s">
        <v>3454</v>
      </c>
      <c r="E8174" s="108" t="s">
        <v>14605</v>
      </c>
      <c r="F8174" s="108" t="s">
        <v>3449</v>
      </c>
      <c r="G8174" s="109">
        <v>46022</v>
      </c>
      <c r="H8174" s="108" t="s">
        <v>25458</v>
      </c>
      <c r="I8174" s="108" t="s">
        <v>95</v>
      </c>
    </row>
    <row r="8175" spans="1:9" ht="27.6">
      <c r="A8175" s="108" t="s">
        <v>96</v>
      </c>
      <c r="B8175" s="108" t="s">
        <v>4929</v>
      </c>
      <c r="C8175" s="109">
        <v>43073</v>
      </c>
      <c r="D8175" s="108" t="s">
        <v>4930</v>
      </c>
      <c r="E8175" s="108" t="s">
        <v>14605</v>
      </c>
      <c r="F8175" s="108" t="s">
        <v>4920</v>
      </c>
      <c r="G8175" s="109">
        <v>46080</v>
      </c>
      <c r="H8175" s="108" t="s">
        <v>25458</v>
      </c>
      <c r="I8175" s="108" t="s">
        <v>95</v>
      </c>
    </row>
    <row r="8176" spans="1:9" ht="27.6">
      <c r="A8176" s="108" t="s">
        <v>96</v>
      </c>
      <c r="B8176" s="108" t="s">
        <v>26660</v>
      </c>
      <c r="C8176" s="109">
        <v>43125</v>
      </c>
      <c r="D8176" s="108" t="s">
        <v>26661</v>
      </c>
      <c r="E8176" s="108" t="s">
        <v>14605</v>
      </c>
      <c r="F8176" s="108" t="s">
        <v>14764</v>
      </c>
      <c r="G8176" s="109">
        <v>46283</v>
      </c>
      <c r="H8176" s="108" t="s">
        <v>25458</v>
      </c>
      <c r="I8176" s="108" t="s">
        <v>95</v>
      </c>
    </row>
    <row r="8177" spans="1:9">
      <c r="A8177" s="108" t="s">
        <v>16151</v>
      </c>
      <c r="B8177" s="108" t="s">
        <v>3321</v>
      </c>
      <c r="C8177" s="109">
        <v>43669</v>
      </c>
      <c r="D8177" s="108" t="s">
        <v>3323</v>
      </c>
      <c r="E8177" s="108" t="s">
        <v>14605</v>
      </c>
      <c r="F8177" s="108" t="s">
        <v>3322</v>
      </c>
      <c r="G8177" s="109">
        <v>45983</v>
      </c>
      <c r="H8177" s="108" t="s">
        <v>25458</v>
      </c>
      <c r="I8177" s="108" t="s">
        <v>95</v>
      </c>
    </row>
    <row r="8178" spans="1:9" ht="27.6">
      <c r="A8178" s="108" t="s">
        <v>96</v>
      </c>
      <c r="B8178" s="108" t="s">
        <v>4442</v>
      </c>
      <c r="C8178" s="109">
        <v>43161</v>
      </c>
      <c r="D8178" s="108" t="s">
        <v>4444</v>
      </c>
      <c r="E8178" s="108" t="s">
        <v>14605</v>
      </c>
      <c r="F8178" s="108" t="s">
        <v>4443</v>
      </c>
      <c r="G8178" s="109">
        <v>46082</v>
      </c>
      <c r="H8178" s="108" t="s">
        <v>25458</v>
      </c>
      <c r="I8178" s="108" t="s">
        <v>95</v>
      </c>
    </row>
    <row r="8179" spans="1:9">
      <c r="A8179" s="108" t="s">
        <v>16151</v>
      </c>
      <c r="B8179" s="108" t="s">
        <v>4078</v>
      </c>
      <c r="C8179" s="109">
        <v>43152</v>
      </c>
      <c r="D8179" s="108" t="s">
        <v>4079</v>
      </c>
      <c r="E8179" s="108" t="s">
        <v>14605</v>
      </c>
      <c r="F8179" s="108" t="s">
        <v>4074</v>
      </c>
      <c r="G8179" s="109">
        <v>46073</v>
      </c>
      <c r="H8179" s="108" t="s">
        <v>25458</v>
      </c>
      <c r="I8179" s="108" t="s">
        <v>95</v>
      </c>
    </row>
    <row r="8180" spans="1:9">
      <c r="A8180" s="108" t="s">
        <v>8194</v>
      </c>
      <c r="B8180" s="108" t="s">
        <v>4521</v>
      </c>
      <c r="C8180" s="109">
        <v>43165</v>
      </c>
      <c r="D8180" s="108" t="s">
        <v>4522</v>
      </c>
      <c r="E8180" s="108" t="s">
        <v>14605</v>
      </c>
      <c r="F8180" s="108" t="s">
        <v>4515</v>
      </c>
      <c r="G8180" s="109">
        <v>46228</v>
      </c>
      <c r="H8180" s="108" t="s">
        <v>25458</v>
      </c>
      <c r="I8180" s="108" t="s">
        <v>95</v>
      </c>
    </row>
    <row r="8181" spans="1:9" ht="27.6">
      <c r="A8181" s="108" t="s">
        <v>16149</v>
      </c>
      <c r="B8181" s="108" t="s">
        <v>4357</v>
      </c>
      <c r="C8181" s="109">
        <v>43164</v>
      </c>
      <c r="D8181" s="108" t="s">
        <v>4358</v>
      </c>
      <c r="E8181" s="108" t="s">
        <v>14605</v>
      </c>
      <c r="F8181" s="108" t="s">
        <v>4343</v>
      </c>
      <c r="G8181" s="109">
        <v>46185</v>
      </c>
      <c r="H8181" s="108" t="s">
        <v>25458</v>
      </c>
      <c r="I8181" s="108" t="s">
        <v>95</v>
      </c>
    </row>
    <row r="8182" spans="1:9" ht="27.6">
      <c r="A8182" s="108" t="s">
        <v>96</v>
      </c>
      <c r="B8182" s="108" t="s">
        <v>4400</v>
      </c>
      <c r="C8182" s="109">
        <v>43181</v>
      </c>
      <c r="D8182" s="108" t="s">
        <v>4401</v>
      </c>
      <c r="E8182" s="108" t="s">
        <v>14605</v>
      </c>
      <c r="F8182" s="108" t="s">
        <v>4390</v>
      </c>
      <c r="G8182" s="109">
        <v>46105</v>
      </c>
      <c r="H8182" s="108" t="s">
        <v>25458</v>
      </c>
      <c r="I8182" s="108" t="s">
        <v>95</v>
      </c>
    </row>
    <row r="8183" spans="1:9">
      <c r="A8183" s="108" t="s">
        <v>16151</v>
      </c>
      <c r="B8183" s="108" t="s">
        <v>876</v>
      </c>
      <c r="C8183" s="109">
        <v>43188</v>
      </c>
      <c r="D8183" s="108" t="s">
        <v>878</v>
      </c>
      <c r="E8183" s="108" t="s">
        <v>14605</v>
      </c>
      <c r="F8183" s="108" t="s">
        <v>877</v>
      </c>
      <c r="G8183" s="109">
        <v>45598</v>
      </c>
      <c r="H8183" s="108" t="s">
        <v>25458</v>
      </c>
      <c r="I8183" s="108" t="s">
        <v>95</v>
      </c>
    </row>
    <row r="8184" spans="1:9" ht="27.6">
      <c r="A8184" s="108" t="s">
        <v>96</v>
      </c>
      <c r="B8184" s="108" t="s">
        <v>1083</v>
      </c>
      <c r="C8184" s="109">
        <v>43228</v>
      </c>
      <c r="D8184" s="108" t="s">
        <v>1084</v>
      </c>
      <c r="E8184" s="108" t="s">
        <v>14605</v>
      </c>
      <c r="F8184" s="108" t="s">
        <v>1077</v>
      </c>
      <c r="G8184" s="109">
        <v>45963</v>
      </c>
      <c r="H8184" s="108" t="s">
        <v>25458</v>
      </c>
      <c r="I8184" s="108" t="s">
        <v>95</v>
      </c>
    </row>
    <row r="8185" spans="1:9" ht="27.6">
      <c r="A8185" s="108" t="s">
        <v>96</v>
      </c>
      <c r="B8185" s="108" t="s">
        <v>4398</v>
      </c>
      <c r="C8185" s="109">
        <v>43245</v>
      </c>
      <c r="D8185" s="108" t="s">
        <v>4399</v>
      </c>
      <c r="E8185" s="108" t="s">
        <v>14605</v>
      </c>
      <c r="F8185" s="108" t="s">
        <v>4390</v>
      </c>
      <c r="G8185" s="109">
        <v>45436</v>
      </c>
      <c r="H8185" s="108" t="s">
        <v>25458</v>
      </c>
      <c r="I8185" s="108" t="s">
        <v>95</v>
      </c>
    </row>
    <row r="8186" spans="1:9" ht="27.6">
      <c r="A8186" s="108" t="s">
        <v>96</v>
      </c>
      <c r="B8186" s="108" t="s">
        <v>1238</v>
      </c>
      <c r="C8186" s="109">
        <v>43242</v>
      </c>
      <c r="D8186" s="108" t="s">
        <v>1239</v>
      </c>
      <c r="E8186" s="108" t="s">
        <v>14605</v>
      </c>
      <c r="F8186" s="108" t="s">
        <v>1228</v>
      </c>
      <c r="G8186" s="109">
        <v>46173</v>
      </c>
      <c r="H8186" s="108" t="s">
        <v>25458</v>
      </c>
      <c r="I8186" s="108" t="s">
        <v>95</v>
      </c>
    </row>
    <row r="8187" spans="1:9" ht="27.6">
      <c r="A8187" s="108" t="s">
        <v>16151</v>
      </c>
      <c r="B8187" s="108" t="s">
        <v>1962</v>
      </c>
      <c r="C8187" s="109">
        <v>43242</v>
      </c>
      <c r="D8187" s="108" t="s">
        <v>1963</v>
      </c>
      <c r="E8187" s="108" t="s">
        <v>14605</v>
      </c>
      <c r="F8187" s="108" t="s">
        <v>25667</v>
      </c>
      <c r="G8187" s="109">
        <v>46163</v>
      </c>
      <c r="H8187" s="108" t="s">
        <v>25458</v>
      </c>
      <c r="I8187" s="108" t="s">
        <v>95</v>
      </c>
    </row>
    <row r="8188" spans="1:9" ht="27.6">
      <c r="A8188" s="108" t="s">
        <v>96</v>
      </c>
      <c r="B8188" s="108" t="s">
        <v>4396</v>
      </c>
      <c r="C8188" s="109">
        <v>43298</v>
      </c>
      <c r="D8188" s="108" t="s">
        <v>4397</v>
      </c>
      <c r="E8188" s="108" t="s">
        <v>14605</v>
      </c>
      <c r="F8188" s="108" t="s">
        <v>4390</v>
      </c>
      <c r="G8188" s="109">
        <v>45832</v>
      </c>
      <c r="H8188" s="108" t="s">
        <v>25458</v>
      </c>
      <c r="I8188" s="108" t="s">
        <v>95</v>
      </c>
    </row>
    <row r="8189" spans="1:9">
      <c r="A8189" s="108" t="s">
        <v>8194</v>
      </c>
      <c r="B8189" s="108" t="s">
        <v>1422</v>
      </c>
      <c r="C8189" s="109">
        <v>43311</v>
      </c>
      <c r="D8189" s="108" t="s">
        <v>1423</v>
      </c>
      <c r="E8189" s="108" t="s">
        <v>14605</v>
      </c>
      <c r="F8189" s="108" t="s">
        <v>1418</v>
      </c>
      <c r="G8189" s="109">
        <v>45868</v>
      </c>
      <c r="H8189" s="108" t="s">
        <v>25458</v>
      </c>
      <c r="I8189" s="108" t="s">
        <v>95</v>
      </c>
    </row>
    <row r="8190" spans="1:9">
      <c r="A8190" s="108" t="s">
        <v>16151</v>
      </c>
      <c r="B8190" s="108" t="s">
        <v>2574</v>
      </c>
      <c r="C8190" s="109">
        <v>43349</v>
      </c>
      <c r="D8190" s="108" t="s">
        <v>2575</v>
      </c>
      <c r="E8190" s="108" t="s">
        <v>14605</v>
      </c>
      <c r="F8190" s="108" t="s">
        <v>2552</v>
      </c>
      <c r="G8190" s="109">
        <v>45814</v>
      </c>
      <c r="H8190" s="108" t="s">
        <v>25458</v>
      </c>
      <c r="I8190" s="108" t="s">
        <v>95</v>
      </c>
    </row>
    <row r="8191" spans="1:9" ht="27.6">
      <c r="A8191" s="108" t="s">
        <v>96</v>
      </c>
      <c r="B8191" s="108" t="s">
        <v>4007</v>
      </c>
      <c r="C8191" s="109">
        <v>43430</v>
      </c>
      <c r="D8191" s="108" t="s">
        <v>4008</v>
      </c>
      <c r="E8191" s="108" t="s">
        <v>14605</v>
      </c>
      <c r="F8191" s="108" t="s">
        <v>4005</v>
      </c>
      <c r="G8191" s="109">
        <v>45422</v>
      </c>
      <c r="H8191" s="108" t="s">
        <v>25458</v>
      </c>
      <c r="I8191" s="108" t="s">
        <v>95</v>
      </c>
    </row>
    <row r="8192" spans="1:9" ht="27.6">
      <c r="A8192" s="108" t="s">
        <v>96</v>
      </c>
      <c r="B8192" s="108" t="s">
        <v>3808</v>
      </c>
      <c r="C8192" s="109">
        <v>43474</v>
      </c>
      <c r="D8192" s="108" t="s">
        <v>3809</v>
      </c>
      <c r="E8192" s="108" t="s">
        <v>14605</v>
      </c>
      <c r="F8192" s="108" t="s">
        <v>3802</v>
      </c>
      <c r="G8192" s="109">
        <v>46216</v>
      </c>
      <c r="H8192" s="108" t="s">
        <v>25458</v>
      </c>
      <c r="I8192" s="108" t="s">
        <v>95</v>
      </c>
    </row>
    <row r="8193" spans="1:9" ht="27.6">
      <c r="A8193" s="108" t="s">
        <v>96</v>
      </c>
      <c r="B8193" s="108" t="s">
        <v>630</v>
      </c>
      <c r="C8193" s="109">
        <v>43474</v>
      </c>
      <c r="D8193" s="108" t="s">
        <v>632</v>
      </c>
      <c r="E8193" s="108" t="s">
        <v>14605</v>
      </c>
      <c r="F8193" s="108" t="s">
        <v>631</v>
      </c>
      <c r="G8193" s="109">
        <v>46196</v>
      </c>
      <c r="H8193" s="108" t="s">
        <v>25458</v>
      </c>
      <c r="I8193" s="108" t="s">
        <v>95</v>
      </c>
    </row>
    <row r="8194" spans="1:9" ht="27.6">
      <c r="A8194" s="108" t="s">
        <v>96</v>
      </c>
      <c r="B8194" s="108" t="s">
        <v>994</v>
      </c>
      <c r="C8194" s="109">
        <v>43647</v>
      </c>
      <c r="D8194" s="108" t="s">
        <v>995</v>
      </c>
      <c r="E8194" s="108" t="s">
        <v>14605</v>
      </c>
      <c r="F8194" s="108" t="s">
        <v>986</v>
      </c>
      <c r="G8194" s="109">
        <v>45867</v>
      </c>
      <c r="H8194" s="108" t="s">
        <v>25458</v>
      </c>
      <c r="I8194" s="108" t="s">
        <v>95</v>
      </c>
    </row>
    <row r="8195" spans="1:9" ht="27.6">
      <c r="A8195" s="108" t="s">
        <v>96</v>
      </c>
      <c r="B8195" s="108" t="s">
        <v>4355</v>
      </c>
      <c r="C8195" s="109">
        <v>43547</v>
      </c>
      <c r="D8195" s="108" t="s">
        <v>4356</v>
      </c>
      <c r="E8195" s="108" t="s">
        <v>14605</v>
      </c>
      <c r="F8195" s="108" t="s">
        <v>4343</v>
      </c>
      <c r="G8195" s="109">
        <v>46113</v>
      </c>
      <c r="H8195" s="108" t="s">
        <v>25458</v>
      </c>
      <c r="I8195" s="108" t="s">
        <v>95</v>
      </c>
    </row>
    <row r="8196" spans="1:9" ht="27.6">
      <c r="A8196" s="108" t="s">
        <v>96</v>
      </c>
      <c r="B8196" s="108" t="s">
        <v>2821</v>
      </c>
      <c r="C8196" s="109">
        <v>43664</v>
      </c>
      <c r="D8196" s="108" t="s">
        <v>2822</v>
      </c>
      <c r="E8196" s="108" t="s">
        <v>14605</v>
      </c>
      <c r="F8196" s="108" t="s">
        <v>2795</v>
      </c>
      <c r="G8196" s="109">
        <v>45765</v>
      </c>
      <c r="H8196" s="108" t="s">
        <v>25458</v>
      </c>
      <c r="I8196" s="108" t="s">
        <v>95</v>
      </c>
    </row>
    <row r="8197" spans="1:9" ht="27.6">
      <c r="A8197" s="108" t="s">
        <v>96</v>
      </c>
      <c r="B8197" s="108" t="s">
        <v>1569</v>
      </c>
      <c r="C8197" s="109">
        <v>43636</v>
      </c>
      <c r="D8197" s="108" t="s">
        <v>1571</v>
      </c>
      <c r="E8197" s="108" t="s">
        <v>14605</v>
      </c>
      <c r="F8197" s="108" t="s">
        <v>1570</v>
      </c>
      <c r="G8197" s="109">
        <v>46185</v>
      </c>
      <c r="H8197" s="108" t="s">
        <v>25458</v>
      </c>
      <c r="I8197" s="108" t="s">
        <v>95</v>
      </c>
    </row>
    <row r="8198" spans="1:9" ht="27.6">
      <c r="A8198" s="108" t="s">
        <v>388</v>
      </c>
      <c r="B8198" s="108" t="s">
        <v>3703</v>
      </c>
      <c r="C8198" s="109">
        <v>43663</v>
      </c>
      <c r="D8198" s="108" t="s">
        <v>3704</v>
      </c>
      <c r="E8198" s="108" t="s">
        <v>14605</v>
      </c>
      <c r="F8198" s="108" t="s">
        <v>3687</v>
      </c>
      <c r="G8198" s="109">
        <v>45916</v>
      </c>
      <c r="H8198" s="108" t="s">
        <v>25458</v>
      </c>
      <c r="I8198" s="108" t="s">
        <v>95</v>
      </c>
    </row>
    <row r="8199" spans="1:9">
      <c r="A8199" s="108" t="s">
        <v>16151</v>
      </c>
      <c r="B8199" s="108" t="s">
        <v>4394</v>
      </c>
      <c r="C8199" s="109">
        <v>43692</v>
      </c>
      <c r="D8199" s="108" t="s">
        <v>4395</v>
      </c>
      <c r="E8199" s="108" t="s">
        <v>14605</v>
      </c>
      <c r="F8199" s="108" t="s">
        <v>4390</v>
      </c>
      <c r="G8199" s="109">
        <v>45554</v>
      </c>
      <c r="H8199" s="108" t="s">
        <v>25458</v>
      </c>
      <c r="I8199" s="108" t="s">
        <v>95</v>
      </c>
    </row>
    <row r="8200" spans="1:9" ht="27.6">
      <c r="A8200" s="108" t="s">
        <v>96</v>
      </c>
      <c r="B8200" s="108" t="s">
        <v>2370</v>
      </c>
      <c r="C8200" s="109">
        <v>43693</v>
      </c>
      <c r="D8200" s="108" t="s">
        <v>2371</v>
      </c>
      <c r="E8200" s="108" t="s">
        <v>14605</v>
      </c>
      <c r="F8200" s="108" t="s">
        <v>2368</v>
      </c>
      <c r="G8200" s="109">
        <v>46249</v>
      </c>
      <c r="H8200" s="108" t="s">
        <v>25458</v>
      </c>
      <c r="I8200" s="108" t="s">
        <v>95</v>
      </c>
    </row>
    <row r="8201" spans="1:9" ht="27.6">
      <c r="A8201" s="108" t="s">
        <v>103</v>
      </c>
      <c r="B8201" s="108" t="s">
        <v>1709</v>
      </c>
      <c r="C8201" s="109">
        <v>43845</v>
      </c>
      <c r="D8201" s="108" t="s">
        <v>1710</v>
      </c>
      <c r="E8201" s="108" t="s">
        <v>14605</v>
      </c>
      <c r="F8201" s="108" t="s">
        <v>26452</v>
      </c>
      <c r="G8201" s="109">
        <v>46036</v>
      </c>
      <c r="H8201" s="108" t="s">
        <v>25458</v>
      </c>
      <c r="I8201" s="108" t="s">
        <v>95</v>
      </c>
    </row>
    <row r="8202" spans="1:9" ht="27.6">
      <c r="A8202" s="108" t="s">
        <v>388</v>
      </c>
      <c r="B8202" s="108" t="s">
        <v>3518</v>
      </c>
      <c r="C8202" s="109">
        <v>43873</v>
      </c>
      <c r="D8202" s="108" t="s">
        <v>3519</v>
      </c>
      <c r="E8202" s="108" t="s">
        <v>14605</v>
      </c>
      <c r="F8202" s="108" t="s">
        <v>3512</v>
      </c>
      <c r="G8202" s="109">
        <v>46053</v>
      </c>
      <c r="H8202" s="108" t="s">
        <v>25458</v>
      </c>
      <c r="I8202" s="108" t="s">
        <v>95</v>
      </c>
    </row>
    <row r="8203" spans="1:9" ht="27.6">
      <c r="A8203" s="108" t="s">
        <v>103</v>
      </c>
      <c r="B8203" s="108" t="s">
        <v>2021</v>
      </c>
      <c r="C8203" s="109">
        <v>43875</v>
      </c>
      <c r="D8203" s="108" t="s">
        <v>2022</v>
      </c>
      <c r="E8203" s="108" t="s">
        <v>14605</v>
      </c>
      <c r="F8203" s="108" t="s">
        <v>2013</v>
      </c>
      <c r="G8203" s="109">
        <v>45932</v>
      </c>
      <c r="H8203" s="108" t="s">
        <v>25458</v>
      </c>
      <c r="I8203" s="108" t="s">
        <v>95</v>
      </c>
    </row>
    <row r="8204" spans="1:9" ht="27.6">
      <c r="A8204" s="108" t="s">
        <v>96</v>
      </c>
      <c r="B8204" s="108" t="s">
        <v>1840</v>
      </c>
      <c r="C8204" s="109">
        <v>43871</v>
      </c>
      <c r="D8204" s="108" t="s">
        <v>1842</v>
      </c>
      <c r="E8204" s="108" t="s">
        <v>14605</v>
      </c>
      <c r="F8204" s="108" t="s">
        <v>1841</v>
      </c>
      <c r="G8204" s="109">
        <v>46062</v>
      </c>
      <c r="H8204" s="108" t="s">
        <v>25458</v>
      </c>
      <c r="I8204" s="108" t="s">
        <v>95</v>
      </c>
    </row>
    <row r="8205" spans="1:9" ht="27.6">
      <c r="A8205" s="108" t="s">
        <v>96</v>
      </c>
      <c r="B8205" s="108" t="s">
        <v>1855</v>
      </c>
      <c r="C8205" s="109">
        <v>43903</v>
      </c>
      <c r="D8205" s="108" t="s">
        <v>1856</v>
      </c>
      <c r="E8205" s="108" t="s">
        <v>14605</v>
      </c>
      <c r="F8205" s="108" t="s">
        <v>1853</v>
      </c>
      <c r="G8205" s="109">
        <v>46848</v>
      </c>
      <c r="H8205" s="108" t="s">
        <v>25458</v>
      </c>
      <c r="I8205" s="108" t="s">
        <v>95</v>
      </c>
    </row>
    <row r="8206" spans="1:9" ht="27.6">
      <c r="A8206" s="108" t="s">
        <v>96</v>
      </c>
      <c r="B8206" s="108" t="s">
        <v>2969</v>
      </c>
      <c r="C8206" s="109">
        <v>43900</v>
      </c>
      <c r="D8206" s="108" t="s">
        <v>2970</v>
      </c>
      <c r="E8206" s="108" t="s">
        <v>14605</v>
      </c>
      <c r="F8206" s="108" t="s">
        <v>2967</v>
      </c>
      <c r="G8206" s="109">
        <v>44643</v>
      </c>
      <c r="H8206" s="108" t="s">
        <v>25458</v>
      </c>
      <c r="I8206" s="108" t="s">
        <v>95</v>
      </c>
    </row>
    <row r="8207" spans="1:9" ht="27.6">
      <c r="A8207" s="108" t="s">
        <v>96</v>
      </c>
      <c r="B8207" s="108" t="s">
        <v>3865</v>
      </c>
      <c r="C8207" s="109">
        <v>44063</v>
      </c>
      <c r="D8207" s="108" t="s">
        <v>3866</v>
      </c>
      <c r="E8207" s="108" t="s">
        <v>14605</v>
      </c>
      <c r="F8207" s="108" t="s">
        <v>3856</v>
      </c>
      <c r="G8207" s="109">
        <v>46251</v>
      </c>
      <c r="H8207" s="108" t="s">
        <v>25458</v>
      </c>
      <c r="I8207" s="108" t="s">
        <v>95</v>
      </c>
    </row>
    <row r="8208" spans="1:9" ht="27.6">
      <c r="A8208" s="108" t="s">
        <v>96</v>
      </c>
      <c r="B8208" s="108" t="s">
        <v>1161</v>
      </c>
      <c r="C8208" s="109">
        <v>43991</v>
      </c>
      <c r="D8208" s="108" t="s">
        <v>1163</v>
      </c>
      <c r="E8208" s="108" t="s">
        <v>14605</v>
      </c>
      <c r="F8208" s="108" t="s">
        <v>1162</v>
      </c>
      <c r="G8208" s="109">
        <v>44695</v>
      </c>
      <c r="H8208" s="108" t="s">
        <v>25458</v>
      </c>
      <c r="I8208" s="108" t="s">
        <v>95</v>
      </c>
    </row>
    <row r="8209" spans="1:9">
      <c r="A8209" s="108" t="s">
        <v>8194</v>
      </c>
      <c r="B8209" s="108" t="s">
        <v>5197</v>
      </c>
      <c r="C8209" s="109">
        <v>43979</v>
      </c>
      <c r="D8209" s="108" t="s">
        <v>5198</v>
      </c>
      <c r="E8209" s="108" t="s">
        <v>14605</v>
      </c>
      <c r="F8209" s="108" t="s">
        <v>5145</v>
      </c>
      <c r="G8209" s="109">
        <v>46169</v>
      </c>
      <c r="H8209" s="108" t="s">
        <v>25458</v>
      </c>
      <c r="I8209" s="108" t="s">
        <v>95</v>
      </c>
    </row>
    <row r="8210" spans="1:9">
      <c r="A8210" s="108" t="s">
        <v>16151</v>
      </c>
      <c r="B8210" s="108" t="s">
        <v>3376</v>
      </c>
      <c r="C8210" s="109">
        <v>44018</v>
      </c>
      <c r="D8210" s="108" t="s">
        <v>3377</v>
      </c>
      <c r="E8210" s="108" t="s">
        <v>14605</v>
      </c>
      <c r="F8210" s="108" t="s">
        <v>14672</v>
      </c>
      <c r="G8210" s="109">
        <v>45849</v>
      </c>
      <c r="H8210" s="108" t="s">
        <v>25458</v>
      </c>
      <c r="I8210" s="108" t="s">
        <v>95</v>
      </c>
    </row>
    <row r="8211" spans="1:9" ht="27.6">
      <c r="A8211" s="108" t="s">
        <v>96</v>
      </c>
      <c r="B8211" s="108" t="s">
        <v>906</v>
      </c>
      <c r="C8211" s="109">
        <v>44028</v>
      </c>
      <c r="D8211" s="108" t="s">
        <v>908</v>
      </c>
      <c r="E8211" s="108" t="s">
        <v>14605</v>
      </c>
      <c r="F8211" s="108" t="s">
        <v>907</v>
      </c>
      <c r="G8211" s="109">
        <v>46246</v>
      </c>
      <c r="H8211" s="108" t="s">
        <v>25458</v>
      </c>
      <c r="I8211" s="108" t="s">
        <v>95</v>
      </c>
    </row>
    <row r="8212" spans="1:9" ht="27.6">
      <c r="A8212" s="108" t="s">
        <v>96</v>
      </c>
      <c r="B8212" s="108" t="s">
        <v>3838</v>
      </c>
      <c r="C8212" s="109">
        <v>44042</v>
      </c>
      <c r="D8212" s="108" t="s">
        <v>3840</v>
      </c>
      <c r="E8212" s="108" t="s">
        <v>14605</v>
      </c>
      <c r="F8212" s="108" t="s">
        <v>3839</v>
      </c>
      <c r="G8212" s="109">
        <v>45867</v>
      </c>
      <c r="H8212" s="108" t="s">
        <v>25458</v>
      </c>
      <c r="I8212" s="108" t="s">
        <v>95</v>
      </c>
    </row>
    <row r="8213" spans="1:9">
      <c r="A8213" s="108" t="s">
        <v>8194</v>
      </c>
      <c r="B8213" s="108" t="s">
        <v>2019</v>
      </c>
      <c r="C8213" s="109">
        <v>44055</v>
      </c>
      <c r="D8213" s="108" t="s">
        <v>2020</v>
      </c>
      <c r="E8213" s="108" t="s">
        <v>14605</v>
      </c>
      <c r="F8213" s="108" t="s">
        <v>2013</v>
      </c>
      <c r="G8213" s="109">
        <v>46245</v>
      </c>
      <c r="H8213" s="108" t="s">
        <v>25458</v>
      </c>
      <c r="I8213" s="108" t="s">
        <v>95</v>
      </c>
    </row>
    <row r="8214" spans="1:9" ht="27.6">
      <c r="A8214" s="108" t="s">
        <v>96</v>
      </c>
      <c r="B8214" s="108" t="s">
        <v>2113</v>
      </c>
      <c r="C8214" s="109">
        <v>44071</v>
      </c>
      <c r="D8214" s="108" t="s">
        <v>2115</v>
      </c>
      <c r="E8214" s="108" t="s">
        <v>14605</v>
      </c>
      <c r="F8214" s="108" t="s">
        <v>2114</v>
      </c>
      <c r="G8214" s="109">
        <v>45897</v>
      </c>
      <c r="H8214" s="108" t="s">
        <v>25458</v>
      </c>
      <c r="I8214" s="108" t="s">
        <v>95</v>
      </c>
    </row>
    <row r="8215" spans="1:9">
      <c r="A8215" s="108" t="s">
        <v>16151</v>
      </c>
      <c r="B8215" s="108" t="s">
        <v>3564</v>
      </c>
      <c r="C8215" s="109">
        <v>44120</v>
      </c>
      <c r="D8215" s="108" t="s">
        <v>3565</v>
      </c>
      <c r="E8215" s="108" t="s">
        <v>14605</v>
      </c>
      <c r="F8215" s="108" t="s">
        <v>14764</v>
      </c>
      <c r="G8215" s="109">
        <v>45945</v>
      </c>
      <c r="H8215" s="108" t="s">
        <v>25458</v>
      </c>
      <c r="I8215" s="108" t="s">
        <v>95</v>
      </c>
    </row>
    <row r="8216" spans="1:9" ht="27.6">
      <c r="A8216" s="108" t="s">
        <v>103</v>
      </c>
      <c r="B8216" s="108" t="s">
        <v>3880</v>
      </c>
      <c r="C8216" s="109">
        <v>44110</v>
      </c>
      <c r="D8216" s="108" t="s">
        <v>3881</v>
      </c>
      <c r="E8216" s="108" t="s">
        <v>14605</v>
      </c>
      <c r="F8216" s="108" t="s">
        <v>3878</v>
      </c>
      <c r="G8216" s="109">
        <v>46116</v>
      </c>
      <c r="H8216" s="108" t="s">
        <v>25458</v>
      </c>
      <c r="I8216" s="108" t="s">
        <v>95</v>
      </c>
    </row>
    <row r="8217" spans="1:9" ht="27.6">
      <c r="A8217" s="108" t="s">
        <v>388</v>
      </c>
      <c r="B8217" s="108" t="s">
        <v>1043</v>
      </c>
      <c r="C8217" s="109">
        <v>44181</v>
      </c>
      <c r="D8217" s="108" t="s">
        <v>1045</v>
      </c>
      <c r="E8217" s="108" t="s">
        <v>14605</v>
      </c>
      <c r="F8217" s="108" t="s">
        <v>1044</v>
      </c>
      <c r="G8217" s="109">
        <v>46081</v>
      </c>
      <c r="H8217" s="108" t="s">
        <v>25458</v>
      </c>
      <c r="I8217" s="108" t="s">
        <v>95</v>
      </c>
    </row>
    <row r="8218" spans="1:9" ht="27.6">
      <c r="A8218" s="108" t="s">
        <v>96</v>
      </c>
      <c r="B8218" s="108" t="s">
        <v>419</v>
      </c>
      <c r="C8218" s="109">
        <v>44231</v>
      </c>
      <c r="D8218" s="108" t="s">
        <v>421</v>
      </c>
      <c r="E8218" s="108" t="s">
        <v>14605</v>
      </c>
      <c r="F8218" s="108" t="s">
        <v>4886</v>
      </c>
      <c r="G8218" s="109">
        <v>45711</v>
      </c>
      <c r="H8218" s="108" t="s">
        <v>25458</v>
      </c>
      <c r="I8218" s="108" t="s">
        <v>95</v>
      </c>
    </row>
    <row r="8219" spans="1:9" ht="27.6">
      <c r="A8219" s="108" t="s">
        <v>96</v>
      </c>
      <c r="B8219" s="108" t="s">
        <v>4500</v>
      </c>
      <c r="C8219" s="109">
        <v>44285</v>
      </c>
      <c r="D8219" s="108" t="s">
        <v>4502</v>
      </c>
      <c r="E8219" s="108" t="s">
        <v>14605</v>
      </c>
      <c r="F8219" s="108" t="s">
        <v>4501</v>
      </c>
      <c r="G8219" s="109">
        <v>46110</v>
      </c>
      <c r="H8219" s="108" t="s">
        <v>25458</v>
      </c>
      <c r="I8219" s="108" t="s">
        <v>95</v>
      </c>
    </row>
    <row r="8220" spans="1:9" ht="27.6">
      <c r="A8220" s="108" t="s">
        <v>96</v>
      </c>
      <c r="B8220" s="108" t="s">
        <v>3175</v>
      </c>
      <c r="C8220" s="109">
        <v>44283</v>
      </c>
      <c r="D8220" s="108" t="s">
        <v>3177</v>
      </c>
      <c r="E8220" s="108" t="s">
        <v>14605</v>
      </c>
      <c r="F8220" s="108" t="s">
        <v>3176</v>
      </c>
      <c r="G8220" s="109">
        <v>45378</v>
      </c>
      <c r="H8220" s="108" t="s">
        <v>25458</v>
      </c>
      <c r="I8220" s="108" t="s">
        <v>95</v>
      </c>
    </row>
    <row r="8221" spans="1:9" ht="27.6">
      <c r="A8221" s="108" t="s">
        <v>103</v>
      </c>
      <c r="B8221" s="108" t="s">
        <v>748</v>
      </c>
      <c r="C8221" s="109">
        <v>44279</v>
      </c>
      <c r="D8221" s="108" t="s">
        <v>750</v>
      </c>
      <c r="E8221" s="108" t="s">
        <v>14605</v>
      </c>
      <c r="F8221" s="108" t="s">
        <v>749</v>
      </c>
      <c r="G8221" s="109">
        <v>46196</v>
      </c>
      <c r="H8221" s="108" t="s">
        <v>25458</v>
      </c>
      <c r="I8221" s="108" t="s">
        <v>95</v>
      </c>
    </row>
    <row r="8222" spans="1:9" ht="27.6">
      <c r="A8222" s="108" t="s">
        <v>96</v>
      </c>
      <c r="B8222" s="108" t="s">
        <v>5247</v>
      </c>
      <c r="C8222" s="109">
        <v>44334</v>
      </c>
      <c r="D8222" s="108" t="s">
        <v>5249</v>
      </c>
      <c r="E8222" s="108" t="s">
        <v>14605</v>
      </c>
      <c r="F8222" s="108" t="s">
        <v>5248</v>
      </c>
      <c r="G8222" s="109">
        <v>46159</v>
      </c>
      <c r="H8222" s="108" t="s">
        <v>25458</v>
      </c>
      <c r="I8222" s="108" t="s">
        <v>95</v>
      </c>
    </row>
    <row r="8223" spans="1:9">
      <c r="A8223" s="108" t="s">
        <v>16151</v>
      </c>
      <c r="B8223" s="108" t="s">
        <v>355</v>
      </c>
      <c r="C8223" s="109">
        <v>44487</v>
      </c>
      <c r="D8223" s="108" t="s">
        <v>356</v>
      </c>
      <c r="E8223" s="108" t="s">
        <v>14605</v>
      </c>
      <c r="F8223" s="108" t="s">
        <v>353</v>
      </c>
      <c r="G8223" s="109">
        <v>46398</v>
      </c>
      <c r="H8223" s="108" t="s">
        <v>25458</v>
      </c>
      <c r="I8223" s="108" t="s">
        <v>95</v>
      </c>
    </row>
    <row r="8224" spans="1:9" ht="27.6">
      <c r="A8224" s="108" t="s">
        <v>96</v>
      </c>
      <c r="B8224" s="108" t="s">
        <v>3076</v>
      </c>
      <c r="C8224" s="109">
        <v>44421</v>
      </c>
      <c r="D8224" s="108" t="s">
        <v>3077</v>
      </c>
      <c r="E8224" s="108" t="s">
        <v>14605</v>
      </c>
      <c r="F8224" s="108" t="s">
        <v>3056</v>
      </c>
      <c r="G8224" s="109">
        <v>46203</v>
      </c>
      <c r="H8224" s="108" t="s">
        <v>25458</v>
      </c>
      <c r="I8224" s="108" t="s">
        <v>95</v>
      </c>
    </row>
    <row r="8225" spans="1:9">
      <c r="A8225" s="108" t="s">
        <v>16151</v>
      </c>
      <c r="B8225" s="108" t="s">
        <v>3847</v>
      </c>
      <c r="C8225" s="109">
        <v>44517</v>
      </c>
      <c r="D8225" s="108" t="s">
        <v>3849</v>
      </c>
      <c r="E8225" s="108" t="s">
        <v>14605</v>
      </c>
      <c r="F8225" s="108" t="s">
        <v>3848</v>
      </c>
      <c r="G8225" s="109">
        <v>45994</v>
      </c>
      <c r="H8225" s="108" t="s">
        <v>25458</v>
      </c>
      <c r="I8225" s="108" t="s">
        <v>95</v>
      </c>
    </row>
    <row r="8226" spans="1:9" ht="27.6">
      <c r="A8226" s="108" t="s">
        <v>96</v>
      </c>
      <c r="B8226" s="108" t="s">
        <v>667</v>
      </c>
      <c r="C8226" s="109">
        <v>44531</v>
      </c>
      <c r="D8226" s="108" t="s">
        <v>668</v>
      </c>
      <c r="E8226" s="108" t="s">
        <v>14605</v>
      </c>
      <c r="F8226" s="108" t="s">
        <v>665</v>
      </c>
      <c r="G8226" s="109">
        <v>46005</v>
      </c>
      <c r="H8226" s="108" t="s">
        <v>25458</v>
      </c>
      <c r="I8226" s="108" t="s">
        <v>95</v>
      </c>
    </row>
    <row r="8227" spans="1:9" ht="27.6">
      <c r="A8227" s="108" t="s">
        <v>96</v>
      </c>
      <c r="B8227" s="108" t="s">
        <v>1651</v>
      </c>
      <c r="C8227" s="109">
        <v>44550</v>
      </c>
      <c r="D8227" s="108" t="s">
        <v>1652</v>
      </c>
      <c r="E8227" s="108" t="s">
        <v>14605</v>
      </c>
      <c r="F8227" s="108" t="s">
        <v>25648</v>
      </c>
      <c r="G8227" s="109">
        <v>45659</v>
      </c>
      <c r="H8227" s="108" t="s">
        <v>25458</v>
      </c>
      <c r="I8227" s="108" t="s">
        <v>95</v>
      </c>
    </row>
    <row r="8228" spans="1:9" ht="27.6">
      <c r="A8228" s="108" t="s">
        <v>388</v>
      </c>
      <c r="B8228" s="108" t="s">
        <v>2080</v>
      </c>
      <c r="C8228" s="109">
        <v>44559</v>
      </c>
      <c r="D8228" s="108" t="s">
        <v>2082</v>
      </c>
      <c r="E8228" s="108" t="s">
        <v>14605</v>
      </c>
      <c r="F8228" s="108" t="s">
        <v>2081</v>
      </c>
      <c r="G8228" s="109">
        <v>46038</v>
      </c>
      <c r="H8228" s="108" t="s">
        <v>25458</v>
      </c>
      <c r="I8228" s="108" t="s">
        <v>95</v>
      </c>
    </row>
    <row r="8229" spans="1:9" ht="27.6">
      <c r="A8229" s="108" t="s">
        <v>96</v>
      </c>
      <c r="B8229" s="108" t="s">
        <v>2142</v>
      </c>
      <c r="C8229" s="109">
        <v>44629</v>
      </c>
      <c r="D8229" s="108" t="s">
        <v>2144</v>
      </c>
      <c r="E8229" s="108" t="s">
        <v>14605</v>
      </c>
      <c r="F8229" s="108" t="s">
        <v>2143</v>
      </c>
      <c r="G8229" s="109">
        <v>46446</v>
      </c>
      <c r="H8229" s="108" t="s">
        <v>25458</v>
      </c>
      <c r="I8229" s="108" t="s">
        <v>95</v>
      </c>
    </row>
    <row r="8230" spans="1:9" ht="27.6">
      <c r="A8230" s="108" t="s">
        <v>96</v>
      </c>
      <c r="B8230" s="108" t="s">
        <v>3542</v>
      </c>
      <c r="C8230" s="109">
        <v>44736</v>
      </c>
      <c r="D8230" s="108" t="s">
        <v>3544</v>
      </c>
      <c r="E8230" s="108" t="s">
        <v>14605</v>
      </c>
      <c r="F8230" s="108" t="s">
        <v>3543</v>
      </c>
      <c r="G8230" s="109">
        <v>45481</v>
      </c>
      <c r="H8230" s="108" t="s">
        <v>25458</v>
      </c>
      <c r="I8230" s="108" t="s">
        <v>95</v>
      </c>
    </row>
    <row r="8231" spans="1:9" ht="27.6">
      <c r="A8231" s="108" t="s">
        <v>388</v>
      </c>
      <c r="B8231" s="108" t="s">
        <v>599</v>
      </c>
      <c r="C8231" s="109">
        <v>44709</v>
      </c>
      <c r="D8231" s="108" t="s">
        <v>601</v>
      </c>
      <c r="E8231" s="108" t="s">
        <v>14605</v>
      </c>
      <c r="F8231" s="108" t="s">
        <v>600</v>
      </c>
      <c r="G8231" s="109">
        <v>45823</v>
      </c>
      <c r="H8231" s="108" t="s">
        <v>25458</v>
      </c>
      <c r="I8231" s="108" t="s">
        <v>95</v>
      </c>
    </row>
    <row r="8232" spans="1:9">
      <c r="A8232" s="108" t="s">
        <v>16151</v>
      </c>
      <c r="B8232" s="108" t="s">
        <v>4927</v>
      </c>
      <c r="C8232" s="109">
        <v>44714</v>
      </c>
      <c r="D8232" s="108" t="s">
        <v>4928</v>
      </c>
      <c r="E8232" s="108" t="s">
        <v>14605</v>
      </c>
      <c r="F8232" s="108" t="s">
        <v>4920</v>
      </c>
      <c r="G8232" s="109">
        <v>46556</v>
      </c>
      <c r="H8232" s="108" t="s">
        <v>25458</v>
      </c>
      <c r="I8232" s="108" t="s">
        <v>95</v>
      </c>
    </row>
    <row r="8233" spans="1:9" ht="27.6">
      <c r="A8233" s="108" t="s">
        <v>96</v>
      </c>
      <c r="B8233" s="108" t="s">
        <v>5193</v>
      </c>
      <c r="C8233" s="109">
        <v>44819</v>
      </c>
      <c r="D8233" s="108" t="s">
        <v>5194</v>
      </c>
      <c r="E8233" s="108" t="s">
        <v>14605</v>
      </c>
      <c r="F8233" s="108" t="s">
        <v>5145</v>
      </c>
      <c r="G8233" s="109">
        <v>45922</v>
      </c>
      <c r="H8233" s="108" t="s">
        <v>25458</v>
      </c>
      <c r="I8233" s="108" t="s">
        <v>95</v>
      </c>
    </row>
    <row r="8234" spans="1:9" ht="27.6">
      <c r="A8234" s="108" t="s">
        <v>96</v>
      </c>
      <c r="B8234" s="108" t="s">
        <v>1158</v>
      </c>
      <c r="C8234" s="109">
        <v>44862</v>
      </c>
      <c r="D8234" s="108" t="s">
        <v>1160</v>
      </c>
      <c r="E8234" s="108" t="s">
        <v>14605</v>
      </c>
      <c r="F8234" s="108" t="s">
        <v>1159</v>
      </c>
      <c r="G8234" s="109">
        <v>45951</v>
      </c>
      <c r="H8234" s="108" t="s">
        <v>25458</v>
      </c>
      <c r="I8234" s="108" t="s">
        <v>95</v>
      </c>
    </row>
    <row r="8235" spans="1:9">
      <c r="A8235" s="108" t="s">
        <v>16151</v>
      </c>
      <c r="B8235" s="108" t="s">
        <v>3269</v>
      </c>
      <c r="C8235" s="109">
        <v>44960</v>
      </c>
      <c r="D8235" s="108" t="s">
        <v>3270</v>
      </c>
      <c r="E8235" s="108" t="s">
        <v>14605</v>
      </c>
      <c r="F8235" s="108" t="s">
        <v>14664</v>
      </c>
      <c r="G8235" s="109">
        <v>46000</v>
      </c>
      <c r="H8235" s="108" t="s">
        <v>25458</v>
      </c>
      <c r="I8235" s="108" t="s">
        <v>95</v>
      </c>
    </row>
    <row r="8236" spans="1:9">
      <c r="A8236" s="108" t="s">
        <v>16151</v>
      </c>
      <c r="B8236" s="108" t="s">
        <v>3267</v>
      </c>
      <c r="C8236" s="109">
        <v>44960</v>
      </c>
      <c r="D8236" s="108" t="s">
        <v>3268</v>
      </c>
      <c r="E8236" s="108" t="s">
        <v>14605</v>
      </c>
      <c r="F8236" s="108" t="s">
        <v>14664</v>
      </c>
      <c r="G8236" s="109">
        <v>46000</v>
      </c>
      <c r="H8236" s="108" t="s">
        <v>25458</v>
      </c>
      <c r="I8236" s="108" t="s">
        <v>95</v>
      </c>
    </row>
    <row r="8237" spans="1:9" ht="27.6">
      <c r="A8237" s="108" t="s">
        <v>96</v>
      </c>
      <c r="B8237" s="108" t="s">
        <v>472</v>
      </c>
      <c r="C8237" s="109">
        <v>44862</v>
      </c>
      <c r="D8237" s="108" t="s">
        <v>474</v>
      </c>
      <c r="E8237" s="108" t="s">
        <v>14605</v>
      </c>
      <c r="F8237" s="108" t="s">
        <v>473</v>
      </c>
      <c r="G8237" s="109">
        <v>45967</v>
      </c>
      <c r="H8237" s="108" t="s">
        <v>25458</v>
      </c>
      <c r="I8237" s="108" t="s">
        <v>95</v>
      </c>
    </row>
    <row r="8238" spans="1:9" ht="27.6">
      <c r="A8238" s="108" t="s">
        <v>96</v>
      </c>
      <c r="B8238" s="108" t="s">
        <v>3074</v>
      </c>
      <c r="C8238" s="109">
        <v>44931</v>
      </c>
      <c r="D8238" s="108" t="s">
        <v>3075</v>
      </c>
      <c r="E8238" s="108" t="s">
        <v>14605</v>
      </c>
      <c r="F8238" s="108" t="s">
        <v>3056</v>
      </c>
      <c r="G8238" s="109">
        <v>46019</v>
      </c>
      <c r="H8238" s="108" t="s">
        <v>25458</v>
      </c>
      <c r="I8238" s="108" t="s">
        <v>95</v>
      </c>
    </row>
    <row r="8239" spans="1:9" ht="27.6">
      <c r="A8239" s="108" t="s">
        <v>96</v>
      </c>
      <c r="B8239" s="108" t="s">
        <v>800</v>
      </c>
      <c r="C8239" s="109">
        <v>44930</v>
      </c>
      <c r="D8239" s="108" t="s">
        <v>802</v>
      </c>
      <c r="E8239" s="108" t="s">
        <v>14605</v>
      </c>
      <c r="F8239" s="108" t="s">
        <v>801</v>
      </c>
      <c r="G8239" s="109">
        <v>45643</v>
      </c>
      <c r="H8239" s="108" t="s">
        <v>25458</v>
      </c>
      <c r="I8239" s="108" t="s">
        <v>95</v>
      </c>
    </row>
    <row r="8240" spans="1:9" ht="27.6">
      <c r="A8240" s="108" t="s">
        <v>96</v>
      </c>
      <c r="B8240" s="108" t="s">
        <v>4482</v>
      </c>
      <c r="C8240" s="109">
        <v>44943</v>
      </c>
      <c r="D8240" s="108" t="s">
        <v>4483</v>
      </c>
      <c r="E8240" s="108" t="s">
        <v>14605</v>
      </c>
      <c r="F8240" s="108" t="s">
        <v>4476</v>
      </c>
      <c r="G8240" s="109">
        <v>46044</v>
      </c>
      <c r="H8240" s="108" t="s">
        <v>25458</v>
      </c>
      <c r="I8240" s="108" t="s">
        <v>95</v>
      </c>
    </row>
    <row r="8241" spans="1:9" ht="27.6">
      <c r="A8241" s="108" t="s">
        <v>96</v>
      </c>
      <c r="B8241" s="108" t="s">
        <v>1668</v>
      </c>
      <c r="C8241" s="109">
        <v>44965</v>
      </c>
      <c r="D8241" s="108" t="s">
        <v>1669</v>
      </c>
      <c r="E8241" s="108" t="s">
        <v>14605</v>
      </c>
      <c r="F8241" s="108" t="s">
        <v>25876</v>
      </c>
      <c r="G8241" s="109">
        <v>46051</v>
      </c>
      <c r="H8241" s="108" t="s">
        <v>25458</v>
      </c>
      <c r="I8241" s="108" t="s">
        <v>95</v>
      </c>
    </row>
    <row r="8242" spans="1:9" ht="27.6">
      <c r="A8242" s="108" t="s">
        <v>96</v>
      </c>
      <c r="B8242" s="108" t="s">
        <v>3644</v>
      </c>
      <c r="C8242" s="109">
        <v>45100</v>
      </c>
      <c r="D8242" s="108" t="s">
        <v>3645</v>
      </c>
      <c r="E8242" s="108" t="s">
        <v>14605</v>
      </c>
      <c r="F8242" s="108" t="s">
        <v>3642</v>
      </c>
      <c r="G8242" s="109">
        <v>45852</v>
      </c>
      <c r="H8242" s="108" t="s">
        <v>25458</v>
      </c>
      <c r="I8242" s="108" t="s">
        <v>95</v>
      </c>
    </row>
    <row r="8243" spans="1:9" ht="27.6">
      <c r="A8243" s="108" t="s">
        <v>96</v>
      </c>
      <c r="B8243" s="108" t="s">
        <v>2720</v>
      </c>
      <c r="C8243" s="109">
        <v>45244</v>
      </c>
      <c r="D8243" s="108" t="s">
        <v>2721</v>
      </c>
      <c r="E8243" s="108" t="s">
        <v>14605</v>
      </c>
      <c r="F8243" s="108" t="s">
        <v>2694</v>
      </c>
      <c r="G8243" s="109">
        <v>45973</v>
      </c>
      <c r="H8243" s="108" t="s">
        <v>25458</v>
      </c>
      <c r="I8243" s="108" t="s">
        <v>95</v>
      </c>
    </row>
    <row r="8244" spans="1:9" ht="27.6">
      <c r="A8244" s="108" t="s">
        <v>96</v>
      </c>
      <c r="B8244" s="108" t="s">
        <v>92</v>
      </c>
      <c r="C8244" s="109">
        <v>45371</v>
      </c>
      <c r="D8244" s="108" t="s">
        <v>94</v>
      </c>
      <c r="E8244" s="108" t="s">
        <v>14605</v>
      </c>
      <c r="F8244" s="108" t="s">
        <v>93</v>
      </c>
      <c r="G8244" s="109">
        <v>46022</v>
      </c>
      <c r="H8244" s="108" t="s">
        <v>25458</v>
      </c>
      <c r="I8244" s="108" t="s">
        <v>95</v>
      </c>
    </row>
    <row r="8245" spans="1:9" ht="27.6">
      <c r="A8245" s="108" t="s">
        <v>96</v>
      </c>
      <c r="B8245" s="108" t="s">
        <v>383</v>
      </c>
      <c r="C8245" s="109">
        <v>45278</v>
      </c>
      <c r="D8245" s="108" t="s">
        <v>384</v>
      </c>
      <c r="E8245" s="108" t="s">
        <v>14605</v>
      </c>
      <c r="F8245" s="108" t="s">
        <v>26020</v>
      </c>
      <c r="G8245" s="109">
        <v>45988</v>
      </c>
      <c r="H8245" s="108" t="s">
        <v>25458</v>
      </c>
      <c r="I8245" s="108" t="s">
        <v>95</v>
      </c>
    </row>
    <row r="8246" spans="1:9" ht="27.6">
      <c r="A8246" s="108" t="s">
        <v>96</v>
      </c>
      <c r="B8246" s="108" t="s">
        <v>3052</v>
      </c>
      <c r="C8246" s="109">
        <v>45175</v>
      </c>
      <c r="D8246" s="108" t="s">
        <v>3054</v>
      </c>
      <c r="E8246" s="108" t="s">
        <v>14605</v>
      </c>
      <c r="F8246" s="108" t="s">
        <v>3053</v>
      </c>
      <c r="G8246" s="109">
        <v>45918</v>
      </c>
      <c r="H8246" s="108" t="s">
        <v>25458</v>
      </c>
      <c r="I8246" s="108" t="s">
        <v>95</v>
      </c>
    </row>
    <row r="8247" spans="1:9" ht="27.6">
      <c r="A8247" s="108" t="s">
        <v>96</v>
      </c>
      <c r="B8247" s="108" t="s">
        <v>2358</v>
      </c>
      <c r="C8247" s="109">
        <v>45238</v>
      </c>
      <c r="D8247" s="108" t="s">
        <v>2360</v>
      </c>
      <c r="E8247" s="108" t="s">
        <v>14605</v>
      </c>
      <c r="F8247" s="108" t="s">
        <v>2359</v>
      </c>
      <c r="G8247" s="109">
        <v>46714</v>
      </c>
      <c r="H8247" s="108" t="s">
        <v>25458</v>
      </c>
      <c r="I8247" s="108" t="s">
        <v>95</v>
      </c>
    </row>
    <row r="8248" spans="1:9" ht="27.6">
      <c r="A8248" s="108" t="s">
        <v>96</v>
      </c>
      <c r="B8248" s="108" t="s">
        <v>1493</v>
      </c>
      <c r="C8248" s="109">
        <v>45573</v>
      </c>
      <c r="D8248" s="108" t="s">
        <v>1494</v>
      </c>
      <c r="E8248" s="108" t="s">
        <v>14605</v>
      </c>
      <c r="F8248" s="108" t="s">
        <v>1489</v>
      </c>
      <c r="G8248" s="109">
        <v>46037</v>
      </c>
      <c r="H8248" s="108" t="s">
        <v>25458</v>
      </c>
      <c r="I8248" s="108" t="s">
        <v>95</v>
      </c>
    </row>
    <row r="8249" spans="1:9" ht="27.6">
      <c r="A8249" s="108" t="s">
        <v>96</v>
      </c>
      <c r="B8249" s="108" t="s">
        <v>1491</v>
      </c>
      <c r="C8249" s="109">
        <v>45573</v>
      </c>
      <c r="D8249" s="108" t="s">
        <v>1492</v>
      </c>
      <c r="E8249" s="108" t="s">
        <v>14605</v>
      </c>
      <c r="F8249" s="108" t="s">
        <v>1489</v>
      </c>
      <c r="G8249" s="109">
        <v>46037</v>
      </c>
      <c r="H8249" s="108" t="s">
        <v>25458</v>
      </c>
      <c r="I8249" s="108" t="s">
        <v>95</v>
      </c>
    </row>
    <row r="8250" spans="1:9" ht="27.6">
      <c r="A8250" s="108" t="s">
        <v>96</v>
      </c>
      <c r="B8250" s="108" t="s">
        <v>1488</v>
      </c>
      <c r="C8250" s="109">
        <v>45467</v>
      </c>
      <c r="D8250" s="108" t="s">
        <v>1490</v>
      </c>
      <c r="E8250" s="108" t="s">
        <v>14605</v>
      </c>
      <c r="F8250" s="108" t="s">
        <v>1489</v>
      </c>
      <c r="G8250" s="109">
        <v>46037</v>
      </c>
      <c r="H8250" s="108" t="s">
        <v>25458</v>
      </c>
      <c r="I8250" s="108" t="s">
        <v>95</v>
      </c>
    </row>
    <row r="8251" spans="1:9" ht="27.6">
      <c r="A8251" s="108" t="s">
        <v>96</v>
      </c>
      <c r="B8251" s="108" t="s">
        <v>2780</v>
      </c>
      <c r="C8251" s="109">
        <v>45471</v>
      </c>
      <c r="D8251" s="108" t="s">
        <v>2781</v>
      </c>
      <c r="E8251" s="108" t="s">
        <v>14605</v>
      </c>
      <c r="F8251" s="108" t="s">
        <v>2762</v>
      </c>
      <c r="G8251" s="109">
        <v>46213</v>
      </c>
      <c r="H8251" s="108" t="s">
        <v>25458</v>
      </c>
      <c r="I8251" s="108" t="s">
        <v>95</v>
      </c>
    </row>
    <row r="8252" spans="1:9" ht="27.6">
      <c r="A8252" s="108" t="s">
        <v>96</v>
      </c>
      <c r="B8252" s="108" t="s">
        <v>254</v>
      </c>
      <c r="C8252" s="109">
        <v>45072</v>
      </c>
      <c r="D8252" s="108" t="s">
        <v>256</v>
      </c>
      <c r="E8252" s="108" t="s">
        <v>14605</v>
      </c>
      <c r="F8252" s="108" t="s">
        <v>255</v>
      </c>
      <c r="G8252" s="109">
        <v>45819</v>
      </c>
      <c r="H8252" s="108" t="s">
        <v>25458</v>
      </c>
      <c r="I8252" s="108" t="s">
        <v>95</v>
      </c>
    </row>
    <row r="8253" spans="1:9" ht="27.6">
      <c r="A8253" s="108" t="s">
        <v>96</v>
      </c>
      <c r="B8253" s="108" t="s">
        <v>4775</v>
      </c>
      <c r="C8253" s="109">
        <v>45069</v>
      </c>
      <c r="D8253" s="108" t="s">
        <v>4777</v>
      </c>
      <c r="E8253" s="108" t="s">
        <v>14605</v>
      </c>
      <c r="F8253" s="108" t="s">
        <v>4776</v>
      </c>
      <c r="G8253" s="109">
        <v>46187</v>
      </c>
      <c r="H8253" s="108" t="s">
        <v>25458</v>
      </c>
      <c r="I8253" s="108" t="s">
        <v>95</v>
      </c>
    </row>
    <row r="8254" spans="1:9" ht="27.6">
      <c r="A8254" s="108" t="s">
        <v>96</v>
      </c>
      <c r="B8254" s="108" t="s">
        <v>3161</v>
      </c>
      <c r="C8254" s="109">
        <v>45085</v>
      </c>
      <c r="D8254" s="108" t="s">
        <v>3163</v>
      </c>
      <c r="E8254" s="108" t="s">
        <v>14605</v>
      </c>
      <c r="F8254" s="108" t="s">
        <v>3162</v>
      </c>
      <c r="G8254" s="109">
        <v>46192</v>
      </c>
      <c r="H8254" s="108" t="s">
        <v>25458</v>
      </c>
      <c r="I8254" s="108" t="s">
        <v>95</v>
      </c>
    </row>
    <row r="8255" spans="1:9">
      <c r="A8255" s="108" t="s">
        <v>8194</v>
      </c>
      <c r="B8255" s="108" t="s">
        <v>5008</v>
      </c>
      <c r="C8255" s="109">
        <v>45323</v>
      </c>
      <c r="D8255" s="108" t="s">
        <v>5010</v>
      </c>
      <c r="E8255" s="108" t="s">
        <v>14605</v>
      </c>
      <c r="F8255" s="108" t="s">
        <v>5009</v>
      </c>
      <c r="G8255" s="109">
        <v>46040</v>
      </c>
      <c r="H8255" s="108" t="s">
        <v>25458</v>
      </c>
      <c r="I8255" s="108" t="s">
        <v>95</v>
      </c>
    </row>
    <row r="8256" spans="1:9" ht="27.6">
      <c r="A8256" s="108" t="s">
        <v>96</v>
      </c>
      <c r="B8256" s="108" t="s">
        <v>2118</v>
      </c>
      <c r="C8256" s="109">
        <v>45428</v>
      </c>
      <c r="D8256" s="108" t="s">
        <v>2120</v>
      </c>
      <c r="E8256" s="108" t="s">
        <v>14605</v>
      </c>
      <c r="F8256" s="108" t="s">
        <v>2119</v>
      </c>
      <c r="G8256" s="109">
        <v>46167</v>
      </c>
      <c r="H8256" s="108" t="s">
        <v>25458</v>
      </c>
      <c r="I8256" s="108" t="s">
        <v>95</v>
      </c>
    </row>
    <row r="8257" spans="1:9">
      <c r="A8257" s="108" t="s">
        <v>15990</v>
      </c>
      <c r="B8257" s="108" t="s">
        <v>146</v>
      </c>
      <c r="C8257" s="109">
        <v>44531</v>
      </c>
      <c r="D8257" s="108" t="s">
        <v>147</v>
      </c>
      <c r="E8257" s="108" t="s">
        <v>14605</v>
      </c>
      <c r="F8257" s="108" t="s">
        <v>142</v>
      </c>
      <c r="G8257" s="109">
        <v>46112</v>
      </c>
      <c r="H8257" s="108" t="s">
        <v>25458</v>
      </c>
      <c r="I8257" s="108" t="s">
        <v>95</v>
      </c>
    </row>
    <row r="8258" spans="1:9">
      <c r="A8258" s="108" t="s">
        <v>8404</v>
      </c>
      <c r="B8258" s="108" t="s">
        <v>2819</v>
      </c>
      <c r="C8258" s="109">
        <v>44398</v>
      </c>
      <c r="D8258" s="108" t="s">
        <v>2820</v>
      </c>
      <c r="E8258" s="108" t="s">
        <v>14605</v>
      </c>
      <c r="F8258" s="108" t="s">
        <v>4319</v>
      </c>
      <c r="G8258" s="109">
        <v>45618</v>
      </c>
      <c r="H8258" s="108" t="s">
        <v>25458</v>
      </c>
      <c r="I8258" s="108" t="s">
        <v>95</v>
      </c>
    </row>
    <row r="8259" spans="1:9">
      <c r="A8259" s="108" t="s">
        <v>15990</v>
      </c>
      <c r="B8259" s="108" t="s">
        <v>2138</v>
      </c>
      <c r="C8259" s="109">
        <v>44718</v>
      </c>
      <c r="D8259" s="108" t="s">
        <v>2139</v>
      </c>
      <c r="E8259" s="108" t="s">
        <v>14605</v>
      </c>
      <c r="F8259" s="108" t="s">
        <v>2124</v>
      </c>
      <c r="G8259" s="109">
        <v>46022</v>
      </c>
      <c r="H8259" s="108" t="s">
        <v>25458</v>
      </c>
      <c r="I8259" s="108" t="s">
        <v>95</v>
      </c>
    </row>
    <row r="8260" spans="1:9">
      <c r="A8260" s="108" t="s">
        <v>15990</v>
      </c>
      <c r="B8260" s="108" t="s">
        <v>3072</v>
      </c>
      <c r="C8260" s="109">
        <v>44467</v>
      </c>
      <c r="D8260" s="108" t="s">
        <v>3073</v>
      </c>
      <c r="E8260" s="108" t="s">
        <v>14605</v>
      </c>
      <c r="F8260" s="108" t="s">
        <v>3056</v>
      </c>
      <c r="G8260" s="109">
        <v>45929</v>
      </c>
      <c r="H8260" s="108" t="s">
        <v>25458</v>
      </c>
      <c r="I8260" s="108" t="s">
        <v>95</v>
      </c>
    </row>
    <row r="8261" spans="1:9" ht="27.6">
      <c r="A8261" s="108" t="s">
        <v>15990</v>
      </c>
      <c r="B8261" s="108" t="s">
        <v>3767</v>
      </c>
      <c r="C8261" s="109">
        <v>44484</v>
      </c>
      <c r="D8261" s="108" t="s">
        <v>3769</v>
      </c>
      <c r="E8261" s="108" t="s">
        <v>14605</v>
      </c>
      <c r="F8261" s="108" t="s">
        <v>3768</v>
      </c>
      <c r="G8261" s="109">
        <v>45854</v>
      </c>
      <c r="H8261" s="108" t="s">
        <v>25458</v>
      </c>
      <c r="I8261" s="108" t="s">
        <v>95</v>
      </c>
    </row>
    <row r="8262" spans="1:9">
      <c r="A8262" s="108" t="s">
        <v>15990</v>
      </c>
      <c r="B8262" s="108" t="s">
        <v>26662</v>
      </c>
      <c r="C8262" s="109">
        <v>44535</v>
      </c>
      <c r="D8262" s="108" t="s">
        <v>26663</v>
      </c>
      <c r="E8262" s="108" t="s">
        <v>15275</v>
      </c>
      <c r="F8262" s="108" t="s">
        <v>14764</v>
      </c>
      <c r="G8262" s="109">
        <v>47417</v>
      </c>
      <c r="H8262" s="108" t="s">
        <v>25458</v>
      </c>
      <c r="I8262" s="108" t="s">
        <v>95</v>
      </c>
    </row>
    <row r="8263" spans="1:9" ht="27.6">
      <c r="A8263" s="108" t="s">
        <v>15990</v>
      </c>
      <c r="B8263" s="108" t="s">
        <v>1986</v>
      </c>
      <c r="C8263" s="109">
        <v>44857</v>
      </c>
      <c r="D8263" s="108" t="s">
        <v>1987</v>
      </c>
      <c r="E8263" s="108" t="s">
        <v>14605</v>
      </c>
      <c r="F8263" s="108" t="s">
        <v>25541</v>
      </c>
      <c r="G8263" s="109">
        <v>46139</v>
      </c>
      <c r="H8263" s="108" t="s">
        <v>25458</v>
      </c>
      <c r="I8263" s="108" t="s">
        <v>95</v>
      </c>
    </row>
    <row r="8264" spans="1:9">
      <c r="A8264" s="108" t="s">
        <v>15990</v>
      </c>
      <c r="B8264" s="108" t="s">
        <v>2718</v>
      </c>
      <c r="C8264" s="109">
        <v>44953</v>
      </c>
      <c r="D8264" s="108" t="s">
        <v>2719</v>
      </c>
      <c r="E8264" s="108" t="s">
        <v>14605</v>
      </c>
      <c r="F8264" s="108" t="s">
        <v>2694</v>
      </c>
      <c r="G8264" s="109">
        <v>46022</v>
      </c>
      <c r="H8264" s="108" t="s">
        <v>25458</v>
      </c>
      <c r="I8264" s="108" t="s">
        <v>95</v>
      </c>
    </row>
    <row r="8265" spans="1:9">
      <c r="A8265" s="108" t="s">
        <v>15990</v>
      </c>
      <c r="B8265" s="108" t="s">
        <v>2778</v>
      </c>
      <c r="C8265" s="109">
        <v>44540</v>
      </c>
      <c r="D8265" s="108" t="s">
        <v>2779</v>
      </c>
      <c r="E8265" s="108" t="s">
        <v>14605</v>
      </c>
      <c r="F8265" s="108" t="s">
        <v>2762</v>
      </c>
      <c r="G8265" s="109">
        <v>46053</v>
      </c>
      <c r="H8265" s="108" t="s">
        <v>25458</v>
      </c>
      <c r="I8265" s="108" t="s">
        <v>95</v>
      </c>
    </row>
    <row r="8266" spans="1:9">
      <c r="A8266" s="108" t="s">
        <v>503</v>
      </c>
      <c r="B8266" s="108" t="s">
        <v>5006</v>
      </c>
      <c r="C8266" s="109">
        <v>44650</v>
      </c>
      <c r="D8266" s="108" t="s">
        <v>5007</v>
      </c>
      <c r="E8266" s="108" t="s">
        <v>14605</v>
      </c>
      <c r="F8266" s="108" t="s">
        <v>5004</v>
      </c>
      <c r="G8266" s="109">
        <v>46009</v>
      </c>
      <c r="H8266" s="108" t="s">
        <v>25458</v>
      </c>
      <c r="I8266" s="108" t="s">
        <v>95</v>
      </c>
    </row>
    <row r="8267" spans="1:9">
      <c r="A8267" s="108" t="s">
        <v>15990</v>
      </c>
      <c r="B8267" s="108" t="s">
        <v>1913</v>
      </c>
      <c r="C8267" s="109">
        <v>44593</v>
      </c>
      <c r="D8267" s="108" t="s">
        <v>1914</v>
      </c>
      <c r="E8267" s="108" t="s">
        <v>14605</v>
      </c>
      <c r="F8267" s="108" t="s">
        <v>1907</v>
      </c>
      <c r="G8267" s="109">
        <v>46217</v>
      </c>
      <c r="H8267" s="108" t="s">
        <v>25458</v>
      </c>
      <c r="I8267" s="108" t="s">
        <v>95</v>
      </c>
    </row>
    <row r="8268" spans="1:9" ht="27.6">
      <c r="A8268" s="108" t="s">
        <v>15990</v>
      </c>
      <c r="B8268" s="108" t="s">
        <v>1984</v>
      </c>
      <c r="C8268" s="109">
        <v>44915</v>
      </c>
      <c r="D8268" s="108" t="s">
        <v>1985</v>
      </c>
      <c r="E8268" s="108" t="s">
        <v>14605</v>
      </c>
      <c r="F8268" s="108" t="s">
        <v>25541</v>
      </c>
      <c r="G8268" s="109">
        <v>46139</v>
      </c>
      <c r="H8268" s="108" t="s">
        <v>25458</v>
      </c>
      <c r="I8268" s="108" t="s">
        <v>95</v>
      </c>
    </row>
    <row r="8269" spans="1:9">
      <c r="A8269" s="108" t="s">
        <v>15990</v>
      </c>
      <c r="B8269" s="108" t="s">
        <v>26664</v>
      </c>
      <c r="C8269" s="109">
        <v>44727</v>
      </c>
      <c r="D8269" s="108" t="s">
        <v>5060</v>
      </c>
      <c r="E8269" s="108" t="s">
        <v>14605</v>
      </c>
      <c r="F8269" s="108" t="s">
        <v>14764</v>
      </c>
      <c r="G8269" s="109">
        <v>46881</v>
      </c>
      <c r="H8269" s="108" t="s">
        <v>25458</v>
      </c>
      <c r="I8269" s="108" t="s">
        <v>95</v>
      </c>
    </row>
    <row r="8270" spans="1:9">
      <c r="A8270" s="108" t="s">
        <v>15990</v>
      </c>
      <c r="B8270" s="108" t="s">
        <v>945</v>
      </c>
      <c r="C8270" s="109">
        <v>44678</v>
      </c>
      <c r="D8270" s="108" t="s">
        <v>946</v>
      </c>
      <c r="E8270" s="108" t="s">
        <v>14605</v>
      </c>
      <c r="F8270" s="108" t="s">
        <v>933</v>
      </c>
      <c r="G8270" s="109">
        <v>46203</v>
      </c>
      <c r="H8270" s="108" t="s">
        <v>25458</v>
      </c>
      <c r="I8270" s="108" t="s">
        <v>95</v>
      </c>
    </row>
    <row r="8271" spans="1:9">
      <c r="A8271" s="108" t="s">
        <v>244</v>
      </c>
      <c r="B8271" s="108" t="s">
        <v>2092</v>
      </c>
      <c r="C8271" s="109">
        <v>44895</v>
      </c>
      <c r="D8271" s="108" t="s">
        <v>2093</v>
      </c>
      <c r="E8271" s="108" t="s">
        <v>14605</v>
      </c>
      <c r="F8271" s="108" t="s">
        <v>2088</v>
      </c>
      <c r="G8271" s="109">
        <v>46227</v>
      </c>
      <c r="H8271" s="108" t="s">
        <v>25458</v>
      </c>
      <c r="I8271" s="108" t="s">
        <v>95</v>
      </c>
    </row>
    <row r="8272" spans="1:9" ht="27.6">
      <c r="A8272" s="108" t="s">
        <v>503</v>
      </c>
      <c r="B8272" s="108" t="s">
        <v>3516</v>
      </c>
      <c r="C8272" s="109">
        <v>44695</v>
      </c>
      <c r="D8272" s="108" t="s">
        <v>3517</v>
      </c>
      <c r="E8272" s="108" t="s">
        <v>14605</v>
      </c>
      <c r="F8272" s="108" t="s">
        <v>3512</v>
      </c>
      <c r="G8272" s="109">
        <v>46125</v>
      </c>
      <c r="H8272" s="108" t="s">
        <v>25458</v>
      </c>
      <c r="I8272" s="108" t="s">
        <v>95</v>
      </c>
    </row>
    <row r="8273" spans="1:9" ht="41.4">
      <c r="A8273" s="108" t="s">
        <v>15990</v>
      </c>
      <c r="B8273" s="108" t="s">
        <v>2830</v>
      </c>
      <c r="C8273" s="109">
        <v>44750</v>
      </c>
      <c r="D8273" s="108" t="s">
        <v>2831</v>
      </c>
      <c r="E8273" s="108" t="s">
        <v>14605</v>
      </c>
      <c r="F8273" s="108" t="s">
        <v>2826</v>
      </c>
      <c r="G8273" s="109">
        <v>45880</v>
      </c>
      <c r="H8273" s="108" t="s">
        <v>25458</v>
      </c>
      <c r="I8273" s="108" t="s">
        <v>95</v>
      </c>
    </row>
    <row r="8274" spans="1:9" ht="27.6">
      <c r="A8274" s="108" t="s">
        <v>15990</v>
      </c>
      <c r="B8274" s="108" t="s">
        <v>3514</v>
      </c>
      <c r="C8274" s="109">
        <v>44736</v>
      </c>
      <c r="D8274" s="108" t="s">
        <v>3515</v>
      </c>
      <c r="E8274" s="108" t="s">
        <v>14605</v>
      </c>
      <c r="F8274" s="108" t="s">
        <v>3512</v>
      </c>
      <c r="G8274" s="109">
        <v>46076</v>
      </c>
      <c r="H8274" s="108" t="s">
        <v>25458</v>
      </c>
      <c r="I8274" s="108" t="s">
        <v>95</v>
      </c>
    </row>
    <row r="8275" spans="1:9">
      <c r="A8275" s="108" t="s">
        <v>15990</v>
      </c>
      <c r="B8275" s="108" t="s">
        <v>3068</v>
      </c>
      <c r="C8275" s="109">
        <v>44758</v>
      </c>
      <c r="D8275" s="108" t="s">
        <v>3069</v>
      </c>
      <c r="E8275" s="108" t="s">
        <v>14605</v>
      </c>
      <c r="F8275" s="108" t="s">
        <v>3056</v>
      </c>
      <c r="G8275" s="109">
        <v>46230</v>
      </c>
      <c r="H8275" s="108" t="s">
        <v>25458</v>
      </c>
      <c r="I8275" s="108" t="s">
        <v>95</v>
      </c>
    </row>
    <row r="8276" spans="1:9">
      <c r="A8276" s="108" t="s">
        <v>15990</v>
      </c>
      <c r="B8276" s="108" t="s">
        <v>842</v>
      </c>
      <c r="C8276" s="109">
        <v>44785</v>
      </c>
      <c r="D8276" s="108" t="s">
        <v>843</v>
      </c>
      <c r="E8276" s="108" t="s">
        <v>14605</v>
      </c>
      <c r="F8276" s="108" t="s">
        <v>840</v>
      </c>
      <c r="G8276" s="109">
        <v>45892</v>
      </c>
      <c r="H8276" s="108" t="s">
        <v>25458</v>
      </c>
      <c r="I8276" s="108" t="s">
        <v>95</v>
      </c>
    </row>
    <row r="8277" spans="1:9">
      <c r="A8277" s="108" t="s">
        <v>15990</v>
      </c>
      <c r="B8277" s="108" t="s">
        <v>4231</v>
      </c>
      <c r="C8277" s="109">
        <v>44803</v>
      </c>
      <c r="D8277" s="108" t="s">
        <v>4232</v>
      </c>
      <c r="E8277" s="108" t="s">
        <v>14605</v>
      </c>
      <c r="F8277" s="108" t="s">
        <v>4229</v>
      </c>
      <c r="G8277" s="109">
        <v>45914</v>
      </c>
      <c r="H8277" s="108" t="s">
        <v>25458</v>
      </c>
      <c r="I8277" s="108" t="s">
        <v>95</v>
      </c>
    </row>
    <row r="8278" spans="1:9">
      <c r="A8278" s="108" t="s">
        <v>244</v>
      </c>
      <c r="B8278" s="108" t="s">
        <v>1420</v>
      </c>
      <c r="C8278" s="109">
        <v>44711</v>
      </c>
      <c r="D8278" s="108" t="s">
        <v>1421</v>
      </c>
      <c r="E8278" s="108" t="s">
        <v>14605</v>
      </c>
      <c r="F8278" s="108" t="s">
        <v>1418</v>
      </c>
      <c r="G8278" s="109">
        <v>46507</v>
      </c>
      <c r="H8278" s="108" t="s">
        <v>25458</v>
      </c>
      <c r="I8278" s="108" t="s">
        <v>95</v>
      </c>
    </row>
    <row r="8279" spans="1:9">
      <c r="A8279" s="108" t="s">
        <v>15990</v>
      </c>
      <c r="B8279" s="108" t="s">
        <v>2572</v>
      </c>
      <c r="C8279" s="109">
        <v>44848</v>
      </c>
      <c r="D8279" s="108" t="s">
        <v>2573</v>
      </c>
      <c r="E8279" s="108" t="s">
        <v>14605</v>
      </c>
      <c r="F8279" s="108" t="s">
        <v>2552</v>
      </c>
      <c r="G8279" s="109">
        <v>46633</v>
      </c>
      <c r="H8279" s="108" t="s">
        <v>25458</v>
      </c>
      <c r="I8279" s="108" t="s">
        <v>95</v>
      </c>
    </row>
    <row r="8280" spans="1:9">
      <c r="A8280" s="108" t="s">
        <v>15990</v>
      </c>
      <c r="B8280" s="108" t="s">
        <v>26665</v>
      </c>
      <c r="C8280" s="109">
        <v>45932</v>
      </c>
      <c r="D8280" s="108" t="s">
        <v>26666</v>
      </c>
      <c r="E8280" s="108" t="s">
        <v>14605</v>
      </c>
      <c r="F8280" s="108" t="s">
        <v>14764</v>
      </c>
      <c r="G8280" s="109">
        <v>47417</v>
      </c>
      <c r="H8280" s="108" t="s">
        <v>25558</v>
      </c>
      <c r="I8280" s="108" t="s">
        <v>95</v>
      </c>
    </row>
    <row r="8281" spans="1:9">
      <c r="A8281" s="108" t="s">
        <v>15990</v>
      </c>
      <c r="B8281" s="108" t="s">
        <v>4906</v>
      </c>
      <c r="C8281" s="109">
        <v>44825</v>
      </c>
      <c r="D8281" s="108" t="s">
        <v>4907</v>
      </c>
      <c r="E8281" s="108" t="s">
        <v>14605</v>
      </c>
      <c r="F8281" s="108" t="s">
        <v>4898</v>
      </c>
      <c r="G8281" s="109">
        <v>45530</v>
      </c>
      <c r="H8281" s="108" t="s">
        <v>25458</v>
      </c>
      <c r="I8281" s="108" t="s">
        <v>95</v>
      </c>
    </row>
    <row r="8282" spans="1:9">
      <c r="A8282" s="108" t="s">
        <v>15990</v>
      </c>
      <c r="B8282" s="108" t="s">
        <v>1356</v>
      </c>
      <c r="C8282" s="109">
        <v>44862</v>
      </c>
      <c r="D8282" s="108" t="s">
        <v>1357</v>
      </c>
      <c r="E8282" s="108" t="s">
        <v>14605</v>
      </c>
      <c r="F8282" s="108" t="s">
        <v>1338</v>
      </c>
      <c r="G8282" s="109">
        <v>45900</v>
      </c>
      <c r="H8282" s="108" t="s">
        <v>25458</v>
      </c>
      <c r="I8282" s="108" t="s">
        <v>95</v>
      </c>
    </row>
    <row r="8283" spans="1:9">
      <c r="A8283" s="108" t="s">
        <v>15990</v>
      </c>
      <c r="B8283" s="108" t="s">
        <v>3606</v>
      </c>
      <c r="C8283" s="109">
        <v>44838</v>
      </c>
      <c r="D8283" s="108" t="s">
        <v>3608</v>
      </c>
      <c r="E8283" s="108" t="s">
        <v>14605</v>
      </c>
      <c r="F8283" s="108" t="s">
        <v>3607</v>
      </c>
      <c r="G8283" s="109">
        <v>45925</v>
      </c>
      <c r="H8283" s="108" t="s">
        <v>25458</v>
      </c>
      <c r="I8283" s="108" t="s">
        <v>95</v>
      </c>
    </row>
    <row r="8284" spans="1:9">
      <c r="A8284" s="108" t="s">
        <v>15990</v>
      </c>
      <c r="B8284" s="108" t="s">
        <v>4603</v>
      </c>
      <c r="C8284" s="109">
        <v>44853</v>
      </c>
      <c r="D8284" s="108" t="s">
        <v>4604</v>
      </c>
      <c r="E8284" s="108" t="s">
        <v>14605</v>
      </c>
      <c r="F8284" s="108" t="s">
        <v>4597</v>
      </c>
      <c r="G8284" s="109">
        <v>45941</v>
      </c>
      <c r="H8284" s="108" t="s">
        <v>25558</v>
      </c>
      <c r="I8284" s="108" t="s">
        <v>95</v>
      </c>
    </row>
    <row r="8285" spans="1:9">
      <c r="A8285" s="108" t="s">
        <v>15990</v>
      </c>
      <c r="B8285" s="108" t="s">
        <v>2491</v>
      </c>
      <c r="C8285" s="109">
        <v>44894</v>
      </c>
      <c r="D8285" s="108" t="s">
        <v>2492</v>
      </c>
      <c r="E8285" s="108" t="s">
        <v>14605</v>
      </c>
      <c r="F8285" s="108" t="s">
        <v>2475</v>
      </c>
      <c r="G8285" s="109">
        <v>45929</v>
      </c>
      <c r="H8285" s="108" t="s">
        <v>25458</v>
      </c>
      <c r="I8285" s="108" t="s">
        <v>95</v>
      </c>
    </row>
    <row r="8286" spans="1:9">
      <c r="A8286" s="108" t="s">
        <v>15990</v>
      </c>
      <c r="B8286" s="108" t="s">
        <v>2595</v>
      </c>
      <c r="C8286" s="109">
        <v>44945</v>
      </c>
      <c r="D8286" s="108" t="s">
        <v>2596</v>
      </c>
      <c r="E8286" s="108" t="s">
        <v>14605</v>
      </c>
      <c r="F8286" s="108" t="s">
        <v>2591</v>
      </c>
      <c r="G8286" s="109">
        <v>45944</v>
      </c>
      <c r="H8286" s="108" t="s">
        <v>25458</v>
      </c>
      <c r="I8286" s="108" t="s">
        <v>95</v>
      </c>
    </row>
    <row r="8287" spans="1:9" ht="27.6">
      <c r="A8287" s="108" t="s">
        <v>15990</v>
      </c>
      <c r="B8287" s="108" t="s">
        <v>4480</v>
      </c>
      <c r="C8287" s="109">
        <v>44872</v>
      </c>
      <c r="D8287" s="108" t="s">
        <v>4481</v>
      </c>
      <c r="E8287" s="108" t="s">
        <v>14605</v>
      </c>
      <c r="F8287" s="108" t="s">
        <v>4476</v>
      </c>
      <c r="G8287" s="109">
        <v>46686</v>
      </c>
      <c r="H8287" s="108" t="s">
        <v>25458</v>
      </c>
      <c r="I8287" s="108" t="s">
        <v>95</v>
      </c>
    </row>
    <row r="8288" spans="1:9" ht="27.6">
      <c r="A8288" s="108" t="s">
        <v>15990</v>
      </c>
      <c r="B8288" s="108" t="s">
        <v>4294</v>
      </c>
      <c r="C8288" s="109">
        <v>45153</v>
      </c>
      <c r="D8288" s="108" t="s">
        <v>4295</v>
      </c>
      <c r="E8288" s="108" t="s">
        <v>14605</v>
      </c>
      <c r="F8288" s="108" t="s">
        <v>4276</v>
      </c>
      <c r="G8288" s="109">
        <v>46218</v>
      </c>
      <c r="H8288" s="108" t="s">
        <v>25458</v>
      </c>
      <c r="I8288" s="108" t="s">
        <v>95</v>
      </c>
    </row>
    <row r="8289" spans="1:9">
      <c r="A8289" s="108" t="s">
        <v>244</v>
      </c>
      <c r="B8289" s="108" t="s">
        <v>3066</v>
      </c>
      <c r="C8289" s="109">
        <v>45167</v>
      </c>
      <c r="D8289" s="108" t="s">
        <v>3067</v>
      </c>
      <c r="E8289" s="108" t="s">
        <v>14605</v>
      </c>
      <c r="F8289" s="108" t="s">
        <v>3056</v>
      </c>
      <c r="G8289" s="109">
        <v>45991</v>
      </c>
      <c r="H8289" s="108" t="s">
        <v>25458</v>
      </c>
      <c r="I8289" s="108" t="s">
        <v>95</v>
      </c>
    </row>
    <row r="8290" spans="1:9" ht="27.6">
      <c r="A8290" s="108" t="s">
        <v>8396</v>
      </c>
      <c r="B8290" s="108" t="s">
        <v>4037</v>
      </c>
      <c r="C8290" s="109">
        <v>45119</v>
      </c>
      <c r="D8290" s="108" t="s">
        <v>4039</v>
      </c>
      <c r="E8290" s="108" t="s">
        <v>14605</v>
      </c>
      <c r="F8290" s="108" t="s">
        <v>4038</v>
      </c>
      <c r="G8290" s="109">
        <v>46886</v>
      </c>
      <c r="H8290" s="108" t="s">
        <v>25458</v>
      </c>
      <c r="I8290" s="108" t="s">
        <v>95</v>
      </c>
    </row>
    <row r="8291" spans="1:9">
      <c r="A8291" s="108" t="s">
        <v>15990</v>
      </c>
      <c r="B8291" s="108" t="s">
        <v>1695</v>
      </c>
      <c r="C8291" s="109">
        <v>44972</v>
      </c>
      <c r="D8291" s="108" t="s">
        <v>1696</v>
      </c>
      <c r="E8291" s="108" t="s">
        <v>14605</v>
      </c>
      <c r="F8291" s="108" t="s">
        <v>1691</v>
      </c>
      <c r="G8291" s="109">
        <v>46141</v>
      </c>
      <c r="H8291" s="108" t="s">
        <v>25458</v>
      </c>
      <c r="I8291" s="108" t="s">
        <v>95</v>
      </c>
    </row>
    <row r="8292" spans="1:9">
      <c r="A8292" s="108" t="s">
        <v>244</v>
      </c>
      <c r="B8292" s="108" t="s">
        <v>1564</v>
      </c>
      <c r="C8292" s="109">
        <v>45016</v>
      </c>
      <c r="D8292" s="108" t="s">
        <v>1565</v>
      </c>
      <c r="E8292" s="108" t="s">
        <v>14605</v>
      </c>
      <c r="F8292" s="108" t="s">
        <v>1562</v>
      </c>
      <c r="G8292" s="109">
        <v>45930</v>
      </c>
      <c r="H8292" s="108" t="s">
        <v>25458</v>
      </c>
      <c r="I8292" s="108" t="s">
        <v>95</v>
      </c>
    </row>
    <row r="8293" spans="1:9">
      <c r="A8293" s="108" t="s">
        <v>503</v>
      </c>
      <c r="B8293" s="108" t="s">
        <v>3796</v>
      </c>
      <c r="C8293" s="109">
        <v>44992</v>
      </c>
      <c r="D8293" s="108" t="s">
        <v>3798</v>
      </c>
      <c r="E8293" s="108" t="s">
        <v>14605</v>
      </c>
      <c r="F8293" s="108" t="s">
        <v>3797</v>
      </c>
      <c r="G8293" s="109">
        <v>46376</v>
      </c>
      <c r="H8293" s="108" t="s">
        <v>25458</v>
      </c>
      <c r="I8293" s="108" t="s">
        <v>95</v>
      </c>
    </row>
    <row r="8294" spans="1:9">
      <c r="A8294" s="108" t="s">
        <v>15990</v>
      </c>
      <c r="B8294" s="108" t="s">
        <v>4456</v>
      </c>
      <c r="C8294" s="109">
        <v>45036</v>
      </c>
      <c r="D8294" s="108" t="s">
        <v>4457</v>
      </c>
      <c r="E8294" s="108" t="s">
        <v>14605</v>
      </c>
      <c r="F8294" s="108" t="s">
        <v>4448</v>
      </c>
      <c r="G8294" s="109">
        <v>45601</v>
      </c>
      <c r="H8294" s="108" t="s">
        <v>25458</v>
      </c>
      <c r="I8294" s="108" t="s">
        <v>95</v>
      </c>
    </row>
    <row r="8295" spans="1:9">
      <c r="A8295" s="108" t="s">
        <v>15990</v>
      </c>
      <c r="B8295" s="108" t="s">
        <v>26667</v>
      </c>
      <c r="C8295" s="109">
        <v>45071</v>
      </c>
      <c r="D8295" s="108" t="s">
        <v>26668</v>
      </c>
      <c r="E8295" s="108" t="s">
        <v>14605</v>
      </c>
      <c r="F8295" s="108" t="s">
        <v>15996</v>
      </c>
      <c r="G8295" s="109">
        <v>47247</v>
      </c>
      <c r="H8295" s="108" t="s">
        <v>25458</v>
      </c>
      <c r="I8295" s="108" t="s">
        <v>95</v>
      </c>
    </row>
    <row r="8296" spans="1:9">
      <c r="A8296" s="108" t="s">
        <v>15990</v>
      </c>
      <c r="B8296" s="108" t="s">
        <v>943</v>
      </c>
      <c r="C8296" s="109">
        <v>45054</v>
      </c>
      <c r="D8296" s="108" t="s">
        <v>944</v>
      </c>
      <c r="E8296" s="108" t="s">
        <v>14605</v>
      </c>
      <c r="F8296" s="108" t="s">
        <v>933</v>
      </c>
      <c r="G8296" s="109">
        <v>46147</v>
      </c>
      <c r="H8296" s="108" t="s">
        <v>25458</v>
      </c>
      <c r="I8296" s="108" t="s">
        <v>95</v>
      </c>
    </row>
    <row r="8297" spans="1:9">
      <c r="A8297" s="108" t="s">
        <v>15990</v>
      </c>
      <c r="B8297" s="108" t="s">
        <v>3863</v>
      </c>
      <c r="C8297" s="109">
        <v>45149</v>
      </c>
      <c r="D8297" s="108" t="s">
        <v>3864</v>
      </c>
      <c r="E8297" s="108" t="s">
        <v>14605</v>
      </c>
      <c r="F8297" s="108" t="s">
        <v>3856</v>
      </c>
      <c r="G8297" s="109">
        <v>46265</v>
      </c>
      <c r="H8297" s="108" t="s">
        <v>25458</v>
      </c>
      <c r="I8297" s="108" t="s">
        <v>95</v>
      </c>
    </row>
    <row r="8298" spans="1:9">
      <c r="A8298" s="108" t="s">
        <v>15990</v>
      </c>
      <c r="B8298" s="108" t="s">
        <v>5239</v>
      </c>
      <c r="C8298" s="109">
        <v>45090</v>
      </c>
      <c r="D8298" s="108" t="s">
        <v>5240</v>
      </c>
      <c r="E8298" s="108" t="s">
        <v>14605</v>
      </c>
      <c r="F8298" s="108" t="s">
        <v>5227</v>
      </c>
      <c r="G8298" s="109">
        <v>47248</v>
      </c>
      <c r="H8298" s="108" t="s">
        <v>25458</v>
      </c>
      <c r="I8298" s="108" t="s">
        <v>95</v>
      </c>
    </row>
    <row r="8299" spans="1:9">
      <c r="A8299" s="108" t="s">
        <v>15990</v>
      </c>
      <c r="B8299" s="108" t="s">
        <v>4767</v>
      </c>
      <c r="C8299" s="109">
        <v>45051</v>
      </c>
      <c r="D8299" s="108" t="s">
        <v>4768</v>
      </c>
      <c r="E8299" s="108" t="s">
        <v>14605</v>
      </c>
      <c r="F8299" s="108" t="s">
        <v>4763</v>
      </c>
      <c r="G8299" s="109">
        <v>46199</v>
      </c>
      <c r="H8299" s="108" t="s">
        <v>25458</v>
      </c>
      <c r="I8299" s="108" t="s">
        <v>95</v>
      </c>
    </row>
    <row r="8300" spans="1:9">
      <c r="A8300" s="108" t="s">
        <v>15990</v>
      </c>
      <c r="B8300" s="108" t="s">
        <v>2776</v>
      </c>
      <c r="C8300" s="109">
        <v>44985</v>
      </c>
      <c r="D8300" s="108" t="s">
        <v>2777</v>
      </c>
      <c r="E8300" s="108" t="s">
        <v>14605</v>
      </c>
      <c r="F8300" s="108" t="s">
        <v>2762</v>
      </c>
      <c r="G8300" s="109">
        <v>46112</v>
      </c>
      <c r="H8300" s="108" t="s">
        <v>25458</v>
      </c>
      <c r="I8300" s="108" t="s">
        <v>95</v>
      </c>
    </row>
    <row r="8301" spans="1:9">
      <c r="A8301" s="108" t="s">
        <v>15990</v>
      </c>
      <c r="B8301" s="108" t="s">
        <v>5191</v>
      </c>
      <c r="C8301" s="109">
        <v>44951</v>
      </c>
      <c r="D8301" s="108" t="s">
        <v>5192</v>
      </c>
      <c r="E8301" s="108" t="s">
        <v>14605</v>
      </c>
      <c r="F8301" s="108" t="s">
        <v>5145</v>
      </c>
      <c r="G8301" s="109">
        <v>46044</v>
      </c>
      <c r="H8301" s="108" t="s">
        <v>25458</v>
      </c>
      <c r="I8301" s="108" t="s">
        <v>95</v>
      </c>
    </row>
    <row r="8302" spans="1:9">
      <c r="A8302" s="108" t="s">
        <v>15990</v>
      </c>
      <c r="B8302" s="108" t="s">
        <v>2522</v>
      </c>
      <c r="C8302" s="109">
        <v>45139</v>
      </c>
      <c r="D8302" s="108" t="s">
        <v>2523</v>
      </c>
      <c r="E8302" s="108" t="s">
        <v>14605</v>
      </c>
      <c r="F8302" s="108" t="s">
        <v>2516</v>
      </c>
      <c r="G8302" s="109">
        <v>46245</v>
      </c>
      <c r="H8302" s="108" t="s">
        <v>25458</v>
      </c>
      <c r="I8302" s="108" t="s">
        <v>95</v>
      </c>
    </row>
    <row r="8303" spans="1:9">
      <c r="A8303" s="108" t="s">
        <v>15990</v>
      </c>
      <c r="B8303" s="108" t="s">
        <v>370</v>
      </c>
      <c r="C8303" s="109">
        <v>45131</v>
      </c>
      <c r="D8303" s="108" t="s">
        <v>371</v>
      </c>
      <c r="E8303" s="108" t="s">
        <v>14605</v>
      </c>
      <c r="F8303" s="108" t="s">
        <v>368</v>
      </c>
      <c r="G8303" s="109">
        <v>46006</v>
      </c>
      <c r="H8303" s="108" t="s">
        <v>25458</v>
      </c>
      <c r="I8303" s="108" t="s">
        <v>95</v>
      </c>
    </row>
    <row r="8304" spans="1:9">
      <c r="A8304" s="108" t="s">
        <v>15990</v>
      </c>
      <c r="B8304" s="108" t="s">
        <v>4744</v>
      </c>
      <c r="C8304" s="109">
        <v>44988</v>
      </c>
      <c r="D8304" s="108" t="s">
        <v>4745</v>
      </c>
      <c r="E8304" s="108" t="s">
        <v>14605</v>
      </c>
      <c r="F8304" s="108" t="s">
        <v>4732</v>
      </c>
      <c r="G8304" s="109">
        <v>46002</v>
      </c>
      <c r="H8304" s="108" t="s">
        <v>25458</v>
      </c>
      <c r="I8304" s="108" t="s">
        <v>95</v>
      </c>
    </row>
    <row r="8305" spans="1:9">
      <c r="A8305" s="108" t="s">
        <v>15990</v>
      </c>
      <c r="B8305" s="108" t="s">
        <v>2716</v>
      </c>
      <c r="C8305" s="109">
        <v>45155</v>
      </c>
      <c r="D8305" s="108" t="s">
        <v>2717</v>
      </c>
      <c r="E8305" s="108" t="s">
        <v>14605</v>
      </c>
      <c r="F8305" s="108" t="s">
        <v>2694</v>
      </c>
      <c r="G8305" s="109">
        <v>46022</v>
      </c>
      <c r="H8305" s="108" t="s">
        <v>25458</v>
      </c>
      <c r="I8305" s="108" t="s">
        <v>95</v>
      </c>
    </row>
    <row r="8306" spans="1:9" ht="27.6">
      <c r="A8306" s="108" t="s">
        <v>15990</v>
      </c>
      <c r="B8306" s="108" t="s">
        <v>1782</v>
      </c>
      <c r="C8306" s="109">
        <v>45065</v>
      </c>
      <c r="D8306" s="108" t="s">
        <v>1783</v>
      </c>
      <c r="E8306" s="108" t="s">
        <v>14605</v>
      </c>
      <c r="F8306" s="108" t="s">
        <v>1770</v>
      </c>
      <c r="G8306" s="109">
        <v>46181</v>
      </c>
      <c r="H8306" s="108" t="s">
        <v>25458</v>
      </c>
      <c r="I8306" s="108" t="s">
        <v>95</v>
      </c>
    </row>
    <row r="8307" spans="1:9">
      <c r="A8307" s="108" t="s">
        <v>244</v>
      </c>
      <c r="B8307" s="108" t="s">
        <v>3641</v>
      </c>
      <c r="C8307" s="109">
        <v>45380</v>
      </c>
      <c r="D8307" s="108" t="s">
        <v>3643</v>
      </c>
      <c r="E8307" s="108" t="s">
        <v>14605</v>
      </c>
      <c r="F8307" s="108" t="s">
        <v>3642</v>
      </c>
      <c r="G8307" s="109">
        <v>45852</v>
      </c>
      <c r="H8307" s="108" t="s">
        <v>25458</v>
      </c>
      <c r="I8307" s="108" t="s">
        <v>95</v>
      </c>
    </row>
    <row r="8308" spans="1:9" ht="27.6">
      <c r="A8308" s="108" t="s">
        <v>15990</v>
      </c>
      <c r="B8308" s="108" t="s">
        <v>1683</v>
      </c>
      <c r="C8308" s="109">
        <v>45082</v>
      </c>
      <c r="D8308" s="108" t="s">
        <v>1684</v>
      </c>
      <c r="E8308" s="108" t="s">
        <v>14605</v>
      </c>
      <c r="F8308" s="108" t="s">
        <v>1681</v>
      </c>
      <c r="G8308" s="109">
        <v>46162</v>
      </c>
      <c r="H8308" s="108" t="s">
        <v>25458</v>
      </c>
      <c r="I8308" s="108" t="s">
        <v>95</v>
      </c>
    </row>
    <row r="8309" spans="1:9">
      <c r="A8309" s="108" t="s">
        <v>15990</v>
      </c>
      <c r="B8309" s="108" t="s">
        <v>2489</v>
      </c>
      <c r="C8309" s="109">
        <v>45114</v>
      </c>
      <c r="D8309" s="108" t="s">
        <v>2490</v>
      </c>
      <c r="E8309" s="108" t="s">
        <v>14605</v>
      </c>
      <c r="F8309" s="108" t="s">
        <v>2475</v>
      </c>
      <c r="G8309" s="109">
        <v>45939</v>
      </c>
      <c r="H8309" s="108" t="s">
        <v>25458</v>
      </c>
      <c r="I8309" s="108" t="s">
        <v>95</v>
      </c>
    </row>
    <row r="8310" spans="1:9">
      <c r="A8310" s="108" t="s">
        <v>15990</v>
      </c>
      <c r="B8310" s="108" t="s">
        <v>4925</v>
      </c>
      <c r="C8310" s="109">
        <v>45261</v>
      </c>
      <c r="D8310" s="108" t="s">
        <v>4926</v>
      </c>
      <c r="E8310" s="108" t="s">
        <v>14605</v>
      </c>
      <c r="F8310" s="108" t="s">
        <v>4920</v>
      </c>
      <c r="G8310" s="109">
        <v>45991</v>
      </c>
      <c r="H8310" s="108" t="s">
        <v>25458</v>
      </c>
      <c r="I8310" s="108" t="s">
        <v>95</v>
      </c>
    </row>
    <row r="8311" spans="1:9">
      <c r="A8311" s="108" t="s">
        <v>503</v>
      </c>
      <c r="B8311" s="108" t="s">
        <v>4924</v>
      </c>
      <c r="C8311" s="109">
        <v>45163</v>
      </c>
      <c r="D8311" s="108" t="s">
        <v>26669</v>
      </c>
      <c r="E8311" s="108" t="s">
        <v>14605</v>
      </c>
      <c r="F8311" s="108" t="s">
        <v>4920</v>
      </c>
      <c r="G8311" s="109">
        <v>46254</v>
      </c>
      <c r="H8311" s="108" t="s">
        <v>25458</v>
      </c>
      <c r="I8311" s="108" t="s">
        <v>95</v>
      </c>
    </row>
    <row r="8312" spans="1:9">
      <c r="A8312" s="108" t="s">
        <v>15990</v>
      </c>
      <c r="B8312" s="108" t="s">
        <v>1354</v>
      </c>
      <c r="C8312" s="109">
        <v>45369</v>
      </c>
      <c r="D8312" s="108" t="s">
        <v>1355</v>
      </c>
      <c r="E8312" s="108" t="s">
        <v>14605</v>
      </c>
      <c r="F8312" s="108" t="s">
        <v>1338</v>
      </c>
      <c r="G8312" s="109">
        <v>46098</v>
      </c>
      <c r="H8312" s="108" t="s">
        <v>25458</v>
      </c>
      <c r="I8312" s="108" t="s">
        <v>95</v>
      </c>
    </row>
    <row r="8313" spans="1:9">
      <c r="A8313" s="108" t="s">
        <v>15990</v>
      </c>
      <c r="B8313" s="108" t="s">
        <v>215</v>
      </c>
      <c r="C8313" s="109">
        <v>45289</v>
      </c>
      <c r="D8313" s="108" t="s">
        <v>216</v>
      </c>
      <c r="E8313" s="108" t="s">
        <v>14605</v>
      </c>
      <c r="F8313" s="108" t="s">
        <v>212</v>
      </c>
      <c r="G8313" s="109">
        <v>47465</v>
      </c>
      <c r="H8313" s="108" t="s">
        <v>25458</v>
      </c>
      <c r="I8313" s="108" t="s">
        <v>95</v>
      </c>
    </row>
    <row r="8314" spans="1:9">
      <c r="A8314" s="108" t="s">
        <v>503</v>
      </c>
      <c r="B8314" s="108" t="s">
        <v>1575</v>
      </c>
      <c r="C8314" s="109">
        <v>45287</v>
      </c>
      <c r="D8314" s="108" t="s">
        <v>1576</v>
      </c>
      <c r="E8314" s="108" t="s">
        <v>14605</v>
      </c>
      <c r="F8314" s="108" t="s">
        <v>1573</v>
      </c>
      <c r="G8314" s="109">
        <v>46022</v>
      </c>
      <c r="H8314" s="108" t="s">
        <v>25458</v>
      </c>
      <c r="I8314" s="108" t="s">
        <v>95</v>
      </c>
    </row>
    <row r="8315" spans="1:9">
      <c r="A8315" s="108" t="s">
        <v>244</v>
      </c>
      <c r="B8315" s="108" t="s">
        <v>4693</v>
      </c>
      <c r="C8315" s="109">
        <v>45226</v>
      </c>
      <c r="D8315" s="108" t="s">
        <v>4694</v>
      </c>
      <c r="E8315" s="108" t="s">
        <v>14605</v>
      </c>
      <c r="F8315" s="108" t="s">
        <v>26000</v>
      </c>
      <c r="G8315" s="109">
        <v>45952</v>
      </c>
      <c r="H8315" s="108" t="s">
        <v>25458</v>
      </c>
      <c r="I8315" s="108" t="s">
        <v>95</v>
      </c>
    </row>
    <row r="8316" spans="1:9">
      <c r="A8316" s="108" t="s">
        <v>15990</v>
      </c>
      <c r="B8316" s="108" t="s">
        <v>3901</v>
      </c>
      <c r="C8316" s="109">
        <v>45301</v>
      </c>
      <c r="D8316" s="108" t="s">
        <v>3902</v>
      </c>
      <c r="E8316" s="108" t="s">
        <v>14605</v>
      </c>
      <c r="F8316" s="108" t="s">
        <v>3895</v>
      </c>
      <c r="G8316" s="109">
        <v>47100</v>
      </c>
      <c r="H8316" s="108" t="s">
        <v>25458</v>
      </c>
      <c r="I8316" s="108" t="s">
        <v>95</v>
      </c>
    </row>
    <row r="8317" spans="1:9">
      <c r="A8317" s="108" t="s">
        <v>15990</v>
      </c>
      <c r="B8317" s="108" t="s">
        <v>3611</v>
      </c>
      <c r="C8317" s="109">
        <v>45266</v>
      </c>
      <c r="D8317" s="108" t="s">
        <v>3613</v>
      </c>
      <c r="E8317" s="108" t="s">
        <v>14605</v>
      </c>
      <c r="F8317" s="108" t="s">
        <v>3612</v>
      </c>
      <c r="G8317" s="109">
        <v>46008</v>
      </c>
      <c r="H8317" s="108" t="s">
        <v>25458</v>
      </c>
      <c r="I8317" s="108" t="s">
        <v>95</v>
      </c>
    </row>
    <row r="8318" spans="1:9">
      <c r="A8318" s="108" t="s">
        <v>15990</v>
      </c>
      <c r="B8318" s="108" t="s">
        <v>941</v>
      </c>
      <c r="C8318" s="109">
        <v>45327</v>
      </c>
      <c r="D8318" s="108" t="s">
        <v>942</v>
      </c>
      <c r="E8318" s="108" t="s">
        <v>14605</v>
      </c>
      <c r="F8318" s="108" t="s">
        <v>933</v>
      </c>
      <c r="G8318" s="109">
        <v>46369</v>
      </c>
      <c r="H8318" s="108" t="s">
        <v>25458</v>
      </c>
      <c r="I8318" s="108" t="s">
        <v>95</v>
      </c>
    </row>
    <row r="8319" spans="1:9" ht="27.6">
      <c r="A8319" s="108" t="s">
        <v>15990</v>
      </c>
      <c r="B8319" s="108" t="s">
        <v>4804</v>
      </c>
      <c r="C8319" s="109">
        <v>45306</v>
      </c>
      <c r="D8319" s="108" t="s">
        <v>4806</v>
      </c>
      <c r="E8319" s="108" t="s">
        <v>14605</v>
      </c>
      <c r="F8319" s="108" t="s">
        <v>4805</v>
      </c>
      <c r="G8319" s="109">
        <v>45838</v>
      </c>
      <c r="H8319" s="108" t="s">
        <v>25458</v>
      </c>
      <c r="I8319" s="108" t="s">
        <v>95</v>
      </c>
    </row>
    <row r="8320" spans="1:9">
      <c r="A8320" s="108" t="s">
        <v>15990</v>
      </c>
      <c r="B8320" s="108" t="s">
        <v>4418</v>
      </c>
      <c r="C8320" s="109">
        <v>45363</v>
      </c>
      <c r="D8320" s="108" t="s">
        <v>4419</v>
      </c>
      <c r="E8320" s="108" t="s">
        <v>14605</v>
      </c>
      <c r="F8320" s="108" t="s">
        <v>4416</v>
      </c>
      <c r="G8320" s="109">
        <v>46770</v>
      </c>
      <c r="H8320" s="108" t="s">
        <v>25458</v>
      </c>
      <c r="I8320" s="108" t="s">
        <v>95</v>
      </c>
    </row>
    <row r="8321" spans="1:9">
      <c r="A8321" s="108" t="s">
        <v>15990</v>
      </c>
      <c r="B8321" s="108" t="s">
        <v>3877</v>
      </c>
      <c r="C8321" s="109">
        <v>45371</v>
      </c>
      <c r="D8321" s="108" t="s">
        <v>3879</v>
      </c>
      <c r="E8321" s="108" t="s">
        <v>14605</v>
      </c>
      <c r="F8321" s="108" t="s">
        <v>3878</v>
      </c>
      <c r="G8321" s="109">
        <v>46035</v>
      </c>
      <c r="H8321" s="108" t="s">
        <v>25458</v>
      </c>
      <c r="I8321" s="108" t="s">
        <v>95</v>
      </c>
    </row>
    <row r="8322" spans="1:9">
      <c r="A8322" s="108" t="s">
        <v>503</v>
      </c>
      <c r="B8322" s="108" t="s">
        <v>1582</v>
      </c>
      <c r="C8322" s="109">
        <v>45345</v>
      </c>
      <c r="D8322" s="108" t="s">
        <v>1583</v>
      </c>
      <c r="E8322" s="108" t="s">
        <v>14605</v>
      </c>
      <c r="F8322" s="108" t="s">
        <v>1577</v>
      </c>
      <c r="G8322" s="109">
        <v>46034</v>
      </c>
      <c r="H8322" s="108" t="s">
        <v>25458</v>
      </c>
      <c r="I8322" s="108" t="s">
        <v>95</v>
      </c>
    </row>
    <row r="8323" spans="1:9">
      <c r="A8323" s="108" t="s">
        <v>15990</v>
      </c>
      <c r="B8323" s="108" t="s">
        <v>5059</v>
      </c>
      <c r="C8323" s="109">
        <v>45415</v>
      </c>
      <c r="D8323" s="108" t="s">
        <v>5060</v>
      </c>
      <c r="E8323" s="108" t="s">
        <v>14605</v>
      </c>
      <c r="F8323" s="108" t="s">
        <v>5057</v>
      </c>
      <c r="G8323" s="109">
        <v>46881</v>
      </c>
      <c r="H8323" s="108" t="s">
        <v>25458</v>
      </c>
      <c r="I8323" s="108" t="s">
        <v>95</v>
      </c>
    </row>
    <row r="8324" spans="1:9" ht="27.6">
      <c r="A8324" s="108" t="s">
        <v>15990</v>
      </c>
      <c r="B8324" s="108" t="s">
        <v>552</v>
      </c>
      <c r="C8324" s="109">
        <v>45373</v>
      </c>
      <c r="D8324" s="108" t="s">
        <v>554</v>
      </c>
      <c r="E8324" s="108" t="s">
        <v>14605</v>
      </c>
      <c r="F8324" s="108" t="s">
        <v>553</v>
      </c>
      <c r="G8324" s="109">
        <v>46112</v>
      </c>
      <c r="H8324" s="108" t="s">
        <v>25458</v>
      </c>
      <c r="I8324" s="108" t="s">
        <v>95</v>
      </c>
    </row>
    <row r="8325" spans="1:9">
      <c r="A8325" s="108" t="s">
        <v>15990</v>
      </c>
      <c r="B8325" s="108" t="s">
        <v>654</v>
      </c>
      <c r="C8325" s="109">
        <v>45352</v>
      </c>
      <c r="D8325" s="108" t="s">
        <v>655</v>
      </c>
      <c r="E8325" s="108" t="s">
        <v>14605</v>
      </c>
      <c r="F8325" s="108" t="s">
        <v>14764</v>
      </c>
      <c r="G8325" s="109">
        <v>47177</v>
      </c>
      <c r="H8325" s="108" t="s">
        <v>25458</v>
      </c>
      <c r="I8325" s="108" t="s">
        <v>95</v>
      </c>
    </row>
    <row r="8326" spans="1:9">
      <c r="A8326" s="108" t="s">
        <v>15990</v>
      </c>
      <c r="B8326" s="108" t="s">
        <v>4373</v>
      </c>
      <c r="C8326" s="109">
        <v>45586</v>
      </c>
      <c r="D8326" s="108" t="s">
        <v>4375</v>
      </c>
      <c r="E8326" s="108" t="s">
        <v>14605</v>
      </c>
      <c r="F8326" s="108" t="s">
        <v>4374</v>
      </c>
      <c r="G8326" s="109">
        <v>47222</v>
      </c>
      <c r="H8326" s="108" t="s">
        <v>25458</v>
      </c>
      <c r="I8326" s="108" t="s">
        <v>95</v>
      </c>
    </row>
    <row r="8327" spans="1:9">
      <c r="A8327" s="108" t="s">
        <v>15990</v>
      </c>
      <c r="B8327" s="108" t="s">
        <v>1120</v>
      </c>
      <c r="C8327" s="109">
        <v>45474</v>
      </c>
      <c r="D8327" s="108" t="s">
        <v>1122</v>
      </c>
      <c r="E8327" s="108" t="s">
        <v>14605</v>
      </c>
      <c r="F8327" s="108" t="s">
        <v>1121</v>
      </c>
      <c r="G8327" s="109">
        <v>47663</v>
      </c>
      <c r="H8327" s="108" t="s">
        <v>25458</v>
      </c>
      <c r="I8327" s="108" t="s">
        <v>95</v>
      </c>
    </row>
    <row r="8328" spans="1:9">
      <c r="A8328" s="108" t="s">
        <v>15990</v>
      </c>
      <c r="B8328" s="108" t="s">
        <v>1456</v>
      </c>
      <c r="C8328" s="109">
        <v>45400</v>
      </c>
      <c r="D8328" s="108" t="s">
        <v>1457</v>
      </c>
      <c r="E8328" s="108" t="s">
        <v>14605</v>
      </c>
      <c r="F8328" s="108" t="s">
        <v>1454</v>
      </c>
      <c r="G8328" s="109">
        <v>46129</v>
      </c>
      <c r="H8328" s="108" t="s">
        <v>25458</v>
      </c>
      <c r="I8328" s="108" t="s">
        <v>95</v>
      </c>
    </row>
    <row r="8329" spans="1:9" ht="27.6">
      <c r="A8329" s="108" t="s">
        <v>503</v>
      </c>
      <c r="B8329" s="108" t="s">
        <v>4174</v>
      </c>
      <c r="C8329" s="109">
        <v>45440</v>
      </c>
      <c r="D8329" s="108" t="s">
        <v>4176</v>
      </c>
      <c r="E8329" s="108" t="s">
        <v>14605</v>
      </c>
      <c r="F8329" s="108" t="s">
        <v>4175</v>
      </c>
      <c r="G8329" s="109">
        <v>46157</v>
      </c>
      <c r="H8329" s="108" t="s">
        <v>25458</v>
      </c>
      <c r="I8329" s="108" t="s">
        <v>95</v>
      </c>
    </row>
    <row r="8330" spans="1:9">
      <c r="A8330" s="108" t="s">
        <v>244</v>
      </c>
      <c r="B8330" s="108" t="s">
        <v>241</v>
      </c>
      <c r="C8330" s="109">
        <v>45608</v>
      </c>
      <c r="D8330" s="108" t="s">
        <v>243</v>
      </c>
      <c r="E8330" s="108" t="s">
        <v>14605</v>
      </c>
      <c r="F8330" s="108" t="s">
        <v>242</v>
      </c>
      <c r="G8330" s="109">
        <v>46050</v>
      </c>
      <c r="H8330" s="108" t="s">
        <v>25458</v>
      </c>
      <c r="I8330" s="108" t="s">
        <v>95</v>
      </c>
    </row>
    <row r="8331" spans="1:9">
      <c r="A8331" s="108" t="s">
        <v>244</v>
      </c>
      <c r="B8331" s="108" t="s">
        <v>3709</v>
      </c>
      <c r="C8331" s="109">
        <v>45520</v>
      </c>
      <c r="D8331" s="108" t="s">
        <v>3711</v>
      </c>
      <c r="E8331" s="108" t="s">
        <v>14605</v>
      </c>
      <c r="F8331" s="108" t="s">
        <v>3710</v>
      </c>
      <c r="G8331" s="109">
        <v>46227</v>
      </c>
      <c r="H8331" s="108" t="s">
        <v>25458</v>
      </c>
      <c r="I8331" s="108" t="s">
        <v>95</v>
      </c>
    </row>
    <row r="8332" spans="1:9" ht="27.6">
      <c r="A8332" s="108" t="s">
        <v>14978</v>
      </c>
      <c r="B8332" s="108" t="s">
        <v>26670</v>
      </c>
      <c r="C8332" s="109">
        <v>41597</v>
      </c>
      <c r="D8332" s="108" t="s">
        <v>3771</v>
      </c>
      <c r="E8332" s="108" t="s">
        <v>14605</v>
      </c>
      <c r="F8332" s="108" t="s">
        <v>3768</v>
      </c>
      <c r="G8332" s="109">
        <v>45854</v>
      </c>
      <c r="H8332" s="108" t="s">
        <v>25458</v>
      </c>
      <c r="I8332" s="108" t="s">
        <v>95</v>
      </c>
    </row>
    <row r="8333" spans="1:9" ht="27.6">
      <c r="A8333" s="108" t="s">
        <v>16151</v>
      </c>
      <c r="B8333" s="108" t="s">
        <v>4002</v>
      </c>
      <c r="C8333" s="109">
        <v>43670</v>
      </c>
      <c r="D8333" s="108" t="s">
        <v>4003</v>
      </c>
      <c r="E8333" s="108" t="s">
        <v>14605</v>
      </c>
      <c r="F8333" s="108" t="s">
        <v>4000</v>
      </c>
      <c r="G8333" s="109">
        <v>46221</v>
      </c>
      <c r="H8333" s="108" t="s">
        <v>25458</v>
      </c>
      <c r="I8333" s="108" t="s">
        <v>95</v>
      </c>
    </row>
    <row r="8334" spans="1:9" ht="27.6">
      <c r="A8334" s="108" t="s">
        <v>16149</v>
      </c>
      <c r="B8334" s="108" t="s">
        <v>1352</v>
      </c>
      <c r="C8334" s="109">
        <v>44406</v>
      </c>
      <c r="D8334" s="108" t="s">
        <v>1353</v>
      </c>
      <c r="E8334" s="108" t="s">
        <v>14605</v>
      </c>
      <c r="F8334" s="108" t="s">
        <v>1338</v>
      </c>
      <c r="G8334" s="109">
        <v>45900</v>
      </c>
      <c r="H8334" s="108" t="s">
        <v>25458</v>
      </c>
      <c r="I8334" s="108" t="s">
        <v>95</v>
      </c>
    </row>
    <row r="8335" spans="1:9" ht="27.6">
      <c r="A8335" s="108" t="s">
        <v>16149</v>
      </c>
      <c r="B8335" s="108" t="s">
        <v>3806</v>
      </c>
      <c r="C8335" s="109">
        <v>44635</v>
      </c>
      <c r="D8335" s="108" t="s">
        <v>3807</v>
      </c>
      <c r="E8335" s="108" t="s">
        <v>14605</v>
      </c>
      <c r="F8335" s="108" t="s">
        <v>3802</v>
      </c>
      <c r="G8335" s="109">
        <v>46216</v>
      </c>
      <c r="H8335" s="108" t="s">
        <v>25458</v>
      </c>
      <c r="I8335" s="108" t="s">
        <v>95</v>
      </c>
    </row>
    <row r="8336" spans="1:9" ht="27.6">
      <c r="A8336" s="108" t="s">
        <v>16151</v>
      </c>
      <c r="B8336" s="108" t="s">
        <v>703</v>
      </c>
      <c r="C8336" s="109">
        <v>43663</v>
      </c>
      <c r="D8336" s="108" t="s">
        <v>704</v>
      </c>
      <c r="E8336" s="108" t="s">
        <v>14605</v>
      </c>
      <c r="F8336" s="108" t="s">
        <v>691</v>
      </c>
      <c r="G8336" s="109">
        <v>46022</v>
      </c>
      <c r="H8336" s="108" t="s">
        <v>25458</v>
      </c>
      <c r="I8336" s="108" t="s">
        <v>95</v>
      </c>
    </row>
    <row r="8337" spans="1:9">
      <c r="A8337" s="108" t="s">
        <v>16151</v>
      </c>
      <c r="B8337" s="108" t="s">
        <v>2774</v>
      </c>
      <c r="C8337" s="109">
        <v>43719</v>
      </c>
      <c r="D8337" s="108" t="s">
        <v>2775</v>
      </c>
      <c r="E8337" s="108" t="s">
        <v>14605</v>
      </c>
      <c r="F8337" s="108" t="s">
        <v>2762</v>
      </c>
      <c r="G8337" s="109">
        <v>45935</v>
      </c>
      <c r="H8337" s="108" t="s">
        <v>25458</v>
      </c>
      <c r="I8337" s="108" t="s">
        <v>95</v>
      </c>
    </row>
    <row r="8338" spans="1:9" ht="27.6">
      <c r="A8338" s="108" t="s">
        <v>16151</v>
      </c>
      <c r="B8338" s="108" t="s">
        <v>701</v>
      </c>
      <c r="C8338" s="109">
        <v>43671</v>
      </c>
      <c r="D8338" s="108" t="s">
        <v>702</v>
      </c>
      <c r="E8338" s="108" t="s">
        <v>14605</v>
      </c>
      <c r="F8338" s="108" t="s">
        <v>691</v>
      </c>
      <c r="G8338" s="109">
        <v>46022</v>
      </c>
      <c r="H8338" s="108" t="s">
        <v>25458</v>
      </c>
      <c r="I8338" s="108" t="s">
        <v>95</v>
      </c>
    </row>
    <row r="8339" spans="1:9" ht="27.6">
      <c r="A8339" s="108" t="s">
        <v>16149</v>
      </c>
      <c r="B8339" s="108" t="s">
        <v>3701</v>
      </c>
      <c r="C8339" s="109">
        <v>43693</v>
      </c>
      <c r="D8339" s="108" t="s">
        <v>3702</v>
      </c>
      <c r="E8339" s="108" t="s">
        <v>14605</v>
      </c>
      <c r="F8339" s="108" t="s">
        <v>3687</v>
      </c>
      <c r="G8339" s="109">
        <v>46029</v>
      </c>
      <c r="H8339" s="108" t="s">
        <v>25458</v>
      </c>
      <c r="I8339" s="108" t="s">
        <v>95</v>
      </c>
    </row>
    <row r="8340" spans="1:9" ht="27.6">
      <c r="A8340" s="108" t="s">
        <v>16151</v>
      </c>
      <c r="B8340" s="108" t="s">
        <v>3999</v>
      </c>
      <c r="C8340" s="109">
        <v>43676</v>
      </c>
      <c r="D8340" s="108" t="s">
        <v>4001</v>
      </c>
      <c r="E8340" s="108" t="s">
        <v>14605</v>
      </c>
      <c r="F8340" s="108" t="s">
        <v>4000</v>
      </c>
      <c r="G8340" s="109">
        <v>45959</v>
      </c>
      <c r="H8340" s="108" t="s">
        <v>25458</v>
      </c>
      <c r="I8340" s="108" t="s">
        <v>95</v>
      </c>
    </row>
    <row r="8341" spans="1:9">
      <c r="A8341" s="108" t="s">
        <v>16151</v>
      </c>
      <c r="B8341" s="108" t="s">
        <v>432</v>
      </c>
      <c r="C8341" s="109">
        <v>43670</v>
      </c>
      <c r="D8341" s="108" t="s">
        <v>434</v>
      </c>
      <c r="E8341" s="108" t="s">
        <v>14605</v>
      </c>
      <c r="F8341" s="108" t="s">
        <v>433</v>
      </c>
      <c r="G8341" s="109">
        <v>46205</v>
      </c>
      <c r="H8341" s="108" t="s">
        <v>25458</v>
      </c>
      <c r="I8341" s="108" t="s">
        <v>95</v>
      </c>
    </row>
    <row r="8342" spans="1:9">
      <c r="A8342" s="108" t="s">
        <v>16151</v>
      </c>
      <c r="B8342" s="108" t="s">
        <v>2570</v>
      </c>
      <c r="C8342" s="109">
        <v>43682</v>
      </c>
      <c r="D8342" s="108" t="s">
        <v>2571</v>
      </c>
      <c r="E8342" s="108" t="s">
        <v>14605</v>
      </c>
      <c r="F8342" s="108" t="s">
        <v>2552</v>
      </c>
      <c r="G8342" s="109">
        <v>45692</v>
      </c>
      <c r="H8342" s="108" t="s">
        <v>25458</v>
      </c>
      <c r="I8342" s="108" t="s">
        <v>95</v>
      </c>
    </row>
    <row r="8343" spans="1:9">
      <c r="A8343" s="108" t="s">
        <v>16151</v>
      </c>
      <c r="B8343" s="108" t="s">
        <v>2344</v>
      </c>
      <c r="C8343" s="109">
        <v>43741</v>
      </c>
      <c r="D8343" s="108" t="s">
        <v>2345</v>
      </c>
      <c r="E8343" s="108" t="s">
        <v>14605</v>
      </c>
      <c r="F8343" s="108" t="s">
        <v>2342</v>
      </c>
      <c r="G8343" s="109">
        <v>46183</v>
      </c>
      <c r="H8343" s="108" t="s">
        <v>25458</v>
      </c>
      <c r="I8343" s="108" t="s">
        <v>95</v>
      </c>
    </row>
    <row r="8344" spans="1:9">
      <c r="A8344" s="108" t="s">
        <v>16151</v>
      </c>
      <c r="B8344" s="108" t="s">
        <v>1705</v>
      </c>
      <c r="C8344" s="109">
        <v>43676</v>
      </c>
      <c r="D8344" s="108" t="s">
        <v>1707</v>
      </c>
      <c r="E8344" s="108" t="s">
        <v>14605</v>
      </c>
      <c r="F8344" s="108" t="s">
        <v>1706</v>
      </c>
      <c r="G8344" s="109">
        <v>45838</v>
      </c>
      <c r="H8344" s="108" t="s">
        <v>25458</v>
      </c>
      <c r="I8344" s="108" t="s">
        <v>95</v>
      </c>
    </row>
    <row r="8345" spans="1:9" ht="27.6">
      <c r="A8345" s="108" t="s">
        <v>16149</v>
      </c>
      <c r="B8345" s="108" t="s">
        <v>3804</v>
      </c>
      <c r="C8345" s="109">
        <v>44501</v>
      </c>
      <c r="D8345" s="108" t="s">
        <v>3805</v>
      </c>
      <c r="E8345" s="108" t="s">
        <v>14605</v>
      </c>
      <c r="F8345" s="108" t="s">
        <v>3802</v>
      </c>
      <c r="G8345" s="109">
        <v>46216</v>
      </c>
      <c r="H8345" s="108" t="s">
        <v>25458</v>
      </c>
      <c r="I8345" s="108" t="s">
        <v>95</v>
      </c>
    </row>
    <row r="8346" spans="1:9" ht="27.6">
      <c r="A8346" s="108" t="s">
        <v>16151</v>
      </c>
      <c r="B8346" s="108" t="s">
        <v>699</v>
      </c>
      <c r="C8346" s="109">
        <v>43741</v>
      </c>
      <c r="D8346" s="108" t="s">
        <v>700</v>
      </c>
      <c r="E8346" s="108" t="s">
        <v>14605</v>
      </c>
      <c r="F8346" s="108" t="s">
        <v>691</v>
      </c>
      <c r="G8346" s="109">
        <v>46022</v>
      </c>
      <c r="H8346" s="108" t="s">
        <v>25458</v>
      </c>
      <c r="I8346" s="108" t="s">
        <v>95</v>
      </c>
    </row>
    <row r="8347" spans="1:9" ht="27.6">
      <c r="A8347" s="108" t="s">
        <v>16151</v>
      </c>
      <c r="B8347" s="108" t="s">
        <v>4839</v>
      </c>
      <c r="C8347" s="109">
        <v>43741</v>
      </c>
      <c r="D8347" s="108" t="s">
        <v>4841</v>
      </c>
      <c r="E8347" s="108" t="s">
        <v>14605</v>
      </c>
      <c r="F8347" s="108" t="s">
        <v>4840</v>
      </c>
      <c r="G8347" s="109">
        <v>45977</v>
      </c>
      <c r="H8347" s="108" t="s">
        <v>25458</v>
      </c>
      <c r="I8347" s="108" t="s">
        <v>95</v>
      </c>
    </row>
    <row r="8348" spans="1:9" ht="27.6">
      <c r="A8348" s="108" t="s">
        <v>16151</v>
      </c>
      <c r="B8348" s="108" t="s">
        <v>4353</v>
      </c>
      <c r="C8348" s="109">
        <v>43742</v>
      </c>
      <c r="D8348" s="108" t="s">
        <v>4354</v>
      </c>
      <c r="E8348" s="108" t="s">
        <v>14605</v>
      </c>
      <c r="F8348" s="108" t="s">
        <v>4343</v>
      </c>
      <c r="G8348" s="109">
        <v>45997</v>
      </c>
      <c r="H8348" s="108" t="s">
        <v>25458</v>
      </c>
      <c r="I8348" s="108" t="s">
        <v>95</v>
      </c>
    </row>
    <row r="8349" spans="1:9" ht="27.6">
      <c r="A8349" s="108" t="s">
        <v>16151</v>
      </c>
      <c r="B8349" s="108" t="s">
        <v>1605</v>
      </c>
      <c r="C8349" s="109">
        <v>43756</v>
      </c>
      <c r="D8349" s="108" t="s">
        <v>1607</v>
      </c>
      <c r="E8349" s="108" t="s">
        <v>14605</v>
      </c>
      <c r="F8349" s="108" t="s">
        <v>1606</v>
      </c>
      <c r="G8349" s="109">
        <v>45957</v>
      </c>
      <c r="H8349" s="108" t="s">
        <v>25458</v>
      </c>
      <c r="I8349" s="108" t="s">
        <v>95</v>
      </c>
    </row>
    <row r="8350" spans="1:9">
      <c r="A8350" s="108" t="s">
        <v>16151</v>
      </c>
      <c r="B8350" s="108" t="s">
        <v>4027</v>
      </c>
      <c r="C8350" s="109">
        <v>43754</v>
      </c>
      <c r="D8350" s="108" t="s">
        <v>4028</v>
      </c>
      <c r="E8350" s="108" t="s">
        <v>14605</v>
      </c>
      <c r="F8350" s="108" t="s">
        <v>15535</v>
      </c>
      <c r="G8350" s="109">
        <v>45894</v>
      </c>
      <c r="H8350" s="108" t="s">
        <v>25458</v>
      </c>
      <c r="I8350" s="108" t="s">
        <v>95</v>
      </c>
    </row>
    <row r="8351" spans="1:9">
      <c r="A8351" s="108" t="s">
        <v>16151</v>
      </c>
      <c r="B8351" s="108" t="s">
        <v>4704</v>
      </c>
      <c r="C8351" s="109">
        <v>43740</v>
      </c>
      <c r="D8351" s="108" t="s">
        <v>4705</v>
      </c>
      <c r="E8351" s="108" t="s">
        <v>14605</v>
      </c>
      <c r="F8351" s="108" t="s">
        <v>4702</v>
      </c>
      <c r="G8351" s="109">
        <v>45931</v>
      </c>
      <c r="H8351" s="108" t="s">
        <v>25458</v>
      </c>
      <c r="I8351" s="108" t="s">
        <v>95</v>
      </c>
    </row>
    <row r="8352" spans="1:9" ht="27.6">
      <c r="A8352" s="108" t="s">
        <v>16151</v>
      </c>
      <c r="B8352" s="108" t="s">
        <v>2351</v>
      </c>
      <c r="C8352" s="109">
        <v>43766</v>
      </c>
      <c r="D8352" s="108" t="s">
        <v>2352</v>
      </c>
      <c r="E8352" s="108" t="s">
        <v>14605</v>
      </c>
      <c r="F8352" s="108" t="s">
        <v>2347</v>
      </c>
      <c r="G8352" s="109">
        <v>46183</v>
      </c>
      <c r="H8352" s="108" t="s">
        <v>25458</v>
      </c>
      <c r="I8352" s="108" t="s">
        <v>95</v>
      </c>
    </row>
    <row r="8353" spans="1:9">
      <c r="A8353" s="108" t="s">
        <v>16151</v>
      </c>
      <c r="B8353" s="108" t="s">
        <v>1951</v>
      </c>
      <c r="C8353" s="109">
        <v>43745</v>
      </c>
      <c r="D8353" s="108" t="s">
        <v>1953</v>
      </c>
      <c r="E8353" s="108" t="s">
        <v>14605</v>
      </c>
      <c r="F8353" s="108" t="s">
        <v>1952</v>
      </c>
      <c r="G8353" s="109">
        <v>45957</v>
      </c>
      <c r="H8353" s="108" t="s">
        <v>25458</v>
      </c>
      <c r="I8353" s="108" t="s">
        <v>95</v>
      </c>
    </row>
    <row r="8354" spans="1:9">
      <c r="A8354" s="108" t="s">
        <v>16151</v>
      </c>
      <c r="B8354" s="108" t="s">
        <v>4025</v>
      </c>
      <c r="C8354" s="109">
        <v>43754</v>
      </c>
      <c r="D8354" s="108" t="s">
        <v>4026</v>
      </c>
      <c r="E8354" s="108" t="s">
        <v>14605</v>
      </c>
      <c r="F8354" s="108" t="s">
        <v>15535</v>
      </c>
      <c r="G8354" s="109">
        <v>46251</v>
      </c>
      <c r="H8354" s="108" t="s">
        <v>25458</v>
      </c>
      <c r="I8354" s="108" t="s">
        <v>95</v>
      </c>
    </row>
    <row r="8355" spans="1:9">
      <c r="A8355" s="108" t="s">
        <v>16151</v>
      </c>
      <c r="B8355" s="108" t="s">
        <v>5237</v>
      </c>
      <c r="C8355" s="109">
        <v>43755</v>
      </c>
      <c r="D8355" s="108" t="s">
        <v>5238</v>
      </c>
      <c r="E8355" s="108" t="s">
        <v>14605</v>
      </c>
      <c r="F8355" s="108" t="s">
        <v>5227</v>
      </c>
      <c r="G8355" s="109">
        <v>46087</v>
      </c>
      <c r="H8355" s="108" t="s">
        <v>25458</v>
      </c>
      <c r="I8355" s="108" t="s">
        <v>95</v>
      </c>
    </row>
    <row r="8356" spans="1:9">
      <c r="A8356" s="108" t="s">
        <v>16151</v>
      </c>
      <c r="B8356" s="108" t="s">
        <v>3628</v>
      </c>
      <c r="C8356" s="109">
        <v>43754</v>
      </c>
      <c r="D8356" s="108" t="s">
        <v>3629</v>
      </c>
      <c r="E8356" s="108" t="s">
        <v>14605</v>
      </c>
      <c r="F8356" s="108" t="s">
        <v>3620</v>
      </c>
      <c r="G8356" s="109">
        <v>46088</v>
      </c>
      <c r="H8356" s="108" t="s">
        <v>25458</v>
      </c>
      <c r="I8356" s="108" t="s">
        <v>95</v>
      </c>
    </row>
    <row r="8357" spans="1:9" ht="27.6">
      <c r="A8357" s="108" t="s">
        <v>16151</v>
      </c>
      <c r="B8357" s="108" t="s">
        <v>2815</v>
      </c>
      <c r="C8357" s="109">
        <v>43777</v>
      </c>
      <c r="D8357" s="108" t="s">
        <v>2816</v>
      </c>
      <c r="E8357" s="108" t="s">
        <v>14605</v>
      </c>
      <c r="F8357" s="108" t="s">
        <v>2795</v>
      </c>
      <c r="G8357" s="109">
        <v>46139</v>
      </c>
      <c r="H8357" s="108" t="s">
        <v>25458</v>
      </c>
      <c r="I8357" s="108" t="s">
        <v>95</v>
      </c>
    </row>
    <row r="8358" spans="1:9">
      <c r="A8358" s="108" t="s">
        <v>16151</v>
      </c>
      <c r="B8358" s="108" t="s">
        <v>2772</v>
      </c>
      <c r="C8358" s="109">
        <v>43782</v>
      </c>
      <c r="D8358" s="108" t="s">
        <v>2773</v>
      </c>
      <c r="E8358" s="108" t="s">
        <v>14605</v>
      </c>
      <c r="F8358" s="108" t="s">
        <v>2762</v>
      </c>
      <c r="G8358" s="109">
        <v>46022</v>
      </c>
      <c r="H8358" s="108" t="s">
        <v>25458</v>
      </c>
      <c r="I8358" s="108" t="s">
        <v>95</v>
      </c>
    </row>
    <row r="8359" spans="1:9" ht="27.6">
      <c r="A8359" s="108" t="s">
        <v>16151</v>
      </c>
      <c r="B8359" s="108" t="s">
        <v>2813</v>
      </c>
      <c r="C8359" s="109">
        <v>43782</v>
      </c>
      <c r="D8359" s="108" t="s">
        <v>2814</v>
      </c>
      <c r="E8359" s="108" t="s">
        <v>14605</v>
      </c>
      <c r="F8359" s="108" t="s">
        <v>2795</v>
      </c>
      <c r="G8359" s="109">
        <v>46185</v>
      </c>
      <c r="H8359" s="108" t="s">
        <v>25458</v>
      </c>
      <c r="I8359" s="108" t="s">
        <v>95</v>
      </c>
    </row>
    <row r="8360" spans="1:9">
      <c r="A8360" s="108" t="s">
        <v>16151</v>
      </c>
      <c r="B8360" s="108" t="s">
        <v>2611</v>
      </c>
      <c r="C8360" s="109">
        <v>43783</v>
      </c>
      <c r="D8360" s="108" t="s">
        <v>2612</v>
      </c>
      <c r="E8360" s="108" t="s">
        <v>14605</v>
      </c>
      <c r="F8360" s="108" t="s">
        <v>2609</v>
      </c>
      <c r="G8360" s="109">
        <v>45990</v>
      </c>
      <c r="H8360" s="108" t="s">
        <v>25458</v>
      </c>
      <c r="I8360" s="108" t="s">
        <v>95</v>
      </c>
    </row>
    <row r="8361" spans="1:9">
      <c r="A8361" s="108" t="s">
        <v>16151</v>
      </c>
      <c r="B8361" s="108" t="s">
        <v>939</v>
      </c>
      <c r="C8361" s="109">
        <v>43773</v>
      </c>
      <c r="D8361" s="108" t="s">
        <v>940</v>
      </c>
      <c r="E8361" s="108" t="s">
        <v>14605</v>
      </c>
      <c r="F8361" s="108" t="s">
        <v>933</v>
      </c>
      <c r="G8361" s="109">
        <v>46203</v>
      </c>
      <c r="H8361" s="108" t="s">
        <v>25458</v>
      </c>
      <c r="I8361" s="108" t="s">
        <v>95</v>
      </c>
    </row>
    <row r="8362" spans="1:9">
      <c r="A8362" s="108" t="s">
        <v>16151</v>
      </c>
      <c r="B8362" s="108" t="s">
        <v>1079</v>
      </c>
      <c r="C8362" s="109">
        <v>43776</v>
      </c>
      <c r="D8362" s="108" t="s">
        <v>1080</v>
      </c>
      <c r="E8362" s="108" t="s">
        <v>14605</v>
      </c>
      <c r="F8362" s="108" t="s">
        <v>1077</v>
      </c>
      <c r="G8362" s="109">
        <v>45960</v>
      </c>
      <c r="H8362" s="108" t="s">
        <v>25458</v>
      </c>
      <c r="I8362" s="108" t="s">
        <v>95</v>
      </c>
    </row>
    <row r="8363" spans="1:9">
      <c r="A8363" s="108" t="s">
        <v>16151</v>
      </c>
      <c r="B8363" s="108" t="s">
        <v>3899</v>
      </c>
      <c r="C8363" s="109">
        <v>43789</v>
      </c>
      <c r="D8363" s="108" t="s">
        <v>3900</v>
      </c>
      <c r="E8363" s="108" t="s">
        <v>14605</v>
      </c>
      <c r="F8363" s="108" t="s">
        <v>3895</v>
      </c>
      <c r="G8363" s="109">
        <v>46243</v>
      </c>
      <c r="H8363" s="108" t="s">
        <v>25458</v>
      </c>
      <c r="I8363" s="108" t="s">
        <v>95</v>
      </c>
    </row>
    <row r="8364" spans="1:9">
      <c r="A8364" s="108" t="s">
        <v>16151</v>
      </c>
      <c r="B8364" s="108" t="s">
        <v>155</v>
      </c>
      <c r="C8364" s="109">
        <v>43790</v>
      </c>
      <c r="D8364" s="108" t="s">
        <v>156</v>
      </c>
      <c r="E8364" s="108" t="s">
        <v>14605</v>
      </c>
      <c r="F8364" s="108" t="s">
        <v>151</v>
      </c>
      <c r="G8364" s="109">
        <v>46161</v>
      </c>
      <c r="H8364" s="108" t="s">
        <v>25458</v>
      </c>
      <c r="I8364" s="108" t="s">
        <v>95</v>
      </c>
    </row>
    <row r="8365" spans="1:9">
      <c r="A8365" s="108" t="s">
        <v>16151</v>
      </c>
      <c r="B8365" s="108" t="s">
        <v>4550</v>
      </c>
      <c r="C8365" s="109">
        <v>43794</v>
      </c>
      <c r="D8365" s="108" t="s">
        <v>4551</v>
      </c>
      <c r="E8365" s="108" t="s">
        <v>14605</v>
      </c>
      <c r="F8365" s="108" t="s">
        <v>4546</v>
      </c>
      <c r="G8365" s="109">
        <v>45811</v>
      </c>
      <c r="H8365" s="108" t="s">
        <v>25458</v>
      </c>
      <c r="I8365" s="108" t="s">
        <v>95</v>
      </c>
    </row>
    <row r="8366" spans="1:9">
      <c r="A8366" s="108" t="s">
        <v>16151</v>
      </c>
      <c r="B8366" s="108" t="s">
        <v>5014</v>
      </c>
      <c r="C8366" s="109">
        <v>43802</v>
      </c>
      <c r="D8366" s="108" t="s">
        <v>5016</v>
      </c>
      <c r="E8366" s="108" t="s">
        <v>14605</v>
      </c>
      <c r="F8366" s="108" t="s">
        <v>5015</v>
      </c>
      <c r="G8366" s="109">
        <v>45903</v>
      </c>
      <c r="H8366" s="108" t="s">
        <v>25458</v>
      </c>
      <c r="I8366" s="108" t="s">
        <v>95</v>
      </c>
    </row>
    <row r="8367" spans="1:9" ht="27.6">
      <c r="A8367" s="108" t="s">
        <v>16151</v>
      </c>
      <c r="B8367" s="108" t="s">
        <v>4097</v>
      </c>
      <c r="C8367" s="109">
        <v>43811</v>
      </c>
      <c r="D8367" s="108" t="s">
        <v>4099</v>
      </c>
      <c r="E8367" s="108" t="s">
        <v>14605</v>
      </c>
      <c r="F8367" s="108" t="s">
        <v>4098</v>
      </c>
      <c r="G8367" s="109">
        <v>46062</v>
      </c>
      <c r="H8367" s="108" t="s">
        <v>25458</v>
      </c>
      <c r="I8367" s="108" t="s">
        <v>95</v>
      </c>
    </row>
    <row r="8368" spans="1:9" ht="27.6">
      <c r="A8368" s="108" t="s">
        <v>16151</v>
      </c>
      <c r="B8368" s="108" t="s">
        <v>968</v>
      </c>
      <c r="C8368" s="109">
        <v>43791</v>
      </c>
      <c r="D8368" s="108" t="s">
        <v>969</v>
      </c>
      <c r="E8368" s="108" t="s">
        <v>14605</v>
      </c>
      <c r="F8368" s="108" t="s">
        <v>966</v>
      </c>
      <c r="G8368" s="109">
        <v>46200</v>
      </c>
      <c r="H8368" s="108" t="s">
        <v>25458</v>
      </c>
      <c r="I8368" s="108" t="s">
        <v>95</v>
      </c>
    </row>
    <row r="8369" spans="1:9">
      <c r="A8369" s="108" t="s">
        <v>16151</v>
      </c>
      <c r="B8369" s="108" t="s">
        <v>718</v>
      </c>
      <c r="C8369" s="109">
        <v>43818</v>
      </c>
      <c r="D8369" s="108" t="s">
        <v>719</v>
      </c>
      <c r="E8369" s="108" t="s">
        <v>14605</v>
      </c>
      <c r="F8369" s="108" t="s">
        <v>714</v>
      </c>
      <c r="G8369" s="109">
        <v>46022</v>
      </c>
      <c r="H8369" s="108" t="s">
        <v>25458</v>
      </c>
      <c r="I8369" s="108" t="s">
        <v>95</v>
      </c>
    </row>
    <row r="8370" spans="1:9">
      <c r="A8370" s="108" t="s">
        <v>16151</v>
      </c>
      <c r="B8370" s="108" t="s">
        <v>3951</v>
      </c>
      <c r="C8370" s="109">
        <v>43803</v>
      </c>
      <c r="D8370" s="108" t="s">
        <v>3952</v>
      </c>
      <c r="E8370" s="108" t="s">
        <v>14605</v>
      </c>
      <c r="F8370" s="108" t="s">
        <v>3947</v>
      </c>
      <c r="G8370" s="109">
        <v>46599</v>
      </c>
      <c r="H8370" s="108" t="s">
        <v>25458</v>
      </c>
      <c r="I8370" s="108" t="s">
        <v>95</v>
      </c>
    </row>
    <row r="8371" spans="1:9" ht="27.6">
      <c r="A8371" s="108" t="s">
        <v>16151</v>
      </c>
      <c r="B8371" s="108" t="s">
        <v>26671</v>
      </c>
      <c r="C8371" s="109">
        <v>45765</v>
      </c>
      <c r="D8371" s="108" t="s">
        <v>26672</v>
      </c>
      <c r="E8371" s="108" t="s">
        <v>14605</v>
      </c>
      <c r="F8371" s="108" t="s">
        <v>15137</v>
      </c>
      <c r="G8371" s="109">
        <v>47472</v>
      </c>
      <c r="H8371" s="108" t="s">
        <v>25458</v>
      </c>
      <c r="I8371" s="108" t="s">
        <v>95</v>
      </c>
    </row>
    <row r="8372" spans="1:9">
      <c r="A8372" s="108" t="s">
        <v>16151</v>
      </c>
      <c r="B8372" s="108" t="s">
        <v>2568</v>
      </c>
      <c r="C8372" s="109">
        <v>43808</v>
      </c>
      <c r="D8372" s="108" t="s">
        <v>2569</v>
      </c>
      <c r="E8372" s="108" t="s">
        <v>14605</v>
      </c>
      <c r="F8372" s="108" t="s">
        <v>2552</v>
      </c>
      <c r="G8372" s="109">
        <v>44921</v>
      </c>
      <c r="H8372" s="108" t="s">
        <v>25458</v>
      </c>
      <c r="I8372" s="108" t="s">
        <v>95</v>
      </c>
    </row>
    <row r="8373" spans="1:9">
      <c r="A8373" s="108" t="s">
        <v>16151</v>
      </c>
      <c r="B8373" s="108" t="s">
        <v>2166</v>
      </c>
      <c r="C8373" s="109">
        <v>43809</v>
      </c>
      <c r="D8373" s="108" t="s">
        <v>2167</v>
      </c>
      <c r="E8373" s="108" t="s">
        <v>14605</v>
      </c>
      <c r="F8373" s="108" t="s">
        <v>2160</v>
      </c>
      <c r="G8373" s="109">
        <v>45940</v>
      </c>
      <c r="H8373" s="108" t="s">
        <v>25458</v>
      </c>
      <c r="I8373" s="108" t="s">
        <v>95</v>
      </c>
    </row>
    <row r="8374" spans="1:9" ht="27.6">
      <c r="A8374" s="108" t="s">
        <v>16151</v>
      </c>
      <c r="B8374" s="108" t="s">
        <v>4351</v>
      </c>
      <c r="C8374" s="109">
        <v>43812</v>
      </c>
      <c r="D8374" s="108" t="s">
        <v>4352</v>
      </c>
      <c r="E8374" s="108" t="s">
        <v>14605</v>
      </c>
      <c r="F8374" s="108" t="s">
        <v>4343</v>
      </c>
      <c r="G8374" s="109">
        <v>46003</v>
      </c>
      <c r="H8374" s="108" t="s">
        <v>25458</v>
      </c>
      <c r="I8374" s="108" t="s">
        <v>95</v>
      </c>
    </row>
    <row r="8375" spans="1:9">
      <c r="A8375" s="108" t="s">
        <v>16151</v>
      </c>
      <c r="B8375" s="108" t="s">
        <v>3223</v>
      </c>
      <c r="C8375" s="109">
        <v>43819</v>
      </c>
      <c r="D8375" s="108" t="s">
        <v>3224</v>
      </c>
      <c r="E8375" s="108" t="s">
        <v>14605</v>
      </c>
      <c r="F8375" s="108" t="s">
        <v>3219</v>
      </c>
      <c r="G8375" s="109">
        <v>46387</v>
      </c>
      <c r="H8375" s="108" t="s">
        <v>25458</v>
      </c>
      <c r="I8375" s="108" t="s">
        <v>95</v>
      </c>
    </row>
    <row r="8376" spans="1:9" ht="27.6">
      <c r="A8376" s="108" t="s">
        <v>16151</v>
      </c>
      <c r="B8376" s="108" t="s">
        <v>4292</v>
      </c>
      <c r="C8376" s="109">
        <v>43826</v>
      </c>
      <c r="D8376" s="108" t="s">
        <v>4293</v>
      </c>
      <c r="E8376" s="108" t="s">
        <v>14605</v>
      </c>
      <c r="F8376" s="108" t="s">
        <v>4276</v>
      </c>
      <c r="G8376" s="109">
        <v>45834</v>
      </c>
      <c r="H8376" s="108" t="s">
        <v>25458</v>
      </c>
      <c r="I8376" s="108" t="s">
        <v>95</v>
      </c>
    </row>
    <row r="8377" spans="1:9">
      <c r="A8377" s="108" t="s">
        <v>16151</v>
      </c>
      <c r="B8377" s="108" t="s">
        <v>2487</v>
      </c>
      <c r="C8377" s="109">
        <v>43830</v>
      </c>
      <c r="D8377" s="108" t="s">
        <v>2488</v>
      </c>
      <c r="E8377" s="108" t="s">
        <v>14605</v>
      </c>
      <c r="F8377" s="108" t="s">
        <v>2475</v>
      </c>
      <c r="G8377" s="109">
        <v>45892</v>
      </c>
      <c r="H8377" s="108" t="s">
        <v>25458</v>
      </c>
      <c r="I8377" s="108" t="s">
        <v>95</v>
      </c>
    </row>
    <row r="8378" spans="1:9" ht="27.6">
      <c r="A8378" s="108" t="s">
        <v>16151</v>
      </c>
      <c r="B8378" s="108" t="s">
        <v>2838</v>
      </c>
      <c r="C8378" s="109">
        <v>43846</v>
      </c>
      <c r="D8378" s="108" t="s">
        <v>2840</v>
      </c>
      <c r="E8378" s="108" t="s">
        <v>14605</v>
      </c>
      <c r="F8378" s="108" t="s">
        <v>2839</v>
      </c>
      <c r="G8378" s="109">
        <v>46067</v>
      </c>
      <c r="H8378" s="108" t="s">
        <v>25458</v>
      </c>
      <c r="I8378" s="108" t="s">
        <v>95</v>
      </c>
    </row>
    <row r="8379" spans="1:9" ht="41.4">
      <c r="A8379" s="108" t="s">
        <v>16151</v>
      </c>
      <c r="B8379" s="108" t="s">
        <v>2828</v>
      </c>
      <c r="C8379" s="109">
        <v>43839</v>
      </c>
      <c r="D8379" s="108" t="s">
        <v>2829</v>
      </c>
      <c r="E8379" s="108" t="s">
        <v>14605</v>
      </c>
      <c r="F8379" s="108" t="s">
        <v>2826</v>
      </c>
      <c r="G8379" s="109">
        <v>46002</v>
      </c>
      <c r="H8379" s="108" t="s">
        <v>25458</v>
      </c>
      <c r="I8379" s="108" t="s">
        <v>95</v>
      </c>
    </row>
    <row r="8380" spans="1:9">
      <c r="A8380" s="108" t="s">
        <v>16151</v>
      </c>
      <c r="B8380" s="108" t="s">
        <v>5187</v>
      </c>
      <c r="C8380" s="109">
        <v>43859</v>
      </c>
      <c r="D8380" s="108" t="s">
        <v>5188</v>
      </c>
      <c r="E8380" s="108" t="s">
        <v>14605</v>
      </c>
      <c r="F8380" s="108" t="s">
        <v>5145</v>
      </c>
      <c r="G8380" s="109">
        <v>46066</v>
      </c>
      <c r="H8380" s="108" t="s">
        <v>25458</v>
      </c>
      <c r="I8380" s="108" t="s">
        <v>95</v>
      </c>
    </row>
    <row r="8381" spans="1:9">
      <c r="A8381" s="108" t="s">
        <v>16151</v>
      </c>
      <c r="B8381" s="108" t="s">
        <v>4963</v>
      </c>
      <c r="C8381" s="109">
        <v>43874</v>
      </c>
      <c r="D8381" s="108" t="s">
        <v>4964</v>
      </c>
      <c r="E8381" s="108" t="s">
        <v>14605</v>
      </c>
      <c r="F8381" s="108" t="s">
        <v>4966</v>
      </c>
      <c r="G8381" s="109">
        <v>46074</v>
      </c>
      <c r="H8381" s="108" t="s">
        <v>25458</v>
      </c>
      <c r="I8381" s="108" t="s">
        <v>95</v>
      </c>
    </row>
    <row r="8382" spans="1:9">
      <c r="A8382" s="108" t="s">
        <v>16151</v>
      </c>
      <c r="B8382" s="108" t="s">
        <v>4235</v>
      </c>
      <c r="C8382" s="109">
        <v>43861</v>
      </c>
      <c r="D8382" s="108" t="s">
        <v>4237</v>
      </c>
      <c r="E8382" s="108" t="s">
        <v>14605</v>
      </c>
      <c r="F8382" s="108" t="s">
        <v>4236</v>
      </c>
      <c r="G8382" s="109">
        <v>45955</v>
      </c>
      <c r="H8382" s="108" t="s">
        <v>25458</v>
      </c>
      <c r="I8382" s="108" t="s">
        <v>95</v>
      </c>
    </row>
    <row r="8383" spans="1:9">
      <c r="A8383" s="108" t="s">
        <v>16151</v>
      </c>
      <c r="B8383" s="108" t="s">
        <v>937</v>
      </c>
      <c r="C8383" s="109">
        <v>43854</v>
      </c>
      <c r="D8383" s="108" t="s">
        <v>938</v>
      </c>
      <c r="E8383" s="108" t="s">
        <v>14605</v>
      </c>
      <c r="F8383" s="108" t="s">
        <v>933</v>
      </c>
      <c r="G8383" s="109">
        <v>46062</v>
      </c>
      <c r="H8383" s="108" t="s">
        <v>25458</v>
      </c>
      <c r="I8383" s="108" t="s">
        <v>95</v>
      </c>
    </row>
    <row r="8384" spans="1:9">
      <c r="A8384" s="108" t="s">
        <v>16151</v>
      </c>
      <c r="B8384" s="108" t="s">
        <v>992</v>
      </c>
      <c r="C8384" s="109">
        <v>43655</v>
      </c>
      <c r="D8384" s="108" t="s">
        <v>993</v>
      </c>
      <c r="E8384" s="108" t="s">
        <v>14605</v>
      </c>
      <c r="F8384" s="108" t="s">
        <v>986</v>
      </c>
      <c r="G8384" s="109">
        <v>45959</v>
      </c>
      <c r="H8384" s="108" t="s">
        <v>25458</v>
      </c>
      <c r="I8384" s="108" t="s">
        <v>95</v>
      </c>
    </row>
    <row r="8385" spans="1:9">
      <c r="A8385" s="108" t="s">
        <v>16151</v>
      </c>
      <c r="B8385" s="108" t="s">
        <v>1947</v>
      </c>
      <c r="C8385" s="109">
        <v>43894</v>
      </c>
      <c r="D8385" s="108" t="s">
        <v>1948</v>
      </c>
      <c r="E8385" s="108" t="s">
        <v>14605</v>
      </c>
      <c r="F8385" s="108" t="s">
        <v>1941</v>
      </c>
      <c r="G8385" s="109">
        <v>46106</v>
      </c>
      <c r="H8385" s="108" t="s">
        <v>25458</v>
      </c>
      <c r="I8385" s="108" t="s">
        <v>95</v>
      </c>
    </row>
    <row r="8386" spans="1:9">
      <c r="A8386" s="108" t="s">
        <v>16151</v>
      </c>
      <c r="B8386" s="108" t="s">
        <v>1945</v>
      </c>
      <c r="C8386" s="109">
        <v>43895</v>
      </c>
      <c r="D8386" s="108" t="s">
        <v>1946</v>
      </c>
      <c r="E8386" s="108" t="s">
        <v>14605</v>
      </c>
      <c r="F8386" s="108" t="s">
        <v>1941</v>
      </c>
      <c r="G8386" s="109">
        <v>46106</v>
      </c>
      <c r="H8386" s="108" t="s">
        <v>25458</v>
      </c>
      <c r="I8386" s="108" t="s">
        <v>95</v>
      </c>
    </row>
    <row r="8387" spans="1:9">
      <c r="A8387" s="108" t="s">
        <v>16151</v>
      </c>
      <c r="B8387" s="108" t="s">
        <v>5185</v>
      </c>
      <c r="C8387" s="109">
        <v>43860</v>
      </c>
      <c r="D8387" s="108" t="s">
        <v>5186</v>
      </c>
      <c r="E8387" s="108" t="s">
        <v>14605</v>
      </c>
      <c r="F8387" s="108" t="s">
        <v>5145</v>
      </c>
      <c r="G8387" s="109">
        <v>46069</v>
      </c>
      <c r="H8387" s="108" t="s">
        <v>25458</v>
      </c>
      <c r="I8387" s="108" t="s">
        <v>95</v>
      </c>
    </row>
    <row r="8388" spans="1:9">
      <c r="A8388" s="108" t="s">
        <v>16151</v>
      </c>
      <c r="B8388" s="108" t="s">
        <v>1938</v>
      </c>
      <c r="C8388" s="109">
        <v>43888</v>
      </c>
      <c r="D8388" s="108" t="s">
        <v>1939</v>
      </c>
      <c r="E8388" s="108" t="s">
        <v>14605</v>
      </c>
      <c r="F8388" s="108" t="s">
        <v>1916</v>
      </c>
      <c r="G8388" s="109">
        <v>46186</v>
      </c>
      <c r="H8388" s="108" t="s">
        <v>25458</v>
      </c>
      <c r="I8388" s="108" t="s">
        <v>95</v>
      </c>
    </row>
    <row r="8389" spans="1:9" ht="27.6">
      <c r="A8389" s="108" t="s">
        <v>16151</v>
      </c>
      <c r="B8389" s="108" t="s">
        <v>4640</v>
      </c>
      <c r="C8389" s="109">
        <v>44046</v>
      </c>
      <c r="D8389" s="108" t="s">
        <v>4641</v>
      </c>
      <c r="E8389" s="108" t="s">
        <v>14605</v>
      </c>
      <c r="F8389" s="108" t="s">
        <v>4638</v>
      </c>
      <c r="G8389" s="109">
        <v>46237</v>
      </c>
      <c r="H8389" s="108" t="s">
        <v>25458</v>
      </c>
      <c r="I8389" s="108" t="s">
        <v>95</v>
      </c>
    </row>
    <row r="8390" spans="1:9" ht="27.6">
      <c r="A8390" s="108" t="s">
        <v>16151</v>
      </c>
      <c r="B8390" s="108" t="s">
        <v>4637</v>
      </c>
      <c r="C8390" s="109">
        <v>43872</v>
      </c>
      <c r="D8390" s="108" t="s">
        <v>4639</v>
      </c>
      <c r="E8390" s="108" t="s">
        <v>14605</v>
      </c>
      <c r="F8390" s="108" t="s">
        <v>4638</v>
      </c>
      <c r="G8390" s="109">
        <v>46091</v>
      </c>
      <c r="H8390" s="108" t="s">
        <v>25458</v>
      </c>
      <c r="I8390" s="108" t="s">
        <v>95</v>
      </c>
    </row>
    <row r="8391" spans="1:9">
      <c r="A8391" s="108" t="s">
        <v>16151</v>
      </c>
      <c r="B8391" s="108" t="s">
        <v>534</v>
      </c>
      <c r="C8391" s="109">
        <v>43886</v>
      </c>
      <c r="D8391" s="108" t="s">
        <v>536</v>
      </c>
      <c r="E8391" s="108" t="s">
        <v>14605</v>
      </c>
      <c r="F8391" s="108" t="s">
        <v>535</v>
      </c>
      <c r="G8391" s="109">
        <v>46082</v>
      </c>
      <c r="H8391" s="108" t="s">
        <v>25458</v>
      </c>
      <c r="I8391" s="108" t="s">
        <v>95</v>
      </c>
    </row>
    <row r="8392" spans="1:9">
      <c r="A8392" s="108" t="s">
        <v>16151</v>
      </c>
      <c r="B8392" s="108" t="s">
        <v>1936</v>
      </c>
      <c r="C8392" s="109">
        <v>43875</v>
      </c>
      <c r="D8392" s="108" t="s">
        <v>1937</v>
      </c>
      <c r="E8392" s="108" t="s">
        <v>14605</v>
      </c>
      <c r="F8392" s="108" t="s">
        <v>1916</v>
      </c>
      <c r="G8392" s="109">
        <v>46186</v>
      </c>
      <c r="H8392" s="108" t="s">
        <v>25458</v>
      </c>
      <c r="I8392" s="108" t="s">
        <v>95</v>
      </c>
    </row>
    <row r="8393" spans="1:9" ht="27.6">
      <c r="A8393" s="108" t="s">
        <v>16151</v>
      </c>
      <c r="B8393" s="108" t="s">
        <v>3106</v>
      </c>
      <c r="C8393" s="109">
        <v>43972</v>
      </c>
      <c r="D8393" s="108" t="s">
        <v>3107</v>
      </c>
      <c r="E8393" s="108" t="s">
        <v>14605</v>
      </c>
      <c r="F8393" s="108" t="s">
        <v>3104</v>
      </c>
      <c r="G8393" s="109">
        <v>46142</v>
      </c>
      <c r="H8393" s="108" t="s">
        <v>25458</v>
      </c>
      <c r="I8393" s="108" t="s">
        <v>95</v>
      </c>
    </row>
    <row r="8394" spans="1:9" ht="27.6">
      <c r="A8394" s="108" t="s">
        <v>16151</v>
      </c>
      <c r="B8394" s="108" t="s">
        <v>2811</v>
      </c>
      <c r="C8394" s="109">
        <v>43928</v>
      </c>
      <c r="D8394" s="108" t="s">
        <v>2812</v>
      </c>
      <c r="E8394" s="108" t="s">
        <v>14605</v>
      </c>
      <c r="F8394" s="108" t="s">
        <v>2795</v>
      </c>
      <c r="G8394" s="109">
        <v>46202</v>
      </c>
      <c r="H8394" s="108" t="s">
        <v>25458</v>
      </c>
      <c r="I8394" s="108" t="s">
        <v>95</v>
      </c>
    </row>
    <row r="8395" spans="1:9">
      <c r="A8395" s="108" t="s">
        <v>16151</v>
      </c>
      <c r="B8395" s="108" t="s">
        <v>3477</v>
      </c>
      <c r="C8395" s="109">
        <v>44327</v>
      </c>
      <c r="D8395" s="108" t="s">
        <v>3478</v>
      </c>
      <c r="E8395" s="108" t="s">
        <v>14605</v>
      </c>
      <c r="F8395" s="108" t="s">
        <v>3473</v>
      </c>
      <c r="G8395" s="109">
        <v>45900</v>
      </c>
      <c r="H8395" s="108" t="s">
        <v>25458</v>
      </c>
      <c r="I8395" s="108" t="s">
        <v>95</v>
      </c>
    </row>
    <row r="8396" spans="1:9">
      <c r="A8396" s="108" t="s">
        <v>16151</v>
      </c>
      <c r="B8396" s="108" t="s">
        <v>1693</v>
      </c>
      <c r="C8396" s="109">
        <v>44064</v>
      </c>
      <c r="D8396" s="108" t="s">
        <v>1694</v>
      </c>
      <c r="E8396" s="108" t="s">
        <v>14605</v>
      </c>
      <c r="F8396" s="108" t="s">
        <v>1691</v>
      </c>
      <c r="G8396" s="109">
        <v>46122</v>
      </c>
      <c r="H8396" s="108" t="s">
        <v>25458</v>
      </c>
      <c r="I8396" s="108" t="s">
        <v>95</v>
      </c>
    </row>
    <row r="8397" spans="1:9">
      <c r="A8397" s="108" t="s">
        <v>16151</v>
      </c>
      <c r="B8397" s="108" t="s">
        <v>1403</v>
      </c>
      <c r="C8397" s="109">
        <v>43951</v>
      </c>
      <c r="D8397" s="108" t="s">
        <v>1404</v>
      </c>
      <c r="E8397" s="108" t="s">
        <v>14605</v>
      </c>
      <c r="F8397" s="108" t="s">
        <v>1397</v>
      </c>
      <c r="G8397" s="109">
        <v>46141</v>
      </c>
      <c r="H8397" s="108" t="s">
        <v>25458</v>
      </c>
      <c r="I8397" s="108" t="s">
        <v>95</v>
      </c>
    </row>
    <row r="8398" spans="1:9">
      <c r="A8398" s="108" t="s">
        <v>16151</v>
      </c>
      <c r="B8398" s="108" t="s">
        <v>2933</v>
      </c>
      <c r="C8398" s="109">
        <v>43945</v>
      </c>
      <c r="D8398" s="108" t="s">
        <v>2934</v>
      </c>
      <c r="E8398" s="108" t="s">
        <v>14605</v>
      </c>
      <c r="F8398" s="108" t="s">
        <v>26509</v>
      </c>
      <c r="G8398" s="109">
        <v>45796</v>
      </c>
      <c r="H8398" s="108" t="s">
        <v>25458</v>
      </c>
      <c r="I8398" s="108" t="s">
        <v>95</v>
      </c>
    </row>
    <row r="8399" spans="1:9" ht="27.6">
      <c r="A8399" s="108" t="s">
        <v>16149</v>
      </c>
      <c r="B8399" s="108" t="s">
        <v>2483</v>
      </c>
      <c r="C8399" s="109">
        <v>44755</v>
      </c>
      <c r="D8399" s="108" t="s">
        <v>2484</v>
      </c>
      <c r="E8399" s="108" t="s">
        <v>14605</v>
      </c>
      <c r="F8399" s="108" t="s">
        <v>2475</v>
      </c>
      <c r="G8399" s="109">
        <v>45865</v>
      </c>
      <c r="H8399" s="108" t="s">
        <v>25458</v>
      </c>
      <c r="I8399" s="108" t="s">
        <v>95</v>
      </c>
    </row>
    <row r="8400" spans="1:9">
      <c r="A8400" s="108" t="s">
        <v>16151</v>
      </c>
      <c r="B8400" s="108" t="s">
        <v>4548</v>
      </c>
      <c r="C8400" s="109">
        <v>44015</v>
      </c>
      <c r="D8400" s="108" t="s">
        <v>4549</v>
      </c>
      <c r="E8400" s="108" t="s">
        <v>14605</v>
      </c>
      <c r="F8400" s="108" t="s">
        <v>4546</v>
      </c>
      <c r="G8400" s="109">
        <v>45811</v>
      </c>
      <c r="H8400" s="108" t="s">
        <v>25458</v>
      </c>
      <c r="I8400" s="108" t="s">
        <v>95</v>
      </c>
    </row>
    <row r="8401" spans="1:9">
      <c r="A8401" s="108" t="s">
        <v>16151</v>
      </c>
      <c r="B8401" s="108" t="s">
        <v>1037</v>
      </c>
      <c r="C8401" s="109">
        <v>43966</v>
      </c>
      <c r="D8401" s="108" t="s">
        <v>1038</v>
      </c>
      <c r="E8401" s="108" t="s">
        <v>14605</v>
      </c>
      <c r="F8401" s="108" t="s">
        <v>1033</v>
      </c>
      <c r="G8401" s="109">
        <v>45928</v>
      </c>
      <c r="H8401" s="108" t="s">
        <v>25458</v>
      </c>
      <c r="I8401" s="108" t="s">
        <v>95</v>
      </c>
    </row>
    <row r="8402" spans="1:9">
      <c r="A8402" s="108" t="s">
        <v>16151</v>
      </c>
      <c r="B8402" s="108" t="s">
        <v>3789</v>
      </c>
      <c r="C8402" s="109">
        <v>43963</v>
      </c>
      <c r="D8402" s="108" t="s">
        <v>3791</v>
      </c>
      <c r="E8402" s="108" t="s">
        <v>14605</v>
      </c>
      <c r="F8402" s="108" t="s">
        <v>3790</v>
      </c>
      <c r="G8402" s="109">
        <v>46153</v>
      </c>
      <c r="H8402" s="108" t="s">
        <v>25458</v>
      </c>
      <c r="I8402" s="108" t="s">
        <v>95</v>
      </c>
    </row>
    <row r="8403" spans="1:9">
      <c r="A8403" s="108" t="s">
        <v>16151</v>
      </c>
      <c r="B8403" s="108" t="s">
        <v>3574</v>
      </c>
      <c r="C8403" s="109">
        <v>44044</v>
      </c>
      <c r="D8403" s="108" t="s">
        <v>3575</v>
      </c>
      <c r="E8403" s="108" t="s">
        <v>14605</v>
      </c>
      <c r="F8403" s="108" t="s">
        <v>15303</v>
      </c>
      <c r="G8403" s="109">
        <v>46112</v>
      </c>
      <c r="H8403" s="108" t="s">
        <v>25458</v>
      </c>
      <c r="I8403" s="108" t="s">
        <v>95</v>
      </c>
    </row>
    <row r="8404" spans="1:9">
      <c r="A8404" s="108" t="s">
        <v>16151</v>
      </c>
      <c r="B8404" s="108" t="s">
        <v>2593</v>
      </c>
      <c r="C8404" s="109">
        <v>43985</v>
      </c>
      <c r="D8404" s="108" t="s">
        <v>2594</v>
      </c>
      <c r="E8404" s="108" t="s">
        <v>14605</v>
      </c>
      <c r="F8404" s="108" t="s">
        <v>2591</v>
      </c>
      <c r="G8404" s="109">
        <v>45993</v>
      </c>
      <c r="H8404" s="108" t="s">
        <v>25458</v>
      </c>
      <c r="I8404" s="108" t="s">
        <v>95</v>
      </c>
    </row>
    <row r="8405" spans="1:9">
      <c r="A8405" s="108" t="s">
        <v>16151</v>
      </c>
      <c r="B8405" s="108" t="s">
        <v>1551</v>
      </c>
      <c r="C8405" s="109">
        <v>43971</v>
      </c>
      <c r="D8405" s="108" t="s">
        <v>1552</v>
      </c>
      <c r="E8405" s="108" t="s">
        <v>14605</v>
      </c>
      <c r="F8405" s="108" t="s">
        <v>1547</v>
      </c>
      <c r="G8405" s="109">
        <v>46156</v>
      </c>
      <c r="H8405" s="108" t="s">
        <v>25458</v>
      </c>
      <c r="I8405" s="108" t="s">
        <v>95</v>
      </c>
    </row>
    <row r="8406" spans="1:9">
      <c r="A8406" s="108" t="s">
        <v>16151</v>
      </c>
      <c r="B8406" s="108" t="s">
        <v>4452</v>
      </c>
      <c r="C8406" s="109">
        <v>43983</v>
      </c>
      <c r="D8406" s="108" t="s">
        <v>4453</v>
      </c>
      <c r="E8406" s="108" t="s">
        <v>14605</v>
      </c>
      <c r="F8406" s="108" t="s">
        <v>4448</v>
      </c>
      <c r="G8406" s="109">
        <v>46559</v>
      </c>
      <c r="H8406" s="108" t="s">
        <v>25458</v>
      </c>
      <c r="I8406" s="108" t="s">
        <v>95</v>
      </c>
    </row>
    <row r="8407" spans="1:9" ht="27.6">
      <c r="A8407" s="108" t="s">
        <v>16151</v>
      </c>
      <c r="B8407" s="108" t="s">
        <v>2349</v>
      </c>
      <c r="C8407" s="109">
        <v>43991</v>
      </c>
      <c r="D8407" s="108" t="s">
        <v>2350</v>
      </c>
      <c r="E8407" s="108" t="s">
        <v>14605</v>
      </c>
      <c r="F8407" s="108" t="s">
        <v>2347</v>
      </c>
      <c r="G8407" s="109">
        <v>46183</v>
      </c>
      <c r="H8407" s="108" t="s">
        <v>25458</v>
      </c>
      <c r="I8407" s="108" t="s">
        <v>95</v>
      </c>
    </row>
    <row r="8408" spans="1:9">
      <c r="A8408" s="108" t="s">
        <v>16151</v>
      </c>
      <c r="B8408" s="108" t="s">
        <v>1934</v>
      </c>
      <c r="C8408" s="109">
        <v>44050</v>
      </c>
      <c r="D8408" s="108" t="s">
        <v>1935</v>
      </c>
      <c r="E8408" s="108" t="s">
        <v>14605</v>
      </c>
      <c r="F8408" s="108" t="s">
        <v>1916</v>
      </c>
      <c r="G8408" s="109">
        <v>46216</v>
      </c>
      <c r="H8408" s="108" t="s">
        <v>25458</v>
      </c>
      <c r="I8408" s="108" t="s">
        <v>95</v>
      </c>
    </row>
    <row r="8409" spans="1:9">
      <c r="A8409" s="108" t="s">
        <v>16151</v>
      </c>
      <c r="B8409" s="108" t="s">
        <v>2590</v>
      </c>
      <c r="C8409" s="109">
        <v>43985</v>
      </c>
      <c r="D8409" s="108" t="s">
        <v>2592</v>
      </c>
      <c r="E8409" s="108" t="s">
        <v>14605</v>
      </c>
      <c r="F8409" s="108" t="s">
        <v>2591</v>
      </c>
      <c r="G8409" s="109">
        <v>45993</v>
      </c>
      <c r="H8409" s="108" t="s">
        <v>25458</v>
      </c>
      <c r="I8409" s="108" t="s">
        <v>95</v>
      </c>
    </row>
    <row r="8410" spans="1:9">
      <c r="A8410" s="108" t="s">
        <v>16151</v>
      </c>
      <c r="B8410" s="108" t="s">
        <v>2384</v>
      </c>
      <c r="C8410" s="109">
        <v>44005</v>
      </c>
      <c r="D8410" s="108" t="s">
        <v>2385</v>
      </c>
      <c r="E8410" s="108" t="s">
        <v>14605</v>
      </c>
      <c r="F8410" s="108" t="s">
        <v>2379</v>
      </c>
      <c r="G8410" s="109">
        <v>46022</v>
      </c>
      <c r="H8410" s="108" t="s">
        <v>25458</v>
      </c>
      <c r="I8410" s="108" t="s">
        <v>95</v>
      </c>
    </row>
    <row r="8411" spans="1:9">
      <c r="A8411" s="108" t="s">
        <v>16151</v>
      </c>
      <c r="B8411" s="108" t="s">
        <v>1932</v>
      </c>
      <c r="C8411" s="109">
        <v>44053</v>
      </c>
      <c r="D8411" s="108" t="s">
        <v>1933</v>
      </c>
      <c r="E8411" s="108" t="s">
        <v>14605</v>
      </c>
      <c r="F8411" s="108" t="s">
        <v>1916</v>
      </c>
      <c r="G8411" s="109">
        <v>46216</v>
      </c>
      <c r="H8411" s="108" t="s">
        <v>25458</v>
      </c>
      <c r="I8411" s="108" t="s">
        <v>95</v>
      </c>
    </row>
    <row r="8412" spans="1:9">
      <c r="A8412" s="108" t="s">
        <v>16151</v>
      </c>
      <c r="B8412" s="108" t="s">
        <v>2136</v>
      </c>
      <c r="C8412" s="109">
        <v>44006</v>
      </c>
      <c r="D8412" s="108" t="s">
        <v>2137</v>
      </c>
      <c r="E8412" s="108" t="s">
        <v>14605</v>
      </c>
      <c r="F8412" s="108" t="s">
        <v>2124</v>
      </c>
      <c r="G8412" s="109">
        <v>46022</v>
      </c>
      <c r="H8412" s="108" t="s">
        <v>25458</v>
      </c>
      <c r="I8412" s="108" t="s">
        <v>95</v>
      </c>
    </row>
    <row r="8413" spans="1:9">
      <c r="A8413" s="108" t="s">
        <v>16151</v>
      </c>
      <c r="B8413" s="108" t="s">
        <v>4701</v>
      </c>
      <c r="C8413" s="109">
        <v>44091</v>
      </c>
      <c r="D8413" s="108" t="s">
        <v>4703</v>
      </c>
      <c r="E8413" s="108" t="s">
        <v>14605</v>
      </c>
      <c r="F8413" s="108" t="s">
        <v>4702</v>
      </c>
      <c r="G8413" s="109">
        <v>46990</v>
      </c>
      <c r="H8413" s="108" t="s">
        <v>25458</v>
      </c>
      <c r="I8413" s="108" t="s">
        <v>95</v>
      </c>
    </row>
    <row r="8414" spans="1:9">
      <c r="A8414" s="108" t="s">
        <v>16151</v>
      </c>
      <c r="B8414" s="108" t="s">
        <v>2564</v>
      </c>
      <c r="C8414" s="109">
        <v>43998</v>
      </c>
      <c r="D8414" s="108" t="s">
        <v>2565</v>
      </c>
      <c r="E8414" s="108" t="s">
        <v>14605</v>
      </c>
      <c r="F8414" s="108" t="s">
        <v>2552</v>
      </c>
      <c r="G8414" s="109">
        <v>45116</v>
      </c>
      <c r="H8414" s="108" t="s">
        <v>25458</v>
      </c>
      <c r="I8414" s="108" t="s">
        <v>95</v>
      </c>
    </row>
    <row r="8415" spans="1:9">
      <c r="A8415" s="108" t="s">
        <v>16151</v>
      </c>
      <c r="B8415" s="108" t="s">
        <v>2134</v>
      </c>
      <c r="C8415" s="109">
        <v>44007</v>
      </c>
      <c r="D8415" s="108" t="s">
        <v>2135</v>
      </c>
      <c r="E8415" s="108" t="s">
        <v>14605</v>
      </c>
      <c r="F8415" s="108" t="s">
        <v>2124</v>
      </c>
      <c r="G8415" s="109">
        <v>46022</v>
      </c>
      <c r="H8415" s="108" t="s">
        <v>25458</v>
      </c>
      <c r="I8415" s="108" t="s">
        <v>95</v>
      </c>
    </row>
    <row r="8416" spans="1:9" ht="27.6">
      <c r="A8416" s="108" t="s">
        <v>16151</v>
      </c>
      <c r="B8416" s="108" t="s">
        <v>1974</v>
      </c>
      <c r="C8416" s="109">
        <v>44074</v>
      </c>
      <c r="D8416" s="108" t="s">
        <v>1975</v>
      </c>
      <c r="E8416" s="108" t="s">
        <v>14605</v>
      </c>
      <c r="F8416" s="108" t="s">
        <v>25667</v>
      </c>
      <c r="G8416" s="109">
        <v>46022</v>
      </c>
      <c r="H8416" s="108" t="s">
        <v>25458</v>
      </c>
      <c r="I8416" s="108" t="s">
        <v>95</v>
      </c>
    </row>
    <row r="8417" spans="1:9">
      <c r="A8417" s="108" t="s">
        <v>16151</v>
      </c>
      <c r="B8417" s="108" t="s">
        <v>5121</v>
      </c>
      <c r="C8417" s="109">
        <v>44036</v>
      </c>
      <c r="D8417" s="108" t="s">
        <v>5122</v>
      </c>
      <c r="E8417" s="108" t="s">
        <v>14605</v>
      </c>
      <c r="F8417" s="108" t="s">
        <v>2398</v>
      </c>
      <c r="G8417" s="109">
        <v>45847</v>
      </c>
      <c r="H8417" s="108" t="s">
        <v>25458</v>
      </c>
      <c r="I8417" s="108" t="s">
        <v>95</v>
      </c>
    </row>
    <row r="8418" spans="1:9">
      <c r="A8418" s="108" t="s">
        <v>16151</v>
      </c>
      <c r="B8418" s="108" t="s">
        <v>26673</v>
      </c>
      <c r="C8418" s="109">
        <v>44021</v>
      </c>
      <c r="D8418" s="108" t="s">
        <v>26603</v>
      </c>
      <c r="E8418" s="108" t="s">
        <v>14605</v>
      </c>
      <c r="F8418" s="108" t="s">
        <v>14764</v>
      </c>
      <c r="G8418" s="109">
        <v>45846</v>
      </c>
      <c r="H8418" s="108" t="s">
        <v>25458</v>
      </c>
      <c r="I8418" s="108" t="s">
        <v>95</v>
      </c>
    </row>
    <row r="8419" spans="1:9">
      <c r="A8419" s="108" t="s">
        <v>16151</v>
      </c>
      <c r="B8419" s="108" t="s">
        <v>2562</v>
      </c>
      <c r="C8419" s="109">
        <v>44014</v>
      </c>
      <c r="D8419" s="108" t="s">
        <v>2563</v>
      </c>
      <c r="E8419" s="108" t="s">
        <v>14605</v>
      </c>
      <c r="F8419" s="108" t="s">
        <v>2552</v>
      </c>
      <c r="G8419" s="109">
        <v>44926</v>
      </c>
      <c r="H8419" s="108" t="s">
        <v>25458</v>
      </c>
      <c r="I8419" s="108" t="s">
        <v>95</v>
      </c>
    </row>
    <row r="8420" spans="1:9">
      <c r="A8420" s="108" t="s">
        <v>16151</v>
      </c>
      <c r="B8420" s="108" t="s">
        <v>686</v>
      </c>
      <c r="C8420" s="109">
        <v>44041</v>
      </c>
      <c r="D8420" s="108" t="s">
        <v>687</v>
      </c>
      <c r="E8420" s="108" t="s">
        <v>14605</v>
      </c>
      <c r="F8420" s="108" t="s">
        <v>682</v>
      </c>
      <c r="G8420" s="109">
        <v>46022</v>
      </c>
      <c r="H8420" s="108" t="s">
        <v>25458</v>
      </c>
      <c r="I8420" s="108" t="s">
        <v>95</v>
      </c>
    </row>
    <row r="8421" spans="1:9">
      <c r="A8421" s="108" t="s">
        <v>16151</v>
      </c>
      <c r="B8421" s="108" t="s">
        <v>1930</v>
      </c>
      <c r="C8421" s="109">
        <v>44636</v>
      </c>
      <c r="D8421" s="108" t="s">
        <v>1931</v>
      </c>
      <c r="E8421" s="108" t="s">
        <v>14605</v>
      </c>
      <c r="F8421" s="108" t="s">
        <v>1916</v>
      </c>
      <c r="G8421" s="109">
        <v>46216</v>
      </c>
      <c r="H8421" s="108" t="s">
        <v>25458</v>
      </c>
      <c r="I8421" s="108" t="s">
        <v>95</v>
      </c>
    </row>
    <row r="8422" spans="1:9" ht="27.6">
      <c r="A8422" s="108" t="s">
        <v>16151</v>
      </c>
      <c r="B8422" s="108" t="s">
        <v>3121</v>
      </c>
      <c r="C8422" s="109">
        <v>44070</v>
      </c>
      <c r="D8422" s="108" t="s">
        <v>3122</v>
      </c>
      <c r="E8422" s="108" t="s">
        <v>14605</v>
      </c>
      <c r="F8422" s="108" t="s">
        <v>3119</v>
      </c>
      <c r="G8422" s="109">
        <v>45894</v>
      </c>
      <c r="H8422" s="108" t="s">
        <v>25458</v>
      </c>
      <c r="I8422" s="108" t="s">
        <v>95</v>
      </c>
    </row>
    <row r="8423" spans="1:9">
      <c r="A8423" s="108" t="s">
        <v>16151</v>
      </c>
      <c r="B8423" s="108" t="s">
        <v>3897</v>
      </c>
      <c r="C8423" s="109">
        <v>44026</v>
      </c>
      <c r="D8423" s="108" t="s">
        <v>3898</v>
      </c>
      <c r="E8423" s="108" t="s">
        <v>14605</v>
      </c>
      <c r="F8423" s="108" t="s">
        <v>3895</v>
      </c>
      <c r="G8423" s="109">
        <v>46243</v>
      </c>
      <c r="H8423" s="108" t="s">
        <v>25458</v>
      </c>
      <c r="I8423" s="108" t="s">
        <v>95</v>
      </c>
    </row>
    <row r="8424" spans="1:9" ht="27.6">
      <c r="A8424" s="108" t="s">
        <v>16151</v>
      </c>
      <c r="B8424" s="108" t="s">
        <v>1972</v>
      </c>
      <c r="C8424" s="109">
        <v>44043</v>
      </c>
      <c r="D8424" s="108" t="s">
        <v>1973</v>
      </c>
      <c r="E8424" s="108" t="s">
        <v>14605</v>
      </c>
      <c r="F8424" s="108" t="s">
        <v>16674</v>
      </c>
      <c r="G8424" s="109">
        <v>46035</v>
      </c>
      <c r="H8424" s="108" t="s">
        <v>25458</v>
      </c>
      <c r="I8424" s="108" t="s">
        <v>95</v>
      </c>
    </row>
    <row r="8425" spans="1:9">
      <c r="A8425" s="108" t="s">
        <v>16151</v>
      </c>
      <c r="B8425" s="108" t="s">
        <v>2382</v>
      </c>
      <c r="C8425" s="109">
        <v>44085</v>
      </c>
      <c r="D8425" s="108" t="s">
        <v>2383</v>
      </c>
      <c r="E8425" s="108" t="s">
        <v>14605</v>
      </c>
      <c r="F8425" s="108" t="s">
        <v>2379</v>
      </c>
      <c r="G8425" s="109">
        <v>45904</v>
      </c>
      <c r="H8425" s="108" t="s">
        <v>25458</v>
      </c>
      <c r="I8425" s="108" t="s">
        <v>95</v>
      </c>
    </row>
    <row r="8426" spans="1:9">
      <c r="A8426" s="108" t="s">
        <v>16151</v>
      </c>
      <c r="B8426" s="108" t="s">
        <v>2173</v>
      </c>
      <c r="C8426" s="109">
        <v>44078</v>
      </c>
      <c r="D8426" s="108" t="s">
        <v>2175</v>
      </c>
      <c r="E8426" s="108" t="s">
        <v>14605</v>
      </c>
      <c r="F8426" s="108" t="s">
        <v>2174</v>
      </c>
      <c r="G8426" s="109">
        <v>45893</v>
      </c>
      <c r="H8426" s="108" t="s">
        <v>25458</v>
      </c>
      <c r="I8426" s="108" t="s">
        <v>95</v>
      </c>
    </row>
    <row r="8427" spans="1:9">
      <c r="A8427" s="108" t="s">
        <v>16151</v>
      </c>
      <c r="B8427" s="108" t="s">
        <v>1730</v>
      </c>
      <c r="C8427" s="109">
        <v>44068</v>
      </c>
      <c r="D8427" s="108" t="s">
        <v>1732</v>
      </c>
      <c r="E8427" s="108" t="s">
        <v>14605</v>
      </c>
      <c r="F8427" s="108" t="s">
        <v>1731</v>
      </c>
      <c r="G8427" s="109">
        <v>46025</v>
      </c>
      <c r="H8427" s="108" t="s">
        <v>25458</v>
      </c>
      <c r="I8427" s="108" t="s">
        <v>95</v>
      </c>
    </row>
    <row r="8428" spans="1:9">
      <c r="A8428" s="108" t="s">
        <v>16151</v>
      </c>
      <c r="B8428" s="108" t="s">
        <v>2603</v>
      </c>
      <c r="C8428" s="109">
        <v>44070</v>
      </c>
      <c r="D8428" s="108" t="s">
        <v>2604</v>
      </c>
      <c r="E8428" s="108" t="s">
        <v>14605</v>
      </c>
      <c r="F8428" s="108" t="s">
        <v>2601</v>
      </c>
      <c r="G8428" s="109">
        <v>45895</v>
      </c>
      <c r="H8428" s="108" t="s">
        <v>25458</v>
      </c>
      <c r="I8428" s="108" t="s">
        <v>95</v>
      </c>
    </row>
    <row r="8429" spans="1:9">
      <c r="A8429" s="108" t="s">
        <v>16151</v>
      </c>
      <c r="B8429" s="108" t="s">
        <v>1928</v>
      </c>
      <c r="C8429" s="109">
        <v>44636</v>
      </c>
      <c r="D8429" s="108" t="s">
        <v>1929</v>
      </c>
      <c r="E8429" s="108" t="s">
        <v>14605</v>
      </c>
      <c r="F8429" s="108" t="s">
        <v>1916</v>
      </c>
      <c r="G8429" s="109">
        <v>46216</v>
      </c>
      <c r="H8429" s="108" t="s">
        <v>25458</v>
      </c>
      <c r="I8429" s="108" t="s">
        <v>95</v>
      </c>
    </row>
    <row r="8430" spans="1:9">
      <c r="A8430" s="108" t="s">
        <v>16151</v>
      </c>
      <c r="B8430" s="108" t="s">
        <v>1272</v>
      </c>
      <c r="C8430" s="109">
        <v>44070</v>
      </c>
      <c r="D8430" s="108" t="s">
        <v>1274</v>
      </c>
      <c r="E8430" s="108" t="s">
        <v>14605</v>
      </c>
      <c r="F8430" s="108" t="s">
        <v>1273</v>
      </c>
      <c r="G8430" s="109">
        <v>45896</v>
      </c>
      <c r="H8430" s="108" t="s">
        <v>25458</v>
      </c>
      <c r="I8430" s="108" t="s">
        <v>95</v>
      </c>
    </row>
    <row r="8431" spans="1:9">
      <c r="A8431" s="108" t="s">
        <v>16151</v>
      </c>
      <c r="B8431" s="108" t="s">
        <v>2560</v>
      </c>
      <c r="C8431" s="109">
        <v>44075</v>
      </c>
      <c r="D8431" s="108" t="s">
        <v>2561</v>
      </c>
      <c r="E8431" s="108" t="s">
        <v>14605</v>
      </c>
      <c r="F8431" s="108" t="s">
        <v>2552</v>
      </c>
      <c r="G8431" s="109">
        <v>44827</v>
      </c>
      <c r="H8431" s="108" t="s">
        <v>25458</v>
      </c>
      <c r="I8431" s="108" t="s">
        <v>95</v>
      </c>
    </row>
    <row r="8432" spans="1:9">
      <c r="A8432" s="108" t="s">
        <v>16151</v>
      </c>
      <c r="B8432" s="108" t="s">
        <v>1643</v>
      </c>
      <c r="C8432" s="109">
        <v>44077</v>
      </c>
      <c r="D8432" s="108" t="s">
        <v>1644</v>
      </c>
      <c r="E8432" s="108" t="s">
        <v>14605</v>
      </c>
      <c r="F8432" s="108" t="s">
        <v>15243</v>
      </c>
      <c r="G8432" s="109">
        <v>45903</v>
      </c>
      <c r="H8432" s="108" t="s">
        <v>25458</v>
      </c>
      <c r="I8432" s="108" t="s">
        <v>95</v>
      </c>
    </row>
    <row r="8433" spans="1:9">
      <c r="A8433" s="108" t="s">
        <v>16151</v>
      </c>
      <c r="B8433" s="108" t="s">
        <v>4601</v>
      </c>
      <c r="C8433" s="109">
        <v>44106</v>
      </c>
      <c r="D8433" s="108" t="s">
        <v>4602</v>
      </c>
      <c r="E8433" s="108" t="s">
        <v>14605</v>
      </c>
      <c r="F8433" s="108" t="s">
        <v>4597</v>
      </c>
      <c r="G8433" s="109">
        <v>46387</v>
      </c>
      <c r="H8433" s="108" t="s">
        <v>25458</v>
      </c>
      <c r="I8433" s="108" t="s">
        <v>95</v>
      </c>
    </row>
    <row r="8434" spans="1:9">
      <c r="A8434" s="108" t="s">
        <v>16151</v>
      </c>
      <c r="B8434" s="108" t="s">
        <v>182</v>
      </c>
      <c r="C8434" s="109">
        <v>44110</v>
      </c>
      <c r="D8434" s="108" t="s">
        <v>184</v>
      </c>
      <c r="E8434" s="108" t="s">
        <v>14605</v>
      </c>
      <c r="F8434" s="108" t="s">
        <v>183</v>
      </c>
      <c r="G8434" s="109">
        <v>45927</v>
      </c>
      <c r="H8434" s="108" t="s">
        <v>25458</v>
      </c>
      <c r="I8434" s="108" t="s">
        <v>95</v>
      </c>
    </row>
    <row r="8435" spans="1:9">
      <c r="A8435" s="108" t="s">
        <v>16151</v>
      </c>
      <c r="B8435" s="108" t="s">
        <v>138</v>
      </c>
      <c r="C8435" s="109">
        <v>44095</v>
      </c>
      <c r="D8435" s="108" t="s">
        <v>139</v>
      </c>
      <c r="E8435" s="108" t="s">
        <v>14605</v>
      </c>
      <c r="F8435" s="108" t="s">
        <v>129</v>
      </c>
      <c r="G8435" s="109">
        <v>46050</v>
      </c>
      <c r="H8435" s="108" t="s">
        <v>25458</v>
      </c>
      <c r="I8435" s="108" t="s">
        <v>95</v>
      </c>
    </row>
    <row r="8436" spans="1:9">
      <c r="A8436" s="108" t="s">
        <v>16151</v>
      </c>
      <c r="B8436" s="108" t="s">
        <v>728</v>
      </c>
      <c r="C8436" s="109">
        <v>44102</v>
      </c>
      <c r="D8436" s="108" t="s">
        <v>729</v>
      </c>
      <c r="E8436" s="108" t="s">
        <v>14605</v>
      </c>
      <c r="F8436" s="108" t="s">
        <v>724</v>
      </c>
      <c r="G8436" s="109">
        <v>46108</v>
      </c>
      <c r="H8436" s="108" t="s">
        <v>25458</v>
      </c>
      <c r="I8436" s="108" t="s">
        <v>95</v>
      </c>
    </row>
    <row r="8437" spans="1:9">
      <c r="A8437" s="108" t="s">
        <v>16151</v>
      </c>
      <c r="B8437" s="108" t="s">
        <v>2859</v>
      </c>
      <c r="C8437" s="109">
        <v>44111</v>
      </c>
      <c r="D8437" s="108" t="s">
        <v>2860</v>
      </c>
      <c r="E8437" s="108" t="s">
        <v>14605</v>
      </c>
      <c r="F8437" s="108" t="s">
        <v>2853</v>
      </c>
      <c r="G8437" s="109">
        <v>46133</v>
      </c>
      <c r="H8437" s="108" t="s">
        <v>25458</v>
      </c>
      <c r="I8437" s="108" t="s">
        <v>95</v>
      </c>
    </row>
    <row r="8438" spans="1:9">
      <c r="A8438" s="108" t="s">
        <v>16151</v>
      </c>
      <c r="B8438" s="108" t="s">
        <v>4023</v>
      </c>
      <c r="C8438" s="109">
        <v>44118</v>
      </c>
      <c r="D8438" s="108" t="s">
        <v>4024</v>
      </c>
      <c r="E8438" s="108" t="s">
        <v>14605</v>
      </c>
      <c r="F8438" s="108" t="s">
        <v>15535</v>
      </c>
      <c r="G8438" s="109">
        <v>45715</v>
      </c>
      <c r="H8438" s="108" t="s">
        <v>25458</v>
      </c>
      <c r="I8438" s="108" t="s">
        <v>95</v>
      </c>
    </row>
    <row r="8439" spans="1:9">
      <c r="A8439" s="108" t="s">
        <v>16151</v>
      </c>
      <c r="B8439" s="108" t="s">
        <v>1309</v>
      </c>
      <c r="C8439" s="109">
        <v>44152</v>
      </c>
      <c r="D8439" s="108" t="s">
        <v>1310</v>
      </c>
      <c r="E8439" s="108" t="s">
        <v>14605</v>
      </c>
      <c r="F8439" s="108" t="s">
        <v>1307</v>
      </c>
      <c r="G8439" s="109">
        <v>45977</v>
      </c>
      <c r="H8439" s="108" t="s">
        <v>25458</v>
      </c>
      <c r="I8439" s="108" t="s">
        <v>95</v>
      </c>
    </row>
    <row r="8440" spans="1:9">
      <c r="A8440" s="108" t="s">
        <v>16151</v>
      </c>
      <c r="B8440" s="108" t="s">
        <v>1549</v>
      </c>
      <c r="C8440" s="109">
        <v>44113</v>
      </c>
      <c r="D8440" s="108" t="s">
        <v>1550</v>
      </c>
      <c r="E8440" s="108" t="s">
        <v>14605</v>
      </c>
      <c r="F8440" s="108" t="s">
        <v>1547</v>
      </c>
      <c r="G8440" s="109">
        <v>46156</v>
      </c>
      <c r="H8440" s="108" t="s">
        <v>25458</v>
      </c>
      <c r="I8440" s="108" t="s">
        <v>95</v>
      </c>
    </row>
    <row r="8441" spans="1:9">
      <c r="A8441" s="108" t="s">
        <v>16151</v>
      </c>
      <c r="B8441" s="108" t="s">
        <v>2353</v>
      </c>
      <c r="C8441" s="109">
        <v>44153</v>
      </c>
      <c r="D8441" s="108" t="s">
        <v>2355</v>
      </c>
      <c r="E8441" s="108" t="s">
        <v>14605</v>
      </c>
      <c r="F8441" s="108" t="s">
        <v>2354</v>
      </c>
      <c r="G8441" s="109">
        <v>45935</v>
      </c>
      <c r="H8441" s="108" t="s">
        <v>25458</v>
      </c>
      <c r="I8441" s="108" t="s">
        <v>95</v>
      </c>
    </row>
    <row r="8442" spans="1:9">
      <c r="A8442" s="108" t="s">
        <v>16151</v>
      </c>
      <c r="B8442" s="108" t="s">
        <v>1697</v>
      </c>
      <c r="C8442" s="109">
        <v>44106</v>
      </c>
      <c r="D8442" s="108" t="s">
        <v>1699</v>
      </c>
      <c r="E8442" s="108" t="s">
        <v>14605</v>
      </c>
      <c r="F8442" s="108" t="s">
        <v>1698</v>
      </c>
      <c r="G8442" s="109">
        <v>45932</v>
      </c>
      <c r="H8442" s="108" t="s">
        <v>25458</v>
      </c>
      <c r="I8442" s="108" t="s">
        <v>95</v>
      </c>
    </row>
    <row r="8443" spans="1:9">
      <c r="A8443" s="108" t="s">
        <v>16151</v>
      </c>
      <c r="B8443" s="108" t="s">
        <v>367</v>
      </c>
      <c r="C8443" s="109">
        <v>44124</v>
      </c>
      <c r="D8443" s="108" t="s">
        <v>369</v>
      </c>
      <c r="E8443" s="108" t="s">
        <v>14605</v>
      </c>
      <c r="F8443" s="108" t="s">
        <v>368</v>
      </c>
      <c r="G8443" s="109">
        <v>46006</v>
      </c>
      <c r="H8443" s="108" t="s">
        <v>25458</v>
      </c>
      <c r="I8443" s="108" t="s">
        <v>95</v>
      </c>
    </row>
    <row r="8444" spans="1:9">
      <c r="A8444" s="108" t="s">
        <v>16151</v>
      </c>
      <c r="B8444" s="108" t="s">
        <v>3699</v>
      </c>
      <c r="C8444" s="109">
        <v>44139</v>
      </c>
      <c r="D8444" s="108" t="s">
        <v>3700</v>
      </c>
      <c r="E8444" s="108" t="s">
        <v>14605</v>
      </c>
      <c r="F8444" s="108" t="s">
        <v>3687</v>
      </c>
      <c r="G8444" s="109">
        <v>45916</v>
      </c>
      <c r="H8444" s="108" t="s">
        <v>25458</v>
      </c>
      <c r="I8444" s="108" t="s">
        <v>95</v>
      </c>
    </row>
    <row r="8445" spans="1:9">
      <c r="A8445" s="108" t="s">
        <v>16151</v>
      </c>
      <c r="B8445" s="108" t="s">
        <v>1641</v>
      </c>
      <c r="C8445" s="109">
        <v>44168</v>
      </c>
      <c r="D8445" s="108" t="s">
        <v>1642</v>
      </c>
      <c r="E8445" s="108" t="s">
        <v>14605</v>
      </c>
      <c r="F8445" s="108" t="s">
        <v>15243</v>
      </c>
      <c r="G8445" s="109">
        <v>46112</v>
      </c>
      <c r="H8445" s="108" t="s">
        <v>25458</v>
      </c>
      <c r="I8445" s="108" t="s">
        <v>95</v>
      </c>
    </row>
    <row r="8446" spans="1:9">
      <c r="A8446" s="108" t="s">
        <v>16151</v>
      </c>
      <c r="B8446" s="108" t="s">
        <v>2132</v>
      </c>
      <c r="C8446" s="109">
        <v>44180</v>
      </c>
      <c r="D8446" s="108" t="s">
        <v>2133</v>
      </c>
      <c r="E8446" s="108" t="s">
        <v>14605</v>
      </c>
      <c r="F8446" s="108" t="s">
        <v>2124</v>
      </c>
      <c r="G8446" s="109">
        <v>46022</v>
      </c>
      <c r="H8446" s="108" t="s">
        <v>25458</v>
      </c>
      <c r="I8446" s="108" t="s">
        <v>95</v>
      </c>
    </row>
    <row r="8447" spans="1:9">
      <c r="A8447" s="108" t="s">
        <v>16151</v>
      </c>
      <c r="B8447" s="108" t="s">
        <v>3914</v>
      </c>
      <c r="C8447" s="109">
        <v>44140</v>
      </c>
      <c r="D8447" s="108" t="s">
        <v>3916</v>
      </c>
      <c r="E8447" s="108" t="s">
        <v>14605</v>
      </c>
      <c r="F8447" s="108" t="s">
        <v>3915</v>
      </c>
      <c r="G8447" s="109">
        <v>46355</v>
      </c>
      <c r="H8447" s="108" t="s">
        <v>25458</v>
      </c>
      <c r="I8447" s="108" t="s">
        <v>95</v>
      </c>
    </row>
    <row r="8448" spans="1:9">
      <c r="A8448" s="108" t="s">
        <v>16151</v>
      </c>
      <c r="B8448" s="108" t="s">
        <v>3861</v>
      </c>
      <c r="C8448" s="109">
        <v>44142</v>
      </c>
      <c r="D8448" s="108" t="s">
        <v>3862</v>
      </c>
      <c r="E8448" s="108" t="s">
        <v>14605</v>
      </c>
      <c r="F8448" s="108" t="s">
        <v>3856</v>
      </c>
      <c r="G8448" s="109">
        <v>45593</v>
      </c>
      <c r="H8448" s="108" t="s">
        <v>25458</v>
      </c>
      <c r="I8448" s="108" t="s">
        <v>95</v>
      </c>
    </row>
    <row r="8449" spans="1:9">
      <c r="A8449" s="108" t="s">
        <v>16151</v>
      </c>
      <c r="B8449" s="108" t="s">
        <v>5235</v>
      </c>
      <c r="C8449" s="109">
        <v>44147</v>
      </c>
      <c r="D8449" s="108" t="s">
        <v>5236</v>
      </c>
      <c r="E8449" s="108" t="s">
        <v>14605</v>
      </c>
      <c r="F8449" s="108" t="s">
        <v>5227</v>
      </c>
      <c r="G8449" s="109">
        <v>45972</v>
      </c>
      <c r="H8449" s="108" t="s">
        <v>25458</v>
      </c>
      <c r="I8449" s="108" t="s">
        <v>95</v>
      </c>
    </row>
    <row r="8450" spans="1:9">
      <c r="A8450" s="108" t="s">
        <v>16151</v>
      </c>
      <c r="B8450" s="108" t="s">
        <v>705</v>
      </c>
      <c r="C8450" s="109">
        <v>44158</v>
      </c>
      <c r="D8450" s="108" t="s">
        <v>707</v>
      </c>
      <c r="E8450" s="108" t="s">
        <v>14605</v>
      </c>
      <c r="F8450" s="108" t="s">
        <v>706</v>
      </c>
      <c r="G8450" s="109">
        <v>46022</v>
      </c>
      <c r="H8450" s="108" t="s">
        <v>25458</v>
      </c>
      <c r="I8450" s="108" t="s">
        <v>95</v>
      </c>
    </row>
    <row r="8451" spans="1:9" ht="27.6">
      <c r="A8451" s="108" t="s">
        <v>16151</v>
      </c>
      <c r="B8451" s="108" t="s">
        <v>1780</v>
      </c>
      <c r="C8451" s="109">
        <v>44140</v>
      </c>
      <c r="D8451" s="108" t="s">
        <v>1781</v>
      </c>
      <c r="E8451" s="108" t="s">
        <v>14605</v>
      </c>
      <c r="F8451" s="108" t="s">
        <v>1770</v>
      </c>
      <c r="G8451" s="109">
        <v>45966</v>
      </c>
      <c r="H8451" s="108" t="s">
        <v>25458</v>
      </c>
      <c r="I8451" s="108" t="s">
        <v>95</v>
      </c>
    </row>
    <row r="8452" spans="1:9">
      <c r="A8452" s="108" t="s">
        <v>16151</v>
      </c>
      <c r="B8452" s="108" t="s">
        <v>1215</v>
      </c>
      <c r="C8452" s="109">
        <v>44175</v>
      </c>
      <c r="D8452" s="108" t="s">
        <v>1216</v>
      </c>
      <c r="E8452" s="108" t="s">
        <v>21552</v>
      </c>
      <c r="F8452" s="108" t="s">
        <v>3330</v>
      </c>
      <c r="G8452" s="109">
        <v>45998</v>
      </c>
      <c r="H8452" s="108" t="s">
        <v>25458</v>
      </c>
      <c r="I8452" s="108" t="s">
        <v>95</v>
      </c>
    </row>
    <row r="8453" spans="1:9">
      <c r="A8453" s="108" t="s">
        <v>16151</v>
      </c>
      <c r="B8453" s="108" t="s">
        <v>4450</v>
      </c>
      <c r="C8453" s="109">
        <v>44167</v>
      </c>
      <c r="D8453" s="108" t="s">
        <v>4451</v>
      </c>
      <c r="E8453" s="108" t="s">
        <v>14605</v>
      </c>
      <c r="F8453" s="108" t="s">
        <v>4448</v>
      </c>
      <c r="G8453" s="109">
        <v>46203</v>
      </c>
      <c r="H8453" s="108" t="s">
        <v>25458</v>
      </c>
      <c r="I8453" s="108" t="s">
        <v>95</v>
      </c>
    </row>
    <row r="8454" spans="1:9">
      <c r="A8454" s="108" t="s">
        <v>16151</v>
      </c>
      <c r="B8454" s="108" t="s">
        <v>1474</v>
      </c>
      <c r="C8454" s="109">
        <v>44187</v>
      </c>
      <c r="D8454" s="108" t="s">
        <v>1475</v>
      </c>
      <c r="E8454" s="108" t="s">
        <v>14605</v>
      </c>
      <c r="F8454" s="108" t="s">
        <v>1470</v>
      </c>
      <c r="G8454" s="109">
        <v>46203</v>
      </c>
      <c r="H8454" s="108" t="s">
        <v>25458</v>
      </c>
      <c r="I8454" s="108" t="s">
        <v>95</v>
      </c>
    </row>
    <row r="8455" spans="1:9">
      <c r="A8455" s="108" t="s">
        <v>16151</v>
      </c>
      <c r="B8455" s="108" t="s">
        <v>153</v>
      </c>
      <c r="C8455" s="109">
        <v>44216</v>
      </c>
      <c r="D8455" s="108" t="s">
        <v>154</v>
      </c>
      <c r="E8455" s="108" t="s">
        <v>14605</v>
      </c>
      <c r="F8455" s="108" t="s">
        <v>151</v>
      </c>
      <c r="G8455" s="109">
        <v>46050</v>
      </c>
      <c r="H8455" s="108" t="s">
        <v>25458</v>
      </c>
      <c r="I8455" s="108" t="s">
        <v>95</v>
      </c>
    </row>
    <row r="8456" spans="1:9">
      <c r="A8456" s="108" t="s">
        <v>16151</v>
      </c>
      <c r="B8456" s="108" t="s">
        <v>144</v>
      </c>
      <c r="C8456" s="109">
        <v>44201</v>
      </c>
      <c r="D8456" s="108" t="s">
        <v>145</v>
      </c>
      <c r="E8456" s="108" t="s">
        <v>14605</v>
      </c>
      <c r="F8456" s="108" t="s">
        <v>142</v>
      </c>
      <c r="G8456" s="109">
        <v>46112</v>
      </c>
      <c r="H8456" s="108" t="s">
        <v>25458</v>
      </c>
      <c r="I8456" s="108" t="s">
        <v>95</v>
      </c>
    </row>
    <row r="8457" spans="1:9">
      <c r="A8457" s="108" t="s">
        <v>16151</v>
      </c>
      <c r="B8457" s="108" t="s">
        <v>1212</v>
      </c>
      <c r="C8457" s="109">
        <v>44175</v>
      </c>
      <c r="D8457" s="108" t="s">
        <v>1214</v>
      </c>
      <c r="E8457" s="108" t="s">
        <v>14605</v>
      </c>
      <c r="F8457" s="108" t="s">
        <v>4628</v>
      </c>
      <c r="G8457" s="109">
        <v>45998</v>
      </c>
      <c r="H8457" s="108" t="s">
        <v>25458</v>
      </c>
      <c r="I8457" s="108" t="s">
        <v>95</v>
      </c>
    </row>
    <row r="8458" spans="1:9">
      <c r="A8458" s="108" t="s">
        <v>16151</v>
      </c>
      <c r="B8458" s="108" t="s">
        <v>4545</v>
      </c>
      <c r="C8458" s="109">
        <v>44209</v>
      </c>
      <c r="D8458" s="108" t="s">
        <v>4547</v>
      </c>
      <c r="E8458" s="108" t="s">
        <v>14605</v>
      </c>
      <c r="F8458" s="108" t="s">
        <v>4546</v>
      </c>
      <c r="G8458" s="109">
        <v>45811</v>
      </c>
      <c r="H8458" s="108" t="s">
        <v>25458</v>
      </c>
      <c r="I8458" s="108" t="s">
        <v>95</v>
      </c>
    </row>
    <row r="8459" spans="1:9">
      <c r="A8459" s="108" t="s">
        <v>16151</v>
      </c>
      <c r="B8459" s="108" t="s">
        <v>26674</v>
      </c>
      <c r="C8459" s="109">
        <v>44186</v>
      </c>
      <c r="D8459" s="108" t="s">
        <v>1675</v>
      </c>
      <c r="E8459" s="108" t="s">
        <v>14605</v>
      </c>
      <c r="F8459" s="108" t="s">
        <v>1671</v>
      </c>
      <c r="G8459" s="109">
        <v>46229</v>
      </c>
      <c r="H8459" s="108" t="s">
        <v>25458</v>
      </c>
      <c r="I8459" s="108" t="s">
        <v>95</v>
      </c>
    </row>
    <row r="8460" spans="1:9">
      <c r="A8460" s="108" t="s">
        <v>16151</v>
      </c>
      <c r="B8460" s="108" t="s">
        <v>2164</v>
      </c>
      <c r="C8460" s="109">
        <v>44524</v>
      </c>
      <c r="D8460" s="108" t="s">
        <v>2165</v>
      </c>
      <c r="E8460" s="108" t="s">
        <v>14605</v>
      </c>
      <c r="F8460" s="108" t="s">
        <v>2160</v>
      </c>
      <c r="G8460" s="109">
        <v>45940</v>
      </c>
      <c r="H8460" s="108" t="s">
        <v>25458</v>
      </c>
      <c r="I8460" s="108" t="s">
        <v>95</v>
      </c>
    </row>
    <row r="8461" spans="1:9" ht="27.6">
      <c r="A8461" s="108" t="s">
        <v>16151</v>
      </c>
      <c r="B8461" s="108" t="s">
        <v>1778</v>
      </c>
      <c r="C8461" s="109">
        <v>44257</v>
      </c>
      <c r="D8461" s="108" t="s">
        <v>1779</v>
      </c>
      <c r="E8461" s="108" t="s">
        <v>14605</v>
      </c>
      <c r="F8461" s="108" t="s">
        <v>1770</v>
      </c>
      <c r="G8461" s="109">
        <v>46088</v>
      </c>
      <c r="H8461" s="108" t="s">
        <v>25458</v>
      </c>
      <c r="I8461" s="108" t="s">
        <v>95</v>
      </c>
    </row>
    <row r="8462" spans="1:9">
      <c r="A8462" s="108" t="s">
        <v>16151</v>
      </c>
      <c r="B8462" s="108" t="s">
        <v>5109</v>
      </c>
      <c r="C8462" s="109">
        <v>44242</v>
      </c>
      <c r="D8462" s="108" t="s">
        <v>5111</v>
      </c>
      <c r="E8462" s="108" t="s">
        <v>14605</v>
      </c>
      <c r="F8462" s="108" t="s">
        <v>5110</v>
      </c>
      <c r="G8462" s="109">
        <v>46079</v>
      </c>
      <c r="H8462" s="108" t="s">
        <v>25458</v>
      </c>
      <c r="I8462" s="108" t="s">
        <v>95</v>
      </c>
    </row>
    <row r="8463" spans="1:9">
      <c r="A8463" s="108" t="s">
        <v>16151</v>
      </c>
      <c r="B8463" s="108" t="s">
        <v>3475</v>
      </c>
      <c r="C8463" s="109">
        <v>44181</v>
      </c>
      <c r="D8463" s="108" t="s">
        <v>3476</v>
      </c>
      <c r="E8463" s="108" t="s">
        <v>14605</v>
      </c>
      <c r="F8463" s="108" t="s">
        <v>3473</v>
      </c>
      <c r="G8463" s="109">
        <v>46405</v>
      </c>
      <c r="H8463" s="108" t="s">
        <v>25458</v>
      </c>
      <c r="I8463" s="108" t="s">
        <v>95</v>
      </c>
    </row>
    <row r="8464" spans="1:9">
      <c r="A8464" s="108" t="s">
        <v>16151</v>
      </c>
      <c r="B8464" s="108" t="s">
        <v>5056</v>
      </c>
      <c r="C8464" s="109">
        <v>44228</v>
      </c>
      <c r="D8464" s="108" t="s">
        <v>5058</v>
      </c>
      <c r="E8464" s="108" t="s">
        <v>14605</v>
      </c>
      <c r="F8464" s="108" t="s">
        <v>5057</v>
      </c>
      <c r="G8464" s="109">
        <v>46067</v>
      </c>
      <c r="H8464" s="108" t="s">
        <v>25458</v>
      </c>
      <c r="I8464" s="108" t="s">
        <v>95</v>
      </c>
    </row>
    <row r="8465" spans="1:9">
      <c r="A8465" s="108" t="s">
        <v>16151</v>
      </c>
      <c r="B8465" s="108" t="s">
        <v>2885</v>
      </c>
      <c r="C8465" s="109">
        <v>44278</v>
      </c>
      <c r="D8465" s="108" t="s">
        <v>2887</v>
      </c>
      <c r="E8465" s="108" t="s">
        <v>14605</v>
      </c>
      <c r="F8465" s="108" t="s">
        <v>2886</v>
      </c>
      <c r="G8465" s="109">
        <v>46113</v>
      </c>
      <c r="H8465" s="108" t="s">
        <v>25458</v>
      </c>
      <c r="I8465" s="108" t="s">
        <v>95</v>
      </c>
    </row>
    <row r="8466" spans="1:9">
      <c r="A8466" s="108" t="s">
        <v>16151</v>
      </c>
      <c r="B8466" s="108" t="s">
        <v>2770</v>
      </c>
      <c r="C8466" s="109">
        <v>44258</v>
      </c>
      <c r="D8466" s="108" t="s">
        <v>2771</v>
      </c>
      <c r="E8466" s="108" t="s">
        <v>14605</v>
      </c>
      <c r="F8466" s="108" t="s">
        <v>2762</v>
      </c>
      <c r="G8466" s="109">
        <v>45935</v>
      </c>
      <c r="H8466" s="108" t="s">
        <v>25458</v>
      </c>
      <c r="I8466" s="108" t="s">
        <v>95</v>
      </c>
    </row>
    <row r="8467" spans="1:9">
      <c r="A8467" s="108" t="s">
        <v>16151</v>
      </c>
      <c r="B8467" s="108" t="s">
        <v>1401</v>
      </c>
      <c r="C8467" s="109">
        <v>44305</v>
      </c>
      <c r="D8467" s="108" t="s">
        <v>1402</v>
      </c>
      <c r="E8467" s="108" t="s">
        <v>14605</v>
      </c>
      <c r="F8467" s="108" t="s">
        <v>1397</v>
      </c>
      <c r="G8467" s="109">
        <v>46141</v>
      </c>
      <c r="H8467" s="108" t="s">
        <v>25458</v>
      </c>
      <c r="I8467" s="108" t="s">
        <v>95</v>
      </c>
    </row>
    <row r="8468" spans="1:9">
      <c r="A8468" s="108" t="s">
        <v>16151</v>
      </c>
      <c r="B8468" s="108" t="s">
        <v>3949</v>
      </c>
      <c r="C8468" s="109">
        <v>44278</v>
      </c>
      <c r="D8468" s="108" t="s">
        <v>3950</v>
      </c>
      <c r="E8468" s="108" t="s">
        <v>14605</v>
      </c>
      <c r="F8468" s="108" t="s">
        <v>3947</v>
      </c>
      <c r="G8468" s="109">
        <v>46103</v>
      </c>
      <c r="H8468" s="108" t="s">
        <v>25458</v>
      </c>
      <c r="I8468" s="108" t="s">
        <v>95</v>
      </c>
    </row>
    <row r="8469" spans="1:9">
      <c r="A8469" s="108" t="s">
        <v>16151</v>
      </c>
      <c r="B8469" s="108" t="s">
        <v>726</v>
      </c>
      <c r="C8469" s="109">
        <v>44296</v>
      </c>
      <c r="D8469" s="108" t="s">
        <v>727</v>
      </c>
      <c r="E8469" s="108" t="s">
        <v>14605</v>
      </c>
      <c r="F8469" s="108" t="s">
        <v>724</v>
      </c>
      <c r="G8469" s="109">
        <v>46022</v>
      </c>
      <c r="H8469" s="108" t="s">
        <v>25458</v>
      </c>
      <c r="I8469" s="108" t="s">
        <v>95</v>
      </c>
    </row>
    <row r="8470" spans="1:9">
      <c r="A8470" s="108" t="s">
        <v>16151</v>
      </c>
      <c r="B8470" s="108" t="s">
        <v>2714</v>
      </c>
      <c r="C8470" s="109">
        <v>44285</v>
      </c>
      <c r="D8470" s="108" t="s">
        <v>2715</v>
      </c>
      <c r="E8470" s="108" t="s">
        <v>14605</v>
      </c>
      <c r="F8470" s="108" t="s">
        <v>2694</v>
      </c>
      <c r="G8470" s="109">
        <v>46022</v>
      </c>
      <c r="H8470" s="108" t="s">
        <v>25458</v>
      </c>
      <c r="I8470" s="108" t="s">
        <v>95</v>
      </c>
    </row>
    <row r="8471" spans="1:9" ht="27.6">
      <c r="A8471" s="108" t="s">
        <v>16149</v>
      </c>
      <c r="B8471" s="108" t="s">
        <v>3572</v>
      </c>
      <c r="C8471" s="109">
        <v>46112</v>
      </c>
      <c r="D8471" s="108" t="s">
        <v>3573</v>
      </c>
      <c r="E8471" s="108" t="s">
        <v>14605</v>
      </c>
      <c r="F8471" s="108" t="s">
        <v>5288</v>
      </c>
      <c r="G8471" s="109">
        <v>46112</v>
      </c>
      <c r="H8471" s="108" t="s">
        <v>25458</v>
      </c>
      <c r="I8471" s="108" t="s">
        <v>95</v>
      </c>
    </row>
    <row r="8472" spans="1:9">
      <c r="A8472" s="108" t="s">
        <v>16151</v>
      </c>
      <c r="B8472" s="108" t="s">
        <v>1321</v>
      </c>
      <c r="C8472" s="109">
        <v>44343</v>
      </c>
      <c r="D8472" s="108" t="s">
        <v>1323</v>
      </c>
      <c r="E8472" s="108" t="s">
        <v>14605</v>
      </c>
      <c r="F8472" s="108" t="s">
        <v>1322</v>
      </c>
      <c r="G8472" s="109">
        <v>46135</v>
      </c>
      <c r="H8472" s="108" t="s">
        <v>25458</v>
      </c>
      <c r="I8472" s="108" t="s">
        <v>95</v>
      </c>
    </row>
    <row r="8473" spans="1:9">
      <c r="A8473" s="108" t="s">
        <v>16151</v>
      </c>
      <c r="B8473" s="108" t="s">
        <v>1580</v>
      </c>
      <c r="C8473" s="109">
        <v>44372</v>
      </c>
      <c r="D8473" s="108" t="s">
        <v>1581</v>
      </c>
      <c r="E8473" s="108" t="s">
        <v>14605</v>
      </c>
      <c r="F8473" s="108" t="s">
        <v>1577</v>
      </c>
      <c r="G8473" s="109">
        <v>45945</v>
      </c>
      <c r="H8473" s="108" t="s">
        <v>25458</v>
      </c>
      <c r="I8473" s="108" t="s">
        <v>95</v>
      </c>
    </row>
    <row r="8474" spans="1:9" ht="27.6">
      <c r="A8474" s="108" t="s">
        <v>16151</v>
      </c>
      <c r="B8474" s="108" t="s">
        <v>4537</v>
      </c>
      <c r="C8474" s="109">
        <v>44328</v>
      </c>
      <c r="D8474" s="108" t="s">
        <v>4539</v>
      </c>
      <c r="E8474" s="108" t="s">
        <v>14605</v>
      </c>
      <c r="F8474" s="108" t="s">
        <v>4538</v>
      </c>
      <c r="G8474" s="109">
        <v>46535</v>
      </c>
      <c r="H8474" s="108" t="s">
        <v>25458</v>
      </c>
      <c r="I8474" s="108" t="s">
        <v>95</v>
      </c>
    </row>
    <row r="8475" spans="1:9">
      <c r="A8475" s="108" t="s">
        <v>16151</v>
      </c>
      <c r="B8475" s="108" t="s">
        <v>5179</v>
      </c>
      <c r="C8475" s="109">
        <v>44321</v>
      </c>
      <c r="D8475" s="108" t="s">
        <v>5180</v>
      </c>
      <c r="E8475" s="108" t="s">
        <v>14605</v>
      </c>
      <c r="F8475" s="108" t="s">
        <v>5145</v>
      </c>
      <c r="G8475" s="109">
        <v>46160</v>
      </c>
      <c r="H8475" s="108" t="s">
        <v>25458</v>
      </c>
      <c r="I8475" s="108" t="s">
        <v>95</v>
      </c>
    </row>
    <row r="8476" spans="1:9">
      <c r="A8476" s="108" t="s">
        <v>16151</v>
      </c>
      <c r="B8476" s="108" t="s">
        <v>1134</v>
      </c>
      <c r="C8476" s="109">
        <v>44286</v>
      </c>
      <c r="D8476" s="108" t="s">
        <v>1136</v>
      </c>
      <c r="E8476" s="108" t="s">
        <v>14605</v>
      </c>
      <c r="F8476" s="108" t="s">
        <v>1140</v>
      </c>
      <c r="G8476" s="109">
        <v>45808</v>
      </c>
      <c r="H8476" s="108" t="s">
        <v>25458</v>
      </c>
      <c r="I8476" s="108" t="s">
        <v>95</v>
      </c>
    </row>
    <row r="8477" spans="1:9">
      <c r="A8477" s="108" t="s">
        <v>16151</v>
      </c>
      <c r="B8477" s="108" t="s">
        <v>3438</v>
      </c>
      <c r="C8477" s="109">
        <v>44337</v>
      </c>
      <c r="D8477" s="108" t="s">
        <v>3440</v>
      </c>
      <c r="E8477" s="108" t="s">
        <v>14605</v>
      </c>
      <c r="F8477" s="108" t="s">
        <v>3439</v>
      </c>
      <c r="G8477" s="109">
        <v>46162</v>
      </c>
      <c r="H8477" s="108" t="s">
        <v>25458</v>
      </c>
      <c r="I8477" s="108" t="s">
        <v>95</v>
      </c>
    </row>
    <row r="8478" spans="1:9">
      <c r="A8478" s="108" t="s">
        <v>16151</v>
      </c>
      <c r="B8478" s="108" t="s">
        <v>935</v>
      </c>
      <c r="C8478" s="109">
        <v>44330</v>
      </c>
      <c r="D8478" s="108" t="s">
        <v>936</v>
      </c>
      <c r="E8478" s="108" t="s">
        <v>14605</v>
      </c>
      <c r="F8478" s="108" t="s">
        <v>933</v>
      </c>
      <c r="G8478" s="109">
        <v>46203</v>
      </c>
      <c r="H8478" s="108" t="s">
        <v>25458</v>
      </c>
      <c r="I8478" s="108" t="s">
        <v>95</v>
      </c>
    </row>
    <row r="8479" spans="1:9">
      <c r="A8479" s="108" t="s">
        <v>16151</v>
      </c>
      <c r="B8479" s="108" t="s">
        <v>3373</v>
      </c>
      <c r="C8479" s="109">
        <v>44342</v>
      </c>
      <c r="D8479" s="108" t="s">
        <v>3374</v>
      </c>
      <c r="E8479" s="108" t="s">
        <v>14605</v>
      </c>
      <c r="F8479" s="108" t="s">
        <v>14672</v>
      </c>
      <c r="G8479" s="109">
        <v>45849</v>
      </c>
      <c r="H8479" s="108" t="s">
        <v>25458</v>
      </c>
      <c r="I8479" s="108" t="s">
        <v>95</v>
      </c>
    </row>
    <row r="8480" spans="1:9">
      <c r="A8480" s="108" t="s">
        <v>16151</v>
      </c>
      <c r="B8480" s="108" t="s">
        <v>1911</v>
      </c>
      <c r="C8480" s="109">
        <v>44423</v>
      </c>
      <c r="D8480" s="108" t="s">
        <v>1912</v>
      </c>
      <c r="E8480" s="108" t="s">
        <v>14605</v>
      </c>
      <c r="F8480" s="108" t="s">
        <v>1907</v>
      </c>
      <c r="G8480" s="109">
        <v>46217</v>
      </c>
      <c r="H8480" s="108" t="s">
        <v>25458</v>
      </c>
      <c r="I8480" s="108" t="s">
        <v>95</v>
      </c>
    </row>
    <row r="8481" spans="1:9">
      <c r="A8481" s="108" t="s">
        <v>16151</v>
      </c>
      <c r="B8481" s="108" t="s">
        <v>4392</v>
      </c>
      <c r="C8481" s="109">
        <v>44351</v>
      </c>
      <c r="D8481" s="108" t="s">
        <v>4393</v>
      </c>
      <c r="E8481" s="108" t="s">
        <v>14605</v>
      </c>
      <c r="F8481" s="108" t="s">
        <v>4390</v>
      </c>
      <c r="G8481" s="109">
        <v>46558</v>
      </c>
      <c r="H8481" s="108" t="s">
        <v>25458</v>
      </c>
      <c r="I8481" s="108" t="s">
        <v>95</v>
      </c>
    </row>
    <row r="8482" spans="1:9">
      <c r="A8482" s="108" t="s">
        <v>16151</v>
      </c>
      <c r="B8482" s="108" t="s">
        <v>3214</v>
      </c>
      <c r="C8482" s="109">
        <v>44425</v>
      </c>
      <c r="D8482" s="108" t="s">
        <v>3215</v>
      </c>
      <c r="E8482" s="108" t="s">
        <v>14605</v>
      </c>
      <c r="F8482" s="108" t="s">
        <v>3210</v>
      </c>
      <c r="G8482" s="109">
        <v>46173</v>
      </c>
      <c r="H8482" s="108" t="s">
        <v>25458</v>
      </c>
      <c r="I8482" s="108" t="s">
        <v>95</v>
      </c>
    </row>
    <row r="8483" spans="1:9" ht="27.6">
      <c r="A8483" s="108" t="s">
        <v>16149</v>
      </c>
      <c r="B8483" s="108" t="s">
        <v>5177</v>
      </c>
      <c r="C8483" s="109">
        <v>45275</v>
      </c>
      <c r="D8483" s="108" t="s">
        <v>5178</v>
      </c>
      <c r="E8483" s="108" t="s">
        <v>14605</v>
      </c>
      <c r="F8483" s="108" t="s">
        <v>5145</v>
      </c>
      <c r="G8483" s="109">
        <v>46394</v>
      </c>
      <c r="H8483" s="108" t="s">
        <v>25458</v>
      </c>
      <c r="I8483" s="108" t="s">
        <v>95</v>
      </c>
    </row>
    <row r="8484" spans="1:9">
      <c r="A8484" s="108" t="s">
        <v>16151</v>
      </c>
      <c r="B8484" s="108" t="s">
        <v>3039</v>
      </c>
      <c r="C8484" s="109">
        <v>44393</v>
      </c>
      <c r="D8484" s="108" t="s">
        <v>3040</v>
      </c>
      <c r="E8484" s="108" t="s">
        <v>14605</v>
      </c>
      <c r="F8484" s="108" t="s">
        <v>3033</v>
      </c>
      <c r="G8484" s="109">
        <v>46213</v>
      </c>
      <c r="H8484" s="108" t="s">
        <v>25458</v>
      </c>
      <c r="I8484" s="108" t="s">
        <v>95</v>
      </c>
    </row>
    <row r="8485" spans="1:9">
      <c r="A8485" s="108" t="s">
        <v>16151</v>
      </c>
      <c r="B8485" s="108" t="s">
        <v>955</v>
      </c>
      <c r="C8485" s="109">
        <v>44435</v>
      </c>
      <c r="D8485" s="108" t="s">
        <v>957</v>
      </c>
      <c r="E8485" s="108" t="s">
        <v>14605</v>
      </c>
      <c r="F8485" s="108" t="s">
        <v>956</v>
      </c>
      <c r="G8485" s="109">
        <v>46224</v>
      </c>
      <c r="H8485" s="108" t="s">
        <v>25458</v>
      </c>
      <c r="I8485" s="108" t="s">
        <v>95</v>
      </c>
    </row>
    <row r="8486" spans="1:9">
      <c r="A8486" s="108" t="s">
        <v>16151</v>
      </c>
      <c r="B8486" s="108" t="s">
        <v>1926</v>
      </c>
      <c r="C8486" s="109">
        <v>44468</v>
      </c>
      <c r="D8486" s="108" t="s">
        <v>1927</v>
      </c>
      <c r="E8486" s="108" t="s">
        <v>14605</v>
      </c>
      <c r="F8486" s="108" t="s">
        <v>1916</v>
      </c>
      <c r="G8486" s="109">
        <v>46216</v>
      </c>
      <c r="H8486" s="108" t="s">
        <v>25458</v>
      </c>
      <c r="I8486" s="108" t="s">
        <v>95</v>
      </c>
    </row>
    <row r="8487" spans="1:9">
      <c r="A8487" s="108" t="s">
        <v>16151</v>
      </c>
      <c r="B8487" s="108" t="s">
        <v>2130</v>
      </c>
      <c r="C8487" s="109">
        <v>44386</v>
      </c>
      <c r="D8487" s="108" t="s">
        <v>2131</v>
      </c>
      <c r="E8487" s="108" t="s">
        <v>14605</v>
      </c>
      <c r="F8487" s="108" t="s">
        <v>2124</v>
      </c>
      <c r="G8487" s="109">
        <v>46022</v>
      </c>
      <c r="H8487" s="108" t="s">
        <v>25458</v>
      </c>
      <c r="I8487" s="108" t="s">
        <v>95</v>
      </c>
    </row>
    <row r="8488" spans="1:9">
      <c r="A8488" s="108" t="s">
        <v>16151</v>
      </c>
      <c r="B8488" s="108" t="s">
        <v>2481</v>
      </c>
      <c r="C8488" s="109">
        <v>44404</v>
      </c>
      <c r="D8488" s="108" t="s">
        <v>2482</v>
      </c>
      <c r="E8488" s="108" t="s">
        <v>14605</v>
      </c>
      <c r="F8488" s="108" t="s">
        <v>2475</v>
      </c>
      <c r="G8488" s="109">
        <v>45880</v>
      </c>
      <c r="H8488" s="108" t="s">
        <v>25458</v>
      </c>
      <c r="I8488" s="108" t="s">
        <v>95</v>
      </c>
    </row>
    <row r="8489" spans="1:9" ht="27.6">
      <c r="A8489" s="108" t="s">
        <v>16149</v>
      </c>
      <c r="B8489" s="108" t="s">
        <v>664</v>
      </c>
      <c r="C8489" s="109">
        <v>44361</v>
      </c>
      <c r="D8489" s="108" t="s">
        <v>666</v>
      </c>
      <c r="E8489" s="108" t="s">
        <v>14605</v>
      </c>
      <c r="F8489" s="108" t="s">
        <v>665</v>
      </c>
      <c r="G8489" s="109">
        <v>46200</v>
      </c>
      <c r="H8489" s="108" t="s">
        <v>25458</v>
      </c>
      <c r="I8489" s="108" t="s">
        <v>95</v>
      </c>
    </row>
    <row r="8490" spans="1:9" ht="27.6">
      <c r="A8490" s="108" t="s">
        <v>16151</v>
      </c>
      <c r="B8490" s="108" t="s">
        <v>1970</v>
      </c>
      <c r="C8490" s="109">
        <v>44405</v>
      </c>
      <c r="D8490" s="108" t="s">
        <v>1971</v>
      </c>
      <c r="E8490" s="108" t="s">
        <v>14605</v>
      </c>
      <c r="F8490" s="108" t="s">
        <v>16674</v>
      </c>
      <c r="G8490" s="109">
        <v>46227</v>
      </c>
      <c r="H8490" s="108" t="s">
        <v>25458</v>
      </c>
      <c r="I8490" s="108" t="s">
        <v>95</v>
      </c>
    </row>
    <row r="8491" spans="1:9">
      <c r="A8491" s="108" t="s">
        <v>16151</v>
      </c>
      <c r="B8491" s="108" t="s">
        <v>2518</v>
      </c>
      <c r="C8491" s="109">
        <v>44467</v>
      </c>
      <c r="D8491" s="108" t="s">
        <v>2519</v>
      </c>
      <c r="E8491" s="108" t="s">
        <v>14605</v>
      </c>
      <c r="F8491" s="108" t="s">
        <v>2516</v>
      </c>
      <c r="G8491" s="109">
        <v>46245</v>
      </c>
      <c r="H8491" s="108" t="s">
        <v>25458</v>
      </c>
      <c r="I8491" s="108" t="s">
        <v>95</v>
      </c>
    </row>
    <row r="8492" spans="1:9">
      <c r="A8492" s="108" t="s">
        <v>16151</v>
      </c>
      <c r="B8492" s="108" t="s">
        <v>1909</v>
      </c>
      <c r="C8492" s="109">
        <v>44883</v>
      </c>
      <c r="D8492" s="108" t="s">
        <v>1910</v>
      </c>
      <c r="E8492" s="108" t="s">
        <v>14605</v>
      </c>
      <c r="F8492" s="108" t="s">
        <v>1907</v>
      </c>
      <c r="G8492" s="109">
        <v>46217</v>
      </c>
      <c r="H8492" s="108" t="s">
        <v>25458</v>
      </c>
      <c r="I8492" s="108" t="s">
        <v>95</v>
      </c>
    </row>
    <row r="8493" spans="1:9">
      <c r="A8493" s="108" t="s">
        <v>16151</v>
      </c>
      <c r="B8493" s="108" t="s">
        <v>1924</v>
      </c>
      <c r="C8493" s="109">
        <v>44447</v>
      </c>
      <c r="D8493" s="108" t="s">
        <v>1925</v>
      </c>
      <c r="E8493" s="108" t="s">
        <v>14605</v>
      </c>
      <c r="F8493" s="108" t="s">
        <v>1916</v>
      </c>
      <c r="G8493" s="109">
        <v>46216</v>
      </c>
      <c r="H8493" s="108" t="s">
        <v>25458</v>
      </c>
      <c r="I8493" s="108" t="s">
        <v>95</v>
      </c>
    </row>
    <row r="8494" spans="1:9">
      <c r="A8494" s="108" t="s">
        <v>16151</v>
      </c>
      <c r="B8494" s="108" t="s">
        <v>3630</v>
      </c>
      <c r="C8494" s="109">
        <v>44398</v>
      </c>
      <c r="D8494" s="108" t="s">
        <v>3632</v>
      </c>
      <c r="E8494" s="108" t="s">
        <v>14605</v>
      </c>
      <c r="F8494" s="108" t="s">
        <v>3631</v>
      </c>
      <c r="G8494" s="109">
        <v>46592</v>
      </c>
      <c r="H8494" s="108" t="s">
        <v>25458</v>
      </c>
      <c r="I8494" s="108" t="s">
        <v>95</v>
      </c>
    </row>
    <row r="8495" spans="1:9" ht="27.6">
      <c r="A8495" s="108" t="s">
        <v>16151</v>
      </c>
      <c r="B8495" s="108" t="s">
        <v>398</v>
      </c>
      <c r="C8495" s="109">
        <v>44431</v>
      </c>
      <c r="D8495" s="108" t="s">
        <v>399</v>
      </c>
      <c r="E8495" s="108" t="s">
        <v>14605</v>
      </c>
      <c r="F8495" s="108" t="s">
        <v>394</v>
      </c>
      <c r="G8495" s="109">
        <v>46022</v>
      </c>
      <c r="H8495" s="108" t="s">
        <v>25458</v>
      </c>
      <c r="I8495" s="108" t="s">
        <v>95</v>
      </c>
    </row>
    <row r="8496" spans="1:9">
      <c r="A8496" s="108" t="s">
        <v>16151</v>
      </c>
      <c r="B8496" s="108" t="s">
        <v>1639</v>
      </c>
      <c r="C8496" s="109">
        <v>44448</v>
      </c>
      <c r="D8496" s="108" t="s">
        <v>1640</v>
      </c>
      <c r="E8496" s="108" t="s">
        <v>14605</v>
      </c>
      <c r="F8496" s="108" t="s">
        <v>15243</v>
      </c>
      <c r="G8496" s="109">
        <v>46081</v>
      </c>
      <c r="H8496" s="108" t="s">
        <v>25458</v>
      </c>
      <c r="I8496" s="108" t="s">
        <v>95</v>
      </c>
    </row>
    <row r="8497" spans="1:9" ht="27.6">
      <c r="A8497" s="108" t="s">
        <v>16151</v>
      </c>
      <c r="B8497" s="108" t="s">
        <v>1982</v>
      </c>
      <c r="C8497" s="109">
        <v>44468</v>
      </c>
      <c r="D8497" s="108" t="s">
        <v>1983</v>
      </c>
      <c r="E8497" s="108" t="s">
        <v>14605</v>
      </c>
      <c r="F8497" s="108" t="s">
        <v>25541</v>
      </c>
      <c r="G8497" s="109">
        <v>45925</v>
      </c>
      <c r="H8497" s="108" t="s">
        <v>25458</v>
      </c>
      <c r="I8497" s="108" t="s">
        <v>95</v>
      </c>
    </row>
    <row r="8498" spans="1:9">
      <c r="A8498" s="108" t="s">
        <v>16151</v>
      </c>
      <c r="B8498" s="108" t="s">
        <v>1637</v>
      </c>
      <c r="C8498" s="109">
        <v>44448</v>
      </c>
      <c r="D8498" s="108" t="s">
        <v>1638</v>
      </c>
      <c r="E8498" s="108" t="s">
        <v>14605</v>
      </c>
      <c r="F8498" s="108" t="s">
        <v>15243</v>
      </c>
      <c r="G8498" s="109">
        <v>46081</v>
      </c>
      <c r="H8498" s="108" t="s">
        <v>25458</v>
      </c>
      <c r="I8498" s="108" t="s">
        <v>95</v>
      </c>
    </row>
    <row r="8499" spans="1:9" ht="41.4">
      <c r="A8499" s="108" t="s">
        <v>16151</v>
      </c>
      <c r="B8499" s="108" t="s">
        <v>2825</v>
      </c>
      <c r="C8499" s="109">
        <v>44459</v>
      </c>
      <c r="D8499" s="108" t="s">
        <v>2827</v>
      </c>
      <c r="E8499" s="108" t="s">
        <v>14605</v>
      </c>
      <c r="F8499" s="108" t="s">
        <v>2826</v>
      </c>
      <c r="G8499" s="109">
        <v>46002</v>
      </c>
      <c r="H8499" s="108" t="s">
        <v>25458</v>
      </c>
      <c r="I8499" s="108" t="s">
        <v>95</v>
      </c>
    </row>
    <row r="8500" spans="1:9" ht="27.6">
      <c r="A8500" s="108" t="s">
        <v>16151</v>
      </c>
      <c r="B8500" s="108" t="s">
        <v>3497</v>
      </c>
      <c r="C8500" s="109">
        <v>44453</v>
      </c>
      <c r="D8500" s="108" t="s">
        <v>3498</v>
      </c>
      <c r="E8500" s="108" t="s">
        <v>14605</v>
      </c>
      <c r="F8500" s="108" t="s">
        <v>3493</v>
      </c>
      <c r="G8500" s="109">
        <v>45923</v>
      </c>
      <c r="H8500" s="108" t="s">
        <v>25458</v>
      </c>
      <c r="I8500" s="108" t="s">
        <v>95</v>
      </c>
    </row>
    <row r="8501" spans="1:9">
      <c r="A8501" s="108" t="s">
        <v>16151</v>
      </c>
      <c r="B8501" s="108" t="s">
        <v>5309</v>
      </c>
      <c r="C8501" s="109">
        <v>44442</v>
      </c>
      <c r="D8501" s="108" t="s">
        <v>5311</v>
      </c>
      <c r="E8501" s="108" t="s">
        <v>14605</v>
      </c>
      <c r="F8501" s="108" t="s">
        <v>5310</v>
      </c>
      <c r="G8501" s="109">
        <v>45926</v>
      </c>
      <c r="H8501" s="108" t="s">
        <v>25458</v>
      </c>
      <c r="I8501" s="108" t="s">
        <v>95</v>
      </c>
    </row>
    <row r="8502" spans="1:9">
      <c r="A8502" s="108" t="s">
        <v>16151</v>
      </c>
      <c r="B8502" s="108" t="s">
        <v>1805</v>
      </c>
      <c r="C8502" s="109">
        <v>44497</v>
      </c>
      <c r="D8502" s="108" t="s">
        <v>1806</v>
      </c>
      <c r="E8502" s="108" t="s">
        <v>14605</v>
      </c>
      <c r="F8502" s="108" t="s">
        <v>1803</v>
      </c>
      <c r="G8502" s="109">
        <v>45992</v>
      </c>
      <c r="H8502" s="108" t="s">
        <v>25458</v>
      </c>
      <c r="I8502" s="108" t="s">
        <v>95</v>
      </c>
    </row>
    <row r="8503" spans="1:9" ht="27.6">
      <c r="A8503" s="108" t="s">
        <v>16151</v>
      </c>
      <c r="B8503" s="108" t="s">
        <v>3912</v>
      </c>
      <c r="C8503" s="109">
        <v>44449</v>
      </c>
      <c r="D8503" s="108" t="s">
        <v>3913</v>
      </c>
      <c r="E8503" s="108" t="s">
        <v>14605</v>
      </c>
      <c r="F8503" s="108" t="s">
        <v>26675</v>
      </c>
      <c r="G8503" s="109">
        <v>46294</v>
      </c>
      <c r="H8503" s="108" t="s">
        <v>25458</v>
      </c>
      <c r="I8503" s="108" t="s">
        <v>95</v>
      </c>
    </row>
    <row r="8504" spans="1:9" ht="27.6">
      <c r="A8504" s="108" t="s">
        <v>16151</v>
      </c>
      <c r="B8504" s="108" t="s">
        <v>4290</v>
      </c>
      <c r="C8504" s="109">
        <v>44428</v>
      </c>
      <c r="D8504" s="108" t="s">
        <v>4291</v>
      </c>
      <c r="E8504" s="108" t="s">
        <v>14605</v>
      </c>
      <c r="F8504" s="108" t="s">
        <v>4276</v>
      </c>
      <c r="G8504" s="109">
        <v>45911</v>
      </c>
      <c r="H8504" s="108" t="s">
        <v>25458</v>
      </c>
      <c r="I8504" s="108" t="s">
        <v>95</v>
      </c>
    </row>
    <row r="8505" spans="1:9">
      <c r="A8505" s="108" t="s">
        <v>16151</v>
      </c>
      <c r="B8505" s="108" t="s">
        <v>3813</v>
      </c>
      <c r="C8505" s="109">
        <v>44498</v>
      </c>
      <c r="D8505" s="108" t="s">
        <v>3815</v>
      </c>
      <c r="E8505" s="108" t="s">
        <v>14605</v>
      </c>
      <c r="F8505" s="108" t="s">
        <v>3814</v>
      </c>
      <c r="G8505" s="109">
        <v>46676</v>
      </c>
      <c r="H8505" s="108" t="s">
        <v>25458</v>
      </c>
      <c r="I8505" s="108" t="s">
        <v>95</v>
      </c>
    </row>
    <row r="8506" spans="1:9">
      <c r="A8506" s="108" t="s">
        <v>16151</v>
      </c>
      <c r="B8506" s="108" t="s">
        <v>2128</v>
      </c>
      <c r="C8506" s="109">
        <v>44488</v>
      </c>
      <c r="D8506" s="108" t="s">
        <v>2129</v>
      </c>
      <c r="E8506" s="108" t="s">
        <v>14605</v>
      </c>
      <c r="F8506" s="108" t="s">
        <v>2124</v>
      </c>
      <c r="G8506" s="109">
        <v>46022</v>
      </c>
      <c r="H8506" s="108" t="s">
        <v>25458</v>
      </c>
      <c r="I8506" s="108" t="s">
        <v>95</v>
      </c>
    </row>
    <row r="8507" spans="1:9">
      <c r="A8507" s="108" t="s">
        <v>16151</v>
      </c>
      <c r="B8507" s="108" t="s">
        <v>2126</v>
      </c>
      <c r="C8507" s="109">
        <v>44488</v>
      </c>
      <c r="D8507" s="108" t="s">
        <v>2127</v>
      </c>
      <c r="E8507" s="108" t="s">
        <v>14605</v>
      </c>
      <c r="F8507" s="108" t="s">
        <v>2124</v>
      </c>
      <c r="G8507" s="109">
        <v>46022</v>
      </c>
      <c r="H8507" s="108" t="s">
        <v>25458</v>
      </c>
      <c r="I8507" s="108" t="s">
        <v>95</v>
      </c>
    </row>
    <row r="8508" spans="1:9">
      <c r="A8508" s="108" t="s">
        <v>16151</v>
      </c>
      <c r="B8508" s="108" t="s">
        <v>4415</v>
      </c>
      <c r="C8508" s="109">
        <v>44469</v>
      </c>
      <c r="D8508" s="108" t="s">
        <v>4417</v>
      </c>
      <c r="E8508" s="108" t="s">
        <v>14605</v>
      </c>
      <c r="F8508" s="108" t="s">
        <v>4416</v>
      </c>
      <c r="G8508" s="109">
        <v>45946</v>
      </c>
      <c r="H8508" s="108" t="s">
        <v>25458</v>
      </c>
      <c r="I8508" s="108" t="s">
        <v>95</v>
      </c>
    </row>
    <row r="8509" spans="1:9">
      <c r="A8509" s="108" t="s">
        <v>16151</v>
      </c>
      <c r="B8509" s="108" t="s">
        <v>3946</v>
      </c>
      <c r="C8509" s="109">
        <v>44522</v>
      </c>
      <c r="D8509" s="108" t="s">
        <v>3948</v>
      </c>
      <c r="E8509" s="108" t="s">
        <v>14605</v>
      </c>
      <c r="F8509" s="108" t="s">
        <v>3947</v>
      </c>
      <c r="G8509" s="109">
        <v>46319</v>
      </c>
      <c r="H8509" s="108" t="s">
        <v>25458</v>
      </c>
      <c r="I8509" s="108" t="s">
        <v>95</v>
      </c>
    </row>
    <row r="8510" spans="1:9">
      <c r="A8510" s="108" t="s">
        <v>16151</v>
      </c>
      <c r="B8510" s="108" t="s">
        <v>4865</v>
      </c>
      <c r="C8510" s="109">
        <v>44477</v>
      </c>
      <c r="D8510" s="108" t="s">
        <v>4866</v>
      </c>
      <c r="E8510" s="108" t="s">
        <v>14605</v>
      </c>
      <c r="F8510" s="108" t="s">
        <v>4857</v>
      </c>
      <c r="G8510" s="109">
        <v>45954</v>
      </c>
      <c r="H8510" s="108" t="s">
        <v>25458</v>
      </c>
      <c r="I8510" s="108" t="s">
        <v>95</v>
      </c>
    </row>
    <row r="8511" spans="1:9">
      <c r="A8511" s="108" t="s">
        <v>16151</v>
      </c>
      <c r="B8511" s="108" t="s">
        <v>768</v>
      </c>
      <c r="C8511" s="109">
        <v>44481</v>
      </c>
      <c r="D8511" s="108" t="s">
        <v>769</v>
      </c>
      <c r="E8511" s="108" t="s">
        <v>14605</v>
      </c>
      <c r="F8511" s="108" t="s">
        <v>766</v>
      </c>
      <c r="G8511" s="109">
        <v>45953</v>
      </c>
      <c r="H8511" s="108" t="s">
        <v>25458</v>
      </c>
      <c r="I8511" s="108" t="s">
        <v>95</v>
      </c>
    </row>
    <row r="8512" spans="1:9">
      <c r="A8512" s="108" t="s">
        <v>16151</v>
      </c>
      <c r="B8512" s="108" t="s">
        <v>4228</v>
      </c>
      <c r="C8512" s="109">
        <v>44490</v>
      </c>
      <c r="D8512" s="108" t="s">
        <v>4230</v>
      </c>
      <c r="E8512" s="108" t="s">
        <v>14605</v>
      </c>
      <c r="F8512" s="108" t="s">
        <v>4229</v>
      </c>
      <c r="G8512" s="109">
        <v>45956</v>
      </c>
      <c r="H8512" s="108" t="s">
        <v>25458</v>
      </c>
      <c r="I8512" s="108" t="s">
        <v>95</v>
      </c>
    </row>
    <row r="8513" spans="1:9" ht="27.6">
      <c r="A8513" s="108" t="s">
        <v>16151</v>
      </c>
      <c r="B8513" s="108" t="s">
        <v>2809</v>
      </c>
      <c r="C8513" s="109">
        <v>44480</v>
      </c>
      <c r="D8513" s="108" t="s">
        <v>2810</v>
      </c>
      <c r="E8513" s="108" t="s">
        <v>14605</v>
      </c>
      <c r="F8513" s="108" t="s">
        <v>2795</v>
      </c>
      <c r="G8513" s="109">
        <v>46139</v>
      </c>
      <c r="H8513" s="108" t="s">
        <v>25458</v>
      </c>
      <c r="I8513" s="108" t="s">
        <v>95</v>
      </c>
    </row>
    <row r="8514" spans="1:9">
      <c r="A8514" s="108" t="s">
        <v>16151</v>
      </c>
      <c r="B8514" s="108" t="s">
        <v>2768</v>
      </c>
      <c r="C8514" s="109">
        <v>44543</v>
      </c>
      <c r="D8514" s="108" t="s">
        <v>2769</v>
      </c>
      <c r="E8514" s="108" t="s">
        <v>14605</v>
      </c>
      <c r="F8514" s="108" t="s">
        <v>2762</v>
      </c>
      <c r="G8514" s="109">
        <v>46112</v>
      </c>
      <c r="H8514" s="108" t="s">
        <v>25458</v>
      </c>
      <c r="I8514" s="108" t="s">
        <v>95</v>
      </c>
    </row>
    <row r="8515" spans="1:9" ht="27.6">
      <c r="A8515" s="108" t="s">
        <v>16151</v>
      </c>
      <c r="B8515" s="108" t="s">
        <v>2807</v>
      </c>
      <c r="C8515" s="109">
        <v>44546</v>
      </c>
      <c r="D8515" s="108" t="s">
        <v>2808</v>
      </c>
      <c r="E8515" s="108" t="s">
        <v>14605</v>
      </c>
      <c r="F8515" s="108" t="s">
        <v>2795</v>
      </c>
      <c r="G8515" s="109">
        <v>46323</v>
      </c>
      <c r="H8515" s="108" t="s">
        <v>25458</v>
      </c>
      <c r="I8515" s="108" t="s">
        <v>95</v>
      </c>
    </row>
    <row r="8516" spans="1:9">
      <c r="A8516" s="108" t="s">
        <v>16151</v>
      </c>
      <c r="B8516" s="108" t="s">
        <v>2712</v>
      </c>
      <c r="C8516" s="109">
        <v>44491</v>
      </c>
      <c r="D8516" s="108" t="s">
        <v>2713</v>
      </c>
      <c r="E8516" s="108" t="s">
        <v>14605</v>
      </c>
      <c r="F8516" s="108" t="s">
        <v>2694</v>
      </c>
      <c r="G8516" s="109">
        <v>45966</v>
      </c>
      <c r="H8516" s="108" t="s">
        <v>25458</v>
      </c>
      <c r="I8516" s="108" t="s">
        <v>95</v>
      </c>
    </row>
    <row r="8517" spans="1:9">
      <c r="A8517" s="108" t="s">
        <v>16151</v>
      </c>
      <c r="B8517" s="108" t="s">
        <v>1236</v>
      </c>
      <c r="C8517" s="109">
        <v>44512</v>
      </c>
      <c r="D8517" s="108" t="s">
        <v>1237</v>
      </c>
      <c r="E8517" s="108" t="s">
        <v>14605</v>
      </c>
      <c r="F8517" s="108" t="s">
        <v>1228</v>
      </c>
      <c r="G8517" s="109">
        <v>45987</v>
      </c>
      <c r="H8517" s="108" t="s">
        <v>25458</v>
      </c>
      <c r="I8517" s="108" t="s">
        <v>95</v>
      </c>
    </row>
    <row r="8518" spans="1:9">
      <c r="A8518" s="108" t="s">
        <v>16151</v>
      </c>
      <c r="B8518" s="108" t="s">
        <v>1943</v>
      </c>
      <c r="C8518" s="109">
        <v>44596</v>
      </c>
      <c r="D8518" s="108" t="s">
        <v>1944</v>
      </c>
      <c r="E8518" s="108" t="s">
        <v>14605</v>
      </c>
      <c r="F8518" s="108" t="s">
        <v>1941</v>
      </c>
      <c r="G8518" s="109">
        <v>46020</v>
      </c>
      <c r="H8518" s="108" t="s">
        <v>25458</v>
      </c>
      <c r="I8518" s="108" t="s">
        <v>95</v>
      </c>
    </row>
    <row r="8519" spans="1:9">
      <c r="A8519" s="108" t="s">
        <v>16151</v>
      </c>
      <c r="B8519" s="108" t="s">
        <v>1940</v>
      </c>
      <c r="C8519" s="109">
        <v>44630</v>
      </c>
      <c r="D8519" s="108" t="s">
        <v>1942</v>
      </c>
      <c r="E8519" s="108" t="s">
        <v>14605</v>
      </c>
      <c r="F8519" s="108" t="s">
        <v>1941</v>
      </c>
      <c r="G8519" s="109">
        <v>46065</v>
      </c>
      <c r="H8519" s="108" t="s">
        <v>25458</v>
      </c>
      <c r="I8519" s="108" t="s">
        <v>95</v>
      </c>
    </row>
    <row r="8520" spans="1:9">
      <c r="A8520" s="108" t="s">
        <v>16151</v>
      </c>
      <c r="B8520" s="108" t="s">
        <v>1922</v>
      </c>
      <c r="C8520" s="109">
        <v>44636</v>
      </c>
      <c r="D8520" s="108" t="s">
        <v>1923</v>
      </c>
      <c r="E8520" s="108" t="s">
        <v>14605</v>
      </c>
      <c r="F8520" s="108" t="s">
        <v>1916</v>
      </c>
      <c r="G8520" s="109">
        <v>46216</v>
      </c>
      <c r="H8520" s="108" t="s">
        <v>25458</v>
      </c>
      <c r="I8520" s="108" t="s">
        <v>95</v>
      </c>
    </row>
    <row r="8521" spans="1:9">
      <c r="A8521" s="108" t="s">
        <v>16151</v>
      </c>
      <c r="B8521" s="108" t="s">
        <v>3591</v>
      </c>
      <c r="C8521" s="109">
        <v>44514</v>
      </c>
      <c r="D8521" s="108" t="s">
        <v>3592</v>
      </c>
      <c r="E8521" s="108" t="s">
        <v>14605</v>
      </c>
      <c r="F8521" s="108" t="s">
        <v>3587</v>
      </c>
      <c r="G8521" s="109">
        <v>46112</v>
      </c>
      <c r="H8521" s="108" t="s">
        <v>25458</v>
      </c>
      <c r="I8521" s="108" t="s">
        <v>95</v>
      </c>
    </row>
    <row r="8522" spans="1:9" ht="27.6">
      <c r="A8522" s="108" t="s">
        <v>16151</v>
      </c>
      <c r="B8522" s="108" t="s">
        <v>1980</v>
      </c>
      <c r="C8522" s="109">
        <v>44544</v>
      </c>
      <c r="D8522" s="108" t="s">
        <v>1981</v>
      </c>
      <c r="E8522" s="108" t="s">
        <v>14605</v>
      </c>
      <c r="F8522" s="108" t="s">
        <v>25541</v>
      </c>
      <c r="G8522" s="109">
        <v>46140</v>
      </c>
      <c r="H8522" s="108" t="s">
        <v>25458</v>
      </c>
      <c r="I8522" s="108" t="s">
        <v>95</v>
      </c>
    </row>
    <row r="8523" spans="1:9">
      <c r="A8523" s="108" t="s">
        <v>16151</v>
      </c>
      <c r="B8523" s="108" t="s">
        <v>3324</v>
      </c>
      <c r="C8523" s="109">
        <v>44532</v>
      </c>
      <c r="D8523" s="108" t="s">
        <v>3326</v>
      </c>
      <c r="E8523" s="108" t="s">
        <v>14605</v>
      </c>
      <c r="F8523" s="108" t="s">
        <v>3325</v>
      </c>
      <c r="G8523" s="109">
        <v>46156</v>
      </c>
      <c r="H8523" s="108" t="s">
        <v>25458</v>
      </c>
      <c r="I8523" s="108" t="s">
        <v>95</v>
      </c>
    </row>
    <row r="8524" spans="1:9" ht="27.6">
      <c r="A8524" s="108" t="s">
        <v>16151</v>
      </c>
      <c r="B8524" s="108" t="s">
        <v>1960</v>
      </c>
      <c r="C8524" s="109">
        <v>44523</v>
      </c>
      <c r="D8524" s="108" t="s">
        <v>1961</v>
      </c>
      <c r="E8524" s="108" t="s">
        <v>14605</v>
      </c>
      <c r="F8524" s="108" t="s">
        <v>25667</v>
      </c>
      <c r="G8524" s="109">
        <v>46007</v>
      </c>
      <c r="H8524" s="108" t="s">
        <v>25458</v>
      </c>
      <c r="I8524" s="108" t="s">
        <v>95</v>
      </c>
    </row>
    <row r="8525" spans="1:9" ht="27.6">
      <c r="A8525" s="108" t="s">
        <v>16149</v>
      </c>
      <c r="B8525" s="108" t="s">
        <v>5175</v>
      </c>
      <c r="C8525" s="109">
        <v>44811</v>
      </c>
      <c r="D8525" s="108" t="s">
        <v>5176</v>
      </c>
      <c r="E8525" s="108" t="s">
        <v>14605</v>
      </c>
      <c r="F8525" s="108" t="s">
        <v>5145</v>
      </c>
      <c r="G8525" s="109">
        <v>45928</v>
      </c>
      <c r="H8525" s="108" t="s">
        <v>25458</v>
      </c>
      <c r="I8525" s="108" t="s">
        <v>95</v>
      </c>
    </row>
    <row r="8526" spans="1:9">
      <c r="A8526" s="108" t="s">
        <v>16151</v>
      </c>
      <c r="B8526" s="108" t="s">
        <v>3371</v>
      </c>
      <c r="C8526" s="109">
        <v>44558</v>
      </c>
      <c r="D8526" s="108" t="s">
        <v>3372</v>
      </c>
      <c r="E8526" s="108" t="s">
        <v>14605</v>
      </c>
      <c r="F8526" s="108" t="s">
        <v>14672</v>
      </c>
      <c r="G8526" s="109">
        <v>45849</v>
      </c>
      <c r="H8526" s="108" t="s">
        <v>25458</v>
      </c>
      <c r="I8526" s="108" t="s">
        <v>95</v>
      </c>
    </row>
    <row r="8527" spans="1:9">
      <c r="A8527" s="108" t="s">
        <v>16151</v>
      </c>
      <c r="B8527" s="108" t="s">
        <v>3037</v>
      </c>
      <c r="C8527" s="109">
        <v>44572</v>
      </c>
      <c r="D8527" s="108" t="s">
        <v>3038</v>
      </c>
      <c r="E8527" s="108" t="s">
        <v>14605</v>
      </c>
      <c r="F8527" s="108" t="s">
        <v>3033</v>
      </c>
      <c r="G8527" s="109">
        <v>45930</v>
      </c>
      <c r="H8527" s="108" t="s">
        <v>25458</v>
      </c>
      <c r="I8527" s="108" t="s">
        <v>95</v>
      </c>
    </row>
    <row r="8528" spans="1:9">
      <c r="A8528" s="108" t="s">
        <v>16151</v>
      </c>
      <c r="B8528" s="108" t="s">
        <v>1350</v>
      </c>
      <c r="C8528" s="109">
        <v>44553</v>
      </c>
      <c r="D8528" s="108" t="s">
        <v>1351</v>
      </c>
      <c r="E8528" s="108" t="s">
        <v>14605</v>
      </c>
      <c r="F8528" s="108" t="s">
        <v>1338</v>
      </c>
      <c r="G8528" s="109">
        <v>45900</v>
      </c>
      <c r="H8528" s="108" t="s">
        <v>25458</v>
      </c>
      <c r="I8528" s="108" t="s">
        <v>95</v>
      </c>
    </row>
    <row r="8529" spans="1:9">
      <c r="A8529" s="108" t="s">
        <v>16151</v>
      </c>
      <c r="B8529" s="108" t="s">
        <v>1348</v>
      </c>
      <c r="C8529" s="109">
        <v>44578</v>
      </c>
      <c r="D8529" s="108" t="s">
        <v>1349</v>
      </c>
      <c r="E8529" s="108" t="s">
        <v>14605</v>
      </c>
      <c r="F8529" s="108" t="s">
        <v>1338</v>
      </c>
      <c r="G8529" s="109">
        <v>46034</v>
      </c>
      <c r="H8529" s="108" t="s">
        <v>25458</v>
      </c>
      <c r="I8529" s="108" t="s">
        <v>95</v>
      </c>
    </row>
    <row r="8530" spans="1:9" ht="27.6">
      <c r="A8530" s="108" t="s">
        <v>16151</v>
      </c>
      <c r="B8530" s="108" t="s">
        <v>4286</v>
      </c>
      <c r="C8530" s="109">
        <v>44589</v>
      </c>
      <c r="D8530" s="108" t="s">
        <v>4287</v>
      </c>
      <c r="E8530" s="108" t="s">
        <v>14605</v>
      </c>
      <c r="F8530" s="108" t="s">
        <v>4276</v>
      </c>
      <c r="G8530" s="109">
        <v>46403</v>
      </c>
      <c r="H8530" s="108" t="s">
        <v>25458</v>
      </c>
      <c r="I8530" s="108" t="s">
        <v>95</v>
      </c>
    </row>
    <row r="8531" spans="1:9">
      <c r="A8531" s="108" t="s">
        <v>16151</v>
      </c>
      <c r="B8531" s="108" t="s">
        <v>1661</v>
      </c>
      <c r="C8531" s="109">
        <v>44622</v>
      </c>
      <c r="D8531" s="108" t="s">
        <v>1662</v>
      </c>
      <c r="E8531" s="108" t="s">
        <v>14605</v>
      </c>
      <c r="F8531" s="108" t="s">
        <v>24998</v>
      </c>
      <c r="G8531" s="109">
        <v>45677</v>
      </c>
      <c r="H8531" s="108" t="s">
        <v>25458</v>
      </c>
      <c r="I8531" s="108" t="s">
        <v>95</v>
      </c>
    </row>
    <row r="8532" spans="1:9">
      <c r="A8532" s="108" t="s">
        <v>16151</v>
      </c>
      <c r="B8532" s="108" t="s">
        <v>4765</v>
      </c>
      <c r="C8532" s="109">
        <v>44573</v>
      </c>
      <c r="D8532" s="108" t="s">
        <v>4766</v>
      </c>
      <c r="E8532" s="108" t="s">
        <v>14605</v>
      </c>
      <c r="F8532" s="108" t="s">
        <v>4763</v>
      </c>
      <c r="G8532" s="109">
        <v>46199</v>
      </c>
      <c r="H8532" s="108" t="s">
        <v>25458</v>
      </c>
      <c r="I8532" s="108" t="s">
        <v>95</v>
      </c>
    </row>
    <row r="8533" spans="1:9">
      <c r="A8533" s="108" t="s">
        <v>16151</v>
      </c>
      <c r="B8533" s="108" t="s">
        <v>2733</v>
      </c>
      <c r="C8533" s="109">
        <v>44634</v>
      </c>
      <c r="D8533" s="108" t="s">
        <v>2734</v>
      </c>
      <c r="E8533" s="108" t="s">
        <v>14605</v>
      </c>
      <c r="F8533" s="108" t="s">
        <v>2725</v>
      </c>
      <c r="G8533" s="109">
        <v>46065</v>
      </c>
      <c r="H8533" s="108" t="s">
        <v>25458</v>
      </c>
      <c r="I8533" s="108" t="s">
        <v>95</v>
      </c>
    </row>
    <row r="8534" spans="1:9">
      <c r="A8534" s="108" t="s">
        <v>16151</v>
      </c>
      <c r="B8534" s="108" t="s">
        <v>1557</v>
      </c>
      <c r="C8534" s="109">
        <v>44594</v>
      </c>
      <c r="D8534" s="108" t="s">
        <v>1558</v>
      </c>
      <c r="E8534" s="108" t="s">
        <v>14605</v>
      </c>
      <c r="F8534" s="108" t="s">
        <v>26624</v>
      </c>
      <c r="G8534" s="109">
        <v>46065</v>
      </c>
      <c r="H8534" s="108" t="s">
        <v>25458</v>
      </c>
      <c r="I8534" s="108" t="s">
        <v>95</v>
      </c>
    </row>
    <row r="8535" spans="1:9">
      <c r="A8535" s="108" t="s">
        <v>16151</v>
      </c>
      <c r="B8535" s="108" t="s">
        <v>2731</v>
      </c>
      <c r="C8535" s="109">
        <v>44673</v>
      </c>
      <c r="D8535" s="108" t="s">
        <v>2732</v>
      </c>
      <c r="E8535" s="108" t="s">
        <v>14605</v>
      </c>
      <c r="F8535" s="108" t="s">
        <v>2725</v>
      </c>
      <c r="G8535" s="109">
        <v>46065</v>
      </c>
      <c r="H8535" s="108" t="s">
        <v>25458</v>
      </c>
      <c r="I8535" s="108" t="s">
        <v>95</v>
      </c>
    </row>
    <row r="8536" spans="1:9" ht="27.6">
      <c r="A8536" s="108" t="s">
        <v>16151</v>
      </c>
      <c r="B8536" s="108" t="s">
        <v>4478</v>
      </c>
      <c r="C8536" s="109">
        <v>44586</v>
      </c>
      <c r="D8536" s="108" t="s">
        <v>4479</v>
      </c>
      <c r="E8536" s="108" t="s">
        <v>14605</v>
      </c>
      <c r="F8536" s="108" t="s">
        <v>4476</v>
      </c>
      <c r="G8536" s="109">
        <v>46093</v>
      </c>
      <c r="H8536" s="108" t="s">
        <v>25458</v>
      </c>
      <c r="I8536" s="108" t="s">
        <v>95</v>
      </c>
    </row>
    <row r="8537" spans="1:9" ht="27.6">
      <c r="A8537" s="108" t="s">
        <v>16151</v>
      </c>
      <c r="B8537" s="108" t="s">
        <v>2941</v>
      </c>
      <c r="C8537" s="109">
        <v>44616</v>
      </c>
      <c r="D8537" s="108" t="s">
        <v>2942</v>
      </c>
      <c r="E8537" s="108" t="s">
        <v>14605</v>
      </c>
      <c r="F8537" s="108" t="s">
        <v>2939</v>
      </c>
      <c r="G8537" s="109">
        <v>46081</v>
      </c>
      <c r="H8537" s="108" t="s">
        <v>25458</v>
      </c>
      <c r="I8537" s="108" t="s">
        <v>95</v>
      </c>
    </row>
    <row r="8538" spans="1:9" ht="27.6">
      <c r="A8538" s="108" t="s">
        <v>16151</v>
      </c>
      <c r="B8538" s="108" t="s">
        <v>2235</v>
      </c>
      <c r="C8538" s="109">
        <v>44601</v>
      </c>
      <c r="D8538" s="108" t="s">
        <v>2237</v>
      </c>
      <c r="E8538" s="108" t="s">
        <v>14605</v>
      </c>
      <c r="F8538" s="108" t="s">
        <v>2236</v>
      </c>
      <c r="G8538" s="109">
        <v>46186</v>
      </c>
      <c r="H8538" s="108" t="s">
        <v>25458</v>
      </c>
      <c r="I8538" s="108" t="s">
        <v>95</v>
      </c>
    </row>
    <row r="8539" spans="1:9">
      <c r="A8539" s="108" t="s">
        <v>16151</v>
      </c>
      <c r="B8539" s="108" t="s">
        <v>1920</v>
      </c>
      <c r="C8539" s="109">
        <v>44636</v>
      </c>
      <c r="D8539" s="108" t="s">
        <v>1921</v>
      </c>
      <c r="E8539" s="108" t="s">
        <v>14605</v>
      </c>
      <c r="F8539" s="108" t="s">
        <v>1916</v>
      </c>
      <c r="G8539" s="109">
        <v>46216</v>
      </c>
      <c r="H8539" s="108" t="s">
        <v>25458</v>
      </c>
      <c r="I8539" s="108" t="s">
        <v>95</v>
      </c>
    </row>
    <row r="8540" spans="1:9">
      <c r="A8540" s="108" t="s">
        <v>16151</v>
      </c>
      <c r="B8540" s="108" t="s">
        <v>1918</v>
      </c>
      <c r="C8540" s="109">
        <v>44636</v>
      </c>
      <c r="D8540" s="108" t="s">
        <v>1919</v>
      </c>
      <c r="E8540" s="108" t="s">
        <v>14605</v>
      </c>
      <c r="F8540" s="108" t="s">
        <v>1916</v>
      </c>
      <c r="G8540" s="109">
        <v>46216</v>
      </c>
      <c r="H8540" s="108" t="s">
        <v>25458</v>
      </c>
      <c r="I8540" s="108" t="s">
        <v>95</v>
      </c>
    </row>
    <row r="8541" spans="1:9" ht="27.6">
      <c r="A8541" s="108" t="s">
        <v>16151</v>
      </c>
      <c r="B8541" s="108" t="s">
        <v>2938</v>
      </c>
      <c r="C8541" s="109">
        <v>44620</v>
      </c>
      <c r="D8541" s="108" t="s">
        <v>2940</v>
      </c>
      <c r="E8541" s="108" t="s">
        <v>14605</v>
      </c>
      <c r="F8541" s="108" t="s">
        <v>2939</v>
      </c>
      <c r="G8541" s="109">
        <v>46081</v>
      </c>
      <c r="H8541" s="108" t="s">
        <v>25458</v>
      </c>
      <c r="I8541" s="108" t="s">
        <v>95</v>
      </c>
    </row>
    <row r="8542" spans="1:9">
      <c r="A8542" s="108" t="s">
        <v>16151</v>
      </c>
      <c r="B8542" s="108" t="s">
        <v>1417</v>
      </c>
      <c r="C8542" s="109">
        <v>44620</v>
      </c>
      <c r="D8542" s="108" t="s">
        <v>1419</v>
      </c>
      <c r="E8542" s="108" t="s">
        <v>14605</v>
      </c>
      <c r="F8542" s="108" t="s">
        <v>1418</v>
      </c>
      <c r="G8542" s="109">
        <v>46461</v>
      </c>
      <c r="H8542" s="108" t="s">
        <v>25458</v>
      </c>
      <c r="I8542" s="108" t="s">
        <v>95</v>
      </c>
    </row>
    <row r="8543" spans="1:9">
      <c r="A8543" s="108" t="s">
        <v>16151</v>
      </c>
      <c r="B8543" s="108" t="s">
        <v>684</v>
      </c>
      <c r="C8543" s="109">
        <v>44628</v>
      </c>
      <c r="D8543" s="108" t="s">
        <v>685</v>
      </c>
      <c r="E8543" s="108" t="s">
        <v>14605</v>
      </c>
      <c r="F8543" s="108" t="s">
        <v>682</v>
      </c>
      <c r="G8543" s="109">
        <v>46022</v>
      </c>
      <c r="H8543" s="108" t="s">
        <v>25458</v>
      </c>
      <c r="I8543" s="108" t="s">
        <v>95</v>
      </c>
    </row>
    <row r="8544" spans="1:9">
      <c r="A8544" s="108" t="s">
        <v>16151</v>
      </c>
      <c r="B8544" s="108" t="s">
        <v>5054</v>
      </c>
      <c r="C8544" s="109">
        <v>44664</v>
      </c>
      <c r="D8544" s="108" t="s">
        <v>5055</v>
      </c>
      <c r="E8544" s="108" t="s">
        <v>14605</v>
      </c>
      <c r="F8544" s="108" t="s">
        <v>5052</v>
      </c>
      <c r="G8544" s="109">
        <v>46141</v>
      </c>
      <c r="H8544" s="108" t="s">
        <v>25458</v>
      </c>
      <c r="I8544" s="108" t="s">
        <v>95</v>
      </c>
    </row>
    <row r="8545" spans="1:9">
      <c r="A8545" s="108" t="s">
        <v>16151</v>
      </c>
      <c r="B8545" s="108" t="s">
        <v>1293</v>
      </c>
      <c r="C8545" s="109">
        <v>44648</v>
      </c>
      <c r="D8545" s="108" t="s">
        <v>1295</v>
      </c>
      <c r="E8545" s="108" t="s">
        <v>14605</v>
      </c>
      <c r="F8545" s="108" t="s">
        <v>1294</v>
      </c>
      <c r="G8545" s="109">
        <v>46105</v>
      </c>
      <c r="H8545" s="108" t="s">
        <v>25458</v>
      </c>
      <c r="I8545" s="108" t="s">
        <v>95</v>
      </c>
    </row>
    <row r="8546" spans="1:9">
      <c r="A8546" s="108" t="s">
        <v>16151</v>
      </c>
      <c r="B8546" s="108" t="s">
        <v>3198</v>
      </c>
      <c r="C8546" s="109">
        <v>44648</v>
      </c>
      <c r="D8546" s="108" t="s">
        <v>3200</v>
      </c>
      <c r="E8546" s="108" t="s">
        <v>14605</v>
      </c>
      <c r="F8546" s="108" t="s">
        <v>3199</v>
      </c>
      <c r="G8546" s="109">
        <v>46836</v>
      </c>
      <c r="H8546" s="108" t="s">
        <v>25458</v>
      </c>
      <c r="I8546" s="108" t="s">
        <v>95</v>
      </c>
    </row>
    <row r="8547" spans="1:9" ht="27.6">
      <c r="A8547" s="108" t="s">
        <v>16151</v>
      </c>
      <c r="B8547" s="108" t="s">
        <v>965</v>
      </c>
      <c r="C8547" s="109">
        <v>44635</v>
      </c>
      <c r="D8547" s="108" t="s">
        <v>967</v>
      </c>
      <c r="E8547" s="108" t="s">
        <v>14605</v>
      </c>
      <c r="F8547" s="108" t="s">
        <v>966</v>
      </c>
      <c r="G8547" s="109">
        <v>46200</v>
      </c>
      <c r="H8547" s="108" t="s">
        <v>25458</v>
      </c>
      <c r="I8547" s="108" t="s">
        <v>95</v>
      </c>
    </row>
    <row r="8548" spans="1:9">
      <c r="A8548" s="108" t="s">
        <v>16151</v>
      </c>
      <c r="B8548" s="108" t="s">
        <v>2233</v>
      </c>
      <c r="C8548" s="109">
        <v>44630</v>
      </c>
      <c r="D8548" s="108" t="s">
        <v>2234</v>
      </c>
      <c r="E8548" s="108" t="s">
        <v>14605</v>
      </c>
      <c r="F8548" s="108" t="s">
        <v>25602</v>
      </c>
      <c r="G8548" s="109">
        <v>46112</v>
      </c>
      <c r="H8548" s="108" t="s">
        <v>25458</v>
      </c>
      <c r="I8548" s="108" t="s">
        <v>95</v>
      </c>
    </row>
    <row r="8549" spans="1:9" ht="27.6">
      <c r="A8549" s="108" t="s">
        <v>16151</v>
      </c>
      <c r="B8549" s="108" t="s">
        <v>1968</v>
      </c>
      <c r="C8549" s="109">
        <v>44702</v>
      </c>
      <c r="D8549" s="108" t="s">
        <v>1969</v>
      </c>
      <c r="E8549" s="108" t="s">
        <v>14605</v>
      </c>
      <c r="F8549" s="108" t="s">
        <v>16674</v>
      </c>
      <c r="G8549" s="109">
        <v>46120</v>
      </c>
      <c r="H8549" s="108" t="s">
        <v>25458</v>
      </c>
      <c r="I8549" s="108" t="s">
        <v>95</v>
      </c>
    </row>
    <row r="8550" spans="1:9">
      <c r="A8550" s="108" t="s">
        <v>16151</v>
      </c>
      <c r="B8550" s="108" t="s">
        <v>2003</v>
      </c>
      <c r="C8550" s="109">
        <v>44651</v>
      </c>
      <c r="D8550" s="108" t="s">
        <v>2005</v>
      </c>
      <c r="E8550" s="108" t="s">
        <v>14605</v>
      </c>
      <c r="F8550" s="108" t="s">
        <v>2004</v>
      </c>
      <c r="G8550" s="109">
        <v>46122</v>
      </c>
      <c r="H8550" s="108" t="s">
        <v>25458</v>
      </c>
      <c r="I8550" s="108" t="s">
        <v>95</v>
      </c>
    </row>
    <row r="8551" spans="1:9">
      <c r="A8551" s="108" t="s">
        <v>16151</v>
      </c>
      <c r="B8551" s="108" t="s">
        <v>3472</v>
      </c>
      <c r="C8551" s="109">
        <v>44848</v>
      </c>
      <c r="D8551" s="108" t="s">
        <v>3474</v>
      </c>
      <c r="E8551" s="108" t="s">
        <v>14605</v>
      </c>
      <c r="F8551" s="108" t="s">
        <v>3473</v>
      </c>
      <c r="G8551" s="109">
        <v>45900</v>
      </c>
      <c r="H8551" s="108" t="s">
        <v>25558</v>
      </c>
      <c r="I8551" s="108" t="s">
        <v>95</v>
      </c>
    </row>
    <row r="8552" spans="1:9" ht="27.6">
      <c r="A8552" s="108" t="s">
        <v>16151</v>
      </c>
      <c r="B8552" s="108" t="s">
        <v>697</v>
      </c>
      <c r="C8552" s="109">
        <v>44662</v>
      </c>
      <c r="D8552" s="108" t="s">
        <v>698</v>
      </c>
      <c r="E8552" s="108" t="s">
        <v>14605</v>
      </c>
      <c r="F8552" s="108" t="s">
        <v>691</v>
      </c>
      <c r="G8552" s="109">
        <v>46022</v>
      </c>
      <c r="H8552" s="108" t="s">
        <v>25558</v>
      </c>
      <c r="I8552" s="108" t="s">
        <v>95</v>
      </c>
    </row>
    <row r="8553" spans="1:9" ht="27.6">
      <c r="A8553" s="108" t="s">
        <v>16151</v>
      </c>
      <c r="B8553" s="108" t="s">
        <v>2805</v>
      </c>
      <c r="C8553" s="109">
        <v>44651</v>
      </c>
      <c r="D8553" s="108" t="s">
        <v>2806</v>
      </c>
      <c r="E8553" s="108" t="s">
        <v>14605</v>
      </c>
      <c r="F8553" s="108" t="s">
        <v>2795</v>
      </c>
      <c r="G8553" s="109">
        <v>46134</v>
      </c>
      <c r="H8553" s="108" t="s">
        <v>25458</v>
      </c>
      <c r="I8553" s="108" t="s">
        <v>95</v>
      </c>
    </row>
    <row r="8554" spans="1:9">
      <c r="A8554" s="108" t="s">
        <v>16151</v>
      </c>
      <c r="B8554" s="108" t="s">
        <v>3570</v>
      </c>
      <c r="C8554" s="109">
        <v>44667</v>
      </c>
      <c r="D8554" s="108" t="s">
        <v>3571</v>
      </c>
      <c r="E8554" s="108" t="s">
        <v>14605</v>
      </c>
      <c r="F8554" s="108" t="s">
        <v>15303</v>
      </c>
      <c r="G8554" s="109">
        <v>46132</v>
      </c>
      <c r="H8554" s="108" t="s">
        <v>25458</v>
      </c>
      <c r="I8554" s="108" t="s">
        <v>95</v>
      </c>
    </row>
    <row r="8555" spans="1:9">
      <c r="A8555" s="108" t="s">
        <v>16151</v>
      </c>
      <c r="B8555" s="108" t="s">
        <v>1915</v>
      </c>
      <c r="C8555" s="109">
        <v>44636</v>
      </c>
      <c r="D8555" s="108" t="s">
        <v>1917</v>
      </c>
      <c r="E8555" s="108" t="s">
        <v>14605</v>
      </c>
      <c r="F8555" s="108" t="s">
        <v>1916</v>
      </c>
      <c r="G8555" s="109">
        <v>46186</v>
      </c>
      <c r="H8555" s="108" t="s">
        <v>25458</v>
      </c>
      <c r="I8555" s="108" t="s">
        <v>95</v>
      </c>
    </row>
    <row r="8556" spans="1:9" ht="27.6">
      <c r="A8556" s="108" t="s">
        <v>16151</v>
      </c>
      <c r="B8556" s="108" t="s">
        <v>2803</v>
      </c>
      <c r="C8556" s="109">
        <v>44663</v>
      </c>
      <c r="D8556" s="108" t="s">
        <v>2804</v>
      </c>
      <c r="E8556" s="108" t="s">
        <v>14605</v>
      </c>
      <c r="F8556" s="108" t="s">
        <v>2795</v>
      </c>
      <c r="G8556" s="109">
        <v>46134</v>
      </c>
      <c r="H8556" s="108" t="s">
        <v>25458</v>
      </c>
      <c r="I8556" s="108" t="s">
        <v>95</v>
      </c>
    </row>
    <row r="8557" spans="1:9">
      <c r="A8557" s="108" t="s">
        <v>16151</v>
      </c>
      <c r="B8557" s="108" t="s">
        <v>4740</v>
      </c>
      <c r="C8557" s="109">
        <v>44811</v>
      </c>
      <c r="D8557" s="108" t="s">
        <v>4741</v>
      </c>
      <c r="E8557" s="108" t="s">
        <v>14605</v>
      </c>
      <c r="F8557" s="108" t="s">
        <v>4732</v>
      </c>
      <c r="G8557" s="109">
        <v>45906</v>
      </c>
      <c r="H8557" s="108" t="s">
        <v>25558</v>
      </c>
      <c r="I8557" s="108" t="s">
        <v>95</v>
      </c>
    </row>
    <row r="8558" spans="1:9">
      <c r="A8558" s="108" t="s">
        <v>16151</v>
      </c>
      <c r="B8558" s="108" t="s">
        <v>1906</v>
      </c>
      <c r="C8558" s="109">
        <v>44733</v>
      </c>
      <c r="D8558" s="108" t="s">
        <v>1908</v>
      </c>
      <c r="E8558" s="108" t="s">
        <v>14605</v>
      </c>
      <c r="F8558" s="108" t="s">
        <v>1907</v>
      </c>
      <c r="G8558" s="109">
        <v>46217</v>
      </c>
      <c r="H8558" s="108" t="s">
        <v>25458</v>
      </c>
      <c r="I8558" s="108" t="s">
        <v>95</v>
      </c>
    </row>
    <row r="8559" spans="1:9">
      <c r="A8559" s="108" t="s">
        <v>16151</v>
      </c>
      <c r="B8559" s="108" t="s">
        <v>903</v>
      </c>
      <c r="C8559" s="109">
        <v>44674</v>
      </c>
      <c r="D8559" s="108" t="s">
        <v>905</v>
      </c>
      <c r="E8559" s="108" t="s">
        <v>14605</v>
      </c>
      <c r="F8559" s="108" t="s">
        <v>904</v>
      </c>
      <c r="G8559" s="109">
        <v>46145</v>
      </c>
      <c r="H8559" s="108" t="s">
        <v>25458</v>
      </c>
      <c r="I8559" s="108" t="s">
        <v>95</v>
      </c>
    </row>
    <row r="8560" spans="1:9">
      <c r="A8560" s="108" t="s">
        <v>16151</v>
      </c>
      <c r="B8560" s="108" t="s">
        <v>3526</v>
      </c>
      <c r="C8560" s="109">
        <v>44694</v>
      </c>
      <c r="D8560" s="108" t="s">
        <v>3527</v>
      </c>
      <c r="E8560" s="108" t="s">
        <v>14605</v>
      </c>
      <c r="F8560" s="108" t="s">
        <v>3522</v>
      </c>
      <c r="G8560" s="109">
        <v>46169</v>
      </c>
      <c r="H8560" s="108" t="s">
        <v>25458</v>
      </c>
      <c r="I8560" s="108" t="s">
        <v>95</v>
      </c>
    </row>
    <row r="8561" spans="1:9" ht="27.6">
      <c r="A8561" s="108" t="s">
        <v>16151</v>
      </c>
      <c r="B8561" s="108" t="s">
        <v>695</v>
      </c>
      <c r="C8561" s="109">
        <v>44707</v>
      </c>
      <c r="D8561" s="108" t="s">
        <v>696</v>
      </c>
      <c r="E8561" s="108" t="s">
        <v>14605</v>
      </c>
      <c r="F8561" s="108" t="s">
        <v>691</v>
      </c>
      <c r="G8561" s="109">
        <v>46168</v>
      </c>
      <c r="H8561" s="108" t="s">
        <v>25458</v>
      </c>
      <c r="I8561" s="108" t="s">
        <v>95</v>
      </c>
    </row>
    <row r="8562" spans="1:9">
      <c r="A8562" s="108" t="s">
        <v>16151</v>
      </c>
      <c r="B8562" s="108" t="s">
        <v>4485</v>
      </c>
      <c r="C8562" s="109">
        <v>44698</v>
      </c>
      <c r="D8562" s="108" t="s">
        <v>4487</v>
      </c>
      <c r="E8562" s="108" t="s">
        <v>14605</v>
      </c>
      <c r="F8562" s="108" t="s">
        <v>4486</v>
      </c>
      <c r="G8562" s="109">
        <v>45790</v>
      </c>
      <c r="H8562" s="108" t="s">
        <v>25558</v>
      </c>
      <c r="I8562" s="108" t="s">
        <v>95</v>
      </c>
    </row>
    <row r="8563" spans="1:9">
      <c r="A8563" s="108" t="s">
        <v>16151</v>
      </c>
      <c r="B8563" s="108" t="s">
        <v>3221</v>
      </c>
      <c r="C8563" s="109">
        <v>44701</v>
      </c>
      <c r="D8563" s="108" t="s">
        <v>3222</v>
      </c>
      <c r="E8563" s="108" t="s">
        <v>14605</v>
      </c>
      <c r="F8563" s="108" t="s">
        <v>3219</v>
      </c>
      <c r="G8563" s="109">
        <v>46387</v>
      </c>
      <c r="H8563" s="108" t="s">
        <v>25458</v>
      </c>
      <c r="I8563" s="108" t="s">
        <v>95</v>
      </c>
    </row>
    <row r="8564" spans="1:9">
      <c r="A8564" s="108" t="s">
        <v>16151</v>
      </c>
      <c r="B8564" s="108" t="s">
        <v>26676</v>
      </c>
      <c r="C8564" s="109">
        <v>44848</v>
      </c>
      <c r="D8564" s="108" t="s">
        <v>26677</v>
      </c>
      <c r="E8564" s="108" t="s">
        <v>14605</v>
      </c>
      <c r="F8564" s="108" t="s">
        <v>14764</v>
      </c>
      <c r="G8564" s="109">
        <v>45564</v>
      </c>
      <c r="H8564" s="108" t="s">
        <v>25458</v>
      </c>
      <c r="I8564" s="108" t="s">
        <v>95</v>
      </c>
    </row>
    <row r="8565" spans="1:9">
      <c r="A8565" s="108" t="s">
        <v>16151</v>
      </c>
      <c r="B8565" s="108" t="s">
        <v>2710</v>
      </c>
      <c r="C8565" s="109">
        <v>44723</v>
      </c>
      <c r="D8565" s="108" t="s">
        <v>2711</v>
      </c>
      <c r="E8565" s="108" t="s">
        <v>14605</v>
      </c>
      <c r="F8565" s="108" t="s">
        <v>2694</v>
      </c>
      <c r="G8565" s="109">
        <v>46022</v>
      </c>
      <c r="H8565" s="108" t="s">
        <v>25558</v>
      </c>
      <c r="I8565" s="108" t="s">
        <v>95</v>
      </c>
    </row>
    <row r="8566" spans="1:9">
      <c r="A8566" s="108" t="s">
        <v>16151</v>
      </c>
      <c r="B8566" s="108" t="s">
        <v>3669</v>
      </c>
      <c r="C8566" s="109">
        <v>44712</v>
      </c>
      <c r="D8566" s="108" t="s">
        <v>3671</v>
      </c>
      <c r="E8566" s="108" t="s">
        <v>14605</v>
      </c>
      <c r="F8566" s="108" t="s">
        <v>3670</v>
      </c>
      <c r="G8566" s="109">
        <v>46185</v>
      </c>
      <c r="H8566" s="108" t="s">
        <v>25558</v>
      </c>
      <c r="I8566" s="108" t="s">
        <v>95</v>
      </c>
    </row>
    <row r="8567" spans="1:9">
      <c r="A8567" s="108" t="s">
        <v>16151</v>
      </c>
      <c r="B8567" s="108" t="s">
        <v>150</v>
      </c>
      <c r="C8567" s="109">
        <v>44719</v>
      </c>
      <c r="D8567" s="108" t="s">
        <v>152</v>
      </c>
      <c r="E8567" s="108" t="s">
        <v>14605</v>
      </c>
      <c r="F8567" s="108" t="s">
        <v>151</v>
      </c>
      <c r="G8567" s="109">
        <v>46050</v>
      </c>
      <c r="H8567" s="108" t="s">
        <v>25458</v>
      </c>
      <c r="I8567" s="108" t="s">
        <v>95</v>
      </c>
    </row>
    <row r="8568" spans="1:9" ht="27.6">
      <c r="A8568" s="108" t="s">
        <v>16151</v>
      </c>
      <c r="B8568" s="108" t="s">
        <v>4845</v>
      </c>
      <c r="C8568" s="109">
        <v>44782</v>
      </c>
      <c r="D8568" s="108" t="s">
        <v>4847</v>
      </c>
      <c r="E8568" s="108" t="s">
        <v>14605</v>
      </c>
      <c r="F8568" s="108" t="s">
        <v>4846</v>
      </c>
      <c r="G8568" s="109">
        <v>45832</v>
      </c>
      <c r="H8568" s="108" t="s">
        <v>25458</v>
      </c>
      <c r="I8568" s="108" t="s">
        <v>95</v>
      </c>
    </row>
    <row r="8569" spans="1:9">
      <c r="A8569" s="108" t="s">
        <v>16151</v>
      </c>
      <c r="B8569" s="108" t="s">
        <v>3626</v>
      </c>
      <c r="C8569" s="109">
        <v>44720</v>
      </c>
      <c r="D8569" s="108" t="s">
        <v>3627</v>
      </c>
      <c r="E8569" s="108" t="s">
        <v>14605</v>
      </c>
      <c r="F8569" s="108" t="s">
        <v>3620</v>
      </c>
      <c r="G8569" s="109">
        <v>46088</v>
      </c>
      <c r="H8569" s="108" t="s">
        <v>25458</v>
      </c>
      <c r="I8569" s="108" t="s">
        <v>95</v>
      </c>
    </row>
    <row r="8570" spans="1:9">
      <c r="A8570" s="108" t="s">
        <v>16151</v>
      </c>
      <c r="B8570" s="108" t="s">
        <v>3369</v>
      </c>
      <c r="C8570" s="109">
        <v>44731</v>
      </c>
      <c r="D8570" s="108" t="s">
        <v>3370</v>
      </c>
      <c r="E8570" s="108" t="s">
        <v>14605</v>
      </c>
      <c r="F8570" s="108" t="s">
        <v>14672</v>
      </c>
      <c r="G8570" s="109">
        <v>45849</v>
      </c>
      <c r="H8570" s="108" t="s">
        <v>25458</v>
      </c>
      <c r="I8570" s="108" t="s">
        <v>95</v>
      </c>
    </row>
    <row r="8571" spans="1:9">
      <c r="A8571" s="108" t="s">
        <v>16151</v>
      </c>
      <c r="B8571" s="108" t="s">
        <v>5173</v>
      </c>
      <c r="C8571" s="109">
        <v>44761</v>
      </c>
      <c r="D8571" s="108" t="s">
        <v>5174</v>
      </c>
      <c r="E8571" s="108" t="s">
        <v>14605</v>
      </c>
      <c r="F8571" s="108" t="s">
        <v>5145</v>
      </c>
      <c r="G8571" s="109">
        <v>46215</v>
      </c>
      <c r="H8571" s="108" t="s">
        <v>25458</v>
      </c>
      <c r="I8571" s="108" t="s">
        <v>95</v>
      </c>
    </row>
    <row r="8572" spans="1:9">
      <c r="A8572" s="108" t="s">
        <v>16151</v>
      </c>
      <c r="B8572" s="108" t="s">
        <v>2708</v>
      </c>
      <c r="C8572" s="109">
        <v>44749</v>
      </c>
      <c r="D8572" s="108" t="s">
        <v>2709</v>
      </c>
      <c r="E8572" s="108" t="s">
        <v>14605</v>
      </c>
      <c r="F8572" s="108" t="s">
        <v>2694</v>
      </c>
      <c r="G8572" s="109">
        <v>46022</v>
      </c>
      <c r="H8572" s="108" t="s">
        <v>25458</v>
      </c>
      <c r="I8572" s="108" t="s">
        <v>95</v>
      </c>
    </row>
    <row r="8573" spans="1:9" ht="27.6">
      <c r="A8573" s="108" t="s">
        <v>16151</v>
      </c>
      <c r="B8573" s="108" t="s">
        <v>2943</v>
      </c>
      <c r="C8573" s="109">
        <v>44742</v>
      </c>
      <c r="D8573" s="108" t="s">
        <v>2944</v>
      </c>
      <c r="E8573" s="108" t="s">
        <v>14605</v>
      </c>
      <c r="F8573" s="108" t="s">
        <v>25765</v>
      </c>
      <c r="G8573" s="109">
        <v>46584</v>
      </c>
      <c r="H8573" s="108" t="s">
        <v>25458</v>
      </c>
      <c r="I8573" s="108" t="s">
        <v>95</v>
      </c>
    </row>
    <row r="8574" spans="1:9">
      <c r="A8574" s="108" t="s">
        <v>16151</v>
      </c>
      <c r="B8574" s="108" t="s">
        <v>3524</v>
      </c>
      <c r="C8574" s="109">
        <v>44742</v>
      </c>
      <c r="D8574" s="108" t="s">
        <v>3525</v>
      </c>
      <c r="E8574" s="108" t="s">
        <v>14605</v>
      </c>
      <c r="F8574" s="108" t="s">
        <v>3522</v>
      </c>
      <c r="G8574" s="109">
        <v>46219</v>
      </c>
      <c r="H8574" s="108" t="s">
        <v>25458</v>
      </c>
      <c r="I8574" s="108" t="s">
        <v>95</v>
      </c>
    </row>
    <row r="8575" spans="1:9">
      <c r="A8575" s="108" t="s">
        <v>16151</v>
      </c>
      <c r="B8575" s="108" t="s">
        <v>1076</v>
      </c>
      <c r="C8575" s="109">
        <v>44741</v>
      </c>
      <c r="D8575" s="108" t="s">
        <v>1078</v>
      </c>
      <c r="E8575" s="108" t="s">
        <v>14605</v>
      </c>
      <c r="F8575" s="108" t="s">
        <v>1077</v>
      </c>
      <c r="G8575" s="109">
        <v>46219</v>
      </c>
      <c r="H8575" s="108" t="s">
        <v>25458</v>
      </c>
      <c r="I8575" s="108" t="s">
        <v>95</v>
      </c>
    </row>
    <row r="8576" spans="1:9">
      <c r="A8576" s="108" t="s">
        <v>16151</v>
      </c>
      <c r="B8576" s="108" t="s">
        <v>1673</v>
      </c>
      <c r="C8576" s="109">
        <v>44732</v>
      </c>
      <c r="D8576" s="108" t="s">
        <v>1674</v>
      </c>
      <c r="E8576" s="108" t="s">
        <v>14605</v>
      </c>
      <c r="F8576" s="108" t="s">
        <v>1671</v>
      </c>
      <c r="G8576" s="109">
        <v>46199</v>
      </c>
      <c r="H8576" s="108" t="s">
        <v>25458</v>
      </c>
      <c r="I8576" s="108" t="s">
        <v>95</v>
      </c>
    </row>
    <row r="8577" spans="1:9">
      <c r="A8577" s="108" t="s">
        <v>16151</v>
      </c>
      <c r="B8577" s="108" t="s">
        <v>3562</v>
      </c>
      <c r="C8577" s="109">
        <v>44759</v>
      </c>
      <c r="D8577" s="108" t="s">
        <v>3563</v>
      </c>
      <c r="E8577" s="108" t="s">
        <v>14605</v>
      </c>
      <c r="F8577" s="108" t="s">
        <v>16211</v>
      </c>
      <c r="G8577" s="109">
        <v>46222</v>
      </c>
      <c r="H8577" s="108" t="s">
        <v>25458</v>
      </c>
      <c r="I8577" s="108" t="s">
        <v>95</v>
      </c>
    </row>
    <row r="8578" spans="1:9" ht="27.6">
      <c r="A8578" s="108" t="s">
        <v>16151</v>
      </c>
      <c r="B8578" s="108" t="s">
        <v>3169</v>
      </c>
      <c r="C8578" s="109">
        <v>44749</v>
      </c>
      <c r="D8578" s="108" t="s">
        <v>3171</v>
      </c>
      <c r="E8578" s="108" t="s">
        <v>14605</v>
      </c>
      <c r="F8578" s="108" t="s">
        <v>3170</v>
      </c>
      <c r="G8578" s="109">
        <v>46222</v>
      </c>
      <c r="H8578" s="108" t="s">
        <v>25458</v>
      </c>
      <c r="I8578" s="108" t="s">
        <v>95</v>
      </c>
    </row>
    <row r="8579" spans="1:9">
      <c r="A8579" s="108" t="s">
        <v>16151</v>
      </c>
      <c r="B8579" s="108" t="s">
        <v>5291</v>
      </c>
      <c r="C8579" s="109">
        <v>44743</v>
      </c>
      <c r="D8579" s="108" t="s">
        <v>5292</v>
      </c>
      <c r="E8579" s="108" t="s">
        <v>14605</v>
      </c>
      <c r="F8579" s="108" t="s">
        <v>5288</v>
      </c>
      <c r="G8579" s="109">
        <v>46226</v>
      </c>
      <c r="H8579" s="108" t="s">
        <v>25458</v>
      </c>
      <c r="I8579" s="108" t="s">
        <v>95</v>
      </c>
    </row>
    <row r="8580" spans="1:9">
      <c r="A8580" s="108" t="s">
        <v>16151</v>
      </c>
      <c r="B8580" s="108" t="s">
        <v>2857</v>
      </c>
      <c r="C8580" s="109">
        <v>44742</v>
      </c>
      <c r="D8580" s="108" t="s">
        <v>2858</v>
      </c>
      <c r="E8580" s="108" t="s">
        <v>14605</v>
      </c>
      <c r="F8580" s="108" t="s">
        <v>2853</v>
      </c>
      <c r="G8580" s="109">
        <v>45481</v>
      </c>
      <c r="H8580" s="108" t="s">
        <v>25458</v>
      </c>
      <c r="I8580" s="108" t="s">
        <v>95</v>
      </c>
    </row>
    <row r="8581" spans="1:9">
      <c r="A8581" s="108" t="s">
        <v>16151</v>
      </c>
      <c r="B8581" s="108" t="s">
        <v>3035</v>
      </c>
      <c r="C8581" s="109">
        <v>44915</v>
      </c>
      <c r="D8581" s="108" t="s">
        <v>3036</v>
      </c>
      <c r="E8581" s="108" t="s">
        <v>14605</v>
      </c>
      <c r="F8581" s="108" t="s">
        <v>3033</v>
      </c>
      <c r="G8581" s="109">
        <v>45633</v>
      </c>
      <c r="H8581" s="108" t="s">
        <v>25458</v>
      </c>
      <c r="I8581" s="108" t="s">
        <v>95</v>
      </c>
    </row>
    <row r="8582" spans="1:9">
      <c r="A8582" s="108" t="s">
        <v>16151</v>
      </c>
      <c r="B8582" s="108" t="s">
        <v>1304</v>
      </c>
      <c r="C8582" s="109">
        <v>44755</v>
      </c>
      <c r="D8582" s="108" t="s">
        <v>1305</v>
      </c>
      <c r="E8582" s="108" t="s">
        <v>14605</v>
      </c>
      <c r="F8582" s="108" t="s">
        <v>1302</v>
      </c>
      <c r="G8582" s="109">
        <v>45501</v>
      </c>
      <c r="H8582" s="108" t="s">
        <v>25458</v>
      </c>
      <c r="I8582" s="108" t="s">
        <v>95</v>
      </c>
    </row>
    <row r="8583" spans="1:9">
      <c r="A8583" s="108" t="s">
        <v>16151</v>
      </c>
      <c r="B8583" s="108" t="s">
        <v>839</v>
      </c>
      <c r="C8583" s="109">
        <v>44768</v>
      </c>
      <c r="D8583" s="108" t="s">
        <v>841</v>
      </c>
      <c r="E8583" s="108" t="s">
        <v>14605</v>
      </c>
      <c r="F8583" s="108" t="s">
        <v>840</v>
      </c>
      <c r="G8583" s="109">
        <v>45502</v>
      </c>
      <c r="H8583" s="108" t="s">
        <v>25458</v>
      </c>
      <c r="I8583" s="108" t="s">
        <v>95</v>
      </c>
    </row>
    <row r="8584" spans="1:9">
      <c r="A8584" s="108" t="s">
        <v>16151</v>
      </c>
      <c r="B8584" s="108" t="s">
        <v>1139</v>
      </c>
      <c r="C8584" s="109">
        <v>44951</v>
      </c>
      <c r="D8584" s="108" t="s">
        <v>1141</v>
      </c>
      <c r="E8584" s="108" t="s">
        <v>14605</v>
      </c>
      <c r="F8584" s="108" t="s">
        <v>1140</v>
      </c>
      <c r="G8584" s="109">
        <v>46142</v>
      </c>
      <c r="H8584" s="108" t="s">
        <v>25558</v>
      </c>
      <c r="I8584" s="108" t="s">
        <v>95</v>
      </c>
    </row>
    <row r="8585" spans="1:9">
      <c r="A8585" s="108" t="s">
        <v>16151</v>
      </c>
      <c r="B8585" s="108" t="s">
        <v>4812</v>
      </c>
      <c r="C8585" s="109">
        <v>44817</v>
      </c>
      <c r="D8585" s="108" t="s">
        <v>4814</v>
      </c>
      <c r="E8585" s="108" t="s">
        <v>14605</v>
      </c>
      <c r="F8585" s="108" t="s">
        <v>4813</v>
      </c>
      <c r="G8585" s="109">
        <v>45571</v>
      </c>
      <c r="H8585" s="108" t="s">
        <v>25458</v>
      </c>
      <c r="I8585" s="108" t="s">
        <v>95</v>
      </c>
    </row>
    <row r="8586" spans="1:9">
      <c r="A8586" s="108" t="s">
        <v>16151</v>
      </c>
      <c r="B8586" s="108" t="s">
        <v>2123</v>
      </c>
      <c r="C8586" s="109">
        <v>44830</v>
      </c>
      <c r="D8586" s="108" t="s">
        <v>2125</v>
      </c>
      <c r="E8586" s="108" t="s">
        <v>14605</v>
      </c>
      <c r="F8586" s="108" t="s">
        <v>2124</v>
      </c>
      <c r="G8586" s="109">
        <v>46022</v>
      </c>
      <c r="H8586" s="108" t="s">
        <v>25458</v>
      </c>
      <c r="I8586" s="108" t="s">
        <v>95</v>
      </c>
    </row>
    <row r="8587" spans="1:9">
      <c r="A8587" s="108" t="s">
        <v>16151</v>
      </c>
      <c r="B8587" s="108" t="s">
        <v>4900</v>
      </c>
      <c r="C8587" s="109">
        <v>44825</v>
      </c>
      <c r="D8587" s="108" t="s">
        <v>4901</v>
      </c>
      <c r="E8587" s="108" t="s">
        <v>14605</v>
      </c>
      <c r="F8587" s="108" t="s">
        <v>4898</v>
      </c>
      <c r="G8587" s="109">
        <v>45890</v>
      </c>
      <c r="H8587" s="108" t="s">
        <v>25458</v>
      </c>
      <c r="I8587" s="108" t="s">
        <v>95</v>
      </c>
    </row>
    <row r="8588" spans="1:9" ht="27.6">
      <c r="A8588" s="108" t="s">
        <v>16149</v>
      </c>
      <c r="B8588" s="108" t="s">
        <v>5171</v>
      </c>
      <c r="C8588" s="109">
        <v>45327</v>
      </c>
      <c r="D8588" s="108" t="s">
        <v>5172</v>
      </c>
      <c r="E8588" s="108" t="s">
        <v>14605</v>
      </c>
      <c r="F8588" s="108" t="s">
        <v>5145</v>
      </c>
      <c r="G8588" s="109">
        <v>46397</v>
      </c>
      <c r="H8588" s="108" t="s">
        <v>25458</v>
      </c>
      <c r="I8588" s="108" t="s">
        <v>95</v>
      </c>
    </row>
    <row r="8589" spans="1:9" ht="27.6">
      <c r="A8589" s="108" t="s">
        <v>16151</v>
      </c>
      <c r="B8589" s="108" t="s">
        <v>3118</v>
      </c>
      <c r="C8589" s="109">
        <v>44776</v>
      </c>
      <c r="D8589" s="108" t="s">
        <v>3120</v>
      </c>
      <c r="E8589" s="108" t="s">
        <v>14605</v>
      </c>
      <c r="F8589" s="108" t="s">
        <v>3119</v>
      </c>
      <c r="G8589" s="109">
        <v>45890</v>
      </c>
      <c r="H8589" s="108" t="s">
        <v>25458</v>
      </c>
      <c r="I8589" s="108" t="s">
        <v>95</v>
      </c>
    </row>
    <row r="8590" spans="1:9">
      <c r="A8590" s="108" t="s">
        <v>16151</v>
      </c>
      <c r="B8590" s="108" t="s">
        <v>2766</v>
      </c>
      <c r="C8590" s="109">
        <v>44804</v>
      </c>
      <c r="D8590" s="108" t="s">
        <v>2767</v>
      </c>
      <c r="E8590" s="108" t="s">
        <v>14605</v>
      </c>
      <c r="F8590" s="108" t="s">
        <v>2762</v>
      </c>
      <c r="G8590" s="109">
        <v>46112</v>
      </c>
      <c r="H8590" s="108" t="s">
        <v>25558</v>
      </c>
      <c r="I8590" s="108" t="s">
        <v>95</v>
      </c>
    </row>
    <row r="8591" spans="1:9">
      <c r="A8591" s="108" t="s">
        <v>16151</v>
      </c>
      <c r="B8591" s="108" t="s">
        <v>583</v>
      </c>
      <c r="C8591" s="109">
        <v>44805</v>
      </c>
      <c r="D8591" s="108" t="s">
        <v>585</v>
      </c>
      <c r="E8591" s="108" t="s">
        <v>14605</v>
      </c>
      <c r="F8591" s="108" t="s">
        <v>584</v>
      </c>
      <c r="G8591" s="109">
        <v>46022</v>
      </c>
      <c r="H8591" s="108" t="s">
        <v>25458</v>
      </c>
      <c r="I8591" s="108" t="s">
        <v>95</v>
      </c>
    </row>
    <row r="8592" spans="1:9">
      <c r="A8592" s="108" t="s">
        <v>16151</v>
      </c>
      <c r="B8592" s="108" t="s">
        <v>3602</v>
      </c>
      <c r="C8592" s="109">
        <v>44910</v>
      </c>
      <c r="D8592" s="108" t="s">
        <v>3604</v>
      </c>
      <c r="E8592" s="108" t="s">
        <v>14605</v>
      </c>
      <c r="F8592" s="108" t="s">
        <v>3603</v>
      </c>
      <c r="G8592" s="109">
        <v>46011</v>
      </c>
      <c r="H8592" s="108" t="s">
        <v>25458</v>
      </c>
      <c r="I8592" s="108" t="s">
        <v>95</v>
      </c>
    </row>
    <row r="8593" spans="1:9">
      <c r="A8593" s="108" t="s">
        <v>16151</v>
      </c>
      <c r="B8593" s="108" t="s">
        <v>352</v>
      </c>
      <c r="C8593" s="109">
        <v>44934</v>
      </c>
      <c r="D8593" s="108" t="s">
        <v>354</v>
      </c>
      <c r="E8593" s="108" t="s">
        <v>14605</v>
      </c>
      <c r="F8593" s="108" t="s">
        <v>353</v>
      </c>
      <c r="G8593" s="109">
        <v>46398</v>
      </c>
      <c r="H8593" s="108" t="s">
        <v>25458</v>
      </c>
      <c r="I8593" s="108" t="s">
        <v>95</v>
      </c>
    </row>
    <row r="8594" spans="1:9">
      <c r="A8594" s="108" t="s">
        <v>16151</v>
      </c>
      <c r="B8594" s="108" t="s">
        <v>1399</v>
      </c>
      <c r="C8594" s="109">
        <v>44881</v>
      </c>
      <c r="D8594" s="108" t="s">
        <v>1400</v>
      </c>
      <c r="E8594" s="108" t="s">
        <v>14605</v>
      </c>
      <c r="F8594" s="108" t="s">
        <v>1397</v>
      </c>
      <c r="G8594" s="109">
        <v>46141</v>
      </c>
      <c r="H8594" s="108" t="s">
        <v>25458</v>
      </c>
      <c r="I8594" s="108" t="s">
        <v>95</v>
      </c>
    </row>
    <row r="8595" spans="1:9">
      <c r="A8595" s="108" t="s">
        <v>16151</v>
      </c>
      <c r="B8595" s="108" t="s">
        <v>2479</v>
      </c>
      <c r="C8595" s="109">
        <v>44826</v>
      </c>
      <c r="D8595" s="108" t="s">
        <v>2480</v>
      </c>
      <c r="E8595" s="108" t="s">
        <v>14605</v>
      </c>
      <c r="F8595" s="108" t="s">
        <v>2475</v>
      </c>
      <c r="G8595" s="109">
        <v>45929</v>
      </c>
      <c r="H8595" s="108" t="s">
        <v>25458</v>
      </c>
      <c r="I8595" s="108" t="s">
        <v>95</v>
      </c>
    </row>
    <row r="8596" spans="1:9">
      <c r="A8596" s="108" t="s">
        <v>16151</v>
      </c>
      <c r="B8596" s="108" t="s">
        <v>3793</v>
      </c>
      <c r="C8596" s="109">
        <v>44848</v>
      </c>
      <c r="D8596" s="108" t="s">
        <v>3795</v>
      </c>
      <c r="E8596" s="108" t="s">
        <v>14605</v>
      </c>
      <c r="F8596" s="108" t="s">
        <v>3794</v>
      </c>
      <c r="G8596" s="109">
        <v>45953</v>
      </c>
      <c r="H8596" s="108" t="s">
        <v>25458</v>
      </c>
      <c r="I8596" s="108" t="s">
        <v>95</v>
      </c>
    </row>
    <row r="8597" spans="1:9">
      <c r="A8597" s="108" t="s">
        <v>16151</v>
      </c>
      <c r="B8597" s="108" t="s">
        <v>2764</v>
      </c>
      <c r="C8597" s="109">
        <v>44838</v>
      </c>
      <c r="D8597" s="108" t="s">
        <v>2765</v>
      </c>
      <c r="E8597" s="108" t="s">
        <v>14605</v>
      </c>
      <c r="F8597" s="108" t="s">
        <v>2762</v>
      </c>
      <c r="G8597" s="109">
        <v>46112</v>
      </c>
      <c r="H8597" s="108" t="s">
        <v>25458</v>
      </c>
      <c r="I8597" s="108" t="s">
        <v>95</v>
      </c>
    </row>
    <row r="8598" spans="1:9" ht="27.6">
      <c r="A8598" s="108" t="s">
        <v>16151</v>
      </c>
      <c r="B8598" s="108" t="s">
        <v>531</v>
      </c>
      <c r="C8598" s="109">
        <v>44844</v>
      </c>
      <c r="D8598" s="108" t="s">
        <v>533</v>
      </c>
      <c r="E8598" s="108" t="s">
        <v>14605</v>
      </c>
      <c r="F8598" s="108" t="s">
        <v>532</v>
      </c>
      <c r="G8598" s="109">
        <v>46323</v>
      </c>
      <c r="H8598" s="108" t="s">
        <v>25458</v>
      </c>
      <c r="I8598" s="108" t="s">
        <v>95</v>
      </c>
    </row>
    <row r="8599" spans="1:9">
      <c r="A8599" s="108" t="s">
        <v>16151</v>
      </c>
      <c r="B8599" s="108" t="s">
        <v>4861</v>
      </c>
      <c r="C8599" s="109">
        <v>44866</v>
      </c>
      <c r="D8599" s="108" t="s">
        <v>4862</v>
      </c>
      <c r="E8599" s="108" t="s">
        <v>14605</v>
      </c>
      <c r="F8599" s="108" t="s">
        <v>4857</v>
      </c>
      <c r="G8599" s="109">
        <v>45953</v>
      </c>
      <c r="H8599" s="108" t="s">
        <v>25458</v>
      </c>
      <c r="I8599" s="108" t="s">
        <v>95</v>
      </c>
    </row>
    <row r="8600" spans="1:9">
      <c r="A8600" s="108" t="s">
        <v>16151</v>
      </c>
      <c r="B8600" s="108" t="s">
        <v>990</v>
      </c>
      <c r="C8600" s="109">
        <v>44858</v>
      </c>
      <c r="D8600" s="108" t="s">
        <v>991</v>
      </c>
      <c r="E8600" s="108" t="s">
        <v>14605</v>
      </c>
      <c r="F8600" s="108" t="s">
        <v>986</v>
      </c>
      <c r="G8600" s="109">
        <v>45959</v>
      </c>
      <c r="H8600" s="108" t="s">
        <v>25558</v>
      </c>
      <c r="I8600" s="108" t="s">
        <v>95</v>
      </c>
    </row>
    <row r="8601" spans="1:9" ht="27.6">
      <c r="A8601" s="108" t="s">
        <v>16151</v>
      </c>
      <c r="B8601" s="108" t="s">
        <v>3103</v>
      </c>
      <c r="C8601" s="109">
        <v>44854</v>
      </c>
      <c r="D8601" s="108" t="s">
        <v>3105</v>
      </c>
      <c r="E8601" s="108" t="s">
        <v>14605</v>
      </c>
      <c r="F8601" s="108" t="s">
        <v>3104</v>
      </c>
      <c r="G8601" s="109">
        <v>46142</v>
      </c>
      <c r="H8601" s="108" t="s">
        <v>25558</v>
      </c>
      <c r="I8601" s="108" t="s">
        <v>95</v>
      </c>
    </row>
    <row r="8602" spans="1:9" ht="27.6">
      <c r="A8602" s="108" t="s">
        <v>16151</v>
      </c>
      <c r="B8602" s="108" t="s">
        <v>2801</v>
      </c>
      <c r="C8602" s="109">
        <v>44874</v>
      </c>
      <c r="D8602" s="108" t="s">
        <v>2802</v>
      </c>
      <c r="E8602" s="108" t="s">
        <v>14605</v>
      </c>
      <c r="F8602" s="108" t="s">
        <v>2795</v>
      </c>
      <c r="G8602" s="109">
        <v>45991</v>
      </c>
      <c r="H8602" s="108" t="s">
        <v>25458</v>
      </c>
      <c r="I8602" s="108" t="s">
        <v>95</v>
      </c>
    </row>
    <row r="8603" spans="1:9">
      <c r="A8603" s="108" t="s">
        <v>16151</v>
      </c>
      <c r="B8603" s="108" t="s">
        <v>681</v>
      </c>
      <c r="C8603" s="109">
        <v>45132</v>
      </c>
      <c r="D8603" s="108" t="s">
        <v>683</v>
      </c>
      <c r="E8603" s="108" t="s">
        <v>14605</v>
      </c>
      <c r="F8603" s="108" t="s">
        <v>682</v>
      </c>
      <c r="G8603" s="109">
        <v>46022</v>
      </c>
      <c r="H8603" s="108" t="s">
        <v>25458</v>
      </c>
      <c r="I8603" s="108" t="s">
        <v>95</v>
      </c>
    </row>
    <row r="8604" spans="1:9">
      <c r="A8604" s="108" t="s">
        <v>16151</v>
      </c>
      <c r="B8604" s="108" t="s">
        <v>2729</v>
      </c>
      <c r="C8604" s="109">
        <v>44881</v>
      </c>
      <c r="D8604" s="108" t="s">
        <v>2730</v>
      </c>
      <c r="E8604" s="108" t="s">
        <v>14605</v>
      </c>
      <c r="F8604" s="108" t="s">
        <v>2725</v>
      </c>
      <c r="G8604" s="109">
        <v>45991</v>
      </c>
      <c r="H8604" s="108" t="s">
        <v>25458</v>
      </c>
      <c r="I8604" s="108" t="s">
        <v>95</v>
      </c>
    </row>
    <row r="8605" spans="1:9" ht="27.6">
      <c r="A8605" s="108" t="s">
        <v>16149</v>
      </c>
      <c r="B8605" s="108" t="s">
        <v>652</v>
      </c>
      <c r="C8605" s="109">
        <v>45041</v>
      </c>
      <c r="D8605" s="108" t="s">
        <v>653</v>
      </c>
      <c r="E8605" s="108" t="s">
        <v>14605</v>
      </c>
      <c r="F8605" s="108" t="s">
        <v>26057</v>
      </c>
      <c r="G8605" s="109">
        <v>46160</v>
      </c>
      <c r="H8605" s="108" t="s">
        <v>25458</v>
      </c>
      <c r="I8605" s="108" t="s">
        <v>95</v>
      </c>
    </row>
    <row r="8606" spans="1:9">
      <c r="A8606" s="108" t="s">
        <v>16151</v>
      </c>
      <c r="B8606" s="108" t="s">
        <v>3193</v>
      </c>
      <c r="C8606" s="109">
        <v>44956</v>
      </c>
      <c r="D8606" s="108" t="s">
        <v>3195</v>
      </c>
      <c r="E8606" s="108" t="s">
        <v>14605</v>
      </c>
      <c r="F8606" s="108" t="s">
        <v>3194</v>
      </c>
      <c r="G8606" s="109">
        <v>46148</v>
      </c>
      <c r="H8606" s="108" t="s">
        <v>25458</v>
      </c>
      <c r="I8606" s="108" t="s">
        <v>95</v>
      </c>
    </row>
    <row r="8607" spans="1:9" ht="27.6">
      <c r="A8607" s="108" t="s">
        <v>16151</v>
      </c>
      <c r="B8607" s="108" t="s">
        <v>3305</v>
      </c>
      <c r="C8607" s="109">
        <v>44950</v>
      </c>
      <c r="D8607" s="108" t="s">
        <v>3307</v>
      </c>
      <c r="E8607" s="108" t="s">
        <v>14605</v>
      </c>
      <c r="F8607" s="108" t="s">
        <v>3306</v>
      </c>
      <c r="G8607" s="109">
        <v>46043</v>
      </c>
      <c r="H8607" s="108" t="s">
        <v>25458</v>
      </c>
      <c r="I8607" s="108" t="s">
        <v>95</v>
      </c>
    </row>
    <row r="8608" spans="1:9">
      <c r="A8608" s="108" t="s">
        <v>16151</v>
      </c>
      <c r="B8608" s="108" t="s">
        <v>2727</v>
      </c>
      <c r="C8608" s="109">
        <v>44881</v>
      </c>
      <c r="D8608" s="108" t="s">
        <v>2728</v>
      </c>
      <c r="E8608" s="108" t="s">
        <v>14605</v>
      </c>
      <c r="F8608" s="108" t="s">
        <v>2725</v>
      </c>
      <c r="G8608" s="109">
        <v>45991</v>
      </c>
      <c r="H8608" s="108" t="s">
        <v>25458</v>
      </c>
      <c r="I8608" s="108" t="s">
        <v>95</v>
      </c>
    </row>
    <row r="8609" spans="1:9">
      <c r="A8609" s="108" t="s">
        <v>16151</v>
      </c>
      <c r="B8609" s="108" t="s">
        <v>1802</v>
      </c>
      <c r="C8609" s="109">
        <v>44878</v>
      </c>
      <c r="D8609" s="108" t="s">
        <v>1804</v>
      </c>
      <c r="E8609" s="108" t="s">
        <v>14605</v>
      </c>
      <c r="F8609" s="108" t="s">
        <v>1803</v>
      </c>
      <c r="G8609" s="109">
        <v>45992</v>
      </c>
      <c r="H8609" s="108" t="s">
        <v>25458</v>
      </c>
      <c r="I8609" s="108" t="s">
        <v>95</v>
      </c>
    </row>
    <row r="8610" spans="1:9">
      <c r="A8610" s="108" t="s">
        <v>16151</v>
      </c>
      <c r="B8610" s="108" t="s">
        <v>5169</v>
      </c>
      <c r="C8610" s="109">
        <v>44895</v>
      </c>
      <c r="D8610" s="108" t="s">
        <v>5170</v>
      </c>
      <c r="E8610" s="108" t="s">
        <v>14605</v>
      </c>
      <c r="F8610" s="108" t="s">
        <v>5145</v>
      </c>
      <c r="G8610" s="109">
        <v>46731</v>
      </c>
      <c r="H8610" s="108" t="s">
        <v>25458</v>
      </c>
      <c r="I8610" s="108" t="s">
        <v>95</v>
      </c>
    </row>
    <row r="8611" spans="1:9">
      <c r="A8611" s="108" t="s">
        <v>16151</v>
      </c>
      <c r="B8611" s="108" t="s">
        <v>3697</v>
      </c>
      <c r="C8611" s="109">
        <v>44931</v>
      </c>
      <c r="D8611" s="108" t="s">
        <v>3698</v>
      </c>
      <c r="E8611" s="108" t="s">
        <v>14605</v>
      </c>
      <c r="F8611" s="108" t="s">
        <v>3687</v>
      </c>
      <c r="G8611" s="109">
        <v>46029</v>
      </c>
      <c r="H8611" s="108" t="s">
        <v>25458</v>
      </c>
      <c r="I8611" s="108" t="s">
        <v>95</v>
      </c>
    </row>
    <row r="8612" spans="1:9">
      <c r="A8612" s="108" t="s">
        <v>16151</v>
      </c>
      <c r="B8612" s="108" t="s">
        <v>3521</v>
      </c>
      <c r="C8612" s="109">
        <v>44911</v>
      </c>
      <c r="D8612" s="108" t="s">
        <v>3523</v>
      </c>
      <c r="E8612" s="108" t="s">
        <v>14605</v>
      </c>
      <c r="F8612" s="108" t="s">
        <v>3522</v>
      </c>
      <c r="G8612" s="109">
        <v>46018</v>
      </c>
      <c r="H8612" s="108" t="s">
        <v>25458</v>
      </c>
      <c r="I8612" s="108" t="s">
        <v>95</v>
      </c>
    </row>
    <row r="8613" spans="1:9" ht="27.6">
      <c r="A8613" s="108" t="s">
        <v>16151</v>
      </c>
      <c r="B8613" s="108" t="s">
        <v>1958</v>
      </c>
      <c r="C8613" s="109">
        <v>44903</v>
      </c>
      <c r="D8613" s="108" t="s">
        <v>1959</v>
      </c>
      <c r="E8613" s="108" t="s">
        <v>14605</v>
      </c>
      <c r="F8613" s="108" t="s">
        <v>25667</v>
      </c>
      <c r="G8613" s="109">
        <v>46007</v>
      </c>
      <c r="H8613" s="108" t="s">
        <v>25458</v>
      </c>
      <c r="I8613" s="108" t="s">
        <v>95</v>
      </c>
    </row>
    <row r="8614" spans="1:9">
      <c r="A8614" s="108" t="s">
        <v>16151</v>
      </c>
      <c r="B8614" s="108" t="s">
        <v>2515</v>
      </c>
      <c r="C8614" s="109">
        <v>44910</v>
      </c>
      <c r="D8614" s="108" t="s">
        <v>2517</v>
      </c>
      <c r="E8614" s="108" t="s">
        <v>14605</v>
      </c>
      <c r="F8614" s="108" t="s">
        <v>2516</v>
      </c>
      <c r="G8614" s="109">
        <v>46245</v>
      </c>
      <c r="H8614" s="108" t="s">
        <v>25458</v>
      </c>
      <c r="I8614" s="108" t="s">
        <v>95</v>
      </c>
    </row>
    <row r="8615" spans="1:9">
      <c r="A8615" s="108" t="s">
        <v>16151</v>
      </c>
      <c r="B8615" s="108" t="s">
        <v>1832</v>
      </c>
      <c r="C8615" s="109">
        <v>44873</v>
      </c>
      <c r="D8615" s="108" t="s">
        <v>1833</v>
      </c>
      <c r="E8615" s="108" t="s">
        <v>14605</v>
      </c>
      <c r="F8615" s="108" t="s">
        <v>1830</v>
      </c>
      <c r="G8615" s="109">
        <v>45981</v>
      </c>
      <c r="H8615" s="108" t="s">
        <v>25458</v>
      </c>
      <c r="I8615" s="108" t="s">
        <v>95</v>
      </c>
    </row>
    <row r="8616" spans="1:9">
      <c r="A8616" s="108" t="s">
        <v>16151</v>
      </c>
      <c r="B8616" s="108" t="s">
        <v>4961</v>
      </c>
      <c r="C8616" s="109">
        <v>44930</v>
      </c>
      <c r="D8616" s="108" t="s">
        <v>4962</v>
      </c>
      <c r="E8616" s="108" t="s">
        <v>14605</v>
      </c>
      <c r="F8616" s="108" t="s">
        <v>4966</v>
      </c>
      <c r="G8616" s="109">
        <v>46034</v>
      </c>
      <c r="H8616" s="108" t="s">
        <v>25458</v>
      </c>
      <c r="I8616" s="108" t="s">
        <v>95</v>
      </c>
    </row>
    <row r="8617" spans="1:9">
      <c r="A8617" s="108" t="s">
        <v>16151</v>
      </c>
      <c r="B8617" s="108" t="s">
        <v>347</v>
      </c>
      <c r="C8617" s="109">
        <v>44888</v>
      </c>
      <c r="D8617" s="108" t="s">
        <v>349</v>
      </c>
      <c r="E8617" s="108" t="s">
        <v>14605</v>
      </c>
      <c r="F8617" s="108" t="s">
        <v>348</v>
      </c>
      <c r="G8617" s="109">
        <v>45958</v>
      </c>
      <c r="H8617" s="108" t="s">
        <v>25458</v>
      </c>
      <c r="I8617" s="108" t="s">
        <v>95</v>
      </c>
    </row>
    <row r="8618" spans="1:9" ht="27.6">
      <c r="A8618" s="108" t="s">
        <v>16151</v>
      </c>
      <c r="B8618" s="108" t="s">
        <v>1966</v>
      </c>
      <c r="C8618" s="109">
        <v>44895</v>
      </c>
      <c r="D8618" s="108" t="s">
        <v>1967</v>
      </c>
      <c r="E8618" s="108" t="s">
        <v>14605</v>
      </c>
      <c r="F8618" s="108" t="s">
        <v>16674</v>
      </c>
      <c r="G8618" s="109">
        <v>46022</v>
      </c>
      <c r="H8618" s="108" t="s">
        <v>25458</v>
      </c>
      <c r="I8618" s="108" t="s">
        <v>95</v>
      </c>
    </row>
    <row r="8619" spans="1:9">
      <c r="A8619" s="108" t="s">
        <v>16151</v>
      </c>
      <c r="B8619" s="108" t="s">
        <v>1799</v>
      </c>
      <c r="C8619" s="109">
        <v>44902</v>
      </c>
      <c r="D8619" s="108" t="s">
        <v>1801</v>
      </c>
      <c r="E8619" s="108" t="s">
        <v>14605</v>
      </c>
      <c r="F8619" s="108" t="s">
        <v>1800</v>
      </c>
      <c r="G8619" s="109">
        <v>46019</v>
      </c>
      <c r="H8619" s="108" t="s">
        <v>25458</v>
      </c>
      <c r="I8619" s="108" t="s">
        <v>95</v>
      </c>
    </row>
    <row r="8620" spans="1:9" ht="27.6">
      <c r="A8620" s="108" t="s">
        <v>16151</v>
      </c>
      <c r="B8620" s="108" t="s">
        <v>2346</v>
      </c>
      <c r="C8620" s="109">
        <v>44917</v>
      </c>
      <c r="D8620" s="108" t="s">
        <v>2348</v>
      </c>
      <c r="E8620" s="108" t="s">
        <v>14605</v>
      </c>
      <c r="F8620" s="108" t="s">
        <v>2347</v>
      </c>
      <c r="G8620" s="109">
        <v>46183</v>
      </c>
      <c r="H8620" s="108" t="s">
        <v>25458</v>
      </c>
      <c r="I8620" s="108" t="s">
        <v>95</v>
      </c>
    </row>
    <row r="8621" spans="1:9">
      <c r="A8621" s="108" t="s">
        <v>16151</v>
      </c>
      <c r="B8621" s="108" t="s">
        <v>1346</v>
      </c>
      <c r="C8621" s="109">
        <v>45097</v>
      </c>
      <c r="D8621" s="108" t="s">
        <v>1347</v>
      </c>
      <c r="E8621" s="108" t="s">
        <v>14605</v>
      </c>
      <c r="F8621" s="108" t="s">
        <v>1338</v>
      </c>
      <c r="G8621" s="109">
        <v>46145</v>
      </c>
      <c r="H8621" s="108" t="s">
        <v>25458</v>
      </c>
      <c r="I8621" s="108" t="s">
        <v>95</v>
      </c>
    </row>
    <row r="8622" spans="1:9">
      <c r="A8622" s="108" t="s">
        <v>16151</v>
      </c>
      <c r="B8622" s="108" t="s">
        <v>2367</v>
      </c>
      <c r="C8622" s="109">
        <v>44935</v>
      </c>
      <c r="D8622" s="108" t="s">
        <v>2369</v>
      </c>
      <c r="E8622" s="108" t="s">
        <v>14605</v>
      </c>
      <c r="F8622" s="108" t="s">
        <v>2368</v>
      </c>
      <c r="G8622" s="109">
        <v>46033</v>
      </c>
      <c r="H8622" s="108" t="s">
        <v>25458</v>
      </c>
      <c r="I8622" s="108" t="s">
        <v>95</v>
      </c>
    </row>
    <row r="8623" spans="1:9">
      <c r="A8623" s="108" t="s">
        <v>16151</v>
      </c>
      <c r="B8623" s="108" t="s">
        <v>2894</v>
      </c>
      <c r="C8623" s="109">
        <v>44951</v>
      </c>
      <c r="D8623" s="108" t="s">
        <v>2896</v>
      </c>
      <c r="E8623" s="108" t="s">
        <v>14605</v>
      </c>
      <c r="F8623" s="108" t="s">
        <v>2895</v>
      </c>
      <c r="G8623" s="109">
        <v>46776</v>
      </c>
      <c r="H8623" s="108" t="s">
        <v>25458</v>
      </c>
      <c r="I8623" s="108" t="s">
        <v>95</v>
      </c>
    </row>
    <row r="8624" spans="1:9">
      <c r="A8624" s="108" t="s">
        <v>16151</v>
      </c>
      <c r="B8624" s="108" t="s">
        <v>3695</v>
      </c>
      <c r="C8624" s="109">
        <v>44931</v>
      </c>
      <c r="D8624" s="108" t="s">
        <v>3696</v>
      </c>
      <c r="E8624" s="108" t="s">
        <v>14605</v>
      </c>
      <c r="F8624" s="108" t="s">
        <v>3687</v>
      </c>
      <c r="G8624" s="109">
        <v>46029</v>
      </c>
      <c r="H8624" s="108" t="s">
        <v>25458</v>
      </c>
      <c r="I8624" s="108" t="s">
        <v>95</v>
      </c>
    </row>
    <row r="8625" spans="1:9">
      <c r="A8625" s="108" t="s">
        <v>16151</v>
      </c>
      <c r="B8625" s="108" t="s">
        <v>2706</v>
      </c>
      <c r="C8625" s="109">
        <v>44938</v>
      </c>
      <c r="D8625" s="108" t="s">
        <v>2707</v>
      </c>
      <c r="E8625" s="108" t="s">
        <v>14605</v>
      </c>
      <c r="F8625" s="108" t="s">
        <v>2694</v>
      </c>
      <c r="G8625" s="109">
        <v>46022</v>
      </c>
      <c r="H8625" s="108" t="s">
        <v>25458</v>
      </c>
      <c r="I8625" s="108" t="s">
        <v>95</v>
      </c>
    </row>
    <row r="8626" spans="1:9">
      <c r="A8626" s="108" t="s">
        <v>16151</v>
      </c>
      <c r="B8626" s="108" t="s">
        <v>3693</v>
      </c>
      <c r="C8626" s="109">
        <v>44931</v>
      </c>
      <c r="D8626" s="108" t="s">
        <v>3694</v>
      </c>
      <c r="E8626" s="108" t="s">
        <v>14605</v>
      </c>
      <c r="F8626" s="108" t="s">
        <v>3687</v>
      </c>
      <c r="G8626" s="109">
        <v>46029</v>
      </c>
      <c r="H8626" s="108" t="s">
        <v>25458</v>
      </c>
      <c r="I8626" s="108" t="s">
        <v>95</v>
      </c>
    </row>
    <row r="8627" spans="1:9">
      <c r="A8627" s="108" t="s">
        <v>16151</v>
      </c>
      <c r="B8627" s="108" t="s">
        <v>5167</v>
      </c>
      <c r="C8627" s="109">
        <v>44932</v>
      </c>
      <c r="D8627" s="108" t="s">
        <v>5168</v>
      </c>
      <c r="E8627" s="108" t="s">
        <v>14605</v>
      </c>
      <c r="F8627" s="108" t="s">
        <v>5145</v>
      </c>
      <c r="G8627" s="109">
        <v>46406</v>
      </c>
      <c r="H8627" s="108" t="s">
        <v>25458</v>
      </c>
      <c r="I8627" s="108" t="s">
        <v>95</v>
      </c>
    </row>
    <row r="8628" spans="1:9">
      <c r="A8628" s="108" t="s">
        <v>16151</v>
      </c>
      <c r="B8628" s="108" t="s">
        <v>1561</v>
      </c>
      <c r="C8628" s="109">
        <v>44991</v>
      </c>
      <c r="D8628" s="108" t="s">
        <v>1563</v>
      </c>
      <c r="E8628" s="108" t="s">
        <v>14605</v>
      </c>
      <c r="F8628" s="108" t="s">
        <v>1562</v>
      </c>
      <c r="G8628" s="109">
        <v>45961</v>
      </c>
      <c r="H8628" s="108" t="s">
        <v>25458</v>
      </c>
      <c r="I8628" s="108" t="s">
        <v>95</v>
      </c>
    </row>
    <row r="8629" spans="1:9">
      <c r="A8629" s="108" t="s">
        <v>16151</v>
      </c>
      <c r="B8629" s="108" t="s">
        <v>3979</v>
      </c>
      <c r="C8629" s="109">
        <v>44945</v>
      </c>
      <c r="D8629" s="108" t="s">
        <v>3981</v>
      </c>
      <c r="E8629" s="108" t="s">
        <v>14605</v>
      </c>
      <c r="F8629" s="108" t="s">
        <v>3980</v>
      </c>
      <c r="G8629" s="109">
        <v>46156</v>
      </c>
      <c r="H8629" s="108" t="s">
        <v>25458</v>
      </c>
      <c r="I8629" s="108" t="s">
        <v>95</v>
      </c>
    </row>
    <row r="8630" spans="1:9">
      <c r="A8630" s="108" t="s">
        <v>16151</v>
      </c>
      <c r="B8630" s="108" t="s">
        <v>4076</v>
      </c>
      <c r="C8630" s="109">
        <v>45110</v>
      </c>
      <c r="D8630" s="108" t="s">
        <v>4077</v>
      </c>
      <c r="E8630" s="108" t="s">
        <v>14605</v>
      </c>
      <c r="F8630" s="108" t="s">
        <v>4074</v>
      </c>
      <c r="G8630" s="109">
        <v>46205</v>
      </c>
      <c r="H8630" s="108" t="s">
        <v>25458</v>
      </c>
      <c r="I8630" s="108" t="s">
        <v>95</v>
      </c>
    </row>
    <row r="8631" spans="1:9" ht="27.6">
      <c r="A8631" s="108" t="s">
        <v>16151</v>
      </c>
      <c r="B8631" s="108" t="s">
        <v>4349</v>
      </c>
      <c r="C8631" s="109">
        <v>44939</v>
      </c>
      <c r="D8631" s="108" t="s">
        <v>4350</v>
      </c>
      <c r="E8631" s="108" t="s">
        <v>14605</v>
      </c>
      <c r="F8631" s="108" t="s">
        <v>4343</v>
      </c>
      <c r="G8631" s="109">
        <v>46421</v>
      </c>
      <c r="H8631" s="108" t="s">
        <v>25458</v>
      </c>
      <c r="I8631" s="108" t="s">
        <v>95</v>
      </c>
    </row>
    <row r="8632" spans="1:9">
      <c r="A8632" s="108" t="s">
        <v>16151</v>
      </c>
      <c r="B8632" s="108" t="s">
        <v>113</v>
      </c>
      <c r="C8632" s="109">
        <v>44943</v>
      </c>
      <c r="D8632" s="108" t="s">
        <v>114</v>
      </c>
      <c r="E8632" s="108" t="s">
        <v>14605</v>
      </c>
      <c r="F8632" s="108" t="s">
        <v>111</v>
      </c>
      <c r="G8632" s="109">
        <v>46050</v>
      </c>
      <c r="H8632" s="108" t="s">
        <v>25458</v>
      </c>
      <c r="I8632" s="108" t="s">
        <v>95</v>
      </c>
    </row>
    <row r="8633" spans="1:9" ht="27.6">
      <c r="A8633" s="108" t="s">
        <v>16151</v>
      </c>
      <c r="B8633" s="108" t="s">
        <v>3244</v>
      </c>
      <c r="C8633" s="109">
        <v>44938</v>
      </c>
      <c r="D8633" s="108" t="s">
        <v>3245</v>
      </c>
      <c r="E8633" s="108" t="s">
        <v>14605</v>
      </c>
      <c r="F8633" s="108" t="s">
        <v>25474</v>
      </c>
      <c r="G8633" s="109">
        <v>46043</v>
      </c>
      <c r="H8633" s="108" t="s">
        <v>25458</v>
      </c>
      <c r="I8633" s="108" t="s">
        <v>95</v>
      </c>
    </row>
    <row r="8634" spans="1:9" ht="27.6">
      <c r="A8634" s="108" t="s">
        <v>16151</v>
      </c>
      <c r="B8634" s="108" t="s">
        <v>2988</v>
      </c>
      <c r="C8634" s="109">
        <v>44963</v>
      </c>
      <c r="D8634" s="108" t="s">
        <v>2989</v>
      </c>
      <c r="E8634" s="108" t="s">
        <v>14605</v>
      </c>
      <c r="F8634" s="108" t="s">
        <v>16249</v>
      </c>
      <c r="G8634" s="109">
        <v>46042</v>
      </c>
      <c r="H8634" s="108" t="s">
        <v>25458</v>
      </c>
      <c r="I8634" s="108" t="s">
        <v>95</v>
      </c>
    </row>
    <row r="8635" spans="1:9">
      <c r="A8635" s="108" t="s">
        <v>16151</v>
      </c>
      <c r="B8635" s="108" t="s">
        <v>1169</v>
      </c>
      <c r="C8635" s="109">
        <v>44964</v>
      </c>
      <c r="D8635" s="108" t="s">
        <v>1171</v>
      </c>
      <c r="E8635" s="108" t="s">
        <v>14605</v>
      </c>
      <c r="F8635" s="108" t="s">
        <v>1170</v>
      </c>
      <c r="G8635" s="109">
        <v>46042</v>
      </c>
      <c r="H8635" s="108" t="s">
        <v>25458</v>
      </c>
      <c r="I8635" s="108" t="s">
        <v>95</v>
      </c>
    </row>
    <row r="8636" spans="1:9" ht="27.6">
      <c r="A8636" s="108" t="s">
        <v>16151</v>
      </c>
      <c r="B8636" s="108" t="s">
        <v>2597</v>
      </c>
      <c r="C8636" s="109">
        <v>45005</v>
      </c>
      <c r="D8636" s="108" t="s">
        <v>2599</v>
      </c>
      <c r="E8636" s="108" t="s">
        <v>14605</v>
      </c>
      <c r="F8636" s="108" t="s">
        <v>2598</v>
      </c>
      <c r="G8636" s="109">
        <v>46082</v>
      </c>
      <c r="H8636" s="108" t="s">
        <v>25458</v>
      </c>
      <c r="I8636" s="108" t="s">
        <v>95</v>
      </c>
    </row>
    <row r="8637" spans="1:9" ht="27.6">
      <c r="A8637" s="108" t="s">
        <v>16151</v>
      </c>
      <c r="B8637" s="108" t="s">
        <v>4284</v>
      </c>
      <c r="C8637" s="109">
        <v>44980</v>
      </c>
      <c r="D8637" s="108" t="s">
        <v>4285</v>
      </c>
      <c r="E8637" s="108" t="s">
        <v>14605</v>
      </c>
      <c r="F8637" s="108" t="s">
        <v>4276</v>
      </c>
      <c r="G8637" s="109">
        <v>46051</v>
      </c>
      <c r="H8637" s="108" t="s">
        <v>25458</v>
      </c>
      <c r="I8637" s="108" t="s">
        <v>95</v>
      </c>
    </row>
    <row r="8638" spans="1:9">
      <c r="A8638" s="108" t="s">
        <v>16151</v>
      </c>
      <c r="B8638" s="108" t="s">
        <v>2704</v>
      </c>
      <c r="C8638" s="109">
        <v>45007</v>
      </c>
      <c r="D8638" s="108" t="s">
        <v>2705</v>
      </c>
      <c r="E8638" s="108" t="s">
        <v>14605</v>
      </c>
      <c r="F8638" s="108" t="s">
        <v>2694</v>
      </c>
      <c r="G8638" s="109">
        <v>46022</v>
      </c>
      <c r="H8638" s="108" t="s">
        <v>25458</v>
      </c>
      <c r="I8638" s="108" t="s">
        <v>95</v>
      </c>
    </row>
    <row r="8639" spans="1:9">
      <c r="A8639" s="108" t="s">
        <v>16151</v>
      </c>
      <c r="B8639" s="108" t="s">
        <v>1527</v>
      </c>
      <c r="C8639" s="109">
        <v>45016</v>
      </c>
      <c r="D8639" s="108" t="s">
        <v>1528</v>
      </c>
      <c r="E8639" s="108" t="s">
        <v>14605</v>
      </c>
      <c r="F8639" s="108" t="s">
        <v>1519</v>
      </c>
      <c r="G8639" s="109">
        <v>46022</v>
      </c>
      <c r="H8639" s="108" t="s">
        <v>25458</v>
      </c>
      <c r="I8639" s="108" t="s">
        <v>95</v>
      </c>
    </row>
    <row r="8640" spans="1:9">
      <c r="A8640" s="108" t="s">
        <v>16151</v>
      </c>
      <c r="B8640" s="108" t="s">
        <v>3367</v>
      </c>
      <c r="C8640" s="109">
        <v>45062</v>
      </c>
      <c r="D8640" s="108" t="s">
        <v>3368</v>
      </c>
      <c r="E8640" s="108" t="s">
        <v>14605</v>
      </c>
      <c r="F8640" s="108" t="s">
        <v>14672</v>
      </c>
      <c r="G8640" s="109">
        <v>45849</v>
      </c>
      <c r="H8640" s="108" t="s">
        <v>25458</v>
      </c>
      <c r="I8640" s="108" t="s">
        <v>95</v>
      </c>
    </row>
    <row r="8641" spans="1:9">
      <c r="A8641" s="108" t="s">
        <v>16151</v>
      </c>
      <c r="B8641" s="108" t="s">
        <v>3365</v>
      </c>
      <c r="C8641" s="109">
        <v>45156</v>
      </c>
      <c r="D8641" s="108" t="s">
        <v>3366</v>
      </c>
      <c r="E8641" s="108" t="s">
        <v>14605</v>
      </c>
      <c r="F8641" s="108" t="s">
        <v>14672</v>
      </c>
      <c r="G8641" s="109">
        <v>45849</v>
      </c>
      <c r="H8641" s="108" t="s">
        <v>25458</v>
      </c>
      <c r="I8641" s="108" t="s">
        <v>95</v>
      </c>
    </row>
    <row r="8642" spans="1:9">
      <c r="A8642" s="108" t="s">
        <v>16151</v>
      </c>
      <c r="B8642" s="108" t="s">
        <v>4564</v>
      </c>
      <c r="C8642" s="109">
        <v>45064</v>
      </c>
      <c r="D8642" s="108" t="s">
        <v>4565</v>
      </c>
      <c r="E8642" s="108" t="s">
        <v>14605</v>
      </c>
      <c r="F8642" s="108" t="s">
        <v>4559</v>
      </c>
      <c r="G8642" s="109">
        <v>45935</v>
      </c>
      <c r="H8642" s="108" t="s">
        <v>25458</v>
      </c>
      <c r="I8642" s="108" t="s">
        <v>95</v>
      </c>
    </row>
    <row r="8643" spans="1:9">
      <c r="A8643" s="108" t="s">
        <v>16151</v>
      </c>
      <c r="B8643" s="108" t="s">
        <v>3363</v>
      </c>
      <c r="C8643" s="109">
        <v>45096</v>
      </c>
      <c r="D8643" s="108" t="s">
        <v>3364</v>
      </c>
      <c r="E8643" s="108" t="s">
        <v>14605</v>
      </c>
      <c r="F8643" s="108" t="s">
        <v>14672</v>
      </c>
      <c r="G8643" s="109">
        <v>45849</v>
      </c>
      <c r="H8643" s="108" t="s">
        <v>25458</v>
      </c>
      <c r="I8643" s="108" t="s">
        <v>95</v>
      </c>
    </row>
    <row r="8644" spans="1:9">
      <c r="A8644" s="108" t="s">
        <v>16151</v>
      </c>
      <c r="B8644" s="108" t="s">
        <v>1578</v>
      </c>
      <c r="C8644" s="109">
        <v>45015</v>
      </c>
      <c r="D8644" s="108" t="s">
        <v>1579</v>
      </c>
      <c r="E8644" s="108" t="s">
        <v>14605</v>
      </c>
      <c r="F8644" s="108" t="s">
        <v>1577</v>
      </c>
      <c r="G8644" s="109">
        <v>45945</v>
      </c>
      <c r="H8644" s="108" t="s">
        <v>25458</v>
      </c>
      <c r="I8644" s="108" t="s">
        <v>95</v>
      </c>
    </row>
    <row r="8645" spans="1:9" ht="27.6">
      <c r="A8645" s="108" t="s">
        <v>16151</v>
      </c>
      <c r="B8645" s="108" t="s">
        <v>1680</v>
      </c>
      <c r="C8645" s="109">
        <v>45043</v>
      </c>
      <c r="D8645" s="108" t="s">
        <v>1682</v>
      </c>
      <c r="E8645" s="108" t="s">
        <v>14605</v>
      </c>
      <c r="F8645" s="108" t="s">
        <v>1681</v>
      </c>
      <c r="G8645" s="109">
        <v>46162</v>
      </c>
      <c r="H8645" s="108" t="s">
        <v>25458</v>
      </c>
      <c r="I8645" s="108" t="s">
        <v>95</v>
      </c>
    </row>
    <row r="8646" spans="1:9">
      <c r="A8646" s="108" t="s">
        <v>16151</v>
      </c>
      <c r="B8646" s="108" t="s">
        <v>5312</v>
      </c>
      <c r="C8646" s="109">
        <v>45034</v>
      </c>
      <c r="D8646" s="108" t="s">
        <v>5313</v>
      </c>
      <c r="E8646" s="108" t="s">
        <v>14605</v>
      </c>
      <c r="F8646" s="108" t="s">
        <v>15021</v>
      </c>
      <c r="G8646" s="109">
        <v>45900</v>
      </c>
      <c r="H8646" s="108" t="s">
        <v>25458</v>
      </c>
      <c r="I8646" s="108" t="s">
        <v>95</v>
      </c>
    </row>
    <row r="8647" spans="1:9">
      <c r="A8647" s="108" t="s">
        <v>16151</v>
      </c>
      <c r="B8647" s="108" t="s">
        <v>4517</v>
      </c>
      <c r="C8647" s="109">
        <v>45030</v>
      </c>
      <c r="D8647" s="108" t="s">
        <v>4518</v>
      </c>
      <c r="E8647" s="108" t="s">
        <v>14605</v>
      </c>
      <c r="F8647" s="108" t="s">
        <v>4515</v>
      </c>
      <c r="G8647" s="109">
        <v>46144</v>
      </c>
      <c r="H8647" s="108" t="s">
        <v>25458</v>
      </c>
      <c r="I8647" s="108" t="s">
        <v>95</v>
      </c>
    </row>
    <row r="8648" spans="1:9">
      <c r="A8648" s="108" t="s">
        <v>16151</v>
      </c>
      <c r="B8648" s="108" t="s">
        <v>765</v>
      </c>
      <c r="C8648" s="109">
        <v>45028</v>
      </c>
      <c r="D8648" s="108" t="s">
        <v>767</v>
      </c>
      <c r="E8648" s="108" t="s">
        <v>14605</v>
      </c>
      <c r="F8648" s="108" t="s">
        <v>766</v>
      </c>
      <c r="G8648" s="109">
        <v>46139</v>
      </c>
      <c r="H8648" s="108" t="s">
        <v>25458</v>
      </c>
      <c r="I8648" s="108" t="s">
        <v>95</v>
      </c>
    </row>
    <row r="8649" spans="1:9" ht="27.6">
      <c r="A8649" s="108" t="s">
        <v>16151</v>
      </c>
      <c r="B8649" s="108" t="s">
        <v>1774</v>
      </c>
      <c r="C8649" s="109">
        <v>45261</v>
      </c>
      <c r="D8649" s="108" t="s">
        <v>1775</v>
      </c>
      <c r="E8649" s="108" t="s">
        <v>14605</v>
      </c>
      <c r="F8649" s="108" t="s">
        <v>1770</v>
      </c>
      <c r="G8649" s="109">
        <v>45991</v>
      </c>
      <c r="H8649" s="108" t="s">
        <v>25458</v>
      </c>
      <c r="I8649" s="108" t="s">
        <v>95</v>
      </c>
    </row>
    <row r="8650" spans="1:9">
      <c r="A8650" s="108" t="s">
        <v>16151</v>
      </c>
      <c r="B8650" s="108" t="s">
        <v>3589</v>
      </c>
      <c r="C8650" s="109">
        <v>45068</v>
      </c>
      <c r="D8650" s="108" t="s">
        <v>3590</v>
      </c>
      <c r="E8650" s="108" t="s">
        <v>14605</v>
      </c>
      <c r="F8650" s="108" t="s">
        <v>3587</v>
      </c>
      <c r="G8650" s="109">
        <v>46112</v>
      </c>
      <c r="H8650" s="108" t="s">
        <v>25458</v>
      </c>
      <c r="I8650" s="108" t="s">
        <v>95</v>
      </c>
    </row>
    <row r="8651" spans="1:9">
      <c r="A8651" s="108" t="s">
        <v>16151</v>
      </c>
      <c r="B8651" s="108" t="s">
        <v>1188</v>
      </c>
      <c r="C8651" s="109">
        <v>45050</v>
      </c>
      <c r="D8651" s="108" t="s">
        <v>1189</v>
      </c>
      <c r="E8651" s="108" t="s">
        <v>14605</v>
      </c>
      <c r="F8651" s="108" t="s">
        <v>25913</v>
      </c>
      <c r="G8651" s="109">
        <v>46084</v>
      </c>
      <c r="H8651" s="108" t="s">
        <v>25458</v>
      </c>
      <c r="I8651" s="108" t="s">
        <v>95</v>
      </c>
    </row>
    <row r="8652" spans="1:9" ht="27.6">
      <c r="A8652" s="108" t="s">
        <v>16151</v>
      </c>
      <c r="B8652" s="108" t="s">
        <v>391</v>
      </c>
      <c r="C8652" s="109">
        <v>45145</v>
      </c>
      <c r="D8652" s="108" t="s">
        <v>392</v>
      </c>
      <c r="E8652" s="108" t="s">
        <v>14605</v>
      </c>
      <c r="F8652" s="108" t="s">
        <v>390</v>
      </c>
      <c r="G8652" s="109">
        <v>45895</v>
      </c>
      <c r="H8652" s="108" t="s">
        <v>25458</v>
      </c>
      <c r="I8652" s="108" t="s">
        <v>95</v>
      </c>
    </row>
    <row r="8653" spans="1:9">
      <c r="A8653" s="108" t="s">
        <v>16151</v>
      </c>
      <c r="B8653" s="108" t="s">
        <v>2145</v>
      </c>
      <c r="C8653" s="109">
        <v>45077</v>
      </c>
      <c r="D8653" s="108" t="s">
        <v>2147</v>
      </c>
      <c r="E8653" s="108" t="s">
        <v>14605</v>
      </c>
      <c r="F8653" s="108" t="s">
        <v>2146</v>
      </c>
      <c r="G8653" s="109">
        <v>46167</v>
      </c>
      <c r="H8653" s="108" t="s">
        <v>25458</v>
      </c>
      <c r="I8653" s="108" t="s">
        <v>95</v>
      </c>
    </row>
    <row r="8654" spans="1:9">
      <c r="A8654" s="108" t="s">
        <v>16151</v>
      </c>
      <c r="B8654" s="108" t="s">
        <v>4736</v>
      </c>
      <c r="C8654" s="109">
        <v>45086</v>
      </c>
      <c r="D8654" s="108" t="s">
        <v>4737</v>
      </c>
      <c r="E8654" s="108" t="s">
        <v>14605</v>
      </c>
      <c r="F8654" s="108" t="s">
        <v>4732</v>
      </c>
      <c r="G8654" s="109">
        <v>46198</v>
      </c>
      <c r="H8654" s="108" t="s">
        <v>25458</v>
      </c>
      <c r="I8654" s="108" t="s">
        <v>95</v>
      </c>
    </row>
    <row r="8655" spans="1:9">
      <c r="A8655" s="108" t="s">
        <v>16151</v>
      </c>
      <c r="B8655" s="108" t="s">
        <v>4389</v>
      </c>
      <c r="C8655" s="109">
        <v>45072</v>
      </c>
      <c r="D8655" s="108" t="s">
        <v>4391</v>
      </c>
      <c r="E8655" s="108" t="s">
        <v>14605</v>
      </c>
      <c r="F8655" s="108" t="s">
        <v>4390</v>
      </c>
      <c r="G8655" s="109">
        <v>46899</v>
      </c>
      <c r="H8655" s="108" t="s">
        <v>25458</v>
      </c>
      <c r="I8655" s="108" t="s">
        <v>95</v>
      </c>
    </row>
    <row r="8656" spans="1:9">
      <c r="A8656" s="108" t="s">
        <v>16151</v>
      </c>
      <c r="B8656" s="108" t="s">
        <v>3586</v>
      </c>
      <c r="C8656" s="109">
        <v>45083</v>
      </c>
      <c r="D8656" s="108" t="s">
        <v>3588</v>
      </c>
      <c r="E8656" s="108" t="s">
        <v>14605</v>
      </c>
      <c r="F8656" s="108" t="s">
        <v>3587</v>
      </c>
      <c r="G8656" s="109">
        <v>46112</v>
      </c>
      <c r="H8656" s="108" t="s">
        <v>25458</v>
      </c>
      <c r="I8656" s="108" t="s">
        <v>95</v>
      </c>
    </row>
    <row r="8657" spans="1:9">
      <c r="A8657" s="108" t="s">
        <v>16151</v>
      </c>
      <c r="B8657" s="108" t="s">
        <v>1206</v>
      </c>
      <c r="C8657" s="109">
        <v>45086</v>
      </c>
      <c r="D8657" s="108" t="s">
        <v>1207</v>
      </c>
      <c r="E8657" s="108" t="s">
        <v>14605</v>
      </c>
      <c r="F8657" s="108" t="s">
        <v>1204</v>
      </c>
      <c r="G8657" s="109">
        <v>46203</v>
      </c>
      <c r="H8657" s="108" t="s">
        <v>25458</v>
      </c>
      <c r="I8657" s="108" t="s">
        <v>95</v>
      </c>
    </row>
    <row r="8658" spans="1:9">
      <c r="A8658" s="108" t="s">
        <v>16151</v>
      </c>
      <c r="B8658" s="108" t="s">
        <v>3691</v>
      </c>
      <c r="C8658" s="109">
        <v>45084</v>
      </c>
      <c r="D8658" s="108" t="s">
        <v>3692</v>
      </c>
      <c r="E8658" s="108" t="s">
        <v>14605</v>
      </c>
      <c r="F8658" s="108" t="s">
        <v>3687</v>
      </c>
      <c r="G8658" s="109">
        <v>46166</v>
      </c>
      <c r="H8658" s="108" t="s">
        <v>25458</v>
      </c>
      <c r="I8658" s="108" t="s">
        <v>95</v>
      </c>
    </row>
    <row r="8659" spans="1:9">
      <c r="A8659" s="108" t="s">
        <v>16151</v>
      </c>
      <c r="B8659" s="108" t="s">
        <v>3212</v>
      </c>
      <c r="C8659" s="109">
        <v>45058</v>
      </c>
      <c r="D8659" s="108" t="s">
        <v>3213</v>
      </c>
      <c r="E8659" s="108" t="s">
        <v>14605</v>
      </c>
      <c r="F8659" s="108" t="s">
        <v>3210</v>
      </c>
      <c r="G8659" s="109">
        <v>46173</v>
      </c>
      <c r="H8659" s="108" t="s">
        <v>25458</v>
      </c>
      <c r="I8659" s="108" t="s">
        <v>95</v>
      </c>
    </row>
    <row r="8660" spans="1:9">
      <c r="A8660" s="108" t="s">
        <v>16151</v>
      </c>
      <c r="B8660" s="108" t="s">
        <v>2341</v>
      </c>
      <c r="C8660" s="109">
        <v>45230</v>
      </c>
      <c r="D8660" s="108" t="s">
        <v>2343</v>
      </c>
      <c r="E8660" s="108" t="s">
        <v>14605</v>
      </c>
      <c r="F8660" s="108" t="s">
        <v>2342</v>
      </c>
      <c r="G8660" s="109">
        <v>46230</v>
      </c>
      <c r="H8660" s="108" t="s">
        <v>25458</v>
      </c>
      <c r="I8660" s="108" t="s">
        <v>95</v>
      </c>
    </row>
    <row r="8661" spans="1:9">
      <c r="A8661" s="108" t="s">
        <v>16151</v>
      </c>
      <c r="B8661" s="108" t="s">
        <v>41</v>
      </c>
      <c r="C8661" s="109">
        <v>45099</v>
      </c>
      <c r="D8661" s="108" t="s">
        <v>3350</v>
      </c>
      <c r="E8661" s="108" t="s">
        <v>14605</v>
      </c>
      <c r="F8661" s="108" t="s">
        <v>3349</v>
      </c>
      <c r="G8661" s="109">
        <v>46197</v>
      </c>
      <c r="H8661" s="108" t="s">
        <v>25458</v>
      </c>
      <c r="I8661" s="108" t="s">
        <v>95</v>
      </c>
    </row>
    <row r="8662" spans="1:9">
      <c r="A8662" s="108" t="s">
        <v>16151</v>
      </c>
      <c r="B8662" s="108" t="s">
        <v>5165</v>
      </c>
      <c r="C8662" s="109">
        <v>45106</v>
      </c>
      <c r="D8662" s="108" t="s">
        <v>5166</v>
      </c>
      <c r="E8662" s="108" t="s">
        <v>14605</v>
      </c>
      <c r="F8662" s="108" t="s">
        <v>5145</v>
      </c>
      <c r="G8662" s="109">
        <v>46226</v>
      </c>
      <c r="H8662" s="108" t="s">
        <v>25458</v>
      </c>
      <c r="I8662" s="108" t="s">
        <v>95</v>
      </c>
    </row>
    <row r="8663" spans="1:9">
      <c r="A8663" s="108" t="s">
        <v>16151</v>
      </c>
      <c r="B8663" s="108" t="s">
        <v>2702</v>
      </c>
      <c r="C8663" s="109">
        <v>45114</v>
      </c>
      <c r="D8663" s="108" t="s">
        <v>2703</v>
      </c>
      <c r="E8663" s="108" t="s">
        <v>14605</v>
      </c>
      <c r="F8663" s="108" t="s">
        <v>2694</v>
      </c>
      <c r="G8663" s="109">
        <v>46022</v>
      </c>
      <c r="H8663" s="108" t="s">
        <v>25458</v>
      </c>
      <c r="I8663" s="108" t="s">
        <v>95</v>
      </c>
    </row>
    <row r="8664" spans="1:9">
      <c r="A8664" s="108" t="s">
        <v>16151</v>
      </c>
      <c r="B8664" s="108" t="s">
        <v>1234</v>
      </c>
      <c r="C8664" s="109">
        <v>45092</v>
      </c>
      <c r="D8664" s="108" t="s">
        <v>1235</v>
      </c>
      <c r="E8664" s="108" t="s">
        <v>14605</v>
      </c>
      <c r="F8664" s="108" t="s">
        <v>1228</v>
      </c>
      <c r="G8664" s="109">
        <v>46208</v>
      </c>
      <c r="H8664" s="108" t="s">
        <v>25458</v>
      </c>
      <c r="I8664" s="108" t="s">
        <v>95</v>
      </c>
    </row>
    <row r="8665" spans="1:9" ht="27.6">
      <c r="A8665" s="108" t="s">
        <v>16151</v>
      </c>
      <c r="B8665" s="108" t="s">
        <v>3723</v>
      </c>
      <c r="C8665" s="109">
        <v>45223</v>
      </c>
      <c r="D8665" s="108" t="s">
        <v>3725</v>
      </c>
      <c r="E8665" s="108" t="s">
        <v>14605</v>
      </c>
      <c r="F8665" s="108" t="s">
        <v>3724</v>
      </c>
      <c r="G8665" s="109">
        <v>46218</v>
      </c>
      <c r="H8665" s="108" t="s">
        <v>25458</v>
      </c>
      <c r="I8665" s="108" t="s">
        <v>95</v>
      </c>
    </row>
    <row r="8666" spans="1:9">
      <c r="A8666" s="108" t="s">
        <v>16151</v>
      </c>
      <c r="B8666" s="108" t="s">
        <v>2700</v>
      </c>
      <c r="C8666" s="109">
        <v>45114</v>
      </c>
      <c r="D8666" s="108" t="s">
        <v>2701</v>
      </c>
      <c r="E8666" s="108" t="s">
        <v>14605</v>
      </c>
      <c r="F8666" s="108" t="s">
        <v>2694</v>
      </c>
      <c r="G8666" s="109">
        <v>46022</v>
      </c>
      <c r="H8666" s="108" t="s">
        <v>25458</v>
      </c>
      <c r="I8666" s="108" t="s">
        <v>95</v>
      </c>
    </row>
    <row r="8667" spans="1:9" ht="27.6">
      <c r="A8667" s="108" t="s">
        <v>16151</v>
      </c>
      <c r="B8667" s="108" t="s">
        <v>3548</v>
      </c>
      <c r="C8667" s="109">
        <v>45118</v>
      </c>
      <c r="D8667" s="108" t="s">
        <v>3550</v>
      </c>
      <c r="E8667" s="108" t="s">
        <v>14605</v>
      </c>
      <c r="F8667" s="108" t="s">
        <v>3549</v>
      </c>
      <c r="G8667" s="109">
        <v>46947</v>
      </c>
      <c r="H8667" s="108" t="s">
        <v>25458</v>
      </c>
      <c r="I8667" s="108" t="s">
        <v>95</v>
      </c>
    </row>
    <row r="8668" spans="1:9" ht="27.6">
      <c r="A8668" s="108" t="s">
        <v>16151</v>
      </c>
      <c r="B8668" s="108" t="s">
        <v>2835</v>
      </c>
      <c r="C8668" s="109">
        <v>45125</v>
      </c>
      <c r="D8668" s="108" t="s">
        <v>2837</v>
      </c>
      <c r="E8668" s="108" t="s">
        <v>14605</v>
      </c>
      <c r="F8668" s="108" t="s">
        <v>2836</v>
      </c>
      <c r="G8668" s="109">
        <v>46956</v>
      </c>
      <c r="H8668" s="108" t="s">
        <v>25458</v>
      </c>
      <c r="I8668" s="108" t="s">
        <v>95</v>
      </c>
    </row>
    <row r="8669" spans="1:9">
      <c r="A8669" s="108" t="s">
        <v>16151</v>
      </c>
      <c r="B8669" s="108" t="s">
        <v>275</v>
      </c>
      <c r="C8669" s="109">
        <v>45149</v>
      </c>
      <c r="D8669" s="108" t="s">
        <v>277</v>
      </c>
      <c r="E8669" s="108" t="s">
        <v>14605</v>
      </c>
      <c r="F8669" s="108" t="s">
        <v>276</v>
      </c>
      <c r="G8669" s="109">
        <v>46223</v>
      </c>
      <c r="H8669" s="108" t="s">
        <v>25458</v>
      </c>
      <c r="I8669" s="108" t="s">
        <v>95</v>
      </c>
    </row>
    <row r="8670" spans="1:9" ht="27.6">
      <c r="A8670" s="108" t="s">
        <v>16151</v>
      </c>
      <c r="B8670" s="108" t="s">
        <v>1772</v>
      </c>
      <c r="C8670" s="109">
        <v>45223</v>
      </c>
      <c r="D8670" s="108" t="s">
        <v>1773</v>
      </c>
      <c r="E8670" s="108" t="s">
        <v>14605</v>
      </c>
      <c r="F8670" s="108" t="s">
        <v>1770</v>
      </c>
      <c r="G8670" s="109">
        <v>46595</v>
      </c>
      <c r="H8670" s="108" t="s">
        <v>25458</v>
      </c>
      <c r="I8670" s="108" t="s">
        <v>95</v>
      </c>
    </row>
    <row r="8671" spans="1:9" ht="27.6">
      <c r="A8671" s="108" t="s">
        <v>16151</v>
      </c>
      <c r="B8671" s="108" t="s">
        <v>1964</v>
      </c>
      <c r="C8671" s="109">
        <v>45365</v>
      </c>
      <c r="D8671" s="108" t="s">
        <v>1965</v>
      </c>
      <c r="E8671" s="108" t="s">
        <v>14605</v>
      </c>
      <c r="F8671" s="108" t="s">
        <v>16674</v>
      </c>
      <c r="G8671" s="109">
        <v>46022</v>
      </c>
      <c r="H8671" s="108" t="s">
        <v>25458</v>
      </c>
      <c r="I8671" s="108" t="s">
        <v>95</v>
      </c>
    </row>
    <row r="8672" spans="1:9">
      <c r="A8672" s="108" t="s">
        <v>16151</v>
      </c>
      <c r="B8672" s="108" t="s">
        <v>1306</v>
      </c>
      <c r="C8672" s="109">
        <v>45132</v>
      </c>
      <c r="D8672" s="108" t="s">
        <v>1308</v>
      </c>
      <c r="E8672" s="108" t="s">
        <v>14605</v>
      </c>
      <c r="F8672" s="108" t="s">
        <v>1307</v>
      </c>
      <c r="G8672" s="109">
        <v>46230</v>
      </c>
      <c r="H8672" s="108" t="s">
        <v>25458</v>
      </c>
      <c r="I8672" s="108" t="s">
        <v>95</v>
      </c>
    </row>
    <row r="8673" spans="1:9" ht="27.6">
      <c r="A8673" s="108" t="s">
        <v>16151</v>
      </c>
      <c r="B8673" s="108" t="s">
        <v>2789</v>
      </c>
      <c r="C8673" s="109">
        <v>45238</v>
      </c>
      <c r="D8673" s="108" t="s">
        <v>2791</v>
      </c>
      <c r="E8673" s="108" t="s">
        <v>14605</v>
      </c>
      <c r="F8673" s="108" t="s">
        <v>2790</v>
      </c>
      <c r="G8673" s="109">
        <v>46331</v>
      </c>
      <c r="H8673" s="108" t="s">
        <v>25458</v>
      </c>
      <c r="I8673" s="108" t="s">
        <v>95</v>
      </c>
    </row>
    <row r="8674" spans="1:9">
      <c r="A8674" s="108" t="s">
        <v>16151</v>
      </c>
      <c r="B8674" s="108" t="s">
        <v>2855</v>
      </c>
      <c r="C8674" s="109">
        <v>45177</v>
      </c>
      <c r="D8674" s="108" t="s">
        <v>2856</v>
      </c>
      <c r="E8674" s="108" t="s">
        <v>14605</v>
      </c>
      <c r="F8674" s="108" t="s">
        <v>2853</v>
      </c>
      <c r="G8674" s="109">
        <v>45907</v>
      </c>
      <c r="H8674" s="108" t="s">
        <v>25458</v>
      </c>
      <c r="I8674" s="108" t="s">
        <v>95</v>
      </c>
    </row>
    <row r="8675" spans="1:9">
      <c r="A8675" s="108" t="s">
        <v>16151</v>
      </c>
      <c r="B8675" s="108" t="s">
        <v>5297</v>
      </c>
      <c r="C8675" s="109">
        <v>45154</v>
      </c>
      <c r="D8675" s="108" t="s">
        <v>5299</v>
      </c>
      <c r="E8675" s="108" t="s">
        <v>14605</v>
      </c>
      <c r="F8675" s="108" t="s">
        <v>5298</v>
      </c>
      <c r="G8675" s="109">
        <v>45904</v>
      </c>
      <c r="H8675" s="108" t="s">
        <v>25458</v>
      </c>
      <c r="I8675" s="108" t="s">
        <v>95</v>
      </c>
    </row>
    <row r="8676" spans="1:9">
      <c r="A8676" s="108" t="s">
        <v>16151</v>
      </c>
      <c r="B8676" s="108" t="s">
        <v>3043</v>
      </c>
      <c r="C8676" s="109">
        <v>45165</v>
      </c>
      <c r="D8676" s="108" t="s">
        <v>3045</v>
      </c>
      <c r="E8676" s="108" t="s">
        <v>14605</v>
      </c>
      <c r="F8676" s="108" t="s">
        <v>3044</v>
      </c>
      <c r="G8676" s="109">
        <v>45901</v>
      </c>
      <c r="H8676" s="108" t="s">
        <v>25458</v>
      </c>
      <c r="I8676" s="108" t="s">
        <v>95</v>
      </c>
    </row>
    <row r="8677" spans="1:9">
      <c r="A8677" s="108" t="s">
        <v>16151</v>
      </c>
      <c r="B8677" s="108" t="s">
        <v>678</v>
      </c>
      <c r="C8677" s="109">
        <v>45205</v>
      </c>
      <c r="D8677" s="108" t="s">
        <v>680</v>
      </c>
      <c r="E8677" s="108" t="s">
        <v>14605</v>
      </c>
      <c r="F8677" s="108" t="s">
        <v>679</v>
      </c>
      <c r="G8677" s="109">
        <v>46022</v>
      </c>
      <c r="H8677" s="108" t="s">
        <v>25458</v>
      </c>
      <c r="I8677" s="108" t="s">
        <v>95</v>
      </c>
    </row>
    <row r="8678" spans="1:9" ht="27.6">
      <c r="A8678" s="108" t="s">
        <v>16151</v>
      </c>
      <c r="B8678" s="108" t="s">
        <v>396</v>
      </c>
      <c r="C8678" s="109">
        <v>45141</v>
      </c>
      <c r="D8678" s="108" t="s">
        <v>397</v>
      </c>
      <c r="E8678" s="108" t="s">
        <v>14605</v>
      </c>
      <c r="F8678" s="108" t="s">
        <v>394</v>
      </c>
      <c r="G8678" s="109">
        <v>46022</v>
      </c>
      <c r="H8678" s="108" t="s">
        <v>25458</v>
      </c>
      <c r="I8678" s="108" t="s">
        <v>95</v>
      </c>
    </row>
    <row r="8679" spans="1:9">
      <c r="A8679" s="108" t="s">
        <v>16151</v>
      </c>
      <c r="B8679" s="108" t="s">
        <v>1546</v>
      </c>
      <c r="C8679" s="109">
        <v>45161</v>
      </c>
      <c r="D8679" s="108" t="s">
        <v>1548</v>
      </c>
      <c r="E8679" s="108" t="s">
        <v>14605</v>
      </c>
      <c r="F8679" s="108" t="s">
        <v>1547</v>
      </c>
      <c r="G8679" s="109">
        <v>46156</v>
      </c>
      <c r="H8679" s="108" t="s">
        <v>25458</v>
      </c>
      <c r="I8679" s="108" t="s">
        <v>95</v>
      </c>
    </row>
    <row r="8680" spans="1:9">
      <c r="A8680" s="108" t="s">
        <v>16151</v>
      </c>
      <c r="B8680" s="108" t="s">
        <v>3801</v>
      </c>
      <c r="C8680" s="109">
        <v>45244</v>
      </c>
      <c r="D8680" s="108" t="s">
        <v>3803</v>
      </c>
      <c r="E8680" s="108" t="s">
        <v>14605</v>
      </c>
      <c r="F8680" s="108" t="s">
        <v>3802</v>
      </c>
      <c r="G8680" s="109">
        <v>46216</v>
      </c>
      <c r="H8680" s="108" t="s">
        <v>25458</v>
      </c>
      <c r="I8680" s="108" t="s">
        <v>95</v>
      </c>
    </row>
    <row r="8681" spans="1:9">
      <c r="A8681" s="108" t="s">
        <v>16151</v>
      </c>
      <c r="B8681" s="108" t="s">
        <v>3062</v>
      </c>
      <c r="C8681" s="109">
        <v>45170</v>
      </c>
      <c r="D8681" s="108" t="s">
        <v>3063</v>
      </c>
      <c r="E8681" s="108" t="s">
        <v>14605</v>
      </c>
      <c r="F8681" s="108" t="s">
        <v>3056</v>
      </c>
      <c r="G8681" s="109">
        <v>45913</v>
      </c>
      <c r="H8681" s="108" t="s">
        <v>25458</v>
      </c>
      <c r="I8681" s="108" t="s">
        <v>95</v>
      </c>
    </row>
    <row r="8682" spans="1:9">
      <c r="A8682" s="108" t="s">
        <v>16151</v>
      </c>
      <c r="B8682" s="108" t="s">
        <v>1344</v>
      </c>
      <c r="C8682" s="109">
        <v>45173</v>
      </c>
      <c r="D8682" s="108" t="s">
        <v>1345</v>
      </c>
      <c r="E8682" s="108" t="s">
        <v>14605</v>
      </c>
      <c r="F8682" s="108" t="s">
        <v>1338</v>
      </c>
      <c r="G8682" s="109">
        <v>45900</v>
      </c>
      <c r="H8682" s="108" t="s">
        <v>25458</v>
      </c>
      <c r="I8682" s="108" t="s">
        <v>95</v>
      </c>
    </row>
    <row r="8683" spans="1:9">
      <c r="A8683" s="108" t="s">
        <v>16151</v>
      </c>
      <c r="B8683" s="108" t="s">
        <v>3568</v>
      </c>
      <c r="C8683" s="109">
        <v>45175</v>
      </c>
      <c r="D8683" s="108" t="s">
        <v>3569</v>
      </c>
      <c r="E8683" s="108" t="s">
        <v>14605</v>
      </c>
      <c r="F8683" s="108" t="s">
        <v>15303</v>
      </c>
      <c r="G8683" s="109">
        <v>46112</v>
      </c>
      <c r="H8683" s="108" t="s">
        <v>25458</v>
      </c>
      <c r="I8683" s="108" t="s">
        <v>95</v>
      </c>
    </row>
    <row r="8684" spans="1:9">
      <c r="A8684" s="108" t="s">
        <v>16151</v>
      </c>
      <c r="B8684" s="108" t="s">
        <v>1203</v>
      </c>
      <c r="C8684" s="109">
        <v>45180</v>
      </c>
      <c r="D8684" s="108" t="s">
        <v>1205</v>
      </c>
      <c r="E8684" s="108" t="s">
        <v>14605</v>
      </c>
      <c r="F8684" s="108" t="s">
        <v>1204</v>
      </c>
      <c r="G8684" s="109">
        <v>45918</v>
      </c>
      <c r="H8684" s="108" t="s">
        <v>25458</v>
      </c>
      <c r="I8684" s="108" t="s">
        <v>95</v>
      </c>
    </row>
    <row r="8685" spans="1:9">
      <c r="A8685" s="108" t="s">
        <v>16151</v>
      </c>
      <c r="B8685" s="108" t="s">
        <v>3624</v>
      </c>
      <c r="C8685" s="109">
        <v>45176</v>
      </c>
      <c r="D8685" s="108" t="s">
        <v>3625</v>
      </c>
      <c r="E8685" s="108" t="s">
        <v>14605</v>
      </c>
      <c r="F8685" s="108" t="s">
        <v>3620</v>
      </c>
      <c r="G8685" s="109">
        <v>46088</v>
      </c>
      <c r="H8685" s="108" t="s">
        <v>25458</v>
      </c>
      <c r="I8685" s="108" t="s">
        <v>95</v>
      </c>
    </row>
    <row r="8686" spans="1:9">
      <c r="A8686" s="108" t="s">
        <v>16151</v>
      </c>
      <c r="B8686" s="108" t="s">
        <v>3622</v>
      </c>
      <c r="C8686" s="109">
        <v>45176</v>
      </c>
      <c r="D8686" s="108" t="s">
        <v>3623</v>
      </c>
      <c r="E8686" s="108" t="s">
        <v>14605</v>
      </c>
      <c r="F8686" s="108" t="s">
        <v>3620</v>
      </c>
      <c r="G8686" s="109">
        <v>46295</v>
      </c>
      <c r="H8686" s="108" t="s">
        <v>25458</v>
      </c>
      <c r="I8686" s="108" t="s">
        <v>95</v>
      </c>
    </row>
    <row r="8687" spans="1:9">
      <c r="A8687" s="108" t="s">
        <v>16151</v>
      </c>
      <c r="B8687" s="108" t="s">
        <v>5163</v>
      </c>
      <c r="C8687" s="109">
        <v>45261</v>
      </c>
      <c r="D8687" s="108" t="s">
        <v>5164</v>
      </c>
      <c r="E8687" s="108" t="s">
        <v>14605</v>
      </c>
      <c r="F8687" s="108" t="s">
        <v>5145</v>
      </c>
      <c r="G8687" s="109">
        <v>47044</v>
      </c>
      <c r="H8687" s="108" t="s">
        <v>25458</v>
      </c>
      <c r="I8687" s="108" t="s">
        <v>95</v>
      </c>
    </row>
    <row r="8688" spans="1:9">
      <c r="A8688" s="108" t="s">
        <v>16151</v>
      </c>
      <c r="B8688" s="108" t="s">
        <v>1342</v>
      </c>
      <c r="C8688" s="109">
        <v>45209</v>
      </c>
      <c r="D8688" s="108" t="s">
        <v>1343</v>
      </c>
      <c r="E8688" s="108" t="s">
        <v>14605</v>
      </c>
      <c r="F8688" s="108" t="s">
        <v>1338</v>
      </c>
      <c r="G8688" s="109">
        <v>45940</v>
      </c>
      <c r="H8688" s="108" t="s">
        <v>25458</v>
      </c>
      <c r="I8688" s="108" t="s">
        <v>95</v>
      </c>
    </row>
    <row r="8689" spans="1:9">
      <c r="A8689" s="108" t="s">
        <v>16151</v>
      </c>
      <c r="B8689" s="108" t="s">
        <v>5161</v>
      </c>
      <c r="C8689" s="109">
        <v>45273</v>
      </c>
      <c r="D8689" s="108" t="s">
        <v>5162</v>
      </c>
      <c r="E8689" s="108" t="s">
        <v>14605</v>
      </c>
      <c r="F8689" s="108" t="s">
        <v>5145</v>
      </c>
      <c r="G8689" s="109">
        <v>46313</v>
      </c>
      <c r="H8689" s="108" t="s">
        <v>25458</v>
      </c>
      <c r="I8689" s="108" t="s">
        <v>95</v>
      </c>
    </row>
    <row r="8690" spans="1:9">
      <c r="A8690" s="108" t="s">
        <v>16151</v>
      </c>
      <c r="B8690" s="108" t="s">
        <v>516</v>
      </c>
      <c r="C8690" s="109">
        <v>45222</v>
      </c>
      <c r="D8690" s="108" t="s">
        <v>518</v>
      </c>
      <c r="E8690" s="108" t="s">
        <v>14605</v>
      </c>
      <c r="F8690" s="108" t="s">
        <v>517</v>
      </c>
      <c r="G8690" s="109">
        <v>46039</v>
      </c>
      <c r="H8690" s="108" t="s">
        <v>25458</v>
      </c>
      <c r="I8690" s="108" t="s">
        <v>95</v>
      </c>
    </row>
    <row r="8691" spans="1:9" ht="27.6">
      <c r="A8691" s="108" t="s">
        <v>16151</v>
      </c>
      <c r="B8691" s="108" t="s">
        <v>3738</v>
      </c>
      <c r="C8691" s="109">
        <v>45231</v>
      </c>
      <c r="D8691" s="108" t="s">
        <v>3739</v>
      </c>
      <c r="E8691" s="108" t="s">
        <v>14605</v>
      </c>
      <c r="F8691" s="108" t="s">
        <v>3734</v>
      </c>
      <c r="G8691" s="109">
        <v>46222</v>
      </c>
      <c r="H8691" s="108" t="s">
        <v>25458</v>
      </c>
      <c r="I8691" s="108" t="s">
        <v>95</v>
      </c>
    </row>
    <row r="8692" spans="1:9">
      <c r="A8692" s="108" t="s">
        <v>16151</v>
      </c>
      <c r="B8692" s="108" t="s">
        <v>2537</v>
      </c>
      <c r="C8692" s="109">
        <v>45204</v>
      </c>
      <c r="D8692" s="108" t="s">
        <v>2539</v>
      </c>
      <c r="E8692" s="108" t="s">
        <v>14605</v>
      </c>
      <c r="F8692" s="108" t="s">
        <v>2538</v>
      </c>
      <c r="G8692" s="109">
        <v>45950</v>
      </c>
      <c r="H8692" s="108" t="s">
        <v>25458</v>
      </c>
      <c r="I8692" s="108" t="s">
        <v>95</v>
      </c>
    </row>
    <row r="8693" spans="1:9">
      <c r="A8693" s="108" t="s">
        <v>16151</v>
      </c>
      <c r="B8693" s="108" t="s">
        <v>1396</v>
      </c>
      <c r="C8693" s="109">
        <v>45237</v>
      </c>
      <c r="D8693" s="108" t="s">
        <v>1398</v>
      </c>
      <c r="E8693" s="108" t="s">
        <v>14605</v>
      </c>
      <c r="F8693" s="108" t="s">
        <v>1397</v>
      </c>
      <c r="G8693" s="109">
        <v>46141</v>
      </c>
      <c r="H8693" s="108" t="s">
        <v>25458</v>
      </c>
      <c r="I8693" s="108" t="s">
        <v>95</v>
      </c>
    </row>
    <row r="8694" spans="1:9">
      <c r="A8694" s="108" t="s">
        <v>16151</v>
      </c>
      <c r="B8694" s="108" t="s">
        <v>723</v>
      </c>
      <c r="C8694" s="109">
        <v>45233</v>
      </c>
      <c r="D8694" s="108" t="s">
        <v>725</v>
      </c>
      <c r="E8694" s="108" t="s">
        <v>14605</v>
      </c>
      <c r="F8694" s="108" t="s">
        <v>724</v>
      </c>
      <c r="G8694" s="109">
        <v>45957</v>
      </c>
      <c r="H8694" s="108" t="s">
        <v>25458</v>
      </c>
      <c r="I8694" s="108" t="s">
        <v>95</v>
      </c>
    </row>
    <row r="8695" spans="1:9" ht="27.6">
      <c r="A8695" s="108" t="s">
        <v>16151</v>
      </c>
      <c r="B8695" s="108" t="s">
        <v>3495</v>
      </c>
      <c r="C8695" s="109">
        <v>45228</v>
      </c>
      <c r="D8695" s="108" t="s">
        <v>3496</v>
      </c>
      <c r="E8695" s="108" t="s">
        <v>14605</v>
      </c>
      <c r="F8695" s="108" t="s">
        <v>3493</v>
      </c>
      <c r="G8695" s="109">
        <v>47047</v>
      </c>
      <c r="H8695" s="108" t="s">
        <v>25458</v>
      </c>
      <c r="I8695" s="108" t="s">
        <v>95</v>
      </c>
    </row>
    <row r="8696" spans="1:9">
      <c r="A8696" s="108" t="s">
        <v>16151</v>
      </c>
      <c r="B8696" s="108" t="s">
        <v>4691</v>
      </c>
      <c r="C8696" s="109">
        <v>45203</v>
      </c>
      <c r="D8696" s="108" t="s">
        <v>4692</v>
      </c>
      <c r="E8696" s="108" t="s">
        <v>14605</v>
      </c>
      <c r="F8696" s="108" t="s">
        <v>26000</v>
      </c>
      <c r="G8696" s="109">
        <v>45952</v>
      </c>
      <c r="H8696" s="108" t="s">
        <v>25458</v>
      </c>
      <c r="I8696" s="108" t="s">
        <v>95</v>
      </c>
    </row>
    <row r="8697" spans="1:9">
      <c r="A8697" s="108" t="s">
        <v>16151</v>
      </c>
      <c r="B8697" s="108" t="s">
        <v>3283</v>
      </c>
      <c r="C8697" s="109">
        <v>45300</v>
      </c>
      <c r="D8697" s="108" t="s">
        <v>3285</v>
      </c>
      <c r="E8697" s="108" t="s">
        <v>14605</v>
      </c>
      <c r="F8697" s="108" t="s">
        <v>3284</v>
      </c>
      <c r="G8697" s="109">
        <v>47490</v>
      </c>
      <c r="H8697" s="108" t="s">
        <v>25458</v>
      </c>
      <c r="I8697" s="108" t="s">
        <v>95</v>
      </c>
    </row>
    <row r="8698" spans="1:9">
      <c r="A8698" s="108" t="s">
        <v>16151</v>
      </c>
      <c r="B8698" s="108" t="s">
        <v>716</v>
      </c>
      <c r="C8698" s="109">
        <v>45205</v>
      </c>
      <c r="D8698" s="108" t="s">
        <v>717</v>
      </c>
      <c r="E8698" s="108" t="s">
        <v>14605</v>
      </c>
      <c r="F8698" s="108" t="s">
        <v>714</v>
      </c>
      <c r="G8698" s="109">
        <v>45957</v>
      </c>
      <c r="H8698" s="108" t="s">
        <v>25458</v>
      </c>
      <c r="I8698" s="108" t="s">
        <v>95</v>
      </c>
    </row>
    <row r="8699" spans="1:9">
      <c r="A8699" s="108" t="s">
        <v>16151</v>
      </c>
      <c r="B8699" s="108" t="s">
        <v>3819</v>
      </c>
      <c r="C8699" s="109">
        <v>45372</v>
      </c>
      <c r="D8699" s="108" t="s">
        <v>3820</v>
      </c>
      <c r="E8699" s="108" t="s">
        <v>14605</v>
      </c>
      <c r="F8699" s="108" t="s">
        <v>3817</v>
      </c>
      <c r="G8699" s="109">
        <v>45958</v>
      </c>
      <c r="H8699" s="108" t="s">
        <v>25458</v>
      </c>
      <c r="I8699" s="108" t="s">
        <v>95</v>
      </c>
    </row>
    <row r="8700" spans="1:9">
      <c r="A8700" s="108" t="s">
        <v>16151</v>
      </c>
      <c r="B8700" s="108" t="s">
        <v>5051</v>
      </c>
      <c r="C8700" s="109">
        <v>45240</v>
      </c>
      <c r="D8700" s="108" t="s">
        <v>5053</v>
      </c>
      <c r="E8700" s="108" t="s">
        <v>14605</v>
      </c>
      <c r="F8700" s="108" t="s">
        <v>5052</v>
      </c>
      <c r="G8700" s="109">
        <v>46687</v>
      </c>
      <c r="H8700" s="108" t="s">
        <v>25458</v>
      </c>
      <c r="I8700" s="108" t="s">
        <v>95</v>
      </c>
    </row>
    <row r="8701" spans="1:9">
      <c r="A8701" s="108" t="s">
        <v>16151</v>
      </c>
      <c r="B8701" s="108" t="s">
        <v>3816</v>
      </c>
      <c r="C8701" s="109">
        <v>45372</v>
      </c>
      <c r="D8701" s="108" t="s">
        <v>3818</v>
      </c>
      <c r="E8701" s="108" t="s">
        <v>14605</v>
      </c>
      <c r="F8701" s="108" t="s">
        <v>3817</v>
      </c>
      <c r="G8701" s="109">
        <v>46112</v>
      </c>
      <c r="H8701" s="108" t="s">
        <v>25458</v>
      </c>
      <c r="I8701" s="108" t="s">
        <v>95</v>
      </c>
    </row>
    <row r="8702" spans="1:9">
      <c r="A8702" s="108" t="s">
        <v>16151</v>
      </c>
      <c r="B8702" s="108" t="s">
        <v>3451</v>
      </c>
      <c r="C8702" s="109">
        <v>45207</v>
      </c>
      <c r="D8702" s="108" t="s">
        <v>3452</v>
      </c>
      <c r="E8702" s="108" t="s">
        <v>14605</v>
      </c>
      <c r="F8702" s="108" t="s">
        <v>3449</v>
      </c>
      <c r="G8702" s="109">
        <v>46022</v>
      </c>
      <c r="H8702" s="108" t="s">
        <v>25458</v>
      </c>
      <c r="I8702" s="108" t="s">
        <v>95</v>
      </c>
    </row>
    <row r="8703" spans="1:9">
      <c r="A8703" s="108" t="s">
        <v>16151</v>
      </c>
      <c r="B8703" s="108" t="s">
        <v>3448</v>
      </c>
      <c r="C8703" s="109">
        <v>45247</v>
      </c>
      <c r="D8703" s="108" t="s">
        <v>3450</v>
      </c>
      <c r="E8703" s="108" t="s">
        <v>14605</v>
      </c>
      <c r="F8703" s="108" t="s">
        <v>3449</v>
      </c>
      <c r="G8703" s="109">
        <v>46022</v>
      </c>
      <c r="H8703" s="108" t="s">
        <v>25458</v>
      </c>
      <c r="I8703" s="108" t="s">
        <v>95</v>
      </c>
    </row>
    <row r="8704" spans="1:9">
      <c r="A8704" s="108" t="s">
        <v>16151</v>
      </c>
      <c r="B8704" s="108" t="s">
        <v>3894</v>
      </c>
      <c r="C8704" s="109">
        <v>45230</v>
      </c>
      <c r="D8704" s="108" t="s">
        <v>3896</v>
      </c>
      <c r="E8704" s="108" t="s">
        <v>14605</v>
      </c>
      <c r="F8704" s="108" t="s">
        <v>3895</v>
      </c>
      <c r="G8704" s="109">
        <v>47080</v>
      </c>
      <c r="H8704" s="108" t="s">
        <v>25458</v>
      </c>
      <c r="I8704" s="108" t="s">
        <v>95</v>
      </c>
    </row>
    <row r="8705" spans="1:9">
      <c r="A8705" s="108" t="s">
        <v>16151</v>
      </c>
      <c r="B8705" s="108" t="s">
        <v>3556</v>
      </c>
      <c r="C8705" s="109">
        <v>45244</v>
      </c>
      <c r="D8705" s="108" t="s">
        <v>3557</v>
      </c>
      <c r="E8705" s="108" t="s">
        <v>14605</v>
      </c>
      <c r="F8705" s="108" t="s">
        <v>15251</v>
      </c>
      <c r="G8705" s="109">
        <v>45991</v>
      </c>
      <c r="H8705" s="108" t="s">
        <v>25458</v>
      </c>
      <c r="I8705" s="108" t="s">
        <v>95</v>
      </c>
    </row>
    <row r="8706" spans="1:9">
      <c r="A8706" s="108" t="s">
        <v>16151</v>
      </c>
      <c r="B8706" s="108" t="s">
        <v>2608</v>
      </c>
      <c r="C8706" s="109">
        <v>45279</v>
      </c>
      <c r="D8706" s="108" t="s">
        <v>2610</v>
      </c>
      <c r="E8706" s="108" t="s">
        <v>14605</v>
      </c>
      <c r="F8706" s="108" t="s">
        <v>2609</v>
      </c>
      <c r="G8706" s="109">
        <v>46008</v>
      </c>
      <c r="H8706" s="108" t="s">
        <v>25458</v>
      </c>
      <c r="I8706" s="108" t="s">
        <v>95</v>
      </c>
    </row>
    <row r="8707" spans="1:9">
      <c r="A8707" s="108" t="s">
        <v>16151</v>
      </c>
      <c r="B8707" s="108" t="s">
        <v>320</v>
      </c>
      <c r="C8707" s="109">
        <v>45282</v>
      </c>
      <c r="D8707" s="108" t="s">
        <v>322</v>
      </c>
      <c r="E8707" s="108" t="s">
        <v>14605</v>
      </c>
      <c r="F8707" s="108" t="s">
        <v>321</v>
      </c>
      <c r="G8707" s="109">
        <v>45990</v>
      </c>
      <c r="H8707" s="108" t="s">
        <v>25458</v>
      </c>
      <c r="I8707" s="108" t="s">
        <v>95</v>
      </c>
    </row>
    <row r="8708" spans="1:9">
      <c r="A8708" s="108" t="s">
        <v>16151</v>
      </c>
      <c r="B8708" s="108" t="s">
        <v>988</v>
      </c>
      <c r="C8708" s="109">
        <v>45348</v>
      </c>
      <c r="D8708" s="108" t="s">
        <v>989</v>
      </c>
      <c r="E8708" s="108" t="s">
        <v>14605</v>
      </c>
      <c r="F8708" s="108" t="s">
        <v>986</v>
      </c>
      <c r="G8708" s="109">
        <v>46444</v>
      </c>
      <c r="H8708" s="108" t="s">
        <v>25458</v>
      </c>
      <c r="I8708" s="108" t="s">
        <v>95</v>
      </c>
    </row>
    <row r="8709" spans="1:9">
      <c r="A8709" s="108" t="s">
        <v>16151</v>
      </c>
      <c r="B8709" s="108" t="s">
        <v>932</v>
      </c>
      <c r="C8709" s="109">
        <v>45258</v>
      </c>
      <c r="D8709" s="108" t="s">
        <v>934</v>
      </c>
      <c r="E8709" s="108" t="s">
        <v>14605</v>
      </c>
      <c r="F8709" s="108" t="s">
        <v>933</v>
      </c>
      <c r="G8709" s="109">
        <v>45995</v>
      </c>
      <c r="H8709" s="108" t="s">
        <v>25458</v>
      </c>
      <c r="I8709" s="108" t="s">
        <v>95</v>
      </c>
    </row>
    <row r="8710" spans="1:9">
      <c r="A8710" s="108" t="s">
        <v>16151</v>
      </c>
      <c r="B8710" s="108" t="s">
        <v>2698</v>
      </c>
      <c r="C8710" s="109">
        <v>45378</v>
      </c>
      <c r="D8710" s="108" t="s">
        <v>2699</v>
      </c>
      <c r="E8710" s="108" t="s">
        <v>14605</v>
      </c>
      <c r="F8710" s="108" t="s">
        <v>2694</v>
      </c>
      <c r="G8710" s="109">
        <v>45990</v>
      </c>
      <c r="H8710" s="108" t="s">
        <v>25458</v>
      </c>
      <c r="I8710" s="108" t="s">
        <v>95</v>
      </c>
    </row>
    <row r="8711" spans="1:9">
      <c r="A8711" s="108" t="s">
        <v>16151</v>
      </c>
      <c r="B8711" s="108" t="s">
        <v>713</v>
      </c>
      <c r="C8711" s="109">
        <v>45267</v>
      </c>
      <c r="D8711" s="108" t="s">
        <v>715</v>
      </c>
      <c r="E8711" s="108" t="s">
        <v>14605</v>
      </c>
      <c r="F8711" s="108" t="s">
        <v>714</v>
      </c>
      <c r="G8711" s="109">
        <v>46022</v>
      </c>
      <c r="H8711" s="108" t="s">
        <v>25458</v>
      </c>
      <c r="I8711" s="108" t="s">
        <v>95</v>
      </c>
    </row>
    <row r="8712" spans="1:9">
      <c r="A8712" s="108" t="s">
        <v>16151</v>
      </c>
      <c r="B8712" s="108" t="s">
        <v>2437</v>
      </c>
      <c r="C8712" s="109">
        <v>45294</v>
      </c>
      <c r="D8712" s="108" t="s">
        <v>2438</v>
      </c>
      <c r="E8712" s="108" t="s">
        <v>14605</v>
      </c>
      <c r="F8712" s="108" t="s">
        <v>2431</v>
      </c>
      <c r="G8712" s="109">
        <v>46022</v>
      </c>
      <c r="H8712" s="108" t="s">
        <v>25458</v>
      </c>
      <c r="I8712" s="108" t="s">
        <v>95</v>
      </c>
    </row>
    <row r="8713" spans="1:9">
      <c r="A8713" s="108" t="s">
        <v>16151</v>
      </c>
      <c r="B8713" s="108" t="s">
        <v>4607</v>
      </c>
      <c r="C8713" s="109">
        <v>45336</v>
      </c>
      <c r="D8713" s="108" t="s">
        <v>4609</v>
      </c>
      <c r="E8713" s="108" t="s">
        <v>14605</v>
      </c>
      <c r="F8713" s="108" t="s">
        <v>4608</v>
      </c>
      <c r="G8713" s="109">
        <v>47169</v>
      </c>
      <c r="H8713" s="108" t="s">
        <v>25458</v>
      </c>
      <c r="I8713" s="108" t="s">
        <v>95</v>
      </c>
    </row>
    <row r="8714" spans="1:9">
      <c r="A8714" s="108" t="s">
        <v>16151</v>
      </c>
      <c r="B8714" s="108" t="s">
        <v>360</v>
      </c>
      <c r="C8714" s="109">
        <v>45302</v>
      </c>
      <c r="D8714" s="108" t="s">
        <v>361</v>
      </c>
      <c r="E8714" s="108" t="s">
        <v>14605</v>
      </c>
      <c r="F8714" s="108" t="s">
        <v>358</v>
      </c>
      <c r="G8714" s="109">
        <v>46414</v>
      </c>
      <c r="H8714" s="108" t="s">
        <v>25458</v>
      </c>
      <c r="I8714" s="108" t="s">
        <v>95</v>
      </c>
    </row>
    <row r="8715" spans="1:9">
      <c r="A8715" s="108" t="s">
        <v>16151</v>
      </c>
      <c r="B8715" s="108" t="s">
        <v>650</v>
      </c>
      <c r="C8715" s="109">
        <v>45322</v>
      </c>
      <c r="D8715" s="108" t="s">
        <v>651</v>
      </c>
      <c r="E8715" s="108" t="s">
        <v>14605</v>
      </c>
      <c r="F8715" s="108" t="s">
        <v>26057</v>
      </c>
      <c r="G8715" s="109">
        <v>46160</v>
      </c>
      <c r="H8715" s="108" t="s">
        <v>25458</v>
      </c>
      <c r="I8715" s="108" t="s">
        <v>95</v>
      </c>
    </row>
    <row r="8716" spans="1:9" ht="27.6">
      <c r="A8716" s="108" t="s">
        <v>16151</v>
      </c>
      <c r="B8716" s="108" t="s">
        <v>693</v>
      </c>
      <c r="C8716" s="109">
        <v>45387</v>
      </c>
      <c r="D8716" s="108" t="s">
        <v>694</v>
      </c>
      <c r="E8716" s="108" t="s">
        <v>14605</v>
      </c>
      <c r="F8716" s="108" t="s">
        <v>691</v>
      </c>
      <c r="G8716" s="109">
        <v>46030</v>
      </c>
      <c r="H8716" s="108" t="s">
        <v>25458</v>
      </c>
      <c r="I8716" s="108" t="s">
        <v>95</v>
      </c>
    </row>
    <row r="8717" spans="1:9">
      <c r="A8717" s="108" t="s">
        <v>16151</v>
      </c>
      <c r="B8717" s="108" t="s">
        <v>357</v>
      </c>
      <c r="C8717" s="109">
        <v>45302</v>
      </c>
      <c r="D8717" s="108" t="s">
        <v>359</v>
      </c>
      <c r="E8717" s="108" t="s">
        <v>14605</v>
      </c>
      <c r="F8717" s="108" t="s">
        <v>358</v>
      </c>
      <c r="G8717" s="109">
        <v>46414</v>
      </c>
      <c r="H8717" s="108" t="s">
        <v>25458</v>
      </c>
      <c r="I8717" s="108" t="s">
        <v>95</v>
      </c>
    </row>
    <row r="8718" spans="1:9">
      <c r="A8718" s="108" t="s">
        <v>16151</v>
      </c>
      <c r="B8718" s="108" t="s">
        <v>3446</v>
      </c>
      <c r="C8718" s="109">
        <v>45380</v>
      </c>
      <c r="D8718" s="108" t="s">
        <v>3447</v>
      </c>
      <c r="E8718" s="108" t="s">
        <v>14605</v>
      </c>
      <c r="F8718" s="108" t="s">
        <v>3444</v>
      </c>
      <c r="G8718" s="109">
        <v>46118</v>
      </c>
      <c r="H8718" s="108" t="s">
        <v>25458</v>
      </c>
      <c r="I8718" s="108" t="s">
        <v>95</v>
      </c>
    </row>
    <row r="8719" spans="1:9" ht="27.6">
      <c r="A8719" s="108" t="s">
        <v>16151</v>
      </c>
      <c r="B8719" s="108" t="s">
        <v>4834</v>
      </c>
      <c r="C8719" s="109">
        <v>45391</v>
      </c>
      <c r="D8719" s="108" t="s">
        <v>4836</v>
      </c>
      <c r="E8719" s="108" t="s">
        <v>14605</v>
      </c>
      <c r="F8719" s="108" t="s">
        <v>4835</v>
      </c>
      <c r="G8719" s="109">
        <v>46502</v>
      </c>
      <c r="H8719" s="108" t="s">
        <v>25458</v>
      </c>
      <c r="I8719" s="108" t="s">
        <v>95</v>
      </c>
    </row>
    <row r="8720" spans="1:9">
      <c r="A8720" s="108" t="s">
        <v>16151</v>
      </c>
      <c r="B8720" s="108" t="s">
        <v>2162</v>
      </c>
      <c r="C8720" s="109">
        <v>45377</v>
      </c>
      <c r="D8720" s="108" t="s">
        <v>2163</v>
      </c>
      <c r="E8720" s="108" t="s">
        <v>14605</v>
      </c>
      <c r="F8720" s="108" t="s">
        <v>2160</v>
      </c>
      <c r="G8720" s="109">
        <v>46123</v>
      </c>
      <c r="H8720" s="108" t="s">
        <v>25458</v>
      </c>
      <c r="I8720" s="108" t="s">
        <v>95</v>
      </c>
    </row>
    <row r="8721" spans="1:9">
      <c r="A8721" s="108" t="s">
        <v>16151</v>
      </c>
      <c r="B8721" s="108" t="s">
        <v>2605</v>
      </c>
      <c r="C8721" s="109">
        <v>45345</v>
      </c>
      <c r="D8721" s="108" t="s">
        <v>2607</v>
      </c>
      <c r="E8721" s="108" t="s">
        <v>14605</v>
      </c>
      <c r="F8721" s="108" t="s">
        <v>2606</v>
      </c>
      <c r="G8721" s="109">
        <v>46096</v>
      </c>
      <c r="H8721" s="108" t="s">
        <v>25458</v>
      </c>
      <c r="I8721" s="108" t="s">
        <v>95</v>
      </c>
    </row>
    <row r="8722" spans="1:9" ht="27.6">
      <c r="A8722" s="108" t="s">
        <v>16151</v>
      </c>
      <c r="B8722" s="108" t="s">
        <v>690</v>
      </c>
      <c r="C8722" s="109">
        <v>45491</v>
      </c>
      <c r="D8722" s="108" t="s">
        <v>692</v>
      </c>
      <c r="E8722" s="108" t="s">
        <v>14605</v>
      </c>
      <c r="F8722" s="108" t="s">
        <v>691</v>
      </c>
      <c r="G8722" s="109">
        <v>46022</v>
      </c>
      <c r="H8722" s="108" t="s">
        <v>25458</v>
      </c>
      <c r="I8722" s="108" t="s">
        <v>95</v>
      </c>
    </row>
    <row r="8723" spans="1:9">
      <c r="A8723" s="108" t="s">
        <v>16151</v>
      </c>
      <c r="B8723" s="108" t="s">
        <v>844</v>
      </c>
      <c r="C8723" s="109">
        <v>45402</v>
      </c>
      <c r="D8723" s="108" t="s">
        <v>846</v>
      </c>
      <c r="E8723" s="108" t="s">
        <v>14605</v>
      </c>
      <c r="F8723" s="108" t="s">
        <v>845</v>
      </c>
      <c r="G8723" s="109">
        <v>46138</v>
      </c>
      <c r="H8723" s="108" t="s">
        <v>25458</v>
      </c>
      <c r="I8723" s="108" t="s">
        <v>95</v>
      </c>
    </row>
    <row r="8724" spans="1:9">
      <c r="A8724" s="108" t="s">
        <v>16151</v>
      </c>
      <c r="B8724" s="108" t="s">
        <v>1829</v>
      </c>
      <c r="C8724" s="109">
        <v>45366</v>
      </c>
      <c r="D8724" s="108" t="s">
        <v>1831</v>
      </c>
      <c r="E8724" s="108" t="s">
        <v>14605</v>
      </c>
      <c r="F8724" s="108" t="s">
        <v>1830</v>
      </c>
      <c r="G8724" s="109">
        <v>46103</v>
      </c>
      <c r="H8724" s="108" t="s">
        <v>25458</v>
      </c>
      <c r="I8724" s="108" t="s">
        <v>95</v>
      </c>
    </row>
    <row r="8725" spans="1:9">
      <c r="A8725" s="108" t="s">
        <v>16151</v>
      </c>
      <c r="B8725" s="108" t="s">
        <v>1453</v>
      </c>
      <c r="C8725" s="109">
        <v>45398</v>
      </c>
      <c r="D8725" s="108" t="s">
        <v>1455</v>
      </c>
      <c r="E8725" s="108" t="s">
        <v>14605</v>
      </c>
      <c r="F8725" s="108" t="s">
        <v>1454</v>
      </c>
      <c r="G8725" s="109">
        <v>46127</v>
      </c>
      <c r="H8725" s="108" t="s">
        <v>25458</v>
      </c>
      <c r="I8725" s="108" t="s">
        <v>95</v>
      </c>
    </row>
    <row r="8726" spans="1:9">
      <c r="A8726" s="108" t="s">
        <v>16151</v>
      </c>
      <c r="B8726" s="108" t="s">
        <v>317</v>
      </c>
      <c r="C8726" s="109">
        <v>45546</v>
      </c>
      <c r="D8726" s="108" t="s">
        <v>319</v>
      </c>
      <c r="E8726" s="108" t="s">
        <v>14605</v>
      </c>
      <c r="F8726" s="108" t="s">
        <v>318</v>
      </c>
      <c r="G8726" s="109">
        <v>46140</v>
      </c>
      <c r="H8726" s="108" t="s">
        <v>25458</v>
      </c>
      <c r="I8726" s="108" t="s">
        <v>95</v>
      </c>
    </row>
    <row r="8727" spans="1:9">
      <c r="A8727" s="108" t="s">
        <v>16151</v>
      </c>
      <c r="B8727" s="108" t="s">
        <v>219</v>
      </c>
      <c r="C8727" s="109">
        <v>45411</v>
      </c>
      <c r="D8727" s="108" t="s">
        <v>221</v>
      </c>
      <c r="E8727" s="108" t="s">
        <v>14605</v>
      </c>
      <c r="F8727" s="108" t="s">
        <v>220</v>
      </c>
      <c r="G8727" s="109">
        <v>46136</v>
      </c>
      <c r="H8727" s="108" t="s">
        <v>25458</v>
      </c>
      <c r="I8727" s="108" t="s">
        <v>95</v>
      </c>
    </row>
    <row r="8728" spans="1:9" ht="27.6">
      <c r="A8728" s="108" t="s">
        <v>16151</v>
      </c>
      <c r="B8728" s="108" t="s">
        <v>3278</v>
      </c>
      <c r="C8728" s="109">
        <v>45443</v>
      </c>
      <c r="D8728" s="108" t="s">
        <v>3280</v>
      </c>
      <c r="E8728" s="108" t="s">
        <v>14605</v>
      </c>
      <c r="F8728" s="108" t="s">
        <v>3279</v>
      </c>
      <c r="G8728" s="109">
        <v>46140</v>
      </c>
      <c r="H8728" s="108" t="s">
        <v>25458</v>
      </c>
      <c r="I8728" s="108" t="s">
        <v>95</v>
      </c>
    </row>
    <row r="8729" spans="1:9">
      <c r="A8729" s="108" t="s">
        <v>16151</v>
      </c>
      <c r="B8729" s="108" t="s">
        <v>285</v>
      </c>
      <c r="C8729" s="109">
        <v>45418</v>
      </c>
      <c r="D8729" s="108" t="s">
        <v>287</v>
      </c>
      <c r="E8729" s="108" t="s">
        <v>14605</v>
      </c>
      <c r="F8729" s="108" t="s">
        <v>286</v>
      </c>
      <c r="G8729" s="109">
        <v>46022</v>
      </c>
      <c r="H8729" s="108" t="s">
        <v>25458</v>
      </c>
      <c r="I8729" s="108" t="s">
        <v>95</v>
      </c>
    </row>
    <row r="8730" spans="1:9">
      <c r="A8730" s="108" t="s">
        <v>16151</v>
      </c>
      <c r="B8730" s="108" t="s">
        <v>3329</v>
      </c>
      <c r="C8730" s="109">
        <v>45435</v>
      </c>
      <c r="D8730" s="108" t="s">
        <v>3331</v>
      </c>
      <c r="E8730" s="108" t="s">
        <v>14605</v>
      </c>
      <c r="F8730" s="108" t="s">
        <v>3330</v>
      </c>
      <c r="G8730" s="109">
        <v>46171</v>
      </c>
      <c r="H8730" s="108" t="s">
        <v>25458</v>
      </c>
      <c r="I8730" s="108" t="s">
        <v>95</v>
      </c>
    </row>
    <row r="8731" spans="1:9">
      <c r="A8731" s="108" t="s">
        <v>16151</v>
      </c>
      <c r="B8731" s="108" t="s">
        <v>3566</v>
      </c>
      <c r="C8731" s="109">
        <v>45481</v>
      </c>
      <c r="D8731" s="108" t="s">
        <v>3567</v>
      </c>
      <c r="E8731" s="108" t="s">
        <v>14605</v>
      </c>
      <c r="F8731" s="108" t="s">
        <v>15303</v>
      </c>
      <c r="G8731" s="109">
        <v>46022</v>
      </c>
      <c r="H8731" s="108" t="s">
        <v>25458</v>
      </c>
      <c r="I8731" s="108" t="s">
        <v>95</v>
      </c>
    </row>
    <row r="8732" spans="1:9">
      <c r="A8732" s="108" t="s">
        <v>16151</v>
      </c>
      <c r="B8732" s="108" t="s">
        <v>26678</v>
      </c>
      <c r="C8732" s="109">
        <v>45428</v>
      </c>
      <c r="D8732" s="108" t="s">
        <v>26679</v>
      </c>
      <c r="E8732" s="108" t="s">
        <v>14605</v>
      </c>
      <c r="F8732" s="108" t="s">
        <v>15996</v>
      </c>
      <c r="G8732" s="109">
        <v>47610</v>
      </c>
      <c r="H8732" s="108" t="s">
        <v>25458</v>
      </c>
      <c r="I8732" s="108" t="s">
        <v>95</v>
      </c>
    </row>
    <row r="8733" spans="1:9">
      <c r="A8733" s="108" t="s">
        <v>16151</v>
      </c>
      <c r="B8733" s="108" t="s">
        <v>26680</v>
      </c>
      <c r="C8733" s="109">
        <v>45430</v>
      </c>
      <c r="D8733" s="108" t="s">
        <v>26681</v>
      </c>
      <c r="E8733" s="108" t="s">
        <v>14605</v>
      </c>
      <c r="F8733" s="108" t="s">
        <v>15996</v>
      </c>
      <c r="G8733" s="109">
        <v>47610</v>
      </c>
      <c r="H8733" s="108" t="s">
        <v>25458</v>
      </c>
      <c r="I8733" s="108" t="s">
        <v>95</v>
      </c>
    </row>
    <row r="8734" spans="1:9">
      <c r="A8734" s="108" t="s">
        <v>16151</v>
      </c>
      <c r="B8734" s="108" t="s">
        <v>4047</v>
      </c>
      <c r="C8734" s="109">
        <v>45498</v>
      </c>
      <c r="D8734" s="108" t="s">
        <v>4048</v>
      </c>
      <c r="E8734" s="108" t="s">
        <v>14605</v>
      </c>
      <c r="F8734" s="108" t="s">
        <v>4045</v>
      </c>
      <c r="G8734" s="109">
        <v>47325</v>
      </c>
      <c r="H8734" s="108" t="s">
        <v>25458</v>
      </c>
      <c r="I8734" s="108" t="s">
        <v>95</v>
      </c>
    </row>
    <row r="8735" spans="1:9" ht="27.6">
      <c r="A8735" s="108" t="s">
        <v>16151</v>
      </c>
      <c r="B8735" s="108" t="s">
        <v>4347</v>
      </c>
      <c r="C8735" s="109">
        <v>45707</v>
      </c>
      <c r="D8735" s="108" t="s">
        <v>4348</v>
      </c>
      <c r="E8735" s="108" t="s">
        <v>14605</v>
      </c>
      <c r="F8735" s="108" t="s">
        <v>4343</v>
      </c>
      <c r="G8735" s="109">
        <v>46228</v>
      </c>
      <c r="H8735" s="108" t="s">
        <v>25458</v>
      </c>
      <c r="I8735" s="108" t="s">
        <v>95</v>
      </c>
    </row>
    <row r="8736" spans="1:9">
      <c r="A8736" s="108" t="s">
        <v>16151</v>
      </c>
      <c r="B8736" s="108" t="s">
        <v>4044</v>
      </c>
      <c r="C8736" s="109">
        <v>45498</v>
      </c>
      <c r="D8736" s="108" t="s">
        <v>4046</v>
      </c>
      <c r="E8736" s="108" t="s">
        <v>14605</v>
      </c>
      <c r="F8736" s="108" t="s">
        <v>4045</v>
      </c>
      <c r="G8736" s="109">
        <v>47325</v>
      </c>
      <c r="H8736" s="108" t="s">
        <v>25458</v>
      </c>
      <c r="I8736" s="108" t="s">
        <v>95</v>
      </c>
    </row>
    <row r="8737" spans="1:9">
      <c r="A8737" s="108" t="s">
        <v>16165</v>
      </c>
      <c r="B8737" s="108" t="s">
        <v>26682</v>
      </c>
      <c r="C8737" s="109">
        <v>44138</v>
      </c>
      <c r="D8737" s="108" t="s">
        <v>26683</v>
      </c>
      <c r="E8737" s="108" t="s">
        <v>14605</v>
      </c>
      <c r="F8737" s="108" t="s">
        <v>4074</v>
      </c>
      <c r="G8737" s="109">
        <v>44179</v>
      </c>
      <c r="H8737" s="108" t="s">
        <v>25458</v>
      </c>
      <c r="I8737" s="108" t="s">
        <v>95</v>
      </c>
    </row>
    <row r="8738" spans="1:9" ht="27.6">
      <c r="A8738" s="108" t="s">
        <v>16151</v>
      </c>
      <c r="B8738" s="108" t="s">
        <v>389</v>
      </c>
      <c r="C8738" s="109">
        <v>43656</v>
      </c>
      <c r="D8738" s="108" t="s">
        <v>26684</v>
      </c>
      <c r="E8738" s="108" t="s">
        <v>14605</v>
      </c>
      <c r="F8738" s="108" t="s">
        <v>390</v>
      </c>
      <c r="G8738" s="109">
        <v>46206</v>
      </c>
      <c r="H8738" s="108" t="s">
        <v>25458</v>
      </c>
      <c r="I8738" s="108" t="s">
        <v>95</v>
      </c>
    </row>
    <row r="8739" spans="1:9" ht="27.6">
      <c r="A8739" s="108" t="s">
        <v>16149</v>
      </c>
      <c r="B8739" s="108" t="s">
        <v>3969</v>
      </c>
      <c r="C8739" s="109">
        <v>44602</v>
      </c>
      <c r="D8739" s="108" t="s">
        <v>3970</v>
      </c>
      <c r="E8739" s="108" t="s">
        <v>14605</v>
      </c>
      <c r="F8739" s="108" t="s">
        <v>3967</v>
      </c>
      <c r="G8739" s="109">
        <v>46816</v>
      </c>
      <c r="H8739" s="108" t="s">
        <v>25458</v>
      </c>
      <c r="I8739" s="108" t="s">
        <v>95</v>
      </c>
    </row>
    <row r="8740" spans="1:9">
      <c r="A8740" s="108" t="s">
        <v>16151</v>
      </c>
      <c r="B8740" s="108" t="s">
        <v>1614</v>
      </c>
      <c r="C8740" s="109">
        <v>43763</v>
      </c>
      <c r="D8740" s="108" t="s">
        <v>1616</v>
      </c>
      <c r="E8740" s="108" t="s">
        <v>14605</v>
      </c>
      <c r="F8740" s="108" t="s">
        <v>15303</v>
      </c>
      <c r="G8740" s="109">
        <v>45912</v>
      </c>
      <c r="H8740" s="108" t="s">
        <v>25458</v>
      </c>
      <c r="I8740" s="108" t="s">
        <v>95</v>
      </c>
    </row>
    <row r="8741" spans="1:9">
      <c r="A8741" s="108" t="s">
        <v>16151</v>
      </c>
      <c r="B8741" s="108" t="s">
        <v>344</v>
      </c>
      <c r="C8741" s="109">
        <v>43670</v>
      </c>
      <c r="D8741" s="108" t="s">
        <v>346</v>
      </c>
      <c r="E8741" s="108" t="s">
        <v>14605</v>
      </c>
      <c r="F8741" s="108" t="s">
        <v>345</v>
      </c>
      <c r="G8741" s="109">
        <v>46203</v>
      </c>
      <c r="H8741" s="108" t="s">
        <v>25458</v>
      </c>
      <c r="I8741" s="108" t="s">
        <v>95</v>
      </c>
    </row>
    <row r="8742" spans="1:9" ht="27.6">
      <c r="A8742" s="108" t="s">
        <v>103</v>
      </c>
      <c r="B8742" s="108" t="s">
        <v>4914</v>
      </c>
      <c r="C8742" s="109">
        <v>43713</v>
      </c>
      <c r="D8742" s="108" t="s">
        <v>4916</v>
      </c>
      <c r="E8742" s="108" t="s">
        <v>14605</v>
      </c>
      <c r="F8742" s="108" t="s">
        <v>4915</v>
      </c>
      <c r="G8742" s="109">
        <v>45932</v>
      </c>
      <c r="H8742" s="108" t="s">
        <v>25458</v>
      </c>
      <c r="I8742" s="108" t="s">
        <v>95</v>
      </c>
    </row>
    <row r="8743" spans="1:9">
      <c r="A8743" s="108" t="s">
        <v>16151</v>
      </c>
      <c r="B8743" s="108" t="s">
        <v>134</v>
      </c>
      <c r="C8743" s="109">
        <v>43761</v>
      </c>
      <c r="D8743" s="108" t="s">
        <v>135</v>
      </c>
      <c r="E8743" s="108" t="s">
        <v>14605</v>
      </c>
      <c r="F8743" s="108" t="s">
        <v>129</v>
      </c>
      <c r="G8743" s="109">
        <v>46050</v>
      </c>
      <c r="H8743" s="108" t="s">
        <v>25458</v>
      </c>
      <c r="I8743" s="108" t="s">
        <v>95</v>
      </c>
    </row>
    <row r="8744" spans="1:9" ht="27.6">
      <c r="A8744" s="108" t="s">
        <v>103</v>
      </c>
      <c r="B8744" s="108" t="s">
        <v>2090</v>
      </c>
      <c r="C8744" s="109">
        <v>46203</v>
      </c>
      <c r="D8744" s="108" t="s">
        <v>2091</v>
      </c>
      <c r="E8744" s="108" t="s">
        <v>14605</v>
      </c>
      <c r="F8744" s="108" t="s">
        <v>5281</v>
      </c>
      <c r="G8744" s="109">
        <v>46424</v>
      </c>
      <c r="H8744" s="108" t="s">
        <v>25458</v>
      </c>
      <c r="I8744" s="108" t="s">
        <v>95</v>
      </c>
    </row>
    <row r="8745" spans="1:9">
      <c r="A8745" s="108" t="s">
        <v>16151</v>
      </c>
      <c r="B8745" s="108" t="s">
        <v>4762</v>
      </c>
      <c r="C8745" s="109">
        <v>43811</v>
      </c>
      <c r="D8745" s="108" t="s">
        <v>4764</v>
      </c>
      <c r="E8745" s="108" t="s">
        <v>14605</v>
      </c>
      <c r="F8745" s="108" t="s">
        <v>4763</v>
      </c>
      <c r="G8745" s="109">
        <v>46199</v>
      </c>
      <c r="H8745" s="108" t="s">
        <v>25458</v>
      </c>
      <c r="I8745" s="108" t="s">
        <v>95</v>
      </c>
    </row>
    <row r="8746" spans="1:9">
      <c r="A8746" s="108" t="s">
        <v>16151</v>
      </c>
      <c r="B8746" s="108" t="s">
        <v>3443</v>
      </c>
      <c r="C8746" s="109">
        <v>43838</v>
      </c>
      <c r="D8746" s="108" t="s">
        <v>3445</v>
      </c>
      <c r="E8746" s="108" t="s">
        <v>14605</v>
      </c>
      <c r="F8746" s="108" t="s">
        <v>3444</v>
      </c>
      <c r="G8746" s="109">
        <v>46041</v>
      </c>
      <c r="H8746" s="108" t="s">
        <v>25458</v>
      </c>
      <c r="I8746" s="108" t="s">
        <v>95</v>
      </c>
    </row>
    <row r="8747" spans="1:9" ht="27.6">
      <c r="A8747" s="108" t="s">
        <v>103</v>
      </c>
      <c r="B8747" s="108" t="s">
        <v>4514</v>
      </c>
      <c r="C8747" s="109">
        <v>43846</v>
      </c>
      <c r="D8747" s="108" t="s">
        <v>4516</v>
      </c>
      <c r="E8747" s="108" t="s">
        <v>14605</v>
      </c>
      <c r="F8747" s="108" t="s">
        <v>4515</v>
      </c>
      <c r="G8747" s="109">
        <v>46228</v>
      </c>
      <c r="H8747" s="108" t="s">
        <v>25458</v>
      </c>
      <c r="I8747" s="108" t="s">
        <v>95</v>
      </c>
    </row>
    <row r="8748" spans="1:9" ht="27.6">
      <c r="A8748" s="108" t="s">
        <v>16149</v>
      </c>
      <c r="B8748" s="108" t="s">
        <v>3492</v>
      </c>
      <c r="C8748" s="109">
        <v>43864</v>
      </c>
      <c r="D8748" s="108" t="s">
        <v>3494</v>
      </c>
      <c r="E8748" s="108" t="s">
        <v>14605</v>
      </c>
      <c r="F8748" s="108" t="s">
        <v>3493</v>
      </c>
      <c r="G8748" s="109">
        <v>46055</v>
      </c>
      <c r="H8748" s="108" t="s">
        <v>25458</v>
      </c>
      <c r="I8748" s="108" t="s">
        <v>95</v>
      </c>
    </row>
    <row r="8749" spans="1:9" ht="27.6">
      <c r="A8749" s="108" t="s">
        <v>103</v>
      </c>
      <c r="B8749" s="108" t="s">
        <v>3511</v>
      </c>
      <c r="C8749" s="109">
        <v>43874</v>
      </c>
      <c r="D8749" s="108" t="s">
        <v>3513</v>
      </c>
      <c r="E8749" s="108" t="s">
        <v>14605</v>
      </c>
      <c r="F8749" s="108" t="s">
        <v>3512</v>
      </c>
      <c r="G8749" s="109">
        <v>46076</v>
      </c>
      <c r="H8749" s="108" t="s">
        <v>25458</v>
      </c>
      <c r="I8749" s="108" t="s">
        <v>95</v>
      </c>
    </row>
    <row r="8750" spans="1:9" ht="27.6">
      <c r="A8750" s="108" t="s">
        <v>103</v>
      </c>
      <c r="B8750" s="108" t="s">
        <v>3058</v>
      </c>
      <c r="C8750" s="109">
        <v>43895</v>
      </c>
      <c r="D8750" s="108" t="s">
        <v>3059</v>
      </c>
      <c r="E8750" s="108" t="s">
        <v>14605</v>
      </c>
      <c r="F8750" s="108" t="s">
        <v>3056</v>
      </c>
      <c r="G8750" s="109">
        <v>46203</v>
      </c>
      <c r="H8750" s="108" t="s">
        <v>25458</v>
      </c>
      <c r="I8750" s="108" t="s">
        <v>95</v>
      </c>
    </row>
    <row r="8751" spans="1:9" ht="27.6">
      <c r="A8751" s="108" t="s">
        <v>103</v>
      </c>
      <c r="B8751" s="108" t="s">
        <v>298</v>
      </c>
      <c r="C8751" s="109">
        <v>44054</v>
      </c>
      <c r="D8751" s="108" t="s">
        <v>300</v>
      </c>
      <c r="E8751" s="108" t="s">
        <v>14605</v>
      </c>
      <c r="F8751" s="108" t="s">
        <v>299</v>
      </c>
      <c r="G8751" s="109">
        <v>46246</v>
      </c>
      <c r="H8751" s="108" t="s">
        <v>25458</v>
      </c>
      <c r="I8751" s="108" t="s">
        <v>95</v>
      </c>
    </row>
    <row r="8752" spans="1:9" ht="27.6">
      <c r="A8752" s="108" t="s">
        <v>16149</v>
      </c>
      <c r="B8752" s="108" t="s">
        <v>5157</v>
      </c>
      <c r="C8752" s="109">
        <v>45392</v>
      </c>
      <c r="D8752" s="108" t="s">
        <v>5158</v>
      </c>
      <c r="E8752" s="108" t="s">
        <v>14605</v>
      </c>
      <c r="F8752" s="108" t="s">
        <v>5145</v>
      </c>
      <c r="G8752" s="109">
        <v>46132</v>
      </c>
      <c r="H8752" s="108" t="s">
        <v>25458</v>
      </c>
      <c r="I8752" s="108" t="s">
        <v>95</v>
      </c>
    </row>
    <row r="8753" spans="1:9" ht="27.6">
      <c r="A8753" s="108" t="s">
        <v>103</v>
      </c>
      <c r="B8753" s="108" t="s">
        <v>1431</v>
      </c>
      <c r="C8753" s="109">
        <v>44063</v>
      </c>
      <c r="D8753" s="108" t="s">
        <v>1432</v>
      </c>
      <c r="E8753" s="108" t="s">
        <v>14605</v>
      </c>
      <c r="F8753" s="108" t="s">
        <v>1429</v>
      </c>
      <c r="G8753" s="109">
        <v>45945</v>
      </c>
      <c r="H8753" s="108" t="s">
        <v>25458</v>
      </c>
      <c r="I8753" s="108" t="s">
        <v>95</v>
      </c>
    </row>
    <row r="8754" spans="1:9" ht="27.6">
      <c r="A8754" s="108" t="s">
        <v>103</v>
      </c>
      <c r="B8754" s="108" t="s">
        <v>1670</v>
      </c>
      <c r="C8754" s="109">
        <v>44088</v>
      </c>
      <c r="D8754" s="108" t="s">
        <v>1672</v>
      </c>
      <c r="E8754" s="108" t="s">
        <v>14605</v>
      </c>
      <c r="F8754" s="108" t="s">
        <v>1671</v>
      </c>
      <c r="G8754" s="109">
        <v>46229</v>
      </c>
      <c r="H8754" s="108" t="s">
        <v>25458</v>
      </c>
      <c r="I8754" s="108" t="s">
        <v>95</v>
      </c>
    </row>
    <row r="8755" spans="1:9" ht="27.6">
      <c r="A8755" s="108" t="s">
        <v>103</v>
      </c>
      <c r="B8755" s="108" t="s">
        <v>1366</v>
      </c>
      <c r="C8755" s="109">
        <v>44295</v>
      </c>
      <c r="D8755" s="108" t="s">
        <v>1368</v>
      </c>
      <c r="E8755" s="108" t="s">
        <v>14605</v>
      </c>
      <c r="F8755" s="108" t="s">
        <v>1367</v>
      </c>
      <c r="G8755" s="109">
        <v>45838</v>
      </c>
      <c r="H8755" s="108" t="s">
        <v>25458</v>
      </c>
      <c r="I8755" s="108" t="s">
        <v>95</v>
      </c>
    </row>
    <row r="8756" spans="1:9" ht="27.6">
      <c r="A8756" s="108" t="s">
        <v>16151</v>
      </c>
      <c r="B8756" s="108" t="s">
        <v>393</v>
      </c>
      <c r="C8756" s="109">
        <v>44365</v>
      </c>
      <c r="D8756" s="108" t="s">
        <v>395</v>
      </c>
      <c r="E8756" s="108" t="s">
        <v>14605</v>
      </c>
      <c r="F8756" s="108" t="s">
        <v>394</v>
      </c>
      <c r="G8756" s="109">
        <v>46212</v>
      </c>
      <c r="H8756" s="108" t="s">
        <v>25458</v>
      </c>
      <c r="I8756" s="108" t="s">
        <v>95</v>
      </c>
    </row>
    <row r="8757" spans="1:9" ht="27.6">
      <c r="A8757" s="108" t="s">
        <v>16151</v>
      </c>
      <c r="B8757" s="108" t="s">
        <v>1978</v>
      </c>
      <c r="C8757" s="109">
        <v>44386</v>
      </c>
      <c r="D8757" s="108" t="s">
        <v>1979</v>
      </c>
      <c r="E8757" s="108" t="s">
        <v>14605</v>
      </c>
      <c r="F8757" s="108" t="s">
        <v>25541</v>
      </c>
      <c r="G8757" s="109">
        <v>46223</v>
      </c>
      <c r="H8757" s="108" t="s">
        <v>25458</v>
      </c>
      <c r="I8757" s="108" t="s">
        <v>95</v>
      </c>
    </row>
    <row r="8758" spans="1:9" ht="27.6">
      <c r="A8758" s="108" t="s">
        <v>1102</v>
      </c>
      <c r="B8758" s="108" t="s">
        <v>1428</v>
      </c>
      <c r="C8758" s="109">
        <v>45754</v>
      </c>
      <c r="D8758" s="108" t="s">
        <v>1430</v>
      </c>
      <c r="E8758" s="108" t="s">
        <v>14605</v>
      </c>
      <c r="F8758" s="108" t="s">
        <v>1429</v>
      </c>
      <c r="G8758" s="109">
        <v>45945</v>
      </c>
      <c r="H8758" s="108" t="s">
        <v>25458</v>
      </c>
      <c r="I8758" s="108" t="s">
        <v>95</v>
      </c>
    </row>
    <row r="8759" spans="1:9" ht="27.6">
      <c r="A8759" s="108" t="s">
        <v>103</v>
      </c>
      <c r="B8759" s="108" t="s">
        <v>2017</v>
      </c>
      <c r="C8759" s="109">
        <v>44510</v>
      </c>
      <c r="D8759" s="108" t="s">
        <v>2018</v>
      </c>
      <c r="E8759" s="108" t="s">
        <v>14605</v>
      </c>
      <c r="F8759" s="108" t="s">
        <v>2013</v>
      </c>
      <c r="G8759" s="109">
        <v>46145</v>
      </c>
      <c r="H8759" s="108" t="s">
        <v>25458</v>
      </c>
      <c r="I8759" s="108" t="s">
        <v>95</v>
      </c>
    </row>
    <row r="8760" spans="1:9" ht="27.6">
      <c r="A8760" s="108" t="s">
        <v>103</v>
      </c>
      <c r="B8760" s="108" t="s">
        <v>2909</v>
      </c>
      <c r="C8760" s="109">
        <v>44546</v>
      </c>
      <c r="D8760" s="108" t="s">
        <v>2910</v>
      </c>
      <c r="E8760" s="108" t="s">
        <v>14605</v>
      </c>
      <c r="F8760" s="108" t="s">
        <v>25794</v>
      </c>
      <c r="G8760" s="109">
        <v>46005</v>
      </c>
      <c r="H8760" s="108" t="s">
        <v>25458</v>
      </c>
      <c r="I8760" s="108" t="s">
        <v>95</v>
      </c>
    </row>
    <row r="8761" spans="1:9" ht="27.6">
      <c r="A8761" s="108" t="s">
        <v>103</v>
      </c>
      <c r="B8761" s="108" t="s">
        <v>4094</v>
      </c>
      <c r="C8761" s="109">
        <v>44550</v>
      </c>
      <c r="D8761" s="108" t="s">
        <v>4096</v>
      </c>
      <c r="E8761" s="108" t="s">
        <v>14605</v>
      </c>
      <c r="F8761" s="108" t="s">
        <v>4095</v>
      </c>
      <c r="G8761" s="109">
        <v>46024</v>
      </c>
      <c r="H8761" s="108" t="s">
        <v>25458</v>
      </c>
      <c r="I8761" s="108" t="s">
        <v>95</v>
      </c>
    </row>
    <row r="8762" spans="1:9" ht="27.6">
      <c r="A8762" s="108" t="s">
        <v>103</v>
      </c>
      <c r="B8762" s="108" t="s">
        <v>2087</v>
      </c>
      <c r="C8762" s="109">
        <v>44597</v>
      </c>
      <c r="D8762" s="108" t="s">
        <v>2089</v>
      </c>
      <c r="E8762" s="108" t="s">
        <v>14605</v>
      </c>
      <c r="F8762" s="108" t="s">
        <v>2088</v>
      </c>
      <c r="G8762" s="109">
        <v>46044</v>
      </c>
      <c r="H8762" s="108" t="s">
        <v>25458</v>
      </c>
      <c r="I8762" s="108" t="s">
        <v>95</v>
      </c>
    </row>
    <row r="8763" spans="1:9" ht="27.6">
      <c r="A8763" s="108" t="s">
        <v>103</v>
      </c>
      <c r="B8763" s="108" t="s">
        <v>2979</v>
      </c>
      <c r="C8763" s="109">
        <v>44708</v>
      </c>
      <c r="D8763" s="108" t="s">
        <v>2980</v>
      </c>
      <c r="E8763" s="108" t="s">
        <v>14605</v>
      </c>
      <c r="F8763" s="108" t="s">
        <v>25545</v>
      </c>
      <c r="G8763" s="109">
        <v>45804</v>
      </c>
      <c r="H8763" s="108" t="s">
        <v>25458</v>
      </c>
      <c r="I8763" s="108" t="s">
        <v>95</v>
      </c>
    </row>
    <row r="8764" spans="1:9" ht="27.6">
      <c r="A8764" s="108" t="s">
        <v>103</v>
      </c>
      <c r="B8764" s="108" t="s">
        <v>2907</v>
      </c>
      <c r="C8764" s="109">
        <v>44818</v>
      </c>
      <c r="D8764" s="108" t="s">
        <v>2908</v>
      </c>
      <c r="E8764" s="108" t="s">
        <v>14605</v>
      </c>
      <c r="F8764" s="108" t="s">
        <v>25794</v>
      </c>
      <c r="G8764" s="109">
        <v>46218</v>
      </c>
      <c r="H8764" s="108" t="s">
        <v>25458</v>
      </c>
      <c r="I8764" s="108" t="s">
        <v>95</v>
      </c>
    </row>
    <row r="8765" spans="1:9" ht="27.6">
      <c r="A8765" s="108" t="s">
        <v>103</v>
      </c>
      <c r="B8765" s="108" t="s">
        <v>457</v>
      </c>
      <c r="C8765" s="109">
        <v>44761</v>
      </c>
      <c r="D8765" s="108" t="s">
        <v>459</v>
      </c>
      <c r="E8765" s="108" t="s">
        <v>14605</v>
      </c>
      <c r="F8765" s="108" t="s">
        <v>458</v>
      </c>
      <c r="G8765" s="109">
        <v>45864</v>
      </c>
      <c r="H8765" s="108" t="s">
        <v>25558</v>
      </c>
      <c r="I8765" s="108" t="s">
        <v>95</v>
      </c>
    </row>
    <row r="8766" spans="1:9" ht="27.6">
      <c r="A8766" s="108" t="s">
        <v>103</v>
      </c>
      <c r="B8766" s="108" t="s">
        <v>2696</v>
      </c>
      <c r="C8766" s="109">
        <v>45107</v>
      </c>
      <c r="D8766" s="108" t="s">
        <v>2697</v>
      </c>
      <c r="E8766" s="108" t="s">
        <v>14605</v>
      </c>
      <c r="F8766" s="108" t="s">
        <v>2694</v>
      </c>
      <c r="G8766" s="109">
        <v>46022</v>
      </c>
      <c r="H8766" s="108" t="s">
        <v>25458</v>
      </c>
      <c r="I8766" s="108" t="s">
        <v>95</v>
      </c>
    </row>
    <row r="8767" spans="1:9" ht="27.6">
      <c r="A8767" s="108" t="s">
        <v>103</v>
      </c>
      <c r="B8767" s="108" t="s">
        <v>2693</v>
      </c>
      <c r="C8767" s="109">
        <v>45107</v>
      </c>
      <c r="D8767" s="108" t="s">
        <v>2695</v>
      </c>
      <c r="E8767" s="108" t="s">
        <v>14605</v>
      </c>
      <c r="F8767" s="108" t="s">
        <v>2694</v>
      </c>
      <c r="G8767" s="109">
        <v>46022</v>
      </c>
      <c r="H8767" s="108" t="s">
        <v>25558</v>
      </c>
      <c r="I8767" s="108" t="s">
        <v>95</v>
      </c>
    </row>
    <row r="8768" spans="1:9" ht="27.6">
      <c r="A8768" s="108" t="s">
        <v>103</v>
      </c>
      <c r="B8768" s="108" t="s">
        <v>4091</v>
      </c>
      <c r="C8768" s="109">
        <v>45337</v>
      </c>
      <c r="D8768" s="108" t="s">
        <v>4093</v>
      </c>
      <c r="E8768" s="108" t="s">
        <v>14605</v>
      </c>
      <c r="F8768" s="108" t="s">
        <v>4092</v>
      </c>
      <c r="G8768" s="109">
        <v>47113</v>
      </c>
      <c r="H8768" s="108" t="s">
        <v>25458</v>
      </c>
      <c r="I8768" s="108" t="s">
        <v>95</v>
      </c>
    </row>
    <row r="8769" spans="1:9" ht="27.6">
      <c r="A8769" s="108" t="s">
        <v>103</v>
      </c>
      <c r="B8769" s="108" t="s">
        <v>1411</v>
      </c>
      <c r="C8769" s="109">
        <v>45303</v>
      </c>
      <c r="D8769" s="108" t="s">
        <v>1413</v>
      </c>
      <c r="E8769" s="108" t="s">
        <v>14605</v>
      </c>
      <c r="F8769" s="108" t="s">
        <v>1412</v>
      </c>
      <c r="G8769" s="109">
        <v>46041</v>
      </c>
      <c r="H8769" s="108" t="s">
        <v>25458</v>
      </c>
      <c r="I8769" s="108" t="s">
        <v>95</v>
      </c>
    </row>
    <row r="8770" spans="1:9" ht="27.6">
      <c r="A8770" s="108" t="s">
        <v>1102</v>
      </c>
      <c r="B8770" s="108" t="s">
        <v>4447</v>
      </c>
      <c r="C8770" s="109">
        <v>44270</v>
      </c>
      <c r="D8770" s="108" t="s">
        <v>4449</v>
      </c>
      <c r="E8770" s="108" t="s">
        <v>14605</v>
      </c>
      <c r="F8770" s="108" t="s">
        <v>4448</v>
      </c>
      <c r="G8770" s="109">
        <v>46106</v>
      </c>
      <c r="H8770" s="108" t="s">
        <v>25458</v>
      </c>
      <c r="I8770" s="108" t="s">
        <v>95</v>
      </c>
    </row>
    <row r="8771" spans="1:9" ht="27.6">
      <c r="A8771" s="108" t="s">
        <v>388</v>
      </c>
      <c r="B8771" s="108" t="s">
        <v>26685</v>
      </c>
      <c r="C8771" s="109">
        <v>43354</v>
      </c>
      <c r="D8771" s="108" t="s">
        <v>26686</v>
      </c>
      <c r="E8771" s="108" t="s">
        <v>14605</v>
      </c>
      <c r="F8771" s="108" t="s">
        <v>14764</v>
      </c>
      <c r="G8771" s="109">
        <v>46280</v>
      </c>
      <c r="H8771" s="108" t="s">
        <v>25458</v>
      </c>
      <c r="I8771" s="108" t="s">
        <v>95</v>
      </c>
    </row>
    <row r="8772" spans="1:9" ht="27.6">
      <c r="A8772" s="108" t="s">
        <v>16149</v>
      </c>
      <c r="B8772" s="108" t="s">
        <v>1498</v>
      </c>
      <c r="C8772" s="109">
        <v>44167</v>
      </c>
      <c r="D8772" s="108" t="s">
        <v>1500</v>
      </c>
      <c r="E8772" s="108" t="s">
        <v>14605</v>
      </c>
      <c r="F8772" s="108" t="s">
        <v>1499</v>
      </c>
      <c r="G8772" s="109">
        <v>46057</v>
      </c>
      <c r="H8772" s="108" t="s">
        <v>25458</v>
      </c>
      <c r="I8772" s="108" t="s">
        <v>95</v>
      </c>
    </row>
    <row r="8773" spans="1:9">
      <c r="A8773" s="108" t="s">
        <v>16151</v>
      </c>
      <c r="B8773" s="108" t="s">
        <v>3218</v>
      </c>
      <c r="C8773" s="109">
        <v>43375</v>
      </c>
      <c r="D8773" s="108" t="s">
        <v>3220</v>
      </c>
      <c r="E8773" s="108" t="s">
        <v>14605</v>
      </c>
      <c r="F8773" s="108" t="s">
        <v>3219</v>
      </c>
      <c r="G8773" s="109">
        <v>46387</v>
      </c>
      <c r="H8773" s="108" t="s">
        <v>25458</v>
      </c>
      <c r="I8773" s="108" t="s">
        <v>95</v>
      </c>
    </row>
    <row r="8774" spans="1:9" ht="27.6">
      <c r="A8774" s="108" t="s">
        <v>16149</v>
      </c>
      <c r="B8774" s="108" t="s">
        <v>4734</v>
      </c>
      <c r="C8774" s="109">
        <v>44186</v>
      </c>
      <c r="D8774" s="108" t="s">
        <v>4735</v>
      </c>
      <c r="E8774" s="108" t="s">
        <v>14605</v>
      </c>
      <c r="F8774" s="108" t="s">
        <v>4732</v>
      </c>
      <c r="G8774" s="109">
        <v>46012</v>
      </c>
      <c r="H8774" s="108" t="s">
        <v>25458</v>
      </c>
      <c r="I8774" s="108" t="s">
        <v>95</v>
      </c>
    </row>
    <row r="8775" spans="1:9">
      <c r="A8775" s="108" t="s">
        <v>16151</v>
      </c>
      <c r="B8775" s="108" t="s">
        <v>5229</v>
      </c>
      <c r="C8775" s="109">
        <v>43707</v>
      </c>
      <c r="D8775" s="108" t="s">
        <v>5230</v>
      </c>
      <c r="E8775" s="108" t="s">
        <v>14605</v>
      </c>
      <c r="F8775" s="108" t="s">
        <v>5227</v>
      </c>
      <c r="G8775" s="109">
        <v>46153</v>
      </c>
      <c r="H8775" s="108" t="s">
        <v>25458</v>
      </c>
      <c r="I8775" s="108" t="s">
        <v>95</v>
      </c>
    </row>
    <row r="8776" spans="1:9">
      <c r="A8776" s="108" t="s">
        <v>16151</v>
      </c>
      <c r="B8776" s="108" t="s">
        <v>4073</v>
      </c>
      <c r="C8776" s="109">
        <v>43427</v>
      </c>
      <c r="D8776" s="108" t="s">
        <v>4075</v>
      </c>
      <c r="E8776" s="108" t="s">
        <v>14605</v>
      </c>
      <c r="F8776" s="108" t="s">
        <v>4074</v>
      </c>
      <c r="G8776" s="109">
        <v>46073</v>
      </c>
      <c r="H8776" s="108" t="s">
        <v>25458</v>
      </c>
      <c r="I8776" s="108" t="s">
        <v>95</v>
      </c>
    </row>
    <row r="8777" spans="1:9" ht="27.6">
      <c r="A8777" s="108" t="s">
        <v>16151</v>
      </c>
      <c r="B8777" s="108" t="s">
        <v>4342</v>
      </c>
      <c r="C8777" s="109">
        <v>43447</v>
      </c>
      <c r="D8777" s="108" t="s">
        <v>4344</v>
      </c>
      <c r="E8777" s="108" t="s">
        <v>14605</v>
      </c>
      <c r="F8777" s="108" t="s">
        <v>4343</v>
      </c>
      <c r="G8777" s="109">
        <v>46185</v>
      </c>
      <c r="H8777" s="108" t="s">
        <v>25458</v>
      </c>
      <c r="I8777" s="108" t="s">
        <v>95</v>
      </c>
    </row>
    <row r="8778" spans="1:9" ht="27.6">
      <c r="A8778" s="108" t="s">
        <v>16151</v>
      </c>
      <c r="B8778" s="108" t="s">
        <v>26687</v>
      </c>
      <c r="C8778" s="109">
        <v>45765</v>
      </c>
      <c r="D8778" s="108" t="s">
        <v>26688</v>
      </c>
      <c r="E8778" s="108" t="s">
        <v>14605</v>
      </c>
      <c r="F8778" s="108" t="s">
        <v>15137</v>
      </c>
      <c r="G8778" s="109">
        <v>47483</v>
      </c>
      <c r="H8778" s="108" t="s">
        <v>25458</v>
      </c>
      <c r="I8778" s="108" t="s">
        <v>95</v>
      </c>
    </row>
    <row r="8779" spans="1:9">
      <c r="A8779" s="108" t="s">
        <v>16151</v>
      </c>
      <c r="B8779" s="108" t="s">
        <v>128</v>
      </c>
      <c r="C8779" s="109">
        <v>43495</v>
      </c>
      <c r="D8779" s="108" t="s">
        <v>130</v>
      </c>
      <c r="E8779" s="108" t="s">
        <v>14605</v>
      </c>
      <c r="F8779" s="108" t="s">
        <v>129</v>
      </c>
      <c r="G8779" s="109">
        <v>46050</v>
      </c>
      <c r="H8779" s="108" t="s">
        <v>25458</v>
      </c>
      <c r="I8779" s="108" t="s">
        <v>95</v>
      </c>
    </row>
    <row r="8780" spans="1:9" ht="27.6">
      <c r="A8780" s="108" t="s">
        <v>16151</v>
      </c>
      <c r="B8780" s="108" t="s">
        <v>1769</v>
      </c>
      <c r="C8780" s="109">
        <v>43493</v>
      </c>
      <c r="D8780" s="108" t="s">
        <v>1771</v>
      </c>
      <c r="E8780" s="108" t="s">
        <v>14605</v>
      </c>
      <c r="F8780" s="108" t="s">
        <v>1770</v>
      </c>
      <c r="G8780" s="109">
        <v>46203</v>
      </c>
      <c r="H8780" s="108" t="s">
        <v>25458</v>
      </c>
      <c r="I8780" s="108" t="s">
        <v>95</v>
      </c>
    </row>
    <row r="8781" spans="1:9" ht="27.6">
      <c r="A8781" s="108" t="s">
        <v>388</v>
      </c>
      <c r="B8781" s="108" t="s">
        <v>1340</v>
      </c>
      <c r="C8781" s="109">
        <v>43522</v>
      </c>
      <c r="D8781" s="108" t="s">
        <v>1341</v>
      </c>
      <c r="E8781" s="108" t="s">
        <v>14605</v>
      </c>
      <c r="F8781" s="108" t="s">
        <v>1338</v>
      </c>
      <c r="G8781" s="109">
        <v>45900</v>
      </c>
      <c r="H8781" s="108" t="s">
        <v>25458</v>
      </c>
      <c r="I8781" s="108" t="s">
        <v>95</v>
      </c>
    </row>
    <row r="8782" spans="1:9" ht="27.6">
      <c r="A8782" s="108" t="s">
        <v>16149</v>
      </c>
      <c r="B8782" s="108" t="s">
        <v>3619</v>
      </c>
      <c r="C8782" s="109">
        <v>43538</v>
      </c>
      <c r="D8782" s="108" t="s">
        <v>3621</v>
      </c>
      <c r="E8782" s="108" t="s">
        <v>14605</v>
      </c>
      <c r="F8782" s="108" t="s">
        <v>3620</v>
      </c>
      <c r="G8782" s="109">
        <v>46088</v>
      </c>
      <c r="H8782" s="108" t="s">
        <v>25458</v>
      </c>
      <c r="I8782" s="108" t="s">
        <v>95</v>
      </c>
    </row>
    <row r="8783" spans="1:9">
      <c r="A8783" s="108" t="s">
        <v>16151</v>
      </c>
      <c r="B8783" s="108" t="s">
        <v>26689</v>
      </c>
      <c r="C8783" s="109">
        <v>44013</v>
      </c>
      <c r="D8783" s="108" t="s">
        <v>26690</v>
      </c>
      <c r="E8783" s="108" t="s">
        <v>14605</v>
      </c>
      <c r="F8783" s="108" t="s">
        <v>14764</v>
      </c>
      <c r="G8783" s="109">
        <v>45791</v>
      </c>
      <c r="H8783" s="108" t="s">
        <v>25458</v>
      </c>
      <c r="I8783" s="108" t="s">
        <v>95</v>
      </c>
    </row>
    <row r="8784" spans="1:9">
      <c r="A8784" s="108" t="s">
        <v>16151</v>
      </c>
      <c r="B8784" s="108" t="s">
        <v>2600</v>
      </c>
      <c r="C8784" s="109">
        <v>43566</v>
      </c>
      <c r="D8784" s="108" t="s">
        <v>2602</v>
      </c>
      <c r="E8784" s="108" t="s">
        <v>14605</v>
      </c>
      <c r="F8784" s="108" t="s">
        <v>2601</v>
      </c>
      <c r="G8784" s="109">
        <v>46358</v>
      </c>
      <c r="H8784" s="108" t="s">
        <v>25458</v>
      </c>
      <c r="I8784" s="108" t="s">
        <v>95</v>
      </c>
    </row>
    <row r="8785" spans="1:9" ht="27.6">
      <c r="A8785" s="108" t="s">
        <v>388</v>
      </c>
      <c r="B8785" s="108" t="s">
        <v>1690</v>
      </c>
      <c r="C8785" s="109">
        <v>43620</v>
      </c>
      <c r="D8785" s="108" t="s">
        <v>1692</v>
      </c>
      <c r="E8785" s="108" t="s">
        <v>14605</v>
      </c>
      <c r="F8785" s="108" t="s">
        <v>1691</v>
      </c>
      <c r="G8785" s="109">
        <v>46127</v>
      </c>
      <c r="H8785" s="108" t="s">
        <v>25458</v>
      </c>
      <c r="I8785" s="108" t="s">
        <v>95</v>
      </c>
    </row>
    <row r="8786" spans="1:9" ht="27.6">
      <c r="A8786" s="108" t="s">
        <v>16149</v>
      </c>
      <c r="B8786" s="108" t="s">
        <v>4278</v>
      </c>
      <c r="C8786" s="109">
        <v>45153</v>
      </c>
      <c r="D8786" s="108" t="s">
        <v>4279</v>
      </c>
      <c r="E8786" s="108" t="s">
        <v>14605</v>
      </c>
      <c r="F8786" s="108" t="s">
        <v>4276</v>
      </c>
      <c r="G8786" s="109">
        <v>46192</v>
      </c>
      <c r="H8786" s="108" t="s">
        <v>25458</v>
      </c>
      <c r="I8786" s="108" t="s">
        <v>95</v>
      </c>
    </row>
    <row r="8787" spans="1:9" ht="27.6">
      <c r="A8787" s="108" t="s">
        <v>1102</v>
      </c>
      <c r="B8787" s="108" t="s">
        <v>4275</v>
      </c>
      <c r="C8787" s="109">
        <v>44089</v>
      </c>
      <c r="D8787" s="108" t="s">
        <v>4277</v>
      </c>
      <c r="E8787" s="108" t="s">
        <v>14605</v>
      </c>
      <c r="F8787" s="108" t="s">
        <v>4276</v>
      </c>
      <c r="G8787" s="109">
        <v>46385</v>
      </c>
      <c r="H8787" s="108" t="s">
        <v>25458</v>
      </c>
      <c r="I8787" s="108" t="s">
        <v>95</v>
      </c>
    </row>
    <row r="8788" spans="1:9" ht="27.6">
      <c r="A8788" s="108" t="s">
        <v>388</v>
      </c>
      <c r="B8788" s="108" t="s">
        <v>5020</v>
      </c>
      <c r="C8788" s="109">
        <v>43620</v>
      </c>
      <c r="D8788" s="108" t="s">
        <v>5021</v>
      </c>
      <c r="E8788" s="108" t="s">
        <v>14605</v>
      </c>
      <c r="F8788" s="108" t="s">
        <v>5018</v>
      </c>
      <c r="G8788" s="109">
        <v>46176</v>
      </c>
      <c r="H8788" s="108" t="s">
        <v>25458</v>
      </c>
      <c r="I8788" s="108" t="s">
        <v>95</v>
      </c>
    </row>
    <row r="8789" spans="1:9" ht="27.6">
      <c r="A8789" s="108" t="s">
        <v>388</v>
      </c>
      <c r="B8789" s="108" t="s">
        <v>5017</v>
      </c>
      <c r="C8789" s="109">
        <v>43700</v>
      </c>
      <c r="D8789" s="108" t="s">
        <v>5019</v>
      </c>
      <c r="E8789" s="108" t="s">
        <v>14605</v>
      </c>
      <c r="F8789" s="108" t="s">
        <v>5018</v>
      </c>
      <c r="G8789" s="109">
        <v>46008</v>
      </c>
      <c r="H8789" s="108" t="s">
        <v>25458</v>
      </c>
      <c r="I8789" s="108" t="s">
        <v>95</v>
      </c>
    </row>
    <row r="8790" spans="1:9" ht="27.6">
      <c r="A8790" s="108" t="s">
        <v>388</v>
      </c>
      <c r="B8790" s="108" t="s">
        <v>2159</v>
      </c>
      <c r="C8790" s="109">
        <v>43745</v>
      </c>
      <c r="D8790" s="108" t="s">
        <v>2161</v>
      </c>
      <c r="E8790" s="108" t="s">
        <v>14605</v>
      </c>
      <c r="F8790" s="108" t="s">
        <v>2160</v>
      </c>
      <c r="G8790" s="109">
        <v>45940</v>
      </c>
      <c r="H8790" s="108" t="s">
        <v>25458</v>
      </c>
      <c r="I8790" s="108" t="s">
        <v>95</v>
      </c>
    </row>
    <row r="8791" spans="1:9">
      <c r="A8791" s="108" t="s">
        <v>16151</v>
      </c>
      <c r="B8791" s="108" t="s">
        <v>3055</v>
      </c>
      <c r="C8791" s="109">
        <v>43740</v>
      </c>
      <c r="D8791" s="108" t="s">
        <v>3057</v>
      </c>
      <c r="E8791" s="108" t="s">
        <v>14605</v>
      </c>
      <c r="F8791" s="108" t="s">
        <v>3056</v>
      </c>
      <c r="G8791" s="109">
        <v>45931</v>
      </c>
      <c r="H8791" s="108" t="s">
        <v>25458</v>
      </c>
      <c r="I8791" s="108" t="s">
        <v>95</v>
      </c>
    </row>
    <row r="8792" spans="1:9">
      <c r="A8792" s="108" t="s">
        <v>16151</v>
      </c>
      <c r="B8792" s="108" t="s">
        <v>4562</v>
      </c>
      <c r="C8792" s="109">
        <v>43809</v>
      </c>
      <c r="D8792" s="108" t="s">
        <v>4563</v>
      </c>
      <c r="E8792" s="108" t="s">
        <v>14605</v>
      </c>
      <c r="F8792" s="108" t="s">
        <v>4559</v>
      </c>
      <c r="G8792" s="109">
        <v>45935</v>
      </c>
      <c r="H8792" s="108" t="s">
        <v>25458</v>
      </c>
      <c r="I8792" s="108" t="s">
        <v>95</v>
      </c>
    </row>
    <row r="8793" spans="1:9" ht="27.6">
      <c r="A8793" s="108" t="s">
        <v>388</v>
      </c>
      <c r="B8793" s="108" t="s">
        <v>2852</v>
      </c>
      <c r="C8793" s="109">
        <v>43819</v>
      </c>
      <c r="D8793" s="108" t="s">
        <v>2854</v>
      </c>
      <c r="E8793" s="108" t="s">
        <v>14605</v>
      </c>
      <c r="F8793" s="108" t="s">
        <v>2853</v>
      </c>
      <c r="G8793" s="109">
        <v>46112</v>
      </c>
      <c r="H8793" s="108" t="s">
        <v>25458</v>
      </c>
      <c r="I8793" s="108" t="s">
        <v>95</v>
      </c>
    </row>
    <row r="8794" spans="1:9">
      <c r="A8794" s="108" t="s">
        <v>16151</v>
      </c>
      <c r="B8794" s="108" t="s">
        <v>4922</v>
      </c>
      <c r="C8794" s="109">
        <v>43787</v>
      </c>
      <c r="D8794" s="108" t="s">
        <v>4923</v>
      </c>
      <c r="E8794" s="108" t="s">
        <v>14605</v>
      </c>
      <c r="F8794" s="108" t="s">
        <v>4920</v>
      </c>
      <c r="G8794" s="109">
        <v>46220</v>
      </c>
      <c r="H8794" s="108" t="s">
        <v>25458</v>
      </c>
      <c r="I8794" s="108" t="s">
        <v>95</v>
      </c>
    </row>
    <row r="8795" spans="1:9" ht="27.6">
      <c r="A8795" s="108" t="s">
        <v>388</v>
      </c>
      <c r="B8795" s="108" t="s">
        <v>537</v>
      </c>
      <c r="C8795" s="109">
        <v>43796</v>
      </c>
      <c r="D8795" s="108" t="s">
        <v>539</v>
      </c>
      <c r="E8795" s="108" t="s">
        <v>14605</v>
      </c>
      <c r="F8795" s="108" t="s">
        <v>538</v>
      </c>
      <c r="G8795" s="109">
        <v>45987</v>
      </c>
      <c r="H8795" s="108" t="s">
        <v>25458</v>
      </c>
      <c r="I8795" s="108" t="s">
        <v>95</v>
      </c>
    </row>
    <row r="8796" spans="1:9">
      <c r="A8796" s="108" t="s">
        <v>16151</v>
      </c>
      <c r="B8796" s="108" t="s">
        <v>2435</v>
      </c>
      <c r="C8796" s="109">
        <v>43826</v>
      </c>
      <c r="D8796" s="108" t="s">
        <v>2436</v>
      </c>
      <c r="E8796" s="108" t="s">
        <v>14605</v>
      </c>
      <c r="F8796" s="108" t="s">
        <v>2431</v>
      </c>
      <c r="G8796" s="109">
        <v>46079</v>
      </c>
      <c r="H8796" s="108" t="s">
        <v>25458</v>
      </c>
      <c r="I8796" s="108" t="s">
        <v>95</v>
      </c>
    </row>
    <row r="8797" spans="1:9" ht="27.6">
      <c r="A8797" s="108" t="s">
        <v>388</v>
      </c>
      <c r="B8797" s="108" t="s">
        <v>5155</v>
      </c>
      <c r="C8797" s="109">
        <v>43838</v>
      </c>
      <c r="D8797" s="108" t="s">
        <v>5156</v>
      </c>
      <c r="E8797" s="108" t="s">
        <v>14605</v>
      </c>
      <c r="F8797" s="108" t="s">
        <v>5145</v>
      </c>
      <c r="G8797" s="109">
        <v>46041</v>
      </c>
      <c r="H8797" s="108" t="s">
        <v>25458</v>
      </c>
      <c r="I8797" s="108" t="s">
        <v>95</v>
      </c>
    </row>
    <row r="8798" spans="1:9">
      <c r="A8798" s="108" t="s">
        <v>16151</v>
      </c>
      <c r="B8798" s="108" t="s">
        <v>2015</v>
      </c>
      <c r="C8798" s="109">
        <v>43844</v>
      </c>
      <c r="D8798" s="108" t="s">
        <v>2016</v>
      </c>
      <c r="E8798" s="108" t="s">
        <v>14605</v>
      </c>
      <c r="F8798" s="108" t="s">
        <v>2013</v>
      </c>
      <c r="G8798" s="109">
        <v>46058</v>
      </c>
      <c r="H8798" s="108" t="s">
        <v>25458</v>
      </c>
      <c r="I8798" s="108" t="s">
        <v>95</v>
      </c>
    </row>
    <row r="8799" spans="1:9" ht="27.6">
      <c r="A8799" s="108" t="s">
        <v>388</v>
      </c>
      <c r="B8799" s="108" t="s">
        <v>3028</v>
      </c>
      <c r="C8799" s="109">
        <v>43859</v>
      </c>
      <c r="D8799" s="108" t="s">
        <v>3030</v>
      </c>
      <c r="E8799" s="108" t="s">
        <v>14605</v>
      </c>
      <c r="F8799" s="108" t="s">
        <v>3029</v>
      </c>
      <c r="G8799" s="109">
        <v>46192</v>
      </c>
      <c r="H8799" s="108" t="s">
        <v>25458</v>
      </c>
      <c r="I8799" s="108" t="s">
        <v>95</v>
      </c>
    </row>
    <row r="8800" spans="1:9" ht="27.6">
      <c r="A8800" s="108" t="s">
        <v>388</v>
      </c>
      <c r="B8800" s="108" t="s">
        <v>2012</v>
      </c>
      <c r="C8800" s="109">
        <v>43881</v>
      </c>
      <c r="D8800" s="108" t="s">
        <v>2014</v>
      </c>
      <c r="E8800" s="108" t="s">
        <v>14605</v>
      </c>
      <c r="F8800" s="108" t="s">
        <v>2013</v>
      </c>
      <c r="G8800" s="109">
        <v>46091</v>
      </c>
      <c r="H8800" s="108" t="s">
        <v>25458</v>
      </c>
      <c r="I8800" s="108" t="s">
        <v>95</v>
      </c>
    </row>
    <row r="8801" spans="1:9" ht="27.6">
      <c r="A8801" s="108" t="s">
        <v>388</v>
      </c>
      <c r="B8801" s="108" t="s">
        <v>3127</v>
      </c>
      <c r="C8801" s="109">
        <v>43921</v>
      </c>
      <c r="D8801" s="108" t="s">
        <v>3129</v>
      </c>
      <c r="E8801" s="108" t="s">
        <v>14605</v>
      </c>
      <c r="F8801" s="108" t="s">
        <v>3128</v>
      </c>
      <c r="G8801" s="109">
        <v>46136</v>
      </c>
      <c r="H8801" s="108" t="s">
        <v>25458</v>
      </c>
      <c r="I8801" s="108" t="s">
        <v>95</v>
      </c>
    </row>
    <row r="8802" spans="1:9" ht="27.6">
      <c r="A8802" s="108" t="s">
        <v>16149</v>
      </c>
      <c r="B8802" s="108" t="s">
        <v>5137</v>
      </c>
      <c r="C8802" s="109">
        <v>43986</v>
      </c>
      <c r="D8802" s="108" t="s">
        <v>5139</v>
      </c>
      <c r="E8802" s="108" t="s">
        <v>14605</v>
      </c>
      <c r="F8802" s="108" t="s">
        <v>5138</v>
      </c>
      <c r="G8802" s="109">
        <v>45988</v>
      </c>
      <c r="H8802" s="108" t="s">
        <v>25458</v>
      </c>
      <c r="I8802" s="108" t="s">
        <v>95</v>
      </c>
    </row>
    <row r="8803" spans="1:9" ht="27.6">
      <c r="A8803" s="108" t="s">
        <v>388</v>
      </c>
      <c r="B8803" s="108" t="s">
        <v>4004</v>
      </c>
      <c r="C8803" s="109">
        <v>43993</v>
      </c>
      <c r="D8803" s="108" t="s">
        <v>4006</v>
      </c>
      <c r="E8803" s="108" t="s">
        <v>14605</v>
      </c>
      <c r="F8803" s="108" t="s">
        <v>4005</v>
      </c>
      <c r="G8803" s="109">
        <v>45810</v>
      </c>
      <c r="H8803" s="108" t="s">
        <v>25458</v>
      </c>
      <c r="I8803" s="108" t="s">
        <v>95</v>
      </c>
    </row>
    <row r="8804" spans="1:9" ht="27.6">
      <c r="A8804" s="108" t="s">
        <v>388</v>
      </c>
      <c r="B8804" s="108" t="s">
        <v>4684</v>
      </c>
      <c r="C8804" s="109">
        <v>44055</v>
      </c>
      <c r="D8804" s="108" t="s">
        <v>4686</v>
      </c>
      <c r="E8804" s="108" t="s">
        <v>14605</v>
      </c>
      <c r="F8804" s="108" t="s">
        <v>4685</v>
      </c>
      <c r="G8804" s="109">
        <v>45900</v>
      </c>
      <c r="H8804" s="108" t="s">
        <v>25458</v>
      </c>
      <c r="I8804" s="108" t="s">
        <v>95</v>
      </c>
    </row>
    <row r="8805" spans="1:9" ht="27.6">
      <c r="A8805" s="108" t="s">
        <v>388</v>
      </c>
      <c r="B8805" s="108" t="s">
        <v>883</v>
      </c>
      <c r="C8805" s="109">
        <v>44151</v>
      </c>
      <c r="D8805" s="108" t="s">
        <v>885</v>
      </c>
      <c r="E8805" s="108" t="s">
        <v>14605</v>
      </c>
      <c r="F8805" s="108" t="s">
        <v>884</v>
      </c>
      <c r="G8805" s="109">
        <v>45219</v>
      </c>
      <c r="H8805" s="108" t="s">
        <v>25458</v>
      </c>
      <c r="I8805" s="108" t="s">
        <v>95</v>
      </c>
    </row>
    <row r="8806" spans="1:9" ht="27.6">
      <c r="A8806" s="108" t="s">
        <v>388</v>
      </c>
      <c r="B8806" s="108" t="s">
        <v>1337</v>
      </c>
      <c r="C8806" s="109">
        <v>44130</v>
      </c>
      <c r="D8806" s="108" t="s">
        <v>1339</v>
      </c>
      <c r="E8806" s="108" t="s">
        <v>14605</v>
      </c>
      <c r="F8806" s="108" t="s">
        <v>1338</v>
      </c>
      <c r="G8806" s="109">
        <v>45933</v>
      </c>
      <c r="H8806" s="108" t="s">
        <v>25458</v>
      </c>
      <c r="I8806" s="108" t="s">
        <v>95</v>
      </c>
    </row>
    <row r="8807" spans="1:9" ht="27.6">
      <c r="A8807" s="108" t="s">
        <v>388</v>
      </c>
      <c r="B8807" s="108" t="s">
        <v>385</v>
      </c>
      <c r="C8807" s="109">
        <v>44231</v>
      </c>
      <c r="D8807" s="108" t="s">
        <v>387</v>
      </c>
      <c r="E8807" s="108" t="s">
        <v>14605</v>
      </c>
      <c r="F8807" s="108" t="s">
        <v>386</v>
      </c>
      <c r="G8807" s="109">
        <v>45753</v>
      </c>
      <c r="H8807" s="108" t="s">
        <v>25458</v>
      </c>
      <c r="I8807" s="108" t="s">
        <v>95</v>
      </c>
    </row>
    <row r="8808" spans="1:9" ht="27.6">
      <c r="A8808" s="108" t="s">
        <v>388</v>
      </c>
      <c r="B8808" s="108" t="s">
        <v>5153</v>
      </c>
      <c r="C8808" s="109">
        <v>44223</v>
      </c>
      <c r="D8808" s="108" t="s">
        <v>5154</v>
      </c>
      <c r="E8808" s="108" t="s">
        <v>14605</v>
      </c>
      <c r="F8808" s="108" t="s">
        <v>5145</v>
      </c>
      <c r="G8808" s="109">
        <v>46067</v>
      </c>
      <c r="H8808" s="108" t="s">
        <v>25458</v>
      </c>
      <c r="I8808" s="108" t="s">
        <v>95</v>
      </c>
    </row>
    <row r="8809" spans="1:9" ht="27.6">
      <c r="A8809" s="108" t="s">
        <v>388</v>
      </c>
      <c r="B8809" s="108" t="s">
        <v>3783</v>
      </c>
      <c r="C8809" s="109">
        <v>44240</v>
      </c>
      <c r="D8809" s="108" t="s">
        <v>3785</v>
      </c>
      <c r="E8809" s="108" t="s">
        <v>14605</v>
      </c>
      <c r="F8809" s="108" t="s">
        <v>3784</v>
      </c>
      <c r="G8809" s="109">
        <v>46080</v>
      </c>
      <c r="H8809" s="108" t="s">
        <v>25458</v>
      </c>
      <c r="I8809" s="108" t="s">
        <v>95</v>
      </c>
    </row>
    <row r="8810" spans="1:9">
      <c r="A8810" s="108" t="s">
        <v>16151</v>
      </c>
      <c r="B8810" s="108" t="s">
        <v>483</v>
      </c>
      <c r="C8810" s="109">
        <v>44235</v>
      </c>
      <c r="D8810" s="108" t="s">
        <v>485</v>
      </c>
      <c r="E8810" s="108" t="s">
        <v>14605</v>
      </c>
      <c r="F8810" s="108" t="s">
        <v>484</v>
      </c>
      <c r="G8810" s="109">
        <v>46079</v>
      </c>
      <c r="H8810" s="108" t="s">
        <v>25458</v>
      </c>
      <c r="I8810" s="108" t="s">
        <v>95</v>
      </c>
    </row>
    <row r="8811" spans="1:9" ht="27.6">
      <c r="A8811" s="108" t="s">
        <v>388</v>
      </c>
      <c r="B8811" s="108" t="s">
        <v>2914</v>
      </c>
      <c r="C8811" s="109">
        <v>44265</v>
      </c>
      <c r="D8811" s="108" t="s">
        <v>2915</v>
      </c>
      <c r="E8811" s="108" t="s">
        <v>14605</v>
      </c>
      <c r="F8811" s="108" t="s">
        <v>2912</v>
      </c>
      <c r="G8811" s="109">
        <v>46096</v>
      </c>
      <c r="H8811" s="108" t="s">
        <v>25458</v>
      </c>
      <c r="I8811" s="108" t="s">
        <v>95</v>
      </c>
    </row>
    <row r="8812" spans="1:9" ht="27.6">
      <c r="A8812" s="108" t="s">
        <v>8208</v>
      </c>
      <c r="B8812" s="108" t="s">
        <v>2911</v>
      </c>
      <c r="C8812" s="109">
        <v>44265</v>
      </c>
      <c r="D8812" s="108" t="s">
        <v>2913</v>
      </c>
      <c r="E8812" s="108" t="s">
        <v>14605</v>
      </c>
      <c r="F8812" s="108" t="s">
        <v>2912</v>
      </c>
      <c r="G8812" s="109">
        <v>46096</v>
      </c>
      <c r="H8812" s="108" t="s">
        <v>25458</v>
      </c>
      <c r="I8812" s="108" t="s">
        <v>95</v>
      </c>
    </row>
    <row r="8813" spans="1:9" ht="27.6">
      <c r="A8813" s="108" t="s">
        <v>388</v>
      </c>
      <c r="B8813" s="108" t="s">
        <v>3729</v>
      </c>
      <c r="C8813" s="109">
        <v>44340</v>
      </c>
      <c r="D8813" s="108" t="s">
        <v>3730</v>
      </c>
      <c r="E8813" s="108" t="s">
        <v>14605</v>
      </c>
      <c r="F8813" s="108" t="s">
        <v>3727</v>
      </c>
      <c r="G8813" s="109">
        <v>46139</v>
      </c>
      <c r="H8813" s="108" t="s">
        <v>25458</v>
      </c>
      <c r="I8813" s="108" t="s">
        <v>95</v>
      </c>
    </row>
    <row r="8814" spans="1:9" ht="27.6">
      <c r="A8814" s="108" t="s">
        <v>388</v>
      </c>
      <c r="B8814" s="108" t="s">
        <v>2474</v>
      </c>
      <c r="C8814" s="109">
        <v>44378</v>
      </c>
      <c r="D8814" s="108" t="s">
        <v>2476</v>
      </c>
      <c r="E8814" s="108" t="s">
        <v>14605</v>
      </c>
      <c r="F8814" s="108" t="s">
        <v>2475</v>
      </c>
      <c r="G8814" s="109">
        <v>46175</v>
      </c>
      <c r="H8814" s="108" t="s">
        <v>25458</v>
      </c>
      <c r="I8814" s="108" t="s">
        <v>95</v>
      </c>
    </row>
    <row r="8815" spans="1:9" ht="27.6">
      <c r="A8815" s="108" t="s">
        <v>388</v>
      </c>
      <c r="B8815" s="108" t="s">
        <v>5151</v>
      </c>
      <c r="C8815" s="109">
        <v>44319</v>
      </c>
      <c r="D8815" s="108" t="s">
        <v>5152</v>
      </c>
      <c r="E8815" s="108" t="s">
        <v>14605</v>
      </c>
      <c r="F8815" s="108" t="s">
        <v>5145</v>
      </c>
      <c r="G8815" s="109">
        <v>46137</v>
      </c>
      <c r="H8815" s="108" t="s">
        <v>25458</v>
      </c>
      <c r="I8815" s="108" t="s">
        <v>95</v>
      </c>
    </row>
    <row r="8816" spans="1:9" ht="27.6">
      <c r="A8816" s="108" t="s">
        <v>388</v>
      </c>
      <c r="B8816" s="108" t="s">
        <v>3653</v>
      </c>
      <c r="C8816" s="109">
        <v>44424</v>
      </c>
      <c r="D8816" s="108" t="s">
        <v>3654</v>
      </c>
      <c r="E8816" s="108" t="s">
        <v>14605</v>
      </c>
      <c r="F8816" s="108" t="s">
        <v>3651</v>
      </c>
      <c r="G8816" s="109">
        <v>45891</v>
      </c>
      <c r="H8816" s="108" t="s">
        <v>25458</v>
      </c>
      <c r="I8816" s="108" t="s">
        <v>95</v>
      </c>
    </row>
    <row r="8817" spans="1:9" ht="27.6">
      <c r="A8817" s="108" t="s">
        <v>388</v>
      </c>
      <c r="B8817" s="108" t="s">
        <v>5003</v>
      </c>
      <c r="C8817" s="109">
        <v>44477</v>
      </c>
      <c r="D8817" s="108" t="s">
        <v>5005</v>
      </c>
      <c r="E8817" s="108" t="s">
        <v>14605</v>
      </c>
      <c r="F8817" s="108" t="s">
        <v>5004</v>
      </c>
      <c r="G8817" s="109">
        <v>45954</v>
      </c>
      <c r="H8817" s="108" t="s">
        <v>25458</v>
      </c>
      <c r="I8817" s="108" t="s">
        <v>95</v>
      </c>
    </row>
    <row r="8818" spans="1:9">
      <c r="A8818" s="108" t="s">
        <v>16151</v>
      </c>
      <c r="B8818" s="108" t="s">
        <v>1602</v>
      </c>
      <c r="C8818" s="109">
        <v>44568</v>
      </c>
      <c r="D8818" s="108" t="s">
        <v>1603</v>
      </c>
      <c r="E8818" s="108" t="s">
        <v>14605</v>
      </c>
      <c r="F8818" s="108" t="s">
        <v>25777</v>
      </c>
      <c r="G8818" s="109">
        <v>46012</v>
      </c>
      <c r="H8818" s="108" t="s">
        <v>25458</v>
      </c>
      <c r="I8818" s="108" t="s">
        <v>95</v>
      </c>
    </row>
    <row r="8819" spans="1:9" ht="27.6">
      <c r="A8819" s="108" t="s">
        <v>388</v>
      </c>
      <c r="B8819" s="108" t="s">
        <v>4670</v>
      </c>
      <c r="C8819" s="109">
        <v>44536</v>
      </c>
      <c r="D8819" s="108" t="s">
        <v>4672</v>
      </c>
      <c r="E8819" s="108" t="s">
        <v>14605</v>
      </c>
      <c r="F8819" s="108" t="s">
        <v>4671</v>
      </c>
      <c r="G8819" s="109">
        <v>46013</v>
      </c>
      <c r="H8819" s="108" t="s">
        <v>25458</v>
      </c>
      <c r="I8819" s="108" t="s">
        <v>95</v>
      </c>
    </row>
    <row r="8820" spans="1:9" ht="27.6">
      <c r="A8820" s="108" t="s">
        <v>388</v>
      </c>
      <c r="B8820" s="108" t="s">
        <v>3302</v>
      </c>
      <c r="C8820" s="109">
        <v>44572</v>
      </c>
      <c r="D8820" s="108" t="s">
        <v>3304</v>
      </c>
      <c r="E8820" s="108" t="s">
        <v>14605</v>
      </c>
      <c r="F8820" s="108" t="s">
        <v>3303</v>
      </c>
      <c r="G8820" s="109">
        <v>46019</v>
      </c>
      <c r="H8820" s="108" t="s">
        <v>25458</v>
      </c>
      <c r="I8820" s="108" t="s">
        <v>95</v>
      </c>
    </row>
    <row r="8821" spans="1:9" ht="27.6">
      <c r="A8821" s="108" t="s">
        <v>388</v>
      </c>
      <c r="B8821" s="108" t="s">
        <v>1852</v>
      </c>
      <c r="C8821" s="109">
        <v>44567</v>
      </c>
      <c r="D8821" s="108" t="s">
        <v>1854</v>
      </c>
      <c r="E8821" s="108" t="s">
        <v>14605</v>
      </c>
      <c r="F8821" s="108" t="s">
        <v>1853</v>
      </c>
      <c r="G8821" s="109">
        <v>46037</v>
      </c>
      <c r="H8821" s="108" t="s">
        <v>25458</v>
      </c>
      <c r="I8821" s="108" t="s">
        <v>95</v>
      </c>
    </row>
    <row r="8822" spans="1:9" ht="27.6">
      <c r="A8822" s="108" t="s">
        <v>388</v>
      </c>
      <c r="B8822" s="108" t="s">
        <v>3430</v>
      </c>
      <c r="C8822" s="109">
        <v>44570</v>
      </c>
      <c r="D8822" s="108" t="s">
        <v>3432</v>
      </c>
      <c r="E8822" s="108" t="s">
        <v>14605</v>
      </c>
      <c r="F8822" s="108" t="s">
        <v>3431</v>
      </c>
      <c r="G8822" s="109">
        <v>46096</v>
      </c>
      <c r="H8822" s="108" t="s">
        <v>25458</v>
      </c>
      <c r="I8822" s="108" t="s">
        <v>95</v>
      </c>
    </row>
    <row r="8823" spans="1:9" ht="27.6">
      <c r="A8823" s="108" t="s">
        <v>388</v>
      </c>
      <c r="B8823" s="108" t="s">
        <v>413</v>
      </c>
      <c r="C8823" s="109">
        <v>44579</v>
      </c>
      <c r="D8823" s="108" t="s">
        <v>414</v>
      </c>
      <c r="E8823" s="108" t="s">
        <v>14605</v>
      </c>
      <c r="F8823" s="108" t="s">
        <v>409</v>
      </c>
      <c r="G8823" s="109">
        <v>46043</v>
      </c>
      <c r="H8823" s="108" t="s">
        <v>25458</v>
      </c>
      <c r="I8823" s="108" t="s">
        <v>95</v>
      </c>
    </row>
    <row r="8824" spans="1:9" ht="27.6">
      <c r="A8824" s="108" t="s">
        <v>388</v>
      </c>
      <c r="B8824" s="108" t="s">
        <v>411</v>
      </c>
      <c r="C8824" s="109">
        <v>44580</v>
      </c>
      <c r="D8824" s="108" t="s">
        <v>412</v>
      </c>
      <c r="E8824" s="108" t="s">
        <v>14605</v>
      </c>
      <c r="F8824" s="108" t="s">
        <v>409</v>
      </c>
      <c r="G8824" s="109">
        <v>46042</v>
      </c>
      <c r="H8824" s="108" t="s">
        <v>25458</v>
      </c>
      <c r="I8824" s="108" t="s">
        <v>95</v>
      </c>
    </row>
    <row r="8825" spans="1:9" ht="27.6">
      <c r="A8825" s="108" t="s">
        <v>388</v>
      </c>
      <c r="B8825" s="108" t="s">
        <v>3327</v>
      </c>
      <c r="C8825" s="109">
        <v>44592</v>
      </c>
      <c r="D8825" s="108" t="s">
        <v>3328</v>
      </c>
      <c r="E8825" s="108" t="s">
        <v>14605</v>
      </c>
      <c r="F8825" s="108" t="s">
        <v>25696</v>
      </c>
      <c r="G8825" s="109">
        <v>46066</v>
      </c>
      <c r="H8825" s="108" t="s">
        <v>25458</v>
      </c>
      <c r="I8825" s="108" t="s">
        <v>95</v>
      </c>
    </row>
    <row r="8826" spans="1:9" ht="27.6">
      <c r="A8826" s="108" t="s">
        <v>388</v>
      </c>
      <c r="B8826" s="108" t="s">
        <v>3733</v>
      </c>
      <c r="C8826" s="109">
        <v>44588</v>
      </c>
      <c r="D8826" s="108" t="s">
        <v>3735</v>
      </c>
      <c r="E8826" s="108" t="s">
        <v>14605</v>
      </c>
      <c r="F8826" s="108" t="s">
        <v>3734</v>
      </c>
      <c r="G8826" s="109">
        <v>46071</v>
      </c>
      <c r="H8826" s="108" t="s">
        <v>25458</v>
      </c>
      <c r="I8826" s="108" t="s">
        <v>95</v>
      </c>
    </row>
    <row r="8827" spans="1:9" ht="27.6">
      <c r="A8827" s="108" t="s">
        <v>388</v>
      </c>
      <c r="B8827" s="108" t="s">
        <v>5149</v>
      </c>
      <c r="C8827" s="109">
        <v>44638</v>
      </c>
      <c r="D8827" s="108" t="s">
        <v>5150</v>
      </c>
      <c r="E8827" s="108" t="s">
        <v>14605</v>
      </c>
      <c r="F8827" s="108" t="s">
        <v>5145</v>
      </c>
      <c r="G8827" s="109">
        <v>46120</v>
      </c>
      <c r="H8827" s="108" t="s">
        <v>25458</v>
      </c>
      <c r="I8827" s="108" t="s">
        <v>95</v>
      </c>
    </row>
    <row r="8828" spans="1:9" ht="27.6">
      <c r="A8828" s="108" t="s">
        <v>388</v>
      </c>
      <c r="B8828" s="108" t="s">
        <v>3023</v>
      </c>
      <c r="C8828" s="109">
        <v>44672</v>
      </c>
      <c r="D8828" s="108" t="s">
        <v>3025</v>
      </c>
      <c r="E8828" s="108" t="s">
        <v>14605</v>
      </c>
      <c r="F8828" s="108" t="s">
        <v>3024</v>
      </c>
      <c r="G8828" s="109">
        <v>46141</v>
      </c>
      <c r="H8828" s="108" t="s">
        <v>25458</v>
      </c>
      <c r="I8828" s="108" t="s">
        <v>95</v>
      </c>
    </row>
    <row r="8829" spans="1:9" ht="27.6">
      <c r="A8829" s="108" t="s">
        <v>388</v>
      </c>
      <c r="B8829" s="108" t="s">
        <v>3686</v>
      </c>
      <c r="C8829" s="109">
        <v>44811</v>
      </c>
      <c r="D8829" s="108" t="s">
        <v>3688</v>
      </c>
      <c r="E8829" s="108" t="s">
        <v>14605</v>
      </c>
      <c r="F8829" s="108" t="s">
        <v>3687</v>
      </c>
      <c r="G8829" s="109">
        <v>45916</v>
      </c>
      <c r="H8829" s="108" t="s">
        <v>25458</v>
      </c>
      <c r="I8829" s="108" t="s">
        <v>95</v>
      </c>
    </row>
    <row r="8830" spans="1:9" ht="27.6">
      <c r="A8830" s="108" t="s">
        <v>388</v>
      </c>
      <c r="B8830" s="108" t="s">
        <v>2433</v>
      </c>
      <c r="C8830" s="109">
        <v>44830</v>
      </c>
      <c r="D8830" s="108" t="s">
        <v>2434</v>
      </c>
      <c r="E8830" s="108" t="s">
        <v>14605</v>
      </c>
      <c r="F8830" s="108" t="s">
        <v>2431</v>
      </c>
      <c r="G8830" s="109">
        <v>45564</v>
      </c>
      <c r="H8830" s="108" t="s">
        <v>25458</v>
      </c>
      <c r="I8830" s="108" t="s">
        <v>95</v>
      </c>
    </row>
    <row r="8831" spans="1:9" ht="27.6">
      <c r="A8831" s="108" t="s">
        <v>388</v>
      </c>
      <c r="B8831" s="108" t="s">
        <v>5147</v>
      </c>
      <c r="C8831" s="109">
        <v>44811</v>
      </c>
      <c r="D8831" s="108" t="s">
        <v>5148</v>
      </c>
      <c r="E8831" s="108" t="s">
        <v>14605</v>
      </c>
      <c r="F8831" s="108" t="s">
        <v>5145</v>
      </c>
      <c r="G8831" s="109">
        <v>46282</v>
      </c>
      <c r="H8831" s="108" t="s">
        <v>25458</v>
      </c>
      <c r="I8831" s="108" t="s">
        <v>95</v>
      </c>
    </row>
    <row r="8832" spans="1:9" ht="27.6">
      <c r="A8832" s="108" t="s">
        <v>388</v>
      </c>
      <c r="B8832" s="108" t="s">
        <v>408</v>
      </c>
      <c r="C8832" s="109">
        <v>44979</v>
      </c>
      <c r="D8832" s="108" t="s">
        <v>410</v>
      </c>
      <c r="E8832" s="108" t="s">
        <v>14605</v>
      </c>
      <c r="F8832" s="108" t="s">
        <v>409</v>
      </c>
      <c r="G8832" s="109">
        <v>46043</v>
      </c>
      <c r="H8832" s="108" t="s">
        <v>25458</v>
      </c>
      <c r="I8832" s="108" t="s">
        <v>95</v>
      </c>
    </row>
    <row r="8833" spans="1:9" ht="27.6">
      <c r="A8833" s="108" t="s">
        <v>16151</v>
      </c>
      <c r="B8833" s="108" t="s">
        <v>2843</v>
      </c>
      <c r="C8833" s="109">
        <v>44936</v>
      </c>
      <c r="D8833" s="108" t="s">
        <v>2845</v>
      </c>
      <c r="E8833" s="108" t="s">
        <v>14605</v>
      </c>
      <c r="F8833" s="108" t="s">
        <v>2844</v>
      </c>
      <c r="G8833" s="109">
        <v>45891</v>
      </c>
      <c r="H8833" s="108" t="s">
        <v>25458</v>
      </c>
      <c r="I8833" s="108" t="s">
        <v>95</v>
      </c>
    </row>
    <row r="8834" spans="1:9">
      <c r="A8834" s="108" t="s">
        <v>16151</v>
      </c>
      <c r="B8834" s="108" t="s">
        <v>2424</v>
      </c>
      <c r="C8834" s="109">
        <v>44852</v>
      </c>
      <c r="D8834" s="108" t="s">
        <v>2426</v>
      </c>
      <c r="E8834" s="108" t="s">
        <v>14605</v>
      </c>
      <c r="F8834" s="108" t="s">
        <v>2425</v>
      </c>
      <c r="G8834" s="109">
        <v>45970</v>
      </c>
      <c r="H8834" s="108" t="s">
        <v>25458</v>
      </c>
      <c r="I8834" s="108" t="s">
        <v>95</v>
      </c>
    </row>
    <row r="8835" spans="1:9" ht="27.6">
      <c r="A8835" s="108" t="s">
        <v>388</v>
      </c>
      <c r="B8835" s="108" t="s">
        <v>3181</v>
      </c>
      <c r="C8835" s="109">
        <v>45064</v>
      </c>
      <c r="D8835" s="108" t="s">
        <v>3183</v>
      </c>
      <c r="E8835" s="108" t="s">
        <v>14605</v>
      </c>
      <c r="F8835" s="108" t="s">
        <v>3182</v>
      </c>
      <c r="G8835" s="109">
        <v>46177</v>
      </c>
      <c r="H8835" s="108" t="s">
        <v>25458</v>
      </c>
      <c r="I8835" s="108" t="s">
        <v>95</v>
      </c>
    </row>
    <row r="8836" spans="1:9" ht="27.6">
      <c r="A8836" s="108" t="s">
        <v>388</v>
      </c>
      <c r="B8836" s="108" t="s">
        <v>2430</v>
      </c>
      <c r="C8836" s="109">
        <v>45112</v>
      </c>
      <c r="D8836" s="108" t="s">
        <v>2432</v>
      </c>
      <c r="E8836" s="108" t="s">
        <v>14605</v>
      </c>
      <c r="F8836" s="108" t="s">
        <v>2431</v>
      </c>
      <c r="G8836" s="109">
        <v>46022</v>
      </c>
      <c r="H8836" s="108" t="s">
        <v>25558</v>
      </c>
      <c r="I8836" s="108" t="s">
        <v>95</v>
      </c>
    </row>
    <row r="8837" spans="1:9" ht="27.6">
      <c r="A8837" s="108" t="s">
        <v>388</v>
      </c>
      <c r="B8837" s="108" t="s">
        <v>4060</v>
      </c>
      <c r="C8837" s="109">
        <v>45083</v>
      </c>
      <c r="D8837" s="108" t="s">
        <v>4062</v>
      </c>
      <c r="E8837" s="108" t="s">
        <v>14605</v>
      </c>
      <c r="F8837" s="108" t="s">
        <v>4061</v>
      </c>
      <c r="G8837" s="109">
        <v>47235</v>
      </c>
      <c r="H8837" s="108" t="s">
        <v>25458</v>
      </c>
      <c r="I8837" s="108" t="s">
        <v>95</v>
      </c>
    </row>
    <row r="8838" spans="1:9" ht="27.6">
      <c r="A8838" s="108" t="s">
        <v>388</v>
      </c>
      <c r="B8838" s="108" t="s">
        <v>5144</v>
      </c>
      <c r="C8838" s="109">
        <v>45132</v>
      </c>
      <c r="D8838" s="108" t="s">
        <v>5146</v>
      </c>
      <c r="E8838" s="108" t="s">
        <v>14605</v>
      </c>
      <c r="F8838" s="108" t="s">
        <v>5145</v>
      </c>
      <c r="G8838" s="109">
        <v>46252</v>
      </c>
      <c r="H8838" s="108" t="s">
        <v>25458</v>
      </c>
      <c r="I8838" s="108" t="s">
        <v>95</v>
      </c>
    </row>
    <row r="8839" spans="1:9" ht="27.6">
      <c r="A8839" s="108" t="s">
        <v>16151</v>
      </c>
      <c r="B8839" s="108" t="s">
        <v>2799</v>
      </c>
      <c r="C8839" s="109">
        <v>45184</v>
      </c>
      <c r="D8839" s="108" t="s">
        <v>2800</v>
      </c>
      <c r="E8839" s="108" t="s">
        <v>14605</v>
      </c>
      <c r="F8839" s="108" t="s">
        <v>2795</v>
      </c>
      <c r="G8839" s="109">
        <v>46022</v>
      </c>
      <c r="H8839" s="108" t="s">
        <v>25458</v>
      </c>
      <c r="I8839" s="108" t="s">
        <v>95</v>
      </c>
    </row>
    <row r="8840" spans="1:9" ht="27.6">
      <c r="A8840" s="108" t="s">
        <v>388</v>
      </c>
      <c r="B8840" s="108" t="s">
        <v>2797</v>
      </c>
      <c r="C8840" s="109">
        <v>45203</v>
      </c>
      <c r="D8840" s="108" t="s">
        <v>2798</v>
      </c>
      <c r="E8840" s="108" t="s">
        <v>14605</v>
      </c>
      <c r="F8840" s="108" t="s">
        <v>2795</v>
      </c>
      <c r="G8840" s="109">
        <v>45944</v>
      </c>
      <c r="H8840" s="108" t="s">
        <v>25458</v>
      </c>
      <c r="I8840" s="108" t="s">
        <v>95</v>
      </c>
    </row>
    <row r="8841" spans="1:9" ht="27.6">
      <c r="A8841" s="108" t="s">
        <v>388</v>
      </c>
      <c r="B8841" s="108" t="s">
        <v>1032</v>
      </c>
      <c r="C8841" s="109">
        <v>45232</v>
      </c>
      <c r="D8841" s="108" t="s">
        <v>1034</v>
      </c>
      <c r="E8841" s="108" t="s">
        <v>14605</v>
      </c>
      <c r="F8841" s="108" t="s">
        <v>1033</v>
      </c>
      <c r="G8841" s="109">
        <v>45970</v>
      </c>
      <c r="H8841" s="108" t="s">
        <v>25458</v>
      </c>
      <c r="I8841" s="108" t="s">
        <v>95</v>
      </c>
    </row>
    <row r="8842" spans="1:9" ht="27.6">
      <c r="A8842" s="108" t="s">
        <v>388</v>
      </c>
      <c r="B8842" s="108" t="s">
        <v>633</v>
      </c>
      <c r="C8842" s="109">
        <v>45295</v>
      </c>
      <c r="D8842" s="108" t="s">
        <v>635</v>
      </c>
      <c r="E8842" s="108" t="s">
        <v>14605</v>
      </c>
      <c r="F8842" s="108" t="s">
        <v>634</v>
      </c>
      <c r="G8842" s="109">
        <v>46039</v>
      </c>
      <c r="H8842" s="108" t="s">
        <v>25458</v>
      </c>
      <c r="I8842" s="108" t="s">
        <v>95</v>
      </c>
    </row>
    <row r="8843" spans="1:9" ht="27.6">
      <c r="A8843" s="108" t="s">
        <v>388</v>
      </c>
      <c r="B8843" s="108" t="s">
        <v>4785</v>
      </c>
      <c r="C8843" s="109">
        <v>45341</v>
      </c>
      <c r="D8843" s="108" t="s">
        <v>4787</v>
      </c>
      <c r="E8843" s="108" t="s">
        <v>14605</v>
      </c>
      <c r="F8843" s="108" t="s">
        <v>4786</v>
      </c>
      <c r="G8843" s="109">
        <v>46107</v>
      </c>
      <c r="H8843" s="108" t="s">
        <v>25458</v>
      </c>
      <c r="I8843" s="108" t="s">
        <v>95</v>
      </c>
    </row>
    <row r="8844" spans="1:9" ht="27.6">
      <c r="A8844" s="108" t="s">
        <v>388</v>
      </c>
      <c r="B8844" s="108" t="s">
        <v>1572</v>
      </c>
      <c r="C8844" s="109">
        <v>45447</v>
      </c>
      <c r="D8844" s="108" t="s">
        <v>1574</v>
      </c>
      <c r="E8844" s="108" t="s">
        <v>14605</v>
      </c>
      <c r="F8844" s="108" t="s">
        <v>1573</v>
      </c>
      <c r="G8844" s="109">
        <v>46022</v>
      </c>
      <c r="H8844" s="108" t="s">
        <v>25458</v>
      </c>
      <c r="I8844" s="108" t="s">
        <v>95</v>
      </c>
    </row>
    <row r="8845" spans="1:9" ht="27.6">
      <c r="A8845" s="108" t="s">
        <v>388</v>
      </c>
      <c r="B8845" s="108" t="s">
        <v>4596</v>
      </c>
      <c r="C8845" s="109">
        <v>45456</v>
      </c>
      <c r="D8845" s="108" t="s">
        <v>4598</v>
      </c>
      <c r="E8845" s="108" t="s">
        <v>14605</v>
      </c>
      <c r="F8845" s="108" t="s">
        <v>4597</v>
      </c>
      <c r="G8845" s="109">
        <v>46570</v>
      </c>
      <c r="H8845" s="108" t="s">
        <v>25458</v>
      </c>
      <c r="I8845" s="108" t="s">
        <v>95</v>
      </c>
    </row>
    <row r="8846" spans="1:9" ht="27.6">
      <c r="A8846" s="108" t="s">
        <v>17130</v>
      </c>
      <c r="B8846" s="108" t="s">
        <v>26691</v>
      </c>
      <c r="C8846" s="109">
        <v>44720</v>
      </c>
      <c r="D8846" s="108" t="s">
        <v>26692</v>
      </c>
      <c r="E8846" s="108" t="s">
        <v>14605</v>
      </c>
      <c r="F8846" s="108" t="s">
        <v>3991</v>
      </c>
      <c r="G8846" s="109">
        <v>46180</v>
      </c>
      <c r="H8846" s="108" t="s">
        <v>25458</v>
      </c>
      <c r="I8846" s="108" t="s">
        <v>17342</v>
      </c>
    </row>
    <row r="8847" spans="1:9" ht="27.6">
      <c r="A8847" s="108" t="s">
        <v>17130</v>
      </c>
      <c r="B8847" s="108" t="s">
        <v>26693</v>
      </c>
      <c r="C8847" s="109">
        <v>44621</v>
      </c>
      <c r="D8847" s="108" t="s">
        <v>26694</v>
      </c>
      <c r="E8847" s="108" t="s">
        <v>14605</v>
      </c>
      <c r="F8847" s="108" t="s">
        <v>4638</v>
      </c>
      <c r="G8847" s="109">
        <v>45351</v>
      </c>
      <c r="H8847" s="108" t="s">
        <v>25458</v>
      </c>
      <c r="I8847" s="108" t="s">
        <v>17342</v>
      </c>
    </row>
    <row r="8848" spans="1:9" ht="27.6">
      <c r="A8848" s="108" t="s">
        <v>17130</v>
      </c>
      <c r="B8848" s="108" t="s">
        <v>26695</v>
      </c>
      <c r="C8848" s="109">
        <v>43724</v>
      </c>
      <c r="D8848" s="108" t="s">
        <v>26696</v>
      </c>
      <c r="E8848" s="108" t="s">
        <v>14605</v>
      </c>
      <c r="F8848" s="108" t="s">
        <v>5018</v>
      </c>
      <c r="G8848" s="109">
        <v>45915</v>
      </c>
      <c r="H8848" s="108" t="s">
        <v>25458</v>
      </c>
      <c r="I8848" s="108" t="s">
        <v>2880</v>
      </c>
    </row>
    <row r="8849" spans="1:9" ht="27.6">
      <c r="A8849" s="108" t="s">
        <v>17130</v>
      </c>
      <c r="B8849" s="108" t="s">
        <v>26697</v>
      </c>
      <c r="C8849" s="109">
        <v>43741</v>
      </c>
      <c r="D8849" s="108" t="s">
        <v>26698</v>
      </c>
      <c r="E8849" s="108" t="s">
        <v>14605</v>
      </c>
      <c r="F8849" s="108" t="s">
        <v>26699</v>
      </c>
      <c r="G8849" s="109">
        <v>45201</v>
      </c>
      <c r="H8849" s="108" t="s">
        <v>25458</v>
      </c>
      <c r="I8849" s="108" t="s">
        <v>2880</v>
      </c>
    </row>
    <row r="8850" spans="1:9" ht="27.6">
      <c r="A8850" s="108" t="s">
        <v>17130</v>
      </c>
      <c r="B8850" s="108" t="s">
        <v>26700</v>
      </c>
      <c r="C8850" s="109">
        <v>44169</v>
      </c>
      <c r="D8850" s="108" t="s">
        <v>26701</v>
      </c>
      <c r="E8850" s="108" t="s">
        <v>14605</v>
      </c>
      <c r="F8850" s="108" t="s">
        <v>4260</v>
      </c>
      <c r="G8850" s="109">
        <v>45198</v>
      </c>
      <c r="H8850" s="108" t="s">
        <v>25458</v>
      </c>
      <c r="I8850" s="108" t="s">
        <v>2880</v>
      </c>
    </row>
    <row r="8851" spans="1:9" ht="27.6">
      <c r="A8851" s="108" t="s">
        <v>17130</v>
      </c>
      <c r="B8851" s="108" t="s">
        <v>26702</v>
      </c>
      <c r="C8851" s="109">
        <v>44257</v>
      </c>
      <c r="D8851" s="108" t="s">
        <v>26703</v>
      </c>
      <c r="E8851" s="108" t="s">
        <v>14605</v>
      </c>
      <c r="F8851" s="108" t="s">
        <v>2545</v>
      </c>
      <c r="G8851" s="109">
        <v>46082</v>
      </c>
      <c r="H8851" s="108" t="s">
        <v>25458</v>
      </c>
      <c r="I8851" s="108" t="s">
        <v>2880</v>
      </c>
    </row>
    <row r="8852" spans="1:9" ht="27.6">
      <c r="A8852" s="108" t="s">
        <v>17130</v>
      </c>
      <c r="B8852" s="108" t="s">
        <v>26704</v>
      </c>
      <c r="C8852" s="109">
        <v>44273</v>
      </c>
      <c r="D8852" s="108" t="s">
        <v>26705</v>
      </c>
      <c r="E8852" s="108" t="s">
        <v>14605</v>
      </c>
      <c r="F8852" s="108" t="s">
        <v>1519</v>
      </c>
      <c r="G8852" s="109">
        <v>45291</v>
      </c>
      <c r="H8852" s="108" t="s">
        <v>25458</v>
      </c>
      <c r="I8852" s="108" t="s">
        <v>2880</v>
      </c>
    </row>
    <row r="8853" spans="1:9" ht="27.6">
      <c r="A8853" s="108" t="s">
        <v>17130</v>
      </c>
      <c r="B8853" s="108" t="s">
        <v>26706</v>
      </c>
      <c r="C8853" s="109">
        <v>44469</v>
      </c>
      <c r="D8853" s="108" t="s">
        <v>26707</v>
      </c>
      <c r="E8853" s="108" t="s">
        <v>14605</v>
      </c>
      <c r="F8853" s="108" t="s">
        <v>3466</v>
      </c>
      <c r="G8853" s="109">
        <v>45716</v>
      </c>
      <c r="H8853" s="108" t="s">
        <v>25458</v>
      </c>
      <c r="I8853" s="108" t="s">
        <v>2880</v>
      </c>
    </row>
    <row r="8854" spans="1:9" ht="27.6">
      <c r="A8854" s="108" t="s">
        <v>17130</v>
      </c>
      <c r="B8854" s="108" t="s">
        <v>26708</v>
      </c>
      <c r="C8854" s="109">
        <v>44372</v>
      </c>
      <c r="D8854" s="108" t="s">
        <v>26709</v>
      </c>
      <c r="E8854" s="108" t="s">
        <v>14605</v>
      </c>
      <c r="F8854" s="108" t="s">
        <v>4966</v>
      </c>
      <c r="G8854" s="109">
        <v>46234</v>
      </c>
      <c r="H8854" s="108" t="s">
        <v>25458</v>
      </c>
      <c r="I8854" s="108" t="s">
        <v>2880</v>
      </c>
    </row>
    <row r="8855" spans="1:9" ht="27.6">
      <c r="A8855" s="108" t="s">
        <v>17130</v>
      </c>
      <c r="B8855" s="108" t="s">
        <v>26710</v>
      </c>
      <c r="C8855" s="109">
        <v>44420</v>
      </c>
      <c r="D8855" s="108" t="s">
        <v>26711</v>
      </c>
      <c r="E8855" s="108" t="s">
        <v>14605</v>
      </c>
      <c r="F8855" s="108" t="s">
        <v>5018</v>
      </c>
      <c r="G8855" s="109">
        <v>46245</v>
      </c>
      <c r="H8855" s="108" t="s">
        <v>25458</v>
      </c>
      <c r="I8855" s="108" t="s">
        <v>2880</v>
      </c>
    </row>
    <row r="8856" spans="1:9" ht="27.6">
      <c r="A8856" s="108" t="s">
        <v>17130</v>
      </c>
      <c r="B8856" s="108" t="s">
        <v>26712</v>
      </c>
      <c r="C8856" s="109">
        <v>44585</v>
      </c>
      <c r="D8856" s="108" t="s">
        <v>26713</v>
      </c>
      <c r="E8856" s="108" t="s">
        <v>14605</v>
      </c>
      <c r="F8856" s="108" t="s">
        <v>26223</v>
      </c>
      <c r="G8856" s="109">
        <v>45680</v>
      </c>
      <c r="H8856" s="108" t="s">
        <v>25458</v>
      </c>
      <c r="I8856" s="108" t="s">
        <v>2880</v>
      </c>
    </row>
    <row r="8857" spans="1:9">
      <c r="A8857" s="108" t="s">
        <v>2881</v>
      </c>
      <c r="B8857" s="108" t="s">
        <v>2878</v>
      </c>
      <c r="C8857" s="109">
        <v>45588</v>
      </c>
      <c r="D8857" s="108" t="s">
        <v>2879</v>
      </c>
      <c r="E8857" s="108" t="s">
        <v>14605</v>
      </c>
      <c r="F8857" s="108" t="s">
        <v>2853</v>
      </c>
      <c r="G8857" s="109">
        <v>46110</v>
      </c>
      <c r="H8857" s="108" t="s">
        <v>25458</v>
      </c>
      <c r="I8857" s="108" t="s">
        <v>2880</v>
      </c>
    </row>
    <row r="8858" spans="1:9" ht="27.6">
      <c r="A8858" s="108" t="s">
        <v>17130</v>
      </c>
      <c r="B8858" s="108" t="s">
        <v>26714</v>
      </c>
      <c r="C8858" s="109">
        <v>44650</v>
      </c>
      <c r="D8858" s="108" t="s">
        <v>26715</v>
      </c>
      <c r="E8858" s="108" t="s">
        <v>14605</v>
      </c>
      <c r="F8858" s="108" t="s">
        <v>1370</v>
      </c>
      <c r="G8858" s="109">
        <v>45837</v>
      </c>
      <c r="H8858" s="108" t="s">
        <v>25458</v>
      </c>
      <c r="I8858" s="108" t="s">
        <v>2880</v>
      </c>
    </row>
    <row r="8859" spans="1:9" ht="27.6">
      <c r="A8859" s="108" t="s">
        <v>17130</v>
      </c>
      <c r="B8859" s="108" t="s">
        <v>26716</v>
      </c>
      <c r="C8859" s="109">
        <v>44932</v>
      </c>
      <c r="D8859" s="108" t="s">
        <v>26717</v>
      </c>
      <c r="E8859" s="108" t="s">
        <v>14605</v>
      </c>
      <c r="F8859" s="108" t="s">
        <v>766</v>
      </c>
      <c r="G8859" s="109">
        <v>46027</v>
      </c>
      <c r="H8859" s="108" t="s">
        <v>25458</v>
      </c>
      <c r="I8859" s="108" t="s">
        <v>2880</v>
      </c>
    </row>
    <row r="8860" spans="1:9" ht="27.6">
      <c r="A8860" s="108" t="s">
        <v>17130</v>
      </c>
      <c r="B8860" s="108" t="s">
        <v>26718</v>
      </c>
      <c r="C8860" s="109">
        <v>44981</v>
      </c>
      <c r="D8860" s="108" t="s">
        <v>26719</v>
      </c>
      <c r="E8860" s="108" t="s">
        <v>14605</v>
      </c>
      <c r="F8860" s="108" t="s">
        <v>1370</v>
      </c>
      <c r="G8860" s="109">
        <v>46059</v>
      </c>
      <c r="H8860" s="108" t="s">
        <v>25458</v>
      </c>
      <c r="I8860" s="108" t="s">
        <v>2880</v>
      </c>
    </row>
    <row r="8861" spans="1:9" ht="27.6">
      <c r="A8861" s="108" t="s">
        <v>1591</v>
      </c>
      <c r="B8861" s="108" t="s">
        <v>3108</v>
      </c>
      <c r="C8861" s="109">
        <v>45125</v>
      </c>
      <c r="D8861" s="108" t="s">
        <v>3110</v>
      </c>
      <c r="E8861" s="108" t="s">
        <v>14605</v>
      </c>
      <c r="F8861" s="108" t="s">
        <v>3109</v>
      </c>
      <c r="G8861" s="109">
        <v>46220</v>
      </c>
      <c r="H8861" s="108" t="s">
        <v>25458</v>
      </c>
      <c r="I8861" s="108" t="s">
        <v>2880</v>
      </c>
    </row>
    <row r="8862" spans="1:9" ht="27.6">
      <c r="A8862" s="108" t="s">
        <v>17130</v>
      </c>
      <c r="B8862" s="108" t="s">
        <v>26720</v>
      </c>
      <c r="C8862" s="109">
        <v>44186</v>
      </c>
      <c r="D8862" s="108" t="s">
        <v>26721</v>
      </c>
      <c r="E8862" s="108" t="s">
        <v>14605</v>
      </c>
      <c r="F8862" s="108" t="s">
        <v>3856</v>
      </c>
      <c r="G8862" s="109">
        <v>45280</v>
      </c>
      <c r="H8862" s="108" t="s">
        <v>25458</v>
      </c>
      <c r="I8862" s="108" t="s">
        <v>21535</v>
      </c>
    </row>
    <row r="8863" spans="1:9">
      <c r="A8863" s="108" t="s">
        <v>316</v>
      </c>
      <c r="B8863" s="108" t="s">
        <v>4753</v>
      </c>
      <c r="C8863" s="109">
        <v>43083</v>
      </c>
      <c r="D8863" s="108" t="s">
        <v>4755</v>
      </c>
      <c r="E8863" s="108" t="s">
        <v>14605</v>
      </c>
      <c r="F8863" s="108" t="s">
        <v>4754</v>
      </c>
      <c r="G8863" s="109">
        <v>45169</v>
      </c>
      <c r="H8863" s="108" t="s">
        <v>25458</v>
      </c>
      <c r="I8863" s="108" t="s">
        <v>280</v>
      </c>
    </row>
    <row r="8864" spans="1:9">
      <c r="A8864" s="108" t="s">
        <v>87</v>
      </c>
      <c r="B8864" s="108" t="s">
        <v>4937</v>
      </c>
      <c r="C8864" s="109">
        <v>43420</v>
      </c>
      <c r="D8864" s="108" t="s">
        <v>4938</v>
      </c>
      <c r="E8864" s="108" t="s">
        <v>14605</v>
      </c>
      <c r="F8864" s="108" t="s">
        <v>4920</v>
      </c>
      <c r="G8864" s="109">
        <v>45976</v>
      </c>
      <c r="H8864" s="108" t="s">
        <v>25458</v>
      </c>
      <c r="I8864" s="108" t="s">
        <v>280</v>
      </c>
    </row>
    <row r="8865" spans="1:9">
      <c r="A8865" s="108" t="s">
        <v>87</v>
      </c>
      <c r="B8865" s="108" t="s">
        <v>2682</v>
      </c>
      <c r="C8865" s="109">
        <v>43698</v>
      </c>
      <c r="D8865" s="108" t="s">
        <v>26722</v>
      </c>
      <c r="E8865" s="108" t="s">
        <v>14605</v>
      </c>
      <c r="F8865" s="108" t="s">
        <v>14691</v>
      </c>
      <c r="G8865" s="109">
        <v>46254</v>
      </c>
      <c r="H8865" s="108" t="s">
        <v>25458</v>
      </c>
      <c r="I8865" s="108" t="s">
        <v>280</v>
      </c>
    </row>
    <row r="8866" spans="1:9">
      <c r="A8866" s="108" t="s">
        <v>87</v>
      </c>
      <c r="B8866" s="108" t="s">
        <v>873</v>
      </c>
      <c r="C8866" s="109">
        <v>43880</v>
      </c>
      <c r="D8866" s="108" t="s">
        <v>875</v>
      </c>
      <c r="E8866" s="108" t="s">
        <v>14605</v>
      </c>
      <c r="F8866" s="108" t="s">
        <v>874</v>
      </c>
      <c r="G8866" s="109">
        <v>45706</v>
      </c>
      <c r="H8866" s="108" t="s">
        <v>25458</v>
      </c>
      <c r="I8866" s="108" t="s">
        <v>280</v>
      </c>
    </row>
    <row r="8867" spans="1:9">
      <c r="A8867" s="108" t="s">
        <v>87</v>
      </c>
      <c r="B8867" s="108" t="s">
        <v>919</v>
      </c>
      <c r="C8867" s="109">
        <v>43895</v>
      </c>
      <c r="D8867" s="108" t="s">
        <v>920</v>
      </c>
      <c r="E8867" s="108" t="s">
        <v>14605</v>
      </c>
      <c r="F8867" s="108" t="s">
        <v>913</v>
      </c>
      <c r="G8867" s="109">
        <v>46203</v>
      </c>
      <c r="H8867" s="108" t="s">
        <v>25458</v>
      </c>
      <c r="I8867" s="108" t="s">
        <v>280</v>
      </c>
    </row>
    <row r="8868" spans="1:9">
      <c r="A8868" s="108" t="s">
        <v>237</v>
      </c>
      <c r="B8868" s="108" t="s">
        <v>3236</v>
      </c>
      <c r="C8868" s="109">
        <v>42382</v>
      </c>
      <c r="D8868" s="108" t="s">
        <v>3237</v>
      </c>
      <c r="E8868" s="108" t="s">
        <v>14605</v>
      </c>
      <c r="F8868" s="108" t="s">
        <v>26723</v>
      </c>
      <c r="G8868" s="109">
        <v>45351</v>
      </c>
      <c r="H8868" s="108" t="s">
        <v>25458</v>
      </c>
      <c r="I8868" s="108" t="s">
        <v>280</v>
      </c>
    </row>
    <row r="8869" spans="1:9">
      <c r="A8869" s="108" t="s">
        <v>237</v>
      </c>
      <c r="B8869" s="108" t="s">
        <v>3842</v>
      </c>
      <c r="C8869" s="109">
        <v>43370</v>
      </c>
      <c r="D8869" s="108" t="s">
        <v>3843</v>
      </c>
      <c r="E8869" s="108" t="s">
        <v>14605</v>
      </c>
      <c r="F8869" s="108" t="s">
        <v>3839</v>
      </c>
      <c r="G8869" s="109">
        <v>45561</v>
      </c>
      <c r="H8869" s="108" t="s">
        <v>25458</v>
      </c>
      <c r="I8869" s="108" t="s">
        <v>280</v>
      </c>
    </row>
    <row r="8870" spans="1:9" ht="27.6">
      <c r="A8870" s="108" t="s">
        <v>1635</v>
      </c>
      <c r="B8870" s="108" t="s">
        <v>1632</v>
      </c>
      <c r="C8870" s="109">
        <v>44344</v>
      </c>
      <c r="D8870" s="108" t="s">
        <v>1634</v>
      </c>
      <c r="E8870" s="108" t="s">
        <v>14605</v>
      </c>
      <c r="F8870" s="108" t="s">
        <v>1633</v>
      </c>
      <c r="G8870" s="109">
        <v>46229</v>
      </c>
      <c r="H8870" s="108" t="s">
        <v>25458</v>
      </c>
      <c r="I8870" s="108" t="s">
        <v>280</v>
      </c>
    </row>
    <row r="8871" spans="1:9">
      <c r="A8871" s="108" t="s">
        <v>1465</v>
      </c>
      <c r="B8871" s="108" t="s">
        <v>4438</v>
      </c>
      <c r="C8871" s="109">
        <v>43811</v>
      </c>
      <c r="D8871" s="108" t="s">
        <v>4439</v>
      </c>
      <c r="E8871" s="108" t="s">
        <v>14605</v>
      </c>
      <c r="F8871" s="108" t="s">
        <v>4434</v>
      </c>
      <c r="G8871" s="109">
        <v>46081</v>
      </c>
      <c r="H8871" s="108" t="s">
        <v>25458</v>
      </c>
      <c r="I8871" s="108" t="s">
        <v>280</v>
      </c>
    </row>
    <row r="8872" spans="1:9" ht="27.6">
      <c r="A8872" s="108" t="s">
        <v>14929</v>
      </c>
      <c r="B8872" s="108" t="s">
        <v>1004</v>
      </c>
      <c r="C8872" s="109">
        <v>43133</v>
      </c>
      <c r="D8872" s="108" t="s">
        <v>1005</v>
      </c>
      <c r="E8872" s="108" t="s">
        <v>14605</v>
      </c>
      <c r="F8872" s="108" t="s">
        <v>986</v>
      </c>
      <c r="G8872" s="109">
        <v>46163</v>
      </c>
      <c r="H8872" s="108" t="s">
        <v>25458</v>
      </c>
      <c r="I8872" s="108" t="s">
        <v>280</v>
      </c>
    </row>
    <row r="8873" spans="1:9">
      <c r="A8873" s="108" t="s">
        <v>87</v>
      </c>
      <c r="B8873" s="108" t="s">
        <v>3299</v>
      </c>
      <c r="C8873" s="109">
        <v>44320</v>
      </c>
      <c r="D8873" s="108" t="s">
        <v>3300</v>
      </c>
      <c r="E8873" s="108" t="s">
        <v>14605</v>
      </c>
      <c r="F8873" s="108" t="s">
        <v>14744</v>
      </c>
      <c r="G8873" s="109">
        <v>46145</v>
      </c>
      <c r="H8873" s="108" t="s">
        <v>25458</v>
      </c>
      <c r="I8873" s="108" t="s">
        <v>280</v>
      </c>
    </row>
    <row r="8874" spans="1:9" ht="27.6">
      <c r="A8874" s="108" t="s">
        <v>477</v>
      </c>
      <c r="B8874" s="108" t="s">
        <v>4647</v>
      </c>
      <c r="C8874" s="109">
        <v>44419</v>
      </c>
      <c r="D8874" s="108" t="s">
        <v>4648</v>
      </c>
      <c r="E8874" s="108" t="s">
        <v>14605</v>
      </c>
      <c r="F8874" s="108" t="s">
        <v>4638</v>
      </c>
      <c r="G8874" s="109">
        <v>46609</v>
      </c>
      <c r="H8874" s="108" t="s">
        <v>25458</v>
      </c>
      <c r="I8874" s="108" t="s">
        <v>280</v>
      </c>
    </row>
    <row r="8875" spans="1:9">
      <c r="A8875" s="108" t="s">
        <v>237</v>
      </c>
      <c r="B8875" s="108" t="s">
        <v>1846</v>
      </c>
      <c r="C8875" s="109">
        <v>44594</v>
      </c>
      <c r="D8875" s="108" t="s">
        <v>1847</v>
      </c>
      <c r="E8875" s="108" t="s">
        <v>14605</v>
      </c>
      <c r="F8875" s="108" t="s">
        <v>1844</v>
      </c>
      <c r="G8875" s="109">
        <v>45689</v>
      </c>
      <c r="H8875" s="108" t="s">
        <v>25458</v>
      </c>
      <c r="I8875" s="108" t="s">
        <v>280</v>
      </c>
    </row>
    <row r="8876" spans="1:9" ht="27.6">
      <c r="A8876" s="108" t="s">
        <v>14690</v>
      </c>
      <c r="B8876" s="108" t="s">
        <v>3748</v>
      </c>
      <c r="C8876" s="109">
        <v>44693</v>
      </c>
      <c r="D8876" s="108" t="s">
        <v>3749</v>
      </c>
      <c r="E8876" s="108" t="s">
        <v>14605</v>
      </c>
      <c r="F8876" s="108" t="s">
        <v>3747</v>
      </c>
      <c r="G8876" s="109">
        <v>45423</v>
      </c>
      <c r="H8876" s="108" t="s">
        <v>25458</v>
      </c>
      <c r="I8876" s="108" t="s">
        <v>280</v>
      </c>
    </row>
    <row r="8877" spans="1:9" ht="27.6">
      <c r="A8877" s="108" t="s">
        <v>1465</v>
      </c>
      <c r="B8877" s="108" t="s">
        <v>2406</v>
      </c>
      <c r="C8877" s="109">
        <v>44663</v>
      </c>
      <c r="D8877" s="108" t="s">
        <v>2407</v>
      </c>
      <c r="E8877" s="108" t="s">
        <v>14605</v>
      </c>
      <c r="F8877" s="108" t="s">
        <v>2405</v>
      </c>
      <c r="G8877" s="109">
        <v>45930</v>
      </c>
      <c r="H8877" s="108" t="s">
        <v>25458</v>
      </c>
      <c r="I8877" s="108" t="s">
        <v>280</v>
      </c>
    </row>
    <row r="8878" spans="1:9">
      <c r="A8878" s="108" t="s">
        <v>237</v>
      </c>
      <c r="B8878" s="108" t="s">
        <v>278</v>
      </c>
      <c r="C8878" s="109">
        <v>44879</v>
      </c>
      <c r="D8878" s="108" t="s">
        <v>279</v>
      </c>
      <c r="E8878" s="108" t="s">
        <v>14605</v>
      </c>
      <c r="F8878" s="108" t="s">
        <v>276</v>
      </c>
      <c r="G8878" s="109">
        <v>46022</v>
      </c>
      <c r="H8878" s="108" t="s">
        <v>25458</v>
      </c>
      <c r="I8878" s="108" t="s">
        <v>280</v>
      </c>
    </row>
    <row r="8879" spans="1:9" ht="27.6">
      <c r="A8879" s="108" t="s">
        <v>14929</v>
      </c>
      <c r="B8879" s="108" t="s">
        <v>526</v>
      </c>
      <c r="C8879" s="109">
        <v>45327</v>
      </c>
      <c r="D8879" s="108" t="s">
        <v>528</v>
      </c>
      <c r="E8879" s="108" t="s">
        <v>14605</v>
      </c>
      <c r="F8879" s="108" t="s">
        <v>527</v>
      </c>
      <c r="G8879" s="109">
        <v>46073</v>
      </c>
      <c r="H8879" s="108" t="s">
        <v>25458</v>
      </c>
      <c r="I8879" s="108" t="s">
        <v>280</v>
      </c>
    </row>
    <row r="8880" spans="1:9">
      <c r="A8880" s="108" t="s">
        <v>571</v>
      </c>
      <c r="B8880" s="108" t="s">
        <v>3290</v>
      </c>
      <c r="C8880" s="109">
        <v>45450</v>
      </c>
      <c r="D8880" s="108" t="s">
        <v>3292</v>
      </c>
      <c r="E8880" s="108" t="s">
        <v>14605</v>
      </c>
      <c r="F8880" s="108" t="s">
        <v>3291</v>
      </c>
      <c r="G8880" s="109">
        <v>46201</v>
      </c>
      <c r="H8880" s="108" t="s">
        <v>25458</v>
      </c>
      <c r="I8880" s="108" t="s">
        <v>280</v>
      </c>
    </row>
    <row r="8881" spans="1:9">
      <c r="A8881" s="108" t="s">
        <v>87</v>
      </c>
      <c r="B8881" s="108" t="s">
        <v>544</v>
      </c>
      <c r="C8881" s="109">
        <v>42090</v>
      </c>
      <c r="D8881" s="108" t="s">
        <v>545</v>
      </c>
      <c r="E8881" s="108" t="s">
        <v>14605</v>
      </c>
      <c r="F8881" s="108" t="s">
        <v>538</v>
      </c>
      <c r="G8881" s="109">
        <v>46107</v>
      </c>
      <c r="H8881" s="108" t="s">
        <v>25458</v>
      </c>
      <c r="I8881" s="108" t="s">
        <v>79</v>
      </c>
    </row>
    <row r="8882" spans="1:9">
      <c r="A8882" s="108" t="s">
        <v>87</v>
      </c>
      <c r="B8882" s="108" t="s">
        <v>3405</v>
      </c>
      <c r="C8882" s="109">
        <v>42187</v>
      </c>
      <c r="D8882" s="108" t="s">
        <v>3406</v>
      </c>
      <c r="E8882" s="108" t="s">
        <v>14605</v>
      </c>
      <c r="F8882" s="108" t="s">
        <v>14672</v>
      </c>
      <c r="G8882" s="109">
        <v>45849</v>
      </c>
      <c r="H8882" s="108" t="s">
        <v>25458</v>
      </c>
      <c r="I8882" s="108" t="s">
        <v>79</v>
      </c>
    </row>
    <row r="8883" spans="1:9">
      <c r="A8883" s="108" t="s">
        <v>87</v>
      </c>
      <c r="B8883" s="108" t="s">
        <v>811</v>
      </c>
      <c r="C8883" s="109">
        <v>42460</v>
      </c>
      <c r="D8883" s="108" t="s">
        <v>812</v>
      </c>
      <c r="E8883" s="108" t="s">
        <v>14605</v>
      </c>
      <c r="F8883" s="108" t="s">
        <v>26724</v>
      </c>
      <c r="G8883" s="109">
        <v>45185</v>
      </c>
      <c r="H8883" s="108" t="s">
        <v>25458</v>
      </c>
      <c r="I8883" s="108" t="s">
        <v>79</v>
      </c>
    </row>
    <row r="8884" spans="1:9">
      <c r="A8884" s="108" t="s">
        <v>87</v>
      </c>
      <c r="B8884" s="108" t="s">
        <v>1663</v>
      </c>
      <c r="C8884" s="109">
        <v>42628</v>
      </c>
      <c r="D8884" s="108" t="s">
        <v>1665</v>
      </c>
      <c r="E8884" s="108" t="s">
        <v>14605</v>
      </c>
      <c r="F8884" s="108" t="s">
        <v>1664</v>
      </c>
      <c r="G8884" s="109">
        <v>45596</v>
      </c>
      <c r="H8884" s="108" t="s">
        <v>25458</v>
      </c>
      <c r="I8884" s="108" t="s">
        <v>79</v>
      </c>
    </row>
    <row r="8885" spans="1:9" ht="27.6">
      <c r="A8885" s="108" t="s">
        <v>87</v>
      </c>
      <c r="B8885" s="108" t="s">
        <v>259</v>
      </c>
      <c r="C8885" s="109">
        <v>43038</v>
      </c>
      <c r="D8885" s="108" t="s">
        <v>261</v>
      </c>
      <c r="E8885" s="108" t="s">
        <v>14605</v>
      </c>
      <c r="F8885" s="108" t="s">
        <v>260</v>
      </c>
      <c r="G8885" s="109">
        <v>45961</v>
      </c>
      <c r="H8885" s="108" t="s">
        <v>25458</v>
      </c>
      <c r="I8885" s="108" t="s">
        <v>79</v>
      </c>
    </row>
    <row r="8886" spans="1:9">
      <c r="A8886" s="108" t="s">
        <v>87</v>
      </c>
      <c r="B8886" s="108" t="s">
        <v>3113</v>
      </c>
      <c r="C8886" s="109">
        <v>42996</v>
      </c>
      <c r="D8886" s="108" t="s">
        <v>3114</v>
      </c>
      <c r="E8886" s="108" t="s">
        <v>14605</v>
      </c>
      <c r="F8886" s="108" t="s">
        <v>3109</v>
      </c>
      <c r="G8886" s="109">
        <v>45930</v>
      </c>
      <c r="H8886" s="108" t="s">
        <v>25458</v>
      </c>
      <c r="I8886" s="108" t="s">
        <v>79</v>
      </c>
    </row>
    <row r="8887" spans="1:9">
      <c r="A8887" s="108" t="s">
        <v>87</v>
      </c>
      <c r="B8887" s="108" t="s">
        <v>2110</v>
      </c>
      <c r="C8887" s="109">
        <v>43182</v>
      </c>
      <c r="D8887" s="108" t="s">
        <v>2112</v>
      </c>
      <c r="E8887" s="108" t="s">
        <v>14605</v>
      </c>
      <c r="F8887" s="108" t="s">
        <v>2111</v>
      </c>
      <c r="G8887" s="109">
        <v>45327</v>
      </c>
      <c r="H8887" s="108" t="s">
        <v>25458</v>
      </c>
      <c r="I8887" s="108" t="s">
        <v>79</v>
      </c>
    </row>
    <row r="8888" spans="1:9">
      <c r="A8888" s="108" t="s">
        <v>87</v>
      </c>
      <c r="B8888" s="108" t="s">
        <v>1058</v>
      </c>
      <c r="C8888" s="109">
        <v>43369</v>
      </c>
      <c r="D8888" s="108" t="s">
        <v>1059</v>
      </c>
      <c r="E8888" s="108" t="s">
        <v>14605</v>
      </c>
      <c r="F8888" s="108" t="s">
        <v>1053</v>
      </c>
      <c r="G8888" s="109">
        <v>45925</v>
      </c>
      <c r="H8888" s="108" t="s">
        <v>25458</v>
      </c>
      <c r="I8888" s="108" t="s">
        <v>79</v>
      </c>
    </row>
    <row r="8889" spans="1:9">
      <c r="A8889" s="108" t="s">
        <v>87</v>
      </c>
      <c r="B8889" s="108" t="s">
        <v>1486</v>
      </c>
      <c r="C8889" s="109">
        <v>43420</v>
      </c>
      <c r="D8889" s="108" t="s">
        <v>1487</v>
      </c>
      <c r="E8889" s="108" t="s">
        <v>14605</v>
      </c>
      <c r="F8889" s="108" t="s">
        <v>1470</v>
      </c>
      <c r="G8889" s="109">
        <v>46341</v>
      </c>
      <c r="H8889" s="108" t="s">
        <v>25458</v>
      </c>
      <c r="I8889" s="108" t="s">
        <v>79</v>
      </c>
    </row>
    <row r="8890" spans="1:9">
      <c r="A8890" s="108" t="s">
        <v>87</v>
      </c>
      <c r="B8890" s="108" t="s">
        <v>1315</v>
      </c>
      <c r="C8890" s="109">
        <v>43434</v>
      </c>
      <c r="D8890" s="108" t="s">
        <v>1316</v>
      </c>
      <c r="E8890" s="108" t="s">
        <v>14605</v>
      </c>
      <c r="F8890" s="108" t="s">
        <v>1307</v>
      </c>
      <c r="G8890" s="109">
        <v>46112</v>
      </c>
      <c r="H8890" s="108" t="s">
        <v>25458</v>
      </c>
      <c r="I8890" s="108" t="s">
        <v>79</v>
      </c>
    </row>
    <row r="8891" spans="1:9">
      <c r="A8891" s="108" t="s">
        <v>87</v>
      </c>
      <c r="B8891" s="108" t="s">
        <v>3403</v>
      </c>
      <c r="C8891" s="109">
        <v>43543</v>
      </c>
      <c r="D8891" s="108" t="s">
        <v>3404</v>
      </c>
      <c r="E8891" s="108" t="s">
        <v>14605</v>
      </c>
      <c r="F8891" s="108" t="s">
        <v>14672</v>
      </c>
      <c r="G8891" s="109">
        <v>45849</v>
      </c>
      <c r="H8891" s="108" t="s">
        <v>25458</v>
      </c>
      <c r="I8891" s="108" t="s">
        <v>79</v>
      </c>
    </row>
    <row r="8892" spans="1:9">
      <c r="A8892" s="108" t="s">
        <v>87</v>
      </c>
      <c r="B8892" s="108" t="s">
        <v>624</v>
      </c>
      <c r="C8892" s="109">
        <v>43642</v>
      </c>
      <c r="D8892" s="108" t="s">
        <v>26725</v>
      </c>
      <c r="E8892" s="108" t="s">
        <v>14605</v>
      </c>
      <c r="F8892" s="108" t="s">
        <v>620</v>
      </c>
      <c r="G8892" s="109">
        <v>46198</v>
      </c>
      <c r="H8892" s="108" t="s">
        <v>25458</v>
      </c>
      <c r="I8892" s="108" t="s">
        <v>79</v>
      </c>
    </row>
    <row r="8893" spans="1:9">
      <c r="A8893" s="108" t="s">
        <v>87</v>
      </c>
      <c r="B8893" s="108" t="s">
        <v>542</v>
      </c>
      <c r="C8893" s="109">
        <v>43720</v>
      </c>
      <c r="D8893" s="108" t="s">
        <v>543</v>
      </c>
      <c r="E8893" s="108" t="s">
        <v>14605</v>
      </c>
      <c r="F8893" s="108" t="s">
        <v>538</v>
      </c>
      <c r="G8893" s="109">
        <v>45906</v>
      </c>
      <c r="H8893" s="108" t="s">
        <v>25458</v>
      </c>
      <c r="I8893" s="108" t="s">
        <v>79</v>
      </c>
    </row>
    <row r="8894" spans="1:9">
      <c r="A8894" s="108" t="s">
        <v>87</v>
      </c>
      <c r="B8894" s="108" t="s">
        <v>3462</v>
      </c>
      <c r="C8894" s="109">
        <v>43887</v>
      </c>
      <c r="D8894" s="108" t="s">
        <v>3463</v>
      </c>
      <c r="E8894" s="108" t="s">
        <v>14605</v>
      </c>
      <c r="F8894" s="108" t="s">
        <v>3458</v>
      </c>
      <c r="G8894" s="109">
        <v>46005</v>
      </c>
      <c r="H8894" s="108" t="s">
        <v>25458</v>
      </c>
      <c r="I8894" s="108" t="s">
        <v>79</v>
      </c>
    </row>
    <row r="8895" spans="1:9">
      <c r="A8895" s="108" t="s">
        <v>87</v>
      </c>
      <c r="B8895" s="108" t="s">
        <v>175</v>
      </c>
      <c r="C8895" s="109">
        <v>43788</v>
      </c>
      <c r="D8895" s="108" t="s">
        <v>177</v>
      </c>
      <c r="E8895" s="108" t="s">
        <v>14605</v>
      </c>
      <c r="F8895" s="108" t="s">
        <v>176</v>
      </c>
      <c r="G8895" s="109">
        <v>45614</v>
      </c>
      <c r="H8895" s="108" t="s">
        <v>25458</v>
      </c>
      <c r="I8895" s="108" t="s">
        <v>79</v>
      </c>
    </row>
    <row r="8896" spans="1:9" ht="27.6">
      <c r="A8896" s="108" t="s">
        <v>14690</v>
      </c>
      <c r="B8896" s="108" t="s">
        <v>3581</v>
      </c>
      <c r="C8896" s="109">
        <v>42034</v>
      </c>
      <c r="D8896" s="108" t="s">
        <v>3582</v>
      </c>
      <c r="E8896" s="108" t="s">
        <v>14605</v>
      </c>
      <c r="F8896" s="108" t="s">
        <v>3587</v>
      </c>
      <c r="G8896" s="109">
        <v>46112</v>
      </c>
      <c r="H8896" s="108" t="s">
        <v>25458</v>
      </c>
      <c r="I8896" s="108" t="s">
        <v>79</v>
      </c>
    </row>
    <row r="8897" spans="1:9" ht="27.6">
      <c r="A8897" s="108" t="s">
        <v>14690</v>
      </c>
      <c r="B8897" s="108" t="s">
        <v>2524</v>
      </c>
      <c r="C8897" s="109">
        <v>42205</v>
      </c>
      <c r="D8897" s="108" t="s">
        <v>2525</v>
      </c>
      <c r="E8897" s="108" t="s">
        <v>14605</v>
      </c>
      <c r="F8897" s="108" t="s">
        <v>2516</v>
      </c>
      <c r="G8897" s="109">
        <v>45443</v>
      </c>
      <c r="H8897" s="108" t="s">
        <v>25458</v>
      </c>
      <c r="I8897" s="108" t="s">
        <v>79</v>
      </c>
    </row>
    <row r="8898" spans="1:9" ht="27.6">
      <c r="A8898" s="108" t="s">
        <v>14690</v>
      </c>
      <c r="B8898" s="108" t="s">
        <v>1176</v>
      </c>
      <c r="C8898" s="109">
        <v>42346</v>
      </c>
      <c r="D8898" s="108" t="s">
        <v>1177</v>
      </c>
      <c r="E8898" s="108" t="s">
        <v>14605</v>
      </c>
      <c r="F8898" s="108" t="s">
        <v>1170</v>
      </c>
      <c r="G8898" s="109">
        <v>45998</v>
      </c>
      <c r="H8898" s="108" t="s">
        <v>25458</v>
      </c>
      <c r="I8898" s="108" t="s">
        <v>79</v>
      </c>
    </row>
    <row r="8899" spans="1:9" ht="27.6">
      <c r="A8899" s="108" t="s">
        <v>14690</v>
      </c>
      <c r="B8899" s="108" t="s">
        <v>4917</v>
      </c>
      <c r="C8899" s="109">
        <v>42424</v>
      </c>
      <c r="D8899" s="108" t="s">
        <v>4918</v>
      </c>
      <c r="E8899" s="108" t="s">
        <v>14605</v>
      </c>
      <c r="F8899" s="108" t="s">
        <v>4915</v>
      </c>
      <c r="G8899" s="109">
        <v>45900</v>
      </c>
      <c r="H8899" s="108" t="s">
        <v>25458</v>
      </c>
      <c r="I8899" s="108" t="s">
        <v>79</v>
      </c>
    </row>
    <row r="8900" spans="1:9" ht="27.6">
      <c r="A8900" s="108" t="s">
        <v>14690</v>
      </c>
      <c r="B8900" s="108" t="s">
        <v>567</v>
      </c>
      <c r="C8900" s="109">
        <v>42503</v>
      </c>
      <c r="D8900" s="108" t="s">
        <v>568</v>
      </c>
      <c r="E8900" s="108" t="s">
        <v>14605</v>
      </c>
      <c r="F8900" s="108" t="s">
        <v>559</v>
      </c>
      <c r="G8900" s="109">
        <v>46022</v>
      </c>
      <c r="H8900" s="108" t="s">
        <v>25458</v>
      </c>
      <c r="I8900" s="108" t="s">
        <v>79</v>
      </c>
    </row>
    <row r="8901" spans="1:9" ht="27.6">
      <c r="A8901" s="108" t="s">
        <v>14690</v>
      </c>
      <c r="B8901" s="108" t="s">
        <v>3750</v>
      </c>
      <c r="C8901" s="109">
        <v>42544</v>
      </c>
      <c r="D8901" s="108" t="s">
        <v>3751</v>
      </c>
      <c r="E8901" s="108" t="s">
        <v>14605</v>
      </c>
      <c r="F8901" s="108" t="s">
        <v>3747</v>
      </c>
      <c r="G8901" s="109">
        <v>45212</v>
      </c>
      <c r="H8901" s="108" t="s">
        <v>25458</v>
      </c>
      <c r="I8901" s="108" t="s">
        <v>79</v>
      </c>
    </row>
    <row r="8902" spans="1:9" ht="27.6">
      <c r="A8902" s="108" t="s">
        <v>14690</v>
      </c>
      <c r="B8902" s="108" t="s">
        <v>565</v>
      </c>
      <c r="C8902" s="109">
        <v>42731</v>
      </c>
      <c r="D8902" s="108" t="s">
        <v>566</v>
      </c>
      <c r="E8902" s="108" t="s">
        <v>14605</v>
      </c>
      <c r="F8902" s="108" t="s">
        <v>559</v>
      </c>
      <c r="G8902" s="109">
        <v>46022</v>
      </c>
      <c r="H8902" s="108" t="s">
        <v>25458</v>
      </c>
      <c r="I8902" s="108" t="s">
        <v>79</v>
      </c>
    </row>
    <row r="8903" spans="1:9" ht="27.6">
      <c r="A8903" s="108" t="s">
        <v>14690</v>
      </c>
      <c r="B8903" s="108" t="s">
        <v>581</v>
      </c>
      <c r="C8903" s="109">
        <v>43452</v>
      </c>
      <c r="D8903" s="108" t="s">
        <v>582</v>
      </c>
      <c r="E8903" s="108" t="s">
        <v>14605</v>
      </c>
      <c r="F8903" s="108" t="s">
        <v>573</v>
      </c>
      <c r="G8903" s="109">
        <v>46008</v>
      </c>
      <c r="H8903" s="108" t="s">
        <v>25458</v>
      </c>
      <c r="I8903" s="108" t="s">
        <v>79</v>
      </c>
    </row>
    <row r="8904" spans="1:9" ht="27.6">
      <c r="A8904" s="108" t="s">
        <v>14690</v>
      </c>
      <c r="B8904" s="108" t="s">
        <v>230</v>
      </c>
      <c r="C8904" s="109">
        <v>43516</v>
      </c>
      <c r="D8904" s="108" t="s">
        <v>231</v>
      </c>
      <c r="E8904" s="108" t="s">
        <v>14605</v>
      </c>
      <c r="F8904" s="108" t="s">
        <v>220</v>
      </c>
      <c r="G8904" s="109">
        <v>45341</v>
      </c>
      <c r="H8904" s="108" t="s">
        <v>25458</v>
      </c>
      <c r="I8904" s="108" t="s">
        <v>79</v>
      </c>
    </row>
    <row r="8905" spans="1:9" ht="27.6">
      <c r="A8905" s="108" t="s">
        <v>14690</v>
      </c>
      <c r="B8905" s="108" t="s">
        <v>80</v>
      </c>
      <c r="C8905" s="109">
        <v>43643</v>
      </c>
      <c r="D8905" s="108" t="s">
        <v>81</v>
      </c>
      <c r="E8905" s="108" t="s">
        <v>14605</v>
      </c>
      <c r="F8905" s="108" t="s">
        <v>26726</v>
      </c>
      <c r="G8905" s="109">
        <v>46053</v>
      </c>
      <c r="H8905" s="108" t="s">
        <v>25458</v>
      </c>
      <c r="I8905" s="108" t="s">
        <v>79</v>
      </c>
    </row>
    <row r="8906" spans="1:9" ht="27.6">
      <c r="A8906" s="108" t="s">
        <v>14690</v>
      </c>
      <c r="B8906" s="108" t="s">
        <v>78</v>
      </c>
      <c r="C8906" s="109">
        <v>43698</v>
      </c>
      <c r="D8906" s="108" t="s">
        <v>26727</v>
      </c>
      <c r="E8906" s="108" t="s">
        <v>14605</v>
      </c>
      <c r="F8906" s="108" t="s">
        <v>26726</v>
      </c>
      <c r="G8906" s="109">
        <v>46254</v>
      </c>
      <c r="H8906" s="108" t="s">
        <v>25458</v>
      </c>
      <c r="I8906" s="108" t="s">
        <v>79</v>
      </c>
    </row>
    <row r="8907" spans="1:9">
      <c r="A8907" s="108" t="s">
        <v>237</v>
      </c>
      <c r="B8907" s="108" t="s">
        <v>1007</v>
      </c>
      <c r="C8907" s="109">
        <v>42130</v>
      </c>
      <c r="D8907" s="108" t="s">
        <v>1008</v>
      </c>
      <c r="E8907" s="108" t="s">
        <v>14605</v>
      </c>
      <c r="F8907" s="108" t="s">
        <v>986</v>
      </c>
      <c r="G8907" s="109">
        <v>46112</v>
      </c>
      <c r="H8907" s="108" t="s">
        <v>25458</v>
      </c>
      <c r="I8907" s="108" t="s">
        <v>79</v>
      </c>
    </row>
    <row r="8908" spans="1:9">
      <c r="A8908" s="108" t="s">
        <v>237</v>
      </c>
      <c r="B8908" s="108" t="s">
        <v>2948</v>
      </c>
      <c r="C8908" s="109">
        <v>42354</v>
      </c>
      <c r="D8908" s="108" t="s">
        <v>2950</v>
      </c>
      <c r="E8908" s="108" t="s">
        <v>14605</v>
      </c>
      <c r="F8908" s="108" t="s">
        <v>2949</v>
      </c>
      <c r="G8908" s="109">
        <v>45275</v>
      </c>
      <c r="H8908" s="108" t="s">
        <v>25458</v>
      </c>
      <c r="I8908" s="108" t="s">
        <v>79</v>
      </c>
    </row>
    <row r="8909" spans="1:9">
      <c r="A8909" s="108" t="s">
        <v>237</v>
      </c>
      <c r="B8909" s="108" t="s">
        <v>281</v>
      </c>
      <c r="C8909" s="109">
        <v>42454</v>
      </c>
      <c r="D8909" s="108" t="s">
        <v>282</v>
      </c>
      <c r="E8909" s="108" t="s">
        <v>14605</v>
      </c>
      <c r="F8909" s="108" t="s">
        <v>276</v>
      </c>
      <c r="G8909" s="109">
        <v>45915</v>
      </c>
      <c r="H8909" s="108" t="s">
        <v>25458</v>
      </c>
      <c r="I8909" s="108" t="s">
        <v>79</v>
      </c>
    </row>
    <row r="8910" spans="1:9">
      <c r="A8910" s="108" t="s">
        <v>237</v>
      </c>
      <c r="B8910" s="108" t="s">
        <v>2068</v>
      </c>
      <c r="C8910" s="109">
        <v>42690</v>
      </c>
      <c r="D8910" s="108" t="s">
        <v>2069</v>
      </c>
      <c r="E8910" s="108" t="s">
        <v>14605</v>
      </c>
      <c r="F8910" s="108" t="s">
        <v>2066</v>
      </c>
      <c r="G8910" s="109">
        <v>45976</v>
      </c>
      <c r="H8910" s="108" t="s">
        <v>25458</v>
      </c>
      <c r="I8910" s="108" t="s">
        <v>79</v>
      </c>
    </row>
    <row r="8911" spans="1:9">
      <c r="A8911" s="108" t="s">
        <v>237</v>
      </c>
      <c r="B8911" s="108" t="s">
        <v>192</v>
      </c>
      <c r="C8911" s="109">
        <v>42761</v>
      </c>
      <c r="D8911" s="108" t="s">
        <v>194</v>
      </c>
      <c r="E8911" s="108" t="s">
        <v>14605</v>
      </c>
      <c r="F8911" s="108" t="s">
        <v>193</v>
      </c>
      <c r="G8911" s="109">
        <v>46022</v>
      </c>
      <c r="H8911" s="108" t="s">
        <v>25458</v>
      </c>
      <c r="I8911" s="108" t="s">
        <v>79</v>
      </c>
    </row>
    <row r="8912" spans="1:9" ht="27.6">
      <c r="A8912" s="108" t="s">
        <v>237</v>
      </c>
      <c r="B8912" s="108" t="s">
        <v>336</v>
      </c>
      <c r="C8912" s="109">
        <v>42866</v>
      </c>
      <c r="D8912" s="108" t="s">
        <v>338</v>
      </c>
      <c r="E8912" s="108" t="s">
        <v>14605</v>
      </c>
      <c r="F8912" s="108" t="s">
        <v>337</v>
      </c>
      <c r="G8912" s="109">
        <v>45422</v>
      </c>
      <c r="H8912" s="108" t="s">
        <v>25458</v>
      </c>
      <c r="I8912" s="108" t="s">
        <v>79</v>
      </c>
    </row>
    <row r="8913" spans="1:9">
      <c r="A8913" s="108" t="s">
        <v>15043</v>
      </c>
      <c r="B8913" s="108" t="s">
        <v>3460</v>
      </c>
      <c r="C8913" s="109">
        <v>43279</v>
      </c>
      <c r="D8913" s="108" t="s">
        <v>3461</v>
      </c>
      <c r="E8913" s="108" t="s">
        <v>14605</v>
      </c>
      <c r="F8913" s="108" t="s">
        <v>3458</v>
      </c>
      <c r="G8913" s="109">
        <v>46081</v>
      </c>
      <c r="H8913" s="108" t="s">
        <v>25458</v>
      </c>
      <c r="I8913" s="108" t="s">
        <v>79</v>
      </c>
    </row>
    <row r="8914" spans="1:9" ht="27.6">
      <c r="A8914" s="108" t="s">
        <v>571</v>
      </c>
      <c r="B8914" s="108" t="s">
        <v>2411</v>
      </c>
      <c r="C8914" s="109">
        <v>42191</v>
      </c>
      <c r="D8914" s="108" t="s">
        <v>2412</v>
      </c>
      <c r="E8914" s="108" t="s">
        <v>14605</v>
      </c>
      <c r="F8914" s="108" t="s">
        <v>2405</v>
      </c>
      <c r="G8914" s="109">
        <v>46158</v>
      </c>
      <c r="H8914" s="108" t="s">
        <v>25458</v>
      </c>
      <c r="I8914" s="108" t="s">
        <v>79</v>
      </c>
    </row>
    <row r="8915" spans="1:9">
      <c r="A8915" s="108" t="s">
        <v>571</v>
      </c>
      <c r="B8915" s="108" t="s">
        <v>2041</v>
      </c>
      <c r="C8915" s="109">
        <v>42380</v>
      </c>
      <c r="D8915" s="108" t="s">
        <v>2042</v>
      </c>
      <c r="E8915" s="108" t="s">
        <v>14605</v>
      </c>
      <c r="F8915" s="108" t="s">
        <v>26728</v>
      </c>
      <c r="G8915" s="109">
        <v>45291</v>
      </c>
      <c r="H8915" s="108" t="s">
        <v>25458</v>
      </c>
      <c r="I8915" s="108" t="s">
        <v>79</v>
      </c>
    </row>
    <row r="8916" spans="1:9">
      <c r="A8916" s="108" t="s">
        <v>571</v>
      </c>
      <c r="B8916" s="108" t="s">
        <v>2039</v>
      </c>
      <c r="C8916" s="109">
        <v>42734</v>
      </c>
      <c r="D8916" s="108" t="s">
        <v>2040</v>
      </c>
      <c r="E8916" s="108" t="s">
        <v>14605</v>
      </c>
      <c r="F8916" s="108" t="s">
        <v>26728</v>
      </c>
      <c r="G8916" s="109">
        <v>45291</v>
      </c>
      <c r="H8916" s="108" t="s">
        <v>25458</v>
      </c>
      <c r="I8916" s="108" t="s">
        <v>79</v>
      </c>
    </row>
    <row r="8917" spans="1:9" ht="27.6">
      <c r="A8917" s="108" t="s">
        <v>571</v>
      </c>
      <c r="B8917" s="108" t="s">
        <v>2409</v>
      </c>
      <c r="C8917" s="109">
        <v>43602</v>
      </c>
      <c r="D8917" s="108" t="s">
        <v>2410</v>
      </c>
      <c r="E8917" s="108" t="s">
        <v>14605</v>
      </c>
      <c r="F8917" s="108" t="s">
        <v>2405</v>
      </c>
      <c r="G8917" s="109">
        <v>46158</v>
      </c>
      <c r="H8917" s="108" t="s">
        <v>25458</v>
      </c>
      <c r="I8917" s="108" t="s">
        <v>79</v>
      </c>
    </row>
    <row r="8918" spans="1:9">
      <c r="A8918" s="108" t="s">
        <v>2002</v>
      </c>
      <c r="B8918" s="108" t="s">
        <v>1484</v>
      </c>
      <c r="C8918" s="109">
        <v>42201</v>
      </c>
      <c r="D8918" s="108" t="s">
        <v>1485</v>
      </c>
      <c r="E8918" s="108" t="s">
        <v>14605</v>
      </c>
      <c r="F8918" s="108" t="s">
        <v>1470</v>
      </c>
      <c r="G8918" s="109">
        <v>46218</v>
      </c>
      <c r="H8918" s="108" t="s">
        <v>25458</v>
      </c>
      <c r="I8918" s="108" t="s">
        <v>79</v>
      </c>
    </row>
    <row r="8919" spans="1:9">
      <c r="A8919" s="108" t="s">
        <v>2002</v>
      </c>
      <c r="B8919" s="108" t="s">
        <v>3684</v>
      </c>
      <c r="C8919" s="109">
        <v>42534</v>
      </c>
      <c r="D8919" s="108" t="s">
        <v>3685</v>
      </c>
      <c r="E8919" s="108" t="s">
        <v>14605</v>
      </c>
      <c r="F8919" s="108" t="s">
        <v>3682</v>
      </c>
      <c r="G8919" s="109">
        <v>45089</v>
      </c>
      <c r="H8919" s="108" t="s">
        <v>25458</v>
      </c>
      <c r="I8919" s="108" t="s">
        <v>79</v>
      </c>
    </row>
    <row r="8920" spans="1:9">
      <c r="A8920" s="108" t="s">
        <v>2002</v>
      </c>
      <c r="B8920" s="108" t="s">
        <v>1116</v>
      </c>
      <c r="C8920" s="109">
        <v>42716</v>
      </c>
      <c r="D8920" s="108" t="s">
        <v>1117</v>
      </c>
      <c r="E8920" s="108" t="s">
        <v>14605</v>
      </c>
      <c r="F8920" s="108" t="s">
        <v>1106</v>
      </c>
      <c r="G8920" s="109">
        <v>45995</v>
      </c>
      <c r="H8920" s="108" t="s">
        <v>25458</v>
      </c>
      <c r="I8920" s="108" t="s">
        <v>79</v>
      </c>
    </row>
    <row r="8921" spans="1:9">
      <c r="A8921" s="108" t="s">
        <v>2623</v>
      </c>
      <c r="B8921" s="108" t="s">
        <v>3111</v>
      </c>
      <c r="C8921" s="109">
        <v>42641</v>
      </c>
      <c r="D8921" s="108" t="s">
        <v>3112</v>
      </c>
      <c r="E8921" s="108" t="s">
        <v>14605</v>
      </c>
      <c r="F8921" s="108" t="s">
        <v>3109</v>
      </c>
      <c r="G8921" s="109">
        <v>45930</v>
      </c>
      <c r="H8921" s="108" t="s">
        <v>25458</v>
      </c>
      <c r="I8921" s="108" t="s">
        <v>79</v>
      </c>
    </row>
    <row r="8922" spans="1:9">
      <c r="A8922" s="108" t="s">
        <v>2002</v>
      </c>
      <c r="B8922" s="108" t="s">
        <v>1114</v>
      </c>
      <c r="C8922" s="109">
        <v>42710</v>
      </c>
      <c r="D8922" s="108" t="s">
        <v>1115</v>
      </c>
      <c r="E8922" s="108" t="s">
        <v>14605</v>
      </c>
      <c r="F8922" s="108" t="s">
        <v>1106</v>
      </c>
      <c r="G8922" s="109">
        <v>45995</v>
      </c>
      <c r="H8922" s="108" t="s">
        <v>25458</v>
      </c>
      <c r="I8922" s="108" t="s">
        <v>79</v>
      </c>
    </row>
    <row r="8923" spans="1:9">
      <c r="A8923" s="108" t="s">
        <v>2002</v>
      </c>
      <c r="B8923" s="108" t="s">
        <v>1112</v>
      </c>
      <c r="C8923" s="109">
        <v>42710</v>
      </c>
      <c r="D8923" s="108" t="s">
        <v>1113</v>
      </c>
      <c r="E8923" s="108" t="s">
        <v>14605</v>
      </c>
      <c r="F8923" s="108" t="s">
        <v>1106</v>
      </c>
      <c r="G8923" s="109">
        <v>45995</v>
      </c>
      <c r="H8923" s="108" t="s">
        <v>25458</v>
      </c>
      <c r="I8923" s="108" t="s">
        <v>79</v>
      </c>
    </row>
    <row r="8924" spans="1:9">
      <c r="A8924" s="108" t="s">
        <v>2002</v>
      </c>
      <c r="B8924" s="108" t="s">
        <v>1110</v>
      </c>
      <c r="C8924" s="109">
        <v>42710</v>
      </c>
      <c r="D8924" s="108" t="s">
        <v>1111</v>
      </c>
      <c r="E8924" s="108" t="s">
        <v>14605</v>
      </c>
      <c r="F8924" s="108" t="s">
        <v>1106</v>
      </c>
      <c r="G8924" s="109">
        <v>45995</v>
      </c>
      <c r="H8924" s="108" t="s">
        <v>25458</v>
      </c>
      <c r="I8924" s="108" t="s">
        <v>79</v>
      </c>
    </row>
    <row r="8925" spans="1:9" ht="27.6">
      <c r="A8925" s="108" t="s">
        <v>2623</v>
      </c>
      <c r="B8925" s="108" t="s">
        <v>3942</v>
      </c>
      <c r="C8925" s="109">
        <v>42724</v>
      </c>
      <c r="D8925" s="108" t="s">
        <v>3943</v>
      </c>
      <c r="E8925" s="108" t="s">
        <v>14605</v>
      </c>
      <c r="F8925" s="108" t="s">
        <v>3940</v>
      </c>
      <c r="G8925" s="109">
        <v>46010</v>
      </c>
      <c r="H8925" s="108" t="s">
        <v>25458</v>
      </c>
      <c r="I8925" s="108" t="s">
        <v>79</v>
      </c>
    </row>
    <row r="8926" spans="1:9">
      <c r="A8926" s="108" t="s">
        <v>2002</v>
      </c>
      <c r="B8926" s="108" t="s">
        <v>1108</v>
      </c>
      <c r="C8926" s="109">
        <v>42733</v>
      </c>
      <c r="D8926" s="108" t="s">
        <v>1109</v>
      </c>
      <c r="E8926" s="108" t="s">
        <v>14605</v>
      </c>
      <c r="F8926" s="108" t="s">
        <v>1106</v>
      </c>
      <c r="G8926" s="109">
        <v>45995</v>
      </c>
      <c r="H8926" s="108" t="s">
        <v>25458</v>
      </c>
      <c r="I8926" s="108" t="s">
        <v>79</v>
      </c>
    </row>
    <row r="8927" spans="1:9" ht="27.6">
      <c r="A8927" s="108" t="s">
        <v>2623</v>
      </c>
      <c r="B8927" s="108" t="s">
        <v>4255</v>
      </c>
      <c r="C8927" s="109">
        <v>42963</v>
      </c>
      <c r="D8927" s="108" t="s">
        <v>4256</v>
      </c>
      <c r="E8927" s="108" t="s">
        <v>14605</v>
      </c>
      <c r="F8927" s="108" t="s">
        <v>4251</v>
      </c>
      <c r="G8927" s="109">
        <v>45930</v>
      </c>
      <c r="H8927" s="108" t="s">
        <v>25458</v>
      </c>
      <c r="I8927" s="108" t="s">
        <v>79</v>
      </c>
    </row>
    <row r="8928" spans="1:9">
      <c r="A8928" s="108" t="s">
        <v>2002</v>
      </c>
      <c r="B8928" s="108" t="s">
        <v>2882</v>
      </c>
      <c r="C8928" s="109">
        <v>43353</v>
      </c>
      <c r="D8928" s="108" t="s">
        <v>2883</v>
      </c>
      <c r="E8928" s="108" t="s">
        <v>14605</v>
      </c>
      <c r="F8928" s="108" t="s">
        <v>2853</v>
      </c>
      <c r="G8928" s="109">
        <v>45909</v>
      </c>
      <c r="H8928" s="108" t="s">
        <v>25458</v>
      </c>
      <c r="I8928" s="108" t="s">
        <v>79</v>
      </c>
    </row>
    <row r="8929" spans="1:9">
      <c r="A8929" s="108" t="s">
        <v>1465</v>
      </c>
      <c r="B8929" s="108" t="s">
        <v>3646</v>
      </c>
      <c r="C8929" s="109">
        <v>42543</v>
      </c>
      <c r="D8929" s="108" t="s">
        <v>3648</v>
      </c>
      <c r="E8929" s="108" t="s">
        <v>14605</v>
      </c>
      <c r="F8929" s="108" t="s">
        <v>3647</v>
      </c>
      <c r="G8929" s="109">
        <v>45112</v>
      </c>
      <c r="H8929" s="108" t="s">
        <v>25458</v>
      </c>
      <c r="I8929" s="108" t="s">
        <v>79</v>
      </c>
    </row>
    <row r="8930" spans="1:9">
      <c r="A8930" s="108" t="s">
        <v>1465</v>
      </c>
      <c r="B8930" s="108" t="s">
        <v>3286</v>
      </c>
      <c r="C8930" s="109">
        <v>42802</v>
      </c>
      <c r="D8930" s="108" t="s">
        <v>3287</v>
      </c>
      <c r="E8930" s="108" t="s">
        <v>14605</v>
      </c>
      <c r="F8930" s="108" t="s">
        <v>15103</v>
      </c>
      <c r="G8930" s="109">
        <v>46088</v>
      </c>
      <c r="H8930" s="108" t="s">
        <v>25458</v>
      </c>
      <c r="I8930" s="108" t="s">
        <v>79</v>
      </c>
    </row>
    <row r="8931" spans="1:9">
      <c r="A8931" s="108" t="s">
        <v>1465</v>
      </c>
      <c r="B8931" s="108" t="s">
        <v>2897</v>
      </c>
      <c r="C8931" s="109">
        <v>43175</v>
      </c>
      <c r="D8931" s="108" t="s">
        <v>2898</v>
      </c>
      <c r="E8931" s="108" t="s">
        <v>14605</v>
      </c>
      <c r="F8931" s="108" t="s">
        <v>2895</v>
      </c>
      <c r="G8931" s="109">
        <v>46173</v>
      </c>
      <c r="H8931" s="108" t="s">
        <v>25458</v>
      </c>
      <c r="I8931" s="108" t="s">
        <v>79</v>
      </c>
    </row>
    <row r="8932" spans="1:9">
      <c r="A8932" s="108" t="s">
        <v>1465</v>
      </c>
      <c r="B8932" s="108" t="s">
        <v>579</v>
      </c>
      <c r="C8932" s="109">
        <v>43371</v>
      </c>
      <c r="D8932" s="108" t="s">
        <v>580</v>
      </c>
      <c r="E8932" s="108" t="s">
        <v>14605</v>
      </c>
      <c r="F8932" s="108" t="s">
        <v>573</v>
      </c>
      <c r="G8932" s="109">
        <v>46203</v>
      </c>
      <c r="H8932" s="108" t="s">
        <v>25458</v>
      </c>
      <c r="I8932" s="108" t="s">
        <v>79</v>
      </c>
    </row>
    <row r="8933" spans="1:9">
      <c r="A8933" s="108" t="s">
        <v>14679</v>
      </c>
      <c r="B8933" s="108" t="s">
        <v>2070</v>
      </c>
      <c r="C8933" s="109">
        <v>42297</v>
      </c>
      <c r="D8933" s="108" t="s">
        <v>2072</v>
      </c>
      <c r="E8933" s="108" t="s">
        <v>14605</v>
      </c>
      <c r="F8933" s="108" t="s">
        <v>2071</v>
      </c>
      <c r="G8933" s="109">
        <v>45981</v>
      </c>
      <c r="H8933" s="108" t="s">
        <v>25458</v>
      </c>
      <c r="I8933" s="108" t="s">
        <v>79</v>
      </c>
    </row>
    <row r="8934" spans="1:9">
      <c r="A8934" s="108" t="s">
        <v>14679</v>
      </c>
      <c r="B8934" s="108" t="s">
        <v>4760</v>
      </c>
      <c r="C8934" s="109">
        <v>42914</v>
      </c>
      <c r="D8934" s="108" t="s">
        <v>4761</v>
      </c>
      <c r="E8934" s="108" t="s">
        <v>14605</v>
      </c>
      <c r="F8934" s="108" t="s">
        <v>4757</v>
      </c>
      <c r="G8934" s="109">
        <v>45105</v>
      </c>
      <c r="H8934" s="108" t="s">
        <v>25458</v>
      </c>
      <c r="I8934" s="108" t="s">
        <v>79</v>
      </c>
    </row>
    <row r="8935" spans="1:9" ht="27.6">
      <c r="A8935" s="108" t="s">
        <v>923</v>
      </c>
      <c r="B8935" s="108" t="s">
        <v>1290</v>
      </c>
      <c r="C8935" s="109">
        <v>42150</v>
      </c>
      <c r="D8935" s="108" t="s">
        <v>1292</v>
      </c>
      <c r="E8935" s="108" t="s">
        <v>14605</v>
      </c>
      <c r="F8935" s="108" t="s">
        <v>1291</v>
      </c>
      <c r="G8935" s="109">
        <v>46167</v>
      </c>
      <c r="H8935" s="108" t="s">
        <v>25458</v>
      </c>
      <c r="I8935" s="108" t="s">
        <v>79</v>
      </c>
    </row>
    <row r="8936" spans="1:9">
      <c r="A8936" s="108" t="s">
        <v>14928</v>
      </c>
      <c r="B8936" s="108" t="s">
        <v>4423</v>
      </c>
      <c r="C8936" s="109">
        <v>42802</v>
      </c>
      <c r="D8936" s="108" t="s">
        <v>4424</v>
      </c>
      <c r="E8936" s="108" t="s">
        <v>14605</v>
      </c>
      <c r="F8936" s="108" t="s">
        <v>4416</v>
      </c>
      <c r="G8936" s="109">
        <v>45412</v>
      </c>
      <c r="H8936" s="108" t="s">
        <v>25458</v>
      </c>
      <c r="I8936" s="108" t="s">
        <v>79</v>
      </c>
    </row>
    <row r="8937" spans="1:9">
      <c r="A8937" s="108" t="s">
        <v>477</v>
      </c>
      <c r="B8937" s="108" t="s">
        <v>617</v>
      </c>
      <c r="C8937" s="109">
        <v>42620</v>
      </c>
      <c r="D8937" s="108" t="s">
        <v>618</v>
      </c>
      <c r="E8937" s="108" t="s">
        <v>14605</v>
      </c>
      <c r="F8937" s="108" t="s">
        <v>611</v>
      </c>
      <c r="G8937" s="109">
        <v>45291</v>
      </c>
      <c r="H8937" s="108" t="s">
        <v>25458</v>
      </c>
      <c r="I8937" s="108" t="s">
        <v>79</v>
      </c>
    </row>
    <row r="8938" spans="1:9" ht="27.6">
      <c r="A8938" s="108" t="s">
        <v>14929</v>
      </c>
      <c r="B8938" s="108" t="s">
        <v>761</v>
      </c>
      <c r="C8938" s="109">
        <v>42720</v>
      </c>
      <c r="D8938" s="108" t="s">
        <v>763</v>
      </c>
      <c r="E8938" s="108" t="s">
        <v>14605</v>
      </c>
      <c r="F8938" s="108" t="s">
        <v>762</v>
      </c>
      <c r="G8938" s="109">
        <v>46371</v>
      </c>
      <c r="H8938" s="108" t="s">
        <v>25458</v>
      </c>
      <c r="I8938" s="108" t="s">
        <v>79</v>
      </c>
    </row>
    <row r="8939" spans="1:9" ht="27.6">
      <c r="A8939" s="108" t="s">
        <v>14929</v>
      </c>
      <c r="B8939" s="108" t="s">
        <v>3414</v>
      </c>
      <c r="C8939" s="109">
        <v>43076</v>
      </c>
      <c r="D8939" s="108" t="s">
        <v>3416</v>
      </c>
      <c r="E8939" s="108" t="s">
        <v>14605</v>
      </c>
      <c r="F8939" s="108" t="s">
        <v>3415</v>
      </c>
      <c r="G8939" s="109">
        <v>45291</v>
      </c>
      <c r="H8939" s="108" t="s">
        <v>25458</v>
      </c>
      <c r="I8939" s="108" t="s">
        <v>79</v>
      </c>
    </row>
    <row r="8940" spans="1:9" ht="27.6">
      <c r="A8940" s="108" t="s">
        <v>14929</v>
      </c>
      <c r="B8940" s="108" t="s">
        <v>4135</v>
      </c>
      <c r="C8940" s="109">
        <v>43354</v>
      </c>
      <c r="D8940" s="108" t="s">
        <v>4136</v>
      </c>
      <c r="E8940" s="108" t="s">
        <v>14605</v>
      </c>
      <c r="F8940" s="108" t="s">
        <v>4130</v>
      </c>
      <c r="G8940" s="109">
        <v>45910</v>
      </c>
      <c r="H8940" s="108" t="s">
        <v>25458</v>
      </c>
      <c r="I8940" s="108" t="s">
        <v>79</v>
      </c>
    </row>
    <row r="8941" spans="1:9" ht="27.6">
      <c r="A8941" s="108" t="s">
        <v>14929</v>
      </c>
      <c r="B8941" s="108" t="s">
        <v>1313</v>
      </c>
      <c r="C8941" s="109">
        <v>43404</v>
      </c>
      <c r="D8941" s="108" t="s">
        <v>1314</v>
      </c>
      <c r="E8941" s="108" t="s">
        <v>14605</v>
      </c>
      <c r="F8941" s="108" t="s">
        <v>1307</v>
      </c>
      <c r="G8941" s="109">
        <v>45538</v>
      </c>
      <c r="H8941" s="108" t="s">
        <v>25458</v>
      </c>
      <c r="I8941" s="108" t="s">
        <v>79</v>
      </c>
    </row>
    <row r="8942" spans="1:9">
      <c r="A8942" s="108" t="s">
        <v>1003</v>
      </c>
      <c r="B8942" s="108" t="s">
        <v>3049</v>
      </c>
      <c r="C8942" s="109">
        <v>42727</v>
      </c>
      <c r="D8942" s="108" t="s">
        <v>3050</v>
      </c>
      <c r="E8942" s="108" t="s">
        <v>14605</v>
      </c>
      <c r="F8942" s="108" t="s">
        <v>3044</v>
      </c>
      <c r="G8942" s="109">
        <v>45968</v>
      </c>
      <c r="H8942" s="108" t="s">
        <v>25458</v>
      </c>
      <c r="I8942" s="108" t="s">
        <v>79</v>
      </c>
    </row>
    <row r="8943" spans="1:9">
      <c r="A8943" s="108" t="s">
        <v>87</v>
      </c>
      <c r="B8943" s="108" t="s">
        <v>3178</v>
      </c>
      <c r="C8943" s="109">
        <v>43999</v>
      </c>
      <c r="D8943" s="108" t="s">
        <v>3180</v>
      </c>
      <c r="E8943" s="108" t="s">
        <v>14605</v>
      </c>
      <c r="F8943" s="108" t="s">
        <v>3179</v>
      </c>
      <c r="G8943" s="109">
        <v>46189</v>
      </c>
      <c r="H8943" s="108" t="s">
        <v>25458</v>
      </c>
      <c r="I8943" s="108" t="s">
        <v>79</v>
      </c>
    </row>
    <row r="8944" spans="1:9">
      <c r="A8944" s="108" t="s">
        <v>87</v>
      </c>
      <c r="B8944" s="108" t="s">
        <v>3400</v>
      </c>
      <c r="C8944" s="109">
        <v>43983</v>
      </c>
      <c r="D8944" s="108" t="s">
        <v>3401</v>
      </c>
      <c r="E8944" s="108" t="s">
        <v>14605</v>
      </c>
      <c r="F8944" s="108" t="s">
        <v>14672</v>
      </c>
      <c r="G8944" s="109">
        <v>45849</v>
      </c>
      <c r="H8944" s="108" t="s">
        <v>25458</v>
      </c>
      <c r="I8944" s="108" t="s">
        <v>79</v>
      </c>
    </row>
    <row r="8945" spans="1:9" ht="27.6">
      <c r="A8945" s="108" t="s">
        <v>14690</v>
      </c>
      <c r="B8945" s="108" t="s">
        <v>673</v>
      </c>
      <c r="C8945" s="109">
        <v>44076</v>
      </c>
      <c r="D8945" s="108" t="s">
        <v>674</v>
      </c>
      <c r="E8945" s="108" t="s">
        <v>14605</v>
      </c>
      <c r="F8945" s="108" t="s">
        <v>665</v>
      </c>
      <c r="G8945" s="109">
        <v>45536</v>
      </c>
      <c r="H8945" s="108" t="s">
        <v>25458</v>
      </c>
      <c r="I8945" s="108" t="s">
        <v>79</v>
      </c>
    </row>
    <row r="8946" spans="1:9" ht="27.6">
      <c r="A8946" s="108" t="s">
        <v>14690</v>
      </c>
      <c r="B8946" s="108" t="s">
        <v>671</v>
      </c>
      <c r="C8946" s="109">
        <v>44076</v>
      </c>
      <c r="D8946" s="108" t="s">
        <v>672</v>
      </c>
      <c r="E8946" s="108" t="s">
        <v>14605</v>
      </c>
      <c r="F8946" s="108" t="s">
        <v>665</v>
      </c>
      <c r="G8946" s="109">
        <v>45536</v>
      </c>
      <c r="H8946" s="108" t="s">
        <v>25458</v>
      </c>
      <c r="I8946" s="108" t="s">
        <v>79</v>
      </c>
    </row>
    <row r="8947" spans="1:9">
      <c r="A8947" s="108" t="s">
        <v>2002</v>
      </c>
      <c r="B8947" s="108" t="s">
        <v>3936</v>
      </c>
      <c r="C8947" s="109">
        <v>44127</v>
      </c>
      <c r="D8947" s="108" t="s">
        <v>3937</v>
      </c>
      <c r="E8947" s="108" t="s">
        <v>14605</v>
      </c>
      <c r="F8947" s="108" t="s">
        <v>3922</v>
      </c>
      <c r="G8947" s="109">
        <v>45964</v>
      </c>
      <c r="H8947" s="108" t="s">
        <v>25458</v>
      </c>
      <c r="I8947" s="108" t="s">
        <v>79</v>
      </c>
    </row>
    <row r="8948" spans="1:9">
      <c r="A8948" s="108" t="s">
        <v>87</v>
      </c>
      <c r="B8948" s="108" t="s">
        <v>1481</v>
      </c>
      <c r="C8948" s="109">
        <v>44137</v>
      </c>
      <c r="D8948" s="108" t="s">
        <v>1482</v>
      </c>
      <c r="E8948" s="108" t="s">
        <v>14605</v>
      </c>
      <c r="F8948" s="108" t="s">
        <v>1470</v>
      </c>
      <c r="G8948" s="109">
        <v>45286</v>
      </c>
      <c r="H8948" s="108" t="s">
        <v>25458</v>
      </c>
      <c r="I8948" s="108" t="s">
        <v>79</v>
      </c>
    </row>
    <row r="8949" spans="1:9">
      <c r="A8949" s="108" t="s">
        <v>87</v>
      </c>
      <c r="B8949" s="108" t="s">
        <v>3006</v>
      </c>
      <c r="C8949" s="109">
        <v>44180</v>
      </c>
      <c r="D8949" s="108" t="s">
        <v>3007</v>
      </c>
      <c r="E8949" s="108" t="s">
        <v>14605</v>
      </c>
      <c r="F8949" s="108" t="s">
        <v>26729</v>
      </c>
      <c r="G8949" s="109">
        <v>46005</v>
      </c>
      <c r="H8949" s="108" t="s">
        <v>25458</v>
      </c>
      <c r="I8949" s="108" t="s">
        <v>79</v>
      </c>
    </row>
    <row r="8950" spans="1:9">
      <c r="A8950" s="108" t="s">
        <v>571</v>
      </c>
      <c r="B8950" s="108" t="s">
        <v>622</v>
      </c>
      <c r="C8950" s="109">
        <v>44158</v>
      </c>
      <c r="D8950" s="108" t="s">
        <v>623</v>
      </c>
      <c r="E8950" s="108" t="s">
        <v>14605</v>
      </c>
      <c r="F8950" s="108" t="s">
        <v>620</v>
      </c>
      <c r="G8950" s="109">
        <v>45465</v>
      </c>
      <c r="H8950" s="108" t="s">
        <v>25458</v>
      </c>
      <c r="I8950" s="108" t="s">
        <v>79</v>
      </c>
    </row>
    <row r="8951" spans="1:9" ht="27.6">
      <c r="A8951" s="108" t="s">
        <v>477</v>
      </c>
      <c r="B8951" s="108" t="s">
        <v>1629</v>
      </c>
      <c r="C8951" s="109">
        <v>44193</v>
      </c>
      <c r="D8951" s="108" t="s">
        <v>1631</v>
      </c>
      <c r="E8951" s="108" t="s">
        <v>14605</v>
      </c>
      <c r="F8951" s="108" t="s">
        <v>1630</v>
      </c>
      <c r="G8951" s="109">
        <v>45836</v>
      </c>
      <c r="H8951" s="108" t="s">
        <v>25458</v>
      </c>
      <c r="I8951" s="108" t="s">
        <v>79</v>
      </c>
    </row>
    <row r="8952" spans="1:9">
      <c r="A8952" s="108" t="s">
        <v>87</v>
      </c>
      <c r="B8952" s="108" t="s">
        <v>2631</v>
      </c>
      <c r="C8952" s="109">
        <v>44263</v>
      </c>
      <c r="D8952" s="108" t="s">
        <v>2632</v>
      </c>
      <c r="E8952" s="108" t="s">
        <v>14605</v>
      </c>
      <c r="F8952" s="108" t="s">
        <v>2622</v>
      </c>
      <c r="G8952" s="109">
        <v>46138</v>
      </c>
      <c r="H8952" s="108" t="s">
        <v>25458</v>
      </c>
      <c r="I8952" s="108" t="s">
        <v>79</v>
      </c>
    </row>
    <row r="8953" spans="1:9">
      <c r="A8953" s="108" t="s">
        <v>237</v>
      </c>
      <c r="B8953" s="108" t="s">
        <v>3360</v>
      </c>
      <c r="C8953" s="109">
        <v>44280</v>
      </c>
      <c r="D8953" s="108" t="s">
        <v>3361</v>
      </c>
      <c r="E8953" s="108" t="s">
        <v>14605</v>
      </c>
      <c r="F8953" s="108" t="s">
        <v>26730</v>
      </c>
      <c r="G8953" s="109">
        <v>45740</v>
      </c>
      <c r="H8953" s="108" t="s">
        <v>25458</v>
      </c>
      <c r="I8953" s="108" t="s">
        <v>79</v>
      </c>
    </row>
    <row r="8954" spans="1:9">
      <c r="A8954" s="108" t="s">
        <v>2623</v>
      </c>
      <c r="B8954" s="108" t="s">
        <v>5242</v>
      </c>
      <c r="C8954" s="109">
        <v>44320</v>
      </c>
      <c r="D8954" s="108" t="s">
        <v>5244</v>
      </c>
      <c r="E8954" s="108" t="s">
        <v>14605</v>
      </c>
      <c r="F8954" s="108" t="s">
        <v>5243</v>
      </c>
      <c r="G8954" s="109">
        <v>45138</v>
      </c>
      <c r="H8954" s="108" t="s">
        <v>25458</v>
      </c>
      <c r="I8954" s="108" t="s">
        <v>79</v>
      </c>
    </row>
    <row r="8955" spans="1:9" ht="27.6">
      <c r="A8955" s="108" t="s">
        <v>14690</v>
      </c>
      <c r="B8955" s="108" t="s">
        <v>577</v>
      </c>
      <c r="C8955" s="109">
        <v>44321</v>
      </c>
      <c r="D8955" s="108" t="s">
        <v>578</v>
      </c>
      <c r="E8955" s="108" t="s">
        <v>14605</v>
      </c>
      <c r="F8955" s="108" t="s">
        <v>573</v>
      </c>
      <c r="G8955" s="109">
        <v>46146</v>
      </c>
      <c r="H8955" s="108" t="s">
        <v>25458</v>
      </c>
      <c r="I8955" s="108" t="s">
        <v>79</v>
      </c>
    </row>
    <row r="8956" spans="1:9" ht="27.6">
      <c r="A8956" s="108" t="s">
        <v>14929</v>
      </c>
      <c r="B8956" s="108" t="s">
        <v>740</v>
      </c>
      <c r="C8956" s="109">
        <v>44323</v>
      </c>
      <c r="D8956" s="108" t="s">
        <v>741</v>
      </c>
      <c r="E8956" s="108" t="s">
        <v>14605</v>
      </c>
      <c r="F8956" s="108" t="s">
        <v>733</v>
      </c>
      <c r="G8956" s="109">
        <v>45291</v>
      </c>
      <c r="H8956" s="108" t="s">
        <v>25458</v>
      </c>
      <c r="I8956" s="108" t="s">
        <v>79</v>
      </c>
    </row>
    <row r="8957" spans="1:9" ht="27.6">
      <c r="A8957" s="108" t="s">
        <v>14690</v>
      </c>
      <c r="B8957" s="108" t="s">
        <v>3638</v>
      </c>
      <c r="C8957" s="109">
        <v>44327</v>
      </c>
      <c r="D8957" s="108" t="s">
        <v>3640</v>
      </c>
      <c r="E8957" s="108" t="s">
        <v>14605</v>
      </c>
      <c r="F8957" s="108" t="s">
        <v>3639</v>
      </c>
      <c r="G8957" s="109">
        <v>45787</v>
      </c>
      <c r="H8957" s="108" t="s">
        <v>25458</v>
      </c>
      <c r="I8957" s="108" t="s">
        <v>79</v>
      </c>
    </row>
    <row r="8958" spans="1:9">
      <c r="A8958" s="108" t="s">
        <v>87</v>
      </c>
      <c r="B8958" s="108" t="s">
        <v>3398</v>
      </c>
      <c r="C8958" s="109">
        <v>44322</v>
      </c>
      <c r="D8958" s="108" t="s">
        <v>3399</v>
      </c>
      <c r="E8958" s="108" t="s">
        <v>14605</v>
      </c>
      <c r="F8958" s="108" t="s">
        <v>14672</v>
      </c>
      <c r="G8958" s="109">
        <v>45849</v>
      </c>
      <c r="H8958" s="108" t="s">
        <v>25458</v>
      </c>
      <c r="I8958" s="108" t="s">
        <v>79</v>
      </c>
    </row>
    <row r="8959" spans="1:9">
      <c r="A8959" s="108" t="s">
        <v>87</v>
      </c>
      <c r="B8959" s="108" t="s">
        <v>2629</v>
      </c>
      <c r="C8959" s="109">
        <v>44343</v>
      </c>
      <c r="D8959" s="108" t="s">
        <v>2630</v>
      </c>
      <c r="E8959" s="108" t="s">
        <v>14605</v>
      </c>
      <c r="F8959" s="108" t="s">
        <v>2622</v>
      </c>
      <c r="G8959" s="109">
        <v>46138</v>
      </c>
      <c r="H8959" s="108" t="s">
        <v>25458</v>
      </c>
      <c r="I8959" s="108" t="s">
        <v>79</v>
      </c>
    </row>
    <row r="8960" spans="1:9">
      <c r="A8960" s="108" t="s">
        <v>571</v>
      </c>
      <c r="B8960" s="108" t="s">
        <v>2744</v>
      </c>
      <c r="C8960" s="109">
        <v>44350</v>
      </c>
      <c r="D8960" s="108" t="s">
        <v>2745</v>
      </c>
      <c r="E8960" s="108" t="s">
        <v>14605</v>
      </c>
      <c r="F8960" s="108" t="s">
        <v>15729</v>
      </c>
      <c r="G8960" s="109">
        <v>46175</v>
      </c>
      <c r="H8960" s="108" t="s">
        <v>25458</v>
      </c>
      <c r="I8960" s="108" t="s">
        <v>79</v>
      </c>
    </row>
    <row r="8961" spans="1:9">
      <c r="A8961" s="108" t="s">
        <v>87</v>
      </c>
      <c r="B8961" s="108" t="s">
        <v>2627</v>
      </c>
      <c r="C8961" s="109">
        <v>44337</v>
      </c>
      <c r="D8961" s="108" t="s">
        <v>2628</v>
      </c>
      <c r="E8961" s="108" t="s">
        <v>14605</v>
      </c>
      <c r="F8961" s="108" t="s">
        <v>2622</v>
      </c>
      <c r="G8961" s="109">
        <v>46138</v>
      </c>
      <c r="H8961" s="108" t="s">
        <v>25458</v>
      </c>
      <c r="I8961" s="108" t="s">
        <v>79</v>
      </c>
    </row>
    <row r="8962" spans="1:9">
      <c r="A8962" s="108" t="s">
        <v>87</v>
      </c>
      <c r="B8962" s="108" t="s">
        <v>2625</v>
      </c>
      <c r="C8962" s="109">
        <v>44341</v>
      </c>
      <c r="D8962" s="108" t="s">
        <v>2626</v>
      </c>
      <c r="E8962" s="108" t="s">
        <v>14605</v>
      </c>
      <c r="F8962" s="108" t="s">
        <v>2622</v>
      </c>
      <c r="G8962" s="109">
        <v>46138</v>
      </c>
      <c r="H8962" s="108" t="s">
        <v>25458</v>
      </c>
      <c r="I8962" s="108" t="s">
        <v>79</v>
      </c>
    </row>
    <row r="8963" spans="1:9" ht="27.6">
      <c r="A8963" s="108" t="s">
        <v>571</v>
      </c>
      <c r="B8963" s="108" t="s">
        <v>5255</v>
      </c>
      <c r="C8963" s="109">
        <v>44370</v>
      </c>
      <c r="D8963" s="108" t="s">
        <v>5257</v>
      </c>
      <c r="E8963" s="108" t="s">
        <v>14605</v>
      </c>
      <c r="F8963" s="108" t="s">
        <v>5256</v>
      </c>
      <c r="G8963" s="109">
        <v>46156</v>
      </c>
      <c r="H8963" s="108" t="s">
        <v>25458</v>
      </c>
      <c r="I8963" s="108" t="s">
        <v>79</v>
      </c>
    </row>
    <row r="8964" spans="1:9">
      <c r="A8964" s="108" t="s">
        <v>87</v>
      </c>
      <c r="B8964" s="108" t="s">
        <v>3004</v>
      </c>
      <c r="C8964" s="109">
        <v>44375</v>
      </c>
      <c r="D8964" s="108" t="s">
        <v>3005</v>
      </c>
      <c r="E8964" s="108" t="s">
        <v>14605</v>
      </c>
      <c r="F8964" s="108" t="s">
        <v>26729</v>
      </c>
      <c r="G8964" s="109">
        <v>46200</v>
      </c>
      <c r="H8964" s="108" t="s">
        <v>25458</v>
      </c>
      <c r="I8964" s="108" t="s">
        <v>79</v>
      </c>
    </row>
    <row r="8965" spans="1:9">
      <c r="A8965" s="108" t="s">
        <v>14928</v>
      </c>
      <c r="B8965" s="108" t="s">
        <v>1258</v>
      </c>
      <c r="C8965" s="109">
        <v>44377</v>
      </c>
      <c r="D8965" s="108" t="s">
        <v>1259</v>
      </c>
      <c r="E8965" s="108" t="s">
        <v>14605</v>
      </c>
      <c r="F8965" s="108" t="s">
        <v>1228</v>
      </c>
      <c r="G8965" s="109">
        <v>46022</v>
      </c>
      <c r="H8965" s="108" t="s">
        <v>25458</v>
      </c>
      <c r="I8965" s="108" t="s">
        <v>79</v>
      </c>
    </row>
    <row r="8966" spans="1:9" ht="27.6">
      <c r="A8966" s="108" t="s">
        <v>14929</v>
      </c>
      <c r="B8966" s="108" t="s">
        <v>4040</v>
      </c>
      <c r="C8966" s="109">
        <v>44377</v>
      </c>
      <c r="D8966" s="108" t="s">
        <v>4041</v>
      </c>
      <c r="E8966" s="108" t="s">
        <v>14605</v>
      </c>
      <c r="F8966" s="108" t="s">
        <v>25471</v>
      </c>
      <c r="G8966" s="109">
        <v>45106</v>
      </c>
      <c r="H8966" s="108" t="s">
        <v>25458</v>
      </c>
      <c r="I8966" s="108" t="s">
        <v>79</v>
      </c>
    </row>
    <row r="8967" spans="1:9" ht="27.6">
      <c r="A8967" s="108" t="s">
        <v>14690</v>
      </c>
      <c r="B8967" s="108" t="s">
        <v>1311</v>
      </c>
      <c r="C8967" s="109">
        <v>44447</v>
      </c>
      <c r="D8967" s="108" t="s">
        <v>1312</v>
      </c>
      <c r="E8967" s="108" t="s">
        <v>14605</v>
      </c>
      <c r="F8967" s="108" t="s">
        <v>1307</v>
      </c>
      <c r="G8967" s="109">
        <v>45907</v>
      </c>
      <c r="H8967" s="108" t="s">
        <v>25458</v>
      </c>
      <c r="I8967" s="108" t="s">
        <v>79</v>
      </c>
    </row>
    <row r="8968" spans="1:9">
      <c r="A8968" s="108" t="s">
        <v>87</v>
      </c>
      <c r="B8968" s="108" t="s">
        <v>540</v>
      </c>
      <c r="C8968" s="109">
        <v>44446</v>
      </c>
      <c r="D8968" s="108" t="s">
        <v>541</v>
      </c>
      <c r="E8968" s="108" t="s">
        <v>14605</v>
      </c>
      <c r="F8968" s="108" t="s">
        <v>538</v>
      </c>
      <c r="G8968" s="109">
        <v>45906</v>
      </c>
      <c r="H8968" s="108" t="s">
        <v>25458</v>
      </c>
      <c r="I8968" s="108" t="s">
        <v>79</v>
      </c>
    </row>
    <row r="8969" spans="1:9" ht="27.6">
      <c r="A8969" s="108" t="s">
        <v>14690</v>
      </c>
      <c r="B8969" s="108" t="s">
        <v>575</v>
      </c>
      <c r="C8969" s="109">
        <v>44453</v>
      </c>
      <c r="D8969" s="108" t="s">
        <v>576</v>
      </c>
      <c r="E8969" s="108" t="s">
        <v>14605</v>
      </c>
      <c r="F8969" s="108" t="s">
        <v>573</v>
      </c>
      <c r="G8969" s="109">
        <v>45913</v>
      </c>
      <c r="H8969" s="108" t="s">
        <v>25458</v>
      </c>
      <c r="I8969" s="108" t="s">
        <v>79</v>
      </c>
    </row>
    <row r="8970" spans="1:9">
      <c r="A8970" s="108" t="s">
        <v>87</v>
      </c>
      <c r="B8970" s="108" t="s">
        <v>2051</v>
      </c>
      <c r="C8970" s="109">
        <v>44466</v>
      </c>
      <c r="D8970" s="108" t="s">
        <v>2052</v>
      </c>
      <c r="E8970" s="108" t="s">
        <v>14605</v>
      </c>
      <c r="F8970" s="108" t="s">
        <v>2049</v>
      </c>
      <c r="G8970" s="109">
        <v>45629</v>
      </c>
      <c r="H8970" s="108" t="s">
        <v>25458</v>
      </c>
      <c r="I8970" s="108" t="s">
        <v>79</v>
      </c>
    </row>
    <row r="8971" spans="1:9">
      <c r="A8971" s="108" t="s">
        <v>87</v>
      </c>
      <c r="B8971" s="108" t="s">
        <v>3934</v>
      </c>
      <c r="C8971" s="109">
        <v>44469</v>
      </c>
      <c r="D8971" s="108" t="s">
        <v>3935</v>
      </c>
      <c r="E8971" s="108" t="s">
        <v>14605</v>
      </c>
      <c r="F8971" s="108" t="s">
        <v>3909</v>
      </c>
      <c r="G8971" s="109">
        <v>46234</v>
      </c>
      <c r="H8971" s="108" t="s">
        <v>25458</v>
      </c>
      <c r="I8971" s="108" t="s">
        <v>79</v>
      </c>
    </row>
    <row r="8972" spans="1:9" ht="27.6">
      <c r="A8972" s="108" t="s">
        <v>14929</v>
      </c>
      <c r="B8972" s="108" t="s">
        <v>3396</v>
      </c>
      <c r="C8972" s="109">
        <v>44460</v>
      </c>
      <c r="D8972" s="108" t="s">
        <v>3397</v>
      </c>
      <c r="E8972" s="108" t="s">
        <v>14605</v>
      </c>
      <c r="F8972" s="108" t="s">
        <v>14672</v>
      </c>
      <c r="G8972" s="109">
        <v>45849</v>
      </c>
      <c r="H8972" s="108" t="s">
        <v>25458</v>
      </c>
      <c r="I8972" s="108" t="s">
        <v>79</v>
      </c>
    </row>
    <row r="8973" spans="1:9">
      <c r="A8973" s="108" t="s">
        <v>237</v>
      </c>
      <c r="B8973" s="108" t="s">
        <v>1444</v>
      </c>
      <c r="C8973" s="109">
        <v>44466</v>
      </c>
      <c r="D8973" s="108" t="s">
        <v>1445</v>
      </c>
      <c r="E8973" s="108" t="s">
        <v>14605</v>
      </c>
      <c r="F8973" s="108" t="s">
        <v>1443</v>
      </c>
      <c r="G8973" s="109">
        <v>45195</v>
      </c>
      <c r="H8973" s="108" t="s">
        <v>25458</v>
      </c>
      <c r="I8973" s="108" t="s">
        <v>79</v>
      </c>
    </row>
    <row r="8974" spans="1:9">
      <c r="A8974" s="108" t="s">
        <v>571</v>
      </c>
      <c r="B8974" s="108" t="s">
        <v>2875</v>
      </c>
      <c r="C8974" s="109">
        <v>44517</v>
      </c>
      <c r="D8974" s="108" t="s">
        <v>2876</v>
      </c>
      <c r="E8974" s="108" t="s">
        <v>14605</v>
      </c>
      <c r="F8974" s="108" t="s">
        <v>2853</v>
      </c>
      <c r="G8974" s="109">
        <v>45977</v>
      </c>
      <c r="H8974" s="108" t="s">
        <v>25458</v>
      </c>
      <c r="I8974" s="108" t="s">
        <v>79</v>
      </c>
    </row>
    <row r="8975" spans="1:9">
      <c r="A8975" s="108" t="s">
        <v>2002</v>
      </c>
      <c r="B8975" s="108" t="s">
        <v>3932</v>
      </c>
      <c r="C8975" s="109">
        <v>44568</v>
      </c>
      <c r="D8975" s="108" t="s">
        <v>3933</v>
      </c>
      <c r="E8975" s="108" t="s">
        <v>14605</v>
      </c>
      <c r="F8975" s="108" t="s">
        <v>3922</v>
      </c>
      <c r="G8975" s="109">
        <v>46028</v>
      </c>
      <c r="H8975" s="108" t="s">
        <v>25458</v>
      </c>
      <c r="I8975" s="108" t="s">
        <v>79</v>
      </c>
    </row>
    <row r="8976" spans="1:9">
      <c r="A8976" s="108" t="s">
        <v>2002</v>
      </c>
      <c r="B8976" s="108" t="s">
        <v>3930</v>
      </c>
      <c r="C8976" s="109">
        <v>44568</v>
      </c>
      <c r="D8976" s="108" t="s">
        <v>3931</v>
      </c>
      <c r="E8976" s="108" t="s">
        <v>14605</v>
      </c>
      <c r="F8976" s="108" t="s">
        <v>3922</v>
      </c>
      <c r="G8976" s="109">
        <v>46028</v>
      </c>
      <c r="H8976" s="108" t="s">
        <v>25458</v>
      </c>
      <c r="I8976" s="108" t="s">
        <v>79</v>
      </c>
    </row>
    <row r="8977" spans="1:9" ht="27.6">
      <c r="A8977" s="108" t="s">
        <v>87</v>
      </c>
      <c r="B8977" s="108" t="s">
        <v>3308</v>
      </c>
      <c r="C8977" s="109">
        <v>44588</v>
      </c>
      <c r="D8977" s="108" t="s">
        <v>3309</v>
      </c>
      <c r="E8977" s="108" t="s">
        <v>14605</v>
      </c>
      <c r="F8977" s="108" t="s">
        <v>3306</v>
      </c>
      <c r="G8977" s="109">
        <v>46078</v>
      </c>
      <c r="H8977" s="108" t="s">
        <v>25458</v>
      </c>
      <c r="I8977" s="108" t="s">
        <v>79</v>
      </c>
    </row>
    <row r="8978" spans="1:9">
      <c r="A8978" s="108" t="s">
        <v>87</v>
      </c>
      <c r="B8978" s="108" t="s">
        <v>3528</v>
      </c>
      <c r="C8978" s="109">
        <v>44600</v>
      </c>
      <c r="D8978" s="108" t="s">
        <v>3529</v>
      </c>
      <c r="E8978" s="108" t="s">
        <v>14605</v>
      </c>
      <c r="F8978" s="108" t="s">
        <v>3522</v>
      </c>
      <c r="G8978" s="109">
        <v>45329</v>
      </c>
      <c r="H8978" s="108" t="s">
        <v>25458</v>
      </c>
      <c r="I8978" s="108" t="s">
        <v>79</v>
      </c>
    </row>
    <row r="8979" spans="1:9">
      <c r="A8979" s="108" t="s">
        <v>15043</v>
      </c>
      <c r="B8979" s="108" t="s">
        <v>1658</v>
      </c>
      <c r="C8979" s="109">
        <v>44602</v>
      </c>
      <c r="D8979" s="108" t="s">
        <v>1660</v>
      </c>
      <c r="E8979" s="108" t="s">
        <v>14605</v>
      </c>
      <c r="F8979" s="108" t="s">
        <v>1659</v>
      </c>
      <c r="G8979" s="109">
        <v>46062</v>
      </c>
      <c r="H8979" s="108" t="s">
        <v>25458</v>
      </c>
      <c r="I8979" s="108" t="s">
        <v>79</v>
      </c>
    </row>
    <row r="8980" spans="1:9">
      <c r="A8980" s="108" t="s">
        <v>14928</v>
      </c>
      <c r="B8980" s="108" t="s">
        <v>3469</v>
      </c>
      <c r="C8980" s="109">
        <v>44593</v>
      </c>
      <c r="D8980" s="108" t="s">
        <v>3471</v>
      </c>
      <c r="E8980" s="108" t="s">
        <v>14605</v>
      </c>
      <c r="F8980" s="108" t="s">
        <v>3470</v>
      </c>
      <c r="G8980" s="109">
        <v>45322</v>
      </c>
      <c r="H8980" s="108" t="s">
        <v>25458</v>
      </c>
      <c r="I8980" s="108" t="s">
        <v>79</v>
      </c>
    </row>
    <row r="8981" spans="1:9">
      <c r="A8981" s="108" t="s">
        <v>316</v>
      </c>
      <c r="B8981" s="108" t="s">
        <v>4105</v>
      </c>
      <c r="C8981" s="109">
        <v>44607</v>
      </c>
      <c r="D8981" s="108" t="s">
        <v>4107</v>
      </c>
      <c r="E8981" s="108" t="s">
        <v>14605</v>
      </c>
      <c r="F8981" s="108" t="s">
        <v>4106</v>
      </c>
      <c r="G8981" s="109">
        <v>45702</v>
      </c>
      <c r="H8981" s="108" t="s">
        <v>25458</v>
      </c>
      <c r="I8981" s="108" t="s">
        <v>79</v>
      </c>
    </row>
    <row r="8982" spans="1:9">
      <c r="A8982" s="108" t="s">
        <v>2002</v>
      </c>
      <c r="B8982" s="108" t="s">
        <v>1850</v>
      </c>
      <c r="C8982" s="109">
        <v>44594</v>
      </c>
      <c r="D8982" s="108" t="s">
        <v>1851</v>
      </c>
      <c r="E8982" s="108" t="s">
        <v>14605</v>
      </c>
      <c r="F8982" s="108" t="s">
        <v>1849</v>
      </c>
      <c r="G8982" s="109">
        <v>46103</v>
      </c>
      <c r="H8982" s="108" t="s">
        <v>25458</v>
      </c>
      <c r="I8982" s="108" t="s">
        <v>79</v>
      </c>
    </row>
    <row r="8983" spans="1:9">
      <c r="A8983" s="108" t="s">
        <v>2002</v>
      </c>
      <c r="B8983" s="108" t="s">
        <v>3928</v>
      </c>
      <c r="C8983" s="109">
        <v>44607</v>
      </c>
      <c r="D8983" s="108" t="s">
        <v>3929</v>
      </c>
      <c r="E8983" s="108" t="s">
        <v>14605</v>
      </c>
      <c r="F8983" s="108" t="s">
        <v>3922</v>
      </c>
      <c r="G8983" s="109">
        <v>46028</v>
      </c>
      <c r="H8983" s="108" t="s">
        <v>25458</v>
      </c>
      <c r="I8983" s="108" t="s">
        <v>79</v>
      </c>
    </row>
    <row r="8984" spans="1:9">
      <c r="A8984" s="108" t="s">
        <v>87</v>
      </c>
      <c r="B8984" s="108" t="s">
        <v>3394</v>
      </c>
      <c r="C8984" s="109">
        <v>44694</v>
      </c>
      <c r="D8984" s="108" t="s">
        <v>3395</v>
      </c>
      <c r="E8984" s="108" t="s">
        <v>14605</v>
      </c>
      <c r="F8984" s="108" t="s">
        <v>14672</v>
      </c>
      <c r="G8984" s="109">
        <v>45849</v>
      </c>
      <c r="H8984" s="108" t="s">
        <v>25458</v>
      </c>
      <c r="I8984" s="108" t="s">
        <v>79</v>
      </c>
    </row>
    <row r="8985" spans="1:9">
      <c r="A8985" s="108" t="s">
        <v>571</v>
      </c>
      <c r="B8985" s="108" t="s">
        <v>329</v>
      </c>
      <c r="C8985" s="109">
        <v>44649</v>
      </c>
      <c r="D8985" s="108" t="s">
        <v>330</v>
      </c>
      <c r="E8985" s="108" t="s">
        <v>14605</v>
      </c>
      <c r="F8985" s="108" t="s">
        <v>327</v>
      </c>
      <c r="G8985" s="109">
        <v>45723</v>
      </c>
      <c r="H8985" s="108" t="s">
        <v>25458</v>
      </c>
      <c r="I8985" s="108" t="s">
        <v>79</v>
      </c>
    </row>
    <row r="8986" spans="1:9" ht="27.6">
      <c r="A8986" s="108" t="s">
        <v>14690</v>
      </c>
      <c r="B8986" s="108" t="s">
        <v>572</v>
      </c>
      <c r="C8986" s="109">
        <v>44651</v>
      </c>
      <c r="D8986" s="108" t="s">
        <v>574</v>
      </c>
      <c r="E8986" s="108" t="s">
        <v>14605</v>
      </c>
      <c r="F8986" s="108" t="s">
        <v>573</v>
      </c>
      <c r="G8986" s="109">
        <v>46111</v>
      </c>
      <c r="H8986" s="108" t="s">
        <v>25458</v>
      </c>
      <c r="I8986" s="108" t="s">
        <v>79</v>
      </c>
    </row>
    <row r="8987" spans="1:9">
      <c r="A8987" s="108" t="s">
        <v>14928</v>
      </c>
      <c r="B8987" s="108" t="s">
        <v>496</v>
      </c>
      <c r="C8987" s="109">
        <v>44658</v>
      </c>
      <c r="D8987" s="108" t="s">
        <v>497</v>
      </c>
      <c r="E8987" s="108" t="s">
        <v>14605</v>
      </c>
      <c r="F8987" s="108" t="s">
        <v>484</v>
      </c>
      <c r="G8987" s="109">
        <v>46118</v>
      </c>
      <c r="H8987" s="108" t="s">
        <v>25458</v>
      </c>
      <c r="I8987" s="108" t="s">
        <v>79</v>
      </c>
    </row>
    <row r="8988" spans="1:9">
      <c r="A8988" s="108" t="s">
        <v>2002</v>
      </c>
      <c r="B8988" s="108" t="s">
        <v>3392</v>
      </c>
      <c r="C8988" s="109">
        <v>44694</v>
      </c>
      <c r="D8988" s="108" t="s">
        <v>3393</v>
      </c>
      <c r="E8988" s="108" t="s">
        <v>14605</v>
      </c>
      <c r="F8988" s="108" t="s">
        <v>14672</v>
      </c>
      <c r="G8988" s="109">
        <v>45849</v>
      </c>
      <c r="H8988" s="108" t="s">
        <v>25458</v>
      </c>
      <c r="I8988" s="108" t="s">
        <v>79</v>
      </c>
    </row>
    <row r="8989" spans="1:9">
      <c r="A8989" s="108" t="s">
        <v>87</v>
      </c>
      <c r="B8989" s="108" t="s">
        <v>3002</v>
      </c>
      <c r="C8989" s="109">
        <v>44672</v>
      </c>
      <c r="D8989" s="108" t="s">
        <v>3003</v>
      </c>
      <c r="E8989" s="108" t="s">
        <v>14605</v>
      </c>
      <c r="F8989" s="108" t="s">
        <v>26729</v>
      </c>
      <c r="G8989" s="109">
        <v>46132</v>
      </c>
      <c r="H8989" s="108" t="s">
        <v>25458</v>
      </c>
      <c r="I8989" s="108" t="s">
        <v>79</v>
      </c>
    </row>
    <row r="8990" spans="1:9">
      <c r="A8990" s="108" t="s">
        <v>87</v>
      </c>
      <c r="B8990" s="108" t="s">
        <v>3390</v>
      </c>
      <c r="C8990" s="109">
        <v>44694</v>
      </c>
      <c r="D8990" s="108" t="s">
        <v>3391</v>
      </c>
      <c r="E8990" s="108" t="s">
        <v>14605</v>
      </c>
      <c r="F8990" s="108" t="s">
        <v>14672</v>
      </c>
      <c r="G8990" s="109">
        <v>45849</v>
      </c>
      <c r="H8990" s="108" t="s">
        <v>25458</v>
      </c>
      <c r="I8990" s="108" t="s">
        <v>79</v>
      </c>
    </row>
    <row r="8991" spans="1:9">
      <c r="A8991" s="108" t="s">
        <v>2002</v>
      </c>
      <c r="B8991" s="108" t="s">
        <v>1073</v>
      </c>
      <c r="C8991" s="109">
        <v>44714</v>
      </c>
      <c r="D8991" s="108" t="s">
        <v>1074</v>
      </c>
      <c r="E8991" s="108" t="s">
        <v>14605</v>
      </c>
      <c r="F8991" s="108" t="s">
        <v>1066</v>
      </c>
      <c r="G8991" s="109">
        <v>45444</v>
      </c>
      <c r="H8991" s="108" t="s">
        <v>25458</v>
      </c>
      <c r="I8991" s="108" t="s">
        <v>79</v>
      </c>
    </row>
    <row r="8992" spans="1:9" ht="27.6">
      <c r="A8992" s="108" t="s">
        <v>14690</v>
      </c>
      <c r="B8992" s="108" t="s">
        <v>3926</v>
      </c>
      <c r="C8992" s="109">
        <v>44715</v>
      </c>
      <c r="D8992" s="108" t="s">
        <v>3927</v>
      </c>
      <c r="E8992" s="108" t="s">
        <v>14605</v>
      </c>
      <c r="F8992" s="108" t="s">
        <v>3922</v>
      </c>
      <c r="G8992" s="109">
        <v>46175</v>
      </c>
      <c r="H8992" s="108" t="s">
        <v>25458</v>
      </c>
      <c r="I8992" s="108" t="s">
        <v>79</v>
      </c>
    </row>
    <row r="8993" spans="1:9">
      <c r="A8993" s="108" t="s">
        <v>87</v>
      </c>
      <c r="B8993" s="108" t="s">
        <v>615</v>
      </c>
      <c r="C8993" s="109">
        <v>44714</v>
      </c>
      <c r="D8993" s="108" t="s">
        <v>616</v>
      </c>
      <c r="E8993" s="108" t="s">
        <v>14605</v>
      </c>
      <c r="F8993" s="108" t="s">
        <v>611</v>
      </c>
      <c r="G8993" s="109">
        <v>45657</v>
      </c>
      <c r="H8993" s="108" t="s">
        <v>25458</v>
      </c>
      <c r="I8993" s="108" t="s">
        <v>79</v>
      </c>
    </row>
    <row r="8994" spans="1:9">
      <c r="A8994" s="108" t="s">
        <v>87</v>
      </c>
      <c r="B8994" s="108" t="s">
        <v>613</v>
      </c>
      <c r="C8994" s="109">
        <v>44713</v>
      </c>
      <c r="D8994" s="108" t="s">
        <v>614</v>
      </c>
      <c r="E8994" s="108" t="s">
        <v>14605</v>
      </c>
      <c r="F8994" s="108" t="s">
        <v>611</v>
      </c>
      <c r="G8994" s="109">
        <v>45657</v>
      </c>
      <c r="H8994" s="108" t="s">
        <v>25458</v>
      </c>
      <c r="I8994" s="108" t="s">
        <v>79</v>
      </c>
    </row>
    <row r="8995" spans="1:9">
      <c r="A8995" s="108" t="s">
        <v>14928</v>
      </c>
      <c r="B8995" s="108" t="s">
        <v>1199</v>
      </c>
      <c r="C8995" s="109">
        <v>44714</v>
      </c>
      <c r="D8995" s="108" t="s">
        <v>1201</v>
      </c>
      <c r="E8995" s="108" t="s">
        <v>14605</v>
      </c>
      <c r="F8995" s="108" t="s">
        <v>1200</v>
      </c>
      <c r="G8995" s="109">
        <v>46174</v>
      </c>
      <c r="H8995" s="108" t="s">
        <v>25458</v>
      </c>
      <c r="I8995" s="108" t="s">
        <v>79</v>
      </c>
    </row>
    <row r="8996" spans="1:9">
      <c r="A8996" s="108" t="s">
        <v>87</v>
      </c>
      <c r="B8996" s="108" t="s">
        <v>1046</v>
      </c>
      <c r="C8996" s="109">
        <v>44790</v>
      </c>
      <c r="D8996" s="108" t="s">
        <v>1048</v>
      </c>
      <c r="E8996" s="108" t="s">
        <v>14605</v>
      </c>
      <c r="F8996" s="108" t="s">
        <v>1047</v>
      </c>
      <c r="G8996" s="109">
        <v>45520</v>
      </c>
      <c r="H8996" s="108" t="s">
        <v>25458</v>
      </c>
      <c r="I8996" s="108" t="s">
        <v>79</v>
      </c>
    </row>
    <row r="8997" spans="1:9">
      <c r="A8997" s="108" t="s">
        <v>237</v>
      </c>
      <c r="B8997" s="108" t="s">
        <v>3296</v>
      </c>
      <c r="C8997" s="109">
        <v>44742</v>
      </c>
      <c r="D8997" s="108" t="s">
        <v>3298</v>
      </c>
      <c r="E8997" s="108" t="s">
        <v>14605</v>
      </c>
      <c r="F8997" s="108" t="s">
        <v>3297</v>
      </c>
      <c r="G8997" s="109">
        <v>45837</v>
      </c>
      <c r="H8997" s="108" t="s">
        <v>25458</v>
      </c>
      <c r="I8997" s="108" t="s">
        <v>79</v>
      </c>
    </row>
    <row r="8998" spans="1:9">
      <c r="A8998" s="108" t="s">
        <v>87</v>
      </c>
      <c r="B8998" s="108" t="s">
        <v>610</v>
      </c>
      <c r="C8998" s="109">
        <v>44733</v>
      </c>
      <c r="D8998" s="108" t="s">
        <v>612</v>
      </c>
      <c r="E8998" s="108" t="s">
        <v>14605</v>
      </c>
      <c r="F8998" s="108" t="s">
        <v>611</v>
      </c>
      <c r="G8998" s="109">
        <v>45657</v>
      </c>
      <c r="H8998" s="108" t="s">
        <v>25458</v>
      </c>
      <c r="I8998" s="108" t="s">
        <v>79</v>
      </c>
    </row>
    <row r="8999" spans="1:9" ht="27.6">
      <c r="A8999" s="108" t="s">
        <v>14690</v>
      </c>
      <c r="B8999" s="108" t="s">
        <v>2154</v>
      </c>
      <c r="C8999" s="109">
        <v>44750</v>
      </c>
      <c r="D8999" s="108" t="s">
        <v>2155</v>
      </c>
      <c r="E8999" s="108" t="s">
        <v>14605</v>
      </c>
      <c r="F8999" s="108" t="s">
        <v>26156</v>
      </c>
      <c r="G8999" s="109">
        <v>45579</v>
      </c>
      <c r="H8999" s="108" t="s">
        <v>25458</v>
      </c>
      <c r="I8999" s="108" t="s">
        <v>79</v>
      </c>
    </row>
    <row r="9000" spans="1:9">
      <c r="A9000" s="108" t="s">
        <v>14679</v>
      </c>
      <c r="B9000" s="108" t="s">
        <v>3924</v>
      </c>
      <c r="C9000" s="109">
        <v>44803</v>
      </c>
      <c r="D9000" s="108" t="s">
        <v>3925</v>
      </c>
      <c r="E9000" s="108" t="s">
        <v>14605</v>
      </c>
      <c r="F9000" s="108" t="s">
        <v>3922</v>
      </c>
      <c r="G9000" s="109">
        <v>45898</v>
      </c>
      <c r="H9000" s="108" t="s">
        <v>25458</v>
      </c>
      <c r="I9000" s="108" t="s">
        <v>79</v>
      </c>
    </row>
    <row r="9001" spans="1:9">
      <c r="A9001" s="108" t="s">
        <v>1465</v>
      </c>
      <c r="B9001" s="108" t="s">
        <v>3921</v>
      </c>
      <c r="C9001" s="109">
        <v>44811</v>
      </c>
      <c r="D9001" s="108" t="s">
        <v>3923</v>
      </c>
      <c r="E9001" s="108" t="s">
        <v>14605</v>
      </c>
      <c r="F9001" s="108" t="s">
        <v>3922</v>
      </c>
      <c r="G9001" s="109">
        <v>45906</v>
      </c>
      <c r="H9001" s="108" t="s">
        <v>25458</v>
      </c>
      <c r="I9001" s="108" t="s">
        <v>79</v>
      </c>
    </row>
    <row r="9002" spans="1:9">
      <c r="A9002" s="108" t="s">
        <v>87</v>
      </c>
      <c r="B9002" s="108" t="s">
        <v>1478</v>
      </c>
      <c r="C9002" s="109">
        <v>44819</v>
      </c>
      <c r="D9002" s="108" t="s">
        <v>1479</v>
      </c>
      <c r="E9002" s="108" t="s">
        <v>14605</v>
      </c>
      <c r="F9002" s="108" t="s">
        <v>1470</v>
      </c>
      <c r="G9002" s="109">
        <v>46279</v>
      </c>
      <c r="H9002" s="108" t="s">
        <v>25458</v>
      </c>
      <c r="I9002" s="108" t="s">
        <v>79</v>
      </c>
    </row>
    <row r="9003" spans="1:9">
      <c r="A9003" s="108" t="s">
        <v>87</v>
      </c>
      <c r="B9003" s="108" t="s">
        <v>1256</v>
      </c>
      <c r="C9003" s="109">
        <v>44852</v>
      </c>
      <c r="D9003" s="108" t="s">
        <v>1257</v>
      </c>
      <c r="E9003" s="108" t="s">
        <v>14605</v>
      </c>
      <c r="F9003" s="108" t="s">
        <v>1228</v>
      </c>
      <c r="G9003" s="109">
        <v>45947</v>
      </c>
      <c r="H9003" s="108" t="s">
        <v>25458</v>
      </c>
      <c r="I9003" s="108" t="s">
        <v>79</v>
      </c>
    </row>
    <row r="9004" spans="1:9">
      <c r="A9004" s="108" t="s">
        <v>237</v>
      </c>
      <c r="B9004" s="108" t="s">
        <v>2873</v>
      </c>
      <c r="C9004" s="109">
        <v>44819</v>
      </c>
      <c r="D9004" s="108" t="s">
        <v>2874</v>
      </c>
      <c r="E9004" s="108" t="s">
        <v>14605</v>
      </c>
      <c r="F9004" s="108" t="s">
        <v>2853</v>
      </c>
      <c r="G9004" s="109">
        <v>45771</v>
      </c>
      <c r="H9004" s="108" t="s">
        <v>25458</v>
      </c>
      <c r="I9004" s="108" t="s">
        <v>79</v>
      </c>
    </row>
    <row r="9005" spans="1:9" ht="27.6">
      <c r="A9005" s="108" t="s">
        <v>14690</v>
      </c>
      <c r="B9005" s="108" t="s">
        <v>3417</v>
      </c>
      <c r="C9005" s="109">
        <v>45082</v>
      </c>
      <c r="D9005" s="108" t="s">
        <v>3418</v>
      </c>
      <c r="E9005" s="108" t="s">
        <v>14605</v>
      </c>
      <c r="F9005" s="108" t="s">
        <v>26731</v>
      </c>
      <c r="G9005" s="109">
        <v>45769</v>
      </c>
      <c r="H9005" s="108" t="s">
        <v>25458</v>
      </c>
      <c r="I9005" s="108" t="s">
        <v>79</v>
      </c>
    </row>
    <row r="9006" spans="1:9">
      <c r="A9006" s="108" t="s">
        <v>237</v>
      </c>
      <c r="B9006" s="108" t="s">
        <v>5245</v>
      </c>
      <c r="C9006" s="109">
        <v>44896</v>
      </c>
      <c r="D9006" s="108" t="s">
        <v>5246</v>
      </c>
      <c r="E9006" s="108" t="s">
        <v>14605</v>
      </c>
      <c r="F9006" s="108" t="s">
        <v>26732</v>
      </c>
      <c r="G9006" s="109">
        <v>45991</v>
      </c>
      <c r="H9006" s="108" t="s">
        <v>25458</v>
      </c>
      <c r="I9006" s="108" t="s">
        <v>79</v>
      </c>
    </row>
    <row r="9007" spans="1:9">
      <c r="A9007" s="108" t="s">
        <v>14928</v>
      </c>
      <c r="B9007" s="108" t="s">
        <v>1052</v>
      </c>
      <c r="C9007" s="109">
        <v>45085</v>
      </c>
      <c r="D9007" s="108" t="s">
        <v>1054</v>
      </c>
      <c r="E9007" s="108" t="s">
        <v>14605</v>
      </c>
      <c r="F9007" s="108" t="s">
        <v>1053</v>
      </c>
      <c r="G9007" s="109">
        <v>46180</v>
      </c>
      <c r="H9007" s="108" t="s">
        <v>25458</v>
      </c>
      <c r="I9007" s="108" t="s">
        <v>79</v>
      </c>
    </row>
    <row r="9008" spans="1:9" ht="27.6">
      <c r="A9008" s="108" t="s">
        <v>14690</v>
      </c>
      <c r="B9008" s="108" t="s">
        <v>228</v>
      </c>
      <c r="C9008" s="109">
        <v>45204</v>
      </c>
      <c r="D9008" s="108" t="s">
        <v>229</v>
      </c>
      <c r="E9008" s="108" t="s">
        <v>14605</v>
      </c>
      <c r="F9008" s="108" t="s">
        <v>220</v>
      </c>
      <c r="G9008" s="109">
        <v>45934</v>
      </c>
      <c r="H9008" s="108" t="s">
        <v>25458</v>
      </c>
      <c r="I9008" s="108" t="s">
        <v>79</v>
      </c>
    </row>
    <row r="9009" spans="1:9">
      <c r="A9009" s="108" t="s">
        <v>477</v>
      </c>
      <c r="B9009" s="108" t="s">
        <v>3388</v>
      </c>
      <c r="C9009" s="109">
        <v>45209</v>
      </c>
      <c r="D9009" s="108" t="s">
        <v>3389</v>
      </c>
      <c r="E9009" s="108" t="s">
        <v>14605</v>
      </c>
      <c r="F9009" s="108" t="s">
        <v>14672</v>
      </c>
      <c r="G9009" s="109">
        <v>45849</v>
      </c>
      <c r="H9009" s="108" t="s">
        <v>25458</v>
      </c>
      <c r="I9009" s="108" t="s">
        <v>79</v>
      </c>
    </row>
    <row r="9010" spans="1:9">
      <c r="A9010" s="108" t="s">
        <v>2002</v>
      </c>
      <c r="B9010" s="108" t="s">
        <v>3386</v>
      </c>
      <c r="C9010" s="109">
        <v>45148</v>
      </c>
      <c r="D9010" s="108" t="s">
        <v>3387</v>
      </c>
      <c r="E9010" s="108" t="s">
        <v>21552</v>
      </c>
      <c r="F9010" s="108" t="s">
        <v>14672</v>
      </c>
      <c r="G9010" s="109">
        <v>45849</v>
      </c>
      <c r="H9010" s="108" t="s">
        <v>25458</v>
      </c>
      <c r="I9010" s="108" t="s">
        <v>79</v>
      </c>
    </row>
    <row r="9011" spans="1:9" ht="27.6">
      <c r="A9011" s="108" t="s">
        <v>2002</v>
      </c>
      <c r="B9011" s="108" t="s">
        <v>3939</v>
      </c>
      <c r="C9011" s="109">
        <v>45330</v>
      </c>
      <c r="D9011" s="108" t="s">
        <v>3941</v>
      </c>
      <c r="E9011" s="108" t="s">
        <v>14605</v>
      </c>
      <c r="F9011" s="108" t="s">
        <v>3940</v>
      </c>
      <c r="G9011" s="109">
        <v>46082</v>
      </c>
      <c r="H9011" s="108" t="s">
        <v>25458</v>
      </c>
      <c r="I9011" s="108" t="s">
        <v>79</v>
      </c>
    </row>
    <row r="9012" spans="1:9">
      <c r="A9012" s="108" t="s">
        <v>87</v>
      </c>
      <c r="B9012" s="108" t="s">
        <v>1542</v>
      </c>
      <c r="C9012" s="109">
        <v>45467</v>
      </c>
      <c r="D9012" s="108" t="s">
        <v>1543</v>
      </c>
      <c r="E9012" s="108" t="s">
        <v>14605</v>
      </c>
      <c r="F9012" s="108" t="s">
        <v>17498</v>
      </c>
      <c r="G9012" s="109">
        <v>46196</v>
      </c>
      <c r="H9012" s="108" t="s">
        <v>25458</v>
      </c>
      <c r="I9012" s="108" t="s">
        <v>79</v>
      </c>
    </row>
    <row r="9013" spans="1:9">
      <c r="A9013" s="108" t="s">
        <v>87</v>
      </c>
      <c r="B9013" s="108" t="s">
        <v>1220</v>
      </c>
      <c r="C9013" s="109">
        <v>42695</v>
      </c>
      <c r="D9013" s="108" t="s">
        <v>1222</v>
      </c>
      <c r="E9013" s="108" t="s">
        <v>14605</v>
      </c>
      <c r="F9013" s="108" t="s">
        <v>1221</v>
      </c>
      <c r="G9013" s="109">
        <v>45298</v>
      </c>
      <c r="H9013" s="108" t="s">
        <v>25458</v>
      </c>
      <c r="I9013" s="108" t="s">
        <v>164</v>
      </c>
    </row>
    <row r="9014" spans="1:9">
      <c r="A9014" s="108" t="s">
        <v>87</v>
      </c>
      <c r="B9014" s="108" t="s">
        <v>3534</v>
      </c>
      <c r="C9014" s="109">
        <v>43552</v>
      </c>
      <c r="D9014" s="108" t="s">
        <v>3536</v>
      </c>
      <c r="E9014" s="108" t="s">
        <v>14605</v>
      </c>
      <c r="F9014" s="108" t="s">
        <v>3535</v>
      </c>
      <c r="G9014" s="109">
        <v>46250</v>
      </c>
      <c r="H9014" s="108" t="s">
        <v>25458</v>
      </c>
      <c r="I9014" s="108" t="s">
        <v>164</v>
      </c>
    </row>
    <row r="9015" spans="1:9" ht="27.6">
      <c r="A9015" s="108" t="s">
        <v>14690</v>
      </c>
      <c r="B9015" s="108" t="s">
        <v>2787</v>
      </c>
      <c r="C9015" s="109">
        <v>42291</v>
      </c>
      <c r="D9015" s="108" t="s">
        <v>2788</v>
      </c>
      <c r="E9015" s="108" t="s">
        <v>14605</v>
      </c>
      <c r="F9015" s="108" t="s">
        <v>26733</v>
      </c>
      <c r="G9015" s="109">
        <v>45799</v>
      </c>
      <c r="H9015" s="108" t="s">
        <v>25458</v>
      </c>
      <c r="I9015" s="108" t="s">
        <v>164</v>
      </c>
    </row>
    <row r="9016" spans="1:9" ht="27.6">
      <c r="A9016" s="108" t="s">
        <v>14690</v>
      </c>
      <c r="B9016" s="108" t="s">
        <v>2686</v>
      </c>
      <c r="C9016" s="109">
        <v>42452</v>
      </c>
      <c r="D9016" s="108" t="s">
        <v>2688</v>
      </c>
      <c r="E9016" s="108" t="s">
        <v>14605</v>
      </c>
      <c r="F9016" s="108" t="s">
        <v>2687</v>
      </c>
      <c r="G9016" s="109">
        <v>45434</v>
      </c>
      <c r="H9016" s="108" t="s">
        <v>25458</v>
      </c>
      <c r="I9016" s="108" t="s">
        <v>164</v>
      </c>
    </row>
    <row r="9017" spans="1:9" ht="27.6">
      <c r="A9017" s="108" t="s">
        <v>14690</v>
      </c>
      <c r="B9017" s="108" t="s">
        <v>2547</v>
      </c>
      <c r="C9017" s="109">
        <v>43277</v>
      </c>
      <c r="D9017" s="108" t="s">
        <v>2548</v>
      </c>
      <c r="E9017" s="108" t="s">
        <v>14605</v>
      </c>
      <c r="F9017" s="108" t="s">
        <v>2545</v>
      </c>
      <c r="G9017" s="109">
        <v>45382</v>
      </c>
      <c r="H9017" s="108" t="s">
        <v>25458</v>
      </c>
      <c r="I9017" s="108" t="s">
        <v>164</v>
      </c>
    </row>
    <row r="9018" spans="1:9" ht="27.6">
      <c r="A9018" s="108" t="s">
        <v>14690</v>
      </c>
      <c r="B9018" s="108" t="s">
        <v>4985</v>
      </c>
      <c r="C9018" s="109">
        <v>43734</v>
      </c>
      <c r="D9018" s="108" t="s">
        <v>4986</v>
      </c>
      <c r="E9018" s="108" t="s">
        <v>14605</v>
      </c>
      <c r="F9018" s="108" t="s">
        <v>4984</v>
      </c>
      <c r="G9018" s="109">
        <v>45838</v>
      </c>
      <c r="H9018" s="108" t="s">
        <v>25458</v>
      </c>
      <c r="I9018" s="108" t="s">
        <v>164</v>
      </c>
    </row>
    <row r="9019" spans="1:9">
      <c r="A9019" s="108" t="s">
        <v>237</v>
      </c>
      <c r="B9019" s="108" t="s">
        <v>4367</v>
      </c>
      <c r="C9019" s="109">
        <v>43068</v>
      </c>
      <c r="D9019" s="108" t="s">
        <v>4368</v>
      </c>
      <c r="E9019" s="108" t="s">
        <v>14605</v>
      </c>
      <c r="F9019" s="108" t="s">
        <v>4365</v>
      </c>
      <c r="G9019" s="109">
        <v>45219</v>
      </c>
      <c r="H9019" s="108" t="s">
        <v>25458</v>
      </c>
      <c r="I9019" s="108" t="s">
        <v>164</v>
      </c>
    </row>
    <row r="9020" spans="1:9">
      <c r="A9020" s="108" t="s">
        <v>237</v>
      </c>
      <c r="B9020" s="108" t="s">
        <v>267</v>
      </c>
      <c r="C9020" s="109">
        <v>43726</v>
      </c>
      <c r="D9020" s="108" t="s">
        <v>269</v>
      </c>
      <c r="E9020" s="108" t="s">
        <v>14605</v>
      </c>
      <c r="F9020" s="108" t="s">
        <v>268</v>
      </c>
      <c r="G9020" s="109">
        <v>45880</v>
      </c>
      <c r="H9020" s="108" t="s">
        <v>25458</v>
      </c>
      <c r="I9020" s="108" t="s">
        <v>164</v>
      </c>
    </row>
    <row r="9021" spans="1:9" ht="27.6">
      <c r="A9021" s="108" t="s">
        <v>15043</v>
      </c>
      <c r="B9021" s="108" t="s">
        <v>4267</v>
      </c>
      <c r="C9021" s="109">
        <v>43811</v>
      </c>
      <c r="D9021" s="108" t="s">
        <v>4268</v>
      </c>
      <c r="E9021" s="108" t="s">
        <v>14605</v>
      </c>
      <c r="F9021" s="108" t="s">
        <v>4260</v>
      </c>
      <c r="G9021" s="109">
        <v>45271</v>
      </c>
      <c r="H9021" s="108" t="s">
        <v>25458</v>
      </c>
      <c r="I9021" s="108" t="s">
        <v>164</v>
      </c>
    </row>
    <row r="9022" spans="1:9">
      <c r="A9022" s="108" t="s">
        <v>571</v>
      </c>
      <c r="B9022" s="108" t="s">
        <v>5097</v>
      </c>
      <c r="C9022" s="109">
        <v>42914</v>
      </c>
      <c r="D9022" s="108" t="s">
        <v>5098</v>
      </c>
      <c r="E9022" s="108" t="s">
        <v>14605</v>
      </c>
      <c r="F9022" s="108" t="s">
        <v>5095</v>
      </c>
      <c r="G9022" s="109">
        <v>46285</v>
      </c>
      <c r="H9022" s="108" t="s">
        <v>25458</v>
      </c>
      <c r="I9022" s="108" t="s">
        <v>164</v>
      </c>
    </row>
    <row r="9023" spans="1:9">
      <c r="A9023" s="108" t="s">
        <v>571</v>
      </c>
      <c r="B9023" s="108" t="s">
        <v>3764</v>
      </c>
      <c r="C9023" s="109">
        <v>43006</v>
      </c>
      <c r="D9023" s="108" t="s">
        <v>3766</v>
      </c>
      <c r="E9023" s="108" t="s">
        <v>14605</v>
      </c>
      <c r="F9023" s="108" t="s">
        <v>3765</v>
      </c>
      <c r="G9023" s="109">
        <v>46240</v>
      </c>
      <c r="H9023" s="108" t="s">
        <v>25458</v>
      </c>
      <c r="I9023" s="108" t="s">
        <v>164</v>
      </c>
    </row>
    <row r="9024" spans="1:9" ht="27.6">
      <c r="A9024" s="108" t="s">
        <v>316</v>
      </c>
      <c r="B9024" s="108" t="s">
        <v>4265</v>
      </c>
      <c r="C9024" s="109">
        <v>43704</v>
      </c>
      <c r="D9024" s="108" t="s">
        <v>4266</v>
      </c>
      <c r="E9024" s="108" t="s">
        <v>14605</v>
      </c>
      <c r="F9024" s="108" t="s">
        <v>4260</v>
      </c>
      <c r="G9024" s="109">
        <v>45190</v>
      </c>
      <c r="H9024" s="108" t="s">
        <v>25458</v>
      </c>
      <c r="I9024" s="108" t="s">
        <v>164</v>
      </c>
    </row>
    <row r="9025" spans="1:9">
      <c r="A9025" s="108" t="s">
        <v>316</v>
      </c>
      <c r="B9025" s="108" t="s">
        <v>4387</v>
      </c>
      <c r="C9025" s="109">
        <v>44013</v>
      </c>
      <c r="D9025" s="108" t="s">
        <v>4388</v>
      </c>
      <c r="E9025" s="108" t="s">
        <v>14605</v>
      </c>
      <c r="F9025" s="108" t="s">
        <v>26734</v>
      </c>
      <c r="G9025" s="109">
        <v>45909</v>
      </c>
      <c r="H9025" s="108" t="s">
        <v>25458</v>
      </c>
      <c r="I9025" s="108" t="s">
        <v>164</v>
      </c>
    </row>
    <row r="9026" spans="1:9">
      <c r="A9026" s="108" t="s">
        <v>316</v>
      </c>
      <c r="B9026" s="108" t="s">
        <v>4385</v>
      </c>
      <c r="C9026" s="109">
        <v>44007</v>
      </c>
      <c r="D9026" s="108" t="s">
        <v>4386</v>
      </c>
      <c r="E9026" s="108" t="s">
        <v>14605</v>
      </c>
      <c r="F9026" s="108" t="s">
        <v>26734</v>
      </c>
      <c r="G9026" s="109">
        <v>45909</v>
      </c>
      <c r="H9026" s="108" t="s">
        <v>25458</v>
      </c>
      <c r="I9026" s="108" t="s">
        <v>164</v>
      </c>
    </row>
    <row r="9027" spans="1:9" ht="27.6">
      <c r="A9027" s="108" t="s">
        <v>14690</v>
      </c>
      <c r="B9027" s="108" t="s">
        <v>2208</v>
      </c>
      <c r="C9027" s="109">
        <v>44055</v>
      </c>
      <c r="D9027" s="108" t="s">
        <v>2209</v>
      </c>
      <c r="E9027" s="108" t="s">
        <v>14605</v>
      </c>
      <c r="F9027" s="108" t="s">
        <v>26735</v>
      </c>
      <c r="G9027" s="109">
        <v>45930</v>
      </c>
      <c r="H9027" s="108" t="s">
        <v>25458</v>
      </c>
      <c r="I9027" s="108" t="s">
        <v>164</v>
      </c>
    </row>
    <row r="9028" spans="1:9" ht="27.6">
      <c r="A9028" s="108" t="s">
        <v>14690</v>
      </c>
      <c r="B9028" s="108" t="s">
        <v>796</v>
      </c>
      <c r="C9028" s="109">
        <v>44285</v>
      </c>
      <c r="D9028" s="108" t="s">
        <v>797</v>
      </c>
      <c r="E9028" s="108" t="s">
        <v>14605</v>
      </c>
      <c r="F9028" s="108" t="s">
        <v>4229</v>
      </c>
      <c r="G9028" s="109">
        <v>46110</v>
      </c>
      <c r="H9028" s="108" t="s">
        <v>25458</v>
      </c>
      <c r="I9028" s="108" t="s">
        <v>164</v>
      </c>
    </row>
    <row r="9029" spans="1:9">
      <c r="A9029" s="108" t="s">
        <v>237</v>
      </c>
      <c r="B9029" s="108" t="s">
        <v>2544</v>
      </c>
      <c r="C9029" s="109">
        <v>44285</v>
      </c>
      <c r="D9029" s="108" t="s">
        <v>2546</v>
      </c>
      <c r="E9029" s="108" t="s">
        <v>14605</v>
      </c>
      <c r="F9029" s="108" t="s">
        <v>2545</v>
      </c>
      <c r="G9029" s="109">
        <v>45745</v>
      </c>
      <c r="H9029" s="108" t="s">
        <v>25458</v>
      </c>
      <c r="I9029" s="108" t="s">
        <v>164</v>
      </c>
    </row>
    <row r="9030" spans="1:9" ht="27.6">
      <c r="A9030" s="108" t="s">
        <v>14929</v>
      </c>
      <c r="B9030" s="108" t="s">
        <v>3823</v>
      </c>
      <c r="C9030" s="109">
        <v>44358</v>
      </c>
      <c r="D9030" s="108" t="s">
        <v>3824</v>
      </c>
      <c r="E9030" s="108" t="s">
        <v>14605</v>
      </c>
      <c r="F9030" s="108" t="s">
        <v>3817</v>
      </c>
      <c r="G9030" s="109">
        <v>45087</v>
      </c>
      <c r="H9030" s="108" t="s">
        <v>25458</v>
      </c>
      <c r="I9030" s="108" t="s">
        <v>164</v>
      </c>
    </row>
    <row r="9031" spans="1:9">
      <c r="A9031" s="108" t="s">
        <v>2002</v>
      </c>
      <c r="B9031" s="108" t="s">
        <v>5134</v>
      </c>
      <c r="C9031" s="109">
        <v>44386</v>
      </c>
      <c r="D9031" s="108" t="s">
        <v>5136</v>
      </c>
      <c r="E9031" s="108" t="s">
        <v>14605</v>
      </c>
      <c r="F9031" s="108" t="s">
        <v>5135</v>
      </c>
      <c r="G9031" s="109">
        <v>46211</v>
      </c>
      <c r="H9031" s="108" t="s">
        <v>25458</v>
      </c>
      <c r="I9031" s="108" t="s">
        <v>164</v>
      </c>
    </row>
    <row r="9032" spans="1:9">
      <c r="A9032" s="108" t="s">
        <v>15043</v>
      </c>
      <c r="B9032" s="108" t="s">
        <v>4408</v>
      </c>
      <c r="C9032" s="109">
        <v>44433</v>
      </c>
      <c r="D9032" s="108" t="s">
        <v>4409</v>
      </c>
      <c r="E9032" s="108" t="s">
        <v>14605</v>
      </c>
      <c r="F9032" s="108" t="s">
        <v>4390</v>
      </c>
      <c r="G9032" s="109">
        <v>45893</v>
      </c>
      <c r="H9032" s="108" t="s">
        <v>25458</v>
      </c>
      <c r="I9032" s="108" t="s">
        <v>164</v>
      </c>
    </row>
    <row r="9033" spans="1:9">
      <c r="A9033" s="108" t="s">
        <v>87</v>
      </c>
      <c r="B9033" s="108" t="s">
        <v>917</v>
      </c>
      <c r="C9033" s="109">
        <v>44454</v>
      </c>
      <c r="D9033" s="108" t="s">
        <v>918</v>
      </c>
      <c r="E9033" s="108" t="s">
        <v>14605</v>
      </c>
      <c r="F9033" s="108" t="s">
        <v>913</v>
      </c>
      <c r="G9033" s="109">
        <v>46003</v>
      </c>
      <c r="H9033" s="108" t="s">
        <v>25458</v>
      </c>
      <c r="I9033" s="108" t="s">
        <v>164</v>
      </c>
    </row>
    <row r="9034" spans="1:9">
      <c r="A9034" s="108" t="s">
        <v>571</v>
      </c>
      <c r="B9034" s="108" t="s">
        <v>161</v>
      </c>
      <c r="C9034" s="109">
        <v>44579</v>
      </c>
      <c r="D9034" s="108" t="s">
        <v>163</v>
      </c>
      <c r="E9034" s="108" t="s">
        <v>14605</v>
      </c>
      <c r="F9034" s="108" t="s">
        <v>162</v>
      </c>
      <c r="G9034" s="109">
        <v>45308</v>
      </c>
      <c r="H9034" s="108" t="s">
        <v>25458</v>
      </c>
      <c r="I9034" s="108" t="s">
        <v>164</v>
      </c>
    </row>
    <row r="9035" spans="1:9">
      <c r="A9035" s="108" t="s">
        <v>87</v>
      </c>
      <c r="B9035" s="108" t="s">
        <v>4364</v>
      </c>
      <c r="C9035" s="109">
        <v>44623</v>
      </c>
      <c r="D9035" s="108" t="s">
        <v>4366</v>
      </c>
      <c r="E9035" s="108" t="s">
        <v>14605</v>
      </c>
      <c r="F9035" s="108" t="s">
        <v>4365</v>
      </c>
      <c r="G9035" s="109">
        <v>46083</v>
      </c>
      <c r="H9035" s="108" t="s">
        <v>25458</v>
      </c>
      <c r="I9035" s="108" t="s">
        <v>164</v>
      </c>
    </row>
    <row r="9036" spans="1:9" ht="27.6">
      <c r="A9036" s="108" t="s">
        <v>14929</v>
      </c>
      <c r="B9036" s="108" t="s">
        <v>4713</v>
      </c>
      <c r="C9036" s="109">
        <v>44691</v>
      </c>
      <c r="D9036" s="108" t="s">
        <v>4714</v>
      </c>
      <c r="E9036" s="108" t="s">
        <v>14605</v>
      </c>
      <c r="F9036" s="108" t="s">
        <v>4702</v>
      </c>
      <c r="G9036" s="109">
        <v>46518</v>
      </c>
      <c r="H9036" s="108" t="s">
        <v>25458</v>
      </c>
      <c r="I9036" s="108" t="s">
        <v>164</v>
      </c>
    </row>
    <row r="9037" spans="1:9" ht="27.6">
      <c r="A9037" s="108" t="s">
        <v>477</v>
      </c>
      <c r="B9037" s="108" t="s">
        <v>2212</v>
      </c>
      <c r="C9037" s="109">
        <v>44691</v>
      </c>
      <c r="D9037" s="108" t="s">
        <v>2214</v>
      </c>
      <c r="E9037" s="108" t="s">
        <v>14605</v>
      </c>
      <c r="F9037" s="108" t="s">
        <v>2213</v>
      </c>
      <c r="G9037" s="109">
        <v>45786</v>
      </c>
      <c r="H9037" s="108" t="s">
        <v>25458</v>
      </c>
      <c r="I9037" s="108" t="s">
        <v>164</v>
      </c>
    </row>
    <row r="9038" spans="1:9">
      <c r="A9038" s="108" t="s">
        <v>87</v>
      </c>
      <c r="B9038" s="108" t="s">
        <v>1039</v>
      </c>
      <c r="C9038" s="109">
        <v>44736</v>
      </c>
      <c r="D9038" s="108" t="s">
        <v>1040</v>
      </c>
      <c r="E9038" s="108" t="s">
        <v>14605</v>
      </c>
      <c r="F9038" s="108" t="s">
        <v>1033</v>
      </c>
      <c r="G9038" s="109">
        <v>45466</v>
      </c>
      <c r="H9038" s="108" t="s">
        <v>25458</v>
      </c>
      <c r="I9038" s="108" t="s">
        <v>164</v>
      </c>
    </row>
    <row r="9039" spans="1:9">
      <c r="A9039" s="108" t="s">
        <v>87</v>
      </c>
      <c r="B9039" s="108" t="s">
        <v>4406</v>
      </c>
      <c r="C9039" s="109">
        <v>44826</v>
      </c>
      <c r="D9039" s="108" t="s">
        <v>4407</v>
      </c>
      <c r="E9039" s="108" t="s">
        <v>14605</v>
      </c>
      <c r="F9039" s="108" t="s">
        <v>4390</v>
      </c>
      <c r="G9039" s="109">
        <v>45556</v>
      </c>
      <c r="H9039" s="108" t="s">
        <v>25458</v>
      </c>
      <c r="I9039" s="108" t="s">
        <v>164</v>
      </c>
    </row>
    <row r="9040" spans="1:9">
      <c r="A9040" s="108" t="s">
        <v>571</v>
      </c>
      <c r="B9040" s="108" t="s">
        <v>4084</v>
      </c>
      <c r="C9040" s="109">
        <v>44932</v>
      </c>
      <c r="D9040" s="108" t="s">
        <v>4085</v>
      </c>
      <c r="E9040" s="108" t="s">
        <v>14605</v>
      </c>
      <c r="F9040" s="108" t="s">
        <v>4074</v>
      </c>
      <c r="G9040" s="109">
        <v>46027</v>
      </c>
      <c r="H9040" s="108" t="s">
        <v>25458</v>
      </c>
      <c r="I9040" s="108" t="s">
        <v>164</v>
      </c>
    </row>
    <row r="9041" spans="1:9">
      <c r="A9041" s="108" t="s">
        <v>87</v>
      </c>
      <c r="B9041" s="108" t="s">
        <v>1996</v>
      </c>
      <c r="C9041" s="109">
        <v>45400</v>
      </c>
      <c r="D9041" s="108" t="s">
        <v>1998</v>
      </c>
      <c r="E9041" s="108" t="s">
        <v>14605</v>
      </c>
      <c r="F9041" s="108" t="s">
        <v>1997</v>
      </c>
      <c r="G9041" s="109">
        <v>46138</v>
      </c>
      <c r="H9041" s="108" t="s">
        <v>25458</v>
      </c>
      <c r="I9041" s="108" t="s">
        <v>164</v>
      </c>
    </row>
    <row r="9042" spans="1:9" ht="27.6">
      <c r="A9042" s="108" t="s">
        <v>14929</v>
      </c>
      <c r="B9042" s="108" t="s">
        <v>374</v>
      </c>
      <c r="C9042" s="109">
        <v>45120</v>
      </c>
      <c r="D9042" s="108" t="s">
        <v>375</v>
      </c>
      <c r="E9042" s="108" t="s">
        <v>21552</v>
      </c>
      <c r="F9042" s="108" t="s">
        <v>368</v>
      </c>
      <c r="G9042" s="109">
        <v>45850</v>
      </c>
      <c r="H9042" s="108" t="s">
        <v>25458</v>
      </c>
      <c r="I9042" s="108" t="s">
        <v>164</v>
      </c>
    </row>
    <row r="9043" spans="1:9">
      <c r="A9043" s="108" t="s">
        <v>2002</v>
      </c>
      <c r="B9043" s="108" t="s">
        <v>3319</v>
      </c>
      <c r="C9043" s="109">
        <v>45370</v>
      </c>
      <c r="D9043" s="108" t="s">
        <v>3320</v>
      </c>
      <c r="E9043" s="108" t="s">
        <v>14605</v>
      </c>
      <c r="F9043" s="108" t="s">
        <v>26736</v>
      </c>
      <c r="G9043" s="109">
        <v>46838</v>
      </c>
      <c r="H9043" s="108" t="s">
        <v>25458</v>
      </c>
      <c r="I9043" s="108" t="s">
        <v>164</v>
      </c>
    </row>
    <row r="9044" spans="1:9">
      <c r="A9044" s="108" t="s">
        <v>199</v>
      </c>
      <c r="B9044" s="108" t="s">
        <v>4523</v>
      </c>
      <c r="C9044" s="109">
        <v>41729</v>
      </c>
      <c r="D9044" s="108" t="s">
        <v>4524</v>
      </c>
      <c r="E9044" s="108" t="s">
        <v>14605</v>
      </c>
      <c r="F9044" s="108" t="s">
        <v>4515</v>
      </c>
      <c r="G9044" s="109">
        <v>45657</v>
      </c>
      <c r="H9044" s="108" t="s">
        <v>25458</v>
      </c>
      <c r="I9044" s="108" t="s">
        <v>890</v>
      </c>
    </row>
    <row r="9045" spans="1:9">
      <c r="A9045" s="108" t="s">
        <v>199</v>
      </c>
      <c r="B9045" s="108" t="s">
        <v>4082</v>
      </c>
      <c r="C9045" s="109">
        <v>41187</v>
      </c>
      <c r="D9045" s="108" t="s">
        <v>4083</v>
      </c>
      <c r="E9045" s="108" t="s">
        <v>14605</v>
      </c>
      <c r="F9045" s="108" t="s">
        <v>4074</v>
      </c>
      <c r="G9045" s="109">
        <v>45355</v>
      </c>
      <c r="H9045" s="108" t="s">
        <v>25458</v>
      </c>
      <c r="I9045" s="108" t="s">
        <v>226</v>
      </c>
    </row>
    <row r="9046" spans="1:9">
      <c r="A9046" s="108" t="s">
        <v>199</v>
      </c>
      <c r="B9046" s="108" t="s">
        <v>2448</v>
      </c>
      <c r="C9046" s="109">
        <v>42040</v>
      </c>
      <c r="D9046" s="108" t="s">
        <v>2449</v>
      </c>
      <c r="E9046" s="108" t="s">
        <v>14605</v>
      </c>
      <c r="F9046" s="108" t="s">
        <v>2431</v>
      </c>
      <c r="G9046" s="109">
        <v>46008</v>
      </c>
      <c r="H9046" s="108" t="s">
        <v>25458</v>
      </c>
      <c r="I9046" s="108" t="s">
        <v>226</v>
      </c>
    </row>
    <row r="9047" spans="1:9">
      <c r="A9047" s="108" t="s">
        <v>199</v>
      </c>
      <c r="B9047" s="108" t="s">
        <v>2083</v>
      </c>
      <c r="C9047" s="109">
        <v>41451</v>
      </c>
      <c r="D9047" s="108" t="s">
        <v>2085</v>
      </c>
      <c r="E9047" s="108" t="s">
        <v>14605</v>
      </c>
      <c r="F9047" s="108" t="s">
        <v>2084</v>
      </c>
      <c r="G9047" s="109">
        <v>46022</v>
      </c>
      <c r="H9047" s="108" t="s">
        <v>25458</v>
      </c>
      <c r="I9047" s="108" t="s">
        <v>226</v>
      </c>
    </row>
    <row r="9048" spans="1:9">
      <c r="A9048" s="108" t="s">
        <v>227</v>
      </c>
      <c r="B9048" s="108" t="s">
        <v>4605</v>
      </c>
      <c r="C9048" s="109">
        <v>42079</v>
      </c>
      <c r="D9048" s="108" t="s">
        <v>4606</v>
      </c>
      <c r="E9048" s="108" t="s">
        <v>14605</v>
      </c>
      <c r="F9048" s="108" t="s">
        <v>4597</v>
      </c>
      <c r="G9048" s="109">
        <v>46096</v>
      </c>
      <c r="H9048" s="108" t="s">
        <v>25458</v>
      </c>
      <c r="I9048" s="108" t="s">
        <v>226</v>
      </c>
    </row>
    <row r="9049" spans="1:9">
      <c r="A9049" s="108" t="s">
        <v>227</v>
      </c>
      <c r="B9049" s="108" t="s">
        <v>4874</v>
      </c>
      <c r="C9049" s="109">
        <v>42075</v>
      </c>
      <c r="D9049" s="108" t="s">
        <v>4875</v>
      </c>
      <c r="E9049" s="108" t="s">
        <v>14605</v>
      </c>
      <c r="F9049" s="108" t="s">
        <v>4857</v>
      </c>
      <c r="G9049" s="109">
        <v>45347</v>
      </c>
      <c r="H9049" s="108" t="s">
        <v>25458</v>
      </c>
      <c r="I9049" s="108" t="s">
        <v>226</v>
      </c>
    </row>
    <row r="9050" spans="1:9">
      <c r="A9050" s="108" t="s">
        <v>227</v>
      </c>
      <c r="B9050" s="108" t="s">
        <v>1450</v>
      </c>
      <c r="C9050" s="109">
        <v>42100</v>
      </c>
      <c r="D9050" s="108" t="s">
        <v>1452</v>
      </c>
      <c r="E9050" s="108" t="s">
        <v>14605</v>
      </c>
      <c r="F9050" s="108" t="s">
        <v>1451</v>
      </c>
      <c r="G9050" s="109">
        <v>45688</v>
      </c>
      <c r="H9050" s="108" t="s">
        <v>25458</v>
      </c>
      <c r="I9050" s="108" t="s">
        <v>226</v>
      </c>
    </row>
    <row r="9051" spans="1:9">
      <c r="A9051" s="108" t="s">
        <v>227</v>
      </c>
      <c r="B9051" s="108" t="s">
        <v>3681</v>
      </c>
      <c r="C9051" s="109">
        <v>42495</v>
      </c>
      <c r="D9051" s="108" t="s">
        <v>3683</v>
      </c>
      <c r="E9051" s="108" t="s">
        <v>14605</v>
      </c>
      <c r="F9051" s="108" t="s">
        <v>3682</v>
      </c>
      <c r="G9051" s="109">
        <v>45747</v>
      </c>
      <c r="H9051" s="108" t="s">
        <v>25458</v>
      </c>
      <c r="I9051" s="108" t="s">
        <v>226</v>
      </c>
    </row>
    <row r="9052" spans="1:9" ht="27.6">
      <c r="A9052" s="108" t="s">
        <v>227</v>
      </c>
      <c r="B9052" s="108" t="s">
        <v>4035</v>
      </c>
      <c r="C9052" s="109">
        <v>44589</v>
      </c>
      <c r="D9052" s="108" t="s">
        <v>4036</v>
      </c>
      <c r="E9052" s="108" t="s">
        <v>14605</v>
      </c>
      <c r="F9052" s="108" t="s">
        <v>26737</v>
      </c>
      <c r="G9052" s="109">
        <v>45318</v>
      </c>
      <c r="H9052" s="108" t="s">
        <v>25458</v>
      </c>
      <c r="I9052" s="108" t="s">
        <v>226</v>
      </c>
    </row>
    <row r="9053" spans="1:9">
      <c r="A9053" s="108" t="s">
        <v>227</v>
      </c>
      <c r="B9053" s="108" t="s">
        <v>2065</v>
      </c>
      <c r="C9053" s="109">
        <v>43986</v>
      </c>
      <c r="D9053" s="108" t="s">
        <v>2067</v>
      </c>
      <c r="E9053" s="108" t="s">
        <v>14605</v>
      </c>
      <c r="F9053" s="108" t="s">
        <v>2066</v>
      </c>
      <c r="G9053" s="109">
        <v>46176</v>
      </c>
      <c r="H9053" s="108" t="s">
        <v>25458</v>
      </c>
      <c r="I9053" s="108" t="s">
        <v>226</v>
      </c>
    </row>
    <row r="9054" spans="1:9" ht="27.6">
      <c r="A9054" s="108" t="s">
        <v>227</v>
      </c>
      <c r="B9054" s="108" t="s">
        <v>606</v>
      </c>
      <c r="C9054" s="109">
        <v>43993</v>
      </c>
      <c r="D9054" s="108" t="s">
        <v>608</v>
      </c>
      <c r="E9054" s="108" t="s">
        <v>14605</v>
      </c>
      <c r="F9054" s="108" t="s">
        <v>607</v>
      </c>
      <c r="G9054" s="109">
        <v>45087</v>
      </c>
      <c r="H9054" s="108" t="s">
        <v>25458</v>
      </c>
      <c r="I9054" s="108" t="s">
        <v>226</v>
      </c>
    </row>
    <row r="9055" spans="1:9">
      <c r="A9055" s="108" t="s">
        <v>227</v>
      </c>
      <c r="B9055" s="108" t="s">
        <v>4618</v>
      </c>
      <c r="C9055" s="109">
        <v>44098</v>
      </c>
      <c r="D9055" s="108" t="s">
        <v>4619</v>
      </c>
      <c r="E9055" s="108" t="s">
        <v>14605</v>
      </c>
      <c r="F9055" s="108" t="s">
        <v>4616</v>
      </c>
      <c r="G9055" s="109">
        <v>45923</v>
      </c>
      <c r="H9055" s="108" t="s">
        <v>25458</v>
      </c>
      <c r="I9055" s="108" t="s">
        <v>226</v>
      </c>
    </row>
    <row r="9056" spans="1:9" ht="27.6">
      <c r="A9056" s="108" t="s">
        <v>227</v>
      </c>
      <c r="B9056" s="108" t="s">
        <v>4659</v>
      </c>
      <c r="C9056" s="109">
        <v>44181</v>
      </c>
      <c r="D9056" s="108" t="s">
        <v>4660</v>
      </c>
      <c r="E9056" s="108" t="s">
        <v>14605</v>
      </c>
      <c r="F9056" s="108" t="s">
        <v>4657</v>
      </c>
      <c r="G9056" s="109">
        <v>46142</v>
      </c>
      <c r="H9056" s="108" t="s">
        <v>25458</v>
      </c>
      <c r="I9056" s="108" t="s">
        <v>226</v>
      </c>
    </row>
    <row r="9057" spans="1:9">
      <c r="A9057" s="108" t="s">
        <v>227</v>
      </c>
      <c r="B9057" s="108" t="s">
        <v>224</v>
      </c>
      <c r="C9057" s="109">
        <v>44522</v>
      </c>
      <c r="D9057" s="108" t="s">
        <v>225</v>
      </c>
      <c r="E9057" s="108" t="s">
        <v>14605</v>
      </c>
      <c r="F9057" s="108" t="s">
        <v>220</v>
      </c>
      <c r="G9057" s="109">
        <v>45688</v>
      </c>
      <c r="H9057" s="108" t="s">
        <v>25458</v>
      </c>
      <c r="I9057" s="108" t="s">
        <v>226</v>
      </c>
    </row>
    <row r="9058" spans="1:9" ht="27.6">
      <c r="A9058" s="108" t="s">
        <v>3156</v>
      </c>
      <c r="B9058" s="108" t="s">
        <v>3153</v>
      </c>
      <c r="C9058" s="109">
        <v>45078</v>
      </c>
      <c r="D9058" s="108" t="s">
        <v>3155</v>
      </c>
      <c r="E9058" s="108" t="s">
        <v>14605</v>
      </c>
      <c r="F9058" s="108" t="s">
        <v>3154</v>
      </c>
      <c r="G9058" s="109">
        <v>45808</v>
      </c>
      <c r="H9058" s="108" t="s">
        <v>25458</v>
      </c>
      <c r="I9058" s="108" t="s">
        <v>226</v>
      </c>
    </row>
    <row r="9059" spans="1:9">
      <c r="A9059" s="108" t="s">
        <v>227</v>
      </c>
      <c r="B9059" s="108" t="s">
        <v>3873</v>
      </c>
      <c r="C9059" s="109">
        <v>44316</v>
      </c>
      <c r="D9059" s="108" t="s">
        <v>3875</v>
      </c>
      <c r="E9059" s="108" t="s">
        <v>14605</v>
      </c>
      <c r="F9059" s="108" t="s">
        <v>3874</v>
      </c>
      <c r="G9059" s="109">
        <v>46142</v>
      </c>
      <c r="H9059" s="108" t="s">
        <v>25458</v>
      </c>
      <c r="I9059" s="108" t="s">
        <v>3876</v>
      </c>
    </row>
    <row r="9060" spans="1:9" ht="27.6">
      <c r="A9060" s="108" t="s">
        <v>207</v>
      </c>
      <c r="B9060" s="108" t="s">
        <v>1334</v>
      </c>
      <c r="C9060" s="109">
        <v>41178</v>
      </c>
      <c r="D9060" s="108" t="s">
        <v>1336</v>
      </c>
      <c r="E9060" s="108" t="s">
        <v>14605</v>
      </c>
      <c r="F9060" s="108" t="s">
        <v>1335</v>
      </c>
      <c r="G9060" s="109">
        <v>45925</v>
      </c>
      <c r="H9060" s="108" t="s">
        <v>25458</v>
      </c>
      <c r="I9060" s="108" t="s">
        <v>206</v>
      </c>
    </row>
    <row r="9061" spans="1:9" ht="27.6">
      <c r="A9061" s="108" t="s">
        <v>207</v>
      </c>
      <c r="B9061" s="108" t="s">
        <v>3351</v>
      </c>
      <c r="C9061" s="109">
        <v>41381</v>
      </c>
      <c r="D9061" s="108" t="s">
        <v>3352</v>
      </c>
      <c r="E9061" s="108" t="s">
        <v>14605</v>
      </c>
      <c r="F9061" s="108" t="s">
        <v>3349</v>
      </c>
      <c r="G9061" s="109">
        <v>46128</v>
      </c>
      <c r="H9061" s="108" t="s">
        <v>25458</v>
      </c>
      <c r="I9061" s="108" t="s">
        <v>206</v>
      </c>
    </row>
    <row r="9062" spans="1:9" ht="27.6">
      <c r="A9062" s="108" t="s">
        <v>207</v>
      </c>
      <c r="B9062" s="108" t="s">
        <v>1599</v>
      </c>
      <c r="C9062" s="109">
        <v>41374</v>
      </c>
      <c r="D9062" s="108" t="s">
        <v>1600</v>
      </c>
      <c r="E9062" s="108" t="s">
        <v>14605</v>
      </c>
      <c r="F9062" s="108" t="s">
        <v>25475</v>
      </c>
      <c r="G9062" s="109">
        <v>46009</v>
      </c>
      <c r="H9062" s="108" t="s">
        <v>25458</v>
      </c>
      <c r="I9062" s="108" t="s">
        <v>206</v>
      </c>
    </row>
    <row r="9063" spans="1:9" ht="27.6">
      <c r="A9063" s="108" t="s">
        <v>207</v>
      </c>
      <c r="B9063" s="108" t="s">
        <v>203</v>
      </c>
      <c r="C9063" s="109">
        <v>41499</v>
      </c>
      <c r="D9063" s="108" t="s">
        <v>205</v>
      </c>
      <c r="E9063" s="108" t="s">
        <v>14605</v>
      </c>
      <c r="F9063" s="108" t="s">
        <v>204</v>
      </c>
      <c r="G9063" s="109">
        <v>46112</v>
      </c>
      <c r="H9063" s="108" t="s">
        <v>25458</v>
      </c>
      <c r="I9063" s="108" t="s">
        <v>206</v>
      </c>
    </row>
    <row r="9064" spans="1:9" ht="27.6">
      <c r="A9064" s="108" t="s">
        <v>207</v>
      </c>
      <c r="B9064" s="108" t="s">
        <v>3551</v>
      </c>
      <c r="C9064" s="109">
        <v>41799</v>
      </c>
      <c r="D9064" s="108" t="s">
        <v>3552</v>
      </c>
      <c r="E9064" s="108" t="s">
        <v>14605</v>
      </c>
      <c r="F9064" s="108" t="s">
        <v>3549</v>
      </c>
      <c r="G9064" s="109">
        <v>46203</v>
      </c>
      <c r="H9064" s="108" t="s">
        <v>25458</v>
      </c>
      <c r="I9064" s="108" t="s">
        <v>206</v>
      </c>
    </row>
    <row r="9065" spans="1:9">
      <c r="A9065" s="108" t="s">
        <v>118</v>
      </c>
      <c r="B9065" s="108" t="s">
        <v>4748</v>
      </c>
      <c r="C9065" s="109">
        <v>42200</v>
      </c>
      <c r="D9065" s="108" t="s">
        <v>4749</v>
      </c>
      <c r="E9065" s="108" t="s">
        <v>14605</v>
      </c>
      <c r="F9065" s="108" t="s">
        <v>4732</v>
      </c>
      <c r="G9065" s="109">
        <v>46182</v>
      </c>
      <c r="H9065" s="108" t="s">
        <v>25458</v>
      </c>
      <c r="I9065" s="108" t="s">
        <v>206</v>
      </c>
    </row>
    <row r="9066" spans="1:9">
      <c r="A9066" s="108" t="s">
        <v>118</v>
      </c>
      <c r="B9066" s="108" t="s">
        <v>238</v>
      </c>
      <c r="C9066" s="109">
        <v>42613</v>
      </c>
      <c r="D9066" s="108" t="s">
        <v>240</v>
      </c>
      <c r="E9066" s="108" t="s">
        <v>14605</v>
      </c>
      <c r="F9066" s="108" t="s">
        <v>239</v>
      </c>
      <c r="G9066" s="109">
        <v>45900</v>
      </c>
      <c r="H9066" s="108" t="s">
        <v>25458</v>
      </c>
      <c r="I9066" s="108" t="s">
        <v>206</v>
      </c>
    </row>
    <row r="9067" spans="1:9" ht="27.6">
      <c r="A9067" s="108" t="s">
        <v>118</v>
      </c>
      <c r="B9067" s="108" t="s">
        <v>3095</v>
      </c>
      <c r="C9067" s="109">
        <v>43004</v>
      </c>
      <c r="D9067" s="108" t="s">
        <v>3097</v>
      </c>
      <c r="E9067" s="108" t="s">
        <v>14605</v>
      </c>
      <c r="F9067" s="108" t="s">
        <v>3096</v>
      </c>
      <c r="G9067" s="109">
        <v>45925</v>
      </c>
      <c r="H9067" s="108" t="s">
        <v>25458</v>
      </c>
      <c r="I9067" s="108" t="s">
        <v>206</v>
      </c>
    </row>
    <row r="9068" spans="1:9">
      <c r="A9068" s="108" t="s">
        <v>118</v>
      </c>
      <c r="B9068" s="108" t="s">
        <v>4664</v>
      </c>
      <c r="C9068" s="109">
        <v>43452</v>
      </c>
      <c r="D9068" s="108" t="s">
        <v>4665</v>
      </c>
      <c r="E9068" s="108" t="s">
        <v>14605</v>
      </c>
      <c r="F9068" s="108" t="s">
        <v>26187</v>
      </c>
      <c r="G9068" s="109">
        <v>46008</v>
      </c>
      <c r="H9068" s="108" t="s">
        <v>25458</v>
      </c>
      <c r="I9068" s="108" t="s">
        <v>206</v>
      </c>
    </row>
    <row r="9069" spans="1:9" ht="27.6">
      <c r="A9069" s="108" t="s">
        <v>118</v>
      </c>
      <c r="B9069" s="108" t="s">
        <v>972</v>
      </c>
      <c r="C9069" s="109">
        <v>43552</v>
      </c>
      <c r="D9069" s="108" t="s">
        <v>973</v>
      </c>
      <c r="E9069" s="108" t="s">
        <v>14605</v>
      </c>
      <c r="F9069" s="108" t="s">
        <v>966</v>
      </c>
      <c r="G9069" s="109">
        <v>46109</v>
      </c>
      <c r="H9069" s="108" t="s">
        <v>25458</v>
      </c>
      <c r="I9069" s="108" t="s">
        <v>206</v>
      </c>
    </row>
    <row r="9070" spans="1:9" ht="27.6">
      <c r="A9070" s="108" t="s">
        <v>118</v>
      </c>
      <c r="B9070" s="108" t="s">
        <v>2102</v>
      </c>
      <c r="C9070" s="109">
        <v>44183</v>
      </c>
      <c r="D9070" s="108" t="s">
        <v>2103</v>
      </c>
      <c r="E9070" s="108" t="s">
        <v>14605</v>
      </c>
      <c r="F9070" s="108" t="s">
        <v>15193</v>
      </c>
      <c r="G9070" s="109">
        <v>46022</v>
      </c>
      <c r="H9070" s="108" t="s">
        <v>25458</v>
      </c>
      <c r="I9070" s="108" t="s">
        <v>206</v>
      </c>
    </row>
    <row r="9071" spans="1:9" ht="27.6">
      <c r="A9071" s="108" t="s">
        <v>118</v>
      </c>
      <c r="B9071" s="108" t="s">
        <v>4301</v>
      </c>
      <c r="C9071" s="109">
        <v>44832</v>
      </c>
      <c r="D9071" s="108" t="s">
        <v>4302</v>
      </c>
      <c r="E9071" s="108" t="s">
        <v>14605</v>
      </c>
      <c r="F9071" s="108" t="s">
        <v>4276</v>
      </c>
      <c r="G9071" s="109">
        <v>45927</v>
      </c>
      <c r="H9071" s="108" t="s">
        <v>25458</v>
      </c>
      <c r="I9071" s="108" t="s">
        <v>206</v>
      </c>
    </row>
    <row r="9072" spans="1:9" ht="27.6">
      <c r="A9072" s="108" t="s">
        <v>207</v>
      </c>
      <c r="B9072" s="108" t="s">
        <v>2792</v>
      </c>
      <c r="C9072" s="109">
        <v>41926</v>
      </c>
      <c r="D9072" s="108" t="s">
        <v>2793</v>
      </c>
      <c r="E9072" s="108" t="s">
        <v>14605</v>
      </c>
      <c r="F9072" s="108" t="s">
        <v>2790</v>
      </c>
      <c r="G9072" s="109">
        <v>46112</v>
      </c>
      <c r="H9072" s="108" t="s">
        <v>25458</v>
      </c>
      <c r="I9072" s="108" t="s">
        <v>117</v>
      </c>
    </row>
    <row r="9073" spans="1:9" ht="27.6">
      <c r="A9073" s="108" t="s">
        <v>207</v>
      </c>
      <c r="B9073" s="108" t="s">
        <v>4942</v>
      </c>
      <c r="C9073" s="109">
        <v>41338</v>
      </c>
      <c r="D9073" s="108" t="s">
        <v>4944</v>
      </c>
      <c r="E9073" s="108" t="s">
        <v>14605</v>
      </c>
      <c r="F9073" s="108" t="s">
        <v>4943</v>
      </c>
      <c r="G9073" s="109">
        <v>45355</v>
      </c>
      <c r="H9073" s="108" t="s">
        <v>25458</v>
      </c>
      <c r="I9073" s="108" t="s">
        <v>117</v>
      </c>
    </row>
    <row r="9074" spans="1:9" ht="27.6">
      <c r="A9074" s="108" t="s">
        <v>207</v>
      </c>
      <c r="B9074" s="108" t="s">
        <v>3501</v>
      </c>
      <c r="C9074" s="109">
        <v>41082</v>
      </c>
      <c r="D9074" s="108" t="s">
        <v>3502</v>
      </c>
      <c r="E9074" s="108" t="s">
        <v>14605</v>
      </c>
      <c r="F9074" s="108" t="s">
        <v>3493</v>
      </c>
      <c r="G9074" s="109">
        <v>46173</v>
      </c>
      <c r="H9074" s="108" t="s">
        <v>25458</v>
      </c>
      <c r="I9074" s="108" t="s">
        <v>117</v>
      </c>
    </row>
    <row r="9075" spans="1:9" ht="27.6">
      <c r="A9075" s="108" t="s">
        <v>207</v>
      </c>
      <c r="B9075" s="108" t="s">
        <v>2400</v>
      </c>
      <c r="C9075" s="109">
        <v>41190</v>
      </c>
      <c r="D9075" s="108" t="s">
        <v>2401</v>
      </c>
      <c r="E9075" s="108" t="s">
        <v>14605</v>
      </c>
      <c r="F9075" s="108" t="s">
        <v>2398</v>
      </c>
      <c r="G9075" s="109">
        <v>45443</v>
      </c>
      <c r="H9075" s="108" t="s">
        <v>25458</v>
      </c>
      <c r="I9075" s="108" t="s">
        <v>117</v>
      </c>
    </row>
    <row r="9076" spans="1:9" ht="27.6">
      <c r="A9076" s="108" t="s">
        <v>207</v>
      </c>
      <c r="B9076" s="108" t="s">
        <v>5044</v>
      </c>
      <c r="C9076" s="109">
        <v>41725</v>
      </c>
      <c r="D9076" s="108" t="s">
        <v>5045</v>
      </c>
      <c r="E9076" s="108" t="s">
        <v>14605</v>
      </c>
      <c r="F9076" s="108" t="s">
        <v>26738</v>
      </c>
      <c r="G9076" s="109">
        <v>46022</v>
      </c>
      <c r="H9076" s="108" t="s">
        <v>25458</v>
      </c>
      <c r="I9076" s="108" t="s">
        <v>117</v>
      </c>
    </row>
    <row r="9077" spans="1:9" ht="27.6">
      <c r="A9077" s="108" t="s">
        <v>207</v>
      </c>
      <c r="B9077" s="108" t="s">
        <v>3201</v>
      </c>
      <c r="C9077" s="109">
        <v>41228</v>
      </c>
      <c r="D9077" s="108" t="s">
        <v>3202</v>
      </c>
      <c r="E9077" s="108" t="s">
        <v>14605</v>
      </c>
      <c r="F9077" s="108" t="s">
        <v>3199</v>
      </c>
      <c r="G9077" s="109">
        <v>46192</v>
      </c>
      <c r="H9077" s="108" t="s">
        <v>25458</v>
      </c>
      <c r="I9077" s="108" t="s">
        <v>117</v>
      </c>
    </row>
    <row r="9078" spans="1:9" ht="27.6">
      <c r="A9078" s="108" t="s">
        <v>207</v>
      </c>
      <c r="B9078" s="108" t="s">
        <v>3883</v>
      </c>
      <c r="C9078" s="109">
        <v>41250</v>
      </c>
      <c r="D9078" s="108" t="s">
        <v>3885</v>
      </c>
      <c r="E9078" s="108" t="s">
        <v>14605</v>
      </c>
      <c r="F9078" s="108" t="s">
        <v>3884</v>
      </c>
      <c r="G9078" s="109">
        <v>46053</v>
      </c>
      <c r="H9078" s="108" t="s">
        <v>25458</v>
      </c>
      <c r="I9078" s="108" t="s">
        <v>117</v>
      </c>
    </row>
    <row r="9079" spans="1:9" ht="27.6">
      <c r="A9079" s="108" t="s">
        <v>207</v>
      </c>
      <c r="B9079" s="108" t="s">
        <v>619</v>
      </c>
      <c r="C9079" s="109">
        <v>41725</v>
      </c>
      <c r="D9079" s="108" t="s">
        <v>621</v>
      </c>
      <c r="E9079" s="108" t="s">
        <v>14605</v>
      </c>
      <c r="F9079" s="108" t="s">
        <v>620</v>
      </c>
      <c r="G9079" s="109">
        <v>45389</v>
      </c>
      <c r="H9079" s="108" t="s">
        <v>25458</v>
      </c>
      <c r="I9079" s="108" t="s">
        <v>117</v>
      </c>
    </row>
    <row r="9080" spans="1:9" ht="27.6">
      <c r="A9080" s="108" t="s">
        <v>207</v>
      </c>
      <c r="B9080" s="108" t="s">
        <v>2870</v>
      </c>
      <c r="C9080" s="109">
        <v>41298</v>
      </c>
      <c r="D9080" s="108" t="s">
        <v>2871</v>
      </c>
      <c r="E9080" s="108" t="s">
        <v>14605</v>
      </c>
      <c r="F9080" s="108" t="s">
        <v>2853</v>
      </c>
      <c r="G9080" s="109">
        <v>45799</v>
      </c>
      <c r="H9080" s="108" t="s">
        <v>25458</v>
      </c>
      <c r="I9080" s="108" t="s">
        <v>117</v>
      </c>
    </row>
    <row r="9081" spans="1:9" ht="27.6">
      <c r="A9081" s="108" t="s">
        <v>207</v>
      </c>
      <c r="B9081" s="108" t="s">
        <v>1760</v>
      </c>
      <c r="C9081" s="109">
        <v>41332</v>
      </c>
      <c r="D9081" s="108" t="s">
        <v>1762</v>
      </c>
      <c r="E9081" s="108" t="s">
        <v>14605</v>
      </c>
      <c r="F9081" s="108" t="s">
        <v>1761</v>
      </c>
      <c r="G9081" s="109">
        <v>45579</v>
      </c>
      <c r="H9081" s="108" t="s">
        <v>25458</v>
      </c>
      <c r="I9081" s="108" t="s">
        <v>117</v>
      </c>
    </row>
    <row r="9082" spans="1:9" ht="27.6">
      <c r="A9082" s="108" t="s">
        <v>207</v>
      </c>
      <c r="B9082" s="108" t="s">
        <v>2397</v>
      </c>
      <c r="C9082" s="109">
        <v>41465</v>
      </c>
      <c r="D9082" s="108" t="s">
        <v>2399</v>
      </c>
      <c r="E9082" s="108" t="s">
        <v>14605</v>
      </c>
      <c r="F9082" s="108" t="s">
        <v>2398</v>
      </c>
      <c r="G9082" s="109">
        <v>46033</v>
      </c>
      <c r="H9082" s="108" t="s">
        <v>25458</v>
      </c>
      <c r="I9082" s="108" t="s">
        <v>117</v>
      </c>
    </row>
    <row r="9083" spans="1:9" ht="27.6">
      <c r="A9083" s="108" t="s">
        <v>207</v>
      </c>
      <c r="B9083" s="108" t="s">
        <v>1653</v>
      </c>
      <c r="C9083" s="109">
        <v>41464</v>
      </c>
      <c r="D9083" s="108" t="s">
        <v>1654</v>
      </c>
      <c r="E9083" s="108" t="s">
        <v>14605</v>
      </c>
      <c r="F9083" s="108" t="s">
        <v>26739</v>
      </c>
      <c r="G9083" s="109">
        <v>46211</v>
      </c>
      <c r="H9083" s="108" t="s">
        <v>25458</v>
      </c>
      <c r="I9083" s="108" t="s">
        <v>117</v>
      </c>
    </row>
    <row r="9084" spans="1:9" ht="27.6">
      <c r="A9084" s="108" t="s">
        <v>207</v>
      </c>
      <c r="B9084" s="108" t="s">
        <v>4132</v>
      </c>
      <c r="C9084" s="109">
        <v>41548</v>
      </c>
      <c r="D9084" s="108" t="s">
        <v>4133</v>
      </c>
      <c r="E9084" s="108" t="s">
        <v>14605</v>
      </c>
      <c r="F9084" s="108" t="s">
        <v>4130</v>
      </c>
      <c r="G9084" s="109">
        <v>46203</v>
      </c>
      <c r="H9084" s="108" t="s">
        <v>25458</v>
      </c>
      <c r="I9084" s="108" t="s">
        <v>117</v>
      </c>
    </row>
    <row r="9085" spans="1:9" ht="27.6">
      <c r="A9085" s="108" t="s">
        <v>207</v>
      </c>
      <c r="B9085" s="108" t="s">
        <v>3382</v>
      </c>
      <c r="C9085" s="109">
        <v>41773</v>
      </c>
      <c r="D9085" s="108" t="s">
        <v>3383</v>
      </c>
      <c r="E9085" s="108" t="s">
        <v>14605</v>
      </c>
      <c r="F9085" s="108" t="s">
        <v>14672</v>
      </c>
      <c r="G9085" s="109">
        <v>45849</v>
      </c>
      <c r="H9085" s="108" t="s">
        <v>25458</v>
      </c>
      <c r="I9085" s="108" t="s">
        <v>117</v>
      </c>
    </row>
    <row r="9086" spans="1:9" ht="27.6">
      <c r="A9086" s="108" t="s">
        <v>207</v>
      </c>
      <c r="B9086" s="108" t="s">
        <v>4831</v>
      </c>
      <c r="C9086" s="109">
        <v>41939</v>
      </c>
      <c r="D9086" s="108" t="s">
        <v>4832</v>
      </c>
      <c r="E9086" s="108" t="s">
        <v>14605</v>
      </c>
      <c r="F9086" s="108" t="s">
        <v>4829</v>
      </c>
      <c r="G9086" s="109">
        <v>45169</v>
      </c>
      <c r="H9086" s="108" t="s">
        <v>25458</v>
      </c>
      <c r="I9086" s="108" t="s">
        <v>117</v>
      </c>
    </row>
    <row r="9087" spans="1:9" ht="27.6">
      <c r="A9087" s="108" t="s">
        <v>207</v>
      </c>
      <c r="B9087" s="108" t="s">
        <v>3499</v>
      </c>
      <c r="C9087" s="109">
        <v>41913</v>
      </c>
      <c r="D9087" s="108" t="s">
        <v>3500</v>
      </c>
      <c r="E9087" s="108" t="s">
        <v>14605</v>
      </c>
      <c r="F9087" s="108" t="s">
        <v>3493</v>
      </c>
      <c r="G9087" s="109">
        <v>45808</v>
      </c>
      <c r="H9087" s="108" t="s">
        <v>25458</v>
      </c>
      <c r="I9087" s="108" t="s">
        <v>117</v>
      </c>
    </row>
    <row r="9088" spans="1:9" ht="27.6">
      <c r="A9088" s="108" t="s">
        <v>207</v>
      </c>
      <c r="B9088" s="108" t="s">
        <v>1899</v>
      </c>
      <c r="C9088" s="109">
        <v>41968</v>
      </c>
      <c r="D9088" s="108" t="s">
        <v>1900</v>
      </c>
      <c r="E9088" s="108" t="s">
        <v>14605</v>
      </c>
      <c r="F9088" s="108" t="s">
        <v>1897</v>
      </c>
      <c r="G9088" s="109">
        <v>46022</v>
      </c>
      <c r="H9088" s="108" t="s">
        <v>25458</v>
      </c>
      <c r="I9088" s="108" t="s">
        <v>117</v>
      </c>
    </row>
    <row r="9089" spans="1:9" ht="27.6">
      <c r="A9089" s="108" t="s">
        <v>207</v>
      </c>
      <c r="B9089" s="108" t="s">
        <v>2652</v>
      </c>
      <c r="C9089" s="109">
        <v>41939</v>
      </c>
      <c r="D9089" s="108" t="s">
        <v>2653</v>
      </c>
      <c r="E9089" s="108" t="s">
        <v>14605</v>
      </c>
      <c r="F9089" s="108" t="s">
        <v>26740</v>
      </c>
      <c r="G9089" s="109">
        <v>46113</v>
      </c>
      <c r="H9089" s="108" t="s">
        <v>25458</v>
      </c>
      <c r="I9089" s="108" t="s">
        <v>117</v>
      </c>
    </row>
    <row r="9090" spans="1:9" ht="27.6">
      <c r="A9090" s="108" t="s">
        <v>207</v>
      </c>
      <c r="B9090" s="108" t="s">
        <v>4238</v>
      </c>
      <c r="C9090" s="109">
        <v>41964</v>
      </c>
      <c r="D9090" s="108" t="s">
        <v>4239</v>
      </c>
      <c r="E9090" s="108" t="s">
        <v>14605</v>
      </c>
      <c r="F9090" s="108" t="s">
        <v>4236</v>
      </c>
      <c r="G9090" s="109">
        <v>46120</v>
      </c>
      <c r="H9090" s="108" t="s">
        <v>25458</v>
      </c>
      <c r="I9090" s="108" t="s">
        <v>117</v>
      </c>
    </row>
    <row r="9091" spans="1:9" ht="27.6">
      <c r="A9091" s="108" t="s">
        <v>207</v>
      </c>
      <c r="B9091" s="108" t="s">
        <v>735</v>
      </c>
      <c r="C9091" s="109">
        <v>41977</v>
      </c>
      <c r="D9091" s="108" t="s">
        <v>736</v>
      </c>
      <c r="E9091" s="108" t="s">
        <v>14605</v>
      </c>
      <c r="F9091" s="108" t="s">
        <v>733</v>
      </c>
      <c r="G9091" s="109">
        <v>46022</v>
      </c>
      <c r="H9091" s="108" t="s">
        <v>25458</v>
      </c>
      <c r="I9091" s="108" t="s">
        <v>117</v>
      </c>
    </row>
    <row r="9092" spans="1:9" ht="27.6">
      <c r="A9092" s="108" t="s">
        <v>207</v>
      </c>
      <c r="B9092" s="108" t="s">
        <v>2186</v>
      </c>
      <c r="C9092" s="109">
        <v>42025</v>
      </c>
      <c r="D9092" s="108" t="s">
        <v>2187</v>
      </c>
      <c r="E9092" s="108" t="s">
        <v>14605</v>
      </c>
      <c r="F9092" s="108" t="s">
        <v>2174</v>
      </c>
      <c r="G9092" s="109">
        <v>46042</v>
      </c>
      <c r="H9092" s="108" t="s">
        <v>25458</v>
      </c>
      <c r="I9092" s="108" t="s">
        <v>117</v>
      </c>
    </row>
    <row r="9093" spans="1:9">
      <c r="A9093" s="108" t="s">
        <v>118</v>
      </c>
      <c r="B9093" s="108" t="s">
        <v>4968</v>
      </c>
      <c r="C9093" s="109">
        <v>42082</v>
      </c>
      <c r="D9093" s="108" t="s">
        <v>4969</v>
      </c>
      <c r="E9093" s="108" t="s">
        <v>14605</v>
      </c>
      <c r="F9093" s="108" t="s">
        <v>4966</v>
      </c>
      <c r="G9093" s="109">
        <v>46099</v>
      </c>
      <c r="H9093" s="108" t="s">
        <v>25458</v>
      </c>
      <c r="I9093" s="108" t="s">
        <v>117</v>
      </c>
    </row>
    <row r="9094" spans="1:9">
      <c r="A9094" s="108" t="s">
        <v>118</v>
      </c>
      <c r="B9094" s="108" t="s">
        <v>1433</v>
      </c>
      <c r="C9094" s="109">
        <v>42158</v>
      </c>
      <c r="D9094" s="108" t="s">
        <v>1435</v>
      </c>
      <c r="E9094" s="108" t="s">
        <v>14605</v>
      </c>
      <c r="F9094" s="108" t="s">
        <v>1434</v>
      </c>
      <c r="G9094" s="109">
        <v>46175</v>
      </c>
      <c r="H9094" s="108" t="s">
        <v>25458</v>
      </c>
      <c r="I9094" s="108" t="s">
        <v>117</v>
      </c>
    </row>
    <row r="9095" spans="1:9">
      <c r="A9095" s="108" t="s">
        <v>118</v>
      </c>
      <c r="B9095" s="108" t="s">
        <v>157</v>
      </c>
      <c r="C9095" s="109">
        <v>42067</v>
      </c>
      <c r="D9095" s="108" t="s">
        <v>158</v>
      </c>
      <c r="E9095" s="108" t="s">
        <v>14605</v>
      </c>
      <c r="F9095" s="108" t="s">
        <v>151</v>
      </c>
      <c r="G9095" s="109">
        <v>46050</v>
      </c>
      <c r="H9095" s="108" t="s">
        <v>25458</v>
      </c>
      <c r="I9095" s="108" t="s">
        <v>117</v>
      </c>
    </row>
    <row r="9096" spans="1:9" ht="27.6">
      <c r="A9096" s="108" t="s">
        <v>118</v>
      </c>
      <c r="B9096" s="108" t="s">
        <v>5099</v>
      </c>
      <c r="C9096" s="109">
        <v>42124</v>
      </c>
      <c r="D9096" s="108" t="s">
        <v>5101</v>
      </c>
      <c r="E9096" s="108" t="s">
        <v>14605</v>
      </c>
      <c r="F9096" s="108" t="s">
        <v>5100</v>
      </c>
      <c r="G9096" s="109">
        <v>46141</v>
      </c>
      <c r="H9096" s="108" t="s">
        <v>25458</v>
      </c>
      <c r="I9096" s="108" t="s">
        <v>117</v>
      </c>
    </row>
    <row r="9097" spans="1:9" ht="27.6">
      <c r="A9097" s="108" t="s">
        <v>118</v>
      </c>
      <c r="B9097" s="108" t="s">
        <v>4541</v>
      </c>
      <c r="C9097" s="109">
        <v>42107</v>
      </c>
      <c r="D9097" s="108" t="s">
        <v>4542</v>
      </c>
      <c r="E9097" s="108" t="s">
        <v>14605</v>
      </c>
      <c r="F9097" s="108" t="s">
        <v>4538</v>
      </c>
      <c r="G9097" s="109">
        <v>46195</v>
      </c>
      <c r="H9097" s="108" t="s">
        <v>25458</v>
      </c>
      <c r="I9097" s="108" t="s">
        <v>117</v>
      </c>
    </row>
    <row r="9098" spans="1:9">
      <c r="A9098" s="108" t="s">
        <v>118</v>
      </c>
      <c r="B9098" s="108" t="s">
        <v>115</v>
      </c>
      <c r="C9098" s="109">
        <v>42128</v>
      </c>
      <c r="D9098" s="108" t="s">
        <v>116</v>
      </c>
      <c r="E9098" s="108" t="s">
        <v>14605</v>
      </c>
      <c r="F9098" s="108" t="s">
        <v>111</v>
      </c>
      <c r="G9098" s="109">
        <v>46050</v>
      </c>
      <c r="H9098" s="108" t="s">
        <v>25458</v>
      </c>
      <c r="I9098" s="108" t="s">
        <v>117</v>
      </c>
    </row>
    <row r="9099" spans="1:9" ht="27.6">
      <c r="A9099" s="108" t="s">
        <v>118</v>
      </c>
      <c r="B9099" s="108" t="s">
        <v>4253</v>
      </c>
      <c r="C9099" s="109">
        <v>42349</v>
      </c>
      <c r="D9099" s="108" t="s">
        <v>4254</v>
      </c>
      <c r="E9099" s="108" t="s">
        <v>14605</v>
      </c>
      <c r="F9099" s="108" t="s">
        <v>4251</v>
      </c>
      <c r="G9099" s="109">
        <v>46203</v>
      </c>
      <c r="H9099" s="108" t="s">
        <v>25458</v>
      </c>
      <c r="I9099" s="108" t="s">
        <v>117</v>
      </c>
    </row>
    <row r="9100" spans="1:9" ht="27.6">
      <c r="A9100" s="108" t="s">
        <v>118</v>
      </c>
      <c r="B9100" s="108" t="s">
        <v>2928</v>
      </c>
      <c r="C9100" s="109">
        <v>42394</v>
      </c>
      <c r="D9100" s="108" t="s">
        <v>2930</v>
      </c>
      <c r="E9100" s="108" t="s">
        <v>14605</v>
      </c>
      <c r="F9100" s="108" t="s">
        <v>2929</v>
      </c>
      <c r="G9100" s="109">
        <v>46022</v>
      </c>
      <c r="H9100" s="108" t="s">
        <v>25458</v>
      </c>
      <c r="I9100" s="108" t="s">
        <v>117</v>
      </c>
    </row>
    <row r="9101" spans="1:9">
      <c r="A9101" s="108" t="s">
        <v>118</v>
      </c>
      <c r="B9101" s="108" t="s">
        <v>1678</v>
      </c>
      <c r="C9101" s="109">
        <v>42408</v>
      </c>
      <c r="D9101" s="108" t="s">
        <v>1679</v>
      </c>
      <c r="E9101" s="108" t="s">
        <v>14605</v>
      </c>
      <c r="F9101" s="108" t="s">
        <v>1671</v>
      </c>
      <c r="G9101" s="109">
        <v>46149</v>
      </c>
      <c r="H9101" s="108" t="s">
        <v>25458</v>
      </c>
      <c r="I9101" s="108" t="s">
        <v>117</v>
      </c>
    </row>
    <row r="9102" spans="1:9">
      <c r="A9102" s="108" t="s">
        <v>118</v>
      </c>
      <c r="B9102" s="108" t="s">
        <v>494</v>
      </c>
      <c r="C9102" s="109">
        <v>42458</v>
      </c>
      <c r="D9102" s="108" t="s">
        <v>495</v>
      </c>
      <c r="E9102" s="108" t="s">
        <v>14605</v>
      </c>
      <c r="F9102" s="108" t="s">
        <v>484</v>
      </c>
      <c r="G9102" s="109">
        <v>46250</v>
      </c>
      <c r="H9102" s="108" t="s">
        <v>25458</v>
      </c>
      <c r="I9102" s="108" t="s">
        <v>117</v>
      </c>
    </row>
    <row r="9103" spans="1:9">
      <c r="A9103" s="108" t="s">
        <v>118</v>
      </c>
      <c r="B9103" s="108" t="s">
        <v>604</v>
      </c>
      <c r="C9103" s="109">
        <v>42527</v>
      </c>
      <c r="D9103" s="108" t="s">
        <v>605</v>
      </c>
      <c r="E9103" s="108" t="s">
        <v>14605</v>
      </c>
      <c r="F9103" s="108" t="s">
        <v>26203</v>
      </c>
      <c r="G9103" s="109">
        <v>46178</v>
      </c>
      <c r="H9103" s="108" t="s">
        <v>25458</v>
      </c>
      <c r="I9103" s="108" t="s">
        <v>117</v>
      </c>
    </row>
    <row r="9104" spans="1:9">
      <c r="A9104" s="108" t="s">
        <v>118</v>
      </c>
      <c r="B9104" s="108" t="s">
        <v>4993</v>
      </c>
      <c r="C9104" s="109">
        <v>42641</v>
      </c>
      <c r="D9104" s="108" t="s">
        <v>4994</v>
      </c>
      <c r="E9104" s="108" t="s">
        <v>14605</v>
      </c>
      <c r="F9104" s="108" t="s">
        <v>26741</v>
      </c>
      <c r="G9104" s="109">
        <v>45260</v>
      </c>
      <c r="H9104" s="108" t="s">
        <v>25458</v>
      </c>
      <c r="I9104" s="108" t="s">
        <v>117</v>
      </c>
    </row>
    <row r="9105" spans="1:9">
      <c r="A9105" s="108" t="s">
        <v>118</v>
      </c>
      <c r="B9105" s="108" t="s">
        <v>2868</v>
      </c>
      <c r="C9105" s="109">
        <v>42688</v>
      </c>
      <c r="D9105" s="108" t="s">
        <v>2869</v>
      </c>
      <c r="E9105" s="108" t="s">
        <v>14605</v>
      </c>
      <c r="F9105" s="108" t="s">
        <v>2853</v>
      </c>
      <c r="G9105" s="109">
        <v>45900</v>
      </c>
      <c r="H9105" s="108" t="s">
        <v>25458</v>
      </c>
      <c r="I9105" s="108" t="s">
        <v>117</v>
      </c>
    </row>
    <row r="9106" spans="1:9">
      <c r="A9106" s="108" t="s">
        <v>118</v>
      </c>
      <c r="B9106" s="108" t="s">
        <v>2184</v>
      </c>
      <c r="C9106" s="109">
        <v>42712</v>
      </c>
      <c r="D9106" s="108" t="s">
        <v>2185</v>
      </c>
      <c r="E9106" s="108" t="s">
        <v>14605</v>
      </c>
      <c r="F9106" s="108" t="s">
        <v>2174</v>
      </c>
      <c r="G9106" s="109">
        <v>46042</v>
      </c>
      <c r="H9106" s="108" t="s">
        <v>25458</v>
      </c>
      <c r="I9106" s="108" t="s">
        <v>117</v>
      </c>
    </row>
    <row r="9107" spans="1:9">
      <c r="A9107" s="108" t="s">
        <v>118</v>
      </c>
      <c r="B9107" s="108" t="s">
        <v>1089</v>
      </c>
      <c r="C9107" s="109">
        <v>42670</v>
      </c>
      <c r="D9107" s="108" t="s">
        <v>1090</v>
      </c>
      <c r="E9107" s="108" t="s">
        <v>14605</v>
      </c>
      <c r="F9107" s="108" t="s">
        <v>1077</v>
      </c>
      <c r="G9107" s="109">
        <v>45584</v>
      </c>
      <c r="H9107" s="108" t="s">
        <v>25458</v>
      </c>
      <c r="I9107" s="108" t="s">
        <v>117</v>
      </c>
    </row>
    <row r="9108" spans="1:9">
      <c r="A9108" s="108" t="s">
        <v>118</v>
      </c>
      <c r="B9108" s="108" t="s">
        <v>2230</v>
      </c>
      <c r="C9108" s="109">
        <v>42732</v>
      </c>
      <c r="D9108" s="108" t="s">
        <v>2231</v>
      </c>
      <c r="E9108" s="108" t="s">
        <v>14605</v>
      </c>
      <c r="F9108" s="108" t="s">
        <v>2226</v>
      </c>
      <c r="G9108" s="109">
        <v>45838</v>
      </c>
      <c r="H9108" s="108" t="s">
        <v>25458</v>
      </c>
      <c r="I9108" s="108" t="s">
        <v>117</v>
      </c>
    </row>
    <row r="9109" spans="1:9" ht="27.6">
      <c r="A9109" s="108" t="s">
        <v>118</v>
      </c>
      <c r="B9109" s="108" t="s">
        <v>4996</v>
      </c>
      <c r="C9109" s="109">
        <v>42860</v>
      </c>
      <c r="D9109" s="108" t="s">
        <v>4997</v>
      </c>
      <c r="E9109" s="108" t="s">
        <v>14605</v>
      </c>
      <c r="F9109" s="108" t="s">
        <v>26742</v>
      </c>
      <c r="G9109" s="109">
        <v>46202</v>
      </c>
      <c r="H9109" s="108" t="s">
        <v>25458</v>
      </c>
      <c r="I9109" s="108" t="s">
        <v>117</v>
      </c>
    </row>
    <row r="9110" spans="1:9">
      <c r="A9110" s="108" t="s">
        <v>118</v>
      </c>
      <c r="B9110" s="108" t="s">
        <v>3821</v>
      </c>
      <c r="C9110" s="109">
        <v>42880</v>
      </c>
      <c r="D9110" s="108" t="s">
        <v>3822</v>
      </c>
      <c r="E9110" s="108" t="s">
        <v>14605</v>
      </c>
      <c r="F9110" s="108" t="s">
        <v>3817</v>
      </c>
      <c r="G9110" s="109">
        <v>45436</v>
      </c>
      <c r="H9110" s="108" t="s">
        <v>25458</v>
      </c>
      <c r="I9110" s="108" t="s">
        <v>117</v>
      </c>
    </row>
    <row r="9111" spans="1:9" ht="27.6">
      <c r="A9111" s="108" t="s">
        <v>118</v>
      </c>
      <c r="B9111" s="108" t="s">
        <v>4380</v>
      </c>
      <c r="C9111" s="109">
        <v>42909</v>
      </c>
      <c r="D9111" s="108" t="s">
        <v>4382</v>
      </c>
      <c r="E9111" s="108" t="s">
        <v>14605</v>
      </c>
      <c r="F9111" s="108" t="s">
        <v>4381</v>
      </c>
      <c r="G9111" s="109">
        <v>46203</v>
      </c>
      <c r="H9111" s="108" t="s">
        <v>25458</v>
      </c>
      <c r="I9111" s="108" t="s">
        <v>117</v>
      </c>
    </row>
    <row r="9112" spans="1:9">
      <c r="A9112" s="108" t="s">
        <v>118</v>
      </c>
      <c r="B9112" s="108" t="s">
        <v>3576</v>
      </c>
      <c r="C9112" s="109">
        <v>43006</v>
      </c>
      <c r="D9112" s="108" t="s">
        <v>3577</v>
      </c>
      <c r="E9112" s="108" t="s">
        <v>14605</v>
      </c>
      <c r="F9112" s="108" t="s">
        <v>15303</v>
      </c>
      <c r="G9112" s="109">
        <v>46112</v>
      </c>
      <c r="H9112" s="108" t="s">
        <v>25458</v>
      </c>
      <c r="I9112" s="108" t="s">
        <v>117</v>
      </c>
    </row>
    <row r="9113" spans="1:9">
      <c r="A9113" s="108" t="s">
        <v>118</v>
      </c>
      <c r="B9113" s="108" t="s">
        <v>1275</v>
      </c>
      <c r="C9113" s="109">
        <v>42979</v>
      </c>
      <c r="D9113" s="108" t="s">
        <v>1277</v>
      </c>
      <c r="E9113" s="108" t="s">
        <v>14605</v>
      </c>
      <c r="F9113" s="108" t="s">
        <v>1276</v>
      </c>
      <c r="G9113" s="109">
        <v>45169</v>
      </c>
      <c r="H9113" s="108" t="s">
        <v>25458</v>
      </c>
      <c r="I9113" s="108" t="s">
        <v>117</v>
      </c>
    </row>
    <row r="9114" spans="1:9">
      <c r="A9114" s="108" t="s">
        <v>118</v>
      </c>
      <c r="B9114" s="108" t="s">
        <v>4421</v>
      </c>
      <c r="C9114" s="109">
        <v>42972</v>
      </c>
      <c r="D9114" s="108" t="s">
        <v>4422</v>
      </c>
      <c r="E9114" s="108" t="s">
        <v>14605</v>
      </c>
      <c r="F9114" s="108" t="s">
        <v>4416</v>
      </c>
      <c r="G9114" s="109">
        <v>45893</v>
      </c>
      <c r="H9114" s="108" t="s">
        <v>25458</v>
      </c>
      <c r="I9114" s="108" t="s">
        <v>117</v>
      </c>
    </row>
    <row r="9115" spans="1:9" ht="27.6">
      <c r="A9115" s="108" t="s">
        <v>118</v>
      </c>
      <c r="B9115" s="108" t="s">
        <v>1989</v>
      </c>
      <c r="C9115" s="109">
        <v>43089</v>
      </c>
      <c r="D9115" s="108" t="s">
        <v>1990</v>
      </c>
      <c r="E9115" s="108" t="s">
        <v>14605</v>
      </c>
      <c r="F9115" s="108" t="s">
        <v>15284</v>
      </c>
      <c r="G9115" s="109">
        <v>46022</v>
      </c>
      <c r="H9115" s="108" t="s">
        <v>25458</v>
      </c>
      <c r="I9115" s="108" t="s">
        <v>117</v>
      </c>
    </row>
    <row r="9116" spans="1:9">
      <c r="A9116" s="108" t="s">
        <v>118</v>
      </c>
      <c r="B9116" s="108" t="s">
        <v>2866</v>
      </c>
      <c r="C9116" s="109">
        <v>43089</v>
      </c>
      <c r="D9116" s="108" t="s">
        <v>2867</v>
      </c>
      <c r="E9116" s="108" t="s">
        <v>14605</v>
      </c>
      <c r="F9116" s="108" t="s">
        <v>2853</v>
      </c>
      <c r="G9116" s="109">
        <v>46112</v>
      </c>
      <c r="H9116" s="108" t="s">
        <v>25458</v>
      </c>
      <c r="I9116" s="108" t="s">
        <v>117</v>
      </c>
    </row>
    <row r="9117" spans="1:9" ht="27.6">
      <c r="A9117" s="108" t="s">
        <v>118</v>
      </c>
      <c r="B9117" s="108" t="s">
        <v>3184</v>
      </c>
      <c r="C9117" s="109">
        <v>43077</v>
      </c>
      <c r="D9117" s="108" t="s">
        <v>3185</v>
      </c>
      <c r="E9117" s="108" t="s">
        <v>14605</v>
      </c>
      <c r="F9117" s="108" t="s">
        <v>3182</v>
      </c>
      <c r="G9117" s="109">
        <v>45267</v>
      </c>
      <c r="H9117" s="108" t="s">
        <v>25458</v>
      </c>
      <c r="I9117" s="108" t="s">
        <v>117</v>
      </c>
    </row>
    <row r="9118" spans="1:9">
      <c r="A9118" s="108" t="s">
        <v>118</v>
      </c>
      <c r="B9118" s="108" t="s">
        <v>4633</v>
      </c>
      <c r="C9118" s="109">
        <v>43122</v>
      </c>
      <c r="D9118" s="108" t="s">
        <v>4634</v>
      </c>
      <c r="E9118" s="108" t="s">
        <v>14605</v>
      </c>
      <c r="F9118" s="108" t="s">
        <v>4631</v>
      </c>
      <c r="G9118" s="109">
        <v>46407</v>
      </c>
      <c r="H9118" s="108" t="s">
        <v>25458</v>
      </c>
      <c r="I9118" s="108" t="s">
        <v>117</v>
      </c>
    </row>
    <row r="9119" spans="1:9">
      <c r="A9119" s="108" t="s">
        <v>118</v>
      </c>
      <c r="B9119" s="108" t="s">
        <v>3205</v>
      </c>
      <c r="C9119" s="109">
        <v>43336</v>
      </c>
      <c r="D9119" s="108" t="s">
        <v>3207</v>
      </c>
      <c r="E9119" s="108" t="s">
        <v>14605</v>
      </c>
      <c r="F9119" s="108" t="s">
        <v>3206</v>
      </c>
      <c r="G9119" s="109">
        <v>45351</v>
      </c>
      <c r="H9119" s="108" t="s">
        <v>25458</v>
      </c>
      <c r="I9119" s="108" t="s">
        <v>117</v>
      </c>
    </row>
    <row r="9120" spans="1:9">
      <c r="A9120" s="108" t="s">
        <v>118</v>
      </c>
      <c r="B9120" s="108" t="s">
        <v>3130</v>
      </c>
      <c r="C9120" s="109">
        <v>43368</v>
      </c>
      <c r="D9120" s="108" t="s">
        <v>3131</v>
      </c>
      <c r="E9120" s="108" t="s">
        <v>14605</v>
      </c>
      <c r="F9120" s="108" t="s">
        <v>3128</v>
      </c>
      <c r="G9120" s="109">
        <v>45924</v>
      </c>
      <c r="H9120" s="108" t="s">
        <v>25458</v>
      </c>
      <c r="I9120" s="108" t="s">
        <v>117</v>
      </c>
    </row>
    <row r="9121" spans="1:9">
      <c r="A9121" s="108" t="s">
        <v>118</v>
      </c>
      <c r="B9121" s="108" t="s">
        <v>1586</v>
      </c>
      <c r="C9121" s="109">
        <v>43440</v>
      </c>
      <c r="D9121" s="108" t="s">
        <v>1587</v>
      </c>
      <c r="E9121" s="108" t="s">
        <v>14605</v>
      </c>
      <c r="F9121" s="108" t="s">
        <v>1577</v>
      </c>
      <c r="G9121" s="109">
        <v>45996</v>
      </c>
      <c r="H9121" s="108" t="s">
        <v>25458</v>
      </c>
      <c r="I9121" s="108" t="s">
        <v>117</v>
      </c>
    </row>
    <row r="9122" spans="1:9">
      <c r="A9122" s="108" t="s">
        <v>118</v>
      </c>
      <c r="B9122" s="108" t="s">
        <v>1087</v>
      </c>
      <c r="C9122" s="109">
        <v>43738</v>
      </c>
      <c r="D9122" s="108" t="s">
        <v>1088</v>
      </c>
      <c r="E9122" s="108" t="s">
        <v>14605</v>
      </c>
      <c r="F9122" s="108" t="s">
        <v>1077</v>
      </c>
      <c r="G9122" s="109">
        <v>45929</v>
      </c>
      <c r="H9122" s="108" t="s">
        <v>25458</v>
      </c>
      <c r="I9122" s="108" t="s">
        <v>117</v>
      </c>
    </row>
    <row r="9123" spans="1:9">
      <c r="A9123" s="108" t="s">
        <v>118</v>
      </c>
      <c r="B9123" s="108" t="s">
        <v>4155</v>
      </c>
      <c r="C9123" s="109">
        <v>44083</v>
      </c>
      <c r="D9123" s="108" t="s">
        <v>4156</v>
      </c>
      <c r="E9123" s="108" t="s">
        <v>14605</v>
      </c>
      <c r="F9123" s="108" t="s">
        <v>4151</v>
      </c>
      <c r="G9123" s="109">
        <v>45543</v>
      </c>
      <c r="H9123" s="108" t="s">
        <v>25458</v>
      </c>
      <c r="I9123" s="108" t="s">
        <v>117</v>
      </c>
    </row>
    <row r="9124" spans="1:9">
      <c r="A9124" s="108" t="s">
        <v>118</v>
      </c>
      <c r="B9124" s="108" t="s">
        <v>2180</v>
      </c>
      <c r="C9124" s="109">
        <v>44363</v>
      </c>
      <c r="D9124" s="108" t="s">
        <v>2181</v>
      </c>
      <c r="E9124" s="108" t="s">
        <v>14605</v>
      </c>
      <c r="F9124" s="108" t="s">
        <v>2174</v>
      </c>
      <c r="G9124" s="109">
        <v>46203</v>
      </c>
      <c r="H9124" s="108" t="s">
        <v>25458</v>
      </c>
      <c r="I9124" s="108" t="s">
        <v>117</v>
      </c>
    </row>
    <row r="9125" spans="1:9">
      <c r="A9125" s="108" t="s">
        <v>118</v>
      </c>
      <c r="B9125" s="108" t="s">
        <v>2178</v>
      </c>
      <c r="C9125" s="109">
        <v>44098</v>
      </c>
      <c r="D9125" s="108" t="s">
        <v>2179</v>
      </c>
      <c r="E9125" s="108" t="s">
        <v>14605</v>
      </c>
      <c r="F9125" s="108" t="s">
        <v>2174</v>
      </c>
      <c r="G9125" s="109">
        <v>46042</v>
      </c>
      <c r="H9125" s="108" t="s">
        <v>25458</v>
      </c>
      <c r="I9125" s="108" t="s">
        <v>117</v>
      </c>
    </row>
    <row r="9126" spans="1:9">
      <c r="A9126" s="108" t="s">
        <v>118</v>
      </c>
      <c r="B9126" s="108" t="s">
        <v>1834</v>
      </c>
      <c r="C9126" s="109">
        <v>44257</v>
      </c>
      <c r="D9126" s="108" t="s">
        <v>1835</v>
      </c>
      <c r="E9126" s="108" t="s">
        <v>14605</v>
      </c>
      <c r="F9126" s="108" t="s">
        <v>1830</v>
      </c>
      <c r="G9126" s="109">
        <v>46082</v>
      </c>
      <c r="H9126" s="108" t="s">
        <v>25458</v>
      </c>
      <c r="I9126" s="108" t="s">
        <v>117</v>
      </c>
    </row>
    <row r="9127" spans="1:9">
      <c r="A9127" s="108" t="s">
        <v>118</v>
      </c>
      <c r="B9127" s="108" t="s">
        <v>2176</v>
      </c>
      <c r="C9127" s="109">
        <v>44364</v>
      </c>
      <c r="D9127" s="108" t="s">
        <v>2177</v>
      </c>
      <c r="E9127" s="108" t="s">
        <v>14605</v>
      </c>
      <c r="F9127" s="108" t="s">
        <v>2174</v>
      </c>
      <c r="G9127" s="109">
        <v>46203</v>
      </c>
      <c r="H9127" s="108" t="s">
        <v>25458</v>
      </c>
      <c r="I9127" s="108" t="s">
        <v>117</v>
      </c>
    </row>
    <row r="9128" spans="1:9">
      <c r="A9128" s="108" t="s">
        <v>118</v>
      </c>
      <c r="B9128" s="108" t="s">
        <v>5042</v>
      </c>
      <c r="C9128" s="109">
        <v>44327</v>
      </c>
      <c r="D9128" s="108" t="s">
        <v>5043</v>
      </c>
      <c r="E9128" s="108" t="s">
        <v>14605</v>
      </c>
      <c r="F9128" s="108" t="s">
        <v>26738</v>
      </c>
      <c r="G9128" s="109">
        <v>46022</v>
      </c>
      <c r="H9128" s="108" t="s">
        <v>25458</v>
      </c>
      <c r="I9128" s="108" t="s">
        <v>117</v>
      </c>
    </row>
    <row r="9129" spans="1:9">
      <c r="A9129" s="108" t="s">
        <v>118</v>
      </c>
      <c r="B9129" s="108" t="s">
        <v>2361</v>
      </c>
      <c r="C9129" s="109">
        <v>44594</v>
      </c>
      <c r="D9129" s="108" t="s">
        <v>2363</v>
      </c>
      <c r="E9129" s="108" t="s">
        <v>14605</v>
      </c>
      <c r="F9129" s="108" t="s">
        <v>2362</v>
      </c>
      <c r="G9129" s="109">
        <v>46054</v>
      </c>
      <c r="H9129" s="108" t="s">
        <v>25458</v>
      </c>
      <c r="I9129" s="108" t="s">
        <v>117</v>
      </c>
    </row>
    <row r="9130" spans="1:9">
      <c r="A9130" s="108" t="s">
        <v>118</v>
      </c>
      <c r="B9130" s="108" t="s">
        <v>1896</v>
      </c>
      <c r="C9130" s="109">
        <v>44140</v>
      </c>
      <c r="D9130" s="108" t="s">
        <v>1898</v>
      </c>
      <c r="E9130" s="108" t="s">
        <v>14605</v>
      </c>
      <c r="F9130" s="108" t="s">
        <v>1897</v>
      </c>
      <c r="G9130" s="109">
        <v>45600</v>
      </c>
      <c r="H9130" s="108" t="s">
        <v>25458</v>
      </c>
      <c r="I9130" s="108" t="s">
        <v>117</v>
      </c>
    </row>
    <row r="9131" spans="1:9">
      <c r="A9131" s="108" t="s">
        <v>118</v>
      </c>
      <c r="B9131" s="108" t="s">
        <v>2500</v>
      </c>
      <c r="C9131" s="109">
        <v>44398</v>
      </c>
      <c r="D9131" s="108" t="s">
        <v>2501</v>
      </c>
      <c r="E9131" s="108" t="s">
        <v>14605</v>
      </c>
      <c r="F9131" s="108" t="s">
        <v>2475</v>
      </c>
      <c r="G9131" s="109">
        <v>45858</v>
      </c>
      <c r="H9131" s="108" t="s">
        <v>25458</v>
      </c>
      <c r="I9131" s="108" t="s">
        <v>117</v>
      </c>
    </row>
    <row r="9132" spans="1:9">
      <c r="A9132" s="108" t="s">
        <v>118</v>
      </c>
      <c r="B9132" s="108" t="s">
        <v>1287</v>
      </c>
      <c r="C9132" s="109">
        <v>44280</v>
      </c>
      <c r="D9132" s="108" t="s">
        <v>1288</v>
      </c>
      <c r="E9132" s="108" t="s">
        <v>14605</v>
      </c>
      <c r="F9132" s="108" t="s">
        <v>1281</v>
      </c>
      <c r="G9132" s="109">
        <v>46234</v>
      </c>
      <c r="H9132" s="108" t="s">
        <v>25458</v>
      </c>
      <c r="I9132" s="108" t="s">
        <v>117</v>
      </c>
    </row>
    <row r="9133" spans="1:9">
      <c r="A9133" s="108" t="s">
        <v>118</v>
      </c>
      <c r="B9133" s="108" t="s">
        <v>1285</v>
      </c>
      <c r="C9133" s="109">
        <v>44587</v>
      </c>
      <c r="D9133" s="108" t="s">
        <v>1286</v>
      </c>
      <c r="E9133" s="108" t="s">
        <v>14605</v>
      </c>
      <c r="F9133" s="108" t="s">
        <v>1281</v>
      </c>
      <c r="G9133" s="109">
        <v>45688</v>
      </c>
      <c r="H9133" s="108" t="s">
        <v>25458</v>
      </c>
      <c r="I9133" s="108" t="s">
        <v>117</v>
      </c>
    </row>
    <row r="9134" spans="1:9" ht="27.6">
      <c r="A9134" s="108" t="s">
        <v>207</v>
      </c>
      <c r="B9134" s="108" t="s">
        <v>2850</v>
      </c>
      <c r="C9134" s="109">
        <v>44505</v>
      </c>
      <c r="D9134" s="108" t="s">
        <v>2851</v>
      </c>
      <c r="E9134" s="108" t="s">
        <v>14605</v>
      </c>
      <c r="F9134" s="108" t="s">
        <v>26743</v>
      </c>
      <c r="G9134" s="109">
        <v>46147</v>
      </c>
      <c r="H9134" s="108" t="s">
        <v>25458</v>
      </c>
      <c r="I9134" s="108" t="s">
        <v>117</v>
      </c>
    </row>
    <row r="9135" spans="1:9">
      <c r="A9135" s="108" t="s">
        <v>118</v>
      </c>
      <c r="B9135" s="108" t="s">
        <v>4612</v>
      </c>
      <c r="C9135" s="109">
        <v>44483</v>
      </c>
      <c r="D9135" s="108" t="s">
        <v>4614</v>
      </c>
      <c r="E9135" s="108" t="s">
        <v>14605</v>
      </c>
      <c r="F9135" s="108" t="s">
        <v>4613</v>
      </c>
      <c r="G9135" s="109">
        <v>45212</v>
      </c>
      <c r="H9135" s="108" t="s">
        <v>25458</v>
      </c>
      <c r="I9135" s="108" t="s">
        <v>117</v>
      </c>
    </row>
    <row r="9136" spans="1:9">
      <c r="A9136" s="108" t="s">
        <v>118</v>
      </c>
      <c r="B9136" s="108" t="s">
        <v>1655</v>
      </c>
      <c r="C9136" s="109">
        <v>44426</v>
      </c>
      <c r="D9136" s="108" t="s">
        <v>1657</v>
      </c>
      <c r="E9136" s="108" t="s">
        <v>14605</v>
      </c>
      <c r="F9136" s="108" t="s">
        <v>1656</v>
      </c>
      <c r="G9136" s="109">
        <v>45155</v>
      </c>
      <c r="H9136" s="108" t="s">
        <v>25458</v>
      </c>
      <c r="I9136" s="108" t="s">
        <v>117</v>
      </c>
    </row>
    <row r="9137" spans="1:9">
      <c r="A9137" s="108" t="s">
        <v>118</v>
      </c>
      <c r="B9137" s="108" t="s">
        <v>1283</v>
      </c>
      <c r="C9137" s="109">
        <v>44488</v>
      </c>
      <c r="D9137" s="108" t="s">
        <v>1284</v>
      </c>
      <c r="E9137" s="108" t="s">
        <v>14605</v>
      </c>
      <c r="F9137" s="108" t="s">
        <v>1281</v>
      </c>
      <c r="G9137" s="109">
        <v>45688</v>
      </c>
      <c r="H9137" s="108" t="s">
        <v>25458</v>
      </c>
      <c r="I9137" s="108" t="s">
        <v>117</v>
      </c>
    </row>
    <row r="9138" spans="1:9" ht="27.6">
      <c r="A9138" s="108" t="s">
        <v>118</v>
      </c>
      <c r="B9138" s="108" t="s">
        <v>4656</v>
      </c>
      <c r="C9138" s="109">
        <v>44511</v>
      </c>
      <c r="D9138" s="108" t="s">
        <v>4658</v>
      </c>
      <c r="E9138" s="108" t="s">
        <v>14605</v>
      </c>
      <c r="F9138" s="108" t="s">
        <v>4657</v>
      </c>
      <c r="G9138" s="109">
        <v>46518</v>
      </c>
      <c r="H9138" s="108" t="s">
        <v>25458</v>
      </c>
      <c r="I9138" s="108" t="s">
        <v>117</v>
      </c>
    </row>
    <row r="9139" spans="1:9">
      <c r="A9139" s="108" t="s">
        <v>118</v>
      </c>
      <c r="B9139" s="108" t="s">
        <v>372</v>
      </c>
      <c r="C9139" s="109">
        <v>44545</v>
      </c>
      <c r="D9139" s="108" t="s">
        <v>373</v>
      </c>
      <c r="E9139" s="108" t="s">
        <v>14605</v>
      </c>
      <c r="F9139" s="108" t="s">
        <v>368</v>
      </c>
      <c r="G9139" s="109">
        <v>46005</v>
      </c>
      <c r="H9139" s="108" t="s">
        <v>25458</v>
      </c>
      <c r="I9139" s="108" t="s">
        <v>117</v>
      </c>
    </row>
    <row r="9140" spans="1:9">
      <c r="A9140" s="108" t="s">
        <v>118</v>
      </c>
      <c r="B9140" s="108" t="s">
        <v>2785</v>
      </c>
      <c r="C9140" s="109">
        <v>44706</v>
      </c>
      <c r="D9140" s="108" t="s">
        <v>2786</v>
      </c>
      <c r="E9140" s="108" t="s">
        <v>14605</v>
      </c>
      <c r="F9140" s="108" t="s">
        <v>2783</v>
      </c>
      <c r="G9140" s="109">
        <v>45935</v>
      </c>
      <c r="H9140" s="108" t="s">
        <v>25458</v>
      </c>
      <c r="I9140" s="108" t="s">
        <v>117</v>
      </c>
    </row>
    <row r="9141" spans="1:9">
      <c r="A9141" s="108" t="s">
        <v>118</v>
      </c>
      <c r="B9141" s="108" t="s">
        <v>148</v>
      </c>
      <c r="C9141" s="109">
        <v>44592</v>
      </c>
      <c r="D9141" s="108" t="s">
        <v>149</v>
      </c>
      <c r="E9141" s="108" t="s">
        <v>14605</v>
      </c>
      <c r="F9141" s="108" t="s">
        <v>5145</v>
      </c>
      <c r="G9141" s="109">
        <v>45168</v>
      </c>
      <c r="H9141" s="108" t="s">
        <v>25458</v>
      </c>
      <c r="I9141" s="108" t="s">
        <v>117</v>
      </c>
    </row>
    <row r="9142" spans="1:9">
      <c r="A9142" s="108" t="s">
        <v>118</v>
      </c>
      <c r="B9142" s="108" t="s">
        <v>1597</v>
      </c>
      <c r="C9142" s="109">
        <v>44846</v>
      </c>
      <c r="D9142" s="108" t="s">
        <v>1598</v>
      </c>
      <c r="E9142" s="108" t="s">
        <v>14605</v>
      </c>
      <c r="F9142" s="108" t="s">
        <v>25475</v>
      </c>
      <c r="G9142" s="109">
        <v>45941</v>
      </c>
      <c r="H9142" s="108" t="s">
        <v>25458</v>
      </c>
      <c r="I9142" s="108" t="s">
        <v>117</v>
      </c>
    </row>
    <row r="9143" spans="1:9">
      <c r="A9143" s="108" t="s">
        <v>118</v>
      </c>
      <c r="B9143" s="108" t="s">
        <v>3553</v>
      </c>
      <c r="C9143" s="109">
        <v>44790</v>
      </c>
      <c r="D9143" s="108" t="s">
        <v>3554</v>
      </c>
      <c r="E9143" s="108" t="s">
        <v>14605</v>
      </c>
      <c r="F9143" s="108" t="s">
        <v>26744</v>
      </c>
      <c r="G9143" s="109">
        <v>46250</v>
      </c>
      <c r="H9143" s="108" t="s">
        <v>25458</v>
      </c>
      <c r="I9143" s="108" t="s">
        <v>117</v>
      </c>
    </row>
    <row r="9144" spans="1:9" ht="27.6">
      <c r="A9144" s="108" t="s">
        <v>118</v>
      </c>
      <c r="B9144" s="108" t="s">
        <v>4529</v>
      </c>
      <c r="C9144" s="109">
        <v>44725</v>
      </c>
      <c r="D9144" s="108" t="s">
        <v>4531</v>
      </c>
      <c r="E9144" s="108" t="s">
        <v>14605</v>
      </c>
      <c r="F9144" s="108" t="s">
        <v>4530</v>
      </c>
      <c r="G9144" s="109">
        <v>46185</v>
      </c>
      <c r="H9144" s="108" t="s">
        <v>25458</v>
      </c>
      <c r="I9144" s="108" t="s">
        <v>117</v>
      </c>
    </row>
    <row r="9145" spans="1:9">
      <c r="A9145" s="108" t="s">
        <v>118</v>
      </c>
      <c r="B9145" s="108" t="s">
        <v>5036</v>
      </c>
      <c r="C9145" s="109">
        <v>44824</v>
      </c>
      <c r="D9145" s="108" t="s">
        <v>5037</v>
      </c>
      <c r="E9145" s="108" t="s">
        <v>14605</v>
      </c>
      <c r="F9145" s="108" t="s">
        <v>26745</v>
      </c>
      <c r="G9145" s="109">
        <v>46022</v>
      </c>
      <c r="H9145" s="108" t="s">
        <v>25458</v>
      </c>
      <c r="I9145" s="108" t="s">
        <v>117</v>
      </c>
    </row>
    <row r="9146" spans="1:9">
      <c r="A9146" s="108" t="s">
        <v>118</v>
      </c>
      <c r="B9146" s="108" t="s">
        <v>4445</v>
      </c>
      <c r="C9146" s="109">
        <v>44901</v>
      </c>
      <c r="D9146" s="108" t="s">
        <v>4446</v>
      </c>
      <c r="E9146" s="108" t="s">
        <v>14605</v>
      </c>
      <c r="F9146" s="108" t="s">
        <v>4443</v>
      </c>
      <c r="G9146" s="109">
        <v>45625</v>
      </c>
      <c r="H9146" s="108" t="s">
        <v>25458</v>
      </c>
      <c r="I9146" s="108" t="s">
        <v>117</v>
      </c>
    </row>
    <row r="9147" spans="1:9" ht="27.6">
      <c r="A9147" s="108" t="s">
        <v>118</v>
      </c>
      <c r="B9147" s="108" t="s">
        <v>4853</v>
      </c>
      <c r="C9147" s="109">
        <v>44867</v>
      </c>
      <c r="D9147" s="108" t="s">
        <v>4855</v>
      </c>
      <c r="E9147" s="108" t="s">
        <v>14605</v>
      </c>
      <c r="F9147" s="108" t="s">
        <v>4854</v>
      </c>
      <c r="G9147" s="109">
        <v>46692</v>
      </c>
      <c r="H9147" s="108" t="s">
        <v>25458</v>
      </c>
      <c r="I9147" s="108" t="s">
        <v>117</v>
      </c>
    </row>
    <row r="9148" spans="1:9">
      <c r="A9148" s="108" t="s">
        <v>118</v>
      </c>
      <c r="B9148" s="108" t="s">
        <v>480</v>
      </c>
      <c r="C9148" s="109">
        <v>44894</v>
      </c>
      <c r="D9148" s="108" t="s">
        <v>482</v>
      </c>
      <c r="E9148" s="108" t="s">
        <v>14605</v>
      </c>
      <c r="F9148" s="108" t="s">
        <v>481</v>
      </c>
      <c r="G9148" s="109">
        <v>45657</v>
      </c>
      <c r="H9148" s="108" t="s">
        <v>25458</v>
      </c>
      <c r="I9148" s="108" t="s">
        <v>117</v>
      </c>
    </row>
    <row r="9149" spans="1:9">
      <c r="A9149" s="108" t="s">
        <v>118</v>
      </c>
      <c r="B9149" s="108" t="s">
        <v>5038</v>
      </c>
      <c r="C9149" s="109">
        <v>44938</v>
      </c>
      <c r="D9149" s="108" t="s">
        <v>5039</v>
      </c>
      <c r="E9149" s="108" t="s">
        <v>14605</v>
      </c>
      <c r="F9149" s="108" t="s">
        <v>26738</v>
      </c>
      <c r="G9149" s="109">
        <v>46022</v>
      </c>
      <c r="H9149" s="108" t="s">
        <v>25458</v>
      </c>
      <c r="I9149" s="108" t="s">
        <v>117</v>
      </c>
    </row>
    <row r="9150" spans="1:9">
      <c r="A9150" s="108" t="s">
        <v>118</v>
      </c>
      <c r="B9150" s="108" t="s">
        <v>4756</v>
      </c>
      <c r="C9150" s="109">
        <v>44930</v>
      </c>
      <c r="D9150" s="108" t="s">
        <v>4758</v>
      </c>
      <c r="E9150" s="108" t="s">
        <v>14605</v>
      </c>
      <c r="F9150" s="108" t="s">
        <v>4757</v>
      </c>
      <c r="G9150" s="109">
        <v>46199</v>
      </c>
      <c r="H9150" s="108" t="s">
        <v>25458</v>
      </c>
      <c r="I9150" s="108" t="s">
        <v>117</v>
      </c>
    </row>
    <row r="9151" spans="1:9" ht="27.6">
      <c r="A9151" s="108" t="s">
        <v>207</v>
      </c>
      <c r="B9151" s="108" t="s">
        <v>732</v>
      </c>
      <c r="C9151" s="109">
        <v>45027</v>
      </c>
      <c r="D9151" s="108" t="s">
        <v>734</v>
      </c>
      <c r="E9151" s="108" t="s">
        <v>14605</v>
      </c>
      <c r="F9151" s="108" t="s">
        <v>733</v>
      </c>
      <c r="G9151" s="109">
        <v>46022</v>
      </c>
      <c r="H9151" s="108" t="s">
        <v>25458</v>
      </c>
      <c r="I9151" s="108" t="s">
        <v>117</v>
      </c>
    </row>
    <row r="9152" spans="1:9" ht="27.6">
      <c r="A9152" s="108" t="s">
        <v>207</v>
      </c>
      <c r="B9152" s="108" t="s">
        <v>521</v>
      </c>
      <c r="C9152" s="109">
        <v>45019</v>
      </c>
      <c r="D9152" s="108" t="s">
        <v>522</v>
      </c>
      <c r="E9152" s="108" t="s">
        <v>14605</v>
      </c>
      <c r="F9152" s="108" t="s">
        <v>517</v>
      </c>
      <c r="G9152" s="109">
        <v>46114</v>
      </c>
      <c r="H9152" s="108" t="s">
        <v>25458</v>
      </c>
      <c r="I9152" s="108" t="s">
        <v>117</v>
      </c>
    </row>
    <row r="9153" spans="1:9" ht="27.6">
      <c r="A9153" s="108" t="s">
        <v>207</v>
      </c>
      <c r="B9153" s="108" t="s">
        <v>5316</v>
      </c>
      <c r="C9153" s="109">
        <v>45127</v>
      </c>
      <c r="D9153" s="108" t="s">
        <v>5317</v>
      </c>
      <c r="E9153" s="108" t="s">
        <v>14605</v>
      </c>
      <c r="F9153" s="108" t="s">
        <v>15021</v>
      </c>
      <c r="G9153" s="109">
        <v>45857</v>
      </c>
      <c r="H9153" s="108" t="s">
        <v>25458</v>
      </c>
      <c r="I9153" s="108" t="s">
        <v>117</v>
      </c>
    </row>
    <row r="9154" spans="1:9" ht="27.6">
      <c r="A9154" s="108" t="s">
        <v>207</v>
      </c>
      <c r="B9154" s="108" t="s">
        <v>2832</v>
      </c>
      <c r="C9154" s="109">
        <v>45091</v>
      </c>
      <c r="D9154" s="108" t="s">
        <v>2834</v>
      </c>
      <c r="E9154" s="108" t="s">
        <v>14605</v>
      </c>
      <c r="F9154" s="108" t="s">
        <v>2833</v>
      </c>
      <c r="G9154" s="109">
        <v>45868</v>
      </c>
      <c r="H9154" s="108" t="s">
        <v>25458</v>
      </c>
      <c r="I9154" s="108" t="s">
        <v>117</v>
      </c>
    </row>
    <row r="9155" spans="1:9" ht="27.6">
      <c r="A9155" s="108" t="s">
        <v>207</v>
      </c>
      <c r="B9155" s="108" t="s">
        <v>3196</v>
      </c>
      <c r="C9155" s="109">
        <v>45419</v>
      </c>
      <c r="D9155" s="108" t="s">
        <v>3197</v>
      </c>
      <c r="E9155" s="108" t="s">
        <v>14605</v>
      </c>
      <c r="F9155" s="108" t="s">
        <v>3194</v>
      </c>
      <c r="G9155" s="109">
        <v>46148</v>
      </c>
      <c r="H9155" s="108" t="s">
        <v>25458</v>
      </c>
      <c r="I9155" s="108" t="s">
        <v>117</v>
      </c>
    </row>
    <row r="9156" spans="1:9" ht="27.6">
      <c r="A9156" s="108" t="s">
        <v>207</v>
      </c>
      <c r="B9156" s="108" t="s">
        <v>730</v>
      </c>
      <c r="C9156" s="109">
        <v>45272</v>
      </c>
      <c r="D9156" s="108" t="s">
        <v>731</v>
      </c>
      <c r="E9156" s="108" t="s">
        <v>14605</v>
      </c>
      <c r="F9156" s="108" t="s">
        <v>724</v>
      </c>
      <c r="G9156" s="109">
        <v>46002</v>
      </c>
      <c r="H9156" s="108" t="s">
        <v>25458</v>
      </c>
      <c r="I9156" s="108" t="s">
        <v>117</v>
      </c>
    </row>
    <row r="9157" spans="1:9" ht="27.6">
      <c r="A9157" s="108" t="s">
        <v>207</v>
      </c>
      <c r="B9157" s="108" t="s">
        <v>1460</v>
      </c>
      <c r="C9157" s="109">
        <v>45400</v>
      </c>
      <c r="D9157" s="108" t="s">
        <v>1461</v>
      </c>
      <c r="E9157" s="108" t="s">
        <v>14605</v>
      </c>
      <c r="F9157" s="108" t="s">
        <v>1454</v>
      </c>
      <c r="G9157" s="109">
        <v>46129</v>
      </c>
      <c r="H9157" s="108" t="s">
        <v>25458</v>
      </c>
      <c r="I9157" s="108" t="s">
        <v>117</v>
      </c>
    </row>
    <row r="9158" spans="1:9" ht="27.6">
      <c r="A9158" s="108" t="s">
        <v>207</v>
      </c>
      <c r="B9158" s="108" t="s">
        <v>4594</v>
      </c>
      <c r="C9158" s="109">
        <v>45387</v>
      </c>
      <c r="D9158" s="108" t="s">
        <v>4595</v>
      </c>
      <c r="E9158" s="108" t="s">
        <v>14605</v>
      </c>
      <c r="F9158" s="108" t="s">
        <v>4593</v>
      </c>
      <c r="G9158" s="109">
        <v>46116</v>
      </c>
      <c r="H9158" s="108" t="s">
        <v>25458</v>
      </c>
      <c r="I9158" s="108" t="s">
        <v>117</v>
      </c>
    </row>
    <row r="9159" spans="1:9" ht="27.6">
      <c r="A9159" s="108" t="s">
        <v>207</v>
      </c>
      <c r="B9159" s="108" t="s">
        <v>4080</v>
      </c>
      <c r="C9159" s="109">
        <v>45443</v>
      </c>
      <c r="D9159" s="108" t="s">
        <v>4081</v>
      </c>
      <c r="E9159" s="108" t="s">
        <v>14605</v>
      </c>
      <c r="F9159" s="108" t="s">
        <v>4074</v>
      </c>
      <c r="G9159" s="109">
        <v>46203</v>
      </c>
      <c r="H9159" s="108" t="s">
        <v>25458</v>
      </c>
      <c r="I9159" s="108" t="s">
        <v>117</v>
      </c>
    </row>
    <row r="9160" spans="1:9">
      <c r="A9160" s="108" t="s">
        <v>118</v>
      </c>
      <c r="B9160" s="108" t="s">
        <v>640</v>
      </c>
      <c r="C9160" s="109">
        <v>42179</v>
      </c>
      <c r="D9160" s="108" t="s">
        <v>641</v>
      </c>
      <c r="E9160" s="108" t="s">
        <v>14605</v>
      </c>
      <c r="F9160" s="108" t="s">
        <v>634</v>
      </c>
      <c r="G9160" s="109">
        <v>46173</v>
      </c>
      <c r="H9160" s="108" t="s">
        <v>25458</v>
      </c>
      <c r="I9160" s="108" t="s">
        <v>642</v>
      </c>
    </row>
    <row r="9161" spans="1:9" ht="27.6">
      <c r="A9161" s="108" t="s">
        <v>118</v>
      </c>
      <c r="B9161" s="108" t="s">
        <v>2823</v>
      </c>
      <c r="C9161" s="109">
        <v>42633</v>
      </c>
      <c r="D9161" s="108" t="s">
        <v>2824</v>
      </c>
      <c r="E9161" s="108" t="s">
        <v>14605</v>
      </c>
      <c r="F9161" s="108" t="s">
        <v>2795</v>
      </c>
      <c r="G9161" s="109">
        <v>46161</v>
      </c>
      <c r="H9161" s="108" t="s">
        <v>25458</v>
      </c>
      <c r="I9161" s="108" t="s">
        <v>642</v>
      </c>
    </row>
    <row r="9162" spans="1:9">
      <c r="A9162" s="108" t="s">
        <v>118</v>
      </c>
      <c r="B9162" s="108" t="s">
        <v>2182</v>
      </c>
      <c r="C9162" s="109">
        <v>42907</v>
      </c>
      <c r="D9162" s="108" t="s">
        <v>2183</v>
      </c>
      <c r="E9162" s="108" t="s">
        <v>14605</v>
      </c>
      <c r="F9162" s="108" t="s">
        <v>2174</v>
      </c>
      <c r="G9162" s="109">
        <v>45991</v>
      </c>
      <c r="H9162" s="108" t="s">
        <v>25458</v>
      </c>
      <c r="I9162" s="108" t="s">
        <v>642</v>
      </c>
    </row>
    <row r="9163" spans="1:9">
      <c r="A9163" s="108" t="s">
        <v>118</v>
      </c>
      <c r="B9163" s="108" t="s">
        <v>4910</v>
      </c>
      <c r="C9163" s="109">
        <v>44097</v>
      </c>
      <c r="D9163" s="108" t="s">
        <v>4911</v>
      </c>
      <c r="E9163" s="108" t="s">
        <v>14605</v>
      </c>
      <c r="F9163" s="108" t="s">
        <v>4898</v>
      </c>
      <c r="G9163" s="109">
        <v>46996</v>
      </c>
      <c r="H9163" s="108" t="s">
        <v>25458</v>
      </c>
      <c r="I9163" s="108" t="s">
        <v>642</v>
      </c>
    </row>
    <row r="9164" spans="1:9">
      <c r="A9164" s="108" t="s">
        <v>169</v>
      </c>
      <c r="B9164" s="108" t="s">
        <v>5260</v>
      </c>
      <c r="C9164" s="109">
        <v>44412</v>
      </c>
      <c r="D9164" s="108" t="s">
        <v>5262</v>
      </c>
      <c r="E9164" s="108" t="s">
        <v>14605</v>
      </c>
      <c r="F9164" s="108" t="s">
        <v>5261</v>
      </c>
      <c r="G9164" s="109">
        <v>45872</v>
      </c>
      <c r="H9164" s="108" t="s">
        <v>25458</v>
      </c>
      <c r="I9164" s="108" t="s">
        <v>3315</v>
      </c>
    </row>
    <row r="9165" spans="1:9">
      <c r="A9165" s="108" t="s">
        <v>169</v>
      </c>
      <c r="B9165" s="108" t="s">
        <v>1041</v>
      </c>
      <c r="C9165" s="109">
        <v>44062</v>
      </c>
      <c r="D9165" s="108" t="s">
        <v>1042</v>
      </c>
      <c r="E9165" s="108" t="s">
        <v>14605</v>
      </c>
      <c r="F9165" s="108" t="s">
        <v>1033</v>
      </c>
      <c r="G9165" s="109">
        <v>45930</v>
      </c>
      <c r="H9165" s="108" t="s">
        <v>25458</v>
      </c>
      <c r="I9165" s="108" t="s">
        <v>426</v>
      </c>
    </row>
    <row r="9166" spans="1:9">
      <c r="A9166" s="108" t="s">
        <v>169</v>
      </c>
      <c r="B9166" s="108" t="s">
        <v>948</v>
      </c>
      <c r="C9166" s="109">
        <v>43773</v>
      </c>
      <c r="D9166" s="108" t="s">
        <v>949</v>
      </c>
      <c r="E9166" s="108" t="s">
        <v>14605</v>
      </c>
      <c r="F9166" s="108" t="s">
        <v>26746</v>
      </c>
      <c r="G9166" s="109">
        <v>45233</v>
      </c>
      <c r="H9166" s="108" t="s">
        <v>25458</v>
      </c>
      <c r="I9166" s="108" t="s">
        <v>426</v>
      </c>
    </row>
    <row r="9167" spans="1:9">
      <c r="A9167" s="108" t="s">
        <v>169</v>
      </c>
      <c r="B9167" s="108" t="s">
        <v>1260</v>
      </c>
      <c r="C9167" s="109">
        <v>44070</v>
      </c>
      <c r="D9167" s="108" t="s">
        <v>1261</v>
      </c>
      <c r="E9167" s="108" t="s">
        <v>14605</v>
      </c>
      <c r="F9167" s="108" t="s">
        <v>1228</v>
      </c>
      <c r="G9167" s="109">
        <v>45895</v>
      </c>
      <c r="H9167" s="108" t="s">
        <v>25458</v>
      </c>
      <c r="I9167" s="108" t="s">
        <v>426</v>
      </c>
    </row>
    <row r="9168" spans="1:9">
      <c r="A9168" s="108" t="s">
        <v>169</v>
      </c>
      <c r="B9168" s="108" t="s">
        <v>1249</v>
      </c>
      <c r="C9168" s="109">
        <v>44376</v>
      </c>
      <c r="D9168" s="108" t="s">
        <v>1250</v>
      </c>
      <c r="E9168" s="108" t="s">
        <v>14605</v>
      </c>
      <c r="F9168" s="108" t="s">
        <v>1228</v>
      </c>
      <c r="G9168" s="109">
        <v>45466</v>
      </c>
      <c r="H9168" s="108" t="s">
        <v>25458</v>
      </c>
      <c r="I9168" s="108" t="s">
        <v>426</v>
      </c>
    </row>
    <row r="9169" spans="1:9">
      <c r="A9169" s="108" t="s">
        <v>169</v>
      </c>
      <c r="B9169" s="108" t="s">
        <v>3712</v>
      </c>
      <c r="C9169" s="109">
        <v>44075</v>
      </c>
      <c r="D9169" s="108" t="s">
        <v>3714</v>
      </c>
      <c r="E9169" s="108" t="s">
        <v>14605</v>
      </c>
      <c r="F9169" s="108" t="s">
        <v>3713</v>
      </c>
      <c r="G9169" s="109">
        <v>46265</v>
      </c>
      <c r="H9169" s="108" t="s">
        <v>25458</v>
      </c>
      <c r="I9169" s="108" t="s">
        <v>426</v>
      </c>
    </row>
    <row r="9170" spans="1:9" ht="27.6">
      <c r="A9170" s="108" t="s">
        <v>169</v>
      </c>
      <c r="B9170" s="108" t="s">
        <v>4644</v>
      </c>
      <c r="C9170" s="109">
        <v>44175</v>
      </c>
      <c r="D9170" s="108" t="s">
        <v>4645</v>
      </c>
      <c r="E9170" s="108" t="s">
        <v>14605</v>
      </c>
      <c r="F9170" s="108" t="s">
        <v>4638</v>
      </c>
      <c r="G9170" s="109">
        <v>45430</v>
      </c>
      <c r="H9170" s="108" t="s">
        <v>25458</v>
      </c>
      <c r="I9170" s="108" t="s">
        <v>426</v>
      </c>
    </row>
    <row r="9171" spans="1:9">
      <c r="A9171" s="108" t="s">
        <v>169</v>
      </c>
      <c r="B9171" s="108" t="s">
        <v>829</v>
      </c>
      <c r="C9171" s="109">
        <v>44187</v>
      </c>
      <c r="D9171" s="108" t="s">
        <v>830</v>
      </c>
      <c r="E9171" s="108" t="s">
        <v>14605</v>
      </c>
      <c r="F9171" s="108" t="s">
        <v>826</v>
      </c>
      <c r="G9171" s="109">
        <v>46012</v>
      </c>
      <c r="H9171" s="108" t="s">
        <v>25458</v>
      </c>
      <c r="I9171" s="108" t="s">
        <v>426</v>
      </c>
    </row>
    <row r="9172" spans="1:9">
      <c r="A9172" s="108" t="s">
        <v>169</v>
      </c>
      <c r="B9172" s="108" t="s">
        <v>2140</v>
      </c>
      <c r="C9172" s="109">
        <v>44369</v>
      </c>
      <c r="D9172" s="108" t="s">
        <v>2141</v>
      </c>
      <c r="E9172" s="108" t="s">
        <v>14605</v>
      </c>
      <c r="F9172" s="108" t="s">
        <v>2124</v>
      </c>
      <c r="G9172" s="109">
        <v>46194</v>
      </c>
      <c r="H9172" s="108" t="s">
        <v>25458</v>
      </c>
      <c r="I9172" s="108" t="s">
        <v>426</v>
      </c>
    </row>
    <row r="9173" spans="1:9">
      <c r="A9173" s="108" t="s">
        <v>169</v>
      </c>
      <c r="B9173" s="108" t="s">
        <v>1246</v>
      </c>
      <c r="C9173" s="109">
        <v>44371</v>
      </c>
      <c r="D9173" s="108" t="s">
        <v>1247</v>
      </c>
      <c r="E9173" s="108" t="s">
        <v>14605</v>
      </c>
      <c r="F9173" s="108" t="s">
        <v>1228</v>
      </c>
      <c r="G9173" s="109">
        <v>46234</v>
      </c>
      <c r="H9173" s="108" t="s">
        <v>25458</v>
      </c>
      <c r="I9173" s="108" t="s">
        <v>426</v>
      </c>
    </row>
    <row r="9174" spans="1:9">
      <c r="A9174" s="108" t="s">
        <v>169</v>
      </c>
      <c r="B9174" s="108" t="s">
        <v>1362</v>
      </c>
      <c r="C9174" s="109">
        <v>44448</v>
      </c>
      <c r="D9174" s="108" t="s">
        <v>1363</v>
      </c>
      <c r="E9174" s="108" t="s">
        <v>14605</v>
      </c>
      <c r="F9174" s="108" t="s">
        <v>1338</v>
      </c>
      <c r="G9174" s="109">
        <v>45908</v>
      </c>
      <c r="H9174" s="108" t="s">
        <v>25458</v>
      </c>
      <c r="I9174" s="108" t="s">
        <v>426</v>
      </c>
    </row>
    <row r="9175" spans="1:9">
      <c r="A9175" s="108" t="s">
        <v>169</v>
      </c>
      <c r="B9175" s="108" t="s">
        <v>2863</v>
      </c>
      <c r="C9175" s="109">
        <v>44468</v>
      </c>
      <c r="D9175" s="108" t="s">
        <v>2864</v>
      </c>
      <c r="E9175" s="108" t="s">
        <v>14605</v>
      </c>
      <c r="F9175" s="108" t="s">
        <v>2853</v>
      </c>
      <c r="G9175" s="109">
        <v>45322</v>
      </c>
      <c r="H9175" s="108" t="s">
        <v>25458</v>
      </c>
      <c r="I9175" s="108" t="s">
        <v>426</v>
      </c>
    </row>
    <row r="9176" spans="1:9">
      <c r="A9176" s="108" t="s">
        <v>169</v>
      </c>
      <c r="B9176" s="108" t="s">
        <v>1244</v>
      </c>
      <c r="C9176" s="109">
        <v>44482</v>
      </c>
      <c r="D9176" s="108" t="s">
        <v>1245</v>
      </c>
      <c r="E9176" s="108" t="s">
        <v>14605</v>
      </c>
      <c r="F9176" s="108" t="s">
        <v>1228</v>
      </c>
      <c r="G9176" s="109">
        <v>45942</v>
      </c>
      <c r="H9176" s="108" t="s">
        <v>25458</v>
      </c>
      <c r="I9176" s="108" t="s">
        <v>426</v>
      </c>
    </row>
    <row r="9177" spans="1:9" ht="27.6">
      <c r="A9177" s="108" t="s">
        <v>169</v>
      </c>
      <c r="B9177" s="108" t="s">
        <v>4013</v>
      </c>
      <c r="C9177" s="109">
        <v>44495</v>
      </c>
      <c r="D9177" s="108" t="s">
        <v>4015</v>
      </c>
      <c r="E9177" s="108" t="s">
        <v>14605</v>
      </c>
      <c r="F9177" s="108" t="s">
        <v>4014</v>
      </c>
      <c r="G9177" s="109">
        <v>46094</v>
      </c>
      <c r="H9177" s="108" t="s">
        <v>25458</v>
      </c>
      <c r="I9177" s="108" t="s">
        <v>426</v>
      </c>
    </row>
    <row r="9178" spans="1:9">
      <c r="A9178" s="108" t="s">
        <v>169</v>
      </c>
      <c r="B9178" s="108" t="s">
        <v>827</v>
      </c>
      <c r="C9178" s="109">
        <v>45448</v>
      </c>
      <c r="D9178" s="108" t="s">
        <v>828</v>
      </c>
      <c r="E9178" s="108" t="s">
        <v>14605</v>
      </c>
      <c r="F9178" s="108" t="s">
        <v>826</v>
      </c>
      <c r="G9178" s="109">
        <v>46156</v>
      </c>
      <c r="H9178" s="108" t="s">
        <v>25458</v>
      </c>
      <c r="I9178" s="108" t="s">
        <v>426</v>
      </c>
    </row>
    <row r="9179" spans="1:9">
      <c r="A9179" s="108" t="s">
        <v>169</v>
      </c>
      <c r="B9179" s="108" t="s">
        <v>1012</v>
      </c>
      <c r="C9179" s="109">
        <v>43698</v>
      </c>
      <c r="D9179" s="108" t="s">
        <v>1013</v>
      </c>
      <c r="E9179" s="108" t="s">
        <v>14605</v>
      </c>
      <c r="F9179" s="108" t="s">
        <v>986</v>
      </c>
      <c r="G9179" s="109">
        <v>45889</v>
      </c>
      <c r="H9179" s="108" t="s">
        <v>25458</v>
      </c>
      <c r="I9179" s="108" t="s">
        <v>721</v>
      </c>
    </row>
    <row r="9180" spans="1:9">
      <c r="A9180" s="108" t="s">
        <v>169</v>
      </c>
      <c r="B9180" s="108" t="s">
        <v>2542</v>
      </c>
      <c r="C9180" s="109">
        <v>43668</v>
      </c>
      <c r="D9180" s="108" t="s">
        <v>2543</v>
      </c>
      <c r="E9180" s="108" t="s">
        <v>14605</v>
      </c>
      <c r="F9180" s="108" t="s">
        <v>2538</v>
      </c>
      <c r="G9180" s="109">
        <v>46159</v>
      </c>
      <c r="H9180" s="108" t="s">
        <v>25458</v>
      </c>
      <c r="I9180" s="108" t="s">
        <v>721</v>
      </c>
    </row>
    <row r="9181" spans="1:9">
      <c r="A9181" s="108" t="s">
        <v>169</v>
      </c>
      <c r="B9181" s="108" t="s">
        <v>1010</v>
      </c>
      <c r="C9181" s="109">
        <v>43698</v>
      </c>
      <c r="D9181" s="108" t="s">
        <v>1011</v>
      </c>
      <c r="E9181" s="108" t="s">
        <v>14605</v>
      </c>
      <c r="F9181" s="108" t="s">
        <v>986</v>
      </c>
      <c r="G9181" s="109">
        <v>45889</v>
      </c>
      <c r="H9181" s="108" t="s">
        <v>25458</v>
      </c>
      <c r="I9181" s="108" t="s">
        <v>721</v>
      </c>
    </row>
    <row r="9182" spans="1:9">
      <c r="A9182" s="108" t="s">
        <v>169</v>
      </c>
      <c r="B9182" s="108" t="s">
        <v>2540</v>
      </c>
      <c r="C9182" s="109">
        <v>43886</v>
      </c>
      <c r="D9182" s="108" t="s">
        <v>2541</v>
      </c>
      <c r="E9182" s="108" t="s">
        <v>14605</v>
      </c>
      <c r="F9182" s="108" t="s">
        <v>2538</v>
      </c>
      <c r="G9182" s="109">
        <v>46077</v>
      </c>
      <c r="H9182" s="108" t="s">
        <v>25458</v>
      </c>
      <c r="I9182" s="108" t="s">
        <v>721</v>
      </c>
    </row>
    <row r="9183" spans="1:9" ht="27.6">
      <c r="A9183" s="108" t="s">
        <v>169</v>
      </c>
      <c r="B9183" s="108" t="s">
        <v>2458</v>
      </c>
      <c r="C9183" s="109">
        <v>44132</v>
      </c>
      <c r="D9183" s="108" t="s">
        <v>2459</v>
      </c>
      <c r="E9183" s="108" t="s">
        <v>14605</v>
      </c>
      <c r="F9183" s="108" t="s">
        <v>2453</v>
      </c>
      <c r="G9183" s="109">
        <v>45957</v>
      </c>
      <c r="H9183" s="108" t="s">
        <v>25458</v>
      </c>
      <c r="I9183" s="108" t="s">
        <v>721</v>
      </c>
    </row>
    <row r="9184" spans="1:9" ht="27.6">
      <c r="A9184" s="108" t="s">
        <v>169</v>
      </c>
      <c r="B9184" s="108" t="s">
        <v>2456</v>
      </c>
      <c r="C9184" s="109">
        <v>44132</v>
      </c>
      <c r="D9184" s="108" t="s">
        <v>2457</v>
      </c>
      <c r="E9184" s="108" t="s">
        <v>14605</v>
      </c>
      <c r="F9184" s="108" t="s">
        <v>2453</v>
      </c>
      <c r="G9184" s="109">
        <v>45957</v>
      </c>
      <c r="H9184" s="108" t="s">
        <v>25458</v>
      </c>
      <c r="I9184" s="108" t="s">
        <v>721</v>
      </c>
    </row>
    <row r="9185" spans="1:9" ht="27.6">
      <c r="A9185" s="108" t="s">
        <v>169</v>
      </c>
      <c r="B9185" s="108" t="s">
        <v>2454</v>
      </c>
      <c r="C9185" s="109">
        <v>44132</v>
      </c>
      <c r="D9185" s="108" t="s">
        <v>2455</v>
      </c>
      <c r="E9185" s="108" t="s">
        <v>14605</v>
      </c>
      <c r="F9185" s="108" t="s">
        <v>2453</v>
      </c>
      <c r="G9185" s="109">
        <v>45957</v>
      </c>
      <c r="H9185" s="108" t="s">
        <v>25458</v>
      </c>
      <c r="I9185" s="108" t="s">
        <v>721</v>
      </c>
    </row>
    <row r="9186" spans="1:9">
      <c r="A9186" s="108" t="s">
        <v>169</v>
      </c>
      <c r="B9186" s="108" t="s">
        <v>1000</v>
      </c>
      <c r="C9186" s="109">
        <v>44075</v>
      </c>
      <c r="D9186" s="108" t="s">
        <v>1001</v>
      </c>
      <c r="E9186" s="108" t="s">
        <v>14605</v>
      </c>
      <c r="F9186" s="108" t="s">
        <v>986</v>
      </c>
      <c r="G9186" s="109">
        <v>45169</v>
      </c>
      <c r="H9186" s="108" t="s">
        <v>25458</v>
      </c>
      <c r="I9186" s="108" t="s">
        <v>721</v>
      </c>
    </row>
    <row r="9187" spans="1:9">
      <c r="A9187" s="108" t="s">
        <v>169</v>
      </c>
      <c r="B9187" s="108" t="s">
        <v>998</v>
      </c>
      <c r="C9187" s="109">
        <v>44369</v>
      </c>
      <c r="D9187" s="108" t="s">
        <v>999</v>
      </c>
      <c r="E9187" s="108" t="s">
        <v>14605</v>
      </c>
      <c r="F9187" s="108" t="s">
        <v>986</v>
      </c>
      <c r="G9187" s="109">
        <v>45098</v>
      </c>
      <c r="H9187" s="108" t="s">
        <v>25458</v>
      </c>
      <c r="I9187" s="108" t="s">
        <v>721</v>
      </c>
    </row>
    <row r="9188" spans="1:9">
      <c r="A9188" s="108" t="s">
        <v>169</v>
      </c>
      <c r="B9188" s="108" t="s">
        <v>2427</v>
      </c>
      <c r="C9188" s="109">
        <v>45187</v>
      </c>
      <c r="D9188" s="108" t="s">
        <v>2428</v>
      </c>
      <c r="E9188" s="108" t="s">
        <v>14605</v>
      </c>
      <c r="F9188" s="108" t="s">
        <v>2425</v>
      </c>
      <c r="G9188" s="109">
        <v>45957</v>
      </c>
      <c r="H9188" s="108" t="s">
        <v>25458</v>
      </c>
      <c r="I9188" s="108" t="s">
        <v>721</v>
      </c>
    </row>
    <row r="9189" spans="1:9">
      <c r="A9189" s="108" t="s">
        <v>169</v>
      </c>
      <c r="B9189" s="108" t="s">
        <v>996</v>
      </c>
      <c r="C9189" s="109">
        <v>45462</v>
      </c>
      <c r="D9189" s="108" t="s">
        <v>997</v>
      </c>
      <c r="E9189" s="108" t="s">
        <v>14605</v>
      </c>
      <c r="F9189" s="108" t="s">
        <v>986</v>
      </c>
      <c r="G9189" s="109">
        <v>46171</v>
      </c>
      <c r="H9189" s="108" t="s">
        <v>25458</v>
      </c>
      <c r="I9189" s="108" t="s">
        <v>721</v>
      </c>
    </row>
    <row r="9190" spans="1:9" ht="27.6">
      <c r="A9190" s="108" t="s">
        <v>26747</v>
      </c>
      <c r="B9190" s="108" t="s">
        <v>26748</v>
      </c>
      <c r="C9190" s="109">
        <v>42930</v>
      </c>
      <c r="D9190" s="108" t="s">
        <v>26749</v>
      </c>
      <c r="E9190" s="108" t="s">
        <v>14605</v>
      </c>
      <c r="F9190" s="108" t="s">
        <v>26750</v>
      </c>
      <c r="G9190" s="109">
        <v>44262</v>
      </c>
      <c r="H9190" s="108" t="s">
        <v>25458</v>
      </c>
      <c r="I9190" s="108" t="s">
        <v>133</v>
      </c>
    </row>
    <row r="9191" spans="1:9" ht="27.6">
      <c r="A9191" s="108" t="s">
        <v>14950</v>
      </c>
      <c r="B9191" s="108" t="s">
        <v>26751</v>
      </c>
      <c r="C9191" s="109">
        <v>44018</v>
      </c>
      <c r="D9191" s="108" t="s">
        <v>26752</v>
      </c>
      <c r="E9191" s="108" t="s">
        <v>14605</v>
      </c>
      <c r="F9191" s="108" t="s">
        <v>1033</v>
      </c>
      <c r="G9191" s="109">
        <v>45613</v>
      </c>
      <c r="H9191" s="108" t="s">
        <v>25458</v>
      </c>
      <c r="I9191" s="108" t="s">
        <v>133</v>
      </c>
    </row>
    <row r="9192" spans="1:9" ht="27.6">
      <c r="A9192" s="108" t="s">
        <v>14950</v>
      </c>
      <c r="B9192" s="108" t="s">
        <v>26753</v>
      </c>
      <c r="C9192" s="109">
        <v>43761</v>
      </c>
      <c r="D9192" s="108" t="s">
        <v>3134</v>
      </c>
      <c r="E9192" s="108" t="s">
        <v>14605</v>
      </c>
      <c r="F9192" s="108" t="s">
        <v>3133</v>
      </c>
      <c r="G9192" s="109">
        <v>45928</v>
      </c>
      <c r="H9192" s="108" t="s">
        <v>25458</v>
      </c>
      <c r="I9192" s="108" t="s">
        <v>133</v>
      </c>
    </row>
    <row r="9193" spans="1:9" ht="27.6">
      <c r="A9193" s="108" t="s">
        <v>14950</v>
      </c>
      <c r="B9193" s="108" t="s">
        <v>26754</v>
      </c>
      <c r="C9193" s="109">
        <v>44468</v>
      </c>
      <c r="D9193" s="108" t="s">
        <v>26755</v>
      </c>
      <c r="E9193" s="108" t="s">
        <v>14605</v>
      </c>
      <c r="F9193" s="108" t="s">
        <v>4151</v>
      </c>
      <c r="G9193" s="109">
        <v>45439</v>
      </c>
      <c r="H9193" s="108" t="s">
        <v>25458</v>
      </c>
      <c r="I9193" s="108" t="s">
        <v>133</v>
      </c>
    </row>
    <row r="9194" spans="1:9">
      <c r="A9194" s="108" t="s">
        <v>14978</v>
      </c>
      <c r="B9194" s="108" t="s">
        <v>26756</v>
      </c>
      <c r="C9194" s="109">
        <v>41927</v>
      </c>
      <c r="D9194" s="108" t="s">
        <v>26757</v>
      </c>
      <c r="E9194" s="108" t="s">
        <v>14605</v>
      </c>
      <c r="F9194" s="108" t="s">
        <v>826</v>
      </c>
      <c r="G9194" s="109">
        <v>44032</v>
      </c>
      <c r="H9194" s="108" t="s">
        <v>25458</v>
      </c>
      <c r="I9194" s="108" t="s">
        <v>133</v>
      </c>
    </row>
    <row r="9195" spans="1:9">
      <c r="A9195" s="108" t="s">
        <v>14978</v>
      </c>
      <c r="B9195" s="108" t="s">
        <v>26758</v>
      </c>
      <c r="C9195" s="109">
        <v>41696</v>
      </c>
      <c r="D9195" s="108" t="s">
        <v>26759</v>
      </c>
      <c r="E9195" s="108" t="s">
        <v>14605</v>
      </c>
      <c r="F9195" s="108" t="s">
        <v>2964</v>
      </c>
      <c r="G9195" s="109">
        <v>44241</v>
      </c>
      <c r="H9195" s="108" t="s">
        <v>25458</v>
      </c>
      <c r="I9195" s="108" t="s">
        <v>133</v>
      </c>
    </row>
    <row r="9196" spans="1:9" ht="27.6">
      <c r="A9196" s="108" t="s">
        <v>15075</v>
      </c>
      <c r="B9196" s="108" t="s">
        <v>26760</v>
      </c>
      <c r="C9196" s="109">
        <v>44776</v>
      </c>
      <c r="D9196" s="108" t="s">
        <v>1473</v>
      </c>
      <c r="E9196" s="108" t="s">
        <v>14605</v>
      </c>
      <c r="F9196" s="108" t="s">
        <v>1853</v>
      </c>
      <c r="G9196" s="109">
        <v>45916</v>
      </c>
      <c r="H9196" s="108" t="s">
        <v>25458</v>
      </c>
      <c r="I9196" s="108" t="s">
        <v>133</v>
      </c>
    </row>
    <row r="9197" spans="1:9" ht="27.6">
      <c r="A9197" s="108" t="s">
        <v>15075</v>
      </c>
      <c r="B9197" s="108" t="s">
        <v>26761</v>
      </c>
      <c r="C9197" s="109">
        <v>45152</v>
      </c>
      <c r="D9197" s="108" t="s">
        <v>26762</v>
      </c>
      <c r="E9197" s="108" t="s">
        <v>14605</v>
      </c>
      <c r="F9197" s="108" t="s">
        <v>4337</v>
      </c>
      <c r="G9197" s="109">
        <v>45167</v>
      </c>
      <c r="H9197" s="108" t="s">
        <v>25458</v>
      </c>
      <c r="I9197" s="108" t="s">
        <v>133</v>
      </c>
    </row>
    <row r="9198" spans="1:9" ht="27.6">
      <c r="A9198" s="108" t="s">
        <v>15075</v>
      </c>
      <c r="B9198" s="108" t="s">
        <v>26763</v>
      </c>
      <c r="C9198" s="109">
        <v>45212</v>
      </c>
      <c r="D9198" s="108" t="s">
        <v>302</v>
      </c>
      <c r="E9198" s="108" t="s">
        <v>14605</v>
      </c>
      <c r="F9198" s="108" t="s">
        <v>299</v>
      </c>
      <c r="G9198" s="109">
        <v>45929</v>
      </c>
      <c r="H9198" s="108" t="s">
        <v>25458</v>
      </c>
      <c r="I9198" s="108" t="s">
        <v>133</v>
      </c>
    </row>
    <row r="9199" spans="1:9" ht="27.6">
      <c r="A9199" s="108" t="s">
        <v>15075</v>
      </c>
      <c r="B9199" s="108" t="s">
        <v>26764</v>
      </c>
      <c r="C9199" s="109">
        <v>45636</v>
      </c>
      <c r="D9199" s="108" t="s">
        <v>26765</v>
      </c>
      <c r="E9199" s="108" t="s">
        <v>14605</v>
      </c>
      <c r="F9199" s="108" t="s">
        <v>1519</v>
      </c>
      <c r="G9199" s="109">
        <v>45657</v>
      </c>
      <c r="H9199" s="108" t="s">
        <v>25458</v>
      </c>
      <c r="I9199" s="108" t="s">
        <v>133</v>
      </c>
    </row>
    <row r="9200" spans="1:9">
      <c r="A9200" s="108" t="s">
        <v>15756</v>
      </c>
      <c r="B9200" s="108" t="s">
        <v>26766</v>
      </c>
      <c r="C9200" s="109">
        <v>42858</v>
      </c>
      <c r="D9200" s="108" t="s">
        <v>26767</v>
      </c>
      <c r="E9200" s="108" t="s">
        <v>14605</v>
      </c>
      <c r="F9200" s="108" t="s">
        <v>755</v>
      </c>
      <c r="G9200" s="109">
        <v>44194</v>
      </c>
      <c r="H9200" s="108" t="s">
        <v>25458</v>
      </c>
      <c r="I9200" s="108" t="s">
        <v>133</v>
      </c>
    </row>
    <row r="9201" spans="1:9" ht="27.6">
      <c r="A9201" s="108" t="s">
        <v>109</v>
      </c>
      <c r="B9201" s="108" t="s">
        <v>2097</v>
      </c>
      <c r="C9201" s="109">
        <v>43564</v>
      </c>
      <c r="D9201" s="108" t="s">
        <v>2099</v>
      </c>
      <c r="E9201" s="108" t="s">
        <v>14605</v>
      </c>
      <c r="F9201" s="108" t="s">
        <v>2098</v>
      </c>
      <c r="G9201" s="109">
        <v>46028</v>
      </c>
      <c r="H9201" s="108" t="s">
        <v>25458</v>
      </c>
      <c r="I9201" s="108" t="s">
        <v>133</v>
      </c>
    </row>
    <row r="9202" spans="1:9" ht="27.6">
      <c r="A9202" s="108" t="s">
        <v>109</v>
      </c>
      <c r="B9202" s="108" t="s">
        <v>3132</v>
      </c>
      <c r="C9202" s="109">
        <v>43608</v>
      </c>
      <c r="D9202" s="108" t="s">
        <v>3134</v>
      </c>
      <c r="E9202" s="108" t="s">
        <v>14605</v>
      </c>
      <c r="F9202" s="108" t="s">
        <v>3133</v>
      </c>
      <c r="G9202" s="109">
        <v>45928</v>
      </c>
      <c r="H9202" s="108" t="s">
        <v>25458</v>
      </c>
      <c r="I9202" s="108" t="s">
        <v>133</v>
      </c>
    </row>
    <row r="9203" spans="1:9" ht="27.6">
      <c r="A9203" s="108" t="s">
        <v>250</v>
      </c>
      <c r="B9203" s="108" t="s">
        <v>4462</v>
      </c>
      <c r="C9203" s="109">
        <v>43865</v>
      </c>
      <c r="D9203" s="108" t="s">
        <v>4463</v>
      </c>
      <c r="E9203" s="108" t="s">
        <v>14605</v>
      </c>
      <c r="F9203" s="108" t="s">
        <v>4448</v>
      </c>
      <c r="G9203" s="109">
        <v>46155</v>
      </c>
      <c r="H9203" s="108" t="s">
        <v>25458</v>
      </c>
      <c r="I9203" s="108" t="s">
        <v>133</v>
      </c>
    </row>
    <row r="9204" spans="1:9" ht="27.6">
      <c r="A9204" s="108" t="s">
        <v>109</v>
      </c>
      <c r="B9204" s="108" t="s">
        <v>3661</v>
      </c>
      <c r="C9204" s="109">
        <v>43857</v>
      </c>
      <c r="D9204" s="108" t="s">
        <v>3662</v>
      </c>
      <c r="E9204" s="108" t="s">
        <v>14605</v>
      </c>
      <c r="F9204" s="108" t="s">
        <v>3657</v>
      </c>
      <c r="G9204" s="109">
        <v>46048</v>
      </c>
      <c r="H9204" s="108" t="s">
        <v>25458</v>
      </c>
      <c r="I9204" s="108" t="s">
        <v>133</v>
      </c>
    </row>
    <row r="9205" spans="1:9" ht="27.6">
      <c r="A9205" s="108" t="s">
        <v>109</v>
      </c>
      <c r="B9205" s="108" t="s">
        <v>4965</v>
      </c>
      <c r="C9205" s="109">
        <v>43894</v>
      </c>
      <c r="D9205" s="108" t="s">
        <v>4967</v>
      </c>
      <c r="E9205" s="108" t="s">
        <v>14605</v>
      </c>
      <c r="F9205" s="108" t="s">
        <v>4966</v>
      </c>
      <c r="G9205" s="109">
        <v>46092</v>
      </c>
      <c r="H9205" s="108" t="s">
        <v>25458</v>
      </c>
      <c r="I9205" s="108" t="s">
        <v>133</v>
      </c>
    </row>
    <row r="9206" spans="1:9" ht="27.6">
      <c r="A9206" s="108" t="s">
        <v>109</v>
      </c>
      <c r="B9206" s="108" t="s">
        <v>3084</v>
      </c>
      <c r="C9206" s="109">
        <v>44092</v>
      </c>
      <c r="D9206" s="108" t="s">
        <v>3085</v>
      </c>
      <c r="E9206" s="108" t="s">
        <v>14605</v>
      </c>
      <c r="F9206" s="108" t="s">
        <v>3056</v>
      </c>
      <c r="G9206" s="109">
        <v>45991</v>
      </c>
      <c r="H9206" s="108" t="s">
        <v>25458</v>
      </c>
      <c r="I9206" s="108" t="s">
        <v>133</v>
      </c>
    </row>
    <row r="9207" spans="1:9" ht="27.6">
      <c r="A9207" s="108" t="s">
        <v>981</v>
      </c>
      <c r="B9207" s="108" t="s">
        <v>1062</v>
      </c>
      <c r="C9207" s="109">
        <v>45062</v>
      </c>
      <c r="D9207" s="108" t="s">
        <v>1064</v>
      </c>
      <c r="E9207" s="108" t="s">
        <v>14605</v>
      </c>
      <c r="F9207" s="108" t="s">
        <v>1063</v>
      </c>
      <c r="G9207" s="109">
        <v>46153</v>
      </c>
      <c r="H9207" s="108" t="s">
        <v>25458</v>
      </c>
      <c r="I9207" s="108" t="s">
        <v>133</v>
      </c>
    </row>
    <row r="9208" spans="1:9" ht="27.6">
      <c r="A9208" s="108" t="s">
        <v>109</v>
      </c>
      <c r="B9208" s="108" t="s">
        <v>4815</v>
      </c>
      <c r="C9208" s="109">
        <v>44090</v>
      </c>
      <c r="D9208" s="108" t="s">
        <v>4816</v>
      </c>
      <c r="E9208" s="108" t="s">
        <v>14605</v>
      </c>
      <c r="F9208" s="108" t="s">
        <v>4813</v>
      </c>
      <c r="G9208" s="109">
        <v>45937</v>
      </c>
      <c r="H9208" s="108" t="s">
        <v>25458</v>
      </c>
      <c r="I9208" s="108" t="s">
        <v>133</v>
      </c>
    </row>
    <row r="9209" spans="1:9" ht="27.6">
      <c r="A9209" s="108" t="s">
        <v>250</v>
      </c>
      <c r="B9209" s="108" t="s">
        <v>4987</v>
      </c>
      <c r="C9209" s="109">
        <v>44124</v>
      </c>
      <c r="D9209" s="108" t="s">
        <v>4989</v>
      </c>
      <c r="E9209" s="108" t="s">
        <v>14605</v>
      </c>
      <c r="F9209" s="108" t="s">
        <v>4988</v>
      </c>
      <c r="G9209" s="109">
        <v>46068</v>
      </c>
      <c r="H9209" s="108" t="s">
        <v>25458</v>
      </c>
      <c r="I9209" s="108" t="s">
        <v>133</v>
      </c>
    </row>
    <row r="9210" spans="1:9" ht="27.6">
      <c r="A9210" s="108" t="s">
        <v>109</v>
      </c>
      <c r="B9210" s="108" t="s">
        <v>5213</v>
      </c>
      <c r="C9210" s="109">
        <v>44152</v>
      </c>
      <c r="D9210" s="108" t="s">
        <v>5214</v>
      </c>
      <c r="E9210" s="108" t="s">
        <v>14605</v>
      </c>
      <c r="F9210" s="108" t="s">
        <v>5145</v>
      </c>
      <c r="G9210" s="109">
        <v>45978</v>
      </c>
      <c r="H9210" s="108" t="s">
        <v>25458</v>
      </c>
      <c r="I9210" s="108" t="s">
        <v>133</v>
      </c>
    </row>
    <row r="9211" spans="1:9" ht="27.6">
      <c r="A9211" s="108" t="s">
        <v>109</v>
      </c>
      <c r="B9211" s="108" t="s">
        <v>5118</v>
      </c>
      <c r="C9211" s="109">
        <v>44185</v>
      </c>
      <c r="D9211" s="108" t="s">
        <v>5120</v>
      </c>
      <c r="E9211" s="108" t="s">
        <v>14605</v>
      </c>
      <c r="F9211" s="108" t="s">
        <v>5119</v>
      </c>
      <c r="G9211" s="109">
        <v>46029</v>
      </c>
      <c r="H9211" s="108" t="s">
        <v>25458</v>
      </c>
      <c r="I9211" s="108" t="s">
        <v>133</v>
      </c>
    </row>
    <row r="9212" spans="1:9" ht="27.6">
      <c r="A9212" s="108" t="s">
        <v>109</v>
      </c>
      <c r="B9212" s="108" t="s">
        <v>4299</v>
      </c>
      <c r="C9212" s="109">
        <v>44202</v>
      </c>
      <c r="D9212" s="108" t="s">
        <v>4300</v>
      </c>
      <c r="E9212" s="108" t="s">
        <v>14605</v>
      </c>
      <c r="F9212" s="108" t="s">
        <v>4276</v>
      </c>
      <c r="G9212" s="109">
        <v>46039</v>
      </c>
      <c r="H9212" s="108" t="s">
        <v>25458</v>
      </c>
      <c r="I9212" s="108" t="s">
        <v>133</v>
      </c>
    </row>
    <row r="9213" spans="1:9" ht="27.6">
      <c r="A9213" s="108" t="s">
        <v>109</v>
      </c>
      <c r="B9213" s="108" t="s">
        <v>912</v>
      </c>
      <c r="C9213" s="109">
        <v>44252</v>
      </c>
      <c r="D9213" s="108" t="s">
        <v>914</v>
      </c>
      <c r="E9213" s="108" t="s">
        <v>14605</v>
      </c>
      <c r="F9213" s="108" t="s">
        <v>913</v>
      </c>
      <c r="G9213" s="109">
        <v>46085</v>
      </c>
      <c r="H9213" s="108" t="s">
        <v>25458</v>
      </c>
      <c r="I9213" s="108" t="s">
        <v>133</v>
      </c>
    </row>
    <row r="9214" spans="1:9" ht="27.6">
      <c r="A9214" s="108" t="s">
        <v>109</v>
      </c>
      <c r="B9214" s="108" t="s">
        <v>3137</v>
      </c>
      <c r="C9214" s="109">
        <v>44280</v>
      </c>
      <c r="D9214" s="108" t="s">
        <v>3139</v>
      </c>
      <c r="E9214" s="108" t="s">
        <v>14605</v>
      </c>
      <c r="F9214" s="108" t="s">
        <v>3138</v>
      </c>
      <c r="G9214" s="109">
        <v>46197</v>
      </c>
      <c r="H9214" s="108" t="s">
        <v>25458</v>
      </c>
      <c r="I9214" s="108" t="s">
        <v>133</v>
      </c>
    </row>
    <row r="9215" spans="1:9" ht="27.6">
      <c r="A9215" s="108" t="s">
        <v>109</v>
      </c>
      <c r="B9215" s="108" t="s">
        <v>4780</v>
      </c>
      <c r="C9215" s="109">
        <v>44307</v>
      </c>
      <c r="D9215" s="108" t="s">
        <v>4781</v>
      </c>
      <c r="E9215" s="108" t="s">
        <v>14605</v>
      </c>
      <c r="F9215" s="108" t="s">
        <v>4776</v>
      </c>
      <c r="G9215" s="109">
        <v>46150</v>
      </c>
      <c r="H9215" s="108" t="s">
        <v>25458</v>
      </c>
      <c r="I9215" s="108" t="s">
        <v>133</v>
      </c>
    </row>
    <row r="9216" spans="1:9" ht="27.6">
      <c r="A9216" s="108" t="s">
        <v>109</v>
      </c>
      <c r="B9216" s="108" t="s">
        <v>5221</v>
      </c>
      <c r="C9216" s="109">
        <v>44319</v>
      </c>
      <c r="D9216" s="108" t="s">
        <v>5222</v>
      </c>
      <c r="E9216" s="108" t="s">
        <v>14605</v>
      </c>
      <c r="F9216" s="108" t="s">
        <v>5219</v>
      </c>
      <c r="G9216" s="109">
        <v>45795</v>
      </c>
      <c r="H9216" s="108" t="s">
        <v>25458</v>
      </c>
      <c r="I9216" s="108" t="s">
        <v>133</v>
      </c>
    </row>
    <row r="9217" spans="1:9" ht="27.6">
      <c r="A9217" s="108" t="s">
        <v>250</v>
      </c>
      <c r="B9217" s="108" t="s">
        <v>4990</v>
      </c>
      <c r="C9217" s="109">
        <v>44576</v>
      </c>
      <c r="D9217" s="108" t="s">
        <v>4992</v>
      </c>
      <c r="E9217" s="108" t="s">
        <v>14605</v>
      </c>
      <c r="F9217" s="108" t="s">
        <v>4991</v>
      </c>
      <c r="G9217" s="109">
        <v>45936</v>
      </c>
      <c r="H9217" s="108" t="s">
        <v>25458</v>
      </c>
      <c r="I9217" s="108" t="s">
        <v>133</v>
      </c>
    </row>
    <row r="9218" spans="1:9" ht="27.6">
      <c r="A9218" s="108" t="s">
        <v>109</v>
      </c>
      <c r="B9218" s="108" t="s">
        <v>549</v>
      </c>
      <c r="C9218" s="109">
        <v>44453</v>
      </c>
      <c r="D9218" s="108" t="s">
        <v>551</v>
      </c>
      <c r="E9218" s="108" t="s">
        <v>14605</v>
      </c>
      <c r="F9218" s="108" t="s">
        <v>550</v>
      </c>
      <c r="G9218" s="109">
        <v>45910</v>
      </c>
      <c r="H9218" s="108" t="s">
        <v>25458</v>
      </c>
      <c r="I9218" s="108" t="s">
        <v>133</v>
      </c>
    </row>
    <row r="9219" spans="1:9" ht="27.6">
      <c r="A9219" s="108" t="s">
        <v>109</v>
      </c>
      <c r="B9219" s="108" t="s">
        <v>1358</v>
      </c>
      <c r="C9219" s="109">
        <v>44543</v>
      </c>
      <c r="D9219" s="108" t="s">
        <v>1359</v>
      </c>
      <c r="E9219" s="108" t="s">
        <v>14605</v>
      </c>
      <c r="F9219" s="108" t="s">
        <v>1338</v>
      </c>
      <c r="G9219" s="109">
        <v>46020</v>
      </c>
      <c r="H9219" s="108" t="s">
        <v>25458</v>
      </c>
      <c r="I9219" s="108" t="s">
        <v>133</v>
      </c>
    </row>
    <row r="9220" spans="1:9" ht="27.6">
      <c r="A9220" s="108" t="s">
        <v>109</v>
      </c>
      <c r="B9220" s="108" t="s">
        <v>2241</v>
      </c>
      <c r="C9220" s="109">
        <v>45447</v>
      </c>
      <c r="D9220" s="108" t="s">
        <v>2243</v>
      </c>
      <c r="E9220" s="108" t="s">
        <v>14605</v>
      </c>
      <c r="F9220" s="108" t="s">
        <v>2242</v>
      </c>
      <c r="G9220" s="109">
        <v>46188</v>
      </c>
      <c r="H9220" s="108" t="s">
        <v>25458</v>
      </c>
      <c r="I9220" s="108" t="s">
        <v>133</v>
      </c>
    </row>
    <row r="9221" spans="1:9" ht="27.6">
      <c r="A9221" s="108" t="s">
        <v>250</v>
      </c>
      <c r="B9221" s="108" t="s">
        <v>1511</v>
      </c>
      <c r="C9221" s="109">
        <v>44539</v>
      </c>
      <c r="D9221" s="108" t="s">
        <v>1512</v>
      </c>
      <c r="E9221" s="108" t="s">
        <v>14605</v>
      </c>
      <c r="F9221" s="108" t="s">
        <v>25526</v>
      </c>
      <c r="G9221" s="109">
        <v>46170</v>
      </c>
      <c r="H9221" s="108" t="s">
        <v>25458</v>
      </c>
      <c r="I9221" s="108" t="s">
        <v>133</v>
      </c>
    </row>
    <row r="9222" spans="1:9" ht="27.6">
      <c r="A9222" s="108" t="s">
        <v>981</v>
      </c>
      <c r="B9222" s="108" t="s">
        <v>978</v>
      </c>
      <c r="C9222" s="109">
        <v>44768</v>
      </c>
      <c r="D9222" s="108" t="s">
        <v>980</v>
      </c>
      <c r="E9222" s="108" t="s">
        <v>14605</v>
      </c>
      <c r="F9222" s="108" t="s">
        <v>979</v>
      </c>
      <c r="G9222" s="109">
        <v>45521</v>
      </c>
      <c r="H9222" s="108" t="s">
        <v>25458</v>
      </c>
      <c r="I9222" s="108" t="s">
        <v>133</v>
      </c>
    </row>
    <row r="9223" spans="1:9" ht="27.6">
      <c r="A9223" s="108" t="s">
        <v>109</v>
      </c>
      <c r="B9223" s="108" t="s">
        <v>4033</v>
      </c>
      <c r="C9223" s="109">
        <v>44461</v>
      </c>
      <c r="D9223" s="108" t="s">
        <v>4034</v>
      </c>
      <c r="E9223" s="108" t="s">
        <v>14605</v>
      </c>
      <c r="F9223" s="108" t="s">
        <v>15535</v>
      </c>
      <c r="G9223" s="109">
        <v>45546</v>
      </c>
      <c r="H9223" s="108" t="s">
        <v>25458</v>
      </c>
      <c r="I9223" s="108" t="s">
        <v>133</v>
      </c>
    </row>
    <row r="9224" spans="1:9" ht="27.6">
      <c r="A9224" s="108" t="s">
        <v>109</v>
      </c>
      <c r="B9224" s="108" t="s">
        <v>2443</v>
      </c>
      <c r="C9224" s="109">
        <v>44469</v>
      </c>
      <c r="D9224" s="108" t="s">
        <v>2444</v>
      </c>
      <c r="E9224" s="108" t="s">
        <v>14605</v>
      </c>
      <c r="F9224" s="108" t="s">
        <v>2431</v>
      </c>
      <c r="G9224" s="109">
        <v>45951</v>
      </c>
      <c r="H9224" s="108" t="s">
        <v>25458</v>
      </c>
      <c r="I9224" s="108" t="s">
        <v>133</v>
      </c>
    </row>
    <row r="9225" spans="1:9" ht="27.6">
      <c r="A9225" s="108" t="s">
        <v>109</v>
      </c>
      <c r="B9225" s="108" t="s">
        <v>1383</v>
      </c>
      <c r="C9225" s="109">
        <v>44547</v>
      </c>
      <c r="D9225" s="108" t="s">
        <v>1384</v>
      </c>
      <c r="E9225" s="108" t="s">
        <v>14605</v>
      </c>
      <c r="F9225" s="108" t="s">
        <v>1381</v>
      </c>
      <c r="G9225" s="109">
        <v>46065</v>
      </c>
      <c r="H9225" s="108" t="s">
        <v>25458</v>
      </c>
      <c r="I9225" s="108" t="s">
        <v>133</v>
      </c>
    </row>
    <row r="9226" spans="1:9" ht="27.6">
      <c r="A9226" s="108" t="s">
        <v>109</v>
      </c>
      <c r="B9226" s="108" t="s">
        <v>5211</v>
      </c>
      <c r="C9226" s="109">
        <v>44514</v>
      </c>
      <c r="D9226" s="108" t="s">
        <v>5212</v>
      </c>
      <c r="E9226" s="108" t="s">
        <v>14605</v>
      </c>
      <c r="F9226" s="108" t="s">
        <v>5145</v>
      </c>
      <c r="G9226" s="109">
        <v>45987</v>
      </c>
      <c r="H9226" s="108" t="s">
        <v>25458</v>
      </c>
      <c r="I9226" s="108" t="s">
        <v>133</v>
      </c>
    </row>
    <row r="9227" spans="1:9" ht="27.6">
      <c r="A9227" s="108" t="s">
        <v>109</v>
      </c>
      <c r="B9227" s="108" t="s">
        <v>2971</v>
      </c>
      <c r="C9227" s="109">
        <v>44596</v>
      </c>
      <c r="D9227" s="108" t="s">
        <v>2972</v>
      </c>
      <c r="E9227" s="108" t="s">
        <v>14605</v>
      </c>
      <c r="F9227" s="108" t="s">
        <v>2967</v>
      </c>
      <c r="G9227" s="109">
        <v>46431</v>
      </c>
      <c r="H9227" s="108" t="s">
        <v>25458</v>
      </c>
      <c r="I9227" s="108" t="s">
        <v>133</v>
      </c>
    </row>
    <row r="9228" spans="1:9" ht="27.6">
      <c r="A9228" s="108" t="s">
        <v>109</v>
      </c>
      <c r="B9228" s="108" t="s">
        <v>1372</v>
      </c>
      <c r="C9228" s="109">
        <v>44853</v>
      </c>
      <c r="D9228" s="108" t="s">
        <v>1374</v>
      </c>
      <c r="E9228" s="108" t="s">
        <v>14605</v>
      </c>
      <c r="F9228" s="108" t="s">
        <v>1373</v>
      </c>
      <c r="G9228" s="109">
        <v>46112</v>
      </c>
      <c r="H9228" s="108" t="s">
        <v>25558</v>
      </c>
      <c r="I9228" s="108" t="s">
        <v>133</v>
      </c>
    </row>
    <row r="9229" spans="1:9" ht="27.6">
      <c r="A9229" s="108" t="s">
        <v>1072</v>
      </c>
      <c r="B9229" s="108" t="s">
        <v>2846</v>
      </c>
      <c r="C9229" s="109">
        <v>44861</v>
      </c>
      <c r="D9229" s="108" t="s">
        <v>2847</v>
      </c>
      <c r="E9229" s="108" t="s">
        <v>14605</v>
      </c>
      <c r="F9229" s="108" t="s">
        <v>2844</v>
      </c>
      <c r="G9229" s="109">
        <v>45991</v>
      </c>
      <c r="H9229" s="108" t="s">
        <v>25458</v>
      </c>
      <c r="I9229" s="108" t="s">
        <v>133</v>
      </c>
    </row>
    <row r="9230" spans="1:9" ht="27.6">
      <c r="A9230" s="108" t="s">
        <v>109</v>
      </c>
      <c r="B9230" s="108" t="s">
        <v>1796</v>
      </c>
      <c r="C9230" s="109">
        <v>44615</v>
      </c>
      <c r="D9230" s="108" t="s">
        <v>1798</v>
      </c>
      <c r="E9230" s="108" t="s">
        <v>14605</v>
      </c>
      <c r="F9230" s="108" t="s">
        <v>1797</v>
      </c>
      <c r="G9230" s="109">
        <v>45335</v>
      </c>
      <c r="H9230" s="108" t="s">
        <v>25458</v>
      </c>
      <c r="I9230" s="108" t="s">
        <v>133</v>
      </c>
    </row>
    <row r="9231" spans="1:9" ht="27.6">
      <c r="A9231" s="108" t="s">
        <v>250</v>
      </c>
      <c r="B9231" s="108" t="s">
        <v>4795</v>
      </c>
      <c r="C9231" s="109">
        <v>44650</v>
      </c>
      <c r="D9231" s="108" t="s">
        <v>4797</v>
      </c>
      <c r="E9231" s="108" t="s">
        <v>14605</v>
      </c>
      <c r="F9231" s="108" t="s">
        <v>4796</v>
      </c>
      <c r="G9231" s="109">
        <v>45402</v>
      </c>
      <c r="H9231" s="108" t="s">
        <v>25458</v>
      </c>
      <c r="I9231" s="108" t="s">
        <v>133</v>
      </c>
    </row>
    <row r="9232" spans="1:9" ht="27.6">
      <c r="A9232" s="108" t="s">
        <v>109</v>
      </c>
      <c r="B9232" s="108" t="s">
        <v>4682</v>
      </c>
      <c r="C9232" s="109">
        <v>44550</v>
      </c>
      <c r="D9232" s="108" t="s">
        <v>4683</v>
      </c>
      <c r="E9232" s="108" t="s">
        <v>14605</v>
      </c>
      <c r="F9232" s="108" t="s">
        <v>4678</v>
      </c>
      <c r="G9232" s="109">
        <v>46029</v>
      </c>
      <c r="H9232" s="108" t="s">
        <v>25458</v>
      </c>
      <c r="I9232" s="108" t="s">
        <v>133</v>
      </c>
    </row>
    <row r="9233" spans="1:9" ht="27.6">
      <c r="A9233" s="108" t="s">
        <v>109</v>
      </c>
      <c r="B9233" s="108" t="s">
        <v>208</v>
      </c>
      <c r="C9233" s="109">
        <v>44690</v>
      </c>
      <c r="D9233" s="108" t="s">
        <v>210</v>
      </c>
      <c r="E9233" s="108" t="s">
        <v>14605</v>
      </c>
      <c r="F9233" s="108" t="s">
        <v>209</v>
      </c>
      <c r="G9233" s="109">
        <v>46898</v>
      </c>
      <c r="H9233" s="108" t="s">
        <v>25458</v>
      </c>
      <c r="I9233" s="108" t="s">
        <v>133</v>
      </c>
    </row>
    <row r="9234" spans="1:9" ht="27.6">
      <c r="A9234" s="108" t="s">
        <v>109</v>
      </c>
      <c r="B9234" s="108" t="s">
        <v>3891</v>
      </c>
      <c r="C9234" s="109">
        <v>44736</v>
      </c>
      <c r="D9234" s="108" t="s">
        <v>3893</v>
      </c>
      <c r="E9234" s="108" t="s">
        <v>14605</v>
      </c>
      <c r="F9234" s="108" t="s">
        <v>3892</v>
      </c>
      <c r="G9234" s="109">
        <v>46216</v>
      </c>
      <c r="H9234" s="108" t="s">
        <v>25458</v>
      </c>
      <c r="I9234" s="108" t="s">
        <v>133</v>
      </c>
    </row>
    <row r="9235" spans="1:9" ht="27.6">
      <c r="A9235" s="108" t="s">
        <v>109</v>
      </c>
      <c r="B9235" s="108" t="s">
        <v>1440</v>
      </c>
      <c r="C9235" s="109">
        <v>44762</v>
      </c>
      <c r="D9235" s="108" t="s">
        <v>1442</v>
      </c>
      <c r="E9235" s="108" t="s">
        <v>14605</v>
      </c>
      <c r="F9235" s="108" t="s">
        <v>1441</v>
      </c>
      <c r="G9235" s="109">
        <v>45864</v>
      </c>
      <c r="H9235" s="108" t="s">
        <v>25558</v>
      </c>
      <c r="I9235" s="108" t="s">
        <v>133</v>
      </c>
    </row>
    <row r="9236" spans="1:9" ht="27.6">
      <c r="A9236" s="108" t="s">
        <v>109</v>
      </c>
      <c r="B9236" s="108" t="s">
        <v>3833</v>
      </c>
      <c r="C9236" s="109">
        <v>44761</v>
      </c>
      <c r="D9236" s="108" t="s">
        <v>3834</v>
      </c>
      <c r="E9236" s="108" t="s">
        <v>14605</v>
      </c>
      <c r="F9236" s="108" t="s">
        <v>25561</v>
      </c>
      <c r="G9236" s="109">
        <v>45500</v>
      </c>
      <c r="H9236" s="108" t="s">
        <v>25558</v>
      </c>
      <c r="I9236" s="108" t="s">
        <v>133</v>
      </c>
    </row>
    <row r="9237" spans="1:9" ht="27.6">
      <c r="A9237" s="108" t="s">
        <v>109</v>
      </c>
      <c r="B9237" s="108" t="s">
        <v>1240</v>
      </c>
      <c r="C9237" s="109">
        <v>44853</v>
      </c>
      <c r="D9237" s="108" t="s">
        <v>1241</v>
      </c>
      <c r="E9237" s="108" t="s">
        <v>14605</v>
      </c>
      <c r="F9237" s="108" t="s">
        <v>1228</v>
      </c>
      <c r="G9237" s="109">
        <v>46335</v>
      </c>
      <c r="H9237" s="108" t="s">
        <v>25458</v>
      </c>
      <c r="I9237" s="108" t="s">
        <v>133</v>
      </c>
    </row>
    <row r="9238" spans="1:9" ht="27.6">
      <c r="A9238" s="108" t="s">
        <v>109</v>
      </c>
      <c r="B9238" s="108" t="s">
        <v>2228</v>
      </c>
      <c r="C9238" s="109">
        <v>44932</v>
      </c>
      <c r="D9238" s="108" t="s">
        <v>2229</v>
      </c>
      <c r="E9238" s="108" t="s">
        <v>14605</v>
      </c>
      <c r="F9238" s="108" t="s">
        <v>2226</v>
      </c>
      <c r="G9238" s="109">
        <v>46027</v>
      </c>
      <c r="H9238" s="108" t="s">
        <v>25458</v>
      </c>
      <c r="I9238" s="108" t="s">
        <v>133</v>
      </c>
    </row>
    <row r="9239" spans="1:9" ht="27.6">
      <c r="A9239" s="108" t="s">
        <v>109</v>
      </c>
      <c r="B9239" s="108" t="s">
        <v>1747</v>
      </c>
      <c r="C9239" s="109">
        <v>45064</v>
      </c>
      <c r="D9239" s="108" t="s">
        <v>1748</v>
      </c>
      <c r="E9239" s="108" t="s">
        <v>14605</v>
      </c>
      <c r="F9239" s="108" t="s">
        <v>1745</v>
      </c>
      <c r="G9239" s="109">
        <v>46548</v>
      </c>
      <c r="H9239" s="108" t="s">
        <v>25458</v>
      </c>
      <c r="I9239" s="108" t="s">
        <v>133</v>
      </c>
    </row>
    <row r="9240" spans="1:9" ht="27.6">
      <c r="A9240" s="108" t="s">
        <v>109</v>
      </c>
      <c r="B9240" s="108" t="s">
        <v>488</v>
      </c>
      <c r="C9240" s="109">
        <v>44939</v>
      </c>
      <c r="D9240" s="108" t="s">
        <v>489</v>
      </c>
      <c r="E9240" s="108" t="s">
        <v>14605</v>
      </c>
      <c r="F9240" s="108" t="s">
        <v>484</v>
      </c>
      <c r="G9240" s="109">
        <v>47146</v>
      </c>
      <c r="H9240" s="108" t="s">
        <v>25458</v>
      </c>
      <c r="I9240" s="108" t="s">
        <v>133</v>
      </c>
    </row>
    <row r="9241" spans="1:9" ht="27.6">
      <c r="A9241" s="108" t="s">
        <v>1072</v>
      </c>
      <c r="B9241" s="108" t="s">
        <v>1786</v>
      </c>
      <c r="C9241" s="109">
        <v>44946</v>
      </c>
      <c r="D9241" s="108" t="s">
        <v>1787</v>
      </c>
      <c r="E9241" s="108" t="s">
        <v>14605</v>
      </c>
      <c r="F9241" s="108" t="s">
        <v>1770</v>
      </c>
      <c r="G9241" s="109">
        <v>46044</v>
      </c>
      <c r="H9241" s="108" t="s">
        <v>25458</v>
      </c>
      <c r="I9241" s="108" t="s">
        <v>133</v>
      </c>
    </row>
    <row r="9242" spans="1:9" ht="27.6">
      <c r="A9242" s="108" t="s">
        <v>109</v>
      </c>
      <c r="B9242" s="108" t="s">
        <v>4867</v>
      </c>
      <c r="C9242" s="109">
        <v>44951</v>
      </c>
      <c r="D9242" s="108" t="s">
        <v>4868</v>
      </c>
      <c r="E9242" s="108" t="s">
        <v>14605</v>
      </c>
      <c r="F9242" s="108" t="s">
        <v>4857</v>
      </c>
      <c r="G9242" s="109">
        <v>45699</v>
      </c>
      <c r="H9242" s="108" t="s">
        <v>25458</v>
      </c>
      <c r="I9242" s="108" t="s">
        <v>133</v>
      </c>
    </row>
    <row r="9243" spans="1:9" ht="27.6">
      <c r="A9243" s="108" t="s">
        <v>109</v>
      </c>
      <c r="B9243" s="108" t="s">
        <v>5022</v>
      </c>
      <c r="C9243" s="109">
        <v>45027</v>
      </c>
      <c r="D9243" s="108" t="s">
        <v>5023</v>
      </c>
      <c r="E9243" s="108" t="s">
        <v>14605</v>
      </c>
      <c r="F9243" s="108" t="s">
        <v>5018</v>
      </c>
      <c r="G9243" s="109">
        <v>46132</v>
      </c>
      <c r="H9243" s="108" t="s">
        <v>25458</v>
      </c>
      <c r="I9243" s="108" t="s">
        <v>133</v>
      </c>
    </row>
    <row r="9244" spans="1:9" ht="27.6">
      <c r="A9244" s="108" t="s">
        <v>109</v>
      </c>
      <c r="B9244" s="108" t="s">
        <v>1380</v>
      </c>
      <c r="C9244" s="109">
        <v>45236</v>
      </c>
      <c r="D9244" s="108" t="s">
        <v>1382</v>
      </c>
      <c r="E9244" s="108" t="s">
        <v>14605</v>
      </c>
      <c r="F9244" s="108" t="s">
        <v>1381</v>
      </c>
      <c r="G9244" s="109">
        <v>46322</v>
      </c>
      <c r="H9244" s="108" t="s">
        <v>25458</v>
      </c>
      <c r="I9244" s="108" t="s">
        <v>133</v>
      </c>
    </row>
    <row r="9245" spans="1:9" ht="27.6">
      <c r="A9245" s="108" t="s">
        <v>109</v>
      </c>
      <c r="B9245" s="108" t="s">
        <v>5112</v>
      </c>
      <c r="C9245" s="109">
        <v>45231</v>
      </c>
      <c r="D9245" s="108" t="s">
        <v>5114</v>
      </c>
      <c r="E9245" s="108" t="s">
        <v>14605</v>
      </c>
      <c r="F9245" s="108" t="s">
        <v>5113</v>
      </c>
      <c r="G9245" s="109">
        <v>46703</v>
      </c>
      <c r="H9245" s="108" t="s">
        <v>25458</v>
      </c>
      <c r="I9245" s="108" t="s">
        <v>133</v>
      </c>
    </row>
    <row r="9246" spans="1:9" ht="27.6">
      <c r="A9246" s="108" t="s">
        <v>109</v>
      </c>
      <c r="B9246" s="108" t="s">
        <v>2963</v>
      </c>
      <c r="C9246" s="109">
        <v>45436</v>
      </c>
      <c r="D9246" s="108" t="s">
        <v>2965</v>
      </c>
      <c r="E9246" s="108" t="s">
        <v>14605</v>
      </c>
      <c r="F9246" s="108" t="s">
        <v>2964</v>
      </c>
      <c r="G9246" s="109">
        <v>46679</v>
      </c>
      <c r="H9246" s="108" t="s">
        <v>25458</v>
      </c>
      <c r="I9246" s="108" t="s">
        <v>133</v>
      </c>
    </row>
    <row r="9247" spans="1:9" ht="27.6">
      <c r="A9247" s="108" t="s">
        <v>109</v>
      </c>
      <c r="B9247" s="108" t="s">
        <v>4687</v>
      </c>
      <c r="C9247" s="109">
        <v>45229</v>
      </c>
      <c r="D9247" s="108" t="s">
        <v>4688</v>
      </c>
      <c r="E9247" s="108" t="s">
        <v>14605</v>
      </c>
      <c r="F9247" s="108" t="s">
        <v>4685</v>
      </c>
      <c r="G9247" s="109">
        <v>45957</v>
      </c>
      <c r="H9247" s="108" t="s">
        <v>25458</v>
      </c>
      <c r="I9247" s="108" t="s">
        <v>133</v>
      </c>
    </row>
    <row r="9248" spans="1:9" ht="27.6">
      <c r="A9248" s="108" t="s">
        <v>109</v>
      </c>
      <c r="B9248" s="108" t="s">
        <v>815</v>
      </c>
      <c r="C9248" s="109">
        <v>45289</v>
      </c>
      <c r="D9248" s="108" t="s">
        <v>817</v>
      </c>
      <c r="E9248" s="108" t="s">
        <v>14605</v>
      </c>
      <c r="F9248" s="108" t="s">
        <v>816</v>
      </c>
      <c r="G9248" s="109">
        <v>46034</v>
      </c>
      <c r="H9248" s="108" t="s">
        <v>25458</v>
      </c>
      <c r="I9248" s="108" t="s">
        <v>133</v>
      </c>
    </row>
    <row r="9249" spans="1:9" ht="27.6">
      <c r="A9249" s="108" t="s">
        <v>109</v>
      </c>
      <c r="B9249" s="108" t="s">
        <v>1407</v>
      </c>
      <c r="C9249" s="109">
        <v>45442</v>
      </c>
      <c r="D9249" s="108" t="s">
        <v>1408</v>
      </c>
      <c r="E9249" s="108" t="s">
        <v>14605</v>
      </c>
      <c r="F9249" s="108" t="s">
        <v>25549</v>
      </c>
      <c r="G9249" s="109">
        <v>46172</v>
      </c>
      <c r="H9249" s="108" t="s">
        <v>25458</v>
      </c>
      <c r="I9249" s="108" t="s">
        <v>133</v>
      </c>
    </row>
    <row r="9250" spans="1:9" ht="27.6">
      <c r="A9250" s="108" t="s">
        <v>109</v>
      </c>
      <c r="B9250" s="108" t="s">
        <v>3293</v>
      </c>
      <c r="C9250" s="109">
        <v>45504</v>
      </c>
      <c r="D9250" s="108" t="s">
        <v>3295</v>
      </c>
      <c r="E9250" s="108" t="s">
        <v>14605</v>
      </c>
      <c r="F9250" s="108" t="s">
        <v>3294</v>
      </c>
      <c r="G9250" s="109">
        <v>46593</v>
      </c>
      <c r="H9250" s="108" t="s">
        <v>25458</v>
      </c>
      <c r="I9250" s="108" t="s">
        <v>133</v>
      </c>
    </row>
    <row r="9251" spans="1:9" ht="27.6">
      <c r="A9251" s="108" t="s">
        <v>103</v>
      </c>
      <c r="B9251" s="108" t="s">
        <v>3022</v>
      </c>
      <c r="C9251" s="109">
        <v>43080</v>
      </c>
      <c r="D9251" s="108" t="s">
        <v>26768</v>
      </c>
      <c r="E9251" s="108" t="s">
        <v>14605</v>
      </c>
      <c r="F9251" s="108" t="s">
        <v>25626</v>
      </c>
      <c r="G9251" s="109">
        <v>46254</v>
      </c>
      <c r="H9251" s="108" t="s">
        <v>25458</v>
      </c>
      <c r="I9251" s="108" t="s">
        <v>133</v>
      </c>
    </row>
    <row r="9252" spans="1:9">
      <c r="A9252" s="108"/>
      <c r="B9252" s="108" t="s">
        <v>1068</v>
      </c>
      <c r="C9252" s="109">
        <v>43131</v>
      </c>
      <c r="D9252" s="108" t="s">
        <v>1069</v>
      </c>
      <c r="E9252" s="108" t="s">
        <v>14605</v>
      </c>
      <c r="F9252" s="108" t="s">
        <v>1066</v>
      </c>
      <c r="G9252" s="109">
        <v>46125</v>
      </c>
      <c r="H9252" s="108" t="s">
        <v>25458</v>
      </c>
      <c r="I9252" s="108" t="s">
        <v>133</v>
      </c>
    </row>
    <row r="9253" spans="1:9" ht="27.6">
      <c r="A9253" s="108" t="s">
        <v>96</v>
      </c>
      <c r="B9253" s="108" t="s">
        <v>4583</v>
      </c>
      <c r="C9253" s="109">
        <v>43158</v>
      </c>
      <c r="D9253" s="108" t="s">
        <v>4584</v>
      </c>
      <c r="E9253" s="108" t="s">
        <v>14605</v>
      </c>
      <c r="F9253" s="108" t="s">
        <v>4576</v>
      </c>
      <c r="G9253" s="109">
        <v>45991</v>
      </c>
      <c r="H9253" s="108" t="s">
        <v>25458</v>
      </c>
      <c r="I9253" s="108" t="s">
        <v>133</v>
      </c>
    </row>
    <row r="9254" spans="1:9" ht="27.6">
      <c r="A9254" s="108" t="s">
        <v>103</v>
      </c>
      <c r="B9254" s="108" t="s">
        <v>3021</v>
      </c>
      <c r="C9254" s="109">
        <v>43286</v>
      </c>
      <c r="D9254" s="108" t="s">
        <v>26769</v>
      </c>
      <c r="E9254" s="108" t="s">
        <v>14605</v>
      </c>
      <c r="F9254" s="108" t="s">
        <v>25626</v>
      </c>
      <c r="G9254" s="109">
        <v>46254</v>
      </c>
      <c r="H9254" s="108" t="s">
        <v>25458</v>
      </c>
      <c r="I9254" s="108" t="s">
        <v>133</v>
      </c>
    </row>
    <row r="9255" spans="1:9" ht="27.6">
      <c r="A9255" s="108" t="s">
        <v>109</v>
      </c>
      <c r="B9255" s="108" t="s">
        <v>3508</v>
      </c>
      <c r="C9255" s="109">
        <v>43353</v>
      </c>
      <c r="D9255" s="108" t="s">
        <v>3510</v>
      </c>
      <c r="E9255" s="108" t="s">
        <v>14605</v>
      </c>
      <c r="F9255" s="108" t="s">
        <v>3509</v>
      </c>
      <c r="G9255" s="109">
        <v>45911</v>
      </c>
      <c r="H9255" s="108" t="s">
        <v>25458</v>
      </c>
      <c r="I9255" s="108" t="s">
        <v>133</v>
      </c>
    </row>
    <row r="9256" spans="1:9" ht="27.6">
      <c r="A9256" s="108" t="s">
        <v>96</v>
      </c>
      <c r="B9256" s="108" t="s">
        <v>2194</v>
      </c>
      <c r="C9256" s="109">
        <v>43510</v>
      </c>
      <c r="D9256" s="108" t="s">
        <v>2196</v>
      </c>
      <c r="E9256" s="108" t="s">
        <v>14605</v>
      </c>
      <c r="F9256" s="108" t="s">
        <v>2195</v>
      </c>
      <c r="G9256" s="109">
        <v>44968</v>
      </c>
      <c r="H9256" s="108" t="s">
        <v>25458</v>
      </c>
      <c r="I9256" s="108" t="s">
        <v>133</v>
      </c>
    </row>
    <row r="9257" spans="1:9" ht="27.6">
      <c r="A9257" s="108" t="s">
        <v>103</v>
      </c>
      <c r="B9257" s="108" t="s">
        <v>2493</v>
      </c>
      <c r="C9257" s="109">
        <v>44069</v>
      </c>
      <c r="D9257" s="108" t="s">
        <v>2494</v>
      </c>
      <c r="E9257" s="108" t="s">
        <v>14605</v>
      </c>
      <c r="F9257" s="108" t="s">
        <v>2475</v>
      </c>
      <c r="G9257" s="109">
        <v>46079</v>
      </c>
      <c r="H9257" s="108" t="s">
        <v>25458</v>
      </c>
      <c r="I9257" s="108" t="s">
        <v>133</v>
      </c>
    </row>
    <row r="9258" spans="1:9" ht="27.6">
      <c r="A9258" s="108" t="s">
        <v>96</v>
      </c>
      <c r="B9258" s="108" t="s">
        <v>710</v>
      </c>
      <c r="C9258" s="109">
        <v>44386</v>
      </c>
      <c r="D9258" s="108" t="s">
        <v>712</v>
      </c>
      <c r="E9258" s="108" t="s">
        <v>14605</v>
      </c>
      <c r="F9258" s="108" t="s">
        <v>711</v>
      </c>
      <c r="G9258" s="109">
        <v>46022</v>
      </c>
      <c r="H9258" s="108" t="s">
        <v>25458</v>
      </c>
      <c r="I9258" s="108" t="s">
        <v>133</v>
      </c>
    </row>
    <row r="9259" spans="1:9" ht="27.6">
      <c r="A9259" s="108" t="s">
        <v>96</v>
      </c>
      <c r="B9259" s="108" t="s">
        <v>592</v>
      </c>
      <c r="C9259" s="109">
        <v>44396</v>
      </c>
      <c r="D9259" s="108" t="s">
        <v>594</v>
      </c>
      <c r="E9259" s="108" t="s">
        <v>14605</v>
      </c>
      <c r="F9259" s="108" t="s">
        <v>593</v>
      </c>
      <c r="G9259" s="109">
        <v>46231</v>
      </c>
      <c r="H9259" s="108" t="s">
        <v>25458</v>
      </c>
      <c r="I9259" s="108" t="s">
        <v>133</v>
      </c>
    </row>
    <row r="9260" spans="1:9" ht="27.6">
      <c r="A9260" s="108" t="s">
        <v>96</v>
      </c>
      <c r="B9260" s="108" t="s">
        <v>3911</v>
      </c>
      <c r="C9260" s="109">
        <v>44426</v>
      </c>
      <c r="D9260" s="108" t="s">
        <v>26770</v>
      </c>
      <c r="E9260" s="108" t="s">
        <v>14605</v>
      </c>
      <c r="F9260" s="108" t="s">
        <v>3909</v>
      </c>
      <c r="G9260" s="109">
        <v>46234</v>
      </c>
      <c r="H9260" s="108" t="s">
        <v>25458</v>
      </c>
      <c r="I9260" s="108" t="s">
        <v>133</v>
      </c>
    </row>
    <row r="9261" spans="1:9" ht="27.6">
      <c r="A9261" s="108" t="s">
        <v>388</v>
      </c>
      <c r="B9261" s="108" t="s">
        <v>5195</v>
      </c>
      <c r="C9261" s="109">
        <v>44473</v>
      </c>
      <c r="D9261" s="108" t="s">
        <v>5196</v>
      </c>
      <c r="E9261" s="108" t="s">
        <v>14605</v>
      </c>
      <c r="F9261" s="108" t="s">
        <v>5145</v>
      </c>
      <c r="G9261" s="109">
        <v>46317</v>
      </c>
      <c r="H9261" s="108" t="s">
        <v>25458</v>
      </c>
      <c r="I9261" s="108" t="s">
        <v>133</v>
      </c>
    </row>
    <row r="9262" spans="1:9" ht="27.6">
      <c r="A9262" s="108" t="s">
        <v>96</v>
      </c>
      <c r="B9262" s="108" t="s">
        <v>4807</v>
      </c>
      <c r="C9262" s="109">
        <v>44539</v>
      </c>
      <c r="D9262" s="108" t="s">
        <v>4808</v>
      </c>
      <c r="E9262" s="108" t="s">
        <v>14605</v>
      </c>
      <c r="F9262" s="108" t="s">
        <v>4805</v>
      </c>
      <c r="G9262" s="109">
        <v>46013</v>
      </c>
      <c r="H9262" s="108" t="s">
        <v>25458</v>
      </c>
      <c r="I9262" s="108" t="s">
        <v>133</v>
      </c>
    </row>
    <row r="9263" spans="1:9" ht="27.6">
      <c r="A9263" s="108" t="s">
        <v>96</v>
      </c>
      <c r="B9263" s="108" t="s">
        <v>1096</v>
      </c>
      <c r="C9263" s="109">
        <v>44704</v>
      </c>
      <c r="D9263" s="108" t="s">
        <v>1098</v>
      </c>
      <c r="E9263" s="108" t="s">
        <v>14605</v>
      </c>
      <c r="F9263" s="108" t="s">
        <v>1097</v>
      </c>
      <c r="G9263" s="109">
        <v>46122</v>
      </c>
      <c r="H9263" s="108" t="s">
        <v>25458</v>
      </c>
      <c r="I9263" s="108" t="s">
        <v>133</v>
      </c>
    </row>
    <row r="9264" spans="1:9" ht="27.6">
      <c r="A9264" s="108" t="s">
        <v>96</v>
      </c>
      <c r="B9264" s="108" t="s">
        <v>4458</v>
      </c>
      <c r="C9264" s="109">
        <v>44762</v>
      </c>
      <c r="D9264" s="108" t="s">
        <v>4459</v>
      </c>
      <c r="E9264" s="108" t="s">
        <v>14605</v>
      </c>
      <c r="F9264" s="108" t="s">
        <v>4448</v>
      </c>
      <c r="G9264" s="109">
        <v>46227</v>
      </c>
      <c r="H9264" s="108" t="s">
        <v>25458</v>
      </c>
      <c r="I9264" s="108" t="s">
        <v>133</v>
      </c>
    </row>
    <row r="9265" spans="1:9" ht="27.6">
      <c r="A9265" s="108" t="s">
        <v>96</v>
      </c>
      <c r="B9265" s="108" t="s">
        <v>4313</v>
      </c>
      <c r="C9265" s="109">
        <v>45308</v>
      </c>
      <c r="D9265" s="108" t="s">
        <v>4315</v>
      </c>
      <c r="E9265" s="108" t="s">
        <v>14605</v>
      </c>
      <c r="F9265" s="108" t="s">
        <v>4314</v>
      </c>
      <c r="G9265" s="109">
        <v>46034</v>
      </c>
      <c r="H9265" s="108" t="s">
        <v>25458</v>
      </c>
      <c r="I9265" s="108" t="s">
        <v>133</v>
      </c>
    </row>
    <row r="9266" spans="1:9">
      <c r="A9266" s="108" t="s">
        <v>244</v>
      </c>
      <c r="B9266" s="108" t="s">
        <v>3070</v>
      </c>
      <c r="C9266" s="109">
        <v>44665</v>
      </c>
      <c r="D9266" s="108" t="s">
        <v>3071</v>
      </c>
      <c r="E9266" s="108" t="s">
        <v>14605</v>
      </c>
      <c r="F9266" s="108" t="s">
        <v>3056</v>
      </c>
      <c r="G9266" s="109">
        <v>46203</v>
      </c>
      <c r="H9266" s="108" t="s">
        <v>25458</v>
      </c>
      <c r="I9266" s="108" t="s">
        <v>133</v>
      </c>
    </row>
    <row r="9267" spans="1:9">
      <c r="A9267" s="108" t="s">
        <v>15990</v>
      </c>
      <c r="B9267" s="108" t="s">
        <v>4519</v>
      </c>
      <c r="C9267" s="109">
        <v>45015</v>
      </c>
      <c r="D9267" s="108" t="s">
        <v>4520</v>
      </c>
      <c r="E9267" s="108" t="s">
        <v>14605</v>
      </c>
      <c r="F9267" s="108" t="s">
        <v>4515</v>
      </c>
      <c r="G9267" s="109">
        <v>46201</v>
      </c>
      <c r="H9267" s="108" t="s">
        <v>25458</v>
      </c>
      <c r="I9267" s="108" t="s">
        <v>133</v>
      </c>
    </row>
    <row r="9268" spans="1:9">
      <c r="A9268" s="108" t="s">
        <v>244</v>
      </c>
      <c r="B9268" s="108" t="s">
        <v>1744</v>
      </c>
      <c r="C9268" s="109">
        <v>45090</v>
      </c>
      <c r="D9268" s="108" t="s">
        <v>1746</v>
      </c>
      <c r="E9268" s="108" t="s">
        <v>14605</v>
      </c>
      <c r="F9268" s="108" t="s">
        <v>1745</v>
      </c>
      <c r="G9268" s="109">
        <v>46548</v>
      </c>
      <c r="H9268" s="108" t="s">
        <v>25458</v>
      </c>
      <c r="I9268" s="108" t="s">
        <v>133</v>
      </c>
    </row>
    <row r="9269" spans="1:9" ht="27.6">
      <c r="A9269" s="108" t="s">
        <v>15990</v>
      </c>
      <c r="B9269" s="108" t="s">
        <v>2997</v>
      </c>
      <c r="C9269" s="109">
        <v>45291</v>
      </c>
      <c r="D9269" s="108" t="s">
        <v>2998</v>
      </c>
      <c r="E9269" s="108" t="s">
        <v>14605</v>
      </c>
      <c r="F9269" s="108" t="s">
        <v>26178</v>
      </c>
      <c r="G9269" s="109">
        <v>46022</v>
      </c>
      <c r="H9269" s="108" t="s">
        <v>25458</v>
      </c>
      <c r="I9269" s="108" t="s">
        <v>133</v>
      </c>
    </row>
    <row r="9270" spans="1:9">
      <c r="A9270" s="108" t="s">
        <v>503</v>
      </c>
      <c r="B9270" s="108" t="s">
        <v>3486</v>
      </c>
      <c r="C9270" s="109">
        <v>45300</v>
      </c>
      <c r="D9270" s="108" t="s">
        <v>3487</v>
      </c>
      <c r="E9270" s="108" t="s">
        <v>14605</v>
      </c>
      <c r="F9270" s="108" t="s">
        <v>16589</v>
      </c>
      <c r="G9270" s="109">
        <v>46046</v>
      </c>
      <c r="H9270" s="108" t="s">
        <v>25458</v>
      </c>
      <c r="I9270" s="108" t="s">
        <v>133</v>
      </c>
    </row>
    <row r="9271" spans="1:9">
      <c r="A9271" s="108" t="s">
        <v>16151</v>
      </c>
      <c r="B9271" s="108" t="s">
        <v>4331</v>
      </c>
      <c r="C9271" s="109">
        <v>43607</v>
      </c>
      <c r="D9271" s="108" t="s">
        <v>4332</v>
      </c>
      <c r="E9271" s="108" t="s">
        <v>14605</v>
      </c>
      <c r="F9271" s="108" t="s">
        <v>4319</v>
      </c>
      <c r="G9271" s="109">
        <v>46147</v>
      </c>
      <c r="H9271" s="108" t="s">
        <v>25458</v>
      </c>
      <c r="I9271" s="108" t="s">
        <v>133</v>
      </c>
    </row>
    <row r="9272" spans="1:9">
      <c r="A9272" s="108" t="s">
        <v>16151</v>
      </c>
      <c r="B9272" s="108" t="s">
        <v>4946</v>
      </c>
      <c r="C9272" s="109">
        <v>43649</v>
      </c>
      <c r="D9272" s="108" t="s">
        <v>4948</v>
      </c>
      <c r="E9272" s="108" t="s">
        <v>14605</v>
      </c>
      <c r="F9272" s="108" t="s">
        <v>4947</v>
      </c>
      <c r="G9272" s="109">
        <v>46024</v>
      </c>
      <c r="H9272" s="108" t="s">
        <v>25458</v>
      </c>
      <c r="I9272" s="108" t="s">
        <v>133</v>
      </c>
    </row>
    <row r="9273" spans="1:9">
      <c r="A9273" s="108" t="s">
        <v>16151</v>
      </c>
      <c r="B9273" s="108" t="s">
        <v>4454</v>
      </c>
      <c r="C9273" s="109">
        <v>43734</v>
      </c>
      <c r="D9273" s="108" t="s">
        <v>4455</v>
      </c>
      <c r="E9273" s="108" t="s">
        <v>14605</v>
      </c>
      <c r="F9273" s="108" t="s">
        <v>4448</v>
      </c>
      <c r="G9273" s="109">
        <v>45688</v>
      </c>
      <c r="H9273" s="108" t="s">
        <v>25458</v>
      </c>
      <c r="I9273" s="108" t="s">
        <v>133</v>
      </c>
    </row>
    <row r="9274" spans="1:9">
      <c r="A9274" s="108" t="s">
        <v>16151</v>
      </c>
      <c r="B9274" s="108" t="s">
        <v>4904</v>
      </c>
      <c r="C9274" s="109">
        <v>43732</v>
      </c>
      <c r="D9274" s="108" t="s">
        <v>4905</v>
      </c>
      <c r="E9274" s="108" t="s">
        <v>14605</v>
      </c>
      <c r="F9274" s="108" t="s">
        <v>4898</v>
      </c>
      <c r="G9274" s="109">
        <v>45900</v>
      </c>
      <c r="H9274" s="108" t="s">
        <v>25458</v>
      </c>
      <c r="I9274" s="108" t="s">
        <v>133</v>
      </c>
    </row>
    <row r="9275" spans="1:9">
      <c r="A9275" s="108" t="s">
        <v>16151</v>
      </c>
      <c r="B9275" s="108" t="s">
        <v>4817</v>
      </c>
      <c r="C9275" s="109">
        <v>43790</v>
      </c>
      <c r="D9275" s="108" t="s">
        <v>4819</v>
      </c>
      <c r="E9275" s="108" t="s">
        <v>14605</v>
      </c>
      <c r="F9275" s="108" t="s">
        <v>4818</v>
      </c>
      <c r="G9275" s="109">
        <v>45900</v>
      </c>
      <c r="H9275" s="108" t="s">
        <v>25458</v>
      </c>
      <c r="I9275" s="108" t="s">
        <v>133</v>
      </c>
    </row>
    <row r="9276" spans="1:9">
      <c r="A9276" s="108" t="s">
        <v>16151</v>
      </c>
      <c r="B9276" s="108" t="s">
        <v>2654</v>
      </c>
      <c r="C9276" s="109">
        <v>43811</v>
      </c>
      <c r="D9276" s="108" t="s">
        <v>2656</v>
      </c>
      <c r="E9276" s="108" t="s">
        <v>14605</v>
      </c>
      <c r="F9276" s="108" t="s">
        <v>2655</v>
      </c>
      <c r="G9276" s="109">
        <v>46098</v>
      </c>
      <c r="H9276" s="108" t="s">
        <v>25458</v>
      </c>
      <c r="I9276" s="108" t="s">
        <v>133</v>
      </c>
    </row>
    <row r="9277" spans="1:9">
      <c r="A9277" s="108" t="s">
        <v>16151</v>
      </c>
      <c r="B9277" s="108" t="s">
        <v>4742</v>
      </c>
      <c r="C9277" s="109">
        <v>43837</v>
      </c>
      <c r="D9277" s="108" t="s">
        <v>4743</v>
      </c>
      <c r="E9277" s="108" t="s">
        <v>14605</v>
      </c>
      <c r="F9277" s="108" t="s">
        <v>4732</v>
      </c>
      <c r="G9277" s="109">
        <v>46002</v>
      </c>
      <c r="H9277" s="108" t="s">
        <v>25458</v>
      </c>
      <c r="I9277" s="108" t="s">
        <v>133</v>
      </c>
    </row>
    <row r="9278" spans="1:9">
      <c r="A9278" s="108" t="s">
        <v>16151</v>
      </c>
      <c r="B9278" s="108" t="s">
        <v>2485</v>
      </c>
      <c r="C9278" s="109">
        <v>43873</v>
      </c>
      <c r="D9278" s="108" t="s">
        <v>2486</v>
      </c>
      <c r="E9278" s="108" t="s">
        <v>14605</v>
      </c>
      <c r="F9278" s="108" t="s">
        <v>2475</v>
      </c>
      <c r="G9278" s="109">
        <v>46129</v>
      </c>
      <c r="H9278" s="108" t="s">
        <v>25458</v>
      </c>
      <c r="I9278" s="108" t="s">
        <v>133</v>
      </c>
    </row>
    <row r="9279" spans="1:9">
      <c r="A9279" s="108" t="s">
        <v>16151</v>
      </c>
      <c r="B9279" s="108" t="s">
        <v>3011</v>
      </c>
      <c r="C9279" s="109">
        <v>43874</v>
      </c>
      <c r="D9279" s="108" t="s">
        <v>3012</v>
      </c>
      <c r="E9279" s="108" t="s">
        <v>14605</v>
      </c>
      <c r="F9279" s="108" t="s">
        <v>3009</v>
      </c>
      <c r="G9279" s="109">
        <v>46173</v>
      </c>
      <c r="H9279" s="108" t="s">
        <v>25458</v>
      </c>
      <c r="I9279" s="108" t="s">
        <v>133</v>
      </c>
    </row>
    <row r="9280" spans="1:9">
      <c r="A9280" s="108" t="s">
        <v>16151</v>
      </c>
      <c r="B9280" s="108" t="s">
        <v>3008</v>
      </c>
      <c r="C9280" s="109">
        <v>43887</v>
      </c>
      <c r="D9280" s="108" t="s">
        <v>3010</v>
      </c>
      <c r="E9280" s="108" t="s">
        <v>14605</v>
      </c>
      <c r="F9280" s="108" t="s">
        <v>3009</v>
      </c>
      <c r="G9280" s="109">
        <v>46173</v>
      </c>
      <c r="H9280" s="108" t="s">
        <v>25458</v>
      </c>
      <c r="I9280" s="108" t="s">
        <v>133</v>
      </c>
    </row>
    <row r="9281" spans="1:9">
      <c r="A9281" s="108" t="s">
        <v>16151</v>
      </c>
      <c r="B9281" s="108" t="s">
        <v>4902</v>
      </c>
      <c r="C9281" s="109">
        <v>43970</v>
      </c>
      <c r="D9281" s="108" t="s">
        <v>4903</v>
      </c>
      <c r="E9281" s="108" t="s">
        <v>14605</v>
      </c>
      <c r="F9281" s="108" t="s">
        <v>4898</v>
      </c>
      <c r="G9281" s="109">
        <v>45900</v>
      </c>
      <c r="H9281" s="108" t="s">
        <v>25458</v>
      </c>
      <c r="I9281" s="108" t="s">
        <v>133</v>
      </c>
    </row>
    <row r="9282" spans="1:9">
      <c r="A9282" s="108" t="s">
        <v>16151</v>
      </c>
      <c r="B9282" s="108" t="s">
        <v>4153</v>
      </c>
      <c r="C9282" s="109">
        <v>43942</v>
      </c>
      <c r="D9282" s="108" t="s">
        <v>4154</v>
      </c>
      <c r="E9282" s="108" t="s">
        <v>14605</v>
      </c>
      <c r="F9282" s="108" t="s">
        <v>4151</v>
      </c>
      <c r="G9282" s="109">
        <v>46169</v>
      </c>
      <c r="H9282" s="108" t="s">
        <v>25458</v>
      </c>
      <c r="I9282" s="108" t="s">
        <v>133</v>
      </c>
    </row>
    <row r="9283" spans="1:9">
      <c r="A9283" s="108" t="s">
        <v>16151</v>
      </c>
      <c r="B9283" s="108" t="s">
        <v>4150</v>
      </c>
      <c r="C9283" s="109">
        <v>43956</v>
      </c>
      <c r="D9283" s="108" t="s">
        <v>4152</v>
      </c>
      <c r="E9283" s="108" t="s">
        <v>14605</v>
      </c>
      <c r="F9283" s="108" t="s">
        <v>4151</v>
      </c>
      <c r="G9283" s="109">
        <v>46169</v>
      </c>
      <c r="H9283" s="108" t="s">
        <v>25458</v>
      </c>
      <c r="I9283" s="108" t="s">
        <v>133</v>
      </c>
    </row>
    <row r="9284" spans="1:9" ht="27.6">
      <c r="A9284" s="108" t="s">
        <v>16151</v>
      </c>
      <c r="B9284" s="108" t="s">
        <v>1182</v>
      </c>
      <c r="C9284" s="109">
        <v>44021</v>
      </c>
      <c r="D9284" s="108" t="s">
        <v>1183</v>
      </c>
      <c r="E9284" s="108" t="s">
        <v>14605</v>
      </c>
      <c r="F9284" s="108" t="s">
        <v>1179</v>
      </c>
      <c r="G9284" s="109">
        <v>46162</v>
      </c>
      <c r="H9284" s="108" t="s">
        <v>25458</v>
      </c>
      <c r="I9284" s="108" t="s">
        <v>133</v>
      </c>
    </row>
    <row r="9285" spans="1:9">
      <c r="A9285" s="108" t="s">
        <v>16151</v>
      </c>
      <c r="B9285" s="108" t="s">
        <v>3046</v>
      </c>
      <c r="C9285" s="109">
        <v>44032</v>
      </c>
      <c r="D9285" s="108" t="s">
        <v>3047</v>
      </c>
      <c r="E9285" s="108" t="s">
        <v>14605</v>
      </c>
      <c r="F9285" s="108" t="s">
        <v>3044</v>
      </c>
      <c r="G9285" s="109">
        <v>46222</v>
      </c>
      <c r="H9285" s="108" t="s">
        <v>25458</v>
      </c>
      <c r="I9285" s="108" t="s">
        <v>133</v>
      </c>
    </row>
    <row r="9286" spans="1:9">
      <c r="A9286" s="108" t="s">
        <v>16151</v>
      </c>
      <c r="B9286" s="108" t="s">
        <v>5183</v>
      </c>
      <c r="C9286" s="109">
        <v>44020</v>
      </c>
      <c r="D9286" s="108" t="s">
        <v>5184</v>
      </c>
      <c r="E9286" s="108" t="s">
        <v>14605</v>
      </c>
      <c r="F9286" s="108" t="s">
        <v>5145</v>
      </c>
      <c r="G9286" s="109">
        <v>46210</v>
      </c>
      <c r="H9286" s="108" t="s">
        <v>25458</v>
      </c>
      <c r="I9286" s="108" t="s">
        <v>133</v>
      </c>
    </row>
    <row r="9287" spans="1:9" ht="27.6">
      <c r="A9287" s="108" t="s">
        <v>16151</v>
      </c>
      <c r="B9287" s="108" t="s">
        <v>1625</v>
      </c>
      <c r="C9287" s="109">
        <v>44049</v>
      </c>
      <c r="D9287" s="108" t="s">
        <v>1626</v>
      </c>
      <c r="E9287" s="108" t="s">
        <v>14605</v>
      </c>
      <c r="F9287" s="108" t="s">
        <v>1615</v>
      </c>
      <c r="G9287" s="109">
        <v>46239</v>
      </c>
      <c r="H9287" s="108" t="s">
        <v>25458</v>
      </c>
      <c r="I9287" s="108" t="s">
        <v>133</v>
      </c>
    </row>
    <row r="9288" spans="1:9">
      <c r="A9288" s="108" t="s">
        <v>16151</v>
      </c>
      <c r="B9288" s="108" t="s">
        <v>3731</v>
      </c>
      <c r="C9288" s="109">
        <v>44092</v>
      </c>
      <c r="D9288" s="108" t="s">
        <v>3732</v>
      </c>
      <c r="E9288" s="108" t="s">
        <v>14605</v>
      </c>
      <c r="F9288" s="108" t="s">
        <v>3727</v>
      </c>
      <c r="G9288" s="109">
        <v>45943</v>
      </c>
      <c r="H9288" s="108" t="s">
        <v>25458</v>
      </c>
      <c r="I9288" s="108" t="s">
        <v>133</v>
      </c>
    </row>
    <row r="9289" spans="1:9">
      <c r="A9289" s="108" t="s">
        <v>16151</v>
      </c>
      <c r="B9289" s="108" t="s">
        <v>1035</v>
      </c>
      <c r="C9289" s="109">
        <v>44167</v>
      </c>
      <c r="D9289" s="108" t="s">
        <v>1036</v>
      </c>
      <c r="E9289" s="108" t="s">
        <v>14605</v>
      </c>
      <c r="F9289" s="108" t="s">
        <v>1033</v>
      </c>
      <c r="G9289" s="109">
        <v>45978</v>
      </c>
      <c r="H9289" s="108" t="s">
        <v>25458</v>
      </c>
      <c r="I9289" s="108" t="s">
        <v>133</v>
      </c>
    </row>
    <row r="9290" spans="1:9">
      <c r="A9290" s="108" t="s">
        <v>16151</v>
      </c>
      <c r="B9290" s="108" t="s">
        <v>3908</v>
      </c>
      <c r="C9290" s="109">
        <v>44194</v>
      </c>
      <c r="D9290" s="108" t="s">
        <v>3910</v>
      </c>
      <c r="E9290" s="108" t="s">
        <v>14605</v>
      </c>
      <c r="F9290" s="108" t="s">
        <v>3909</v>
      </c>
      <c r="G9290" s="109">
        <v>46234</v>
      </c>
      <c r="H9290" s="108" t="s">
        <v>25458</v>
      </c>
      <c r="I9290" s="108" t="s">
        <v>133</v>
      </c>
    </row>
    <row r="9291" spans="1:9" ht="27.6">
      <c r="A9291" s="108" t="s">
        <v>16151</v>
      </c>
      <c r="B9291" s="108" t="s">
        <v>1776</v>
      </c>
      <c r="C9291" s="109">
        <v>44361</v>
      </c>
      <c r="D9291" s="108" t="s">
        <v>1777</v>
      </c>
      <c r="E9291" s="108" t="s">
        <v>14605</v>
      </c>
      <c r="F9291" s="108" t="s">
        <v>1770</v>
      </c>
      <c r="G9291" s="109">
        <v>46187</v>
      </c>
      <c r="H9291" s="108" t="s">
        <v>25458</v>
      </c>
      <c r="I9291" s="108" t="s">
        <v>133</v>
      </c>
    </row>
    <row r="9292" spans="1:9" ht="27.6">
      <c r="A9292" s="108" t="s">
        <v>16151</v>
      </c>
      <c r="B9292" s="108" t="s">
        <v>3617</v>
      </c>
      <c r="C9292" s="109">
        <v>44295</v>
      </c>
      <c r="D9292" s="108" t="s">
        <v>3618</v>
      </c>
      <c r="E9292" s="108" t="s">
        <v>14605</v>
      </c>
      <c r="F9292" s="108" t="s">
        <v>26591</v>
      </c>
      <c r="G9292" s="109">
        <v>45776</v>
      </c>
      <c r="H9292" s="108" t="s">
        <v>25458</v>
      </c>
      <c r="I9292" s="108" t="s">
        <v>133</v>
      </c>
    </row>
    <row r="9293" spans="1:9" ht="27.6">
      <c r="A9293" s="108" t="s">
        <v>16149</v>
      </c>
      <c r="B9293" s="108" t="s">
        <v>5181</v>
      </c>
      <c r="C9293" s="109">
        <v>44958</v>
      </c>
      <c r="D9293" s="108" t="s">
        <v>5182</v>
      </c>
      <c r="E9293" s="108" t="s">
        <v>14605</v>
      </c>
      <c r="F9293" s="108" t="s">
        <v>5145</v>
      </c>
      <c r="G9293" s="109">
        <v>46022</v>
      </c>
      <c r="H9293" s="108" t="s">
        <v>25458</v>
      </c>
      <c r="I9293" s="108" t="s">
        <v>133</v>
      </c>
    </row>
    <row r="9294" spans="1:9">
      <c r="A9294" s="108" t="s">
        <v>16151</v>
      </c>
      <c r="B9294" s="108" t="s">
        <v>1531</v>
      </c>
      <c r="C9294" s="109">
        <v>44270</v>
      </c>
      <c r="D9294" s="108" t="s">
        <v>1532</v>
      </c>
      <c r="E9294" s="108" t="s">
        <v>14605</v>
      </c>
      <c r="F9294" s="108" t="s">
        <v>1519</v>
      </c>
      <c r="G9294" s="109">
        <v>46022</v>
      </c>
      <c r="H9294" s="108" t="s">
        <v>25458</v>
      </c>
      <c r="I9294" s="108" t="s">
        <v>133</v>
      </c>
    </row>
    <row r="9295" spans="1:9">
      <c r="A9295" s="108" t="s">
        <v>16151</v>
      </c>
      <c r="B9295" s="108" t="s">
        <v>3020</v>
      </c>
      <c r="C9295" s="109">
        <v>44139</v>
      </c>
      <c r="D9295" s="108" t="s">
        <v>26771</v>
      </c>
      <c r="E9295" s="108" t="s">
        <v>14605</v>
      </c>
      <c r="F9295" s="108" t="s">
        <v>25626</v>
      </c>
      <c r="G9295" s="109">
        <v>46254</v>
      </c>
      <c r="H9295" s="108" t="s">
        <v>25458</v>
      </c>
      <c r="I9295" s="108" t="s">
        <v>133</v>
      </c>
    </row>
    <row r="9296" spans="1:9">
      <c r="A9296" s="108" t="s">
        <v>16151</v>
      </c>
      <c r="B9296" s="108" t="s">
        <v>900</v>
      </c>
      <c r="C9296" s="109">
        <v>44406</v>
      </c>
      <c r="D9296" s="108" t="s">
        <v>902</v>
      </c>
      <c r="E9296" s="108" t="s">
        <v>14605</v>
      </c>
      <c r="F9296" s="108" t="s">
        <v>901</v>
      </c>
      <c r="G9296" s="109">
        <v>46217</v>
      </c>
      <c r="H9296" s="108" t="s">
        <v>25458</v>
      </c>
      <c r="I9296" s="108" t="s">
        <v>133</v>
      </c>
    </row>
    <row r="9297" spans="1:9">
      <c r="A9297" s="108" t="s">
        <v>16151</v>
      </c>
      <c r="B9297" s="108" t="s">
        <v>341</v>
      </c>
      <c r="C9297" s="109">
        <v>44379</v>
      </c>
      <c r="D9297" s="108" t="s">
        <v>343</v>
      </c>
      <c r="E9297" s="108" t="s">
        <v>14605</v>
      </c>
      <c r="F9297" s="108" t="s">
        <v>342</v>
      </c>
      <c r="G9297" s="109">
        <v>46204</v>
      </c>
      <c r="H9297" s="108" t="s">
        <v>25458</v>
      </c>
      <c r="I9297" s="108" t="s">
        <v>133</v>
      </c>
    </row>
    <row r="9298" spans="1:9" ht="27.6">
      <c r="A9298" s="108" t="s">
        <v>16151</v>
      </c>
      <c r="B9298" s="108" t="s">
        <v>4066</v>
      </c>
      <c r="C9298" s="109">
        <v>44517</v>
      </c>
      <c r="D9298" s="108" t="s">
        <v>4068</v>
      </c>
      <c r="E9298" s="108" t="s">
        <v>14605</v>
      </c>
      <c r="F9298" s="108" t="s">
        <v>4067</v>
      </c>
      <c r="G9298" s="109">
        <v>46002</v>
      </c>
      <c r="H9298" s="108" t="s">
        <v>25458</v>
      </c>
      <c r="I9298" s="108" t="s">
        <v>133</v>
      </c>
    </row>
    <row r="9299" spans="1:9">
      <c r="A9299" s="108" t="s">
        <v>16151</v>
      </c>
      <c r="B9299" s="108" t="s">
        <v>754</v>
      </c>
      <c r="C9299" s="109">
        <v>44441</v>
      </c>
      <c r="D9299" s="108" t="s">
        <v>756</v>
      </c>
      <c r="E9299" s="108" t="s">
        <v>14605</v>
      </c>
      <c r="F9299" s="108" t="s">
        <v>755</v>
      </c>
      <c r="G9299" s="109">
        <v>45912</v>
      </c>
      <c r="H9299" s="108" t="s">
        <v>25458</v>
      </c>
      <c r="I9299" s="108" t="s">
        <v>133</v>
      </c>
    </row>
    <row r="9300" spans="1:9">
      <c r="A9300" s="108" t="s">
        <v>16151</v>
      </c>
      <c r="B9300" s="108" t="s">
        <v>1472</v>
      </c>
      <c r="C9300" s="109">
        <v>44453</v>
      </c>
      <c r="D9300" s="108" t="s">
        <v>1473</v>
      </c>
      <c r="E9300" s="108" t="s">
        <v>14605</v>
      </c>
      <c r="F9300" s="108" t="s">
        <v>1470</v>
      </c>
      <c r="G9300" s="109">
        <v>45916</v>
      </c>
      <c r="H9300" s="108" t="s">
        <v>25458</v>
      </c>
      <c r="I9300" s="108" t="s">
        <v>133</v>
      </c>
    </row>
    <row r="9301" spans="1:9">
      <c r="A9301" s="108" t="s">
        <v>16151</v>
      </c>
      <c r="B9301" s="108" t="s">
        <v>4339</v>
      </c>
      <c r="C9301" s="109">
        <v>44419</v>
      </c>
      <c r="D9301" s="108" t="s">
        <v>4340</v>
      </c>
      <c r="E9301" s="108" t="s">
        <v>14605</v>
      </c>
      <c r="F9301" s="108" t="s">
        <v>4337</v>
      </c>
      <c r="G9301" s="109">
        <v>45898</v>
      </c>
      <c r="H9301" s="108" t="s">
        <v>25458</v>
      </c>
      <c r="I9301" s="108" t="s">
        <v>133</v>
      </c>
    </row>
    <row r="9302" spans="1:9" ht="27.6">
      <c r="A9302" s="108" t="s">
        <v>16151</v>
      </c>
      <c r="B9302" s="108" t="s">
        <v>301</v>
      </c>
      <c r="C9302" s="109">
        <v>44466</v>
      </c>
      <c r="D9302" s="108" t="s">
        <v>302</v>
      </c>
      <c r="E9302" s="108" t="s">
        <v>14605</v>
      </c>
      <c r="F9302" s="108" t="s">
        <v>299</v>
      </c>
      <c r="G9302" s="109">
        <v>45929</v>
      </c>
      <c r="H9302" s="108" t="s">
        <v>25458</v>
      </c>
      <c r="I9302" s="108" t="s">
        <v>133</v>
      </c>
    </row>
    <row r="9303" spans="1:9">
      <c r="A9303" s="108" t="s">
        <v>16151</v>
      </c>
      <c r="B9303" s="108" t="s">
        <v>4433</v>
      </c>
      <c r="C9303" s="109">
        <v>44497</v>
      </c>
      <c r="D9303" s="108" t="s">
        <v>4435</v>
      </c>
      <c r="E9303" s="108" t="s">
        <v>14605</v>
      </c>
      <c r="F9303" s="108" t="s">
        <v>4434</v>
      </c>
      <c r="G9303" s="109">
        <v>45957</v>
      </c>
      <c r="H9303" s="108" t="s">
        <v>25458</v>
      </c>
      <c r="I9303" s="108" t="s">
        <v>133</v>
      </c>
    </row>
    <row r="9304" spans="1:9" ht="27.6">
      <c r="A9304" s="108" t="s">
        <v>16151</v>
      </c>
      <c r="B9304" s="108" t="s">
        <v>4288</v>
      </c>
      <c r="C9304" s="109">
        <v>44501</v>
      </c>
      <c r="D9304" s="108" t="s">
        <v>4289</v>
      </c>
      <c r="E9304" s="108" t="s">
        <v>14605</v>
      </c>
      <c r="F9304" s="108" t="s">
        <v>4276</v>
      </c>
      <c r="G9304" s="109">
        <v>45958</v>
      </c>
      <c r="H9304" s="108" t="s">
        <v>25458</v>
      </c>
      <c r="I9304" s="108" t="s">
        <v>133</v>
      </c>
    </row>
    <row r="9305" spans="1:9" ht="27.6">
      <c r="A9305" s="108" t="s">
        <v>16151</v>
      </c>
      <c r="B9305" s="108" t="s">
        <v>1733</v>
      </c>
      <c r="C9305" s="109">
        <v>44949</v>
      </c>
      <c r="D9305" s="108" t="s">
        <v>1734</v>
      </c>
      <c r="E9305" s="108" t="s">
        <v>14605</v>
      </c>
      <c r="F9305" s="108" t="s">
        <v>25651</v>
      </c>
      <c r="G9305" s="109">
        <v>46076</v>
      </c>
      <c r="H9305" s="108" t="s">
        <v>25458</v>
      </c>
      <c r="I9305" s="108" t="s">
        <v>133</v>
      </c>
    </row>
    <row r="9306" spans="1:9">
      <c r="A9306" s="108" t="s">
        <v>16151</v>
      </c>
      <c r="B9306" s="108" t="s">
        <v>2782</v>
      </c>
      <c r="C9306" s="109">
        <v>44574</v>
      </c>
      <c r="D9306" s="108" t="s">
        <v>2784</v>
      </c>
      <c r="E9306" s="108" t="s">
        <v>14605</v>
      </c>
      <c r="F9306" s="108" t="s">
        <v>2783</v>
      </c>
      <c r="G9306" s="109">
        <v>45935</v>
      </c>
      <c r="H9306" s="108" t="s">
        <v>25458</v>
      </c>
      <c r="I9306" s="108" t="s">
        <v>133</v>
      </c>
    </row>
    <row r="9307" spans="1:9">
      <c r="A9307" s="108" t="s">
        <v>16151</v>
      </c>
      <c r="B9307" s="108" t="s">
        <v>294</v>
      </c>
      <c r="C9307" s="109">
        <v>44510</v>
      </c>
      <c r="D9307" s="108" t="s">
        <v>296</v>
      </c>
      <c r="E9307" s="108" t="s">
        <v>14605</v>
      </c>
      <c r="F9307" s="108" t="s">
        <v>295</v>
      </c>
      <c r="G9307" s="109">
        <v>45989</v>
      </c>
      <c r="H9307" s="108" t="s">
        <v>25458</v>
      </c>
      <c r="I9307" s="108" t="s">
        <v>133</v>
      </c>
    </row>
    <row r="9308" spans="1:9">
      <c r="A9308" s="108" t="s">
        <v>16151</v>
      </c>
      <c r="B9308" s="108" t="s">
        <v>3776</v>
      </c>
      <c r="C9308" s="109">
        <v>44596</v>
      </c>
      <c r="D9308" s="108" t="s">
        <v>3778</v>
      </c>
      <c r="E9308" s="108" t="s">
        <v>14605</v>
      </c>
      <c r="F9308" s="108" t="s">
        <v>3777</v>
      </c>
      <c r="G9308" s="109">
        <v>46036</v>
      </c>
      <c r="H9308" s="108" t="s">
        <v>25458</v>
      </c>
      <c r="I9308" s="108" t="s">
        <v>133</v>
      </c>
    </row>
    <row r="9309" spans="1:9">
      <c r="A9309" s="108" t="s">
        <v>16151</v>
      </c>
      <c r="B9309" s="108" t="s">
        <v>3659</v>
      </c>
      <c r="C9309" s="109">
        <v>44614</v>
      </c>
      <c r="D9309" s="108" t="s">
        <v>3660</v>
      </c>
      <c r="E9309" s="108" t="s">
        <v>14605</v>
      </c>
      <c r="F9309" s="108" t="s">
        <v>3657</v>
      </c>
      <c r="G9309" s="109">
        <v>46142</v>
      </c>
      <c r="H9309" s="108" t="s">
        <v>25458</v>
      </c>
      <c r="I9309" s="108" t="s">
        <v>133</v>
      </c>
    </row>
    <row r="9310" spans="1:9">
      <c r="A9310" s="108" t="s">
        <v>16151</v>
      </c>
      <c r="B9310" s="108" t="s">
        <v>3720</v>
      </c>
      <c r="C9310" s="109">
        <v>44657</v>
      </c>
      <c r="D9310" s="108" t="s">
        <v>3722</v>
      </c>
      <c r="E9310" s="108" t="s">
        <v>14605</v>
      </c>
      <c r="F9310" s="108" t="s">
        <v>3721</v>
      </c>
      <c r="G9310" s="109">
        <v>46132</v>
      </c>
      <c r="H9310" s="108" t="s">
        <v>25458</v>
      </c>
      <c r="I9310" s="108" t="s">
        <v>133</v>
      </c>
    </row>
    <row r="9311" spans="1:9">
      <c r="A9311" s="108" t="s">
        <v>16151</v>
      </c>
      <c r="B9311" s="108" t="s">
        <v>4863</v>
      </c>
      <c r="C9311" s="109">
        <v>44642</v>
      </c>
      <c r="D9311" s="108" t="s">
        <v>4864</v>
      </c>
      <c r="E9311" s="108" t="s">
        <v>14605</v>
      </c>
      <c r="F9311" s="108" t="s">
        <v>4857</v>
      </c>
      <c r="G9311" s="109">
        <v>46120</v>
      </c>
      <c r="H9311" s="108" t="s">
        <v>25458</v>
      </c>
      <c r="I9311" s="108" t="s">
        <v>133</v>
      </c>
    </row>
    <row r="9312" spans="1:9">
      <c r="A9312" s="108" t="s">
        <v>16151</v>
      </c>
      <c r="B9312" s="108" t="s">
        <v>40</v>
      </c>
      <c r="C9312" s="109">
        <v>44657</v>
      </c>
      <c r="D9312" s="108" t="s">
        <v>2381</v>
      </c>
      <c r="E9312" s="108" t="s">
        <v>14605</v>
      </c>
      <c r="F9312" s="108" t="s">
        <v>2379</v>
      </c>
      <c r="G9312" s="109">
        <v>46139</v>
      </c>
      <c r="H9312" s="108" t="s">
        <v>25458</v>
      </c>
      <c r="I9312" s="108" t="s">
        <v>133</v>
      </c>
    </row>
    <row r="9313" spans="1:9" ht="27.6">
      <c r="A9313" s="108" t="s">
        <v>16151</v>
      </c>
      <c r="B9313" s="108" t="s">
        <v>2990</v>
      </c>
      <c r="C9313" s="109">
        <v>44820</v>
      </c>
      <c r="D9313" s="108" t="s">
        <v>2991</v>
      </c>
      <c r="E9313" s="108" t="s">
        <v>14605</v>
      </c>
      <c r="F9313" s="108" t="s">
        <v>16249</v>
      </c>
      <c r="G9313" s="109">
        <v>46022</v>
      </c>
      <c r="H9313" s="108" t="s">
        <v>25458</v>
      </c>
      <c r="I9313" s="108" t="s">
        <v>133</v>
      </c>
    </row>
    <row r="9314" spans="1:9">
      <c r="A9314" s="108" t="s">
        <v>16151</v>
      </c>
      <c r="B9314" s="108" t="s">
        <v>2422</v>
      </c>
      <c r="C9314" s="109">
        <v>44777</v>
      </c>
      <c r="D9314" s="108" t="s">
        <v>2423</v>
      </c>
      <c r="E9314" s="108" t="s">
        <v>14605</v>
      </c>
      <c r="F9314" s="108" t="s">
        <v>2418</v>
      </c>
      <c r="G9314" s="109">
        <v>46022</v>
      </c>
      <c r="H9314" s="108" t="s">
        <v>25458</v>
      </c>
      <c r="I9314" s="108" t="s">
        <v>133</v>
      </c>
    </row>
    <row r="9315" spans="1:9">
      <c r="A9315" s="108" t="s">
        <v>16151</v>
      </c>
      <c r="B9315" s="108" t="s">
        <v>136</v>
      </c>
      <c r="C9315" s="109">
        <v>44755</v>
      </c>
      <c r="D9315" s="108" t="s">
        <v>137</v>
      </c>
      <c r="E9315" s="108" t="s">
        <v>14605</v>
      </c>
      <c r="F9315" s="108" t="s">
        <v>129</v>
      </c>
      <c r="G9315" s="109">
        <v>46050</v>
      </c>
      <c r="H9315" s="108" t="s">
        <v>25458</v>
      </c>
      <c r="I9315" s="108" t="s">
        <v>133</v>
      </c>
    </row>
    <row r="9316" spans="1:9">
      <c r="A9316" s="108" t="s">
        <v>16151</v>
      </c>
      <c r="B9316" s="108" t="s">
        <v>251</v>
      </c>
      <c r="C9316" s="109">
        <v>44847</v>
      </c>
      <c r="D9316" s="108" t="s">
        <v>253</v>
      </c>
      <c r="E9316" s="108" t="s">
        <v>14605</v>
      </c>
      <c r="F9316" s="108" t="s">
        <v>252</v>
      </c>
      <c r="G9316" s="109">
        <v>46022</v>
      </c>
      <c r="H9316" s="108" t="s">
        <v>25458</v>
      </c>
      <c r="I9316" s="108" t="s">
        <v>133</v>
      </c>
    </row>
    <row r="9317" spans="1:9">
      <c r="A9317" s="108" t="s">
        <v>16151</v>
      </c>
      <c r="B9317" s="108" t="s">
        <v>326</v>
      </c>
      <c r="C9317" s="109">
        <v>44855</v>
      </c>
      <c r="D9317" s="108" t="s">
        <v>328</v>
      </c>
      <c r="E9317" s="108" t="s">
        <v>14605</v>
      </c>
      <c r="F9317" s="108" t="s">
        <v>327</v>
      </c>
      <c r="G9317" s="109">
        <v>45956</v>
      </c>
      <c r="H9317" s="108" t="s">
        <v>25458</v>
      </c>
      <c r="I9317" s="108" t="s">
        <v>133</v>
      </c>
    </row>
    <row r="9318" spans="1:9">
      <c r="A9318" s="108" t="s">
        <v>16151</v>
      </c>
      <c r="B9318" s="108" t="s">
        <v>950</v>
      </c>
      <c r="C9318" s="109">
        <v>44861</v>
      </c>
      <c r="D9318" s="108" t="s">
        <v>952</v>
      </c>
      <c r="E9318" s="108" t="s">
        <v>14605</v>
      </c>
      <c r="F9318" s="108" t="s">
        <v>951</v>
      </c>
      <c r="G9318" s="109">
        <v>45970</v>
      </c>
      <c r="H9318" s="108" t="s">
        <v>25458</v>
      </c>
      <c r="I9318" s="108" t="s">
        <v>133</v>
      </c>
    </row>
    <row r="9319" spans="1:9" ht="27.6">
      <c r="A9319" s="108" t="s">
        <v>16149</v>
      </c>
      <c r="B9319" s="108" t="s">
        <v>4897</v>
      </c>
      <c r="C9319" s="109">
        <v>45691</v>
      </c>
      <c r="D9319" s="108" t="s">
        <v>4899</v>
      </c>
      <c r="E9319" s="108" t="s">
        <v>14605</v>
      </c>
      <c r="F9319" s="108" t="s">
        <v>4898</v>
      </c>
      <c r="G9319" s="109">
        <v>46229</v>
      </c>
      <c r="H9319" s="108" t="s">
        <v>25458</v>
      </c>
      <c r="I9319" s="108" t="s">
        <v>133</v>
      </c>
    </row>
    <row r="9320" spans="1:9">
      <c r="A9320" s="108" t="s">
        <v>16151</v>
      </c>
      <c r="B9320" s="108" t="s">
        <v>4738</v>
      </c>
      <c r="C9320" s="109">
        <v>44972</v>
      </c>
      <c r="D9320" s="108" t="s">
        <v>4739</v>
      </c>
      <c r="E9320" s="108" t="s">
        <v>14605</v>
      </c>
      <c r="F9320" s="108" t="s">
        <v>4732</v>
      </c>
      <c r="G9320" s="109">
        <v>46002</v>
      </c>
      <c r="H9320" s="108" t="s">
        <v>25458</v>
      </c>
      <c r="I9320" s="108" t="s">
        <v>133</v>
      </c>
    </row>
    <row r="9321" spans="1:9">
      <c r="A9321" s="108" t="s">
        <v>16151</v>
      </c>
      <c r="B9321" s="108" t="s">
        <v>791</v>
      </c>
      <c r="C9321" s="109">
        <v>45083</v>
      </c>
      <c r="D9321" s="108" t="s">
        <v>792</v>
      </c>
      <c r="E9321" s="108" t="s">
        <v>14605</v>
      </c>
      <c r="F9321" s="108" t="s">
        <v>25907</v>
      </c>
      <c r="G9321" s="109">
        <v>45814</v>
      </c>
      <c r="H9321" s="108" t="s">
        <v>25458</v>
      </c>
      <c r="I9321" s="108" t="s">
        <v>133</v>
      </c>
    </row>
    <row r="9322" spans="1:9">
      <c r="A9322" s="108" t="s">
        <v>16151</v>
      </c>
      <c r="B9322" s="108" t="s">
        <v>2076</v>
      </c>
      <c r="C9322" s="109">
        <v>45018</v>
      </c>
      <c r="D9322" s="108" t="s">
        <v>2077</v>
      </c>
      <c r="E9322" s="108" t="s">
        <v>14605</v>
      </c>
      <c r="F9322" s="108" t="s">
        <v>2074</v>
      </c>
      <c r="G9322" s="109">
        <v>46217</v>
      </c>
      <c r="H9322" s="108" t="s">
        <v>25458</v>
      </c>
      <c r="I9322" s="108" t="s">
        <v>133</v>
      </c>
    </row>
    <row r="9323" spans="1:9">
      <c r="A9323" s="108" t="s">
        <v>16151</v>
      </c>
      <c r="B9323" s="108" t="s">
        <v>2073</v>
      </c>
      <c r="C9323" s="109">
        <v>45018</v>
      </c>
      <c r="D9323" s="108" t="s">
        <v>2075</v>
      </c>
      <c r="E9323" s="108" t="s">
        <v>14605</v>
      </c>
      <c r="F9323" s="108" t="s">
        <v>2074</v>
      </c>
      <c r="G9323" s="109">
        <v>46217</v>
      </c>
      <c r="H9323" s="108" t="s">
        <v>25458</v>
      </c>
      <c r="I9323" s="108" t="s">
        <v>133</v>
      </c>
    </row>
    <row r="9324" spans="1:9">
      <c r="A9324" s="108" t="s">
        <v>16151</v>
      </c>
      <c r="B9324" s="108" t="s">
        <v>661</v>
      </c>
      <c r="C9324" s="109">
        <v>45008</v>
      </c>
      <c r="D9324" s="108" t="s">
        <v>663</v>
      </c>
      <c r="E9324" s="108" t="s">
        <v>14605</v>
      </c>
      <c r="F9324" s="108" t="s">
        <v>662</v>
      </c>
      <c r="G9324" s="109">
        <v>46793</v>
      </c>
      <c r="H9324" s="108" t="s">
        <v>25458</v>
      </c>
      <c r="I9324" s="108" t="s">
        <v>133</v>
      </c>
    </row>
    <row r="9325" spans="1:9">
      <c r="A9325" s="108" t="s">
        <v>16151</v>
      </c>
      <c r="B9325" s="108" t="s">
        <v>4581</v>
      </c>
      <c r="C9325" s="109">
        <v>45078</v>
      </c>
      <c r="D9325" s="108" t="s">
        <v>4582</v>
      </c>
      <c r="E9325" s="108" t="s">
        <v>14605</v>
      </c>
      <c r="F9325" s="108" t="s">
        <v>4576</v>
      </c>
      <c r="G9325" s="109">
        <v>46181</v>
      </c>
      <c r="H9325" s="108" t="s">
        <v>25458</v>
      </c>
      <c r="I9325" s="108" t="s">
        <v>133</v>
      </c>
    </row>
    <row r="9326" spans="1:9">
      <c r="A9326" s="108" t="s">
        <v>16151</v>
      </c>
      <c r="B9326" s="108" t="s">
        <v>3656</v>
      </c>
      <c r="C9326" s="109">
        <v>45051</v>
      </c>
      <c r="D9326" s="108" t="s">
        <v>3658</v>
      </c>
      <c r="E9326" s="108" t="s">
        <v>14605</v>
      </c>
      <c r="F9326" s="108" t="s">
        <v>3657</v>
      </c>
      <c r="G9326" s="109">
        <v>46142</v>
      </c>
      <c r="H9326" s="108" t="s">
        <v>25458</v>
      </c>
      <c r="I9326" s="108" t="s">
        <v>133</v>
      </c>
    </row>
    <row r="9327" spans="1:9" ht="27.6">
      <c r="A9327" s="108" t="s">
        <v>16151</v>
      </c>
      <c r="B9327" s="108" t="s">
        <v>4622</v>
      </c>
      <c r="C9327" s="109">
        <v>45066</v>
      </c>
      <c r="D9327" s="108" t="s">
        <v>4624</v>
      </c>
      <c r="E9327" s="108" t="s">
        <v>14605</v>
      </c>
      <c r="F9327" s="108" t="s">
        <v>4623</v>
      </c>
      <c r="G9327" s="109">
        <v>46180</v>
      </c>
      <c r="H9327" s="108" t="s">
        <v>25458</v>
      </c>
      <c r="I9327" s="108" t="s">
        <v>133</v>
      </c>
    </row>
    <row r="9328" spans="1:9" ht="27.6">
      <c r="A9328" s="108" t="s">
        <v>16151</v>
      </c>
      <c r="B9328" s="108" t="s">
        <v>2394</v>
      </c>
      <c r="C9328" s="109">
        <v>45077</v>
      </c>
      <c r="D9328" s="108" t="s">
        <v>2396</v>
      </c>
      <c r="E9328" s="108" t="s">
        <v>14605</v>
      </c>
      <c r="F9328" s="108" t="s">
        <v>2395</v>
      </c>
      <c r="G9328" s="109">
        <v>46188</v>
      </c>
      <c r="H9328" s="108" t="s">
        <v>25458</v>
      </c>
      <c r="I9328" s="108" t="s">
        <v>133</v>
      </c>
    </row>
    <row r="9329" spans="1:9">
      <c r="A9329" s="108" t="s">
        <v>16151</v>
      </c>
      <c r="B9329" s="108" t="s">
        <v>4579</v>
      </c>
      <c r="C9329" s="109">
        <v>45082</v>
      </c>
      <c r="D9329" s="108" t="s">
        <v>4580</v>
      </c>
      <c r="E9329" s="108" t="s">
        <v>14605</v>
      </c>
      <c r="F9329" s="108" t="s">
        <v>4576</v>
      </c>
      <c r="G9329" s="109">
        <v>46181</v>
      </c>
      <c r="H9329" s="108" t="s">
        <v>25458</v>
      </c>
      <c r="I9329" s="108" t="s">
        <v>133</v>
      </c>
    </row>
    <row r="9330" spans="1:9" ht="27.6">
      <c r="A9330" s="108" t="s">
        <v>16151</v>
      </c>
      <c r="B9330" s="108" t="s">
        <v>1178</v>
      </c>
      <c r="C9330" s="109">
        <v>45100</v>
      </c>
      <c r="D9330" s="108" t="s">
        <v>1180</v>
      </c>
      <c r="E9330" s="108" t="s">
        <v>14605</v>
      </c>
      <c r="F9330" s="108" t="s">
        <v>1179</v>
      </c>
      <c r="G9330" s="109">
        <v>46162</v>
      </c>
      <c r="H9330" s="108" t="s">
        <v>25458</v>
      </c>
      <c r="I9330" s="108" t="s">
        <v>133</v>
      </c>
    </row>
    <row r="9331" spans="1:9">
      <c r="A9331" s="108" t="s">
        <v>16151</v>
      </c>
      <c r="B9331" s="108" t="s">
        <v>4859</v>
      </c>
      <c r="C9331" s="109">
        <v>45250</v>
      </c>
      <c r="D9331" s="108" t="s">
        <v>4860</v>
      </c>
      <c r="E9331" s="108" t="s">
        <v>14605</v>
      </c>
      <c r="F9331" s="108" t="s">
        <v>4857</v>
      </c>
      <c r="G9331" s="109">
        <v>45980</v>
      </c>
      <c r="H9331" s="108" t="s">
        <v>25458</v>
      </c>
      <c r="I9331" s="108" t="s">
        <v>133</v>
      </c>
    </row>
    <row r="9332" spans="1:9">
      <c r="A9332" s="108" t="s">
        <v>16151</v>
      </c>
      <c r="B9332" s="108" t="s">
        <v>4577</v>
      </c>
      <c r="C9332" s="109">
        <v>45311</v>
      </c>
      <c r="D9332" s="108" t="s">
        <v>4578</v>
      </c>
      <c r="E9332" s="108" t="s">
        <v>14605</v>
      </c>
      <c r="F9332" s="108" t="s">
        <v>4576</v>
      </c>
      <c r="G9332" s="109">
        <v>46049</v>
      </c>
      <c r="H9332" s="108" t="s">
        <v>25458</v>
      </c>
      <c r="I9332" s="108" t="s">
        <v>133</v>
      </c>
    </row>
    <row r="9333" spans="1:9" ht="27.6">
      <c r="A9333" s="108" t="s">
        <v>16151</v>
      </c>
      <c r="B9333" s="108" t="s">
        <v>2986</v>
      </c>
      <c r="C9333" s="109">
        <v>45390</v>
      </c>
      <c r="D9333" s="108" t="s">
        <v>2987</v>
      </c>
      <c r="E9333" s="108" t="s">
        <v>14605</v>
      </c>
      <c r="F9333" s="108" t="s">
        <v>16249</v>
      </c>
      <c r="G9333" s="109">
        <v>46022</v>
      </c>
      <c r="H9333" s="108" t="s">
        <v>25458</v>
      </c>
      <c r="I9333" s="108" t="s">
        <v>133</v>
      </c>
    </row>
    <row r="9334" spans="1:9">
      <c r="A9334" s="108" t="s">
        <v>16151</v>
      </c>
      <c r="B9334" s="108" t="s">
        <v>4788</v>
      </c>
      <c r="C9334" s="109">
        <v>45370</v>
      </c>
      <c r="D9334" s="108" t="s">
        <v>4789</v>
      </c>
      <c r="E9334" s="108" t="s">
        <v>14605</v>
      </c>
      <c r="F9334" s="108" t="s">
        <v>4786</v>
      </c>
      <c r="G9334" s="109">
        <v>46104</v>
      </c>
      <c r="H9334" s="108" t="s">
        <v>25458</v>
      </c>
      <c r="I9334" s="108" t="s">
        <v>133</v>
      </c>
    </row>
    <row r="9335" spans="1:9">
      <c r="A9335" s="108" t="s">
        <v>16151</v>
      </c>
      <c r="B9335" s="108" t="s">
        <v>3060</v>
      </c>
      <c r="C9335" s="109">
        <v>45449</v>
      </c>
      <c r="D9335" s="108" t="s">
        <v>3061</v>
      </c>
      <c r="E9335" s="108" t="s">
        <v>14605</v>
      </c>
      <c r="F9335" s="108" t="s">
        <v>3056</v>
      </c>
      <c r="G9335" s="109">
        <v>46171</v>
      </c>
      <c r="H9335" s="108" t="s">
        <v>25458</v>
      </c>
      <c r="I9335" s="108" t="s">
        <v>133</v>
      </c>
    </row>
    <row r="9336" spans="1:9">
      <c r="A9336" s="108" t="s">
        <v>16151</v>
      </c>
      <c r="B9336" s="108" t="s">
        <v>5159</v>
      </c>
      <c r="C9336" s="109">
        <v>45483</v>
      </c>
      <c r="D9336" s="108" t="s">
        <v>5160</v>
      </c>
      <c r="E9336" s="108" t="s">
        <v>14605</v>
      </c>
      <c r="F9336" s="108" t="s">
        <v>5145</v>
      </c>
      <c r="G9336" s="109">
        <v>46215</v>
      </c>
      <c r="H9336" s="108" t="s">
        <v>25458</v>
      </c>
      <c r="I9336" s="108" t="s">
        <v>133</v>
      </c>
    </row>
    <row r="9337" spans="1:9">
      <c r="A9337" s="108" t="s">
        <v>16151</v>
      </c>
      <c r="B9337" s="108" t="s">
        <v>4057</v>
      </c>
      <c r="C9337" s="109">
        <v>45462</v>
      </c>
      <c r="D9337" s="108" t="s">
        <v>4059</v>
      </c>
      <c r="E9337" s="108" t="s">
        <v>14605</v>
      </c>
      <c r="F9337" s="108" t="s">
        <v>4058</v>
      </c>
      <c r="G9337" s="109">
        <v>46209</v>
      </c>
      <c r="H9337" s="108" t="s">
        <v>25458</v>
      </c>
      <c r="I9337" s="108" t="s">
        <v>133</v>
      </c>
    </row>
    <row r="9338" spans="1:9">
      <c r="A9338" s="108" t="s">
        <v>16151</v>
      </c>
      <c r="B9338" s="108" t="s">
        <v>1469</v>
      </c>
      <c r="C9338" s="109">
        <v>45499</v>
      </c>
      <c r="D9338" s="108" t="s">
        <v>1471</v>
      </c>
      <c r="E9338" s="108" t="s">
        <v>14605</v>
      </c>
      <c r="F9338" s="108" t="s">
        <v>1470</v>
      </c>
      <c r="G9338" s="109">
        <v>46243</v>
      </c>
      <c r="H9338" s="108" t="s">
        <v>25458</v>
      </c>
      <c r="I9338" s="108" t="s">
        <v>133</v>
      </c>
    </row>
    <row r="9339" spans="1:9">
      <c r="A9339" s="108" t="s">
        <v>16151</v>
      </c>
      <c r="B9339" s="108" t="s">
        <v>1232</v>
      </c>
      <c r="C9339" s="109">
        <v>43661</v>
      </c>
      <c r="D9339" s="108" t="s">
        <v>1233</v>
      </c>
      <c r="E9339" s="108" t="s">
        <v>14605</v>
      </c>
      <c r="F9339" s="108" t="s">
        <v>1228</v>
      </c>
      <c r="G9339" s="109">
        <v>45574</v>
      </c>
      <c r="H9339" s="108" t="s">
        <v>25458</v>
      </c>
      <c r="I9339" s="108" t="s">
        <v>133</v>
      </c>
    </row>
    <row r="9340" spans="1:9" ht="27.6">
      <c r="A9340" s="108" t="s">
        <v>388</v>
      </c>
      <c r="B9340" s="108" t="s">
        <v>1518</v>
      </c>
      <c r="C9340" s="109">
        <v>43776</v>
      </c>
      <c r="D9340" s="108" t="s">
        <v>1520</v>
      </c>
      <c r="E9340" s="108" t="s">
        <v>14605</v>
      </c>
      <c r="F9340" s="108" t="s">
        <v>1519</v>
      </c>
      <c r="G9340" s="109">
        <v>46022</v>
      </c>
      <c r="H9340" s="108" t="s">
        <v>25458</v>
      </c>
      <c r="I9340" s="108" t="s">
        <v>133</v>
      </c>
    </row>
    <row r="9341" spans="1:9" ht="27.6">
      <c r="A9341" s="108" t="s">
        <v>103</v>
      </c>
      <c r="B9341" s="108" t="s">
        <v>1230</v>
      </c>
      <c r="C9341" s="109">
        <v>43789</v>
      </c>
      <c r="D9341" s="108" t="s">
        <v>1231</v>
      </c>
      <c r="E9341" s="108" t="s">
        <v>14605</v>
      </c>
      <c r="F9341" s="108" t="s">
        <v>1228</v>
      </c>
      <c r="G9341" s="109">
        <v>45989</v>
      </c>
      <c r="H9341" s="108" t="s">
        <v>25458</v>
      </c>
      <c r="I9341" s="108" t="s">
        <v>133</v>
      </c>
    </row>
    <row r="9342" spans="1:9">
      <c r="A9342" s="108" t="s">
        <v>16151</v>
      </c>
      <c r="B9342" s="108" t="s">
        <v>2999</v>
      </c>
      <c r="C9342" s="109">
        <v>43831</v>
      </c>
      <c r="D9342" s="108" t="s">
        <v>3001</v>
      </c>
      <c r="E9342" s="108" t="s">
        <v>14605</v>
      </c>
      <c r="F9342" s="108" t="s">
        <v>3000</v>
      </c>
      <c r="G9342" s="109">
        <v>46173</v>
      </c>
      <c r="H9342" s="108" t="s">
        <v>25458</v>
      </c>
      <c r="I9342" s="108" t="s">
        <v>133</v>
      </c>
    </row>
    <row r="9343" spans="1:9" ht="27.6">
      <c r="A9343" s="108" t="s">
        <v>103</v>
      </c>
      <c r="B9343" s="108" t="s">
        <v>131</v>
      </c>
      <c r="C9343" s="109">
        <v>43845</v>
      </c>
      <c r="D9343" s="108" t="s">
        <v>132</v>
      </c>
      <c r="E9343" s="108" t="s">
        <v>14605</v>
      </c>
      <c r="F9343" s="108" t="s">
        <v>129</v>
      </c>
      <c r="G9343" s="109">
        <v>46050</v>
      </c>
      <c r="H9343" s="108" t="s">
        <v>25458</v>
      </c>
      <c r="I9343" s="108" t="s">
        <v>133</v>
      </c>
    </row>
    <row r="9344" spans="1:9" ht="27.6">
      <c r="A9344" s="108" t="s">
        <v>103</v>
      </c>
      <c r="B9344" s="108" t="s">
        <v>4345</v>
      </c>
      <c r="C9344" s="109">
        <v>43998</v>
      </c>
      <c r="D9344" s="108" t="s">
        <v>4346</v>
      </c>
      <c r="E9344" s="108" t="s">
        <v>14605</v>
      </c>
      <c r="F9344" s="108" t="s">
        <v>4343</v>
      </c>
      <c r="G9344" s="109">
        <v>46175</v>
      </c>
      <c r="H9344" s="108" t="s">
        <v>25458</v>
      </c>
      <c r="I9344" s="108" t="s">
        <v>133</v>
      </c>
    </row>
    <row r="9345" spans="1:9" ht="27.6">
      <c r="A9345" s="108" t="s">
        <v>103</v>
      </c>
      <c r="B9345" s="108" t="s">
        <v>3019</v>
      </c>
      <c r="C9345" s="109">
        <v>44603</v>
      </c>
      <c r="D9345" s="108" t="s">
        <v>26772</v>
      </c>
      <c r="E9345" s="108" t="s">
        <v>14605</v>
      </c>
      <c r="F9345" s="108" t="s">
        <v>25626</v>
      </c>
      <c r="G9345" s="109">
        <v>46254</v>
      </c>
      <c r="H9345" s="108" t="s">
        <v>25458</v>
      </c>
      <c r="I9345" s="108" t="s">
        <v>133</v>
      </c>
    </row>
    <row r="9346" spans="1:9" ht="27.6">
      <c r="A9346" s="108" t="s">
        <v>103</v>
      </c>
      <c r="B9346" s="108" t="s">
        <v>3736</v>
      </c>
      <c r="C9346" s="109">
        <v>44981</v>
      </c>
      <c r="D9346" s="108" t="s">
        <v>3737</v>
      </c>
      <c r="E9346" s="108" t="s">
        <v>14605</v>
      </c>
      <c r="F9346" s="108" t="s">
        <v>3734</v>
      </c>
      <c r="G9346" s="109">
        <v>46083</v>
      </c>
      <c r="H9346" s="108" t="s">
        <v>25458</v>
      </c>
      <c r="I9346" s="108" t="s">
        <v>133</v>
      </c>
    </row>
    <row r="9347" spans="1:9" ht="27.6">
      <c r="A9347" s="108" t="s">
        <v>103</v>
      </c>
      <c r="B9347" s="108" t="s">
        <v>2966</v>
      </c>
      <c r="C9347" s="109">
        <v>45274</v>
      </c>
      <c r="D9347" s="108" t="s">
        <v>2968</v>
      </c>
      <c r="E9347" s="108" t="s">
        <v>14605</v>
      </c>
      <c r="F9347" s="108" t="s">
        <v>2967</v>
      </c>
      <c r="G9347" s="109">
        <v>46026</v>
      </c>
      <c r="H9347" s="108" t="s">
        <v>25458</v>
      </c>
      <c r="I9347" s="108" t="s">
        <v>133</v>
      </c>
    </row>
    <row r="9348" spans="1:9" ht="27.6">
      <c r="A9348" s="108" t="s">
        <v>16149</v>
      </c>
      <c r="B9348" s="108" t="s">
        <v>1065</v>
      </c>
      <c r="C9348" s="109">
        <v>43409</v>
      </c>
      <c r="D9348" s="108" t="s">
        <v>1067</v>
      </c>
      <c r="E9348" s="108" t="s">
        <v>14605</v>
      </c>
      <c r="F9348" s="108" t="s">
        <v>1066</v>
      </c>
      <c r="G9348" s="109">
        <v>46203</v>
      </c>
      <c r="H9348" s="108" t="s">
        <v>25458</v>
      </c>
      <c r="I9348" s="108" t="s">
        <v>133</v>
      </c>
    </row>
    <row r="9349" spans="1:9">
      <c r="A9349" s="108" t="s">
        <v>16151</v>
      </c>
      <c r="B9349" s="108" t="s">
        <v>4731</v>
      </c>
      <c r="C9349" s="109">
        <v>43713</v>
      </c>
      <c r="D9349" s="108" t="s">
        <v>4733</v>
      </c>
      <c r="E9349" s="108" t="s">
        <v>14605</v>
      </c>
      <c r="F9349" s="108" t="s">
        <v>4732</v>
      </c>
      <c r="G9349" s="109">
        <v>46002</v>
      </c>
      <c r="H9349" s="108" t="s">
        <v>25458</v>
      </c>
      <c r="I9349" s="108" t="s">
        <v>133</v>
      </c>
    </row>
    <row r="9350" spans="1:9" ht="27.6">
      <c r="A9350" s="108" t="s">
        <v>388</v>
      </c>
      <c r="B9350" s="108" t="s">
        <v>2477</v>
      </c>
      <c r="C9350" s="109">
        <v>43817</v>
      </c>
      <c r="D9350" s="108" t="s">
        <v>2478</v>
      </c>
      <c r="E9350" s="108" t="s">
        <v>14605</v>
      </c>
      <c r="F9350" s="108" t="s">
        <v>2475</v>
      </c>
      <c r="G9350" s="109">
        <v>46008</v>
      </c>
      <c r="H9350" s="108" t="s">
        <v>25458</v>
      </c>
      <c r="I9350" s="108" t="s">
        <v>133</v>
      </c>
    </row>
    <row r="9351" spans="1:9" ht="27.6">
      <c r="A9351" s="108" t="s">
        <v>388</v>
      </c>
      <c r="B9351" s="108" t="s">
        <v>4680</v>
      </c>
      <c r="C9351" s="109">
        <v>43861</v>
      </c>
      <c r="D9351" s="108" t="s">
        <v>4681</v>
      </c>
      <c r="E9351" s="108" t="s">
        <v>14605</v>
      </c>
      <c r="F9351" s="108" t="s">
        <v>4678</v>
      </c>
      <c r="G9351" s="109">
        <v>46068</v>
      </c>
      <c r="H9351" s="108" t="s">
        <v>25458</v>
      </c>
      <c r="I9351" s="108" t="s">
        <v>133</v>
      </c>
    </row>
    <row r="9352" spans="1:9" ht="27.6">
      <c r="A9352" s="108" t="s">
        <v>1102</v>
      </c>
      <c r="B9352" s="108" t="s">
        <v>3830</v>
      </c>
      <c r="C9352" s="109">
        <v>43983</v>
      </c>
      <c r="D9352" s="108" t="s">
        <v>3832</v>
      </c>
      <c r="E9352" s="108" t="s">
        <v>14605</v>
      </c>
      <c r="F9352" s="108" t="s">
        <v>3831</v>
      </c>
      <c r="G9352" s="109">
        <v>46131</v>
      </c>
      <c r="H9352" s="108" t="s">
        <v>25458</v>
      </c>
      <c r="I9352" s="108" t="s">
        <v>133</v>
      </c>
    </row>
    <row r="9353" spans="1:9" ht="27.6">
      <c r="A9353" s="108" t="s">
        <v>388</v>
      </c>
      <c r="B9353" s="108" t="s">
        <v>4599</v>
      </c>
      <c r="C9353" s="109">
        <v>44221</v>
      </c>
      <c r="D9353" s="108" t="s">
        <v>4600</v>
      </c>
      <c r="E9353" s="108" t="s">
        <v>14605</v>
      </c>
      <c r="F9353" s="108" t="s">
        <v>4597</v>
      </c>
      <c r="G9353" s="109">
        <v>46068</v>
      </c>
      <c r="H9353" s="108" t="s">
        <v>25458</v>
      </c>
      <c r="I9353" s="108" t="s">
        <v>133</v>
      </c>
    </row>
    <row r="9354" spans="1:9" ht="27.6">
      <c r="A9354" s="108" t="s">
        <v>388</v>
      </c>
      <c r="B9354" s="108" t="s">
        <v>4630</v>
      </c>
      <c r="C9354" s="109">
        <v>44218</v>
      </c>
      <c r="D9354" s="108" t="s">
        <v>4632</v>
      </c>
      <c r="E9354" s="108" t="s">
        <v>14605</v>
      </c>
      <c r="F9354" s="108" t="s">
        <v>4631</v>
      </c>
      <c r="G9354" s="109">
        <v>46067</v>
      </c>
      <c r="H9354" s="108" t="s">
        <v>25458</v>
      </c>
      <c r="I9354" s="108" t="s">
        <v>133</v>
      </c>
    </row>
    <row r="9355" spans="1:9" ht="27.6">
      <c r="A9355" s="108" t="s">
        <v>388</v>
      </c>
      <c r="B9355" s="108" t="s">
        <v>3484</v>
      </c>
      <c r="C9355" s="109">
        <v>44466</v>
      </c>
      <c r="D9355" s="108" t="s">
        <v>3485</v>
      </c>
      <c r="E9355" s="108" t="s">
        <v>14605</v>
      </c>
      <c r="F9355" s="108" t="s">
        <v>16589</v>
      </c>
      <c r="G9355" s="109">
        <v>45919</v>
      </c>
      <c r="H9355" s="108" t="s">
        <v>25458</v>
      </c>
      <c r="I9355" s="108" t="s">
        <v>133</v>
      </c>
    </row>
    <row r="9356" spans="1:9" ht="27.6">
      <c r="A9356" s="108" t="s">
        <v>388</v>
      </c>
      <c r="B9356" s="108" t="s">
        <v>2338</v>
      </c>
      <c r="C9356" s="109">
        <v>44606</v>
      </c>
      <c r="D9356" s="108" t="s">
        <v>2340</v>
      </c>
      <c r="E9356" s="108" t="s">
        <v>14605</v>
      </c>
      <c r="F9356" s="108" t="s">
        <v>2339</v>
      </c>
      <c r="G9356" s="109">
        <v>46066</v>
      </c>
      <c r="H9356" s="108" t="s">
        <v>25458</v>
      </c>
      <c r="I9356" s="108" t="s">
        <v>133</v>
      </c>
    </row>
    <row r="9357" spans="1:9" ht="27.6">
      <c r="A9357" s="108" t="s">
        <v>388</v>
      </c>
      <c r="B9357" s="108" t="s">
        <v>5226</v>
      </c>
      <c r="C9357" s="109">
        <v>44666</v>
      </c>
      <c r="D9357" s="108" t="s">
        <v>5228</v>
      </c>
      <c r="E9357" s="108" t="s">
        <v>14605</v>
      </c>
      <c r="F9357" s="108" t="s">
        <v>5227</v>
      </c>
      <c r="G9357" s="109">
        <v>46234</v>
      </c>
      <c r="H9357" s="108" t="s">
        <v>25458</v>
      </c>
      <c r="I9357" s="108" t="s">
        <v>133</v>
      </c>
    </row>
    <row r="9358" spans="1:9" ht="27.6">
      <c r="A9358" s="108" t="s">
        <v>388</v>
      </c>
      <c r="B9358" s="108" t="s">
        <v>3530</v>
      </c>
      <c r="C9358" s="109">
        <v>44742</v>
      </c>
      <c r="D9358" s="108" t="s">
        <v>3532</v>
      </c>
      <c r="E9358" s="108" t="s">
        <v>14605</v>
      </c>
      <c r="F9358" s="108" t="s">
        <v>3531</v>
      </c>
      <c r="G9358" s="109">
        <v>46219</v>
      </c>
      <c r="H9358" s="108" t="s">
        <v>25458</v>
      </c>
      <c r="I9358" s="108" t="s">
        <v>133</v>
      </c>
    </row>
    <row r="9359" spans="1:9" ht="27.6">
      <c r="A9359" s="108" t="s">
        <v>388</v>
      </c>
      <c r="B9359" s="108" t="s">
        <v>1227</v>
      </c>
      <c r="C9359" s="109">
        <v>44747</v>
      </c>
      <c r="D9359" s="108" t="s">
        <v>1229</v>
      </c>
      <c r="E9359" s="108" t="s">
        <v>14605</v>
      </c>
      <c r="F9359" s="108" t="s">
        <v>1228</v>
      </c>
      <c r="G9359" s="109">
        <v>45486</v>
      </c>
      <c r="H9359" s="108" t="s">
        <v>25458</v>
      </c>
      <c r="I9359" s="108" t="s">
        <v>133</v>
      </c>
    </row>
    <row r="9360" spans="1:9" ht="27.6">
      <c r="A9360" s="108" t="s">
        <v>388</v>
      </c>
      <c r="B9360" s="108" t="s">
        <v>1027</v>
      </c>
      <c r="C9360" s="109">
        <v>44748</v>
      </c>
      <c r="D9360" s="108" t="s">
        <v>1029</v>
      </c>
      <c r="E9360" s="108" t="s">
        <v>14605</v>
      </c>
      <c r="F9360" s="108" t="s">
        <v>1028</v>
      </c>
      <c r="G9360" s="109">
        <v>45494</v>
      </c>
      <c r="H9360" s="108" t="s">
        <v>25458</v>
      </c>
      <c r="I9360" s="108" t="s">
        <v>133</v>
      </c>
    </row>
    <row r="9361" spans="1:9">
      <c r="A9361" s="108" t="s">
        <v>16151</v>
      </c>
      <c r="B9361" s="108" t="s">
        <v>4318</v>
      </c>
      <c r="C9361" s="109">
        <v>44812</v>
      </c>
      <c r="D9361" s="108" t="s">
        <v>4320</v>
      </c>
      <c r="E9361" s="108" t="s">
        <v>14605</v>
      </c>
      <c r="F9361" s="108" t="s">
        <v>4319</v>
      </c>
      <c r="G9361" s="109">
        <v>45887</v>
      </c>
      <c r="H9361" s="108" t="s">
        <v>25458</v>
      </c>
      <c r="I9361" s="108" t="s">
        <v>133</v>
      </c>
    </row>
    <row r="9362" spans="1:9" ht="27.6">
      <c r="A9362" s="108" t="s">
        <v>388</v>
      </c>
      <c r="B9362" s="108" t="s">
        <v>3650</v>
      </c>
      <c r="C9362" s="109">
        <v>45113</v>
      </c>
      <c r="D9362" s="108" t="s">
        <v>3652</v>
      </c>
      <c r="E9362" s="108" t="s">
        <v>14605</v>
      </c>
      <c r="F9362" s="108" t="s">
        <v>3651</v>
      </c>
      <c r="G9362" s="109">
        <v>46223</v>
      </c>
      <c r="H9362" s="108" t="s">
        <v>25458</v>
      </c>
      <c r="I9362" s="108" t="s">
        <v>133</v>
      </c>
    </row>
    <row r="9363" spans="1:9" ht="27.6">
      <c r="A9363" s="108" t="s">
        <v>388</v>
      </c>
      <c r="B9363" s="108" t="s">
        <v>3857</v>
      </c>
      <c r="C9363" s="109">
        <v>45030</v>
      </c>
      <c r="D9363" s="108" t="s">
        <v>3858</v>
      </c>
      <c r="E9363" s="108" t="s">
        <v>14605</v>
      </c>
      <c r="F9363" s="108" t="s">
        <v>3856</v>
      </c>
      <c r="G9363" s="109">
        <v>46140</v>
      </c>
      <c r="H9363" s="108" t="s">
        <v>25458</v>
      </c>
      <c r="I9363" s="108" t="s">
        <v>133</v>
      </c>
    </row>
    <row r="9364" spans="1:9" ht="27.6">
      <c r="A9364" s="108" t="s">
        <v>388</v>
      </c>
      <c r="B9364" s="108" t="s">
        <v>4856</v>
      </c>
      <c r="C9364" s="109">
        <v>45434</v>
      </c>
      <c r="D9364" s="108" t="s">
        <v>4858</v>
      </c>
      <c r="E9364" s="108" t="s">
        <v>14605</v>
      </c>
      <c r="F9364" s="108" t="s">
        <v>4857</v>
      </c>
      <c r="G9364" s="109">
        <v>46543</v>
      </c>
      <c r="H9364" s="108" t="s">
        <v>25458</v>
      </c>
      <c r="I9364" s="108" t="s">
        <v>133</v>
      </c>
    </row>
    <row r="9365" spans="1:9">
      <c r="A9365" s="108" t="s">
        <v>571</v>
      </c>
      <c r="B9365" s="108" t="s">
        <v>2958</v>
      </c>
      <c r="C9365" s="109">
        <v>45345</v>
      </c>
      <c r="D9365" s="108" t="s">
        <v>2959</v>
      </c>
      <c r="E9365" s="108" t="s">
        <v>14605</v>
      </c>
      <c r="F9365" s="108" t="s">
        <v>2956</v>
      </c>
      <c r="G9365" s="109">
        <v>45710</v>
      </c>
      <c r="H9365" s="108" t="s">
        <v>25458</v>
      </c>
      <c r="I9365" s="108" t="s">
        <v>108</v>
      </c>
    </row>
    <row r="9366" spans="1:9" ht="27.6">
      <c r="A9366" s="108" t="s">
        <v>26747</v>
      </c>
      <c r="B9366" s="108" t="s">
        <v>26773</v>
      </c>
      <c r="C9366" s="109">
        <v>43020</v>
      </c>
      <c r="D9366" s="108" t="s">
        <v>26774</v>
      </c>
      <c r="E9366" s="108" t="s">
        <v>14605</v>
      </c>
      <c r="F9366" s="108" t="s">
        <v>26775</v>
      </c>
      <c r="G9366" s="109">
        <v>43741</v>
      </c>
      <c r="H9366" s="108" t="s">
        <v>25458</v>
      </c>
      <c r="I9366" s="108" t="s">
        <v>108</v>
      </c>
    </row>
    <row r="9367" spans="1:9" ht="27.6">
      <c r="A9367" s="108" t="s">
        <v>14950</v>
      </c>
      <c r="B9367" s="108" t="s">
        <v>26776</v>
      </c>
      <c r="C9367" s="109">
        <v>43606</v>
      </c>
      <c r="D9367" s="108" t="s">
        <v>26777</v>
      </c>
      <c r="E9367" s="108" t="s">
        <v>14605</v>
      </c>
      <c r="F9367" s="108" t="s">
        <v>4319</v>
      </c>
      <c r="G9367" s="109">
        <v>43971</v>
      </c>
      <c r="H9367" s="108" t="s">
        <v>25458</v>
      </c>
      <c r="I9367" s="108" t="s">
        <v>108</v>
      </c>
    </row>
    <row r="9368" spans="1:9" ht="27.6">
      <c r="A9368" s="108" t="s">
        <v>14950</v>
      </c>
      <c r="B9368" s="108" t="s">
        <v>26778</v>
      </c>
      <c r="C9368" s="109">
        <v>44259</v>
      </c>
      <c r="D9368" s="108" t="s">
        <v>26779</v>
      </c>
      <c r="E9368" s="108" t="s">
        <v>14605</v>
      </c>
      <c r="F9368" s="108" t="s">
        <v>1615</v>
      </c>
      <c r="G9368" s="109">
        <v>44629</v>
      </c>
      <c r="H9368" s="108" t="s">
        <v>25458</v>
      </c>
      <c r="I9368" s="108" t="s">
        <v>108</v>
      </c>
    </row>
    <row r="9369" spans="1:9" ht="27.6">
      <c r="A9369" s="108" t="s">
        <v>14950</v>
      </c>
      <c r="B9369" s="108" t="s">
        <v>26780</v>
      </c>
      <c r="C9369" s="109">
        <v>43620</v>
      </c>
      <c r="D9369" s="108" t="s">
        <v>26781</v>
      </c>
      <c r="E9369" s="108" t="s">
        <v>14605</v>
      </c>
      <c r="F9369" s="108" t="s">
        <v>26645</v>
      </c>
      <c r="G9369" s="109">
        <v>44523</v>
      </c>
      <c r="H9369" s="108" t="s">
        <v>25458</v>
      </c>
      <c r="I9369" s="108" t="s">
        <v>108</v>
      </c>
    </row>
    <row r="9370" spans="1:9" ht="27.6">
      <c r="A9370" s="108" t="s">
        <v>14950</v>
      </c>
      <c r="B9370" s="108" t="s">
        <v>26782</v>
      </c>
      <c r="C9370" s="109">
        <v>43669</v>
      </c>
      <c r="D9370" s="108" t="s">
        <v>26783</v>
      </c>
      <c r="E9370" s="108" t="s">
        <v>14605</v>
      </c>
      <c r="F9370" s="108" t="s">
        <v>3322</v>
      </c>
      <c r="G9370" s="109">
        <v>44887</v>
      </c>
      <c r="H9370" s="108" t="s">
        <v>25458</v>
      </c>
      <c r="I9370" s="108" t="s">
        <v>108</v>
      </c>
    </row>
    <row r="9371" spans="1:9" ht="27.6">
      <c r="A9371" s="108" t="s">
        <v>14950</v>
      </c>
      <c r="B9371" s="108" t="s">
        <v>26784</v>
      </c>
      <c r="C9371" s="109">
        <v>43676</v>
      </c>
      <c r="D9371" s="108" t="s">
        <v>26785</v>
      </c>
      <c r="E9371" s="108" t="s">
        <v>14605</v>
      </c>
      <c r="F9371" s="108" t="s">
        <v>4000</v>
      </c>
      <c r="G9371" s="109">
        <v>44498</v>
      </c>
      <c r="H9371" s="108" t="s">
        <v>25458</v>
      </c>
      <c r="I9371" s="108" t="s">
        <v>108</v>
      </c>
    </row>
    <row r="9372" spans="1:9" ht="27.6">
      <c r="A9372" s="108" t="s">
        <v>14950</v>
      </c>
      <c r="B9372" s="108" t="s">
        <v>26786</v>
      </c>
      <c r="C9372" s="109">
        <v>43684</v>
      </c>
      <c r="D9372" s="108" t="s">
        <v>26787</v>
      </c>
      <c r="E9372" s="108" t="s">
        <v>14605</v>
      </c>
      <c r="F9372" s="108" t="s">
        <v>2552</v>
      </c>
      <c r="G9372" s="109">
        <v>44049</v>
      </c>
      <c r="H9372" s="108" t="s">
        <v>25458</v>
      </c>
      <c r="I9372" s="108" t="s">
        <v>108</v>
      </c>
    </row>
    <row r="9373" spans="1:9" ht="27.6">
      <c r="A9373" s="108" t="s">
        <v>14950</v>
      </c>
      <c r="B9373" s="108" t="s">
        <v>26788</v>
      </c>
      <c r="C9373" s="109">
        <v>43789</v>
      </c>
      <c r="D9373" s="108" t="s">
        <v>26789</v>
      </c>
      <c r="E9373" s="108" t="s">
        <v>14605</v>
      </c>
      <c r="F9373" s="108" t="s">
        <v>3895</v>
      </c>
      <c r="G9373" s="109">
        <v>44190</v>
      </c>
      <c r="H9373" s="108" t="s">
        <v>25458</v>
      </c>
      <c r="I9373" s="108" t="s">
        <v>108</v>
      </c>
    </row>
    <row r="9374" spans="1:9">
      <c r="A9374" s="108" t="s">
        <v>8271</v>
      </c>
      <c r="B9374" s="108" t="s">
        <v>26790</v>
      </c>
      <c r="C9374" s="109">
        <v>45561</v>
      </c>
      <c r="D9374" s="108" t="s">
        <v>2440</v>
      </c>
      <c r="E9374" s="108" t="s">
        <v>14605</v>
      </c>
      <c r="F9374" s="108" t="s">
        <v>2431</v>
      </c>
      <c r="G9374" s="109">
        <v>45945</v>
      </c>
      <c r="H9374" s="108" t="s">
        <v>25458</v>
      </c>
      <c r="I9374" s="108" t="s">
        <v>108</v>
      </c>
    </row>
    <row r="9375" spans="1:9" ht="27.6">
      <c r="A9375" s="108" t="s">
        <v>14950</v>
      </c>
      <c r="B9375" s="108" t="s">
        <v>26791</v>
      </c>
      <c r="C9375" s="109">
        <v>43809</v>
      </c>
      <c r="D9375" s="108" t="s">
        <v>26792</v>
      </c>
      <c r="E9375" s="108" t="s">
        <v>14605</v>
      </c>
      <c r="F9375" s="108" t="s">
        <v>2160</v>
      </c>
      <c r="G9375" s="109">
        <v>44191</v>
      </c>
      <c r="H9375" s="108" t="s">
        <v>25458</v>
      </c>
      <c r="I9375" s="108" t="s">
        <v>108</v>
      </c>
    </row>
    <row r="9376" spans="1:9" ht="27.6">
      <c r="A9376" s="108" t="s">
        <v>14950</v>
      </c>
      <c r="B9376" s="108" t="s">
        <v>26793</v>
      </c>
      <c r="C9376" s="109">
        <v>43731</v>
      </c>
      <c r="D9376" s="108" t="s">
        <v>26794</v>
      </c>
      <c r="E9376" s="108" t="s">
        <v>14605</v>
      </c>
      <c r="F9376" s="108" t="s">
        <v>5145</v>
      </c>
      <c r="G9376" s="109">
        <v>44279</v>
      </c>
      <c r="H9376" s="108" t="s">
        <v>25458</v>
      </c>
      <c r="I9376" s="108" t="s">
        <v>108</v>
      </c>
    </row>
    <row r="9377" spans="1:9" ht="27.6">
      <c r="A9377" s="108" t="s">
        <v>14950</v>
      </c>
      <c r="B9377" s="108" t="s">
        <v>26795</v>
      </c>
      <c r="C9377" s="109">
        <v>43873</v>
      </c>
      <c r="D9377" s="108" t="s">
        <v>26796</v>
      </c>
      <c r="E9377" s="108" t="s">
        <v>14605</v>
      </c>
      <c r="F9377" s="108" t="s">
        <v>2475</v>
      </c>
      <c r="G9377" s="109">
        <v>44408</v>
      </c>
      <c r="H9377" s="108" t="s">
        <v>25458</v>
      </c>
      <c r="I9377" s="108" t="s">
        <v>108</v>
      </c>
    </row>
    <row r="9378" spans="1:9" ht="27.6">
      <c r="A9378" s="108" t="s">
        <v>14950</v>
      </c>
      <c r="B9378" s="108" t="s">
        <v>26797</v>
      </c>
      <c r="C9378" s="109">
        <v>43839</v>
      </c>
      <c r="D9378" s="108" t="s">
        <v>26798</v>
      </c>
      <c r="E9378" s="108" t="s">
        <v>14605</v>
      </c>
      <c r="F9378" s="108" t="s">
        <v>14764</v>
      </c>
      <c r="G9378" s="109">
        <v>44215</v>
      </c>
      <c r="H9378" s="108" t="s">
        <v>25458</v>
      </c>
      <c r="I9378" s="108" t="s">
        <v>108</v>
      </c>
    </row>
    <row r="9379" spans="1:9" ht="41.4">
      <c r="A9379" s="108" t="s">
        <v>14950</v>
      </c>
      <c r="B9379" s="108" t="s">
        <v>26799</v>
      </c>
      <c r="C9379" s="109">
        <v>43872</v>
      </c>
      <c r="D9379" s="108" t="s">
        <v>26800</v>
      </c>
      <c r="E9379" s="108" t="s">
        <v>14605</v>
      </c>
      <c r="F9379" s="108" t="s">
        <v>2826</v>
      </c>
      <c r="G9379" s="109">
        <v>44471</v>
      </c>
      <c r="H9379" s="108" t="s">
        <v>25458</v>
      </c>
      <c r="I9379" s="108" t="s">
        <v>108</v>
      </c>
    </row>
    <row r="9380" spans="1:9" ht="27.6">
      <c r="A9380" s="108" t="s">
        <v>14950</v>
      </c>
      <c r="B9380" s="108" t="s">
        <v>26801</v>
      </c>
      <c r="C9380" s="109">
        <v>43969</v>
      </c>
      <c r="D9380" s="108" t="s">
        <v>26802</v>
      </c>
      <c r="E9380" s="108" t="s">
        <v>14605</v>
      </c>
      <c r="F9380" s="108" t="s">
        <v>4319</v>
      </c>
      <c r="G9380" s="109">
        <v>44333</v>
      </c>
      <c r="H9380" s="108" t="s">
        <v>25458</v>
      </c>
      <c r="I9380" s="108" t="s">
        <v>108</v>
      </c>
    </row>
    <row r="9381" spans="1:9" ht="27.6">
      <c r="A9381" s="108" t="s">
        <v>14950</v>
      </c>
      <c r="B9381" s="108" t="s">
        <v>26803</v>
      </c>
      <c r="C9381" s="109">
        <v>43918</v>
      </c>
      <c r="D9381" s="108" t="s">
        <v>26804</v>
      </c>
      <c r="E9381" s="108" t="s">
        <v>14605</v>
      </c>
      <c r="F9381" s="108" t="s">
        <v>3024</v>
      </c>
      <c r="G9381" s="109">
        <v>44282</v>
      </c>
      <c r="H9381" s="108" t="s">
        <v>25458</v>
      </c>
      <c r="I9381" s="108" t="s">
        <v>108</v>
      </c>
    </row>
    <row r="9382" spans="1:9" ht="27.6">
      <c r="A9382" s="108" t="s">
        <v>14950</v>
      </c>
      <c r="B9382" s="108" t="s">
        <v>26805</v>
      </c>
      <c r="C9382" s="109">
        <v>44252</v>
      </c>
      <c r="D9382" s="108" t="s">
        <v>26806</v>
      </c>
      <c r="E9382" s="108" t="s">
        <v>14605</v>
      </c>
      <c r="F9382" s="108" t="s">
        <v>913</v>
      </c>
      <c r="G9382" s="109">
        <v>44624</v>
      </c>
      <c r="H9382" s="108" t="s">
        <v>25458</v>
      </c>
      <c r="I9382" s="108" t="s">
        <v>108</v>
      </c>
    </row>
    <row r="9383" spans="1:9" ht="27.6">
      <c r="A9383" s="108" t="s">
        <v>14950</v>
      </c>
      <c r="B9383" s="108" t="s">
        <v>26807</v>
      </c>
      <c r="C9383" s="109">
        <v>43997</v>
      </c>
      <c r="D9383" s="108" t="s">
        <v>26808</v>
      </c>
      <c r="E9383" s="108" t="s">
        <v>14605</v>
      </c>
      <c r="F9383" s="108" t="s">
        <v>2967</v>
      </c>
      <c r="G9383" s="109">
        <v>44361</v>
      </c>
      <c r="H9383" s="108" t="s">
        <v>25458</v>
      </c>
      <c r="I9383" s="108" t="s">
        <v>108</v>
      </c>
    </row>
    <row r="9384" spans="1:9" ht="27.6">
      <c r="A9384" s="108" t="s">
        <v>14950</v>
      </c>
      <c r="B9384" s="108" t="s">
        <v>26809</v>
      </c>
      <c r="C9384" s="109">
        <v>44067</v>
      </c>
      <c r="D9384" s="108" t="s">
        <v>26810</v>
      </c>
      <c r="E9384" s="108" t="s">
        <v>14605</v>
      </c>
      <c r="F9384" s="108" t="s">
        <v>2013</v>
      </c>
      <c r="G9384" s="109">
        <v>44391</v>
      </c>
      <c r="H9384" s="108" t="s">
        <v>25458</v>
      </c>
      <c r="I9384" s="108" t="s">
        <v>108</v>
      </c>
    </row>
    <row r="9385" spans="1:9" ht="27.6">
      <c r="A9385" s="108" t="s">
        <v>14950</v>
      </c>
      <c r="B9385" s="108" t="s">
        <v>26811</v>
      </c>
      <c r="C9385" s="109">
        <v>44005</v>
      </c>
      <c r="D9385" s="108" t="s">
        <v>26812</v>
      </c>
      <c r="E9385" s="108" t="s">
        <v>14605</v>
      </c>
      <c r="F9385" s="108" t="s">
        <v>2379</v>
      </c>
      <c r="G9385" s="109">
        <v>44408</v>
      </c>
      <c r="H9385" s="108" t="s">
        <v>25458</v>
      </c>
      <c r="I9385" s="108" t="s">
        <v>108</v>
      </c>
    </row>
    <row r="9386" spans="1:9" ht="27.6">
      <c r="A9386" s="108" t="s">
        <v>14950</v>
      </c>
      <c r="B9386" s="108" t="s">
        <v>26813</v>
      </c>
      <c r="C9386" s="109">
        <v>44005</v>
      </c>
      <c r="D9386" s="108" t="s">
        <v>26814</v>
      </c>
      <c r="E9386" s="108" t="s">
        <v>14605</v>
      </c>
      <c r="F9386" s="108" t="s">
        <v>4559</v>
      </c>
      <c r="G9386" s="109">
        <v>44369</v>
      </c>
      <c r="H9386" s="108" t="s">
        <v>25458</v>
      </c>
      <c r="I9386" s="108" t="s">
        <v>108</v>
      </c>
    </row>
    <row r="9387" spans="1:9" ht="27.6">
      <c r="A9387" s="108" t="s">
        <v>14950</v>
      </c>
      <c r="B9387" s="108" t="s">
        <v>26815</v>
      </c>
      <c r="C9387" s="109">
        <v>44119</v>
      </c>
      <c r="D9387" s="108" t="s">
        <v>26816</v>
      </c>
      <c r="E9387" s="108" t="s">
        <v>14605</v>
      </c>
      <c r="F9387" s="108" t="s">
        <v>2013</v>
      </c>
      <c r="G9387" s="109">
        <v>44472</v>
      </c>
      <c r="H9387" s="108" t="s">
        <v>25458</v>
      </c>
      <c r="I9387" s="108" t="s">
        <v>108</v>
      </c>
    </row>
    <row r="9388" spans="1:9" ht="27.6">
      <c r="A9388" s="108" t="s">
        <v>14950</v>
      </c>
      <c r="B9388" s="108" t="s">
        <v>26817</v>
      </c>
      <c r="C9388" s="109">
        <v>44063</v>
      </c>
      <c r="D9388" s="108" t="s">
        <v>26818</v>
      </c>
      <c r="E9388" s="108" t="s">
        <v>14605</v>
      </c>
      <c r="F9388" s="108" t="s">
        <v>4319</v>
      </c>
      <c r="G9388" s="109">
        <v>44427</v>
      </c>
      <c r="H9388" s="108" t="s">
        <v>25458</v>
      </c>
      <c r="I9388" s="108" t="s">
        <v>108</v>
      </c>
    </row>
    <row r="9389" spans="1:9" ht="27.6">
      <c r="A9389" s="108" t="s">
        <v>14950</v>
      </c>
      <c r="B9389" s="108" t="s">
        <v>26819</v>
      </c>
      <c r="C9389" s="109">
        <v>44069</v>
      </c>
      <c r="D9389" s="108" t="s">
        <v>26820</v>
      </c>
      <c r="E9389" s="108" t="s">
        <v>14605</v>
      </c>
      <c r="F9389" s="108" t="s">
        <v>2475</v>
      </c>
      <c r="G9389" s="109">
        <v>44434</v>
      </c>
      <c r="H9389" s="108" t="s">
        <v>25458</v>
      </c>
      <c r="I9389" s="108" t="s">
        <v>108</v>
      </c>
    </row>
    <row r="9390" spans="1:9" ht="27.6">
      <c r="A9390" s="108" t="s">
        <v>14950</v>
      </c>
      <c r="B9390" s="108" t="s">
        <v>26821</v>
      </c>
      <c r="C9390" s="109">
        <v>44106</v>
      </c>
      <c r="D9390" s="108" t="s">
        <v>26822</v>
      </c>
      <c r="E9390" s="108" t="s">
        <v>14605</v>
      </c>
      <c r="F9390" s="108" t="s">
        <v>4597</v>
      </c>
      <c r="G9390" s="109">
        <v>44544</v>
      </c>
      <c r="H9390" s="108" t="s">
        <v>25458</v>
      </c>
      <c r="I9390" s="108" t="s">
        <v>108</v>
      </c>
    </row>
    <row r="9391" spans="1:9" ht="27.6">
      <c r="A9391" s="108" t="s">
        <v>14950</v>
      </c>
      <c r="B9391" s="108" t="s">
        <v>26823</v>
      </c>
      <c r="C9391" s="109">
        <v>44124</v>
      </c>
      <c r="D9391" s="108" t="s">
        <v>26824</v>
      </c>
      <c r="E9391" s="108" t="s">
        <v>14605</v>
      </c>
      <c r="F9391" s="108" t="s">
        <v>368</v>
      </c>
      <c r="G9391" s="109">
        <v>44488</v>
      </c>
      <c r="H9391" s="108" t="s">
        <v>25458</v>
      </c>
      <c r="I9391" s="108" t="s">
        <v>108</v>
      </c>
    </row>
    <row r="9392" spans="1:9" ht="27.6">
      <c r="A9392" s="108" t="s">
        <v>14950</v>
      </c>
      <c r="B9392" s="108" t="s">
        <v>26825</v>
      </c>
      <c r="C9392" s="109">
        <v>44167</v>
      </c>
      <c r="D9392" s="108" t="s">
        <v>26826</v>
      </c>
      <c r="E9392" s="108" t="s">
        <v>14605</v>
      </c>
      <c r="F9392" s="108" t="s">
        <v>884</v>
      </c>
      <c r="G9392" s="109">
        <v>44460</v>
      </c>
      <c r="H9392" s="108" t="s">
        <v>25458</v>
      </c>
      <c r="I9392" s="108" t="s">
        <v>108</v>
      </c>
    </row>
    <row r="9393" spans="1:9" ht="27.6">
      <c r="A9393" s="108" t="s">
        <v>14950</v>
      </c>
      <c r="B9393" s="108" t="s">
        <v>26827</v>
      </c>
      <c r="C9393" s="109">
        <v>44091</v>
      </c>
      <c r="D9393" s="108" t="s">
        <v>26828</v>
      </c>
      <c r="E9393" s="108" t="s">
        <v>14605</v>
      </c>
      <c r="F9393" s="108" t="s">
        <v>3056</v>
      </c>
      <c r="G9393" s="109">
        <v>44461</v>
      </c>
      <c r="H9393" s="108" t="s">
        <v>25458</v>
      </c>
      <c r="I9393" s="108" t="s">
        <v>108</v>
      </c>
    </row>
    <row r="9394" spans="1:9" ht="27.6">
      <c r="A9394" s="108" t="s">
        <v>14950</v>
      </c>
      <c r="B9394" s="108" t="s">
        <v>26829</v>
      </c>
      <c r="C9394" s="109">
        <v>44126</v>
      </c>
      <c r="D9394" s="108" t="s">
        <v>26830</v>
      </c>
      <c r="E9394" s="108" t="s">
        <v>14605</v>
      </c>
      <c r="F9394" s="108" t="s">
        <v>524</v>
      </c>
      <c r="G9394" s="109">
        <v>44490</v>
      </c>
      <c r="H9394" s="108" t="s">
        <v>25458</v>
      </c>
      <c r="I9394" s="108" t="s">
        <v>108</v>
      </c>
    </row>
    <row r="9395" spans="1:9" ht="27.6">
      <c r="A9395" s="108" t="s">
        <v>14950</v>
      </c>
      <c r="B9395" s="108" t="s">
        <v>26831</v>
      </c>
      <c r="C9395" s="109">
        <v>44102</v>
      </c>
      <c r="D9395" s="108" t="s">
        <v>639</v>
      </c>
      <c r="E9395" s="108" t="s">
        <v>14605</v>
      </c>
      <c r="F9395" s="108" t="s">
        <v>634</v>
      </c>
      <c r="G9395" s="109">
        <v>45953</v>
      </c>
      <c r="H9395" s="108" t="s">
        <v>25458</v>
      </c>
      <c r="I9395" s="108" t="s">
        <v>108</v>
      </c>
    </row>
    <row r="9396" spans="1:9" ht="27.6">
      <c r="A9396" s="108" t="s">
        <v>14950</v>
      </c>
      <c r="B9396" s="108" t="s">
        <v>26832</v>
      </c>
      <c r="C9396" s="109">
        <v>44110</v>
      </c>
      <c r="D9396" s="108" t="s">
        <v>26833</v>
      </c>
      <c r="E9396" s="108" t="s">
        <v>14605</v>
      </c>
      <c r="F9396" s="108" t="s">
        <v>3878</v>
      </c>
      <c r="G9396" s="109">
        <v>44473</v>
      </c>
      <c r="H9396" s="108" t="s">
        <v>25458</v>
      </c>
      <c r="I9396" s="108" t="s">
        <v>108</v>
      </c>
    </row>
    <row r="9397" spans="1:9" ht="27.6">
      <c r="A9397" s="108" t="s">
        <v>14950</v>
      </c>
      <c r="B9397" s="108" t="s">
        <v>26834</v>
      </c>
      <c r="C9397" s="109">
        <v>44141</v>
      </c>
      <c r="D9397" s="108" t="s">
        <v>26835</v>
      </c>
      <c r="E9397" s="108" t="s">
        <v>14605</v>
      </c>
      <c r="F9397" s="108" t="s">
        <v>1770</v>
      </c>
      <c r="G9397" s="109">
        <v>44505</v>
      </c>
      <c r="H9397" s="108" t="s">
        <v>25458</v>
      </c>
      <c r="I9397" s="108" t="s">
        <v>108</v>
      </c>
    </row>
    <row r="9398" spans="1:9" ht="27.6">
      <c r="A9398" s="108" t="s">
        <v>14950</v>
      </c>
      <c r="B9398" s="108" t="s">
        <v>26836</v>
      </c>
      <c r="C9398" s="109">
        <v>44158</v>
      </c>
      <c r="D9398" s="108" t="s">
        <v>26837</v>
      </c>
      <c r="E9398" s="108" t="s">
        <v>14605</v>
      </c>
      <c r="F9398" s="108" t="s">
        <v>15243</v>
      </c>
      <c r="G9398" s="109">
        <v>44896</v>
      </c>
      <c r="H9398" s="108" t="s">
        <v>25458</v>
      </c>
      <c r="I9398" s="108" t="s">
        <v>108</v>
      </c>
    </row>
    <row r="9399" spans="1:9" ht="27.6">
      <c r="A9399" s="108" t="s">
        <v>14950</v>
      </c>
      <c r="B9399" s="108" t="s">
        <v>26838</v>
      </c>
      <c r="C9399" s="109">
        <v>44124</v>
      </c>
      <c r="D9399" s="108" t="s">
        <v>26839</v>
      </c>
      <c r="E9399" s="108" t="s">
        <v>14605</v>
      </c>
      <c r="F9399" s="108" t="s">
        <v>4988</v>
      </c>
      <c r="G9399" s="109">
        <v>44474</v>
      </c>
      <c r="H9399" s="108" t="s">
        <v>25458</v>
      </c>
      <c r="I9399" s="108" t="s">
        <v>108</v>
      </c>
    </row>
    <row r="9400" spans="1:9" ht="27.6">
      <c r="A9400" s="108" t="s">
        <v>14950</v>
      </c>
      <c r="B9400" s="108" t="s">
        <v>26840</v>
      </c>
      <c r="C9400" s="109">
        <v>44106</v>
      </c>
      <c r="D9400" s="108" t="s">
        <v>26841</v>
      </c>
      <c r="E9400" s="108" t="s">
        <v>14605</v>
      </c>
      <c r="F9400" s="108" t="s">
        <v>1698</v>
      </c>
      <c r="G9400" s="109">
        <v>44471</v>
      </c>
      <c r="H9400" s="108" t="s">
        <v>25458</v>
      </c>
      <c r="I9400" s="108" t="s">
        <v>108</v>
      </c>
    </row>
    <row r="9401" spans="1:9" ht="27.6">
      <c r="A9401" s="108" t="s">
        <v>14950</v>
      </c>
      <c r="B9401" s="108" t="s">
        <v>26842</v>
      </c>
      <c r="C9401" s="109">
        <v>44139</v>
      </c>
      <c r="D9401" s="108" t="s">
        <v>26843</v>
      </c>
      <c r="E9401" s="108" t="s">
        <v>14605</v>
      </c>
      <c r="F9401" s="108" t="s">
        <v>25626</v>
      </c>
      <c r="G9401" s="109">
        <v>44771</v>
      </c>
      <c r="H9401" s="108" t="s">
        <v>25458</v>
      </c>
      <c r="I9401" s="108" t="s">
        <v>108</v>
      </c>
    </row>
    <row r="9402" spans="1:9" ht="27.6">
      <c r="A9402" s="108" t="s">
        <v>14950</v>
      </c>
      <c r="B9402" s="108" t="s">
        <v>26844</v>
      </c>
      <c r="C9402" s="109">
        <v>44216</v>
      </c>
      <c r="D9402" s="108" t="s">
        <v>26845</v>
      </c>
      <c r="E9402" s="108" t="s">
        <v>14605</v>
      </c>
      <c r="F9402" s="108" t="s">
        <v>2013</v>
      </c>
      <c r="G9402" s="109">
        <v>44511</v>
      </c>
      <c r="H9402" s="108" t="s">
        <v>25458</v>
      </c>
      <c r="I9402" s="108" t="s">
        <v>108</v>
      </c>
    </row>
    <row r="9403" spans="1:9" ht="27.6">
      <c r="A9403" s="108" t="s">
        <v>14950</v>
      </c>
      <c r="B9403" s="108" t="s">
        <v>26846</v>
      </c>
      <c r="C9403" s="109">
        <v>44185</v>
      </c>
      <c r="D9403" s="108" t="s">
        <v>26847</v>
      </c>
      <c r="E9403" s="108" t="s">
        <v>14605</v>
      </c>
      <c r="F9403" s="108" t="s">
        <v>5119</v>
      </c>
      <c r="G9403" s="109">
        <v>44568</v>
      </c>
      <c r="H9403" s="108" t="s">
        <v>25458</v>
      </c>
      <c r="I9403" s="108" t="s">
        <v>108</v>
      </c>
    </row>
    <row r="9404" spans="1:9" ht="27.6">
      <c r="A9404" s="108" t="s">
        <v>14950</v>
      </c>
      <c r="B9404" s="108" t="s">
        <v>26848</v>
      </c>
      <c r="C9404" s="109">
        <v>44231</v>
      </c>
      <c r="D9404" s="108" t="s">
        <v>26849</v>
      </c>
      <c r="E9404" s="108" t="s">
        <v>14605</v>
      </c>
      <c r="F9404" s="108" t="s">
        <v>386</v>
      </c>
      <c r="G9404" s="109">
        <v>44536</v>
      </c>
      <c r="H9404" s="108" t="s">
        <v>25458</v>
      </c>
      <c r="I9404" s="108" t="s">
        <v>108</v>
      </c>
    </row>
    <row r="9405" spans="1:9" ht="27.6">
      <c r="A9405" s="108" t="s">
        <v>14950</v>
      </c>
      <c r="B9405" s="108" t="s">
        <v>26850</v>
      </c>
      <c r="C9405" s="109">
        <v>44227</v>
      </c>
      <c r="D9405" s="108" t="s">
        <v>26851</v>
      </c>
      <c r="E9405" s="108" t="s">
        <v>14605</v>
      </c>
      <c r="F9405" s="108" t="s">
        <v>1146</v>
      </c>
      <c r="G9405" s="109">
        <v>44606</v>
      </c>
      <c r="H9405" s="108" t="s">
        <v>25458</v>
      </c>
      <c r="I9405" s="108" t="s">
        <v>108</v>
      </c>
    </row>
    <row r="9406" spans="1:9" ht="27.6">
      <c r="A9406" s="108" t="s">
        <v>14950</v>
      </c>
      <c r="B9406" s="108" t="s">
        <v>26852</v>
      </c>
      <c r="C9406" s="109">
        <v>44185</v>
      </c>
      <c r="D9406" s="108" t="s">
        <v>26853</v>
      </c>
      <c r="E9406" s="108" t="s">
        <v>14605</v>
      </c>
      <c r="F9406" s="108" t="s">
        <v>3512</v>
      </c>
      <c r="G9406" s="109">
        <v>44592</v>
      </c>
      <c r="H9406" s="108" t="s">
        <v>25458</v>
      </c>
      <c r="I9406" s="108" t="s">
        <v>108</v>
      </c>
    </row>
    <row r="9407" spans="1:9" ht="27.6">
      <c r="A9407" s="108" t="s">
        <v>14950</v>
      </c>
      <c r="B9407" s="108" t="s">
        <v>26854</v>
      </c>
      <c r="C9407" s="109">
        <v>44181</v>
      </c>
      <c r="D9407" s="108" t="s">
        <v>26855</v>
      </c>
      <c r="E9407" s="108" t="s">
        <v>14605</v>
      </c>
      <c r="F9407" s="108" t="s">
        <v>1044</v>
      </c>
      <c r="G9407" s="109">
        <v>44571</v>
      </c>
      <c r="H9407" s="108" t="s">
        <v>25458</v>
      </c>
      <c r="I9407" s="108" t="s">
        <v>108</v>
      </c>
    </row>
    <row r="9408" spans="1:9" ht="27.6">
      <c r="A9408" s="108" t="s">
        <v>14950</v>
      </c>
      <c r="B9408" s="108" t="s">
        <v>26856</v>
      </c>
      <c r="C9408" s="109">
        <v>44228</v>
      </c>
      <c r="D9408" s="108" t="s">
        <v>26857</v>
      </c>
      <c r="E9408" s="108" t="s">
        <v>14605</v>
      </c>
      <c r="F9408" s="108" t="s">
        <v>5145</v>
      </c>
      <c r="G9408" s="109">
        <v>44517</v>
      </c>
      <c r="H9408" s="108" t="s">
        <v>25458</v>
      </c>
      <c r="I9408" s="108" t="s">
        <v>108</v>
      </c>
    </row>
    <row r="9409" spans="1:9" ht="27.6">
      <c r="A9409" s="108" t="s">
        <v>14950</v>
      </c>
      <c r="B9409" s="108" t="s">
        <v>26858</v>
      </c>
      <c r="C9409" s="109">
        <v>44228</v>
      </c>
      <c r="D9409" s="108" t="s">
        <v>26859</v>
      </c>
      <c r="E9409" s="108" t="s">
        <v>14605</v>
      </c>
      <c r="F9409" s="108" t="s">
        <v>1728</v>
      </c>
      <c r="G9409" s="109">
        <v>44574</v>
      </c>
      <c r="H9409" s="108" t="s">
        <v>25458</v>
      </c>
      <c r="I9409" s="108" t="s">
        <v>108</v>
      </c>
    </row>
    <row r="9410" spans="1:9" ht="27.6">
      <c r="A9410" s="108" t="s">
        <v>14950</v>
      </c>
      <c r="B9410" s="108" t="s">
        <v>26860</v>
      </c>
      <c r="C9410" s="109">
        <v>44180</v>
      </c>
      <c r="D9410" s="108" t="s">
        <v>26861</v>
      </c>
      <c r="E9410" s="108" t="s">
        <v>14605</v>
      </c>
      <c r="F9410" s="108" t="s">
        <v>2124</v>
      </c>
      <c r="G9410" s="109">
        <v>44575</v>
      </c>
      <c r="H9410" s="108" t="s">
        <v>25458</v>
      </c>
      <c r="I9410" s="108" t="s">
        <v>108</v>
      </c>
    </row>
    <row r="9411" spans="1:9" ht="27.6">
      <c r="A9411" s="108" t="s">
        <v>14950</v>
      </c>
      <c r="B9411" s="108" t="s">
        <v>26862</v>
      </c>
      <c r="C9411" s="109">
        <v>44223</v>
      </c>
      <c r="D9411" s="108" t="s">
        <v>26863</v>
      </c>
      <c r="E9411" s="108" t="s">
        <v>14605</v>
      </c>
      <c r="F9411" s="108" t="s">
        <v>5145</v>
      </c>
      <c r="G9411" s="109">
        <v>44606</v>
      </c>
      <c r="H9411" s="108" t="s">
        <v>25458</v>
      </c>
      <c r="I9411" s="108" t="s">
        <v>108</v>
      </c>
    </row>
    <row r="9412" spans="1:9" ht="27.6">
      <c r="A9412" s="108" t="s">
        <v>14950</v>
      </c>
      <c r="B9412" s="108" t="s">
        <v>26864</v>
      </c>
      <c r="C9412" s="109">
        <v>44267</v>
      </c>
      <c r="D9412" s="108" t="s">
        <v>26865</v>
      </c>
      <c r="E9412" s="108" t="s">
        <v>14605</v>
      </c>
      <c r="F9412" s="108" t="s">
        <v>1615</v>
      </c>
      <c r="G9412" s="109">
        <v>44629</v>
      </c>
      <c r="H9412" s="108" t="s">
        <v>25458</v>
      </c>
      <c r="I9412" s="108" t="s">
        <v>108</v>
      </c>
    </row>
    <row r="9413" spans="1:9" ht="27.6">
      <c r="A9413" s="108" t="s">
        <v>14950</v>
      </c>
      <c r="B9413" s="108" t="s">
        <v>26866</v>
      </c>
      <c r="C9413" s="109">
        <v>44252</v>
      </c>
      <c r="D9413" s="108" t="s">
        <v>26867</v>
      </c>
      <c r="E9413" s="108" t="s">
        <v>14605</v>
      </c>
      <c r="F9413" s="108" t="s">
        <v>913</v>
      </c>
      <c r="G9413" s="109">
        <v>44624</v>
      </c>
      <c r="H9413" s="108" t="s">
        <v>25458</v>
      </c>
      <c r="I9413" s="108" t="s">
        <v>108</v>
      </c>
    </row>
    <row r="9414" spans="1:9" ht="27.6">
      <c r="A9414" s="108" t="s">
        <v>14950</v>
      </c>
      <c r="B9414" s="108" t="s">
        <v>26868</v>
      </c>
      <c r="C9414" s="109">
        <v>44473</v>
      </c>
      <c r="D9414" s="108" t="s">
        <v>26869</v>
      </c>
      <c r="E9414" s="108" t="s">
        <v>14605</v>
      </c>
      <c r="F9414" s="108" t="s">
        <v>394</v>
      </c>
      <c r="G9414" s="109">
        <v>44809</v>
      </c>
      <c r="H9414" s="108" t="s">
        <v>25458</v>
      </c>
      <c r="I9414" s="108" t="s">
        <v>108</v>
      </c>
    </row>
    <row r="9415" spans="1:9" ht="27.6">
      <c r="A9415" s="108" t="s">
        <v>14950</v>
      </c>
      <c r="B9415" s="108" t="s">
        <v>26870</v>
      </c>
      <c r="C9415" s="109">
        <v>44293</v>
      </c>
      <c r="D9415" s="108" t="s">
        <v>26871</v>
      </c>
      <c r="E9415" s="108" t="s">
        <v>14605</v>
      </c>
      <c r="F9415" s="108" t="s">
        <v>3263</v>
      </c>
      <c r="G9415" s="109">
        <v>44638</v>
      </c>
      <c r="H9415" s="108" t="s">
        <v>25458</v>
      </c>
      <c r="I9415" s="108" t="s">
        <v>108</v>
      </c>
    </row>
    <row r="9416" spans="1:9" ht="27.6">
      <c r="A9416" s="108" t="s">
        <v>14950</v>
      </c>
      <c r="B9416" s="108" t="s">
        <v>26872</v>
      </c>
      <c r="C9416" s="109">
        <v>44246</v>
      </c>
      <c r="D9416" s="108" t="s">
        <v>26873</v>
      </c>
      <c r="E9416" s="108" t="s">
        <v>14605</v>
      </c>
      <c r="F9416" s="108" t="s">
        <v>4276</v>
      </c>
      <c r="G9416" s="109">
        <v>44578</v>
      </c>
      <c r="H9416" s="108" t="s">
        <v>25458</v>
      </c>
      <c r="I9416" s="108" t="s">
        <v>108</v>
      </c>
    </row>
    <row r="9417" spans="1:9" ht="27.6">
      <c r="A9417" s="108" t="s">
        <v>14950</v>
      </c>
      <c r="B9417" s="108" t="s">
        <v>26874</v>
      </c>
      <c r="C9417" s="109">
        <v>44296</v>
      </c>
      <c r="D9417" s="108" t="s">
        <v>26875</v>
      </c>
      <c r="E9417" s="108" t="s">
        <v>14605</v>
      </c>
      <c r="F9417" s="108" t="s">
        <v>724</v>
      </c>
      <c r="G9417" s="109">
        <v>44675</v>
      </c>
      <c r="H9417" s="108" t="s">
        <v>25458</v>
      </c>
      <c r="I9417" s="108" t="s">
        <v>108</v>
      </c>
    </row>
    <row r="9418" spans="1:9" ht="27.6">
      <c r="A9418" s="108" t="s">
        <v>14950</v>
      </c>
      <c r="B9418" s="108" t="s">
        <v>26876</v>
      </c>
      <c r="C9418" s="109">
        <v>44319</v>
      </c>
      <c r="D9418" s="108" t="s">
        <v>26877</v>
      </c>
      <c r="E9418" s="108" t="s">
        <v>14605</v>
      </c>
      <c r="F9418" s="108" t="s">
        <v>1443</v>
      </c>
      <c r="G9418" s="109">
        <v>44689</v>
      </c>
      <c r="H9418" s="108" t="s">
        <v>25458</v>
      </c>
      <c r="I9418" s="108" t="s">
        <v>108</v>
      </c>
    </row>
    <row r="9419" spans="1:9" ht="27.6">
      <c r="A9419" s="108" t="s">
        <v>14950</v>
      </c>
      <c r="B9419" s="108" t="s">
        <v>26878</v>
      </c>
      <c r="C9419" s="109">
        <v>44418</v>
      </c>
      <c r="D9419" s="108" t="s">
        <v>26879</v>
      </c>
      <c r="E9419" s="108" t="s">
        <v>14605</v>
      </c>
      <c r="F9419" s="108" t="s">
        <v>1907</v>
      </c>
      <c r="G9419" s="109">
        <v>44756</v>
      </c>
      <c r="H9419" s="108" t="s">
        <v>25458</v>
      </c>
      <c r="I9419" s="108" t="s">
        <v>108</v>
      </c>
    </row>
    <row r="9420" spans="1:9" ht="27.6">
      <c r="A9420" s="108" t="s">
        <v>14950</v>
      </c>
      <c r="B9420" s="108" t="s">
        <v>26880</v>
      </c>
      <c r="C9420" s="109">
        <v>44461</v>
      </c>
      <c r="D9420" s="108" t="s">
        <v>26881</v>
      </c>
      <c r="E9420" s="108" t="s">
        <v>14605</v>
      </c>
      <c r="F9420" s="108" t="s">
        <v>15535</v>
      </c>
      <c r="G9420" s="109">
        <v>44815</v>
      </c>
      <c r="H9420" s="108" t="s">
        <v>25458</v>
      </c>
      <c r="I9420" s="108" t="s">
        <v>108</v>
      </c>
    </row>
    <row r="9421" spans="1:9" ht="27.6">
      <c r="A9421" s="108" t="s">
        <v>14950</v>
      </c>
      <c r="B9421" s="108" t="s">
        <v>26882</v>
      </c>
      <c r="C9421" s="109">
        <v>44334</v>
      </c>
      <c r="D9421" s="108" t="s">
        <v>26883</v>
      </c>
      <c r="E9421" s="108" t="s">
        <v>14605</v>
      </c>
      <c r="F9421" s="108" t="s">
        <v>5248</v>
      </c>
      <c r="G9421" s="109">
        <v>44698</v>
      </c>
      <c r="H9421" s="108" t="s">
        <v>25458</v>
      </c>
      <c r="I9421" s="108" t="s">
        <v>108</v>
      </c>
    </row>
    <row r="9422" spans="1:9" ht="27.6">
      <c r="A9422" s="108" t="s">
        <v>14950</v>
      </c>
      <c r="B9422" s="108" t="s">
        <v>26884</v>
      </c>
      <c r="C9422" s="109">
        <v>44361</v>
      </c>
      <c r="D9422" s="108" t="s">
        <v>26885</v>
      </c>
      <c r="E9422" s="108" t="s">
        <v>14605</v>
      </c>
      <c r="F9422" s="108" t="s">
        <v>1770</v>
      </c>
      <c r="G9422" s="109">
        <v>44726</v>
      </c>
      <c r="H9422" s="108" t="s">
        <v>25458</v>
      </c>
      <c r="I9422" s="108" t="s">
        <v>108</v>
      </c>
    </row>
    <row r="9423" spans="1:9" ht="27.6">
      <c r="A9423" s="108" t="s">
        <v>14950</v>
      </c>
      <c r="B9423" s="108" t="s">
        <v>26886</v>
      </c>
      <c r="C9423" s="109">
        <v>44319</v>
      </c>
      <c r="D9423" s="108" t="s">
        <v>26887</v>
      </c>
      <c r="E9423" s="108" t="s">
        <v>14605</v>
      </c>
      <c r="F9423" s="108" t="s">
        <v>5219</v>
      </c>
      <c r="G9423" s="109">
        <v>44699</v>
      </c>
      <c r="H9423" s="108" t="s">
        <v>25458</v>
      </c>
      <c r="I9423" s="108" t="s">
        <v>108</v>
      </c>
    </row>
    <row r="9424" spans="1:9" ht="27.6">
      <c r="A9424" s="108" t="s">
        <v>14950</v>
      </c>
      <c r="B9424" s="108" t="s">
        <v>26888</v>
      </c>
      <c r="C9424" s="109">
        <v>44343</v>
      </c>
      <c r="D9424" s="108" t="s">
        <v>26889</v>
      </c>
      <c r="E9424" s="108" t="s">
        <v>14605</v>
      </c>
      <c r="F9424" s="108" t="s">
        <v>1875</v>
      </c>
      <c r="G9424" s="109">
        <v>44707</v>
      </c>
      <c r="H9424" s="108" t="s">
        <v>25458</v>
      </c>
      <c r="I9424" s="108" t="s">
        <v>108</v>
      </c>
    </row>
    <row r="9425" spans="1:9" ht="27.6">
      <c r="A9425" s="108" t="s">
        <v>14950</v>
      </c>
      <c r="B9425" s="108" t="s">
        <v>26890</v>
      </c>
      <c r="C9425" s="109">
        <v>44393</v>
      </c>
      <c r="D9425" s="108" t="s">
        <v>26891</v>
      </c>
      <c r="E9425" s="108" t="s">
        <v>14605</v>
      </c>
      <c r="F9425" s="108" t="s">
        <v>3033</v>
      </c>
      <c r="G9425" s="109">
        <v>44752</v>
      </c>
      <c r="H9425" s="108" t="s">
        <v>25458</v>
      </c>
      <c r="I9425" s="108" t="s">
        <v>108</v>
      </c>
    </row>
    <row r="9426" spans="1:9" ht="27.6">
      <c r="A9426" s="108" t="s">
        <v>14950</v>
      </c>
      <c r="B9426" s="108" t="s">
        <v>26892</v>
      </c>
      <c r="C9426" s="109">
        <v>44532</v>
      </c>
      <c r="D9426" s="108" t="s">
        <v>26893</v>
      </c>
      <c r="E9426" s="108" t="s">
        <v>14605</v>
      </c>
      <c r="F9426" s="108" t="s">
        <v>2160</v>
      </c>
      <c r="G9426" s="109">
        <v>44762</v>
      </c>
      <c r="H9426" s="108" t="s">
        <v>25458</v>
      </c>
      <c r="I9426" s="108" t="s">
        <v>108</v>
      </c>
    </row>
    <row r="9427" spans="1:9" ht="27.6">
      <c r="A9427" s="108" t="s">
        <v>14950</v>
      </c>
      <c r="B9427" s="108" t="s">
        <v>26894</v>
      </c>
      <c r="C9427" s="109">
        <v>44406</v>
      </c>
      <c r="D9427" s="108" t="s">
        <v>26895</v>
      </c>
      <c r="E9427" s="108" t="s">
        <v>14605</v>
      </c>
      <c r="F9427" s="108" t="s">
        <v>5047</v>
      </c>
      <c r="G9427" s="109">
        <v>44784</v>
      </c>
      <c r="H9427" s="108" t="s">
        <v>25458</v>
      </c>
      <c r="I9427" s="108" t="s">
        <v>108</v>
      </c>
    </row>
    <row r="9428" spans="1:9" ht="27.6">
      <c r="A9428" s="108" t="s">
        <v>14950</v>
      </c>
      <c r="B9428" s="108" t="s">
        <v>26896</v>
      </c>
      <c r="C9428" s="109">
        <v>44406</v>
      </c>
      <c r="D9428" s="108" t="s">
        <v>26897</v>
      </c>
      <c r="E9428" s="108" t="s">
        <v>14605</v>
      </c>
      <c r="F9428" s="108" t="s">
        <v>901</v>
      </c>
      <c r="G9428" s="109">
        <v>44756</v>
      </c>
      <c r="H9428" s="108" t="s">
        <v>25458</v>
      </c>
      <c r="I9428" s="108" t="s">
        <v>108</v>
      </c>
    </row>
    <row r="9429" spans="1:9" ht="27.6">
      <c r="A9429" s="108" t="s">
        <v>14950</v>
      </c>
      <c r="B9429" s="108" t="s">
        <v>26898</v>
      </c>
      <c r="C9429" s="109">
        <v>44421</v>
      </c>
      <c r="D9429" s="108" t="s">
        <v>26899</v>
      </c>
      <c r="E9429" s="108" t="s">
        <v>14605</v>
      </c>
      <c r="F9429" s="108" t="s">
        <v>3056</v>
      </c>
      <c r="G9429" s="109">
        <v>44802</v>
      </c>
      <c r="H9429" s="108" t="s">
        <v>25458</v>
      </c>
      <c r="I9429" s="108" t="s">
        <v>108</v>
      </c>
    </row>
    <row r="9430" spans="1:9" ht="27.6">
      <c r="A9430" s="108" t="s">
        <v>14950</v>
      </c>
      <c r="B9430" s="108" t="s">
        <v>26900</v>
      </c>
      <c r="C9430" s="109">
        <v>44386</v>
      </c>
      <c r="D9430" s="108" t="s">
        <v>26901</v>
      </c>
      <c r="E9430" s="108" t="s">
        <v>14605</v>
      </c>
      <c r="F9430" s="108" t="s">
        <v>711</v>
      </c>
      <c r="G9430" s="109">
        <v>44763</v>
      </c>
      <c r="H9430" s="108" t="s">
        <v>25458</v>
      </c>
      <c r="I9430" s="108" t="s">
        <v>108</v>
      </c>
    </row>
    <row r="9431" spans="1:9" ht="27.6">
      <c r="A9431" s="108" t="s">
        <v>1591</v>
      </c>
      <c r="B9431" s="108" t="s">
        <v>1589</v>
      </c>
      <c r="C9431" s="109">
        <v>45266</v>
      </c>
      <c r="D9431" s="108" t="s">
        <v>1590</v>
      </c>
      <c r="E9431" s="108" t="s">
        <v>14605</v>
      </c>
      <c r="F9431" s="108" t="s">
        <v>1577</v>
      </c>
      <c r="G9431" s="109">
        <v>45631</v>
      </c>
      <c r="H9431" s="108" t="s">
        <v>25458</v>
      </c>
      <c r="I9431" s="108" t="s">
        <v>108</v>
      </c>
    </row>
    <row r="9432" spans="1:9" ht="27.6">
      <c r="A9432" s="108" t="s">
        <v>571</v>
      </c>
      <c r="B9432" s="108" t="s">
        <v>1991</v>
      </c>
      <c r="C9432" s="109">
        <v>44776</v>
      </c>
      <c r="D9432" s="108" t="s">
        <v>1992</v>
      </c>
      <c r="E9432" s="108" t="s">
        <v>14605</v>
      </c>
      <c r="F9432" s="108" t="s">
        <v>15284</v>
      </c>
      <c r="G9432" s="109">
        <v>45140</v>
      </c>
      <c r="H9432" s="108" t="s">
        <v>25458</v>
      </c>
      <c r="I9432" s="108" t="s">
        <v>108</v>
      </c>
    </row>
    <row r="9433" spans="1:9">
      <c r="A9433" s="108" t="s">
        <v>923</v>
      </c>
      <c r="B9433" s="108" t="s">
        <v>4801</v>
      </c>
      <c r="C9433" s="109">
        <v>44734</v>
      </c>
      <c r="D9433" s="108" t="s">
        <v>4802</v>
      </c>
      <c r="E9433" s="108" t="s">
        <v>14605</v>
      </c>
      <c r="F9433" s="108" t="s">
        <v>4796</v>
      </c>
      <c r="G9433" s="109">
        <v>45098</v>
      </c>
      <c r="H9433" s="108" t="s">
        <v>25458</v>
      </c>
      <c r="I9433" s="108" t="s">
        <v>108</v>
      </c>
    </row>
    <row r="9434" spans="1:9">
      <c r="A9434" s="108" t="s">
        <v>477</v>
      </c>
      <c r="B9434" s="108" t="s">
        <v>2899</v>
      </c>
      <c r="C9434" s="109">
        <v>44740</v>
      </c>
      <c r="D9434" s="108" t="s">
        <v>2901</v>
      </c>
      <c r="E9434" s="108" t="s">
        <v>14605</v>
      </c>
      <c r="F9434" s="108" t="s">
        <v>2900</v>
      </c>
      <c r="G9434" s="109">
        <v>45104</v>
      </c>
      <c r="H9434" s="108" t="s">
        <v>25458</v>
      </c>
      <c r="I9434" s="108" t="s">
        <v>108</v>
      </c>
    </row>
    <row r="9435" spans="1:9" ht="27.6">
      <c r="A9435" s="108" t="s">
        <v>14690</v>
      </c>
      <c r="B9435" s="108" t="s">
        <v>2981</v>
      </c>
      <c r="C9435" s="109">
        <v>44824</v>
      </c>
      <c r="D9435" s="108" t="s">
        <v>2983</v>
      </c>
      <c r="E9435" s="108" t="s">
        <v>14605</v>
      </c>
      <c r="F9435" s="108" t="s">
        <v>2982</v>
      </c>
      <c r="G9435" s="109">
        <v>45188</v>
      </c>
      <c r="H9435" s="108" t="s">
        <v>25458</v>
      </c>
      <c r="I9435" s="108" t="s">
        <v>108</v>
      </c>
    </row>
    <row r="9436" spans="1:9">
      <c r="A9436" s="108" t="s">
        <v>87</v>
      </c>
      <c r="B9436" s="108" t="s">
        <v>4950</v>
      </c>
      <c r="C9436" s="109">
        <v>44792</v>
      </c>
      <c r="D9436" s="108" t="s">
        <v>4951</v>
      </c>
      <c r="E9436" s="108" t="s">
        <v>14605</v>
      </c>
      <c r="F9436" s="108" t="s">
        <v>4947</v>
      </c>
      <c r="G9436" s="109">
        <v>45156</v>
      </c>
      <c r="H9436" s="108" t="s">
        <v>25458</v>
      </c>
      <c r="I9436" s="108" t="s">
        <v>108</v>
      </c>
    </row>
    <row r="9437" spans="1:9">
      <c r="A9437" s="108" t="s">
        <v>1465</v>
      </c>
      <c r="B9437" s="108" t="s">
        <v>1506</v>
      </c>
      <c r="C9437" s="109">
        <v>44827</v>
      </c>
      <c r="D9437" s="108" t="s">
        <v>1507</v>
      </c>
      <c r="E9437" s="108" t="s">
        <v>14605</v>
      </c>
      <c r="F9437" s="108" t="s">
        <v>1504</v>
      </c>
      <c r="G9437" s="109">
        <v>45191</v>
      </c>
      <c r="H9437" s="108" t="s">
        <v>25458</v>
      </c>
      <c r="I9437" s="108" t="s">
        <v>108</v>
      </c>
    </row>
    <row r="9438" spans="1:9">
      <c r="A9438" s="108" t="s">
        <v>1465</v>
      </c>
      <c r="B9438" s="108" t="s">
        <v>1503</v>
      </c>
      <c r="C9438" s="109">
        <v>44827</v>
      </c>
      <c r="D9438" s="108" t="s">
        <v>1505</v>
      </c>
      <c r="E9438" s="108" t="s">
        <v>14605</v>
      </c>
      <c r="F9438" s="108" t="s">
        <v>1504</v>
      </c>
      <c r="G9438" s="109">
        <v>45191</v>
      </c>
      <c r="H9438" s="108" t="s">
        <v>25458</v>
      </c>
      <c r="I9438" s="108" t="s">
        <v>108</v>
      </c>
    </row>
    <row r="9439" spans="1:9">
      <c r="A9439" s="108" t="s">
        <v>2002</v>
      </c>
      <c r="B9439" s="108" t="s">
        <v>4790</v>
      </c>
      <c r="C9439" s="109">
        <v>44816</v>
      </c>
      <c r="D9439" s="108" t="s">
        <v>4791</v>
      </c>
      <c r="E9439" s="108" t="s">
        <v>14605</v>
      </c>
      <c r="F9439" s="108" t="s">
        <v>4786</v>
      </c>
      <c r="G9439" s="109">
        <v>45180</v>
      </c>
      <c r="H9439" s="108" t="s">
        <v>25458</v>
      </c>
      <c r="I9439" s="108" t="s">
        <v>108</v>
      </c>
    </row>
    <row r="9440" spans="1:9">
      <c r="A9440" s="108" t="s">
        <v>14679</v>
      </c>
      <c r="B9440" s="108" t="s">
        <v>1750</v>
      </c>
      <c r="C9440" s="109">
        <v>44915</v>
      </c>
      <c r="D9440" s="108" t="s">
        <v>1751</v>
      </c>
      <c r="E9440" s="108" t="s">
        <v>14605</v>
      </c>
      <c r="F9440" s="108" t="s">
        <v>1745</v>
      </c>
      <c r="G9440" s="109">
        <v>45279</v>
      </c>
      <c r="H9440" s="108" t="s">
        <v>25458</v>
      </c>
      <c r="I9440" s="108" t="s">
        <v>108</v>
      </c>
    </row>
    <row r="9441" spans="1:9" ht="27.6">
      <c r="A9441" s="108" t="s">
        <v>14690</v>
      </c>
      <c r="B9441" s="108" t="s">
        <v>26902</v>
      </c>
      <c r="C9441" s="109">
        <v>44992</v>
      </c>
      <c r="D9441" s="108" t="s">
        <v>26903</v>
      </c>
      <c r="E9441" s="108" t="s">
        <v>14605</v>
      </c>
      <c r="F9441" s="108" t="s">
        <v>26904</v>
      </c>
      <c r="G9441" s="109">
        <v>45274</v>
      </c>
      <c r="H9441" s="108" t="s">
        <v>25458</v>
      </c>
      <c r="I9441" s="108" t="s">
        <v>108</v>
      </c>
    </row>
    <row r="9442" spans="1:9">
      <c r="A9442" s="108" t="s">
        <v>14928</v>
      </c>
      <c r="B9442" s="108" t="s">
        <v>4525</v>
      </c>
      <c r="C9442" s="109">
        <v>44805</v>
      </c>
      <c r="D9442" s="108" t="s">
        <v>4526</v>
      </c>
      <c r="E9442" s="108" t="s">
        <v>14605</v>
      </c>
      <c r="F9442" s="108" t="s">
        <v>4515</v>
      </c>
      <c r="G9442" s="109">
        <v>45169</v>
      </c>
      <c r="H9442" s="108" t="s">
        <v>25458</v>
      </c>
      <c r="I9442" s="108" t="s">
        <v>108</v>
      </c>
    </row>
    <row r="9443" spans="1:9">
      <c r="A9443" s="108" t="s">
        <v>1465</v>
      </c>
      <c r="B9443" s="108" t="s">
        <v>1254</v>
      </c>
      <c r="C9443" s="109">
        <v>44839</v>
      </c>
      <c r="D9443" s="108" t="s">
        <v>1255</v>
      </c>
      <c r="E9443" s="108" t="s">
        <v>14605</v>
      </c>
      <c r="F9443" s="108" t="s">
        <v>1228</v>
      </c>
      <c r="G9443" s="109">
        <v>45196</v>
      </c>
      <c r="H9443" s="108" t="s">
        <v>25458</v>
      </c>
      <c r="I9443" s="108" t="s">
        <v>108</v>
      </c>
    </row>
    <row r="9444" spans="1:9">
      <c r="A9444" s="108" t="s">
        <v>571</v>
      </c>
      <c r="B9444" s="108" t="s">
        <v>4554</v>
      </c>
      <c r="C9444" s="109">
        <v>44943</v>
      </c>
      <c r="D9444" s="108" t="s">
        <v>4555</v>
      </c>
      <c r="E9444" s="108" t="s">
        <v>14605</v>
      </c>
      <c r="F9444" s="108" t="s">
        <v>4546</v>
      </c>
      <c r="G9444" s="109">
        <v>45307</v>
      </c>
      <c r="H9444" s="108" t="s">
        <v>25458</v>
      </c>
      <c r="I9444" s="108" t="s">
        <v>108</v>
      </c>
    </row>
    <row r="9445" spans="1:9">
      <c r="A9445" s="108" t="s">
        <v>237</v>
      </c>
      <c r="B9445" s="108" t="s">
        <v>1030</v>
      </c>
      <c r="C9445" s="109">
        <v>45049</v>
      </c>
      <c r="D9445" s="108" t="s">
        <v>1031</v>
      </c>
      <c r="E9445" s="108" t="s">
        <v>14605</v>
      </c>
      <c r="F9445" s="108" t="s">
        <v>1028</v>
      </c>
      <c r="G9445" s="109">
        <v>45414</v>
      </c>
      <c r="H9445" s="108" t="s">
        <v>25458</v>
      </c>
      <c r="I9445" s="108" t="s">
        <v>108</v>
      </c>
    </row>
    <row r="9446" spans="1:9">
      <c r="A9446" s="108" t="s">
        <v>14679</v>
      </c>
      <c r="B9446" s="108" t="s">
        <v>1252</v>
      </c>
      <c r="C9446" s="109">
        <v>44950</v>
      </c>
      <c r="D9446" s="108" t="s">
        <v>1253</v>
      </c>
      <c r="E9446" s="108" t="s">
        <v>14605</v>
      </c>
      <c r="F9446" s="108" t="s">
        <v>1228</v>
      </c>
      <c r="G9446" s="109">
        <v>45314</v>
      </c>
      <c r="H9446" s="108" t="s">
        <v>25458</v>
      </c>
      <c r="I9446" s="108" t="s">
        <v>108</v>
      </c>
    </row>
    <row r="9447" spans="1:9" ht="27.6">
      <c r="A9447" s="108" t="s">
        <v>14690</v>
      </c>
      <c r="B9447" s="108" t="s">
        <v>3203</v>
      </c>
      <c r="C9447" s="109">
        <v>45142</v>
      </c>
      <c r="D9447" s="108" t="s">
        <v>3204</v>
      </c>
      <c r="E9447" s="108" t="s">
        <v>14605</v>
      </c>
      <c r="F9447" s="108" t="s">
        <v>3199</v>
      </c>
      <c r="G9447" s="109">
        <v>45507</v>
      </c>
      <c r="H9447" s="108" t="s">
        <v>25458</v>
      </c>
      <c r="I9447" s="108" t="s">
        <v>108</v>
      </c>
    </row>
    <row r="9448" spans="1:9">
      <c r="A9448" s="108" t="s">
        <v>14928</v>
      </c>
      <c r="B9448" s="108" t="s">
        <v>4876</v>
      </c>
      <c r="C9448" s="109">
        <v>45083</v>
      </c>
      <c r="D9448" s="108" t="s">
        <v>4877</v>
      </c>
      <c r="E9448" s="108" t="s">
        <v>14605</v>
      </c>
      <c r="F9448" s="108" t="s">
        <v>4857</v>
      </c>
      <c r="G9448" s="109">
        <v>45448</v>
      </c>
      <c r="H9448" s="108" t="s">
        <v>25458</v>
      </c>
      <c r="I9448" s="108" t="s">
        <v>108</v>
      </c>
    </row>
    <row r="9449" spans="1:9" ht="27.6">
      <c r="A9449" s="108" t="s">
        <v>14929</v>
      </c>
      <c r="B9449" s="108" t="s">
        <v>4711</v>
      </c>
      <c r="C9449" s="109">
        <v>45084</v>
      </c>
      <c r="D9449" s="108" t="s">
        <v>4712</v>
      </c>
      <c r="E9449" s="108" t="s">
        <v>14605</v>
      </c>
      <c r="F9449" s="108" t="s">
        <v>4702</v>
      </c>
      <c r="G9449" s="109">
        <v>45449</v>
      </c>
      <c r="H9449" s="108" t="s">
        <v>25458</v>
      </c>
      <c r="I9449" s="108" t="s">
        <v>108</v>
      </c>
    </row>
    <row r="9450" spans="1:9" ht="27.6">
      <c r="A9450" s="108" t="s">
        <v>14929</v>
      </c>
      <c r="B9450" s="108" t="s">
        <v>737</v>
      </c>
      <c r="C9450" s="109">
        <v>45080</v>
      </c>
      <c r="D9450" s="108" t="s">
        <v>738</v>
      </c>
      <c r="E9450" s="108" t="s">
        <v>14605</v>
      </c>
      <c r="F9450" s="108" t="s">
        <v>733</v>
      </c>
      <c r="G9450" s="109">
        <v>45444</v>
      </c>
      <c r="H9450" s="108" t="s">
        <v>25458</v>
      </c>
      <c r="I9450" s="108" t="s">
        <v>108</v>
      </c>
    </row>
    <row r="9451" spans="1:9">
      <c r="A9451" s="108" t="s">
        <v>172</v>
      </c>
      <c r="B9451" s="108" t="s">
        <v>656</v>
      </c>
      <c r="C9451" s="109">
        <v>45078</v>
      </c>
      <c r="D9451" s="108" t="s">
        <v>658</v>
      </c>
      <c r="E9451" s="108" t="s">
        <v>14605</v>
      </c>
      <c r="F9451" s="108" t="s">
        <v>657</v>
      </c>
      <c r="G9451" s="109">
        <v>45443</v>
      </c>
      <c r="H9451" s="108" t="s">
        <v>25458</v>
      </c>
      <c r="I9451" s="108" t="s">
        <v>108</v>
      </c>
    </row>
    <row r="9452" spans="1:9">
      <c r="A9452" s="108" t="s">
        <v>87</v>
      </c>
      <c r="B9452" s="108" t="s">
        <v>1544</v>
      </c>
      <c r="C9452" s="109">
        <v>45125</v>
      </c>
      <c r="D9452" s="108" t="s">
        <v>1545</v>
      </c>
      <c r="E9452" s="108" t="s">
        <v>14605</v>
      </c>
      <c r="F9452" s="108" t="s">
        <v>17498</v>
      </c>
      <c r="G9452" s="109">
        <v>45490</v>
      </c>
      <c r="H9452" s="108" t="s">
        <v>25458</v>
      </c>
      <c r="I9452" s="108" t="s">
        <v>108</v>
      </c>
    </row>
    <row r="9453" spans="1:9">
      <c r="A9453" s="108" t="s">
        <v>87</v>
      </c>
      <c r="B9453" s="108" t="s">
        <v>708</v>
      </c>
      <c r="C9453" s="109">
        <v>45230</v>
      </c>
      <c r="D9453" s="108" t="s">
        <v>709</v>
      </c>
      <c r="E9453" s="108" t="s">
        <v>14605</v>
      </c>
      <c r="F9453" s="108" t="s">
        <v>706</v>
      </c>
      <c r="G9453" s="109">
        <v>45595</v>
      </c>
      <c r="H9453" s="108" t="s">
        <v>25458</v>
      </c>
      <c r="I9453" s="108" t="s">
        <v>108</v>
      </c>
    </row>
    <row r="9454" spans="1:9">
      <c r="A9454" s="108" t="s">
        <v>15043</v>
      </c>
      <c r="B9454" s="108" t="s">
        <v>5131</v>
      </c>
      <c r="C9454" s="109">
        <v>45127</v>
      </c>
      <c r="D9454" s="108" t="s">
        <v>5133</v>
      </c>
      <c r="E9454" s="108" t="s">
        <v>14605</v>
      </c>
      <c r="F9454" s="108" t="s">
        <v>5132</v>
      </c>
      <c r="G9454" s="109">
        <v>45492</v>
      </c>
      <c r="H9454" s="108" t="s">
        <v>25458</v>
      </c>
      <c r="I9454" s="108" t="s">
        <v>108</v>
      </c>
    </row>
    <row r="9455" spans="1:9">
      <c r="A9455" s="108" t="s">
        <v>14928</v>
      </c>
      <c r="B9455" s="108" t="s">
        <v>4709</v>
      </c>
      <c r="C9455" s="109">
        <v>45175</v>
      </c>
      <c r="D9455" s="108" t="s">
        <v>4710</v>
      </c>
      <c r="E9455" s="108" t="s">
        <v>14605</v>
      </c>
      <c r="F9455" s="108" t="s">
        <v>4702</v>
      </c>
      <c r="G9455" s="109">
        <v>45540</v>
      </c>
      <c r="H9455" s="108" t="s">
        <v>25458</v>
      </c>
      <c r="I9455" s="108" t="s">
        <v>108</v>
      </c>
    </row>
    <row r="9456" spans="1:9">
      <c r="A9456" s="108" t="s">
        <v>87</v>
      </c>
      <c r="B9456" s="108" t="s">
        <v>2048</v>
      </c>
      <c r="C9456" s="109">
        <v>45265</v>
      </c>
      <c r="D9456" s="108" t="s">
        <v>2050</v>
      </c>
      <c r="E9456" s="108" t="s">
        <v>14605</v>
      </c>
      <c r="F9456" s="108" t="s">
        <v>2049</v>
      </c>
      <c r="G9456" s="109">
        <v>45630</v>
      </c>
      <c r="H9456" s="108" t="s">
        <v>25458</v>
      </c>
      <c r="I9456" s="108" t="s">
        <v>108</v>
      </c>
    </row>
    <row r="9457" spans="1:9">
      <c r="A9457" s="108" t="s">
        <v>87</v>
      </c>
      <c r="B9457" s="108" t="s">
        <v>1879</v>
      </c>
      <c r="C9457" s="109">
        <v>45232</v>
      </c>
      <c r="D9457" s="108" t="s">
        <v>1880</v>
      </c>
      <c r="E9457" s="108" t="s">
        <v>14605</v>
      </c>
      <c r="F9457" s="108" t="s">
        <v>1875</v>
      </c>
      <c r="G9457" s="109">
        <v>45597</v>
      </c>
      <c r="H9457" s="108" t="s">
        <v>25458</v>
      </c>
      <c r="I9457" s="108" t="s">
        <v>108</v>
      </c>
    </row>
    <row r="9458" spans="1:9" ht="27.6">
      <c r="A9458" s="108" t="s">
        <v>87</v>
      </c>
      <c r="B9458" s="108" t="s">
        <v>178</v>
      </c>
      <c r="C9458" s="109">
        <v>45265</v>
      </c>
      <c r="D9458" s="108" t="s">
        <v>180</v>
      </c>
      <c r="E9458" s="108" t="s">
        <v>14605</v>
      </c>
      <c r="F9458" s="108" t="s">
        <v>179</v>
      </c>
      <c r="G9458" s="109">
        <v>45630</v>
      </c>
      <c r="H9458" s="108" t="s">
        <v>25458</v>
      </c>
      <c r="I9458" s="108" t="s">
        <v>108</v>
      </c>
    </row>
    <row r="9459" spans="1:9">
      <c r="A9459" s="108" t="s">
        <v>87</v>
      </c>
      <c r="B9459" s="108" t="s">
        <v>2619</v>
      </c>
      <c r="C9459" s="109">
        <v>45447</v>
      </c>
      <c r="D9459" s="108" t="s">
        <v>2620</v>
      </c>
      <c r="E9459" s="108" t="s">
        <v>14605</v>
      </c>
      <c r="F9459" s="108" t="s">
        <v>2616</v>
      </c>
      <c r="G9459" s="109">
        <v>45811</v>
      </c>
      <c r="H9459" s="108" t="s">
        <v>25458</v>
      </c>
      <c r="I9459" s="108" t="s">
        <v>108</v>
      </c>
    </row>
    <row r="9460" spans="1:9">
      <c r="A9460" s="108" t="s">
        <v>87</v>
      </c>
      <c r="B9460" s="108" t="s">
        <v>2617</v>
      </c>
      <c r="C9460" s="109">
        <v>45447</v>
      </c>
      <c r="D9460" s="108" t="s">
        <v>2618</v>
      </c>
      <c r="E9460" s="108" t="s">
        <v>14605</v>
      </c>
      <c r="F9460" s="108" t="s">
        <v>2616</v>
      </c>
      <c r="G9460" s="109">
        <v>45811</v>
      </c>
      <c r="H9460" s="108" t="s">
        <v>25458</v>
      </c>
      <c r="I9460" s="108" t="s">
        <v>108</v>
      </c>
    </row>
    <row r="9461" spans="1:9">
      <c r="A9461" s="108" t="s">
        <v>87</v>
      </c>
      <c r="B9461" s="108" t="s">
        <v>805</v>
      </c>
      <c r="C9461" s="109">
        <v>45671</v>
      </c>
      <c r="D9461" s="108" t="s">
        <v>806</v>
      </c>
      <c r="E9461" s="108" t="s">
        <v>14605</v>
      </c>
      <c r="F9461" s="108" t="s">
        <v>801</v>
      </c>
      <c r="G9461" s="109">
        <v>45956</v>
      </c>
      <c r="H9461" s="108" t="s">
        <v>25458</v>
      </c>
      <c r="I9461" s="108" t="s">
        <v>108</v>
      </c>
    </row>
    <row r="9462" spans="1:9" ht="27.6">
      <c r="A9462" s="108" t="s">
        <v>15075</v>
      </c>
      <c r="B9462" s="108" t="s">
        <v>26905</v>
      </c>
      <c r="C9462" s="109">
        <v>44375</v>
      </c>
      <c r="D9462" s="108" t="s">
        <v>26906</v>
      </c>
      <c r="E9462" s="108" t="s">
        <v>14605</v>
      </c>
      <c r="F9462" s="108" t="s">
        <v>1066</v>
      </c>
      <c r="G9462" s="109">
        <v>44633</v>
      </c>
      <c r="H9462" s="108" t="s">
        <v>25458</v>
      </c>
      <c r="I9462" s="108" t="s">
        <v>108</v>
      </c>
    </row>
    <row r="9463" spans="1:9" ht="27.6">
      <c r="A9463" s="108" t="s">
        <v>15075</v>
      </c>
      <c r="B9463" s="108" t="s">
        <v>26907</v>
      </c>
      <c r="C9463" s="109">
        <v>44377</v>
      </c>
      <c r="D9463" s="108" t="s">
        <v>26908</v>
      </c>
      <c r="E9463" s="108" t="s">
        <v>14605</v>
      </c>
      <c r="F9463" s="108" t="s">
        <v>235</v>
      </c>
      <c r="G9463" s="109">
        <v>44741</v>
      </c>
      <c r="H9463" s="108" t="s">
        <v>25458</v>
      </c>
      <c r="I9463" s="108" t="s">
        <v>108</v>
      </c>
    </row>
    <row r="9464" spans="1:9" ht="27.6">
      <c r="A9464" s="108" t="s">
        <v>15075</v>
      </c>
      <c r="B9464" s="108" t="s">
        <v>26909</v>
      </c>
      <c r="C9464" s="109">
        <v>44379</v>
      </c>
      <c r="D9464" s="108" t="s">
        <v>26910</v>
      </c>
      <c r="E9464" s="108" t="s">
        <v>14605</v>
      </c>
      <c r="F9464" s="108" t="s">
        <v>14672</v>
      </c>
      <c r="G9464" s="109">
        <v>44759</v>
      </c>
      <c r="H9464" s="108" t="s">
        <v>25458</v>
      </c>
      <c r="I9464" s="108" t="s">
        <v>108</v>
      </c>
    </row>
    <row r="9465" spans="1:9" ht="27.6">
      <c r="A9465" s="108" t="s">
        <v>15075</v>
      </c>
      <c r="B9465" s="108" t="s">
        <v>26911</v>
      </c>
      <c r="C9465" s="109">
        <v>44378</v>
      </c>
      <c r="D9465" s="108" t="s">
        <v>26912</v>
      </c>
      <c r="E9465" s="108" t="s">
        <v>14605</v>
      </c>
      <c r="F9465" s="108" t="s">
        <v>2475</v>
      </c>
      <c r="G9465" s="109">
        <v>44763</v>
      </c>
      <c r="H9465" s="108" t="s">
        <v>25458</v>
      </c>
      <c r="I9465" s="108" t="s">
        <v>108</v>
      </c>
    </row>
    <row r="9466" spans="1:9" ht="27.6">
      <c r="A9466" s="108" t="s">
        <v>15075</v>
      </c>
      <c r="B9466" s="108" t="s">
        <v>26913</v>
      </c>
      <c r="C9466" s="109">
        <v>44410</v>
      </c>
      <c r="D9466" s="108" t="s">
        <v>26914</v>
      </c>
      <c r="E9466" s="108" t="s">
        <v>14605</v>
      </c>
      <c r="F9466" s="108" t="s">
        <v>1338</v>
      </c>
      <c r="G9466" s="109">
        <v>44804</v>
      </c>
      <c r="H9466" s="108" t="s">
        <v>25458</v>
      </c>
      <c r="I9466" s="108" t="s">
        <v>108</v>
      </c>
    </row>
    <row r="9467" spans="1:9" ht="27.6">
      <c r="A9467" s="108" t="s">
        <v>15075</v>
      </c>
      <c r="B9467" s="108" t="s">
        <v>26915</v>
      </c>
      <c r="C9467" s="109">
        <v>44447</v>
      </c>
      <c r="D9467" s="108" t="s">
        <v>26916</v>
      </c>
      <c r="E9467" s="108" t="s">
        <v>14605</v>
      </c>
      <c r="F9467" s="108" t="s">
        <v>26917</v>
      </c>
      <c r="G9467" s="109">
        <v>44759</v>
      </c>
      <c r="H9467" s="108" t="s">
        <v>25458</v>
      </c>
      <c r="I9467" s="108" t="s">
        <v>108</v>
      </c>
    </row>
    <row r="9468" spans="1:9" ht="27.6">
      <c r="A9468" s="108" t="s">
        <v>15075</v>
      </c>
      <c r="B9468" s="108" t="s">
        <v>26918</v>
      </c>
      <c r="C9468" s="109">
        <v>44400</v>
      </c>
      <c r="D9468" s="108" t="s">
        <v>26919</v>
      </c>
      <c r="E9468" s="108" t="s">
        <v>14605</v>
      </c>
      <c r="F9468" s="108" t="s">
        <v>3773</v>
      </c>
      <c r="G9468" s="109">
        <v>44751</v>
      </c>
      <c r="H9468" s="108" t="s">
        <v>25458</v>
      </c>
      <c r="I9468" s="108" t="s">
        <v>108</v>
      </c>
    </row>
    <row r="9469" spans="1:9" ht="27.6">
      <c r="A9469" s="108" t="s">
        <v>15075</v>
      </c>
      <c r="B9469" s="108" t="s">
        <v>26920</v>
      </c>
      <c r="C9469" s="109">
        <v>44400</v>
      </c>
      <c r="D9469" s="108" t="s">
        <v>26921</v>
      </c>
      <c r="E9469" s="108" t="s">
        <v>14605</v>
      </c>
      <c r="F9469" s="108" t="s">
        <v>2044</v>
      </c>
      <c r="G9469" s="109">
        <v>44750</v>
      </c>
      <c r="H9469" s="108" t="s">
        <v>25458</v>
      </c>
      <c r="I9469" s="108" t="s">
        <v>108</v>
      </c>
    </row>
    <row r="9470" spans="1:9" ht="27.6">
      <c r="A9470" s="108" t="s">
        <v>15075</v>
      </c>
      <c r="B9470" s="108" t="s">
        <v>26922</v>
      </c>
      <c r="C9470" s="109">
        <v>44405</v>
      </c>
      <c r="D9470" s="108" t="s">
        <v>26923</v>
      </c>
      <c r="E9470" s="108" t="s">
        <v>14605</v>
      </c>
      <c r="F9470" s="108" t="s">
        <v>16674</v>
      </c>
      <c r="G9470" s="109">
        <v>44766</v>
      </c>
      <c r="H9470" s="108" t="s">
        <v>25458</v>
      </c>
      <c r="I9470" s="108" t="s">
        <v>108</v>
      </c>
    </row>
    <row r="9471" spans="1:9" ht="27.6">
      <c r="A9471" s="108" t="s">
        <v>15075</v>
      </c>
      <c r="B9471" s="108" t="s">
        <v>26924</v>
      </c>
      <c r="C9471" s="109">
        <v>44404</v>
      </c>
      <c r="D9471" s="108" t="s">
        <v>26925</v>
      </c>
      <c r="E9471" s="108" t="s">
        <v>14605</v>
      </c>
      <c r="F9471" s="108" t="s">
        <v>2475</v>
      </c>
      <c r="G9471" s="109">
        <v>44785</v>
      </c>
      <c r="H9471" s="108" t="s">
        <v>25458</v>
      </c>
      <c r="I9471" s="108" t="s">
        <v>108</v>
      </c>
    </row>
    <row r="9472" spans="1:9" ht="27.6">
      <c r="A9472" s="108" t="s">
        <v>15075</v>
      </c>
      <c r="B9472" s="108" t="s">
        <v>26926</v>
      </c>
      <c r="C9472" s="109">
        <v>44404</v>
      </c>
      <c r="D9472" s="108" t="s">
        <v>26927</v>
      </c>
      <c r="E9472" s="108" t="s">
        <v>14605</v>
      </c>
      <c r="F9472" s="108" t="s">
        <v>342</v>
      </c>
      <c r="G9472" s="109">
        <v>44755</v>
      </c>
      <c r="H9472" s="108" t="s">
        <v>25458</v>
      </c>
      <c r="I9472" s="108" t="s">
        <v>108</v>
      </c>
    </row>
    <row r="9473" spans="1:9" ht="27.6">
      <c r="A9473" s="108" t="s">
        <v>15075</v>
      </c>
      <c r="B9473" s="108" t="s">
        <v>26928</v>
      </c>
      <c r="C9473" s="109">
        <v>44424</v>
      </c>
      <c r="D9473" s="108" t="s">
        <v>26929</v>
      </c>
      <c r="E9473" s="108" t="s">
        <v>14605</v>
      </c>
      <c r="F9473" s="108" t="s">
        <v>3651</v>
      </c>
      <c r="G9473" s="109">
        <v>44794</v>
      </c>
      <c r="H9473" s="108" t="s">
        <v>25458</v>
      </c>
      <c r="I9473" s="108" t="s">
        <v>108</v>
      </c>
    </row>
    <row r="9474" spans="1:9" ht="41.4">
      <c r="A9474" s="108" t="s">
        <v>15075</v>
      </c>
      <c r="B9474" s="108" t="s">
        <v>26930</v>
      </c>
      <c r="C9474" s="109">
        <v>44504</v>
      </c>
      <c r="D9474" s="108" t="s">
        <v>26931</v>
      </c>
      <c r="E9474" s="108" t="s">
        <v>14605</v>
      </c>
      <c r="F9474" s="108" t="s">
        <v>2826</v>
      </c>
      <c r="G9474" s="109">
        <v>44802</v>
      </c>
      <c r="H9474" s="108" t="s">
        <v>25458</v>
      </c>
      <c r="I9474" s="108" t="s">
        <v>108</v>
      </c>
    </row>
    <row r="9475" spans="1:9" ht="27.6">
      <c r="A9475" s="108" t="s">
        <v>15075</v>
      </c>
      <c r="B9475" s="108" t="s">
        <v>26932</v>
      </c>
      <c r="C9475" s="109">
        <v>44592</v>
      </c>
      <c r="D9475" s="108" t="s">
        <v>26933</v>
      </c>
      <c r="E9475" s="108" t="s">
        <v>14605</v>
      </c>
      <c r="F9475" s="108" t="s">
        <v>484</v>
      </c>
      <c r="G9475" s="109">
        <v>44786</v>
      </c>
      <c r="H9475" s="108" t="s">
        <v>25458</v>
      </c>
      <c r="I9475" s="108" t="s">
        <v>108</v>
      </c>
    </row>
    <row r="9476" spans="1:9" ht="27.6">
      <c r="A9476" s="108" t="s">
        <v>15075</v>
      </c>
      <c r="B9476" s="108" t="s">
        <v>26934</v>
      </c>
      <c r="C9476" s="109">
        <v>44428</v>
      </c>
      <c r="D9476" s="108" t="s">
        <v>26935</v>
      </c>
      <c r="E9476" s="108" t="s">
        <v>14605</v>
      </c>
      <c r="F9476" s="108" t="s">
        <v>4276</v>
      </c>
      <c r="G9476" s="109">
        <v>44815</v>
      </c>
      <c r="H9476" s="108" t="s">
        <v>25458</v>
      </c>
      <c r="I9476" s="108" t="s">
        <v>108</v>
      </c>
    </row>
    <row r="9477" spans="1:9" ht="27.6">
      <c r="A9477" s="108" t="s">
        <v>15075</v>
      </c>
      <c r="B9477" s="108" t="s">
        <v>26936</v>
      </c>
      <c r="C9477" s="109">
        <v>44452</v>
      </c>
      <c r="D9477" s="108" t="s">
        <v>26937</v>
      </c>
      <c r="E9477" s="108" t="s">
        <v>14605</v>
      </c>
      <c r="F9477" s="108" t="s">
        <v>3483</v>
      </c>
      <c r="G9477" s="109">
        <v>44830</v>
      </c>
      <c r="H9477" s="108" t="s">
        <v>25458</v>
      </c>
      <c r="I9477" s="108" t="s">
        <v>108</v>
      </c>
    </row>
    <row r="9478" spans="1:9" ht="27.6">
      <c r="A9478" s="108" t="s">
        <v>15075</v>
      </c>
      <c r="B9478" s="108" t="s">
        <v>26938</v>
      </c>
      <c r="C9478" s="109">
        <v>44663</v>
      </c>
      <c r="D9478" s="108" t="s">
        <v>26939</v>
      </c>
      <c r="E9478" s="108" t="s">
        <v>14605</v>
      </c>
      <c r="F9478" s="108" t="s">
        <v>4067</v>
      </c>
      <c r="G9478" s="109">
        <v>44906</v>
      </c>
      <c r="H9478" s="108" t="s">
        <v>25458</v>
      </c>
      <c r="I9478" s="108" t="s">
        <v>108</v>
      </c>
    </row>
    <row r="9479" spans="1:9" ht="27.6">
      <c r="A9479" s="108" t="s">
        <v>15075</v>
      </c>
      <c r="B9479" s="108" t="s">
        <v>26940</v>
      </c>
      <c r="C9479" s="109">
        <v>45621</v>
      </c>
      <c r="D9479" s="108" t="s">
        <v>26941</v>
      </c>
      <c r="E9479" s="108" t="s">
        <v>14605</v>
      </c>
      <c r="F9479" s="108" t="s">
        <v>2418</v>
      </c>
      <c r="G9479" s="109">
        <v>45774</v>
      </c>
      <c r="H9479" s="108" t="s">
        <v>25458</v>
      </c>
      <c r="I9479" s="108" t="s">
        <v>108</v>
      </c>
    </row>
    <row r="9480" spans="1:9" ht="27.6">
      <c r="A9480" s="108" t="s">
        <v>15075</v>
      </c>
      <c r="B9480" s="108" t="s">
        <v>26942</v>
      </c>
      <c r="C9480" s="109">
        <v>45232</v>
      </c>
      <c r="D9480" s="108" t="s">
        <v>26943</v>
      </c>
      <c r="E9480" s="108" t="s">
        <v>14605</v>
      </c>
      <c r="F9480" s="108" t="s">
        <v>517</v>
      </c>
      <c r="G9480" s="109">
        <v>45580</v>
      </c>
      <c r="H9480" s="108" t="s">
        <v>25458</v>
      </c>
      <c r="I9480" s="108" t="s">
        <v>108</v>
      </c>
    </row>
    <row r="9481" spans="1:9" ht="27.6">
      <c r="A9481" s="108" t="s">
        <v>3156</v>
      </c>
      <c r="B9481" s="108" t="s">
        <v>5024</v>
      </c>
      <c r="C9481" s="109">
        <v>45471</v>
      </c>
      <c r="D9481" s="108" t="s">
        <v>5025</v>
      </c>
      <c r="E9481" s="108" t="s">
        <v>14605</v>
      </c>
      <c r="F9481" s="108" t="s">
        <v>5018</v>
      </c>
      <c r="G9481" s="109">
        <v>45837</v>
      </c>
      <c r="H9481" s="108" t="s">
        <v>25458</v>
      </c>
      <c r="I9481" s="108" t="s">
        <v>108</v>
      </c>
    </row>
    <row r="9482" spans="1:9">
      <c r="A9482" s="108" t="s">
        <v>227</v>
      </c>
      <c r="B9482" s="108" t="s">
        <v>3888</v>
      </c>
      <c r="C9482" s="109">
        <v>44830</v>
      </c>
      <c r="D9482" s="108" t="s">
        <v>3890</v>
      </c>
      <c r="E9482" s="108" t="s">
        <v>14605</v>
      </c>
      <c r="F9482" s="108" t="s">
        <v>3889</v>
      </c>
      <c r="G9482" s="109">
        <v>45194</v>
      </c>
      <c r="H9482" s="108" t="s">
        <v>25458</v>
      </c>
      <c r="I9482" s="108" t="s">
        <v>108</v>
      </c>
    </row>
    <row r="9483" spans="1:9">
      <c r="A9483" s="108" t="s">
        <v>118</v>
      </c>
      <c r="B9483" s="108" t="s">
        <v>5040</v>
      </c>
      <c r="C9483" s="109">
        <v>45008</v>
      </c>
      <c r="D9483" s="108" t="s">
        <v>5041</v>
      </c>
      <c r="E9483" s="108" t="s">
        <v>14605</v>
      </c>
      <c r="F9483" s="108" t="s">
        <v>26738</v>
      </c>
      <c r="G9483" s="109">
        <v>45373</v>
      </c>
      <c r="H9483" s="108" t="s">
        <v>25458</v>
      </c>
      <c r="I9483" s="108" t="s">
        <v>108</v>
      </c>
    </row>
    <row r="9484" spans="1:9" ht="27.6">
      <c r="A9484" s="108" t="s">
        <v>207</v>
      </c>
      <c r="B9484" s="108" t="s">
        <v>26944</v>
      </c>
      <c r="C9484" s="109">
        <v>45243</v>
      </c>
      <c r="D9484" s="108" t="s">
        <v>26945</v>
      </c>
      <c r="E9484" s="108" t="s">
        <v>14605</v>
      </c>
      <c r="F9484" s="108" t="s">
        <v>22833</v>
      </c>
      <c r="G9484" s="109">
        <v>45472</v>
      </c>
      <c r="H9484" s="108" t="s">
        <v>25458</v>
      </c>
      <c r="I9484" s="108" t="s">
        <v>108</v>
      </c>
    </row>
    <row r="9485" spans="1:9" ht="27.6">
      <c r="A9485" s="108" t="s">
        <v>207</v>
      </c>
      <c r="B9485" s="108" t="s">
        <v>1280</v>
      </c>
      <c r="C9485" s="109">
        <v>45419</v>
      </c>
      <c r="D9485" s="108" t="s">
        <v>1282</v>
      </c>
      <c r="E9485" s="108" t="s">
        <v>14605</v>
      </c>
      <c r="F9485" s="108" t="s">
        <v>1281</v>
      </c>
      <c r="G9485" s="109">
        <v>45783</v>
      </c>
      <c r="H9485" s="108" t="s">
        <v>25458</v>
      </c>
      <c r="I9485" s="108" t="s">
        <v>108</v>
      </c>
    </row>
    <row r="9486" spans="1:9" ht="27.6">
      <c r="A9486" s="108" t="s">
        <v>207</v>
      </c>
      <c r="B9486" s="108" t="s">
        <v>688</v>
      </c>
      <c r="C9486" s="109">
        <v>45546</v>
      </c>
      <c r="D9486" s="108" t="s">
        <v>689</v>
      </c>
      <c r="E9486" s="108" t="s">
        <v>14605</v>
      </c>
      <c r="F9486" s="108" t="s">
        <v>682</v>
      </c>
      <c r="G9486" s="109">
        <v>45910</v>
      </c>
      <c r="H9486" s="108" t="s">
        <v>25458</v>
      </c>
      <c r="I9486" s="108" t="s">
        <v>108</v>
      </c>
    </row>
    <row r="9487" spans="1:9" ht="27.6">
      <c r="A9487" s="108" t="s">
        <v>207</v>
      </c>
      <c r="B9487" s="108" t="s">
        <v>586</v>
      </c>
      <c r="C9487" s="109">
        <v>45691</v>
      </c>
      <c r="D9487" s="108" t="s">
        <v>587</v>
      </c>
      <c r="E9487" s="108" t="s">
        <v>14605</v>
      </c>
      <c r="F9487" s="108" t="s">
        <v>584</v>
      </c>
      <c r="G9487" s="109">
        <v>45955</v>
      </c>
      <c r="H9487" s="108" t="s">
        <v>25458</v>
      </c>
      <c r="I9487" s="108" t="s">
        <v>108</v>
      </c>
    </row>
    <row r="9488" spans="1:9" ht="27.6">
      <c r="A9488" s="108" t="s">
        <v>207</v>
      </c>
      <c r="B9488" s="108" t="s">
        <v>4466</v>
      </c>
      <c r="C9488" s="109">
        <v>45567</v>
      </c>
      <c r="D9488" s="108" t="s">
        <v>4468</v>
      </c>
      <c r="E9488" s="108" t="s">
        <v>14605</v>
      </c>
      <c r="F9488" s="108" t="s">
        <v>4467</v>
      </c>
      <c r="G9488" s="109">
        <v>45954</v>
      </c>
      <c r="H9488" s="108" t="s">
        <v>25458</v>
      </c>
      <c r="I9488" s="108" t="s">
        <v>108</v>
      </c>
    </row>
    <row r="9489" spans="1:9">
      <c r="A9489" s="108" t="s">
        <v>169</v>
      </c>
      <c r="B9489" s="108" t="s">
        <v>4706</v>
      </c>
      <c r="C9489" s="109">
        <v>45105</v>
      </c>
      <c r="D9489" s="108" t="s">
        <v>4707</v>
      </c>
      <c r="E9489" s="108" t="s">
        <v>14605</v>
      </c>
      <c r="F9489" s="108" t="s">
        <v>4702</v>
      </c>
      <c r="G9489" s="109">
        <v>45470</v>
      </c>
      <c r="H9489" s="108" t="s">
        <v>25458</v>
      </c>
      <c r="I9489" s="108" t="s">
        <v>108</v>
      </c>
    </row>
    <row r="9490" spans="1:9">
      <c r="A9490" s="108" t="s">
        <v>169</v>
      </c>
      <c r="B9490" s="108" t="s">
        <v>2935</v>
      </c>
      <c r="C9490" s="109">
        <v>45106</v>
      </c>
      <c r="D9490" s="108" t="s">
        <v>2937</v>
      </c>
      <c r="E9490" s="108" t="s">
        <v>14605</v>
      </c>
      <c r="F9490" s="108" t="s">
        <v>2936</v>
      </c>
      <c r="G9490" s="109">
        <v>45482</v>
      </c>
      <c r="H9490" s="108" t="s">
        <v>25458</v>
      </c>
      <c r="I9490" s="108" t="s">
        <v>108</v>
      </c>
    </row>
    <row r="9491" spans="1:9">
      <c r="A9491" s="108" t="s">
        <v>169</v>
      </c>
      <c r="B9491" s="108" t="s">
        <v>4472</v>
      </c>
      <c r="C9491" s="109">
        <v>45106</v>
      </c>
      <c r="D9491" s="108" t="s">
        <v>4473</v>
      </c>
      <c r="E9491" s="108" t="s">
        <v>14605</v>
      </c>
      <c r="F9491" s="108" t="s">
        <v>4470</v>
      </c>
      <c r="G9491" s="109">
        <v>45482</v>
      </c>
      <c r="H9491" s="108" t="s">
        <v>25458</v>
      </c>
      <c r="I9491" s="108" t="s">
        <v>108</v>
      </c>
    </row>
    <row r="9492" spans="1:9">
      <c r="A9492" s="108" t="s">
        <v>169</v>
      </c>
      <c r="B9492" s="108" t="s">
        <v>26946</v>
      </c>
      <c r="C9492" s="109">
        <v>45194</v>
      </c>
      <c r="D9492" s="108" t="s">
        <v>26947</v>
      </c>
      <c r="E9492" s="108" t="s">
        <v>14605</v>
      </c>
      <c r="F9492" s="108" t="s">
        <v>14764</v>
      </c>
      <c r="G9492" s="109">
        <v>45531</v>
      </c>
      <c r="H9492" s="108" t="s">
        <v>25458</v>
      </c>
      <c r="I9492" s="108" t="s">
        <v>108</v>
      </c>
    </row>
    <row r="9493" spans="1:9">
      <c r="A9493" s="108" t="s">
        <v>169</v>
      </c>
      <c r="B9493" s="108" t="s">
        <v>4585</v>
      </c>
      <c r="C9493" s="109">
        <v>45169</v>
      </c>
      <c r="D9493" s="108" t="s">
        <v>4586</v>
      </c>
      <c r="E9493" s="108" t="s">
        <v>14605</v>
      </c>
      <c r="F9493" s="108" t="s">
        <v>4576</v>
      </c>
      <c r="G9493" s="109">
        <v>45533</v>
      </c>
      <c r="H9493" s="108" t="s">
        <v>25458</v>
      </c>
      <c r="I9493" s="108" t="s">
        <v>108</v>
      </c>
    </row>
    <row r="9494" spans="1:9">
      <c r="A9494" s="108" t="s">
        <v>169</v>
      </c>
      <c r="B9494" s="108" t="s">
        <v>3786</v>
      </c>
      <c r="C9494" s="109">
        <v>45392</v>
      </c>
      <c r="D9494" s="108" t="s">
        <v>3787</v>
      </c>
      <c r="E9494" s="108" t="s">
        <v>14605</v>
      </c>
      <c r="F9494" s="108" t="s">
        <v>3784</v>
      </c>
      <c r="G9494" s="109">
        <v>45740</v>
      </c>
      <c r="H9494" s="108" t="s">
        <v>25458</v>
      </c>
      <c r="I9494" s="108" t="s">
        <v>108</v>
      </c>
    </row>
    <row r="9495" spans="1:9" ht="27.6">
      <c r="A9495" s="108" t="s">
        <v>981</v>
      </c>
      <c r="B9495" s="108" t="s">
        <v>2690</v>
      </c>
      <c r="C9495" s="109">
        <v>43577</v>
      </c>
      <c r="D9495" s="108" t="s">
        <v>2692</v>
      </c>
      <c r="E9495" s="108" t="s">
        <v>14605</v>
      </c>
      <c r="F9495" s="108" t="s">
        <v>2691</v>
      </c>
      <c r="G9495" s="109">
        <v>43942</v>
      </c>
      <c r="H9495" s="108" t="s">
        <v>25458</v>
      </c>
      <c r="I9495" s="108" t="s">
        <v>108</v>
      </c>
    </row>
    <row r="9496" spans="1:9" ht="27.6">
      <c r="A9496" s="108" t="s">
        <v>981</v>
      </c>
      <c r="B9496" s="108" t="s">
        <v>1195</v>
      </c>
      <c r="C9496" s="109">
        <v>43812</v>
      </c>
      <c r="D9496" s="108" t="s">
        <v>1196</v>
      </c>
      <c r="E9496" s="108" t="s">
        <v>14605</v>
      </c>
      <c r="F9496" s="108" t="s">
        <v>26948</v>
      </c>
      <c r="G9496" s="109">
        <v>44164</v>
      </c>
      <c r="H9496" s="108" t="s">
        <v>25458</v>
      </c>
      <c r="I9496" s="108" t="s">
        <v>108</v>
      </c>
    </row>
    <row r="9497" spans="1:9" ht="27.6">
      <c r="A9497" s="108" t="s">
        <v>1072</v>
      </c>
      <c r="B9497" s="108" t="s">
        <v>2217</v>
      </c>
      <c r="C9497" s="109">
        <v>43878</v>
      </c>
      <c r="D9497" s="108" t="s">
        <v>2219</v>
      </c>
      <c r="E9497" s="108" t="s">
        <v>14605</v>
      </c>
      <c r="F9497" s="108" t="s">
        <v>2218</v>
      </c>
      <c r="G9497" s="109">
        <v>44254</v>
      </c>
      <c r="H9497" s="108" t="s">
        <v>25458</v>
      </c>
      <c r="I9497" s="108" t="s">
        <v>108</v>
      </c>
    </row>
    <row r="9498" spans="1:9" ht="27.6">
      <c r="A9498" s="108" t="s">
        <v>1072</v>
      </c>
      <c r="B9498" s="108" t="s">
        <v>4798</v>
      </c>
      <c r="C9498" s="109">
        <v>43909</v>
      </c>
      <c r="D9498" s="108" t="s">
        <v>4799</v>
      </c>
      <c r="E9498" s="108" t="s">
        <v>14605</v>
      </c>
      <c r="F9498" s="108" t="s">
        <v>4796</v>
      </c>
      <c r="G9498" s="109">
        <v>44290</v>
      </c>
      <c r="H9498" s="108" t="s">
        <v>25458</v>
      </c>
      <c r="I9498" s="108" t="s">
        <v>108</v>
      </c>
    </row>
    <row r="9499" spans="1:9" ht="27.6">
      <c r="A9499" s="108" t="s">
        <v>109</v>
      </c>
      <c r="B9499" s="108" t="s">
        <v>105</v>
      </c>
      <c r="C9499" s="109">
        <v>43921</v>
      </c>
      <c r="D9499" s="108" t="s">
        <v>107</v>
      </c>
      <c r="E9499" s="108" t="s">
        <v>14605</v>
      </c>
      <c r="F9499" s="108" t="s">
        <v>106</v>
      </c>
      <c r="G9499" s="109">
        <v>44284</v>
      </c>
      <c r="H9499" s="108" t="s">
        <v>25458</v>
      </c>
      <c r="I9499" s="108" t="s">
        <v>108</v>
      </c>
    </row>
    <row r="9500" spans="1:9" ht="27.6">
      <c r="A9500" s="108" t="s">
        <v>109</v>
      </c>
      <c r="B9500" s="108" t="s">
        <v>2973</v>
      </c>
      <c r="C9500" s="109">
        <v>43997</v>
      </c>
      <c r="D9500" s="108" t="s">
        <v>2974</v>
      </c>
      <c r="E9500" s="108" t="s">
        <v>14605</v>
      </c>
      <c r="F9500" s="108" t="s">
        <v>2967</v>
      </c>
      <c r="G9500" s="109">
        <v>44361</v>
      </c>
      <c r="H9500" s="108" t="s">
        <v>25458</v>
      </c>
      <c r="I9500" s="108" t="s">
        <v>108</v>
      </c>
    </row>
    <row r="9501" spans="1:9">
      <c r="A9501" s="108" t="s">
        <v>4298</v>
      </c>
      <c r="B9501" s="108" t="s">
        <v>4296</v>
      </c>
      <c r="C9501" s="109">
        <v>44312</v>
      </c>
      <c r="D9501" s="108" t="s">
        <v>4297</v>
      </c>
      <c r="E9501" s="108" t="s">
        <v>14605</v>
      </c>
      <c r="F9501" s="108" t="s">
        <v>26949</v>
      </c>
      <c r="G9501" s="109">
        <v>44680</v>
      </c>
      <c r="H9501" s="108" t="s">
        <v>25458</v>
      </c>
      <c r="I9501" s="108" t="s">
        <v>108</v>
      </c>
    </row>
    <row r="9502" spans="1:9" ht="27.6">
      <c r="A9502" s="108" t="s">
        <v>8247</v>
      </c>
      <c r="B9502" s="108" t="s">
        <v>2202</v>
      </c>
      <c r="C9502" s="109">
        <v>45555</v>
      </c>
      <c r="D9502" s="108" t="s">
        <v>2204</v>
      </c>
      <c r="E9502" s="108" t="s">
        <v>14605</v>
      </c>
      <c r="F9502" s="108" t="s">
        <v>2203</v>
      </c>
      <c r="G9502" s="109">
        <v>45942</v>
      </c>
      <c r="H9502" s="108" t="s">
        <v>25458</v>
      </c>
      <c r="I9502" s="108" t="s">
        <v>108</v>
      </c>
    </row>
    <row r="9503" spans="1:9" ht="27.6">
      <c r="A9503" s="108" t="s">
        <v>109</v>
      </c>
      <c r="B9503" s="108" t="s">
        <v>1516</v>
      </c>
      <c r="C9503" s="109">
        <v>45482</v>
      </c>
      <c r="D9503" s="108" t="s">
        <v>1517</v>
      </c>
      <c r="E9503" s="108" t="s">
        <v>14605</v>
      </c>
      <c r="F9503" s="108" t="s">
        <v>1514</v>
      </c>
      <c r="G9503" s="109">
        <v>45864</v>
      </c>
      <c r="H9503" s="108" t="s">
        <v>25458</v>
      </c>
      <c r="I9503" s="108" t="s">
        <v>108</v>
      </c>
    </row>
    <row r="9504" spans="1:9" ht="27.6">
      <c r="A9504" s="108" t="s">
        <v>109</v>
      </c>
      <c r="B9504" s="108" t="s">
        <v>1513</v>
      </c>
      <c r="C9504" s="109">
        <v>45513</v>
      </c>
      <c r="D9504" s="108" t="s">
        <v>1515</v>
      </c>
      <c r="E9504" s="108" t="s">
        <v>14605</v>
      </c>
      <c r="F9504" s="108" t="s">
        <v>1514</v>
      </c>
      <c r="G9504" s="109">
        <v>45866</v>
      </c>
      <c r="H9504" s="108" t="s">
        <v>25458</v>
      </c>
      <c r="I9504" s="108" t="s">
        <v>108</v>
      </c>
    </row>
    <row r="9505" spans="1:9" ht="27.6">
      <c r="A9505" s="108" t="s">
        <v>109</v>
      </c>
      <c r="B9505" s="108" t="s">
        <v>2043</v>
      </c>
      <c r="C9505" s="109">
        <v>44372</v>
      </c>
      <c r="D9505" s="108" t="s">
        <v>2045</v>
      </c>
      <c r="E9505" s="108" t="s">
        <v>14605</v>
      </c>
      <c r="F9505" s="108" t="s">
        <v>2044</v>
      </c>
      <c r="G9505" s="109">
        <v>44750</v>
      </c>
      <c r="H9505" s="108" t="s">
        <v>25458</v>
      </c>
      <c r="I9505" s="108" t="s">
        <v>108</v>
      </c>
    </row>
    <row r="9506" spans="1:9" ht="27.6">
      <c r="A9506" s="108" t="s">
        <v>109</v>
      </c>
      <c r="B9506" s="108" t="s">
        <v>2220</v>
      </c>
      <c r="C9506" s="109">
        <v>44473</v>
      </c>
      <c r="D9506" s="108" t="s">
        <v>2222</v>
      </c>
      <c r="E9506" s="108" t="s">
        <v>14605</v>
      </c>
      <c r="F9506" s="108" t="s">
        <v>2221</v>
      </c>
      <c r="G9506" s="109">
        <v>44850</v>
      </c>
      <c r="H9506" s="108" t="s">
        <v>25458</v>
      </c>
      <c r="I9506" s="108" t="s">
        <v>108</v>
      </c>
    </row>
    <row r="9507" spans="1:9" ht="27.6">
      <c r="A9507" s="108" t="s">
        <v>8247</v>
      </c>
      <c r="B9507" s="108" t="s">
        <v>1893</v>
      </c>
      <c r="C9507" s="109">
        <v>45748</v>
      </c>
      <c r="D9507" s="108" t="s">
        <v>1895</v>
      </c>
      <c r="E9507" s="108" t="s">
        <v>14605</v>
      </c>
      <c r="F9507" s="108" t="s">
        <v>1894</v>
      </c>
      <c r="G9507" s="109">
        <v>46137</v>
      </c>
      <c r="H9507" s="108" t="s">
        <v>25458</v>
      </c>
      <c r="I9507" s="108" t="s">
        <v>108</v>
      </c>
    </row>
    <row r="9508" spans="1:9" ht="27.6">
      <c r="A9508" s="108" t="s">
        <v>250</v>
      </c>
      <c r="B9508" s="108" t="s">
        <v>5218</v>
      </c>
      <c r="C9508" s="109">
        <v>44847</v>
      </c>
      <c r="D9508" s="108" t="s">
        <v>5220</v>
      </c>
      <c r="E9508" s="108" t="s">
        <v>14605</v>
      </c>
      <c r="F9508" s="108" t="s">
        <v>5219</v>
      </c>
      <c r="G9508" s="109">
        <v>45225</v>
      </c>
      <c r="H9508" s="108" t="s">
        <v>25458</v>
      </c>
      <c r="I9508" s="108" t="s">
        <v>108</v>
      </c>
    </row>
    <row r="9509" spans="1:9" ht="27.6">
      <c r="A9509" s="108" t="s">
        <v>1072</v>
      </c>
      <c r="B9509" s="108" t="s">
        <v>1763</v>
      </c>
      <c r="C9509" s="109">
        <v>44578</v>
      </c>
      <c r="D9509" s="108" t="s">
        <v>1765</v>
      </c>
      <c r="E9509" s="108" t="s">
        <v>14605</v>
      </c>
      <c r="F9509" s="108" t="s">
        <v>1764</v>
      </c>
      <c r="G9509" s="109">
        <v>44946</v>
      </c>
      <c r="H9509" s="108" t="s">
        <v>25458</v>
      </c>
      <c r="I9509" s="108" t="s">
        <v>108</v>
      </c>
    </row>
    <row r="9510" spans="1:9" ht="27.6">
      <c r="A9510" s="108" t="s">
        <v>8247</v>
      </c>
      <c r="B9510" s="108" t="s">
        <v>3488</v>
      </c>
      <c r="C9510" s="109">
        <v>45880</v>
      </c>
      <c r="D9510" s="108" t="s">
        <v>3489</v>
      </c>
      <c r="E9510" s="108" t="s">
        <v>14605</v>
      </c>
      <c r="F9510" s="108" t="s">
        <v>16589</v>
      </c>
      <c r="G9510" s="109">
        <v>46253</v>
      </c>
      <c r="H9510" s="108" t="s">
        <v>25458</v>
      </c>
      <c r="I9510" s="108" t="s">
        <v>108</v>
      </c>
    </row>
    <row r="9511" spans="1:9" ht="27.6">
      <c r="A9511" s="108" t="s">
        <v>1072</v>
      </c>
      <c r="B9511" s="108" t="s">
        <v>5102</v>
      </c>
      <c r="C9511" s="109">
        <v>44900</v>
      </c>
      <c r="D9511" s="108" t="s">
        <v>5104</v>
      </c>
      <c r="E9511" s="108" t="s">
        <v>14605</v>
      </c>
      <c r="F9511" s="108" t="s">
        <v>5103</v>
      </c>
      <c r="G9511" s="109">
        <v>45281</v>
      </c>
      <c r="H9511" s="108" t="s">
        <v>25458</v>
      </c>
      <c r="I9511" s="108" t="s">
        <v>108</v>
      </c>
    </row>
    <row r="9512" spans="1:9" ht="27.6">
      <c r="A9512" s="108" t="s">
        <v>8247</v>
      </c>
      <c r="B9512" s="108" t="s">
        <v>26950</v>
      </c>
      <c r="C9512" s="109">
        <v>46113</v>
      </c>
      <c r="D9512" s="108" t="s">
        <v>26951</v>
      </c>
      <c r="E9512" s="108" t="s">
        <v>14605</v>
      </c>
      <c r="F9512" s="108" t="s">
        <v>16051</v>
      </c>
      <c r="G9512" s="109">
        <v>46230</v>
      </c>
      <c r="H9512" s="108" t="s">
        <v>25458</v>
      </c>
      <c r="I9512" s="108" t="s">
        <v>108</v>
      </c>
    </row>
    <row r="9513" spans="1:9" ht="27.6">
      <c r="A9513" s="108" t="s">
        <v>109</v>
      </c>
      <c r="B9513" s="108" t="s">
        <v>3886</v>
      </c>
      <c r="C9513" s="109">
        <v>44789</v>
      </c>
      <c r="D9513" s="108" t="s">
        <v>3887</v>
      </c>
      <c r="E9513" s="108" t="s">
        <v>14605</v>
      </c>
      <c r="F9513" s="108" t="s">
        <v>484</v>
      </c>
      <c r="G9513" s="109">
        <v>45115</v>
      </c>
      <c r="H9513" s="108" t="s">
        <v>25458</v>
      </c>
      <c r="I9513" s="108" t="s">
        <v>108</v>
      </c>
    </row>
    <row r="9514" spans="1:9" ht="27.6">
      <c r="A9514" s="108" t="s">
        <v>1072</v>
      </c>
      <c r="B9514" s="108" t="s">
        <v>4837</v>
      </c>
      <c r="C9514" s="109">
        <v>45336</v>
      </c>
      <c r="D9514" s="108" t="s">
        <v>4838</v>
      </c>
      <c r="E9514" s="108" t="s">
        <v>14605</v>
      </c>
      <c r="F9514" s="108" t="s">
        <v>4835</v>
      </c>
      <c r="G9514" s="109">
        <v>45705</v>
      </c>
      <c r="H9514" s="108" t="s">
        <v>25458</v>
      </c>
      <c r="I9514" s="108" t="s">
        <v>108</v>
      </c>
    </row>
    <row r="9515" spans="1:9" ht="27.6">
      <c r="A9515" s="108" t="s">
        <v>109</v>
      </c>
      <c r="B9515" s="108" t="s">
        <v>4010</v>
      </c>
      <c r="C9515" s="109">
        <v>44681</v>
      </c>
      <c r="D9515" s="108" t="s">
        <v>4012</v>
      </c>
      <c r="E9515" s="108" t="s">
        <v>14605</v>
      </c>
      <c r="F9515" s="108" t="s">
        <v>4011</v>
      </c>
      <c r="G9515" s="109">
        <v>45038</v>
      </c>
      <c r="H9515" s="108" t="s">
        <v>25458</v>
      </c>
      <c r="I9515" s="108" t="s">
        <v>108</v>
      </c>
    </row>
    <row r="9516" spans="1:9" ht="27.6">
      <c r="A9516" s="108" t="s">
        <v>109</v>
      </c>
      <c r="B9516" s="108" t="s">
        <v>1817</v>
      </c>
      <c r="C9516" s="109">
        <v>44734</v>
      </c>
      <c r="D9516" s="108" t="s">
        <v>1819</v>
      </c>
      <c r="E9516" s="108" t="s">
        <v>14605</v>
      </c>
      <c r="F9516" s="108" t="s">
        <v>1818</v>
      </c>
      <c r="G9516" s="109">
        <v>45107</v>
      </c>
      <c r="H9516" s="108" t="s">
        <v>25458</v>
      </c>
      <c r="I9516" s="108" t="s">
        <v>108</v>
      </c>
    </row>
    <row r="9517" spans="1:9" ht="27.6">
      <c r="A9517" s="108" t="s">
        <v>8247</v>
      </c>
      <c r="B9517" s="108" t="s">
        <v>26952</v>
      </c>
      <c r="C9517" s="109">
        <v>45708</v>
      </c>
      <c r="D9517" s="108" t="s">
        <v>26953</v>
      </c>
      <c r="E9517" s="108" t="s">
        <v>14605</v>
      </c>
      <c r="F9517" s="108" t="s">
        <v>15388</v>
      </c>
      <c r="G9517" s="109">
        <v>46043</v>
      </c>
      <c r="H9517" s="108" t="s">
        <v>25458</v>
      </c>
      <c r="I9517" s="108" t="s">
        <v>108</v>
      </c>
    </row>
    <row r="9518" spans="1:9" ht="27.6">
      <c r="A9518" s="108" t="s">
        <v>109</v>
      </c>
      <c r="B9518" s="108" t="s">
        <v>1172</v>
      </c>
      <c r="C9518" s="109">
        <v>45310</v>
      </c>
      <c r="D9518" s="108" t="s">
        <v>1173</v>
      </c>
      <c r="E9518" s="108" t="s">
        <v>14605</v>
      </c>
      <c r="F9518" s="108" t="s">
        <v>1170</v>
      </c>
      <c r="G9518" s="109">
        <v>45684</v>
      </c>
      <c r="H9518" s="108" t="s">
        <v>25458</v>
      </c>
      <c r="I9518" s="108" t="s">
        <v>108</v>
      </c>
    </row>
    <row r="9519" spans="1:9" ht="27.6">
      <c r="A9519" s="108" t="s">
        <v>109</v>
      </c>
      <c r="B9519" s="108" t="s">
        <v>4533</v>
      </c>
      <c r="C9519" s="109">
        <v>45338</v>
      </c>
      <c r="D9519" s="108" t="s">
        <v>4535</v>
      </c>
      <c r="E9519" s="108" t="s">
        <v>14605</v>
      </c>
      <c r="F9519" s="108" t="s">
        <v>4534</v>
      </c>
      <c r="G9519" s="109">
        <v>45705</v>
      </c>
      <c r="H9519" s="108" t="s">
        <v>25458</v>
      </c>
      <c r="I9519" s="108" t="s">
        <v>108</v>
      </c>
    </row>
    <row r="9520" spans="1:9" ht="27.6">
      <c r="A9520" s="108" t="s">
        <v>109</v>
      </c>
      <c r="B9520" s="108" t="s">
        <v>2023</v>
      </c>
      <c r="C9520" s="109">
        <v>45559</v>
      </c>
      <c r="D9520" s="108" t="s">
        <v>2024</v>
      </c>
      <c r="E9520" s="108" t="s">
        <v>14605</v>
      </c>
      <c r="F9520" s="108" t="s">
        <v>2013</v>
      </c>
      <c r="G9520" s="109">
        <v>45923</v>
      </c>
      <c r="H9520" s="108" t="s">
        <v>25458</v>
      </c>
      <c r="I9520" s="108" t="s">
        <v>108</v>
      </c>
    </row>
    <row r="9521" spans="1:9" ht="27.6">
      <c r="A9521" s="108" t="s">
        <v>109</v>
      </c>
      <c r="B9521" s="108" t="s">
        <v>1458</v>
      </c>
      <c r="C9521" s="109">
        <v>45488</v>
      </c>
      <c r="D9521" s="108" t="s">
        <v>1459</v>
      </c>
      <c r="E9521" s="108" t="s">
        <v>14605</v>
      </c>
      <c r="F9521" s="108" t="s">
        <v>1454</v>
      </c>
      <c r="G9521" s="109">
        <v>45750</v>
      </c>
      <c r="H9521" s="108" t="s">
        <v>25458</v>
      </c>
      <c r="I9521" s="108" t="s">
        <v>108</v>
      </c>
    </row>
    <row r="9522" spans="1:9" ht="27.6">
      <c r="A9522" s="108" t="s">
        <v>109</v>
      </c>
      <c r="B9522" s="108" t="s">
        <v>2046</v>
      </c>
      <c r="C9522" s="109">
        <v>45538</v>
      </c>
      <c r="D9522" s="108" t="s">
        <v>2047</v>
      </c>
      <c r="E9522" s="108" t="s">
        <v>14605</v>
      </c>
      <c r="F9522" s="108" t="s">
        <v>26063</v>
      </c>
      <c r="G9522" s="109">
        <v>45902</v>
      </c>
      <c r="H9522" s="108" t="s">
        <v>25458</v>
      </c>
      <c r="I9522" s="108" t="s">
        <v>108</v>
      </c>
    </row>
    <row r="9523" spans="1:9" ht="27.6">
      <c r="A9523" s="108" t="s">
        <v>109</v>
      </c>
      <c r="B9523" s="108" t="s">
        <v>4460</v>
      </c>
      <c r="C9523" s="109">
        <v>45320</v>
      </c>
      <c r="D9523" s="108" t="s">
        <v>4461</v>
      </c>
      <c r="E9523" s="108" t="s">
        <v>14605</v>
      </c>
      <c r="F9523" s="108" t="s">
        <v>4448</v>
      </c>
      <c r="G9523" s="109">
        <v>45683</v>
      </c>
      <c r="H9523" s="108" t="s">
        <v>25458</v>
      </c>
      <c r="I9523" s="108" t="s">
        <v>108</v>
      </c>
    </row>
    <row r="9524" spans="1:9" ht="27.6">
      <c r="A9524" s="108" t="s">
        <v>109</v>
      </c>
      <c r="B9524" s="108" t="s">
        <v>3545</v>
      </c>
      <c r="C9524" s="109">
        <v>45374</v>
      </c>
      <c r="D9524" s="108" t="s">
        <v>3547</v>
      </c>
      <c r="E9524" s="108" t="s">
        <v>14605</v>
      </c>
      <c r="F9524" s="108" t="s">
        <v>3546</v>
      </c>
      <c r="G9524" s="109">
        <v>45745</v>
      </c>
      <c r="H9524" s="108" t="s">
        <v>25458</v>
      </c>
      <c r="I9524" s="108" t="s">
        <v>108</v>
      </c>
    </row>
    <row r="9525" spans="1:9" ht="27.6">
      <c r="A9525" s="108" t="s">
        <v>109</v>
      </c>
      <c r="B9525" s="108" t="s">
        <v>5011</v>
      </c>
      <c r="C9525" s="109">
        <v>45427</v>
      </c>
      <c r="D9525" s="108" t="s">
        <v>5013</v>
      </c>
      <c r="E9525" s="108" t="s">
        <v>14605</v>
      </c>
      <c r="F9525" s="108" t="s">
        <v>5012</v>
      </c>
      <c r="G9525" s="109">
        <v>45813</v>
      </c>
      <c r="H9525" s="108" t="s">
        <v>25458</v>
      </c>
      <c r="I9525" s="108" t="s">
        <v>108</v>
      </c>
    </row>
    <row r="9526" spans="1:9" ht="27.6">
      <c r="A9526" s="108" t="s">
        <v>109</v>
      </c>
      <c r="B9526" s="108" t="s">
        <v>961</v>
      </c>
      <c r="C9526" s="109">
        <v>45464</v>
      </c>
      <c r="D9526" s="108" t="s">
        <v>962</v>
      </c>
      <c r="E9526" s="108" t="s">
        <v>14605</v>
      </c>
      <c r="F9526" s="108" t="s">
        <v>14656</v>
      </c>
      <c r="G9526" s="109">
        <v>45843</v>
      </c>
      <c r="H9526" s="108" t="s">
        <v>25458</v>
      </c>
      <c r="I9526" s="108" t="s">
        <v>108</v>
      </c>
    </row>
    <row r="9527" spans="1:9" ht="27.6">
      <c r="A9527" s="108" t="s">
        <v>109</v>
      </c>
      <c r="B9527" s="108" t="s">
        <v>1190</v>
      </c>
      <c r="C9527" s="109">
        <v>45469</v>
      </c>
      <c r="D9527" s="108" t="s">
        <v>1191</v>
      </c>
      <c r="E9527" s="108" t="s">
        <v>14605</v>
      </c>
      <c r="F9527" s="108" t="s">
        <v>26148</v>
      </c>
      <c r="G9527" s="109">
        <v>45833</v>
      </c>
      <c r="H9527" s="108" t="s">
        <v>25458</v>
      </c>
      <c r="I9527" s="108" t="s">
        <v>108</v>
      </c>
    </row>
    <row r="9528" spans="1:9" ht="27.6">
      <c r="A9528" s="108" t="s">
        <v>109</v>
      </c>
      <c r="B9528" s="108" t="s">
        <v>3962</v>
      </c>
      <c r="C9528" s="109">
        <v>45551</v>
      </c>
      <c r="D9528" s="108" t="s">
        <v>3964</v>
      </c>
      <c r="E9528" s="108" t="s">
        <v>14605</v>
      </c>
      <c r="F9528" s="108" t="s">
        <v>3963</v>
      </c>
      <c r="G9528" s="109">
        <v>45858</v>
      </c>
      <c r="H9528" s="108" t="s">
        <v>25458</v>
      </c>
      <c r="I9528" s="108" t="s">
        <v>108</v>
      </c>
    </row>
    <row r="9529" spans="1:9" ht="27.6">
      <c r="A9529" s="108" t="s">
        <v>109</v>
      </c>
      <c r="B9529" s="108" t="s">
        <v>3614</v>
      </c>
      <c r="C9529" s="109">
        <v>45517</v>
      </c>
      <c r="D9529" s="108" t="s">
        <v>3616</v>
      </c>
      <c r="E9529" s="108" t="s">
        <v>14605</v>
      </c>
      <c r="F9529" s="108" t="s">
        <v>3615</v>
      </c>
      <c r="G9529" s="109">
        <v>45898</v>
      </c>
      <c r="H9529" s="108" t="s">
        <v>25458</v>
      </c>
      <c r="I9529" s="108" t="s">
        <v>108</v>
      </c>
    </row>
    <row r="9530" spans="1:9" ht="27.6">
      <c r="A9530" s="108" t="s">
        <v>109</v>
      </c>
      <c r="B9530" s="108" t="s">
        <v>835</v>
      </c>
      <c r="C9530" s="109">
        <v>45540</v>
      </c>
      <c r="D9530" s="108" t="s">
        <v>836</v>
      </c>
      <c r="E9530" s="108" t="s">
        <v>14605</v>
      </c>
      <c r="F9530" s="108" t="s">
        <v>833</v>
      </c>
      <c r="G9530" s="109">
        <v>45923</v>
      </c>
      <c r="H9530" s="108" t="s">
        <v>25458</v>
      </c>
      <c r="I9530" s="108" t="s">
        <v>108</v>
      </c>
    </row>
    <row r="9531" spans="1:9" ht="27.6">
      <c r="A9531" s="108" t="s">
        <v>109</v>
      </c>
      <c r="B9531" s="108" t="s">
        <v>4503</v>
      </c>
      <c r="C9531" s="109">
        <v>45546</v>
      </c>
      <c r="D9531" s="108" t="s">
        <v>4504</v>
      </c>
      <c r="E9531" s="108" t="s">
        <v>14605</v>
      </c>
      <c r="F9531" s="108" t="s">
        <v>4501</v>
      </c>
      <c r="G9531" s="109">
        <v>45925</v>
      </c>
      <c r="H9531" s="108" t="s">
        <v>25458</v>
      </c>
      <c r="I9531" s="108" t="s">
        <v>108</v>
      </c>
    </row>
    <row r="9532" spans="1:9" ht="27.6">
      <c r="A9532" s="108" t="s">
        <v>109</v>
      </c>
      <c r="B9532" s="108" t="s">
        <v>1815</v>
      </c>
      <c r="C9532" s="109">
        <v>45586</v>
      </c>
      <c r="D9532" s="108" t="s">
        <v>1816</v>
      </c>
      <c r="E9532" s="108" t="s">
        <v>14605</v>
      </c>
      <c r="F9532" s="108" t="s">
        <v>26158</v>
      </c>
      <c r="G9532" s="109">
        <v>45943</v>
      </c>
      <c r="H9532" s="108" t="s">
        <v>25458</v>
      </c>
      <c r="I9532" s="108" t="s">
        <v>108</v>
      </c>
    </row>
    <row r="9533" spans="1:9" ht="27.6">
      <c r="A9533" s="108" t="s">
        <v>109</v>
      </c>
      <c r="B9533" s="108" t="s">
        <v>1813</v>
      </c>
      <c r="C9533" s="109">
        <v>45586</v>
      </c>
      <c r="D9533" s="108" t="s">
        <v>1814</v>
      </c>
      <c r="E9533" s="108" t="s">
        <v>14605</v>
      </c>
      <c r="F9533" s="108" t="s">
        <v>26158</v>
      </c>
      <c r="G9533" s="109">
        <v>45943</v>
      </c>
      <c r="H9533" s="108" t="s">
        <v>25458</v>
      </c>
      <c r="I9533" s="108" t="s">
        <v>108</v>
      </c>
    </row>
    <row r="9534" spans="1:9" ht="27.6">
      <c r="A9534" s="108" t="s">
        <v>109</v>
      </c>
      <c r="B9534" s="108" t="s">
        <v>1810</v>
      </c>
      <c r="C9534" s="109">
        <v>45787</v>
      </c>
      <c r="D9534" s="108" t="s">
        <v>1811</v>
      </c>
      <c r="E9534" s="108" t="s">
        <v>14605</v>
      </c>
      <c r="F9534" s="108" t="s">
        <v>26158</v>
      </c>
      <c r="G9534" s="109">
        <v>45946</v>
      </c>
      <c r="H9534" s="108" t="s">
        <v>25458</v>
      </c>
      <c r="I9534" s="108" t="s">
        <v>108</v>
      </c>
    </row>
    <row r="9535" spans="1:9" ht="27.6">
      <c r="A9535" s="108" t="s">
        <v>109</v>
      </c>
      <c r="B9535" s="108" t="s">
        <v>3013</v>
      </c>
      <c r="C9535" s="109">
        <v>45568</v>
      </c>
      <c r="D9535" s="108" t="s">
        <v>3015</v>
      </c>
      <c r="E9535" s="108" t="s">
        <v>14605</v>
      </c>
      <c r="F9535" s="108" t="s">
        <v>3014</v>
      </c>
      <c r="G9535" s="109">
        <v>45946</v>
      </c>
      <c r="H9535" s="108" t="s">
        <v>25458</v>
      </c>
      <c r="I9535" s="108" t="s">
        <v>108</v>
      </c>
    </row>
    <row r="9536" spans="1:9" ht="27.6">
      <c r="A9536" s="108" t="s">
        <v>250</v>
      </c>
      <c r="B9536" s="108" t="s">
        <v>4412</v>
      </c>
      <c r="C9536" s="109">
        <v>45558</v>
      </c>
      <c r="D9536" s="108" t="s">
        <v>4414</v>
      </c>
      <c r="E9536" s="108" t="s">
        <v>14605</v>
      </c>
      <c r="F9536" s="108" t="s">
        <v>4413</v>
      </c>
      <c r="G9536" s="109">
        <v>45926</v>
      </c>
      <c r="H9536" s="108" t="s">
        <v>25458</v>
      </c>
      <c r="I9536" s="108" t="s">
        <v>108</v>
      </c>
    </row>
    <row r="9537" spans="1:9" ht="27.6">
      <c r="A9537" s="108" t="s">
        <v>250</v>
      </c>
      <c r="B9537" s="108" t="s">
        <v>247</v>
      </c>
      <c r="C9537" s="109">
        <v>45572</v>
      </c>
      <c r="D9537" s="108" t="s">
        <v>249</v>
      </c>
      <c r="E9537" s="108" t="s">
        <v>14605</v>
      </c>
      <c r="F9537" s="108" t="s">
        <v>248</v>
      </c>
      <c r="G9537" s="109">
        <v>45939</v>
      </c>
      <c r="H9537" s="108" t="s">
        <v>25458</v>
      </c>
      <c r="I9537" s="108" t="s">
        <v>108</v>
      </c>
    </row>
    <row r="9538" spans="1:9" ht="27.6">
      <c r="A9538" s="108" t="s">
        <v>109</v>
      </c>
      <c r="B9538" s="108" t="s">
        <v>4177</v>
      </c>
      <c r="C9538" s="109">
        <v>45586</v>
      </c>
      <c r="D9538" s="108" t="s">
        <v>4178</v>
      </c>
      <c r="E9538" s="108" t="s">
        <v>14605</v>
      </c>
      <c r="F9538" s="108" t="s">
        <v>4175</v>
      </c>
      <c r="G9538" s="109">
        <v>46062</v>
      </c>
      <c r="H9538" s="108" t="s">
        <v>25458</v>
      </c>
      <c r="I9538" s="108" t="s">
        <v>108</v>
      </c>
    </row>
    <row r="9539" spans="1:9" ht="27.6">
      <c r="A9539" s="108" t="s">
        <v>109</v>
      </c>
      <c r="B9539" s="108" t="s">
        <v>3609</v>
      </c>
      <c r="C9539" s="109">
        <v>45580</v>
      </c>
      <c r="D9539" s="108" t="s">
        <v>3610</v>
      </c>
      <c r="E9539" s="108" t="s">
        <v>14605</v>
      </c>
      <c r="F9539" s="108" t="s">
        <v>3607</v>
      </c>
      <c r="G9539" s="109">
        <v>45950</v>
      </c>
      <c r="H9539" s="108" t="s">
        <v>25458</v>
      </c>
      <c r="I9539" s="108" t="s">
        <v>108</v>
      </c>
    </row>
    <row r="9540" spans="1:9" ht="27.6">
      <c r="A9540" s="108" t="s">
        <v>109</v>
      </c>
      <c r="B9540" s="108" t="s">
        <v>1184</v>
      </c>
      <c r="C9540" s="109">
        <v>45603</v>
      </c>
      <c r="D9540" s="108" t="s">
        <v>1185</v>
      </c>
      <c r="E9540" s="108" t="s">
        <v>14605</v>
      </c>
      <c r="F9540" s="108" t="s">
        <v>1179</v>
      </c>
      <c r="G9540" s="109">
        <v>45959</v>
      </c>
      <c r="H9540" s="108" t="s">
        <v>25458</v>
      </c>
      <c r="I9540" s="108" t="s">
        <v>108</v>
      </c>
    </row>
    <row r="9541" spans="1:9" ht="27.6">
      <c r="A9541" s="108" t="s">
        <v>109</v>
      </c>
      <c r="B9541" s="108" t="s">
        <v>638</v>
      </c>
      <c r="C9541" s="109">
        <v>45607</v>
      </c>
      <c r="D9541" s="108" t="s">
        <v>639</v>
      </c>
      <c r="E9541" s="108" t="s">
        <v>14605</v>
      </c>
      <c r="F9541" s="108" t="s">
        <v>634</v>
      </c>
      <c r="G9541" s="109">
        <v>45953</v>
      </c>
      <c r="H9541" s="108" t="s">
        <v>25458</v>
      </c>
      <c r="I9541" s="108" t="s">
        <v>108</v>
      </c>
    </row>
    <row r="9542" spans="1:9" ht="27.6">
      <c r="A9542" s="108" t="s">
        <v>109</v>
      </c>
      <c r="B9542" s="108" t="s">
        <v>832</v>
      </c>
      <c r="C9542" s="109">
        <v>45616</v>
      </c>
      <c r="D9542" s="108" t="s">
        <v>834</v>
      </c>
      <c r="E9542" s="108" t="s">
        <v>14605</v>
      </c>
      <c r="F9542" s="108" t="s">
        <v>833</v>
      </c>
      <c r="G9542" s="109">
        <v>45984</v>
      </c>
      <c r="H9542" s="108" t="s">
        <v>25458</v>
      </c>
      <c r="I9542" s="108" t="s">
        <v>108</v>
      </c>
    </row>
    <row r="9543" spans="1:9" ht="27.6">
      <c r="A9543" s="108" t="s">
        <v>1072</v>
      </c>
      <c r="B9543" s="108" t="s">
        <v>2439</v>
      </c>
      <c r="C9543" s="109">
        <v>45561</v>
      </c>
      <c r="D9543" s="108" t="s">
        <v>2440</v>
      </c>
      <c r="E9543" s="108" t="s">
        <v>14605</v>
      </c>
      <c r="F9543" s="108" t="s">
        <v>2431</v>
      </c>
      <c r="G9543" s="109">
        <v>45945</v>
      </c>
      <c r="H9543" s="108" t="s">
        <v>25458</v>
      </c>
      <c r="I9543" s="108" t="s">
        <v>108</v>
      </c>
    </row>
    <row r="9544" spans="1:9">
      <c r="A9544" s="108" t="s">
        <v>378</v>
      </c>
      <c r="B9544" s="108" t="s">
        <v>1137</v>
      </c>
      <c r="C9544" s="109">
        <v>45467</v>
      </c>
      <c r="D9544" s="108" t="s">
        <v>1138</v>
      </c>
      <c r="E9544" s="108" t="s">
        <v>14605</v>
      </c>
      <c r="F9544" s="108" t="s">
        <v>1135</v>
      </c>
      <c r="G9544" s="109">
        <v>45844</v>
      </c>
      <c r="H9544" s="108" t="s">
        <v>25458</v>
      </c>
      <c r="I9544" s="108" t="s">
        <v>108</v>
      </c>
    </row>
    <row r="9545" spans="1:9">
      <c r="A9545" s="108" t="s">
        <v>378</v>
      </c>
      <c r="B9545" s="108" t="s">
        <v>3225</v>
      </c>
      <c r="C9545" s="109">
        <v>45586</v>
      </c>
      <c r="D9545" s="108" t="s">
        <v>3226</v>
      </c>
      <c r="E9545" s="108" t="s">
        <v>14605</v>
      </c>
      <c r="F9545" s="108" t="s">
        <v>3219</v>
      </c>
      <c r="G9545" s="109">
        <v>45942</v>
      </c>
      <c r="H9545" s="108" t="s">
        <v>25458</v>
      </c>
      <c r="I9545" s="108" t="s">
        <v>108</v>
      </c>
    </row>
    <row r="9546" spans="1:9" ht="27.6">
      <c r="A9546" s="108" t="s">
        <v>96</v>
      </c>
      <c r="B9546" s="108" t="s">
        <v>1508</v>
      </c>
      <c r="C9546" s="109">
        <v>45231</v>
      </c>
      <c r="D9546" s="108" t="s">
        <v>1510</v>
      </c>
      <c r="E9546" s="108" t="s">
        <v>14605</v>
      </c>
      <c r="F9546" s="108" t="s">
        <v>1509</v>
      </c>
      <c r="G9546" s="109">
        <v>45592</v>
      </c>
      <c r="H9546" s="108" t="s">
        <v>25458</v>
      </c>
      <c r="I9546" s="108" t="s">
        <v>108</v>
      </c>
    </row>
    <row r="9547" spans="1:9" ht="27.6">
      <c r="A9547" s="108" t="s">
        <v>96</v>
      </c>
      <c r="B9547" s="108" t="s">
        <v>1501</v>
      </c>
      <c r="C9547" s="109">
        <v>45562</v>
      </c>
      <c r="D9547" s="108" t="s">
        <v>1502</v>
      </c>
      <c r="E9547" s="108" t="s">
        <v>14605</v>
      </c>
      <c r="F9547" s="108" t="s">
        <v>1499</v>
      </c>
      <c r="G9547" s="109">
        <v>45933</v>
      </c>
      <c r="H9547" s="108" t="s">
        <v>25458</v>
      </c>
      <c r="I9547" s="108" t="s">
        <v>108</v>
      </c>
    </row>
    <row r="9548" spans="1:9">
      <c r="A9548" s="108" t="s">
        <v>15990</v>
      </c>
      <c r="B9548" s="108" t="s">
        <v>757</v>
      </c>
      <c r="C9548" s="109">
        <v>45593</v>
      </c>
      <c r="D9548" s="108" t="s">
        <v>758</v>
      </c>
      <c r="E9548" s="108" t="s">
        <v>14605</v>
      </c>
      <c r="F9548" s="108" t="s">
        <v>755</v>
      </c>
      <c r="G9548" s="109">
        <v>45979</v>
      </c>
      <c r="H9548" s="108" t="s">
        <v>25458</v>
      </c>
      <c r="I9548" s="108" t="s">
        <v>108</v>
      </c>
    </row>
    <row r="9549" spans="1:9">
      <c r="A9549" s="108" t="s">
        <v>244</v>
      </c>
      <c r="B9549" s="108" t="s">
        <v>1676</v>
      </c>
      <c r="C9549" s="109">
        <v>45203</v>
      </c>
      <c r="D9549" s="108" t="s">
        <v>1677</v>
      </c>
      <c r="E9549" s="108" t="s">
        <v>14605</v>
      </c>
      <c r="F9549" s="108" t="s">
        <v>1671</v>
      </c>
      <c r="G9549" s="109">
        <v>45549</v>
      </c>
      <c r="H9549" s="108" t="s">
        <v>25458</v>
      </c>
      <c r="I9549" s="108" t="s">
        <v>108</v>
      </c>
    </row>
    <row r="9550" spans="1:9" ht="27.6">
      <c r="A9550" s="108" t="s">
        <v>244</v>
      </c>
      <c r="B9550" s="108" t="s">
        <v>4848</v>
      </c>
      <c r="C9550" s="109">
        <v>45331</v>
      </c>
      <c r="D9550" s="108" t="s">
        <v>4849</v>
      </c>
      <c r="E9550" s="108" t="s">
        <v>14605</v>
      </c>
      <c r="F9550" s="108" t="s">
        <v>4846</v>
      </c>
      <c r="G9550" s="109">
        <v>45714</v>
      </c>
      <c r="H9550" s="108" t="s">
        <v>25458</v>
      </c>
      <c r="I9550" s="108" t="s">
        <v>108</v>
      </c>
    </row>
    <row r="9551" spans="1:9">
      <c r="A9551" s="108" t="s">
        <v>15990</v>
      </c>
      <c r="B9551" s="108" t="s">
        <v>3906</v>
      </c>
      <c r="C9551" s="109">
        <v>45432</v>
      </c>
      <c r="D9551" s="108" t="s">
        <v>3907</v>
      </c>
      <c r="E9551" s="108" t="s">
        <v>14605</v>
      </c>
      <c r="F9551" s="108" t="s">
        <v>3904</v>
      </c>
      <c r="G9551" s="109">
        <v>45756</v>
      </c>
      <c r="H9551" s="108" t="s">
        <v>25458</v>
      </c>
      <c r="I9551" s="108" t="s">
        <v>108</v>
      </c>
    </row>
    <row r="9552" spans="1:9">
      <c r="A9552" s="108" t="s">
        <v>15990</v>
      </c>
      <c r="B9552" s="108" t="s">
        <v>4552</v>
      </c>
      <c r="C9552" s="109">
        <v>45469</v>
      </c>
      <c r="D9552" s="108" t="s">
        <v>4553</v>
      </c>
      <c r="E9552" s="108" t="s">
        <v>14605</v>
      </c>
      <c r="F9552" s="108" t="s">
        <v>4546</v>
      </c>
      <c r="G9552" s="109">
        <v>45814</v>
      </c>
      <c r="H9552" s="108" t="s">
        <v>25458</v>
      </c>
      <c r="I9552" s="108" t="s">
        <v>108</v>
      </c>
    </row>
    <row r="9553" spans="1:9">
      <c r="A9553" s="108" t="s">
        <v>15990</v>
      </c>
      <c r="B9553" s="108" t="s">
        <v>26954</v>
      </c>
      <c r="C9553" s="109">
        <v>46091</v>
      </c>
      <c r="D9553" s="108" t="s">
        <v>26955</v>
      </c>
      <c r="E9553" s="108" t="s">
        <v>14605</v>
      </c>
      <c r="F9553" s="108" t="s">
        <v>3473</v>
      </c>
      <c r="G9553" s="109">
        <v>45733</v>
      </c>
      <c r="H9553" s="108" t="s">
        <v>25458</v>
      </c>
      <c r="I9553" s="108" t="s">
        <v>108</v>
      </c>
    </row>
    <row r="9554" spans="1:9">
      <c r="A9554" s="108" t="s">
        <v>15990</v>
      </c>
      <c r="B9554" s="108" t="s">
        <v>2955</v>
      </c>
      <c r="C9554" s="109">
        <v>45685</v>
      </c>
      <c r="D9554" s="108" t="s">
        <v>2957</v>
      </c>
      <c r="E9554" s="108" t="s">
        <v>14605</v>
      </c>
      <c r="F9554" s="108" t="s">
        <v>2956</v>
      </c>
      <c r="G9554" s="109">
        <v>46053</v>
      </c>
      <c r="H9554" s="108" t="s">
        <v>25458</v>
      </c>
      <c r="I9554" s="108" t="s">
        <v>108</v>
      </c>
    </row>
    <row r="9555" spans="1:9">
      <c r="A9555" s="108" t="s">
        <v>15990</v>
      </c>
      <c r="B9555" s="108" t="s">
        <v>4566</v>
      </c>
      <c r="C9555" s="109">
        <v>45547</v>
      </c>
      <c r="D9555" s="108" t="s">
        <v>4567</v>
      </c>
      <c r="E9555" s="108" t="s">
        <v>14605</v>
      </c>
      <c r="F9555" s="108" t="s">
        <v>4559</v>
      </c>
      <c r="G9555" s="109">
        <v>45935</v>
      </c>
      <c r="H9555" s="108" t="s">
        <v>25458</v>
      </c>
      <c r="I9555" s="108" t="s">
        <v>108</v>
      </c>
    </row>
    <row r="9556" spans="1:9">
      <c r="A9556" s="108" t="s">
        <v>15990</v>
      </c>
      <c r="B9556" s="108" t="s">
        <v>213</v>
      </c>
      <c r="C9556" s="109">
        <v>45577</v>
      </c>
      <c r="D9556" s="108" t="s">
        <v>214</v>
      </c>
      <c r="E9556" s="108" t="s">
        <v>14605</v>
      </c>
      <c r="F9556" s="108" t="s">
        <v>212</v>
      </c>
      <c r="G9556" s="109">
        <v>46022</v>
      </c>
      <c r="H9556" s="108" t="s">
        <v>25458</v>
      </c>
      <c r="I9556" s="108" t="s">
        <v>108</v>
      </c>
    </row>
    <row r="9557" spans="1:9" ht="27.6">
      <c r="A9557" s="108" t="s">
        <v>244</v>
      </c>
      <c r="B9557" s="108" t="s">
        <v>886</v>
      </c>
      <c r="C9557" s="109">
        <v>45636</v>
      </c>
      <c r="D9557" s="108" t="s">
        <v>888</v>
      </c>
      <c r="E9557" s="108" t="s">
        <v>14605</v>
      </c>
      <c r="F9557" s="108" t="s">
        <v>887</v>
      </c>
      <c r="G9557" s="109">
        <v>45941</v>
      </c>
      <c r="H9557" s="108" t="s">
        <v>25458</v>
      </c>
      <c r="I9557" s="108" t="s">
        <v>108</v>
      </c>
    </row>
    <row r="9558" spans="1:9" ht="27.6">
      <c r="A9558" s="108" t="s">
        <v>15990</v>
      </c>
      <c r="B9558" s="108" t="s">
        <v>2238</v>
      </c>
      <c r="C9558" s="109">
        <v>45597</v>
      </c>
      <c r="D9558" s="108" t="s">
        <v>2239</v>
      </c>
      <c r="E9558" s="108" t="s">
        <v>14605</v>
      </c>
      <c r="F9558" s="108" t="s">
        <v>2236</v>
      </c>
      <c r="G9558" s="109">
        <v>45959</v>
      </c>
      <c r="H9558" s="108" t="s">
        <v>25458</v>
      </c>
      <c r="I9558" s="108" t="s">
        <v>108</v>
      </c>
    </row>
    <row r="9559" spans="1:9" ht="27.6">
      <c r="A9559" s="108" t="s">
        <v>15990</v>
      </c>
      <c r="B9559" s="108" t="s">
        <v>2817</v>
      </c>
      <c r="C9559" s="109">
        <v>45628</v>
      </c>
      <c r="D9559" s="108" t="s">
        <v>2818</v>
      </c>
      <c r="E9559" s="108" t="s">
        <v>14605</v>
      </c>
      <c r="F9559" s="108" t="s">
        <v>2795</v>
      </c>
      <c r="G9559" s="109">
        <v>45983</v>
      </c>
      <c r="H9559" s="108" t="s">
        <v>25458</v>
      </c>
      <c r="I9559" s="108" t="s">
        <v>108</v>
      </c>
    </row>
    <row r="9560" spans="1:9">
      <c r="A9560" s="108" t="s">
        <v>15990</v>
      </c>
      <c r="B9560" s="108" t="s">
        <v>1081</v>
      </c>
      <c r="C9560" s="109">
        <v>45626</v>
      </c>
      <c r="D9560" s="108" t="s">
        <v>1082</v>
      </c>
      <c r="E9560" s="108" t="s">
        <v>14605</v>
      </c>
      <c r="F9560" s="108" t="s">
        <v>1077</v>
      </c>
      <c r="G9560" s="109">
        <v>45959</v>
      </c>
      <c r="H9560" s="108" t="s">
        <v>25458</v>
      </c>
      <c r="I9560" s="108" t="s">
        <v>108</v>
      </c>
    </row>
    <row r="9561" spans="1:9" ht="27.6">
      <c r="A9561" s="108" t="s">
        <v>15990</v>
      </c>
      <c r="B9561" s="108" t="s">
        <v>5269</v>
      </c>
      <c r="C9561" s="109">
        <v>45616</v>
      </c>
      <c r="D9561" s="108" t="s">
        <v>5270</v>
      </c>
      <c r="E9561" s="108" t="s">
        <v>14605</v>
      </c>
      <c r="F9561" s="108" t="s">
        <v>5267</v>
      </c>
      <c r="G9561" s="109">
        <v>45991</v>
      </c>
      <c r="H9561" s="108" t="s">
        <v>25458</v>
      </c>
      <c r="I9561" s="108" t="s">
        <v>108</v>
      </c>
    </row>
    <row r="9562" spans="1:9">
      <c r="A9562" s="108" t="s">
        <v>16151</v>
      </c>
      <c r="B9562" s="108" t="s">
        <v>5189</v>
      </c>
      <c r="C9562" s="109">
        <v>43731</v>
      </c>
      <c r="D9562" s="108" t="s">
        <v>5190</v>
      </c>
      <c r="E9562" s="108" t="s">
        <v>14605</v>
      </c>
      <c r="F9562" s="108" t="s">
        <v>5145</v>
      </c>
      <c r="G9562" s="109">
        <v>44279</v>
      </c>
      <c r="H9562" s="108" t="s">
        <v>25458</v>
      </c>
      <c r="I9562" s="108" t="s">
        <v>108</v>
      </c>
    </row>
    <row r="9563" spans="1:9">
      <c r="A9563" s="108" t="s">
        <v>16151</v>
      </c>
      <c r="B9563" s="108" t="s">
        <v>4329</v>
      </c>
      <c r="C9563" s="109">
        <v>43788</v>
      </c>
      <c r="D9563" s="108" t="s">
        <v>4330</v>
      </c>
      <c r="E9563" s="108" t="s">
        <v>14605</v>
      </c>
      <c r="F9563" s="108" t="s">
        <v>4319</v>
      </c>
      <c r="G9563" s="109">
        <v>44176</v>
      </c>
      <c r="H9563" s="108" t="s">
        <v>25458</v>
      </c>
      <c r="I9563" s="108" t="s">
        <v>108</v>
      </c>
    </row>
    <row r="9564" spans="1:9">
      <c r="A9564" s="108" t="s">
        <v>16151</v>
      </c>
      <c r="B9564" s="108" t="s">
        <v>4327</v>
      </c>
      <c r="C9564" s="109">
        <v>43851</v>
      </c>
      <c r="D9564" s="108" t="s">
        <v>4328</v>
      </c>
      <c r="E9564" s="108" t="s">
        <v>14605</v>
      </c>
      <c r="F9564" s="108" t="s">
        <v>4319</v>
      </c>
      <c r="G9564" s="109">
        <v>44055</v>
      </c>
      <c r="H9564" s="108" t="s">
        <v>25458</v>
      </c>
      <c r="I9564" s="108" t="s">
        <v>108</v>
      </c>
    </row>
    <row r="9565" spans="1:9">
      <c r="A9565" s="108" t="s">
        <v>16151</v>
      </c>
      <c r="B9565" s="108" t="s">
        <v>2566</v>
      </c>
      <c r="C9565" s="109">
        <v>43971</v>
      </c>
      <c r="D9565" s="108" t="s">
        <v>2567</v>
      </c>
      <c r="E9565" s="108" t="s">
        <v>14605</v>
      </c>
      <c r="F9565" s="108" t="s">
        <v>2552</v>
      </c>
      <c r="G9565" s="109">
        <v>44335</v>
      </c>
      <c r="H9565" s="108" t="s">
        <v>25458</v>
      </c>
      <c r="I9565" s="108" t="s">
        <v>108</v>
      </c>
    </row>
    <row r="9566" spans="1:9" ht="27.6">
      <c r="A9566" s="108" t="s">
        <v>16149</v>
      </c>
      <c r="B9566" s="108" t="s">
        <v>3064</v>
      </c>
      <c r="C9566" s="109">
        <v>45737</v>
      </c>
      <c r="D9566" s="108" t="s">
        <v>3065</v>
      </c>
      <c r="E9566" s="108" t="s">
        <v>14605</v>
      </c>
      <c r="F9566" s="108" t="s">
        <v>3056</v>
      </c>
      <c r="G9566" s="109">
        <v>46092</v>
      </c>
      <c r="H9566" s="108" t="s">
        <v>25458</v>
      </c>
      <c r="I9566" s="108" t="s">
        <v>108</v>
      </c>
    </row>
    <row r="9567" spans="1:9">
      <c r="A9567" s="108" t="s">
        <v>16151</v>
      </c>
      <c r="B9567" s="108" t="s">
        <v>4325</v>
      </c>
      <c r="C9567" s="109">
        <v>43969</v>
      </c>
      <c r="D9567" s="108" t="s">
        <v>4326</v>
      </c>
      <c r="E9567" s="108" t="s">
        <v>14605</v>
      </c>
      <c r="F9567" s="108" t="s">
        <v>4319</v>
      </c>
      <c r="G9567" s="109">
        <v>44333</v>
      </c>
      <c r="H9567" s="108" t="s">
        <v>25458</v>
      </c>
      <c r="I9567" s="108" t="s">
        <v>108</v>
      </c>
    </row>
    <row r="9568" spans="1:9">
      <c r="A9568" s="108" t="s">
        <v>16151</v>
      </c>
      <c r="B9568" s="108" t="s">
        <v>2225</v>
      </c>
      <c r="C9568" s="109">
        <v>44000</v>
      </c>
      <c r="D9568" s="108" t="s">
        <v>2227</v>
      </c>
      <c r="E9568" s="108" t="s">
        <v>14605</v>
      </c>
      <c r="F9568" s="108" t="s">
        <v>2226</v>
      </c>
      <c r="G9568" s="109">
        <v>44357</v>
      </c>
      <c r="H9568" s="108" t="s">
        <v>25458</v>
      </c>
      <c r="I9568" s="108" t="s">
        <v>108</v>
      </c>
    </row>
    <row r="9569" spans="1:9">
      <c r="A9569" s="108" t="s">
        <v>16151</v>
      </c>
      <c r="B9569" s="108" t="s">
        <v>5000</v>
      </c>
      <c r="C9569" s="109">
        <v>44179</v>
      </c>
      <c r="D9569" s="108" t="s">
        <v>5002</v>
      </c>
      <c r="E9569" s="108" t="s">
        <v>14605</v>
      </c>
      <c r="F9569" s="108" t="s">
        <v>5001</v>
      </c>
      <c r="G9569" s="109">
        <v>44530</v>
      </c>
      <c r="H9569" s="108" t="s">
        <v>25458</v>
      </c>
      <c r="I9569" s="108" t="s">
        <v>108</v>
      </c>
    </row>
    <row r="9570" spans="1:9">
      <c r="A9570" s="108" t="s">
        <v>16151</v>
      </c>
      <c r="B9570" s="108" t="s">
        <v>2558</v>
      </c>
      <c r="C9570" s="109">
        <v>44209</v>
      </c>
      <c r="D9570" s="108" t="s">
        <v>2559</v>
      </c>
      <c r="E9570" s="108" t="s">
        <v>14605</v>
      </c>
      <c r="F9570" s="108" t="s">
        <v>2552</v>
      </c>
      <c r="G9570" s="109">
        <v>44588</v>
      </c>
      <c r="H9570" s="108" t="s">
        <v>25458</v>
      </c>
      <c r="I9570" s="108" t="s">
        <v>108</v>
      </c>
    </row>
    <row r="9571" spans="1:9" ht="27.6">
      <c r="A9571" s="108" t="s">
        <v>1102</v>
      </c>
      <c r="B9571" s="108" t="s">
        <v>2520</v>
      </c>
      <c r="C9571" s="109">
        <v>45680</v>
      </c>
      <c r="D9571" s="108" t="s">
        <v>2521</v>
      </c>
      <c r="E9571" s="108" t="s">
        <v>14605</v>
      </c>
      <c r="F9571" s="108" t="s">
        <v>2516</v>
      </c>
      <c r="G9571" s="109">
        <v>46037</v>
      </c>
      <c r="H9571" s="108" t="s">
        <v>25458</v>
      </c>
      <c r="I9571" s="108" t="s">
        <v>108</v>
      </c>
    </row>
    <row r="9572" spans="1:9" ht="27.6">
      <c r="A9572" s="108" t="s">
        <v>16151</v>
      </c>
      <c r="B9572" s="108" t="s">
        <v>5046</v>
      </c>
      <c r="C9572" s="109">
        <v>44406</v>
      </c>
      <c r="D9572" s="108" t="s">
        <v>5048</v>
      </c>
      <c r="E9572" s="108" t="s">
        <v>14605</v>
      </c>
      <c r="F9572" s="108" t="s">
        <v>5047</v>
      </c>
      <c r="G9572" s="109">
        <v>44784</v>
      </c>
      <c r="H9572" s="108" t="s">
        <v>25458</v>
      </c>
      <c r="I9572" s="108" t="s">
        <v>108</v>
      </c>
    </row>
    <row r="9573" spans="1:9">
      <c r="A9573" s="108" t="s">
        <v>16151</v>
      </c>
      <c r="B9573" s="108" t="s">
        <v>4323</v>
      </c>
      <c r="C9573" s="109">
        <v>44469</v>
      </c>
      <c r="D9573" s="108" t="s">
        <v>4324</v>
      </c>
      <c r="E9573" s="108" t="s">
        <v>14605</v>
      </c>
      <c r="F9573" s="108" t="s">
        <v>4319</v>
      </c>
      <c r="G9573" s="109">
        <v>44847</v>
      </c>
      <c r="H9573" s="108" t="s">
        <v>25458</v>
      </c>
      <c r="I9573" s="108" t="s">
        <v>108</v>
      </c>
    </row>
    <row r="9574" spans="1:9">
      <c r="A9574" s="108" t="s">
        <v>16151</v>
      </c>
      <c r="B9574" s="108" t="s">
        <v>2556</v>
      </c>
      <c r="C9574" s="109">
        <v>44469</v>
      </c>
      <c r="D9574" s="108" t="s">
        <v>2557</v>
      </c>
      <c r="E9574" s="108" t="s">
        <v>14605</v>
      </c>
      <c r="F9574" s="108" t="s">
        <v>2552</v>
      </c>
      <c r="G9574" s="109">
        <v>44850</v>
      </c>
      <c r="H9574" s="108" t="s">
        <v>25458</v>
      </c>
      <c r="I9574" s="108" t="s">
        <v>108</v>
      </c>
    </row>
    <row r="9575" spans="1:9">
      <c r="A9575" s="108" t="s">
        <v>16151</v>
      </c>
      <c r="B9575" s="108" t="s">
        <v>2554</v>
      </c>
      <c r="C9575" s="109">
        <v>44499</v>
      </c>
      <c r="D9575" s="108" t="s">
        <v>2555</v>
      </c>
      <c r="E9575" s="108" t="s">
        <v>14605</v>
      </c>
      <c r="F9575" s="108" t="s">
        <v>2552</v>
      </c>
      <c r="G9575" s="109">
        <v>44856</v>
      </c>
      <c r="H9575" s="108" t="s">
        <v>25458</v>
      </c>
      <c r="I9575" s="108" t="s">
        <v>108</v>
      </c>
    </row>
    <row r="9576" spans="1:9">
      <c r="A9576" s="108" t="s">
        <v>16151</v>
      </c>
      <c r="B9576" s="108" t="s">
        <v>2888</v>
      </c>
      <c r="C9576" s="109">
        <v>44496</v>
      </c>
      <c r="D9576" s="108" t="s">
        <v>2890</v>
      </c>
      <c r="E9576" s="108" t="s">
        <v>14605</v>
      </c>
      <c r="F9576" s="108" t="s">
        <v>2889</v>
      </c>
      <c r="G9576" s="109">
        <v>44869</v>
      </c>
      <c r="H9576" s="108" t="s">
        <v>25558</v>
      </c>
      <c r="I9576" s="108" t="s">
        <v>108</v>
      </c>
    </row>
    <row r="9577" spans="1:9" ht="27.6">
      <c r="A9577" s="108" t="s">
        <v>16149</v>
      </c>
      <c r="B9577" s="108" t="s">
        <v>636</v>
      </c>
      <c r="C9577" s="109">
        <v>45238</v>
      </c>
      <c r="D9577" s="108" t="s">
        <v>637</v>
      </c>
      <c r="E9577" s="108" t="s">
        <v>14605</v>
      </c>
      <c r="F9577" s="108" t="s">
        <v>634</v>
      </c>
      <c r="G9577" s="109">
        <v>45795</v>
      </c>
      <c r="H9577" s="108" t="s">
        <v>25458</v>
      </c>
      <c r="I9577" s="108" t="s">
        <v>108</v>
      </c>
    </row>
    <row r="9578" spans="1:9">
      <c r="A9578" s="108" t="s">
        <v>16151</v>
      </c>
      <c r="B9578" s="108" t="s">
        <v>4469</v>
      </c>
      <c r="C9578" s="109">
        <v>44851</v>
      </c>
      <c r="D9578" s="108" t="s">
        <v>4471</v>
      </c>
      <c r="E9578" s="108" t="s">
        <v>14605</v>
      </c>
      <c r="F9578" s="108" t="s">
        <v>4470</v>
      </c>
      <c r="G9578" s="109">
        <v>45121</v>
      </c>
      <c r="H9578" s="108" t="s">
        <v>25458</v>
      </c>
      <c r="I9578" s="108" t="s">
        <v>108</v>
      </c>
    </row>
    <row r="9579" spans="1:9" ht="27.6">
      <c r="A9579" s="108" t="s">
        <v>16149</v>
      </c>
      <c r="B9579" s="108" t="s">
        <v>26956</v>
      </c>
      <c r="C9579" s="109">
        <v>46026</v>
      </c>
      <c r="D9579" s="108" t="s">
        <v>26957</v>
      </c>
      <c r="E9579" s="108" t="s">
        <v>14605</v>
      </c>
      <c r="F9579" s="108" t="s">
        <v>4343</v>
      </c>
      <c r="G9579" s="109">
        <v>46228</v>
      </c>
      <c r="H9579" s="108" t="s">
        <v>25458</v>
      </c>
      <c r="I9579" s="108" t="s">
        <v>108</v>
      </c>
    </row>
    <row r="9580" spans="1:9">
      <c r="A9580" s="108" t="s">
        <v>16151</v>
      </c>
      <c r="B9580" s="108" t="s">
        <v>596</v>
      </c>
      <c r="C9580" s="109">
        <v>45009</v>
      </c>
      <c r="D9580" s="108" t="s">
        <v>598</v>
      </c>
      <c r="E9580" s="108" t="s">
        <v>14605</v>
      </c>
      <c r="F9580" s="108" t="s">
        <v>597</v>
      </c>
      <c r="G9580" s="109">
        <v>46228</v>
      </c>
      <c r="H9580" s="108" t="s">
        <v>25458</v>
      </c>
      <c r="I9580" s="108" t="s">
        <v>108</v>
      </c>
    </row>
    <row r="9581" spans="1:9" ht="27.6">
      <c r="A9581" s="108" t="s">
        <v>16149</v>
      </c>
      <c r="B9581" s="108" t="s">
        <v>141</v>
      </c>
      <c r="C9581" s="109">
        <v>45862</v>
      </c>
      <c r="D9581" s="108" t="s">
        <v>143</v>
      </c>
      <c r="E9581" s="108" t="s">
        <v>14605</v>
      </c>
      <c r="F9581" s="108" t="s">
        <v>142</v>
      </c>
      <c r="G9581" s="109">
        <v>46190</v>
      </c>
      <c r="H9581" s="108" t="s">
        <v>25458</v>
      </c>
      <c r="I9581" s="108" t="s">
        <v>108</v>
      </c>
    </row>
    <row r="9582" spans="1:9" ht="27.6">
      <c r="A9582" s="108" t="s">
        <v>16149</v>
      </c>
      <c r="B9582" s="108" t="s">
        <v>3332</v>
      </c>
      <c r="C9582" s="109">
        <v>45769</v>
      </c>
      <c r="D9582" s="108" t="s">
        <v>3334</v>
      </c>
      <c r="E9582" s="108" t="s">
        <v>14605</v>
      </c>
      <c r="F9582" s="108" t="s">
        <v>3333</v>
      </c>
      <c r="G9582" s="109">
        <v>46141</v>
      </c>
      <c r="H9582" s="108" t="s">
        <v>25458</v>
      </c>
      <c r="I9582" s="108" t="s">
        <v>108</v>
      </c>
    </row>
    <row r="9583" spans="1:9">
      <c r="A9583" s="108" t="s">
        <v>16151</v>
      </c>
      <c r="B9583" s="108" t="s">
        <v>3835</v>
      </c>
      <c r="C9583" s="109">
        <v>45131</v>
      </c>
      <c r="D9583" s="108" t="s">
        <v>3837</v>
      </c>
      <c r="E9583" s="108" t="s">
        <v>14605</v>
      </c>
      <c r="F9583" s="108" t="s">
        <v>3836</v>
      </c>
      <c r="G9583" s="109">
        <v>45502</v>
      </c>
      <c r="H9583" s="108" t="s">
        <v>25458</v>
      </c>
      <c r="I9583" s="108" t="s">
        <v>108</v>
      </c>
    </row>
    <row r="9584" spans="1:9">
      <c r="A9584" s="108" t="s">
        <v>16151</v>
      </c>
      <c r="B9584" s="108" t="s">
        <v>3903</v>
      </c>
      <c r="C9584" s="109">
        <v>45408</v>
      </c>
      <c r="D9584" s="108" t="s">
        <v>3905</v>
      </c>
      <c r="E9584" s="108" t="s">
        <v>14605</v>
      </c>
      <c r="F9584" s="108" t="s">
        <v>3904</v>
      </c>
      <c r="G9584" s="109">
        <v>45756</v>
      </c>
      <c r="H9584" s="108" t="s">
        <v>25458</v>
      </c>
      <c r="I9584" s="108" t="s">
        <v>108</v>
      </c>
    </row>
    <row r="9585" spans="1:9" ht="27.6">
      <c r="A9585" s="108" t="s">
        <v>16149</v>
      </c>
      <c r="B9585" s="108" t="s">
        <v>1837</v>
      </c>
      <c r="C9585" s="109">
        <v>45574</v>
      </c>
      <c r="D9585" s="108" t="s">
        <v>1839</v>
      </c>
      <c r="E9585" s="108" t="s">
        <v>14605</v>
      </c>
      <c r="F9585" s="108" t="s">
        <v>1838</v>
      </c>
      <c r="G9585" s="109">
        <v>45957</v>
      </c>
      <c r="H9585" s="108" t="s">
        <v>25458</v>
      </c>
      <c r="I9585" s="108" t="s">
        <v>108</v>
      </c>
    </row>
    <row r="9586" spans="1:9">
      <c r="A9586" s="108" t="s">
        <v>16151</v>
      </c>
      <c r="B9586" s="108" t="s">
        <v>3539</v>
      </c>
      <c r="C9586" s="109">
        <v>45393</v>
      </c>
      <c r="D9586" s="108" t="s">
        <v>3541</v>
      </c>
      <c r="E9586" s="108" t="s">
        <v>14605</v>
      </c>
      <c r="F9586" s="108" t="s">
        <v>3540</v>
      </c>
      <c r="G9586" s="109">
        <v>45766</v>
      </c>
      <c r="H9586" s="108" t="s">
        <v>25458</v>
      </c>
      <c r="I9586" s="108" t="s">
        <v>108</v>
      </c>
    </row>
    <row r="9587" spans="1:9">
      <c r="A9587" s="108" t="s">
        <v>16151</v>
      </c>
      <c r="B9587" s="108" t="s">
        <v>2420</v>
      </c>
      <c r="C9587" s="109">
        <v>45725</v>
      </c>
      <c r="D9587" s="108" t="s">
        <v>2421</v>
      </c>
      <c r="E9587" s="108" t="s">
        <v>14605</v>
      </c>
      <c r="F9587" s="108" t="s">
        <v>2418</v>
      </c>
      <c r="G9587" s="109">
        <v>46353</v>
      </c>
      <c r="H9587" s="108" t="s">
        <v>25458</v>
      </c>
      <c r="I9587" s="108" t="s">
        <v>108</v>
      </c>
    </row>
    <row r="9588" spans="1:9">
      <c r="A9588" s="108" t="s">
        <v>16151</v>
      </c>
      <c r="B9588" s="108" t="s">
        <v>2417</v>
      </c>
      <c r="C9588" s="109">
        <v>45586</v>
      </c>
      <c r="D9588" s="108" t="s">
        <v>2419</v>
      </c>
      <c r="E9588" s="108" t="s">
        <v>14605</v>
      </c>
      <c r="F9588" s="108" t="s">
        <v>2418</v>
      </c>
      <c r="G9588" s="109">
        <v>46353</v>
      </c>
      <c r="H9588" s="108" t="s">
        <v>25458</v>
      </c>
      <c r="I9588" s="108" t="s">
        <v>108</v>
      </c>
    </row>
    <row r="9589" spans="1:9">
      <c r="A9589" s="108" t="s">
        <v>16151</v>
      </c>
      <c r="B9589" s="108" t="s">
        <v>3249</v>
      </c>
      <c r="C9589" s="109">
        <v>45435</v>
      </c>
      <c r="D9589" s="108" t="s">
        <v>3251</v>
      </c>
      <c r="E9589" s="108" t="s">
        <v>14605</v>
      </c>
      <c r="F9589" s="108" t="s">
        <v>3250</v>
      </c>
      <c r="G9589" s="109">
        <v>45891</v>
      </c>
      <c r="H9589" s="108" t="s">
        <v>25458</v>
      </c>
      <c r="I9589" s="108" t="s">
        <v>108</v>
      </c>
    </row>
    <row r="9590" spans="1:9" ht="27.6">
      <c r="A9590" s="108" t="s">
        <v>16151</v>
      </c>
      <c r="B9590" s="108" t="s">
        <v>4201</v>
      </c>
      <c r="C9590" s="109">
        <v>45476</v>
      </c>
      <c r="D9590" s="108" t="s">
        <v>4203</v>
      </c>
      <c r="E9590" s="108" t="s">
        <v>14605</v>
      </c>
      <c r="F9590" s="108" t="s">
        <v>4202</v>
      </c>
      <c r="G9590" s="109">
        <v>45829</v>
      </c>
      <c r="H9590" s="108" t="s">
        <v>25458</v>
      </c>
      <c r="I9590" s="108" t="s">
        <v>108</v>
      </c>
    </row>
    <row r="9591" spans="1:9">
      <c r="A9591" s="108" t="s">
        <v>16151</v>
      </c>
      <c r="B9591" s="108" t="s">
        <v>5289</v>
      </c>
      <c r="C9591" s="109">
        <v>45524</v>
      </c>
      <c r="D9591" s="108" t="s">
        <v>5290</v>
      </c>
      <c r="E9591" s="108" t="s">
        <v>14605</v>
      </c>
      <c r="F9591" s="108" t="s">
        <v>5288</v>
      </c>
      <c r="G9591" s="109">
        <v>45898</v>
      </c>
      <c r="H9591" s="108" t="s">
        <v>25458</v>
      </c>
      <c r="I9591" s="108" t="s">
        <v>108</v>
      </c>
    </row>
    <row r="9592" spans="1:9">
      <c r="A9592" s="108" t="s">
        <v>16151</v>
      </c>
      <c r="B9592" s="108" t="s">
        <v>985</v>
      </c>
      <c r="C9592" s="109">
        <v>45539</v>
      </c>
      <c r="D9592" s="108" t="s">
        <v>987</v>
      </c>
      <c r="E9592" s="108" t="s">
        <v>14605</v>
      </c>
      <c r="F9592" s="108" t="s">
        <v>986</v>
      </c>
      <c r="G9592" s="109">
        <v>45900</v>
      </c>
      <c r="H9592" s="108" t="s">
        <v>25458</v>
      </c>
      <c r="I9592" s="108" t="s">
        <v>108</v>
      </c>
    </row>
    <row r="9593" spans="1:9">
      <c r="A9593" s="108" t="s">
        <v>16151</v>
      </c>
      <c r="B9593" s="108" t="s">
        <v>2761</v>
      </c>
      <c r="C9593" s="109">
        <v>45631</v>
      </c>
      <c r="D9593" s="108" t="s">
        <v>2763</v>
      </c>
      <c r="E9593" s="108" t="s">
        <v>14605</v>
      </c>
      <c r="F9593" s="108" t="s">
        <v>2762</v>
      </c>
      <c r="G9593" s="109">
        <v>45914</v>
      </c>
      <c r="H9593" s="108" t="s">
        <v>25458</v>
      </c>
      <c r="I9593" s="108" t="s">
        <v>108</v>
      </c>
    </row>
    <row r="9594" spans="1:9">
      <c r="A9594" s="108" t="s">
        <v>16151</v>
      </c>
      <c r="B9594" s="108" t="s">
        <v>2724</v>
      </c>
      <c r="C9594" s="109">
        <v>45565</v>
      </c>
      <c r="D9594" s="108" t="s">
        <v>2726</v>
      </c>
      <c r="E9594" s="108" t="s">
        <v>14605</v>
      </c>
      <c r="F9594" s="108" t="s">
        <v>2725</v>
      </c>
      <c r="G9594" s="109">
        <v>45917</v>
      </c>
      <c r="H9594" s="108" t="s">
        <v>25458</v>
      </c>
      <c r="I9594" s="108" t="s">
        <v>108</v>
      </c>
    </row>
    <row r="9595" spans="1:9" ht="27.6">
      <c r="A9595" s="108" t="s">
        <v>16151</v>
      </c>
      <c r="B9595" s="108" t="s">
        <v>4282</v>
      </c>
      <c r="C9595" s="109">
        <v>45736</v>
      </c>
      <c r="D9595" s="108" t="s">
        <v>4283</v>
      </c>
      <c r="E9595" s="108" t="s">
        <v>14605</v>
      </c>
      <c r="F9595" s="108" t="s">
        <v>4276</v>
      </c>
      <c r="G9595" s="109">
        <v>45953</v>
      </c>
      <c r="H9595" s="108" t="s">
        <v>25458</v>
      </c>
      <c r="I9595" s="108" t="s">
        <v>108</v>
      </c>
    </row>
    <row r="9596" spans="1:9" ht="27.6">
      <c r="A9596" s="108" t="s">
        <v>16151</v>
      </c>
      <c r="B9596" s="108" t="s">
        <v>2152</v>
      </c>
      <c r="C9596" s="109">
        <v>45560</v>
      </c>
      <c r="D9596" s="108" t="s">
        <v>2153</v>
      </c>
      <c r="E9596" s="108" t="s">
        <v>14605</v>
      </c>
      <c r="F9596" s="108" t="s">
        <v>26156</v>
      </c>
      <c r="G9596" s="109">
        <v>45941</v>
      </c>
      <c r="H9596" s="108" t="s">
        <v>25458</v>
      </c>
      <c r="I9596" s="108" t="s">
        <v>108</v>
      </c>
    </row>
    <row r="9597" spans="1:9">
      <c r="A9597" s="108" t="s">
        <v>16151</v>
      </c>
      <c r="B9597" s="108" t="s">
        <v>1523</v>
      </c>
      <c r="C9597" s="109">
        <v>45582</v>
      </c>
      <c r="D9597" s="108" t="s">
        <v>1524</v>
      </c>
      <c r="E9597" s="108" t="s">
        <v>14605</v>
      </c>
      <c r="F9597" s="108" t="s">
        <v>1519</v>
      </c>
      <c r="G9597" s="109">
        <v>45935</v>
      </c>
      <c r="H9597" s="108" t="s">
        <v>25458</v>
      </c>
      <c r="I9597" s="108" t="s">
        <v>108</v>
      </c>
    </row>
    <row r="9598" spans="1:9">
      <c r="A9598" s="108" t="s">
        <v>16151</v>
      </c>
      <c r="B9598" s="108" t="s">
        <v>3255</v>
      </c>
      <c r="C9598" s="109">
        <v>45583</v>
      </c>
      <c r="D9598" s="108" t="s">
        <v>3256</v>
      </c>
      <c r="E9598" s="108" t="s">
        <v>14605</v>
      </c>
      <c r="F9598" s="108" t="s">
        <v>3253</v>
      </c>
      <c r="G9598" s="109">
        <v>45950</v>
      </c>
      <c r="H9598" s="108" t="s">
        <v>25458</v>
      </c>
      <c r="I9598" s="108" t="s">
        <v>108</v>
      </c>
    </row>
    <row r="9599" spans="1:9">
      <c r="A9599" s="108" t="s">
        <v>16151</v>
      </c>
      <c r="B9599" s="108" t="s">
        <v>4321</v>
      </c>
      <c r="C9599" s="109">
        <v>45569</v>
      </c>
      <c r="D9599" s="108" t="s">
        <v>4322</v>
      </c>
      <c r="E9599" s="108" t="s">
        <v>14605</v>
      </c>
      <c r="F9599" s="108" t="s">
        <v>4319</v>
      </c>
      <c r="G9599" s="109">
        <v>45949</v>
      </c>
      <c r="H9599" s="108" t="s">
        <v>25458</v>
      </c>
      <c r="I9599" s="108" t="s">
        <v>108</v>
      </c>
    </row>
    <row r="9600" spans="1:9" ht="27.6">
      <c r="A9600" s="108" t="s">
        <v>16151</v>
      </c>
      <c r="B9600" s="108" t="s">
        <v>1619</v>
      </c>
      <c r="C9600" s="109">
        <v>46223</v>
      </c>
      <c r="D9600" s="108" t="s">
        <v>1620</v>
      </c>
      <c r="E9600" s="108" t="s">
        <v>14605</v>
      </c>
      <c r="F9600" s="108" t="s">
        <v>1770</v>
      </c>
      <c r="G9600" s="109">
        <v>45948</v>
      </c>
      <c r="H9600" s="108" t="s">
        <v>25458</v>
      </c>
      <c r="I9600" s="108" t="s">
        <v>108</v>
      </c>
    </row>
    <row r="9601" spans="1:9" ht="27.6">
      <c r="A9601" s="108" t="s">
        <v>16151</v>
      </c>
      <c r="B9601" s="108" t="s">
        <v>1617</v>
      </c>
      <c r="C9601" s="109">
        <v>45600</v>
      </c>
      <c r="D9601" s="108" t="s">
        <v>1618</v>
      </c>
      <c r="E9601" s="108" t="s">
        <v>14605</v>
      </c>
      <c r="F9601" s="108" t="s">
        <v>1615</v>
      </c>
      <c r="G9601" s="109">
        <v>45948</v>
      </c>
      <c r="H9601" s="108" t="s">
        <v>25458</v>
      </c>
      <c r="I9601" s="108" t="s">
        <v>108</v>
      </c>
    </row>
    <row r="9602" spans="1:9">
      <c r="A9602" s="108" t="s">
        <v>16151</v>
      </c>
      <c r="B9602" s="108" t="s">
        <v>3252</v>
      </c>
      <c r="C9602" s="109">
        <v>45583</v>
      </c>
      <c r="D9602" s="108" t="s">
        <v>3254</v>
      </c>
      <c r="E9602" s="108" t="s">
        <v>14605</v>
      </c>
      <c r="F9602" s="108" t="s">
        <v>3253</v>
      </c>
      <c r="G9602" s="109">
        <v>45950</v>
      </c>
      <c r="H9602" s="108" t="s">
        <v>25458</v>
      </c>
      <c r="I9602" s="108" t="s">
        <v>108</v>
      </c>
    </row>
    <row r="9603" spans="1:9" ht="27.6">
      <c r="A9603" s="108" t="s">
        <v>16151</v>
      </c>
      <c r="B9603" s="108" t="s">
        <v>2984</v>
      </c>
      <c r="C9603" s="109">
        <v>45626</v>
      </c>
      <c r="D9603" s="108" t="s">
        <v>2985</v>
      </c>
      <c r="E9603" s="108" t="s">
        <v>14605</v>
      </c>
      <c r="F9603" s="108" t="s">
        <v>16249</v>
      </c>
      <c r="G9603" s="109">
        <v>45955</v>
      </c>
      <c r="H9603" s="108" t="s">
        <v>25458</v>
      </c>
      <c r="I9603" s="108" t="s">
        <v>108</v>
      </c>
    </row>
    <row r="9604" spans="1:9" ht="27.6">
      <c r="A9604" s="108" t="s">
        <v>16151</v>
      </c>
      <c r="B9604" s="108" t="s">
        <v>4280</v>
      </c>
      <c r="C9604" s="109">
        <v>45722</v>
      </c>
      <c r="D9604" s="108" t="s">
        <v>4281</v>
      </c>
      <c r="E9604" s="108" t="s">
        <v>14605</v>
      </c>
      <c r="F9604" s="108" t="s">
        <v>4276</v>
      </c>
      <c r="G9604" s="109">
        <v>45953</v>
      </c>
      <c r="H9604" s="108" t="s">
        <v>25458</v>
      </c>
      <c r="I9604" s="108" t="s">
        <v>108</v>
      </c>
    </row>
    <row r="9605" spans="1:9" ht="27.6">
      <c r="A9605" s="108" t="s">
        <v>16151</v>
      </c>
      <c r="B9605" s="108" t="s">
        <v>4828</v>
      </c>
      <c r="C9605" s="109">
        <v>45568</v>
      </c>
      <c r="D9605" s="108" t="s">
        <v>4830</v>
      </c>
      <c r="E9605" s="108" t="s">
        <v>14605</v>
      </c>
      <c r="F9605" s="108" t="s">
        <v>4829</v>
      </c>
      <c r="G9605" s="109">
        <v>45953</v>
      </c>
      <c r="H9605" s="108" t="s">
        <v>25458</v>
      </c>
      <c r="I9605" s="108" t="s">
        <v>108</v>
      </c>
    </row>
    <row r="9606" spans="1:9" ht="27.6">
      <c r="A9606" s="108" t="s">
        <v>16151</v>
      </c>
      <c r="B9606" s="108" t="s">
        <v>2995</v>
      </c>
      <c r="C9606" s="109">
        <v>45615</v>
      </c>
      <c r="D9606" s="108" t="s">
        <v>2996</v>
      </c>
      <c r="E9606" s="108" t="s">
        <v>14605</v>
      </c>
      <c r="F9606" s="108" t="s">
        <v>26178</v>
      </c>
      <c r="G9606" s="109">
        <v>45956</v>
      </c>
      <c r="H9606" s="108" t="s">
        <v>25458</v>
      </c>
      <c r="I9606" s="108" t="s">
        <v>108</v>
      </c>
    </row>
    <row r="9607" spans="1:9">
      <c r="A9607" s="108" t="s">
        <v>16151</v>
      </c>
      <c r="B9607" s="108" t="s">
        <v>2378</v>
      </c>
      <c r="C9607" s="109">
        <v>45604</v>
      </c>
      <c r="D9607" s="108" t="s">
        <v>2380</v>
      </c>
      <c r="E9607" s="108" t="s">
        <v>14605</v>
      </c>
      <c r="F9607" s="108" t="s">
        <v>2379</v>
      </c>
      <c r="G9607" s="109">
        <v>45956</v>
      </c>
      <c r="H9607" s="108" t="s">
        <v>25458</v>
      </c>
      <c r="I9607" s="108" t="s">
        <v>108</v>
      </c>
    </row>
    <row r="9608" spans="1:9">
      <c r="A9608" s="108" t="s">
        <v>16151</v>
      </c>
      <c r="B9608" s="108" t="s">
        <v>1521</v>
      </c>
      <c r="C9608" s="109">
        <v>45797</v>
      </c>
      <c r="D9608" s="108" t="s">
        <v>1522</v>
      </c>
      <c r="E9608" s="108" t="s">
        <v>14605</v>
      </c>
      <c r="F9608" s="108" t="s">
        <v>1519</v>
      </c>
      <c r="G9608" s="109">
        <v>45946</v>
      </c>
      <c r="H9608" s="108" t="s">
        <v>25458</v>
      </c>
      <c r="I9608" s="108" t="s">
        <v>108</v>
      </c>
    </row>
    <row r="9609" spans="1:9">
      <c r="A9609" s="108" t="s">
        <v>16151</v>
      </c>
      <c r="B9609" s="108" t="s">
        <v>3209</v>
      </c>
      <c r="C9609" s="109">
        <v>45568</v>
      </c>
      <c r="D9609" s="108" t="s">
        <v>3211</v>
      </c>
      <c r="E9609" s="108" t="s">
        <v>14605</v>
      </c>
      <c r="F9609" s="108" t="s">
        <v>3210</v>
      </c>
      <c r="G9609" s="109">
        <v>45954</v>
      </c>
      <c r="H9609" s="108" t="s">
        <v>25458</v>
      </c>
      <c r="I9609" s="108" t="s">
        <v>108</v>
      </c>
    </row>
    <row r="9610" spans="1:9">
      <c r="A9610" s="108" t="s">
        <v>16151</v>
      </c>
      <c r="B9610" s="108" t="s">
        <v>3689</v>
      </c>
      <c r="C9610" s="109">
        <v>45587</v>
      </c>
      <c r="D9610" s="108" t="s">
        <v>3690</v>
      </c>
      <c r="E9610" s="108" t="s">
        <v>14605</v>
      </c>
      <c r="F9610" s="108" t="s">
        <v>3687</v>
      </c>
      <c r="G9610" s="109">
        <v>45953</v>
      </c>
      <c r="H9610" s="108" t="s">
        <v>25458</v>
      </c>
      <c r="I9610" s="108" t="s">
        <v>108</v>
      </c>
    </row>
    <row r="9611" spans="1:9">
      <c r="A9611" s="108" t="s">
        <v>16151</v>
      </c>
      <c r="B9611" s="108" t="s">
        <v>789</v>
      </c>
      <c r="C9611" s="109">
        <v>45615</v>
      </c>
      <c r="D9611" s="108" t="s">
        <v>790</v>
      </c>
      <c r="E9611" s="108" t="s">
        <v>14605</v>
      </c>
      <c r="F9611" s="108" t="s">
        <v>25907</v>
      </c>
      <c r="G9611" s="109">
        <v>45989</v>
      </c>
      <c r="H9611" s="108" t="s">
        <v>25458</v>
      </c>
      <c r="I9611" s="108" t="s">
        <v>108</v>
      </c>
    </row>
    <row r="9612" spans="1:9" ht="27.6">
      <c r="A9612" s="108" t="s">
        <v>103</v>
      </c>
      <c r="B9612" s="108" t="s">
        <v>2848</v>
      </c>
      <c r="C9612" s="109">
        <v>45323</v>
      </c>
      <c r="D9612" s="108" t="s">
        <v>2849</v>
      </c>
      <c r="E9612" s="108" t="s">
        <v>14605</v>
      </c>
      <c r="F9612" s="108" t="s">
        <v>26743</v>
      </c>
      <c r="G9612" s="109">
        <v>45666</v>
      </c>
      <c r="H9612" s="108" t="s">
        <v>25458</v>
      </c>
      <c r="I9612" s="108" t="s">
        <v>108</v>
      </c>
    </row>
    <row r="9613" spans="1:9" ht="27.6">
      <c r="A9613" s="108" t="s">
        <v>1102</v>
      </c>
      <c r="B9613" s="108" t="s">
        <v>26958</v>
      </c>
      <c r="C9613" s="109">
        <v>45736</v>
      </c>
      <c r="D9613" s="108" t="s">
        <v>26959</v>
      </c>
      <c r="E9613" s="108" t="s">
        <v>14605</v>
      </c>
      <c r="F9613" s="108" t="s">
        <v>15140</v>
      </c>
      <c r="G9613" s="109">
        <v>46031</v>
      </c>
      <c r="H9613" s="108" t="s">
        <v>25458</v>
      </c>
      <c r="I9613" s="108" t="s">
        <v>108</v>
      </c>
    </row>
    <row r="9614" spans="1:9">
      <c r="A9614" s="108" t="s">
        <v>16151</v>
      </c>
      <c r="B9614" s="108" t="s">
        <v>2551</v>
      </c>
      <c r="C9614" s="109">
        <v>43684</v>
      </c>
      <c r="D9614" s="108" t="s">
        <v>2553</v>
      </c>
      <c r="E9614" s="108" t="s">
        <v>14605</v>
      </c>
      <c r="F9614" s="108" t="s">
        <v>2552</v>
      </c>
      <c r="G9614" s="109">
        <v>44049</v>
      </c>
      <c r="H9614" s="108" t="s">
        <v>25458</v>
      </c>
      <c r="I9614" s="108" t="s">
        <v>108</v>
      </c>
    </row>
    <row r="9615" spans="1:9" ht="27.6">
      <c r="A9615" s="108" t="s">
        <v>388</v>
      </c>
      <c r="B9615" s="108" t="s">
        <v>26960</v>
      </c>
      <c r="C9615" s="109">
        <v>43355</v>
      </c>
      <c r="D9615" s="108" t="s">
        <v>26961</v>
      </c>
      <c r="E9615" s="108" t="s">
        <v>14605</v>
      </c>
      <c r="F9615" s="108" t="s">
        <v>14764</v>
      </c>
      <c r="G9615" s="109">
        <v>46280</v>
      </c>
      <c r="H9615" s="108" t="s">
        <v>25458</v>
      </c>
      <c r="I9615" s="108" t="s">
        <v>108</v>
      </c>
    </row>
    <row r="9616" spans="1:9" ht="27.6">
      <c r="A9616" s="108" t="s">
        <v>16149</v>
      </c>
      <c r="B9616" s="108" t="s">
        <v>195</v>
      </c>
      <c r="C9616" s="109">
        <v>45789</v>
      </c>
      <c r="D9616" s="108" t="s">
        <v>197</v>
      </c>
      <c r="E9616" s="108" t="s">
        <v>14605</v>
      </c>
      <c r="F9616" s="108" t="s">
        <v>196</v>
      </c>
      <c r="G9616" s="109">
        <v>46261</v>
      </c>
      <c r="H9616" s="108" t="s">
        <v>25458</v>
      </c>
      <c r="I9616" s="108" t="s">
        <v>108</v>
      </c>
    </row>
    <row r="9617" spans="1:9" ht="27.6">
      <c r="A9617" s="108" t="s">
        <v>388</v>
      </c>
      <c r="B9617" s="108" t="s">
        <v>26962</v>
      </c>
      <c r="C9617" s="109">
        <v>43425</v>
      </c>
      <c r="D9617" s="108" t="s">
        <v>26963</v>
      </c>
      <c r="E9617" s="108" t="s">
        <v>14605</v>
      </c>
      <c r="F9617" s="108" t="s">
        <v>14764</v>
      </c>
      <c r="G9617" s="109">
        <v>46258</v>
      </c>
      <c r="H9617" s="108" t="s">
        <v>25458</v>
      </c>
      <c r="I9617" s="108" t="s">
        <v>108</v>
      </c>
    </row>
    <row r="9618" spans="1:9">
      <c r="A9618" s="108" t="s">
        <v>16151</v>
      </c>
      <c r="B9618" s="108" t="s">
        <v>3966</v>
      </c>
      <c r="C9618" s="109">
        <v>43439</v>
      </c>
      <c r="D9618" s="108" t="s">
        <v>3968</v>
      </c>
      <c r="E9618" s="108" t="s">
        <v>14605</v>
      </c>
      <c r="F9618" s="108" t="s">
        <v>3967</v>
      </c>
      <c r="G9618" s="109">
        <v>46107</v>
      </c>
      <c r="H9618" s="108" t="s">
        <v>25458</v>
      </c>
      <c r="I9618" s="108" t="s">
        <v>108</v>
      </c>
    </row>
    <row r="9619" spans="1:9" ht="27.6">
      <c r="A9619" s="108" t="s">
        <v>388</v>
      </c>
      <c r="B9619" s="108" t="s">
        <v>3343</v>
      </c>
      <c r="C9619" s="109">
        <v>43502</v>
      </c>
      <c r="D9619" s="108" t="s">
        <v>3345</v>
      </c>
      <c r="E9619" s="108" t="s">
        <v>14605</v>
      </c>
      <c r="F9619" s="108" t="s">
        <v>3344</v>
      </c>
      <c r="G9619" s="109">
        <v>43866</v>
      </c>
      <c r="H9619" s="108" t="s">
        <v>25458</v>
      </c>
      <c r="I9619" s="108" t="s">
        <v>108</v>
      </c>
    </row>
    <row r="9620" spans="1:9" ht="27.6">
      <c r="A9620" s="108" t="s">
        <v>16149</v>
      </c>
      <c r="B9620" s="108" t="s">
        <v>3974</v>
      </c>
      <c r="C9620" s="109">
        <v>45590</v>
      </c>
      <c r="D9620" s="108" t="s">
        <v>3976</v>
      </c>
      <c r="E9620" s="108" t="s">
        <v>14605</v>
      </c>
      <c r="F9620" s="108" t="s">
        <v>3975</v>
      </c>
      <c r="G9620" s="109">
        <v>45947</v>
      </c>
      <c r="H9620" s="108" t="s">
        <v>25458</v>
      </c>
      <c r="I9620" s="108" t="s">
        <v>108</v>
      </c>
    </row>
    <row r="9621" spans="1:9" ht="27.6">
      <c r="A9621" s="108" t="s">
        <v>388</v>
      </c>
      <c r="B9621" s="108" t="s">
        <v>5094</v>
      </c>
      <c r="C9621" s="109">
        <v>44895</v>
      </c>
      <c r="D9621" s="108" t="s">
        <v>5096</v>
      </c>
      <c r="E9621" s="108" t="s">
        <v>14605</v>
      </c>
      <c r="F9621" s="108" t="s">
        <v>5095</v>
      </c>
      <c r="G9621" s="109">
        <v>45255</v>
      </c>
      <c r="H9621" s="108" t="s">
        <v>25458</v>
      </c>
      <c r="I9621" s="108" t="s">
        <v>108</v>
      </c>
    </row>
    <row r="9622" spans="1:9" ht="27.6">
      <c r="A9622" s="108" t="s">
        <v>388</v>
      </c>
      <c r="B9622" s="108" t="s">
        <v>4475</v>
      </c>
      <c r="C9622" s="109">
        <v>45217</v>
      </c>
      <c r="D9622" s="108" t="s">
        <v>4477</v>
      </c>
      <c r="E9622" s="108" t="s">
        <v>14605</v>
      </c>
      <c r="F9622" s="108" t="s">
        <v>4476</v>
      </c>
      <c r="G9622" s="109">
        <v>45571</v>
      </c>
      <c r="H9622" s="108" t="s">
        <v>25458</v>
      </c>
      <c r="I9622" s="108" t="s">
        <v>108</v>
      </c>
    </row>
    <row r="9623" spans="1:9" ht="27.6">
      <c r="A9623" s="108" t="s">
        <v>388</v>
      </c>
      <c r="B9623" s="108" t="s">
        <v>4336</v>
      </c>
      <c r="C9623" s="109">
        <v>45379</v>
      </c>
      <c r="D9623" s="108" t="s">
        <v>4338</v>
      </c>
      <c r="E9623" s="108" t="s">
        <v>14605</v>
      </c>
      <c r="F9623" s="108" t="s">
        <v>4337</v>
      </c>
      <c r="G9623" s="109">
        <v>45736</v>
      </c>
      <c r="H9623" s="108" t="s">
        <v>25458</v>
      </c>
      <c r="I9623" s="108" t="s">
        <v>108</v>
      </c>
    </row>
    <row r="9624" spans="1:9" ht="27.6">
      <c r="A9624" s="108" t="s">
        <v>388</v>
      </c>
      <c r="B9624" s="108" t="s">
        <v>4677</v>
      </c>
      <c r="C9624" s="109">
        <v>45545</v>
      </c>
      <c r="D9624" s="108" t="s">
        <v>4679</v>
      </c>
      <c r="E9624" s="108" t="s">
        <v>14605</v>
      </c>
      <c r="F9624" s="108" t="s">
        <v>4678</v>
      </c>
      <c r="G9624" s="109">
        <v>45898</v>
      </c>
      <c r="H9624" s="108" t="s">
        <v>25458</v>
      </c>
      <c r="I9624" s="108" t="s">
        <v>108</v>
      </c>
    </row>
    <row r="9625" spans="1:9" ht="27.6">
      <c r="A9625" s="108" t="s">
        <v>388</v>
      </c>
      <c r="B9625" s="108" t="s">
        <v>2794</v>
      </c>
      <c r="C9625" s="109">
        <v>45555</v>
      </c>
      <c r="D9625" s="108" t="s">
        <v>2796</v>
      </c>
      <c r="E9625" s="108" t="s">
        <v>14605</v>
      </c>
      <c r="F9625" s="108" t="s">
        <v>2795</v>
      </c>
      <c r="G9625" s="109">
        <v>45898</v>
      </c>
      <c r="H9625" s="108" t="s">
        <v>25458</v>
      </c>
      <c r="I9625" s="108" t="s">
        <v>108</v>
      </c>
    </row>
    <row r="9626" spans="1:9" ht="27.6">
      <c r="A9626" s="108" t="s">
        <v>388</v>
      </c>
      <c r="B9626" s="108" t="s">
        <v>4241</v>
      </c>
      <c r="C9626" s="109">
        <v>45586</v>
      </c>
      <c r="D9626" s="108" t="s">
        <v>4243</v>
      </c>
      <c r="E9626" s="108" t="s">
        <v>14605</v>
      </c>
      <c r="F9626" s="108" t="s">
        <v>4242</v>
      </c>
      <c r="G9626" s="109">
        <v>45959</v>
      </c>
      <c r="H9626" s="108" t="s">
        <v>25458</v>
      </c>
      <c r="I9626" s="108" t="s">
        <v>108</v>
      </c>
    </row>
    <row r="9627" spans="1:9" ht="27.6">
      <c r="A9627" s="108" t="s">
        <v>388</v>
      </c>
      <c r="B9627" s="108" t="s">
        <v>4919</v>
      </c>
      <c r="C9627" s="109">
        <v>45575</v>
      </c>
      <c r="D9627" s="108" t="s">
        <v>4921</v>
      </c>
      <c r="E9627" s="108" t="s">
        <v>14605</v>
      </c>
      <c r="F9627" s="108" t="s">
        <v>4920</v>
      </c>
      <c r="G9627" s="109">
        <v>45952</v>
      </c>
      <c r="H9627" s="108" t="s">
        <v>25458</v>
      </c>
      <c r="I9627" s="108" t="s">
        <v>108</v>
      </c>
    </row>
    <row r="9628" spans="1:9" ht="27.6">
      <c r="A9628" s="108" t="s">
        <v>14950</v>
      </c>
      <c r="B9628" s="108" t="s">
        <v>26964</v>
      </c>
      <c r="C9628" s="109">
        <v>43754</v>
      </c>
      <c r="D9628" s="108"/>
      <c r="E9628" s="108" t="s">
        <v>14605</v>
      </c>
      <c r="F9628" s="108" t="s">
        <v>15535</v>
      </c>
      <c r="G9628" s="110"/>
      <c r="H9628" s="108" t="s">
        <v>4303</v>
      </c>
      <c r="I9628" s="108"/>
    </row>
    <row r="9629" spans="1:9" ht="27.6">
      <c r="A9629" s="108" t="s">
        <v>14950</v>
      </c>
      <c r="B9629" s="108" t="s">
        <v>26965</v>
      </c>
      <c r="C9629" s="109">
        <v>44064</v>
      </c>
      <c r="D9629" s="108"/>
      <c r="E9629" s="108" t="s">
        <v>26966</v>
      </c>
      <c r="F9629" s="108" t="s">
        <v>14764</v>
      </c>
      <c r="G9629" s="110"/>
      <c r="H9629" s="108" t="s">
        <v>4303</v>
      </c>
      <c r="I9629" s="108"/>
    </row>
    <row r="9630" spans="1:9" ht="27.6">
      <c r="A9630" s="108" t="s">
        <v>14950</v>
      </c>
      <c r="B9630" s="108" t="s">
        <v>26967</v>
      </c>
      <c r="C9630" s="109">
        <v>44068</v>
      </c>
      <c r="D9630" s="108"/>
      <c r="E9630" s="108" t="s">
        <v>14605</v>
      </c>
      <c r="F9630" s="108" t="s">
        <v>1731</v>
      </c>
      <c r="G9630" s="110"/>
      <c r="H9630" s="108" t="s">
        <v>4303</v>
      </c>
      <c r="I9630" s="108"/>
    </row>
    <row r="9631" spans="1:9" ht="27.6">
      <c r="A9631" s="108" t="s">
        <v>15075</v>
      </c>
      <c r="B9631" s="108" t="s">
        <v>26968</v>
      </c>
      <c r="C9631" s="109">
        <v>44477</v>
      </c>
      <c r="D9631" s="108"/>
      <c r="E9631" s="108" t="s">
        <v>14605</v>
      </c>
      <c r="F9631" s="108" t="s">
        <v>3431</v>
      </c>
      <c r="G9631" s="110"/>
      <c r="H9631" s="108" t="s">
        <v>4303</v>
      </c>
      <c r="I9631" s="108"/>
    </row>
    <row r="9632" spans="1:9" ht="27.6">
      <c r="A9632" s="108" t="s">
        <v>8278</v>
      </c>
      <c r="B9632" s="108" t="s">
        <v>26969</v>
      </c>
      <c r="C9632" s="109">
        <v>45725</v>
      </c>
      <c r="D9632" s="108"/>
      <c r="E9632" s="108" t="s">
        <v>14605</v>
      </c>
      <c r="F9632" s="108" t="s">
        <v>3056</v>
      </c>
      <c r="G9632" s="110"/>
      <c r="H9632" s="108" t="s">
        <v>4303</v>
      </c>
      <c r="I9632" s="108"/>
    </row>
    <row r="9633" spans="1:9" ht="27.6">
      <c r="A9633" s="108" t="s">
        <v>4305</v>
      </c>
      <c r="B9633" s="108" t="s">
        <v>4304</v>
      </c>
      <c r="C9633" s="109">
        <v>43901</v>
      </c>
      <c r="D9633" s="108"/>
      <c r="E9633" s="108" t="s">
        <v>14605</v>
      </c>
      <c r="F9633" s="108" t="s">
        <v>4276</v>
      </c>
      <c r="G9633" s="110"/>
      <c r="H9633" s="108" t="s">
        <v>4303</v>
      </c>
      <c r="I9633" s="108"/>
    </row>
    <row r="9634" spans="1:9">
      <c r="A9634" s="108" t="s">
        <v>237</v>
      </c>
      <c r="B9634" s="108" t="s">
        <v>1595</v>
      </c>
      <c r="C9634" s="109">
        <v>45264</v>
      </c>
      <c r="D9634" s="108"/>
      <c r="E9634" s="108" t="s">
        <v>14605</v>
      </c>
      <c r="F9634" s="108" t="s">
        <v>1577</v>
      </c>
      <c r="G9634" s="110"/>
      <c r="H9634" s="108" t="s">
        <v>1594</v>
      </c>
      <c r="I9634" s="108"/>
    </row>
    <row r="9635" spans="1:9">
      <c r="A9635" s="108" t="s">
        <v>14662</v>
      </c>
      <c r="B9635" s="108" t="s">
        <v>26970</v>
      </c>
      <c r="C9635" s="109">
        <v>42846</v>
      </c>
      <c r="D9635" s="108" t="s">
        <v>26971</v>
      </c>
      <c r="E9635" s="108" t="s">
        <v>14605</v>
      </c>
      <c r="F9635" s="108" t="s">
        <v>26321</v>
      </c>
      <c r="G9635" s="109">
        <v>44165</v>
      </c>
      <c r="H9635" s="108" t="s">
        <v>1594</v>
      </c>
      <c r="I9635" s="108" t="s">
        <v>26322</v>
      </c>
    </row>
    <row r="9636" spans="1:9">
      <c r="A9636" s="108" t="s">
        <v>169</v>
      </c>
      <c r="B9636" s="108" t="s">
        <v>26972</v>
      </c>
      <c r="C9636" s="109">
        <v>43861</v>
      </c>
      <c r="D9636" s="108"/>
      <c r="E9636" s="108" t="s">
        <v>14605</v>
      </c>
      <c r="F9636" s="108" t="s">
        <v>26973</v>
      </c>
      <c r="G9636" s="110"/>
      <c r="H9636" s="108" t="s">
        <v>26974</v>
      </c>
      <c r="I9636" s="108"/>
    </row>
  </sheetData>
  <autoFilter ref="A1:I9636" xr:uid="{7A07FD50-0206-49BD-BB8E-88A85D59F3F6}"/>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DBE1D0-619D-4656-8C59-94F6241A87AC}">
  <sheetPr codeName="Sheet6"/>
  <dimension ref="A1:H5436"/>
  <sheetViews>
    <sheetView topLeftCell="A633" workbookViewId="0">
      <selection activeCell="A646" sqref="A646"/>
    </sheetView>
  </sheetViews>
  <sheetFormatPr defaultRowHeight="13.8"/>
  <cols>
    <col min="1" max="1" width="41.09765625" customWidth="1"/>
    <col min="2" max="2" width="17" bestFit="1" customWidth="1"/>
    <col min="3" max="3" width="8.8984375" style="15"/>
    <col min="4" max="4" width="9.296875" bestFit="1" customWidth="1"/>
    <col min="5" max="5" width="9.69921875" bestFit="1" customWidth="1"/>
    <col min="7" max="7" width="15.09765625" customWidth="1"/>
    <col min="8" max="8" width="13.09765625" bestFit="1" customWidth="1"/>
  </cols>
  <sheetData>
    <row r="1" spans="1:8">
      <c r="A1" s="1" t="s">
        <v>5319</v>
      </c>
      <c r="B1" t="s">
        <v>5320</v>
      </c>
      <c r="C1" s="1" t="s">
        <v>5321</v>
      </c>
      <c r="D1" t="s">
        <v>5322</v>
      </c>
      <c r="E1" t="s">
        <v>5323</v>
      </c>
      <c r="F1" t="s">
        <v>5324</v>
      </c>
      <c r="G1" t="s">
        <v>5325</v>
      </c>
      <c r="H1" t="s">
        <v>5326</v>
      </c>
    </row>
    <row r="2" spans="1:8">
      <c r="A2" s="39" t="s">
        <v>5327</v>
      </c>
      <c r="C2" s="1"/>
      <c r="D2">
        <v>750</v>
      </c>
      <c r="F2" s="12" t="s">
        <v>5328</v>
      </c>
      <c r="G2" t="s">
        <v>133</v>
      </c>
    </row>
    <row r="3" spans="1:8">
      <c r="A3" t="s">
        <v>51</v>
      </c>
      <c r="C3" s="1"/>
      <c r="D3">
        <v>7571</v>
      </c>
      <c r="F3" s="12" t="s">
        <v>5328</v>
      </c>
      <c r="G3">
        <v>60020</v>
      </c>
    </row>
    <row r="4" spans="1:8">
      <c r="A4" s="39" t="s">
        <v>5329</v>
      </c>
      <c r="C4" s="1"/>
      <c r="F4" s="12" t="s">
        <v>5328</v>
      </c>
    </row>
    <row r="5" spans="1:8">
      <c r="A5" s="12" t="s">
        <v>5330</v>
      </c>
      <c r="B5" s="13">
        <v>58.56</v>
      </c>
      <c r="C5" s="16" t="s">
        <v>5331</v>
      </c>
      <c r="D5" s="12">
        <v>274.64</v>
      </c>
      <c r="E5" s="12" t="s">
        <v>5332</v>
      </c>
      <c r="F5" s="12" t="s">
        <v>5328</v>
      </c>
      <c r="G5" s="12" t="s">
        <v>5333</v>
      </c>
      <c r="H5" s="12">
        <v>34749</v>
      </c>
    </row>
    <row r="6" spans="1:8">
      <c r="A6" s="12" t="s">
        <v>61</v>
      </c>
      <c r="B6" s="13">
        <v>2.12</v>
      </c>
      <c r="C6" s="16" t="s">
        <v>5331</v>
      </c>
      <c r="D6" s="12">
        <v>7.76</v>
      </c>
      <c r="E6" s="12" t="s">
        <v>5332</v>
      </c>
      <c r="F6" s="12" t="s">
        <v>5328</v>
      </c>
      <c r="G6" s="12" t="s">
        <v>5334</v>
      </c>
      <c r="H6" s="12">
        <v>16742</v>
      </c>
    </row>
    <row r="7" spans="1:8">
      <c r="A7" s="12" t="s">
        <v>5335</v>
      </c>
      <c r="B7" s="13">
        <v>7.46</v>
      </c>
      <c r="C7" s="16" t="s">
        <v>5331</v>
      </c>
      <c r="D7" s="12">
        <v>22.38</v>
      </c>
      <c r="E7" s="12" t="s">
        <v>5332</v>
      </c>
      <c r="F7" s="12" t="s">
        <v>5328</v>
      </c>
      <c r="G7" s="12" t="s">
        <v>5336</v>
      </c>
      <c r="H7" s="12">
        <v>16743</v>
      </c>
    </row>
    <row r="8" spans="1:8">
      <c r="A8" s="12" t="s">
        <v>5337</v>
      </c>
      <c r="B8" s="13">
        <v>0</v>
      </c>
      <c r="C8" s="16" t="s">
        <v>5331</v>
      </c>
      <c r="D8" s="12">
        <v>33.57</v>
      </c>
      <c r="E8" s="12" t="s">
        <v>5332</v>
      </c>
      <c r="F8" s="12" t="s">
        <v>5328</v>
      </c>
      <c r="G8" s="12" t="s">
        <v>5338</v>
      </c>
      <c r="H8" s="12">
        <v>16744</v>
      </c>
    </row>
    <row r="9" spans="1:8">
      <c r="A9" s="12" t="s">
        <v>5339</v>
      </c>
      <c r="B9" s="13">
        <v>0</v>
      </c>
      <c r="C9" s="16" t="s">
        <v>5331</v>
      </c>
      <c r="D9" s="12">
        <v>80.61</v>
      </c>
      <c r="E9" s="12" t="s">
        <v>5332</v>
      </c>
      <c r="F9" s="12" t="s">
        <v>5328</v>
      </c>
      <c r="G9" s="12" t="s">
        <v>5340</v>
      </c>
      <c r="H9" s="12">
        <v>16745</v>
      </c>
    </row>
    <row r="10" spans="1:8">
      <c r="A10" s="12" t="s">
        <v>5341</v>
      </c>
      <c r="B10" s="13">
        <v>3.34</v>
      </c>
      <c r="C10" s="16" t="s">
        <v>5331</v>
      </c>
      <c r="D10" s="12">
        <v>12.53</v>
      </c>
      <c r="E10" s="12" t="s">
        <v>5332</v>
      </c>
      <c r="F10" s="12" t="s">
        <v>5328</v>
      </c>
      <c r="G10" s="12" t="s">
        <v>5342</v>
      </c>
      <c r="H10" s="12">
        <v>16746</v>
      </c>
    </row>
    <row r="11" spans="1:8">
      <c r="A11" s="12" t="s">
        <v>5343</v>
      </c>
      <c r="B11" s="13">
        <v>3.6</v>
      </c>
      <c r="C11" s="16" t="s">
        <v>5331</v>
      </c>
      <c r="D11" s="12">
        <v>37.380000000000003</v>
      </c>
      <c r="E11" s="12" t="s">
        <v>5332</v>
      </c>
      <c r="F11" s="12" t="s">
        <v>5328</v>
      </c>
      <c r="G11" s="12" t="s">
        <v>5344</v>
      </c>
      <c r="H11" s="12">
        <v>16747</v>
      </c>
    </row>
    <row r="12" spans="1:8">
      <c r="A12" s="12" t="s">
        <v>5345</v>
      </c>
      <c r="B12" s="13">
        <v>21.81</v>
      </c>
      <c r="C12" s="16" t="s">
        <v>5331</v>
      </c>
      <c r="D12" s="12">
        <v>141.56</v>
      </c>
      <c r="E12" s="12" t="s">
        <v>5332</v>
      </c>
      <c r="F12" s="12" t="s">
        <v>5328</v>
      </c>
      <c r="G12" s="12" t="s">
        <v>5346</v>
      </c>
      <c r="H12" s="12">
        <v>16748</v>
      </c>
    </row>
    <row r="13" spans="1:8">
      <c r="A13" s="12" t="s">
        <v>59</v>
      </c>
      <c r="B13" s="13">
        <v>114.06</v>
      </c>
      <c r="C13" s="16" t="s">
        <v>5331</v>
      </c>
      <c r="D13" s="12">
        <v>268.70999999999998</v>
      </c>
      <c r="E13" s="12" t="s">
        <v>5332</v>
      </c>
      <c r="F13" s="12" t="s">
        <v>5328</v>
      </c>
      <c r="G13" s="12" t="s">
        <v>5347</v>
      </c>
      <c r="H13" s="12">
        <v>16752</v>
      </c>
    </row>
    <row r="14" spans="1:8">
      <c r="A14" s="12" t="s">
        <v>5348</v>
      </c>
      <c r="B14" s="13">
        <v>20.57</v>
      </c>
      <c r="C14" s="16" t="s">
        <v>5331</v>
      </c>
      <c r="D14" s="12">
        <v>53.73</v>
      </c>
      <c r="E14" s="12" t="s">
        <v>5332</v>
      </c>
      <c r="F14" s="12" t="s">
        <v>5328</v>
      </c>
      <c r="G14" s="12" t="s">
        <v>5349</v>
      </c>
      <c r="H14" s="12">
        <v>16753</v>
      </c>
    </row>
    <row r="15" spans="1:8">
      <c r="A15" s="12" t="s">
        <v>5350</v>
      </c>
      <c r="B15" s="13">
        <v>12.69</v>
      </c>
      <c r="C15" s="16" t="s">
        <v>5331</v>
      </c>
      <c r="D15" s="12">
        <v>38.07</v>
      </c>
      <c r="E15" s="12" t="s">
        <v>5332</v>
      </c>
      <c r="F15" s="12" t="s">
        <v>5328</v>
      </c>
      <c r="G15" s="12" t="s">
        <v>5351</v>
      </c>
      <c r="H15" s="12">
        <v>16754</v>
      </c>
    </row>
    <row r="16" spans="1:8">
      <c r="A16" s="12" t="s">
        <v>5352</v>
      </c>
      <c r="B16" s="13">
        <v>11.49</v>
      </c>
      <c r="C16" s="16" t="s">
        <v>5331</v>
      </c>
      <c r="D16" s="12">
        <v>57.09</v>
      </c>
      <c r="E16" s="12" t="s">
        <v>5332</v>
      </c>
      <c r="F16" s="12" t="s">
        <v>5328</v>
      </c>
      <c r="G16" s="12" t="s">
        <v>5353</v>
      </c>
      <c r="H16" s="12">
        <v>16757</v>
      </c>
    </row>
    <row r="17" spans="1:8">
      <c r="A17" s="12" t="s">
        <v>5354</v>
      </c>
      <c r="B17" s="13">
        <v>11.48</v>
      </c>
      <c r="C17" s="16" t="s">
        <v>5331</v>
      </c>
      <c r="D17" s="12">
        <v>57.09</v>
      </c>
      <c r="E17" s="12" t="s">
        <v>5332</v>
      </c>
      <c r="F17" s="12" t="s">
        <v>5328</v>
      </c>
      <c r="G17" s="12" t="s">
        <v>5355</v>
      </c>
      <c r="H17" s="12">
        <v>16760</v>
      </c>
    </row>
    <row r="18" spans="1:8">
      <c r="A18" s="12" t="s">
        <v>5356</v>
      </c>
      <c r="B18" s="13">
        <v>11.67</v>
      </c>
      <c r="C18" s="16" t="s">
        <v>5331</v>
      </c>
      <c r="D18" s="12">
        <v>57.09</v>
      </c>
      <c r="E18" s="12" t="s">
        <v>5332</v>
      </c>
      <c r="F18" s="12" t="s">
        <v>5328</v>
      </c>
      <c r="G18" s="12" t="s">
        <v>5357</v>
      </c>
      <c r="H18" s="12">
        <v>16763</v>
      </c>
    </row>
    <row r="19" spans="1:8">
      <c r="A19" s="12" t="s">
        <v>5358</v>
      </c>
      <c r="B19" s="13">
        <v>5.03</v>
      </c>
      <c r="C19" s="16" t="s">
        <v>5331</v>
      </c>
      <c r="D19" s="12">
        <v>15.09</v>
      </c>
      <c r="E19" s="12" t="s">
        <v>5332</v>
      </c>
      <c r="F19" s="12" t="s">
        <v>5328</v>
      </c>
      <c r="G19" s="12" t="s">
        <v>5359</v>
      </c>
      <c r="H19" s="12">
        <v>16764</v>
      </c>
    </row>
    <row r="20" spans="1:8">
      <c r="A20" s="12" t="s">
        <v>5360</v>
      </c>
      <c r="B20" s="13">
        <v>6.56</v>
      </c>
      <c r="C20" s="16" t="s">
        <v>5331</v>
      </c>
      <c r="D20" s="12">
        <v>36.21</v>
      </c>
      <c r="E20" s="12" t="s">
        <v>5332</v>
      </c>
      <c r="F20" s="12" t="s">
        <v>5328</v>
      </c>
      <c r="G20" s="12" t="s">
        <v>5361</v>
      </c>
      <c r="H20" s="12">
        <v>16767</v>
      </c>
    </row>
    <row r="21" spans="1:8">
      <c r="A21" s="12" t="s">
        <v>5362</v>
      </c>
      <c r="B21" s="13">
        <v>38.799999999999997</v>
      </c>
      <c r="C21" s="16" t="s">
        <v>5331</v>
      </c>
      <c r="D21" s="12">
        <v>116.4</v>
      </c>
      <c r="E21" s="12" t="s">
        <v>5332</v>
      </c>
      <c r="F21" s="12" t="s">
        <v>5328</v>
      </c>
      <c r="G21" s="12" t="s">
        <v>5363</v>
      </c>
      <c r="H21" s="12">
        <v>16768</v>
      </c>
    </row>
    <row r="22" spans="1:8">
      <c r="A22" s="12" t="s">
        <v>5362</v>
      </c>
      <c r="B22" s="13">
        <v>37.31</v>
      </c>
      <c r="C22" s="16" t="s">
        <v>5331</v>
      </c>
      <c r="D22" s="12">
        <v>111.93</v>
      </c>
      <c r="E22" s="12" t="s">
        <v>5332</v>
      </c>
      <c r="F22" s="12" t="s">
        <v>5328</v>
      </c>
      <c r="G22" s="12" t="s">
        <v>5364</v>
      </c>
      <c r="H22" s="12">
        <v>16769</v>
      </c>
    </row>
    <row r="23" spans="1:8">
      <c r="A23" s="12" t="s">
        <v>5362</v>
      </c>
      <c r="B23" s="13">
        <v>26.9</v>
      </c>
      <c r="C23" s="16" t="s">
        <v>5331</v>
      </c>
      <c r="D23" s="12">
        <v>80.7</v>
      </c>
      <c r="E23" s="12" t="s">
        <v>5332</v>
      </c>
      <c r="F23" s="12" t="s">
        <v>5328</v>
      </c>
      <c r="G23" s="12" t="s">
        <v>5365</v>
      </c>
      <c r="H23" s="12">
        <v>16770</v>
      </c>
    </row>
    <row r="24" spans="1:8">
      <c r="A24" s="12" t="s">
        <v>5362</v>
      </c>
      <c r="B24" s="13">
        <v>26.9</v>
      </c>
      <c r="C24" s="16" t="s">
        <v>5331</v>
      </c>
      <c r="D24" s="12">
        <v>80.7</v>
      </c>
      <c r="E24" s="12" t="s">
        <v>5332</v>
      </c>
      <c r="F24" s="12" t="s">
        <v>5328</v>
      </c>
      <c r="G24" s="12" t="s">
        <v>5366</v>
      </c>
      <c r="H24" s="12">
        <v>16771</v>
      </c>
    </row>
    <row r="25" spans="1:8">
      <c r="A25" s="12" t="s">
        <v>5367</v>
      </c>
      <c r="B25" s="13">
        <v>4.63</v>
      </c>
      <c r="C25" s="16" t="s">
        <v>5331</v>
      </c>
      <c r="D25" s="12">
        <v>26.88</v>
      </c>
      <c r="E25" s="12" t="s">
        <v>5332</v>
      </c>
      <c r="F25" s="12" t="s">
        <v>5328</v>
      </c>
      <c r="G25" s="12" t="s">
        <v>5368</v>
      </c>
      <c r="H25" s="12">
        <v>16772</v>
      </c>
    </row>
    <row r="26" spans="1:8">
      <c r="A26" s="12" t="s">
        <v>5367</v>
      </c>
      <c r="B26" s="13">
        <v>4.51</v>
      </c>
      <c r="C26" s="16" t="s">
        <v>5331</v>
      </c>
      <c r="D26" s="12">
        <v>18.09</v>
      </c>
      <c r="E26" s="12" t="s">
        <v>5332</v>
      </c>
      <c r="F26" s="12" t="s">
        <v>5328</v>
      </c>
      <c r="G26" s="12" t="s">
        <v>5369</v>
      </c>
      <c r="H26" s="12">
        <v>16773</v>
      </c>
    </row>
    <row r="27" spans="1:8">
      <c r="A27" s="12" t="s">
        <v>5370</v>
      </c>
      <c r="B27" s="13">
        <v>0</v>
      </c>
      <c r="C27" s="16" t="s">
        <v>5331</v>
      </c>
      <c r="D27" s="12">
        <v>44.76</v>
      </c>
      <c r="E27" s="12" t="s">
        <v>5332</v>
      </c>
      <c r="F27" s="12" t="s">
        <v>5328</v>
      </c>
      <c r="G27" s="12" t="s">
        <v>5371</v>
      </c>
      <c r="H27" s="12">
        <v>16774</v>
      </c>
    </row>
    <row r="28" spans="1:8">
      <c r="A28" s="12" t="s">
        <v>5372</v>
      </c>
      <c r="B28" s="13">
        <v>4.42</v>
      </c>
      <c r="C28" s="16" t="s">
        <v>5331</v>
      </c>
      <c r="D28" s="12">
        <v>40.29</v>
      </c>
      <c r="E28" s="12" t="s">
        <v>5332</v>
      </c>
      <c r="F28" s="12" t="s">
        <v>5328</v>
      </c>
      <c r="G28" s="12" t="s">
        <v>5373</v>
      </c>
      <c r="H28" s="12">
        <v>16775</v>
      </c>
    </row>
    <row r="29" spans="1:8">
      <c r="A29" s="12" t="s">
        <v>5374</v>
      </c>
      <c r="B29" s="13">
        <v>4.76</v>
      </c>
      <c r="C29" s="16" t="s">
        <v>5331</v>
      </c>
      <c r="D29" s="12">
        <v>30.63</v>
      </c>
      <c r="E29" s="12" t="s">
        <v>5332</v>
      </c>
      <c r="F29" s="12" t="s">
        <v>5328</v>
      </c>
      <c r="G29" s="12" t="s">
        <v>5375</v>
      </c>
      <c r="H29" s="12">
        <v>16776</v>
      </c>
    </row>
    <row r="30" spans="1:8">
      <c r="A30" s="12" t="s">
        <v>5376</v>
      </c>
      <c r="B30" s="13">
        <v>1.75</v>
      </c>
      <c r="C30" s="16" t="s">
        <v>5331</v>
      </c>
      <c r="D30" s="12">
        <v>22.38</v>
      </c>
      <c r="E30" s="12" t="s">
        <v>5332</v>
      </c>
      <c r="F30" s="12" t="s">
        <v>5328</v>
      </c>
      <c r="G30" s="12" t="s">
        <v>5377</v>
      </c>
      <c r="H30" s="12">
        <v>16777</v>
      </c>
    </row>
    <row r="31" spans="1:8">
      <c r="A31" s="12" t="s">
        <v>5378</v>
      </c>
      <c r="B31" s="13">
        <v>5.52</v>
      </c>
      <c r="C31" s="16" t="s">
        <v>5331</v>
      </c>
      <c r="D31" s="12">
        <v>13.44</v>
      </c>
      <c r="E31" s="12" t="s">
        <v>5332</v>
      </c>
      <c r="F31" s="12" t="s">
        <v>5328</v>
      </c>
      <c r="G31" s="12" t="s">
        <v>5379</v>
      </c>
      <c r="H31" s="12">
        <v>16779</v>
      </c>
    </row>
    <row r="32" spans="1:8">
      <c r="A32" s="12" t="s">
        <v>5380</v>
      </c>
      <c r="B32" s="13">
        <v>5.09</v>
      </c>
      <c r="C32" s="16" t="s">
        <v>5331</v>
      </c>
      <c r="D32" s="12">
        <v>22.38</v>
      </c>
      <c r="E32" s="12" t="s">
        <v>5332</v>
      </c>
      <c r="F32" s="12" t="s">
        <v>5328</v>
      </c>
      <c r="G32" s="12" t="s">
        <v>5381</v>
      </c>
      <c r="H32" s="12">
        <v>16780</v>
      </c>
    </row>
    <row r="33" spans="1:8">
      <c r="A33" s="12" t="s">
        <v>5382</v>
      </c>
      <c r="B33" s="13">
        <v>5.29</v>
      </c>
      <c r="C33" s="16" t="s">
        <v>5331</v>
      </c>
      <c r="D33" s="12">
        <v>22.38</v>
      </c>
      <c r="E33" s="12" t="s">
        <v>5332</v>
      </c>
      <c r="F33" s="12" t="s">
        <v>5328</v>
      </c>
      <c r="G33" s="12" t="s">
        <v>5383</v>
      </c>
      <c r="H33" s="12">
        <v>16781</v>
      </c>
    </row>
    <row r="34" spans="1:8">
      <c r="A34" s="12" t="s">
        <v>5384</v>
      </c>
      <c r="B34" s="13">
        <v>27.46</v>
      </c>
      <c r="C34" s="16" t="s">
        <v>5331</v>
      </c>
      <c r="D34" s="12">
        <v>81.150000000000006</v>
      </c>
      <c r="E34" s="12" t="s">
        <v>5332</v>
      </c>
      <c r="F34" s="12" t="s">
        <v>5328</v>
      </c>
      <c r="G34" s="12" t="s">
        <v>5385</v>
      </c>
      <c r="H34" s="12">
        <v>16782</v>
      </c>
    </row>
    <row r="35" spans="1:8">
      <c r="A35" s="12" t="s">
        <v>5386</v>
      </c>
      <c r="B35" s="13">
        <v>3.6</v>
      </c>
      <c r="C35" s="16" t="s">
        <v>5331</v>
      </c>
      <c r="D35" s="12">
        <v>27.15</v>
      </c>
      <c r="E35" s="12" t="s">
        <v>5332</v>
      </c>
      <c r="F35" s="12" t="s">
        <v>5328</v>
      </c>
      <c r="G35" s="12" t="s">
        <v>5387</v>
      </c>
      <c r="H35" s="12">
        <v>16783</v>
      </c>
    </row>
    <row r="36" spans="1:8">
      <c r="A36" s="12" t="s">
        <v>5388</v>
      </c>
      <c r="B36" s="13">
        <v>10.56</v>
      </c>
      <c r="C36" s="16" t="s">
        <v>5331</v>
      </c>
      <c r="D36" s="12">
        <v>31.68</v>
      </c>
      <c r="E36" s="12" t="s">
        <v>5332</v>
      </c>
      <c r="F36" s="12" t="s">
        <v>5328</v>
      </c>
      <c r="G36" s="12" t="s">
        <v>5389</v>
      </c>
      <c r="H36" s="12">
        <v>16784</v>
      </c>
    </row>
    <row r="37" spans="1:8">
      <c r="A37" s="12" t="s">
        <v>5388</v>
      </c>
      <c r="B37" s="13">
        <v>10.56</v>
      </c>
      <c r="C37" s="16" t="s">
        <v>5331</v>
      </c>
      <c r="D37" s="12">
        <v>31.68</v>
      </c>
      <c r="E37" s="12" t="s">
        <v>5332</v>
      </c>
      <c r="F37" s="12" t="s">
        <v>5328</v>
      </c>
      <c r="G37" s="12" t="s">
        <v>5390</v>
      </c>
      <c r="H37" s="12">
        <v>16785</v>
      </c>
    </row>
    <row r="38" spans="1:8">
      <c r="A38" s="12" t="s">
        <v>5388</v>
      </c>
      <c r="B38" s="13">
        <v>7.64</v>
      </c>
      <c r="C38" s="16" t="s">
        <v>5331</v>
      </c>
      <c r="D38" s="12">
        <v>31.68</v>
      </c>
      <c r="E38" s="12" t="s">
        <v>5332</v>
      </c>
      <c r="F38" s="12" t="s">
        <v>5328</v>
      </c>
      <c r="G38" s="12" t="s">
        <v>5391</v>
      </c>
      <c r="H38" s="12">
        <v>16786</v>
      </c>
    </row>
    <row r="39" spans="1:8">
      <c r="A39" s="12" t="s">
        <v>5392</v>
      </c>
      <c r="B39" s="13">
        <v>3.77</v>
      </c>
      <c r="C39" s="16" t="s">
        <v>5331</v>
      </c>
      <c r="D39" s="12">
        <v>17.82</v>
      </c>
      <c r="E39" s="12" t="s">
        <v>5332</v>
      </c>
      <c r="F39" s="12" t="s">
        <v>5328</v>
      </c>
      <c r="G39" s="12" t="s">
        <v>5393</v>
      </c>
      <c r="H39" s="12">
        <v>16787</v>
      </c>
    </row>
    <row r="40" spans="1:8">
      <c r="A40" s="12" t="s">
        <v>5394</v>
      </c>
      <c r="B40" s="13">
        <v>73.28</v>
      </c>
      <c r="C40" s="16" t="s">
        <v>5331</v>
      </c>
      <c r="D40" s="12">
        <v>360</v>
      </c>
      <c r="E40" s="12" t="s">
        <v>5332</v>
      </c>
      <c r="F40" s="12" t="s">
        <v>5328</v>
      </c>
      <c r="G40" s="12" t="s">
        <v>5395</v>
      </c>
      <c r="H40" s="12">
        <v>16788</v>
      </c>
    </row>
    <row r="41" spans="1:8">
      <c r="A41" s="12" t="s">
        <v>5396</v>
      </c>
      <c r="B41" s="13">
        <v>26.87</v>
      </c>
      <c r="C41" s="16" t="s">
        <v>5331</v>
      </c>
      <c r="D41" s="12">
        <v>59.4</v>
      </c>
      <c r="E41" s="12" t="s">
        <v>5332</v>
      </c>
      <c r="F41" s="12" t="s">
        <v>5328</v>
      </c>
      <c r="G41" s="12" t="s">
        <v>5397</v>
      </c>
      <c r="H41" s="12">
        <v>16790</v>
      </c>
    </row>
    <row r="42" spans="1:8">
      <c r="A42" s="12" t="s">
        <v>5398</v>
      </c>
      <c r="B42" s="13">
        <v>10.29</v>
      </c>
      <c r="C42" s="16" t="s">
        <v>5331</v>
      </c>
      <c r="D42" s="12">
        <v>44.76</v>
      </c>
      <c r="E42" s="12" t="s">
        <v>5332</v>
      </c>
      <c r="F42" s="12" t="s">
        <v>5328</v>
      </c>
      <c r="G42" s="12" t="s">
        <v>5399</v>
      </c>
      <c r="H42" s="12">
        <v>16793</v>
      </c>
    </row>
    <row r="43" spans="1:8">
      <c r="A43" s="12" t="s">
        <v>5400</v>
      </c>
      <c r="B43" s="13">
        <v>5.51</v>
      </c>
      <c r="C43" s="16" t="s">
        <v>5331</v>
      </c>
      <c r="D43" s="12">
        <v>62.61</v>
      </c>
      <c r="E43" s="12" t="s">
        <v>5332</v>
      </c>
      <c r="F43" s="12" t="s">
        <v>5328</v>
      </c>
      <c r="G43" s="12" t="s">
        <v>5401</v>
      </c>
      <c r="H43" s="12">
        <v>16798</v>
      </c>
    </row>
    <row r="44" spans="1:8">
      <c r="A44" s="12" t="s">
        <v>5402</v>
      </c>
      <c r="B44" s="13">
        <v>12.05</v>
      </c>
      <c r="C44" s="16" t="s">
        <v>5331</v>
      </c>
      <c r="D44" s="12">
        <v>56.88</v>
      </c>
      <c r="E44" s="12" t="s">
        <v>5332</v>
      </c>
      <c r="F44" s="12" t="s">
        <v>5328</v>
      </c>
      <c r="G44" s="12" t="s">
        <v>5403</v>
      </c>
      <c r="H44" s="12">
        <v>16799</v>
      </c>
    </row>
    <row r="45" spans="1:8">
      <c r="A45" s="12" t="s">
        <v>5404</v>
      </c>
      <c r="B45" s="13">
        <v>3.09</v>
      </c>
      <c r="C45" s="16" t="s">
        <v>5331</v>
      </c>
      <c r="D45" s="12">
        <v>62.7</v>
      </c>
      <c r="E45" s="12" t="s">
        <v>5332</v>
      </c>
      <c r="F45" s="12" t="s">
        <v>5328</v>
      </c>
      <c r="G45" s="12" t="s">
        <v>5405</v>
      </c>
      <c r="H45" s="12">
        <v>16801</v>
      </c>
    </row>
    <row r="46" spans="1:8">
      <c r="A46" s="12" t="s">
        <v>5406</v>
      </c>
      <c r="B46" s="13">
        <v>13.58</v>
      </c>
      <c r="C46" s="16" t="s">
        <v>5331</v>
      </c>
      <c r="D46" s="12">
        <v>85.02</v>
      </c>
      <c r="E46" s="12" t="s">
        <v>5332</v>
      </c>
      <c r="F46" s="12" t="s">
        <v>5328</v>
      </c>
      <c r="G46" s="12" t="s">
        <v>5407</v>
      </c>
      <c r="H46" s="12">
        <v>16804</v>
      </c>
    </row>
    <row r="47" spans="1:8">
      <c r="A47" s="12" t="s">
        <v>5408</v>
      </c>
      <c r="B47" s="13">
        <v>2.56</v>
      </c>
      <c r="C47" s="16" t="s">
        <v>5331</v>
      </c>
      <c r="D47" s="12">
        <v>29.22</v>
      </c>
      <c r="E47" s="12" t="s">
        <v>5332</v>
      </c>
      <c r="F47" s="12" t="s">
        <v>5328</v>
      </c>
      <c r="G47" s="12" t="s">
        <v>5409</v>
      </c>
      <c r="H47" s="12">
        <v>16808</v>
      </c>
    </row>
    <row r="48" spans="1:8">
      <c r="A48" s="12" t="s">
        <v>5410</v>
      </c>
      <c r="B48" s="13">
        <v>6.25</v>
      </c>
      <c r="C48" s="16" t="s">
        <v>5331</v>
      </c>
      <c r="D48" s="12">
        <v>42.33</v>
      </c>
      <c r="E48" s="12" t="s">
        <v>5332</v>
      </c>
      <c r="F48" s="12" t="s">
        <v>5328</v>
      </c>
      <c r="G48" s="12" t="s">
        <v>5411</v>
      </c>
      <c r="H48" s="12">
        <v>16809</v>
      </c>
    </row>
    <row r="49" spans="1:8">
      <c r="A49" s="12" t="s">
        <v>5412</v>
      </c>
      <c r="B49" s="13">
        <v>46.55</v>
      </c>
      <c r="C49" s="16" t="s">
        <v>5331</v>
      </c>
      <c r="D49" s="12">
        <v>67.17</v>
      </c>
      <c r="E49" s="12" t="s">
        <v>5332</v>
      </c>
      <c r="F49" s="12" t="s">
        <v>5328</v>
      </c>
      <c r="G49" s="12" t="s">
        <v>5413</v>
      </c>
      <c r="H49" s="12">
        <v>33507</v>
      </c>
    </row>
    <row r="50" spans="1:8">
      <c r="A50" s="12" t="s">
        <v>5414</v>
      </c>
      <c r="B50" s="13">
        <v>2.38</v>
      </c>
      <c r="C50" s="16" t="s">
        <v>5331</v>
      </c>
      <c r="D50" s="12">
        <v>7.38</v>
      </c>
      <c r="E50" s="12" t="s">
        <v>5332</v>
      </c>
      <c r="F50" s="12" t="s">
        <v>5328</v>
      </c>
      <c r="G50" s="12" t="s">
        <v>5415</v>
      </c>
      <c r="H50" s="12">
        <v>16812</v>
      </c>
    </row>
    <row r="51" spans="1:8">
      <c r="A51" s="12" t="s">
        <v>5416</v>
      </c>
      <c r="B51" s="13">
        <v>1.29</v>
      </c>
      <c r="C51" s="16" t="s">
        <v>5331</v>
      </c>
      <c r="D51" s="12">
        <v>3.57</v>
      </c>
      <c r="E51" s="12" t="s">
        <v>5332</v>
      </c>
      <c r="F51" s="12" t="s">
        <v>5328</v>
      </c>
      <c r="G51" s="12" t="s">
        <v>5417</v>
      </c>
      <c r="H51" s="12">
        <v>16813</v>
      </c>
    </row>
    <row r="52" spans="1:8">
      <c r="A52" s="12" t="s">
        <v>5418</v>
      </c>
      <c r="B52" s="13">
        <v>3.54</v>
      </c>
      <c r="C52" s="16" t="s">
        <v>5331</v>
      </c>
      <c r="D52" s="12">
        <v>8.07</v>
      </c>
      <c r="E52" s="12" t="s">
        <v>5332</v>
      </c>
      <c r="F52" s="12" t="s">
        <v>5328</v>
      </c>
      <c r="G52" s="12" t="s">
        <v>5419</v>
      </c>
      <c r="H52" s="12">
        <v>33508</v>
      </c>
    </row>
    <row r="53" spans="1:8">
      <c r="A53" s="12" t="s">
        <v>5420</v>
      </c>
      <c r="B53" s="13">
        <v>3.86</v>
      </c>
      <c r="C53" s="16" t="s">
        <v>5331</v>
      </c>
      <c r="D53" s="12">
        <v>5.16</v>
      </c>
      <c r="E53" s="12" t="s">
        <v>5332</v>
      </c>
      <c r="F53" s="12" t="s">
        <v>5328</v>
      </c>
      <c r="G53" s="12" t="s">
        <v>5421</v>
      </c>
      <c r="H53" s="12">
        <v>16816</v>
      </c>
    </row>
    <row r="54" spans="1:8">
      <c r="A54" s="12" t="s">
        <v>5422</v>
      </c>
      <c r="B54" s="13">
        <v>0.62</v>
      </c>
      <c r="C54" s="16" t="s">
        <v>5331</v>
      </c>
      <c r="D54" s="12">
        <v>1.89</v>
      </c>
      <c r="E54" s="12" t="s">
        <v>5332</v>
      </c>
      <c r="F54" s="12" t="s">
        <v>5328</v>
      </c>
      <c r="G54" s="12" t="s">
        <v>5423</v>
      </c>
      <c r="H54" s="12">
        <v>16817</v>
      </c>
    </row>
    <row r="55" spans="1:8">
      <c r="A55" s="12" t="s">
        <v>5424</v>
      </c>
      <c r="B55" s="13">
        <v>1.8</v>
      </c>
      <c r="C55" s="16" t="s">
        <v>5331</v>
      </c>
      <c r="D55" s="12">
        <v>7.2</v>
      </c>
      <c r="E55" s="12" t="s">
        <v>5332</v>
      </c>
      <c r="F55" s="12" t="s">
        <v>5328</v>
      </c>
      <c r="G55" s="12" t="s">
        <v>5425</v>
      </c>
      <c r="H55" s="12">
        <v>16818</v>
      </c>
    </row>
    <row r="56" spans="1:8">
      <c r="A56" s="12" t="s">
        <v>5426</v>
      </c>
      <c r="B56" s="13">
        <v>12.33</v>
      </c>
      <c r="C56" s="16" t="s">
        <v>5331</v>
      </c>
      <c r="D56" s="12">
        <v>35.25</v>
      </c>
      <c r="E56" s="12" t="s">
        <v>5332</v>
      </c>
      <c r="F56" s="12" t="s">
        <v>5328</v>
      </c>
      <c r="G56" s="12" t="s">
        <v>5427</v>
      </c>
      <c r="H56" s="12">
        <v>16819</v>
      </c>
    </row>
    <row r="57" spans="1:8">
      <c r="A57" s="12" t="s">
        <v>5428</v>
      </c>
      <c r="B57" s="13">
        <v>76.89</v>
      </c>
      <c r="C57" s="16" t="s">
        <v>5331</v>
      </c>
      <c r="D57" s="12">
        <v>368.55</v>
      </c>
      <c r="E57" s="12" t="s">
        <v>5332</v>
      </c>
      <c r="F57" s="12" t="s">
        <v>5328</v>
      </c>
      <c r="G57" s="12" t="s">
        <v>5429</v>
      </c>
      <c r="H57" s="12">
        <v>16820</v>
      </c>
    </row>
    <row r="58" spans="1:8">
      <c r="A58" s="12" t="s">
        <v>5430</v>
      </c>
      <c r="B58" s="13">
        <v>21.02</v>
      </c>
      <c r="C58" s="16" t="s">
        <v>5331</v>
      </c>
      <c r="D58" s="12">
        <v>51.48</v>
      </c>
      <c r="E58" s="12" t="s">
        <v>5332</v>
      </c>
      <c r="F58" s="12" t="s">
        <v>5328</v>
      </c>
      <c r="G58" s="12" t="s">
        <v>5431</v>
      </c>
      <c r="H58" s="12">
        <v>16821</v>
      </c>
    </row>
    <row r="59" spans="1:8">
      <c r="A59" s="12" t="s">
        <v>5432</v>
      </c>
      <c r="B59" s="13">
        <v>21.99</v>
      </c>
      <c r="C59" s="16" t="s">
        <v>5331</v>
      </c>
      <c r="D59" s="12">
        <v>42.54</v>
      </c>
      <c r="E59" s="12" t="s">
        <v>5332</v>
      </c>
      <c r="F59" s="12" t="s">
        <v>5328</v>
      </c>
      <c r="G59" s="12" t="s">
        <v>5433</v>
      </c>
      <c r="H59" s="12">
        <v>16822</v>
      </c>
    </row>
    <row r="60" spans="1:8">
      <c r="A60" s="12" t="s">
        <v>5434</v>
      </c>
      <c r="B60" s="13">
        <v>4.82</v>
      </c>
      <c r="C60" s="16" t="s">
        <v>5331</v>
      </c>
      <c r="D60" s="12">
        <v>24.63</v>
      </c>
      <c r="E60" s="12" t="s">
        <v>5332</v>
      </c>
      <c r="F60" s="12" t="s">
        <v>5328</v>
      </c>
      <c r="G60" s="12" t="s">
        <v>5435</v>
      </c>
      <c r="H60" s="12">
        <v>16823</v>
      </c>
    </row>
    <row r="61" spans="1:8">
      <c r="A61" s="12" t="s">
        <v>5436</v>
      </c>
      <c r="B61" s="13">
        <v>5.46</v>
      </c>
      <c r="C61" s="16" t="s">
        <v>5331</v>
      </c>
      <c r="D61" s="12">
        <v>99</v>
      </c>
      <c r="E61" s="12" t="s">
        <v>5332</v>
      </c>
      <c r="F61" s="12" t="s">
        <v>5328</v>
      </c>
      <c r="G61" s="12" t="s">
        <v>5437</v>
      </c>
      <c r="H61" s="12">
        <v>16825</v>
      </c>
    </row>
    <row r="62" spans="1:8">
      <c r="A62" s="12" t="s">
        <v>5438</v>
      </c>
      <c r="B62" s="13">
        <v>5.49</v>
      </c>
      <c r="C62" s="16" t="s">
        <v>5331</v>
      </c>
      <c r="D62" s="12">
        <v>29.1</v>
      </c>
      <c r="E62" s="12" t="s">
        <v>5332</v>
      </c>
      <c r="F62" s="12" t="s">
        <v>5328</v>
      </c>
      <c r="G62" s="12" t="s">
        <v>5439</v>
      </c>
      <c r="H62" s="12">
        <v>16826</v>
      </c>
    </row>
    <row r="63" spans="1:8">
      <c r="A63" s="12" t="s">
        <v>5440</v>
      </c>
      <c r="B63" s="13">
        <v>0.7</v>
      </c>
      <c r="C63" s="16" t="s">
        <v>5331</v>
      </c>
      <c r="D63" s="12">
        <v>3.03</v>
      </c>
      <c r="E63" s="12" t="s">
        <v>5332</v>
      </c>
      <c r="F63" s="12" t="s">
        <v>5328</v>
      </c>
      <c r="G63" s="12" t="s">
        <v>5441</v>
      </c>
      <c r="H63" s="12">
        <v>16827</v>
      </c>
    </row>
    <row r="64" spans="1:8">
      <c r="A64" s="12" t="s">
        <v>5442</v>
      </c>
      <c r="B64" s="13">
        <v>2.25</v>
      </c>
      <c r="C64" s="16" t="s">
        <v>5331</v>
      </c>
      <c r="D64" s="12">
        <v>9</v>
      </c>
      <c r="E64" s="12" t="s">
        <v>5332</v>
      </c>
      <c r="F64" s="12" t="s">
        <v>5328</v>
      </c>
      <c r="G64" s="12" t="s">
        <v>5443</v>
      </c>
      <c r="H64" s="12">
        <v>16828</v>
      </c>
    </row>
    <row r="65" spans="1:8">
      <c r="A65" s="12" t="s">
        <v>5444</v>
      </c>
      <c r="B65" s="13">
        <v>2.06</v>
      </c>
      <c r="C65" s="16" t="s">
        <v>5331</v>
      </c>
      <c r="D65" s="12">
        <v>7.62</v>
      </c>
      <c r="E65" s="12" t="s">
        <v>5332</v>
      </c>
      <c r="F65" s="12" t="s">
        <v>5328</v>
      </c>
      <c r="G65" s="12" t="s">
        <v>5445</v>
      </c>
      <c r="H65" s="12">
        <v>16829</v>
      </c>
    </row>
    <row r="66" spans="1:8">
      <c r="A66" s="12" t="s">
        <v>5446</v>
      </c>
      <c r="B66" s="13">
        <v>3.34</v>
      </c>
      <c r="C66" s="16" t="s">
        <v>5331</v>
      </c>
      <c r="D66" s="12">
        <v>29.25</v>
      </c>
      <c r="E66" s="12" t="s">
        <v>5332</v>
      </c>
      <c r="F66" s="12" t="s">
        <v>5328</v>
      </c>
      <c r="G66" s="12" t="s">
        <v>5447</v>
      </c>
      <c r="H66" s="12">
        <v>16831</v>
      </c>
    </row>
    <row r="67" spans="1:8">
      <c r="A67" s="12" t="s">
        <v>5446</v>
      </c>
      <c r="B67" s="13">
        <v>3.34</v>
      </c>
      <c r="C67" s="16" t="s">
        <v>5331</v>
      </c>
      <c r="D67" s="12">
        <v>19.5</v>
      </c>
      <c r="E67" s="12" t="s">
        <v>5332</v>
      </c>
      <c r="F67" s="12" t="s">
        <v>5328</v>
      </c>
      <c r="G67" s="12" t="s">
        <v>5447</v>
      </c>
      <c r="H67" s="12">
        <v>16831</v>
      </c>
    </row>
    <row r="68" spans="1:8">
      <c r="A68" s="12" t="s">
        <v>5448</v>
      </c>
      <c r="B68" s="13">
        <v>1.62</v>
      </c>
      <c r="C68" s="16" t="s">
        <v>5331</v>
      </c>
      <c r="D68" s="12">
        <v>15.66</v>
      </c>
      <c r="E68" s="12" t="s">
        <v>5332</v>
      </c>
      <c r="F68" s="12" t="s">
        <v>5328</v>
      </c>
      <c r="G68" s="12" t="s">
        <v>5449</v>
      </c>
      <c r="H68" s="12">
        <v>16832</v>
      </c>
    </row>
    <row r="69" spans="1:8">
      <c r="A69" s="12" t="s">
        <v>5450</v>
      </c>
      <c r="B69" s="13">
        <v>0.9</v>
      </c>
      <c r="C69" s="16" t="s">
        <v>5331</v>
      </c>
      <c r="D69" s="12">
        <v>25.38</v>
      </c>
      <c r="E69" s="12" t="s">
        <v>5332</v>
      </c>
      <c r="F69" s="12" t="s">
        <v>5328</v>
      </c>
      <c r="G69" s="12" t="s">
        <v>5451</v>
      </c>
      <c r="H69" s="12">
        <v>16833</v>
      </c>
    </row>
    <row r="70" spans="1:8">
      <c r="A70" s="12" t="s">
        <v>5452</v>
      </c>
      <c r="B70" s="13">
        <v>3.9</v>
      </c>
      <c r="C70" s="16" t="s">
        <v>5331</v>
      </c>
      <c r="D70" s="12">
        <v>20.73</v>
      </c>
      <c r="E70" s="12" t="s">
        <v>5332</v>
      </c>
      <c r="F70" s="12" t="s">
        <v>5328</v>
      </c>
      <c r="G70" s="12" t="s">
        <v>5453</v>
      </c>
      <c r="H70" s="12">
        <v>16834</v>
      </c>
    </row>
    <row r="71" spans="1:8">
      <c r="A71" s="12" t="s">
        <v>5454</v>
      </c>
      <c r="B71" s="13">
        <v>3.63</v>
      </c>
      <c r="C71" s="16" t="s">
        <v>5331</v>
      </c>
      <c r="D71" s="12">
        <v>33.93</v>
      </c>
      <c r="E71" s="12" t="s">
        <v>5332</v>
      </c>
      <c r="F71" s="12" t="s">
        <v>5328</v>
      </c>
      <c r="G71" s="12" t="s">
        <v>5455</v>
      </c>
      <c r="H71" s="12">
        <v>16835</v>
      </c>
    </row>
    <row r="72" spans="1:8">
      <c r="A72" s="12" t="s">
        <v>5456</v>
      </c>
      <c r="B72" s="13">
        <v>13.8</v>
      </c>
      <c r="C72" s="16" t="s">
        <v>5331</v>
      </c>
      <c r="D72" s="12">
        <v>94.26</v>
      </c>
      <c r="E72" s="12" t="s">
        <v>5332</v>
      </c>
      <c r="F72" s="12" t="s">
        <v>5328</v>
      </c>
      <c r="G72" s="12" t="s">
        <v>5457</v>
      </c>
      <c r="H72" s="12">
        <v>16837</v>
      </c>
    </row>
    <row r="73" spans="1:8">
      <c r="A73" s="12" t="s">
        <v>5458</v>
      </c>
      <c r="B73" s="13">
        <v>13.89</v>
      </c>
      <c r="C73" s="16" t="s">
        <v>5331</v>
      </c>
      <c r="D73" s="12">
        <v>77.209999999999994</v>
      </c>
      <c r="E73" s="12" t="s">
        <v>5332</v>
      </c>
      <c r="F73" s="12" t="s">
        <v>5328</v>
      </c>
      <c r="G73" s="12" t="s">
        <v>5459</v>
      </c>
      <c r="H73" s="12">
        <v>16838</v>
      </c>
    </row>
    <row r="74" spans="1:8">
      <c r="A74" s="12" t="s">
        <v>5460</v>
      </c>
      <c r="B74" s="13">
        <v>33.82</v>
      </c>
      <c r="C74" s="16" t="s">
        <v>5331</v>
      </c>
      <c r="D74" s="12">
        <v>98.04</v>
      </c>
      <c r="E74" s="12" t="s">
        <v>5332</v>
      </c>
      <c r="F74" s="12" t="s">
        <v>5328</v>
      </c>
      <c r="G74" s="12" t="s">
        <v>5461</v>
      </c>
      <c r="H74" s="12">
        <v>16843</v>
      </c>
    </row>
    <row r="75" spans="1:8">
      <c r="A75" s="12" t="s">
        <v>5462</v>
      </c>
      <c r="B75" s="13">
        <v>3.47</v>
      </c>
      <c r="C75" s="16" t="s">
        <v>5331</v>
      </c>
      <c r="D75" s="12">
        <v>17.64</v>
      </c>
      <c r="E75" s="12" t="s">
        <v>5332</v>
      </c>
      <c r="F75" s="12" t="s">
        <v>5328</v>
      </c>
      <c r="G75" s="12" t="s">
        <v>5463</v>
      </c>
      <c r="H75" s="12">
        <v>16844</v>
      </c>
    </row>
    <row r="76" spans="1:8">
      <c r="A76" s="12" t="s">
        <v>5464</v>
      </c>
      <c r="B76" s="13">
        <v>3.73</v>
      </c>
      <c r="C76" s="16" t="s">
        <v>5331</v>
      </c>
      <c r="D76" s="12">
        <v>17.64</v>
      </c>
      <c r="E76" s="12" t="s">
        <v>5332</v>
      </c>
      <c r="F76" s="12" t="s">
        <v>5328</v>
      </c>
      <c r="G76" s="12" t="s">
        <v>5465</v>
      </c>
      <c r="H76" s="12">
        <v>16845</v>
      </c>
    </row>
    <row r="77" spans="1:8">
      <c r="A77" s="12" t="s">
        <v>5466</v>
      </c>
      <c r="B77" s="13">
        <v>3.99</v>
      </c>
      <c r="C77" s="16" t="s">
        <v>5331</v>
      </c>
      <c r="D77" s="12">
        <v>14.88</v>
      </c>
      <c r="E77" s="12" t="s">
        <v>5332</v>
      </c>
      <c r="F77" s="12" t="s">
        <v>5328</v>
      </c>
      <c r="G77" s="12" t="s">
        <v>5467</v>
      </c>
      <c r="H77" s="12">
        <v>33672</v>
      </c>
    </row>
    <row r="78" spans="1:8">
      <c r="A78" s="12" t="s">
        <v>5468</v>
      </c>
      <c r="B78" s="13">
        <v>3.86</v>
      </c>
      <c r="C78" s="16" t="s">
        <v>5331</v>
      </c>
      <c r="D78" s="12">
        <v>17.64</v>
      </c>
      <c r="E78" s="12" t="s">
        <v>5332</v>
      </c>
      <c r="F78" s="12" t="s">
        <v>5328</v>
      </c>
      <c r="G78" s="12" t="s">
        <v>5469</v>
      </c>
      <c r="H78" s="12">
        <v>33673</v>
      </c>
    </row>
    <row r="79" spans="1:8">
      <c r="A79" s="12" t="s">
        <v>5470</v>
      </c>
      <c r="B79" s="13">
        <v>3.68</v>
      </c>
      <c r="C79" s="16" t="s">
        <v>5331</v>
      </c>
      <c r="D79" s="12">
        <v>17.64</v>
      </c>
      <c r="E79" s="12" t="s">
        <v>5332</v>
      </c>
      <c r="F79" s="12" t="s">
        <v>5328</v>
      </c>
      <c r="G79" s="12" t="s">
        <v>5471</v>
      </c>
      <c r="H79" s="12">
        <v>16848</v>
      </c>
    </row>
    <row r="80" spans="1:8">
      <c r="A80" s="12" t="s">
        <v>5472</v>
      </c>
      <c r="B80" s="13">
        <v>3.47</v>
      </c>
      <c r="C80" s="16" t="s">
        <v>5331</v>
      </c>
      <c r="D80" s="12">
        <v>17.64</v>
      </c>
      <c r="E80" s="12" t="s">
        <v>5332</v>
      </c>
      <c r="F80" s="12" t="s">
        <v>5328</v>
      </c>
      <c r="G80" s="12" t="s">
        <v>5473</v>
      </c>
      <c r="H80" s="12">
        <v>16849</v>
      </c>
    </row>
    <row r="81" spans="1:8">
      <c r="A81" s="12" t="s">
        <v>5474</v>
      </c>
      <c r="B81" s="13">
        <v>3.47</v>
      </c>
      <c r="C81" s="16" t="s">
        <v>5331</v>
      </c>
      <c r="D81" s="12">
        <v>17.64</v>
      </c>
      <c r="E81" s="12" t="s">
        <v>5332</v>
      </c>
      <c r="F81" s="12" t="s">
        <v>5328</v>
      </c>
      <c r="G81" s="12" t="s">
        <v>5475</v>
      </c>
      <c r="H81" s="12">
        <v>16850</v>
      </c>
    </row>
    <row r="82" spans="1:8">
      <c r="A82" s="12" t="s">
        <v>5476</v>
      </c>
      <c r="B82" s="13">
        <v>3.47</v>
      </c>
      <c r="C82" s="16" t="s">
        <v>5331</v>
      </c>
      <c r="D82" s="12">
        <v>17.64</v>
      </c>
      <c r="E82" s="12" t="s">
        <v>5332</v>
      </c>
      <c r="F82" s="12" t="s">
        <v>5328</v>
      </c>
      <c r="G82" s="12" t="s">
        <v>5477</v>
      </c>
      <c r="H82" s="12">
        <v>16851</v>
      </c>
    </row>
    <row r="83" spans="1:8">
      <c r="A83" s="12" t="s">
        <v>5478</v>
      </c>
      <c r="B83" s="13">
        <v>3.47</v>
      </c>
      <c r="C83" s="16" t="s">
        <v>5331</v>
      </c>
      <c r="D83" s="12">
        <v>17.64</v>
      </c>
      <c r="E83" s="12" t="s">
        <v>5332</v>
      </c>
      <c r="F83" s="12" t="s">
        <v>5328</v>
      </c>
      <c r="G83" s="12" t="s">
        <v>5479</v>
      </c>
      <c r="H83" s="12">
        <v>16852</v>
      </c>
    </row>
    <row r="84" spans="1:8">
      <c r="A84" s="12" t="s">
        <v>5480</v>
      </c>
      <c r="B84" s="13">
        <v>6.94</v>
      </c>
      <c r="C84" s="16" t="s">
        <v>5331</v>
      </c>
      <c r="D84" s="12">
        <v>17.64</v>
      </c>
      <c r="E84" s="12" t="s">
        <v>5332</v>
      </c>
      <c r="F84" s="12" t="s">
        <v>5328</v>
      </c>
      <c r="G84" s="12" t="s">
        <v>5481</v>
      </c>
      <c r="H84" s="12">
        <v>16853</v>
      </c>
    </row>
    <row r="85" spans="1:8">
      <c r="A85" s="12" t="s">
        <v>5482</v>
      </c>
      <c r="B85" s="13">
        <v>1.86</v>
      </c>
      <c r="C85" s="16" t="s">
        <v>5331</v>
      </c>
      <c r="D85" s="12">
        <v>17.64</v>
      </c>
      <c r="E85" s="12" t="s">
        <v>5332</v>
      </c>
      <c r="F85" s="12" t="s">
        <v>5328</v>
      </c>
      <c r="G85" s="12" t="s">
        <v>5483</v>
      </c>
      <c r="H85" s="12">
        <v>16854</v>
      </c>
    </row>
    <row r="86" spans="1:8">
      <c r="A86" s="12" t="s">
        <v>5484</v>
      </c>
      <c r="B86" s="13">
        <v>4.12</v>
      </c>
      <c r="C86" s="16" t="s">
        <v>5331</v>
      </c>
      <c r="D86" s="12">
        <v>17.64</v>
      </c>
      <c r="E86" s="12" t="s">
        <v>5332</v>
      </c>
      <c r="F86" s="12" t="s">
        <v>5328</v>
      </c>
      <c r="G86" s="12" t="s">
        <v>5485</v>
      </c>
      <c r="H86" s="12">
        <v>33674</v>
      </c>
    </row>
    <row r="87" spans="1:8">
      <c r="A87" s="12" t="s">
        <v>5486</v>
      </c>
      <c r="B87" s="13">
        <v>5.66</v>
      </c>
      <c r="C87" s="16" t="s">
        <v>5331</v>
      </c>
      <c r="D87" s="12">
        <v>17.64</v>
      </c>
      <c r="E87" s="12" t="s">
        <v>5332</v>
      </c>
      <c r="F87" s="12" t="s">
        <v>5328</v>
      </c>
      <c r="G87" s="12" t="s">
        <v>5487</v>
      </c>
      <c r="H87" s="12">
        <v>16856</v>
      </c>
    </row>
    <row r="88" spans="1:8">
      <c r="A88" s="12" t="s">
        <v>5488</v>
      </c>
      <c r="B88" s="13">
        <v>4.83</v>
      </c>
      <c r="C88" s="16" t="s">
        <v>5331</v>
      </c>
      <c r="D88" s="12">
        <v>17.64</v>
      </c>
      <c r="E88" s="12" t="s">
        <v>5332</v>
      </c>
      <c r="F88" s="12" t="s">
        <v>5328</v>
      </c>
      <c r="G88" s="12" t="s">
        <v>5489</v>
      </c>
      <c r="H88" s="12">
        <v>16857</v>
      </c>
    </row>
    <row r="89" spans="1:8">
      <c r="A89" s="12" t="s">
        <v>5490</v>
      </c>
      <c r="B89" s="13">
        <v>3.47</v>
      </c>
      <c r="C89" s="16" t="s">
        <v>5331</v>
      </c>
      <c r="D89" s="12">
        <v>17.64</v>
      </c>
      <c r="E89" s="12" t="s">
        <v>5332</v>
      </c>
      <c r="F89" s="12" t="s">
        <v>5328</v>
      </c>
      <c r="G89" s="12" t="s">
        <v>5491</v>
      </c>
      <c r="H89" s="12">
        <v>16858</v>
      </c>
    </row>
    <row r="90" spans="1:8">
      <c r="A90" s="12" t="s">
        <v>5492</v>
      </c>
      <c r="B90" s="13">
        <v>6.69</v>
      </c>
      <c r="C90" s="16" t="s">
        <v>5331</v>
      </c>
      <c r="D90" s="12">
        <v>19.8</v>
      </c>
      <c r="E90" s="12" t="s">
        <v>5332</v>
      </c>
      <c r="F90" s="12" t="s">
        <v>5328</v>
      </c>
      <c r="G90" s="12" t="s">
        <v>5493</v>
      </c>
      <c r="H90" s="12">
        <v>33675</v>
      </c>
    </row>
    <row r="91" spans="1:8">
      <c r="A91" s="12" t="s">
        <v>5494</v>
      </c>
      <c r="B91" s="13">
        <v>5.92</v>
      </c>
      <c r="C91" s="16" t="s">
        <v>5331</v>
      </c>
      <c r="D91" s="12">
        <v>19.8</v>
      </c>
      <c r="E91" s="12" t="s">
        <v>5332</v>
      </c>
      <c r="F91" s="12" t="s">
        <v>5328</v>
      </c>
      <c r="G91" s="12" t="s">
        <v>5495</v>
      </c>
      <c r="H91" s="12">
        <v>16860</v>
      </c>
    </row>
    <row r="92" spans="1:8">
      <c r="A92" s="12" t="s">
        <v>5496</v>
      </c>
      <c r="B92" s="13">
        <v>5.92</v>
      </c>
      <c r="C92" s="16" t="s">
        <v>5331</v>
      </c>
      <c r="D92" s="12">
        <v>11.31</v>
      </c>
      <c r="E92" s="12" t="s">
        <v>5332</v>
      </c>
      <c r="F92" s="12" t="s">
        <v>5328</v>
      </c>
      <c r="G92" s="12" t="s">
        <v>5497</v>
      </c>
      <c r="H92" s="12">
        <v>16862</v>
      </c>
    </row>
    <row r="93" spans="1:8">
      <c r="A93" s="12" t="s">
        <v>5498</v>
      </c>
      <c r="B93" s="13">
        <v>3.41</v>
      </c>
      <c r="C93" s="16" t="s">
        <v>5331</v>
      </c>
      <c r="D93" s="12">
        <v>19.8</v>
      </c>
      <c r="E93" s="12" t="s">
        <v>5332</v>
      </c>
      <c r="F93" s="12" t="s">
        <v>5328</v>
      </c>
      <c r="G93" s="12" t="s">
        <v>5499</v>
      </c>
      <c r="H93" s="12">
        <v>16863</v>
      </c>
    </row>
    <row r="94" spans="1:8">
      <c r="A94" s="12" t="s">
        <v>5500</v>
      </c>
      <c r="B94" s="13">
        <v>6.37</v>
      </c>
      <c r="C94" s="16" t="s">
        <v>5331</v>
      </c>
      <c r="D94" s="12">
        <v>19.8</v>
      </c>
      <c r="E94" s="12" t="s">
        <v>5332</v>
      </c>
      <c r="F94" s="12" t="s">
        <v>5328</v>
      </c>
      <c r="G94" s="12" t="s">
        <v>5501</v>
      </c>
      <c r="H94" s="12">
        <v>16864</v>
      </c>
    </row>
    <row r="95" spans="1:8">
      <c r="A95" s="12" t="s">
        <v>5502</v>
      </c>
      <c r="B95" s="13">
        <v>6.37</v>
      </c>
      <c r="C95" s="16" t="s">
        <v>5331</v>
      </c>
      <c r="D95" s="12">
        <v>15.09</v>
      </c>
      <c r="E95" s="12" t="s">
        <v>5332</v>
      </c>
      <c r="F95" s="12" t="s">
        <v>5328</v>
      </c>
      <c r="G95" s="12" t="s">
        <v>5503</v>
      </c>
      <c r="H95" s="12">
        <v>16866</v>
      </c>
    </row>
    <row r="96" spans="1:8">
      <c r="A96" s="12" t="s">
        <v>5504</v>
      </c>
      <c r="B96" s="13">
        <v>4.12</v>
      </c>
      <c r="C96" s="16" t="s">
        <v>5331</v>
      </c>
      <c r="D96" s="12">
        <v>19.8</v>
      </c>
      <c r="E96" s="12" t="s">
        <v>5332</v>
      </c>
      <c r="F96" s="12" t="s">
        <v>5328</v>
      </c>
      <c r="G96" s="12" t="s">
        <v>5505</v>
      </c>
      <c r="H96" s="12">
        <v>16867</v>
      </c>
    </row>
    <row r="97" spans="1:8">
      <c r="A97" s="12" t="s">
        <v>5506</v>
      </c>
      <c r="B97" s="13">
        <v>5.79</v>
      </c>
      <c r="C97" s="16" t="s">
        <v>5331</v>
      </c>
      <c r="D97" s="12">
        <v>20.190000000000001</v>
      </c>
      <c r="E97" s="12" t="s">
        <v>5332</v>
      </c>
      <c r="F97" s="12" t="s">
        <v>5328</v>
      </c>
      <c r="G97" s="12" t="s">
        <v>5507</v>
      </c>
      <c r="H97" s="12">
        <v>16869</v>
      </c>
    </row>
    <row r="98" spans="1:8">
      <c r="A98" s="12" t="s">
        <v>5508</v>
      </c>
      <c r="B98" s="13">
        <v>4.63</v>
      </c>
      <c r="C98" s="16" t="s">
        <v>5331</v>
      </c>
      <c r="D98" s="12">
        <v>11.31</v>
      </c>
      <c r="E98" s="12" t="s">
        <v>5332</v>
      </c>
      <c r="F98" s="12" t="s">
        <v>5328</v>
      </c>
      <c r="G98" s="12" t="s">
        <v>5509</v>
      </c>
      <c r="H98" s="12">
        <v>16871</v>
      </c>
    </row>
    <row r="99" spans="1:8">
      <c r="A99" s="12" t="s">
        <v>5510</v>
      </c>
      <c r="B99" s="13">
        <v>4.37</v>
      </c>
      <c r="C99" s="16" t="s">
        <v>5331</v>
      </c>
      <c r="D99" s="12">
        <v>13.2</v>
      </c>
      <c r="E99" s="12" t="s">
        <v>5332</v>
      </c>
      <c r="F99" s="12" t="s">
        <v>5328</v>
      </c>
      <c r="G99" s="12" t="s">
        <v>5511</v>
      </c>
      <c r="H99" s="12">
        <v>16873</v>
      </c>
    </row>
    <row r="100" spans="1:8">
      <c r="A100" s="12" t="s">
        <v>5512</v>
      </c>
      <c r="B100" s="13">
        <v>2.06</v>
      </c>
      <c r="C100" s="16" t="s">
        <v>5331</v>
      </c>
      <c r="D100" s="12">
        <v>13.98</v>
      </c>
      <c r="E100" s="12" t="s">
        <v>5332</v>
      </c>
      <c r="F100" s="12" t="s">
        <v>5328</v>
      </c>
      <c r="G100" s="12" t="s">
        <v>5513</v>
      </c>
      <c r="H100" s="12">
        <v>16875</v>
      </c>
    </row>
    <row r="101" spans="1:8">
      <c r="A101" s="12" t="s">
        <v>5514</v>
      </c>
      <c r="B101" s="13">
        <v>9.52</v>
      </c>
      <c r="C101" s="16" t="s">
        <v>5331</v>
      </c>
      <c r="D101" s="12">
        <v>22.62</v>
      </c>
      <c r="E101" s="12" t="s">
        <v>5332</v>
      </c>
      <c r="F101" s="12" t="s">
        <v>5328</v>
      </c>
      <c r="G101" s="12" t="s">
        <v>5515</v>
      </c>
      <c r="H101" s="12">
        <v>16876</v>
      </c>
    </row>
    <row r="102" spans="1:8">
      <c r="A102" s="12" t="s">
        <v>5516</v>
      </c>
      <c r="B102" s="13">
        <v>4.4000000000000004</v>
      </c>
      <c r="C102" s="16" t="s">
        <v>5331</v>
      </c>
      <c r="D102" s="12">
        <v>13.2</v>
      </c>
      <c r="E102" s="12" t="s">
        <v>5332</v>
      </c>
      <c r="F102" s="12" t="s">
        <v>5328</v>
      </c>
      <c r="G102" s="12" t="s">
        <v>5517</v>
      </c>
      <c r="H102" s="12">
        <v>16878</v>
      </c>
    </row>
    <row r="103" spans="1:8">
      <c r="A103" s="12" t="s">
        <v>5518</v>
      </c>
      <c r="B103" s="13">
        <v>5.48</v>
      </c>
      <c r="C103" s="16" t="s">
        <v>5331</v>
      </c>
      <c r="D103" s="12">
        <v>13.2</v>
      </c>
      <c r="E103" s="12" t="s">
        <v>5332</v>
      </c>
      <c r="F103" s="12" t="s">
        <v>5328</v>
      </c>
      <c r="G103" s="12" t="s">
        <v>5519</v>
      </c>
      <c r="H103" s="12">
        <v>16880</v>
      </c>
    </row>
    <row r="104" spans="1:8">
      <c r="A104" s="12" t="s">
        <v>5520</v>
      </c>
      <c r="B104" s="13">
        <v>9</v>
      </c>
      <c r="C104" s="16" t="s">
        <v>5331</v>
      </c>
      <c r="D104" s="12">
        <v>93.81</v>
      </c>
      <c r="E104" s="12" t="s">
        <v>5332</v>
      </c>
      <c r="F104" s="12" t="s">
        <v>5328</v>
      </c>
      <c r="G104" s="12" t="s">
        <v>5521</v>
      </c>
      <c r="H104" s="12">
        <v>16883</v>
      </c>
    </row>
    <row r="105" spans="1:8">
      <c r="A105" s="12" t="s">
        <v>5522</v>
      </c>
      <c r="B105" s="13">
        <v>5.98</v>
      </c>
      <c r="C105" s="16" t="s">
        <v>5331</v>
      </c>
      <c r="D105" s="12">
        <v>24.51</v>
      </c>
      <c r="E105" s="12" t="s">
        <v>5332</v>
      </c>
      <c r="F105" s="12" t="s">
        <v>5328</v>
      </c>
      <c r="G105" s="12" t="s">
        <v>5523</v>
      </c>
      <c r="H105" s="12">
        <v>16884</v>
      </c>
    </row>
    <row r="106" spans="1:8">
      <c r="A106" s="12" t="s">
        <v>5524</v>
      </c>
      <c r="B106" s="13">
        <v>2.7</v>
      </c>
      <c r="C106" s="16" t="s">
        <v>5331</v>
      </c>
      <c r="D106" s="12">
        <v>11.31</v>
      </c>
      <c r="E106" s="12" t="s">
        <v>5332</v>
      </c>
      <c r="F106" s="12" t="s">
        <v>5328</v>
      </c>
      <c r="G106" s="12" t="s">
        <v>5525</v>
      </c>
      <c r="H106" s="12">
        <v>16885</v>
      </c>
    </row>
    <row r="107" spans="1:8">
      <c r="A107" s="12" t="s">
        <v>5526</v>
      </c>
      <c r="B107" s="13">
        <v>12.71</v>
      </c>
      <c r="C107" s="16" t="s">
        <v>5331</v>
      </c>
      <c r="D107" s="12">
        <v>87.27</v>
      </c>
      <c r="E107" s="12" t="s">
        <v>5332</v>
      </c>
      <c r="F107" s="12" t="s">
        <v>5328</v>
      </c>
      <c r="G107" s="12" t="s">
        <v>5527</v>
      </c>
      <c r="H107" s="12">
        <v>16889</v>
      </c>
    </row>
    <row r="108" spans="1:8">
      <c r="A108" s="12" t="s">
        <v>5528</v>
      </c>
      <c r="B108" s="13">
        <v>3.73</v>
      </c>
      <c r="C108" s="16" t="s">
        <v>5331</v>
      </c>
      <c r="D108" s="12">
        <v>50.91</v>
      </c>
      <c r="E108" s="12" t="s">
        <v>5332</v>
      </c>
      <c r="F108" s="12" t="s">
        <v>5328</v>
      </c>
      <c r="G108" s="12" t="s">
        <v>5529</v>
      </c>
      <c r="H108" s="12">
        <v>16891</v>
      </c>
    </row>
    <row r="109" spans="1:8">
      <c r="A109" s="12" t="s">
        <v>5530</v>
      </c>
      <c r="B109" s="13">
        <v>8.2100000000000009</v>
      </c>
      <c r="C109" s="16" t="s">
        <v>5331</v>
      </c>
      <c r="D109" s="12">
        <v>30.18</v>
      </c>
      <c r="E109" s="12" t="s">
        <v>5332</v>
      </c>
      <c r="F109" s="12" t="s">
        <v>5328</v>
      </c>
      <c r="G109" s="12" t="s">
        <v>5531</v>
      </c>
      <c r="H109" s="12">
        <v>16894</v>
      </c>
    </row>
    <row r="110" spans="1:8">
      <c r="A110" s="12" t="s">
        <v>5532</v>
      </c>
      <c r="B110" s="13">
        <v>6.11</v>
      </c>
      <c r="C110" s="16" t="s">
        <v>5331</v>
      </c>
      <c r="D110" s="12">
        <v>35.1</v>
      </c>
      <c r="E110" s="12" t="s">
        <v>5332</v>
      </c>
      <c r="F110" s="12" t="s">
        <v>5328</v>
      </c>
      <c r="G110" s="12" t="s">
        <v>5533</v>
      </c>
      <c r="H110" s="12">
        <v>16897</v>
      </c>
    </row>
    <row r="111" spans="1:8">
      <c r="A111" s="12" t="s">
        <v>5534</v>
      </c>
      <c r="B111" s="13">
        <v>6.11</v>
      </c>
      <c r="C111" s="16" t="s">
        <v>5331</v>
      </c>
      <c r="D111" s="12">
        <v>36.78</v>
      </c>
      <c r="E111" s="12" t="s">
        <v>5332</v>
      </c>
      <c r="F111" s="12" t="s">
        <v>5328</v>
      </c>
      <c r="G111" s="12" t="s">
        <v>5535</v>
      </c>
      <c r="H111" s="12">
        <v>33357</v>
      </c>
    </row>
    <row r="112" spans="1:8">
      <c r="A112" s="12" t="s">
        <v>5536</v>
      </c>
      <c r="B112" s="13">
        <v>11.32</v>
      </c>
      <c r="C112" s="16" t="s">
        <v>5331</v>
      </c>
      <c r="D112" s="12">
        <v>59.4</v>
      </c>
      <c r="E112" s="12" t="s">
        <v>5332</v>
      </c>
      <c r="F112" s="12" t="s">
        <v>5328</v>
      </c>
      <c r="G112" s="12" t="s">
        <v>5537</v>
      </c>
      <c r="H112" s="12">
        <v>16904</v>
      </c>
    </row>
    <row r="113" spans="1:8">
      <c r="A113" s="12" t="s">
        <v>5538</v>
      </c>
      <c r="B113" s="13">
        <v>9.6999999999999993</v>
      </c>
      <c r="C113" s="16" t="s">
        <v>5331</v>
      </c>
      <c r="D113" s="12">
        <v>37.71</v>
      </c>
      <c r="E113" s="12" t="s">
        <v>5332</v>
      </c>
      <c r="F113" s="12" t="s">
        <v>5328</v>
      </c>
      <c r="G113" s="12" t="s">
        <v>5539</v>
      </c>
      <c r="H113" s="12">
        <v>16907</v>
      </c>
    </row>
    <row r="114" spans="1:8">
      <c r="A114" s="12" t="s">
        <v>5540</v>
      </c>
      <c r="B114" s="13">
        <v>6.06</v>
      </c>
      <c r="C114" s="16" t="s">
        <v>5331</v>
      </c>
      <c r="D114" s="12">
        <v>40.409999999999997</v>
      </c>
      <c r="E114" s="12" t="s">
        <v>5332</v>
      </c>
      <c r="F114" s="12" t="s">
        <v>5328</v>
      </c>
      <c r="G114" s="12" t="s">
        <v>5541</v>
      </c>
      <c r="H114" s="12">
        <v>16912</v>
      </c>
    </row>
    <row r="115" spans="1:8">
      <c r="A115" s="12" t="s">
        <v>5542</v>
      </c>
      <c r="B115" s="13">
        <v>3.27</v>
      </c>
      <c r="C115" s="16" t="s">
        <v>5331</v>
      </c>
      <c r="D115" s="12">
        <v>9.81</v>
      </c>
      <c r="E115" s="12" t="s">
        <v>5332</v>
      </c>
      <c r="F115" s="12" t="s">
        <v>5328</v>
      </c>
      <c r="G115" s="12" t="s">
        <v>5543</v>
      </c>
      <c r="H115" s="12">
        <v>16913</v>
      </c>
    </row>
    <row r="116" spans="1:8">
      <c r="A116" s="12" t="s">
        <v>5542</v>
      </c>
      <c r="B116" s="13">
        <v>3.27</v>
      </c>
      <c r="C116" s="16" t="s">
        <v>5331</v>
      </c>
      <c r="D116" s="12">
        <v>9.81</v>
      </c>
      <c r="E116" s="12" t="s">
        <v>5332</v>
      </c>
      <c r="F116" s="12" t="s">
        <v>5328</v>
      </c>
      <c r="G116" s="12" t="s">
        <v>5544</v>
      </c>
      <c r="H116" s="12">
        <v>16914</v>
      </c>
    </row>
    <row r="117" spans="1:8">
      <c r="A117" s="12" t="s">
        <v>5545</v>
      </c>
      <c r="B117" s="13">
        <v>2.3199999999999998</v>
      </c>
      <c r="C117" s="16" t="s">
        <v>5331</v>
      </c>
      <c r="D117" s="12">
        <v>13.23</v>
      </c>
      <c r="E117" s="12" t="s">
        <v>5332</v>
      </c>
      <c r="F117" s="12" t="s">
        <v>5328</v>
      </c>
      <c r="G117" s="12" t="s">
        <v>5546</v>
      </c>
      <c r="H117" s="12">
        <v>16915</v>
      </c>
    </row>
    <row r="118" spans="1:8">
      <c r="A118" s="12" t="s">
        <v>5547</v>
      </c>
      <c r="B118" s="13">
        <v>3.34</v>
      </c>
      <c r="C118" s="16" t="s">
        <v>5331</v>
      </c>
      <c r="D118" s="12">
        <v>17.64</v>
      </c>
      <c r="E118" s="12" t="s">
        <v>5332</v>
      </c>
      <c r="F118" s="12" t="s">
        <v>5328</v>
      </c>
      <c r="G118" s="12" t="s">
        <v>5548</v>
      </c>
      <c r="H118" s="12">
        <v>33676</v>
      </c>
    </row>
    <row r="119" spans="1:8">
      <c r="A119" s="12" t="s">
        <v>5549</v>
      </c>
      <c r="B119" s="13">
        <v>1.89</v>
      </c>
      <c r="C119" s="16" t="s">
        <v>5331</v>
      </c>
      <c r="D119" s="12">
        <v>5.67</v>
      </c>
      <c r="E119" s="12" t="s">
        <v>5332</v>
      </c>
      <c r="F119" s="12" t="s">
        <v>5328</v>
      </c>
      <c r="G119" s="12" t="s">
        <v>5550</v>
      </c>
      <c r="H119" s="12">
        <v>16917</v>
      </c>
    </row>
    <row r="120" spans="1:8">
      <c r="A120" s="12" t="s">
        <v>5551</v>
      </c>
      <c r="B120" s="13">
        <v>13.83</v>
      </c>
      <c r="C120" s="16" t="s">
        <v>5331</v>
      </c>
      <c r="D120" s="12">
        <v>41.49</v>
      </c>
      <c r="E120" s="12" t="s">
        <v>5332</v>
      </c>
      <c r="F120" s="12" t="s">
        <v>5328</v>
      </c>
      <c r="G120" s="12" t="s">
        <v>5552</v>
      </c>
      <c r="H120" s="12">
        <v>16919</v>
      </c>
    </row>
    <row r="121" spans="1:8">
      <c r="A121" s="12" t="s">
        <v>5553</v>
      </c>
      <c r="B121" s="13">
        <v>2.96</v>
      </c>
      <c r="C121" s="16" t="s">
        <v>5331</v>
      </c>
      <c r="D121" s="12">
        <v>18.48</v>
      </c>
      <c r="E121" s="12" t="s">
        <v>5332</v>
      </c>
      <c r="F121" s="12" t="s">
        <v>5328</v>
      </c>
      <c r="G121" s="12" t="s">
        <v>5554</v>
      </c>
      <c r="H121" s="12">
        <v>16921</v>
      </c>
    </row>
    <row r="122" spans="1:8">
      <c r="A122" s="12" t="s">
        <v>5555</v>
      </c>
      <c r="B122" s="13">
        <v>2.56</v>
      </c>
      <c r="C122" s="16" t="s">
        <v>5331</v>
      </c>
      <c r="D122" s="12">
        <v>15.09</v>
      </c>
      <c r="E122" s="12" t="s">
        <v>5332</v>
      </c>
      <c r="F122" s="12" t="s">
        <v>5328</v>
      </c>
      <c r="G122" s="12" t="s">
        <v>5556</v>
      </c>
      <c r="H122" s="12">
        <v>16922</v>
      </c>
    </row>
    <row r="123" spans="1:8">
      <c r="A123" s="12" t="s">
        <v>5557</v>
      </c>
      <c r="B123" s="13">
        <v>24.82</v>
      </c>
      <c r="C123" s="16" t="s">
        <v>5331</v>
      </c>
      <c r="D123" s="12">
        <v>64.08</v>
      </c>
      <c r="E123" s="12" t="s">
        <v>5332</v>
      </c>
      <c r="F123" s="12" t="s">
        <v>5328</v>
      </c>
      <c r="G123" s="12" t="s">
        <v>5558</v>
      </c>
      <c r="H123" s="12">
        <v>16924</v>
      </c>
    </row>
    <row r="124" spans="1:8">
      <c r="A124" s="12" t="s">
        <v>5559</v>
      </c>
      <c r="B124" s="13">
        <v>6.28</v>
      </c>
      <c r="C124" s="16" t="s">
        <v>5331</v>
      </c>
      <c r="D124" s="12">
        <v>18.84</v>
      </c>
      <c r="E124" s="12" t="s">
        <v>5332</v>
      </c>
      <c r="F124" s="12" t="s">
        <v>5328</v>
      </c>
      <c r="G124" s="12" t="s">
        <v>5560</v>
      </c>
      <c r="H124" s="12">
        <v>16925</v>
      </c>
    </row>
    <row r="125" spans="1:8">
      <c r="A125" s="12" t="s">
        <v>5561</v>
      </c>
      <c r="B125" s="13">
        <v>3.77</v>
      </c>
      <c r="C125" s="16" t="s">
        <v>5331</v>
      </c>
      <c r="D125" s="12">
        <v>11.31</v>
      </c>
      <c r="E125" s="12" t="s">
        <v>5332</v>
      </c>
      <c r="F125" s="12" t="s">
        <v>5328</v>
      </c>
      <c r="G125" s="12" t="s">
        <v>5562</v>
      </c>
      <c r="H125" s="12">
        <v>16926</v>
      </c>
    </row>
    <row r="126" spans="1:8">
      <c r="A126" s="12" t="s">
        <v>5563</v>
      </c>
      <c r="B126" s="13">
        <v>6.28</v>
      </c>
      <c r="C126" s="16" t="s">
        <v>5331</v>
      </c>
      <c r="D126" s="12">
        <v>18.84</v>
      </c>
      <c r="E126" s="12" t="s">
        <v>5332</v>
      </c>
      <c r="F126" s="12" t="s">
        <v>5328</v>
      </c>
      <c r="G126" s="12" t="s">
        <v>5564</v>
      </c>
      <c r="H126" s="12">
        <v>16927</v>
      </c>
    </row>
    <row r="127" spans="1:8">
      <c r="A127" s="12" t="s">
        <v>5565</v>
      </c>
      <c r="B127" s="13">
        <v>5.33</v>
      </c>
      <c r="C127" s="16" t="s">
        <v>5331</v>
      </c>
      <c r="D127" s="12">
        <v>35.82</v>
      </c>
      <c r="E127" s="12" t="s">
        <v>5332</v>
      </c>
      <c r="F127" s="12" t="s">
        <v>5328</v>
      </c>
      <c r="G127" s="12" t="s">
        <v>5566</v>
      </c>
      <c r="H127" s="12">
        <v>16929</v>
      </c>
    </row>
    <row r="128" spans="1:8">
      <c r="A128" s="12" t="s">
        <v>5567</v>
      </c>
      <c r="B128" s="13">
        <v>10.029999999999999</v>
      </c>
      <c r="C128" s="16" t="s">
        <v>5331</v>
      </c>
      <c r="D128" s="12">
        <v>33.93</v>
      </c>
      <c r="E128" s="12" t="s">
        <v>5332</v>
      </c>
      <c r="F128" s="12" t="s">
        <v>5328</v>
      </c>
      <c r="G128" s="12" t="s">
        <v>5568</v>
      </c>
      <c r="H128" s="12">
        <v>16930</v>
      </c>
    </row>
    <row r="129" spans="1:8">
      <c r="A129" s="12" t="s">
        <v>5569</v>
      </c>
      <c r="B129" s="13">
        <v>1.46</v>
      </c>
      <c r="C129" s="16" t="s">
        <v>5331</v>
      </c>
      <c r="D129" s="12">
        <v>6.78</v>
      </c>
      <c r="E129" s="12" t="s">
        <v>5332</v>
      </c>
      <c r="F129" s="12" t="s">
        <v>5328</v>
      </c>
      <c r="G129" s="12" t="s">
        <v>5570</v>
      </c>
      <c r="H129" s="12">
        <v>16931</v>
      </c>
    </row>
    <row r="130" spans="1:8">
      <c r="A130" s="12" t="s">
        <v>5571</v>
      </c>
      <c r="B130" s="13">
        <v>19.16</v>
      </c>
      <c r="C130" s="16" t="s">
        <v>5331</v>
      </c>
      <c r="D130" s="12">
        <v>67.86</v>
      </c>
      <c r="E130" s="12" t="s">
        <v>5332</v>
      </c>
      <c r="F130" s="12" t="s">
        <v>5328</v>
      </c>
      <c r="G130" s="12" t="s">
        <v>5572</v>
      </c>
      <c r="H130" s="12">
        <v>16933</v>
      </c>
    </row>
    <row r="131" spans="1:8">
      <c r="A131" s="12" t="s">
        <v>5573</v>
      </c>
      <c r="B131" s="13">
        <v>18.39</v>
      </c>
      <c r="C131" s="16" t="s">
        <v>5331</v>
      </c>
      <c r="D131" s="12">
        <v>75.42</v>
      </c>
      <c r="E131" s="12" t="s">
        <v>5332</v>
      </c>
      <c r="F131" s="12" t="s">
        <v>5328</v>
      </c>
      <c r="G131" s="12" t="s">
        <v>5574</v>
      </c>
      <c r="H131" s="12">
        <v>16936</v>
      </c>
    </row>
    <row r="132" spans="1:8">
      <c r="A132" s="12" t="s">
        <v>5575</v>
      </c>
      <c r="B132" s="13">
        <v>20.27</v>
      </c>
      <c r="C132" s="16" t="s">
        <v>5331</v>
      </c>
      <c r="D132" s="12">
        <v>88.11</v>
      </c>
      <c r="E132" s="12" t="s">
        <v>5332</v>
      </c>
      <c r="F132" s="12" t="s">
        <v>5328</v>
      </c>
      <c r="G132" s="12" t="s">
        <v>5576</v>
      </c>
      <c r="H132" s="12">
        <v>16938</v>
      </c>
    </row>
    <row r="133" spans="1:8">
      <c r="A133" s="12" t="s">
        <v>5577</v>
      </c>
      <c r="B133" s="13">
        <v>63.65</v>
      </c>
      <c r="C133" s="16" t="s">
        <v>5331</v>
      </c>
      <c r="D133" s="12">
        <v>262.86</v>
      </c>
      <c r="E133" s="12" t="s">
        <v>5332</v>
      </c>
      <c r="F133" s="12" t="s">
        <v>5328</v>
      </c>
      <c r="G133" s="12" t="s">
        <v>5578</v>
      </c>
      <c r="H133" s="12">
        <v>16941</v>
      </c>
    </row>
    <row r="134" spans="1:8">
      <c r="A134" s="12" t="s">
        <v>5579</v>
      </c>
      <c r="B134" s="13">
        <v>47.64</v>
      </c>
      <c r="C134" s="16" t="s">
        <v>5331</v>
      </c>
      <c r="D134" s="12">
        <v>207.18</v>
      </c>
      <c r="E134" s="12" t="s">
        <v>5332</v>
      </c>
      <c r="F134" s="12" t="s">
        <v>5328</v>
      </c>
      <c r="G134" s="12" t="s">
        <v>5580</v>
      </c>
      <c r="H134" s="12">
        <v>16944</v>
      </c>
    </row>
    <row r="135" spans="1:8">
      <c r="A135" s="12" t="s">
        <v>5581</v>
      </c>
      <c r="B135" s="13">
        <v>49.76</v>
      </c>
      <c r="C135" s="16" t="s">
        <v>5331</v>
      </c>
      <c r="D135" s="12">
        <v>308.82</v>
      </c>
      <c r="E135" s="12" t="s">
        <v>5332</v>
      </c>
      <c r="F135" s="12" t="s">
        <v>5328</v>
      </c>
      <c r="G135" s="12" t="s">
        <v>5582</v>
      </c>
      <c r="H135" s="12">
        <v>16947</v>
      </c>
    </row>
    <row r="136" spans="1:8">
      <c r="A136" s="12" t="s">
        <v>5583</v>
      </c>
      <c r="B136" s="13">
        <v>9.18</v>
      </c>
      <c r="C136" s="16" t="s">
        <v>5331</v>
      </c>
      <c r="D136" s="12">
        <v>40.229999999999997</v>
      </c>
      <c r="E136" s="12" t="s">
        <v>5332</v>
      </c>
      <c r="F136" s="12" t="s">
        <v>5328</v>
      </c>
      <c r="G136" s="12" t="s">
        <v>5584</v>
      </c>
      <c r="H136" s="12">
        <v>16950</v>
      </c>
    </row>
    <row r="137" spans="1:8">
      <c r="A137" s="12" t="s">
        <v>5585</v>
      </c>
      <c r="B137" s="13">
        <v>146.65</v>
      </c>
      <c r="C137" s="16" t="s">
        <v>5331</v>
      </c>
      <c r="D137" s="12">
        <v>654.54</v>
      </c>
      <c r="E137" s="12" t="s">
        <v>5332</v>
      </c>
      <c r="F137" s="12" t="s">
        <v>5328</v>
      </c>
      <c r="G137" s="12" t="s">
        <v>5586</v>
      </c>
      <c r="H137" s="12">
        <v>16953</v>
      </c>
    </row>
    <row r="138" spans="1:8">
      <c r="A138" s="12" t="s">
        <v>5587</v>
      </c>
      <c r="B138" s="13">
        <v>4.58</v>
      </c>
      <c r="C138" s="16" t="s">
        <v>5331</v>
      </c>
      <c r="D138" s="12">
        <v>190.19</v>
      </c>
      <c r="E138" s="12" t="s">
        <v>5332</v>
      </c>
      <c r="F138" s="12" t="s">
        <v>5328</v>
      </c>
      <c r="G138" s="12" t="s">
        <v>5588</v>
      </c>
      <c r="H138" s="12">
        <v>16956</v>
      </c>
    </row>
    <row r="139" spans="1:8">
      <c r="A139" s="12" t="s">
        <v>5589</v>
      </c>
      <c r="B139" s="13">
        <v>1.03</v>
      </c>
      <c r="C139" s="16" t="s">
        <v>5331</v>
      </c>
      <c r="D139" s="12">
        <v>3.03</v>
      </c>
      <c r="E139" s="12" t="s">
        <v>5332</v>
      </c>
      <c r="F139" s="12" t="s">
        <v>5328</v>
      </c>
      <c r="G139" s="12" t="s">
        <v>5590</v>
      </c>
      <c r="H139" s="12">
        <v>16958</v>
      </c>
    </row>
    <row r="140" spans="1:8">
      <c r="A140" s="12" t="s">
        <v>5591</v>
      </c>
      <c r="B140" s="13">
        <v>3.73</v>
      </c>
      <c r="C140" s="16" t="s">
        <v>5331</v>
      </c>
      <c r="D140" s="12">
        <v>13.2</v>
      </c>
      <c r="E140" s="12" t="s">
        <v>5332</v>
      </c>
      <c r="F140" s="12" t="s">
        <v>5328</v>
      </c>
      <c r="G140" s="12" t="s">
        <v>5592</v>
      </c>
      <c r="H140" s="12">
        <v>16960</v>
      </c>
    </row>
    <row r="141" spans="1:8">
      <c r="A141" s="12" t="s">
        <v>5593</v>
      </c>
      <c r="B141" s="13">
        <v>3.73</v>
      </c>
      <c r="C141" s="16" t="s">
        <v>5331</v>
      </c>
      <c r="D141" s="12">
        <v>13.2</v>
      </c>
      <c r="E141" s="12" t="s">
        <v>5332</v>
      </c>
      <c r="F141" s="12" t="s">
        <v>5328</v>
      </c>
      <c r="G141" s="12" t="s">
        <v>5594</v>
      </c>
      <c r="H141" s="12">
        <v>16962</v>
      </c>
    </row>
    <row r="142" spans="1:8">
      <c r="A142" s="12" t="s">
        <v>5595</v>
      </c>
      <c r="B142" s="13">
        <v>1.8</v>
      </c>
      <c r="C142" s="16" t="s">
        <v>5331</v>
      </c>
      <c r="D142" s="12">
        <v>5.85</v>
      </c>
      <c r="E142" s="12" t="s">
        <v>5332</v>
      </c>
      <c r="F142" s="12" t="s">
        <v>5328</v>
      </c>
      <c r="G142" s="12" t="s">
        <v>5596</v>
      </c>
      <c r="H142" s="12">
        <v>16964</v>
      </c>
    </row>
    <row r="143" spans="1:8">
      <c r="A143" s="12" t="s">
        <v>5597</v>
      </c>
      <c r="B143" s="13">
        <v>1.93</v>
      </c>
      <c r="C143" s="16" t="s">
        <v>5331</v>
      </c>
      <c r="D143" s="12">
        <v>6.03</v>
      </c>
      <c r="E143" s="12" t="s">
        <v>5332</v>
      </c>
      <c r="F143" s="12" t="s">
        <v>5328</v>
      </c>
      <c r="G143" s="12" t="s">
        <v>5598</v>
      </c>
      <c r="H143" s="12">
        <v>16966</v>
      </c>
    </row>
    <row r="144" spans="1:8">
      <c r="A144" s="12" t="s">
        <v>5599</v>
      </c>
      <c r="B144" s="13">
        <v>2.5099999999999998</v>
      </c>
      <c r="C144" s="16" t="s">
        <v>5331</v>
      </c>
      <c r="D144" s="12">
        <v>9.42</v>
      </c>
      <c r="E144" s="12" t="s">
        <v>5332</v>
      </c>
      <c r="F144" s="12" t="s">
        <v>5328</v>
      </c>
      <c r="G144" s="12" t="s">
        <v>5600</v>
      </c>
      <c r="H144" s="12">
        <v>16968</v>
      </c>
    </row>
    <row r="145" spans="1:8">
      <c r="A145" s="12" t="s">
        <v>5601</v>
      </c>
      <c r="B145" s="13">
        <v>170.31</v>
      </c>
      <c r="C145" s="16" t="s">
        <v>5331</v>
      </c>
      <c r="D145" s="12">
        <v>147.75</v>
      </c>
      <c r="E145" s="12" t="s">
        <v>5332</v>
      </c>
      <c r="F145" s="12" t="s">
        <v>5328</v>
      </c>
      <c r="G145" s="12" t="s">
        <v>5602</v>
      </c>
      <c r="H145" s="12">
        <v>16970</v>
      </c>
    </row>
    <row r="146" spans="1:8">
      <c r="A146" s="12" t="s">
        <v>5603</v>
      </c>
      <c r="B146" s="13">
        <v>26.65</v>
      </c>
      <c r="C146" s="16" t="s">
        <v>5331</v>
      </c>
      <c r="D146" s="12">
        <v>79.95</v>
      </c>
      <c r="E146" s="12" t="s">
        <v>5332</v>
      </c>
      <c r="F146" s="12" t="s">
        <v>5328</v>
      </c>
      <c r="G146" s="12" t="s">
        <v>5604</v>
      </c>
      <c r="H146" s="12">
        <v>16971</v>
      </c>
    </row>
    <row r="147" spans="1:8">
      <c r="A147" s="12" t="s">
        <v>5605</v>
      </c>
      <c r="B147" s="13">
        <v>2.96</v>
      </c>
      <c r="C147" s="16" t="s">
        <v>5331</v>
      </c>
      <c r="D147" s="12">
        <v>11.31</v>
      </c>
      <c r="E147" s="12" t="s">
        <v>5332</v>
      </c>
      <c r="F147" s="12" t="s">
        <v>5328</v>
      </c>
      <c r="G147" s="12" t="s">
        <v>5606</v>
      </c>
      <c r="H147" s="12">
        <v>16972</v>
      </c>
    </row>
    <row r="148" spans="1:8">
      <c r="A148" s="12" t="s">
        <v>5607</v>
      </c>
      <c r="B148" s="13">
        <v>2.77</v>
      </c>
      <c r="C148" s="16" t="s">
        <v>5331</v>
      </c>
      <c r="D148" s="12">
        <v>15.78</v>
      </c>
      <c r="E148" s="12" t="s">
        <v>5332</v>
      </c>
      <c r="F148" s="12" t="s">
        <v>5328</v>
      </c>
      <c r="G148" s="12" t="s">
        <v>5608</v>
      </c>
      <c r="H148" s="12">
        <v>16974</v>
      </c>
    </row>
    <row r="149" spans="1:8">
      <c r="A149" s="12" t="s">
        <v>5609</v>
      </c>
      <c r="B149" s="13">
        <v>3.1</v>
      </c>
      <c r="C149" s="16" t="s">
        <v>5331</v>
      </c>
      <c r="D149" s="12">
        <v>12.06</v>
      </c>
      <c r="E149" s="12" t="s">
        <v>5332</v>
      </c>
      <c r="F149" s="12" t="s">
        <v>5328</v>
      </c>
      <c r="G149" s="12" t="s">
        <v>5610</v>
      </c>
      <c r="H149" s="12">
        <v>16975</v>
      </c>
    </row>
    <row r="150" spans="1:8">
      <c r="A150" s="12" t="s">
        <v>5611</v>
      </c>
      <c r="B150" s="13">
        <v>8.44</v>
      </c>
      <c r="C150" s="16" t="s">
        <v>5331</v>
      </c>
      <c r="D150" s="12">
        <v>37.71</v>
      </c>
      <c r="E150" s="12" t="s">
        <v>5332</v>
      </c>
      <c r="F150" s="12" t="s">
        <v>5328</v>
      </c>
      <c r="G150" s="12" t="s">
        <v>5612</v>
      </c>
      <c r="H150" s="12">
        <v>16977</v>
      </c>
    </row>
    <row r="151" spans="1:8">
      <c r="A151" s="12" t="s">
        <v>5613</v>
      </c>
      <c r="B151" s="13">
        <v>4.16</v>
      </c>
      <c r="C151" s="16" t="s">
        <v>5331</v>
      </c>
      <c r="D151" s="12">
        <v>30.93</v>
      </c>
      <c r="E151" s="12" t="s">
        <v>5332</v>
      </c>
      <c r="F151" s="12" t="s">
        <v>5328</v>
      </c>
      <c r="G151" s="12" t="s">
        <v>5614</v>
      </c>
      <c r="H151" s="12">
        <v>16978</v>
      </c>
    </row>
    <row r="152" spans="1:8">
      <c r="A152" s="12" t="s">
        <v>5615</v>
      </c>
      <c r="B152" s="13">
        <v>1.29</v>
      </c>
      <c r="C152" s="16" t="s">
        <v>5331</v>
      </c>
      <c r="D152" s="12">
        <v>8.31</v>
      </c>
      <c r="E152" s="12" t="s">
        <v>5332</v>
      </c>
      <c r="F152" s="12" t="s">
        <v>5328</v>
      </c>
      <c r="G152" s="12" t="s">
        <v>5616</v>
      </c>
      <c r="H152" s="12">
        <v>16979</v>
      </c>
    </row>
    <row r="153" spans="1:8">
      <c r="A153" s="12" t="s">
        <v>5617</v>
      </c>
      <c r="B153" s="13">
        <v>6.97</v>
      </c>
      <c r="C153" s="16" t="s">
        <v>5331</v>
      </c>
      <c r="D153" s="12">
        <v>22.35</v>
      </c>
      <c r="E153" s="12" t="s">
        <v>5332</v>
      </c>
      <c r="F153" s="12" t="s">
        <v>5328</v>
      </c>
      <c r="G153" s="12" t="s">
        <v>5618</v>
      </c>
      <c r="H153" s="12">
        <v>16981</v>
      </c>
    </row>
    <row r="154" spans="1:8">
      <c r="A154" s="12" t="s">
        <v>5619</v>
      </c>
      <c r="B154" s="13">
        <v>3.73</v>
      </c>
      <c r="C154" s="16" t="s">
        <v>5331</v>
      </c>
      <c r="D154" s="12">
        <v>20.73</v>
      </c>
      <c r="E154" s="12" t="s">
        <v>5332</v>
      </c>
      <c r="F154" s="12" t="s">
        <v>5328</v>
      </c>
      <c r="G154" s="12" t="s">
        <v>5620</v>
      </c>
      <c r="H154" s="12">
        <v>16982</v>
      </c>
    </row>
    <row r="155" spans="1:8">
      <c r="A155" s="12" t="s">
        <v>5621</v>
      </c>
      <c r="B155" s="13">
        <v>23.14</v>
      </c>
      <c r="C155" s="16" t="s">
        <v>5331</v>
      </c>
      <c r="D155" s="12">
        <v>60.33</v>
      </c>
      <c r="E155" s="12" t="s">
        <v>5332</v>
      </c>
      <c r="F155" s="12" t="s">
        <v>5328</v>
      </c>
      <c r="G155" s="12" t="s">
        <v>5622</v>
      </c>
      <c r="H155" s="12">
        <v>30957</v>
      </c>
    </row>
    <row r="156" spans="1:8">
      <c r="A156" s="12" t="s">
        <v>5623</v>
      </c>
      <c r="B156" s="13">
        <v>16.2</v>
      </c>
      <c r="C156" s="16" t="s">
        <v>5331</v>
      </c>
      <c r="D156" s="12">
        <v>54.69</v>
      </c>
      <c r="E156" s="12" t="s">
        <v>5332</v>
      </c>
      <c r="F156" s="12" t="s">
        <v>5328</v>
      </c>
      <c r="G156" s="12" t="s">
        <v>5624</v>
      </c>
      <c r="H156" s="12">
        <v>16987</v>
      </c>
    </row>
    <row r="157" spans="1:8">
      <c r="A157" s="12" t="s">
        <v>5625</v>
      </c>
      <c r="B157" s="13">
        <v>11.57</v>
      </c>
      <c r="C157" s="16" t="s">
        <v>5331</v>
      </c>
      <c r="D157" s="12">
        <v>50.91</v>
      </c>
      <c r="E157" s="12" t="s">
        <v>5332</v>
      </c>
      <c r="F157" s="12" t="s">
        <v>5328</v>
      </c>
      <c r="G157" s="12" t="s">
        <v>5626</v>
      </c>
      <c r="H157" s="12">
        <v>30955</v>
      </c>
    </row>
    <row r="158" spans="1:8">
      <c r="A158" s="12" t="s">
        <v>5627</v>
      </c>
      <c r="B158" s="13">
        <v>20.83</v>
      </c>
      <c r="C158" s="16" t="s">
        <v>5331</v>
      </c>
      <c r="D158" s="12">
        <v>49.59</v>
      </c>
      <c r="E158" s="12" t="s">
        <v>5332</v>
      </c>
      <c r="F158" s="12" t="s">
        <v>5328</v>
      </c>
      <c r="G158" s="12" t="s">
        <v>5628</v>
      </c>
      <c r="H158" s="12">
        <v>16992</v>
      </c>
    </row>
    <row r="159" spans="1:8">
      <c r="A159" s="12" t="s">
        <v>5629</v>
      </c>
      <c r="B159" s="13">
        <v>42.27</v>
      </c>
      <c r="C159" s="16" t="s">
        <v>5331</v>
      </c>
      <c r="D159" s="12">
        <v>101.82</v>
      </c>
      <c r="E159" s="12" t="s">
        <v>5332</v>
      </c>
      <c r="F159" s="12" t="s">
        <v>5328</v>
      </c>
      <c r="G159" s="12" t="s">
        <v>5630</v>
      </c>
      <c r="H159" s="12">
        <v>16994</v>
      </c>
    </row>
    <row r="160" spans="1:8">
      <c r="A160" s="12" t="s">
        <v>5631</v>
      </c>
      <c r="B160" s="13">
        <v>1.24</v>
      </c>
      <c r="C160" s="16" t="s">
        <v>5331</v>
      </c>
      <c r="D160" s="12">
        <v>8.73</v>
      </c>
      <c r="E160" s="12" t="s">
        <v>5332</v>
      </c>
      <c r="F160" s="12" t="s">
        <v>5328</v>
      </c>
      <c r="G160" s="12" t="s">
        <v>5632</v>
      </c>
      <c r="H160" s="12">
        <v>16995</v>
      </c>
    </row>
    <row r="161" spans="1:8">
      <c r="A161" s="12" t="s">
        <v>5633</v>
      </c>
      <c r="B161" s="13">
        <v>22.7</v>
      </c>
      <c r="C161" s="16" t="s">
        <v>5331</v>
      </c>
      <c r="D161" s="12">
        <v>68.28</v>
      </c>
      <c r="E161" s="12" t="s">
        <v>5332</v>
      </c>
      <c r="F161" s="12" t="s">
        <v>5328</v>
      </c>
      <c r="G161" s="12" t="s">
        <v>5634</v>
      </c>
      <c r="H161" s="12">
        <v>30275</v>
      </c>
    </row>
    <row r="162" spans="1:8">
      <c r="A162" s="12" t="s">
        <v>5635</v>
      </c>
      <c r="B162" s="13">
        <v>33.69</v>
      </c>
      <c r="C162" s="16" t="s">
        <v>5331</v>
      </c>
      <c r="D162" s="12">
        <v>105.57</v>
      </c>
      <c r="E162" s="12" t="s">
        <v>5332</v>
      </c>
      <c r="F162" s="12" t="s">
        <v>5328</v>
      </c>
      <c r="G162" s="12" t="s">
        <v>5636</v>
      </c>
      <c r="H162" s="12">
        <v>16999</v>
      </c>
    </row>
    <row r="163" spans="1:8">
      <c r="A163" s="12" t="s">
        <v>5637</v>
      </c>
      <c r="B163" s="13">
        <v>8.74</v>
      </c>
      <c r="C163" s="16" t="s">
        <v>5331</v>
      </c>
      <c r="D163" s="12">
        <v>52.8</v>
      </c>
      <c r="E163" s="12" t="s">
        <v>5332</v>
      </c>
      <c r="F163" s="12" t="s">
        <v>5328</v>
      </c>
      <c r="G163" s="12" t="s">
        <v>5638</v>
      </c>
      <c r="H163" s="12">
        <v>17000</v>
      </c>
    </row>
    <row r="164" spans="1:8">
      <c r="A164" s="12" t="s">
        <v>5639</v>
      </c>
      <c r="B164" s="13">
        <v>7.5</v>
      </c>
      <c r="C164" s="16" t="s">
        <v>5331</v>
      </c>
      <c r="D164" s="12">
        <v>27.74</v>
      </c>
      <c r="E164" s="12" t="s">
        <v>5332</v>
      </c>
      <c r="F164" s="12" t="s">
        <v>5328</v>
      </c>
      <c r="G164" s="12" t="s">
        <v>5640</v>
      </c>
      <c r="H164" s="12">
        <v>44090</v>
      </c>
    </row>
    <row r="165" spans="1:8">
      <c r="A165" s="12" t="s">
        <v>5641</v>
      </c>
      <c r="B165" s="13">
        <v>1.54</v>
      </c>
      <c r="C165" s="16" t="s">
        <v>5331</v>
      </c>
      <c r="D165" s="12">
        <v>8.67</v>
      </c>
      <c r="E165" s="12" t="s">
        <v>5332</v>
      </c>
      <c r="F165" s="12" t="s">
        <v>5328</v>
      </c>
      <c r="G165" s="12" t="s">
        <v>5642</v>
      </c>
      <c r="H165" s="12">
        <v>17003</v>
      </c>
    </row>
    <row r="166" spans="1:8">
      <c r="A166" s="12" t="s">
        <v>5643</v>
      </c>
      <c r="B166" s="13">
        <v>1.54</v>
      </c>
      <c r="C166" s="16" t="s">
        <v>5331</v>
      </c>
      <c r="D166" s="12">
        <v>6.42</v>
      </c>
      <c r="E166" s="12" t="s">
        <v>5332</v>
      </c>
      <c r="F166" s="12" t="s">
        <v>5328</v>
      </c>
      <c r="G166" s="12" t="s">
        <v>5644</v>
      </c>
      <c r="H166" s="12">
        <v>17004</v>
      </c>
    </row>
    <row r="167" spans="1:8">
      <c r="A167" s="12" t="s">
        <v>5645</v>
      </c>
      <c r="B167" s="13">
        <v>1.8</v>
      </c>
      <c r="C167" s="16" t="s">
        <v>5331</v>
      </c>
      <c r="D167" s="12">
        <v>5.67</v>
      </c>
      <c r="E167" s="12" t="s">
        <v>5332</v>
      </c>
      <c r="F167" s="12" t="s">
        <v>5328</v>
      </c>
      <c r="G167" s="12" t="s">
        <v>5646</v>
      </c>
      <c r="H167" s="12">
        <v>17005</v>
      </c>
    </row>
    <row r="168" spans="1:8">
      <c r="A168" s="12" t="s">
        <v>5647</v>
      </c>
      <c r="B168" s="13">
        <v>25.64</v>
      </c>
      <c r="C168" s="16" t="s">
        <v>5331</v>
      </c>
      <c r="D168" s="12">
        <v>105.57</v>
      </c>
      <c r="E168" s="12" t="s">
        <v>5332</v>
      </c>
      <c r="F168" s="12" t="s">
        <v>5328</v>
      </c>
      <c r="G168" s="12" t="s">
        <v>5648</v>
      </c>
      <c r="H168" s="12">
        <v>31804</v>
      </c>
    </row>
    <row r="169" spans="1:8">
      <c r="A169" s="12" t="s">
        <v>5649</v>
      </c>
      <c r="B169" s="13">
        <v>1.8</v>
      </c>
      <c r="C169" s="16" t="s">
        <v>5331</v>
      </c>
      <c r="D169" s="12">
        <v>8.31</v>
      </c>
      <c r="E169" s="12" t="s">
        <v>5332</v>
      </c>
      <c r="F169" s="12" t="s">
        <v>5328</v>
      </c>
      <c r="G169" s="12" t="s">
        <v>5650</v>
      </c>
      <c r="H169" s="12">
        <v>17009</v>
      </c>
    </row>
    <row r="170" spans="1:8">
      <c r="A170" s="12" t="s">
        <v>5651</v>
      </c>
      <c r="B170" s="13">
        <v>15.62</v>
      </c>
      <c r="C170" s="16" t="s">
        <v>5331</v>
      </c>
      <c r="D170" s="12">
        <v>66</v>
      </c>
      <c r="E170" s="12" t="s">
        <v>5332</v>
      </c>
      <c r="F170" s="12" t="s">
        <v>5328</v>
      </c>
      <c r="G170" s="12" t="s">
        <v>5652</v>
      </c>
      <c r="H170" s="12">
        <v>17011</v>
      </c>
    </row>
    <row r="171" spans="1:8">
      <c r="A171" s="12" t="s">
        <v>5653</v>
      </c>
      <c r="B171" s="13">
        <v>55.08</v>
      </c>
      <c r="C171" s="16" t="s">
        <v>5331</v>
      </c>
      <c r="D171" s="12">
        <v>294.60000000000002</v>
      </c>
      <c r="E171" s="12" t="s">
        <v>5332</v>
      </c>
      <c r="F171" s="12" t="s">
        <v>5328</v>
      </c>
      <c r="G171" s="12" t="s">
        <v>5654</v>
      </c>
      <c r="H171" s="12">
        <v>17015</v>
      </c>
    </row>
    <row r="172" spans="1:8">
      <c r="A172" s="12" t="s">
        <v>5655</v>
      </c>
      <c r="B172" s="13">
        <v>11.32</v>
      </c>
      <c r="C172" s="16" t="s">
        <v>5331</v>
      </c>
      <c r="D172" s="12">
        <v>52.8</v>
      </c>
      <c r="E172" s="12" t="s">
        <v>5332</v>
      </c>
      <c r="F172" s="12" t="s">
        <v>5328</v>
      </c>
      <c r="G172" s="12" t="s">
        <v>5656</v>
      </c>
      <c r="H172" s="12">
        <v>17017</v>
      </c>
    </row>
    <row r="173" spans="1:8">
      <c r="A173" s="12" t="s">
        <v>5657</v>
      </c>
      <c r="B173" s="13">
        <v>3.1</v>
      </c>
      <c r="C173" s="16" t="s">
        <v>5331</v>
      </c>
      <c r="D173" s="12">
        <v>18.84</v>
      </c>
      <c r="E173" s="12" t="s">
        <v>5332</v>
      </c>
      <c r="F173" s="12" t="s">
        <v>5328</v>
      </c>
      <c r="G173" s="12" t="s">
        <v>5658</v>
      </c>
      <c r="H173" s="12">
        <v>17018</v>
      </c>
    </row>
    <row r="174" spans="1:8">
      <c r="A174" s="12" t="s">
        <v>5659</v>
      </c>
      <c r="B174" s="13">
        <v>29.57</v>
      </c>
      <c r="C174" s="16" t="s">
        <v>5331</v>
      </c>
      <c r="D174" s="12">
        <v>149.55000000000001</v>
      </c>
      <c r="E174" s="12" t="s">
        <v>5332</v>
      </c>
      <c r="F174" s="12" t="s">
        <v>5328</v>
      </c>
      <c r="G174" s="12" t="s">
        <v>5660</v>
      </c>
      <c r="H174" s="12">
        <v>36116</v>
      </c>
    </row>
    <row r="175" spans="1:8">
      <c r="A175" s="12" t="s">
        <v>5659</v>
      </c>
      <c r="B175" s="13">
        <v>29.57</v>
      </c>
      <c r="C175" s="16" t="s">
        <v>5331</v>
      </c>
      <c r="D175" s="12">
        <v>99.7</v>
      </c>
      <c r="E175" s="12" t="s">
        <v>5332</v>
      </c>
      <c r="F175" s="12" t="s">
        <v>5328</v>
      </c>
      <c r="G175" s="12" t="s">
        <v>5660</v>
      </c>
      <c r="H175" s="12">
        <v>36116</v>
      </c>
    </row>
    <row r="176" spans="1:8">
      <c r="A176" s="12" t="s">
        <v>5661</v>
      </c>
      <c r="B176" s="13">
        <v>1.86</v>
      </c>
      <c r="C176" s="16" t="s">
        <v>5331</v>
      </c>
      <c r="D176" s="12">
        <v>7.65</v>
      </c>
      <c r="E176" s="12" t="s">
        <v>5332</v>
      </c>
      <c r="F176" s="12" t="s">
        <v>5328</v>
      </c>
      <c r="G176" s="12" t="s">
        <v>5662</v>
      </c>
      <c r="H176" s="12">
        <v>17023</v>
      </c>
    </row>
    <row r="177" spans="1:8">
      <c r="A177" s="12" t="s">
        <v>5663</v>
      </c>
      <c r="B177" s="13">
        <v>105.45</v>
      </c>
      <c r="C177" s="16" t="s">
        <v>5331</v>
      </c>
      <c r="D177" s="12">
        <v>316.35000000000002</v>
      </c>
      <c r="E177" s="12" t="s">
        <v>5332</v>
      </c>
      <c r="F177" s="12" t="s">
        <v>5328</v>
      </c>
      <c r="G177" s="12" t="s">
        <v>5664</v>
      </c>
      <c r="H177" s="12">
        <v>17024</v>
      </c>
    </row>
    <row r="178" spans="1:8">
      <c r="A178" s="12" t="s">
        <v>5665</v>
      </c>
      <c r="B178" s="13">
        <v>5.4</v>
      </c>
      <c r="C178" s="16" t="s">
        <v>5331</v>
      </c>
      <c r="D178" s="12">
        <v>13.29</v>
      </c>
      <c r="E178" s="12" t="s">
        <v>5332</v>
      </c>
      <c r="F178" s="12" t="s">
        <v>5328</v>
      </c>
      <c r="G178" s="12" t="s">
        <v>5666</v>
      </c>
      <c r="H178" s="12">
        <v>17025</v>
      </c>
    </row>
    <row r="179" spans="1:8">
      <c r="A179" s="12" t="s">
        <v>5667</v>
      </c>
      <c r="B179" s="13">
        <v>7.46</v>
      </c>
      <c r="C179" s="16" t="s">
        <v>5331</v>
      </c>
      <c r="D179" s="12">
        <v>13.29</v>
      </c>
      <c r="E179" s="12" t="s">
        <v>5332</v>
      </c>
      <c r="F179" s="12" t="s">
        <v>5328</v>
      </c>
      <c r="G179" s="12" t="s">
        <v>5668</v>
      </c>
      <c r="H179" s="12">
        <v>17026</v>
      </c>
    </row>
    <row r="180" spans="1:8">
      <c r="A180" s="12" t="s">
        <v>5669</v>
      </c>
      <c r="B180" s="13">
        <v>5.14</v>
      </c>
      <c r="C180" s="16" t="s">
        <v>5331</v>
      </c>
      <c r="D180" s="12">
        <v>13.29</v>
      </c>
      <c r="E180" s="12" t="s">
        <v>5332</v>
      </c>
      <c r="F180" s="12" t="s">
        <v>5328</v>
      </c>
      <c r="G180" s="12" t="s">
        <v>5670</v>
      </c>
      <c r="H180" s="12">
        <v>17027</v>
      </c>
    </row>
    <row r="181" spans="1:8">
      <c r="A181" s="12" t="s">
        <v>5671</v>
      </c>
      <c r="B181" s="13">
        <v>6.43</v>
      </c>
      <c r="C181" s="16" t="s">
        <v>5331</v>
      </c>
      <c r="D181" s="12">
        <v>13.29</v>
      </c>
      <c r="E181" s="12" t="s">
        <v>5332</v>
      </c>
      <c r="F181" s="12" t="s">
        <v>5328</v>
      </c>
      <c r="G181" s="12" t="s">
        <v>5672</v>
      </c>
      <c r="H181" s="12">
        <v>17028</v>
      </c>
    </row>
    <row r="182" spans="1:8">
      <c r="A182" s="12" t="s">
        <v>5673</v>
      </c>
      <c r="B182" s="13">
        <v>2.29</v>
      </c>
      <c r="C182" s="16" t="s">
        <v>5331</v>
      </c>
      <c r="D182" s="12">
        <v>6.75</v>
      </c>
      <c r="E182" s="12" t="s">
        <v>5332</v>
      </c>
      <c r="F182" s="12" t="s">
        <v>5328</v>
      </c>
      <c r="G182" s="12" t="s">
        <v>5674</v>
      </c>
      <c r="H182" s="12">
        <v>17029</v>
      </c>
    </row>
    <row r="183" spans="1:8">
      <c r="A183" s="12" t="s">
        <v>5675</v>
      </c>
      <c r="B183" s="13">
        <v>4.6900000000000004</v>
      </c>
      <c r="C183" s="16" t="s">
        <v>5331</v>
      </c>
      <c r="D183" s="12">
        <v>14.958</v>
      </c>
      <c r="E183" s="12" t="s">
        <v>5332</v>
      </c>
      <c r="F183" s="12" t="s">
        <v>5328</v>
      </c>
      <c r="G183" s="12" t="s">
        <v>5676</v>
      </c>
      <c r="H183" s="12">
        <v>17030</v>
      </c>
    </row>
    <row r="184" spans="1:8">
      <c r="A184" s="12" t="s">
        <v>5677</v>
      </c>
      <c r="B184" s="13">
        <v>2.92</v>
      </c>
      <c r="C184" s="16" t="s">
        <v>5331</v>
      </c>
      <c r="D184" s="12">
        <v>28.35</v>
      </c>
      <c r="E184" s="12" t="s">
        <v>5332</v>
      </c>
      <c r="F184" s="12" t="s">
        <v>5328</v>
      </c>
      <c r="G184" s="12" t="s">
        <v>5678</v>
      </c>
      <c r="H184" s="12">
        <v>17035</v>
      </c>
    </row>
    <row r="185" spans="1:8">
      <c r="A185" s="12" t="s">
        <v>5679</v>
      </c>
      <c r="B185" s="13">
        <v>13.98</v>
      </c>
      <c r="C185" s="16" t="s">
        <v>5331</v>
      </c>
      <c r="D185" s="12">
        <v>41.94</v>
      </c>
      <c r="E185" s="12" t="s">
        <v>5332</v>
      </c>
      <c r="F185" s="12" t="s">
        <v>5328</v>
      </c>
      <c r="G185" s="12" t="s">
        <v>5680</v>
      </c>
      <c r="H185" s="12">
        <v>17036</v>
      </c>
    </row>
    <row r="186" spans="1:8">
      <c r="A186" s="12" t="s">
        <v>5681</v>
      </c>
      <c r="B186" s="13">
        <v>1.31</v>
      </c>
      <c r="C186" s="16" t="s">
        <v>5331</v>
      </c>
      <c r="D186" s="12">
        <v>19.05</v>
      </c>
      <c r="E186" s="12" t="s">
        <v>5332</v>
      </c>
      <c r="F186" s="12" t="s">
        <v>5328</v>
      </c>
      <c r="G186" s="12" t="s">
        <v>5682</v>
      </c>
      <c r="H186" s="12">
        <v>17038</v>
      </c>
    </row>
    <row r="187" spans="1:8">
      <c r="A187" s="12" t="s">
        <v>5683</v>
      </c>
      <c r="B187" s="13">
        <v>6.14</v>
      </c>
      <c r="C187" s="16" t="s">
        <v>5331</v>
      </c>
      <c r="D187" s="12">
        <v>18</v>
      </c>
      <c r="E187" s="12" t="s">
        <v>5332</v>
      </c>
      <c r="F187" s="12" t="s">
        <v>5328</v>
      </c>
      <c r="G187" s="12" t="s">
        <v>5684</v>
      </c>
      <c r="H187" s="12">
        <v>17039</v>
      </c>
    </row>
    <row r="188" spans="1:8">
      <c r="A188" s="12" t="s">
        <v>5685</v>
      </c>
      <c r="B188" s="13">
        <v>1.86</v>
      </c>
      <c r="C188" s="16" t="s">
        <v>5331</v>
      </c>
      <c r="D188" s="12">
        <v>8.7899999999999991</v>
      </c>
      <c r="E188" s="12" t="s">
        <v>5332</v>
      </c>
      <c r="F188" s="12" t="s">
        <v>5328</v>
      </c>
      <c r="G188" s="12" t="s">
        <v>5686</v>
      </c>
      <c r="H188" s="12">
        <v>17040</v>
      </c>
    </row>
    <row r="189" spans="1:8">
      <c r="A189" s="12" t="s">
        <v>5687</v>
      </c>
      <c r="B189" s="13">
        <v>2.7</v>
      </c>
      <c r="C189" s="16" t="s">
        <v>5331</v>
      </c>
      <c r="D189" s="12">
        <v>31.89</v>
      </c>
      <c r="E189" s="12" t="s">
        <v>5332</v>
      </c>
      <c r="F189" s="12" t="s">
        <v>5328</v>
      </c>
      <c r="G189" s="12" t="s">
        <v>5688</v>
      </c>
      <c r="H189" s="12">
        <v>17042</v>
      </c>
    </row>
    <row r="190" spans="1:8">
      <c r="A190" s="12" t="s">
        <v>5689</v>
      </c>
      <c r="B190" s="13">
        <v>2.38</v>
      </c>
      <c r="C190" s="16" t="s">
        <v>5331</v>
      </c>
      <c r="D190" s="12">
        <v>42.51</v>
      </c>
      <c r="E190" s="12" t="s">
        <v>5332</v>
      </c>
      <c r="F190" s="12" t="s">
        <v>5328</v>
      </c>
      <c r="G190" s="12" t="s">
        <v>5690</v>
      </c>
      <c r="H190" s="12">
        <v>36123</v>
      </c>
    </row>
    <row r="191" spans="1:8">
      <c r="A191" s="12" t="s">
        <v>5691</v>
      </c>
      <c r="B191" s="13">
        <v>0</v>
      </c>
      <c r="C191" s="16" t="s">
        <v>5331</v>
      </c>
      <c r="D191" s="12">
        <v>1.35</v>
      </c>
      <c r="E191" s="12" t="s">
        <v>5332</v>
      </c>
      <c r="F191" s="12" t="s">
        <v>5328</v>
      </c>
      <c r="G191" s="12" t="s">
        <v>5692</v>
      </c>
      <c r="H191" s="12">
        <v>17045</v>
      </c>
    </row>
    <row r="192" spans="1:8">
      <c r="A192" s="12" t="s">
        <v>5693</v>
      </c>
      <c r="B192" s="13">
        <v>2.06</v>
      </c>
      <c r="C192" s="16" t="s">
        <v>5331</v>
      </c>
      <c r="D192" s="12">
        <v>18</v>
      </c>
      <c r="E192" s="12" t="s">
        <v>5332</v>
      </c>
      <c r="F192" s="12" t="s">
        <v>5328</v>
      </c>
      <c r="G192" s="12" t="s">
        <v>5694</v>
      </c>
      <c r="H192" s="12">
        <v>17048</v>
      </c>
    </row>
    <row r="193" spans="1:8">
      <c r="A193" s="12" t="s">
        <v>5695</v>
      </c>
      <c r="B193" s="13">
        <v>19.440000000000001</v>
      </c>
      <c r="C193" s="16" t="s">
        <v>5331</v>
      </c>
      <c r="D193" s="12">
        <v>58.32</v>
      </c>
      <c r="E193" s="12" t="s">
        <v>5332</v>
      </c>
      <c r="F193" s="12" t="s">
        <v>5328</v>
      </c>
      <c r="G193" s="12" t="s">
        <v>5696</v>
      </c>
      <c r="H193" s="12">
        <v>17049</v>
      </c>
    </row>
    <row r="194" spans="1:8">
      <c r="A194" s="12" t="s">
        <v>5697</v>
      </c>
      <c r="B194" s="13">
        <v>0.91</v>
      </c>
      <c r="C194" s="16" t="s">
        <v>5331</v>
      </c>
      <c r="D194" s="12">
        <v>6</v>
      </c>
      <c r="E194" s="12" t="s">
        <v>5332</v>
      </c>
      <c r="F194" s="12" t="s">
        <v>5328</v>
      </c>
      <c r="G194" s="12" t="s">
        <v>5698</v>
      </c>
      <c r="H194" s="12">
        <v>17051</v>
      </c>
    </row>
    <row r="195" spans="1:8">
      <c r="A195" s="12" t="s">
        <v>5699</v>
      </c>
      <c r="B195" s="13">
        <v>0.39</v>
      </c>
      <c r="C195" s="16" t="s">
        <v>5331</v>
      </c>
      <c r="D195" s="12">
        <v>6.9</v>
      </c>
      <c r="E195" s="12" t="s">
        <v>5332</v>
      </c>
      <c r="F195" s="12" t="s">
        <v>5328</v>
      </c>
      <c r="G195" s="12" t="s">
        <v>5700</v>
      </c>
      <c r="H195" s="12">
        <v>17053</v>
      </c>
    </row>
    <row r="196" spans="1:8">
      <c r="A196" s="12" t="s">
        <v>5701</v>
      </c>
      <c r="B196" s="13">
        <v>9.8800000000000008</v>
      </c>
      <c r="C196" s="16" t="s">
        <v>5331</v>
      </c>
      <c r="D196" s="12">
        <v>59.4</v>
      </c>
      <c r="E196" s="12" t="s">
        <v>5332</v>
      </c>
      <c r="F196" s="12" t="s">
        <v>5328</v>
      </c>
      <c r="G196" s="12" t="s">
        <v>5702</v>
      </c>
      <c r="H196" s="12">
        <v>17054</v>
      </c>
    </row>
    <row r="197" spans="1:8">
      <c r="A197" s="12" t="s">
        <v>5703</v>
      </c>
      <c r="B197" s="13">
        <v>4.5</v>
      </c>
      <c r="C197" s="16" t="s">
        <v>5331</v>
      </c>
      <c r="D197" s="12">
        <v>14.88</v>
      </c>
      <c r="E197" s="12" t="s">
        <v>5332</v>
      </c>
      <c r="F197" s="12" t="s">
        <v>5328</v>
      </c>
      <c r="G197" s="12" t="s">
        <v>5704</v>
      </c>
      <c r="H197" s="12">
        <v>47719</v>
      </c>
    </row>
    <row r="198" spans="1:8">
      <c r="A198" s="12" t="s">
        <v>5705</v>
      </c>
      <c r="B198" s="13">
        <v>7.84</v>
      </c>
      <c r="C198" s="16" t="s">
        <v>5331</v>
      </c>
      <c r="D198" s="12">
        <v>80.489999999999995</v>
      </c>
      <c r="E198" s="12" t="s">
        <v>5332</v>
      </c>
      <c r="F198" s="12" t="s">
        <v>5328</v>
      </c>
      <c r="G198" s="12" t="s">
        <v>5706</v>
      </c>
      <c r="H198" s="12">
        <v>17061</v>
      </c>
    </row>
    <row r="199" spans="1:8">
      <c r="A199" s="12" t="s">
        <v>5707</v>
      </c>
      <c r="B199" s="13">
        <v>7.14</v>
      </c>
      <c r="C199" s="16" t="s">
        <v>5331</v>
      </c>
      <c r="D199" s="12">
        <v>21.855</v>
      </c>
      <c r="E199" s="12" t="s">
        <v>5332</v>
      </c>
      <c r="F199" s="12" t="s">
        <v>5328</v>
      </c>
      <c r="G199" s="12" t="s">
        <v>5708</v>
      </c>
      <c r="H199" s="12">
        <v>17062</v>
      </c>
    </row>
    <row r="200" spans="1:8">
      <c r="A200" s="12" t="s">
        <v>5709</v>
      </c>
      <c r="B200" s="13">
        <v>34.19</v>
      </c>
      <c r="C200" s="16" t="s">
        <v>5331</v>
      </c>
      <c r="D200" s="12">
        <v>214.47</v>
      </c>
      <c r="E200" s="12" t="s">
        <v>5332</v>
      </c>
      <c r="F200" s="12" t="s">
        <v>5328</v>
      </c>
      <c r="G200" s="12" t="s">
        <v>5710</v>
      </c>
      <c r="H200" s="12">
        <v>17066</v>
      </c>
    </row>
    <row r="201" spans="1:8">
      <c r="A201" s="12" t="s">
        <v>5711</v>
      </c>
      <c r="B201" s="13">
        <v>8.49</v>
      </c>
      <c r="C201" s="16" t="s">
        <v>5331</v>
      </c>
      <c r="D201" s="12">
        <v>45.93</v>
      </c>
      <c r="E201" s="12" t="s">
        <v>5332</v>
      </c>
      <c r="F201" s="12" t="s">
        <v>5328</v>
      </c>
      <c r="G201" s="12" t="s">
        <v>5712</v>
      </c>
      <c r="H201" s="12">
        <v>17068</v>
      </c>
    </row>
    <row r="202" spans="1:8">
      <c r="A202" s="12" t="s">
        <v>5713</v>
      </c>
      <c r="B202" s="13">
        <v>109.68</v>
      </c>
      <c r="C202" s="16" t="s">
        <v>5331</v>
      </c>
      <c r="D202" s="12">
        <v>350.31900000000002</v>
      </c>
      <c r="E202" s="12" t="s">
        <v>5332</v>
      </c>
      <c r="F202" s="12" t="s">
        <v>5328</v>
      </c>
      <c r="G202" s="12" t="s">
        <v>5714</v>
      </c>
      <c r="H202" s="12">
        <v>17074</v>
      </c>
    </row>
    <row r="203" spans="1:8">
      <c r="A203" s="12" t="s">
        <v>5715</v>
      </c>
      <c r="B203" s="13">
        <v>13.89</v>
      </c>
      <c r="C203" s="16" t="s">
        <v>5331</v>
      </c>
      <c r="D203" s="12">
        <v>41.13</v>
      </c>
      <c r="E203" s="12" t="s">
        <v>5332</v>
      </c>
      <c r="F203" s="12" t="s">
        <v>5328</v>
      </c>
      <c r="G203" s="12" t="s">
        <v>5716</v>
      </c>
      <c r="H203" s="12">
        <v>17075</v>
      </c>
    </row>
    <row r="204" spans="1:8">
      <c r="A204" s="12" t="s">
        <v>5717</v>
      </c>
      <c r="B204" s="13">
        <v>14.53</v>
      </c>
      <c r="C204" s="16" t="s">
        <v>5331</v>
      </c>
      <c r="D204" s="12">
        <v>44.478000000000002</v>
      </c>
      <c r="E204" s="12" t="s">
        <v>5332</v>
      </c>
      <c r="F204" s="12" t="s">
        <v>5328</v>
      </c>
      <c r="G204" s="12" t="s">
        <v>5718</v>
      </c>
      <c r="H204" s="12">
        <v>17077</v>
      </c>
    </row>
    <row r="205" spans="1:8">
      <c r="A205" s="12" t="s">
        <v>5719</v>
      </c>
      <c r="B205" s="13">
        <v>6.46</v>
      </c>
      <c r="C205" s="16" t="s">
        <v>5331</v>
      </c>
      <c r="D205" s="12">
        <v>32.729999999999997</v>
      </c>
      <c r="E205" s="12" t="s">
        <v>5332</v>
      </c>
      <c r="F205" s="12" t="s">
        <v>5328</v>
      </c>
      <c r="G205" s="12" t="s">
        <v>5720</v>
      </c>
      <c r="H205" s="12">
        <v>17078</v>
      </c>
    </row>
    <row r="206" spans="1:8">
      <c r="A206" s="12" t="s">
        <v>5721</v>
      </c>
      <c r="B206" s="13">
        <v>8.77</v>
      </c>
      <c r="C206" s="16" t="s">
        <v>5331</v>
      </c>
      <c r="D206" s="12">
        <v>26.841000000000001</v>
      </c>
      <c r="E206" s="12" t="s">
        <v>5332</v>
      </c>
      <c r="F206" s="12" t="s">
        <v>5328</v>
      </c>
      <c r="G206" s="12" t="s">
        <v>5722</v>
      </c>
      <c r="H206" s="12">
        <v>17079</v>
      </c>
    </row>
    <row r="207" spans="1:8">
      <c r="A207" s="12" t="s">
        <v>5723</v>
      </c>
      <c r="B207" s="13">
        <v>6.67</v>
      </c>
      <c r="C207" s="16" t="s">
        <v>5331</v>
      </c>
      <c r="D207" s="12">
        <v>41.94</v>
      </c>
      <c r="E207" s="12" t="s">
        <v>5332</v>
      </c>
      <c r="F207" s="12" t="s">
        <v>5328</v>
      </c>
      <c r="G207" s="12" t="s">
        <v>5724</v>
      </c>
      <c r="H207" s="12">
        <v>17083</v>
      </c>
    </row>
    <row r="208" spans="1:8">
      <c r="A208" s="12" t="s">
        <v>5725</v>
      </c>
      <c r="B208" s="13">
        <v>1.74</v>
      </c>
      <c r="C208" s="16" t="s">
        <v>5331</v>
      </c>
      <c r="D208" s="12">
        <v>9.5399999999999991</v>
      </c>
      <c r="E208" s="12" t="s">
        <v>5332</v>
      </c>
      <c r="F208" s="12" t="s">
        <v>5328</v>
      </c>
      <c r="G208" s="12" t="s">
        <v>5726</v>
      </c>
      <c r="H208" s="12">
        <v>17084</v>
      </c>
    </row>
    <row r="209" spans="1:8">
      <c r="A209" s="12" t="s">
        <v>5727</v>
      </c>
      <c r="B209" s="13">
        <v>8.16</v>
      </c>
      <c r="C209" s="16" t="s">
        <v>5331</v>
      </c>
      <c r="D209" s="12">
        <v>40.92</v>
      </c>
      <c r="E209" s="12" t="s">
        <v>5332</v>
      </c>
      <c r="F209" s="12" t="s">
        <v>5328</v>
      </c>
      <c r="G209" s="12" t="s">
        <v>5728</v>
      </c>
      <c r="H209" s="12">
        <v>17090</v>
      </c>
    </row>
    <row r="210" spans="1:8">
      <c r="A210" s="12" t="s">
        <v>5729</v>
      </c>
      <c r="B210" s="13">
        <v>7.31</v>
      </c>
      <c r="C210" s="16" t="s">
        <v>5331</v>
      </c>
      <c r="D210" s="12">
        <v>31.8</v>
      </c>
      <c r="E210" s="12" t="s">
        <v>5332</v>
      </c>
      <c r="F210" s="12" t="s">
        <v>5328</v>
      </c>
      <c r="G210" s="12" t="s">
        <v>5730</v>
      </c>
      <c r="H210" s="12">
        <v>17091</v>
      </c>
    </row>
    <row r="211" spans="1:8">
      <c r="A211" s="12" t="s">
        <v>5731</v>
      </c>
      <c r="B211" s="13">
        <v>15.02</v>
      </c>
      <c r="C211" s="16" t="s">
        <v>5331</v>
      </c>
      <c r="D211" s="12">
        <v>48.807000000000002</v>
      </c>
      <c r="E211" s="12" t="s">
        <v>5332</v>
      </c>
      <c r="F211" s="12" t="s">
        <v>5328</v>
      </c>
      <c r="G211" s="12" t="s">
        <v>5732</v>
      </c>
      <c r="H211" s="12">
        <v>44117</v>
      </c>
    </row>
    <row r="212" spans="1:8">
      <c r="A212" s="12" t="s">
        <v>5733</v>
      </c>
      <c r="B212" s="13">
        <v>15.01</v>
      </c>
      <c r="C212" s="16" t="s">
        <v>5331</v>
      </c>
      <c r="D212" s="12">
        <v>46.838999999999999</v>
      </c>
      <c r="E212" s="12" t="s">
        <v>5332</v>
      </c>
      <c r="F212" s="12" t="s">
        <v>5328</v>
      </c>
      <c r="G212" s="12" t="s">
        <v>5734</v>
      </c>
      <c r="H212" s="12">
        <v>44118</v>
      </c>
    </row>
    <row r="213" spans="1:8">
      <c r="A213" s="12" t="s">
        <v>5735</v>
      </c>
      <c r="B213" s="13">
        <v>9.8800000000000008</v>
      </c>
      <c r="C213" s="16" t="s">
        <v>5331</v>
      </c>
      <c r="D213" s="12">
        <v>37.392000000000003</v>
      </c>
      <c r="E213" s="12" t="s">
        <v>5332</v>
      </c>
      <c r="F213" s="12" t="s">
        <v>5328</v>
      </c>
      <c r="G213" s="12" t="s">
        <v>5736</v>
      </c>
      <c r="H213" s="12">
        <v>44119</v>
      </c>
    </row>
    <row r="214" spans="1:8">
      <c r="A214" s="12" t="s">
        <v>5737</v>
      </c>
      <c r="B214" s="13">
        <v>6.82</v>
      </c>
      <c r="C214" s="16" t="s">
        <v>5331</v>
      </c>
      <c r="D214" s="12">
        <v>37.799999999999997</v>
      </c>
      <c r="E214" s="12" t="s">
        <v>5332</v>
      </c>
      <c r="F214" s="12" t="s">
        <v>5328</v>
      </c>
      <c r="G214" s="12" t="s">
        <v>5738</v>
      </c>
      <c r="H214" s="12">
        <v>47357</v>
      </c>
    </row>
    <row r="215" spans="1:8">
      <c r="A215" s="12" t="s">
        <v>5739</v>
      </c>
      <c r="B215" s="13">
        <v>5.99</v>
      </c>
      <c r="C215" s="16" t="s">
        <v>5331</v>
      </c>
      <c r="D215" s="12">
        <v>27.59</v>
      </c>
      <c r="E215" s="12" t="s">
        <v>5332</v>
      </c>
      <c r="F215" s="12" t="s">
        <v>5328</v>
      </c>
      <c r="G215" s="12" t="s">
        <v>5740</v>
      </c>
      <c r="H215" s="12">
        <v>65867</v>
      </c>
    </row>
    <row r="216" spans="1:8">
      <c r="A216" s="12" t="s">
        <v>5741</v>
      </c>
      <c r="B216" s="13">
        <v>0.3</v>
      </c>
      <c r="C216" s="16" t="s">
        <v>5331</v>
      </c>
      <c r="D216" s="12">
        <v>0.38</v>
      </c>
      <c r="E216" s="12" t="s">
        <v>5332</v>
      </c>
      <c r="F216" s="12" t="s">
        <v>5328</v>
      </c>
      <c r="G216" s="12" t="s">
        <v>5742</v>
      </c>
      <c r="H216" s="12">
        <v>11868</v>
      </c>
    </row>
    <row r="217" spans="1:8">
      <c r="A217" s="12" t="s">
        <v>5743</v>
      </c>
      <c r="B217" s="13">
        <v>2.46</v>
      </c>
      <c r="C217" s="16" t="s">
        <v>5331</v>
      </c>
      <c r="D217" s="12">
        <v>7.1820000000000004</v>
      </c>
      <c r="E217" s="12" t="s">
        <v>5332</v>
      </c>
      <c r="F217" s="12" t="s">
        <v>5328</v>
      </c>
      <c r="G217" s="12" t="s">
        <v>5744</v>
      </c>
      <c r="H217" s="12">
        <v>11886</v>
      </c>
    </row>
    <row r="218" spans="1:8">
      <c r="A218" s="12" t="s">
        <v>5745</v>
      </c>
      <c r="B218" s="13">
        <v>0.33</v>
      </c>
      <c r="C218" s="16" t="s">
        <v>5331</v>
      </c>
      <c r="D218" s="12">
        <v>3.69</v>
      </c>
      <c r="E218" s="12" t="s">
        <v>5332</v>
      </c>
      <c r="F218" s="12" t="s">
        <v>5328</v>
      </c>
      <c r="G218" s="12" t="s">
        <v>5746</v>
      </c>
      <c r="H218" s="12">
        <v>15607</v>
      </c>
    </row>
    <row r="219" spans="1:8">
      <c r="A219" s="12" t="s">
        <v>5747</v>
      </c>
      <c r="B219" s="13">
        <v>0.19</v>
      </c>
      <c r="C219" s="16" t="s">
        <v>5331</v>
      </c>
      <c r="D219" s="12">
        <v>0.75</v>
      </c>
      <c r="E219" s="12" t="s">
        <v>5332</v>
      </c>
      <c r="F219" s="12" t="s">
        <v>5328</v>
      </c>
      <c r="G219" s="12" t="s">
        <v>5748</v>
      </c>
      <c r="H219" s="12">
        <v>15629</v>
      </c>
    </row>
    <row r="220" spans="1:8">
      <c r="A220" s="12" t="s">
        <v>5749</v>
      </c>
      <c r="B220" s="13">
        <v>6.3</v>
      </c>
      <c r="C220" s="16" t="s">
        <v>5331</v>
      </c>
      <c r="D220" s="12">
        <v>0.98</v>
      </c>
      <c r="E220" s="12" t="s">
        <v>5332</v>
      </c>
      <c r="F220" s="12" t="s">
        <v>5328</v>
      </c>
      <c r="G220" s="12" t="s">
        <v>5750</v>
      </c>
      <c r="H220" s="12">
        <v>15689</v>
      </c>
    </row>
    <row r="221" spans="1:8">
      <c r="A221" s="12" t="s">
        <v>5751</v>
      </c>
      <c r="B221" s="13">
        <v>3.47</v>
      </c>
      <c r="C221" s="16" t="s">
        <v>5331</v>
      </c>
      <c r="D221" s="12">
        <v>1.32</v>
      </c>
      <c r="E221" s="12" t="s">
        <v>5332</v>
      </c>
      <c r="F221" s="12" t="s">
        <v>5328</v>
      </c>
      <c r="G221" s="12" t="s">
        <v>5752</v>
      </c>
      <c r="H221" s="12">
        <v>15700</v>
      </c>
    </row>
    <row r="222" spans="1:8">
      <c r="A222" s="12" t="s">
        <v>5753</v>
      </c>
      <c r="B222" s="13">
        <v>10.029999999999999</v>
      </c>
      <c r="C222" s="16" t="s">
        <v>5331</v>
      </c>
      <c r="D222" s="12">
        <v>8.94</v>
      </c>
      <c r="E222" s="12" t="s">
        <v>5332</v>
      </c>
      <c r="F222" s="12" t="s">
        <v>5328</v>
      </c>
      <c r="G222" s="12" t="s">
        <v>5754</v>
      </c>
      <c r="H222" s="12">
        <v>15714</v>
      </c>
    </row>
    <row r="223" spans="1:8">
      <c r="A223" s="12" t="s">
        <v>5755</v>
      </c>
      <c r="B223" s="13">
        <v>9.68</v>
      </c>
      <c r="C223" s="16" t="s">
        <v>5331</v>
      </c>
      <c r="D223" s="12">
        <v>0.8</v>
      </c>
      <c r="E223" s="12" t="s">
        <v>5332</v>
      </c>
      <c r="F223" s="12" t="s">
        <v>5328</v>
      </c>
      <c r="G223" s="12" t="s">
        <v>5756</v>
      </c>
      <c r="H223" s="12">
        <v>15762</v>
      </c>
    </row>
    <row r="224" spans="1:8">
      <c r="A224" s="12" t="s">
        <v>5757</v>
      </c>
      <c r="B224" s="13">
        <v>1.67</v>
      </c>
      <c r="C224" s="16" t="s">
        <v>5331</v>
      </c>
      <c r="D224" s="12">
        <v>1.17</v>
      </c>
      <c r="E224" s="12" t="s">
        <v>5332</v>
      </c>
      <c r="F224" s="12" t="s">
        <v>5328</v>
      </c>
      <c r="G224" s="12" t="s">
        <v>5758</v>
      </c>
      <c r="H224" s="12">
        <v>15813</v>
      </c>
    </row>
    <row r="225" spans="1:8">
      <c r="A225" s="12" t="s">
        <v>5759</v>
      </c>
      <c r="B225" s="13">
        <v>1</v>
      </c>
      <c r="C225" s="16" t="s">
        <v>5331</v>
      </c>
      <c r="D225" s="12">
        <v>0.38</v>
      </c>
      <c r="E225" s="12" t="s">
        <v>5332</v>
      </c>
      <c r="F225" s="12" t="s">
        <v>5328</v>
      </c>
      <c r="G225" s="12" t="s">
        <v>5760</v>
      </c>
      <c r="H225" s="12">
        <v>15815</v>
      </c>
    </row>
    <row r="226" spans="1:8">
      <c r="A226" s="12" t="s">
        <v>5761</v>
      </c>
      <c r="B226" s="13">
        <v>5.81</v>
      </c>
      <c r="C226" s="16" t="s">
        <v>5331</v>
      </c>
      <c r="D226" s="12">
        <v>0.06</v>
      </c>
      <c r="E226" s="12" t="s">
        <v>5332</v>
      </c>
      <c r="F226" s="12" t="s">
        <v>5328</v>
      </c>
      <c r="G226" s="12" t="s">
        <v>5762</v>
      </c>
      <c r="H226" s="12">
        <v>15828</v>
      </c>
    </row>
    <row r="227" spans="1:8">
      <c r="A227" s="12" t="s">
        <v>5763</v>
      </c>
      <c r="B227" s="13">
        <v>0.59</v>
      </c>
      <c r="C227" s="16" t="s">
        <v>5331</v>
      </c>
      <c r="D227" s="12">
        <v>4.8599999999999997E-2</v>
      </c>
      <c r="E227" s="12" t="s">
        <v>5332</v>
      </c>
      <c r="F227" s="12" t="s">
        <v>5328</v>
      </c>
      <c r="G227" s="12" t="s">
        <v>5764</v>
      </c>
      <c r="H227" s="12">
        <v>15860</v>
      </c>
    </row>
    <row r="228" spans="1:8">
      <c r="A228" s="12" t="s">
        <v>5765</v>
      </c>
      <c r="B228" s="13">
        <v>0.17</v>
      </c>
      <c r="C228" s="16" t="s">
        <v>5331</v>
      </c>
      <c r="D228" s="12">
        <v>3.1800000000000002E-2</v>
      </c>
      <c r="E228" s="12" t="s">
        <v>5332</v>
      </c>
      <c r="F228" s="12" t="s">
        <v>5328</v>
      </c>
      <c r="G228" s="12" t="s">
        <v>5766</v>
      </c>
      <c r="H228" s="12">
        <v>15864</v>
      </c>
    </row>
    <row r="229" spans="1:8">
      <c r="A229" s="12" t="s">
        <v>5767</v>
      </c>
      <c r="B229" s="13">
        <v>7.95</v>
      </c>
      <c r="C229" s="16" t="s">
        <v>5331</v>
      </c>
      <c r="D229" s="12">
        <v>0.41</v>
      </c>
      <c r="E229" s="12" t="s">
        <v>5332</v>
      </c>
      <c r="F229" s="12" t="s">
        <v>5328</v>
      </c>
      <c r="G229" s="12" t="s">
        <v>5768</v>
      </c>
      <c r="H229" s="12">
        <v>15985</v>
      </c>
    </row>
    <row r="230" spans="1:8">
      <c r="A230" s="12" t="s">
        <v>5769</v>
      </c>
      <c r="B230" s="13">
        <v>1.06</v>
      </c>
      <c r="C230" s="16" t="s">
        <v>5331</v>
      </c>
      <c r="D230" s="12">
        <v>31.05</v>
      </c>
      <c r="E230" s="12" t="s">
        <v>5332</v>
      </c>
      <c r="F230" s="12" t="s">
        <v>5328</v>
      </c>
      <c r="G230" s="12" t="s">
        <v>5770</v>
      </c>
      <c r="H230" s="12">
        <v>16045</v>
      </c>
    </row>
    <row r="231" spans="1:8">
      <c r="A231" s="12" t="s">
        <v>5771</v>
      </c>
      <c r="B231" s="13">
        <v>5.9</v>
      </c>
      <c r="C231" s="16" t="s">
        <v>5331</v>
      </c>
      <c r="D231" s="12">
        <v>20.93</v>
      </c>
      <c r="E231" s="12" t="s">
        <v>5332</v>
      </c>
      <c r="F231" s="12" t="s">
        <v>5328</v>
      </c>
      <c r="G231" s="12" t="s">
        <v>5772</v>
      </c>
      <c r="H231" s="12">
        <v>16051</v>
      </c>
    </row>
    <row r="232" spans="1:8">
      <c r="A232" s="12" t="s">
        <v>5773</v>
      </c>
      <c r="B232" s="13">
        <v>4.1500000000000004</v>
      </c>
      <c r="C232" s="16" t="s">
        <v>5331</v>
      </c>
      <c r="D232" s="12">
        <v>0.18</v>
      </c>
      <c r="E232" s="12" t="s">
        <v>5332</v>
      </c>
      <c r="F232" s="12" t="s">
        <v>5328</v>
      </c>
      <c r="G232" s="12" t="s">
        <v>5774</v>
      </c>
      <c r="H232" s="12">
        <v>16053</v>
      </c>
    </row>
    <row r="233" spans="1:8">
      <c r="A233" s="12" t="s">
        <v>5775</v>
      </c>
      <c r="B233" s="13">
        <v>10.09</v>
      </c>
      <c r="C233" s="16" t="s">
        <v>5331</v>
      </c>
      <c r="D233" s="12">
        <v>0.3</v>
      </c>
      <c r="E233" s="12" t="s">
        <v>5332</v>
      </c>
      <c r="F233" s="12" t="s">
        <v>5328</v>
      </c>
      <c r="G233" s="12" t="s">
        <v>5776</v>
      </c>
      <c r="H233" s="12">
        <v>16054</v>
      </c>
    </row>
    <row r="234" spans="1:8">
      <c r="A234" s="12" t="s">
        <v>5777</v>
      </c>
      <c r="B234" s="13">
        <v>7.83</v>
      </c>
      <c r="C234" s="16" t="s">
        <v>5331</v>
      </c>
      <c r="D234" s="12">
        <v>0.33</v>
      </c>
      <c r="E234" s="12" t="s">
        <v>5332</v>
      </c>
      <c r="F234" s="12" t="s">
        <v>5328</v>
      </c>
      <c r="G234" s="12" t="s">
        <v>5778</v>
      </c>
      <c r="H234" s="12">
        <v>16057</v>
      </c>
    </row>
    <row r="235" spans="1:8">
      <c r="A235" s="12" t="s">
        <v>5779</v>
      </c>
      <c r="B235" s="13">
        <v>1.6</v>
      </c>
      <c r="C235" s="16" t="s">
        <v>5331</v>
      </c>
      <c r="D235" s="12">
        <v>2.754</v>
      </c>
      <c r="E235" s="12" t="s">
        <v>5332</v>
      </c>
      <c r="F235" s="12" t="s">
        <v>5328</v>
      </c>
      <c r="G235" s="12" t="s">
        <v>5780</v>
      </c>
      <c r="H235" s="12">
        <v>16061</v>
      </c>
    </row>
    <row r="236" spans="1:8">
      <c r="A236" s="12" t="s">
        <v>5781</v>
      </c>
      <c r="B236" s="13">
        <v>1.1000000000000001</v>
      </c>
      <c r="C236" s="16" t="s">
        <v>5331</v>
      </c>
      <c r="D236" s="12">
        <v>0.222</v>
      </c>
      <c r="E236" s="12" t="s">
        <v>5332</v>
      </c>
      <c r="F236" s="12" t="s">
        <v>5328</v>
      </c>
      <c r="G236" s="12" t="s">
        <v>5782</v>
      </c>
      <c r="H236" s="12">
        <v>16063</v>
      </c>
    </row>
    <row r="237" spans="1:8">
      <c r="A237" s="12" t="s">
        <v>5783</v>
      </c>
      <c r="B237" s="13">
        <v>0.57999999999999996</v>
      </c>
      <c r="C237" s="16" t="s">
        <v>5331</v>
      </c>
      <c r="D237" s="12">
        <v>10.050000000000001</v>
      </c>
      <c r="E237" s="12" t="s">
        <v>5332</v>
      </c>
      <c r="F237" s="12" t="s">
        <v>5328</v>
      </c>
      <c r="G237" s="12" t="s">
        <v>5784</v>
      </c>
      <c r="H237" s="12">
        <v>16064</v>
      </c>
    </row>
    <row r="238" spans="1:8">
      <c r="A238" s="12" t="s">
        <v>5785</v>
      </c>
      <c r="B238" s="13">
        <v>1.1599999999999999</v>
      </c>
      <c r="C238" s="16" t="s">
        <v>5331</v>
      </c>
      <c r="D238" s="12">
        <v>0.24</v>
      </c>
      <c r="E238" s="12" t="s">
        <v>5332</v>
      </c>
      <c r="F238" s="12" t="s">
        <v>5328</v>
      </c>
      <c r="G238" s="12" t="s">
        <v>5786</v>
      </c>
      <c r="H238" s="12">
        <v>16067</v>
      </c>
    </row>
    <row r="239" spans="1:8">
      <c r="A239" s="12" t="s">
        <v>5787</v>
      </c>
      <c r="B239" s="13">
        <v>2.87</v>
      </c>
      <c r="C239" s="16" t="s">
        <v>5331</v>
      </c>
      <c r="D239" s="12">
        <v>0.1416</v>
      </c>
      <c r="E239" s="12" t="s">
        <v>5332</v>
      </c>
      <c r="F239" s="12" t="s">
        <v>5328</v>
      </c>
      <c r="G239" s="12" t="s">
        <v>5788</v>
      </c>
      <c r="H239" s="12">
        <v>16071</v>
      </c>
    </row>
    <row r="240" spans="1:8">
      <c r="A240" s="12" t="s">
        <v>5789</v>
      </c>
      <c r="B240" s="13">
        <v>0.23</v>
      </c>
      <c r="C240" s="16" t="s">
        <v>5331</v>
      </c>
      <c r="D240" s="12">
        <v>0.42</v>
      </c>
      <c r="E240" s="12" t="s">
        <v>5332</v>
      </c>
      <c r="F240" s="12" t="s">
        <v>5328</v>
      </c>
      <c r="G240" s="12" t="s">
        <v>5790</v>
      </c>
      <c r="H240" s="12">
        <v>16073</v>
      </c>
    </row>
    <row r="241" spans="1:8">
      <c r="A241" s="12" t="s">
        <v>5791</v>
      </c>
      <c r="B241" s="13">
        <v>10.63</v>
      </c>
      <c r="C241" s="16" t="s">
        <v>5331</v>
      </c>
      <c r="D241" s="12">
        <v>0.21</v>
      </c>
      <c r="E241" s="12" t="s">
        <v>5332</v>
      </c>
      <c r="F241" s="12" t="s">
        <v>5328</v>
      </c>
      <c r="G241" s="12" t="s">
        <v>5792</v>
      </c>
      <c r="H241" s="12">
        <v>16074</v>
      </c>
    </row>
    <row r="242" spans="1:8">
      <c r="A242" s="12" t="s">
        <v>5793</v>
      </c>
      <c r="B242" s="13">
        <v>47.83</v>
      </c>
      <c r="C242" s="16" t="s">
        <v>5331</v>
      </c>
      <c r="D242" s="12">
        <v>0.36</v>
      </c>
      <c r="E242" s="12" t="s">
        <v>5332</v>
      </c>
      <c r="F242" s="12" t="s">
        <v>5328</v>
      </c>
      <c r="G242" s="12" t="s">
        <v>5794</v>
      </c>
      <c r="H242" s="12">
        <v>16081</v>
      </c>
    </row>
    <row r="243" spans="1:8">
      <c r="A243" s="12" t="s">
        <v>5795</v>
      </c>
      <c r="B243" s="13">
        <v>0.1</v>
      </c>
      <c r="C243" s="16" t="s">
        <v>5331</v>
      </c>
      <c r="D243" s="12">
        <v>0.27</v>
      </c>
      <c r="E243" s="12" t="s">
        <v>5332</v>
      </c>
      <c r="F243" s="12" t="s">
        <v>5328</v>
      </c>
      <c r="G243" s="12" t="s">
        <v>5796</v>
      </c>
      <c r="H243" s="12">
        <v>16083</v>
      </c>
    </row>
    <row r="244" spans="1:8">
      <c r="A244" s="12" t="s">
        <v>5797</v>
      </c>
      <c r="B244" s="13">
        <v>2.5299999999999998</v>
      </c>
      <c r="C244" s="16" t="s">
        <v>5331</v>
      </c>
      <c r="D244" s="12">
        <v>0.18029999999999999</v>
      </c>
      <c r="E244" s="12" t="s">
        <v>5332</v>
      </c>
      <c r="F244" s="12" t="s">
        <v>5328</v>
      </c>
      <c r="G244" s="12" t="s">
        <v>5798</v>
      </c>
      <c r="H244" s="12">
        <v>16089</v>
      </c>
    </row>
    <row r="245" spans="1:8">
      <c r="A245" s="12" t="s">
        <v>5799</v>
      </c>
      <c r="B245" s="13">
        <v>1.88</v>
      </c>
      <c r="C245" s="16" t="s">
        <v>5331</v>
      </c>
      <c r="D245" s="12">
        <v>36.86</v>
      </c>
      <c r="E245" s="12" t="s">
        <v>5332</v>
      </c>
      <c r="F245" s="12" t="s">
        <v>5328</v>
      </c>
      <c r="G245" s="12" t="s">
        <v>5800</v>
      </c>
      <c r="H245" s="12">
        <v>16094</v>
      </c>
    </row>
    <row r="246" spans="1:8">
      <c r="A246" s="12" t="s">
        <v>5801</v>
      </c>
      <c r="B246" s="13">
        <v>0.04</v>
      </c>
      <c r="C246" s="16" t="s">
        <v>5331</v>
      </c>
      <c r="D246" s="12">
        <v>0.27</v>
      </c>
      <c r="E246" s="12" t="s">
        <v>5332</v>
      </c>
      <c r="F246" s="12" t="s">
        <v>5328</v>
      </c>
      <c r="G246" s="12" t="s">
        <v>5802</v>
      </c>
      <c r="H246" s="12">
        <v>16102</v>
      </c>
    </row>
    <row r="247" spans="1:8">
      <c r="A247" s="12" t="s">
        <v>5803</v>
      </c>
      <c r="B247" s="13">
        <v>0.04</v>
      </c>
      <c r="C247" s="16" t="s">
        <v>5331</v>
      </c>
      <c r="D247" s="12">
        <v>0.3</v>
      </c>
      <c r="E247" s="12" t="s">
        <v>5332</v>
      </c>
      <c r="F247" s="12" t="s">
        <v>5328</v>
      </c>
      <c r="G247" s="12" t="s">
        <v>5804</v>
      </c>
      <c r="H247" s="12">
        <v>16106</v>
      </c>
    </row>
    <row r="248" spans="1:8">
      <c r="A248" s="12" t="s">
        <v>5805</v>
      </c>
      <c r="B248" s="13">
        <v>1.45</v>
      </c>
      <c r="C248" s="16" t="s">
        <v>5331</v>
      </c>
      <c r="D248" s="12">
        <v>0.14000000000000001</v>
      </c>
      <c r="E248" s="12" t="s">
        <v>5332</v>
      </c>
      <c r="F248" s="12" t="s">
        <v>5328</v>
      </c>
      <c r="G248" s="12" t="s">
        <v>5806</v>
      </c>
      <c r="H248" s="12">
        <v>16129</v>
      </c>
    </row>
    <row r="249" spans="1:8">
      <c r="A249" s="12" t="s">
        <v>5807</v>
      </c>
      <c r="B249" s="13">
        <v>7.07</v>
      </c>
      <c r="C249" s="16" t="s">
        <v>5331</v>
      </c>
      <c r="D249" s="12">
        <v>0.16259999999999999</v>
      </c>
      <c r="E249" s="12" t="s">
        <v>5332</v>
      </c>
      <c r="F249" s="12" t="s">
        <v>5328</v>
      </c>
      <c r="G249" s="12" t="s">
        <v>5808</v>
      </c>
      <c r="H249" s="12">
        <v>16130</v>
      </c>
    </row>
    <row r="250" spans="1:8">
      <c r="A250" s="12" t="s">
        <v>5809</v>
      </c>
      <c r="B250" s="13">
        <v>18.260000000000002</v>
      </c>
      <c r="C250" s="16" t="s">
        <v>5331</v>
      </c>
      <c r="D250" s="12">
        <v>121.23</v>
      </c>
      <c r="E250" s="12" t="s">
        <v>5332</v>
      </c>
      <c r="F250" s="12" t="s">
        <v>5328</v>
      </c>
      <c r="G250" s="12" t="s">
        <v>5810</v>
      </c>
      <c r="H250" s="12">
        <v>17094</v>
      </c>
    </row>
    <row r="251" spans="1:8">
      <c r="A251" s="12" t="s">
        <v>5811</v>
      </c>
      <c r="B251" s="13">
        <v>1.67</v>
      </c>
      <c r="C251" s="16" t="s">
        <v>5331</v>
      </c>
      <c r="D251" s="12">
        <v>11.227499999999999</v>
      </c>
      <c r="E251" s="12" t="s">
        <v>5332</v>
      </c>
      <c r="F251" s="12" t="s">
        <v>5328</v>
      </c>
      <c r="G251" s="12" t="s">
        <v>5812</v>
      </c>
      <c r="H251" s="12">
        <v>17095</v>
      </c>
    </row>
    <row r="252" spans="1:8">
      <c r="A252" s="12" t="s">
        <v>5813</v>
      </c>
      <c r="B252" s="13">
        <v>46.59</v>
      </c>
      <c r="C252" s="16" t="s">
        <v>5331</v>
      </c>
      <c r="D252" s="12">
        <v>171</v>
      </c>
      <c r="E252" s="12" t="s">
        <v>5332</v>
      </c>
      <c r="F252" s="12" t="s">
        <v>5328</v>
      </c>
      <c r="G252" s="12" t="s">
        <v>5814</v>
      </c>
      <c r="H252" s="12">
        <v>17097</v>
      </c>
    </row>
    <row r="253" spans="1:8">
      <c r="A253" s="12" t="s">
        <v>5815</v>
      </c>
      <c r="B253" s="13">
        <v>40.68</v>
      </c>
      <c r="C253" s="16" t="s">
        <v>5331</v>
      </c>
      <c r="D253" s="12">
        <v>83.97</v>
      </c>
      <c r="E253" s="12" t="s">
        <v>5332</v>
      </c>
      <c r="F253" s="12" t="s">
        <v>5328</v>
      </c>
      <c r="G253" s="12" t="s">
        <v>5816</v>
      </c>
      <c r="H253" s="12">
        <v>33677</v>
      </c>
    </row>
    <row r="254" spans="1:8">
      <c r="A254" s="12" t="s">
        <v>5817</v>
      </c>
      <c r="B254" s="13">
        <v>41.41</v>
      </c>
      <c r="C254" s="16" t="s">
        <v>5331</v>
      </c>
      <c r="D254" s="12">
        <v>136.94999999999999</v>
      </c>
      <c r="E254" s="12" t="s">
        <v>5332</v>
      </c>
      <c r="F254" s="12" t="s">
        <v>5328</v>
      </c>
      <c r="G254" s="12" t="s">
        <v>5818</v>
      </c>
      <c r="H254" s="12">
        <v>17102</v>
      </c>
    </row>
    <row r="255" spans="1:8">
      <c r="A255" s="12" t="s">
        <v>5819</v>
      </c>
      <c r="B255" s="13">
        <v>9</v>
      </c>
      <c r="C255" s="16" t="s">
        <v>5331</v>
      </c>
      <c r="D255" s="12">
        <v>41.28</v>
      </c>
      <c r="E255" s="12" t="s">
        <v>5332</v>
      </c>
      <c r="F255" s="12" t="s">
        <v>5328</v>
      </c>
      <c r="G255" s="12" t="s">
        <v>5820</v>
      </c>
      <c r="H255" s="12">
        <v>17105</v>
      </c>
    </row>
    <row r="256" spans="1:8">
      <c r="A256" s="12" t="s">
        <v>5821</v>
      </c>
      <c r="B256" s="13">
        <v>8.6199999999999992</v>
      </c>
      <c r="C256" s="16" t="s">
        <v>5331</v>
      </c>
      <c r="D256" s="12">
        <v>33.69</v>
      </c>
      <c r="E256" s="12" t="s">
        <v>5332</v>
      </c>
      <c r="F256" s="12" t="s">
        <v>5328</v>
      </c>
      <c r="G256" s="12" t="s">
        <v>5822</v>
      </c>
      <c r="H256" s="12">
        <v>17107</v>
      </c>
    </row>
    <row r="257" spans="1:8">
      <c r="A257" s="12" t="s">
        <v>5823</v>
      </c>
      <c r="B257" s="13">
        <v>16.72</v>
      </c>
      <c r="C257" s="16" t="s">
        <v>5331</v>
      </c>
      <c r="D257" s="12">
        <v>110.01</v>
      </c>
      <c r="E257" s="12" t="s">
        <v>5332</v>
      </c>
      <c r="F257" s="12" t="s">
        <v>5328</v>
      </c>
      <c r="G257" s="12" t="s">
        <v>5824</v>
      </c>
      <c r="H257" s="12">
        <v>17110</v>
      </c>
    </row>
    <row r="258" spans="1:8">
      <c r="A258" s="12" t="s">
        <v>5825</v>
      </c>
      <c r="B258" s="13">
        <v>3.66</v>
      </c>
      <c r="C258" s="16" t="s">
        <v>5331</v>
      </c>
      <c r="D258" s="12">
        <v>18</v>
      </c>
      <c r="E258" s="12" t="s">
        <v>5332</v>
      </c>
      <c r="F258" s="12" t="s">
        <v>5328</v>
      </c>
      <c r="G258" s="12" t="s">
        <v>5826</v>
      </c>
      <c r="H258" s="12">
        <v>17113</v>
      </c>
    </row>
    <row r="259" spans="1:8">
      <c r="A259" s="12" t="s">
        <v>5827</v>
      </c>
      <c r="B259" s="13">
        <v>3.62</v>
      </c>
      <c r="C259" s="16" t="s">
        <v>5331</v>
      </c>
      <c r="D259" s="12">
        <v>17.97</v>
      </c>
      <c r="E259" s="12" t="s">
        <v>5332</v>
      </c>
      <c r="F259" s="12" t="s">
        <v>5328</v>
      </c>
      <c r="G259" s="12" t="s">
        <v>5828</v>
      </c>
      <c r="H259" s="12">
        <v>17114</v>
      </c>
    </row>
    <row r="260" spans="1:8">
      <c r="A260" s="12" t="s">
        <v>5829</v>
      </c>
      <c r="B260" s="13">
        <v>4.0199999999999996</v>
      </c>
      <c r="C260" s="16" t="s">
        <v>5331</v>
      </c>
      <c r="D260" s="12">
        <v>20.204999999999998</v>
      </c>
      <c r="E260" s="12" t="s">
        <v>5332</v>
      </c>
      <c r="F260" s="12" t="s">
        <v>5328</v>
      </c>
      <c r="G260" s="12" t="s">
        <v>5830</v>
      </c>
      <c r="H260" s="12">
        <v>17115</v>
      </c>
    </row>
    <row r="261" spans="1:8">
      <c r="A261" s="12" t="s">
        <v>5831</v>
      </c>
      <c r="B261" s="13">
        <v>2.83</v>
      </c>
      <c r="C261" s="16" t="s">
        <v>5331</v>
      </c>
      <c r="D261" s="12">
        <v>11.64</v>
      </c>
      <c r="E261" s="12" t="s">
        <v>5332</v>
      </c>
      <c r="F261" s="12" t="s">
        <v>5328</v>
      </c>
      <c r="G261" s="12" t="s">
        <v>5832</v>
      </c>
      <c r="H261" s="12">
        <v>17119</v>
      </c>
    </row>
    <row r="262" spans="1:8">
      <c r="A262" s="12" t="s">
        <v>5833</v>
      </c>
      <c r="B262" s="13">
        <v>8.1</v>
      </c>
      <c r="C262" s="16" t="s">
        <v>5331</v>
      </c>
      <c r="D262" s="12">
        <v>27.552</v>
      </c>
      <c r="E262" s="12" t="s">
        <v>5332</v>
      </c>
      <c r="F262" s="12" t="s">
        <v>5328</v>
      </c>
      <c r="G262" s="12" t="s">
        <v>5834</v>
      </c>
      <c r="H262" s="12">
        <v>17121</v>
      </c>
    </row>
    <row r="263" spans="1:8">
      <c r="A263" s="12" t="s">
        <v>5835</v>
      </c>
      <c r="B263" s="13">
        <v>7.59</v>
      </c>
      <c r="C263" s="16" t="s">
        <v>5331</v>
      </c>
      <c r="D263" s="12">
        <v>42.66</v>
      </c>
      <c r="E263" s="12" t="s">
        <v>5332</v>
      </c>
      <c r="F263" s="12" t="s">
        <v>5328</v>
      </c>
      <c r="G263" s="12" t="s">
        <v>5836</v>
      </c>
      <c r="H263" s="12">
        <v>17122</v>
      </c>
    </row>
    <row r="264" spans="1:8">
      <c r="A264" s="12" t="s">
        <v>5837</v>
      </c>
      <c r="B264" s="13">
        <v>0.98</v>
      </c>
      <c r="C264" s="16" t="s">
        <v>5331</v>
      </c>
      <c r="D264" s="12">
        <v>21.555</v>
      </c>
      <c r="E264" s="12" t="s">
        <v>5332</v>
      </c>
      <c r="F264" s="12" t="s">
        <v>5328</v>
      </c>
      <c r="G264" s="12" t="s">
        <v>5838</v>
      </c>
      <c r="H264" s="12">
        <v>17123</v>
      </c>
    </row>
    <row r="265" spans="1:8">
      <c r="A265" s="12" t="s">
        <v>5839</v>
      </c>
      <c r="B265" s="13">
        <v>2.68</v>
      </c>
      <c r="C265" s="16" t="s">
        <v>5331</v>
      </c>
      <c r="D265" s="12">
        <v>12.57</v>
      </c>
      <c r="E265" s="12" t="s">
        <v>5332</v>
      </c>
      <c r="F265" s="12" t="s">
        <v>5328</v>
      </c>
      <c r="G265" s="12" t="s">
        <v>5840</v>
      </c>
      <c r="H265" s="12">
        <v>17124</v>
      </c>
    </row>
    <row r="266" spans="1:8">
      <c r="A266" s="12" t="s">
        <v>5841</v>
      </c>
      <c r="B266" s="13">
        <v>16.329999999999998</v>
      </c>
      <c r="C266" s="16" t="s">
        <v>5331</v>
      </c>
      <c r="D266" s="12">
        <v>71.849999999999994</v>
      </c>
      <c r="E266" s="12" t="s">
        <v>5332</v>
      </c>
      <c r="F266" s="12" t="s">
        <v>5328</v>
      </c>
      <c r="G266" s="12" t="s">
        <v>5842</v>
      </c>
      <c r="H266" s="12">
        <v>17127</v>
      </c>
    </row>
    <row r="267" spans="1:8">
      <c r="A267" s="12" t="s">
        <v>5843</v>
      </c>
      <c r="B267" s="13">
        <v>0.48</v>
      </c>
      <c r="C267" s="16" t="s">
        <v>5331</v>
      </c>
      <c r="D267" s="12">
        <v>12.12</v>
      </c>
      <c r="E267" s="12" t="s">
        <v>5332</v>
      </c>
      <c r="F267" s="12" t="s">
        <v>5328</v>
      </c>
      <c r="G267" s="12" t="s">
        <v>5844</v>
      </c>
      <c r="H267" s="12">
        <v>17128</v>
      </c>
    </row>
    <row r="268" spans="1:8">
      <c r="A268" s="12" t="s">
        <v>5845</v>
      </c>
      <c r="B268" s="13">
        <v>28.29</v>
      </c>
      <c r="C268" s="16" t="s">
        <v>5331</v>
      </c>
      <c r="D268" s="12">
        <v>144.94999999999999</v>
      </c>
      <c r="E268" s="12" t="s">
        <v>5332</v>
      </c>
      <c r="F268" s="12" t="s">
        <v>5328</v>
      </c>
      <c r="G268" s="12" t="s">
        <v>5846</v>
      </c>
      <c r="H268" s="12">
        <v>33678</v>
      </c>
    </row>
    <row r="269" spans="1:8">
      <c r="A269" s="12" t="s">
        <v>5847</v>
      </c>
      <c r="B269" s="13">
        <v>8.1</v>
      </c>
      <c r="C269" s="16" t="s">
        <v>5331</v>
      </c>
      <c r="D269" s="12">
        <v>36</v>
      </c>
      <c r="E269" s="12" t="s">
        <v>5332</v>
      </c>
      <c r="F269" s="12" t="s">
        <v>5328</v>
      </c>
      <c r="G269" s="12" t="s">
        <v>5848</v>
      </c>
      <c r="H269" s="12">
        <v>17134</v>
      </c>
    </row>
    <row r="270" spans="1:8">
      <c r="A270" s="12" t="s">
        <v>5849</v>
      </c>
      <c r="B270" s="13">
        <v>5.93</v>
      </c>
      <c r="C270" s="16" t="s">
        <v>5331</v>
      </c>
      <c r="D270" s="12">
        <v>125.31</v>
      </c>
      <c r="E270" s="12" t="s">
        <v>5332</v>
      </c>
      <c r="F270" s="12" t="s">
        <v>5328</v>
      </c>
      <c r="G270" s="12" t="s">
        <v>5850</v>
      </c>
      <c r="H270" s="12">
        <v>17137</v>
      </c>
    </row>
    <row r="271" spans="1:8">
      <c r="A271" s="12" t="s">
        <v>5851</v>
      </c>
      <c r="B271" s="13">
        <v>24.43</v>
      </c>
      <c r="C271" s="16" t="s">
        <v>5331</v>
      </c>
      <c r="D271" s="12">
        <v>81.873000000000005</v>
      </c>
      <c r="E271" s="12" t="s">
        <v>5332</v>
      </c>
      <c r="F271" s="12" t="s">
        <v>5328</v>
      </c>
      <c r="G271" s="12" t="s">
        <v>5852</v>
      </c>
      <c r="H271" s="12">
        <v>33679</v>
      </c>
    </row>
    <row r="272" spans="1:8">
      <c r="A272" s="12" t="s">
        <v>5853</v>
      </c>
      <c r="B272" s="13">
        <v>30.86</v>
      </c>
      <c r="C272" s="16" t="s">
        <v>5331</v>
      </c>
      <c r="D272" s="12">
        <v>40.149000000000001</v>
      </c>
      <c r="E272" s="12" t="s">
        <v>5332</v>
      </c>
      <c r="F272" s="12" t="s">
        <v>5328</v>
      </c>
      <c r="G272" s="12" t="s">
        <v>5854</v>
      </c>
      <c r="H272" s="12">
        <v>33157</v>
      </c>
    </row>
    <row r="273" spans="1:8">
      <c r="A273" s="12" t="s">
        <v>5855</v>
      </c>
      <c r="B273" s="13">
        <v>8.36</v>
      </c>
      <c r="C273" s="16" t="s">
        <v>5331</v>
      </c>
      <c r="D273" s="12">
        <v>51.36</v>
      </c>
      <c r="E273" s="12" t="s">
        <v>5332</v>
      </c>
      <c r="F273" s="12" t="s">
        <v>5328</v>
      </c>
      <c r="G273" s="12" t="s">
        <v>5856</v>
      </c>
      <c r="H273" s="12">
        <v>17147</v>
      </c>
    </row>
    <row r="274" spans="1:8">
      <c r="A274" s="12" t="s">
        <v>5857</v>
      </c>
      <c r="B274" s="13">
        <v>3.89</v>
      </c>
      <c r="C274" s="16" t="s">
        <v>5331</v>
      </c>
      <c r="D274" s="12">
        <v>8.9849999999999994</v>
      </c>
      <c r="E274" s="12" t="s">
        <v>5332</v>
      </c>
      <c r="F274" s="12" t="s">
        <v>5328</v>
      </c>
      <c r="G274" s="12" t="s">
        <v>5858</v>
      </c>
      <c r="H274" s="12">
        <v>17148</v>
      </c>
    </row>
    <row r="275" spans="1:8">
      <c r="A275" s="12" t="s">
        <v>5859</v>
      </c>
      <c r="B275" s="13">
        <v>0.39</v>
      </c>
      <c r="C275" s="16" t="s">
        <v>5331</v>
      </c>
      <c r="D275" s="12">
        <v>8.07</v>
      </c>
      <c r="E275" s="12" t="s">
        <v>5332</v>
      </c>
      <c r="F275" s="12" t="s">
        <v>5328</v>
      </c>
      <c r="G275" s="12" t="s">
        <v>5860</v>
      </c>
      <c r="H275" s="12">
        <v>17150</v>
      </c>
    </row>
    <row r="276" spans="1:8">
      <c r="A276" s="12" t="s">
        <v>5861</v>
      </c>
      <c r="B276" s="13">
        <v>22.5</v>
      </c>
      <c r="C276" s="16" t="s">
        <v>5331</v>
      </c>
      <c r="D276" s="12">
        <v>116.76</v>
      </c>
      <c r="E276" s="12" t="s">
        <v>5332</v>
      </c>
      <c r="F276" s="12" t="s">
        <v>5328</v>
      </c>
      <c r="G276" s="12" t="s">
        <v>5862</v>
      </c>
      <c r="H276" s="12">
        <v>17151</v>
      </c>
    </row>
    <row r="277" spans="1:8">
      <c r="A277" s="12" t="s">
        <v>5863</v>
      </c>
      <c r="B277" s="13">
        <v>36.770000000000003</v>
      </c>
      <c r="C277" s="16" t="s">
        <v>5331</v>
      </c>
      <c r="D277" s="12">
        <v>251.79</v>
      </c>
      <c r="E277" s="12" t="s">
        <v>5332</v>
      </c>
      <c r="F277" s="12" t="s">
        <v>5328</v>
      </c>
      <c r="G277" s="12" t="s">
        <v>5864</v>
      </c>
      <c r="H277" s="12">
        <v>17154</v>
      </c>
    </row>
    <row r="278" spans="1:8">
      <c r="A278" s="12" t="s">
        <v>5865</v>
      </c>
      <c r="B278" s="13">
        <v>12.22</v>
      </c>
      <c r="C278" s="16" t="s">
        <v>5331</v>
      </c>
      <c r="D278" s="12">
        <v>95.49</v>
      </c>
      <c r="E278" s="12" t="s">
        <v>5332</v>
      </c>
      <c r="F278" s="12" t="s">
        <v>5328</v>
      </c>
      <c r="G278" s="12" t="s">
        <v>5866</v>
      </c>
      <c r="H278" s="12">
        <v>17155</v>
      </c>
    </row>
    <row r="279" spans="1:8">
      <c r="A279" s="12" t="s">
        <v>5867</v>
      </c>
      <c r="B279" s="13">
        <v>0.35</v>
      </c>
      <c r="C279" s="16" t="s">
        <v>5331</v>
      </c>
      <c r="D279" s="12">
        <v>8.07</v>
      </c>
      <c r="E279" s="12" t="s">
        <v>5332</v>
      </c>
      <c r="F279" s="12" t="s">
        <v>5328</v>
      </c>
      <c r="G279" s="12" t="s">
        <v>5868</v>
      </c>
      <c r="H279" s="12">
        <v>17156</v>
      </c>
    </row>
    <row r="280" spans="1:8">
      <c r="A280" s="12" t="s">
        <v>5869</v>
      </c>
      <c r="B280" s="13">
        <v>3.47</v>
      </c>
      <c r="C280" s="16" t="s">
        <v>5331</v>
      </c>
      <c r="D280" s="12">
        <v>15.72</v>
      </c>
      <c r="E280" s="12" t="s">
        <v>5332</v>
      </c>
      <c r="F280" s="12" t="s">
        <v>5328</v>
      </c>
      <c r="G280" s="12" t="s">
        <v>5870</v>
      </c>
      <c r="H280" s="12">
        <v>17158</v>
      </c>
    </row>
    <row r="281" spans="1:8">
      <c r="A281" s="12" t="s">
        <v>5871</v>
      </c>
      <c r="B281" s="13">
        <v>4.24</v>
      </c>
      <c r="C281" s="16" t="s">
        <v>5331</v>
      </c>
      <c r="D281" s="12">
        <v>17.97</v>
      </c>
      <c r="E281" s="12" t="s">
        <v>5332</v>
      </c>
      <c r="F281" s="12" t="s">
        <v>5328</v>
      </c>
      <c r="G281" s="12" t="s">
        <v>5872</v>
      </c>
      <c r="H281" s="12">
        <v>17159</v>
      </c>
    </row>
    <row r="282" spans="1:8">
      <c r="A282" s="12" t="s">
        <v>5873</v>
      </c>
      <c r="B282" s="13">
        <v>79.459999999999994</v>
      </c>
      <c r="C282" s="16" t="s">
        <v>5331</v>
      </c>
      <c r="D282" s="12">
        <v>538.86</v>
      </c>
      <c r="E282" s="12" t="s">
        <v>5332</v>
      </c>
      <c r="F282" s="12" t="s">
        <v>5328</v>
      </c>
      <c r="G282" s="12" t="s">
        <v>5874</v>
      </c>
      <c r="H282" s="12">
        <v>17161</v>
      </c>
    </row>
    <row r="283" spans="1:8">
      <c r="A283" s="12" t="s">
        <v>5875</v>
      </c>
      <c r="B283" s="13">
        <v>135.01</v>
      </c>
      <c r="C283" s="16" t="s">
        <v>5331</v>
      </c>
      <c r="D283" s="12">
        <v>1000.56</v>
      </c>
      <c r="E283" s="12" t="s">
        <v>5332</v>
      </c>
      <c r="F283" s="12" t="s">
        <v>5328</v>
      </c>
      <c r="G283" s="12" t="s">
        <v>5876</v>
      </c>
      <c r="H283" s="12">
        <v>17164</v>
      </c>
    </row>
    <row r="284" spans="1:8">
      <c r="A284" s="12" t="s">
        <v>5877</v>
      </c>
      <c r="B284" s="13">
        <v>4.38</v>
      </c>
      <c r="C284" s="16" t="s">
        <v>5331</v>
      </c>
      <c r="D284" s="12">
        <v>18.54</v>
      </c>
      <c r="E284" s="12" t="s">
        <v>5332</v>
      </c>
      <c r="F284" s="12" t="s">
        <v>5328</v>
      </c>
      <c r="G284" s="12" t="s">
        <v>5878</v>
      </c>
      <c r="H284" s="12">
        <v>17167</v>
      </c>
    </row>
    <row r="285" spans="1:8">
      <c r="A285" s="12" t="s">
        <v>5879</v>
      </c>
      <c r="B285" s="13">
        <v>47.05</v>
      </c>
      <c r="C285" s="16" t="s">
        <v>5331</v>
      </c>
      <c r="D285" s="12">
        <v>203.82</v>
      </c>
      <c r="E285" s="12" t="s">
        <v>5332</v>
      </c>
      <c r="F285" s="12" t="s">
        <v>5328</v>
      </c>
      <c r="G285" s="12" t="s">
        <v>5880</v>
      </c>
      <c r="H285" s="12">
        <v>17170</v>
      </c>
    </row>
    <row r="286" spans="1:8">
      <c r="A286" s="12" t="s">
        <v>5881</v>
      </c>
      <c r="B286" s="13">
        <v>2.11</v>
      </c>
      <c r="C286" s="16" t="s">
        <v>5331</v>
      </c>
      <c r="D286" s="12">
        <v>8.9849999999999994</v>
      </c>
      <c r="E286" s="12" t="s">
        <v>5332</v>
      </c>
      <c r="F286" s="12" t="s">
        <v>5328</v>
      </c>
      <c r="G286" s="12" t="s">
        <v>5882</v>
      </c>
      <c r="H286" s="12">
        <v>17171</v>
      </c>
    </row>
    <row r="287" spans="1:8">
      <c r="A287" s="12" t="s">
        <v>5883</v>
      </c>
      <c r="B287" s="13">
        <v>4.1399999999999997</v>
      </c>
      <c r="C287" s="16" t="s">
        <v>5331</v>
      </c>
      <c r="D287" s="12">
        <v>22.23</v>
      </c>
      <c r="E287" s="12" t="s">
        <v>5332</v>
      </c>
      <c r="F287" s="12" t="s">
        <v>5328</v>
      </c>
      <c r="G287" s="12" t="s">
        <v>5884</v>
      </c>
      <c r="H287" s="12">
        <v>17173</v>
      </c>
    </row>
    <row r="288" spans="1:8">
      <c r="A288" s="12" t="s">
        <v>5885</v>
      </c>
      <c r="B288" s="13">
        <v>7.31</v>
      </c>
      <c r="C288" s="16" t="s">
        <v>5331</v>
      </c>
      <c r="D288" s="12">
        <v>33.36</v>
      </c>
      <c r="E288" s="12" t="s">
        <v>5332</v>
      </c>
      <c r="F288" s="12" t="s">
        <v>5328</v>
      </c>
      <c r="G288" s="12" t="s">
        <v>5886</v>
      </c>
      <c r="H288" s="12">
        <v>17176</v>
      </c>
    </row>
    <row r="289" spans="1:8">
      <c r="A289" s="12" t="s">
        <v>5887</v>
      </c>
      <c r="B289" s="13">
        <v>30.42</v>
      </c>
      <c r="C289" s="16" t="s">
        <v>5331</v>
      </c>
      <c r="D289" s="12">
        <v>126.54</v>
      </c>
      <c r="E289" s="12" t="s">
        <v>5332</v>
      </c>
      <c r="F289" s="12" t="s">
        <v>5328</v>
      </c>
      <c r="G289" s="12" t="s">
        <v>5888</v>
      </c>
      <c r="H289" s="12">
        <v>17179</v>
      </c>
    </row>
    <row r="290" spans="1:8">
      <c r="A290" s="12" t="s">
        <v>5889</v>
      </c>
      <c r="B290" s="13">
        <v>0.45</v>
      </c>
      <c r="C290" s="16" t="s">
        <v>5331</v>
      </c>
      <c r="D290" s="12">
        <v>8.9700000000000006</v>
      </c>
      <c r="E290" s="12" t="s">
        <v>5332</v>
      </c>
      <c r="F290" s="12" t="s">
        <v>5328</v>
      </c>
      <c r="G290" s="12" t="s">
        <v>5890</v>
      </c>
      <c r="H290" s="12">
        <v>17180</v>
      </c>
    </row>
    <row r="291" spans="1:8">
      <c r="A291" s="12" t="s">
        <v>5891</v>
      </c>
      <c r="B291" s="13">
        <v>2.3199999999999998</v>
      </c>
      <c r="C291" s="16" t="s">
        <v>5331</v>
      </c>
      <c r="D291" s="12">
        <v>20.22</v>
      </c>
      <c r="E291" s="12" t="s">
        <v>5332</v>
      </c>
      <c r="F291" s="12" t="s">
        <v>5328</v>
      </c>
      <c r="G291" s="12" t="s">
        <v>5892</v>
      </c>
      <c r="H291" s="12">
        <v>17181</v>
      </c>
    </row>
    <row r="292" spans="1:8">
      <c r="A292" s="12" t="s">
        <v>5893</v>
      </c>
      <c r="B292" s="13">
        <v>4.38</v>
      </c>
      <c r="C292" s="16" t="s">
        <v>5331</v>
      </c>
      <c r="D292" s="12">
        <v>28.35</v>
      </c>
      <c r="E292" s="12" t="s">
        <v>5332</v>
      </c>
      <c r="F292" s="12" t="s">
        <v>5328</v>
      </c>
      <c r="G292" s="12" t="s">
        <v>5894</v>
      </c>
      <c r="H292" s="12">
        <v>17183</v>
      </c>
    </row>
    <row r="293" spans="1:8">
      <c r="A293" s="12" t="s">
        <v>5895</v>
      </c>
      <c r="B293" s="13">
        <v>0.51</v>
      </c>
      <c r="C293" s="16" t="s">
        <v>5331</v>
      </c>
      <c r="D293" s="12">
        <v>6.7350000000000003</v>
      </c>
      <c r="E293" s="12" t="s">
        <v>5332</v>
      </c>
      <c r="F293" s="12" t="s">
        <v>5328</v>
      </c>
      <c r="G293" s="12" t="s">
        <v>5896</v>
      </c>
      <c r="H293" s="12">
        <v>17184</v>
      </c>
    </row>
    <row r="294" spans="1:8">
      <c r="A294" s="12" t="s">
        <v>5897</v>
      </c>
      <c r="B294" s="13">
        <v>13.5</v>
      </c>
      <c r="C294" s="16" t="s">
        <v>5331</v>
      </c>
      <c r="D294" s="12">
        <v>64.05</v>
      </c>
      <c r="E294" s="12" t="s">
        <v>5332</v>
      </c>
      <c r="F294" s="12" t="s">
        <v>5328</v>
      </c>
      <c r="G294" s="12" t="s">
        <v>5898</v>
      </c>
      <c r="H294" s="12">
        <v>17186</v>
      </c>
    </row>
    <row r="295" spans="1:8">
      <c r="A295" s="12" t="s">
        <v>5899</v>
      </c>
      <c r="B295" s="13">
        <v>4.82</v>
      </c>
      <c r="C295" s="16" t="s">
        <v>5331</v>
      </c>
      <c r="D295" s="12">
        <v>40.409999999999997</v>
      </c>
      <c r="E295" s="12" t="s">
        <v>5332</v>
      </c>
      <c r="F295" s="12" t="s">
        <v>5328</v>
      </c>
      <c r="G295" s="12" t="s">
        <v>5900</v>
      </c>
      <c r="H295" s="12">
        <v>17188</v>
      </c>
    </row>
    <row r="296" spans="1:8">
      <c r="A296" s="12" t="s">
        <v>5901</v>
      </c>
      <c r="B296" s="13">
        <v>2.84</v>
      </c>
      <c r="C296" s="16" t="s">
        <v>5331</v>
      </c>
      <c r="D296" s="12">
        <v>13.23</v>
      </c>
      <c r="E296" s="12" t="s">
        <v>5332</v>
      </c>
      <c r="F296" s="12" t="s">
        <v>5328</v>
      </c>
      <c r="G296" s="12" t="s">
        <v>5902</v>
      </c>
      <c r="H296" s="12">
        <v>17190</v>
      </c>
    </row>
    <row r="297" spans="1:8">
      <c r="A297" s="12" t="s">
        <v>5903</v>
      </c>
      <c r="B297" s="13">
        <v>2.19</v>
      </c>
      <c r="C297" s="16" t="s">
        <v>5331</v>
      </c>
      <c r="D297" s="12">
        <v>9</v>
      </c>
      <c r="E297" s="12" t="s">
        <v>5332</v>
      </c>
      <c r="F297" s="12" t="s">
        <v>5328</v>
      </c>
      <c r="G297" s="12" t="s">
        <v>5904</v>
      </c>
      <c r="H297" s="12">
        <v>17193</v>
      </c>
    </row>
    <row r="298" spans="1:8">
      <c r="A298" s="12" t="s">
        <v>5905</v>
      </c>
      <c r="B298" s="13">
        <v>4.63</v>
      </c>
      <c r="C298" s="16" t="s">
        <v>5331</v>
      </c>
      <c r="D298" s="12">
        <v>23.82</v>
      </c>
      <c r="E298" s="12" t="s">
        <v>5332</v>
      </c>
      <c r="F298" s="12" t="s">
        <v>5328</v>
      </c>
      <c r="G298" s="12" t="s">
        <v>5906</v>
      </c>
      <c r="H298" s="12">
        <v>17195</v>
      </c>
    </row>
    <row r="299" spans="1:8">
      <c r="A299" s="12" t="s">
        <v>5907</v>
      </c>
      <c r="B299" s="13">
        <v>1.1000000000000001</v>
      </c>
      <c r="C299" s="16" t="s">
        <v>5331</v>
      </c>
      <c r="D299" s="12">
        <v>11.22</v>
      </c>
      <c r="E299" s="12" t="s">
        <v>5332</v>
      </c>
      <c r="F299" s="12" t="s">
        <v>5328</v>
      </c>
      <c r="G299" s="12" t="s">
        <v>5908</v>
      </c>
      <c r="H299" s="12">
        <v>17196</v>
      </c>
    </row>
    <row r="300" spans="1:8">
      <c r="A300" s="12" t="s">
        <v>5909</v>
      </c>
      <c r="B300" s="13">
        <v>1.41</v>
      </c>
      <c r="C300" s="16" t="s">
        <v>5331</v>
      </c>
      <c r="D300" s="12">
        <v>13.47</v>
      </c>
      <c r="E300" s="12" t="s">
        <v>5332</v>
      </c>
      <c r="F300" s="12" t="s">
        <v>5328</v>
      </c>
      <c r="G300" s="12" t="s">
        <v>5910</v>
      </c>
      <c r="H300" s="12">
        <v>17197</v>
      </c>
    </row>
    <row r="301" spans="1:8">
      <c r="A301" s="12" t="s">
        <v>5911</v>
      </c>
      <c r="B301" s="13">
        <v>0.88</v>
      </c>
      <c r="C301" s="16" t="s">
        <v>5331</v>
      </c>
      <c r="D301" s="12">
        <v>13.02</v>
      </c>
      <c r="E301" s="12" t="s">
        <v>5332</v>
      </c>
      <c r="F301" s="12" t="s">
        <v>5328</v>
      </c>
      <c r="G301" s="12" t="s">
        <v>5912</v>
      </c>
      <c r="H301" s="12">
        <v>17198</v>
      </c>
    </row>
    <row r="302" spans="1:8">
      <c r="A302" s="12" t="s">
        <v>5913</v>
      </c>
      <c r="B302" s="13">
        <v>0.39</v>
      </c>
      <c r="C302" s="16" t="s">
        <v>5331</v>
      </c>
      <c r="D302" s="12">
        <v>7.07</v>
      </c>
      <c r="E302" s="12" t="s">
        <v>5332</v>
      </c>
      <c r="F302" s="12" t="s">
        <v>5328</v>
      </c>
      <c r="G302" s="12" t="s">
        <v>5914</v>
      </c>
      <c r="H302" s="12">
        <v>17200</v>
      </c>
    </row>
    <row r="303" spans="1:8">
      <c r="A303" s="12" t="s">
        <v>5915</v>
      </c>
      <c r="B303" s="13">
        <v>4.12</v>
      </c>
      <c r="C303" s="16" t="s">
        <v>5331</v>
      </c>
      <c r="D303" s="12">
        <v>38.159999999999997</v>
      </c>
      <c r="E303" s="12" t="s">
        <v>5332</v>
      </c>
      <c r="F303" s="12" t="s">
        <v>5328</v>
      </c>
      <c r="G303" s="12" t="s">
        <v>5916</v>
      </c>
      <c r="H303" s="12">
        <v>17201</v>
      </c>
    </row>
    <row r="304" spans="1:8">
      <c r="A304" s="12" t="s">
        <v>5551</v>
      </c>
      <c r="B304" s="13">
        <v>12.6</v>
      </c>
      <c r="C304" s="16" t="s">
        <v>5331</v>
      </c>
      <c r="D304" s="12">
        <v>62.79</v>
      </c>
      <c r="E304" s="12" t="s">
        <v>5332</v>
      </c>
      <c r="F304" s="12" t="s">
        <v>5328</v>
      </c>
      <c r="G304" s="12" t="s">
        <v>5917</v>
      </c>
      <c r="H304" s="12">
        <v>44120</v>
      </c>
    </row>
    <row r="305" spans="1:8">
      <c r="A305" s="12" t="s">
        <v>5918</v>
      </c>
      <c r="B305" s="13">
        <v>53.07</v>
      </c>
      <c r="C305" s="16" t="s">
        <v>5331</v>
      </c>
      <c r="D305" s="12">
        <v>294.47000000000003</v>
      </c>
      <c r="E305" s="12" t="s">
        <v>5332</v>
      </c>
      <c r="F305" s="12" t="s">
        <v>5328</v>
      </c>
      <c r="G305" s="12" t="s">
        <v>5919</v>
      </c>
      <c r="H305" s="12">
        <v>17205</v>
      </c>
    </row>
    <row r="306" spans="1:8">
      <c r="A306" s="12" t="s">
        <v>5920</v>
      </c>
      <c r="B306" s="13">
        <v>42.43</v>
      </c>
      <c r="C306" s="16" t="s">
        <v>5331</v>
      </c>
      <c r="D306" s="12">
        <v>102.54</v>
      </c>
      <c r="E306" s="12" t="s">
        <v>5332</v>
      </c>
      <c r="F306" s="12" t="s">
        <v>5328</v>
      </c>
      <c r="G306" s="12" t="s">
        <v>5921</v>
      </c>
      <c r="H306" s="12">
        <v>31918</v>
      </c>
    </row>
    <row r="307" spans="1:8">
      <c r="A307" s="12" t="s">
        <v>5922</v>
      </c>
      <c r="B307" s="13">
        <v>5.37</v>
      </c>
      <c r="C307" s="16" t="s">
        <v>5331</v>
      </c>
      <c r="D307" s="12">
        <v>23.82</v>
      </c>
      <c r="E307" s="12" t="s">
        <v>5332</v>
      </c>
      <c r="F307" s="12" t="s">
        <v>5328</v>
      </c>
      <c r="G307" s="12" t="s">
        <v>5923</v>
      </c>
      <c r="H307" s="12">
        <v>17207</v>
      </c>
    </row>
    <row r="308" spans="1:8">
      <c r="A308" s="12" t="s">
        <v>5924</v>
      </c>
      <c r="B308" s="13">
        <v>5.31</v>
      </c>
      <c r="C308" s="16" t="s">
        <v>5331</v>
      </c>
      <c r="D308" s="12">
        <v>26.4</v>
      </c>
      <c r="E308" s="12" t="s">
        <v>5332</v>
      </c>
      <c r="F308" s="12" t="s">
        <v>5328</v>
      </c>
      <c r="G308" s="12" t="s">
        <v>5925</v>
      </c>
      <c r="H308" s="12">
        <v>17208</v>
      </c>
    </row>
    <row r="309" spans="1:8">
      <c r="A309" s="12" t="s">
        <v>5926</v>
      </c>
      <c r="B309" s="13">
        <v>6.84</v>
      </c>
      <c r="C309" s="16" t="s">
        <v>5331</v>
      </c>
      <c r="D309" s="12">
        <v>56.97</v>
      </c>
      <c r="E309" s="12" t="s">
        <v>5332</v>
      </c>
      <c r="F309" s="12" t="s">
        <v>5328</v>
      </c>
      <c r="G309" s="12" t="s">
        <v>5927</v>
      </c>
      <c r="H309" s="12">
        <v>17209</v>
      </c>
    </row>
    <row r="310" spans="1:8">
      <c r="A310" s="12" t="s">
        <v>5928</v>
      </c>
      <c r="B310" s="13">
        <v>10.58</v>
      </c>
      <c r="C310" s="16" t="s">
        <v>5331</v>
      </c>
      <c r="D310" s="12">
        <v>80.75</v>
      </c>
      <c r="E310" s="12" t="s">
        <v>5332</v>
      </c>
      <c r="F310" s="12" t="s">
        <v>5328</v>
      </c>
      <c r="G310" s="12" t="s">
        <v>5929</v>
      </c>
      <c r="H310" s="12">
        <v>17210</v>
      </c>
    </row>
    <row r="311" spans="1:8">
      <c r="A311" s="12" t="s">
        <v>5930</v>
      </c>
      <c r="B311" s="13">
        <v>3.47</v>
      </c>
      <c r="C311" s="16" t="s">
        <v>5331</v>
      </c>
      <c r="D311" s="12">
        <v>14.49</v>
      </c>
      <c r="E311" s="12" t="s">
        <v>5332</v>
      </c>
      <c r="F311" s="12" t="s">
        <v>5328</v>
      </c>
      <c r="G311" s="12" t="s">
        <v>5931</v>
      </c>
      <c r="H311" s="12">
        <v>17211</v>
      </c>
    </row>
    <row r="312" spans="1:8">
      <c r="A312" s="12" t="s">
        <v>5932</v>
      </c>
      <c r="B312" s="13">
        <v>4.87</v>
      </c>
      <c r="C312" s="16" t="s">
        <v>5331</v>
      </c>
      <c r="D312" s="12">
        <v>19.170000000000002</v>
      </c>
      <c r="E312" s="12" t="s">
        <v>5332</v>
      </c>
      <c r="F312" s="12" t="s">
        <v>5328</v>
      </c>
      <c r="G312" s="12" t="s">
        <v>5933</v>
      </c>
      <c r="H312" s="12">
        <v>17212</v>
      </c>
    </row>
    <row r="313" spans="1:8">
      <c r="A313" s="12" t="s">
        <v>5934</v>
      </c>
      <c r="B313" s="13">
        <v>17.100000000000001</v>
      </c>
      <c r="C313" s="16" t="s">
        <v>5331</v>
      </c>
      <c r="D313" s="12">
        <v>110.15</v>
      </c>
      <c r="E313" s="12" t="s">
        <v>5332</v>
      </c>
      <c r="F313" s="12" t="s">
        <v>5328</v>
      </c>
      <c r="G313" s="12" t="s">
        <v>5935</v>
      </c>
      <c r="H313" s="12">
        <v>45007</v>
      </c>
    </row>
    <row r="314" spans="1:8">
      <c r="A314" s="12" t="s">
        <v>5936</v>
      </c>
      <c r="B314" s="13">
        <v>2.69</v>
      </c>
      <c r="C314" s="16" t="s">
        <v>5331</v>
      </c>
      <c r="D314" s="12">
        <v>32.659999999999997</v>
      </c>
      <c r="E314" s="12" t="s">
        <v>5332</v>
      </c>
      <c r="F314" s="12" t="s">
        <v>5328</v>
      </c>
      <c r="G314" s="12" t="s">
        <v>5937</v>
      </c>
      <c r="H314" s="12">
        <v>17215</v>
      </c>
    </row>
    <row r="315" spans="1:8">
      <c r="A315" s="12" t="s">
        <v>5938</v>
      </c>
      <c r="B315" s="13">
        <v>3.21</v>
      </c>
      <c r="C315" s="16" t="s">
        <v>5331</v>
      </c>
      <c r="D315" s="12">
        <v>28.55</v>
      </c>
      <c r="E315" s="12" t="s">
        <v>5332</v>
      </c>
      <c r="F315" s="12" t="s">
        <v>5328</v>
      </c>
      <c r="G315" s="12" t="s">
        <v>5939</v>
      </c>
      <c r="H315" s="12">
        <v>17216</v>
      </c>
    </row>
    <row r="316" spans="1:8">
      <c r="A316" s="12" t="s">
        <v>5940</v>
      </c>
      <c r="B316" s="13">
        <v>2.2999999999999998</v>
      </c>
      <c r="C316" s="16" t="s">
        <v>5331</v>
      </c>
      <c r="D316" s="12">
        <v>8.18</v>
      </c>
      <c r="E316" s="12" t="s">
        <v>5332</v>
      </c>
      <c r="F316" s="12" t="s">
        <v>5328</v>
      </c>
      <c r="G316" s="12" t="s">
        <v>5941</v>
      </c>
      <c r="H316" s="12">
        <v>17218</v>
      </c>
    </row>
    <row r="317" spans="1:8">
      <c r="A317" s="12" t="s">
        <v>5942</v>
      </c>
      <c r="B317" s="13">
        <v>16.59</v>
      </c>
      <c r="C317" s="16" t="s">
        <v>5331</v>
      </c>
      <c r="D317" s="12">
        <v>42.54</v>
      </c>
      <c r="E317" s="12" t="s">
        <v>5332</v>
      </c>
      <c r="F317" s="12" t="s">
        <v>5328</v>
      </c>
      <c r="G317" s="12" t="s">
        <v>5943</v>
      </c>
      <c r="H317" s="12">
        <v>17222</v>
      </c>
    </row>
    <row r="318" spans="1:8">
      <c r="A318" s="12" t="s">
        <v>5944</v>
      </c>
      <c r="B318" s="13">
        <v>26.83</v>
      </c>
      <c r="C318" s="16" t="s">
        <v>5331</v>
      </c>
      <c r="D318" s="12">
        <v>80.489999999999995</v>
      </c>
      <c r="E318" s="12" t="s">
        <v>5332</v>
      </c>
      <c r="F318" s="12" t="s">
        <v>5328</v>
      </c>
      <c r="G318" s="12" t="s">
        <v>5945</v>
      </c>
      <c r="H318" s="12">
        <v>17223</v>
      </c>
    </row>
    <row r="319" spans="1:8">
      <c r="A319" s="12" t="s">
        <v>5946</v>
      </c>
      <c r="B319" s="13">
        <v>1.67</v>
      </c>
      <c r="C319" s="16" t="s">
        <v>5331</v>
      </c>
      <c r="D319" s="12">
        <v>7.41</v>
      </c>
      <c r="E319" s="12" t="s">
        <v>5332</v>
      </c>
      <c r="F319" s="12" t="s">
        <v>5328</v>
      </c>
      <c r="G319" s="12" t="s">
        <v>5947</v>
      </c>
      <c r="H319" s="12">
        <v>17225</v>
      </c>
    </row>
    <row r="320" spans="1:8">
      <c r="A320" s="12" t="s">
        <v>5948</v>
      </c>
      <c r="B320" s="13">
        <v>0.69</v>
      </c>
      <c r="C320" s="16" t="s">
        <v>5331</v>
      </c>
      <c r="D320" s="12">
        <v>17.07</v>
      </c>
      <c r="E320" s="12" t="s">
        <v>5332</v>
      </c>
      <c r="F320" s="12" t="s">
        <v>5328</v>
      </c>
      <c r="G320" s="12" t="s">
        <v>5949</v>
      </c>
      <c r="H320" s="12">
        <v>17226</v>
      </c>
    </row>
    <row r="321" spans="1:8">
      <c r="A321" s="12" t="s">
        <v>5950</v>
      </c>
      <c r="B321" s="13">
        <v>8.8699999999999992</v>
      </c>
      <c r="C321" s="16" t="s">
        <v>5331</v>
      </c>
      <c r="D321" s="12">
        <v>40.770000000000003</v>
      </c>
      <c r="E321" s="12" t="s">
        <v>5332</v>
      </c>
      <c r="F321" s="12" t="s">
        <v>5328</v>
      </c>
      <c r="G321" s="12" t="s">
        <v>5951</v>
      </c>
      <c r="H321" s="12">
        <v>17228</v>
      </c>
    </row>
    <row r="322" spans="1:8">
      <c r="A322" s="12" t="s">
        <v>5952</v>
      </c>
      <c r="B322" s="13">
        <v>2.96</v>
      </c>
      <c r="C322" s="16" t="s">
        <v>5331</v>
      </c>
      <c r="D322" s="12">
        <v>22.454999999999998</v>
      </c>
      <c r="E322" s="12" t="s">
        <v>5332</v>
      </c>
      <c r="F322" s="12" t="s">
        <v>5328</v>
      </c>
      <c r="G322" s="12" t="s">
        <v>5953</v>
      </c>
      <c r="H322" s="12">
        <v>17229</v>
      </c>
    </row>
    <row r="323" spans="1:8">
      <c r="A323" s="12" t="s">
        <v>5954</v>
      </c>
      <c r="B323" s="13">
        <v>0.86</v>
      </c>
      <c r="C323" s="16" t="s">
        <v>5331</v>
      </c>
      <c r="D323" s="12">
        <v>16.62</v>
      </c>
      <c r="E323" s="12" t="s">
        <v>5332</v>
      </c>
      <c r="F323" s="12" t="s">
        <v>5328</v>
      </c>
      <c r="G323" s="12" t="s">
        <v>5955</v>
      </c>
      <c r="H323" s="12">
        <v>17230</v>
      </c>
    </row>
    <row r="324" spans="1:8">
      <c r="A324" s="12" t="s">
        <v>5956</v>
      </c>
      <c r="B324" s="13">
        <v>4.47</v>
      </c>
      <c r="C324" s="16" t="s">
        <v>5331</v>
      </c>
      <c r="D324" s="12">
        <v>31.44</v>
      </c>
      <c r="E324" s="12" t="s">
        <v>5332</v>
      </c>
      <c r="F324" s="12" t="s">
        <v>5328</v>
      </c>
      <c r="G324" s="12" t="s">
        <v>5957</v>
      </c>
      <c r="H324" s="12">
        <v>17231</v>
      </c>
    </row>
    <row r="325" spans="1:8">
      <c r="A325" s="12" t="s">
        <v>5958</v>
      </c>
      <c r="B325" s="13">
        <v>0.68</v>
      </c>
      <c r="C325" s="16" t="s">
        <v>5331</v>
      </c>
      <c r="D325" s="12">
        <v>6.75</v>
      </c>
      <c r="E325" s="12" t="s">
        <v>5332</v>
      </c>
      <c r="F325" s="12" t="s">
        <v>5328</v>
      </c>
      <c r="G325" s="12" t="s">
        <v>5959</v>
      </c>
      <c r="H325" s="12">
        <v>17232</v>
      </c>
    </row>
    <row r="326" spans="1:8">
      <c r="A326" s="12" t="s">
        <v>5960</v>
      </c>
      <c r="B326" s="13">
        <v>8.23</v>
      </c>
      <c r="C326" s="16" t="s">
        <v>5331</v>
      </c>
      <c r="D326" s="12">
        <v>35.924999999999997</v>
      </c>
      <c r="E326" s="12" t="s">
        <v>5332</v>
      </c>
      <c r="F326" s="12" t="s">
        <v>5328</v>
      </c>
      <c r="G326" s="12" t="s">
        <v>5961</v>
      </c>
      <c r="H326" s="12">
        <v>17233</v>
      </c>
    </row>
    <row r="327" spans="1:8">
      <c r="A327" s="12" t="s">
        <v>5962</v>
      </c>
      <c r="B327" s="13">
        <v>0.43</v>
      </c>
      <c r="C327" s="16" t="s">
        <v>5331</v>
      </c>
      <c r="D327" s="12">
        <v>6.7350000000000003</v>
      </c>
      <c r="E327" s="12" t="s">
        <v>5332</v>
      </c>
      <c r="F327" s="12" t="s">
        <v>5328</v>
      </c>
      <c r="G327" s="12" t="s">
        <v>5963</v>
      </c>
      <c r="H327" s="12">
        <v>17234</v>
      </c>
    </row>
    <row r="328" spans="1:8">
      <c r="A328" s="12" t="s">
        <v>5964</v>
      </c>
      <c r="B328" s="13">
        <v>4.03</v>
      </c>
      <c r="C328" s="16" t="s">
        <v>5331</v>
      </c>
      <c r="D328" s="12">
        <v>13.419</v>
      </c>
      <c r="E328" s="12" t="s">
        <v>5332</v>
      </c>
      <c r="F328" s="12" t="s">
        <v>5328</v>
      </c>
      <c r="G328" s="12" t="s">
        <v>5965</v>
      </c>
      <c r="H328" s="12">
        <v>33680</v>
      </c>
    </row>
    <row r="329" spans="1:8">
      <c r="A329" s="12" t="s">
        <v>5966</v>
      </c>
      <c r="B329" s="13">
        <v>5.79</v>
      </c>
      <c r="C329" s="16" t="s">
        <v>5331</v>
      </c>
      <c r="D329" s="12">
        <v>30.09</v>
      </c>
      <c r="E329" s="12" t="s">
        <v>5332</v>
      </c>
      <c r="F329" s="12" t="s">
        <v>5328</v>
      </c>
      <c r="G329" s="12" t="s">
        <v>5967</v>
      </c>
      <c r="H329" s="12">
        <v>17237</v>
      </c>
    </row>
    <row r="330" spans="1:8">
      <c r="A330" s="12" t="s">
        <v>5968</v>
      </c>
      <c r="B330" s="13">
        <v>2.3199999999999998</v>
      </c>
      <c r="C330" s="16" t="s">
        <v>5331</v>
      </c>
      <c r="D330" s="12">
        <v>35.46</v>
      </c>
      <c r="E330" s="12" t="s">
        <v>5332</v>
      </c>
      <c r="F330" s="12" t="s">
        <v>5328</v>
      </c>
      <c r="G330" s="12" t="s">
        <v>5969</v>
      </c>
      <c r="H330" s="12">
        <v>17238</v>
      </c>
    </row>
    <row r="331" spans="1:8">
      <c r="A331" s="12" t="s">
        <v>5970</v>
      </c>
      <c r="B331" s="13">
        <v>2.83</v>
      </c>
      <c r="C331" s="16" t="s">
        <v>5331</v>
      </c>
      <c r="D331" s="12">
        <v>17.960999999999999</v>
      </c>
      <c r="E331" s="12" t="s">
        <v>5332</v>
      </c>
      <c r="F331" s="12" t="s">
        <v>5328</v>
      </c>
      <c r="G331" s="12" t="s">
        <v>5971</v>
      </c>
      <c r="H331" s="12">
        <v>17240</v>
      </c>
    </row>
    <row r="332" spans="1:8">
      <c r="A332" s="12" t="s">
        <v>5972</v>
      </c>
      <c r="B332" s="13">
        <v>6.69</v>
      </c>
      <c r="C332" s="16" t="s">
        <v>5331</v>
      </c>
      <c r="D332" s="12">
        <v>11.22</v>
      </c>
      <c r="E332" s="12" t="s">
        <v>5332</v>
      </c>
      <c r="F332" s="12" t="s">
        <v>5328</v>
      </c>
      <c r="G332" s="12" t="s">
        <v>5973</v>
      </c>
      <c r="H332" s="12">
        <v>17241</v>
      </c>
    </row>
    <row r="333" spans="1:8">
      <c r="A333" s="12" t="s">
        <v>5974</v>
      </c>
      <c r="B333" s="13">
        <v>9.16</v>
      </c>
      <c r="C333" s="16" t="s">
        <v>5331</v>
      </c>
      <c r="D333" s="12">
        <v>11.22</v>
      </c>
      <c r="E333" s="12" t="s">
        <v>5332</v>
      </c>
      <c r="F333" s="12" t="s">
        <v>5328</v>
      </c>
      <c r="G333" s="12" t="s">
        <v>5975</v>
      </c>
      <c r="H333" s="12">
        <v>17242</v>
      </c>
    </row>
    <row r="334" spans="1:8">
      <c r="A334" s="12" t="s">
        <v>5976</v>
      </c>
      <c r="B334" s="13">
        <v>3.12</v>
      </c>
      <c r="C334" s="16" t="s">
        <v>5331</v>
      </c>
      <c r="D334" s="12">
        <v>2.25</v>
      </c>
      <c r="E334" s="12" t="s">
        <v>5332</v>
      </c>
      <c r="F334" s="12" t="s">
        <v>5328</v>
      </c>
      <c r="G334" s="12" t="s">
        <v>5977</v>
      </c>
      <c r="H334" s="12">
        <v>17243</v>
      </c>
    </row>
    <row r="335" spans="1:8">
      <c r="A335" s="12" t="s">
        <v>5978</v>
      </c>
      <c r="B335" s="13">
        <v>3.12</v>
      </c>
      <c r="C335" s="16" t="s">
        <v>5331</v>
      </c>
      <c r="D335" s="12">
        <v>2.25</v>
      </c>
      <c r="E335" s="12" t="s">
        <v>5332</v>
      </c>
      <c r="F335" s="12" t="s">
        <v>5328</v>
      </c>
      <c r="G335" s="12" t="s">
        <v>5979</v>
      </c>
      <c r="H335" s="12">
        <v>17244</v>
      </c>
    </row>
    <row r="336" spans="1:8">
      <c r="A336" s="12" t="s">
        <v>5980</v>
      </c>
      <c r="B336" s="13">
        <v>4.88</v>
      </c>
      <c r="C336" s="16" t="s">
        <v>5331</v>
      </c>
      <c r="D336" s="12">
        <v>20.88</v>
      </c>
      <c r="E336" s="12" t="s">
        <v>5332</v>
      </c>
      <c r="F336" s="12" t="s">
        <v>5328</v>
      </c>
      <c r="G336" s="12" t="s">
        <v>5981</v>
      </c>
      <c r="H336" s="12">
        <v>36794</v>
      </c>
    </row>
    <row r="337" spans="1:8">
      <c r="A337" s="12" t="s">
        <v>5982</v>
      </c>
      <c r="B337" s="13">
        <v>14.54</v>
      </c>
      <c r="C337" s="16" t="s">
        <v>5331</v>
      </c>
      <c r="D337" s="12">
        <v>49.26</v>
      </c>
      <c r="E337" s="12" t="s">
        <v>5332</v>
      </c>
      <c r="F337" s="12" t="s">
        <v>5328</v>
      </c>
      <c r="G337" s="12" t="s">
        <v>5983</v>
      </c>
      <c r="H337" s="12">
        <v>17246</v>
      </c>
    </row>
    <row r="338" spans="1:8">
      <c r="A338" s="12" t="s">
        <v>5984</v>
      </c>
      <c r="B338" s="13">
        <v>2.98</v>
      </c>
      <c r="C338" s="16" t="s">
        <v>5331</v>
      </c>
      <c r="D338" s="12">
        <v>12</v>
      </c>
      <c r="E338" s="12" t="s">
        <v>5332</v>
      </c>
      <c r="F338" s="12" t="s">
        <v>5328</v>
      </c>
      <c r="G338" s="12" t="s">
        <v>5985</v>
      </c>
      <c r="H338" s="12">
        <v>17247</v>
      </c>
    </row>
    <row r="339" spans="1:8">
      <c r="A339" s="12" t="s">
        <v>5362</v>
      </c>
      <c r="B339" s="13">
        <v>23.04</v>
      </c>
      <c r="C339" s="16" t="s">
        <v>5331</v>
      </c>
      <c r="D339" s="12">
        <v>110.73</v>
      </c>
      <c r="E339" s="12" t="s">
        <v>5332</v>
      </c>
      <c r="F339" s="12" t="s">
        <v>5328</v>
      </c>
      <c r="G339" s="12" t="s">
        <v>5986</v>
      </c>
      <c r="H339" s="12">
        <v>17248</v>
      </c>
    </row>
    <row r="340" spans="1:8">
      <c r="A340" s="12" t="s">
        <v>5394</v>
      </c>
      <c r="B340" s="13">
        <v>128.33000000000001</v>
      </c>
      <c r="C340" s="16" t="s">
        <v>5331</v>
      </c>
      <c r="D340" s="12">
        <v>709.2</v>
      </c>
      <c r="E340" s="12" t="s">
        <v>5332</v>
      </c>
      <c r="F340" s="12" t="s">
        <v>5328</v>
      </c>
      <c r="G340" s="12" t="s">
        <v>5987</v>
      </c>
      <c r="H340" s="12">
        <v>17252</v>
      </c>
    </row>
    <row r="341" spans="1:8">
      <c r="A341" s="12" t="s">
        <v>5988</v>
      </c>
      <c r="B341" s="13">
        <v>3.28</v>
      </c>
      <c r="C341" s="16" t="s">
        <v>5331</v>
      </c>
      <c r="D341" s="12">
        <v>16.02</v>
      </c>
      <c r="E341" s="12" t="s">
        <v>5332</v>
      </c>
      <c r="F341" s="12" t="s">
        <v>5328</v>
      </c>
      <c r="G341" s="12" t="s">
        <v>5989</v>
      </c>
      <c r="H341" s="12">
        <v>17253</v>
      </c>
    </row>
    <row r="342" spans="1:8">
      <c r="A342" s="12" t="s">
        <v>5990</v>
      </c>
      <c r="B342" s="13">
        <v>2.7</v>
      </c>
      <c r="C342" s="16" t="s">
        <v>5331</v>
      </c>
      <c r="D342" s="12">
        <v>11.4</v>
      </c>
      <c r="E342" s="12" t="s">
        <v>5332</v>
      </c>
      <c r="F342" s="12" t="s">
        <v>5328</v>
      </c>
      <c r="G342" s="12" t="s">
        <v>5991</v>
      </c>
      <c r="H342" s="12">
        <v>17255</v>
      </c>
    </row>
    <row r="343" spans="1:8">
      <c r="A343" s="12" t="s">
        <v>5992</v>
      </c>
      <c r="B343" s="13">
        <v>3.28</v>
      </c>
      <c r="C343" s="16" t="s">
        <v>5331</v>
      </c>
      <c r="D343" s="12">
        <v>10.353</v>
      </c>
      <c r="E343" s="12" t="s">
        <v>5332</v>
      </c>
      <c r="F343" s="12" t="s">
        <v>5328</v>
      </c>
      <c r="G343" s="12" t="s">
        <v>5993</v>
      </c>
      <c r="H343" s="12">
        <v>17256</v>
      </c>
    </row>
    <row r="344" spans="1:8">
      <c r="A344" s="12" t="s">
        <v>5994</v>
      </c>
      <c r="B344" s="13">
        <v>9.6199999999999992</v>
      </c>
      <c r="C344" s="16" t="s">
        <v>5331</v>
      </c>
      <c r="D344" s="12">
        <v>83.4</v>
      </c>
      <c r="E344" s="12" t="s">
        <v>5332</v>
      </c>
      <c r="F344" s="12" t="s">
        <v>5328</v>
      </c>
      <c r="G344" s="12" t="s">
        <v>5995</v>
      </c>
      <c r="H344" s="12">
        <v>17260</v>
      </c>
    </row>
    <row r="345" spans="1:8">
      <c r="A345" s="12" t="s">
        <v>5996</v>
      </c>
      <c r="B345" s="13">
        <v>13.36</v>
      </c>
      <c r="C345" s="16" t="s">
        <v>5331</v>
      </c>
      <c r="D345" s="12">
        <v>77.819999999999993</v>
      </c>
      <c r="E345" s="12" t="s">
        <v>5332</v>
      </c>
      <c r="F345" s="12" t="s">
        <v>5328</v>
      </c>
      <c r="G345" s="12" t="s">
        <v>5997</v>
      </c>
      <c r="H345" s="12">
        <v>17261</v>
      </c>
    </row>
    <row r="346" spans="1:8">
      <c r="A346" s="12" t="s">
        <v>5998</v>
      </c>
      <c r="B346" s="13">
        <v>13.58</v>
      </c>
      <c r="C346" s="16" t="s">
        <v>5331</v>
      </c>
      <c r="D346" s="12">
        <v>120.72</v>
      </c>
      <c r="E346" s="12" t="s">
        <v>5332</v>
      </c>
      <c r="F346" s="12" t="s">
        <v>5328</v>
      </c>
      <c r="G346" s="12" t="s">
        <v>5999</v>
      </c>
      <c r="H346" s="12">
        <v>17264</v>
      </c>
    </row>
    <row r="347" spans="1:8">
      <c r="A347" s="12" t="s">
        <v>6000</v>
      </c>
      <c r="B347" s="13">
        <v>2.1800000000000002</v>
      </c>
      <c r="C347" s="16" t="s">
        <v>5331</v>
      </c>
      <c r="D347" s="12">
        <v>17.21</v>
      </c>
      <c r="E347" s="12" t="s">
        <v>5332</v>
      </c>
      <c r="F347" s="12" t="s">
        <v>5328</v>
      </c>
      <c r="G347" s="12" t="s">
        <v>6001</v>
      </c>
      <c r="H347" s="12">
        <v>17265</v>
      </c>
    </row>
    <row r="348" spans="1:8">
      <c r="A348" s="12" t="s">
        <v>6002</v>
      </c>
      <c r="B348" s="13">
        <v>0</v>
      </c>
      <c r="C348" s="16" t="s">
        <v>5331</v>
      </c>
      <c r="D348" s="12">
        <v>208.53</v>
      </c>
      <c r="E348" s="12" t="s">
        <v>5332</v>
      </c>
      <c r="F348" s="12" t="s">
        <v>5328</v>
      </c>
      <c r="G348" s="12" t="s">
        <v>6003</v>
      </c>
      <c r="H348" s="12">
        <v>17266</v>
      </c>
    </row>
    <row r="349" spans="1:8">
      <c r="A349" s="12" t="s">
        <v>6004</v>
      </c>
      <c r="B349" s="13">
        <v>0.79</v>
      </c>
      <c r="C349" s="16" t="s">
        <v>5331</v>
      </c>
      <c r="D349" s="12">
        <v>6.15</v>
      </c>
      <c r="E349" s="12" t="s">
        <v>5332</v>
      </c>
      <c r="F349" s="12" t="s">
        <v>5328</v>
      </c>
      <c r="G349" s="12" t="s">
        <v>6005</v>
      </c>
      <c r="H349" s="12">
        <v>32322</v>
      </c>
    </row>
    <row r="350" spans="1:8">
      <c r="A350" s="12" t="s">
        <v>6006</v>
      </c>
      <c r="B350" s="13">
        <v>4.07</v>
      </c>
      <c r="C350" s="16" t="s">
        <v>5331</v>
      </c>
      <c r="D350" s="12">
        <v>18.66</v>
      </c>
      <c r="E350" s="12" t="s">
        <v>5332</v>
      </c>
      <c r="F350" s="12" t="s">
        <v>5328</v>
      </c>
      <c r="G350" s="12" t="s">
        <v>6007</v>
      </c>
      <c r="H350" s="12">
        <v>17269</v>
      </c>
    </row>
    <row r="351" spans="1:8">
      <c r="A351" s="12" t="s">
        <v>6008</v>
      </c>
      <c r="B351" s="13">
        <v>3.59</v>
      </c>
      <c r="C351" s="16" t="s">
        <v>5331</v>
      </c>
      <c r="D351" s="12">
        <v>36.11</v>
      </c>
      <c r="E351" s="12" t="s">
        <v>5332</v>
      </c>
      <c r="F351" s="12" t="s">
        <v>5328</v>
      </c>
      <c r="G351" s="12" t="s">
        <v>6009</v>
      </c>
      <c r="H351" s="12">
        <v>17270</v>
      </c>
    </row>
    <row r="352" spans="1:8">
      <c r="A352" s="12" t="s">
        <v>5372</v>
      </c>
      <c r="B352" s="13">
        <v>10.62</v>
      </c>
      <c r="C352" s="16" t="s">
        <v>5331</v>
      </c>
      <c r="D352" s="12">
        <v>61.43</v>
      </c>
      <c r="E352" s="12" t="s">
        <v>5332</v>
      </c>
      <c r="F352" s="12" t="s">
        <v>5328</v>
      </c>
      <c r="G352" s="12" t="s">
        <v>6010</v>
      </c>
      <c r="H352" s="12">
        <v>17274</v>
      </c>
    </row>
    <row r="353" spans="1:8">
      <c r="A353" s="12" t="s">
        <v>6011</v>
      </c>
      <c r="B353" s="13">
        <v>17.100000000000001</v>
      </c>
      <c r="C353" s="16" t="s">
        <v>5331</v>
      </c>
      <c r="D353" s="12">
        <v>121.67</v>
      </c>
      <c r="E353" s="12" t="s">
        <v>5332</v>
      </c>
      <c r="F353" s="12" t="s">
        <v>5328</v>
      </c>
      <c r="G353" s="12" t="s">
        <v>6012</v>
      </c>
      <c r="H353" s="12">
        <v>17275</v>
      </c>
    </row>
    <row r="354" spans="1:8">
      <c r="A354" s="12" t="s">
        <v>6013</v>
      </c>
      <c r="B354" s="13">
        <v>63.21</v>
      </c>
      <c r="C354" s="16" t="s">
        <v>5331</v>
      </c>
      <c r="D354" s="12">
        <v>246.99</v>
      </c>
      <c r="E354" s="12" t="s">
        <v>5332</v>
      </c>
      <c r="F354" s="12" t="s">
        <v>5328</v>
      </c>
      <c r="G354" s="12" t="s">
        <v>6014</v>
      </c>
      <c r="H354" s="12">
        <v>17276</v>
      </c>
    </row>
    <row r="355" spans="1:8">
      <c r="A355" s="12" t="s">
        <v>6015</v>
      </c>
      <c r="B355" s="13">
        <v>85.59</v>
      </c>
      <c r="C355" s="16" t="s">
        <v>5331</v>
      </c>
      <c r="D355" s="12">
        <v>256.77</v>
      </c>
      <c r="E355" s="12" t="s">
        <v>5332</v>
      </c>
      <c r="F355" s="12" t="s">
        <v>5328</v>
      </c>
      <c r="G355" s="12" t="s">
        <v>6016</v>
      </c>
      <c r="H355" s="12">
        <v>17277</v>
      </c>
    </row>
    <row r="356" spans="1:8">
      <c r="A356" s="12" t="s">
        <v>6017</v>
      </c>
      <c r="B356" s="13">
        <v>47.74</v>
      </c>
      <c r="C356" s="16" t="s">
        <v>5331</v>
      </c>
      <c r="D356" s="12">
        <v>196.08</v>
      </c>
      <c r="E356" s="12" t="s">
        <v>5332</v>
      </c>
      <c r="F356" s="12" t="s">
        <v>5328</v>
      </c>
      <c r="G356" s="12" t="s">
        <v>6018</v>
      </c>
      <c r="H356" s="12">
        <v>17278</v>
      </c>
    </row>
    <row r="357" spans="1:8">
      <c r="A357" s="12" t="s">
        <v>6019</v>
      </c>
      <c r="B357" s="13">
        <v>49.3</v>
      </c>
      <c r="C357" s="16" t="s">
        <v>5331</v>
      </c>
      <c r="D357" s="12">
        <v>196.08</v>
      </c>
      <c r="E357" s="12" t="s">
        <v>5332</v>
      </c>
      <c r="F357" s="12" t="s">
        <v>5328</v>
      </c>
      <c r="G357" s="12" t="s">
        <v>6020</v>
      </c>
      <c r="H357" s="12">
        <v>17279</v>
      </c>
    </row>
    <row r="358" spans="1:8">
      <c r="A358" s="12" t="s">
        <v>6021</v>
      </c>
      <c r="B358" s="13">
        <v>47.74</v>
      </c>
      <c r="C358" s="16" t="s">
        <v>5331</v>
      </c>
      <c r="D358" s="12">
        <v>196.08</v>
      </c>
      <c r="E358" s="12" t="s">
        <v>5332</v>
      </c>
      <c r="F358" s="12" t="s">
        <v>5328</v>
      </c>
      <c r="G358" s="12" t="s">
        <v>6022</v>
      </c>
      <c r="H358" s="12">
        <v>17280</v>
      </c>
    </row>
    <row r="359" spans="1:8">
      <c r="A359" s="12" t="s">
        <v>6023</v>
      </c>
      <c r="B359" s="13">
        <v>0.85</v>
      </c>
      <c r="C359" s="16" t="s">
        <v>5331</v>
      </c>
      <c r="D359" s="12">
        <v>4.3499999999999996</v>
      </c>
      <c r="E359" s="12" t="s">
        <v>5332</v>
      </c>
      <c r="F359" s="12" t="s">
        <v>5328</v>
      </c>
      <c r="G359" s="12" t="s">
        <v>6024</v>
      </c>
      <c r="H359" s="12">
        <v>17281</v>
      </c>
    </row>
    <row r="360" spans="1:8">
      <c r="A360" s="12" t="s">
        <v>6025</v>
      </c>
      <c r="B360" s="13">
        <v>3.59</v>
      </c>
      <c r="C360" s="16" t="s">
        <v>5331</v>
      </c>
      <c r="D360" s="12">
        <v>11.808</v>
      </c>
      <c r="E360" s="12" t="s">
        <v>5332</v>
      </c>
      <c r="F360" s="12" t="s">
        <v>5328</v>
      </c>
      <c r="G360" s="12" t="s">
        <v>6026</v>
      </c>
      <c r="H360" s="12">
        <v>17282</v>
      </c>
    </row>
    <row r="361" spans="1:8">
      <c r="A361" s="12" t="s">
        <v>6027</v>
      </c>
      <c r="B361" s="13">
        <v>8.2899999999999991</v>
      </c>
      <c r="C361" s="16" t="s">
        <v>5331</v>
      </c>
      <c r="D361" s="12">
        <v>28.911000000000001</v>
      </c>
      <c r="E361" s="12" t="s">
        <v>5332</v>
      </c>
      <c r="F361" s="12" t="s">
        <v>5328</v>
      </c>
      <c r="G361" s="12" t="s">
        <v>6028</v>
      </c>
      <c r="H361" s="12">
        <v>17283</v>
      </c>
    </row>
    <row r="362" spans="1:8">
      <c r="A362" s="12" t="s">
        <v>6029</v>
      </c>
      <c r="B362" s="13">
        <v>3.09</v>
      </c>
      <c r="C362" s="16" t="s">
        <v>5331</v>
      </c>
      <c r="D362" s="12">
        <v>9.84</v>
      </c>
      <c r="E362" s="12" t="s">
        <v>5332</v>
      </c>
      <c r="F362" s="12" t="s">
        <v>5328</v>
      </c>
      <c r="G362" s="12" t="s">
        <v>6030</v>
      </c>
      <c r="H362" s="12">
        <v>17284</v>
      </c>
    </row>
    <row r="363" spans="1:8">
      <c r="A363" s="12" t="s">
        <v>6031</v>
      </c>
      <c r="B363" s="13">
        <v>1.56</v>
      </c>
      <c r="C363" s="16" t="s">
        <v>5331</v>
      </c>
      <c r="D363" s="12">
        <v>5.34</v>
      </c>
      <c r="E363" s="12" t="s">
        <v>5332</v>
      </c>
      <c r="F363" s="12" t="s">
        <v>5328</v>
      </c>
      <c r="G363" s="12" t="s">
        <v>6032</v>
      </c>
      <c r="H363" s="12">
        <v>17285</v>
      </c>
    </row>
    <row r="364" spans="1:8">
      <c r="A364" s="12" t="s">
        <v>6033</v>
      </c>
      <c r="B364" s="13">
        <v>8.81</v>
      </c>
      <c r="C364" s="16" t="s">
        <v>5331</v>
      </c>
      <c r="D364" s="12">
        <v>339.59</v>
      </c>
      <c r="E364" s="12" t="s">
        <v>5332</v>
      </c>
      <c r="F364" s="12" t="s">
        <v>5328</v>
      </c>
      <c r="G364" s="12" t="s">
        <v>6034</v>
      </c>
      <c r="H364" s="12">
        <v>17287</v>
      </c>
    </row>
    <row r="365" spans="1:8">
      <c r="A365" s="12" t="s">
        <v>6035</v>
      </c>
      <c r="B365" s="13">
        <v>86.15</v>
      </c>
      <c r="C365" s="16" t="s">
        <v>5331</v>
      </c>
      <c r="D365" s="12">
        <v>470.1</v>
      </c>
      <c r="E365" s="12" t="s">
        <v>5332</v>
      </c>
      <c r="F365" s="12" t="s">
        <v>5328</v>
      </c>
      <c r="G365" s="12" t="s">
        <v>6036</v>
      </c>
      <c r="H365" s="12">
        <v>17288</v>
      </c>
    </row>
    <row r="366" spans="1:8">
      <c r="A366" s="12" t="s">
        <v>6037</v>
      </c>
      <c r="B366" s="13">
        <v>0.91</v>
      </c>
      <c r="C366" s="16" t="s">
        <v>5331</v>
      </c>
      <c r="D366" s="12">
        <v>7.32</v>
      </c>
      <c r="E366" s="12" t="s">
        <v>5332</v>
      </c>
      <c r="F366" s="12" t="s">
        <v>5328</v>
      </c>
      <c r="G366" s="12" t="s">
        <v>6038</v>
      </c>
      <c r="H366" s="12">
        <v>30823</v>
      </c>
    </row>
    <row r="367" spans="1:8">
      <c r="A367" s="12" t="s">
        <v>6039</v>
      </c>
      <c r="B367" s="13">
        <v>0.78</v>
      </c>
      <c r="C367" s="16" t="s">
        <v>5331</v>
      </c>
      <c r="D367" s="12">
        <v>29.25</v>
      </c>
      <c r="E367" s="12" t="s">
        <v>5332</v>
      </c>
      <c r="F367" s="12" t="s">
        <v>5328</v>
      </c>
      <c r="G367" s="12" t="s">
        <v>6040</v>
      </c>
      <c r="H367" s="12">
        <v>17290</v>
      </c>
    </row>
    <row r="368" spans="1:8">
      <c r="A368" s="12" t="s">
        <v>6041</v>
      </c>
      <c r="B368" s="13">
        <v>3.22</v>
      </c>
      <c r="C368" s="16" t="s">
        <v>5331</v>
      </c>
      <c r="D368" s="12">
        <v>4.92</v>
      </c>
      <c r="E368" s="12" t="s">
        <v>5332</v>
      </c>
      <c r="F368" s="12" t="s">
        <v>5328</v>
      </c>
      <c r="G368" s="12" t="s">
        <v>6042</v>
      </c>
      <c r="H368" s="12">
        <v>17292</v>
      </c>
    </row>
    <row r="369" spans="1:8">
      <c r="A369" s="12" t="s">
        <v>6043</v>
      </c>
      <c r="B369" s="13">
        <v>10.54</v>
      </c>
      <c r="C369" s="16" t="s">
        <v>5331</v>
      </c>
      <c r="D369" s="12">
        <v>36.645000000000003</v>
      </c>
      <c r="E369" s="12" t="s">
        <v>5332</v>
      </c>
      <c r="F369" s="12" t="s">
        <v>5328</v>
      </c>
      <c r="G369" s="12" t="s">
        <v>6044</v>
      </c>
      <c r="H369" s="12">
        <v>17293</v>
      </c>
    </row>
    <row r="370" spans="1:8">
      <c r="A370" s="12" t="s">
        <v>6045</v>
      </c>
      <c r="B370" s="13">
        <v>11.48</v>
      </c>
      <c r="C370" s="16" t="s">
        <v>5331</v>
      </c>
      <c r="D370" s="12">
        <v>40.503</v>
      </c>
      <c r="E370" s="12" t="s">
        <v>5332</v>
      </c>
      <c r="F370" s="12" t="s">
        <v>5328</v>
      </c>
      <c r="G370" s="12" t="s">
        <v>6046</v>
      </c>
      <c r="H370" s="12">
        <v>17294</v>
      </c>
    </row>
    <row r="371" spans="1:8">
      <c r="A371" s="12" t="s">
        <v>6047</v>
      </c>
      <c r="B371" s="13">
        <v>11.59</v>
      </c>
      <c r="C371" s="16" t="s">
        <v>5331</v>
      </c>
      <c r="D371" s="12">
        <v>35.466000000000001</v>
      </c>
      <c r="E371" s="12" t="s">
        <v>5332</v>
      </c>
      <c r="F371" s="12" t="s">
        <v>5328</v>
      </c>
      <c r="G371" s="12" t="s">
        <v>6048</v>
      </c>
      <c r="H371" s="12">
        <v>17295</v>
      </c>
    </row>
    <row r="372" spans="1:8">
      <c r="A372" s="12" t="s">
        <v>6049</v>
      </c>
      <c r="B372" s="13">
        <v>7.46</v>
      </c>
      <c r="C372" s="16" t="s">
        <v>5331</v>
      </c>
      <c r="D372" s="12">
        <v>27.003</v>
      </c>
      <c r="E372" s="12" t="s">
        <v>5332</v>
      </c>
      <c r="F372" s="12" t="s">
        <v>5328</v>
      </c>
      <c r="G372" s="12" t="s">
        <v>6050</v>
      </c>
      <c r="H372" s="12">
        <v>17296</v>
      </c>
    </row>
    <row r="373" spans="1:8">
      <c r="A373" s="12" t="s">
        <v>6051</v>
      </c>
      <c r="B373" s="13">
        <v>4.2</v>
      </c>
      <c r="C373" s="16" t="s">
        <v>5331</v>
      </c>
      <c r="D373" s="12">
        <v>15.429</v>
      </c>
      <c r="E373" s="12" t="s">
        <v>5332</v>
      </c>
      <c r="F373" s="12" t="s">
        <v>5328</v>
      </c>
      <c r="G373" s="12" t="s">
        <v>6052</v>
      </c>
      <c r="H373" s="12">
        <v>17297</v>
      </c>
    </row>
    <row r="374" spans="1:8">
      <c r="A374" s="12" t="s">
        <v>6053</v>
      </c>
      <c r="B374" s="13">
        <v>7.1</v>
      </c>
      <c r="C374" s="16" t="s">
        <v>5331</v>
      </c>
      <c r="D374" s="12">
        <v>100.2</v>
      </c>
      <c r="E374" s="12" t="s">
        <v>5332</v>
      </c>
      <c r="F374" s="12" t="s">
        <v>5328</v>
      </c>
      <c r="G374" s="12" t="s">
        <v>6054</v>
      </c>
      <c r="H374" s="12">
        <v>17298</v>
      </c>
    </row>
    <row r="375" spans="1:8">
      <c r="A375" s="12" t="s">
        <v>6055</v>
      </c>
      <c r="B375" s="13">
        <v>3.52</v>
      </c>
      <c r="C375" s="16" t="s">
        <v>5331</v>
      </c>
      <c r="D375" s="12">
        <v>40.71</v>
      </c>
      <c r="E375" s="12" t="s">
        <v>5332</v>
      </c>
      <c r="F375" s="12" t="s">
        <v>5328</v>
      </c>
      <c r="G375" s="12" t="s">
        <v>6056</v>
      </c>
      <c r="H375" s="12">
        <v>17299</v>
      </c>
    </row>
    <row r="376" spans="1:8">
      <c r="A376" s="12" t="s">
        <v>6057</v>
      </c>
      <c r="B376" s="13">
        <v>37.67</v>
      </c>
      <c r="C376" s="16" t="s">
        <v>5331</v>
      </c>
      <c r="D376" s="12">
        <v>177.71</v>
      </c>
      <c r="E376" s="12" t="s">
        <v>5332</v>
      </c>
      <c r="F376" s="12" t="s">
        <v>5328</v>
      </c>
      <c r="G376" s="12" t="s">
        <v>6058</v>
      </c>
      <c r="H376" s="12">
        <v>17300</v>
      </c>
    </row>
    <row r="377" spans="1:8">
      <c r="A377" s="12" t="s">
        <v>6059</v>
      </c>
      <c r="B377" s="13">
        <v>2.44</v>
      </c>
      <c r="C377" s="16" t="s">
        <v>5331</v>
      </c>
      <c r="D377" s="12">
        <v>11.82</v>
      </c>
      <c r="E377" s="12" t="s">
        <v>5332</v>
      </c>
      <c r="F377" s="12" t="s">
        <v>5328</v>
      </c>
      <c r="G377" s="12" t="s">
        <v>6060</v>
      </c>
      <c r="H377" s="12">
        <v>30829</v>
      </c>
    </row>
    <row r="378" spans="1:8">
      <c r="A378" s="12" t="s">
        <v>6061</v>
      </c>
      <c r="B378" s="13">
        <v>2.4700000000000002</v>
      </c>
      <c r="C378" s="16" t="s">
        <v>5331</v>
      </c>
      <c r="D378" s="12">
        <v>13.61</v>
      </c>
      <c r="E378" s="12" t="s">
        <v>5332</v>
      </c>
      <c r="F378" s="12" t="s">
        <v>5328</v>
      </c>
      <c r="G378" s="12" t="s">
        <v>6062</v>
      </c>
      <c r="H378" s="12">
        <v>30686</v>
      </c>
    </row>
    <row r="379" spans="1:8">
      <c r="A379" s="12" t="s">
        <v>6063</v>
      </c>
      <c r="B379" s="13">
        <v>25.81</v>
      </c>
      <c r="C379" s="16" t="s">
        <v>5331</v>
      </c>
      <c r="D379" s="12">
        <v>95.13</v>
      </c>
      <c r="E379" s="12" t="s">
        <v>5332</v>
      </c>
      <c r="F379" s="12" t="s">
        <v>5328</v>
      </c>
      <c r="G379" s="12" t="s">
        <v>6064</v>
      </c>
      <c r="H379" s="12">
        <v>54043</v>
      </c>
    </row>
    <row r="380" spans="1:8">
      <c r="A380" s="12" t="s">
        <v>6065</v>
      </c>
      <c r="B380" s="13">
        <v>5.92</v>
      </c>
      <c r="C380" s="16" t="s">
        <v>5331</v>
      </c>
      <c r="D380" s="12">
        <v>32.549999999999997</v>
      </c>
      <c r="E380" s="12" t="s">
        <v>5332</v>
      </c>
      <c r="F380" s="12" t="s">
        <v>5328</v>
      </c>
      <c r="G380" s="12" t="s">
        <v>6066</v>
      </c>
      <c r="H380" s="12">
        <v>46739</v>
      </c>
    </row>
    <row r="381" spans="1:8">
      <c r="A381" s="12" t="s">
        <v>6067</v>
      </c>
      <c r="B381" s="13">
        <v>236.4</v>
      </c>
      <c r="C381" s="16" t="s">
        <v>5331</v>
      </c>
      <c r="D381" s="12">
        <v>709.2</v>
      </c>
      <c r="E381" s="12" t="s">
        <v>5332</v>
      </c>
      <c r="F381" s="12" t="s">
        <v>5328</v>
      </c>
      <c r="G381" s="12" t="s">
        <v>6068</v>
      </c>
      <c r="H381" s="12">
        <v>17302</v>
      </c>
    </row>
    <row r="382" spans="1:8">
      <c r="A382" s="12" t="s">
        <v>6069</v>
      </c>
      <c r="B382" s="13">
        <v>69.650000000000006</v>
      </c>
      <c r="C382" s="16" t="s">
        <v>5331</v>
      </c>
      <c r="D382" s="12">
        <v>330</v>
      </c>
      <c r="E382" s="12" t="s">
        <v>5332</v>
      </c>
      <c r="F382" s="12" t="s">
        <v>5328</v>
      </c>
      <c r="G382" s="12" t="s">
        <v>6070</v>
      </c>
      <c r="H382" s="12">
        <v>32623</v>
      </c>
    </row>
    <row r="383" spans="1:8">
      <c r="A383" s="12" t="s">
        <v>6071</v>
      </c>
      <c r="B383" s="13">
        <v>6.98</v>
      </c>
      <c r="C383" s="16" t="s">
        <v>5331</v>
      </c>
      <c r="D383" s="12">
        <v>23.49</v>
      </c>
      <c r="E383" s="12" t="s">
        <v>5332</v>
      </c>
      <c r="F383" s="12" t="s">
        <v>5328</v>
      </c>
      <c r="G383" s="12" t="s">
        <v>6072</v>
      </c>
      <c r="H383" s="12">
        <v>32624</v>
      </c>
    </row>
    <row r="384" spans="1:8">
      <c r="A384" s="12" t="s">
        <v>6073</v>
      </c>
      <c r="B384" s="13">
        <v>4.5199999999999996</v>
      </c>
      <c r="C384" s="16" t="s">
        <v>5331</v>
      </c>
      <c r="D384" s="12">
        <v>15.21</v>
      </c>
      <c r="E384" s="12" t="s">
        <v>5332</v>
      </c>
      <c r="F384" s="12" t="s">
        <v>5328</v>
      </c>
      <c r="G384" s="12" t="s">
        <v>6074</v>
      </c>
      <c r="H384" s="12">
        <v>32725</v>
      </c>
    </row>
    <row r="385" spans="1:8">
      <c r="A385" s="12" t="s">
        <v>6075</v>
      </c>
      <c r="B385" s="13">
        <v>4.5199999999999996</v>
      </c>
      <c r="C385" s="16" t="s">
        <v>5331</v>
      </c>
      <c r="D385" s="12">
        <v>15.21</v>
      </c>
      <c r="E385" s="12" t="s">
        <v>5332</v>
      </c>
      <c r="F385" s="12" t="s">
        <v>5328</v>
      </c>
      <c r="G385" s="12" t="s">
        <v>6076</v>
      </c>
      <c r="H385" s="12">
        <v>32726</v>
      </c>
    </row>
    <row r="386" spans="1:8">
      <c r="A386" s="12" t="s">
        <v>6077</v>
      </c>
      <c r="B386" s="13">
        <v>4.5199999999999996</v>
      </c>
      <c r="C386" s="16" t="s">
        <v>5331</v>
      </c>
      <c r="D386" s="12">
        <v>15.21</v>
      </c>
      <c r="E386" s="12" t="s">
        <v>5332</v>
      </c>
      <c r="F386" s="12" t="s">
        <v>5328</v>
      </c>
      <c r="G386" s="12" t="s">
        <v>6078</v>
      </c>
      <c r="H386" s="12">
        <v>32727</v>
      </c>
    </row>
    <row r="387" spans="1:8">
      <c r="A387" s="12" t="s">
        <v>6079</v>
      </c>
      <c r="B387" s="13">
        <v>17.7</v>
      </c>
      <c r="C387" s="16" t="s">
        <v>5331</v>
      </c>
      <c r="D387" s="12">
        <v>59.55</v>
      </c>
      <c r="E387" s="12" t="s">
        <v>5332</v>
      </c>
      <c r="F387" s="12" t="s">
        <v>5328</v>
      </c>
      <c r="G387" s="12" t="s">
        <v>6080</v>
      </c>
      <c r="H387" s="12">
        <v>32828</v>
      </c>
    </row>
    <row r="388" spans="1:8">
      <c r="A388" s="12" t="s">
        <v>6081</v>
      </c>
      <c r="B388" s="13">
        <v>17.25</v>
      </c>
      <c r="C388" s="16" t="s">
        <v>5331</v>
      </c>
      <c r="D388" s="12">
        <v>110.97</v>
      </c>
      <c r="E388" s="12" t="s">
        <v>5332</v>
      </c>
      <c r="F388" s="12" t="s">
        <v>5328</v>
      </c>
      <c r="G388" s="12" t="s">
        <v>6082</v>
      </c>
      <c r="H388" s="12">
        <v>17306</v>
      </c>
    </row>
    <row r="389" spans="1:8">
      <c r="A389" s="12" t="s">
        <v>6083</v>
      </c>
      <c r="B389" s="13">
        <v>104.83</v>
      </c>
      <c r="C389" s="16" t="s">
        <v>5331</v>
      </c>
      <c r="D389" s="12">
        <v>404.76</v>
      </c>
      <c r="E389" s="12" t="s">
        <v>5332</v>
      </c>
      <c r="F389" s="12" t="s">
        <v>5328</v>
      </c>
      <c r="G389" s="12" t="s">
        <v>6084</v>
      </c>
      <c r="H389" s="12">
        <v>32829</v>
      </c>
    </row>
    <row r="390" spans="1:8">
      <c r="A390" s="12" t="s">
        <v>6085</v>
      </c>
      <c r="B390" s="13">
        <v>42.15</v>
      </c>
      <c r="C390" s="16" t="s">
        <v>5331</v>
      </c>
      <c r="D390" s="12">
        <v>71.31</v>
      </c>
      <c r="E390" s="12" t="s">
        <v>5332</v>
      </c>
      <c r="F390" s="12" t="s">
        <v>5328</v>
      </c>
      <c r="G390" s="12" t="s">
        <v>6086</v>
      </c>
      <c r="H390" s="12">
        <v>32830</v>
      </c>
    </row>
    <row r="391" spans="1:8">
      <c r="A391" s="12" t="s">
        <v>6087</v>
      </c>
      <c r="B391" s="13">
        <v>49.75</v>
      </c>
      <c r="C391" s="16" t="s">
        <v>5331</v>
      </c>
      <c r="D391" s="12">
        <v>167.37</v>
      </c>
      <c r="E391" s="12" t="s">
        <v>5332</v>
      </c>
      <c r="F391" s="12" t="s">
        <v>5328</v>
      </c>
      <c r="G391" s="12" t="s">
        <v>6088</v>
      </c>
      <c r="H391" s="12">
        <v>32831</v>
      </c>
    </row>
    <row r="392" spans="1:8">
      <c r="A392" s="12" t="s">
        <v>6089</v>
      </c>
      <c r="B392" s="13">
        <v>52.08</v>
      </c>
      <c r="C392" s="16" t="s">
        <v>5331</v>
      </c>
      <c r="D392" s="12">
        <v>175.2</v>
      </c>
      <c r="E392" s="12" t="s">
        <v>5332</v>
      </c>
      <c r="F392" s="12" t="s">
        <v>5328</v>
      </c>
      <c r="G392" s="12" t="s">
        <v>6090</v>
      </c>
      <c r="H392" s="12">
        <v>32832</v>
      </c>
    </row>
    <row r="393" spans="1:8">
      <c r="A393" s="12" t="s">
        <v>6091</v>
      </c>
      <c r="B393" s="13">
        <v>73.17</v>
      </c>
      <c r="C393" s="16" t="s">
        <v>5331</v>
      </c>
      <c r="D393" s="12">
        <v>119.55</v>
      </c>
      <c r="E393" s="12" t="s">
        <v>5332</v>
      </c>
      <c r="F393" s="12" t="s">
        <v>5328</v>
      </c>
      <c r="G393" s="12" t="s">
        <v>6092</v>
      </c>
      <c r="H393" s="12">
        <v>32933</v>
      </c>
    </row>
    <row r="394" spans="1:8">
      <c r="A394" s="12" t="s">
        <v>6093</v>
      </c>
      <c r="B394" s="13">
        <v>34.9</v>
      </c>
      <c r="C394" s="16" t="s">
        <v>5331</v>
      </c>
      <c r="D394" s="12">
        <v>117.39</v>
      </c>
      <c r="E394" s="12" t="s">
        <v>5332</v>
      </c>
      <c r="F394" s="12" t="s">
        <v>5328</v>
      </c>
      <c r="G394" s="12" t="s">
        <v>6094</v>
      </c>
      <c r="H394" s="12">
        <v>32934</v>
      </c>
    </row>
    <row r="395" spans="1:8">
      <c r="A395" s="12" t="s">
        <v>6095</v>
      </c>
      <c r="B395" s="13">
        <v>35.28</v>
      </c>
      <c r="C395" s="16" t="s">
        <v>5331</v>
      </c>
      <c r="D395" s="12">
        <v>118.68</v>
      </c>
      <c r="E395" s="12" t="s">
        <v>5332</v>
      </c>
      <c r="F395" s="12" t="s">
        <v>5328</v>
      </c>
      <c r="G395" s="12" t="s">
        <v>6096</v>
      </c>
      <c r="H395" s="12">
        <v>32935</v>
      </c>
    </row>
    <row r="396" spans="1:8">
      <c r="A396" s="12" t="s">
        <v>6097</v>
      </c>
      <c r="B396" s="13">
        <v>38.520000000000003</v>
      </c>
      <c r="C396" s="16" t="s">
        <v>5331</v>
      </c>
      <c r="D396" s="12">
        <v>129.57</v>
      </c>
      <c r="E396" s="12" t="s">
        <v>5332</v>
      </c>
      <c r="F396" s="12" t="s">
        <v>5328</v>
      </c>
      <c r="G396" s="12" t="s">
        <v>6098</v>
      </c>
      <c r="H396" s="12">
        <v>32936</v>
      </c>
    </row>
    <row r="397" spans="1:8">
      <c r="A397" s="12" t="s">
        <v>6099</v>
      </c>
      <c r="B397" s="13">
        <v>15.77</v>
      </c>
      <c r="C397" s="16" t="s">
        <v>5331</v>
      </c>
      <c r="D397" s="12">
        <v>53.04</v>
      </c>
      <c r="E397" s="12" t="s">
        <v>5332</v>
      </c>
      <c r="F397" s="12" t="s">
        <v>5328</v>
      </c>
      <c r="G397" s="12" t="s">
        <v>6100</v>
      </c>
      <c r="H397" s="12">
        <v>32937</v>
      </c>
    </row>
    <row r="398" spans="1:8">
      <c r="A398" s="12" t="s">
        <v>6101</v>
      </c>
      <c r="B398" s="13">
        <v>16.8</v>
      </c>
      <c r="C398" s="16" t="s">
        <v>5331</v>
      </c>
      <c r="D398" s="12">
        <v>56.52</v>
      </c>
      <c r="E398" s="12" t="s">
        <v>5332</v>
      </c>
      <c r="F398" s="12" t="s">
        <v>5328</v>
      </c>
      <c r="G398" s="12" t="s">
        <v>6102</v>
      </c>
      <c r="H398" s="12">
        <v>32938</v>
      </c>
    </row>
    <row r="399" spans="1:8">
      <c r="A399" s="12" t="s">
        <v>6103</v>
      </c>
      <c r="B399" s="13">
        <v>34.5</v>
      </c>
      <c r="C399" s="16" t="s">
        <v>5331</v>
      </c>
      <c r="D399" s="12">
        <v>116.07</v>
      </c>
      <c r="E399" s="12" t="s">
        <v>5332</v>
      </c>
      <c r="F399" s="12" t="s">
        <v>5328</v>
      </c>
      <c r="G399" s="12" t="s">
        <v>6104</v>
      </c>
      <c r="H399" s="12">
        <v>32939</v>
      </c>
    </row>
    <row r="400" spans="1:8">
      <c r="A400" s="12" t="s">
        <v>6105</v>
      </c>
      <c r="B400" s="13">
        <v>6.47</v>
      </c>
      <c r="C400" s="16" t="s">
        <v>5331</v>
      </c>
      <c r="D400" s="12">
        <v>21.75</v>
      </c>
      <c r="E400" s="12" t="s">
        <v>5332</v>
      </c>
      <c r="F400" s="12" t="s">
        <v>5328</v>
      </c>
      <c r="G400" s="12" t="s">
        <v>6106</v>
      </c>
      <c r="H400" s="12">
        <v>32940</v>
      </c>
    </row>
    <row r="401" spans="1:8">
      <c r="A401" s="12" t="s">
        <v>6107</v>
      </c>
      <c r="B401" s="13">
        <v>7.88</v>
      </c>
      <c r="C401" s="16" t="s">
        <v>5331</v>
      </c>
      <c r="D401" s="12">
        <v>26.52</v>
      </c>
      <c r="E401" s="12" t="s">
        <v>5332</v>
      </c>
      <c r="F401" s="12" t="s">
        <v>5328</v>
      </c>
      <c r="G401" s="12" t="s">
        <v>6108</v>
      </c>
      <c r="H401" s="12">
        <v>32941</v>
      </c>
    </row>
    <row r="402" spans="1:8">
      <c r="A402" s="12" t="s">
        <v>6109</v>
      </c>
      <c r="B402" s="13">
        <v>0</v>
      </c>
      <c r="C402" s="16" t="s">
        <v>5331</v>
      </c>
      <c r="D402" s="12">
        <v>368.67</v>
      </c>
      <c r="E402" s="12" t="s">
        <v>5332</v>
      </c>
      <c r="F402" s="12" t="s">
        <v>5328</v>
      </c>
      <c r="G402" s="12" t="s">
        <v>6110</v>
      </c>
      <c r="H402" s="12">
        <v>32943</v>
      </c>
    </row>
    <row r="403" spans="1:8">
      <c r="A403" s="12" t="s">
        <v>6111</v>
      </c>
      <c r="B403" s="13">
        <v>59.71</v>
      </c>
      <c r="C403" s="16" t="s">
        <v>5331</v>
      </c>
      <c r="D403" s="12">
        <v>200.85</v>
      </c>
      <c r="E403" s="12" t="s">
        <v>5332</v>
      </c>
      <c r="F403" s="12" t="s">
        <v>5328</v>
      </c>
      <c r="G403" s="12" t="s">
        <v>6112</v>
      </c>
      <c r="H403" s="12">
        <v>32942</v>
      </c>
    </row>
    <row r="404" spans="1:8">
      <c r="A404" s="12" t="s">
        <v>6113</v>
      </c>
      <c r="B404" s="13">
        <v>18.22</v>
      </c>
      <c r="C404" s="16" t="s">
        <v>5331</v>
      </c>
      <c r="D404" s="12">
        <v>61.29</v>
      </c>
      <c r="E404" s="12" t="s">
        <v>5332</v>
      </c>
      <c r="F404" s="12" t="s">
        <v>5328</v>
      </c>
      <c r="G404" s="12" t="s">
        <v>6114</v>
      </c>
      <c r="H404" s="12">
        <v>32944</v>
      </c>
    </row>
    <row r="405" spans="1:8">
      <c r="A405" s="12" t="s">
        <v>6115</v>
      </c>
      <c r="B405" s="13">
        <v>35</v>
      </c>
      <c r="C405" s="16" t="s">
        <v>5331</v>
      </c>
      <c r="D405" s="12">
        <v>105</v>
      </c>
      <c r="E405" s="12" t="s">
        <v>5332</v>
      </c>
      <c r="F405" s="12" t="s">
        <v>5328</v>
      </c>
      <c r="G405" s="12" t="s">
        <v>6116</v>
      </c>
      <c r="H405" s="12">
        <v>33901</v>
      </c>
    </row>
    <row r="406" spans="1:8">
      <c r="A406" s="12" t="s">
        <v>6117</v>
      </c>
      <c r="B406" s="13">
        <v>31.79</v>
      </c>
      <c r="C406" s="16" t="s">
        <v>5331</v>
      </c>
      <c r="D406" s="12">
        <v>106.95</v>
      </c>
      <c r="E406" s="12" t="s">
        <v>5332</v>
      </c>
      <c r="F406" s="12" t="s">
        <v>5328</v>
      </c>
      <c r="G406" s="12" t="s">
        <v>6118</v>
      </c>
      <c r="H406" s="12">
        <v>33046</v>
      </c>
    </row>
    <row r="407" spans="1:8">
      <c r="A407" s="12" t="s">
        <v>6119</v>
      </c>
      <c r="B407" s="13">
        <v>3.36</v>
      </c>
      <c r="C407" s="16" t="s">
        <v>5331</v>
      </c>
      <c r="D407" s="12">
        <v>11.31</v>
      </c>
      <c r="E407" s="12" t="s">
        <v>5332</v>
      </c>
      <c r="F407" s="12" t="s">
        <v>5328</v>
      </c>
      <c r="G407" s="12" t="s">
        <v>6120</v>
      </c>
      <c r="H407" s="12">
        <v>33047</v>
      </c>
    </row>
    <row r="408" spans="1:8">
      <c r="A408" s="12" t="s">
        <v>6121</v>
      </c>
      <c r="B408" s="13">
        <v>4.5199999999999996</v>
      </c>
      <c r="C408" s="16" t="s">
        <v>5331</v>
      </c>
      <c r="D408" s="12">
        <v>15.21</v>
      </c>
      <c r="E408" s="12" t="s">
        <v>5332</v>
      </c>
      <c r="F408" s="12" t="s">
        <v>5328</v>
      </c>
      <c r="G408" s="12" t="s">
        <v>6122</v>
      </c>
      <c r="H408" s="12">
        <v>33048</v>
      </c>
    </row>
    <row r="409" spans="1:8">
      <c r="A409" s="12" t="s">
        <v>6123</v>
      </c>
      <c r="B409" s="13">
        <v>82.2</v>
      </c>
      <c r="C409" s="16" t="s">
        <v>5331</v>
      </c>
      <c r="D409" s="12">
        <v>276.51</v>
      </c>
      <c r="E409" s="12" t="s">
        <v>5332</v>
      </c>
      <c r="F409" s="12" t="s">
        <v>5328</v>
      </c>
      <c r="G409" s="12" t="s">
        <v>6124</v>
      </c>
      <c r="H409" s="12">
        <v>33049</v>
      </c>
    </row>
    <row r="410" spans="1:8">
      <c r="A410" s="12" t="s">
        <v>5416</v>
      </c>
      <c r="B410" s="13">
        <v>2.0699999999999998</v>
      </c>
      <c r="C410" s="16" t="s">
        <v>5331</v>
      </c>
      <c r="D410" s="12">
        <v>6.96</v>
      </c>
      <c r="E410" s="12" t="s">
        <v>5332</v>
      </c>
      <c r="F410" s="12" t="s">
        <v>5328</v>
      </c>
      <c r="G410" s="12" t="s">
        <v>6125</v>
      </c>
      <c r="H410" s="12">
        <v>33050</v>
      </c>
    </row>
    <row r="411" spans="1:8">
      <c r="A411" s="12" t="s">
        <v>6126</v>
      </c>
      <c r="B411" s="13">
        <v>13.18</v>
      </c>
      <c r="C411" s="16" t="s">
        <v>5331</v>
      </c>
      <c r="D411" s="12">
        <v>44.34</v>
      </c>
      <c r="E411" s="12" t="s">
        <v>5332</v>
      </c>
      <c r="F411" s="12" t="s">
        <v>5328</v>
      </c>
      <c r="G411" s="12" t="s">
        <v>6127</v>
      </c>
      <c r="H411" s="12">
        <v>33051</v>
      </c>
    </row>
    <row r="412" spans="1:8">
      <c r="A412" s="12" t="s">
        <v>6128</v>
      </c>
      <c r="B412" s="13">
        <v>645.04999999999995</v>
      </c>
      <c r="C412" s="16" t="s">
        <v>5331</v>
      </c>
      <c r="D412" s="12">
        <v>1935.15</v>
      </c>
      <c r="E412" s="12" t="s">
        <v>5332</v>
      </c>
      <c r="F412" s="12" t="s">
        <v>5328</v>
      </c>
      <c r="G412" s="12" t="s">
        <v>6129</v>
      </c>
      <c r="H412" s="12">
        <v>34027</v>
      </c>
    </row>
    <row r="413" spans="1:8">
      <c r="A413" s="12" t="s">
        <v>6130</v>
      </c>
      <c r="B413" s="13">
        <v>285.14999999999998</v>
      </c>
      <c r="C413" s="16" t="s">
        <v>5331</v>
      </c>
      <c r="D413" s="12">
        <v>855.45</v>
      </c>
      <c r="E413" s="12" t="s">
        <v>5332</v>
      </c>
      <c r="F413" s="12" t="s">
        <v>5328</v>
      </c>
      <c r="G413" s="12" t="s">
        <v>6131</v>
      </c>
      <c r="H413" s="12">
        <v>34028</v>
      </c>
    </row>
    <row r="414" spans="1:8">
      <c r="A414" s="12" t="s">
        <v>6132</v>
      </c>
      <c r="B414" s="13">
        <v>30</v>
      </c>
      <c r="C414" s="16" t="s">
        <v>5331</v>
      </c>
      <c r="D414" s="12">
        <v>90</v>
      </c>
      <c r="E414" s="12" t="s">
        <v>5332</v>
      </c>
      <c r="F414" s="12" t="s">
        <v>5328</v>
      </c>
      <c r="G414" s="12" t="s">
        <v>6133</v>
      </c>
      <c r="H414" s="12">
        <v>34148</v>
      </c>
    </row>
    <row r="415" spans="1:8">
      <c r="A415" s="12" t="s">
        <v>6134</v>
      </c>
      <c r="B415" s="13">
        <v>40</v>
      </c>
      <c r="C415" s="16" t="s">
        <v>5331</v>
      </c>
      <c r="D415" s="12">
        <v>120</v>
      </c>
      <c r="E415" s="12" t="s">
        <v>5332</v>
      </c>
      <c r="F415" s="12" t="s">
        <v>5328</v>
      </c>
      <c r="G415" s="12" t="s">
        <v>6135</v>
      </c>
      <c r="H415" s="12">
        <v>34149</v>
      </c>
    </row>
    <row r="416" spans="1:8">
      <c r="A416" s="12" t="s">
        <v>6136</v>
      </c>
      <c r="B416" s="13">
        <v>30</v>
      </c>
      <c r="C416" s="16" t="s">
        <v>5331</v>
      </c>
      <c r="D416" s="12">
        <v>90</v>
      </c>
      <c r="E416" s="12" t="s">
        <v>5332</v>
      </c>
      <c r="F416" s="12" t="s">
        <v>5328</v>
      </c>
      <c r="G416" s="12" t="s">
        <v>6137</v>
      </c>
      <c r="H416" s="12">
        <v>34150</v>
      </c>
    </row>
    <row r="417" spans="1:8">
      <c r="A417" s="12" t="s">
        <v>6138</v>
      </c>
      <c r="B417" s="13">
        <v>40</v>
      </c>
      <c r="C417" s="16" t="s">
        <v>5331</v>
      </c>
      <c r="D417" s="12">
        <v>120</v>
      </c>
      <c r="E417" s="12" t="s">
        <v>5332</v>
      </c>
      <c r="F417" s="12" t="s">
        <v>5328</v>
      </c>
      <c r="G417" s="12" t="s">
        <v>6139</v>
      </c>
      <c r="H417" s="12">
        <v>34151</v>
      </c>
    </row>
    <row r="418" spans="1:8">
      <c r="A418" s="12" t="s">
        <v>6140</v>
      </c>
      <c r="B418" s="13">
        <v>245.1</v>
      </c>
      <c r="C418" s="16" t="s">
        <v>5331</v>
      </c>
      <c r="D418" s="12">
        <v>735.3</v>
      </c>
      <c r="E418" s="12" t="s">
        <v>5332</v>
      </c>
      <c r="F418" s="12" t="s">
        <v>5328</v>
      </c>
      <c r="G418" s="12" t="s">
        <v>6141</v>
      </c>
      <c r="H418" s="12">
        <v>34029</v>
      </c>
    </row>
    <row r="419" spans="1:8">
      <c r="A419" s="12" t="s">
        <v>6142</v>
      </c>
      <c r="B419" s="13">
        <v>245.1</v>
      </c>
      <c r="C419" s="16" t="s">
        <v>5331</v>
      </c>
      <c r="D419" s="12">
        <v>736.5</v>
      </c>
      <c r="E419" s="12" t="s">
        <v>5332</v>
      </c>
      <c r="F419" s="12" t="s">
        <v>5328</v>
      </c>
      <c r="G419" s="12" t="s">
        <v>6143</v>
      </c>
      <c r="H419" s="12">
        <v>34030</v>
      </c>
    </row>
    <row r="420" spans="1:8">
      <c r="A420" s="12" t="s">
        <v>6144</v>
      </c>
      <c r="B420" s="13">
        <v>315.14999999999998</v>
      </c>
      <c r="C420" s="16" t="s">
        <v>5331</v>
      </c>
      <c r="D420" s="12">
        <v>945.45</v>
      </c>
      <c r="E420" s="12" t="s">
        <v>5332</v>
      </c>
      <c r="F420" s="12" t="s">
        <v>5328</v>
      </c>
      <c r="G420" s="12" t="s">
        <v>6145</v>
      </c>
      <c r="H420" s="12">
        <v>34031</v>
      </c>
    </row>
    <row r="421" spans="1:8">
      <c r="A421" s="12" t="s">
        <v>6146</v>
      </c>
      <c r="B421" s="13">
        <v>315.14999999999998</v>
      </c>
      <c r="C421" s="16" t="s">
        <v>5331</v>
      </c>
      <c r="D421" s="12">
        <v>945.45</v>
      </c>
      <c r="E421" s="12" t="s">
        <v>5332</v>
      </c>
      <c r="F421" s="12" t="s">
        <v>5328</v>
      </c>
      <c r="G421" s="12" t="s">
        <v>6147</v>
      </c>
      <c r="H421" s="12">
        <v>34032</v>
      </c>
    </row>
    <row r="422" spans="1:8">
      <c r="A422" s="12" t="s">
        <v>6148</v>
      </c>
      <c r="B422" s="13">
        <v>255.65</v>
      </c>
      <c r="C422" s="16" t="s">
        <v>5331</v>
      </c>
      <c r="D422" s="12">
        <v>766.95</v>
      </c>
      <c r="E422" s="12" t="s">
        <v>5332</v>
      </c>
      <c r="F422" s="12" t="s">
        <v>5328</v>
      </c>
      <c r="G422" s="12" t="s">
        <v>6149</v>
      </c>
      <c r="H422" s="12">
        <v>34033</v>
      </c>
    </row>
    <row r="423" spans="1:8">
      <c r="A423" s="12" t="s">
        <v>6150</v>
      </c>
      <c r="B423" s="13">
        <v>185.75</v>
      </c>
      <c r="C423" s="16" t="s">
        <v>5331</v>
      </c>
      <c r="D423" s="12">
        <v>557.25</v>
      </c>
      <c r="E423" s="12" t="s">
        <v>5332</v>
      </c>
      <c r="F423" s="12" t="s">
        <v>5328</v>
      </c>
      <c r="G423" s="12" t="s">
        <v>6151</v>
      </c>
      <c r="H423" s="12">
        <v>34034</v>
      </c>
    </row>
    <row r="424" spans="1:8">
      <c r="A424" s="12" t="s">
        <v>6152</v>
      </c>
      <c r="B424" s="13">
        <v>375.25</v>
      </c>
      <c r="C424" s="16" t="s">
        <v>5331</v>
      </c>
      <c r="D424" s="12">
        <v>1125.75</v>
      </c>
      <c r="E424" s="12" t="s">
        <v>5332</v>
      </c>
      <c r="F424" s="12" t="s">
        <v>5328</v>
      </c>
      <c r="G424" s="12" t="s">
        <v>6153</v>
      </c>
      <c r="H424" s="12">
        <v>34035</v>
      </c>
    </row>
    <row r="425" spans="1:8">
      <c r="A425" s="12" t="s">
        <v>6154</v>
      </c>
      <c r="B425" s="13">
        <v>325.25</v>
      </c>
      <c r="C425" s="16" t="s">
        <v>5331</v>
      </c>
      <c r="D425" s="12">
        <v>975.75</v>
      </c>
      <c r="E425" s="12" t="s">
        <v>5332</v>
      </c>
      <c r="F425" s="12" t="s">
        <v>5328</v>
      </c>
      <c r="G425" s="12" t="s">
        <v>6155</v>
      </c>
      <c r="H425" s="12">
        <v>34036</v>
      </c>
    </row>
    <row r="426" spans="1:8">
      <c r="A426" s="12" t="s">
        <v>6156</v>
      </c>
      <c r="B426" s="13">
        <v>85</v>
      </c>
      <c r="C426" s="16" t="s">
        <v>5331</v>
      </c>
      <c r="D426" s="12">
        <v>255</v>
      </c>
      <c r="E426" s="12" t="s">
        <v>5332</v>
      </c>
      <c r="F426" s="12" t="s">
        <v>5328</v>
      </c>
      <c r="G426" s="12" t="s">
        <v>6157</v>
      </c>
      <c r="H426" s="12">
        <v>34152</v>
      </c>
    </row>
    <row r="427" spans="1:8">
      <c r="A427" s="12" t="s">
        <v>6158</v>
      </c>
      <c r="B427" s="13">
        <v>60.03</v>
      </c>
      <c r="C427" s="16" t="s">
        <v>5331</v>
      </c>
      <c r="D427" s="12">
        <v>180.09</v>
      </c>
      <c r="E427" s="12" t="s">
        <v>5332</v>
      </c>
      <c r="F427" s="12" t="s">
        <v>5328</v>
      </c>
      <c r="G427" s="12" t="s">
        <v>6159</v>
      </c>
      <c r="H427" s="12">
        <v>33897</v>
      </c>
    </row>
    <row r="428" spans="1:8">
      <c r="A428" s="12" t="s">
        <v>6160</v>
      </c>
      <c r="B428" s="13">
        <v>141.25</v>
      </c>
      <c r="C428" s="16" t="s">
        <v>5331</v>
      </c>
      <c r="D428" s="12">
        <v>423.75</v>
      </c>
      <c r="E428" s="12" t="s">
        <v>5332</v>
      </c>
      <c r="F428" s="12" t="s">
        <v>5328</v>
      </c>
      <c r="G428" s="12" t="s">
        <v>6161</v>
      </c>
      <c r="H428" s="12">
        <v>34037</v>
      </c>
    </row>
    <row r="429" spans="1:8">
      <c r="A429" s="12" t="s">
        <v>6162</v>
      </c>
      <c r="B429" s="13">
        <v>165.15</v>
      </c>
      <c r="C429" s="16" t="s">
        <v>5331</v>
      </c>
      <c r="D429" s="12">
        <v>495.45</v>
      </c>
      <c r="E429" s="12" t="s">
        <v>5332</v>
      </c>
      <c r="F429" s="12" t="s">
        <v>5328</v>
      </c>
      <c r="G429" s="12" t="s">
        <v>6163</v>
      </c>
      <c r="H429" s="12">
        <v>34038</v>
      </c>
    </row>
    <row r="430" spans="1:8">
      <c r="A430" s="12" t="s">
        <v>6164</v>
      </c>
      <c r="B430" s="13">
        <v>292.55</v>
      </c>
      <c r="C430" s="16" t="s">
        <v>5331</v>
      </c>
      <c r="D430" s="12">
        <v>877.65</v>
      </c>
      <c r="E430" s="12" t="s">
        <v>5332</v>
      </c>
      <c r="F430" s="12" t="s">
        <v>5328</v>
      </c>
      <c r="G430" s="12" t="s">
        <v>6165</v>
      </c>
      <c r="H430" s="12">
        <v>34039</v>
      </c>
    </row>
    <row r="431" spans="1:8">
      <c r="A431" s="12" t="s">
        <v>6166</v>
      </c>
      <c r="B431" s="13">
        <v>125</v>
      </c>
      <c r="C431" s="16" t="s">
        <v>5331</v>
      </c>
      <c r="D431" s="12">
        <v>375</v>
      </c>
      <c r="E431" s="12" t="s">
        <v>5332</v>
      </c>
      <c r="F431" s="12" t="s">
        <v>5328</v>
      </c>
      <c r="G431" s="12" t="s">
        <v>6167</v>
      </c>
      <c r="H431" s="12">
        <v>34153</v>
      </c>
    </row>
    <row r="432" spans="1:8">
      <c r="A432" s="12" t="s">
        <v>6168</v>
      </c>
      <c r="B432" s="13">
        <v>187.15</v>
      </c>
      <c r="C432" s="16" t="s">
        <v>5331</v>
      </c>
      <c r="D432" s="12">
        <v>561.45000000000005</v>
      </c>
      <c r="E432" s="12" t="s">
        <v>5332</v>
      </c>
      <c r="F432" s="12" t="s">
        <v>5328</v>
      </c>
      <c r="G432" s="12" t="s">
        <v>6169</v>
      </c>
      <c r="H432" s="12">
        <v>34040</v>
      </c>
    </row>
    <row r="433" spans="1:8">
      <c r="A433" s="12" t="s">
        <v>6170</v>
      </c>
      <c r="B433" s="13">
        <v>314.25</v>
      </c>
      <c r="C433" s="16" t="s">
        <v>5331</v>
      </c>
      <c r="D433" s="12">
        <v>942.75</v>
      </c>
      <c r="E433" s="12" t="s">
        <v>5332</v>
      </c>
      <c r="F433" s="12" t="s">
        <v>5328</v>
      </c>
      <c r="G433" s="12" t="s">
        <v>6171</v>
      </c>
      <c r="H433" s="12">
        <v>34041</v>
      </c>
    </row>
    <row r="434" spans="1:8">
      <c r="A434" s="12" t="s">
        <v>6172</v>
      </c>
      <c r="B434" s="13">
        <v>314.25</v>
      </c>
      <c r="C434" s="16" t="s">
        <v>5331</v>
      </c>
      <c r="D434" s="12">
        <v>942.75</v>
      </c>
      <c r="E434" s="12" t="s">
        <v>5332</v>
      </c>
      <c r="F434" s="12" t="s">
        <v>5328</v>
      </c>
      <c r="G434" s="12" t="s">
        <v>6173</v>
      </c>
      <c r="H434" s="12">
        <v>34042</v>
      </c>
    </row>
    <row r="435" spans="1:8">
      <c r="A435" s="12" t="s">
        <v>6174</v>
      </c>
      <c r="B435" s="13">
        <v>195.75</v>
      </c>
      <c r="C435" s="16" t="s">
        <v>5331</v>
      </c>
      <c r="D435" s="12">
        <v>587.25</v>
      </c>
      <c r="E435" s="12" t="s">
        <v>5332</v>
      </c>
      <c r="F435" s="12" t="s">
        <v>5328</v>
      </c>
      <c r="G435" s="12" t="s">
        <v>6175</v>
      </c>
      <c r="H435" s="12">
        <v>34043</v>
      </c>
    </row>
    <row r="436" spans="1:8">
      <c r="A436" s="12" t="s">
        <v>6176</v>
      </c>
      <c r="B436" s="13">
        <v>228.45</v>
      </c>
      <c r="C436" s="16" t="s">
        <v>5331</v>
      </c>
      <c r="D436" s="12">
        <v>685.35</v>
      </c>
      <c r="E436" s="12" t="s">
        <v>5332</v>
      </c>
      <c r="F436" s="12" t="s">
        <v>5328</v>
      </c>
      <c r="G436" s="12" t="s">
        <v>6177</v>
      </c>
      <c r="H436" s="12">
        <v>34044</v>
      </c>
    </row>
    <row r="437" spans="1:8">
      <c r="A437" s="12" t="s">
        <v>6178</v>
      </c>
      <c r="B437" s="13">
        <v>155.4</v>
      </c>
      <c r="C437" s="16" t="s">
        <v>5331</v>
      </c>
      <c r="D437" s="12">
        <v>1635.51</v>
      </c>
      <c r="E437" s="12" t="s">
        <v>5332</v>
      </c>
      <c r="F437" s="12" t="s">
        <v>5328</v>
      </c>
      <c r="G437" s="12" t="s">
        <v>6179</v>
      </c>
      <c r="H437" s="12">
        <v>72555</v>
      </c>
    </row>
    <row r="438" spans="1:8">
      <c r="A438" s="12" t="s">
        <v>6180</v>
      </c>
      <c r="B438" s="13">
        <v>451.84</v>
      </c>
      <c r="C438" s="16" t="s">
        <v>5331</v>
      </c>
      <c r="D438" s="12">
        <v>1500</v>
      </c>
      <c r="E438" s="12" t="s">
        <v>5332</v>
      </c>
      <c r="F438" s="12" t="s">
        <v>5328</v>
      </c>
      <c r="G438" s="12" t="s">
        <v>6181</v>
      </c>
      <c r="H438" s="12">
        <v>34045</v>
      </c>
    </row>
    <row r="439" spans="1:8">
      <c r="A439" s="12" t="s">
        <v>6182</v>
      </c>
      <c r="B439" s="13">
        <v>8</v>
      </c>
      <c r="C439" s="16" t="s">
        <v>5331</v>
      </c>
      <c r="D439" s="12">
        <v>24</v>
      </c>
      <c r="E439" s="12" t="s">
        <v>5332</v>
      </c>
      <c r="F439" s="12" t="s">
        <v>5328</v>
      </c>
      <c r="G439" s="12" t="s">
        <v>6183</v>
      </c>
      <c r="H439" s="12">
        <v>34154</v>
      </c>
    </row>
    <row r="440" spans="1:8">
      <c r="A440" s="12" t="s">
        <v>6184</v>
      </c>
      <c r="B440" s="13">
        <v>126.59</v>
      </c>
      <c r="C440" s="16" t="s">
        <v>5331</v>
      </c>
      <c r="D440" s="12">
        <v>379.77</v>
      </c>
      <c r="E440" s="12" t="s">
        <v>5332</v>
      </c>
      <c r="F440" s="12" t="s">
        <v>5328</v>
      </c>
      <c r="G440" s="12" t="s">
        <v>6185</v>
      </c>
      <c r="H440" s="12">
        <v>33898</v>
      </c>
    </row>
    <row r="441" spans="1:8">
      <c r="A441" s="12" t="s">
        <v>6186</v>
      </c>
      <c r="B441" s="13">
        <v>24.26</v>
      </c>
      <c r="C441" s="16" t="s">
        <v>5331</v>
      </c>
      <c r="D441" s="12">
        <v>72.78</v>
      </c>
      <c r="E441" s="12" t="s">
        <v>5332</v>
      </c>
      <c r="F441" s="12" t="s">
        <v>5328</v>
      </c>
      <c r="G441" s="12" t="s">
        <v>6187</v>
      </c>
      <c r="H441" s="12">
        <v>33899</v>
      </c>
    </row>
    <row r="442" spans="1:8">
      <c r="A442" s="12" t="s">
        <v>6188</v>
      </c>
      <c r="B442" s="13">
        <v>15</v>
      </c>
      <c r="C442" s="16" t="s">
        <v>5331</v>
      </c>
      <c r="D442" s="12">
        <v>45</v>
      </c>
      <c r="E442" s="12" t="s">
        <v>5332</v>
      </c>
      <c r="F442" s="12" t="s">
        <v>5328</v>
      </c>
      <c r="G442" s="12" t="s">
        <v>6189</v>
      </c>
      <c r="H442" s="12">
        <v>34155</v>
      </c>
    </row>
    <row r="443" spans="1:8">
      <c r="A443" s="12" t="s">
        <v>6190</v>
      </c>
      <c r="B443" s="13">
        <v>68.75</v>
      </c>
      <c r="C443" s="16" t="s">
        <v>5331</v>
      </c>
      <c r="D443" s="12">
        <v>206.25</v>
      </c>
      <c r="E443" s="12" t="s">
        <v>5332</v>
      </c>
      <c r="F443" s="12" t="s">
        <v>5328</v>
      </c>
      <c r="G443" s="12" t="s">
        <v>6191</v>
      </c>
      <c r="H443" s="12">
        <v>34046</v>
      </c>
    </row>
    <row r="444" spans="1:8">
      <c r="A444" s="12" t="s">
        <v>6192</v>
      </c>
      <c r="B444" s="13">
        <v>195.35</v>
      </c>
      <c r="C444" s="16" t="s">
        <v>5331</v>
      </c>
      <c r="D444" s="12">
        <v>586.04999999999995</v>
      </c>
      <c r="E444" s="12" t="s">
        <v>5332</v>
      </c>
      <c r="F444" s="12" t="s">
        <v>5328</v>
      </c>
      <c r="G444" s="12" t="s">
        <v>6193</v>
      </c>
      <c r="H444" s="12">
        <v>34047</v>
      </c>
    </row>
    <row r="445" spans="1:8">
      <c r="A445" s="12" t="s">
        <v>6194</v>
      </c>
      <c r="B445" s="13">
        <v>50</v>
      </c>
      <c r="C445" s="16" t="s">
        <v>5331</v>
      </c>
      <c r="D445" s="12">
        <v>150</v>
      </c>
      <c r="E445" s="12" t="s">
        <v>5332</v>
      </c>
      <c r="F445" s="12" t="s">
        <v>5328</v>
      </c>
      <c r="G445" s="12" t="s">
        <v>6195</v>
      </c>
      <c r="H445" s="12">
        <v>34156</v>
      </c>
    </row>
    <row r="446" spans="1:8">
      <c r="A446" s="12" t="s">
        <v>6196</v>
      </c>
      <c r="B446" s="13">
        <v>123.15</v>
      </c>
      <c r="C446" s="16" t="s">
        <v>5331</v>
      </c>
      <c r="D446" s="12">
        <v>369.45</v>
      </c>
      <c r="E446" s="12" t="s">
        <v>5332</v>
      </c>
      <c r="F446" s="12" t="s">
        <v>5328</v>
      </c>
      <c r="G446" s="12" t="s">
        <v>6197</v>
      </c>
      <c r="H446" s="12">
        <v>34048</v>
      </c>
    </row>
    <row r="447" spans="1:8">
      <c r="A447" s="12" t="s">
        <v>6198</v>
      </c>
      <c r="B447" s="13">
        <v>127.1</v>
      </c>
      <c r="C447" s="16" t="s">
        <v>5331</v>
      </c>
      <c r="D447" s="12">
        <v>381.3</v>
      </c>
      <c r="E447" s="12" t="s">
        <v>5332</v>
      </c>
      <c r="F447" s="12" t="s">
        <v>5328</v>
      </c>
      <c r="G447" s="12" t="s">
        <v>6199</v>
      </c>
      <c r="H447" s="12">
        <v>34049</v>
      </c>
    </row>
    <row r="448" spans="1:8">
      <c r="A448" s="12" t="s">
        <v>6200</v>
      </c>
      <c r="B448" s="13">
        <v>50</v>
      </c>
      <c r="C448" s="16" t="s">
        <v>5331</v>
      </c>
      <c r="D448" s="12">
        <v>150</v>
      </c>
      <c r="E448" s="12" t="s">
        <v>5332</v>
      </c>
      <c r="F448" s="12" t="s">
        <v>5328</v>
      </c>
      <c r="G448" s="12" t="s">
        <v>6201</v>
      </c>
      <c r="H448" s="12">
        <v>34157</v>
      </c>
    </row>
    <row r="449" spans="1:8">
      <c r="A449" s="12" t="s">
        <v>6202</v>
      </c>
      <c r="B449" s="13">
        <v>40</v>
      </c>
      <c r="C449" s="16" t="s">
        <v>5331</v>
      </c>
      <c r="D449" s="12">
        <v>120</v>
      </c>
      <c r="E449" s="12" t="s">
        <v>5332</v>
      </c>
      <c r="F449" s="12" t="s">
        <v>5328</v>
      </c>
      <c r="G449" s="12" t="s">
        <v>6203</v>
      </c>
      <c r="H449" s="12">
        <v>34158</v>
      </c>
    </row>
    <row r="450" spans="1:8">
      <c r="A450" s="12" t="s">
        <v>6204</v>
      </c>
      <c r="B450" s="13">
        <v>126.36</v>
      </c>
      <c r="C450" s="16" t="s">
        <v>5331</v>
      </c>
      <c r="D450" s="12">
        <v>379.08</v>
      </c>
      <c r="E450" s="12" t="s">
        <v>5332</v>
      </c>
      <c r="F450" s="12" t="s">
        <v>5328</v>
      </c>
      <c r="G450" s="12" t="s">
        <v>6205</v>
      </c>
      <c r="H450" s="12">
        <v>33900</v>
      </c>
    </row>
    <row r="451" spans="1:8">
      <c r="A451" s="12" t="s">
        <v>6206</v>
      </c>
      <c r="B451" s="13">
        <v>105.25</v>
      </c>
      <c r="C451" s="16" t="s">
        <v>5331</v>
      </c>
      <c r="D451" s="12">
        <v>315.75</v>
      </c>
      <c r="E451" s="12" t="s">
        <v>5332</v>
      </c>
      <c r="F451" s="12" t="s">
        <v>5328</v>
      </c>
      <c r="G451" s="12" t="s">
        <v>6207</v>
      </c>
      <c r="H451" s="12">
        <v>34050</v>
      </c>
    </row>
    <row r="452" spans="1:8">
      <c r="A452" s="12" t="s">
        <v>6208</v>
      </c>
      <c r="B452" s="13">
        <v>68.099999999999994</v>
      </c>
      <c r="C452" s="16" t="s">
        <v>5331</v>
      </c>
      <c r="D452" s="12">
        <v>204.3</v>
      </c>
      <c r="E452" s="12" t="s">
        <v>5332</v>
      </c>
      <c r="F452" s="12" t="s">
        <v>5328</v>
      </c>
      <c r="G452" s="12" t="s">
        <v>6209</v>
      </c>
      <c r="H452" s="12">
        <v>34051</v>
      </c>
    </row>
    <row r="453" spans="1:8">
      <c r="A453" s="12" t="s">
        <v>6210</v>
      </c>
      <c r="B453" s="13">
        <v>105.45</v>
      </c>
      <c r="C453" s="16" t="s">
        <v>5331</v>
      </c>
      <c r="D453" s="12">
        <v>316.35000000000002</v>
      </c>
      <c r="E453" s="12" t="s">
        <v>5332</v>
      </c>
      <c r="F453" s="12" t="s">
        <v>5328</v>
      </c>
      <c r="G453" s="12" t="s">
        <v>6211</v>
      </c>
      <c r="H453" s="12">
        <v>34052</v>
      </c>
    </row>
    <row r="454" spans="1:8">
      <c r="A454" s="12" t="s">
        <v>6212</v>
      </c>
      <c r="B454" s="13">
        <v>8</v>
      </c>
      <c r="C454" s="16" t="s">
        <v>5331</v>
      </c>
      <c r="D454" s="12">
        <v>24</v>
      </c>
      <c r="E454" s="12" t="s">
        <v>5332</v>
      </c>
      <c r="F454" s="12" t="s">
        <v>5328</v>
      </c>
      <c r="G454" s="12" t="s">
        <v>6213</v>
      </c>
      <c r="H454" s="12">
        <v>34159</v>
      </c>
    </row>
    <row r="455" spans="1:8">
      <c r="A455" s="12" t="s">
        <v>6214</v>
      </c>
      <c r="B455" s="13">
        <v>15</v>
      </c>
      <c r="C455" s="16" t="s">
        <v>5331</v>
      </c>
      <c r="D455" s="12">
        <v>45</v>
      </c>
      <c r="E455" s="12" t="s">
        <v>5332</v>
      </c>
      <c r="F455" s="12" t="s">
        <v>5328</v>
      </c>
      <c r="G455" s="12" t="s">
        <v>6215</v>
      </c>
      <c r="H455" s="12">
        <v>34160</v>
      </c>
    </row>
    <row r="456" spans="1:8">
      <c r="A456" s="12" t="s">
        <v>6216</v>
      </c>
      <c r="B456" s="13">
        <v>15</v>
      </c>
      <c r="C456" s="16" t="s">
        <v>5331</v>
      </c>
      <c r="D456" s="12">
        <v>45</v>
      </c>
      <c r="E456" s="12" t="s">
        <v>5332</v>
      </c>
      <c r="F456" s="12" t="s">
        <v>5328</v>
      </c>
      <c r="G456" s="12" t="s">
        <v>6217</v>
      </c>
      <c r="H456" s="12">
        <v>34161</v>
      </c>
    </row>
    <row r="457" spans="1:8">
      <c r="A457" s="12" t="s">
        <v>6218</v>
      </c>
      <c r="B457" s="13">
        <v>35</v>
      </c>
      <c r="C457" s="16" t="s">
        <v>5331</v>
      </c>
      <c r="D457" s="12">
        <v>105</v>
      </c>
      <c r="E457" s="12" t="s">
        <v>5332</v>
      </c>
      <c r="F457" s="12" t="s">
        <v>5328</v>
      </c>
      <c r="G457" s="12" t="s">
        <v>6219</v>
      </c>
      <c r="H457" s="12">
        <v>34162</v>
      </c>
    </row>
    <row r="458" spans="1:8">
      <c r="A458" s="12" t="s">
        <v>6220</v>
      </c>
      <c r="B458" s="13">
        <v>119.2</v>
      </c>
      <c r="C458" s="16" t="s">
        <v>5331</v>
      </c>
      <c r="D458" s="12">
        <v>357.6</v>
      </c>
      <c r="E458" s="12" t="s">
        <v>5332</v>
      </c>
      <c r="F458" s="12" t="s">
        <v>5328</v>
      </c>
      <c r="G458" s="12" t="s">
        <v>6221</v>
      </c>
      <c r="H458" s="12">
        <v>34053</v>
      </c>
    </row>
    <row r="459" spans="1:8">
      <c r="A459" s="12" t="s">
        <v>6222</v>
      </c>
      <c r="B459" s="13">
        <v>120.45</v>
      </c>
      <c r="C459" s="16" t="s">
        <v>5331</v>
      </c>
      <c r="D459" s="12">
        <v>361.35</v>
      </c>
      <c r="E459" s="12" t="s">
        <v>5332</v>
      </c>
      <c r="F459" s="12" t="s">
        <v>5328</v>
      </c>
      <c r="G459" s="12" t="s">
        <v>6223</v>
      </c>
      <c r="H459" s="12">
        <v>34054</v>
      </c>
    </row>
    <row r="460" spans="1:8">
      <c r="A460" s="12" t="s">
        <v>6224</v>
      </c>
      <c r="B460" s="13">
        <v>11.44</v>
      </c>
      <c r="C460" s="16" t="s">
        <v>5331</v>
      </c>
      <c r="D460" s="12">
        <v>32.469000000000001</v>
      </c>
      <c r="E460" s="12" t="s">
        <v>5332</v>
      </c>
      <c r="F460" s="12" t="s">
        <v>5328</v>
      </c>
      <c r="G460" s="12" t="s">
        <v>6225</v>
      </c>
      <c r="H460" s="12">
        <v>44130</v>
      </c>
    </row>
    <row r="461" spans="1:8">
      <c r="A461" s="12" t="s">
        <v>6226</v>
      </c>
      <c r="B461" s="13">
        <v>11.44</v>
      </c>
      <c r="C461" s="16" t="s">
        <v>5331</v>
      </c>
      <c r="D461" s="12">
        <v>32.469000000000001</v>
      </c>
      <c r="E461" s="12" t="s">
        <v>5332</v>
      </c>
      <c r="F461" s="12" t="s">
        <v>5328</v>
      </c>
      <c r="G461" s="12" t="s">
        <v>6227</v>
      </c>
      <c r="H461" s="12">
        <v>44131</v>
      </c>
    </row>
    <row r="462" spans="1:8">
      <c r="A462" s="12" t="s">
        <v>6228</v>
      </c>
      <c r="B462" s="13">
        <v>21.22</v>
      </c>
      <c r="C462" s="16" t="s">
        <v>5331</v>
      </c>
      <c r="D462" s="12">
        <v>64.947000000000003</v>
      </c>
      <c r="E462" s="12" t="s">
        <v>5332</v>
      </c>
      <c r="F462" s="12" t="s">
        <v>5328</v>
      </c>
      <c r="G462" s="12" t="s">
        <v>6229</v>
      </c>
      <c r="H462" s="12">
        <v>44132</v>
      </c>
    </row>
    <row r="463" spans="1:8">
      <c r="A463" s="12" t="s">
        <v>6230</v>
      </c>
      <c r="B463" s="13">
        <v>2.27</v>
      </c>
      <c r="C463" s="16" t="s">
        <v>5331</v>
      </c>
      <c r="D463" s="12">
        <v>7.0860000000000003</v>
      </c>
      <c r="E463" s="12" t="s">
        <v>5332</v>
      </c>
      <c r="F463" s="12" t="s">
        <v>5328</v>
      </c>
      <c r="G463" s="12" t="s">
        <v>6231</v>
      </c>
      <c r="H463" s="12">
        <v>44133</v>
      </c>
    </row>
    <row r="464" spans="1:8">
      <c r="A464" s="12" t="s">
        <v>6232</v>
      </c>
      <c r="B464" s="13">
        <v>50.79</v>
      </c>
      <c r="C464" s="16" t="s">
        <v>5331</v>
      </c>
      <c r="D464" s="12">
        <v>155.47800000000001</v>
      </c>
      <c r="E464" s="12" t="s">
        <v>5332</v>
      </c>
      <c r="F464" s="12" t="s">
        <v>5328</v>
      </c>
      <c r="G464" s="12" t="s">
        <v>6233</v>
      </c>
      <c r="H464" s="12">
        <v>44134</v>
      </c>
    </row>
    <row r="465" spans="1:8">
      <c r="A465" s="12" t="s">
        <v>6234</v>
      </c>
      <c r="B465" s="13">
        <v>2.96</v>
      </c>
      <c r="C465" s="16" t="s">
        <v>5331</v>
      </c>
      <c r="D465" s="12">
        <v>9.84</v>
      </c>
      <c r="E465" s="12" t="s">
        <v>5332</v>
      </c>
      <c r="F465" s="12" t="s">
        <v>5328</v>
      </c>
      <c r="G465" s="12" t="s">
        <v>6235</v>
      </c>
      <c r="H465" s="12">
        <v>44135</v>
      </c>
    </row>
    <row r="466" spans="1:8">
      <c r="A466" s="12" t="s">
        <v>6236</v>
      </c>
      <c r="B466" s="13">
        <v>1.25</v>
      </c>
      <c r="C466" s="16" t="s">
        <v>5331</v>
      </c>
      <c r="D466" s="12">
        <v>3.9359999999999999</v>
      </c>
      <c r="E466" s="12" t="s">
        <v>5332</v>
      </c>
      <c r="F466" s="12" t="s">
        <v>5328</v>
      </c>
      <c r="G466" s="12" t="s">
        <v>6237</v>
      </c>
      <c r="H466" s="12">
        <v>44136</v>
      </c>
    </row>
    <row r="467" spans="1:8">
      <c r="A467" s="12" t="s">
        <v>6238</v>
      </c>
      <c r="B467" s="13">
        <v>1.8</v>
      </c>
      <c r="C467" s="16" t="s">
        <v>5331</v>
      </c>
      <c r="D467" s="12">
        <v>5.9039999999999999</v>
      </c>
      <c r="E467" s="12" t="s">
        <v>5332</v>
      </c>
      <c r="F467" s="12" t="s">
        <v>5328</v>
      </c>
      <c r="G467" s="12" t="s">
        <v>6239</v>
      </c>
      <c r="H467" s="12">
        <v>44137</v>
      </c>
    </row>
    <row r="468" spans="1:8">
      <c r="A468" s="12" t="s">
        <v>6240</v>
      </c>
      <c r="B468" s="13">
        <v>11.36</v>
      </c>
      <c r="C468" s="16" t="s">
        <v>5331</v>
      </c>
      <c r="D468" s="12">
        <v>37.392000000000003</v>
      </c>
      <c r="E468" s="12" t="s">
        <v>5332</v>
      </c>
      <c r="F468" s="12" t="s">
        <v>5328</v>
      </c>
      <c r="G468" s="12" t="s">
        <v>6241</v>
      </c>
      <c r="H468" s="12">
        <v>44138</v>
      </c>
    </row>
    <row r="469" spans="1:8">
      <c r="A469" s="12" t="s">
        <v>5540</v>
      </c>
      <c r="B469" s="13">
        <v>11.96</v>
      </c>
      <c r="C469" s="16" t="s">
        <v>5331</v>
      </c>
      <c r="D469" s="12">
        <v>45.66</v>
      </c>
      <c r="E469" s="12" t="s">
        <v>5332</v>
      </c>
      <c r="F469" s="12" t="s">
        <v>5328</v>
      </c>
      <c r="G469" s="12" t="s">
        <v>6242</v>
      </c>
      <c r="H469" s="12">
        <v>44139</v>
      </c>
    </row>
    <row r="470" spans="1:8">
      <c r="A470" s="12" t="s">
        <v>6243</v>
      </c>
      <c r="B470" s="13">
        <v>8.6199999999999992</v>
      </c>
      <c r="C470" s="16" t="s">
        <v>5331</v>
      </c>
      <c r="D470" s="12">
        <v>34.917000000000002</v>
      </c>
      <c r="E470" s="12" t="s">
        <v>5332</v>
      </c>
      <c r="F470" s="12" t="s">
        <v>5328</v>
      </c>
      <c r="G470" s="12" t="s">
        <v>6244</v>
      </c>
      <c r="H470" s="12">
        <v>49213</v>
      </c>
    </row>
    <row r="471" spans="1:8">
      <c r="A471" s="12" t="s">
        <v>6245</v>
      </c>
      <c r="B471" s="13">
        <v>4.26</v>
      </c>
      <c r="C471" s="16" t="s">
        <v>5331</v>
      </c>
      <c r="D471" s="12">
        <v>12.398999999999999</v>
      </c>
      <c r="E471" s="12" t="s">
        <v>5332</v>
      </c>
      <c r="F471" s="12" t="s">
        <v>5328</v>
      </c>
      <c r="G471" s="12" t="s">
        <v>6246</v>
      </c>
      <c r="H471" s="12">
        <v>49555</v>
      </c>
    </row>
    <row r="472" spans="1:8">
      <c r="A472" s="12" t="s">
        <v>6247</v>
      </c>
      <c r="B472" s="13">
        <v>4.26</v>
      </c>
      <c r="C472" s="16" t="s">
        <v>5331</v>
      </c>
      <c r="D472" s="12">
        <v>12.398999999999999</v>
      </c>
      <c r="E472" s="12" t="s">
        <v>5332</v>
      </c>
      <c r="F472" s="12" t="s">
        <v>5328</v>
      </c>
      <c r="G472" s="12" t="s">
        <v>6248</v>
      </c>
      <c r="H472" s="12">
        <v>49556</v>
      </c>
    </row>
    <row r="473" spans="1:8">
      <c r="A473" s="12" t="s">
        <v>6249</v>
      </c>
      <c r="B473" s="13">
        <v>34.17</v>
      </c>
      <c r="C473" s="16" t="s">
        <v>5331</v>
      </c>
      <c r="D473" s="12">
        <v>163.68</v>
      </c>
      <c r="E473" s="12" t="s">
        <v>5332</v>
      </c>
      <c r="F473" s="12" t="s">
        <v>5328</v>
      </c>
      <c r="G473" s="12" t="s">
        <v>6250</v>
      </c>
      <c r="H473" s="12">
        <v>49050</v>
      </c>
    </row>
    <row r="474" spans="1:8">
      <c r="A474" s="12" t="s">
        <v>6251</v>
      </c>
      <c r="B474" s="13">
        <v>101.13</v>
      </c>
      <c r="C474" s="16" t="s">
        <v>5331</v>
      </c>
      <c r="D474" s="12">
        <v>542.1</v>
      </c>
      <c r="E474" s="12" t="s">
        <v>5332</v>
      </c>
      <c r="F474" s="12" t="s">
        <v>5328</v>
      </c>
      <c r="G474" s="12" t="s">
        <v>6252</v>
      </c>
      <c r="H474" s="12">
        <v>51069</v>
      </c>
    </row>
    <row r="475" spans="1:8">
      <c r="A475" s="12" t="s">
        <v>6253</v>
      </c>
      <c r="B475" s="13">
        <v>8.6300000000000008</v>
      </c>
      <c r="C475" s="16" t="s">
        <v>5331</v>
      </c>
      <c r="D475" s="12">
        <v>91.5</v>
      </c>
      <c r="E475" s="12" t="s">
        <v>5332</v>
      </c>
      <c r="F475" s="12" t="s">
        <v>5328</v>
      </c>
      <c r="G475" s="12" t="s">
        <v>6254</v>
      </c>
      <c r="H475" s="12">
        <v>51509</v>
      </c>
    </row>
    <row r="476" spans="1:8">
      <c r="A476" s="12" t="s">
        <v>6255</v>
      </c>
      <c r="B476" s="13">
        <v>22.32</v>
      </c>
      <c r="C476" s="16" t="s">
        <v>5331</v>
      </c>
      <c r="D476" s="12">
        <v>126.3</v>
      </c>
      <c r="E476" s="12" t="s">
        <v>5332</v>
      </c>
      <c r="F476" s="12" t="s">
        <v>5328</v>
      </c>
      <c r="G476" s="12" t="s">
        <v>6256</v>
      </c>
      <c r="H476" s="12">
        <v>72573</v>
      </c>
    </row>
    <row r="477" spans="1:8">
      <c r="A477" s="12" t="s">
        <v>6257</v>
      </c>
      <c r="B477" s="13">
        <v>15.47</v>
      </c>
      <c r="C477" s="16" t="s">
        <v>5331</v>
      </c>
      <c r="D477" s="12">
        <v>84.77</v>
      </c>
      <c r="E477" s="12" t="s">
        <v>5332</v>
      </c>
      <c r="F477" s="12" t="s">
        <v>5328</v>
      </c>
      <c r="G477" s="12" t="s">
        <v>6258</v>
      </c>
      <c r="H477" s="12">
        <v>72574</v>
      </c>
    </row>
    <row r="478" spans="1:8">
      <c r="A478" s="12" t="s">
        <v>6259</v>
      </c>
      <c r="B478" s="13">
        <v>20</v>
      </c>
      <c r="C478" s="16" t="s">
        <v>5331</v>
      </c>
      <c r="D478" s="12">
        <v>87</v>
      </c>
      <c r="E478" s="12" t="s">
        <v>5332</v>
      </c>
      <c r="F478" s="12" t="s">
        <v>5328</v>
      </c>
      <c r="G478" s="12" t="s">
        <v>6260</v>
      </c>
      <c r="H478" s="12">
        <v>58455</v>
      </c>
    </row>
    <row r="479" spans="1:8">
      <c r="A479" s="12" t="s">
        <v>6261</v>
      </c>
      <c r="B479" s="13">
        <v>23.27</v>
      </c>
      <c r="C479" s="16" t="s">
        <v>5331</v>
      </c>
      <c r="D479" s="12">
        <v>78.27</v>
      </c>
      <c r="E479" s="12" t="s">
        <v>5332</v>
      </c>
      <c r="F479" s="12" t="s">
        <v>5328</v>
      </c>
      <c r="G479" s="12" t="s">
        <v>6262</v>
      </c>
      <c r="H479" s="12">
        <v>33054</v>
      </c>
    </row>
    <row r="480" spans="1:8">
      <c r="A480" s="12" t="s">
        <v>6263</v>
      </c>
      <c r="B480" s="13">
        <v>13.31</v>
      </c>
      <c r="C480" s="16" t="s">
        <v>5331</v>
      </c>
      <c r="D480" s="12">
        <v>44.79</v>
      </c>
      <c r="E480" s="12" t="s">
        <v>5332</v>
      </c>
      <c r="F480" s="12" t="s">
        <v>5328</v>
      </c>
      <c r="G480" s="12" t="s">
        <v>6264</v>
      </c>
      <c r="H480" s="12">
        <v>33055</v>
      </c>
    </row>
    <row r="481" spans="1:8">
      <c r="A481" s="12" t="s">
        <v>6265</v>
      </c>
      <c r="B481" s="13">
        <v>18.739999999999998</v>
      </c>
      <c r="C481" s="16" t="s">
        <v>5331</v>
      </c>
      <c r="D481" s="12">
        <v>63.03</v>
      </c>
      <c r="E481" s="12" t="s">
        <v>5332</v>
      </c>
      <c r="F481" s="12" t="s">
        <v>5328</v>
      </c>
      <c r="G481" s="12" t="s">
        <v>6266</v>
      </c>
      <c r="H481" s="12">
        <v>33056</v>
      </c>
    </row>
    <row r="482" spans="1:8">
      <c r="A482" s="12" t="s">
        <v>6267</v>
      </c>
      <c r="B482" s="13">
        <v>15.6</v>
      </c>
      <c r="C482" s="16" t="s">
        <v>5331</v>
      </c>
      <c r="D482" s="12">
        <v>97.71</v>
      </c>
      <c r="E482" s="12" t="s">
        <v>5332</v>
      </c>
      <c r="F482" s="12" t="s">
        <v>5328</v>
      </c>
      <c r="G482" s="12" t="s">
        <v>6268</v>
      </c>
      <c r="H482" s="12">
        <v>75564</v>
      </c>
    </row>
    <row r="483" spans="1:8">
      <c r="A483" s="12" t="s">
        <v>6269</v>
      </c>
      <c r="B483" s="13">
        <v>291.83999999999997</v>
      </c>
      <c r="C483" s="16" t="s">
        <v>5331</v>
      </c>
      <c r="D483" s="12">
        <v>688.29</v>
      </c>
      <c r="E483" s="12" t="s">
        <v>5332</v>
      </c>
      <c r="F483" s="12" t="s">
        <v>5328</v>
      </c>
      <c r="G483" s="12" t="s">
        <v>6270</v>
      </c>
      <c r="H483" s="12">
        <v>72684</v>
      </c>
    </row>
    <row r="484" spans="1:8">
      <c r="A484" s="12" t="s">
        <v>6271</v>
      </c>
      <c r="B484" s="13">
        <v>28.29</v>
      </c>
      <c r="C484" s="16" t="s">
        <v>5331</v>
      </c>
      <c r="D484" s="12">
        <v>110.28</v>
      </c>
      <c r="E484" s="12" t="s">
        <v>5332</v>
      </c>
      <c r="F484" s="12" t="s">
        <v>5328</v>
      </c>
      <c r="G484" s="12" t="s">
        <v>6272</v>
      </c>
      <c r="H484" s="12">
        <v>72721</v>
      </c>
    </row>
    <row r="485" spans="1:8">
      <c r="A485" s="12" t="s">
        <v>6273</v>
      </c>
      <c r="B485" s="13">
        <v>17.77</v>
      </c>
      <c r="C485" s="16" t="s">
        <v>5331</v>
      </c>
      <c r="D485" s="12">
        <v>90.68</v>
      </c>
      <c r="E485" s="12" t="s">
        <v>5332</v>
      </c>
      <c r="F485" s="12" t="s">
        <v>5328</v>
      </c>
      <c r="G485" s="12" t="s">
        <v>6274</v>
      </c>
      <c r="H485" s="12">
        <v>72731</v>
      </c>
    </row>
    <row r="486" spans="1:8">
      <c r="A486" s="12" t="s">
        <v>6275</v>
      </c>
      <c r="B486" s="13">
        <v>10.7</v>
      </c>
      <c r="C486" s="16" t="s">
        <v>5331</v>
      </c>
      <c r="D486" s="12">
        <v>40.32</v>
      </c>
      <c r="E486" s="12" t="s">
        <v>5332</v>
      </c>
      <c r="F486" s="12" t="s">
        <v>5328</v>
      </c>
      <c r="G486" s="12" t="s">
        <v>6276</v>
      </c>
      <c r="H486" s="12">
        <v>72777</v>
      </c>
    </row>
    <row r="487" spans="1:8">
      <c r="A487" s="12" t="s">
        <v>6277</v>
      </c>
      <c r="B487" s="13">
        <v>190.59</v>
      </c>
      <c r="C487" s="16" t="s">
        <v>5331</v>
      </c>
      <c r="D487" s="12">
        <v>962.72</v>
      </c>
      <c r="E487" s="12" t="s">
        <v>5332</v>
      </c>
      <c r="F487" s="12" t="s">
        <v>5328</v>
      </c>
      <c r="G487" s="12" t="s">
        <v>6278</v>
      </c>
      <c r="H487" s="12">
        <v>72784</v>
      </c>
    </row>
    <row r="488" spans="1:8">
      <c r="A488" s="12" t="s">
        <v>6279</v>
      </c>
      <c r="B488" s="13">
        <v>2.6</v>
      </c>
      <c r="C488" s="16" t="s">
        <v>5331</v>
      </c>
      <c r="D488" s="12">
        <v>487.5</v>
      </c>
      <c r="E488" s="12" t="s">
        <v>5332</v>
      </c>
      <c r="F488" s="12" t="s">
        <v>5328</v>
      </c>
      <c r="G488" s="12" t="s">
        <v>6280</v>
      </c>
      <c r="H488" s="12">
        <v>72270</v>
      </c>
    </row>
    <row r="489" spans="1:8">
      <c r="A489" s="12" t="s">
        <v>6281</v>
      </c>
      <c r="B489" s="13">
        <v>8.6199999999999992</v>
      </c>
      <c r="C489" s="16" t="s">
        <v>5331</v>
      </c>
      <c r="D489" s="12">
        <v>60.68</v>
      </c>
      <c r="E489" s="12" t="s">
        <v>5332</v>
      </c>
      <c r="F489" s="12" t="s">
        <v>5328</v>
      </c>
      <c r="G489" s="12" t="s">
        <v>6282</v>
      </c>
      <c r="H489" s="12">
        <v>72170</v>
      </c>
    </row>
    <row r="490" spans="1:8">
      <c r="A490" s="12" t="s">
        <v>6283</v>
      </c>
      <c r="B490" s="13">
        <v>14.55</v>
      </c>
      <c r="C490" s="16" t="s">
        <v>5331</v>
      </c>
      <c r="D490" s="12">
        <v>59.01</v>
      </c>
      <c r="E490" s="12" t="s">
        <v>5332</v>
      </c>
      <c r="F490" s="12" t="s">
        <v>5328</v>
      </c>
      <c r="G490" s="12" t="s">
        <v>6284</v>
      </c>
      <c r="H490" s="12">
        <v>72806</v>
      </c>
    </row>
    <row r="491" spans="1:8">
      <c r="A491" s="12" t="s">
        <v>6285</v>
      </c>
      <c r="B491" s="13">
        <v>15.94</v>
      </c>
      <c r="C491" s="16" t="s">
        <v>5331</v>
      </c>
      <c r="D491" s="12">
        <v>61.74</v>
      </c>
      <c r="E491" s="12" t="s">
        <v>5332</v>
      </c>
      <c r="F491" s="12" t="s">
        <v>5328</v>
      </c>
      <c r="G491" s="12" t="s">
        <v>6286</v>
      </c>
      <c r="H491" s="12">
        <v>75579</v>
      </c>
    </row>
    <row r="492" spans="1:8">
      <c r="A492" s="12" t="s">
        <v>6287</v>
      </c>
      <c r="B492" s="13">
        <v>4.9000000000000004</v>
      </c>
      <c r="C492" s="16" t="s">
        <v>5331</v>
      </c>
      <c r="D492" s="12">
        <v>51.66</v>
      </c>
      <c r="E492" s="12" t="s">
        <v>5332</v>
      </c>
      <c r="F492" s="12" t="s">
        <v>5328</v>
      </c>
      <c r="G492" s="12" t="s">
        <v>6288</v>
      </c>
      <c r="H492" s="12">
        <v>112906</v>
      </c>
    </row>
    <row r="493" spans="1:8">
      <c r="A493" s="12" t="s">
        <v>6289</v>
      </c>
      <c r="B493" s="13">
        <v>13.02</v>
      </c>
      <c r="C493" s="16" t="s">
        <v>5331</v>
      </c>
      <c r="D493" s="12">
        <v>0.41</v>
      </c>
      <c r="E493" s="12" t="s">
        <v>5332</v>
      </c>
      <c r="F493" s="12" t="s">
        <v>5328</v>
      </c>
      <c r="G493" s="12" t="s">
        <v>6290</v>
      </c>
      <c r="H493" s="12">
        <v>16197</v>
      </c>
    </row>
    <row r="494" spans="1:8">
      <c r="A494" s="12" t="s">
        <v>6291</v>
      </c>
      <c r="B494" s="13">
        <v>6.5</v>
      </c>
      <c r="C494" s="16" t="s">
        <v>5331</v>
      </c>
      <c r="D494" s="12">
        <v>29.4</v>
      </c>
      <c r="E494" s="12" t="s">
        <v>5332</v>
      </c>
      <c r="F494" s="12" t="s">
        <v>5328</v>
      </c>
      <c r="G494" s="12" t="s">
        <v>6292</v>
      </c>
      <c r="H494" s="12">
        <v>13767</v>
      </c>
    </row>
    <row r="495" spans="1:8">
      <c r="A495" s="12" t="s">
        <v>6293</v>
      </c>
      <c r="B495" s="13">
        <v>25.83</v>
      </c>
      <c r="C495" s="16" t="s">
        <v>5331</v>
      </c>
      <c r="D495" s="12">
        <v>119.4</v>
      </c>
      <c r="E495" s="12" t="s">
        <v>5332</v>
      </c>
      <c r="F495" s="12" t="s">
        <v>5328</v>
      </c>
      <c r="G495" s="12" t="s">
        <v>6294</v>
      </c>
      <c r="H495" s="12">
        <v>13766</v>
      </c>
    </row>
    <row r="496" spans="1:8">
      <c r="A496" s="12" t="s">
        <v>6295</v>
      </c>
      <c r="B496" s="13">
        <v>17.3</v>
      </c>
      <c r="C496" s="16" t="s">
        <v>5331</v>
      </c>
      <c r="D496" s="12">
        <v>71.7</v>
      </c>
      <c r="E496" s="12" t="s">
        <v>5332</v>
      </c>
      <c r="F496" s="12" t="s">
        <v>5328</v>
      </c>
      <c r="G496" s="12" t="s">
        <v>6296</v>
      </c>
      <c r="H496" s="12">
        <v>13764</v>
      </c>
    </row>
    <row r="497" spans="1:8">
      <c r="A497" s="12" t="s">
        <v>6297</v>
      </c>
      <c r="B497" s="13">
        <v>11.9</v>
      </c>
      <c r="C497" s="16" t="s">
        <v>5331</v>
      </c>
      <c r="D497" s="12">
        <v>50.4</v>
      </c>
      <c r="E497" s="12" t="s">
        <v>5332</v>
      </c>
      <c r="F497" s="12" t="s">
        <v>5328</v>
      </c>
      <c r="G497" s="12" t="s">
        <v>6298</v>
      </c>
      <c r="H497" s="12">
        <v>13768</v>
      </c>
    </row>
    <row r="498" spans="1:8">
      <c r="A498" s="12" t="s">
        <v>6299</v>
      </c>
      <c r="B498" s="13">
        <v>12.18</v>
      </c>
      <c r="C498" s="16" t="s">
        <v>5331</v>
      </c>
      <c r="D498" s="12">
        <v>50.4</v>
      </c>
      <c r="E498" s="12" t="s">
        <v>5332</v>
      </c>
      <c r="F498" s="12" t="s">
        <v>5328</v>
      </c>
      <c r="G498" s="12" t="s">
        <v>6300</v>
      </c>
      <c r="H498" s="12">
        <v>13769</v>
      </c>
    </row>
    <row r="499" spans="1:8">
      <c r="A499" s="12" t="s">
        <v>6301</v>
      </c>
      <c r="B499" s="13">
        <v>29.62</v>
      </c>
      <c r="C499" s="16" t="s">
        <v>5331</v>
      </c>
      <c r="D499" s="12">
        <v>196.5</v>
      </c>
      <c r="E499" s="12" t="s">
        <v>5332</v>
      </c>
      <c r="F499" s="12" t="s">
        <v>5328</v>
      </c>
      <c r="G499" s="12" t="s">
        <v>6302</v>
      </c>
      <c r="H499" s="12">
        <v>209151</v>
      </c>
    </row>
    <row r="500" spans="1:8">
      <c r="A500" s="12" t="s">
        <v>6303</v>
      </c>
      <c r="B500" s="13">
        <v>31.25</v>
      </c>
      <c r="C500" s="16" t="s">
        <v>5331</v>
      </c>
      <c r="D500" s="12">
        <v>241.5</v>
      </c>
      <c r="E500" s="12" t="s">
        <v>5332</v>
      </c>
      <c r="F500" s="12" t="s">
        <v>5328</v>
      </c>
      <c r="G500" s="12" t="s">
        <v>6304</v>
      </c>
      <c r="H500" s="12">
        <v>208951</v>
      </c>
    </row>
    <row r="501" spans="1:8">
      <c r="A501" s="12" t="s">
        <v>6305</v>
      </c>
      <c r="B501" s="13">
        <v>87.44</v>
      </c>
      <c r="C501" s="16" t="s">
        <v>5331</v>
      </c>
      <c r="D501" s="12">
        <v>382.5</v>
      </c>
      <c r="E501" s="12" t="s">
        <v>5332</v>
      </c>
      <c r="F501" s="12" t="s">
        <v>5328</v>
      </c>
      <c r="G501" s="12" t="s">
        <v>6306</v>
      </c>
      <c r="H501" s="12">
        <v>208952</v>
      </c>
    </row>
    <row r="502" spans="1:8">
      <c r="A502" s="12" t="s">
        <v>6307</v>
      </c>
      <c r="B502" s="13">
        <v>30.08</v>
      </c>
      <c r="C502" s="16" t="s">
        <v>5331</v>
      </c>
      <c r="D502" s="12">
        <v>138</v>
      </c>
      <c r="E502" s="12" t="s">
        <v>5332</v>
      </c>
      <c r="F502" s="12" t="s">
        <v>5328</v>
      </c>
      <c r="G502" s="12" t="s">
        <v>6308</v>
      </c>
      <c r="H502" s="12">
        <v>208958</v>
      </c>
    </row>
    <row r="503" spans="1:8">
      <c r="A503" s="12" t="s">
        <v>6309</v>
      </c>
      <c r="B503" s="13">
        <v>33.51</v>
      </c>
      <c r="C503" s="16" t="s">
        <v>5331</v>
      </c>
      <c r="D503" s="12">
        <v>150</v>
      </c>
      <c r="E503" s="12" t="s">
        <v>5332</v>
      </c>
      <c r="F503" s="12" t="s">
        <v>5328</v>
      </c>
      <c r="G503" s="12" t="s">
        <v>6310</v>
      </c>
      <c r="H503" s="12">
        <v>208959</v>
      </c>
    </row>
    <row r="504" spans="1:8">
      <c r="A504" s="12" t="s">
        <v>6311</v>
      </c>
      <c r="B504" s="13">
        <v>206.32</v>
      </c>
      <c r="C504" s="16" t="s">
        <v>5331</v>
      </c>
      <c r="D504" s="12">
        <v>900</v>
      </c>
      <c r="E504" s="12" t="s">
        <v>5332</v>
      </c>
      <c r="F504" s="12" t="s">
        <v>5328</v>
      </c>
      <c r="G504" s="12" t="s">
        <v>6312</v>
      </c>
      <c r="H504" s="12">
        <v>208960</v>
      </c>
    </row>
    <row r="505" spans="1:8">
      <c r="A505" s="12" t="s">
        <v>6313</v>
      </c>
      <c r="B505" s="13">
        <v>196.73</v>
      </c>
      <c r="C505" s="16" t="s">
        <v>5331</v>
      </c>
      <c r="D505" s="12">
        <v>900</v>
      </c>
      <c r="E505" s="12" t="s">
        <v>5332</v>
      </c>
      <c r="F505" s="12" t="s">
        <v>5328</v>
      </c>
      <c r="G505" s="12" t="s">
        <v>6314</v>
      </c>
      <c r="H505" s="12">
        <v>208961</v>
      </c>
    </row>
    <row r="506" spans="1:8">
      <c r="A506" s="12" t="s">
        <v>6315</v>
      </c>
      <c r="B506" s="13">
        <v>201.06</v>
      </c>
      <c r="C506" s="16" t="s">
        <v>5331</v>
      </c>
      <c r="D506" s="12">
        <v>900</v>
      </c>
      <c r="E506" s="12" t="s">
        <v>5332</v>
      </c>
      <c r="F506" s="12" t="s">
        <v>5328</v>
      </c>
      <c r="G506" s="12" t="s">
        <v>6316</v>
      </c>
      <c r="H506" s="12">
        <v>209064</v>
      </c>
    </row>
    <row r="507" spans="1:8">
      <c r="A507" s="12" t="s">
        <v>6317</v>
      </c>
      <c r="B507" s="13">
        <v>201.06</v>
      </c>
      <c r="C507" s="16" t="s">
        <v>5331</v>
      </c>
      <c r="D507" s="12">
        <v>900</v>
      </c>
      <c r="E507" s="12" t="s">
        <v>5332</v>
      </c>
      <c r="F507" s="12" t="s">
        <v>5328</v>
      </c>
      <c r="G507" s="12" t="s">
        <v>6318</v>
      </c>
      <c r="H507" s="12">
        <v>208962</v>
      </c>
    </row>
    <row r="508" spans="1:8">
      <c r="A508" s="12" t="s">
        <v>6319</v>
      </c>
      <c r="B508" s="13">
        <v>1.48</v>
      </c>
      <c r="C508" s="16" t="s">
        <v>5331</v>
      </c>
      <c r="D508" s="12">
        <v>4.2</v>
      </c>
      <c r="E508" s="12" t="s">
        <v>5332</v>
      </c>
      <c r="F508" s="12" t="s">
        <v>5328</v>
      </c>
      <c r="G508" s="12" t="s">
        <v>6320</v>
      </c>
      <c r="H508" s="12">
        <v>282624</v>
      </c>
    </row>
    <row r="509" spans="1:8">
      <c r="A509" s="12" t="s">
        <v>6321</v>
      </c>
      <c r="B509" s="13">
        <v>0.31</v>
      </c>
      <c r="C509" s="16" t="s">
        <v>5331</v>
      </c>
      <c r="D509" s="12">
        <v>1.43</v>
      </c>
      <c r="E509" s="12" t="s">
        <v>5332</v>
      </c>
      <c r="F509" s="12" t="s">
        <v>5328</v>
      </c>
      <c r="G509" s="12" t="s">
        <v>6322</v>
      </c>
      <c r="H509" s="12">
        <v>17308</v>
      </c>
    </row>
    <row r="510" spans="1:8">
      <c r="A510" s="12" t="s">
        <v>6323</v>
      </c>
      <c r="B510" s="13">
        <v>38.81</v>
      </c>
      <c r="C510" s="16" t="s">
        <v>5331</v>
      </c>
      <c r="D510" s="12">
        <v>100.29</v>
      </c>
      <c r="E510" s="12" t="s">
        <v>5332</v>
      </c>
      <c r="F510" s="12" t="s">
        <v>5328</v>
      </c>
      <c r="G510" s="12" t="s">
        <v>6324</v>
      </c>
      <c r="H510" s="12">
        <v>17309</v>
      </c>
    </row>
    <row r="511" spans="1:8">
      <c r="A511" s="12" t="s">
        <v>6325</v>
      </c>
      <c r="B511" s="13">
        <v>36</v>
      </c>
      <c r="C511" s="16" t="s">
        <v>5331</v>
      </c>
      <c r="D511" s="12">
        <v>109.26</v>
      </c>
      <c r="E511" s="12" t="s">
        <v>5332</v>
      </c>
      <c r="F511" s="12" t="s">
        <v>5328</v>
      </c>
      <c r="G511" s="12" t="s">
        <v>6326</v>
      </c>
      <c r="H511" s="12">
        <v>17310</v>
      </c>
    </row>
    <row r="512" spans="1:8">
      <c r="A512" s="12" t="s">
        <v>6327</v>
      </c>
      <c r="B512" s="13">
        <v>29.35</v>
      </c>
      <c r="C512" s="16" t="s">
        <v>5331</v>
      </c>
      <c r="D512" s="12">
        <v>205.8</v>
      </c>
      <c r="E512" s="12" t="s">
        <v>5332</v>
      </c>
      <c r="F512" s="12" t="s">
        <v>5328</v>
      </c>
      <c r="G512" s="12" t="s">
        <v>6328</v>
      </c>
      <c r="H512" s="12">
        <v>17311</v>
      </c>
    </row>
    <row r="513" spans="1:8">
      <c r="A513" s="12" t="s">
        <v>6329</v>
      </c>
      <c r="B513" s="13">
        <v>3.2</v>
      </c>
      <c r="C513" s="16" t="s">
        <v>5331</v>
      </c>
      <c r="D513" s="12">
        <v>35.82</v>
      </c>
      <c r="E513" s="12" t="s">
        <v>5332</v>
      </c>
      <c r="F513" s="12" t="s">
        <v>5328</v>
      </c>
      <c r="G513" s="12" t="s">
        <v>6330</v>
      </c>
      <c r="H513" s="12">
        <v>17313</v>
      </c>
    </row>
    <row r="514" spans="1:8">
      <c r="A514" s="12" t="s">
        <v>6331</v>
      </c>
      <c r="B514" s="13">
        <v>4.8899999999999997</v>
      </c>
      <c r="C514" s="16" t="s">
        <v>5331</v>
      </c>
      <c r="D514" s="12">
        <v>31.94</v>
      </c>
      <c r="E514" s="12" t="s">
        <v>5332</v>
      </c>
      <c r="F514" s="12" t="s">
        <v>5328</v>
      </c>
      <c r="G514" s="12" t="s">
        <v>6332</v>
      </c>
      <c r="H514" s="12">
        <v>17314</v>
      </c>
    </row>
    <row r="515" spans="1:8">
      <c r="A515" s="12" t="s">
        <v>6333</v>
      </c>
      <c r="B515" s="13">
        <v>0.71</v>
      </c>
      <c r="C515" s="16" t="s">
        <v>5331</v>
      </c>
      <c r="D515" s="12">
        <v>30.95</v>
      </c>
      <c r="E515" s="12" t="s">
        <v>5332</v>
      </c>
      <c r="F515" s="12" t="s">
        <v>5328</v>
      </c>
      <c r="G515" s="12" t="s">
        <v>6334</v>
      </c>
      <c r="H515" s="12">
        <v>17316</v>
      </c>
    </row>
    <row r="516" spans="1:8">
      <c r="A516" s="12" t="s">
        <v>6335</v>
      </c>
      <c r="B516" s="13">
        <v>0.59</v>
      </c>
      <c r="C516" s="16" t="s">
        <v>5331</v>
      </c>
      <c r="D516" s="12">
        <v>6.75</v>
      </c>
      <c r="E516" s="12" t="s">
        <v>5332</v>
      </c>
      <c r="F516" s="12" t="s">
        <v>5328</v>
      </c>
      <c r="G516" s="12" t="s">
        <v>6336</v>
      </c>
      <c r="H516" s="12">
        <v>17317</v>
      </c>
    </row>
    <row r="517" spans="1:8">
      <c r="A517" s="12" t="s">
        <v>6337</v>
      </c>
      <c r="B517" s="13">
        <v>1.65</v>
      </c>
      <c r="C517" s="16" t="s">
        <v>5331</v>
      </c>
      <c r="D517" s="12">
        <v>7.89</v>
      </c>
      <c r="E517" s="12" t="s">
        <v>5332</v>
      </c>
      <c r="F517" s="12" t="s">
        <v>5328</v>
      </c>
      <c r="G517" s="12" t="s">
        <v>6338</v>
      </c>
      <c r="H517" s="12">
        <v>17318</v>
      </c>
    </row>
    <row r="518" spans="1:8">
      <c r="A518" s="12" t="s">
        <v>6339</v>
      </c>
      <c r="B518" s="13">
        <v>31.4</v>
      </c>
      <c r="C518" s="16" t="s">
        <v>5331</v>
      </c>
      <c r="D518" s="12">
        <v>39.5</v>
      </c>
      <c r="E518" s="12" t="s">
        <v>5332</v>
      </c>
      <c r="F518" s="12" t="s">
        <v>5328</v>
      </c>
      <c r="G518" s="12" t="s">
        <v>6340</v>
      </c>
      <c r="H518" s="12">
        <v>17319</v>
      </c>
    </row>
    <row r="519" spans="1:8">
      <c r="A519" s="12" t="s">
        <v>6339</v>
      </c>
      <c r="B519" s="13">
        <v>9.64</v>
      </c>
      <c r="C519" s="16" t="s">
        <v>5331</v>
      </c>
      <c r="D519" s="12">
        <v>40.64</v>
      </c>
      <c r="E519" s="12" t="s">
        <v>5332</v>
      </c>
      <c r="F519" s="12" t="s">
        <v>5328</v>
      </c>
      <c r="G519" s="12" t="s">
        <v>6341</v>
      </c>
      <c r="H519" s="12">
        <v>17320</v>
      </c>
    </row>
    <row r="520" spans="1:8">
      <c r="A520" s="12" t="s">
        <v>6342</v>
      </c>
      <c r="B520" s="13">
        <v>3.73</v>
      </c>
      <c r="C520" s="16" t="s">
        <v>5331</v>
      </c>
      <c r="D520" s="12">
        <v>11.19</v>
      </c>
      <c r="E520" s="12" t="s">
        <v>5332</v>
      </c>
      <c r="F520" s="12" t="s">
        <v>5328</v>
      </c>
      <c r="G520" s="12" t="s">
        <v>6343</v>
      </c>
      <c r="H520" s="12">
        <v>17321</v>
      </c>
    </row>
    <row r="521" spans="1:8">
      <c r="A521" s="12" t="s">
        <v>6344</v>
      </c>
      <c r="B521" s="13">
        <v>0</v>
      </c>
      <c r="C521" s="16" t="s">
        <v>5331</v>
      </c>
      <c r="D521" s="12">
        <v>13.59</v>
      </c>
      <c r="E521" s="12" t="s">
        <v>5332</v>
      </c>
      <c r="F521" s="12" t="s">
        <v>5328</v>
      </c>
      <c r="G521" s="12" t="s">
        <v>6345</v>
      </c>
      <c r="H521" s="12">
        <v>17322</v>
      </c>
    </row>
    <row r="522" spans="1:8">
      <c r="A522" s="12" t="s">
        <v>6346</v>
      </c>
      <c r="B522" s="13">
        <v>0</v>
      </c>
      <c r="C522" s="16" t="s">
        <v>5331</v>
      </c>
      <c r="D522" s="12">
        <v>3.27</v>
      </c>
      <c r="E522" s="12" t="s">
        <v>5332</v>
      </c>
      <c r="F522" s="12" t="s">
        <v>5328</v>
      </c>
      <c r="G522" s="12" t="s">
        <v>6347</v>
      </c>
      <c r="H522" s="12">
        <v>17323</v>
      </c>
    </row>
    <row r="523" spans="1:8">
      <c r="A523" s="12" t="s">
        <v>6348</v>
      </c>
      <c r="B523" s="13">
        <v>1.01</v>
      </c>
      <c r="C523" s="16" t="s">
        <v>5331</v>
      </c>
      <c r="D523" s="12">
        <v>3.7829999999999999</v>
      </c>
      <c r="E523" s="12" t="s">
        <v>5332</v>
      </c>
      <c r="F523" s="12" t="s">
        <v>5328</v>
      </c>
      <c r="G523" s="12" t="s">
        <v>6349</v>
      </c>
      <c r="H523" s="12">
        <v>17324</v>
      </c>
    </row>
    <row r="524" spans="1:8">
      <c r="A524" s="12" t="s">
        <v>6350</v>
      </c>
      <c r="B524" s="13">
        <v>13.04</v>
      </c>
      <c r="C524" s="16" t="s">
        <v>5331</v>
      </c>
      <c r="D524" s="12">
        <v>49.5</v>
      </c>
      <c r="E524" s="12" t="s">
        <v>5332</v>
      </c>
      <c r="F524" s="12" t="s">
        <v>5328</v>
      </c>
      <c r="G524" s="12" t="s">
        <v>6351</v>
      </c>
      <c r="H524" s="12">
        <v>17325</v>
      </c>
    </row>
    <row r="525" spans="1:8">
      <c r="A525" s="12" t="s">
        <v>6352</v>
      </c>
      <c r="B525" s="13">
        <v>14.69</v>
      </c>
      <c r="C525" s="16" t="s">
        <v>5331</v>
      </c>
      <c r="D525" s="12">
        <v>49.5</v>
      </c>
      <c r="E525" s="12" t="s">
        <v>5332</v>
      </c>
      <c r="F525" s="12" t="s">
        <v>5328</v>
      </c>
      <c r="G525" s="12" t="s">
        <v>6353</v>
      </c>
      <c r="H525" s="12">
        <v>17326</v>
      </c>
    </row>
    <row r="526" spans="1:8">
      <c r="A526" s="12" t="s">
        <v>6354</v>
      </c>
      <c r="B526" s="13">
        <v>6.13</v>
      </c>
      <c r="C526" s="16" t="s">
        <v>5331</v>
      </c>
      <c r="D526" s="12">
        <v>28.07</v>
      </c>
      <c r="E526" s="12" t="s">
        <v>5332</v>
      </c>
      <c r="F526" s="12" t="s">
        <v>5328</v>
      </c>
      <c r="G526" s="12" t="s">
        <v>6355</v>
      </c>
      <c r="H526" s="12">
        <v>17327</v>
      </c>
    </row>
    <row r="527" spans="1:8">
      <c r="A527" s="12" t="s">
        <v>6354</v>
      </c>
      <c r="B527" s="13">
        <v>6.13</v>
      </c>
      <c r="C527" s="16" t="s">
        <v>5331</v>
      </c>
      <c r="D527" s="12">
        <v>18.71</v>
      </c>
      <c r="E527" s="12" t="s">
        <v>5332</v>
      </c>
      <c r="F527" s="12" t="s">
        <v>5328</v>
      </c>
      <c r="G527" s="12" t="s">
        <v>6355</v>
      </c>
      <c r="H527" s="12">
        <v>17327</v>
      </c>
    </row>
    <row r="528" spans="1:8">
      <c r="A528" s="12" t="s">
        <v>6356</v>
      </c>
      <c r="B528" s="13">
        <v>15.08</v>
      </c>
      <c r="C528" s="16" t="s">
        <v>5331</v>
      </c>
      <c r="D528" s="12">
        <v>47.39</v>
      </c>
      <c r="E528" s="12" t="s">
        <v>5332</v>
      </c>
      <c r="F528" s="12" t="s">
        <v>5328</v>
      </c>
      <c r="G528" s="12" t="s">
        <v>6357</v>
      </c>
      <c r="H528" s="12">
        <v>17329</v>
      </c>
    </row>
    <row r="529" spans="1:8">
      <c r="A529" s="12" t="s">
        <v>6358</v>
      </c>
      <c r="B529" s="13">
        <v>10.97</v>
      </c>
      <c r="C529" s="16" t="s">
        <v>5331</v>
      </c>
      <c r="D529" s="12">
        <v>35.21</v>
      </c>
      <c r="E529" s="12" t="s">
        <v>5332</v>
      </c>
      <c r="F529" s="12" t="s">
        <v>5328</v>
      </c>
      <c r="G529" s="12" t="s">
        <v>6359</v>
      </c>
      <c r="H529" s="12">
        <v>17330</v>
      </c>
    </row>
    <row r="530" spans="1:8">
      <c r="A530" s="12" t="s">
        <v>6358</v>
      </c>
      <c r="B530" s="13">
        <v>10.97</v>
      </c>
      <c r="C530" s="16" t="s">
        <v>5331</v>
      </c>
      <c r="D530" s="12">
        <v>23.47</v>
      </c>
      <c r="E530" s="12" t="s">
        <v>5332</v>
      </c>
      <c r="F530" s="12" t="s">
        <v>5328</v>
      </c>
      <c r="G530" s="12" t="s">
        <v>6359</v>
      </c>
      <c r="H530" s="12">
        <v>17330</v>
      </c>
    </row>
    <row r="531" spans="1:8">
      <c r="A531" s="12" t="s">
        <v>6360</v>
      </c>
      <c r="B531" s="13">
        <v>0.51</v>
      </c>
      <c r="C531" s="16" t="s">
        <v>5331</v>
      </c>
      <c r="D531" s="12">
        <v>0.75</v>
      </c>
      <c r="E531" s="12" t="s">
        <v>5332</v>
      </c>
      <c r="F531" s="12" t="s">
        <v>5328</v>
      </c>
      <c r="G531" s="12" t="s">
        <v>6361</v>
      </c>
      <c r="H531" s="12">
        <v>17331</v>
      </c>
    </row>
    <row r="532" spans="1:8">
      <c r="A532" s="12" t="s">
        <v>6362</v>
      </c>
      <c r="B532" s="13">
        <v>0.38</v>
      </c>
      <c r="C532" s="16" t="s">
        <v>5331</v>
      </c>
      <c r="D532" s="12">
        <v>0.15</v>
      </c>
      <c r="E532" s="12" t="s">
        <v>5332</v>
      </c>
      <c r="F532" s="12" t="s">
        <v>5328</v>
      </c>
      <c r="G532" s="12" t="s">
        <v>6363</v>
      </c>
      <c r="H532" s="12">
        <v>17332</v>
      </c>
    </row>
    <row r="533" spans="1:8">
      <c r="A533" s="12" t="s">
        <v>6364</v>
      </c>
      <c r="B533" s="13">
        <v>1.55</v>
      </c>
      <c r="C533" s="16" t="s">
        <v>5331</v>
      </c>
      <c r="D533" s="12">
        <v>6.0119999999999996</v>
      </c>
      <c r="E533" s="12" t="s">
        <v>5332</v>
      </c>
      <c r="F533" s="12" t="s">
        <v>5328</v>
      </c>
      <c r="G533" s="12" t="s">
        <v>6365</v>
      </c>
      <c r="H533" s="12">
        <v>17333</v>
      </c>
    </row>
    <row r="534" spans="1:8">
      <c r="A534" s="12" t="s">
        <v>6366</v>
      </c>
      <c r="B534" s="13">
        <v>0.36</v>
      </c>
      <c r="C534" s="16" t="s">
        <v>5331</v>
      </c>
      <c r="D534" s="12">
        <v>2.64</v>
      </c>
      <c r="E534" s="12" t="s">
        <v>5332</v>
      </c>
      <c r="F534" s="12" t="s">
        <v>5328</v>
      </c>
      <c r="G534" s="12" t="s">
        <v>6367</v>
      </c>
      <c r="H534" s="12">
        <v>17334</v>
      </c>
    </row>
    <row r="535" spans="1:8">
      <c r="A535" s="12" t="s">
        <v>6368</v>
      </c>
      <c r="B535" s="13">
        <v>113.18</v>
      </c>
      <c r="C535" s="16" t="s">
        <v>5331</v>
      </c>
      <c r="D535" s="12">
        <v>633.63</v>
      </c>
      <c r="E535" s="12" t="s">
        <v>5332</v>
      </c>
      <c r="F535" s="12" t="s">
        <v>5328</v>
      </c>
      <c r="G535" s="12" t="s">
        <v>6369</v>
      </c>
      <c r="H535" s="12">
        <v>17336</v>
      </c>
    </row>
    <row r="536" spans="1:8">
      <c r="A536" s="12" t="s">
        <v>6370</v>
      </c>
      <c r="B536" s="13">
        <v>9.51</v>
      </c>
      <c r="C536" s="16" t="s">
        <v>5331</v>
      </c>
      <c r="D536" s="12">
        <v>35.475000000000001</v>
      </c>
      <c r="E536" s="12" t="s">
        <v>5332</v>
      </c>
      <c r="F536" s="12" t="s">
        <v>5328</v>
      </c>
      <c r="G536" s="12" t="s">
        <v>6371</v>
      </c>
      <c r="H536" s="12">
        <v>17337</v>
      </c>
    </row>
    <row r="537" spans="1:8">
      <c r="A537" s="12" t="s">
        <v>6372</v>
      </c>
      <c r="B537" s="13">
        <v>0.17</v>
      </c>
      <c r="C537" s="16" t="s">
        <v>5331</v>
      </c>
      <c r="D537" s="12">
        <v>0.24</v>
      </c>
      <c r="E537" s="12" t="s">
        <v>5332</v>
      </c>
      <c r="F537" s="12" t="s">
        <v>5328</v>
      </c>
      <c r="G537" s="12" t="s">
        <v>6373</v>
      </c>
      <c r="H537" s="12">
        <v>17338</v>
      </c>
    </row>
    <row r="538" spans="1:8">
      <c r="A538" s="12" t="s">
        <v>6374</v>
      </c>
      <c r="B538" s="13">
        <v>0.02</v>
      </c>
      <c r="C538" s="16" t="s">
        <v>5331</v>
      </c>
      <c r="D538" s="12">
        <v>0.38</v>
      </c>
      <c r="E538" s="12" t="s">
        <v>5332</v>
      </c>
      <c r="F538" s="12" t="s">
        <v>5328</v>
      </c>
      <c r="G538" s="12" t="s">
        <v>6375</v>
      </c>
      <c r="H538" s="12">
        <v>17339</v>
      </c>
    </row>
    <row r="539" spans="1:8">
      <c r="A539" s="12" t="s">
        <v>6376</v>
      </c>
      <c r="B539" s="13">
        <v>0.04</v>
      </c>
      <c r="C539" s="16" t="s">
        <v>5331</v>
      </c>
      <c r="D539" s="12">
        <v>0.18</v>
      </c>
      <c r="E539" s="12" t="s">
        <v>5332</v>
      </c>
      <c r="F539" s="12" t="s">
        <v>5328</v>
      </c>
      <c r="G539" s="12" t="s">
        <v>6377</v>
      </c>
      <c r="H539" s="12">
        <v>17340</v>
      </c>
    </row>
    <row r="540" spans="1:8">
      <c r="A540" s="12" t="s">
        <v>6378</v>
      </c>
      <c r="B540" s="13">
        <v>0.09</v>
      </c>
      <c r="C540" s="16" t="s">
        <v>5331</v>
      </c>
      <c r="D540" s="12">
        <v>0.3</v>
      </c>
      <c r="E540" s="12" t="s">
        <v>5332</v>
      </c>
      <c r="F540" s="12" t="s">
        <v>5328</v>
      </c>
      <c r="G540" s="12" t="s">
        <v>6379</v>
      </c>
      <c r="H540" s="12">
        <v>17341</v>
      </c>
    </row>
    <row r="541" spans="1:8">
      <c r="A541" s="12" t="s">
        <v>6380</v>
      </c>
      <c r="B541" s="13">
        <v>0.14000000000000001</v>
      </c>
      <c r="C541" s="16" t="s">
        <v>5331</v>
      </c>
      <c r="D541" s="12">
        <v>0.33</v>
      </c>
      <c r="E541" s="12" t="s">
        <v>5332</v>
      </c>
      <c r="F541" s="12" t="s">
        <v>5328</v>
      </c>
      <c r="G541" s="12" t="s">
        <v>6381</v>
      </c>
      <c r="H541" s="12">
        <v>17342</v>
      </c>
    </row>
    <row r="542" spans="1:8">
      <c r="A542" s="12" t="s">
        <v>6382</v>
      </c>
      <c r="B542" s="13">
        <v>12.93</v>
      </c>
      <c r="C542" s="16" t="s">
        <v>5331</v>
      </c>
      <c r="D542" s="12">
        <v>46.067999999999998</v>
      </c>
      <c r="E542" s="12" t="s">
        <v>5332</v>
      </c>
      <c r="F542" s="12" t="s">
        <v>5328</v>
      </c>
      <c r="G542" s="12" t="s">
        <v>6383</v>
      </c>
      <c r="H542" s="12">
        <v>17344</v>
      </c>
    </row>
    <row r="543" spans="1:8">
      <c r="A543" s="12" t="s">
        <v>6384</v>
      </c>
      <c r="B543" s="13">
        <v>0.15</v>
      </c>
      <c r="C543" s="16" t="s">
        <v>5331</v>
      </c>
      <c r="D543" s="12">
        <v>0.44159999999999999</v>
      </c>
      <c r="E543" s="12" t="s">
        <v>5332</v>
      </c>
      <c r="F543" s="12" t="s">
        <v>5328</v>
      </c>
      <c r="G543" s="12" t="s">
        <v>6385</v>
      </c>
      <c r="H543" s="12">
        <v>17345</v>
      </c>
    </row>
    <row r="544" spans="1:8">
      <c r="A544" s="12" t="s">
        <v>6386</v>
      </c>
      <c r="B544" s="13">
        <v>0.11</v>
      </c>
      <c r="C544" s="16" t="s">
        <v>5331</v>
      </c>
      <c r="D544" s="12">
        <v>0.34229999999999999</v>
      </c>
      <c r="E544" s="12" t="s">
        <v>5332</v>
      </c>
      <c r="F544" s="12" t="s">
        <v>5328</v>
      </c>
      <c r="G544" s="12" t="s">
        <v>6387</v>
      </c>
      <c r="H544" s="12">
        <v>17346</v>
      </c>
    </row>
    <row r="545" spans="1:8">
      <c r="A545" s="12" t="s">
        <v>6388</v>
      </c>
      <c r="B545" s="13">
        <v>0.03</v>
      </c>
      <c r="C545" s="16" t="s">
        <v>5331</v>
      </c>
      <c r="D545" s="12">
        <v>0.06</v>
      </c>
      <c r="E545" s="12" t="s">
        <v>5332</v>
      </c>
      <c r="F545" s="12" t="s">
        <v>5328</v>
      </c>
      <c r="G545" s="12" t="s">
        <v>6389</v>
      </c>
      <c r="H545" s="12">
        <v>17347</v>
      </c>
    </row>
    <row r="546" spans="1:8">
      <c r="A546" s="12" t="s">
        <v>6390</v>
      </c>
      <c r="B546" s="13">
        <v>9</v>
      </c>
      <c r="C546" s="16" t="s">
        <v>5331</v>
      </c>
      <c r="D546" s="12">
        <v>386.28</v>
      </c>
      <c r="E546" s="12" t="s">
        <v>5332</v>
      </c>
      <c r="F546" s="12" t="s">
        <v>5328</v>
      </c>
      <c r="G546" s="12" t="s">
        <v>6391</v>
      </c>
      <c r="H546" s="12">
        <v>17348</v>
      </c>
    </row>
    <row r="547" spans="1:8">
      <c r="A547" s="12" t="s">
        <v>6392</v>
      </c>
      <c r="B547" s="13">
        <v>4.75</v>
      </c>
      <c r="C547" s="16" t="s">
        <v>5331</v>
      </c>
      <c r="D547" s="12">
        <v>14.234999999999999</v>
      </c>
      <c r="E547" s="12" t="s">
        <v>5332</v>
      </c>
      <c r="F547" s="12" t="s">
        <v>5328</v>
      </c>
      <c r="G547" s="12" t="s">
        <v>6393</v>
      </c>
      <c r="H547" s="12">
        <v>17349</v>
      </c>
    </row>
    <row r="548" spans="1:8">
      <c r="A548" s="12" t="s">
        <v>6394</v>
      </c>
      <c r="B548" s="13">
        <v>0.66</v>
      </c>
      <c r="C548" s="16" t="s">
        <v>5331</v>
      </c>
      <c r="D548" s="12">
        <v>4.5</v>
      </c>
      <c r="E548" s="12" t="s">
        <v>5332</v>
      </c>
      <c r="F548" s="12" t="s">
        <v>5328</v>
      </c>
      <c r="G548" s="12" t="s">
        <v>6395</v>
      </c>
      <c r="H548" s="12">
        <v>17350</v>
      </c>
    </row>
    <row r="549" spans="1:8">
      <c r="A549" s="12" t="s">
        <v>6396</v>
      </c>
      <c r="B549" s="13">
        <v>17.29</v>
      </c>
      <c r="C549" s="16" t="s">
        <v>5331</v>
      </c>
      <c r="D549" s="12">
        <v>65.91</v>
      </c>
      <c r="E549" s="12" t="s">
        <v>5332</v>
      </c>
      <c r="F549" s="12" t="s">
        <v>5328</v>
      </c>
      <c r="G549" s="12" t="s">
        <v>6397</v>
      </c>
      <c r="H549" s="12">
        <v>17351</v>
      </c>
    </row>
    <row r="550" spans="1:8">
      <c r="A550" s="12" t="s">
        <v>6398</v>
      </c>
      <c r="B550" s="13">
        <v>1.35</v>
      </c>
      <c r="C550" s="16" t="s">
        <v>5331</v>
      </c>
      <c r="D550" s="12">
        <v>26.97</v>
      </c>
      <c r="E550" s="12" t="s">
        <v>5332</v>
      </c>
      <c r="F550" s="12" t="s">
        <v>5328</v>
      </c>
      <c r="G550" s="12" t="s">
        <v>6399</v>
      </c>
      <c r="H550" s="12">
        <v>17352</v>
      </c>
    </row>
    <row r="551" spans="1:8">
      <c r="A551" s="12" t="s">
        <v>6400</v>
      </c>
      <c r="B551" s="13">
        <v>148.61000000000001</v>
      </c>
      <c r="C551" s="16" t="s">
        <v>5331</v>
      </c>
      <c r="D551" s="12">
        <v>375</v>
      </c>
      <c r="E551" s="12" t="s">
        <v>5332</v>
      </c>
      <c r="F551" s="12" t="s">
        <v>5328</v>
      </c>
      <c r="G551" s="12" t="s">
        <v>6401</v>
      </c>
      <c r="H551" s="12">
        <v>17353</v>
      </c>
    </row>
    <row r="552" spans="1:8">
      <c r="A552" s="12" t="s">
        <v>6402</v>
      </c>
      <c r="B552" s="13">
        <v>1.08</v>
      </c>
      <c r="C552" s="16" t="s">
        <v>5331</v>
      </c>
      <c r="D552" s="12">
        <v>9.36</v>
      </c>
      <c r="E552" s="12" t="s">
        <v>5332</v>
      </c>
      <c r="F552" s="12" t="s">
        <v>5328</v>
      </c>
      <c r="G552" s="12" t="s">
        <v>6403</v>
      </c>
      <c r="H552" s="12">
        <v>17354</v>
      </c>
    </row>
    <row r="553" spans="1:8">
      <c r="A553" s="12" t="s">
        <v>6404</v>
      </c>
      <c r="B553" s="13">
        <v>0.01</v>
      </c>
      <c r="C553" s="16" t="s">
        <v>5331</v>
      </c>
      <c r="D553" s="12">
        <v>0.03</v>
      </c>
      <c r="E553" s="12" t="s">
        <v>5332</v>
      </c>
      <c r="F553" s="12" t="s">
        <v>5328</v>
      </c>
      <c r="G553" s="12" t="s">
        <v>6405</v>
      </c>
      <c r="H553" s="12">
        <v>54768</v>
      </c>
    </row>
    <row r="554" spans="1:8">
      <c r="A554" s="12" t="s">
        <v>6406</v>
      </c>
      <c r="B554" s="13">
        <v>0.01</v>
      </c>
      <c r="C554" s="16" t="s">
        <v>5331</v>
      </c>
      <c r="D554" s="12">
        <v>2.4E-2</v>
      </c>
      <c r="E554" s="12" t="s">
        <v>5332</v>
      </c>
      <c r="F554" s="12" t="s">
        <v>5328</v>
      </c>
      <c r="G554" s="12" t="s">
        <v>6407</v>
      </c>
      <c r="H554" s="12">
        <v>54770</v>
      </c>
    </row>
    <row r="555" spans="1:8">
      <c r="A555" s="12" t="s">
        <v>6406</v>
      </c>
      <c r="B555" s="13">
        <v>0.01</v>
      </c>
      <c r="C555" s="16" t="s">
        <v>5331</v>
      </c>
      <c r="D555" s="12">
        <v>2.7E-2</v>
      </c>
      <c r="E555" s="12" t="s">
        <v>5332</v>
      </c>
      <c r="F555" s="12" t="s">
        <v>5328</v>
      </c>
      <c r="G555" s="12" t="s">
        <v>6408</v>
      </c>
      <c r="H555" s="12">
        <v>54780</v>
      </c>
    </row>
    <row r="556" spans="1:8">
      <c r="A556" s="12" t="s">
        <v>6409</v>
      </c>
      <c r="B556" s="13">
        <v>0.04</v>
      </c>
      <c r="C556" s="16" t="s">
        <v>5331</v>
      </c>
      <c r="D556" s="12">
        <v>3.3000000000000002E-2</v>
      </c>
      <c r="E556" s="12" t="s">
        <v>5332</v>
      </c>
      <c r="F556" s="12" t="s">
        <v>5328</v>
      </c>
      <c r="G556" s="12" t="s">
        <v>6410</v>
      </c>
      <c r="H556" s="12">
        <v>54781</v>
      </c>
    </row>
    <row r="557" spans="1:8">
      <c r="A557" s="12" t="s">
        <v>6411</v>
      </c>
      <c r="B557" s="13">
        <v>0.17</v>
      </c>
      <c r="C557" s="16" t="s">
        <v>5331</v>
      </c>
      <c r="D557" s="12">
        <v>2.1000000000000001E-2</v>
      </c>
      <c r="E557" s="12" t="s">
        <v>5332</v>
      </c>
      <c r="F557" s="12" t="s">
        <v>5328</v>
      </c>
      <c r="G557" s="12" t="s">
        <v>6412</v>
      </c>
      <c r="H557" s="12">
        <v>54782</v>
      </c>
    </row>
    <row r="558" spans="1:8">
      <c r="A558" s="12" t="s">
        <v>6413</v>
      </c>
      <c r="B558" s="13">
        <v>0.01</v>
      </c>
      <c r="C558" s="16" t="s">
        <v>5331</v>
      </c>
      <c r="D558" s="12">
        <v>0.21</v>
      </c>
      <c r="E558" s="12" t="s">
        <v>5332</v>
      </c>
      <c r="F558" s="12" t="s">
        <v>5328</v>
      </c>
      <c r="G558" s="12" t="s">
        <v>6414</v>
      </c>
      <c r="H558" s="12">
        <v>146613</v>
      </c>
    </row>
    <row r="559" spans="1:8">
      <c r="A559" s="12" t="s">
        <v>6415</v>
      </c>
      <c r="B559" s="13">
        <v>100.43</v>
      </c>
      <c r="C559" s="16" t="s">
        <v>5331</v>
      </c>
      <c r="D559" s="12">
        <v>637.5</v>
      </c>
      <c r="E559" s="12" t="s">
        <v>5332</v>
      </c>
      <c r="F559" s="12" t="s">
        <v>5328</v>
      </c>
      <c r="G559" s="12" t="s">
        <v>6416</v>
      </c>
      <c r="H559" s="12">
        <v>209077</v>
      </c>
    </row>
    <row r="560" spans="1:8">
      <c r="A560" s="12" t="s">
        <v>6415</v>
      </c>
      <c r="B560" s="13">
        <v>2.8</v>
      </c>
      <c r="C560" s="16" t="s">
        <v>6417</v>
      </c>
      <c r="D560" s="12">
        <v>37.5</v>
      </c>
      <c r="E560" s="12" t="s">
        <v>5332</v>
      </c>
      <c r="F560" s="12" t="s">
        <v>5328</v>
      </c>
      <c r="G560" s="12" t="s">
        <v>6418</v>
      </c>
      <c r="H560" s="12">
        <v>223337</v>
      </c>
    </row>
    <row r="561" spans="1:8">
      <c r="A561" s="12" t="s">
        <v>6415</v>
      </c>
      <c r="B561" s="13">
        <v>94.7</v>
      </c>
      <c r="C561" s="16" t="s">
        <v>5331</v>
      </c>
      <c r="D561" s="12">
        <v>796.5</v>
      </c>
      <c r="E561" s="12" t="s">
        <v>5332</v>
      </c>
      <c r="F561" s="12" t="s">
        <v>5328</v>
      </c>
      <c r="G561" s="12" t="s">
        <v>6419</v>
      </c>
      <c r="H561" s="12">
        <v>223436</v>
      </c>
    </row>
    <row r="562" spans="1:8">
      <c r="A562" s="12" t="s">
        <v>6415</v>
      </c>
      <c r="B562" s="13">
        <v>117.29</v>
      </c>
      <c r="C562" s="16" t="s">
        <v>5331</v>
      </c>
      <c r="D562" s="12">
        <v>1020</v>
      </c>
      <c r="E562" s="12" t="s">
        <v>5332</v>
      </c>
      <c r="F562" s="12" t="s">
        <v>5328</v>
      </c>
      <c r="G562" s="12" t="s">
        <v>6420</v>
      </c>
      <c r="H562" s="12">
        <v>223339</v>
      </c>
    </row>
    <row r="563" spans="1:8">
      <c r="A563" s="12" t="s">
        <v>6421</v>
      </c>
      <c r="B563" s="13">
        <v>35.44</v>
      </c>
      <c r="C563" s="16" t="s">
        <v>5331</v>
      </c>
      <c r="D563" s="12">
        <v>116.11499999999999</v>
      </c>
      <c r="E563" s="12" t="s">
        <v>5332</v>
      </c>
      <c r="F563" s="12" t="s">
        <v>5328</v>
      </c>
      <c r="G563" s="12" t="s">
        <v>6422</v>
      </c>
      <c r="H563" s="12">
        <v>17355</v>
      </c>
    </row>
    <row r="564" spans="1:8">
      <c r="A564" s="12" t="s">
        <v>6423</v>
      </c>
      <c r="B564" s="13">
        <v>39.99</v>
      </c>
      <c r="C564" s="16" t="s">
        <v>5331</v>
      </c>
      <c r="D564" s="12">
        <v>273.02</v>
      </c>
      <c r="E564" s="12" t="s">
        <v>5332</v>
      </c>
      <c r="F564" s="12" t="s">
        <v>5328</v>
      </c>
      <c r="G564" s="12" t="s">
        <v>6424</v>
      </c>
      <c r="H564" s="12">
        <v>17356</v>
      </c>
    </row>
    <row r="565" spans="1:8">
      <c r="A565" s="12" t="s">
        <v>6425</v>
      </c>
      <c r="B565" s="13">
        <v>22.27</v>
      </c>
      <c r="C565" s="16" t="s">
        <v>5331</v>
      </c>
      <c r="D565" s="12">
        <v>139.19999999999999</v>
      </c>
      <c r="E565" s="12" t="s">
        <v>5332</v>
      </c>
      <c r="F565" s="12" t="s">
        <v>5328</v>
      </c>
      <c r="G565" s="12" t="s">
        <v>6426</v>
      </c>
      <c r="H565" s="12">
        <v>17357</v>
      </c>
    </row>
    <row r="566" spans="1:8">
      <c r="A566" s="12" t="s">
        <v>6427</v>
      </c>
      <c r="B566" s="13">
        <v>35.07</v>
      </c>
      <c r="C566" s="16" t="s">
        <v>5331</v>
      </c>
      <c r="D566" s="12">
        <v>345.17</v>
      </c>
      <c r="E566" s="12" t="s">
        <v>5332</v>
      </c>
      <c r="F566" s="12" t="s">
        <v>5328</v>
      </c>
      <c r="G566" s="12" t="s">
        <v>6428</v>
      </c>
      <c r="H566" s="12">
        <v>17358</v>
      </c>
    </row>
    <row r="567" spans="1:8">
      <c r="A567" s="12" t="s">
        <v>6429</v>
      </c>
      <c r="B567" s="13">
        <v>1.46</v>
      </c>
      <c r="C567" s="16" t="s">
        <v>5331</v>
      </c>
      <c r="D567" s="12">
        <v>15.494999999999999</v>
      </c>
      <c r="E567" s="12" t="s">
        <v>5332</v>
      </c>
      <c r="F567" s="12" t="s">
        <v>5328</v>
      </c>
      <c r="G567" s="12" t="s">
        <v>6430</v>
      </c>
      <c r="H567" s="12">
        <v>17359</v>
      </c>
    </row>
    <row r="568" spans="1:8">
      <c r="A568" s="12" t="s">
        <v>6431</v>
      </c>
      <c r="B568" s="13">
        <v>0.95</v>
      </c>
      <c r="C568" s="16" t="s">
        <v>5331</v>
      </c>
      <c r="D568" s="12">
        <v>8.51</v>
      </c>
      <c r="E568" s="12" t="s">
        <v>5332</v>
      </c>
      <c r="F568" s="12" t="s">
        <v>5328</v>
      </c>
      <c r="G568" s="12" t="s">
        <v>6432</v>
      </c>
      <c r="H568" s="12">
        <v>17360</v>
      </c>
    </row>
    <row r="569" spans="1:8">
      <c r="A569" s="12" t="s">
        <v>6433</v>
      </c>
      <c r="B569" s="13">
        <v>4.6399999999999997</v>
      </c>
      <c r="C569" s="16" t="s">
        <v>5331</v>
      </c>
      <c r="D569" s="12">
        <v>24.21</v>
      </c>
      <c r="E569" s="12" t="s">
        <v>5332</v>
      </c>
      <c r="F569" s="12" t="s">
        <v>5328</v>
      </c>
      <c r="G569" s="12" t="s">
        <v>6434</v>
      </c>
      <c r="H569" s="12">
        <v>17361</v>
      </c>
    </row>
    <row r="570" spans="1:8">
      <c r="A570" s="12" t="s">
        <v>6435</v>
      </c>
      <c r="B570" s="13">
        <v>3.58</v>
      </c>
      <c r="C570" s="16" t="s">
        <v>5331</v>
      </c>
      <c r="D570" s="12">
        <v>31.44</v>
      </c>
      <c r="E570" s="12" t="s">
        <v>5332</v>
      </c>
      <c r="F570" s="12" t="s">
        <v>5328</v>
      </c>
      <c r="G570" s="12" t="s">
        <v>6436</v>
      </c>
      <c r="H570" s="12">
        <v>17362</v>
      </c>
    </row>
    <row r="571" spans="1:8">
      <c r="A571" s="12" t="s">
        <v>6437</v>
      </c>
      <c r="B571" s="13">
        <v>3.44</v>
      </c>
      <c r="C571" s="16" t="s">
        <v>5331</v>
      </c>
      <c r="D571" s="12">
        <v>26.355</v>
      </c>
      <c r="E571" s="12" t="s">
        <v>5332</v>
      </c>
      <c r="F571" s="12" t="s">
        <v>5328</v>
      </c>
      <c r="G571" s="12" t="s">
        <v>6438</v>
      </c>
      <c r="H571" s="12">
        <v>17363</v>
      </c>
    </row>
    <row r="572" spans="1:8">
      <c r="A572" s="12" t="s">
        <v>6439</v>
      </c>
      <c r="B572" s="13">
        <v>3.45</v>
      </c>
      <c r="C572" s="16" t="s">
        <v>5331</v>
      </c>
      <c r="D572" s="12">
        <v>19.2</v>
      </c>
      <c r="E572" s="12" t="s">
        <v>5332</v>
      </c>
      <c r="F572" s="12" t="s">
        <v>5328</v>
      </c>
      <c r="G572" s="12" t="s">
        <v>6440</v>
      </c>
      <c r="H572" s="12">
        <v>17364</v>
      </c>
    </row>
    <row r="573" spans="1:8">
      <c r="A573" s="12" t="s">
        <v>6441</v>
      </c>
      <c r="B573" s="13">
        <v>0.56000000000000005</v>
      </c>
      <c r="C573" s="16" t="s">
        <v>5331</v>
      </c>
      <c r="D573" s="12">
        <v>2.4300000000000002</v>
      </c>
      <c r="E573" s="12" t="s">
        <v>5332</v>
      </c>
      <c r="F573" s="12" t="s">
        <v>5328</v>
      </c>
      <c r="G573" s="12" t="s">
        <v>6442</v>
      </c>
      <c r="H573" s="12">
        <v>17365</v>
      </c>
    </row>
    <row r="574" spans="1:8">
      <c r="A574" s="12" t="s">
        <v>6443</v>
      </c>
      <c r="B574" s="13">
        <v>0.48</v>
      </c>
      <c r="C574" s="16" t="s">
        <v>5331</v>
      </c>
      <c r="D574" s="12">
        <v>1.77</v>
      </c>
      <c r="E574" s="12" t="s">
        <v>5332</v>
      </c>
      <c r="F574" s="12" t="s">
        <v>5328</v>
      </c>
      <c r="G574" s="12" t="s">
        <v>6444</v>
      </c>
      <c r="H574" s="12">
        <v>17366</v>
      </c>
    </row>
    <row r="575" spans="1:8">
      <c r="A575" s="12" t="s">
        <v>6445</v>
      </c>
      <c r="B575" s="13">
        <v>0.28999999999999998</v>
      </c>
      <c r="C575" s="16" t="s">
        <v>5331</v>
      </c>
      <c r="D575" s="12">
        <v>1.35</v>
      </c>
      <c r="E575" s="12" t="s">
        <v>5332</v>
      </c>
      <c r="F575" s="12" t="s">
        <v>5328</v>
      </c>
      <c r="G575" s="12" t="s">
        <v>6446</v>
      </c>
      <c r="H575" s="12">
        <v>17367</v>
      </c>
    </row>
    <row r="576" spans="1:8">
      <c r="A576" s="12" t="s">
        <v>6447</v>
      </c>
      <c r="B576" s="13">
        <v>9.2200000000000006</v>
      </c>
      <c r="C576" s="16" t="s">
        <v>5331</v>
      </c>
      <c r="D576" s="12">
        <v>29.19</v>
      </c>
      <c r="E576" s="12" t="s">
        <v>5332</v>
      </c>
      <c r="F576" s="12" t="s">
        <v>5328</v>
      </c>
      <c r="G576" s="12" t="s">
        <v>6448</v>
      </c>
      <c r="H576" s="12">
        <v>17369</v>
      </c>
    </row>
    <row r="577" spans="1:8">
      <c r="A577" s="12" t="s">
        <v>6449</v>
      </c>
      <c r="B577" s="13">
        <v>0.19</v>
      </c>
      <c r="C577" s="16" t="s">
        <v>5331</v>
      </c>
      <c r="D577" s="12">
        <v>0.35</v>
      </c>
      <c r="E577" s="12" t="s">
        <v>5332</v>
      </c>
      <c r="F577" s="12" t="s">
        <v>5328</v>
      </c>
      <c r="G577" s="12" t="s">
        <v>6450</v>
      </c>
      <c r="H577" s="12">
        <v>17370</v>
      </c>
    </row>
    <row r="578" spans="1:8">
      <c r="A578" s="12" t="s">
        <v>6451</v>
      </c>
      <c r="B578" s="13">
        <v>0.06</v>
      </c>
      <c r="C578" s="16" t="s">
        <v>5331</v>
      </c>
      <c r="D578" s="12">
        <v>0.21</v>
      </c>
      <c r="E578" s="12" t="s">
        <v>5332</v>
      </c>
      <c r="F578" s="12" t="s">
        <v>5328</v>
      </c>
      <c r="G578" s="12" t="s">
        <v>6452</v>
      </c>
      <c r="H578" s="12">
        <v>17371</v>
      </c>
    </row>
    <row r="579" spans="1:8">
      <c r="A579" s="12" t="s">
        <v>6453</v>
      </c>
      <c r="B579" s="13">
        <v>0.06</v>
      </c>
      <c r="C579" s="16" t="s">
        <v>5331</v>
      </c>
      <c r="D579" s="12">
        <v>0.22500000000000001</v>
      </c>
      <c r="E579" s="12" t="s">
        <v>5332</v>
      </c>
      <c r="F579" s="12" t="s">
        <v>5328</v>
      </c>
      <c r="G579" s="12" t="s">
        <v>6454</v>
      </c>
      <c r="H579" s="12">
        <v>17373</v>
      </c>
    </row>
    <row r="580" spans="1:8">
      <c r="A580" s="12" t="s">
        <v>6455</v>
      </c>
      <c r="B580" s="13">
        <v>5.96</v>
      </c>
      <c r="C580" s="16" t="s">
        <v>5331</v>
      </c>
      <c r="D580" s="12">
        <v>29.64</v>
      </c>
      <c r="E580" s="12" t="s">
        <v>5332</v>
      </c>
      <c r="F580" s="12" t="s">
        <v>5328</v>
      </c>
      <c r="G580" s="12" t="s">
        <v>6456</v>
      </c>
      <c r="H580" s="12">
        <v>17376</v>
      </c>
    </row>
    <row r="581" spans="1:8">
      <c r="A581" s="12" t="s">
        <v>6457</v>
      </c>
      <c r="B581" s="13">
        <v>8.16</v>
      </c>
      <c r="C581" s="16" t="s">
        <v>5331</v>
      </c>
      <c r="D581" s="12">
        <v>32.79</v>
      </c>
      <c r="E581" s="12" t="s">
        <v>5332</v>
      </c>
      <c r="F581" s="12" t="s">
        <v>5328</v>
      </c>
      <c r="G581" s="12" t="s">
        <v>6458</v>
      </c>
      <c r="H581" s="12">
        <v>17377</v>
      </c>
    </row>
    <row r="582" spans="1:8">
      <c r="A582" s="12" t="s">
        <v>6459</v>
      </c>
      <c r="B582" s="13">
        <v>6.76</v>
      </c>
      <c r="C582" s="16" t="s">
        <v>5331</v>
      </c>
      <c r="D582" s="12">
        <v>19.59</v>
      </c>
      <c r="E582" s="12" t="s">
        <v>5332</v>
      </c>
      <c r="F582" s="12" t="s">
        <v>5328</v>
      </c>
      <c r="G582" s="12" t="s">
        <v>6460</v>
      </c>
      <c r="H582" s="12">
        <v>17378</v>
      </c>
    </row>
    <row r="583" spans="1:8">
      <c r="A583" s="12" t="s">
        <v>6461</v>
      </c>
      <c r="B583" s="13">
        <v>0.73</v>
      </c>
      <c r="C583" s="16" t="s">
        <v>5331</v>
      </c>
      <c r="D583" s="12">
        <v>5.3849999999999998</v>
      </c>
      <c r="E583" s="12" t="s">
        <v>5332</v>
      </c>
      <c r="F583" s="12" t="s">
        <v>5328</v>
      </c>
      <c r="G583" s="12" t="s">
        <v>6462</v>
      </c>
      <c r="H583" s="12">
        <v>17379</v>
      </c>
    </row>
    <row r="584" spans="1:8">
      <c r="A584" s="12" t="s">
        <v>6463</v>
      </c>
      <c r="B584" s="13">
        <v>0.3</v>
      </c>
      <c r="C584" s="16" t="s">
        <v>5331</v>
      </c>
      <c r="D584" s="12">
        <v>0.66900000000000004</v>
      </c>
      <c r="E584" s="12" t="s">
        <v>5332</v>
      </c>
      <c r="F584" s="12" t="s">
        <v>5328</v>
      </c>
      <c r="G584" s="12" t="s">
        <v>6464</v>
      </c>
      <c r="H584" s="12">
        <v>17380</v>
      </c>
    </row>
    <row r="585" spans="1:8">
      <c r="A585" s="12" t="s">
        <v>6465</v>
      </c>
      <c r="B585" s="13">
        <v>0.03</v>
      </c>
      <c r="C585" s="16" t="s">
        <v>5331</v>
      </c>
      <c r="D585" s="12">
        <v>0.22500000000000001</v>
      </c>
      <c r="E585" s="12" t="s">
        <v>5332</v>
      </c>
      <c r="F585" s="12" t="s">
        <v>5328</v>
      </c>
      <c r="G585" s="12" t="s">
        <v>6466</v>
      </c>
      <c r="H585" s="12">
        <v>17381</v>
      </c>
    </row>
    <row r="586" spans="1:8">
      <c r="A586" s="12" t="s">
        <v>6467</v>
      </c>
      <c r="B586" s="13">
        <v>0.17</v>
      </c>
      <c r="C586" s="16" t="s">
        <v>5331</v>
      </c>
      <c r="D586" s="12">
        <v>1.3440000000000001</v>
      </c>
      <c r="E586" s="12" t="s">
        <v>5332</v>
      </c>
      <c r="F586" s="12" t="s">
        <v>5328</v>
      </c>
      <c r="G586" s="12" t="s">
        <v>6468</v>
      </c>
      <c r="H586" s="12">
        <v>17382</v>
      </c>
    </row>
    <row r="587" spans="1:8">
      <c r="A587" s="12" t="s">
        <v>6469</v>
      </c>
      <c r="B587" s="13">
        <v>10.5</v>
      </c>
      <c r="C587" s="16" t="s">
        <v>5331</v>
      </c>
      <c r="D587" s="12">
        <v>29.67</v>
      </c>
      <c r="E587" s="12" t="s">
        <v>5332</v>
      </c>
      <c r="F587" s="12" t="s">
        <v>5328</v>
      </c>
      <c r="G587" s="12" t="s">
        <v>6470</v>
      </c>
      <c r="H587" s="12">
        <v>17383</v>
      </c>
    </row>
    <row r="588" spans="1:8">
      <c r="A588" s="12" t="s">
        <v>6471</v>
      </c>
      <c r="B588" s="13">
        <v>0.45</v>
      </c>
      <c r="C588" s="16" t="s">
        <v>5331</v>
      </c>
      <c r="D588" s="12">
        <v>2.16</v>
      </c>
      <c r="E588" s="12" t="s">
        <v>5332</v>
      </c>
      <c r="F588" s="12" t="s">
        <v>5328</v>
      </c>
      <c r="G588" s="12" t="s">
        <v>6472</v>
      </c>
      <c r="H588" s="12">
        <v>17384</v>
      </c>
    </row>
    <row r="589" spans="1:8">
      <c r="A589" s="12" t="s">
        <v>6473</v>
      </c>
      <c r="B589" s="13">
        <v>0.15</v>
      </c>
      <c r="C589" s="16" t="s">
        <v>5331</v>
      </c>
      <c r="D589" s="12">
        <v>0.68</v>
      </c>
      <c r="E589" s="12" t="s">
        <v>5332</v>
      </c>
      <c r="F589" s="12" t="s">
        <v>5328</v>
      </c>
      <c r="G589" s="12" t="s">
        <v>6474</v>
      </c>
      <c r="H589" s="12">
        <v>17385</v>
      </c>
    </row>
    <row r="590" spans="1:8">
      <c r="A590" s="12" t="s">
        <v>6475</v>
      </c>
      <c r="B590" s="13">
        <v>0.06</v>
      </c>
      <c r="C590" s="16" t="s">
        <v>5331</v>
      </c>
      <c r="D590" s="12">
        <v>0.06</v>
      </c>
      <c r="E590" s="12" t="s">
        <v>5332</v>
      </c>
      <c r="F590" s="12" t="s">
        <v>5328</v>
      </c>
      <c r="G590" s="12" t="s">
        <v>6476</v>
      </c>
      <c r="H590" s="12">
        <v>17386</v>
      </c>
    </row>
    <row r="591" spans="1:8">
      <c r="A591" s="12" t="s">
        <v>6477</v>
      </c>
      <c r="B591" s="13">
        <v>7.0000000000000007E-2</v>
      </c>
      <c r="C591" s="16" t="s">
        <v>5331</v>
      </c>
      <c r="D591" s="12">
        <v>0.21</v>
      </c>
      <c r="E591" s="12" t="s">
        <v>5332</v>
      </c>
      <c r="F591" s="12" t="s">
        <v>5328</v>
      </c>
      <c r="G591" s="12" t="s">
        <v>6478</v>
      </c>
      <c r="H591" s="12">
        <v>17387</v>
      </c>
    </row>
    <row r="592" spans="1:8">
      <c r="A592" s="12" t="s">
        <v>6479</v>
      </c>
      <c r="B592" s="13">
        <v>0.87</v>
      </c>
      <c r="C592" s="16" t="s">
        <v>5331</v>
      </c>
      <c r="D592" s="12">
        <v>1.1519999999999999</v>
      </c>
      <c r="E592" s="12" t="s">
        <v>5332</v>
      </c>
      <c r="F592" s="12" t="s">
        <v>5328</v>
      </c>
      <c r="G592" s="12" t="s">
        <v>6480</v>
      </c>
      <c r="H592" s="12">
        <v>17388</v>
      </c>
    </row>
    <row r="593" spans="1:8">
      <c r="A593" s="12" t="s">
        <v>6481</v>
      </c>
      <c r="B593" s="13">
        <v>0.56999999999999995</v>
      </c>
      <c r="C593" s="16" t="s">
        <v>5331</v>
      </c>
      <c r="D593" s="12">
        <v>3.6120000000000001</v>
      </c>
      <c r="E593" s="12" t="s">
        <v>5332</v>
      </c>
      <c r="F593" s="12" t="s">
        <v>5328</v>
      </c>
      <c r="G593" s="12" t="s">
        <v>6482</v>
      </c>
      <c r="H593" s="12">
        <v>17389</v>
      </c>
    </row>
    <row r="594" spans="1:8">
      <c r="A594" s="12" t="s">
        <v>6483</v>
      </c>
      <c r="B594" s="13">
        <v>1.02</v>
      </c>
      <c r="C594" s="16" t="s">
        <v>5331</v>
      </c>
      <c r="D594" s="12">
        <v>6.9</v>
      </c>
      <c r="E594" s="12" t="s">
        <v>5332</v>
      </c>
      <c r="F594" s="12" t="s">
        <v>5328</v>
      </c>
      <c r="G594" s="12" t="s">
        <v>6484</v>
      </c>
      <c r="H594" s="12">
        <v>17390</v>
      </c>
    </row>
    <row r="595" spans="1:8">
      <c r="A595" s="12" t="s">
        <v>6485</v>
      </c>
      <c r="B595" s="13">
        <v>10.88</v>
      </c>
      <c r="C595" s="16" t="s">
        <v>5331</v>
      </c>
      <c r="D595" s="12">
        <v>48.81</v>
      </c>
      <c r="E595" s="12" t="s">
        <v>5332</v>
      </c>
      <c r="F595" s="12" t="s">
        <v>5328</v>
      </c>
      <c r="G595" s="12" t="s">
        <v>6486</v>
      </c>
      <c r="H595" s="12">
        <v>17393</v>
      </c>
    </row>
    <row r="596" spans="1:8">
      <c r="A596" s="12" t="s">
        <v>6487</v>
      </c>
      <c r="B596" s="13">
        <v>0.02</v>
      </c>
      <c r="C596" s="16" t="s">
        <v>5331</v>
      </c>
      <c r="D596" s="12">
        <v>0.45896999999999999</v>
      </c>
      <c r="E596" s="12" t="s">
        <v>5332</v>
      </c>
      <c r="F596" s="12" t="s">
        <v>5328</v>
      </c>
      <c r="G596" s="12" t="s">
        <v>6488</v>
      </c>
      <c r="H596" s="12">
        <v>17394</v>
      </c>
    </row>
    <row r="597" spans="1:8">
      <c r="A597" s="12" t="s">
        <v>6489</v>
      </c>
      <c r="B597" s="13">
        <v>2.0299999999999998</v>
      </c>
      <c r="C597" s="16" t="s">
        <v>5331</v>
      </c>
      <c r="D597" s="12">
        <v>4.4000000000000004</v>
      </c>
      <c r="E597" s="12" t="s">
        <v>5332</v>
      </c>
      <c r="F597" s="12" t="s">
        <v>5328</v>
      </c>
      <c r="G597" s="12" t="s">
        <v>6490</v>
      </c>
      <c r="H597" s="12">
        <v>17395</v>
      </c>
    </row>
    <row r="598" spans="1:8">
      <c r="A598" s="12" t="s">
        <v>6491</v>
      </c>
      <c r="B598" s="13">
        <v>8.3699999999999992</v>
      </c>
      <c r="C598" s="16" t="s">
        <v>5331</v>
      </c>
      <c r="D598" s="12">
        <v>52.64</v>
      </c>
      <c r="E598" s="12" t="s">
        <v>5332</v>
      </c>
      <c r="F598" s="12" t="s">
        <v>5328</v>
      </c>
      <c r="G598" s="12" t="s">
        <v>6492</v>
      </c>
      <c r="H598" s="12">
        <v>30493</v>
      </c>
    </row>
    <row r="599" spans="1:8">
      <c r="A599" s="12" t="s">
        <v>6493</v>
      </c>
      <c r="B599" s="13">
        <v>1.75</v>
      </c>
      <c r="C599" s="16" t="s">
        <v>5331</v>
      </c>
      <c r="D599" s="12">
        <v>0.59</v>
      </c>
      <c r="E599" s="12" t="s">
        <v>5332</v>
      </c>
      <c r="F599" s="12" t="s">
        <v>5328</v>
      </c>
      <c r="G599" s="12" t="s">
        <v>6494</v>
      </c>
      <c r="H599" s="12">
        <v>52349</v>
      </c>
    </row>
    <row r="600" spans="1:8">
      <c r="A600" s="12" t="s">
        <v>6495</v>
      </c>
      <c r="B600" s="13">
        <v>1.1100000000000001</v>
      </c>
      <c r="C600" s="16" t="s">
        <v>5331</v>
      </c>
      <c r="D600" s="12">
        <v>3.39</v>
      </c>
      <c r="E600" s="12" t="s">
        <v>5332</v>
      </c>
      <c r="F600" s="12" t="s">
        <v>5328</v>
      </c>
      <c r="G600" s="12" t="s">
        <v>6496</v>
      </c>
      <c r="H600" s="12">
        <v>39145</v>
      </c>
    </row>
    <row r="601" spans="1:8">
      <c r="A601" s="12" t="s">
        <v>6497</v>
      </c>
      <c r="B601" s="13">
        <v>0.2</v>
      </c>
      <c r="C601" s="16" t="s">
        <v>5331</v>
      </c>
      <c r="D601" s="12">
        <v>14.781000000000001</v>
      </c>
      <c r="E601" s="12" t="s">
        <v>5332</v>
      </c>
      <c r="F601" s="12" t="s">
        <v>5328</v>
      </c>
      <c r="G601" s="12" t="s">
        <v>6498</v>
      </c>
      <c r="H601" s="12">
        <v>39146</v>
      </c>
    </row>
    <row r="602" spans="1:8">
      <c r="A602" s="12" t="s">
        <v>6499</v>
      </c>
      <c r="B602" s="13">
        <v>0.91</v>
      </c>
      <c r="C602" s="16" t="s">
        <v>5331</v>
      </c>
      <c r="D602" s="12">
        <v>2.79</v>
      </c>
      <c r="E602" s="12" t="s">
        <v>5332</v>
      </c>
      <c r="F602" s="12" t="s">
        <v>5328</v>
      </c>
      <c r="G602" s="12" t="s">
        <v>6500</v>
      </c>
      <c r="H602" s="12">
        <v>39147</v>
      </c>
    </row>
    <row r="603" spans="1:8">
      <c r="A603" s="12" t="s">
        <v>6501</v>
      </c>
      <c r="B603" s="13">
        <v>0.2</v>
      </c>
      <c r="C603" s="16" t="s">
        <v>5331</v>
      </c>
      <c r="D603" s="12">
        <v>11.1</v>
      </c>
      <c r="E603" s="12" t="s">
        <v>5332</v>
      </c>
      <c r="F603" s="12" t="s">
        <v>5328</v>
      </c>
      <c r="G603" s="12" t="s">
        <v>6502</v>
      </c>
      <c r="H603" s="12">
        <v>50862</v>
      </c>
    </row>
    <row r="604" spans="1:8">
      <c r="A604" s="12" t="s">
        <v>6503</v>
      </c>
      <c r="B604" s="13">
        <v>0.11</v>
      </c>
      <c r="C604" s="16" t="s">
        <v>5331</v>
      </c>
      <c r="D604" s="12">
        <v>21.41</v>
      </c>
      <c r="E604" s="12" t="s">
        <v>5332</v>
      </c>
      <c r="F604" s="12" t="s">
        <v>5328</v>
      </c>
      <c r="G604" s="12" t="s">
        <v>6504</v>
      </c>
      <c r="H604" s="12">
        <v>49756</v>
      </c>
    </row>
    <row r="605" spans="1:8">
      <c r="A605" s="12" t="s">
        <v>6505</v>
      </c>
      <c r="B605" s="13">
        <v>4.53</v>
      </c>
      <c r="C605" s="16" t="s">
        <v>5331</v>
      </c>
      <c r="D605" s="12">
        <v>21.41</v>
      </c>
      <c r="E605" s="12" t="s">
        <v>5332</v>
      </c>
      <c r="F605" s="12" t="s">
        <v>5328</v>
      </c>
      <c r="G605" s="12" t="s">
        <v>6506</v>
      </c>
      <c r="H605" s="12">
        <v>49757</v>
      </c>
    </row>
    <row r="606" spans="1:8">
      <c r="A606" s="12" t="s">
        <v>6507</v>
      </c>
      <c r="B606" s="13">
        <v>10.37</v>
      </c>
      <c r="C606" s="16" t="s">
        <v>5331</v>
      </c>
      <c r="D606" s="12">
        <v>0.33</v>
      </c>
      <c r="E606" s="12" t="s">
        <v>5332</v>
      </c>
      <c r="F606" s="12" t="s">
        <v>5328</v>
      </c>
      <c r="G606" s="12" t="s">
        <v>6508</v>
      </c>
      <c r="H606" s="12">
        <v>53665</v>
      </c>
    </row>
    <row r="607" spans="1:8">
      <c r="A607" s="12" t="s">
        <v>6509</v>
      </c>
      <c r="B607" s="13">
        <v>7.75</v>
      </c>
      <c r="C607" s="16" t="s">
        <v>5331</v>
      </c>
      <c r="D607" s="12">
        <v>1.74</v>
      </c>
      <c r="E607" s="12" t="s">
        <v>5332</v>
      </c>
      <c r="F607" s="12" t="s">
        <v>5328</v>
      </c>
      <c r="G607" s="12" t="s">
        <v>6510</v>
      </c>
      <c r="H607" s="12">
        <v>53666</v>
      </c>
    </row>
    <row r="608" spans="1:8">
      <c r="A608" s="12" t="s">
        <v>6511</v>
      </c>
      <c r="B608" s="13">
        <v>3.59</v>
      </c>
      <c r="C608" s="16" t="s">
        <v>6512</v>
      </c>
      <c r="D608" s="12">
        <v>236.25</v>
      </c>
      <c r="E608" s="12" t="s">
        <v>5332</v>
      </c>
      <c r="F608" s="12" t="s">
        <v>5328</v>
      </c>
      <c r="G608" s="12" t="s">
        <v>6513</v>
      </c>
      <c r="H608" s="12">
        <v>72824</v>
      </c>
    </row>
    <row r="609" spans="1:8">
      <c r="A609" s="12" t="s">
        <v>6514</v>
      </c>
      <c r="B609" s="13">
        <v>13.5</v>
      </c>
      <c r="C609" s="16" t="s">
        <v>5331</v>
      </c>
      <c r="D609" s="12">
        <v>57.93</v>
      </c>
      <c r="E609" s="12" t="s">
        <v>5332</v>
      </c>
      <c r="F609" s="12" t="s">
        <v>5328</v>
      </c>
      <c r="G609" s="12" t="s">
        <v>6515</v>
      </c>
      <c r="H609" s="12">
        <v>68534</v>
      </c>
    </row>
    <row r="610" spans="1:8">
      <c r="A610" s="12" t="s">
        <v>6516</v>
      </c>
      <c r="B610" s="13">
        <v>0.51</v>
      </c>
      <c r="C610" s="16" t="s">
        <v>5331</v>
      </c>
      <c r="D610" s="12">
        <v>8.6999999999999993</v>
      </c>
      <c r="E610" s="12" t="s">
        <v>5332</v>
      </c>
      <c r="F610" s="12" t="s">
        <v>5328</v>
      </c>
      <c r="G610" s="12" t="s">
        <v>6517</v>
      </c>
      <c r="H610" s="12">
        <v>72848</v>
      </c>
    </row>
    <row r="611" spans="1:8">
      <c r="A611" s="12" t="s">
        <v>6518</v>
      </c>
      <c r="B611" s="13">
        <v>5.39</v>
      </c>
      <c r="C611" s="16" t="s">
        <v>5331</v>
      </c>
      <c r="D611" s="12">
        <v>17.579999999999998</v>
      </c>
      <c r="E611" s="12" t="s">
        <v>5332</v>
      </c>
      <c r="F611" s="12" t="s">
        <v>5328</v>
      </c>
      <c r="G611" s="12" t="s">
        <v>6519</v>
      </c>
      <c r="H611" s="12">
        <v>72850</v>
      </c>
    </row>
    <row r="612" spans="1:8">
      <c r="A612" s="12" t="s">
        <v>6520</v>
      </c>
      <c r="B612" s="13">
        <v>1.72</v>
      </c>
      <c r="C612" s="16" t="s">
        <v>5331</v>
      </c>
      <c r="D612" s="12">
        <v>13.77</v>
      </c>
      <c r="E612" s="12" t="s">
        <v>5332</v>
      </c>
      <c r="F612" s="12" t="s">
        <v>5328</v>
      </c>
      <c r="G612" s="12" t="s">
        <v>6521</v>
      </c>
      <c r="H612" s="12">
        <v>72852</v>
      </c>
    </row>
    <row r="613" spans="1:8">
      <c r="A613" s="12" t="s">
        <v>6522</v>
      </c>
      <c r="B613" s="13">
        <v>4.91</v>
      </c>
      <c r="C613" s="16" t="s">
        <v>5331</v>
      </c>
      <c r="D613" s="12">
        <v>7.73</v>
      </c>
      <c r="E613" s="12" t="s">
        <v>5332</v>
      </c>
      <c r="F613" s="12" t="s">
        <v>5328</v>
      </c>
      <c r="G613" s="12" t="s">
        <v>6523</v>
      </c>
      <c r="H613" s="12">
        <v>72857</v>
      </c>
    </row>
    <row r="614" spans="1:8">
      <c r="A614" s="12" t="s">
        <v>6524</v>
      </c>
      <c r="B614" s="13">
        <v>31.5</v>
      </c>
      <c r="C614" s="16" t="s">
        <v>5331</v>
      </c>
      <c r="D614" s="12">
        <v>102.33</v>
      </c>
      <c r="E614" s="12" t="s">
        <v>5332</v>
      </c>
      <c r="F614" s="12" t="s">
        <v>5328</v>
      </c>
      <c r="G614" s="12" t="s">
        <v>6525</v>
      </c>
      <c r="H614" s="12">
        <v>72877</v>
      </c>
    </row>
    <row r="615" spans="1:8">
      <c r="A615" s="12" t="s">
        <v>6526</v>
      </c>
      <c r="B615" s="13">
        <v>1.5</v>
      </c>
      <c r="C615" s="16" t="s">
        <v>5331</v>
      </c>
      <c r="D615" s="12">
        <v>5.4</v>
      </c>
      <c r="E615" s="12" t="s">
        <v>5332</v>
      </c>
      <c r="F615" s="12" t="s">
        <v>5328</v>
      </c>
      <c r="G615" s="12" t="s">
        <v>6527</v>
      </c>
      <c r="H615" s="12">
        <v>72882</v>
      </c>
    </row>
    <row r="616" spans="1:8">
      <c r="A616" s="12" t="s">
        <v>6528</v>
      </c>
      <c r="B616" s="13">
        <v>4.63</v>
      </c>
      <c r="C616" s="16" t="s">
        <v>5331</v>
      </c>
      <c r="D616" s="12">
        <v>12.72</v>
      </c>
      <c r="E616" s="12" t="s">
        <v>5332</v>
      </c>
      <c r="F616" s="12" t="s">
        <v>5328</v>
      </c>
      <c r="G616" s="12" t="s">
        <v>6529</v>
      </c>
      <c r="H616" s="12">
        <v>72891</v>
      </c>
    </row>
    <row r="617" spans="1:8">
      <c r="A617" s="12" t="s">
        <v>6530</v>
      </c>
      <c r="B617" s="13">
        <v>41.15</v>
      </c>
      <c r="C617" s="16" t="s">
        <v>5331</v>
      </c>
      <c r="D617" s="12">
        <v>150.36000000000001</v>
      </c>
      <c r="E617" s="12" t="s">
        <v>5332</v>
      </c>
      <c r="F617" s="12" t="s">
        <v>5328</v>
      </c>
      <c r="G617" s="12" t="s">
        <v>6531</v>
      </c>
      <c r="H617" s="12">
        <v>72920</v>
      </c>
    </row>
    <row r="618" spans="1:8">
      <c r="A618" s="12" t="s">
        <v>6532</v>
      </c>
      <c r="B618" s="13">
        <v>4.4800000000000004</v>
      </c>
      <c r="C618" s="16" t="s">
        <v>5331</v>
      </c>
      <c r="D618" s="12">
        <v>18.05</v>
      </c>
      <c r="E618" s="12" t="s">
        <v>5332</v>
      </c>
      <c r="F618" s="12" t="s">
        <v>5328</v>
      </c>
      <c r="G618" s="12" t="s">
        <v>6533</v>
      </c>
      <c r="H618" s="12">
        <v>85717</v>
      </c>
    </row>
    <row r="619" spans="1:8">
      <c r="A619" s="12" t="s">
        <v>6534</v>
      </c>
      <c r="B619" s="13">
        <v>0.03</v>
      </c>
      <c r="C619" s="16" t="s">
        <v>5331</v>
      </c>
      <c r="D619" s="12">
        <v>7.3200000000000001E-2</v>
      </c>
      <c r="E619" s="12" t="s">
        <v>5332</v>
      </c>
      <c r="F619" s="12" t="s">
        <v>5328</v>
      </c>
      <c r="G619" s="12" t="s">
        <v>6535</v>
      </c>
      <c r="H619" s="12">
        <v>15869</v>
      </c>
    </row>
    <row r="620" spans="1:8">
      <c r="A620" s="12" t="s">
        <v>6536</v>
      </c>
      <c r="B620" s="13">
        <v>3.18</v>
      </c>
      <c r="C620" s="16" t="s">
        <v>5331</v>
      </c>
      <c r="D620" s="12">
        <v>5.9700000000000003E-2</v>
      </c>
      <c r="E620" s="12" t="s">
        <v>5332</v>
      </c>
      <c r="F620" s="12" t="s">
        <v>5328</v>
      </c>
      <c r="G620" s="12" t="s">
        <v>6537</v>
      </c>
      <c r="H620" s="12">
        <v>16266</v>
      </c>
    </row>
    <row r="621" spans="1:8">
      <c r="A621" s="12" t="s">
        <v>6538</v>
      </c>
      <c r="B621" s="13">
        <v>4.79</v>
      </c>
      <c r="C621" s="16" t="s">
        <v>5331</v>
      </c>
      <c r="D621" s="12">
        <v>0.12870000000000001</v>
      </c>
      <c r="E621" s="12" t="s">
        <v>5332</v>
      </c>
      <c r="F621" s="12" t="s">
        <v>5328</v>
      </c>
      <c r="G621" s="12" t="s">
        <v>6539</v>
      </c>
      <c r="H621" s="12">
        <v>15835</v>
      </c>
    </row>
    <row r="622" spans="1:8">
      <c r="A622" s="12" t="s">
        <v>6540</v>
      </c>
      <c r="B622" s="13">
        <v>9.9600000000000009</v>
      </c>
      <c r="C622" s="16" t="s">
        <v>5331</v>
      </c>
      <c r="D622" s="12">
        <v>0.45</v>
      </c>
      <c r="E622" s="12" t="s">
        <v>5332</v>
      </c>
      <c r="F622" s="12" t="s">
        <v>5328</v>
      </c>
      <c r="G622" s="12" t="s">
        <v>6541</v>
      </c>
      <c r="H622" s="12">
        <v>112056</v>
      </c>
    </row>
    <row r="623" spans="1:8">
      <c r="A623" s="12" t="s">
        <v>6542</v>
      </c>
      <c r="B623" s="13">
        <v>4.8099999999999996</v>
      </c>
      <c r="C623" s="16" t="s">
        <v>5331</v>
      </c>
      <c r="D623" s="12">
        <v>0.14430000000000001</v>
      </c>
      <c r="E623" s="12" t="s">
        <v>5332</v>
      </c>
      <c r="F623" s="12" t="s">
        <v>5328</v>
      </c>
      <c r="G623" s="12" t="s">
        <v>6543</v>
      </c>
      <c r="H623" s="12">
        <v>15900</v>
      </c>
    </row>
    <row r="624" spans="1:8">
      <c r="A624" s="12" t="s">
        <v>6544</v>
      </c>
      <c r="B624" s="13">
        <v>7.61</v>
      </c>
      <c r="C624" s="16" t="s">
        <v>5331</v>
      </c>
      <c r="D624" s="12">
        <v>0.126</v>
      </c>
      <c r="E624" s="12" t="s">
        <v>5332</v>
      </c>
      <c r="F624" s="12" t="s">
        <v>5328</v>
      </c>
      <c r="G624" s="12" t="s">
        <v>6545</v>
      </c>
      <c r="H624" s="12">
        <v>15972</v>
      </c>
    </row>
    <row r="625" spans="1:8">
      <c r="A625" s="12" t="s">
        <v>6546</v>
      </c>
      <c r="B625" s="13">
        <v>0.25</v>
      </c>
      <c r="C625" s="16" t="s">
        <v>5331</v>
      </c>
      <c r="D625" s="12">
        <v>0.93</v>
      </c>
      <c r="E625" s="12" t="s">
        <v>5332</v>
      </c>
      <c r="F625" s="12" t="s">
        <v>5328</v>
      </c>
      <c r="G625" s="12" t="s">
        <v>6547</v>
      </c>
      <c r="H625" s="12">
        <v>15285</v>
      </c>
    </row>
    <row r="626" spans="1:8">
      <c r="A626" s="12" t="s">
        <v>6548</v>
      </c>
      <c r="B626" s="13">
        <v>4</v>
      </c>
      <c r="C626" s="16" t="s">
        <v>5331</v>
      </c>
      <c r="D626" s="12">
        <v>6.3E-2</v>
      </c>
      <c r="E626" s="12" t="s">
        <v>5332</v>
      </c>
      <c r="F626" s="12" t="s">
        <v>5328</v>
      </c>
      <c r="G626" s="12" t="s">
        <v>6549</v>
      </c>
      <c r="H626" s="12">
        <v>16260</v>
      </c>
    </row>
    <row r="627" spans="1:8">
      <c r="A627" s="12" t="s">
        <v>6550</v>
      </c>
      <c r="B627" s="13">
        <v>30.17</v>
      </c>
      <c r="C627" s="16" t="s">
        <v>5331</v>
      </c>
      <c r="D627" s="12">
        <v>100.35</v>
      </c>
      <c r="E627" s="12" t="s">
        <v>5332</v>
      </c>
      <c r="F627" s="12" t="s">
        <v>5328</v>
      </c>
      <c r="G627" s="12" t="s">
        <v>6551</v>
      </c>
      <c r="H627" s="12">
        <v>16410</v>
      </c>
    </row>
    <row r="628" spans="1:8">
      <c r="A628" s="12" t="s">
        <v>6552</v>
      </c>
      <c r="B628" s="13">
        <v>21.46</v>
      </c>
      <c r="C628" s="16" t="s">
        <v>5331</v>
      </c>
      <c r="D628" s="12">
        <v>4.4000000000000004</v>
      </c>
      <c r="E628" s="12" t="s">
        <v>5332</v>
      </c>
      <c r="F628" s="12" t="s">
        <v>5328</v>
      </c>
      <c r="G628" s="12" t="s">
        <v>6553</v>
      </c>
      <c r="H628" s="12">
        <v>15352</v>
      </c>
    </row>
    <row r="629" spans="1:8">
      <c r="A629" s="12" t="s">
        <v>6554</v>
      </c>
      <c r="B629" s="13">
        <v>6.23</v>
      </c>
      <c r="C629" s="16" t="s">
        <v>5331</v>
      </c>
      <c r="D629" s="12">
        <v>23.51</v>
      </c>
      <c r="E629" s="12" t="s">
        <v>5332</v>
      </c>
      <c r="F629" s="12" t="s">
        <v>5328</v>
      </c>
      <c r="G629" s="12" t="s">
        <v>6555</v>
      </c>
      <c r="H629" s="12">
        <v>18691</v>
      </c>
    </row>
    <row r="630" spans="1:8">
      <c r="A630" s="12" t="s">
        <v>6554</v>
      </c>
      <c r="B630" s="13">
        <v>6.23</v>
      </c>
      <c r="C630" s="16" t="s">
        <v>5331</v>
      </c>
      <c r="D630" s="12">
        <v>15.67</v>
      </c>
      <c r="E630" s="12" t="s">
        <v>5332</v>
      </c>
      <c r="F630" s="12" t="s">
        <v>5328</v>
      </c>
      <c r="G630" s="12" t="s">
        <v>6555</v>
      </c>
      <c r="H630" s="12">
        <v>18691</v>
      </c>
    </row>
    <row r="631" spans="1:8">
      <c r="A631" s="12" t="s">
        <v>6556</v>
      </c>
      <c r="B631" s="13">
        <v>119.14</v>
      </c>
      <c r="C631" s="16" t="s">
        <v>5331</v>
      </c>
      <c r="D631" s="12">
        <v>49.65</v>
      </c>
      <c r="E631" s="12" t="s">
        <v>5332</v>
      </c>
      <c r="F631" s="12" t="s">
        <v>5328</v>
      </c>
      <c r="G631" s="12" t="s">
        <v>6557</v>
      </c>
      <c r="H631" s="12">
        <v>15436</v>
      </c>
    </row>
    <row r="632" spans="1:8">
      <c r="A632" s="12" t="s">
        <v>6558</v>
      </c>
      <c r="B632" s="13">
        <v>447.64</v>
      </c>
      <c r="C632" s="16" t="s">
        <v>5331</v>
      </c>
      <c r="D632" s="12">
        <v>1564.92</v>
      </c>
      <c r="E632" s="12" t="s">
        <v>5332</v>
      </c>
      <c r="F632" s="12" t="s">
        <v>5328</v>
      </c>
      <c r="G632" s="12" t="s">
        <v>6559</v>
      </c>
      <c r="H632" s="12">
        <v>15539</v>
      </c>
    </row>
    <row r="633" spans="1:8">
      <c r="A633" s="12" t="s">
        <v>6560</v>
      </c>
      <c r="B633" s="13">
        <v>2.16</v>
      </c>
      <c r="C633" s="16" t="s">
        <v>5331</v>
      </c>
      <c r="D633" s="12">
        <v>3.9550000000000002E-2</v>
      </c>
      <c r="E633" s="12" t="s">
        <v>5332</v>
      </c>
      <c r="F633" s="12" t="s">
        <v>5328</v>
      </c>
      <c r="G633" s="12" t="s">
        <v>6561</v>
      </c>
      <c r="H633" s="12">
        <v>16086</v>
      </c>
    </row>
    <row r="634" spans="1:8">
      <c r="A634" s="12" t="s">
        <v>6562</v>
      </c>
      <c r="B634" s="13">
        <v>4.25</v>
      </c>
      <c r="C634" s="16" t="s">
        <v>5331</v>
      </c>
      <c r="D634" s="12">
        <v>0.39119999999999999</v>
      </c>
      <c r="E634" s="12" t="s">
        <v>5332</v>
      </c>
      <c r="F634" s="12" t="s">
        <v>5328</v>
      </c>
      <c r="G634" s="12" t="s">
        <v>6563</v>
      </c>
      <c r="H634" s="12">
        <v>16126</v>
      </c>
    </row>
    <row r="635" spans="1:8">
      <c r="A635" s="12" t="s">
        <v>6564</v>
      </c>
      <c r="B635" s="13">
        <v>20.47</v>
      </c>
      <c r="C635" s="16" t="s">
        <v>6565</v>
      </c>
      <c r="D635" s="12">
        <v>1.8384</v>
      </c>
      <c r="E635" s="12" t="s">
        <v>5332</v>
      </c>
      <c r="F635" s="12" t="s">
        <v>5328</v>
      </c>
      <c r="G635" s="12" t="s">
        <v>6566</v>
      </c>
      <c r="H635" s="12">
        <v>17922</v>
      </c>
    </row>
    <row r="636" spans="1:8">
      <c r="A636" s="12" t="s">
        <v>6567</v>
      </c>
      <c r="B636" s="13">
        <v>0.41</v>
      </c>
      <c r="C636" s="16" t="s">
        <v>6565</v>
      </c>
      <c r="D636" s="12">
        <v>1.94</v>
      </c>
      <c r="E636" s="12" t="s">
        <v>5332</v>
      </c>
      <c r="F636" s="12" t="s">
        <v>5328</v>
      </c>
      <c r="G636" s="12" t="s">
        <v>6568</v>
      </c>
      <c r="H636" s="12">
        <v>18035</v>
      </c>
    </row>
    <row r="637" spans="1:8">
      <c r="A637" s="12" t="s">
        <v>6569</v>
      </c>
      <c r="B637" s="13">
        <v>48.41</v>
      </c>
      <c r="C637" s="16" t="s">
        <v>5331</v>
      </c>
      <c r="D637" s="12">
        <v>196.43</v>
      </c>
      <c r="E637" s="12" t="s">
        <v>5332</v>
      </c>
      <c r="F637" s="12" t="s">
        <v>5328</v>
      </c>
      <c r="G637" s="12" t="s">
        <v>6570</v>
      </c>
      <c r="H637" s="12">
        <v>16431</v>
      </c>
    </row>
    <row r="638" spans="1:8">
      <c r="A638" s="12" t="s">
        <v>6569</v>
      </c>
      <c r="B638" s="13">
        <v>48.41</v>
      </c>
      <c r="C638" s="16" t="s">
        <v>5331</v>
      </c>
      <c r="D638" s="12">
        <v>130.94999999999999</v>
      </c>
      <c r="E638" s="12" t="s">
        <v>5332</v>
      </c>
      <c r="F638" s="12" t="s">
        <v>5328</v>
      </c>
      <c r="G638" s="12" t="s">
        <v>6570</v>
      </c>
      <c r="H638" s="12">
        <v>16431</v>
      </c>
    </row>
    <row r="639" spans="1:8">
      <c r="A639" s="12" t="s">
        <v>6571</v>
      </c>
      <c r="B639" s="13">
        <v>23.11</v>
      </c>
      <c r="C639" s="16" t="s">
        <v>5331</v>
      </c>
      <c r="D639" s="12">
        <v>81.900000000000006</v>
      </c>
      <c r="E639" s="12" t="s">
        <v>5332</v>
      </c>
      <c r="F639" s="12" t="s">
        <v>5328</v>
      </c>
      <c r="G639" s="12" t="s">
        <v>6572</v>
      </c>
      <c r="H639" s="12">
        <v>16438</v>
      </c>
    </row>
    <row r="640" spans="1:8">
      <c r="A640" s="12" t="s">
        <v>6573</v>
      </c>
      <c r="B640" s="13">
        <v>10.94</v>
      </c>
      <c r="C640" s="16" t="s">
        <v>5331</v>
      </c>
      <c r="D640" s="12">
        <v>42.11</v>
      </c>
      <c r="E640" s="12" t="s">
        <v>5332</v>
      </c>
      <c r="F640" s="12" t="s">
        <v>5328</v>
      </c>
      <c r="G640" s="12" t="s">
        <v>6574</v>
      </c>
      <c r="H640" s="12">
        <v>16506</v>
      </c>
    </row>
    <row r="641" spans="1:8">
      <c r="A641" s="12" t="s">
        <v>6573</v>
      </c>
      <c r="B641" s="13">
        <v>10.94</v>
      </c>
      <c r="C641" s="16" t="s">
        <v>5331</v>
      </c>
      <c r="D641" s="12">
        <v>28.07</v>
      </c>
      <c r="E641" s="12" t="s">
        <v>5332</v>
      </c>
      <c r="F641" s="12" t="s">
        <v>5328</v>
      </c>
      <c r="G641" s="12" t="s">
        <v>6574</v>
      </c>
      <c r="H641" s="12">
        <v>16506</v>
      </c>
    </row>
    <row r="642" spans="1:8">
      <c r="A642" s="12" t="s">
        <v>6575</v>
      </c>
      <c r="B642" s="13">
        <v>241</v>
      </c>
      <c r="C642" s="16" t="s">
        <v>5331</v>
      </c>
      <c r="D642" s="12">
        <v>1381.79</v>
      </c>
      <c r="E642" s="12" t="s">
        <v>5332</v>
      </c>
      <c r="F642" s="12" t="s">
        <v>5328</v>
      </c>
      <c r="G642" s="12" t="s">
        <v>6576</v>
      </c>
      <c r="H642" s="12">
        <v>16538</v>
      </c>
    </row>
    <row r="643" spans="1:8">
      <c r="A643" s="12" t="s">
        <v>6575</v>
      </c>
      <c r="B643" s="13">
        <v>241</v>
      </c>
      <c r="C643" s="16" t="s">
        <v>5331</v>
      </c>
      <c r="D643" s="12">
        <v>921.19</v>
      </c>
      <c r="E643" s="12" t="s">
        <v>5332</v>
      </c>
      <c r="F643" s="12" t="s">
        <v>5328</v>
      </c>
      <c r="G643" s="12" t="s">
        <v>6576</v>
      </c>
      <c r="H643" s="12">
        <v>16538</v>
      </c>
    </row>
    <row r="644" spans="1:8">
      <c r="A644" s="12" t="s">
        <v>6577</v>
      </c>
      <c r="B644" s="13">
        <v>22.11</v>
      </c>
      <c r="C644" s="16" t="s">
        <v>5331</v>
      </c>
      <c r="D644" s="12">
        <v>46.47</v>
      </c>
      <c r="E644" s="12" t="s">
        <v>5332</v>
      </c>
      <c r="F644" s="12" t="s">
        <v>5328</v>
      </c>
      <c r="G644" s="12" t="s">
        <v>6578</v>
      </c>
      <c r="H644" s="12">
        <v>16549</v>
      </c>
    </row>
    <row r="645" spans="1:8">
      <c r="A645" s="12" t="s">
        <v>6579</v>
      </c>
      <c r="B645" s="13">
        <v>1.55</v>
      </c>
      <c r="C645" s="16" t="s">
        <v>5331</v>
      </c>
      <c r="D645" s="12">
        <v>5.31</v>
      </c>
      <c r="E645" s="12" t="s">
        <v>5332</v>
      </c>
      <c r="F645" s="12" t="s">
        <v>5328</v>
      </c>
      <c r="G645" s="12" t="s">
        <v>6580</v>
      </c>
      <c r="H645" s="12">
        <v>15367</v>
      </c>
    </row>
    <row r="646" spans="1:8">
      <c r="A646" s="12" t="s">
        <v>6581</v>
      </c>
      <c r="B646" s="14">
        <v>1739.05</v>
      </c>
      <c r="C646" s="16" t="s">
        <v>5331</v>
      </c>
      <c r="D646" s="12">
        <v>6795</v>
      </c>
      <c r="E646" s="12" t="s">
        <v>5332</v>
      </c>
      <c r="F646" s="12" t="s">
        <v>5328</v>
      </c>
      <c r="G646" s="12" t="s">
        <v>6582</v>
      </c>
      <c r="H646" s="12">
        <v>33504</v>
      </c>
    </row>
    <row r="647" spans="1:8">
      <c r="A647" s="12" t="s">
        <v>6583</v>
      </c>
      <c r="B647" s="13">
        <v>51.92</v>
      </c>
      <c r="C647" s="16" t="s">
        <v>5331</v>
      </c>
      <c r="D647" s="12">
        <v>121.48</v>
      </c>
      <c r="E647" s="12" t="s">
        <v>5332</v>
      </c>
      <c r="F647" s="12" t="s">
        <v>5328</v>
      </c>
      <c r="G647" s="12" t="s">
        <v>6584</v>
      </c>
      <c r="H647" s="12">
        <v>37131</v>
      </c>
    </row>
    <row r="648" spans="1:8">
      <c r="A648" s="12" t="s">
        <v>6585</v>
      </c>
      <c r="B648" s="13">
        <v>30.26</v>
      </c>
      <c r="C648" s="16" t="s">
        <v>6586</v>
      </c>
      <c r="D648" s="12">
        <v>288.83</v>
      </c>
      <c r="E648" s="12" t="s">
        <v>5332</v>
      </c>
      <c r="F648" s="12" t="s">
        <v>5328</v>
      </c>
      <c r="G648" s="12" t="s">
        <v>6587</v>
      </c>
      <c r="H648" s="12">
        <v>38832</v>
      </c>
    </row>
    <row r="649" spans="1:8">
      <c r="A649" s="12" t="s">
        <v>6585</v>
      </c>
      <c r="B649" s="13">
        <v>30.26</v>
      </c>
      <c r="C649" s="16" t="s">
        <v>6586</v>
      </c>
      <c r="D649" s="12">
        <v>193</v>
      </c>
      <c r="E649" s="12" t="s">
        <v>5332</v>
      </c>
      <c r="F649" s="12" t="s">
        <v>5328</v>
      </c>
      <c r="G649" s="12" t="s">
        <v>6587</v>
      </c>
      <c r="H649" s="12">
        <v>38832</v>
      </c>
    </row>
    <row r="650" spans="1:8">
      <c r="A650" s="12" t="s">
        <v>6588</v>
      </c>
      <c r="B650" s="13">
        <v>285</v>
      </c>
      <c r="C650" s="16" t="s">
        <v>5331</v>
      </c>
      <c r="D650" s="12">
        <v>631</v>
      </c>
      <c r="E650" s="12" t="s">
        <v>5332</v>
      </c>
      <c r="F650" s="12" t="s">
        <v>5328</v>
      </c>
      <c r="G650" s="12" t="s">
        <v>6589</v>
      </c>
      <c r="H650" s="12">
        <v>50449</v>
      </c>
    </row>
    <row r="651" spans="1:8">
      <c r="A651" s="12" t="s">
        <v>6590</v>
      </c>
      <c r="B651" s="13">
        <v>5.61</v>
      </c>
      <c r="C651" s="16" t="s">
        <v>5331</v>
      </c>
      <c r="D651" s="12">
        <v>18.420000000000002</v>
      </c>
      <c r="E651" s="12" t="s">
        <v>5332</v>
      </c>
      <c r="F651" s="12" t="s">
        <v>5328</v>
      </c>
      <c r="G651" s="12" t="s">
        <v>6591</v>
      </c>
      <c r="H651" s="12">
        <v>50966</v>
      </c>
    </row>
    <row r="652" spans="1:8">
      <c r="A652" s="12" t="s">
        <v>6592</v>
      </c>
      <c r="B652" s="13">
        <v>49.95</v>
      </c>
      <c r="C652" s="16" t="s">
        <v>5331</v>
      </c>
      <c r="D652" s="12">
        <v>259.64</v>
      </c>
      <c r="E652" s="12" t="s">
        <v>5332</v>
      </c>
      <c r="F652" s="12" t="s">
        <v>5328</v>
      </c>
      <c r="G652" s="12" t="s">
        <v>6593</v>
      </c>
      <c r="H652" s="12">
        <v>50963</v>
      </c>
    </row>
    <row r="653" spans="1:8">
      <c r="A653" s="12" t="s">
        <v>6594</v>
      </c>
      <c r="B653" s="13">
        <v>0</v>
      </c>
      <c r="C653" s="16" t="s">
        <v>5331</v>
      </c>
      <c r="D653" s="12">
        <v>31662</v>
      </c>
      <c r="E653" s="12" t="s">
        <v>5332</v>
      </c>
      <c r="F653" s="12" t="s">
        <v>5328</v>
      </c>
      <c r="G653" s="12" t="s">
        <v>6595</v>
      </c>
      <c r="H653" s="12">
        <v>278202</v>
      </c>
    </row>
    <row r="654" spans="1:8">
      <c r="A654" s="12" t="s">
        <v>6594</v>
      </c>
      <c r="B654" s="13">
        <v>0</v>
      </c>
      <c r="C654" s="16" t="s">
        <v>5331</v>
      </c>
      <c r="D654" s="12">
        <v>34828</v>
      </c>
      <c r="E654" s="12" t="s">
        <v>5332</v>
      </c>
      <c r="F654" s="12" t="s">
        <v>5328</v>
      </c>
      <c r="G654" s="12" t="s">
        <v>6596</v>
      </c>
      <c r="H654" s="12">
        <v>70122</v>
      </c>
    </row>
    <row r="655" spans="1:8">
      <c r="A655" s="12" t="s">
        <v>6597</v>
      </c>
      <c r="B655" s="14">
        <v>24392.31</v>
      </c>
      <c r="C655" s="16" t="s">
        <v>5331</v>
      </c>
      <c r="D655" s="12">
        <v>31662</v>
      </c>
      <c r="E655" s="12" t="s">
        <v>5332</v>
      </c>
      <c r="F655" s="12" t="s">
        <v>5328</v>
      </c>
      <c r="G655" s="12" t="s">
        <v>6598</v>
      </c>
      <c r="H655" s="12">
        <v>278203</v>
      </c>
    </row>
    <row r="656" spans="1:8">
      <c r="A656" s="12" t="s">
        <v>6597</v>
      </c>
      <c r="B656" s="14">
        <v>20728.97</v>
      </c>
      <c r="C656" s="16" t="s">
        <v>5331</v>
      </c>
      <c r="D656" s="12">
        <v>34828</v>
      </c>
      <c r="E656" s="12" t="s">
        <v>5332</v>
      </c>
      <c r="F656" s="12" t="s">
        <v>5328</v>
      </c>
      <c r="G656" s="12" t="s">
        <v>6599</v>
      </c>
      <c r="H656" s="12">
        <v>73563</v>
      </c>
    </row>
    <row r="657" spans="1:8">
      <c r="A657" s="12" t="s">
        <v>6600</v>
      </c>
      <c r="B657" s="13">
        <v>0</v>
      </c>
      <c r="C657" s="16" t="s">
        <v>5331</v>
      </c>
      <c r="D657" s="12">
        <v>35942</v>
      </c>
      <c r="E657" s="12" t="s">
        <v>5332</v>
      </c>
      <c r="F657" s="12" t="s">
        <v>5328</v>
      </c>
      <c r="G657" s="12" t="s">
        <v>6601</v>
      </c>
      <c r="H657" s="12">
        <v>278227</v>
      </c>
    </row>
    <row r="658" spans="1:8">
      <c r="A658" s="12" t="s">
        <v>6600</v>
      </c>
      <c r="B658" s="13">
        <v>0</v>
      </c>
      <c r="C658" s="16" t="s">
        <v>5331</v>
      </c>
      <c r="D658" s="12">
        <v>39536</v>
      </c>
      <c r="E658" s="12" t="s">
        <v>5332</v>
      </c>
      <c r="F658" s="12" t="s">
        <v>5328</v>
      </c>
      <c r="G658" s="12" t="s">
        <v>6602</v>
      </c>
      <c r="H658" s="12">
        <v>76961</v>
      </c>
    </row>
    <row r="659" spans="1:8">
      <c r="A659" s="12" t="s">
        <v>6603</v>
      </c>
      <c r="B659" s="14">
        <v>22946</v>
      </c>
      <c r="C659" s="16" t="s">
        <v>5331</v>
      </c>
      <c r="D659" s="12">
        <v>33095</v>
      </c>
      <c r="E659" s="12" t="s">
        <v>5332</v>
      </c>
      <c r="F659" s="12" t="s">
        <v>5328</v>
      </c>
      <c r="G659" s="12" t="s">
        <v>6604</v>
      </c>
      <c r="H659" s="12">
        <v>278228</v>
      </c>
    </row>
    <row r="660" spans="1:8">
      <c r="A660" s="12" t="s">
        <v>6603</v>
      </c>
      <c r="B660" s="14">
        <v>34717.22</v>
      </c>
      <c r="C660" s="16" t="s">
        <v>5331</v>
      </c>
      <c r="D660" s="12">
        <v>36405</v>
      </c>
      <c r="E660" s="12" t="s">
        <v>5332</v>
      </c>
      <c r="F660" s="12" t="s">
        <v>5328</v>
      </c>
      <c r="G660" s="12" t="s">
        <v>6605</v>
      </c>
      <c r="H660" s="12">
        <v>76962</v>
      </c>
    </row>
    <row r="661" spans="1:8">
      <c r="A661" s="12" t="s">
        <v>6606</v>
      </c>
      <c r="B661" s="14">
        <v>5525.7</v>
      </c>
      <c r="C661" s="16" t="s">
        <v>5331</v>
      </c>
      <c r="D661" s="12">
        <v>12000</v>
      </c>
      <c r="E661" s="12" t="s">
        <v>5332</v>
      </c>
      <c r="F661" s="12" t="s">
        <v>5328</v>
      </c>
      <c r="G661" s="12" t="s">
        <v>6607</v>
      </c>
      <c r="H661" s="12">
        <v>74649</v>
      </c>
    </row>
    <row r="662" spans="1:8">
      <c r="A662" s="12" t="s">
        <v>6608</v>
      </c>
      <c r="B662" s="14">
        <v>4890.82</v>
      </c>
      <c r="C662" s="16" t="s">
        <v>5331</v>
      </c>
      <c r="D662" s="12">
        <v>13104</v>
      </c>
      <c r="E662" s="12" t="s">
        <v>5332</v>
      </c>
      <c r="F662" s="12" t="s">
        <v>5328</v>
      </c>
      <c r="G662" s="12" t="s">
        <v>6609</v>
      </c>
      <c r="H662" s="12">
        <v>278237</v>
      </c>
    </row>
    <row r="663" spans="1:8">
      <c r="A663" s="12" t="s">
        <v>6608</v>
      </c>
      <c r="B663" s="14">
        <v>5873</v>
      </c>
      <c r="C663" s="16" t="s">
        <v>5331</v>
      </c>
      <c r="D663" s="12">
        <v>14414</v>
      </c>
      <c r="E663" s="12" t="s">
        <v>5332</v>
      </c>
      <c r="F663" s="12" t="s">
        <v>5328</v>
      </c>
      <c r="G663" s="12" t="s">
        <v>6610</v>
      </c>
      <c r="H663" s="12">
        <v>77388</v>
      </c>
    </row>
    <row r="664" spans="1:8">
      <c r="A664" s="12" t="s">
        <v>6611</v>
      </c>
      <c r="B664" s="13">
        <v>981.47</v>
      </c>
      <c r="C664" s="16" t="s">
        <v>5331</v>
      </c>
      <c r="D664" s="12">
        <v>3816</v>
      </c>
      <c r="E664" s="12" t="s">
        <v>5332</v>
      </c>
      <c r="F664" s="12" t="s">
        <v>5328</v>
      </c>
      <c r="G664" s="12" t="s">
        <v>6612</v>
      </c>
      <c r="H664" s="12">
        <v>78872</v>
      </c>
    </row>
    <row r="665" spans="1:8">
      <c r="A665" s="12" t="s">
        <v>6613</v>
      </c>
      <c r="B665" s="13">
        <v>60.13</v>
      </c>
      <c r="C665" s="16" t="s">
        <v>5331</v>
      </c>
      <c r="D665" s="12">
        <v>327</v>
      </c>
      <c r="E665" s="12" t="s">
        <v>5332</v>
      </c>
      <c r="F665" s="12" t="s">
        <v>5328</v>
      </c>
      <c r="G665" s="12" t="s">
        <v>6614</v>
      </c>
      <c r="H665" s="12">
        <v>78873</v>
      </c>
    </row>
    <row r="666" spans="1:8">
      <c r="A666" s="12" t="s">
        <v>6615</v>
      </c>
      <c r="B666" s="14">
        <v>5985.59</v>
      </c>
      <c r="C666" s="16" t="s">
        <v>5331</v>
      </c>
      <c r="D666" s="12">
        <v>17985</v>
      </c>
      <c r="E666" s="12" t="s">
        <v>5332</v>
      </c>
      <c r="F666" s="12" t="s">
        <v>5328</v>
      </c>
      <c r="G666" s="12" t="s">
        <v>6616</v>
      </c>
      <c r="H666" s="12">
        <v>17397</v>
      </c>
    </row>
    <row r="667" spans="1:8">
      <c r="A667" s="12" t="s">
        <v>6617</v>
      </c>
      <c r="B667" s="14">
        <v>4372.18</v>
      </c>
      <c r="C667" s="16" t="s">
        <v>5331</v>
      </c>
      <c r="D667" s="12">
        <v>6000</v>
      </c>
      <c r="E667" s="12" t="s">
        <v>5332</v>
      </c>
      <c r="F667" s="12" t="s">
        <v>5328</v>
      </c>
      <c r="G667" s="12" t="s">
        <v>6618</v>
      </c>
      <c r="H667" s="12">
        <v>17398</v>
      </c>
    </row>
    <row r="668" spans="1:8">
      <c r="A668" s="12" t="s">
        <v>6619</v>
      </c>
      <c r="B668" s="13">
        <v>224.51</v>
      </c>
      <c r="C668" s="16" t="s">
        <v>5331</v>
      </c>
      <c r="D668" s="12">
        <v>1764.45</v>
      </c>
      <c r="E668" s="12" t="s">
        <v>5332</v>
      </c>
      <c r="F668" s="12" t="s">
        <v>5328</v>
      </c>
      <c r="G668" s="12" t="s">
        <v>6620</v>
      </c>
      <c r="H668" s="12">
        <v>17402</v>
      </c>
    </row>
    <row r="669" spans="1:8">
      <c r="A669" s="12" t="s">
        <v>6619</v>
      </c>
      <c r="B669" s="13">
        <v>224.51</v>
      </c>
      <c r="C669" s="16" t="s">
        <v>5331</v>
      </c>
      <c r="D669" s="12">
        <v>1176.3</v>
      </c>
      <c r="E669" s="12" t="s">
        <v>5332</v>
      </c>
      <c r="F669" s="12" t="s">
        <v>5328</v>
      </c>
      <c r="G669" s="12" t="s">
        <v>6620</v>
      </c>
      <c r="H669" s="12">
        <v>17402</v>
      </c>
    </row>
    <row r="670" spans="1:8">
      <c r="A670" s="12" t="s">
        <v>6621</v>
      </c>
      <c r="B670" s="13">
        <v>458.27</v>
      </c>
      <c r="C670" s="16" t="s">
        <v>5331</v>
      </c>
      <c r="D670" s="12">
        <v>1517.13</v>
      </c>
      <c r="E670" s="12" t="s">
        <v>5332</v>
      </c>
      <c r="F670" s="12" t="s">
        <v>5328</v>
      </c>
      <c r="G670" s="12" t="s">
        <v>6622</v>
      </c>
      <c r="H670" s="12">
        <v>17403</v>
      </c>
    </row>
    <row r="671" spans="1:8">
      <c r="A671" s="12" t="s">
        <v>6623</v>
      </c>
      <c r="B671" s="14">
        <v>1250.8800000000001</v>
      </c>
      <c r="C671" s="16" t="s">
        <v>5331</v>
      </c>
      <c r="D671" s="12">
        <v>3744</v>
      </c>
      <c r="E671" s="12" t="s">
        <v>5332</v>
      </c>
      <c r="F671" s="12" t="s">
        <v>5328</v>
      </c>
      <c r="G671" s="12" t="s">
        <v>6624</v>
      </c>
      <c r="H671" s="12">
        <v>17405</v>
      </c>
    </row>
    <row r="672" spans="1:8">
      <c r="A672" s="12" t="s">
        <v>6625</v>
      </c>
      <c r="B672" s="14">
        <v>2968.26</v>
      </c>
      <c r="C672" s="16" t="s">
        <v>5331</v>
      </c>
      <c r="D672" s="12">
        <v>6000</v>
      </c>
      <c r="E672" s="12" t="s">
        <v>5332</v>
      </c>
      <c r="F672" s="12" t="s">
        <v>5328</v>
      </c>
      <c r="G672" s="12" t="s">
        <v>6626</v>
      </c>
      <c r="H672" s="12">
        <v>17406</v>
      </c>
    </row>
    <row r="673" spans="1:8">
      <c r="A673" s="12" t="s">
        <v>6627</v>
      </c>
      <c r="B673" s="13">
        <v>53.02</v>
      </c>
      <c r="C673" s="16" t="s">
        <v>5331</v>
      </c>
      <c r="D673" s="12">
        <v>149.94</v>
      </c>
      <c r="E673" s="12" t="s">
        <v>5332</v>
      </c>
      <c r="F673" s="12" t="s">
        <v>5328</v>
      </c>
      <c r="G673" s="12" t="s">
        <v>6628</v>
      </c>
      <c r="H673" s="12">
        <v>17407</v>
      </c>
    </row>
    <row r="674" spans="1:8">
      <c r="A674" s="12" t="s">
        <v>6629</v>
      </c>
      <c r="B674" s="13">
        <v>95.34</v>
      </c>
      <c r="C674" s="16" t="s">
        <v>5331</v>
      </c>
      <c r="D674" s="12">
        <v>229.5</v>
      </c>
      <c r="E674" s="12" t="s">
        <v>5332</v>
      </c>
      <c r="F674" s="12" t="s">
        <v>5328</v>
      </c>
      <c r="G674" s="12" t="s">
        <v>6630</v>
      </c>
      <c r="H674" s="12">
        <v>17408</v>
      </c>
    </row>
    <row r="675" spans="1:8">
      <c r="A675" s="12" t="s">
        <v>6631</v>
      </c>
      <c r="B675" s="13">
        <v>63.61</v>
      </c>
      <c r="C675" s="16" t="s">
        <v>5331</v>
      </c>
      <c r="D675" s="12">
        <v>149.94</v>
      </c>
      <c r="E675" s="12" t="s">
        <v>5332</v>
      </c>
      <c r="F675" s="12" t="s">
        <v>5328</v>
      </c>
      <c r="G675" s="12" t="s">
        <v>6632</v>
      </c>
      <c r="H675" s="12">
        <v>17409</v>
      </c>
    </row>
    <row r="676" spans="1:8">
      <c r="A676" s="12" t="s">
        <v>6633</v>
      </c>
      <c r="B676" s="13">
        <v>236.12</v>
      </c>
      <c r="C676" s="16" t="s">
        <v>5331</v>
      </c>
      <c r="D676" s="12">
        <v>900</v>
      </c>
      <c r="E676" s="12" t="s">
        <v>5332</v>
      </c>
      <c r="F676" s="12" t="s">
        <v>5328</v>
      </c>
      <c r="G676" s="12" t="s">
        <v>6634</v>
      </c>
      <c r="H676" s="12">
        <v>17411</v>
      </c>
    </row>
    <row r="677" spans="1:8">
      <c r="A677" s="12" t="s">
        <v>6635</v>
      </c>
      <c r="B677" s="13">
        <v>22.54</v>
      </c>
      <c r="C677" s="16" t="s">
        <v>5331</v>
      </c>
      <c r="D677" s="12">
        <v>84</v>
      </c>
      <c r="E677" s="12" t="s">
        <v>5332</v>
      </c>
      <c r="F677" s="12" t="s">
        <v>5328</v>
      </c>
      <c r="G677" s="12" t="s">
        <v>6636</v>
      </c>
      <c r="H677" s="12">
        <v>17413</v>
      </c>
    </row>
    <row r="678" spans="1:8">
      <c r="A678" s="12" t="s">
        <v>6637</v>
      </c>
      <c r="B678" s="13">
        <v>17.149999999999999</v>
      </c>
      <c r="C678" s="16" t="s">
        <v>5331</v>
      </c>
      <c r="D678" s="12">
        <v>84.6</v>
      </c>
      <c r="E678" s="12" t="s">
        <v>5332</v>
      </c>
      <c r="F678" s="12" t="s">
        <v>5328</v>
      </c>
      <c r="G678" s="12" t="s">
        <v>6638</v>
      </c>
      <c r="H678" s="12">
        <v>17415</v>
      </c>
    </row>
    <row r="679" spans="1:8">
      <c r="A679" s="12" t="s">
        <v>6639</v>
      </c>
      <c r="B679" s="13">
        <v>18.41</v>
      </c>
      <c r="C679" s="16" t="s">
        <v>5331</v>
      </c>
      <c r="D679" s="12">
        <v>153.57</v>
      </c>
      <c r="E679" s="12" t="s">
        <v>5332</v>
      </c>
      <c r="F679" s="12" t="s">
        <v>5328</v>
      </c>
      <c r="G679" s="12" t="s">
        <v>6640</v>
      </c>
      <c r="H679" s="12">
        <v>17417</v>
      </c>
    </row>
    <row r="680" spans="1:8">
      <c r="A680" s="12" t="s">
        <v>6641</v>
      </c>
      <c r="B680" s="13">
        <v>17.149999999999999</v>
      </c>
      <c r="C680" s="16" t="s">
        <v>5331</v>
      </c>
      <c r="D680" s="12">
        <v>153.57</v>
      </c>
      <c r="E680" s="12" t="s">
        <v>5332</v>
      </c>
      <c r="F680" s="12" t="s">
        <v>5328</v>
      </c>
      <c r="G680" s="12" t="s">
        <v>6642</v>
      </c>
      <c r="H680" s="12">
        <v>17419</v>
      </c>
    </row>
    <row r="681" spans="1:8">
      <c r="A681" s="12" t="s">
        <v>6643</v>
      </c>
      <c r="B681" s="13">
        <v>18.89</v>
      </c>
      <c r="C681" s="16" t="s">
        <v>5331</v>
      </c>
      <c r="D681" s="12">
        <v>141.75</v>
      </c>
      <c r="E681" s="12" t="s">
        <v>5332</v>
      </c>
      <c r="F681" s="12" t="s">
        <v>5328</v>
      </c>
      <c r="G681" s="12" t="s">
        <v>6644</v>
      </c>
      <c r="H681" s="12">
        <v>17420</v>
      </c>
    </row>
    <row r="682" spans="1:8">
      <c r="A682" s="12" t="s">
        <v>6645</v>
      </c>
      <c r="B682" s="13">
        <v>9.15</v>
      </c>
      <c r="C682" s="16" t="s">
        <v>5331</v>
      </c>
      <c r="D682" s="12">
        <v>34.5</v>
      </c>
      <c r="E682" s="12" t="s">
        <v>5332</v>
      </c>
      <c r="F682" s="12" t="s">
        <v>5328</v>
      </c>
      <c r="G682" s="12" t="s">
        <v>6646</v>
      </c>
      <c r="H682" s="12">
        <v>17421</v>
      </c>
    </row>
    <row r="683" spans="1:8">
      <c r="A683" s="12" t="s">
        <v>6647</v>
      </c>
      <c r="B683" s="13">
        <v>7.07</v>
      </c>
      <c r="C683" s="16" t="s">
        <v>5331</v>
      </c>
      <c r="D683" s="12">
        <v>26.25</v>
      </c>
      <c r="E683" s="12" t="s">
        <v>5332</v>
      </c>
      <c r="F683" s="12" t="s">
        <v>5328</v>
      </c>
      <c r="G683" s="12" t="s">
        <v>6648</v>
      </c>
      <c r="H683" s="12">
        <v>17422</v>
      </c>
    </row>
    <row r="684" spans="1:8">
      <c r="A684" s="12" t="s">
        <v>6649</v>
      </c>
      <c r="B684" s="13">
        <v>12.35</v>
      </c>
      <c r="C684" s="16" t="s">
        <v>5331</v>
      </c>
      <c r="D684" s="12">
        <v>26.25</v>
      </c>
      <c r="E684" s="12" t="s">
        <v>5332</v>
      </c>
      <c r="F684" s="12" t="s">
        <v>5328</v>
      </c>
      <c r="G684" s="12" t="s">
        <v>6650</v>
      </c>
      <c r="H684" s="12">
        <v>17423</v>
      </c>
    </row>
    <row r="685" spans="1:8">
      <c r="A685" s="12" t="s">
        <v>6651</v>
      </c>
      <c r="B685" s="13">
        <v>8.75</v>
      </c>
      <c r="C685" s="16" t="s">
        <v>5331</v>
      </c>
      <c r="D685" s="12">
        <v>26.25</v>
      </c>
      <c r="E685" s="12" t="s">
        <v>5332</v>
      </c>
      <c r="F685" s="12" t="s">
        <v>5328</v>
      </c>
      <c r="G685" s="12" t="s">
        <v>6652</v>
      </c>
      <c r="H685" s="12">
        <v>17425</v>
      </c>
    </row>
    <row r="686" spans="1:8">
      <c r="A686" s="12" t="s">
        <v>6653</v>
      </c>
      <c r="B686" s="13">
        <v>7.84</v>
      </c>
      <c r="C686" s="16" t="s">
        <v>5331</v>
      </c>
      <c r="D686" s="12">
        <v>26.25</v>
      </c>
      <c r="E686" s="12" t="s">
        <v>5332</v>
      </c>
      <c r="F686" s="12" t="s">
        <v>5328</v>
      </c>
      <c r="G686" s="12" t="s">
        <v>6654</v>
      </c>
      <c r="H686" s="12">
        <v>17426</v>
      </c>
    </row>
    <row r="687" spans="1:8">
      <c r="A687" s="12" t="s">
        <v>6655</v>
      </c>
      <c r="B687" s="13">
        <v>7.27</v>
      </c>
      <c r="C687" s="16" t="s">
        <v>5331</v>
      </c>
      <c r="D687" s="12">
        <v>34.799999999999997</v>
      </c>
      <c r="E687" s="12" t="s">
        <v>5332</v>
      </c>
      <c r="F687" s="12" t="s">
        <v>5328</v>
      </c>
      <c r="G687" s="12" t="s">
        <v>6656</v>
      </c>
      <c r="H687" s="12">
        <v>17427</v>
      </c>
    </row>
    <row r="688" spans="1:8">
      <c r="A688" s="12" t="s">
        <v>6657</v>
      </c>
      <c r="B688" s="13">
        <v>7.3</v>
      </c>
      <c r="C688" s="16" t="s">
        <v>5331</v>
      </c>
      <c r="D688" s="12">
        <v>26.25</v>
      </c>
      <c r="E688" s="12" t="s">
        <v>5332</v>
      </c>
      <c r="F688" s="12" t="s">
        <v>5328</v>
      </c>
      <c r="G688" s="12" t="s">
        <v>6658</v>
      </c>
      <c r="H688" s="12">
        <v>17429</v>
      </c>
    </row>
    <row r="689" spans="1:8">
      <c r="A689" s="12" t="s">
        <v>6659</v>
      </c>
      <c r="B689" s="13">
        <v>0</v>
      </c>
      <c r="C689" s="16" t="s">
        <v>5331</v>
      </c>
      <c r="D689" s="12">
        <v>36</v>
      </c>
      <c r="E689" s="12" t="s">
        <v>5332</v>
      </c>
      <c r="F689" s="12" t="s">
        <v>5328</v>
      </c>
      <c r="G689" s="12" t="s">
        <v>6660</v>
      </c>
      <c r="H689" s="12">
        <v>17430</v>
      </c>
    </row>
    <row r="690" spans="1:8">
      <c r="A690" s="12" t="s">
        <v>6661</v>
      </c>
      <c r="B690" s="13">
        <v>0</v>
      </c>
      <c r="C690" s="16" t="s">
        <v>5331</v>
      </c>
      <c r="D690" s="12">
        <v>36</v>
      </c>
      <c r="E690" s="12" t="s">
        <v>5332</v>
      </c>
      <c r="F690" s="12" t="s">
        <v>5328</v>
      </c>
      <c r="G690" s="12" t="s">
        <v>6662</v>
      </c>
      <c r="H690" s="12">
        <v>17431</v>
      </c>
    </row>
    <row r="691" spans="1:8">
      <c r="A691" s="12" t="s">
        <v>6663</v>
      </c>
      <c r="B691" s="13">
        <v>6.89</v>
      </c>
      <c r="C691" s="16" t="s">
        <v>5331</v>
      </c>
      <c r="D691" s="12">
        <v>40.5</v>
      </c>
      <c r="E691" s="12" t="s">
        <v>5332</v>
      </c>
      <c r="F691" s="12" t="s">
        <v>5328</v>
      </c>
      <c r="G691" s="12" t="s">
        <v>6664</v>
      </c>
      <c r="H691" s="12">
        <v>17432</v>
      </c>
    </row>
    <row r="692" spans="1:8">
      <c r="A692" s="12" t="s">
        <v>6665</v>
      </c>
      <c r="B692" s="13">
        <v>4.24</v>
      </c>
      <c r="C692" s="16" t="s">
        <v>5331</v>
      </c>
      <c r="D692" s="12">
        <v>33</v>
      </c>
      <c r="E692" s="12" t="s">
        <v>5332</v>
      </c>
      <c r="F692" s="12" t="s">
        <v>5328</v>
      </c>
      <c r="G692" s="12" t="s">
        <v>6666</v>
      </c>
      <c r="H692" s="12">
        <v>17433</v>
      </c>
    </row>
    <row r="693" spans="1:8">
      <c r="A693" s="12" t="s">
        <v>6667</v>
      </c>
      <c r="B693" s="13">
        <v>6.75</v>
      </c>
      <c r="C693" s="16" t="s">
        <v>5331</v>
      </c>
      <c r="D693" s="12">
        <v>36</v>
      </c>
      <c r="E693" s="12" t="s">
        <v>5332</v>
      </c>
      <c r="F693" s="12" t="s">
        <v>5328</v>
      </c>
      <c r="G693" s="12" t="s">
        <v>6668</v>
      </c>
      <c r="H693" s="12">
        <v>17434</v>
      </c>
    </row>
    <row r="694" spans="1:8">
      <c r="A694" s="12" t="s">
        <v>6669</v>
      </c>
      <c r="B694" s="13">
        <v>6.35</v>
      </c>
      <c r="C694" s="16" t="s">
        <v>5331</v>
      </c>
      <c r="D694" s="12">
        <v>33</v>
      </c>
      <c r="E694" s="12" t="s">
        <v>5332</v>
      </c>
      <c r="F694" s="12" t="s">
        <v>5328</v>
      </c>
      <c r="G694" s="12" t="s">
        <v>6670</v>
      </c>
      <c r="H694" s="12">
        <v>17435</v>
      </c>
    </row>
    <row r="695" spans="1:8">
      <c r="A695" s="12" t="s">
        <v>6671</v>
      </c>
      <c r="B695" s="13">
        <v>4.37</v>
      </c>
      <c r="C695" s="16" t="s">
        <v>5331</v>
      </c>
      <c r="D695" s="12">
        <v>35.28</v>
      </c>
      <c r="E695" s="12" t="s">
        <v>5332</v>
      </c>
      <c r="F695" s="12" t="s">
        <v>5328</v>
      </c>
      <c r="G695" s="12" t="s">
        <v>6672</v>
      </c>
      <c r="H695" s="12">
        <v>17436</v>
      </c>
    </row>
    <row r="696" spans="1:8">
      <c r="A696" s="12" t="s">
        <v>6673</v>
      </c>
      <c r="B696" s="13">
        <v>6.89</v>
      </c>
      <c r="C696" s="16" t="s">
        <v>5331</v>
      </c>
      <c r="D696" s="12">
        <v>35.28</v>
      </c>
      <c r="E696" s="12" t="s">
        <v>5332</v>
      </c>
      <c r="F696" s="12" t="s">
        <v>5328</v>
      </c>
      <c r="G696" s="12" t="s">
        <v>6674</v>
      </c>
      <c r="H696" s="12">
        <v>17437</v>
      </c>
    </row>
    <row r="697" spans="1:8">
      <c r="A697" s="12" t="s">
        <v>6675</v>
      </c>
      <c r="B697" s="14">
        <v>3027.18</v>
      </c>
      <c r="C697" s="16" t="s">
        <v>5331</v>
      </c>
      <c r="D697" s="12">
        <v>14647.5</v>
      </c>
      <c r="E697" s="12" t="s">
        <v>5332</v>
      </c>
      <c r="F697" s="12" t="s">
        <v>5328</v>
      </c>
      <c r="G697" s="12" t="s">
        <v>6676</v>
      </c>
      <c r="H697" s="12">
        <v>17439</v>
      </c>
    </row>
    <row r="698" spans="1:8">
      <c r="A698" s="12" t="s">
        <v>6677</v>
      </c>
      <c r="B698" s="14">
        <v>3400</v>
      </c>
      <c r="C698" s="16" t="s">
        <v>5331</v>
      </c>
      <c r="D698" s="12">
        <v>10200</v>
      </c>
      <c r="E698" s="12" t="s">
        <v>5332</v>
      </c>
      <c r="F698" s="12" t="s">
        <v>5328</v>
      </c>
      <c r="G698" s="12" t="s">
        <v>6678</v>
      </c>
      <c r="H698" s="12">
        <v>17440</v>
      </c>
    </row>
    <row r="699" spans="1:8">
      <c r="A699" s="12" t="s">
        <v>6679</v>
      </c>
      <c r="B699" s="13">
        <v>187.58</v>
      </c>
      <c r="C699" s="16" t="s">
        <v>5331</v>
      </c>
      <c r="D699" s="12">
        <v>850.5</v>
      </c>
      <c r="E699" s="12" t="s">
        <v>5332</v>
      </c>
      <c r="F699" s="12" t="s">
        <v>5328</v>
      </c>
      <c r="G699" s="12" t="s">
        <v>6680</v>
      </c>
      <c r="H699" s="12">
        <v>17441</v>
      </c>
    </row>
    <row r="700" spans="1:8">
      <c r="A700" s="12" t="s">
        <v>6681</v>
      </c>
      <c r="B700" s="13">
        <v>26.37</v>
      </c>
      <c r="C700" s="16" t="s">
        <v>5331</v>
      </c>
      <c r="D700" s="12">
        <v>118.13</v>
      </c>
      <c r="E700" s="12" t="s">
        <v>5332</v>
      </c>
      <c r="F700" s="12" t="s">
        <v>5328</v>
      </c>
      <c r="G700" s="12" t="s">
        <v>6682</v>
      </c>
      <c r="H700" s="12">
        <v>17442</v>
      </c>
    </row>
    <row r="701" spans="1:8">
      <c r="A701" s="12" t="s">
        <v>6683</v>
      </c>
      <c r="B701" s="13">
        <v>21.21</v>
      </c>
      <c r="C701" s="16" t="s">
        <v>5331</v>
      </c>
      <c r="D701" s="12">
        <v>193.2</v>
      </c>
      <c r="E701" s="12" t="s">
        <v>5332</v>
      </c>
      <c r="F701" s="12" t="s">
        <v>5328</v>
      </c>
      <c r="G701" s="12" t="s">
        <v>6684</v>
      </c>
      <c r="H701" s="12">
        <v>17443</v>
      </c>
    </row>
    <row r="702" spans="1:8">
      <c r="A702" s="12" t="s">
        <v>6685</v>
      </c>
      <c r="B702" s="13">
        <v>11.73</v>
      </c>
      <c r="C702" s="16" t="s">
        <v>5331</v>
      </c>
      <c r="D702" s="12">
        <v>43.74</v>
      </c>
      <c r="E702" s="12" t="s">
        <v>5332</v>
      </c>
      <c r="F702" s="12" t="s">
        <v>5328</v>
      </c>
      <c r="G702" s="12" t="s">
        <v>6686</v>
      </c>
      <c r="H702" s="12">
        <v>17444</v>
      </c>
    </row>
    <row r="703" spans="1:8">
      <c r="A703" s="12" t="s">
        <v>6687</v>
      </c>
      <c r="B703" s="14">
        <v>1822.65</v>
      </c>
      <c r="C703" s="16" t="s">
        <v>5331</v>
      </c>
      <c r="D703" s="12">
        <v>9213.75</v>
      </c>
      <c r="E703" s="12" t="s">
        <v>5332</v>
      </c>
      <c r="F703" s="12" t="s">
        <v>5328</v>
      </c>
      <c r="G703" s="12" t="s">
        <v>6688</v>
      </c>
      <c r="H703" s="12">
        <v>17445</v>
      </c>
    </row>
    <row r="704" spans="1:8">
      <c r="A704" s="12" t="s">
        <v>6689</v>
      </c>
      <c r="B704" s="13">
        <v>12.21</v>
      </c>
      <c r="C704" s="16" t="s">
        <v>5331</v>
      </c>
      <c r="D704" s="12">
        <v>33</v>
      </c>
      <c r="E704" s="12" t="s">
        <v>5332</v>
      </c>
      <c r="F704" s="12" t="s">
        <v>5328</v>
      </c>
      <c r="G704" s="12" t="s">
        <v>6690</v>
      </c>
      <c r="H704" s="12">
        <v>17446</v>
      </c>
    </row>
    <row r="705" spans="1:8">
      <c r="A705" s="12" t="s">
        <v>6691</v>
      </c>
      <c r="B705" s="13">
        <v>7.07</v>
      </c>
      <c r="C705" s="16" t="s">
        <v>5331</v>
      </c>
      <c r="D705" s="12">
        <v>33</v>
      </c>
      <c r="E705" s="12" t="s">
        <v>5332</v>
      </c>
      <c r="F705" s="12" t="s">
        <v>5328</v>
      </c>
      <c r="G705" s="12" t="s">
        <v>6692</v>
      </c>
      <c r="H705" s="12">
        <v>17447</v>
      </c>
    </row>
    <row r="706" spans="1:8">
      <c r="A706" s="12" t="s">
        <v>6693</v>
      </c>
      <c r="B706" s="13">
        <v>9.01</v>
      </c>
      <c r="C706" s="16" t="s">
        <v>5331</v>
      </c>
      <c r="D706" s="12">
        <v>33</v>
      </c>
      <c r="E706" s="12" t="s">
        <v>5332</v>
      </c>
      <c r="F706" s="12" t="s">
        <v>5328</v>
      </c>
      <c r="G706" s="12" t="s">
        <v>6694</v>
      </c>
      <c r="H706" s="12">
        <v>17448</v>
      </c>
    </row>
    <row r="707" spans="1:8">
      <c r="A707" s="12" t="s">
        <v>6695</v>
      </c>
      <c r="B707" s="13">
        <v>19.47</v>
      </c>
      <c r="C707" s="16" t="s">
        <v>5331</v>
      </c>
      <c r="D707" s="12">
        <v>179.55</v>
      </c>
      <c r="E707" s="12" t="s">
        <v>5332</v>
      </c>
      <c r="F707" s="12" t="s">
        <v>5328</v>
      </c>
      <c r="G707" s="12" t="s">
        <v>6696</v>
      </c>
      <c r="H707" s="12">
        <v>17449</v>
      </c>
    </row>
    <row r="708" spans="1:8">
      <c r="A708" s="12" t="s">
        <v>6697</v>
      </c>
      <c r="B708" s="14">
        <v>4800</v>
      </c>
      <c r="C708" s="16" t="s">
        <v>5331</v>
      </c>
      <c r="D708" s="12">
        <v>14400</v>
      </c>
      <c r="E708" s="12" t="s">
        <v>5332</v>
      </c>
      <c r="F708" s="12" t="s">
        <v>5328</v>
      </c>
      <c r="G708" s="12" t="s">
        <v>6698</v>
      </c>
      <c r="H708" s="12">
        <v>17450</v>
      </c>
    </row>
    <row r="709" spans="1:8">
      <c r="A709" s="12" t="s">
        <v>6699</v>
      </c>
      <c r="B709" s="14">
        <v>5400</v>
      </c>
      <c r="C709" s="16" t="s">
        <v>5331</v>
      </c>
      <c r="D709" s="12">
        <v>16200</v>
      </c>
      <c r="E709" s="12" t="s">
        <v>5332</v>
      </c>
      <c r="F709" s="12" t="s">
        <v>5328</v>
      </c>
      <c r="G709" s="12" t="s">
        <v>6700</v>
      </c>
      <c r="H709" s="12">
        <v>17451</v>
      </c>
    </row>
    <row r="710" spans="1:8">
      <c r="A710" s="12" t="s">
        <v>6701</v>
      </c>
      <c r="B710" s="13">
        <v>5.01</v>
      </c>
      <c r="C710" s="16" t="s">
        <v>5331</v>
      </c>
      <c r="D710" s="12">
        <v>28.8</v>
      </c>
      <c r="E710" s="12" t="s">
        <v>5332</v>
      </c>
      <c r="F710" s="12" t="s">
        <v>5328</v>
      </c>
      <c r="G710" s="12" t="s">
        <v>6702</v>
      </c>
      <c r="H710" s="12">
        <v>17453</v>
      </c>
    </row>
    <row r="711" spans="1:8">
      <c r="A711" s="12" t="s">
        <v>6703</v>
      </c>
      <c r="B711" s="13">
        <v>5.0199999999999996</v>
      </c>
      <c r="C711" s="16" t="s">
        <v>5331</v>
      </c>
      <c r="D711" s="12">
        <v>28.8</v>
      </c>
      <c r="E711" s="12" t="s">
        <v>5332</v>
      </c>
      <c r="F711" s="12" t="s">
        <v>5328</v>
      </c>
      <c r="G711" s="12" t="s">
        <v>6704</v>
      </c>
      <c r="H711" s="12">
        <v>17454</v>
      </c>
    </row>
    <row r="712" spans="1:8">
      <c r="A712" s="12" t="s">
        <v>6705</v>
      </c>
      <c r="B712" s="13">
        <v>541.09</v>
      </c>
      <c r="C712" s="16" t="s">
        <v>5331</v>
      </c>
      <c r="D712" s="12">
        <v>868.01700000000005</v>
      </c>
      <c r="E712" s="12" t="s">
        <v>5332</v>
      </c>
      <c r="F712" s="12" t="s">
        <v>5328</v>
      </c>
      <c r="G712" s="12" t="s">
        <v>6706</v>
      </c>
      <c r="H712" s="12">
        <v>48487</v>
      </c>
    </row>
    <row r="713" spans="1:8">
      <c r="A713" s="12" t="s">
        <v>6707</v>
      </c>
      <c r="B713" s="13">
        <v>407.79</v>
      </c>
      <c r="C713" s="16" t="s">
        <v>5331</v>
      </c>
      <c r="D713" s="12">
        <v>1080.3119999999999</v>
      </c>
      <c r="E713" s="12" t="s">
        <v>5332</v>
      </c>
      <c r="F713" s="12" t="s">
        <v>5328</v>
      </c>
      <c r="G713" s="12" t="s">
        <v>6708</v>
      </c>
      <c r="H713" s="12">
        <v>48488</v>
      </c>
    </row>
    <row r="714" spans="1:8">
      <c r="A714" s="12" t="s">
        <v>6709</v>
      </c>
      <c r="B714" s="13">
        <v>7.95</v>
      </c>
      <c r="C714" s="16" t="s">
        <v>5331</v>
      </c>
      <c r="D714" s="12">
        <v>49.2</v>
      </c>
      <c r="E714" s="12" t="s">
        <v>5332</v>
      </c>
      <c r="F714" s="12" t="s">
        <v>5328</v>
      </c>
      <c r="G714" s="12" t="s">
        <v>6710</v>
      </c>
      <c r="H714" s="12">
        <v>17457</v>
      </c>
    </row>
    <row r="715" spans="1:8">
      <c r="A715" s="12" t="s">
        <v>6711</v>
      </c>
      <c r="B715" s="13">
        <v>757.05</v>
      </c>
      <c r="C715" s="16" t="s">
        <v>5331</v>
      </c>
      <c r="D715" s="12">
        <v>267.06</v>
      </c>
      <c r="E715" s="12" t="s">
        <v>5332</v>
      </c>
      <c r="F715" s="12" t="s">
        <v>5328</v>
      </c>
      <c r="G715" s="12" t="s">
        <v>6712</v>
      </c>
      <c r="H715" s="12">
        <v>30702</v>
      </c>
    </row>
    <row r="716" spans="1:8">
      <c r="A716" s="12" t="s">
        <v>6713</v>
      </c>
      <c r="B716" s="13">
        <v>9.01</v>
      </c>
      <c r="C716" s="16" t="s">
        <v>5331</v>
      </c>
      <c r="D716" s="12">
        <v>96.435000000000002</v>
      </c>
      <c r="E716" s="12" t="s">
        <v>5332</v>
      </c>
      <c r="F716" s="12" t="s">
        <v>5328</v>
      </c>
      <c r="G716" s="12" t="s">
        <v>6714</v>
      </c>
      <c r="H716" s="12">
        <v>30679</v>
      </c>
    </row>
    <row r="717" spans="1:8">
      <c r="A717" s="12" t="s">
        <v>6715</v>
      </c>
      <c r="B717" s="13">
        <v>808.32</v>
      </c>
      <c r="C717" s="16" t="s">
        <v>5331</v>
      </c>
      <c r="D717" s="12">
        <v>1032.5940000000001</v>
      </c>
      <c r="E717" s="12" t="s">
        <v>5332</v>
      </c>
      <c r="F717" s="12" t="s">
        <v>5328</v>
      </c>
      <c r="G717" s="12" t="s">
        <v>6716</v>
      </c>
      <c r="H717" s="12">
        <v>49775</v>
      </c>
    </row>
    <row r="718" spans="1:8">
      <c r="A718" s="12" t="s">
        <v>6717</v>
      </c>
      <c r="B718" s="13">
        <v>0</v>
      </c>
      <c r="C718" s="16" t="s">
        <v>5331</v>
      </c>
      <c r="D718" s="12">
        <v>1809.8969999999999</v>
      </c>
      <c r="E718" s="12" t="s">
        <v>5332</v>
      </c>
      <c r="F718" s="12" t="s">
        <v>5328</v>
      </c>
      <c r="G718" s="12" t="s">
        <v>6718</v>
      </c>
      <c r="H718" s="12">
        <v>49776</v>
      </c>
    </row>
    <row r="719" spans="1:8">
      <c r="A719" s="12" t="s">
        <v>6719</v>
      </c>
      <c r="B719" s="13">
        <v>61.2</v>
      </c>
      <c r="C719" s="16" t="s">
        <v>5331</v>
      </c>
      <c r="D719" s="12">
        <v>183.6</v>
      </c>
      <c r="E719" s="12" t="s">
        <v>5332</v>
      </c>
      <c r="F719" s="12" t="s">
        <v>5328</v>
      </c>
      <c r="G719" s="12" t="s">
        <v>6720</v>
      </c>
      <c r="H719" s="12">
        <v>17438</v>
      </c>
    </row>
    <row r="720" spans="1:8">
      <c r="A720" s="12" t="s">
        <v>6721</v>
      </c>
      <c r="B720" s="13">
        <v>0</v>
      </c>
      <c r="C720" s="16" t="s">
        <v>5331</v>
      </c>
      <c r="D720" s="12">
        <v>54.75</v>
      </c>
      <c r="E720" s="12" t="s">
        <v>5332</v>
      </c>
      <c r="F720" s="12" t="s">
        <v>5328</v>
      </c>
      <c r="G720" s="12" t="s">
        <v>6722</v>
      </c>
      <c r="H720" s="12">
        <v>17505</v>
      </c>
    </row>
    <row r="721" spans="1:8">
      <c r="A721" s="12" t="s">
        <v>6723</v>
      </c>
      <c r="B721" s="13">
        <v>14.95</v>
      </c>
      <c r="C721" s="16" t="s">
        <v>5331</v>
      </c>
      <c r="D721" s="12">
        <v>99.23</v>
      </c>
      <c r="E721" s="12" t="s">
        <v>5332</v>
      </c>
      <c r="F721" s="12" t="s">
        <v>5328</v>
      </c>
      <c r="G721" s="12" t="s">
        <v>6724</v>
      </c>
      <c r="H721" s="12">
        <v>17506</v>
      </c>
    </row>
    <row r="722" spans="1:8">
      <c r="A722" s="12" t="s">
        <v>6725</v>
      </c>
      <c r="B722" s="13">
        <v>9.8800000000000008</v>
      </c>
      <c r="C722" s="16" t="s">
        <v>5331</v>
      </c>
      <c r="D722" s="12">
        <v>82.22</v>
      </c>
      <c r="E722" s="12" t="s">
        <v>5332</v>
      </c>
      <c r="F722" s="12" t="s">
        <v>5328</v>
      </c>
      <c r="G722" s="12" t="s">
        <v>6726</v>
      </c>
      <c r="H722" s="12">
        <v>17507</v>
      </c>
    </row>
    <row r="723" spans="1:8">
      <c r="A723" s="12" t="s">
        <v>6727</v>
      </c>
      <c r="B723" s="14">
        <v>17154.02</v>
      </c>
      <c r="C723" s="16" t="s">
        <v>5331</v>
      </c>
      <c r="D723" s="12">
        <v>54000</v>
      </c>
      <c r="E723" s="12" t="s">
        <v>5332</v>
      </c>
      <c r="F723" s="12" t="s">
        <v>5328</v>
      </c>
      <c r="G723" s="12" t="s">
        <v>6728</v>
      </c>
      <c r="H723" s="12">
        <v>55994</v>
      </c>
    </row>
    <row r="724" spans="1:8">
      <c r="A724" s="12" t="s">
        <v>6729</v>
      </c>
      <c r="B724" s="13">
        <v>65.48</v>
      </c>
      <c r="C724" s="16" t="s">
        <v>5331</v>
      </c>
      <c r="D724" s="12">
        <v>285.24900000000002</v>
      </c>
      <c r="E724" s="12" t="s">
        <v>5332</v>
      </c>
      <c r="F724" s="12" t="s">
        <v>5328</v>
      </c>
      <c r="G724" s="12" t="s">
        <v>6730</v>
      </c>
      <c r="H724" s="12">
        <v>36888</v>
      </c>
    </row>
    <row r="725" spans="1:8">
      <c r="A725" s="12" t="s">
        <v>6731</v>
      </c>
      <c r="B725" s="13">
        <v>39.909999999999997</v>
      </c>
      <c r="C725" s="16" t="s">
        <v>5331</v>
      </c>
      <c r="D725" s="12">
        <v>141.97499999999999</v>
      </c>
      <c r="E725" s="12" t="s">
        <v>5332</v>
      </c>
      <c r="F725" s="12" t="s">
        <v>5328</v>
      </c>
      <c r="G725" s="12" t="s">
        <v>6732</v>
      </c>
      <c r="H725" s="12">
        <v>36889</v>
      </c>
    </row>
    <row r="726" spans="1:8">
      <c r="A726" s="12" t="s">
        <v>6733</v>
      </c>
      <c r="B726" s="13">
        <v>9</v>
      </c>
      <c r="C726" s="16" t="s">
        <v>5331</v>
      </c>
      <c r="D726" s="12">
        <v>85.77</v>
      </c>
      <c r="E726" s="12" t="s">
        <v>5332</v>
      </c>
      <c r="F726" s="12" t="s">
        <v>5328</v>
      </c>
      <c r="G726" s="12" t="s">
        <v>6734</v>
      </c>
      <c r="H726" s="12">
        <v>43863</v>
      </c>
    </row>
    <row r="727" spans="1:8">
      <c r="A727" s="12" t="s">
        <v>6735</v>
      </c>
      <c r="B727" s="13">
        <v>14.14</v>
      </c>
      <c r="C727" s="16" t="s">
        <v>5331</v>
      </c>
      <c r="D727" s="12">
        <v>103.08</v>
      </c>
      <c r="E727" s="12" t="s">
        <v>5332</v>
      </c>
      <c r="F727" s="12" t="s">
        <v>5328</v>
      </c>
      <c r="G727" s="12" t="s">
        <v>6736</v>
      </c>
      <c r="H727" s="12">
        <v>52203</v>
      </c>
    </row>
    <row r="728" spans="1:8">
      <c r="A728" s="12" t="s">
        <v>6737</v>
      </c>
      <c r="B728" s="13">
        <v>18.89</v>
      </c>
      <c r="C728" s="16" t="s">
        <v>5331</v>
      </c>
      <c r="D728" s="12">
        <v>140.4</v>
      </c>
      <c r="E728" s="12" t="s">
        <v>5332</v>
      </c>
      <c r="F728" s="12" t="s">
        <v>5328</v>
      </c>
      <c r="G728" s="12" t="s">
        <v>6738</v>
      </c>
      <c r="H728" s="12">
        <v>52204</v>
      </c>
    </row>
    <row r="729" spans="1:8">
      <c r="A729" s="12" t="s">
        <v>6739</v>
      </c>
      <c r="B729" s="14">
        <v>11150</v>
      </c>
      <c r="C729" s="16" t="s">
        <v>5331</v>
      </c>
      <c r="D729" s="12">
        <v>33450</v>
      </c>
      <c r="E729" s="12" t="s">
        <v>5332</v>
      </c>
      <c r="F729" s="12" t="s">
        <v>5328</v>
      </c>
      <c r="G729" s="12" t="s">
        <v>6740</v>
      </c>
      <c r="H729" s="12">
        <v>47201</v>
      </c>
    </row>
    <row r="730" spans="1:8">
      <c r="A730" s="12" t="s">
        <v>6741</v>
      </c>
      <c r="B730" s="14">
        <v>8000</v>
      </c>
      <c r="C730" s="16" t="s">
        <v>5331</v>
      </c>
      <c r="D730" s="12">
        <v>24000</v>
      </c>
      <c r="E730" s="12" t="s">
        <v>5332</v>
      </c>
      <c r="F730" s="12" t="s">
        <v>5328</v>
      </c>
      <c r="G730" s="12" t="s">
        <v>6742</v>
      </c>
      <c r="H730" s="12">
        <v>47202</v>
      </c>
    </row>
    <row r="731" spans="1:8">
      <c r="A731" s="12" t="s">
        <v>6743</v>
      </c>
      <c r="B731" s="13">
        <v>4.12</v>
      </c>
      <c r="C731" s="16" t="s">
        <v>5331</v>
      </c>
      <c r="D731" s="12">
        <v>13.776</v>
      </c>
      <c r="E731" s="12" t="s">
        <v>5332</v>
      </c>
      <c r="F731" s="12" t="s">
        <v>5328</v>
      </c>
      <c r="G731" s="12" t="s">
        <v>6744</v>
      </c>
      <c r="H731" s="12">
        <v>54044</v>
      </c>
    </row>
    <row r="732" spans="1:8">
      <c r="A732" s="12" t="s">
        <v>6745</v>
      </c>
      <c r="B732" s="13">
        <v>13.95</v>
      </c>
      <c r="C732" s="16" t="s">
        <v>5331</v>
      </c>
      <c r="D732" s="12">
        <v>130.04</v>
      </c>
      <c r="E732" s="12" t="s">
        <v>5332</v>
      </c>
      <c r="F732" s="12" t="s">
        <v>5328</v>
      </c>
      <c r="G732" s="12" t="s">
        <v>6746</v>
      </c>
      <c r="H732" s="12">
        <v>11709</v>
      </c>
    </row>
    <row r="733" spans="1:8">
      <c r="A733" s="12" t="s">
        <v>6747</v>
      </c>
      <c r="B733" s="13">
        <v>10.29</v>
      </c>
      <c r="C733" s="16" t="s">
        <v>5331</v>
      </c>
      <c r="D733" s="12">
        <v>38.148000000000003</v>
      </c>
      <c r="E733" s="12" t="s">
        <v>5332</v>
      </c>
      <c r="F733" s="12" t="s">
        <v>5328</v>
      </c>
      <c r="G733" s="12" t="s">
        <v>6748</v>
      </c>
      <c r="H733" s="12">
        <v>14903</v>
      </c>
    </row>
    <row r="734" spans="1:8">
      <c r="A734" s="12" t="s">
        <v>6749</v>
      </c>
      <c r="B734" s="13">
        <v>4.8899999999999997</v>
      </c>
      <c r="C734" s="16" t="s">
        <v>5331</v>
      </c>
      <c r="D734" s="12">
        <v>141.75</v>
      </c>
      <c r="E734" s="12" t="s">
        <v>5332</v>
      </c>
      <c r="F734" s="12" t="s">
        <v>5328</v>
      </c>
      <c r="G734" s="12" t="s">
        <v>6750</v>
      </c>
      <c r="H734" s="12">
        <v>14999</v>
      </c>
    </row>
    <row r="735" spans="1:8">
      <c r="A735" s="12" t="s">
        <v>6751</v>
      </c>
      <c r="B735" s="13">
        <v>408.72</v>
      </c>
      <c r="C735" s="16" t="s">
        <v>5331</v>
      </c>
      <c r="D735" s="12">
        <v>3115.05</v>
      </c>
      <c r="E735" s="12" t="s">
        <v>5332</v>
      </c>
      <c r="F735" s="12" t="s">
        <v>5328</v>
      </c>
      <c r="G735" s="12" t="s">
        <v>6752</v>
      </c>
      <c r="H735" s="12">
        <v>11866</v>
      </c>
    </row>
    <row r="736" spans="1:8">
      <c r="A736" s="12" t="s">
        <v>6751</v>
      </c>
      <c r="B736" s="13">
        <v>408.72</v>
      </c>
      <c r="C736" s="16" t="s">
        <v>5331</v>
      </c>
      <c r="D736" s="12">
        <v>2076.6999999999998</v>
      </c>
      <c r="E736" s="12" t="s">
        <v>5332</v>
      </c>
      <c r="F736" s="12" t="s">
        <v>5328</v>
      </c>
      <c r="G736" s="12" t="s">
        <v>6752</v>
      </c>
      <c r="H736" s="12">
        <v>11866</v>
      </c>
    </row>
    <row r="737" spans="1:8">
      <c r="A737" s="12" t="s">
        <v>6753</v>
      </c>
      <c r="B737" s="13">
        <v>391.57</v>
      </c>
      <c r="C737" s="16" t="s">
        <v>5331</v>
      </c>
      <c r="D737" s="12">
        <v>2536.92</v>
      </c>
      <c r="E737" s="12" t="s">
        <v>5332</v>
      </c>
      <c r="F737" s="12" t="s">
        <v>5328</v>
      </c>
      <c r="G737" s="12" t="s">
        <v>6754</v>
      </c>
      <c r="H737" s="12">
        <v>112708</v>
      </c>
    </row>
    <row r="738" spans="1:8">
      <c r="A738" s="12" t="s">
        <v>6755</v>
      </c>
      <c r="B738" s="13">
        <v>656</v>
      </c>
      <c r="C738" s="16" t="s">
        <v>5331</v>
      </c>
      <c r="D738" s="12">
        <v>4257.72</v>
      </c>
      <c r="E738" s="12" t="s">
        <v>5332</v>
      </c>
      <c r="F738" s="12" t="s">
        <v>5328</v>
      </c>
      <c r="G738" s="12" t="s">
        <v>6756</v>
      </c>
      <c r="H738" s="12">
        <v>112710</v>
      </c>
    </row>
    <row r="739" spans="1:8">
      <c r="A739" s="12" t="s">
        <v>6757</v>
      </c>
      <c r="B739" s="13">
        <v>309.16000000000003</v>
      </c>
      <c r="C739" s="16" t="s">
        <v>5331</v>
      </c>
      <c r="D739" s="12">
        <v>1002.15</v>
      </c>
      <c r="E739" s="12" t="s">
        <v>5332</v>
      </c>
      <c r="F739" s="12" t="s">
        <v>5328</v>
      </c>
      <c r="G739" s="12" t="s">
        <v>6758</v>
      </c>
      <c r="H739" s="12">
        <v>112711</v>
      </c>
    </row>
    <row r="740" spans="1:8">
      <c r="A740" s="12" t="s">
        <v>6759</v>
      </c>
      <c r="B740" s="13">
        <v>826.62</v>
      </c>
      <c r="C740" s="16" t="s">
        <v>5331</v>
      </c>
      <c r="D740" s="12">
        <v>2778.51</v>
      </c>
      <c r="E740" s="12" t="s">
        <v>5332</v>
      </c>
      <c r="F740" s="12" t="s">
        <v>5328</v>
      </c>
      <c r="G740" s="12" t="s">
        <v>6760</v>
      </c>
      <c r="H740" s="12">
        <v>114829</v>
      </c>
    </row>
    <row r="741" spans="1:8">
      <c r="A741" s="12" t="s">
        <v>6761</v>
      </c>
      <c r="B741" s="14">
        <v>2102.1799999999998</v>
      </c>
      <c r="C741" s="16" t="s">
        <v>5331</v>
      </c>
      <c r="D741" s="12">
        <v>5395.2218199999998</v>
      </c>
      <c r="E741" s="12" t="s">
        <v>5332</v>
      </c>
      <c r="F741" s="12" t="s">
        <v>5328</v>
      </c>
      <c r="G741" s="12" t="s">
        <v>6762</v>
      </c>
      <c r="H741" s="12">
        <v>54865</v>
      </c>
    </row>
    <row r="742" spans="1:8">
      <c r="A742" s="12" t="s">
        <v>6763</v>
      </c>
      <c r="B742" s="13">
        <v>0</v>
      </c>
      <c r="C742" s="16" t="s">
        <v>5331</v>
      </c>
      <c r="D742" s="12">
        <v>5398.1992</v>
      </c>
      <c r="E742" s="12" t="s">
        <v>5332</v>
      </c>
      <c r="F742" s="12" t="s">
        <v>5328</v>
      </c>
      <c r="G742" s="12" t="s">
        <v>6764</v>
      </c>
      <c r="H742" s="12">
        <v>54866</v>
      </c>
    </row>
    <row r="743" spans="1:8">
      <c r="A743" s="12" t="s">
        <v>6765</v>
      </c>
      <c r="B743" s="14">
        <v>1394.83</v>
      </c>
      <c r="C743" s="16" t="s">
        <v>5331</v>
      </c>
      <c r="D743" s="12">
        <v>6072.1451399999996</v>
      </c>
      <c r="E743" s="12" t="s">
        <v>5332</v>
      </c>
      <c r="F743" s="12" t="s">
        <v>5328</v>
      </c>
      <c r="G743" s="12" t="s">
        <v>6766</v>
      </c>
      <c r="H743" s="12">
        <v>54867</v>
      </c>
    </row>
    <row r="744" spans="1:8">
      <c r="A744" s="12" t="s">
        <v>6767</v>
      </c>
      <c r="B744" s="14">
        <v>2520.86</v>
      </c>
      <c r="C744" s="16" t="s">
        <v>5331</v>
      </c>
      <c r="D744" s="12">
        <v>4986.9401799999996</v>
      </c>
      <c r="E744" s="12" t="s">
        <v>5332</v>
      </c>
      <c r="F744" s="12" t="s">
        <v>5328</v>
      </c>
      <c r="G744" s="12" t="s">
        <v>6768</v>
      </c>
      <c r="H744" s="12">
        <v>54868</v>
      </c>
    </row>
    <row r="745" spans="1:8">
      <c r="A745" s="12" t="s">
        <v>6769</v>
      </c>
      <c r="B745" s="14">
        <v>1657.42</v>
      </c>
      <c r="C745" s="16" t="s">
        <v>5331</v>
      </c>
      <c r="D745" s="12">
        <v>4990.6843600000002</v>
      </c>
      <c r="E745" s="12" t="s">
        <v>5332</v>
      </c>
      <c r="F745" s="12" t="s">
        <v>5328</v>
      </c>
      <c r="G745" s="12" t="s">
        <v>6770</v>
      </c>
      <c r="H745" s="12">
        <v>54869</v>
      </c>
    </row>
    <row r="746" spans="1:8">
      <c r="A746" s="12" t="s">
        <v>6771</v>
      </c>
      <c r="B746" s="14">
        <v>1660.74</v>
      </c>
      <c r="C746" s="16" t="s">
        <v>5331</v>
      </c>
      <c r="D746" s="12">
        <v>5059.3450000000003</v>
      </c>
      <c r="E746" s="12" t="s">
        <v>5332</v>
      </c>
      <c r="F746" s="12" t="s">
        <v>5328</v>
      </c>
      <c r="G746" s="12" t="s">
        <v>6772</v>
      </c>
      <c r="H746" s="12">
        <v>54870</v>
      </c>
    </row>
    <row r="747" spans="1:8">
      <c r="A747" s="12" t="s">
        <v>6773</v>
      </c>
      <c r="B747" s="14">
        <v>1682.74</v>
      </c>
      <c r="C747" s="16" t="s">
        <v>5331</v>
      </c>
      <c r="D747" s="12">
        <v>7760.3531400000002</v>
      </c>
      <c r="E747" s="12" t="s">
        <v>5332</v>
      </c>
      <c r="F747" s="12" t="s">
        <v>5328</v>
      </c>
      <c r="G747" s="12" t="s">
        <v>6774</v>
      </c>
      <c r="H747" s="12">
        <v>54871</v>
      </c>
    </row>
    <row r="748" spans="1:8">
      <c r="A748" s="12" t="s">
        <v>6775</v>
      </c>
      <c r="B748" s="14">
        <v>1110.56</v>
      </c>
      <c r="C748" s="16" t="s">
        <v>5331</v>
      </c>
      <c r="D748" s="12">
        <v>4019.72</v>
      </c>
      <c r="E748" s="12" t="s">
        <v>5332</v>
      </c>
      <c r="F748" s="12" t="s">
        <v>5328</v>
      </c>
      <c r="G748" s="12" t="s">
        <v>6776</v>
      </c>
      <c r="H748" s="12">
        <v>54872</v>
      </c>
    </row>
    <row r="749" spans="1:8">
      <c r="A749" s="12" t="s">
        <v>6777</v>
      </c>
      <c r="B749" s="13">
        <v>850.5</v>
      </c>
      <c r="C749" s="16" t="s">
        <v>5331</v>
      </c>
      <c r="D749" s="12">
        <v>2169.8689800000002</v>
      </c>
      <c r="E749" s="12" t="s">
        <v>5332</v>
      </c>
      <c r="F749" s="12" t="s">
        <v>5328</v>
      </c>
      <c r="G749" s="12" t="s">
        <v>6778</v>
      </c>
      <c r="H749" s="12">
        <v>54873</v>
      </c>
    </row>
    <row r="750" spans="1:8">
      <c r="A750" s="12" t="s">
        <v>6779</v>
      </c>
      <c r="B750" s="13">
        <v>734.89</v>
      </c>
      <c r="C750" s="16" t="s">
        <v>5331</v>
      </c>
      <c r="D750" s="12">
        <v>2127.8989799999999</v>
      </c>
      <c r="E750" s="12" t="s">
        <v>5332</v>
      </c>
      <c r="F750" s="12" t="s">
        <v>5328</v>
      </c>
      <c r="G750" s="12" t="s">
        <v>6780</v>
      </c>
      <c r="H750" s="12">
        <v>54874</v>
      </c>
    </row>
    <row r="751" spans="1:8">
      <c r="A751" s="12" t="s">
        <v>6781</v>
      </c>
      <c r="B751" s="14">
        <v>2465.84</v>
      </c>
      <c r="C751" s="16" t="s">
        <v>5331</v>
      </c>
      <c r="D751" s="12">
        <v>7631.1385799999998</v>
      </c>
      <c r="E751" s="12" t="s">
        <v>5332</v>
      </c>
      <c r="F751" s="12" t="s">
        <v>5328</v>
      </c>
      <c r="G751" s="12" t="s">
        <v>6782</v>
      </c>
      <c r="H751" s="12">
        <v>54875</v>
      </c>
    </row>
    <row r="752" spans="1:8">
      <c r="A752" s="12" t="s">
        <v>6783</v>
      </c>
      <c r="B752" s="14">
        <v>3377.47</v>
      </c>
      <c r="C752" s="16" t="s">
        <v>5331</v>
      </c>
      <c r="D752" s="12">
        <v>11091.434579999999</v>
      </c>
      <c r="E752" s="12" t="s">
        <v>5332</v>
      </c>
      <c r="F752" s="12" t="s">
        <v>5328</v>
      </c>
      <c r="G752" s="12" t="s">
        <v>6784</v>
      </c>
      <c r="H752" s="12">
        <v>54876</v>
      </c>
    </row>
    <row r="753" spans="1:8">
      <c r="A753" s="12" t="s">
        <v>6785</v>
      </c>
      <c r="B753" s="13">
        <v>0</v>
      </c>
      <c r="C753" s="16" t="s">
        <v>5331</v>
      </c>
      <c r="D753" s="12">
        <v>56254.474979999999</v>
      </c>
      <c r="E753" s="12" t="s">
        <v>5332</v>
      </c>
      <c r="F753" s="12" t="s">
        <v>5328</v>
      </c>
      <c r="G753" s="12" t="s">
        <v>6786</v>
      </c>
      <c r="H753" s="12">
        <v>54877</v>
      </c>
    </row>
    <row r="754" spans="1:8">
      <c r="A754" s="12" t="s">
        <v>6787</v>
      </c>
      <c r="B754" s="14">
        <v>1077.1500000000001</v>
      </c>
      <c r="C754" s="16" t="s">
        <v>5331</v>
      </c>
      <c r="D754" s="12">
        <v>1921.6609800000001</v>
      </c>
      <c r="E754" s="12" t="s">
        <v>5332</v>
      </c>
      <c r="F754" s="12" t="s">
        <v>5328</v>
      </c>
      <c r="G754" s="12" t="s">
        <v>6788</v>
      </c>
      <c r="H754" s="12">
        <v>54878</v>
      </c>
    </row>
    <row r="755" spans="1:8">
      <c r="A755" s="12" t="s">
        <v>6789</v>
      </c>
      <c r="B755" s="14">
        <v>2452.71</v>
      </c>
      <c r="C755" s="16" t="s">
        <v>5331</v>
      </c>
      <c r="D755" s="12">
        <v>7512.1585800000003</v>
      </c>
      <c r="E755" s="12" t="s">
        <v>5332</v>
      </c>
      <c r="F755" s="12" t="s">
        <v>5328</v>
      </c>
      <c r="G755" s="12" t="s">
        <v>6790</v>
      </c>
      <c r="H755" s="12">
        <v>54879</v>
      </c>
    </row>
    <row r="756" spans="1:8">
      <c r="A756" s="12" t="s">
        <v>6791</v>
      </c>
      <c r="B756" s="14">
        <v>1357.41</v>
      </c>
      <c r="C756" s="16" t="s">
        <v>5331</v>
      </c>
      <c r="D756" s="12">
        <v>2972.3539799999999</v>
      </c>
      <c r="E756" s="12" t="s">
        <v>5332</v>
      </c>
      <c r="F756" s="12" t="s">
        <v>5328</v>
      </c>
      <c r="G756" s="12" t="s">
        <v>6792</v>
      </c>
      <c r="H756" s="12">
        <v>54880</v>
      </c>
    </row>
    <row r="757" spans="1:8">
      <c r="A757" s="12" t="s">
        <v>6793</v>
      </c>
      <c r="B757" s="13">
        <v>1.07</v>
      </c>
      <c r="C757" s="16" t="s">
        <v>5331</v>
      </c>
      <c r="D757" s="12">
        <v>3.7441800000000001</v>
      </c>
      <c r="E757" s="12" t="s">
        <v>5332</v>
      </c>
      <c r="F757" s="12" t="s">
        <v>5328</v>
      </c>
      <c r="G757" s="12" t="s">
        <v>6794</v>
      </c>
      <c r="H757" s="12">
        <v>56194</v>
      </c>
    </row>
    <row r="758" spans="1:8">
      <c r="A758" s="12" t="s">
        <v>6795</v>
      </c>
      <c r="B758" s="13">
        <v>25</v>
      </c>
      <c r="C758" s="16" t="s">
        <v>5331</v>
      </c>
      <c r="D758" s="12">
        <v>81</v>
      </c>
      <c r="E758" s="12" t="s">
        <v>5332</v>
      </c>
      <c r="F758" s="12" t="s">
        <v>5328</v>
      </c>
      <c r="G758" s="12" t="s">
        <v>6796</v>
      </c>
      <c r="H758" s="12">
        <v>17513</v>
      </c>
    </row>
    <row r="759" spans="1:8">
      <c r="A759" s="12" t="s">
        <v>6797</v>
      </c>
      <c r="B759" s="13">
        <v>81</v>
      </c>
      <c r="C759" s="16" t="s">
        <v>5331</v>
      </c>
      <c r="D759" s="12">
        <v>243</v>
      </c>
      <c r="E759" s="12" t="s">
        <v>5332</v>
      </c>
      <c r="F759" s="12" t="s">
        <v>5328</v>
      </c>
      <c r="G759" s="12" t="s">
        <v>6798</v>
      </c>
      <c r="H759" s="12">
        <v>17514</v>
      </c>
    </row>
    <row r="760" spans="1:8">
      <c r="A760" s="12" t="s">
        <v>6799</v>
      </c>
      <c r="B760" s="13">
        <v>22.5</v>
      </c>
      <c r="C760" s="16" t="s">
        <v>5331</v>
      </c>
      <c r="D760" s="12">
        <v>73.14</v>
      </c>
      <c r="E760" s="12" t="s">
        <v>5332</v>
      </c>
      <c r="F760" s="12" t="s">
        <v>5328</v>
      </c>
      <c r="G760" s="12" t="s">
        <v>6800</v>
      </c>
      <c r="H760" s="12">
        <v>36894</v>
      </c>
    </row>
    <row r="761" spans="1:8">
      <c r="A761" s="12" t="s">
        <v>6801</v>
      </c>
      <c r="B761" s="13">
        <v>22.5</v>
      </c>
      <c r="C761" s="16" t="s">
        <v>5331</v>
      </c>
      <c r="D761" s="12">
        <v>73.14</v>
      </c>
      <c r="E761" s="12" t="s">
        <v>5332</v>
      </c>
      <c r="F761" s="12" t="s">
        <v>5328</v>
      </c>
      <c r="G761" s="12" t="s">
        <v>6802</v>
      </c>
      <c r="H761" s="12">
        <v>36895</v>
      </c>
    </row>
    <row r="762" spans="1:8">
      <c r="A762" s="12" t="s">
        <v>6803</v>
      </c>
      <c r="B762" s="13">
        <v>23</v>
      </c>
      <c r="C762" s="16" t="s">
        <v>5331</v>
      </c>
      <c r="D762" s="12">
        <v>73.14</v>
      </c>
      <c r="E762" s="12" t="s">
        <v>5332</v>
      </c>
      <c r="F762" s="12" t="s">
        <v>5328</v>
      </c>
      <c r="G762" s="12" t="s">
        <v>6804</v>
      </c>
      <c r="H762" s="12">
        <v>36896</v>
      </c>
    </row>
    <row r="763" spans="1:8">
      <c r="A763" s="12" t="s">
        <v>6805</v>
      </c>
      <c r="B763" s="13">
        <v>28</v>
      </c>
      <c r="C763" s="16" t="s">
        <v>5331</v>
      </c>
      <c r="D763" s="12">
        <v>87.75</v>
      </c>
      <c r="E763" s="12" t="s">
        <v>5332</v>
      </c>
      <c r="F763" s="12" t="s">
        <v>5328</v>
      </c>
      <c r="G763" s="12" t="s">
        <v>6806</v>
      </c>
      <c r="H763" s="12">
        <v>36897</v>
      </c>
    </row>
    <row r="764" spans="1:8">
      <c r="A764" s="12" t="s">
        <v>6807</v>
      </c>
      <c r="B764" s="13">
        <v>25</v>
      </c>
      <c r="C764" s="16" t="s">
        <v>5331</v>
      </c>
      <c r="D764" s="12">
        <v>81</v>
      </c>
      <c r="E764" s="12" t="s">
        <v>5332</v>
      </c>
      <c r="F764" s="12" t="s">
        <v>5328</v>
      </c>
      <c r="G764" s="12" t="s">
        <v>6808</v>
      </c>
      <c r="H764" s="12">
        <v>17520</v>
      </c>
    </row>
    <row r="765" spans="1:8">
      <c r="A765" s="12" t="s">
        <v>6809</v>
      </c>
      <c r="B765" s="13">
        <v>81</v>
      </c>
      <c r="C765" s="16" t="s">
        <v>5331</v>
      </c>
      <c r="D765" s="12">
        <v>243</v>
      </c>
      <c r="E765" s="12" t="s">
        <v>5332</v>
      </c>
      <c r="F765" s="12" t="s">
        <v>5328</v>
      </c>
      <c r="G765" s="12" t="s">
        <v>6810</v>
      </c>
      <c r="H765" s="12">
        <v>17521</v>
      </c>
    </row>
    <row r="766" spans="1:8">
      <c r="A766" s="12" t="s">
        <v>6811</v>
      </c>
      <c r="B766" s="13">
        <v>24.5</v>
      </c>
      <c r="C766" s="16" t="s">
        <v>5331</v>
      </c>
      <c r="D766" s="12">
        <v>81</v>
      </c>
      <c r="E766" s="12" t="s">
        <v>5332</v>
      </c>
      <c r="F766" s="12" t="s">
        <v>5328</v>
      </c>
      <c r="G766" s="12" t="s">
        <v>6812</v>
      </c>
      <c r="H766" s="12">
        <v>17522</v>
      </c>
    </row>
    <row r="767" spans="1:8">
      <c r="A767" s="12" t="s">
        <v>6813</v>
      </c>
      <c r="B767" s="13">
        <v>27</v>
      </c>
      <c r="C767" s="16" t="s">
        <v>5331</v>
      </c>
      <c r="D767" s="12">
        <v>81</v>
      </c>
      <c r="E767" s="12" t="s">
        <v>5332</v>
      </c>
      <c r="F767" s="12" t="s">
        <v>5328</v>
      </c>
      <c r="G767" s="12" t="s">
        <v>6814</v>
      </c>
      <c r="H767" s="12">
        <v>17523</v>
      </c>
    </row>
    <row r="768" spans="1:8">
      <c r="A768" s="12" t="s">
        <v>6815</v>
      </c>
      <c r="B768" s="13">
        <v>27</v>
      </c>
      <c r="C768" s="16" t="s">
        <v>5331</v>
      </c>
      <c r="D768" s="12">
        <v>81</v>
      </c>
      <c r="E768" s="12" t="s">
        <v>5332</v>
      </c>
      <c r="F768" s="12" t="s">
        <v>5328</v>
      </c>
      <c r="G768" s="12" t="s">
        <v>6816</v>
      </c>
      <c r="H768" s="12">
        <v>17524</v>
      </c>
    </row>
    <row r="769" spans="1:8">
      <c r="A769" s="12" t="s">
        <v>6817</v>
      </c>
      <c r="B769" s="13">
        <v>27</v>
      </c>
      <c r="C769" s="16" t="s">
        <v>5331</v>
      </c>
      <c r="D769" s="12">
        <v>81</v>
      </c>
      <c r="E769" s="12" t="s">
        <v>5332</v>
      </c>
      <c r="F769" s="12" t="s">
        <v>5328</v>
      </c>
      <c r="G769" s="12" t="s">
        <v>6818</v>
      </c>
      <c r="H769" s="12">
        <v>17525</v>
      </c>
    </row>
    <row r="770" spans="1:8">
      <c r="A770" s="12" t="s">
        <v>6819</v>
      </c>
      <c r="B770" s="13">
        <v>27</v>
      </c>
      <c r="C770" s="16" t="s">
        <v>5331</v>
      </c>
      <c r="D770" s="12">
        <v>81</v>
      </c>
      <c r="E770" s="12" t="s">
        <v>5332</v>
      </c>
      <c r="F770" s="12" t="s">
        <v>5328</v>
      </c>
      <c r="G770" s="12" t="s">
        <v>6820</v>
      </c>
      <c r="H770" s="12">
        <v>17526</v>
      </c>
    </row>
    <row r="771" spans="1:8">
      <c r="A771" s="12" t="s">
        <v>6821</v>
      </c>
      <c r="B771" s="13">
        <v>27</v>
      </c>
      <c r="C771" s="16" t="s">
        <v>5331</v>
      </c>
      <c r="D771" s="12">
        <v>81</v>
      </c>
      <c r="E771" s="12" t="s">
        <v>5332</v>
      </c>
      <c r="F771" s="12" t="s">
        <v>5328</v>
      </c>
      <c r="G771" s="12" t="s">
        <v>6822</v>
      </c>
      <c r="H771" s="12">
        <v>17527</v>
      </c>
    </row>
    <row r="772" spans="1:8">
      <c r="A772" s="12" t="s">
        <v>6823</v>
      </c>
      <c r="B772" s="13">
        <v>27</v>
      </c>
      <c r="C772" s="16" t="s">
        <v>5331</v>
      </c>
      <c r="D772" s="12">
        <v>81</v>
      </c>
      <c r="E772" s="12" t="s">
        <v>5332</v>
      </c>
      <c r="F772" s="12" t="s">
        <v>5328</v>
      </c>
      <c r="G772" s="12" t="s">
        <v>6824</v>
      </c>
      <c r="H772" s="12">
        <v>36904</v>
      </c>
    </row>
    <row r="773" spans="1:8">
      <c r="A773" s="12" t="s">
        <v>6825</v>
      </c>
      <c r="B773" s="13">
        <v>25</v>
      </c>
      <c r="C773" s="16" t="s">
        <v>5331</v>
      </c>
      <c r="D773" s="12">
        <v>81</v>
      </c>
      <c r="E773" s="12" t="s">
        <v>5332</v>
      </c>
      <c r="F773" s="12" t="s">
        <v>5328</v>
      </c>
      <c r="G773" s="12" t="s">
        <v>6826</v>
      </c>
      <c r="H773" s="12">
        <v>17529</v>
      </c>
    </row>
    <row r="774" spans="1:8">
      <c r="A774" s="12" t="s">
        <v>6827</v>
      </c>
      <c r="B774" s="13">
        <v>81</v>
      </c>
      <c r="C774" s="16" t="s">
        <v>5331</v>
      </c>
      <c r="D774" s="12">
        <v>243</v>
      </c>
      <c r="E774" s="12" t="s">
        <v>5332</v>
      </c>
      <c r="F774" s="12" t="s">
        <v>5328</v>
      </c>
      <c r="G774" s="12" t="s">
        <v>6828</v>
      </c>
      <c r="H774" s="12">
        <v>17530</v>
      </c>
    </row>
    <row r="775" spans="1:8">
      <c r="A775" s="12" t="s">
        <v>6829</v>
      </c>
      <c r="B775" s="13">
        <v>22.5</v>
      </c>
      <c r="C775" s="16" t="s">
        <v>5331</v>
      </c>
      <c r="D775" s="12">
        <v>75</v>
      </c>
      <c r="E775" s="12" t="s">
        <v>5332</v>
      </c>
      <c r="F775" s="12" t="s">
        <v>5328</v>
      </c>
      <c r="G775" s="12" t="s">
        <v>6830</v>
      </c>
      <c r="H775" s="12">
        <v>36906</v>
      </c>
    </row>
    <row r="776" spans="1:8">
      <c r="A776" s="12" t="s">
        <v>6831</v>
      </c>
      <c r="B776" s="13">
        <v>23.5</v>
      </c>
      <c r="C776" s="16" t="s">
        <v>5331</v>
      </c>
      <c r="D776" s="12">
        <v>81</v>
      </c>
      <c r="E776" s="12" t="s">
        <v>5332</v>
      </c>
      <c r="F776" s="12" t="s">
        <v>5328</v>
      </c>
      <c r="G776" s="12" t="s">
        <v>6832</v>
      </c>
      <c r="H776" s="12">
        <v>17532</v>
      </c>
    </row>
    <row r="777" spans="1:8">
      <c r="A777" s="12" t="s">
        <v>6833</v>
      </c>
      <c r="B777" s="13">
        <v>27</v>
      </c>
      <c r="C777" s="16" t="s">
        <v>5331</v>
      </c>
      <c r="D777" s="12">
        <v>75</v>
      </c>
      <c r="E777" s="12" t="s">
        <v>5332</v>
      </c>
      <c r="F777" s="12" t="s">
        <v>5328</v>
      </c>
      <c r="G777" s="12" t="s">
        <v>6834</v>
      </c>
      <c r="H777" s="12">
        <v>36908</v>
      </c>
    </row>
    <row r="778" spans="1:8">
      <c r="A778" s="12" t="s">
        <v>6835</v>
      </c>
      <c r="B778" s="13">
        <v>12.2</v>
      </c>
      <c r="C778" s="16" t="s">
        <v>5331</v>
      </c>
      <c r="D778" s="12">
        <v>90</v>
      </c>
      <c r="E778" s="12" t="s">
        <v>5332</v>
      </c>
      <c r="F778" s="12" t="s">
        <v>5328</v>
      </c>
      <c r="G778" s="12" t="s">
        <v>6836</v>
      </c>
      <c r="H778" s="12">
        <v>17534</v>
      </c>
    </row>
    <row r="779" spans="1:8">
      <c r="A779" s="12" t="s">
        <v>6837</v>
      </c>
      <c r="B779" s="13">
        <v>24.5</v>
      </c>
      <c r="C779" s="16" t="s">
        <v>5331</v>
      </c>
      <c r="D779" s="12">
        <v>81</v>
      </c>
      <c r="E779" s="12" t="s">
        <v>5332</v>
      </c>
      <c r="F779" s="12" t="s">
        <v>5328</v>
      </c>
      <c r="G779" s="12" t="s">
        <v>6838</v>
      </c>
      <c r="H779" s="12">
        <v>17535</v>
      </c>
    </row>
    <row r="780" spans="1:8">
      <c r="A780" s="12" t="s">
        <v>6839</v>
      </c>
      <c r="B780" s="13">
        <v>26</v>
      </c>
      <c r="C780" s="16" t="s">
        <v>5331</v>
      </c>
      <c r="D780" s="12">
        <v>90</v>
      </c>
      <c r="E780" s="12" t="s">
        <v>5332</v>
      </c>
      <c r="F780" s="12" t="s">
        <v>5328</v>
      </c>
      <c r="G780" s="12" t="s">
        <v>6840</v>
      </c>
      <c r="H780" s="12">
        <v>17536</v>
      </c>
    </row>
    <row r="781" spans="1:8">
      <c r="A781" s="12" t="s">
        <v>6841</v>
      </c>
      <c r="B781" s="13">
        <v>25.5</v>
      </c>
      <c r="C781" s="16" t="s">
        <v>5331</v>
      </c>
      <c r="D781" s="12">
        <v>90</v>
      </c>
      <c r="E781" s="12" t="s">
        <v>5332</v>
      </c>
      <c r="F781" s="12" t="s">
        <v>5328</v>
      </c>
      <c r="G781" s="12" t="s">
        <v>6842</v>
      </c>
      <c r="H781" s="12">
        <v>36912</v>
      </c>
    </row>
    <row r="782" spans="1:8">
      <c r="A782" s="12" t="s">
        <v>6843</v>
      </c>
      <c r="B782" s="13">
        <v>26.46</v>
      </c>
      <c r="C782" s="16" t="s">
        <v>5331</v>
      </c>
      <c r="D782" s="12">
        <v>79.38</v>
      </c>
      <c r="E782" s="12" t="s">
        <v>5332</v>
      </c>
      <c r="F782" s="12" t="s">
        <v>5328</v>
      </c>
      <c r="G782" s="12" t="s">
        <v>6844</v>
      </c>
      <c r="H782" s="12">
        <v>36913</v>
      </c>
    </row>
    <row r="783" spans="1:8">
      <c r="A783" s="12" t="s">
        <v>6845</v>
      </c>
      <c r="B783" s="13">
        <v>28</v>
      </c>
      <c r="C783" s="16" t="s">
        <v>5331</v>
      </c>
      <c r="D783" s="12">
        <v>90</v>
      </c>
      <c r="E783" s="12" t="s">
        <v>5332</v>
      </c>
      <c r="F783" s="12" t="s">
        <v>5328</v>
      </c>
      <c r="G783" s="12" t="s">
        <v>6846</v>
      </c>
      <c r="H783" s="12">
        <v>36914</v>
      </c>
    </row>
    <row r="784" spans="1:8">
      <c r="A784" s="12" t="s">
        <v>6847</v>
      </c>
      <c r="B784" s="13">
        <v>26.5</v>
      </c>
      <c r="C784" s="16" t="s">
        <v>5331</v>
      </c>
      <c r="D784" s="12">
        <v>147</v>
      </c>
      <c r="E784" s="12" t="s">
        <v>5332</v>
      </c>
      <c r="F784" s="12" t="s">
        <v>5328</v>
      </c>
      <c r="G784" s="12" t="s">
        <v>6848</v>
      </c>
      <c r="H784" s="12">
        <v>17836</v>
      </c>
    </row>
    <row r="785" spans="1:8">
      <c r="A785" s="12" t="s">
        <v>6849</v>
      </c>
      <c r="B785" s="13">
        <v>30</v>
      </c>
      <c r="C785" s="16" t="s">
        <v>5331</v>
      </c>
      <c r="D785" s="12">
        <v>96</v>
      </c>
      <c r="E785" s="12" t="s">
        <v>5332</v>
      </c>
      <c r="F785" s="12" t="s">
        <v>5328</v>
      </c>
      <c r="G785" s="12" t="s">
        <v>6850</v>
      </c>
      <c r="H785" s="12">
        <v>36916</v>
      </c>
    </row>
    <row r="786" spans="1:8">
      <c r="A786" s="12" t="s">
        <v>6851</v>
      </c>
      <c r="B786" s="13">
        <v>30</v>
      </c>
      <c r="C786" s="16" t="s">
        <v>5331</v>
      </c>
      <c r="D786" s="12">
        <v>105</v>
      </c>
      <c r="E786" s="12" t="s">
        <v>5332</v>
      </c>
      <c r="F786" s="12" t="s">
        <v>5328</v>
      </c>
      <c r="G786" s="12" t="s">
        <v>6852</v>
      </c>
      <c r="H786" s="12">
        <v>36917</v>
      </c>
    </row>
    <row r="787" spans="1:8">
      <c r="A787" s="12" t="s">
        <v>6853</v>
      </c>
      <c r="B787" s="13">
        <v>14.5</v>
      </c>
      <c r="C787" s="16" t="s">
        <v>5331</v>
      </c>
      <c r="D787" s="12">
        <v>45</v>
      </c>
      <c r="E787" s="12" t="s">
        <v>5332</v>
      </c>
      <c r="F787" s="12" t="s">
        <v>5328</v>
      </c>
      <c r="G787" s="12" t="s">
        <v>6854</v>
      </c>
      <c r="H787" s="12">
        <v>17842</v>
      </c>
    </row>
    <row r="788" spans="1:8">
      <c r="A788" s="12" t="s">
        <v>6855</v>
      </c>
      <c r="B788" s="13">
        <v>26</v>
      </c>
      <c r="C788" s="16" t="s">
        <v>5331</v>
      </c>
      <c r="D788" s="12">
        <v>78</v>
      </c>
      <c r="E788" s="12" t="s">
        <v>5332</v>
      </c>
      <c r="F788" s="12" t="s">
        <v>5328</v>
      </c>
      <c r="G788" s="12" t="s">
        <v>6856</v>
      </c>
      <c r="H788" s="12">
        <v>17844</v>
      </c>
    </row>
    <row r="789" spans="1:8">
      <c r="A789" s="12" t="s">
        <v>6857</v>
      </c>
      <c r="B789" s="13">
        <v>15.5</v>
      </c>
      <c r="C789" s="16" t="s">
        <v>5331</v>
      </c>
      <c r="D789" s="12">
        <v>51</v>
      </c>
      <c r="E789" s="12" t="s">
        <v>5332</v>
      </c>
      <c r="F789" s="12" t="s">
        <v>5328</v>
      </c>
      <c r="G789" s="12" t="s">
        <v>6858</v>
      </c>
      <c r="H789" s="12">
        <v>17845</v>
      </c>
    </row>
    <row r="790" spans="1:8">
      <c r="A790" s="12" t="s">
        <v>6859</v>
      </c>
      <c r="B790" s="13">
        <v>26</v>
      </c>
      <c r="C790" s="16" t="s">
        <v>5331</v>
      </c>
      <c r="D790" s="12">
        <v>78</v>
      </c>
      <c r="E790" s="12" t="s">
        <v>5332</v>
      </c>
      <c r="F790" s="12" t="s">
        <v>5328</v>
      </c>
      <c r="G790" s="12" t="s">
        <v>6860</v>
      </c>
      <c r="H790" s="12">
        <v>17847</v>
      </c>
    </row>
    <row r="791" spans="1:8">
      <c r="A791" s="12" t="s">
        <v>6861</v>
      </c>
      <c r="B791" s="13">
        <v>16</v>
      </c>
      <c r="C791" s="16" t="s">
        <v>5331</v>
      </c>
      <c r="D791" s="12">
        <v>51</v>
      </c>
      <c r="E791" s="12" t="s">
        <v>5332</v>
      </c>
      <c r="F791" s="12" t="s">
        <v>5328</v>
      </c>
      <c r="G791" s="12" t="s">
        <v>6862</v>
      </c>
      <c r="H791" s="12">
        <v>17848</v>
      </c>
    </row>
    <row r="792" spans="1:8">
      <c r="A792" s="12" t="s">
        <v>6863</v>
      </c>
      <c r="B792" s="13">
        <v>26.5</v>
      </c>
      <c r="C792" s="16" t="s">
        <v>5331</v>
      </c>
      <c r="D792" s="12">
        <v>90</v>
      </c>
      <c r="E792" s="12" t="s">
        <v>5332</v>
      </c>
      <c r="F792" s="12" t="s">
        <v>5328</v>
      </c>
      <c r="G792" s="12" t="s">
        <v>6864</v>
      </c>
      <c r="H792" s="12">
        <v>17850</v>
      </c>
    </row>
    <row r="793" spans="1:8">
      <c r="A793" s="12" t="s">
        <v>6865</v>
      </c>
      <c r="B793" s="13">
        <v>24.5</v>
      </c>
      <c r="C793" s="16" t="s">
        <v>5331</v>
      </c>
      <c r="D793" s="12">
        <v>81</v>
      </c>
      <c r="E793" s="12" t="s">
        <v>5332</v>
      </c>
      <c r="F793" s="12" t="s">
        <v>5328</v>
      </c>
      <c r="G793" s="12" t="s">
        <v>6866</v>
      </c>
      <c r="H793" s="12">
        <v>17851</v>
      </c>
    </row>
    <row r="794" spans="1:8">
      <c r="A794" s="12" t="s">
        <v>6867</v>
      </c>
      <c r="B794" s="13">
        <v>24.5</v>
      </c>
      <c r="C794" s="16" t="s">
        <v>5331</v>
      </c>
      <c r="D794" s="12">
        <v>81</v>
      </c>
      <c r="E794" s="12" t="s">
        <v>5332</v>
      </c>
      <c r="F794" s="12" t="s">
        <v>5328</v>
      </c>
      <c r="G794" s="12" t="s">
        <v>6868</v>
      </c>
      <c r="H794" s="12">
        <v>17853</v>
      </c>
    </row>
    <row r="795" spans="1:8">
      <c r="A795" s="12" t="s">
        <v>6869</v>
      </c>
      <c r="B795" s="13">
        <v>24.5</v>
      </c>
      <c r="C795" s="16" t="s">
        <v>5331</v>
      </c>
      <c r="D795" s="12">
        <v>81</v>
      </c>
      <c r="E795" s="12" t="s">
        <v>5332</v>
      </c>
      <c r="F795" s="12" t="s">
        <v>5328</v>
      </c>
      <c r="G795" s="12" t="s">
        <v>6870</v>
      </c>
      <c r="H795" s="12">
        <v>17855</v>
      </c>
    </row>
    <row r="796" spans="1:8">
      <c r="A796" s="12" t="s">
        <v>6871</v>
      </c>
      <c r="B796" s="13">
        <v>24.5</v>
      </c>
      <c r="C796" s="16" t="s">
        <v>5331</v>
      </c>
      <c r="D796" s="12">
        <v>81</v>
      </c>
      <c r="E796" s="12" t="s">
        <v>5332</v>
      </c>
      <c r="F796" s="12" t="s">
        <v>5328</v>
      </c>
      <c r="G796" s="12" t="s">
        <v>6872</v>
      </c>
      <c r="H796" s="12">
        <v>17857</v>
      </c>
    </row>
    <row r="797" spans="1:8">
      <c r="A797" s="12" t="s">
        <v>6873</v>
      </c>
      <c r="B797" s="13">
        <v>14.63</v>
      </c>
      <c r="C797" s="16" t="s">
        <v>5331</v>
      </c>
      <c r="D797" s="12">
        <v>45</v>
      </c>
      <c r="E797" s="12" t="s">
        <v>5332</v>
      </c>
      <c r="F797" s="12" t="s">
        <v>5328</v>
      </c>
      <c r="G797" s="12" t="s">
        <v>6874</v>
      </c>
      <c r="H797" s="12">
        <v>44710</v>
      </c>
    </row>
    <row r="798" spans="1:8">
      <c r="A798" s="12" t="s">
        <v>6875</v>
      </c>
      <c r="B798" s="13">
        <v>397</v>
      </c>
      <c r="C798" s="16" t="s">
        <v>5331</v>
      </c>
      <c r="D798" s="12">
        <v>1191</v>
      </c>
      <c r="E798" s="12" t="s">
        <v>5332</v>
      </c>
      <c r="F798" s="12" t="s">
        <v>5328</v>
      </c>
      <c r="G798" s="12" t="s">
        <v>6876</v>
      </c>
      <c r="H798" s="12">
        <v>17458</v>
      </c>
    </row>
    <row r="799" spans="1:8">
      <c r="A799" s="12" t="s">
        <v>6877</v>
      </c>
      <c r="B799" s="13">
        <v>307.89</v>
      </c>
      <c r="C799" s="16" t="s">
        <v>5331</v>
      </c>
      <c r="D799" s="12">
        <v>1139.76</v>
      </c>
      <c r="E799" s="12" t="s">
        <v>5332</v>
      </c>
      <c r="F799" s="12" t="s">
        <v>5328</v>
      </c>
      <c r="G799" s="12" t="s">
        <v>6878</v>
      </c>
      <c r="H799" s="12">
        <v>17459</v>
      </c>
    </row>
    <row r="800" spans="1:8">
      <c r="A800" s="12" t="s">
        <v>6877</v>
      </c>
      <c r="B800" s="13">
        <v>307.89</v>
      </c>
      <c r="C800" s="16" t="s">
        <v>5331</v>
      </c>
      <c r="D800" s="12">
        <v>759.84</v>
      </c>
      <c r="E800" s="12" t="s">
        <v>5332</v>
      </c>
      <c r="F800" s="12" t="s">
        <v>5328</v>
      </c>
      <c r="G800" s="12" t="s">
        <v>6878</v>
      </c>
      <c r="H800" s="12">
        <v>17459</v>
      </c>
    </row>
    <row r="801" spans="1:8">
      <c r="A801" s="12" t="s">
        <v>6879</v>
      </c>
      <c r="B801" s="13">
        <v>36.26</v>
      </c>
      <c r="C801" s="16" t="s">
        <v>5331</v>
      </c>
      <c r="D801" s="12">
        <v>135</v>
      </c>
      <c r="E801" s="12" t="s">
        <v>5332</v>
      </c>
      <c r="F801" s="12" t="s">
        <v>5328</v>
      </c>
      <c r="G801" s="12" t="s">
        <v>6880</v>
      </c>
      <c r="H801" s="12">
        <v>17460</v>
      </c>
    </row>
    <row r="802" spans="1:8">
      <c r="A802" s="12" t="s">
        <v>6881</v>
      </c>
      <c r="B802" s="13">
        <v>53</v>
      </c>
      <c r="C802" s="16" t="s">
        <v>5331</v>
      </c>
      <c r="D802" s="12">
        <v>198</v>
      </c>
      <c r="E802" s="12" t="s">
        <v>5332</v>
      </c>
      <c r="F802" s="12" t="s">
        <v>5328</v>
      </c>
      <c r="G802" s="12" t="s">
        <v>6882</v>
      </c>
      <c r="H802" s="12">
        <v>17461</v>
      </c>
    </row>
    <row r="803" spans="1:8">
      <c r="A803" s="12" t="s">
        <v>6883</v>
      </c>
      <c r="B803" s="13">
        <v>8.83</v>
      </c>
      <c r="C803" s="16" t="s">
        <v>5331</v>
      </c>
      <c r="D803" s="12">
        <v>24.03</v>
      </c>
      <c r="E803" s="12" t="s">
        <v>5332</v>
      </c>
      <c r="F803" s="12" t="s">
        <v>5328</v>
      </c>
      <c r="G803" s="12" t="s">
        <v>6884</v>
      </c>
      <c r="H803" s="12">
        <v>17462</v>
      </c>
    </row>
    <row r="804" spans="1:8">
      <c r="A804" s="12" t="s">
        <v>6885</v>
      </c>
      <c r="B804" s="13">
        <v>6.88</v>
      </c>
      <c r="C804" s="16" t="s">
        <v>5331</v>
      </c>
      <c r="D804" s="12">
        <v>43.68</v>
      </c>
      <c r="E804" s="12" t="s">
        <v>5332</v>
      </c>
      <c r="F804" s="12" t="s">
        <v>5328</v>
      </c>
      <c r="G804" s="12" t="s">
        <v>6886</v>
      </c>
      <c r="H804" s="12">
        <v>17463</v>
      </c>
    </row>
    <row r="805" spans="1:8">
      <c r="A805" s="12" t="s">
        <v>6887</v>
      </c>
      <c r="B805" s="13">
        <v>24.5</v>
      </c>
      <c r="C805" s="16" t="s">
        <v>5331</v>
      </c>
      <c r="D805" s="12">
        <v>81</v>
      </c>
      <c r="E805" s="12" t="s">
        <v>5332</v>
      </c>
      <c r="F805" s="12" t="s">
        <v>5328</v>
      </c>
      <c r="G805" s="12" t="s">
        <v>6888</v>
      </c>
      <c r="H805" s="12">
        <v>17464</v>
      </c>
    </row>
    <row r="806" spans="1:8">
      <c r="A806" s="12" t="s">
        <v>6889</v>
      </c>
      <c r="B806" s="13">
        <v>26.5</v>
      </c>
      <c r="C806" s="16" t="s">
        <v>5331</v>
      </c>
      <c r="D806" s="12">
        <v>90</v>
      </c>
      <c r="E806" s="12" t="s">
        <v>5332</v>
      </c>
      <c r="F806" s="12" t="s">
        <v>5328</v>
      </c>
      <c r="G806" s="12" t="s">
        <v>6890</v>
      </c>
      <c r="H806" s="12">
        <v>17465</v>
      </c>
    </row>
    <row r="807" spans="1:8">
      <c r="A807" s="12" t="s">
        <v>6891</v>
      </c>
      <c r="B807" s="13">
        <v>24.5</v>
      </c>
      <c r="C807" s="16" t="s">
        <v>5331</v>
      </c>
      <c r="D807" s="12">
        <v>81</v>
      </c>
      <c r="E807" s="12" t="s">
        <v>5332</v>
      </c>
      <c r="F807" s="12" t="s">
        <v>5328</v>
      </c>
      <c r="G807" s="12" t="s">
        <v>6892</v>
      </c>
      <c r="H807" s="12">
        <v>17466</v>
      </c>
    </row>
    <row r="808" spans="1:8">
      <c r="A808" s="12" t="s">
        <v>6893</v>
      </c>
      <c r="B808" s="13">
        <v>11.41</v>
      </c>
      <c r="C808" s="16" t="s">
        <v>5331</v>
      </c>
      <c r="D808" s="12">
        <v>138</v>
      </c>
      <c r="E808" s="12" t="s">
        <v>5332</v>
      </c>
      <c r="F808" s="12" t="s">
        <v>5328</v>
      </c>
      <c r="G808" s="12" t="s">
        <v>6894</v>
      </c>
      <c r="H808" s="12">
        <v>17467</v>
      </c>
    </row>
    <row r="809" spans="1:8">
      <c r="A809" s="12" t="s">
        <v>6895</v>
      </c>
      <c r="B809" s="13">
        <v>11.41</v>
      </c>
      <c r="C809" s="16" t="s">
        <v>5331</v>
      </c>
      <c r="D809" s="12">
        <v>138</v>
      </c>
      <c r="E809" s="12" t="s">
        <v>5332</v>
      </c>
      <c r="F809" s="12" t="s">
        <v>5328</v>
      </c>
      <c r="G809" s="12" t="s">
        <v>6896</v>
      </c>
      <c r="H809" s="12">
        <v>17468</v>
      </c>
    </row>
    <row r="810" spans="1:8">
      <c r="A810" s="12" t="s">
        <v>6897</v>
      </c>
      <c r="B810" s="13">
        <v>263.85000000000002</v>
      </c>
      <c r="C810" s="16" t="s">
        <v>5331</v>
      </c>
      <c r="D810" s="12">
        <v>2811.38</v>
      </c>
      <c r="E810" s="12" t="s">
        <v>5332</v>
      </c>
      <c r="F810" s="12" t="s">
        <v>5328</v>
      </c>
      <c r="G810" s="12" t="s">
        <v>6898</v>
      </c>
      <c r="H810" s="12">
        <v>17469</v>
      </c>
    </row>
    <row r="811" spans="1:8">
      <c r="A811" s="12" t="s">
        <v>6897</v>
      </c>
      <c r="B811" s="13">
        <v>263.85000000000002</v>
      </c>
      <c r="C811" s="16" t="s">
        <v>5331</v>
      </c>
      <c r="D811" s="12">
        <v>1874.25</v>
      </c>
      <c r="E811" s="12" t="s">
        <v>5332</v>
      </c>
      <c r="F811" s="12" t="s">
        <v>5328</v>
      </c>
      <c r="G811" s="12" t="s">
        <v>6898</v>
      </c>
      <c r="H811" s="12">
        <v>17469</v>
      </c>
    </row>
    <row r="812" spans="1:8">
      <c r="A812" s="12" t="s">
        <v>6899</v>
      </c>
      <c r="B812" s="13">
        <v>22.5</v>
      </c>
      <c r="C812" s="16" t="s">
        <v>5331</v>
      </c>
      <c r="D812" s="12">
        <v>75</v>
      </c>
      <c r="E812" s="12" t="s">
        <v>5332</v>
      </c>
      <c r="F812" s="12" t="s">
        <v>5328</v>
      </c>
      <c r="G812" s="12" t="s">
        <v>6900</v>
      </c>
      <c r="H812" s="12">
        <v>17470</v>
      </c>
    </row>
    <row r="813" spans="1:8">
      <c r="A813" s="12" t="s">
        <v>6901</v>
      </c>
      <c r="B813" s="13">
        <v>16.07</v>
      </c>
      <c r="C813" s="16" t="s">
        <v>5331</v>
      </c>
      <c r="D813" s="12">
        <v>60</v>
      </c>
      <c r="E813" s="12" t="s">
        <v>5332</v>
      </c>
      <c r="F813" s="12" t="s">
        <v>5328</v>
      </c>
      <c r="G813" s="12" t="s">
        <v>6902</v>
      </c>
      <c r="H813" s="12">
        <v>17471</v>
      </c>
    </row>
    <row r="814" spans="1:8">
      <c r="A814" s="12" t="s">
        <v>6903</v>
      </c>
      <c r="B814" s="13">
        <v>50</v>
      </c>
      <c r="C814" s="16" t="s">
        <v>5331</v>
      </c>
      <c r="D814" s="12">
        <v>270</v>
      </c>
      <c r="E814" s="12" t="s">
        <v>5332</v>
      </c>
      <c r="F814" s="12" t="s">
        <v>5328</v>
      </c>
      <c r="G814" s="12" t="s">
        <v>6904</v>
      </c>
      <c r="H814" s="12">
        <v>17472</v>
      </c>
    </row>
    <row r="815" spans="1:8">
      <c r="A815" s="12" t="s">
        <v>6905</v>
      </c>
      <c r="B815" s="13">
        <v>25.98</v>
      </c>
      <c r="C815" s="16" t="s">
        <v>5331</v>
      </c>
      <c r="D815" s="12">
        <v>79.509</v>
      </c>
      <c r="E815" s="12" t="s">
        <v>5332</v>
      </c>
      <c r="F815" s="12" t="s">
        <v>5328</v>
      </c>
      <c r="G815" s="12" t="s">
        <v>6906</v>
      </c>
      <c r="H815" s="12">
        <v>17473</v>
      </c>
    </row>
    <row r="816" spans="1:8">
      <c r="A816" s="12" t="s">
        <v>6907</v>
      </c>
      <c r="B816" s="13">
        <v>15.28</v>
      </c>
      <c r="C816" s="16" t="s">
        <v>5331</v>
      </c>
      <c r="D816" s="12">
        <v>44.457000000000001</v>
      </c>
      <c r="E816" s="12" t="s">
        <v>5332</v>
      </c>
      <c r="F816" s="12" t="s">
        <v>5328</v>
      </c>
      <c r="G816" s="12" t="s">
        <v>6908</v>
      </c>
      <c r="H816" s="12">
        <v>17474</v>
      </c>
    </row>
    <row r="817" spans="1:8">
      <c r="A817" s="12" t="s">
        <v>6909</v>
      </c>
      <c r="B817" s="13">
        <v>12.29</v>
      </c>
      <c r="C817" s="16" t="s">
        <v>5331</v>
      </c>
      <c r="D817" s="12">
        <v>37.628999999999998</v>
      </c>
      <c r="E817" s="12" t="s">
        <v>5332</v>
      </c>
      <c r="F817" s="12" t="s">
        <v>5328</v>
      </c>
      <c r="G817" s="12" t="s">
        <v>6910</v>
      </c>
      <c r="H817" s="12">
        <v>17475</v>
      </c>
    </row>
    <row r="818" spans="1:8">
      <c r="A818" s="12" t="s">
        <v>6911</v>
      </c>
      <c r="B818" s="13">
        <v>11.06</v>
      </c>
      <c r="C818" s="16" t="s">
        <v>5331</v>
      </c>
      <c r="D818" s="12">
        <v>35.700000000000003</v>
      </c>
      <c r="E818" s="12" t="s">
        <v>5332</v>
      </c>
      <c r="F818" s="12" t="s">
        <v>5328</v>
      </c>
      <c r="G818" s="12" t="s">
        <v>6912</v>
      </c>
      <c r="H818" s="12">
        <v>17476</v>
      </c>
    </row>
    <row r="819" spans="1:8">
      <c r="A819" s="12" t="s">
        <v>6913</v>
      </c>
      <c r="B819" s="13">
        <v>4.24</v>
      </c>
      <c r="C819" s="16" t="s">
        <v>5331</v>
      </c>
      <c r="D819" s="12">
        <v>14.169</v>
      </c>
      <c r="E819" s="12" t="s">
        <v>5332</v>
      </c>
      <c r="F819" s="12" t="s">
        <v>5328</v>
      </c>
      <c r="G819" s="12" t="s">
        <v>6914</v>
      </c>
      <c r="H819" s="12">
        <v>17477</v>
      </c>
    </row>
    <row r="820" spans="1:8">
      <c r="A820" s="12" t="s">
        <v>6915</v>
      </c>
      <c r="B820" s="13">
        <v>180.02</v>
      </c>
      <c r="C820" s="16" t="s">
        <v>5331</v>
      </c>
      <c r="D820" s="12">
        <v>385.74299999999999</v>
      </c>
      <c r="E820" s="12" t="s">
        <v>5332</v>
      </c>
      <c r="F820" s="12" t="s">
        <v>5328</v>
      </c>
      <c r="G820" s="12" t="s">
        <v>6916</v>
      </c>
      <c r="H820" s="12">
        <v>17479</v>
      </c>
    </row>
    <row r="821" spans="1:8">
      <c r="A821" s="12" t="s">
        <v>6917</v>
      </c>
      <c r="B821" s="13">
        <v>126.01</v>
      </c>
      <c r="C821" s="16" t="s">
        <v>5331</v>
      </c>
      <c r="D821" s="12">
        <v>413.298</v>
      </c>
      <c r="E821" s="12" t="s">
        <v>5332</v>
      </c>
      <c r="F821" s="12" t="s">
        <v>5328</v>
      </c>
      <c r="G821" s="12" t="s">
        <v>6918</v>
      </c>
      <c r="H821" s="12">
        <v>17480</v>
      </c>
    </row>
    <row r="822" spans="1:8">
      <c r="A822" s="12" t="s">
        <v>6919</v>
      </c>
      <c r="B822" s="13">
        <v>126.01</v>
      </c>
      <c r="C822" s="16" t="s">
        <v>5331</v>
      </c>
      <c r="D822" s="12">
        <v>465.846</v>
      </c>
      <c r="E822" s="12" t="s">
        <v>5332</v>
      </c>
      <c r="F822" s="12" t="s">
        <v>5328</v>
      </c>
      <c r="G822" s="12" t="s">
        <v>6920</v>
      </c>
      <c r="H822" s="12">
        <v>17481</v>
      </c>
    </row>
    <row r="823" spans="1:8">
      <c r="A823" s="12" t="s">
        <v>6921</v>
      </c>
      <c r="B823" s="13">
        <v>495</v>
      </c>
      <c r="C823" s="16" t="s">
        <v>5331</v>
      </c>
      <c r="D823" s="12">
        <v>1176</v>
      </c>
      <c r="E823" s="12" t="s">
        <v>5332</v>
      </c>
      <c r="F823" s="12" t="s">
        <v>5328</v>
      </c>
      <c r="G823" s="12" t="s">
        <v>6922</v>
      </c>
      <c r="H823" s="12">
        <v>17482</v>
      </c>
    </row>
    <row r="824" spans="1:8">
      <c r="A824" s="12" t="s">
        <v>6923</v>
      </c>
      <c r="B824" s="13">
        <v>212.16</v>
      </c>
      <c r="C824" s="16" t="s">
        <v>5331</v>
      </c>
      <c r="D824" s="12">
        <v>518.51400000000001</v>
      </c>
      <c r="E824" s="12" t="s">
        <v>5332</v>
      </c>
      <c r="F824" s="12" t="s">
        <v>5328</v>
      </c>
      <c r="G824" s="12" t="s">
        <v>6924</v>
      </c>
      <c r="H824" s="12">
        <v>17483</v>
      </c>
    </row>
    <row r="825" spans="1:8">
      <c r="A825" s="12" t="s">
        <v>6925</v>
      </c>
      <c r="B825" s="13">
        <v>128.19999999999999</v>
      </c>
      <c r="C825" s="16" t="s">
        <v>5331</v>
      </c>
      <c r="D825" s="12">
        <v>829.43</v>
      </c>
      <c r="E825" s="12" t="s">
        <v>5332</v>
      </c>
      <c r="F825" s="12" t="s">
        <v>5328</v>
      </c>
      <c r="G825" s="12" t="s">
        <v>6926</v>
      </c>
      <c r="H825" s="12">
        <v>17484</v>
      </c>
    </row>
    <row r="826" spans="1:8">
      <c r="A826" s="12" t="s">
        <v>6925</v>
      </c>
      <c r="B826" s="13">
        <v>128.19999999999999</v>
      </c>
      <c r="C826" s="16" t="s">
        <v>5331</v>
      </c>
      <c r="D826" s="12">
        <v>552.95000000000005</v>
      </c>
      <c r="E826" s="12" t="s">
        <v>5332</v>
      </c>
      <c r="F826" s="12" t="s">
        <v>5328</v>
      </c>
      <c r="G826" s="12" t="s">
        <v>6926</v>
      </c>
      <c r="H826" s="12">
        <v>17484</v>
      </c>
    </row>
    <row r="827" spans="1:8">
      <c r="A827" s="12" t="s">
        <v>6927</v>
      </c>
      <c r="B827" s="13">
        <v>12.22</v>
      </c>
      <c r="C827" s="16" t="s">
        <v>5331</v>
      </c>
      <c r="D827" s="12">
        <v>150</v>
      </c>
      <c r="E827" s="12" t="s">
        <v>5332</v>
      </c>
      <c r="F827" s="12" t="s">
        <v>5328</v>
      </c>
      <c r="G827" s="12" t="s">
        <v>6928</v>
      </c>
      <c r="H827" s="12">
        <v>35257</v>
      </c>
    </row>
    <row r="828" spans="1:8">
      <c r="A828" s="12" t="s">
        <v>6929</v>
      </c>
      <c r="B828" s="13">
        <v>105</v>
      </c>
      <c r="C828" s="16" t="s">
        <v>5331</v>
      </c>
      <c r="D828" s="12">
        <v>315</v>
      </c>
      <c r="E828" s="12" t="s">
        <v>5332</v>
      </c>
      <c r="F828" s="12" t="s">
        <v>5328</v>
      </c>
      <c r="G828" s="12" t="s">
        <v>6930</v>
      </c>
      <c r="H828" s="12">
        <v>12342</v>
      </c>
    </row>
    <row r="829" spans="1:8">
      <c r="A829" s="12" t="s">
        <v>6931</v>
      </c>
      <c r="B829" s="13">
        <v>17.21</v>
      </c>
      <c r="C829" s="16" t="s">
        <v>5331</v>
      </c>
      <c r="D829" s="12">
        <v>55.5</v>
      </c>
      <c r="E829" s="12" t="s">
        <v>5332</v>
      </c>
      <c r="F829" s="12" t="s">
        <v>5328</v>
      </c>
      <c r="G829" s="12" t="s">
        <v>6932</v>
      </c>
      <c r="H829" s="12">
        <v>17487</v>
      </c>
    </row>
    <row r="830" spans="1:8">
      <c r="A830" s="12" t="s">
        <v>6933</v>
      </c>
      <c r="B830" s="13">
        <v>8.61</v>
      </c>
      <c r="C830" s="16" t="s">
        <v>5331</v>
      </c>
      <c r="D830" s="12">
        <v>153.6</v>
      </c>
      <c r="E830" s="12" t="s">
        <v>5332</v>
      </c>
      <c r="F830" s="12" t="s">
        <v>5328</v>
      </c>
      <c r="G830" s="12" t="s">
        <v>6934</v>
      </c>
      <c r="H830" s="12">
        <v>17489</v>
      </c>
    </row>
    <row r="831" spans="1:8">
      <c r="A831" s="12" t="s">
        <v>6935</v>
      </c>
      <c r="B831" s="13">
        <v>3.11</v>
      </c>
      <c r="C831" s="16" t="s">
        <v>5331</v>
      </c>
      <c r="D831" s="12">
        <v>10.8</v>
      </c>
      <c r="E831" s="12" t="s">
        <v>5332</v>
      </c>
      <c r="F831" s="12" t="s">
        <v>5328</v>
      </c>
      <c r="G831" s="12" t="s">
        <v>6936</v>
      </c>
      <c r="H831" s="12">
        <v>17492</v>
      </c>
    </row>
    <row r="832" spans="1:8">
      <c r="A832" s="12" t="s">
        <v>6937</v>
      </c>
      <c r="B832" s="13">
        <v>10</v>
      </c>
      <c r="C832" s="16" t="s">
        <v>5331</v>
      </c>
      <c r="D832" s="12">
        <v>47.25</v>
      </c>
      <c r="E832" s="12" t="s">
        <v>5332</v>
      </c>
      <c r="F832" s="12" t="s">
        <v>5328</v>
      </c>
      <c r="G832" s="12" t="s">
        <v>6938</v>
      </c>
      <c r="H832" s="12">
        <v>17490</v>
      </c>
    </row>
    <row r="833" spans="1:8">
      <c r="A833" s="12" t="s">
        <v>6939</v>
      </c>
      <c r="B833" s="13">
        <v>0</v>
      </c>
      <c r="C833" s="16" t="s">
        <v>5331</v>
      </c>
      <c r="D833" s="12">
        <v>30.45</v>
      </c>
      <c r="E833" s="12" t="s">
        <v>5332</v>
      </c>
      <c r="F833" s="12" t="s">
        <v>5328</v>
      </c>
      <c r="G833" s="12" t="s">
        <v>6940</v>
      </c>
      <c r="H833" s="12">
        <v>17491</v>
      </c>
    </row>
    <row r="834" spans="1:8">
      <c r="A834" s="12" t="s">
        <v>6941</v>
      </c>
      <c r="B834" s="13">
        <v>6.22</v>
      </c>
      <c r="C834" s="16" t="s">
        <v>5331</v>
      </c>
      <c r="D834" s="12">
        <v>22.65</v>
      </c>
      <c r="E834" s="12" t="s">
        <v>5332</v>
      </c>
      <c r="F834" s="12" t="s">
        <v>5328</v>
      </c>
      <c r="G834" s="12" t="s">
        <v>6942</v>
      </c>
      <c r="H834" s="12">
        <v>17494</v>
      </c>
    </row>
    <row r="835" spans="1:8">
      <c r="A835" s="12" t="s">
        <v>6943</v>
      </c>
      <c r="B835" s="13">
        <v>4.6100000000000003</v>
      </c>
      <c r="C835" s="16" t="s">
        <v>5331</v>
      </c>
      <c r="D835" s="12">
        <v>15.6</v>
      </c>
      <c r="E835" s="12" t="s">
        <v>5332</v>
      </c>
      <c r="F835" s="12" t="s">
        <v>5328</v>
      </c>
      <c r="G835" s="12" t="s">
        <v>6944</v>
      </c>
      <c r="H835" s="12">
        <v>17495</v>
      </c>
    </row>
    <row r="836" spans="1:8">
      <c r="A836" s="12" t="s">
        <v>6945</v>
      </c>
      <c r="B836" s="13">
        <v>3</v>
      </c>
      <c r="C836" s="16" t="s">
        <v>5331</v>
      </c>
      <c r="D836" s="12">
        <v>13.86</v>
      </c>
      <c r="E836" s="12" t="s">
        <v>5332</v>
      </c>
      <c r="F836" s="12" t="s">
        <v>5328</v>
      </c>
      <c r="G836" s="12" t="s">
        <v>6946</v>
      </c>
      <c r="H836" s="12">
        <v>17496</v>
      </c>
    </row>
    <row r="837" spans="1:8">
      <c r="A837" s="12" t="s">
        <v>6947</v>
      </c>
      <c r="B837" s="13">
        <v>17.690000000000001</v>
      </c>
      <c r="C837" s="16" t="s">
        <v>5331</v>
      </c>
      <c r="D837" s="12">
        <v>57.6</v>
      </c>
      <c r="E837" s="12" t="s">
        <v>5332</v>
      </c>
      <c r="F837" s="12" t="s">
        <v>5328</v>
      </c>
      <c r="G837" s="12" t="s">
        <v>6948</v>
      </c>
      <c r="H837" s="12">
        <v>17499</v>
      </c>
    </row>
    <row r="838" spans="1:8">
      <c r="A838" s="12" t="s">
        <v>6949</v>
      </c>
      <c r="B838" s="13">
        <v>31.56</v>
      </c>
      <c r="C838" s="16" t="s">
        <v>5331</v>
      </c>
      <c r="D838" s="12">
        <v>165</v>
      </c>
      <c r="E838" s="12" t="s">
        <v>5332</v>
      </c>
      <c r="F838" s="12" t="s">
        <v>5328</v>
      </c>
      <c r="G838" s="12" t="s">
        <v>6950</v>
      </c>
      <c r="H838" s="12">
        <v>17501</v>
      </c>
    </row>
    <row r="839" spans="1:8">
      <c r="A839" s="12" t="s">
        <v>6951</v>
      </c>
      <c r="B839" s="13">
        <v>26.78</v>
      </c>
      <c r="C839" s="16" t="s">
        <v>5331</v>
      </c>
      <c r="D839" s="12">
        <v>165</v>
      </c>
      <c r="E839" s="12" t="s">
        <v>5332</v>
      </c>
      <c r="F839" s="12" t="s">
        <v>5328</v>
      </c>
      <c r="G839" s="12" t="s">
        <v>6952</v>
      </c>
      <c r="H839" s="12">
        <v>17502</v>
      </c>
    </row>
    <row r="840" spans="1:8">
      <c r="A840" s="12" t="s">
        <v>6953</v>
      </c>
      <c r="B840" s="13">
        <v>6.22</v>
      </c>
      <c r="C840" s="16" t="s">
        <v>5331</v>
      </c>
      <c r="D840" s="12">
        <v>33</v>
      </c>
      <c r="E840" s="12" t="s">
        <v>5332</v>
      </c>
      <c r="F840" s="12" t="s">
        <v>5328</v>
      </c>
      <c r="G840" s="12" t="s">
        <v>6954</v>
      </c>
      <c r="H840" s="12">
        <v>17503</v>
      </c>
    </row>
    <row r="841" spans="1:8">
      <c r="A841" s="12" t="s">
        <v>6955</v>
      </c>
      <c r="B841" s="13">
        <v>20.079999999999998</v>
      </c>
      <c r="C841" s="16" t="s">
        <v>5331</v>
      </c>
      <c r="D841" s="12">
        <v>88.5</v>
      </c>
      <c r="E841" s="12" t="s">
        <v>5332</v>
      </c>
      <c r="F841" s="12" t="s">
        <v>5328</v>
      </c>
      <c r="G841" s="12" t="s">
        <v>6956</v>
      </c>
      <c r="H841" s="12">
        <v>17504</v>
      </c>
    </row>
    <row r="842" spans="1:8">
      <c r="A842" s="12" t="s">
        <v>6957</v>
      </c>
      <c r="B842" s="13">
        <v>19.079999999999998</v>
      </c>
      <c r="C842" s="16" t="s">
        <v>5331</v>
      </c>
      <c r="D842" s="12">
        <v>44.97</v>
      </c>
      <c r="E842" s="12" t="s">
        <v>5332</v>
      </c>
      <c r="F842" s="12" t="s">
        <v>5328</v>
      </c>
      <c r="G842" s="12" t="s">
        <v>6958</v>
      </c>
      <c r="H842" s="12">
        <v>39609</v>
      </c>
    </row>
    <row r="843" spans="1:8">
      <c r="A843" s="12" t="s">
        <v>6959</v>
      </c>
      <c r="B843" s="13">
        <v>61.31</v>
      </c>
      <c r="C843" s="16" t="s">
        <v>5331</v>
      </c>
      <c r="D843" s="12">
        <v>154.44</v>
      </c>
      <c r="E843" s="12" t="s">
        <v>5332</v>
      </c>
      <c r="F843" s="12" t="s">
        <v>5328</v>
      </c>
      <c r="G843" s="12" t="s">
        <v>6960</v>
      </c>
      <c r="H843" s="12">
        <v>39610</v>
      </c>
    </row>
    <row r="844" spans="1:8">
      <c r="A844" s="12" t="s">
        <v>6961</v>
      </c>
      <c r="B844" s="13">
        <v>17.399999999999999</v>
      </c>
      <c r="C844" s="16" t="s">
        <v>5331</v>
      </c>
      <c r="D844" s="12">
        <v>52.2</v>
      </c>
      <c r="E844" s="12" t="s">
        <v>5332</v>
      </c>
      <c r="F844" s="12" t="s">
        <v>5328</v>
      </c>
      <c r="G844" s="12" t="s">
        <v>6962</v>
      </c>
      <c r="H844" s="12">
        <v>45780</v>
      </c>
    </row>
    <row r="845" spans="1:8">
      <c r="A845" s="12" t="s">
        <v>6963</v>
      </c>
      <c r="B845" s="14">
        <v>10325</v>
      </c>
      <c r="C845" s="16" t="s">
        <v>5331</v>
      </c>
      <c r="D845" s="12">
        <v>30975</v>
      </c>
      <c r="E845" s="12" t="s">
        <v>5332</v>
      </c>
      <c r="F845" s="12" t="s">
        <v>5328</v>
      </c>
      <c r="G845" s="12" t="s">
        <v>6964</v>
      </c>
      <c r="H845" s="12">
        <v>17508</v>
      </c>
    </row>
    <row r="846" spans="1:8">
      <c r="A846" s="12" t="s">
        <v>6963</v>
      </c>
      <c r="B846" s="14">
        <v>11750</v>
      </c>
      <c r="C846" s="16" t="s">
        <v>5331</v>
      </c>
      <c r="D846" s="12">
        <v>35250</v>
      </c>
      <c r="E846" s="12" t="s">
        <v>5332</v>
      </c>
      <c r="F846" s="12" t="s">
        <v>5328</v>
      </c>
      <c r="G846" s="12" t="s">
        <v>6965</v>
      </c>
      <c r="H846" s="12">
        <v>17509</v>
      </c>
    </row>
    <row r="847" spans="1:8">
      <c r="A847" s="12" t="s">
        <v>6729</v>
      </c>
      <c r="B847" s="13">
        <v>98.06</v>
      </c>
      <c r="C847" s="16" t="s">
        <v>5331</v>
      </c>
      <c r="D847" s="12">
        <v>348</v>
      </c>
      <c r="E847" s="12" t="s">
        <v>5332</v>
      </c>
      <c r="F847" s="12" t="s">
        <v>5328</v>
      </c>
      <c r="G847" s="12" t="s">
        <v>6966</v>
      </c>
      <c r="H847" s="12">
        <v>17510</v>
      </c>
    </row>
    <row r="848" spans="1:8">
      <c r="A848" s="12" t="s">
        <v>6967</v>
      </c>
      <c r="B848" s="13">
        <v>51.27</v>
      </c>
      <c r="C848" s="16" t="s">
        <v>5331</v>
      </c>
      <c r="D848" s="12">
        <v>145.80000000000001</v>
      </c>
      <c r="E848" s="12" t="s">
        <v>5332</v>
      </c>
      <c r="F848" s="12" t="s">
        <v>5328</v>
      </c>
      <c r="G848" s="12" t="s">
        <v>6968</v>
      </c>
      <c r="H848" s="12">
        <v>17511</v>
      </c>
    </row>
    <row r="849" spans="1:8">
      <c r="A849" s="12" t="s">
        <v>6969</v>
      </c>
      <c r="B849" s="13">
        <v>50.25</v>
      </c>
      <c r="C849" s="16" t="s">
        <v>5331</v>
      </c>
      <c r="D849" s="12">
        <v>170.1</v>
      </c>
      <c r="E849" s="12" t="s">
        <v>5332</v>
      </c>
      <c r="F849" s="12" t="s">
        <v>5328</v>
      </c>
      <c r="G849" s="12" t="s">
        <v>6970</v>
      </c>
      <c r="H849" s="12">
        <v>17512</v>
      </c>
    </row>
    <row r="850" spans="1:8">
      <c r="A850" s="12" t="s">
        <v>6971</v>
      </c>
      <c r="B850" s="13">
        <v>48.6</v>
      </c>
      <c r="C850" s="16" t="s">
        <v>5331</v>
      </c>
      <c r="D850" s="12">
        <v>145.80000000000001</v>
      </c>
      <c r="E850" s="12" t="s">
        <v>5332</v>
      </c>
      <c r="F850" s="12" t="s">
        <v>5328</v>
      </c>
      <c r="G850" s="12" t="s">
        <v>6972</v>
      </c>
      <c r="H850" s="12">
        <v>32422</v>
      </c>
    </row>
    <row r="851" spans="1:8">
      <c r="A851" s="12" t="s">
        <v>6971</v>
      </c>
      <c r="B851" s="13">
        <v>51.27</v>
      </c>
      <c r="C851" s="16" t="s">
        <v>5331</v>
      </c>
      <c r="D851" s="12">
        <v>145.80000000000001</v>
      </c>
      <c r="E851" s="12" t="s">
        <v>5332</v>
      </c>
      <c r="F851" s="12" t="s">
        <v>5328</v>
      </c>
      <c r="G851" s="12" t="s">
        <v>6973</v>
      </c>
      <c r="H851" s="12">
        <v>17537</v>
      </c>
    </row>
    <row r="852" spans="1:8">
      <c r="A852" s="12" t="s">
        <v>6974</v>
      </c>
      <c r="B852" s="13">
        <v>34.270000000000003</v>
      </c>
      <c r="C852" s="16" t="s">
        <v>5331</v>
      </c>
      <c r="D852" s="12">
        <v>66.02</v>
      </c>
      <c r="E852" s="12" t="s">
        <v>5332</v>
      </c>
      <c r="F852" s="12" t="s">
        <v>5328</v>
      </c>
      <c r="G852" s="12" t="s">
        <v>6975</v>
      </c>
      <c r="H852" s="12">
        <v>14929</v>
      </c>
    </row>
    <row r="853" spans="1:8">
      <c r="A853" s="12" t="s">
        <v>6974</v>
      </c>
      <c r="B853" s="13">
        <v>34.270000000000003</v>
      </c>
      <c r="C853" s="16" t="s">
        <v>5331</v>
      </c>
      <c r="D853" s="12">
        <v>44</v>
      </c>
      <c r="E853" s="12" t="s">
        <v>5332</v>
      </c>
      <c r="F853" s="12" t="s">
        <v>5328</v>
      </c>
      <c r="G853" s="12" t="s">
        <v>6975</v>
      </c>
      <c r="H853" s="12">
        <v>14929</v>
      </c>
    </row>
    <row r="854" spans="1:8">
      <c r="A854" s="12" t="s">
        <v>6976</v>
      </c>
      <c r="B854" s="13">
        <v>23.65</v>
      </c>
      <c r="C854" s="16" t="s">
        <v>5331</v>
      </c>
      <c r="D854" s="12">
        <v>70.95</v>
      </c>
      <c r="E854" s="12" t="s">
        <v>5332</v>
      </c>
      <c r="F854" s="12" t="s">
        <v>5328</v>
      </c>
      <c r="G854" s="12" t="s">
        <v>6977</v>
      </c>
      <c r="H854" s="12">
        <v>17515</v>
      </c>
    </row>
    <row r="855" spans="1:8">
      <c r="A855" s="12" t="s">
        <v>6801</v>
      </c>
      <c r="B855" s="13">
        <v>27</v>
      </c>
      <c r="C855" s="16" t="s">
        <v>5331</v>
      </c>
      <c r="D855" s="12">
        <v>81</v>
      </c>
      <c r="E855" s="12" t="s">
        <v>5332</v>
      </c>
      <c r="F855" s="12" t="s">
        <v>5328</v>
      </c>
      <c r="G855" s="12" t="s">
        <v>6978</v>
      </c>
      <c r="H855" s="12">
        <v>17516</v>
      </c>
    </row>
    <row r="856" spans="1:8">
      <c r="A856" s="12" t="s">
        <v>6979</v>
      </c>
      <c r="B856" s="13">
        <v>27</v>
      </c>
      <c r="C856" s="16" t="s">
        <v>5331</v>
      </c>
      <c r="D856" s="12">
        <v>81</v>
      </c>
      <c r="E856" s="12" t="s">
        <v>5332</v>
      </c>
      <c r="F856" s="12" t="s">
        <v>5328</v>
      </c>
      <c r="G856" s="12" t="s">
        <v>6980</v>
      </c>
      <c r="H856" s="12">
        <v>17517</v>
      </c>
    </row>
    <row r="857" spans="1:8">
      <c r="A857" s="12" t="s">
        <v>6981</v>
      </c>
      <c r="B857" s="13">
        <v>23.65</v>
      </c>
      <c r="C857" s="16" t="s">
        <v>5331</v>
      </c>
      <c r="D857" s="12">
        <v>70.95</v>
      </c>
      <c r="E857" s="12" t="s">
        <v>5332</v>
      </c>
      <c r="F857" s="12" t="s">
        <v>5328</v>
      </c>
      <c r="G857" s="12" t="s">
        <v>6982</v>
      </c>
      <c r="H857" s="12">
        <v>17518</v>
      </c>
    </row>
    <row r="858" spans="1:8">
      <c r="A858" s="12" t="s">
        <v>6983</v>
      </c>
      <c r="B858" s="13">
        <v>0</v>
      </c>
      <c r="C858" s="16" t="s">
        <v>5331</v>
      </c>
      <c r="D858" s="12">
        <v>81</v>
      </c>
      <c r="E858" s="12" t="s">
        <v>5332</v>
      </c>
      <c r="F858" s="12" t="s">
        <v>5328</v>
      </c>
      <c r="G858" s="12" t="s">
        <v>6984</v>
      </c>
      <c r="H858" s="12">
        <v>17519</v>
      </c>
    </row>
    <row r="859" spans="1:8">
      <c r="A859" s="12" t="s">
        <v>6823</v>
      </c>
      <c r="B859" s="13">
        <v>27</v>
      </c>
      <c r="C859" s="16" t="s">
        <v>5331</v>
      </c>
      <c r="D859" s="12">
        <v>81</v>
      </c>
      <c r="E859" s="12" t="s">
        <v>5332</v>
      </c>
      <c r="F859" s="12" t="s">
        <v>5328</v>
      </c>
      <c r="G859" s="12" t="s">
        <v>6985</v>
      </c>
      <c r="H859" s="12">
        <v>17528</v>
      </c>
    </row>
    <row r="860" spans="1:8">
      <c r="A860" s="12" t="s">
        <v>6829</v>
      </c>
      <c r="B860" s="13">
        <v>27</v>
      </c>
      <c r="C860" s="16" t="s">
        <v>5331</v>
      </c>
      <c r="D860" s="12">
        <v>81</v>
      </c>
      <c r="E860" s="12" t="s">
        <v>5332</v>
      </c>
      <c r="F860" s="12" t="s">
        <v>5328</v>
      </c>
      <c r="G860" s="12" t="s">
        <v>6986</v>
      </c>
      <c r="H860" s="12">
        <v>17531</v>
      </c>
    </row>
    <row r="861" spans="1:8">
      <c r="A861" s="12" t="s">
        <v>6833</v>
      </c>
      <c r="B861" s="13">
        <v>27</v>
      </c>
      <c r="C861" s="16" t="s">
        <v>5331</v>
      </c>
      <c r="D861" s="12">
        <v>81</v>
      </c>
      <c r="E861" s="12" t="s">
        <v>5332</v>
      </c>
      <c r="F861" s="12" t="s">
        <v>5328</v>
      </c>
      <c r="G861" s="12" t="s">
        <v>6987</v>
      </c>
      <c r="H861" s="12">
        <v>7305</v>
      </c>
    </row>
    <row r="862" spans="1:8">
      <c r="A862" s="12" t="s">
        <v>6988</v>
      </c>
      <c r="B862" s="13">
        <v>12.25</v>
      </c>
      <c r="C862" s="16" t="s">
        <v>5331</v>
      </c>
      <c r="D862" s="12">
        <v>57.89</v>
      </c>
      <c r="E862" s="12" t="s">
        <v>5332</v>
      </c>
      <c r="F862" s="12" t="s">
        <v>5328</v>
      </c>
      <c r="G862" s="12" t="s">
        <v>6989</v>
      </c>
      <c r="H862" s="12">
        <v>17538</v>
      </c>
    </row>
    <row r="863" spans="1:8">
      <c r="A863" s="12" t="s">
        <v>6990</v>
      </c>
      <c r="B863" s="13">
        <v>14.5</v>
      </c>
      <c r="C863" s="16" t="s">
        <v>5331</v>
      </c>
      <c r="D863" s="12">
        <v>68.52</v>
      </c>
      <c r="E863" s="12" t="s">
        <v>5332</v>
      </c>
      <c r="F863" s="12" t="s">
        <v>5328</v>
      </c>
      <c r="G863" s="12" t="s">
        <v>6991</v>
      </c>
      <c r="H863" s="12">
        <v>17539</v>
      </c>
    </row>
    <row r="864" spans="1:8">
      <c r="A864" s="12" t="s">
        <v>6992</v>
      </c>
      <c r="B864" s="13">
        <v>26.72</v>
      </c>
      <c r="C864" s="16" t="s">
        <v>5331</v>
      </c>
      <c r="D864" s="12">
        <v>129.94999999999999</v>
      </c>
      <c r="E864" s="12" t="s">
        <v>5332</v>
      </c>
      <c r="F864" s="12" t="s">
        <v>5328</v>
      </c>
      <c r="G864" s="12" t="s">
        <v>6993</v>
      </c>
      <c r="H864" s="12">
        <v>17540</v>
      </c>
    </row>
    <row r="865" spans="1:8">
      <c r="A865" s="12" t="s">
        <v>6992</v>
      </c>
      <c r="B865" s="13">
        <v>26.72</v>
      </c>
      <c r="C865" s="16" t="s">
        <v>5331</v>
      </c>
      <c r="D865" s="12">
        <v>86.63</v>
      </c>
      <c r="E865" s="12" t="s">
        <v>5332</v>
      </c>
      <c r="F865" s="12" t="s">
        <v>5328</v>
      </c>
      <c r="G865" s="12" t="s">
        <v>6993</v>
      </c>
      <c r="H865" s="12">
        <v>17540</v>
      </c>
    </row>
    <row r="866" spans="1:8">
      <c r="A866" s="12" t="s">
        <v>6994</v>
      </c>
      <c r="B866" s="13">
        <v>21.5</v>
      </c>
      <c r="C866" s="16" t="s">
        <v>5331</v>
      </c>
      <c r="D866" s="12">
        <v>88.59</v>
      </c>
      <c r="E866" s="12" t="s">
        <v>5332</v>
      </c>
      <c r="F866" s="12" t="s">
        <v>5328</v>
      </c>
      <c r="G866" s="12" t="s">
        <v>6995</v>
      </c>
      <c r="H866" s="12">
        <v>17541</v>
      </c>
    </row>
    <row r="867" spans="1:8">
      <c r="A867" s="12" t="s">
        <v>6996</v>
      </c>
      <c r="B867" s="13">
        <v>0</v>
      </c>
      <c r="C867" s="16" t="s">
        <v>5331</v>
      </c>
      <c r="D867" s="12">
        <v>259.95</v>
      </c>
      <c r="E867" s="12" t="s">
        <v>5332</v>
      </c>
      <c r="F867" s="12" t="s">
        <v>5328</v>
      </c>
      <c r="G867" s="12" t="s">
        <v>6997</v>
      </c>
      <c r="H867" s="12">
        <v>17543</v>
      </c>
    </row>
    <row r="868" spans="1:8">
      <c r="A868" s="12" t="s">
        <v>6998</v>
      </c>
      <c r="B868" s="13">
        <v>0</v>
      </c>
      <c r="C868" s="16" t="s">
        <v>5331</v>
      </c>
      <c r="D868" s="12">
        <v>325.95</v>
      </c>
      <c r="E868" s="12" t="s">
        <v>5332</v>
      </c>
      <c r="F868" s="12" t="s">
        <v>5328</v>
      </c>
      <c r="G868" s="12" t="s">
        <v>6999</v>
      </c>
      <c r="H868" s="12">
        <v>17544</v>
      </c>
    </row>
    <row r="869" spans="1:8">
      <c r="A869" s="12" t="s">
        <v>7000</v>
      </c>
      <c r="B869" s="13">
        <v>16</v>
      </c>
      <c r="C869" s="16" t="s">
        <v>5331</v>
      </c>
      <c r="D869" s="12">
        <v>75.599999999999994</v>
      </c>
      <c r="E869" s="12" t="s">
        <v>5332</v>
      </c>
      <c r="F869" s="12" t="s">
        <v>5328</v>
      </c>
      <c r="G869" s="12" t="s">
        <v>7001</v>
      </c>
      <c r="H869" s="12">
        <v>17545</v>
      </c>
    </row>
    <row r="870" spans="1:8">
      <c r="A870" s="12" t="s">
        <v>7000</v>
      </c>
      <c r="B870" s="13">
        <v>16</v>
      </c>
      <c r="C870" s="16" t="s">
        <v>5331</v>
      </c>
      <c r="D870" s="12">
        <v>50.4</v>
      </c>
      <c r="E870" s="12" t="s">
        <v>5332</v>
      </c>
      <c r="F870" s="12" t="s">
        <v>5328</v>
      </c>
      <c r="G870" s="12" t="s">
        <v>7001</v>
      </c>
      <c r="H870" s="12">
        <v>17545</v>
      </c>
    </row>
    <row r="871" spans="1:8">
      <c r="A871" s="12" t="s">
        <v>7002</v>
      </c>
      <c r="B871" s="13">
        <v>73.48</v>
      </c>
      <c r="C871" s="16" t="s">
        <v>5331</v>
      </c>
      <c r="D871" s="12">
        <v>225</v>
      </c>
      <c r="E871" s="12" t="s">
        <v>5332</v>
      </c>
      <c r="F871" s="12" t="s">
        <v>5328</v>
      </c>
      <c r="G871" s="12" t="s">
        <v>7003</v>
      </c>
      <c r="H871" s="12">
        <v>17546</v>
      </c>
    </row>
    <row r="872" spans="1:8">
      <c r="A872" s="12" t="s">
        <v>7004</v>
      </c>
      <c r="B872" s="13">
        <v>67.7</v>
      </c>
      <c r="C872" s="16" t="s">
        <v>5331</v>
      </c>
      <c r="D872" s="12">
        <v>307.13</v>
      </c>
      <c r="E872" s="12" t="s">
        <v>5332</v>
      </c>
      <c r="F872" s="12" t="s">
        <v>5328</v>
      </c>
      <c r="G872" s="12" t="s">
        <v>7005</v>
      </c>
      <c r="H872" s="12">
        <v>17547</v>
      </c>
    </row>
    <row r="873" spans="1:8">
      <c r="A873" s="12" t="s">
        <v>7006</v>
      </c>
      <c r="B873" s="13">
        <v>13.7</v>
      </c>
      <c r="C873" s="16" t="s">
        <v>5331</v>
      </c>
      <c r="D873" s="12">
        <v>49.14</v>
      </c>
      <c r="E873" s="12" t="s">
        <v>5332</v>
      </c>
      <c r="F873" s="12" t="s">
        <v>5328</v>
      </c>
      <c r="G873" s="12" t="s">
        <v>7007</v>
      </c>
      <c r="H873" s="12">
        <v>17548</v>
      </c>
    </row>
    <row r="874" spans="1:8">
      <c r="A874" s="12" t="s">
        <v>7006</v>
      </c>
      <c r="B874" s="13">
        <v>13.7</v>
      </c>
      <c r="C874" s="16" t="s">
        <v>5331</v>
      </c>
      <c r="D874" s="12">
        <v>32.76</v>
      </c>
      <c r="E874" s="12" t="s">
        <v>5332</v>
      </c>
      <c r="F874" s="12" t="s">
        <v>5328</v>
      </c>
      <c r="G874" s="12" t="s">
        <v>7007</v>
      </c>
      <c r="H874" s="12">
        <v>17548</v>
      </c>
    </row>
    <row r="875" spans="1:8">
      <c r="A875" s="12" t="s">
        <v>7008</v>
      </c>
      <c r="B875" s="13">
        <v>258.06</v>
      </c>
      <c r="C875" s="16" t="s">
        <v>5331</v>
      </c>
      <c r="D875" s="12">
        <v>330.87</v>
      </c>
      <c r="E875" s="12" t="s">
        <v>5332</v>
      </c>
      <c r="F875" s="12" t="s">
        <v>5328</v>
      </c>
      <c r="G875" s="12" t="s">
        <v>7009</v>
      </c>
      <c r="H875" s="12">
        <v>17551</v>
      </c>
    </row>
    <row r="876" spans="1:8">
      <c r="A876" s="12" t="s">
        <v>7008</v>
      </c>
      <c r="B876" s="13">
        <v>258.06</v>
      </c>
      <c r="C876" s="16" t="s">
        <v>5331</v>
      </c>
      <c r="D876" s="12">
        <v>220.58</v>
      </c>
      <c r="E876" s="12" t="s">
        <v>5332</v>
      </c>
      <c r="F876" s="12" t="s">
        <v>5328</v>
      </c>
      <c r="G876" s="12" t="s">
        <v>7009</v>
      </c>
      <c r="H876" s="12">
        <v>17551</v>
      </c>
    </row>
    <row r="877" spans="1:8">
      <c r="A877" s="12" t="s">
        <v>7010</v>
      </c>
      <c r="B877" s="13">
        <v>23.72</v>
      </c>
      <c r="C877" s="16" t="s">
        <v>5331</v>
      </c>
      <c r="D877" s="12">
        <v>109.05</v>
      </c>
      <c r="E877" s="12" t="s">
        <v>5332</v>
      </c>
      <c r="F877" s="12" t="s">
        <v>5328</v>
      </c>
      <c r="G877" s="12" t="s">
        <v>7011</v>
      </c>
      <c r="H877" s="12">
        <v>18697</v>
      </c>
    </row>
    <row r="878" spans="1:8">
      <c r="A878" s="12" t="s">
        <v>7010</v>
      </c>
      <c r="B878" s="13">
        <v>23.72</v>
      </c>
      <c r="C878" s="16" t="s">
        <v>5331</v>
      </c>
      <c r="D878" s="12">
        <v>72.7</v>
      </c>
      <c r="E878" s="12" t="s">
        <v>5332</v>
      </c>
      <c r="F878" s="12" t="s">
        <v>5328</v>
      </c>
      <c r="G878" s="12" t="s">
        <v>7011</v>
      </c>
      <c r="H878" s="12">
        <v>18697</v>
      </c>
    </row>
    <row r="879" spans="1:8">
      <c r="A879" s="12" t="s">
        <v>7012</v>
      </c>
      <c r="B879" s="13">
        <v>66.900000000000006</v>
      </c>
      <c r="C879" s="16" t="s">
        <v>5331</v>
      </c>
      <c r="D879" s="12">
        <v>200.7</v>
      </c>
      <c r="E879" s="12" t="s">
        <v>5332</v>
      </c>
      <c r="F879" s="12" t="s">
        <v>5328</v>
      </c>
      <c r="G879" s="12" t="s">
        <v>7013</v>
      </c>
      <c r="H879" s="12">
        <v>17552</v>
      </c>
    </row>
    <row r="880" spans="1:8">
      <c r="A880" s="12" t="s">
        <v>7012</v>
      </c>
      <c r="B880" s="13">
        <v>46.93</v>
      </c>
      <c r="C880" s="16" t="s">
        <v>5331</v>
      </c>
      <c r="D880" s="12">
        <v>200.7</v>
      </c>
      <c r="E880" s="12" t="s">
        <v>5332</v>
      </c>
      <c r="F880" s="12" t="s">
        <v>5328</v>
      </c>
      <c r="G880" s="12" t="s">
        <v>7014</v>
      </c>
      <c r="H880" s="12">
        <v>17553</v>
      </c>
    </row>
    <row r="881" spans="1:8">
      <c r="A881" s="12" t="s">
        <v>7015</v>
      </c>
      <c r="B881" s="13">
        <v>50.15</v>
      </c>
      <c r="C881" s="16" t="s">
        <v>5331</v>
      </c>
      <c r="D881" s="12">
        <v>104.25</v>
      </c>
      <c r="E881" s="12" t="s">
        <v>5332</v>
      </c>
      <c r="F881" s="12" t="s">
        <v>5328</v>
      </c>
      <c r="G881" s="12" t="s">
        <v>7016</v>
      </c>
      <c r="H881" s="12">
        <v>17554</v>
      </c>
    </row>
    <row r="882" spans="1:8">
      <c r="A882" s="12" t="s">
        <v>7017</v>
      </c>
      <c r="B882" s="13">
        <v>47.58</v>
      </c>
      <c r="C882" s="16" t="s">
        <v>5331</v>
      </c>
      <c r="D882" s="12">
        <v>166.95</v>
      </c>
      <c r="E882" s="12" t="s">
        <v>5332</v>
      </c>
      <c r="F882" s="12" t="s">
        <v>5328</v>
      </c>
      <c r="G882" s="12" t="s">
        <v>7018</v>
      </c>
      <c r="H882" s="12">
        <v>17555</v>
      </c>
    </row>
    <row r="883" spans="1:8">
      <c r="A883" s="12" t="s">
        <v>7019</v>
      </c>
      <c r="B883" s="13">
        <v>212</v>
      </c>
      <c r="C883" s="16" t="s">
        <v>5331</v>
      </c>
      <c r="D883" s="12">
        <v>576</v>
      </c>
      <c r="E883" s="12" t="s">
        <v>5332</v>
      </c>
      <c r="F883" s="12" t="s">
        <v>5328</v>
      </c>
      <c r="G883" s="12" t="s">
        <v>7020</v>
      </c>
      <c r="H883" s="12">
        <v>17556</v>
      </c>
    </row>
    <row r="884" spans="1:8">
      <c r="A884" s="12" t="s">
        <v>7021</v>
      </c>
      <c r="B884" s="14">
        <v>4823.8999999999996</v>
      </c>
      <c r="C884" s="16" t="s">
        <v>5331</v>
      </c>
      <c r="D884" s="12">
        <v>19962.38</v>
      </c>
      <c r="E884" s="12" t="s">
        <v>5332</v>
      </c>
      <c r="F884" s="12" t="s">
        <v>5328</v>
      </c>
      <c r="G884" s="12" t="s">
        <v>7022</v>
      </c>
      <c r="H884" s="12">
        <v>17557</v>
      </c>
    </row>
    <row r="885" spans="1:8">
      <c r="A885" s="12" t="s">
        <v>7023</v>
      </c>
      <c r="B885" s="13">
        <v>13.76</v>
      </c>
      <c r="C885" s="16" t="s">
        <v>5331</v>
      </c>
      <c r="D885" s="12">
        <v>37.770000000000003</v>
      </c>
      <c r="E885" s="12" t="s">
        <v>5332</v>
      </c>
      <c r="F885" s="12" t="s">
        <v>5328</v>
      </c>
      <c r="G885" s="12" t="s">
        <v>7024</v>
      </c>
      <c r="H885" s="12">
        <v>17558</v>
      </c>
    </row>
    <row r="886" spans="1:8">
      <c r="A886" s="12" t="s">
        <v>7025</v>
      </c>
      <c r="B886" s="13">
        <v>98.77</v>
      </c>
      <c r="C886" s="16" t="s">
        <v>5331</v>
      </c>
      <c r="D886" s="12">
        <v>246</v>
      </c>
      <c r="E886" s="12" t="s">
        <v>5332</v>
      </c>
      <c r="F886" s="12" t="s">
        <v>5328</v>
      </c>
      <c r="G886" s="12" t="s">
        <v>7026</v>
      </c>
      <c r="H886" s="12">
        <v>17559</v>
      </c>
    </row>
    <row r="887" spans="1:8">
      <c r="A887" s="12" t="s">
        <v>7027</v>
      </c>
      <c r="B887" s="13">
        <v>23.08</v>
      </c>
      <c r="C887" s="16" t="s">
        <v>5331</v>
      </c>
      <c r="D887" s="12">
        <v>56.01</v>
      </c>
      <c r="E887" s="12" t="s">
        <v>5332</v>
      </c>
      <c r="F887" s="12" t="s">
        <v>5328</v>
      </c>
      <c r="G887" s="12" t="s">
        <v>7028</v>
      </c>
      <c r="H887" s="12">
        <v>17560</v>
      </c>
    </row>
    <row r="888" spans="1:8">
      <c r="A888" s="12" t="s">
        <v>7029</v>
      </c>
      <c r="B888" s="13">
        <v>4.75</v>
      </c>
      <c r="C888" s="16" t="s">
        <v>5331</v>
      </c>
      <c r="D888" s="12">
        <v>14.25</v>
      </c>
      <c r="E888" s="12" t="s">
        <v>5332</v>
      </c>
      <c r="F888" s="12" t="s">
        <v>5328</v>
      </c>
      <c r="G888" s="12" t="s">
        <v>7030</v>
      </c>
      <c r="H888" s="12">
        <v>17561</v>
      </c>
    </row>
    <row r="889" spans="1:8">
      <c r="A889" s="12" t="s">
        <v>7031</v>
      </c>
      <c r="B889" s="13">
        <v>53.03</v>
      </c>
      <c r="C889" s="16" t="s">
        <v>5331</v>
      </c>
      <c r="D889" s="12">
        <v>168</v>
      </c>
      <c r="E889" s="12" t="s">
        <v>5332</v>
      </c>
      <c r="F889" s="12" t="s">
        <v>5328</v>
      </c>
      <c r="G889" s="12" t="s">
        <v>7032</v>
      </c>
      <c r="H889" s="12">
        <v>17563</v>
      </c>
    </row>
    <row r="890" spans="1:8">
      <c r="A890" s="12" t="s">
        <v>7031</v>
      </c>
      <c r="B890" s="13">
        <v>56</v>
      </c>
      <c r="C890" s="16" t="s">
        <v>5331</v>
      </c>
      <c r="D890" s="12">
        <v>168</v>
      </c>
      <c r="E890" s="12" t="s">
        <v>5332</v>
      </c>
      <c r="F890" s="12" t="s">
        <v>5328</v>
      </c>
      <c r="G890" s="12" t="s">
        <v>7033</v>
      </c>
      <c r="H890" s="12">
        <v>17562</v>
      </c>
    </row>
    <row r="891" spans="1:8">
      <c r="A891" s="12" t="s">
        <v>7034</v>
      </c>
      <c r="B891" s="13">
        <v>44.36</v>
      </c>
      <c r="C891" s="16" t="s">
        <v>5331</v>
      </c>
      <c r="D891" s="12">
        <v>237.81</v>
      </c>
      <c r="E891" s="12" t="s">
        <v>5332</v>
      </c>
      <c r="F891" s="12" t="s">
        <v>5328</v>
      </c>
      <c r="G891" s="12" t="s">
        <v>7035</v>
      </c>
      <c r="H891" s="12">
        <v>17564</v>
      </c>
    </row>
    <row r="892" spans="1:8">
      <c r="A892" s="12" t="s">
        <v>7034</v>
      </c>
      <c r="B892" s="13">
        <v>40.119999999999997</v>
      </c>
      <c r="C892" s="16" t="s">
        <v>5331</v>
      </c>
      <c r="D892" s="12">
        <v>204</v>
      </c>
      <c r="E892" s="12" t="s">
        <v>5332</v>
      </c>
      <c r="F892" s="12" t="s">
        <v>5328</v>
      </c>
      <c r="G892" s="12" t="s">
        <v>7036</v>
      </c>
      <c r="H892" s="12">
        <v>17565</v>
      </c>
    </row>
    <row r="893" spans="1:8">
      <c r="A893" s="12" t="s">
        <v>7037</v>
      </c>
      <c r="B893" s="13">
        <v>23</v>
      </c>
      <c r="C893" s="16" t="s">
        <v>5331</v>
      </c>
      <c r="D893" s="12">
        <v>69</v>
      </c>
      <c r="E893" s="12" t="s">
        <v>5332</v>
      </c>
      <c r="F893" s="12" t="s">
        <v>5328</v>
      </c>
      <c r="G893" s="12" t="s">
        <v>7038</v>
      </c>
      <c r="H893" s="12">
        <v>17566</v>
      </c>
    </row>
    <row r="894" spans="1:8">
      <c r="A894" s="12" t="s">
        <v>7039</v>
      </c>
      <c r="B894" s="13">
        <v>7.65</v>
      </c>
      <c r="C894" s="16" t="s">
        <v>5331</v>
      </c>
      <c r="D894" s="12">
        <v>53.49</v>
      </c>
      <c r="E894" s="12" t="s">
        <v>5332</v>
      </c>
      <c r="F894" s="12" t="s">
        <v>5328</v>
      </c>
      <c r="G894" s="12" t="s">
        <v>7040</v>
      </c>
      <c r="H894" s="12">
        <v>17569</v>
      </c>
    </row>
    <row r="895" spans="1:8">
      <c r="A895" s="12" t="s">
        <v>7039</v>
      </c>
      <c r="B895" s="13">
        <v>7.65</v>
      </c>
      <c r="C895" s="16" t="s">
        <v>5331</v>
      </c>
      <c r="D895" s="12">
        <v>35.659999999999997</v>
      </c>
      <c r="E895" s="12" t="s">
        <v>5332</v>
      </c>
      <c r="F895" s="12" t="s">
        <v>5328</v>
      </c>
      <c r="G895" s="12" t="s">
        <v>7040</v>
      </c>
      <c r="H895" s="12">
        <v>17569</v>
      </c>
    </row>
    <row r="896" spans="1:8">
      <c r="A896" s="12" t="s">
        <v>7041</v>
      </c>
      <c r="B896" s="13">
        <v>29.93</v>
      </c>
      <c r="C896" s="16" t="s">
        <v>5331</v>
      </c>
      <c r="D896" s="12">
        <v>89.79</v>
      </c>
      <c r="E896" s="12" t="s">
        <v>5332</v>
      </c>
      <c r="F896" s="12" t="s">
        <v>5328</v>
      </c>
      <c r="G896" s="12" t="s">
        <v>7042</v>
      </c>
      <c r="H896" s="12">
        <v>17570</v>
      </c>
    </row>
    <row r="897" spans="1:8">
      <c r="A897" s="12" t="s">
        <v>7043</v>
      </c>
      <c r="B897" s="13">
        <v>23.79</v>
      </c>
      <c r="C897" s="16" t="s">
        <v>5331</v>
      </c>
      <c r="D897" s="12">
        <v>134.66999999999999</v>
      </c>
      <c r="E897" s="12" t="s">
        <v>5332</v>
      </c>
      <c r="F897" s="12" t="s">
        <v>5328</v>
      </c>
      <c r="G897" s="12" t="s">
        <v>7044</v>
      </c>
      <c r="H897" s="12">
        <v>17571</v>
      </c>
    </row>
    <row r="898" spans="1:8">
      <c r="A898" s="12" t="s">
        <v>7043</v>
      </c>
      <c r="B898" s="13">
        <v>23.79</v>
      </c>
      <c r="C898" s="16" t="s">
        <v>5331</v>
      </c>
      <c r="D898" s="12">
        <v>89.78</v>
      </c>
      <c r="E898" s="12" t="s">
        <v>5332</v>
      </c>
      <c r="F898" s="12" t="s">
        <v>5328</v>
      </c>
      <c r="G898" s="12" t="s">
        <v>7044</v>
      </c>
      <c r="H898" s="12">
        <v>17571</v>
      </c>
    </row>
    <row r="899" spans="1:8">
      <c r="A899" s="12" t="s">
        <v>7045</v>
      </c>
      <c r="B899" s="13">
        <v>18</v>
      </c>
      <c r="C899" s="16" t="s">
        <v>5331</v>
      </c>
      <c r="D899" s="12">
        <v>94.5</v>
      </c>
      <c r="E899" s="12" t="s">
        <v>5332</v>
      </c>
      <c r="F899" s="12" t="s">
        <v>5328</v>
      </c>
      <c r="G899" s="12" t="s">
        <v>7046</v>
      </c>
      <c r="H899" s="12">
        <v>17572</v>
      </c>
    </row>
    <row r="900" spans="1:8">
      <c r="A900" s="12" t="s">
        <v>7047</v>
      </c>
      <c r="B900" s="13">
        <v>68</v>
      </c>
      <c r="C900" s="16" t="s">
        <v>5331</v>
      </c>
      <c r="D900" s="12">
        <v>204</v>
      </c>
      <c r="E900" s="12" t="s">
        <v>5332</v>
      </c>
      <c r="F900" s="12" t="s">
        <v>5328</v>
      </c>
      <c r="G900" s="12" t="s">
        <v>7048</v>
      </c>
      <c r="H900" s="12">
        <v>17573</v>
      </c>
    </row>
    <row r="901" spans="1:8">
      <c r="A901" s="12" t="s">
        <v>7049</v>
      </c>
      <c r="B901" s="13">
        <v>480</v>
      </c>
      <c r="C901" s="16" t="s">
        <v>5331</v>
      </c>
      <c r="D901" s="12">
        <v>1440</v>
      </c>
      <c r="E901" s="12" t="s">
        <v>5332</v>
      </c>
      <c r="F901" s="12" t="s">
        <v>5328</v>
      </c>
      <c r="G901" s="12" t="s">
        <v>7050</v>
      </c>
      <c r="H901" s="12">
        <v>36942</v>
      </c>
    </row>
    <row r="902" spans="1:8">
      <c r="A902" s="12" t="s">
        <v>7051</v>
      </c>
      <c r="B902" s="13">
        <v>1.1399999999999999</v>
      </c>
      <c r="C902" s="16" t="s">
        <v>5331</v>
      </c>
      <c r="D902" s="12">
        <v>3.42</v>
      </c>
      <c r="E902" s="12" t="s">
        <v>5332</v>
      </c>
      <c r="F902" s="12" t="s">
        <v>5328</v>
      </c>
      <c r="G902" s="12" t="s">
        <v>7052</v>
      </c>
      <c r="H902" s="12">
        <v>16309</v>
      </c>
    </row>
    <row r="903" spans="1:8">
      <c r="A903" s="12" t="s">
        <v>7053</v>
      </c>
      <c r="B903" s="14">
        <v>7200</v>
      </c>
      <c r="C903" s="16" t="s">
        <v>5331</v>
      </c>
      <c r="D903" s="12">
        <v>21600</v>
      </c>
      <c r="E903" s="12" t="s">
        <v>5332</v>
      </c>
      <c r="F903" s="12" t="s">
        <v>5328</v>
      </c>
      <c r="G903" s="12" t="s">
        <v>7054</v>
      </c>
      <c r="H903" s="12">
        <v>47975</v>
      </c>
    </row>
    <row r="904" spans="1:8">
      <c r="A904" s="12" t="s">
        <v>7055</v>
      </c>
      <c r="B904" s="13">
        <v>38.24</v>
      </c>
      <c r="C904" s="16" t="s">
        <v>5331</v>
      </c>
      <c r="D904" s="12">
        <v>69</v>
      </c>
      <c r="E904" s="12" t="s">
        <v>5332</v>
      </c>
      <c r="F904" s="12" t="s">
        <v>5328</v>
      </c>
      <c r="G904" s="12" t="s">
        <v>7056</v>
      </c>
      <c r="H904" s="12">
        <v>39514</v>
      </c>
    </row>
    <row r="905" spans="1:8">
      <c r="A905" s="12" t="s">
        <v>7057</v>
      </c>
      <c r="B905" s="13">
        <v>51.9</v>
      </c>
      <c r="C905" s="16" t="s">
        <v>5331</v>
      </c>
      <c r="D905" s="12">
        <v>82.5</v>
      </c>
      <c r="E905" s="12" t="s">
        <v>5332</v>
      </c>
      <c r="F905" s="12" t="s">
        <v>5328</v>
      </c>
      <c r="G905" s="12" t="s">
        <v>7058</v>
      </c>
      <c r="H905" s="12">
        <v>39515</v>
      </c>
    </row>
    <row r="906" spans="1:8">
      <c r="A906" s="12" t="s">
        <v>7059</v>
      </c>
      <c r="B906" s="13">
        <v>16.62</v>
      </c>
      <c r="C906" s="16" t="s">
        <v>5331</v>
      </c>
      <c r="D906" s="12">
        <v>37.770000000000003</v>
      </c>
      <c r="E906" s="12" t="s">
        <v>5332</v>
      </c>
      <c r="F906" s="12" t="s">
        <v>5328</v>
      </c>
      <c r="G906" s="12" t="s">
        <v>7060</v>
      </c>
      <c r="H906" s="12">
        <v>39516</v>
      </c>
    </row>
    <row r="907" spans="1:8">
      <c r="A907" s="12" t="s">
        <v>7061</v>
      </c>
      <c r="B907" s="13">
        <v>376.28</v>
      </c>
      <c r="C907" s="16" t="s">
        <v>5331</v>
      </c>
      <c r="D907" s="12">
        <v>1129.8599999999999</v>
      </c>
      <c r="E907" s="12" t="s">
        <v>5332</v>
      </c>
      <c r="F907" s="12" t="s">
        <v>5328</v>
      </c>
      <c r="G907" s="12" t="s">
        <v>7062</v>
      </c>
      <c r="H907" s="12">
        <v>39517</v>
      </c>
    </row>
    <row r="908" spans="1:8">
      <c r="A908" s="12" t="s">
        <v>7063</v>
      </c>
      <c r="B908" s="13">
        <v>24.28</v>
      </c>
      <c r="C908" s="16" t="s">
        <v>5331</v>
      </c>
      <c r="D908" s="12">
        <v>61.14</v>
      </c>
      <c r="E908" s="12" t="s">
        <v>5332</v>
      </c>
      <c r="F908" s="12" t="s">
        <v>5328</v>
      </c>
      <c r="G908" s="12" t="s">
        <v>7064</v>
      </c>
      <c r="H908" s="12">
        <v>39611</v>
      </c>
    </row>
    <row r="909" spans="1:8">
      <c r="A909" s="12" t="s">
        <v>7065</v>
      </c>
      <c r="B909" s="13">
        <v>17.98</v>
      </c>
      <c r="C909" s="16" t="s">
        <v>5331</v>
      </c>
      <c r="D909" s="12">
        <v>45.3</v>
      </c>
      <c r="E909" s="12" t="s">
        <v>5332</v>
      </c>
      <c r="F909" s="12" t="s">
        <v>5328</v>
      </c>
      <c r="G909" s="12" t="s">
        <v>7066</v>
      </c>
      <c r="H909" s="12">
        <v>39518</v>
      </c>
    </row>
    <row r="910" spans="1:8">
      <c r="A910" s="12" t="s">
        <v>7067</v>
      </c>
      <c r="B910" s="13">
        <v>19.93</v>
      </c>
      <c r="C910" s="16" t="s">
        <v>5331</v>
      </c>
      <c r="D910" s="12">
        <v>50.19</v>
      </c>
      <c r="E910" s="12" t="s">
        <v>5332</v>
      </c>
      <c r="F910" s="12" t="s">
        <v>5328</v>
      </c>
      <c r="G910" s="12" t="s">
        <v>7068</v>
      </c>
      <c r="H910" s="12">
        <v>39519</v>
      </c>
    </row>
    <row r="911" spans="1:8">
      <c r="A911" s="12" t="s">
        <v>7069</v>
      </c>
      <c r="B911" s="13">
        <v>30.42</v>
      </c>
      <c r="C911" s="16" t="s">
        <v>5331</v>
      </c>
      <c r="D911" s="12">
        <v>76.59</v>
      </c>
      <c r="E911" s="12" t="s">
        <v>5332</v>
      </c>
      <c r="F911" s="12" t="s">
        <v>5328</v>
      </c>
      <c r="G911" s="12" t="s">
        <v>7070</v>
      </c>
      <c r="H911" s="12">
        <v>39520</v>
      </c>
    </row>
    <row r="912" spans="1:8">
      <c r="A912" s="12" t="s">
        <v>7071</v>
      </c>
      <c r="B912" s="13">
        <v>24.83</v>
      </c>
      <c r="C912" s="16" t="s">
        <v>5331</v>
      </c>
      <c r="D912" s="12">
        <v>63.66</v>
      </c>
      <c r="E912" s="12" t="s">
        <v>5332</v>
      </c>
      <c r="F912" s="12" t="s">
        <v>5328</v>
      </c>
      <c r="G912" s="12" t="s">
        <v>7072</v>
      </c>
      <c r="H912" s="12">
        <v>39612</v>
      </c>
    </row>
    <row r="913" spans="1:8">
      <c r="A913" s="12" t="s">
        <v>7073</v>
      </c>
      <c r="B913" s="13">
        <v>21.02</v>
      </c>
      <c r="C913" s="16" t="s">
        <v>5331</v>
      </c>
      <c r="D913" s="12">
        <v>53.88</v>
      </c>
      <c r="E913" s="12" t="s">
        <v>5332</v>
      </c>
      <c r="F913" s="12" t="s">
        <v>5328</v>
      </c>
      <c r="G913" s="12" t="s">
        <v>7074</v>
      </c>
      <c r="H913" s="12">
        <v>39613</v>
      </c>
    </row>
    <row r="914" spans="1:8">
      <c r="A914" s="12" t="s">
        <v>7075</v>
      </c>
      <c r="B914" s="13">
        <v>48.8</v>
      </c>
      <c r="C914" s="16" t="s">
        <v>5331</v>
      </c>
      <c r="D914" s="12">
        <v>122.91</v>
      </c>
      <c r="E914" s="12" t="s">
        <v>5332</v>
      </c>
      <c r="F914" s="12" t="s">
        <v>5328</v>
      </c>
      <c r="G914" s="12" t="s">
        <v>7076</v>
      </c>
      <c r="H914" s="12">
        <v>39521</v>
      </c>
    </row>
    <row r="915" spans="1:8">
      <c r="A915" s="12" t="s">
        <v>7077</v>
      </c>
      <c r="B915" s="13">
        <v>27.62</v>
      </c>
      <c r="C915" s="16" t="s">
        <v>5331</v>
      </c>
      <c r="D915" s="12">
        <v>69.540000000000006</v>
      </c>
      <c r="E915" s="12" t="s">
        <v>5332</v>
      </c>
      <c r="F915" s="12" t="s">
        <v>5328</v>
      </c>
      <c r="G915" s="12" t="s">
        <v>7078</v>
      </c>
      <c r="H915" s="12">
        <v>39522</v>
      </c>
    </row>
    <row r="916" spans="1:8">
      <c r="A916" s="12" t="s">
        <v>7079</v>
      </c>
      <c r="B916" s="13">
        <v>27.62</v>
      </c>
      <c r="C916" s="16" t="s">
        <v>5331</v>
      </c>
      <c r="D916" s="12">
        <v>69.540000000000006</v>
      </c>
      <c r="E916" s="12" t="s">
        <v>5332</v>
      </c>
      <c r="F916" s="12" t="s">
        <v>5328</v>
      </c>
      <c r="G916" s="12" t="s">
        <v>7080</v>
      </c>
      <c r="H916" s="12">
        <v>39523</v>
      </c>
    </row>
    <row r="917" spans="1:8">
      <c r="A917" s="12" t="s">
        <v>7081</v>
      </c>
      <c r="B917" s="13">
        <v>21.21</v>
      </c>
      <c r="C917" s="16" t="s">
        <v>5331</v>
      </c>
      <c r="D917" s="12">
        <v>31.5</v>
      </c>
      <c r="E917" s="12" t="s">
        <v>5332</v>
      </c>
      <c r="F917" s="12" t="s">
        <v>5328</v>
      </c>
      <c r="G917" s="12" t="s">
        <v>7082</v>
      </c>
      <c r="H917" s="12">
        <v>39524</v>
      </c>
    </row>
    <row r="918" spans="1:8">
      <c r="A918" s="12" t="s">
        <v>7083</v>
      </c>
      <c r="B918" s="13">
        <v>11.4</v>
      </c>
      <c r="C918" s="16" t="s">
        <v>5331</v>
      </c>
      <c r="D918" s="12">
        <v>30</v>
      </c>
      <c r="E918" s="12" t="s">
        <v>5332</v>
      </c>
      <c r="F918" s="12" t="s">
        <v>5328</v>
      </c>
      <c r="G918" s="12" t="s">
        <v>7084</v>
      </c>
      <c r="H918" s="12">
        <v>39614</v>
      </c>
    </row>
    <row r="919" spans="1:8">
      <c r="A919" s="12" t="s">
        <v>7085</v>
      </c>
      <c r="B919" s="13">
        <v>3.08</v>
      </c>
      <c r="C919" s="16" t="s">
        <v>5331</v>
      </c>
      <c r="D919" s="12">
        <v>7.74</v>
      </c>
      <c r="E919" s="12" t="s">
        <v>5332</v>
      </c>
      <c r="F919" s="12" t="s">
        <v>5328</v>
      </c>
      <c r="G919" s="12" t="s">
        <v>7086</v>
      </c>
      <c r="H919" s="12">
        <v>39615</v>
      </c>
    </row>
    <row r="920" spans="1:8">
      <c r="A920" s="12" t="s">
        <v>7087</v>
      </c>
      <c r="B920" s="13">
        <v>618.67999999999995</v>
      </c>
      <c r="C920" s="16" t="s">
        <v>5331</v>
      </c>
      <c r="D920" s="12">
        <v>979.41</v>
      </c>
      <c r="E920" s="12" t="s">
        <v>5332</v>
      </c>
      <c r="F920" s="12" t="s">
        <v>5328</v>
      </c>
      <c r="G920" s="12" t="s">
        <v>7088</v>
      </c>
      <c r="H920" s="12">
        <v>39525</v>
      </c>
    </row>
    <row r="921" spans="1:8">
      <c r="A921" s="12" t="s">
        <v>7087</v>
      </c>
      <c r="B921" s="13">
        <v>618.67999999999995</v>
      </c>
      <c r="C921" s="16" t="s">
        <v>5331</v>
      </c>
      <c r="D921" s="12">
        <v>652.94000000000005</v>
      </c>
      <c r="E921" s="12" t="s">
        <v>5332</v>
      </c>
      <c r="F921" s="12" t="s">
        <v>5328</v>
      </c>
      <c r="G921" s="12" t="s">
        <v>7088</v>
      </c>
      <c r="H921" s="12">
        <v>39525</v>
      </c>
    </row>
    <row r="922" spans="1:8">
      <c r="A922" s="12" t="s">
        <v>7089</v>
      </c>
      <c r="B922" s="13">
        <v>381.83</v>
      </c>
      <c r="C922" s="16" t="s">
        <v>5331</v>
      </c>
      <c r="D922" s="12">
        <v>749.85</v>
      </c>
      <c r="E922" s="12" t="s">
        <v>5332</v>
      </c>
      <c r="F922" s="12" t="s">
        <v>5328</v>
      </c>
      <c r="G922" s="12" t="s">
        <v>7090</v>
      </c>
      <c r="H922" s="12">
        <v>46939</v>
      </c>
    </row>
    <row r="923" spans="1:8">
      <c r="A923" s="12" t="s">
        <v>7091</v>
      </c>
      <c r="B923" s="13">
        <v>42.29</v>
      </c>
      <c r="C923" s="16" t="s">
        <v>5331</v>
      </c>
      <c r="D923" s="12">
        <v>222.03</v>
      </c>
      <c r="E923" s="12" t="s">
        <v>5332</v>
      </c>
      <c r="F923" s="12" t="s">
        <v>5328</v>
      </c>
      <c r="G923" s="12" t="s">
        <v>7092</v>
      </c>
      <c r="H923" s="12">
        <v>46940</v>
      </c>
    </row>
    <row r="924" spans="1:8">
      <c r="A924" s="12" t="s">
        <v>7093</v>
      </c>
      <c r="B924" s="13">
        <v>90</v>
      </c>
      <c r="C924" s="16" t="s">
        <v>5331</v>
      </c>
      <c r="D924" s="12">
        <v>0.20064000000000001</v>
      </c>
      <c r="E924" s="12" t="s">
        <v>5332</v>
      </c>
      <c r="F924" s="12" t="s">
        <v>5328</v>
      </c>
      <c r="G924" s="12" t="s">
        <v>7094</v>
      </c>
      <c r="H924" s="12">
        <v>12325</v>
      </c>
    </row>
    <row r="925" spans="1:8">
      <c r="A925" s="12" t="s">
        <v>7095</v>
      </c>
      <c r="B925" s="13">
        <v>77</v>
      </c>
      <c r="C925" s="16" t="s">
        <v>5331</v>
      </c>
      <c r="D925" s="12">
        <v>43.47</v>
      </c>
      <c r="E925" s="12" t="s">
        <v>5332</v>
      </c>
      <c r="F925" s="12" t="s">
        <v>5328</v>
      </c>
      <c r="G925" s="12" t="s">
        <v>7096</v>
      </c>
      <c r="H925" s="12">
        <v>12298</v>
      </c>
    </row>
    <row r="926" spans="1:8">
      <c r="A926" s="12" t="s">
        <v>7095</v>
      </c>
      <c r="B926" s="13">
        <v>77</v>
      </c>
      <c r="C926" s="16" t="s">
        <v>5331</v>
      </c>
      <c r="D926" s="12">
        <v>28.98</v>
      </c>
      <c r="E926" s="12" t="s">
        <v>5332</v>
      </c>
      <c r="F926" s="12" t="s">
        <v>5328</v>
      </c>
      <c r="G926" s="12" t="s">
        <v>7096</v>
      </c>
      <c r="H926" s="12">
        <v>12298</v>
      </c>
    </row>
    <row r="927" spans="1:8">
      <c r="A927" s="12" t="s">
        <v>7097</v>
      </c>
      <c r="B927" s="13">
        <v>20.68</v>
      </c>
      <c r="C927" s="16" t="s">
        <v>5331</v>
      </c>
      <c r="D927" s="12">
        <v>61.95</v>
      </c>
      <c r="E927" s="12" t="s">
        <v>5332</v>
      </c>
      <c r="F927" s="12" t="s">
        <v>5328</v>
      </c>
      <c r="G927" s="12" t="s">
        <v>7098</v>
      </c>
      <c r="H927" s="12">
        <v>55086</v>
      </c>
    </row>
    <row r="928" spans="1:8">
      <c r="A928" s="12" t="s">
        <v>7099</v>
      </c>
      <c r="B928" s="13">
        <v>3.69</v>
      </c>
      <c r="C928" s="16" t="s">
        <v>5331</v>
      </c>
      <c r="D928" s="12">
        <v>7.65</v>
      </c>
      <c r="E928" s="12" t="s">
        <v>5332</v>
      </c>
      <c r="F928" s="12" t="s">
        <v>5328</v>
      </c>
      <c r="G928" s="12" t="s">
        <v>7100</v>
      </c>
      <c r="H928" s="12">
        <v>49921</v>
      </c>
    </row>
    <row r="929" spans="1:8">
      <c r="A929" s="12" t="s">
        <v>7101</v>
      </c>
      <c r="B929" s="13">
        <v>4.03</v>
      </c>
      <c r="C929" s="16" t="s">
        <v>5331</v>
      </c>
      <c r="D929" s="12">
        <v>8.19</v>
      </c>
      <c r="E929" s="12" t="s">
        <v>5332</v>
      </c>
      <c r="F929" s="12" t="s">
        <v>5328</v>
      </c>
      <c r="G929" s="12" t="s">
        <v>7102</v>
      </c>
      <c r="H929" s="12">
        <v>49922</v>
      </c>
    </row>
    <row r="930" spans="1:8">
      <c r="A930" s="12" t="s">
        <v>7103</v>
      </c>
      <c r="B930" s="13">
        <v>4.34</v>
      </c>
      <c r="C930" s="16" t="s">
        <v>5331</v>
      </c>
      <c r="D930" s="12">
        <v>8.76</v>
      </c>
      <c r="E930" s="12" t="s">
        <v>5332</v>
      </c>
      <c r="F930" s="12" t="s">
        <v>5328</v>
      </c>
      <c r="G930" s="12" t="s">
        <v>7104</v>
      </c>
      <c r="H930" s="12">
        <v>49923</v>
      </c>
    </row>
    <row r="931" spans="1:8">
      <c r="A931" s="12" t="s">
        <v>7105</v>
      </c>
      <c r="B931" s="13">
        <v>5.09</v>
      </c>
      <c r="C931" s="16" t="s">
        <v>5331</v>
      </c>
      <c r="D931" s="12">
        <v>10.23</v>
      </c>
      <c r="E931" s="12" t="s">
        <v>5332</v>
      </c>
      <c r="F931" s="12" t="s">
        <v>5328</v>
      </c>
      <c r="G931" s="12" t="s">
        <v>7106</v>
      </c>
      <c r="H931" s="12">
        <v>49924</v>
      </c>
    </row>
    <row r="932" spans="1:8">
      <c r="A932" s="12" t="s">
        <v>7107</v>
      </c>
      <c r="B932" s="13">
        <v>5.17</v>
      </c>
      <c r="C932" s="16" t="s">
        <v>5331</v>
      </c>
      <c r="D932" s="12">
        <v>11.07</v>
      </c>
      <c r="E932" s="12" t="s">
        <v>5332</v>
      </c>
      <c r="F932" s="12" t="s">
        <v>5328</v>
      </c>
      <c r="G932" s="12" t="s">
        <v>7108</v>
      </c>
      <c r="H932" s="12">
        <v>49925</v>
      </c>
    </row>
    <row r="933" spans="1:8">
      <c r="A933" s="12" t="s">
        <v>7109</v>
      </c>
      <c r="B933" s="13">
        <v>8.9499999999999993</v>
      </c>
      <c r="C933" s="16" t="s">
        <v>5331</v>
      </c>
      <c r="D933" s="12">
        <v>53.4</v>
      </c>
      <c r="E933" s="12" t="s">
        <v>5332</v>
      </c>
      <c r="F933" s="12" t="s">
        <v>5328</v>
      </c>
      <c r="G933" s="12" t="s">
        <v>7110</v>
      </c>
      <c r="H933" s="12">
        <v>16684</v>
      </c>
    </row>
    <row r="934" spans="1:8">
      <c r="A934" s="12" t="s">
        <v>7111</v>
      </c>
      <c r="B934" s="13">
        <v>606.35</v>
      </c>
      <c r="C934" s="16" t="s">
        <v>5331</v>
      </c>
      <c r="D934" s="12">
        <v>4139.1000000000004</v>
      </c>
      <c r="E934" s="12" t="s">
        <v>5332</v>
      </c>
      <c r="F934" s="12" t="s">
        <v>5328</v>
      </c>
      <c r="G934" s="12" t="s">
        <v>7112</v>
      </c>
      <c r="H934" s="12">
        <v>101349</v>
      </c>
    </row>
    <row r="935" spans="1:8">
      <c r="A935" s="12" t="s">
        <v>7111</v>
      </c>
      <c r="B935" s="13">
        <v>0</v>
      </c>
      <c r="C935" s="16" t="s">
        <v>5331</v>
      </c>
      <c r="D935" s="12">
        <v>2628</v>
      </c>
      <c r="E935" s="12" t="s">
        <v>5332</v>
      </c>
      <c r="F935" s="12" t="s">
        <v>5328</v>
      </c>
      <c r="G935" s="12" t="s">
        <v>7113</v>
      </c>
      <c r="H935" s="12">
        <v>204711</v>
      </c>
    </row>
    <row r="936" spans="1:8">
      <c r="A936" s="12" t="s">
        <v>7111</v>
      </c>
      <c r="B936" s="13">
        <v>0</v>
      </c>
      <c r="C936" s="16" t="s">
        <v>5331</v>
      </c>
      <c r="D936" s="12">
        <v>2628</v>
      </c>
      <c r="E936" s="12" t="s">
        <v>5332</v>
      </c>
      <c r="F936" s="12" t="s">
        <v>5328</v>
      </c>
      <c r="G936" s="12" t="s">
        <v>7114</v>
      </c>
      <c r="H936" s="12">
        <v>208519</v>
      </c>
    </row>
    <row r="937" spans="1:8">
      <c r="A937" s="12" t="s">
        <v>7111</v>
      </c>
      <c r="B937" s="13">
        <v>0</v>
      </c>
      <c r="C937" s="16" t="s">
        <v>5331</v>
      </c>
      <c r="D937" s="12">
        <v>2628</v>
      </c>
      <c r="E937" s="12" t="s">
        <v>5332</v>
      </c>
      <c r="F937" s="12" t="s">
        <v>5328</v>
      </c>
      <c r="G937" s="12" t="s">
        <v>7115</v>
      </c>
      <c r="H937" s="12">
        <v>204735</v>
      </c>
    </row>
    <row r="938" spans="1:8">
      <c r="A938" s="12" t="s">
        <v>7116</v>
      </c>
      <c r="B938" s="13">
        <v>13.34</v>
      </c>
      <c r="C938" s="16" t="s">
        <v>5331</v>
      </c>
      <c r="D938" s="12">
        <v>89.78</v>
      </c>
      <c r="E938" s="12" t="s">
        <v>5332</v>
      </c>
      <c r="F938" s="12" t="s">
        <v>5328</v>
      </c>
      <c r="G938" s="12" t="s">
        <v>7117</v>
      </c>
      <c r="H938" s="12">
        <v>102180</v>
      </c>
    </row>
    <row r="939" spans="1:8">
      <c r="A939" s="12" t="s">
        <v>7118</v>
      </c>
      <c r="B939" s="13">
        <v>88.06</v>
      </c>
      <c r="C939" s="16" t="s">
        <v>5331</v>
      </c>
      <c r="D939" s="12">
        <v>336.87</v>
      </c>
      <c r="E939" s="12" t="s">
        <v>5332</v>
      </c>
      <c r="F939" s="12" t="s">
        <v>5328</v>
      </c>
      <c r="G939" s="12" t="s">
        <v>7119</v>
      </c>
      <c r="H939" s="12">
        <v>112905</v>
      </c>
    </row>
    <row r="940" spans="1:8">
      <c r="A940" s="12" t="s">
        <v>7120</v>
      </c>
      <c r="B940" s="13">
        <v>411.81</v>
      </c>
      <c r="C940" s="16" t="s">
        <v>5331</v>
      </c>
      <c r="D940" s="12">
        <v>4513.41</v>
      </c>
      <c r="E940" s="12" t="s">
        <v>5332</v>
      </c>
      <c r="F940" s="12" t="s">
        <v>5328</v>
      </c>
      <c r="G940" s="12" t="s">
        <v>7121</v>
      </c>
      <c r="H940" s="12">
        <v>112808</v>
      </c>
    </row>
    <row r="941" spans="1:8">
      <c r="A941" s="12" t="s">
        <v>7122</v>
      </c>
      <c r="B941" s="13">
        <v>0</v>
      </c>
      <c r="C941" s="16" t="s">
        <v>5331</v>
      </c>
      <c r="D941" s="12">
        <v>0</v>
      </c>
      <c r="E941" s="12" t="s">
        <v>5332</v>
      </c>
      <c r="F941" s="12" t="s">
        <v>5328</v>
      </c>
      <c r="G941" s="12" t="s">
        <v>7123</v>
      </c>
      <c r="H941" s="12">
        <v>18698</v>
      </c>
    </row>
    <row r="942" spans="1:8">
      <c r="A942" s="12" t="s">
        <v>7124</v>
      </c>
      <c r="B942" s="14">
        <v>2164.59</v>
      </c>
      <c r="C942" s="16" t="s">
        <v>5331</v>
      </c>
      <c r="D942" s="12">
        <v>9827.9599999999991</v>
      </c>
      <c r="E942" s="12" t="s">
        <v>5332</v>
      </c>
      <c r="F942" s="12" t="s">
        <v>5328</v>
      </c>
      <c r="G942" s="12" t="s">
        <v>7125</v>
      </c>
      <c r="H942" s="12">
        <v>88653</v>
      </c>
    </row>
    <row r="943" spans="1:8">
      <c r="A943" s="12" t="s">
        <v>7124</v>
      </c>
      <c r="B943" s="14">
        <v>1978.75</v>
      </c>
      <c r="C943" s="16" t="s">
        <v>5331</v>
      </c>
      <c r="D943" s="12">
        <v>3472.26</v>
      </c>
      <c r="E943" s="12" t="s">
        <v>5332</v>
      </c>
      <c r="F943" s="12" t="s">
        <v>5328</v>
      </c>
      <c r="G943" s="12" t="s">
        <v>7126</v>
      </c>
      <c r="H943" s="12">
        <v>39708</v>
      </c>
    </row>
    <row r="944" spans="1:8">
      <c r="A944" s="12" t="s">
        <v>7124</v>
      </c>
      <c r="B944" s="14">
        <v>1978.75</v>
      </c>
      <c r="C944" s="16" t="s">
        <v>5331</v>
      </c>
      <c r="D944" s="12">
        <v>2314.84</v>
      </c>
      <c r="E944" s="12" t="s">
        <v>5332</v>
      </c>
      <c r="F944" s="12" t="s">
        <v>5328</v>
      </c>
      <c r="G944" s="12" t="s">
        <v>7126</v>
      </c>
      <c r="H944" s="12">
        <v>39708</v>
      </c>
    </row>
    <row r="945" spans="1:8">
      <c r="A945" s="12" t="s">
        <v>7124</v>
      </c>
      <c r="B945" s="13">
        <v>0</v>
      </c>
      <c r="C945" s="16" t="s">
        <v>5331</v>
      </c>
      <c r="D945" s="12">
        <v>6239.97</v>
      </c>
      <c r="E945" s="12" t="s">
        <v>5332</v>
      </c>
      <c r="F945" s="12" t="s">
        <v>5328</v>
      </c>
      <c r="G945" s="12" t="s">
        <v>7127</v>
      </c>
      <c r="H945" s="12">
        <v>204713</v>
      </c>
    </row>
    <row r="946" spans="1:8">
      <c r="A946" s="12" t="s">
        <v>7124</v>
      </c>
      <c r="B946" s="13">
        <v>0</v>
      </c>
      <c r="C946" s="16" t="s">
        <v>5331</v>
      </c>
      <c r="D946" s="12">
        <v>6239.97</v>
      </c>
      <c r="E946" s="12" t="s">
        <v>5332</v>
      </c>
      <c r="F946" s="12" t="s">
        <v>5328</v>
      </c>
      <c r="G946" s="12" t="s">
        <v>7128</v>
      </c>
      <c r="H946" s="12">
        <v>208521</v>
      </c>
    </row>
    <row r="947" spans="1:8">
      <c r="A947" s="12" t="s">
        <v>7124</v>
      </c>
      <c r="B947" s="13">
        <v>0</v>
      </c>
      <c r="C947" s="16" t="s">
        <v>5331</v>
      </c>
      <c r="D947" s="12">
        <v>6239.97</v>
      </c>
      <c r="E947" s="12" t="s">
        <v>5332</v>
      </c>
      <c r="F947" s="12" t="s">
        <v>5328</v>
      </c>
      <c r="G947" s="12" t="s">
        <v>7129</v>
      </c>
      <c r="H947" s="12">
        <v>204737</v>
      </c>
    </row>
    <row r="948" spans="1:8">
      <c r="A948" s="12" t="s">
        <v>7130</v>
      </c>
      <c r="B948" s="13">
        <v>265</v>
      </c>
      <c r="C948" s="16" t="s">
        <v>5331</v>
      </c>
      <c r="D948" s="12">
        <v>992.25</v>
      </c>
      <c r="E948" s="12" t="s">
        <v>5332</v>
      </c>
      <c r="F948" s="12" t="s">
        <v>5328</v>
      </c>
      <c r="G948" s="12" t="s">
        <v>7131</v>
      </c>
      <c r="H948" s="12">
        <v>39332</v>
      </c>
    </row>
    <row r="949" spans="1:8">
      <c r="A949" s="12" t="s">
        <v>7132</v>
      </c>
      <c r="B949" s="13">
        <v>299.41000000000003</v>
      </c>
      <c r="C949" s="16" t="s">
        <v>5331</v>
      </c>
      <c r="D949" s="12">
        <v>1039.5</v>
      </c>
      <c r="E949" s="12" t="s">
        <v>5332</v>
      </c>
      <c r="F949" s="12" t="s">
        <v>5328</v>
      </c>
      <c r="G949" s="12" t="s">
        <v>7133</v>
      </c>
      <c r="H949" s="12">
        <v>48075</v>
      </c>
    </row>
    <row r="950" spans="1:8">
      <c r="A950" s="12" t="s">
        <v>7134</v>
      </c>
      <c r="B950" s="13">
        <v>6.65</v>
      </c>
      <c r="C950" s="16" t="s">
        <v>5331</v>
      </c>
      <c r="D950" s="12">
        <v>19.95</v>
      </c>
      <c r="E950" s="12" t="s">
        <v>5332</v>
      </c>
      <c r="F950" s="12" t="s">
        <v>5328</v>
      </c>
      <c r="G950" s="12" t="s">
        <v>7135</v>
      </c>
      <c r="H950" s="12">
        <v>54664</v>
      </c>
    </row>
    <row r="951" spans="1:8">
      <c r="A951" s="12" t="s">
        <v>7136</v>
      </c>
      <c r="B951" s="13">
        <v>425</v>
      </c>
      <c r="C951" s="16" t="s">
        <v>5331</v>
      </c>
      <c r="D951" s="12">
        <v>0.5</v>
      </c>
      <c r="E951" s="12" t="s">
        <v>5332</v>
      </c>
      <c r="F951" s="12" t="s">
        <v>5328</v>
      </c>
      <c r="G951" s="12" t="s">
        <v>7137</v>
      </c>
      <c r="H951" s="12">
        <v>54665</v>
      </c>
    </row>
    <row r="952" spans="1:8">
      <c r="A952" s="12" t="s">
        <v>7138</v>
      </c>
      <c r="B952" s="13">
        <v>438</v>
      </c>
      <c r="C952" s="16" t="s">
        <v>5331</v>
      </c>
      <c r="D952" s="12">
        <v>1.32728</v>
      </c>
      <c r="E952" s="12" t="s">
        <v>5332</v>
      </c>
      <c r="F952" s="12" t="s">
        <v>5328</v>
      </c>
      <c r="G952" s="12" t="s">
        <v>7139</v>
      </c>
      <c r="H952" s="12">
        <v>54666</v>
      </c>
    </row>
    <row r="953" spans="1:8">
      <c r="A953" s="12" t="s">
        <v>7140</v>
      </c>
      <c r="B953" s="13">
        <v>157.47</v>
      </c>
      <c r="C953" s="16" t="s">
        <v>5331</v>
      </c>
      <c r="D953" s="12">
        <v>0.89981999999999995</v>
      </c>
      <c r="E953" s="12" t="s">
        <v>5332</v>
      </c>
      <c r="F953" s="12" t="s">
        <v>5328</v>
      </c>
      <c r="G953" s="12" t="s">
        <v>7141</v>
      </c>
      <c r="H953" s="12">
        <v>54667</v>
      </c>
    </row>
    <row r="954" spans="1:8">
      <c r="A954" s="12" t="s">
        <v>7142</v>
      </c>
      <c r="B954" s="13">
        <v>602.37</v>
      </c>
      <c r="C954" s="16" t="s">
        <v>5331</v>
      </c>
      <c r="D954" s="12">
        <v>0.36142000000000002</v>
      </c>
      <c r="E954" s="12" t="s">
        <v>5332</v>
      </c>
      <c r="F954" s="12" t="s">
        <v>5328</v>
      </c>
      <c r="G954" s="12" t="s">
        <v>7143</v>
      </c>
      <c r="H954" s="12">
        <v>54668</v>
      </c>
    </row>
    <row r="955" spans="1:8">
      <c r="A955" s="12" t="s">
        <v>7144</v>
      </c>
      <c r="B955" s="13">
        <v>260.89999999999998</v>
      </c>
      <c r="C955" s="16" t="s">
        <v>5331</v>
      </c>
      <c r="D955" s="12">
        <v>0.31308000000000002</v>
      </c>
      <c r="E955" s="12" t="s">
        <v>5332</v>
      </c>
      <c r="F955" s="12" t="s">
        <v>5328</v>
      </c>
      <c r="G955" s="12" t="s">
        <v>7145</v>
      </c>
      <c r="H955" s="12">
        <v>54669</v>
      </c>
    </row>
    <row r="956" spans="1:8">
      <c r="A956" s="12" t="s">
        <v>7146</v>
      </c>
      <c r="B956" s="13">
        <v>0.01</v>
      </c>
      <c r="C956" s="16" t="s">
        <v>7147</v>
      </c>
      <c r="D956" s="12">
        <v>14.85</v>
      </c>
      <c r="E956" s="12" t="s">
        <v>5332</v>
      </c>
      <c r="F956" s="12" t="s">
        <v>5328</v>
      </c>
      <c r="G956" s="12" t="s">
        <v>7148</v>
      </c>
      <c r="H956" s="12">
        <v>54670</v>
      </c>
    </row>
    <row r="957" spans="1:8">
      <c r="A957" s="12" t="s">
        <v>7149</v>
      </c>
      <c r="B957" s="13">
        <v>0</v>
      </c>
      <c r="C957" s="16" t="s">
        <v>5331</v>
      </c>
      <c r="D957" s="12">
        <v>5.6310000000000002</v>
      </c>
      <c r="E957" s="12" t="s">
        <v>5332</v>
      </c>
      <c r="F957" s="12" t="s">
        <v>5328</v>
      </c>
      <c r="G957" s="12" t="s">
        <v>7150</v>
      </c>
      <c r="H957" s="12">
        <v>54671</v>
      </c>
    </row>
    <row r="958" spans="1:8">
      <c r="A958" s="12" t="s">
        <v>7151</v>
      </c>
      <c r="B958" s="13">
        <v>13.94</v>
      </c>
      <c r="C958" s="16" t="s">
        <v>5331</v>
      </c>
      <c r="D958" s="12">
        <v>45.72</v>
      </c>
      <c r="E958" s="12" t="s">
        <v>5332</v>
      </c>
      <c r="F958" s="12" t="s">
        <v>5328</v>
      </c>
      <c r="G958" s="12" t="s">
        <v>7152</v>
      </c>
      <c r="H958" s="12">
        <v>90792</v>
      </c>
    </row>
    <row r="959" spans="1:8">
      <c r="A959" s="12" t="s">
        <v>7153</v>
      </c>
      <c r="B959" s="13">
        <v>6.26</v>
      </c>
      <c r="C959" s="16" t="s">
        <v>5331</v>
      </c>
      <c r="D959" s="12">
        <v>17.149999999999999</v>
      </c>
      <c r="E959" s="12" t="s">
        <v>5332</v>
      </c>
      <c r="F959" s="12" t="s">
        <v>5328</v>
      </c>
      <c r="G959" s="12" t="s">
        <v>7154</v>
      </c>
      <c r="H959" s="12">
        <v>76456</v>
      </c>
    </row>
    <row r="960" spans="1:8">
      <c r="A960" s="12" t="s">
        <v>7155</v>
      </c>
      <c r="B960" s="14">
        <v>1355.56</v>
      </c>
      <c r="C960" s="16" t="s">
        <v>5331</v>
      </c>
      <c r="D960" s="12">
        <v>2039.25</v>
      </c>
      <c r="E960" s="12" t="s">
        <v>5332</v>
      </c>
      <c r="F960" s="12" t="s">
        <v>5328</v>
      </c>
      <c r="G960" s="12" t="s">
        <v>7156</v>
      </c>
      <c r="H960" s="12">
        <v>88847</v>
      </c>
    </row>
    <row r="961" spans="1:8">
      <c r="A961" s="12" t="s">
        <v>7157</v>
      </c>
      <c r="B961" s="13">
        <v>25</v>
      </c>
      <c r="C961" s="16" t="s">
        <v>5331</v>
      </c>
      <c r="D961" s="12">
        <v>106.32</v>
      </c>
      <c r="E961" s="12" t="s">
        <v>5332</v>
      </c>
      <c r="F961" s="12" t="s">
        <v>5328</v>
      </c>
      <c r="G961" s="12" t="s">
        <v>7158</v>
      </c>
      <c r="H961" s="12">
        <v>88852</v>
      </c>
    </row>
    <row r="962" spans="1:8">
      <c r="A962" s="12" t="s">
        <v>7159</v>
      </c>
      <c r="B962" s="13">
        <v>77.5</v>
      </c>
      <c r="C962" s="16" t="s">
        <v>5331</v>
      </c>
      <c r="D962" s="12">
        <v>342.57</v>
      </c>
      <c r="E962" s="12" t="s">
        <v>5332</v>
      </c>
      <c r="F962" s="12" t="s">
        <v>5328</v>
      </c>
      <c r="G962" s="12" t="s">
        <v>7160</v>
      </c>
      <c r="H962" s="12">
        <v>88853</v>
      </c>
    </row>
    <row r="963" spans="1:8">
      <c r="A963" s="12" t="s">
        <v>7161</v>
      </c>
      <c r="B963" s="13">
        <v>52.5</v>
      </c>
      <c r="C963" s="16" t="s">
        <v>5331</v>
      </c>
      <c r="D963" s="12">
        <v>236.25</v>
      </c>
      <c r="E963" s="12" t="s">
        <v>5332</v>
      </c>
      <c r="F963" s="12" t="s">
        <v>5328</v>
      </c>
      <c r="G963" s="12" t="s">
        <v>7162</v>
      </c>
      <c r="H963" s="12">
        <v>88848</v>
      </c>
    </row>
    <row r="964" spans="1:8">
      <c r="A964" s="12" t="s">
        <v>7163</v>
      </c>
      <c r="B964" s="13">
        <v>70</v>
      </c>
      <c r="C964" s="16" t="s">
        <v>5331</v>
      </c>
      <c r="D964" s="12">
        <v>307.13</v>
      </c>
      <c r="E964" s="12" t="s">
        <v>5332</v>
      </c>
      <c r="F964" s="12" t="s">
        <v>5328</v>
      </c>
      <c r="G964" s="12" t="s">
        <v>7164</v>
      </c>
      <c r="H964" s="12">
        <v>88854</v>
      </c>
    </row>
    <row r="965" spans="1:8">
      <c r="A965" s="12" t="s">
        <v>7165</v>
      </c>
      <c r="B965" s="13">
        <v>232.99</v>
      </c>
      <c r="C965" s="16" t="s">
        <v>5331</v>
      </c>
      <c r="D965" s="12">
        <v>432.32</v>
      </c>
      <c r="E965" s="12" t="s">
        <v>5332</v>
      </c>
      <c r="F965" s="12" t="s">
        <v>5328</v>
      </c>
      <c r="G965" s="12" t="s">
        <v>7166</v>
      </c>
      <c r="H965" s="12">
        <v>88855</v>
      </c>
    </row>
    <row r="966" spans="1:8">
      <c r="A966" s="12" t="s">
        <v>7167</v>
      </c>
      <c r="B966" s="14">
        <v>1227.8399999999999</v>
      </c>
      <c r="C966" s="16" t="s">
        <v>5331</v>
      </c>
      <c r="D966" s="12">
        <v>1530.9</v>
      </c>
      <c r="E966" s="12" t="s">
        <v>5332</v>
      </c>
      <c r="F966" s="12" t="s">
        <v>5328</v>
      </c>
      <c r="G966" s="12" t="s">
        <v>7168</v>
      </c>
      <c r="H966" s="12">
        <v>88947</v>
      </c>
    </row>
    <row r="967" spans="1:8">
      <c r="A967" s="12" t="s">
        <v>7167</v>
      </c>
      <c r="B967" s="13">
        <v>0</v>
      </c>
      <c r="C967" s="16" t="s">
        <v>5331</v>
      </c>
      <c r="D967" s="12">
        <v>972</v>
      </c>
      <c r="E967" s="12" t="s">
        <v>5332</v>
      </c>
      <c r="F967" s="12" t="s">
        <v>5328</v>
      </c>
      <c r="G967" s="12" t="s">
        <v>7169</v>
      </c>
      <c r="H967" s="12">
        <v>204813</v>
      </c>
    </row>
    <row r="968" spans="1:8">
      <c r="A968" s="12" t="s">
        <v>7167</v>
      </c>
      <c r="B968" s="13">
        <v>0</v>
      </c>
      <c r="C968" s="16" t="s">
        <v>5331</v>
      </c>
      <c r="D968" s="12">
        <v>972</v>
      </c>
      <c r="E968" s="12" t="s">
        <v>5332</v>
      </c>
      <c r="F968" s="12" t="s">
        <v>5328</v>
      </c>
      <c r="G968" s="12" t="s">
        <v>7170</v>
      </c>
      <c r="H968" s="12">
        <v>204828</v>
      </c>
    </row>
    <row r="969" spans="1:8">
      <c r="A969" s="12" t="s">
        <v>7171</v>
      </c>
      <c r="B969" s="13">
        <v>748</v>
      </c>
      <c r="C969" s="16" t="s">
        <v>5331</v>
      </c>
      <c r="D969" s="12">
        <v>1752.08</v>
      </c>
      <c r="E969" s="12" t="s">
        <v>5332</v>
      </c>
      <c r="F969" s="12" t="s">
        <v>5328</v>
      </c>
      <c r="G969" s="12" t="s">
        <v>7172</v>
      </c>
      <c r="H969" s="12">
        <v>88856</v>
      </c>
    </row>
    <row r="970" spans="1:8">
      <c r="A970" s="12" t="s">
        <v>7173</v>
      </c>
      <c r="B970" s="13">
        <v>60</v>
      </c>
      <c r="C970" s="16" t="s">
        <v>5331</v>
      </c>
      <c r="D970" s="12">
        <v>1.46</v>
      </c>
      <c r="E970" s="12" t="s">
        <v>5332</v>
      </c>
      <c r="F970" s="12" t="s">
        <v>5328</v>
      </c>
      <c r="G970" s="12" t="s">
        <v>7174</v>
      </c>
      <c r="H970" s="12">
        <v>88849</v>
      </c>
    </row>
    <row r="971" spans="1:8">
      <c r="A971" s="12" t="s">
        <v>7175</v>
      </c>
      <c r="B971" s="13">
        <v>47.99</v>
      </c>
      <c r="C971" s="16" t="s">
        <v>5331</v>
      </c>
      <c r="D971" s="12">
        <v>100.26</v>
      </c>
      <c r="E971" s="12" t="s">
        <v>5332</v>
      </c>
      <c r="F971" s="12" t="s">
        <v>5328</v>
      </c>
      <c r="G971" s="12" t="s">
        <v>7176</v>
      </c>
      <c r="H971" s="12">
        <v>88850</v>
      </c>
    </row>
    <row r="972" spans="1:8">
      <c r="A972" s="12" t="s">
        <v>7177</v>
      </c>
      <c r="B972" s="13">
        <v>12.15</v>
      </c>
      <c r="C972" s="16" t="s">
        <v>5331</v>
      </c>
      <c r="D972" s="12">
        <v>36.479999999999997</v>
      </c>
      <c r="E972" s="12" t="s">
        <v>5332</v>
      </c>
      <c r="F972" s="12" t="s">
        <v>5328</v>
      </c>
      <c r="G972" s="12" t="s">
        <v>7178</v>
      </c>
      <c r="H972" s="12">
        <v>16582</v>
      </c>
    </row>
    <row r="973" spans="1:8">
      <c r="A973" s="12" t="s">
        <v>7177</v>
      </c>
      <c r="B973" s="13">
        <v>12.15</v>
      </c>
      <c r="C973" s="16" t="s">
        <v>5331</v>
      </c>
      <c r="D973" s="12">
        <v>24</v>
      </c>
      <c r="E973" s="12" t="s">
        <v>5332</v>
      </c>
      <c r="F973" s="12" t="s">
        <v>5328</v>
      </c>
      <c r="G973" s="12" t="s">
        <v>7178</v>
      </c>
      <c r="H973" s="12">
        <v>16582</v>
      </c>
    </row>
    <row r="974" spans="1:8">
      <c r="A974" s="12" t="s">
        <v>7179</v>
      </c>
      <c r="B974" s="13">
        <v>42.24</v>
      </c>
      <c r="C974" s="16" t="s">
        <v>5331</v>
      </c>
      <c r="D974" s="12">
        <v>15.12</v>
      </c>
      <c r="E974" s="12" t="s">
        <v>5332</v>
      </c>
      <c r="F974" s="12" t="s">
        <v>5328</v>
      </c>
      <c r="G974" s="12" t="s">
        <v>7180</v>
      </c>
      <c r="H974" s="12">
        <v>16577</v>
      </c>
    </row>
    <row r="975" spans="1:8">
      <c r="A975" s="12" t="s">
        <v>7179</v>
      </c>
      <c r="B975" s="13">
        <v>42.24</v>
      </c>
      <c r="C975" s="16" t="s">
        <v>5331</v>
      </c>
      <c r="D975" s="12">
        <v>10</v>
      </c>
      <c r="E975" s="12" t="s">
        <v>5332</v>
      </c>
      <c r="F975" s="12" t="s">
        <v>5328</v>
      </c>
      <c r="G975" s="12" t="s">
        <v>7180</v>
      </c>
      <c r="H975" s="12">
        <v>16577</v>
      </c>
    </row>
    <row r="976" spans="1:8">
      <c r="A976" s="12" t="s">
        <v>7181</v>
      </c>
      <c r="B976" s="13">
        <v>2.41</v>
      </c>
      <c r="C976" s="16" t="s">
        <v>5331</v>
      </c>
      <c r="D976" s="12">
        <v>8505</v>
      </c>
      <c r="E976" s="12" t="s">
        <v>5332</v>
      </c>
      <c r="F976" s="12" t="s">
        <v>5328</v>
      </c>
      <c r="G976" s="12" t="s">
        <v>7182</v>
      </c>
      <c r="H976" s="12">
        <v>16508</v>
      </c>
    </row>
    <row r="977" spans="1:8">
      <c r="A977" s="12" t="s">
        <v>7183</v>
      </c>
      <c r="B977" s="13">
        <v>13.35</v>
      </c>
      <c r="C977" s="16" t="s">
        <v>5331</v>
      </c>
      <c r="D977" s="12">
        <v>44.09</v>
      </c>
      <c r="E977" s="12" t="s">
        <v>5332</v>
      </c>
      <c r="F977" s="12" t="s">
        <v>5328</v>
      </c>
      <c r="G977" s="12" t="s">
        <v>7184</v>
      </c>
      <c r="H977" s="12">
        <v>16613</v>
      </c>
    </row>
    <row r="978" spans="1:8">
      <c r="A978" s="12" t="s">
        <v>7183</v>
      </c>
      <c r="B978" s="13">
        <v>13.35</v>
      </c>
      <c r="C978" s="16" t="s">
        <v>5331</v>
      </c>
      <c r="D978" s="12">
        <v>29.39</v>
      </c>
      <c r="E978" s="12" t="s">
        <v>5332</v>
      </c>
      <c r="F978" s="12" t="s">
        <v>5328</v>
      </c>
      <c r="G978" s="12" t="s">
        <v>7184</v>
      </c>
      <c r="H978" s="12">
        <v>16613</v>
      </c>
    </row>
    <row r="979" spans="1:8">
      <c r="A979" s="12" t="s">
        <v>7185</v>
      </c>
      <c r="B979" s="13">
        <v>43.92</v>
      </c>
      <c r="C979" s="16" t="s">
        <v>5331</v>
      </c>
      <c r="D979" s="12">
        <v>12.99</v>
      </c>
      <c r="E979" s="12" t="s">
        <v>5332</v>
      </c>
      <c r="F979" s="12" t="s">
        <v>5328</v>
      </c>
      <c r="G979" s="12" t="s">
        <v>7186</v>
      </c>
      <c r="H979" s="12">
        <v>16433</v>
      </c>
    </row>
    <row r="980" spans="1:8">
      <c r="A980" s="12" t="s">
        <v>7185</v>
      </c>
      <c r="B980" s="13">
        <v>43.92</v>
      </c>
      <c r="C980" s="16" t="s">
        <v>5331</v>
      </c>
      <c r="D980" s="12">
        <v>8.66</v>
      </c>
      <c r="E980" s="12" t="s">
        <v>5332</v>
      </c>
      <c r="F980" s="12" t="s">
        <v>5328</v>
      </c>
      <c r="G980" s="12" t="s">
        <v>7186</v>
      </c>
      <c r="H980" s="12">
        <v>16433</v>
      </c>
    </row>
    <row r="981" spans="1:8">
      <c r="A981" s="12" t="s">
        <v>7187</v>
      </c>
      <c r="B981" s="13">
        <v>14</v>
      </c>
      <c r="C981" s="16" t="s">
        <v>5331</v>
      </c>
      <c r="D981" s="12">
        <v>16.73</v>
      </c>
      <c r="E981" s="12" t="s">
        <v>5332</v>
      </c>
      <c r="F981" s="12" t="s">
        <v>5328</v>
      </c>
      <c r="G981" s="12" t="s">
        <v>7188</v>
      </c>
      <c r="H981" s="12">
        <v>16455</v>
      </c>
    </row>
    <row r="982" spans="1:8">
      <c r="A982" s="12" t="s">
        <v>7187</v>
      </c>
      <c r="B982" s="13">
        <v>14</v>
      </c>
      <c r="C982" s="16" t="s">
        <v>5331</v>
      </c>
      <c r="D982" s="12">
        <v>11</v>
      </c>
      <c r="E982" s="12" t="s">
        <v>5332</v>
      </c>
      <c r="F982" s="12" t="s">
        <v>5328</v>
      </c>
      <c r="G982" s="12" t="s">
        <v>7188</v>
      </c>
      <c r="H982" s="12">
        <v>16455</v>
      </c>
    </row>
    <row r="983" spans="1:8">
      <c r="A983" s="12" t="s">
        <v>7189</v>
      </c>
      <c r="B983" s="13">
        <v>168.22</v>
      </c>
      <c r="C983" s="16" t="s">
        <v>5331</v>
      </c>
      <c r="D983" s="12">
        <v>770.18</v>
      </c>
      <c r="E983" s="12" t="s">
        <v>5332</v>
      </c>
      <c r="F983" s="12" t="s">
        <v>5328</v>
      </c>
      <c r="G983" s="12" t="s">
        <v>7190</v>
      </c>
      <c r="H983" s="12">
        <v>16378</v>
      </c>
    </row>
    <row r="984" spans="1:8">
      <c r="A984" s="12" t="s">
        <v>7189</v>
      </c>
      <c r="B984" s="13">
        <v>168.22</v>
      </c>
      <c r="C984" s="16" t="s">
        <v>5331</v>
      </c>
      <c r="D984" s="12">
        <v>513.45000000000005</v>
      </c>
      <c r="E984" s="12" t="s">
        <v>5332</v>
      </c>
      <c r="F984" s="12" t="s">
        <v>5328</v>
      </c>
      <c r="G984" s="12" t="s">
        <v>7190</v>
      </c>
      <c r="H984" s="12">
        <v>16378</v>
      </c>
    </row>
    <row r="985" spans="1:8">
      <c r="A985" s="12" t="s">
        <v>7191</v>
      </c>
      <c r="B985" s="13">
        <v>16.489999999999998</v>
      </c>
      <c r="C985" s="16" t="s">
        <v>5331</v>
      </c>
      <c r="D985" s="12">
        <v>42.29</v>
      </c>
      <c r="E985" s="12" t="s">
        <v>5332</v>
      </c>
      <c r="F985" s="12" t="s">
        <v>5328</v>
      </c>
      <c r="G985" s="12" t="s">
        <v>7192</v>
      </c>
      <c r="H985" s="12">
        <v>16578</v>
      </c>
    </row>
    <row r="986" spans="1:8">
      <c r="A986" s="12" t="s">
        <v>7191</v>
      </c>
      <c r="B986" s="13">
        <v>16.489999999999998</v>
      </c>
      <c r="C986" s="16" t="s">
        <v>5331</v>
      </c>
      <c r="D986" s="12">
        <v>28</v>
      </c>
      <c r="E986" s="12" t="s">
        <v>5332</v>
      </c>
      <c r="F986" s="12" t="s">
        <v>5328</v>
      </c>
      <c r="G986" s="12" t="s">
        <v>7192</v>
      </c>
      <c r="H986" s="12">
        <v>16578</v>
      </c>
    </row>
    <row r="987" spans="1:8">
      <c r="A987" s="12" t="s">
        <v>7193</v>
      </c>
      <c r="B987" s="13">
        <v>21.48</v>
      </c>
      <c r="C987" s="16" t="s">
        <v>5331</v>
      </c>
      <c r="D987" s="12">
        <v>123.05</v>
      </c>
      <c r="E987" s="12" t="s">
        <v>5332</v>
      </c>
      <c r="F987" s="12" t="s">
        <v>5328</v>
      </c>
      <c r="G987" s="12" t="s">
        <v>7194</v>
      </c>
      <c r="H987" s="12">
        <v>16477</v>
      </c>
    </row>
    <row r="988" spans="1:8">
      <c r="A988" s="12" t="s">
        <v>7193</v>
      </c>
      <c r="B988" s="13">
        <v>21.48</v>
      </c>
      <c r="C988" s="16" t="s">
        <v>5331</v>
      </c>
      <c r="D988" s="12">
        <v>82.03</v>
      </c>
      <c r="E988" s="12" t="s">
        <v>5332</v>
      </c>
      <c r="F988" s="12" t="s">
        <v>5328</v>
      </c>
      <c r="G988" s="12" t="s">
        <v>7194</v>
      </c>
      <c r="H988" s="12">
        <v>16477</v>
      </c>
    </row>
    <row r="989" spans="1:8">
      <c r="A989" s="12" t="s">
        <v>7195</v>
      </c>
      <c r="B989" s="14">
        <v>1232</v>
      </c>
      <c r="C989" s="16" t="s">
        <v>5331</v>
      </c>
      <c r="D989" s="12">
        <v>5016.38</v>
      </c>
      <c r="E989" s="12" t="s">
        <v>5332</v>
      </c>
      <c r="F989" s="12" t="s">
        <v>5328</v>
      </c>
      <c r="G989" s="12" t="s">
        <v>7196</v>
      </c>
      <c r="H989" s="12">
        <v>16688</v>
      </c>
    </row>
    <row r="990" spans="1:8">
      <c r="A990" s="12" t="s">
        <v>7195</v>
      </c>
      <c r="B990" s="13">
        <v>838.6</v>
      </c>
      <c r="C990" s="16" t="s">
        <v>5331</v>
      </c>
      <c r="D990" s="12">
        <v>3185</v>
      </c>
      <c r="E990" s="12" t="s">
        <v>5332</v>
      </c>
      <c r="F990" s="12" t="s">
        <v>5328</v>
      </c>
      <c r="G990" s="12" t="s">
        <v>7197</v>
      </c>
      <c r="H990" s="12">
        <v>204814</v>
      </c>
    </row>
    <row r="991" spans="1:8">
      <c r="A991" s="12" t="s">
        <v>7195</v>
      </c>
      <c r="B991" s="13">
        <v>0</v>
      </c>
      <c r="C991" s="16" t="s">
        <v>5331</v>
      </c>
      <c r="D991" s="12">
        <v>3185</v>
      </c>
      <c r="E991" s="12" t="s">
        <v>5332</v>
      </c>
      <c r="F991" s="12" t="s">
        <v>5328</v>
      </c>
      <c r="G991" s="12" t="s">
        <v>7198</v>
      </c>
      <c r="H991" s="12">
        <v>204829</v>
      </c>
    </row>
    <row r="992" spans="1:8">
      <c r="A992" s="12" t="s">
        <v>7199</v>
      </c>
      <c r="B992" s="13">
        <v>40.950000000000003</v>
      </c>
      <c r="C992" s="16" t="s">
        <v>5331</v>
      </c>
      <c r="D992" s="12">
        <v>51.87</v>
      </c>
      <c r="E992" s="12" t="s">
        <v>5332</v>
      </c>
      <c r="F992" s="12" t="s">
        <v>5328</v>
      </c>
      <c r="G992" s="12" t="s">
        <v>7200</v>
      </c>
      <c r="H992" s="12">
        <v>88949</v>
      </c>
    </row>
    <row r="993" spans="1:8">
      <c r="A993" s="12" t="s">
        <v>7201</v>
      </c>
      <c r="B993" s="13">
        <v>353.74</v>
      </c>
      <c r="C993" s="16" t="s">
        <v>5331</v>
      </c>
      <c r="D993" s="12">
        <v>921.38</v>
      </c>
      <c r="E993" s="12" t="s">
        <v>5332</v>
      </c>
      <c r="F993" s="12" t="s">
        <v>5328</v>
      </c>
      <c r="G993" s="12" t="s">
        <v>7202</v>
      </c>
      <c r="H993" s="12">
        <v>16563</v>
      </c>
    </row>
    <row r="994" spans="1:8">
      <c r="A994" s="12" t="s">
        <v>7201</v>
      </c>
      <c r="B994" s="13">
        <v>0</v>
      </c>
      <c r="C994" s="16" t="s">
        <v>5331</v>
      </c>
      <c r="D994" s="12">
        <v>585</v>
      </c>
      <c r="E994" s="12" t="s">
        <v>5332</v>
      </c>
      <c r="F994" s="12" t="s">
        <v>5328</v>
      </c>
      <c r="G994" s="12" t="s">
        <v>7203</v>
      </c>
      <c r="H994" s="12">
        <v>204815</v>
      </c>
    </row>
    <row r="995" spans="1:8">
      <c r="A995" s="12" t="s">
        <v>7201</v>
      </c>
      <c r="B995" s="13">
        <v>0</v>
      </c>
      <c r="C995" s="16" t="s">
        <v>5331</v>
      </c>
      <c r="D995" s="12">
        <v>585</v>
      </c>
      <c r="E995" s="12" t="s">
        <v>5332</v>
      </c>
      <c r="F995" s="12" t="s">
        <v>5328</v>
      </c>
      <c r="G995" s="12" t="s">
        <v>7204</v>
      </c>
      <c r="H995" s="12">
        <v>204830</v>
      </c>
    </row>
    <row r="996" spans="1:8">
      <c r="A996" s="12" t="s">
        <v>7205</v>
      </c>
      <c r="B996" s="13">
        <v>6.59</v>
      </c>
      <c r="C996" s="16" t="s">
        <v>5331</v>
      </c>
      <c r="D996" s="12">
        <v>22.4</v>
      </c>
      <c r="E996" s="12" t="s">
        <v>5332</v>
      </c>
      <c r="F996" s="12" t="s">
        <v>5328</v>
      </c>
      <c r="G996" s="12" t="s">
        <v>7206</v>
      </c>
      <c r="H996" s="12">
        <v>16691</v>
      </c>
    </row>
    <row r="997" spans="1:8">
      <c r="A997" s="12" t="s">
        <v>7205</v>
      </c>
      <c r="B997" s="13">
        <v>6.59</v>
      </c>
      <c r="C997" s="16" t="s">
        <v>5331</v>
      </c>
      <c r="D997" s="12">
        <v>15</v>
      </c>
      <c r="E997" s="12" t="s">
        <v>5332</v>
      </c>
      <c r="F997" s="12" t="s">
        <v>5328</v>
      </c>
      <c r="G997" s="12" t="s">
        <v>7206</v>
      </c>
      <c r="H997" s="12">
        <v>16691</v>
      </c>
    </row>
    <row r="998" spans="1:8">
      <c r="A998" s="12" t="s">
        <v>7207</v>
      </c>
      <c r="B998" s="13">
        <v>6.79</v>
      </c>
      <c r="C998" s="16" t="s">
        <v>5331</v>
      </c>
      <c r="D998" s="12">
        <v>26.42</v>
      </c>
      <c r="E998" s="12" t="s">
        <v>5332</v>
      </c>
      <c r="F998" s="12" t="s">
        <v>5328</v>
      </c>
      <c r="G998" s="12" t="s">
        <v>7208</v>
      </c>
      <c r="H998" s="12">
        <v>16692</v>
      </c>
    </row>
    <row r="999" spans="1:8">
      <c r="A999" s="12" t="s">
        <v>7207</v>
      </c>
      <c r="B999" s="13">
        <v>6.79</v>
      </c>
      <c r="C999" s="16" t="s">
        <v>5331</v>
      </c>
      <c r="D999" s="12">
        <v>18</v>
      </c>
      <c r="E999" s="12" t="s">
        <v>5332</v>
      </c>
      <c r="F999" s="12" t="s">
        <v>5328</v>
      </c>
      <c r="G999" s="12" t="s">
        <v>7208</v>
      </c>
      <c r="H999" s="12">
        <v>16692</v>
      </c>
    </row>
    <row r="1000" spans="1:8">
      <c r="A1000" s="12" t="s">
        <v>7209</v>
      </c>
      <c r="B1000" s="13">
        <v>204.37</v>
      </c>
      <c r="C1000" s="16" t="s">
        <v>5331</v>
      </c>
      <c r="D1000" s="12">
        <v>453.26</v>
      </c>
      <c r="E1000" s="12" t="s">
        <v>5332</v>
      </c>
      <c r="F1000" s="12" t="s">
        <v>5328</v>
      </c>
      <c r="G1000" s="12" t="s">
        <v>7210</v>
      </c>
      <c r="H1000" s="12">
        <v>90892</v>
      </c>
    </row>
    <row r="1001" spans="1:8">
      <c r="A1001" s="12" t="s">
        <v>7209</v>
      </c>
      <c r="B1001" s="13">
        <v>0</v>
      </c>
      <c r="C1001" s="16" t="s">
        <v>5331</v>
      </c>
      <c r="D1001" s="12">
        <v>287.77999999999997</v>
      </c>
      <c r="E1001" s="12" t="s">
        <v>5332</v>
      </c>
      <c r="F1001" s="12" t="s">
        <v>5328</v>
      </c>
      <c r="G1001" s="12" t="s">
        <v>7211</v>
      </c>
      <c r="H1001" s="12">
        <v>204816</v>
      </c>
    </row>
    <row r="1002" spans="1:8">
      <c r="A1002" s="12" t="s">
        <v>7209</v>
      </c>
      <c r="B1002" s="13">
        <v>0</v>
      </c>
      <c r="C1002" s="16" t="s">
        <v>5331</v>
      </c>
      <c r="D1002" s="12">
        <v>287.77999999999997</v>
      </c>
      <c r="E1002" s="12" t="s">
        <v>5332</v>
      </c>
      <c r="F1002" s="12" t="s">
        <v>5328</v>
      </c>
      <c r="G1002" s="12" t="s">
        <v>7212</v>
      </c>
      <c r="H1002" s="12">
        <v>204831</v>
      </c>
    </row>
    <row r="1003" spans="1:8">
      <c r="A1003" s="12" t="s">
        <v>7213</v>
      </c>
      <c r="B1003" s="13">
        <v>175.49</v>
      </c>
      <c r="C1003" s="16" t="s">
        <v>5331</v>
      </c>
      <c r="D1003" s="12">
        <v>453.26</v>
      </c>
      <c r="E1003" s="12" t="s">
        <v>5332</v>
      </c>
      <c r="F1003" s="12" t="s">
        <v>5328</v>
      </c>
      <c r="G1003" s="12" t="s">
        <v>7214</v>
      </c>
      <c r="H1003" s="12">
        <v>90893</v>
      </c>
    </row>
    <row r="1004" spans="1:8">
      <c r="A1004" s="12" t="s">
        <v>7213</v>
      </c>
      <c r="B1004" s="13">
        <v>0</v>
      </c>
      <c r="C1004" s="16" t="s">
        <v>5331</v>
      </c>
      <c r="D1004" s="12">
        <v>287.77999999999997</v>
      </c>
      <c r="E1004" s="12" t="s">
        <v>5332</v>
      </c>
      <c r="F1004" s="12" t="s">
        <v>5328</v>
      </c>
      <c r="G1004" s="12" t="s">
        <v>7215</v>
      </c>
      <c r="H1004" s="12">
        <v>204817</v>
      </c>
    </row>
    <row r="1005" spans="1:8">
      <c r="A1005" s="12" t="s">
        <v>7213</v>
      </c>
      <c r="B1005" s="13">
        <v>0</v>
      </c>
      <c r="C1005" s="16" t="s">
        <v>5331</v>
      </c>
      <c r="D1005" s="12">
        <v>287.77999999999997</v>
      </c>
      <c r="E1005" s="12" t="s">
        <v>5332</v>
      </c>
      <c r="F1005" s="12" t="s">
        <v>5328</v>
      </c>
      <c r="G1005" s="12" t="s">
        <v>7216</v>
      </c>
      <c r="H1005" s="12">
        <v>204832</v>
      </c>
    </row>
    <row r="1006" spans="1:8">
      <c r="A1006" s="12" t="s">
        <v>7217</v>
      </c>
      <c r="B1006" s="13">
        <v>70.42</v>
      </c>
      <c r="C1006" s="16" t="s">
        <v>5331</v>
      </c>
      <c r="D1006" s="12">
        <v>80.09</v>
      </c>
      <c r="E1006" s="12" t="s">
        <v>5332</v>
      </c>
      <c r="F1006" s="12" t="s">
        <v>5328</v>
      </c>
      <c r="G1006" s="12" t="s">
        <v>7218</v>
      </c>
      <c r="H1006" s="12">
        <v>16674</v>
      </c>
    </row>
    <row r="1007" spans="1:8">
      <c r="A1007" s="12" t="s">
        <v>7219</v>
      </c>
      <c r="B1007" s="13">
        <v>5.99</v>
      </c>
      <c r="C1007" s="16" t="s">
        <v>5331</v>
      </c>
      <c r="D1007" s="12">
        <v>17.97</v>
      </c>
      <c r="E1007" s="12" t="s">
        <v>5332</v>
      </c>
      <c r="F1007" s="12" t="s">
        <v>5328</v>
      </c>
      <c r="G1007" s="12" t="s">
        <v>7220</v>
      </c>
      <c r="H1007" s="12">
        <v>16575</v>
      </c>
    </row>
    <row r="1008" spans="1:8">
      <c r="A1008" s="12" t="s">
        <v>7221</v>
      </c>
      <c r="B1008" s="13">
        <v>398.64</v>
      </c>
      <c r="C1008" s="16" t="s">
        <v>5331</v>
      </c>
      <c r="D1008" s="12">
        <v>1653.75</v>
      </c>
      <c r="E1008" s="12" t="s">
        <v>5332</v>
      </c>
      <c r="F1008" s="12" t="s">
        <v>5328</v>
      </c>
      <c r="G1008" s="12" t="s">
        <v>7222</v>
      </c>
      <c r="H1008" s="12">
        <v>91721</v>
      </c>
    </row>
    <row r="1009" spans="1:8">
      <c r="A1009" s="12" t="s">
        <v>7221</v>
      </c>
      <c r="B1009" s="13">
        <v>0</v>
      </c>
      <c r="C1009" s="16" t="s">
        <v>5331</v>
      </c>
      <c r="D1009" s="12">
        <v>1050</v>
      </c>
      <c r="E1009" s="12" t="s">
        <v>5332</v>
      </c>
      <c r="F1009" s="12" t="s">
        <v>5328</v>
      </c>
      <c r="G1009" s="12" t="s">
        <v>7223</v>
      </c>
      <c r="H1009" s="12">
        <v>204818</v>
      </c>
    </row>
    <row r="1010" spans="1:8">
      <c r="A1010" s="12" t="s">
        <v>7221</v>
      </c>
      <c r="B1010" s="13">
        <v>0</v>
      </c>
      <c r="C1010" s="16" t="s">
        <v>5331</v>
      </c>
      <c r="D1010" s="12">
        <v>1050</v>
      </c>
      <c r="E1010" s="12" t="s">
        <v>5332</v>
      </c>
      <c r="F1010" s="12" t="s">
        <v>5328</v>
      </c>
      <c r="G1010" s="12" t="s">
        <v>7224</v>
      </c>
      <c r="H1010" s="12">
        <v>204833</v>
      </c>
    </row>
    <row r="1011" spans="1:8">
      <c r="A1011" s="12" t="s">
        <v>7225</v>
      </c>
      <c r="B1011" s="13">
        <v>416.58</v>
      </c>
      <c r="C1011" s="16" t="s">
        <v>5331</v>
      </c>
      <c r="D1011" s="12">
        <v>471.65</v>
      </c>
      <c r="E1011" s="12" t="s">
        <v>5332</v>
      </c>
      <c r="F1011" s="12" t="s">
        <v>5328</v>
      </c>
      <c r="G1011" s="12" t="s">
        <v>7226</v>
      </c>
      <c r="H1011" s="12">
        <v>102458</v>
      </c>
    </row>
    <row r="1012" spans="1:8">
      <c r="A1012" s="12" t="s">
        <v>7225</v>
      </c>
      <c r="B1012" s="13">
        <v>0</v>
      </c>
      <c r="C1012" s="16" t="s">
        <v>5331</v>
      </c>
      <c r="D1012" s="12">
        <v>299.45999999999998</v>
      </c>
      <c r="E1012" s="12" t="s">
        <v>5332</v>
      </c>
      <c r="F1012" s="12" t="s">
        <v>5328</v>
      </c>
      <c r="G1012" s="12" t="s">
        <v>7227</v>
      </c>
      <c r="H1012" s="12">
        <v>204819</v>
      </c>
    </row>
    <row r="1013" spans="1:8">
      <c r="A1013" s="12" t="s">
        <v>7225</v>
      </c>
      <c r="B1013" s="13">
        <v>0</v>
      </c>
      <c r="C1013" s="16" t="s">
        <v>5331</v>
      </c>
      <c r="D1013" s="12">
        <v>299.45999999999998</v>
      </c>
      <c r="E1013" s="12" t="s">
        <v>5332</v>
      </c>
      <c r="F1013" s="12" t="s">
        <v>5328</v>
      </c>
      <c r="G1013" s="12" t="s">
        <v>7228</v>
      </c>
      <c r="H1013" s="12">
        <v>204834</v>
      </c>
    </row>
    <row r="1014" spans="1:8">
      <c r="A1014" s="12" t="s">
        <v>7229</v>
      </c>
      <c r="B1014" s="13">
        <v>123.17</v>
      </c>
      <c r="C1014" s="16" t="s">
        <v>5331</v>
      </c>
      <c r="D1014" s="12">
        <v>607.5</v>
      </c>
      <c r="E1014" s="12" t="s">
        <v>5332</v>
      </c>
      <c r="F1014" s="12" t="s">
        <v>5328</v>
      </c>
      <c r="G1014" s="12" t="s">
        <v>7230</v>
      </c>
      <c r="H1014" s="12">
        <v>102361</v>
      </c>
    </row>
    <row r="1015" spans="1:8">
      <c r="A1015" s="12" t="s">
        <v>7231</v>
      </c>
      <c r="B1015" s="13">
        <v>7.81</v>
      </c>
      <c r="C1015" s="16" t="s">
        <v>5331</v>
      </c>
      <c r="D1015" s="12">
        <v>42.48</v>
      </c>
      <c r="E1015" s="12" t="s">
        <v>5332</v>
      </c>
      <c r="F1015" s="12" t="s">
        <v>5328</v>
      </c>
      <c r="G1015" s="12" t="s">
        <v>7232</v>
      </c>
      <c r="H1015" s="12">
        <v>16583</v>
      </c>
    </row>
    <row r="1016" spans="1:8">
      <c r="A1016" s="12" t="s">
        <v>7231</v>
      </c>
      <c r="B1016" s="13">
        <v>7.81</v>
      </c>
      <c r="C1016" s="16" t="s">
        <v>5331</v>
      </c>
      <c r="D1016" s="12">
        <v>28.32</v>
      </c>
      <c r="E1016" s="12" t="s">
        <v>5332</v>
      </c>
      <c r="F1016" s="12" t="s">
        <v>5328</v>
      </c>
      <c r="G1016" s="12" t="s">
        <v>7232</v>
      </c>
      <c r="H1016" s="12">
        <v>16583</v>
      </c>
    </row>
    <row r="1017" spans="1:8">
      <c r="A1017" s="12" t="s">
        <v>7233</v>
      </c>
      <c r="B1017" s="13">
        <v>3.5</v>
      </c>
      <c r="C1017" s="16" t="s">
        <v>5331</v>
      </c>
      <c r="D1017" s="12">
        <v>1.83</v>
      </c>
      <c r="E1017" s="12" t="s">
        <v>5332</v>
      </c>
      <c r="F1017" s="12" t="s">
        <v>5328</v>
      </c>
      <c r="G1017" s="12" t="s">
        <v>7234</v>
      </c>
      <c r="H1017" s="12">
        <v>16576</v>
      </c>
    </row>
    <row r="1018" spans="1:8">
      <c r="A1018" s="12" t="s">
        <v>7233</v>
      </c>
      <c r="B1018" s="13">
        <v>3.5</v>
      </c>
      <c r="C1018" s="16" t="s">
        <v>5331</v>
      </c>
      <c r="D1018" s="12">
        <v>1.22</v>
      </c>
      <c r="E1018" s="12" t="s">
        <v>5332</v>
      </c>
      <c r="F1018" s="12" t="s">
        <v>5328</v>
      </c>
      <c r="G1018" s="12" t="s">
        <v>7234</v>
      </c>
      <c r="H1018" s="12">
        <v>16576</v>
      </c>
    </row>
    <row r="1019" spans="1:8">
      <c r="A1019" s="12" t="s">
        <v>7235</v>
      </c>
      <c r="B1019" s="13">
        <v>7.55</v>
      </c>
      <c r="C1019" s="16" t="s">
        <v>5331</v>
      </c>
      <c r="D1019" s="12">
        <v>27.93</v>
      </c>
      <c r="E1019" s="12" t="s">
        <v>5332</v>
      </c>
      <c r="F1019" s="12" t="s">
        <v>5328</v>
      </c>
      <c r="G1019" s="12" t="s">
        <v>7236</v>
      </c>
      <c r="H1019" s="12">
        <v>16552</v>
      </c>
    </row>
    <row r="1020" spans="1:8">
      <c r="A1020" s="12" t="s">
        <v>7235</v>
      </c>
      <c r="B1020" s="13">
        <v>7.55</v>
      </c>
      <c r="C1020" s="16" t="s">
        <v>5331</v>
      </c>
      <c r="D1020" s="12">
        <v>18.62</v>
      </c>
      <c r="E1020" s="12" t="s">
        <v>5332</v>
      </c>
      <c r="F1020" s="12" t="s">
        <v>5328</v>
      </c>
      <c r="G1020" s="12" t="s">
        <v>7236</v>
      </c>
      <c r="H1020" s="12">
        <v>16552</v>
      </c>
    </row>
    <row r="1021" spans="1:8">
      <c r="A1021" s="12" t="s">
        <v>7237</v>
      </c>
      <c r="B1021" s="13">
        <v>1.84</v>
      </c>
      <c r="C1021" s="16" t="s">
        <v>5331</v>
      </c>
      <c r="D1021" s="12">
        <v>12.05</v>
      </c>
      <c r="E1021" s="12" t="s">
        <v>5332</v>
      </c>
      <c r="F1021" s="12" t="s">
        <v>5328</v>
      </c>
      <c r="G1021" s="12" t="s">
        <v>7238</v>
      </c>
      <c r="H1021" s="12">
        <v>16584</v>
      </c>
    </row>
    <row r="1022" spans="1:8">
      <c r="A1022" s="12" t="s">
        <v>7237</v>
      </c>
      <c r="B1022" s="13">
        <v>1.84</v>
      </c>
      <c r="C1022" s="16" t="s">
        <v>5331</v>
      </c>
      <c r="D1022" s="12">
        <v>8.0299999999999994</v>
      </c>
      <c r="E1022" s="12" t="s">
        <v>5332</v>
      </c>
      <c r="F1022" s="12" t="s">
        <v>5328</v>
      </c>
      <c r="G1022" s="12" t="s">
        <v>7238</v>
      </c>
      <c r="H1022" s="12">
        <v>16584</v>
      </c>
    </row>
    <row r="1023" spans="1:8">
      <c r="A1023" s="12" t="s">
        <v>7239</v>
      </c>
      <c r="B1023" s="13">
        <v>9.82</v>
      </c>
      <c r="C1023" s="16" t="s">
        <v>5331</v>
      </c>
      <c r="D1023" s="12">
        <v>36.479999999999997</v>
      </c>
      <c r="E1023" s="12" t="s">
        <v>5332</v>
      </c>
      <c r="F1023" s="12" t="s">
        <v>5328</v>
      </c>
      <c r="G1023" s="12" t="s">
        <v>7240</v>
      </c>
      <c r="H1023" s="12">
        <v>16667</v>
      </c>
    </row>
    <row r="1024" spans="1:8">
      <c r="A1024" s="12" t="s">
        <v>7239</v>
      </c>
      <c r="B1024" s="13">
        <v>9.82</v>
      </c>
      <c r="C1024" s="16" t="s">
        <v>5331</v>
      </c>
      <c r="D1024" s="12">
        <v>24.32</v>
      </c>
      <c r="E1024" s="12" t="s">
        <v>5332</v>
      </c>
      <c r="F1024" s="12" t="s">
        <v>5328</v>
      </c>
      <c r="G1024" s="12" t="s">
        <v>7240</v>
      </c>
      <c r="H1024" s="12">
        <v>16667</v>
      </c>
    </row>
    <row r="1025" spans="1:8">
      <c r="A1025" s="12" t="s">
        <v>7241</v>
      </c>
      <c r="B1025" s="13">
        <v>25.34</v>
      </c>
      <c r="C1025" s="16" t="s">
        <v>5331</v>
      </c>
      <c r="D1025" s="12">
        <v>82.26</v>
      </c>
      <c r="E1025" s="12" t="s">
        <v>5332</v>
      </c>
      <c r="F1025" s="12" t="s">
        <v>5328</v>
      </c>
      <c r="G1025" s="12" t="s">
        <v>7242</v>
      </c>
      <c r="H1025" s="12">
        <v>16671</v>
      </c>
    </row>
    <row r="1026" spans="1:8">
      <c r="A1026" s="12" t="s">
        <v>7241</v>
      </c>
      <c r="B1026" s="13">
        <v>25.34</v>
      </c>
      <c r="C1026" s="16" t="s">
        <v>5331</v>
      </c>
      <c r="D1026" s="12">
        <v>54.84</v>
      </c>
      <c r="E1026" s="12" t="s">
        <v>5332</v>
      </c>
      <c r="F1026" s="12" t="s">
        <v>5328</v>
      </c>
      <c r="G1026" s="12" t="s">
        <v>7242</v>
      </c>
      <c r="H1026" s="12">
        <v>16671</v>
      </c>
    </row>
    <row r="1027" spans="1:8">
      <c r="A1027" s="12" t="s">
        <v>7243</v>
      </c>
      <c r="B1027" s="13">
        <v>30.42</v>
      </c>
      <c r="C1027" s="16" t="s">
        <v>5331</v>
      </c>
      <c r="D1027" s="12">
        <v>66.42</v>
      </c>
      <c r="E1027" s="12" t="s">
        <v>5332</v>
      </c>
      <c r="F1027" s="12" t="s">
        <v>5328</v>
      </c>
      <c r="G1027" s="12" t="s">
        <v>7244</v>
      </c>
      <c r="H1027" s="12">
        <v>16709</v>
      </c>
    </row>
    <row r="1028" spans="1:8">
      <c r="A1028" s="12" t="s">
        <v>7245</v>
      </c>
      <c r="B1028" s="13">
        <v>27.92</v>
      </c>
      <c r="C1028" s="16" t="s">
        <v>5331</v>
      </c>
      <c r="D1028" s="12">
        <v>75</v>
      </c>
      <c r="E1028" s="12" t="s">
        <v>5332</v>
      </c>
      <c r="F1028" s="12" t="s">
        <v>5328</v>
      </c>
      <c r="G1028" s="12" t="s">
        <v>7246</v>
      </c>
      <c r="H1028" s="12">
        <v>16662</v>
      </c>
    </row>
    <row r="1029" spans="1:8">
      <c r="A1029" s="12" t="s">
        <v>7247</v>
      </c>
      <c r="B1029" s="13">
        <v>32.49</v>
      </c>
      <c r="C1029" s="16" t="s">
        <v>5331</v>
      </c>
      <c r="D1029" s="12">
        <v>14.984999999999999</v>
      </c>
      <c r="E1029" s="12" t="s">
        <v>5332</v>
      </c>
      <c r="F1029" s="12" t="s">
        <v>5328</v>
      </c>
      <c r="G1029" s="12" t="s">
        <v>7248</v>
      </c>
      <c r="H1029" s="12">
        <v>16652</v>
      </c>
    </row>
    <row r="1030" spans="1:8">
      <c r="A1030" s="12" t="s">
        <v>7249</v>
      </c>
      <c r="B1030" s="13">
        <v>20.8</v>
      </c>
      <c r="C1030" s="16" t="s">
        <v>5331</v>
      </c>
      <c r="D1030" s="12">
        <v>71.36</v>
      </c>
      <c r="E1030" s="12" t="s">
        <v>5332</v>
      </c>
      <c r="F1030" s="12" t="s">
        <v>5328</v>
      </c>
      <c r="G1030" s="12" t="s">
        <v>7250</v>
      </c>
      <c r="H1030" s="12">
        <v>16418</v>
      </c>
    </row>
    <row r="1031" spans="1:8">
      <c r="A1031" s="12" t="s">
        <v>7249</v>
      </c>
      <c r="B1031" s="13">
        <v>20.8</v>
      </c>
      <c r="C1031" s="16" t="s">
        <v>5331</v>
      </c>
      <c r="D1031" s="12">
        <v>48</v>
      </c>
      <c r="E1031" s="12" t="s">
        <v>5332</v>
      </c>
      <c r="F1031" s="12" t="s">
        <v>5328</v>
      </c>
      <c r="G1031" s="12" t="s">
        <v>7250</v>
      </c>
      <c r="H1031" s="12">
        <v>16418</v>
      </c>
    </row>
    <row r="1032" spans="1:8">
      <c r="A1032" s="12" t="s">
        <v>7251</v>
      </c>
      <c r="B1032" s="13">
        <v>206.8</v>
      </c>
      <c r="C1032" s="16" t="s">
        <v>5331</v>
      </c>
      <c r="D1032" s="12">
        <v>947.66</v>
      </c>
      <c r="E1032" s="12" t="s">
        <v>5332</v>
      </c>
      <c r="F1032" s="12" t="s">
        <v>5328</v>
      </c>
      <c r="G1032" s="12" t="s">
        <v>7252</v>
      </c>
      <c r="H1032" s="12">
        <v>167512</v>
      </c>
    </row>
    <row r="1033" spans="1:8">
      <c r="A1033" s="12" t="s">
        <v>7253</v>
      </c>
      <c r="B1033" s="13">
        <v>265</v>
      </c>
      <c r="C1033" s="16" t="s">
        <v>5331</v>
      </c>
      <c r="D1033" s="12">
        <v>1174.68</v>
      </c>
      <c r="E1033" s="12" t="s">
        <v>5332</v>
      </c>
      <c r="F1033" s="12" t="s">
        <v>5328</v>
      </c>
      <c r="G1033" s="12" t="s">
        <v>7254</v>
      </c>
      <c r="H1033" s="12">
        <v>154776</v>
      </c>
    </row>
    <row r="1034" spans="1:8">
      <c r="A1034" s="12" t="s">
        <v>7255</v>
      </c>
      <c r="B1034" s="13">
        <v>8.8000000000000007</v>
      </c>
      <c r="C1034" s="16" t="s">
        <v>5331</v>
      </c>
      <c r="D1034" s="12">
        <v>38.090000000000003</v>
      </c>
      <c r="E1034" s="12" t="s">
        <v>5332</v>
      </c>
      <c r="F1034" s="12" t="s">
        <v>5328</v>
      </c>
      <c r="G1034" s="12" t="s">
        <v>7256</v>
      </c>
      <c r="H1034" s="12">
        <v>16602</v>
      </c>
    </row>
    <row r="1035" spans="1:8">
      <c r="A1035" s="12" t="s">
        <v>7257</v>
      </c>
      <c r="B1035" s="13">
        <v>51</v>
      </c>
      <c r="C1035" s="16" t="s">
        <v>5331</v>
      </c>
      <c r="D1035" s="12">
        <v>135</v>
      </c>
      <c r="E1035" s="12" t="s">
        <v>5332</v>
      </c>
      <c r="F1035" s="12" t="s">
        <v>5328</v>
      </c>
      <c r="G1035" s="12" t="s">
        <v>7258</v>
      </c>
      <c r="H1035" s="12">
        <v>16558</v>
      </c>
    </row>
    <row r="1036" spans="1:8">
      <c r="A1036" s="12" t="s">
        <v>7259</v>
      </c>
      <c r="B1036" s="13">
        <v>16.22</v>
      </c>
      <c r="C1036" s="16" t="s">
        <v>5331</v>
      </c>
      <c r="D1036" s="12">
        <v>22.44</v>
      </c>
      <c r="E1036" s="12" t="s">
        <v>5332</v>
      </c>
      <c r="F1036" s="12" t="s">
        <v>5328</v>
      </c>
      <c r="G1036" s="12" t="s">
        <v>7260</v>
      </c>
      <c r="H1036" s="12">
        <v>16489</v>
      </c>
    </row>
    <row r="1037" spans="1:8">
      <c r="A1037" s="12" t="s">
        <v>7261</v>
      </c>
      <c r="B1037" s="13">
        <v>210</v>
      </c>
      <c r="C1037" s="16" t="s">
        <v>5331</v>
      </c>
      <c r="D1037" s="12">
        <v>992.25</v>
      </c>
      <c r="E1037" s="12" t="s">
        <v>5332</v>
      </c>
      <c r="F1037" s="12" t="s">
        <v>5328</v>
      </c>
      <c r="G1037" s="12" t="s">
        <v>7262</v>
      </c>
      <c r="H1037" s="12">
        <v>17575</v>
      </c>
    </row>
    <row r="1038" spans="1:8">
      <c r="A1038" s="12" t="s">
        <v>7263</v>
      </c>
      <c r="B1038" s="13">
        <v>206.63</v>
      </c>
      <c r="C1038" s="16" t="s">
        <v>5331</v>
      </c>
      <c r="D1038" s="12">
        <v>850.5</v>
      </c>
      <c r="E1038" s="12" t="s">
        <v>5332</v>
      </c>
      <c r="F1038" s="12" t="s">
        <v>5328</v>
      </c>
      <c r="G1038" s="12" t="s">
        <v>7264</v>
      </c>
      <c r="H1038" s="12">
        <v>17576</v>
      </c>
    </row>
    <row r="1039" spans="1:8">
      <c r="A1039" s="12" t="s">
        <v>7265</v>
      </c>
      <c r="B1039" s="13">
        <v>172.5</v>
      </c>
      <c r="C1039" s="16" t="s">
        <v>5331</v>
      </c>
      <c r="D1039" s="12">
        <v>696</v>
      </c>
      <c r="E1039" s="12" t="s">
        <v>5332</v>
      </c>
      <c r="F1039" s="12" t="s">
        <v>5328</v>
      </c>
      <c r="G1039" s="12" t="s">
        <v>7266</v>
      </c>
      <c r="H1039" s="12">
        <v>17577</v>
      </c>
    </row>
    <row r="1040" spans="1:8">
      <c r="A1040" s="12" t="s">
        <v>7267</v>
      </c>
      <c r="B1040" s="13">
        <v>63.55</v>
      </c>
      <c r="C1040" s="16" t="s">
        <v>5331</v>
      </c>
      <c r="D1040" s="12">
        <v>1181.25</v>
      </c>
      <c r="E1040" s="12" t="s">
        <v>5332</v>
      </c>
      <c r="F1040" s="12" t="s">
        <v>5328</v>
      </c>
      <c r="G1040" s="12" t="s">
        <v>7268</v>
      </c>
      <c r="H1040" s="12">
        <v>17579</v>
      </c>
    </row>
    <row r="1041" spans="1:8">
      <c r="A1041" s="12" t="s">
        <v>7267</v>
      </c>
      <c r="B1041" s="13">
        <v>63.55</v>
      </c>
      <c r="C1041" s="16" t="s">
        <v>5331</v>
      </c>
      <c r="D1041" s="12">
        <v>787.5</v>
      </c>
      <c r="E1041" s="12" t="s">
        <v>5332</v>
      </c>
      <c r="F1041" s="12" t="s">
        <v>5328</v>
      </c>
      <c r="G1041" s="12" t="s">
        <v>7268</v>
      </c>
      <c r="H1041" s="12">
        <v>17579</v>
      </c>
    </row>
    <row r="1042" spans="1:8">
      <c r="A1042" s="12" t="s">
        <v>7269</v>
      </c>
      <c r="B1042" s="13">
        <v>135.75</v>
      </c>
      <c r="C1042" s="16" t="s">
        <v>5331</v>
      </c>
      <c r="D1042" s="12">
        <v>547.86</v>
      </c>
      <c r="E1042" s="12" t="s">
        <v>5332</v>
      </c>
      <c r="F1042" s="12" t="s">
        <v>5328</v>
      </c>
      <c r="G1042" s="12" t="s">
        <v>7270</v>
      </c>
      <c r="H1042" s="12">
        <v>17580</v>
      </c>
    </row>
    <row r="1043" spans="1:8">
      <c r="A1043" s="12" t="s">
        <v>7271</v>
      </c>
      <c r="B1043" s="13">
        <v>3</v>
      </c>
      <c r="C1043" s="16" t="s">
        <v>6565</v>
      </c>
      <c r="D1043" s="12">
        <v>9</v>
      </c>
      <c r="E1043" s="12" t="s">
        <v>5332</v>
      </c>
      <c r="F1043" s="12" t="s">
        <v>5328</v>
      </c>
      <c r="G1043" s="12" t="s">
        <v>7272</v>
      </c>
      <c r="H1043" s="12">
        <v>18045</v>
      </c>
    </row>
    <row r="1044" spans="1:8">
      <c r="A1044" s="12" t="s">
        <v>7273</v>
      </c>
      <c r="B1044" s="13">
        <v>180.28</v>
      </c>
      <c r="C1044" s="16" t="s">
        <v>7274</v>
      </c>
      <c r="D1044" s="12">
        <v>66.150000000000006</v>
      </c>
      <c r="E1044" s="12" t="s">
        <v>5332</v>
      </c>
      <c r="F1044" s="12" t="s">
        <v>5328</v>
      </c>
      <c r="G1044" s="12" t="s">
        <v>7275</v>
      </c>
      <c r="H1044" s="12">
        <v>44397</v>
      </c>
    </row>
    <row r="1045" spans="1:8">
      <c r="A1045" s="12" t="s">
        <v>7276</v>
      </c>
      <c r="B1045" s="13">
        <v>3.9</v>
      </c>
      <c r="C1045" s="16" t="s">
        <v>6565</v>
      </c>
      <c r="D1045" s="12">
        <v>11.7</v>
      </c>
      <c r="E1045" s="12" t="s">
        <v>5332</v>
      </c>
      <c r="F1045" s="12" t="s">
        <v>5328</v>
      </c>
      <c r="G1045" s="12" t="s">
        <v>7277</v>
      </c>
      <c r="H1045" s="12">
        <v>18046</v>
      </c>
    </row>
    <row r="1046" spans="1:8">
      <c r="A1046" s="12" t="s">
        <v>7278</v>
      </c>
      <c r="B1046" s="13">
        <v>304.2</v>
      </c>
      <c r="C1046" s="16" t="s">
        <v>6565</v>
      </c>
      <c r="D1046" s="12">
        <v>9.3000000000000007</v>
      </c>
      <c r="E1046" s="12" t="s">
        <v>5332</v>
      </c>
      <c r="F1046" s="12" t="s">
        <v>5328</v>
      </c>
      <c r="G1046" s="12" t="s">
        <v>7279</v>
      </c>
      <c r="H1046" s="12">
        <v>18047</v>
      </c>
    </row>
    <row r="1047" spans="1:8">
      <c r="A1047" s="12" t="s">
        <v>7280</v>
      </c>
      <c r="B1047" s="13">
        <v>47.32</v>
      </c>
      <c r="C1047" s="16" t="s">
        <v>5331</v>
      </c>
      <c r="D1047" s="12">
        <v>208.29</v>
      </c>
      <c r="E1047" s="12" t="s">
        <v>5332</v>
      </c>
      <c r="F1047" s="12" t="s">
        <v>5328</v>
      </c>
      <c r="G1047" s="12" t="s">
        <v>7281</v>
      </c>
      <c r="H1047" s="12">
        <v>17583</v>
      </c>
    </row>
    <row r="1048" spans="1:8">
      <c r="A1048" s="12" t="s">
        <v>7282</v>
      </c>
      <c r="B1048" s="13">
        <v>16.72</v>
      </c>
      <c r="C1048" s="16" t="s">
        <v>5331</v>
      </c>
      <c r="D1048" s="12">
        <v>168.81</v>
      </c>
      <c r="E1048" s="12" t="s">
        <v>5332</v>
      </c>
      <c r="F1048" s="12" t="s">
        <v>5328</v>
      </c>
      <c r="G1048" s="12" t="s">
        <v>7283</v>
      </c>
      <c r="H1048" s="12">
        <v>17584</v>
      </c>
    </row>
    <row r="1049" spans="1:8">
      <c r="A1049" s="12" t="s">
        <v>7284</v>
      </c>
      <c r="B1049" s="13">
        <v>29.93</v>
      </c>
      <c r="C1049" s="16" t="s">
        <v>5331</v>
      </c>
      <c r="D1049" s="12">
        <v>141.41999999999999</v>
      </c>
      <c r="E1049" s="12" t="s">
        <v>5332</v>
      </c>
      <c r="F1049" s="12" t="s">
        <v>5328</v>
      </c>
      <c r="G1049" s="12" t="s">
        <v>7285</v>
      </c>
      <c r="H1049" s="12">
        <v>17586</v>
      </c>
    </row>
    <row r="1050" spans="1:8">
      <c r="A1050" s="12" t="s">
        <v>7286</v>
      </c>
      <c r="B1050" s="13">
        <v>11.14</v>
      </c>
      <c r="C1050" s="16" t="s">
        <v>5331</v>
      </c>
      <c r="D1050" s="12">
        <v>36.86</v>
      </c>
      <c r="E1050" s="12" t="s">
        <v>5332</v>
      </c>
      <c r="F1050" s="12" t="s">
        <v>5328</v>
      </c>
      <c r="G1050" s="12" t="s">
        <v>7287</v>
      </c>
      <c r="H1050" s="12">
        <v>17587</v>
      </c>
    </row>
    <row r="1051" spans="1:8">
      <c r="A1051" s="12" t="s">
        <v>7288</v>
      </c>
      <c r="B1051" s="13">
        <v>21</v>
      </c>
      <c r="C1051" s="16" t="s">
        <v>5331</v>
      </c>
      <c r="D1051" s="12">
        <v>14.81</v>
      </c>
      <c r="E1051" s="12" t="s">
        <v>5332</v>
      </c>
      <c r="F1051" s="12" t="s">
        <v>5328</v>
      </c>
      <c r="G1051" s="12" t="s">
        <v>7289</v>
      </c>
      <c r="H1051" s="12">
        <v>17589</v>
      </c>
    </row>
    <row r="1052" spans="1:8">
      <c r="A1052" s="12" t="s">
        <v>7290</v>
      </c>
      <c r="B1052" s="13">
        <v>33.700000000000003</v>
      </c>
      <c r="C1052" s="16" t="s">
        <v>5331</v>
      </c>
      <c r="D1052" s="12">
        <v>14.25</v>
      </c>
      <c r="E1052" s="12" t="s">
        <v>5332</v>
      </c>
      <c r="F1052" s="12" t="s">
        <v>5328</v>
      </c>
      <c r="G1052" s="12" t="s">
        <v>7291</v>
      </c>
      <c r="H1052" s="12">
        <v>17591</v>
      </c>
    </row>
    <row r="1053" spans="1:8">
      <c r="A1053" s="12" t="s">
        <v>7292</v>
      </c>
      <c r="B1053" s="13">
        <v>6.35</v>
      </c>
      <c r="C1053" s="16" t="s">
        <v>5331</v>
      </c>
      <c r="D1053" s="12">
        <v>51.65</v>
      </c>
      <c r="E1053" s="12" t="s">
        <v>5332</v>
      </c>
      <c r="F1053" s="12" t="s">
        <v>5328</v>
      </c>
      <c r="G1053" s="12" t="s">
        <v>7293</v>
      </c>
      <c r="H1053" s="12">
        <v>17592</v>
      </c>
    </row>
    <row r="1054" spans="1:8">
      <c r="A1054" s="12" t="s">
        <v>7292</v>
      </c>
      <c r="B1054" s="13">
        <v>6.35</v>
      </c>
      <c r="C1054" s="16" t="s">
        <v>5331</v>
      </c>
      <c r="D1054" s="12">
        <v>34.43</v>
      </c>
      <c r="E1054" s="12" t="s">
        <v>5332</v>
      </c>
      <c r="F1054" s="12" t="s">
        <v>5328</v>
      </c>
      <c r="G1054" s="12" t="s">
        <v>7293</v>
      </c>
      <c r="H1054" s="12">
        <v>17592</v>
      </c>
    </row>
    <row r="1055" spans="1:8">
      <c r="A1055" s="12" t="s">
        <v>7294</v>
      </c>
      <c r="B1055" s="13">
        <v>37.799999999999997</v>
      </c>
      <c r="C1055" s="16" t="s">
        <v>5331</v>
      </c>
      <c r="D1055" s="12">
        <v>192.45</v>
      </c>
      <c r="E1055" s="12" t="s">
        <v>5332</v>
      </c>
      <c r="F1055" s="12" t="s">
        <v>5328</v>
      </c>
      <c r="G1055" s="12" t="s">
        <v>7295</v>
      </c>
      <c r="H1055" s="12">
        <v>36957</v>
      </c>
    </row>
    <row r="1056" spans="1:8">
      <c r="A1056" s="12" t="s">
        <v>7296</v>
      </c>
      <c r="B1056" s="13">
        <v>0</v>
      </c>
      <c r="C1056" s="16" t="s">
        <v>5331</v>
      </c>
      <c r="D1056" s="12">
        <v>15</v>
      </c>
      <c r="E1056" s="12" t="s">
        <v>5332</v>
      </c>
      <c r="F1056" s="12" t="s">
        <v>5328</v>
      </c>
      <c r="G1056" s="12" t="s">
        <v>7297</v>
      </c>
      <c r="H1056" s="12">
        <v>17594</v>
      </c>
    </row>
    <row r="1057" spans="1:8">
      <c r="A1057" s="12" t="s">
        <v>7298</v>
      </c>
      <c r="B1057" s="13">
        <v>2.59</v>
      </c>
      <c r="C1057" s="16" t="s">
        <v>5331</v>
      </c>
      <c r="D1057" s="12">
        <v>6.54</v>
      </c>
      <c r="E1057" s="12" t="s">
        <v>5332</v>
      </c>
      <c r="F1057" s="12" t="s">
        <v>5328</v>
      </c>
      <c r="G1057" s="12" t="s">
        <v>7299</v>
      </c>
      <c r="H1057" s="12">
        <v>17595</v>
      </c>
    </row>
    <row r="1058" spans="1:8">
      <c r="A1058" s="12" t="s">
        <v>7300</v>
      </c>
      <c r="B1058" s="13">
        <v>3.02</v>
      </c>
      <c r="C1058" s="16" t="s">
        <v>5331</v>
      </c>
      <c r="D1058" s="12">
        <v>11.58</v>
      </c>
      <c r="E1058" s="12" t="s">
        <v>5332</v>
      </c>
      <c r="F1058" s="12" t="s">
        <v>5328</v>
      </c>
      <c r="G1058" s="12" t="s">
        <v>7301</v>
      </c>
      <c r="H1058" s="12">
        <v>17596</v>
      </c>
    </row>
    <row r="1059" spans="1:8">
      <c r="A1059" s="12" t="s">
        <v>7302</v>
      </c>
      <c r="B1059" s="13">
        <v>0.04</v>
      </c>
      <c r="C1059" s="16" t="s">
        <v>5331</v>
      </c>
      <c r="D1059" s="12">
        <v>0.11700000000000001</v>
      </c>
      <c r="E1059" s="12" t="s">
        <v>5332</v>
      </c>
      <c r="F1059" s="12" t="s">
        <v>5328</v>
      </c>
      <c r="G1059" s="12" t="s">
        <v>7303</v>
      </c>
      <c r="H1059" s="12">
        <v>17597</v>
      </c>
    </row>
    <row r="1060" spans="1:8">
      <c r="A1060" s="12" t="s">
        <v>7304</v>
      </c>
      <c r="B1060" s="13">
        <v>240.99</v>
      </c>
      <c r="C1060" s="16" t="s">
        <v>5331</v>
      </c>
      <c r="D1060" s="12">
        <v>1554.53</v>
      </c>
      <c r="E1060" s="12" t="s">
        <v>5332</v>
      </c>
      <c r="F1060" s="12" t="s">
        <v>5328</v>
      </c>
      <c r="G1060" s="12" t="s">
        <v>7305</v>
      </c>
      <c r="H1060" s="12">
        <v>36961</v>
      </c>
    </row>
    <row r="1061" spans="1:8">
      <c r="A1061" s="12" t="s">
        <v>7306</v>
      </c>
      <c r="B1061" s="13">
        <v>3</v>
      </c>
      <c r="C1061" s="16" t="s">
        <v>5331</v>
      </c>
      <c r="D1061" s="12">
        <v>9</v>
      </c>
      <c r="E1061" s="12" t="s">
        <v>5332</v>
      </c>
      <c r="F1061" s="12" t="s">
        <v>5328</v>
      </c>
      <c r="G1061" s="12" t="s">
        <v>7307</v>
      </c>
      <c r="H1061" s="12">
        <v>17599</v>
      </c>
    </row>
    <row r="1062" spans="1:8">
      <c r="A1062" s="12" t="s">
        <v>7308</v>
      </c>
      <c r="B1062" s="13">
        <v>6.36</v>
      </c>
      <c r="C1062" s="16" t="s">
        <v>5331</v>
      </c>
      <c r="D1062" s="12">
        <v>24.11</v>
      </c>
      <c r="E1062" s="12" t="s">
        <v>5332</v>
      </c>
      <c r="F1062" s="12" t="s">
        <v>5328</v>
      </c>
      <c r="G1062" s="12" t="s">
        <v>7309</v>
      </c>
      <c r="H1062" s="12">
        <v>17600</v>
      </c>
    </row>
    <row r="1063" spans="1:8">
      <c r="A1063" s="12" t="s">
        <v>7310</v>
      </c>
      <c r="B1063" s="13">
        <v>3.15</v>
      </c>
      <c r="C1063" s="16" t="s">
        <v>6565</v>
      </c>
      <c r="D1063" s="12">
        <v>9</v>
      </c>
      <c r="E1063" s="12" t="s">
        <v>5332</v>
      </c>
      <c r="F1063" s="12" t="s">
        <v>5328</v>
      </c>
      <c r="G1063" s="12" t="s">
        <v>7311</v>
      </c>
      <c r="H1063" s="12">
        <v>18048</v>
      </c>
    </row>
    <row r="1064" spans="1:8">
      <c r="A1064" s="12" t="s">
        <v>7312</v>
      </c>
      <c r="B1064" s="13">
        <v>1.82</v>
      </c>
      <c r="C1064" s="16" t="s">
        <v>6565</v>
      </c>
      <c r="D1064" s="12">
        <v>7.8</v>
      </c>
      <c r="E1064" s="12" t="s">
        <v>5332</v>
      </c>
      <c r="F1064" s="12" t="s">
        <v>5328</v>
      </c>
      <c r="G1064" s="12" t="s">
        <v>7313</v>
      </c>
      <c r="H1064" s="12">
        <v>18049</v>
      </c>
    </row>
    <row r="1065" spans="1:8">
      <c r="A1065" s="12" t="s">
        <v>7314</v>
      </c>
      <c r="B1065" s="13">
        <v>0.28000000000000003</v>
      </c>
      <c r="C1065" s="16" t="s">
        <v>5331</v>
      </c>
      <c r="D1065" s="12">
        <v>0.75</v>
      </c>
      <c r="E1065" s="12" t="s">
        <v>5332</v>
      </c>
      <c r="F1065" s="12" t="s">
        <v>5328</v>
      </c>
      <c r="G1065" s="12" t="s">
        <v>7315</v>
      </c>
      <c r="H1065" s="12">
        <v>17601</v>
      </c>
    </row>
    <row r="1066" spans="1:8">
      <c r="A1066" s="12" t="s">
        <v>7316</v>
      </c>
      <c r="B1066" s="13">
        <v>2.35</v>
      </c>
      <c r="C1066" s="16" t="s">
        <v>5331</v>
      </c>
      <c r="D1066" s="12">
        <v>11.58</v>
      </c>
      <c r="E1066" s="12" t="s">
        <v>5332</v>
      </c>
      <c r="F1066" s="12" t="s">
        <v>5328</v>
      </c>
      <c r="G1066" s="12" t="s">
        <v>7317</v>
      </c>
      <c r="H1066" s="12">
        <v>17602</v>
      </c>
    </row>
    <row r="1067" spans="1:8">
      <c r="A1067" s="12" t="s">
        <v>7318</v>
      </c>
      <c r="B1067" s="13">
        <v>3.26</v>
      </c>
      <c r="C1067" s="16" t="s">
        <v>5331</v>
      </c>
      <c r="D1067" s="12">
        <v>15.21</v>
      </c>
      <c r="E1067" s="12" t="s">
        <v>5332</v>
      </c>
      <c r="F1067" s="12" t="s">
        <v>5328</v>
      </c>
      <c r="G1067" s="12" t="s">
        <v>7319</v>
      </c>
      <c r="H1067" s="12">
        <v>17603</v>
      </c>
    </row>
    <row r="1068" spans="1:8">
      <c r="A1068" s="12" t="s">
        <v>7320</v>
      </c>
      <c r="B1068" s="13">
        <v>768.9</v>
      </c>
      <c r="C1068" s="16" t="s">
        <v>5331</v>
      </c>
      <c r="D1068" s="12">
        <v>2939.81</v>
      </c>
      <c r="E1068" s="12" t="s">
        <v>5332</v>
      </c>
      <c r="F1068" s="12" t="s">
        <v>5328</v>
      </c>
      <c r="G1068" s="12" t="s">
        <v>7321</v>
      </c>
      <c r="H1068" s="12">
        <v>17604</v>
      </c>
    </row>
    <row r="1069" spans="1:8">
      <c r="A1069" s="12" t="s">
        <v>7322</v>
      </c>
      <c r="B1069" s="13">
        <v>1.89</v>
      </c>
      <c r="C1069" s="16" t="s">
        <v>7323</v>
      </c>
      <c r="D1069" s="12">
        <v>7.4219999999999997</v>
      </c>
      <c r="E1069" s="12" t="s">
        <v>5332</v>
      </c>
      <c r="F1069" s="12" t="s">
        <v>5328</v>
      </c>
      <c r="G1069" s="12" t="s">
        <v>7324</v>
      </c>
      <c r="H1069" s="12">
        <v>18052</v>
      </c>
    </row>
    <row r="1070" spans="1:8">
      <c r="A1070" s="12" t="s">
        <v>7325</v>
      </c>
      <c r="B1070" s="13">
        <v>17.3</v>
      </c>
      <c r="C1070" s="16" t="s">
        <v>5331</v>
      </c>
      <c r="D1070" s="12">
        <v>54.6</v>
      </c>
      <c r="E1070" s="12" t="s">
        <v>5332</v>
      </c>
      <c r="F1070" s="12" t="s">
        <v>5328</v>
      </c>
      <c r="G1070" s="12" t="s">
        <v>7326</v>
      </c>
      <c r="H1070" s="12">
        <v>17606</v>
      </c>
    </row>
    <row r="1071" spans="1:8">
      <c r="A1071" s="12" t="s">
        <v>7327</v>
      </c>
      <c r="B1071" s="13">
        <v>0.12</v>
      </c>
      <c r="C1071" s="16" t="s">
        <v>5331</v>
      </c>
      <c r="D1071" s="12">
        <v>0.56999999999999995</v>
      </c>
      <c r="E1071" s="12" t="s">
        <v>5332</v>
      </c>
      <c r="F1071" s="12" t="s">
        <v>5328</v>
      </c>
      <c r="G1071" s="12" t="s">
        <v>7328</v>
      </c>
      <c r="H1071" s="12">
        <v>17607</v>
      </c>
    </row>
    <row r="1072" spans="1:8">
      <c r="A1072" s="12" t="s">
        <v>7329</v>
      </c>
      <c r="B1072" s="13">
        <v>0.74</v>
      </c>
      <c r="C1072" s="16" t="s">
        <v>5331</v>
      </c>
      <c r="D1072" s="12">
        <v>13.1</v>
      </c>
      <c r="E1072" s="12" t="s">
        <v>5332</v>
      </c>
      <c r="F1072" s="12" t="s">
        <v>5328</v>
      </c>
      <c r="G1072" s="12" t="s">
        <v>7330</v>
      </c>
      <c r="H1072" s="12">
        <v>17608</v>
      </c>
    </row>
    <row r="1073" spans="1:8">
      <c r="A1073" s="12" t="s">
        <v>7331</v>
      </c>
      <c r="B1073" s="13">
        <v>14.33</v>
      </c>
      <c r="C1073" s="16" t="s">
        <v>5331</v>
      </c>
      <c r="D1073" s="12">
        <v>46.8</v>
      </c>
      <c r="E1073" s="12" t="s">
        <v>5332</v>
      </c>
      <c r="F1073" s="12" t="s">
        <v>5328</v>
      </c>
      <c r="G1073" s="12" t="s">
        <v>7332</v>
      </c>
      <c r="H1073" s="12">
        <v>36971</v>
      </c>
    </row>
    <row r="1074" spans="1:8">
      <c r="A1074" s="12" t="s">
        <v>7333</v>
      </c>
      <c r="B1074" s="13">
        <v>34.68</v>
      </c>
      <c r="C1074" s="16" t="s">
        <v>6565</v>
      </c>
      <c r="D1074" s="12">
        <v>1.85</v>
      </c>
      <c r="E1074" s="12" t="s">
        <v>5332</v>
      </c>
      <c r="F1074" s="12" t="s">
        <v>5328</v>
      </c>
      <c r="G1074" s="12" t="s">
        <v>7334</v>
      </c>
      <c r="H1074" s="12">
        <v>17938</v>
      </c>
    </row>
    <row r="1075" spans="1:8">
      <c r="A1075" s="12" t="s">
        <v>7335</v>
      </c>
      <c r="B1075" s="13">
        <v>36.6</v>
      </c>
      <c r="C1075" s="16" t="s">
        <v>6565</v>
      </c>
      <c r="D1075" s="12">
        <v>2.09</v>
      </c>
      <c r="E1075" s="12" t="s">
        <v>5332</v>
      </c>
      <c r="F1075" s="12" t="s">
        <v>5328</v>
      </c>
      <c r="G1075" s="12" t="s">
        <v>7336</v>
      </c>
      <c r="H1075" s="12">
        <v>17939</v>
      </c>
    </row>
    <row r="1076" spans="1:8">
      <c r="A1076" s="12" t="s">
        <v>7337</v>
      </c>
      <c r="B1076" s="13">
        <v>0.28000000000000003</v>
      </c>
      <c r="C1076" s="16" t="s">
        <v>7338</v>
      </c>
      <c r="D1076" s="12">
        <v>0.05</v>
      </c>
      <c r="E1076" s="12" t="s">
        <v>5332</v>
      </c>
      <c r="F1076" s="12" t="s">
        <v>5328</v>
      </c>
      <c r="G1076" s="12" t="s">
        <v>7339</v>
      </c>
      <c r="H1076" s="12">
        <v>44399</v>
      </c>
    </row>
    <row r="1077" spans="1:8">
      <c r="A1077" s="12" t="s">
        <v>7340</v>
      </c>
      <c r="B1077" s="13">
        <v>0.15</v>
      </c>
      <c r="C1077" s="16" t="s">
        <v>5331</v>
      </c>
      <c r="D1077" s="12">
        <v>1.869</v>
      </c>
      <c r="E1077" s="12" t="s">
        <v>5332</v>
      </c>
      <c r="F1077" s="12" t="s">
        <v>5328</v>
      </c>
      <c r="G1077" s="12" t="s">
        <v>7341</v>
      </c>
      <c r="H1077" s="12">
        <v>48713</v>
      </c>
    </row>
    <row r="1078" spans="1:8">
      <c r="A1078" s="12" t="s">
        <v>7342</v>
      </c>
      <c r="B1078" s="13">
        <v>9.0399999999999991</v>
      </c>
      <c r="C1078" s="16" t="s">
        <v>5331</v>
      </c>
      <c r="D1078" s="12">
        <v>35.58</v>
      </c>
      <c r="E1078" s="12" t="s">
        <v>5332</v>
      </c>
      <c r="F1078" s="12" t="s">
        <v>5328</v>
      </c>
      <c r="G1078" s="12" t="s">
        <v>7343</v>
      </c>
      <c r="H1078" s="12">
        <v>50654</v>
      </c>
    </row>
    <row r="1079" spans="1:8">
      <c r="A1079" s="12" t="s">
        <v>7342</v>
      </c>
      <c r="B1079" s="13">
        <v>9.0399999999999991</v>
      </c>
      <c r="C1079" s="16" t="s">
        <v>5331</v>
      </c>
      <c r="D1079" s="12">
        <v>23.72</v>
      </c>
      <c r="E1079" s="12" t="s">
        <v>5332</v>
      </c>
      <c r="F1079" s="12" t="s">
        <v>5328</v>
      </c>
      <c r="G1079" s="12" t="s">
        <v>7343</v>
      </c>
      <c r="H1079" s="12">
        <v>50654</v>
      </c>
    </row>
    <row r="1080" spans="1:8">
      <c r="A1080" s="12" t="s">
        <v>7344</v>
      </c>
      <c r="B1080" s="13">
        <v>163.32</v>
      </c>
      <c r="C1080" s="16" t="s">
        <v>5331</v>
      </c>
      <c r="D1080" s="12">
        <v>693.09</v>
      </c>
      <c r="E1080" s="12" t="s">
        <v>5332</v>
      </c>
      <c r="F1080" s="12" t="s">
        <v>5328</v>
      </c>
      <c r="G1080" s="12" t="s">
        <v>7345</v>
      </c>
      <c r="H1080" s="12">
        <v>53457</v>
      </c>
    </row>
    <row r="1081" spans="1:8">
      <c r="A1081" s="12" t="s">
        <v>7346</v>
      </c>
      <c r="B1081" s="13">
        <v>202.98</v>
      </c>
      <c r="C1081" s="16" t="s">
        <v>5331</v>
      </c>
      <c r="D1081" s="12">
        <v>610.89</v>
      </c>
      <c r="E1081" s="12" t="s">
        <v>5332</v>
      </c>
      <c r="F1081" s="12" t="s">
        <v>5328</v>
      </c>
      <c r="G1081" s="12" t="s">
        <v>7347</v>
      </c>
      <c r="H1081" s="12">
        <v>53458</v>
      </c>
    </row>
    <row r="1082" spans="1:8">
      <c r="A1082" s="12" t="s">
        <v>7348</v>
      </c>
      <c r="B1082" s="13">
        <v>0.64</v>
      </c>
      <c r="C1082" s="16" t="s">
        <v>5331</v>
      </c>
      <c r="D1082" s="12">
        <v>3.95</v>
      </c>
      <c r="E1082" s="12" t="s">
        <v>5332</v>
      </c>
      <c r="F1082" s="12" t="s">
        <v>5328</v>
      </c>
      <c r="G1082" s="12" t="s">
        <v>7349</v>
      </c>
      <c r="H1082" s="12">
        <v>70592</v>
      </c>
    </row>
    <row r="1083" spans="1:8">
      <c r="A1083" s="12" t="s">
        <v>7350</v>
      </c>
      <c r="B1083" s="13">
        <v>4.8</v>
      </c>
      <c r="C1083" s="16" t="s">
        <v>7351</v>
      </c>
      <c r="D1083" s="12">
        <v>492.2</v>
      </c>
      <c r="E1083" s="12" t="s">
        <v>5332</v>
      </c>
      <c r="F1083" s="12" t="s">
        <v>5328</v>
      </c>
      <c r="G1083" s="12" t="s">
        <v>7352</v>
      </c>
      <c r="H1083" s="12">
        <v>75624</v>
      </c>
    </row>
    <row r="1084" spans="1:8">
      <c r="A1084" s="12" t="s">
        <v>7353</v>
      </c>
      <c r="B1084" s="13">
        <v>326.43</v>
      </c>
      <c r="C1084" s="16" t="s">
        <v>5331</v>
      </c>
      <c r="D1084" s="12">
        <v>1204.3800000000001</v>
      </c>
      <c r="E1084" s="12" t="s">
        <v>5332</v>
      </c>
      <c r="F1084" s="12" t="s">
        <v>5328</v>
      </c>
      <c r="G1084" s="12" t="s">
        <v>7354</v>
      </c>
      <c r="H1084" s="12">
        <v>72952</v>
      </c>
    </row>
    <row r="1085" spans="1:8">
      <c r="A1085" s="12" t="s">
        <v>7355</v>
      </c>
      <c r="B1085" s="13">
        <v>0.27</v>
      </c>
      <c r="C1085" s="16" t="s">
        <v>6565</v>
      </c>
      <c r="D1085" s="12">
        <v>2.461E-2</v>
      </c>
      <c r="E1085" s="12" t="s">
        <v>5332</v>
      </c>
      <c r="F1085" s="12" t="s">
        <v>5328</v>
      </c>
      <c r="G1085" s="12" t="s">
        <v>7356</v>
      </c>
      <c r="H1085" s="12">
        <v>75631</v>
      </c>
    </row>
    <row r="1086" spans="1:8">
      <c r="A1086" s="12"/>
      <c r="B1086" s="13"/>
      <c r="C1086" s="16"/>
      <c r="D1086" s="12"/>
      <c r="E1086" s="12"/>
      <c r="F1086" s="12"/>
      <c r="G1086" s="12"/>
      <c r="H1086" s="12"/>
    </row>
    <row r="1087" spans="1:8">
      <c r="A1087" s="12" t="s">
        <v>7357</v>
      </c>
      <c r="B1087" s="13"/>
      <c r="C1087" s="16"/>
      <c r="D1087" s="12"/>
      <c r="E1087" s="12"/>
      <c r="F1087" s="12"/>
      <c r="G1087" s="12"/>
      <c r="H1087" s="12"/>
    </row>
    <row r="1088" spans="1:8">
      <c r="A1088" s="12" t="s">
        <v>7358</v>
      </c>
      <c r="B1088" s="13">
        <v>12.16</v>
      </c>
      <c r="C1088" s="16" t="s">
        <v>5331</v>
      </c>
      <c r="D1088" s="12">
        <v>0.48</v>
      </c>
      <c r="E1088" s="12" t="s">
        <v>5332</v>
      </c>
      <c r="F1088" s="12" t="s">
        <v>5328</v>
      </c>
      <c r="G1088" s="12" t="s">
        <v>7359</v>
      </c>
      <c r="H1088" s="12">
        <v>15287</v>
      </c>
    </row>
    <row r="1089" spans="1:8">
      <c r="A1089" s="12" t="s">
        <v>7360</v>
      </c>
      <c r="B1089" s="13">
        <v>0.56999999999999995</v>
      </c>
      <c r="C1089" s="16" t="s">
        <v>5331</v>
      </c>
      <c r="D1089" s="12">
        <v>1.52</v>
      </c>
      <c r="E1089" s="12" t="s">
        <v>5332</v>
      </c>
      <c r="F1089" s="12" t="s">
        <v>5328</v>
      </c>
      <c r="G1089" s="12" t="s">
        <v>7361</v>
      </c>
      <c r="H1089" s="12">
        <v>15319</v>
      </c>
    </row>
    <row r="1090" spans="1:8">
      <c r="A1090" s="12" t="s">
        <v>7362</v>
      </c>
      <c r="B1090" s="13">
        <v>1.04</v>
      </c>
      <c r="C1090" s="16" t="s">
        <v>5331</v>
      </c>
      <c r="D1090" s="12">
        <v>2.67</v>
      </c>
      <c r="E1090" s="12" t="s">
        <v>5332</v>
      </c>
      <c r="F1090" s="12" t="s">
        <v>5328</v>
      </c>
      <c r="G1090" s="12" t="s">
        <v>7363</v>
      </c>
      <c r="H1090" s="12">
        <v>15339</v>
      </c>
    </row>
    <row r="1091" spans="1:8">
      <c r="A1091" s="12" t="s">
        <v>7364</v>
      </c>
      <c r="B1091" s="13">
        <v>2</v>
      </c>
      <c r="C1091" s="16" t="s">
        <v>5331</v>
      </c>
      <c r="D1091" s="12">
        <v>9.2100000000000009</v>
      </c>
      <c r="E1091" s="12" t="s">
        <v>5332</v>
      </c>
      <c r="F1091" s="12" t="s">
        <v>5328</v>
      </c>
      <c r="G1091" s="12" t="s">
        <v>7365</v>
      </c>
      <c r="H1091" s="12">
        <v>15342</v>
      </c>
    </row>
    <row r="1092" spans="1:8">
      <c r="A1092" s="12" t="s">
        <v>50</v>
      </c>
      <c r="B1092" s="13">
        <v>7.91</v>
      </c>
      <c r="C1092" s="16" t="s">
        <v>5331</v>
      </c>
      <c r="D1092" s="12">
        <v>41.91</v>
      </c>
      <c r="E1092" s="12" t="s">
        <v>5332</v>
      </c>
      <c r="F1092" s="12" t="s">
        <v>5328</v>
      </c>
      <c r="G1092" s="12" t="s">
        <v>7366</v>
      </c>
      <c r="H1092" s="12">
        <v>15370</v>
      </c>
    </row>
    <row r="1093" spans="1:8">
      <c r="A1093" s="12" t="s">
        <v>7367</v>
      </c>
      <c r="B1093" s="13">
        <v>6.47</v>
      </c>
      <c r="C1093" s="16" t="s">
        <v>5331</v>
      </c>
      <c r="D1093" s="12">
        <v>29.43</v>
      </c>
      <c r="E1093" s="12" t="s">
        <v>5332</v>
      </c>
      <c r="F1093" s="12" t="s">
        <v>5328</v>
      </c>
      <c r="G1093" s="12" t="s">
        <v>7368</v>
      </c>
      <c r="H1093" s="12">
        <v>15373</v>
      </c>
    </row>
    <row r="1094" spans="1:8">
      <c r="A1094" s="12" t="s">
        <v>7369</v>
      </c>
      <c r="B1094" s="13">
        <v>5.51</v>
      </c>
      <c r="C1094" s="16" t="s">
        <v>5331</v>
      </c>
      <c r="D1094" s="12">
        <v>18.329999999999998</v>
      </c>
      <c r="E1094" s="12" t="s">
        <v>5332</v>
      </c>
      <c r="F1094" s="12" t="s">
        <v>5328</v>
      </c>
      <c r="G1094" s="12" t="s">
        <v>7370</v>
      </c>
      <c r="H1094" s="12">
        <v>15376</v>
      </c>
    </row>
    <row r="1095" spans="1:8">
      <c r="A1095" s="12" t="s">
        <v>7371</v>
      </c>
      <c r="B1095" s="13">
        <v>7.05</v>
      </c>
      <c r="C1095" s="16" t="s">
        <v>5331</v>
      </c>
      <c r="D1095" s="12">
        <v>18.329999999999998</v>
      </c>
      <c r="E1095" s="12" t="s">
        <v>5332</v>
      </c>
      <c r="F1095" s="12" t="s">
        <v>5328</v>
      </c>
      <c r="G1095" s="12" t="s">
        <v>7372</v>
      </c>
      <c r="H1095" s="12">
        <v>49212</v>
      </c>
    </row>
    <row r="1096" spans="1:8">
      <c r="A1096" s="12" t="s">
        <v>7373</v>
      </c>
      <c r="B1096" s="13">
        <v>3.56</v>
      </c>
      <c r="C1096" s="16" t="s">
        <v>5331</v>
      </c>
      <c r="D1096" s="12">
        <v>46.68</v>
      </c>
      <c r="E1096" s="12" t="s">
        <v>5332</v>
      </c>
      <c r="F1096" s="12" t="s">
        <v>5328</v>
      </c>
      <c r="G1096" s="12" t="s">
        <v>7374</v>
      </c>
      <c r="H1096" s="12">
        <v>15485</v>
      </c>
    </row>
    <row r="1097" spans="1:8">
      <c r="A1097" s="12" t="s">
        <v>7375</v>
      </c>
      <c r="B1097" s="13">
        <v>35.74</v>
      </c>
      <c r="C1097" s="16" t="s">
        <v>5331</v>
      </c>
      <c r="D1097" s="12">
        <v>94.74</v>
      </c>
      <c r="E1097" s="12" t="s">
        <v>5332</v>
      </c>
      <c r="F1097" s="12" t="s">
        <v>5328</v>
      </c>
      <c r="G1097" s="12" t="s">
        <v>7376</v>
      </c>
      <c r="H1097" s="12">
        <v>15490</v>
      </c>
    </row>
    <row r="1098" spans="1:8">
      <c r="A1098" s="12" t="s">
        <v>7377</v>
      </c>
      <c r="B1098" s="13">
        <v>48.99</v>
      </c>
      <c r="C1098" s="16" t="s">
        <v>5331</v>
      </c>
      <c r="D1098" s="12">
        <v>183</v>
      </c>
      <c r="E1098" s="12" t="s">
        <v>5332</v>
      </c>
      <c r="F1098" s="12" t="s">
        <v>5328</v>
      </c>
      <c r="G1098" s="12" t="s">
        <v>7378</v>
      </c>
      <c r="H1098" s="12">
        <v>15567</v>
      </c>
    </row>
    <row r="1099" spans="1:8">
      <c r="A1099" s="12" t="s">
        <v>7379</v>
      </c>
      <c r="B1099" s="13">
        <v>126.9</v>
      </c>
      <c r="C1099" s="16" t="s">
        <v>5331</v>
      </c>
      <c r="D1099" s="12">
        <v>137.22</v>
      </c>
      <c r="E1099" s="12" t="s">
        <v>5332</v>
      </c>
      <c r="F1099" s="12" t="s">
        <v>5328</v>
      </c>
      <c r="G1099" s="12" t="s">
        <v>7380</v>
      </c>
      <c r="H1099" s="12">
        <v>15568</v>
      </c>
    </row>
    <row r="1100" spans="1:8">
      <c r="A1100" s="12" t="s">
        <v>7381</v>
      </c>
      <c r="B1100" s="13">
        <v>0.66</v>
      </c>
      <c r="C1100" s="16" t="s">
        <v>5331</v>
      </c>
      <c r="D1100" s="12">
        <v>2.6</v>
      </c>
      <c r="E1100" s="12" t="s">
        <v>5332</v>
      </c>
      <c r="F1100" s="12" t="s">
        <v>5328</v>
      </c>
      <c r="G1100" s="12" t="s">
        <v>7382</v>
      </c>
      <c r="H1100" s="12">
        <v>15570</v>
      </c>
    </row>
    <row r="1101" spans="1:8">
      <c r="A1101" s="12" t="s">
        <v>7383</v>
      </c>
      <c r="B1101" s="13">
        <v>51.82</v>
      </c>
      <c r="C1101" s="16" t="s">
        <v>5331</v>
      </c>
      <c r="D1101" s="12">
        <v>284.82</v>
      </c>
      <c r="E1101" s="12" t="s">
        <v>5332</v>
      </c>
      <c r="F1101" s="12" t="s">
        <v>5328</v>
      </c>
      <c r="G1101" s="12" t="s">
        <v>7384</v>
      </c>
      <c r="H1101" s="12">
        <v>12867</v>
      </c>
    </row>
    <row r="1102" spans="1:8">
      <c r="A1102" s="12" t="s">
        <v>7385</v>
      </c>
      <c r="B1102" s="13">
        <v>2.79</v>
      </c>
      <c r="C1102" s="16" t="s">
        <v>5331</v>
      </c>
      <c r="D1102" s="12">
        <v>128.04</v>
      </c>
      <c r="E1102" s="12" t="s">
        <v>5332</v>
      </c>
      <c r="F1102" s="12" t="s">
        <v>5328</v>
      </c>
      <c r="G1102" s="12" t="s">
        <v>7386</v>
      </c>
      <c r="H1102" s="12">
        <v>13675</v>
      </c>
    </row>
    <row r="1103" spans="1:8">
      <c r="A1103" s="12" t="s">
        <v>7387</v>
      </c>
      <c r="B1103" s="13">
        <v>937.5</v>
      </c>
      <c r="C1103" s="16" t="s">
        <v>5331</v>
      </c>
      <c r="D1103" s="12">
        <v>8.4600000000000009</v>
      </c>
      <c r="E1103" s="12" t="s">
        <v>5332</v>
      </c>
      <c r="F1103" s="12" t="s">
        <v>5328</v>
      </c>
      <c r="G1103" s="12" t="s">
        <v>7388</v>
      </c>
      <c r="H1103" s="12">
        <v>14422</v>
      </c>
    </row>
    <row r="1104" spans="1:8">
      <c r="A1104" s="12" t="s">
        <v>7389</v>
      </c>
      <c r="B1104" s="13">
        <v>9.7799999999999994</v>
      </c>
      <c r="C1104" s="16" t="s">
        <v>5331</v>
      </c>
      <c r="D1104" s="12">
        <v>43.71</v>
      </c>
      <c r="E1104" s="12" t="s">
        <v>5332</v>
      </c>
      <c r="F1104" s="12" t="s">
        <v>5328</v>
      </c>
      <c r="G1104" s="12" t="s">
        <v>7390</v>
      </c>
      <c r="H1104" s="12">
        <v>12157</v>
      </c>
    </row>
    <row r="1105" spans="1:8">
      <c r="A1105" s="12" t="s">
        <v>7391</v>
      </c>
      <c r="B1105" s="13">
        <v>0.74</v>
      </c>
      <c r="C1105" s="16" t="s">
        <v>6565</v>
      </c>
      <c r="D1105" s="12">
        <v>0.75</v>
      </c>
      <c r="E1105" s="12" t="s">
        <v>5332</v>
      </c>
      <c r="F1105" s="12" t="s">
        <v>5328</v>
      </c>
      <c r="G1105" s="12" t="s">
        <v>7392</v>
      </c>
      <c r="H1105" s="12">
        <v>17928</v>
      </c>
    </row>
    <row r="1106" spans="1:8">
      <c r="A1106" s="12" t="s">
        <v>7393</v>
      </c>
      <c r="B1106" s="13">
        <v>18.47</v>
      </c>
      <c r="C1106" s="16" t="s">
        <v>6565</v>
      </c>
      <c r="D1106" s="12">
        <v>113.4</v>
      </c>
      <c r="E1106" s="12" t="s">
        <v>5332</v>
      </c>
      <c r="F1106" s="12" t="s">
        <v>5328</v>
      </c>
      <c r="G1106" s="12" t="s">
        <v>7394</v>
      </c>
      <c r="H1106" s="12">
        <v>17929</v>
      </c>
    </row>
    <row r="1107" spans="1:8">
      <c r="A1107" s="12" t="s">
        <v>7395</v>
      </c>
      <c r="B1107" s="13">
        <v>38.71</v>
      </c>
      <c r="C1107" s="16" t="s">
        <v>6565</v>
      </c>
      <c r="D1107" s="12">
        <v>2.37</v>
      </c>
      <c r="E1107" s="12" t="s">
        <v>5332</v>
      </c>
      <c r="F1107" s="12" t="s">
        <v>5328</v>
      </c>
      <c r="G1107" s="12" t="s">
        <v>7396</v>
      </c>
      <c r="H1107" s="12">
        <v>17936</v>
      </c>
    </row>
    <row r="1108" spans="1:8">
      <c r="A1108" s="12" t="s">
        <v>7397</v>
      </c>
      <c r="B1108" s="13">
        <v>38.700000000000003</v>
      </c>
      <c r="C1108" s="16" t="s">
        <v>6565</v>
      </c>
      <c r="D1108" s="12">
        <v>2.5499999999999998</v>
      </c>
      <c r="E1108" s="12" t="s">
        <v>5332</v>
      </c>
      <c r="F1108" s="12" t="s">
        <v>5328</v>
      </c>
      <c r="G1108" s="12" t="s">
        <v>7398</v>
      </c>
      <c r="H1108" s="12">
        <v>17937</v>
      </c>
    </row>
    <row r="1109" spans="1:8">
      <c r="A1109" s="12" t="s">
        <v>7399</v>
      </c>
      <c r="B1109" s="13">
        <v>1.75</v>
      </c>
      <c r="C1109" s="16" t="s">
        <v>6565</v>
      </c>
      <c r="D1109" s="12">
        <v>6.99</v>
      </c>
      <c r="E1109" s="12" t="s">
        <v>5332</v>
      </c>
      <c r="F1109" s="12" t="s">
        <v>5328</v>
      </c>
      <c r="G1109" s="12" t="s">
        <v>7400</v>
      </c>
      <c r="H1109" s="12">
        <v>17950</v>
      </c>
    </row>
    <row r="1110" spans="1:8">
      <c r="A1110" s="12" t="s">
        <v>7401</v>
      </c>
      <c r="B1110" s="13">
        <v>13.17</v>
      </c>
      <c r="C1110" s="16" t="s">
        <v>5331</v>
      </c>
      <c r="D1110" s="12">
        <v>0.39</v>
      </c>
      <c r="E1110" s="12" t="s">
        <v>5332</v>
      </c>
      <c r="F1110" s="12" t="s">
        <v>5328</v>
      </c>
      <c r="G1110" s="12" t="s">
        <v>7402</v>
      </c>
      <c r="H1110" s="12">
        <v>16200</v>
      </c>
    </row>
    <row r="1111" spans="1:8">
      <c r="A1111" s="12" t="s">
        <v>7403</v>
      </c>
      <c r="B1111" s="13">
        <v>7.4</v>
      </c>
      <c r="C1111" s="16" t="s">
        <v>5331</v>
      </c>
      <c r="D1111" s="12">
        <v>30.38</v>
      </c>
      <c r="E1111" s="12" t="s">
        <v>5332</v>
      </c>
      <c r="F1111" s="12" t="s">
        <v>5328</v>
      </c>
      <c r="G1111" s="12" t="s">
        <v>7404</v>
      </c>
      <c r="H1111" s="12">
        <v>16210</v>
      </c>
    </row>
    <row r="1112" spans="1:8">
      <c r="A1112" s="12" t="s">
        <v>7405</v>
      </c>
      <c r="B1112" s="13">
        <v>3.39</v>
      </c>
      <c r="C1112" s="16" t="s">
        <v>5331</v>
      </c>
      <c r="D1112" s="12">
        <v>0.15</v>
      </c>
      <c r="E1112" s="12" t="s">
        <v>5332</v>
      </c>
      <c r="F1112" s="12" t="s">
        <v>5328</v>
      </c>
      <c r="G1112" s="12" t="s">
        <v>7406</v>
      </c>
      <c r="H1112" s="12">
        <v>16214</v>
      </c>
    </row>
    <row r="1113" spans="1:8">
      <c r="A1113" s="12" t="s">
        <v>7407</v>
      </c>
      <c r="B1113" s="13">
        <v>0.4</v>
      </c>
      <c r="C1113" s="16" t="s">
        <v>5331</v>
      </c>
      <c r="D1113" s="12">
        <v>1.56</v>
      </c>
      <c r="E1113" s="12" t="s">
        <v>5332</v>
      </c>
      <c r="F1113" s="12" t="s">
        <v>5328</v>
      </c>
      <c r="G1113" s="12" t="s">
        <v>7408</v>
      </c>
      <c r="H1113" s="12">
        <v>15316</v>
      </c>
    </row>
    <row r="1114" spans="1:8">
      <c r="A1114" s="12" t="s">
        <v>7407</v>
      </c>
      <c r="B1114" s="13">
        <v>0.4</v>
      </c>
      <c r="C1114" s="16" t="s">
        <v>5331</v>
      </c>
      <c r="D1114" s="12">
        <v>1.04</v>
      </c>
      <c r="E1114" s="12" t="s">
        <v>5332</v>
      </c>
      <c r="F1114" s="12" t="s">
        <v>5328</v>
      </c>
      <c r="G1114" s="12" t="s">
        <v>7408</v>
      </c>
      <c r="H1114" s="12">
        <v>15316</v>
      </c>
    </row>
    <row r="1115" spans="1:8">
      <c r="A1115" s="12" t="s">
        <v>7409</v>
      </c>
      <c r="B1115" s="13">
        <v>25.51</v>
      </c>
      <c r="C1115" s="16" t="s">
        <v>5331</v>
      </c>
      <c r="D1115" s="12">
        <v>66.349999999999994</v>
      </c>
      <c r="E1115" s="12" t="s">
        <v>5332</v>
      </c>
      <c r="F1115" s="12" t="s">
        <v>5328</v>
      </c>
      <c r="G1115" s="12" t="s">
        <v>7410</v>
      </c>
      <c r="H1115" s="12">
        <v>15450</v>
      </c>
    </row>
    <row r="1116" spans="1:8">
      <c r="A1116" s="12" t="s">
        <v>7411</v>
      </c>
      <c r="B1116" s="13">
        <v>22.06</v>
      </c>
      <c r="C1116" s="16" t="s">
        <v>5331</v>
      </c>
      <c r="D1116" s="12">
        <v>69.12</v>
      </c>
      <c r="E1116" s="12" t="s">
        <v>5332</v>
      </c>
      <c r="F1116" s="12" t="s">
        <v>5328</v>
      </c>
      <c r="G1116" s="12" t="s">
        <v>7412</v>
      </c>
      <c r="H1116" s="12">
        <v>15449</v>
      </c>
    </row>
    <row r="1117" spans="1:8">
      <c r="A1117" s="12" t="s">
        <v>7413</v>
      </c>
      <c r="B1117" s="13">
        <v>153</v>
      </c>
      <c r="C1117" s="16" t="s">
        <v>5331</v>
      </c>
      <c r="D1117" s="12">
        <v>652.04999999999995</v>
      </c>
      <c r="E1117" s="12" t="s">
        <v>5332</v>
      </c>
      <c r="F1117" s="12" t="s">
        <v>5328</v>
      </c>
      <c r="G1117" s="12" t="s">
        <v>7414</v>
      </c>
      <c r="H1117" s="12">
        <v>15573</v>
      </c>
    </row>
    <row r="1118" spans="1:8">
      <c r="A1118" s="12" t="s">
        <v>7415</v>
      </c>
      <c r="B1118" s="13">
        <v>13.17</v>
      </c>
      <c r="C1118" s="16" t="s">
        <v>5331</v>
      </c>
      <c r="D1118" s="12">
        <v>35.909999999999997</v>
      </c>
      <c r="E1118" s="12" t="s">
        <v>5332</v>
      </c>
      <c r="F1118" s="12" t="s">
        <v>5328</v>
      </c>
      <c r="G1118" s="12" t="s">
        <v>7416</v>
      </c>
      <c r="H1118" s="12">
        <v>15432</v>
      </c>
    </row>
    <row r="1119" spans="1:8">
      <c r="A1119" s="12" t="s">
        <v>7417</v>
      </c>
      <c r="B1119" s="13">
        <v>4.33</v>
      </c>
      <c r="C1119" s="16" t="s">
        <v>5331</v>
      </c>
      <c r="D1119" s="12">
        <v>21.98</v>
      </c>
      <c r="E1119" s="12" t="s">
        <v>5332</v>
      </c>
      <c r="F1119" s="12" t="s">
        <v>5328</v>
      </c>
      <c r="G1119" s="12" t="s">
        <v>7418</v>
      </c>
      <c r="H1119" s="12">
        <v>15377</v>
      </c>
    </row>
    <row r="1120" spans="1:8">
      <c r="A1120" s="12" t="s">
        <v>7419</v>
      </c>
      <c r="B1120" s="13">
        <v>27.8</v>
      </c>
      <c r="C1120" s="16" t="s">
        <v>5331</v>
      </c>
      <c r="D1120" s="12">
        <v>106.04</v>
      </c>
      <c r="E1120" s="12" t="s">
        <v>5332</v>
      </c>
      <c r="F1120" s="12" t="s">
        <v>5328</v>
      </c>
      <c r="G1120" s="12" t="s">
        <v>7420</v>
      </c>
      <c r="H1120" s="12">
        <v>86034</v>
      </c>
    </row>
    <row r="1121" spans="1:8">
      <c r="A1121" s="12" t="s">
        <v>7421</v>
      </c>
      <c r="B1121" s="13">
        <v>0.35</v>
      </c>
      <c r="C1121" s="16" t="s">
        <v>5331</v>
      </c>
      <c r="D1121" s="12">
        <v>1.1879999999999999</v>
      </c>
      <c r="E1121" s="12" t="s">
        <v>5332</v>
      </c>
      <c r="F1121" s="12" t="s">
        <v>5328</v>
      </c>
      <c r="G1121" s="12" t="s">
        <v>7422</v>
      </c>
      <c r="H1121" s="12">
        <v>73144</v>
      </c>
    </row>
    <row r="1122" spans="1:8">
      <c r="A1122" s="12" t="s">
        <v>7423</v>
      </c>
      <c r="B1122" s="13">
        <v>0.16</v>
      </c>
      <c r="C1122" s="16" t="s">
        <v>5331</v>
      </c>
      <c r="D1122" s="12">
        <v>0.52800000000000002</v>
      </c>
      <c r="E1122" s="12" t="s">
        <v>5332</v>
      </c>
      <c r="F1122" s="12" t="s">
        <v>5328</v>
      </c>
      <c r="G1122" s="12" t="s">
        <v>7424</v>
      </c>
      <c r="H1122" s="12">
        <v>73145</v>
      </c>
    </row>
    <row r="1123" spans="1:8">
      <c r="A1123" s="12" t="s">
        <v>7425</v>
      </c>
      <c r="B1123" s="13">
        <v>0.2</v>
      </c>
      <c r="C1123" s="16" t="s">
        <v>5331</v>
      </c>
      <c r="D1123" s="12">
        <v>0.66</v>
      </c>
      <c r="E1123" s="12" t="s">
        <v>5332</v>
      </c>
      <c r="F1123" s="12" t="s">
        <v>5328</v>
      </c>
      <c r="G1123" s="12" t="s">
        <v>7426</v>
      </c>
      <c r="H1123" s="12">
        <v>73146</v>
      </c>
    </row>
    <row r="1124" spans="1:8">
      <c r="A1124" s="12" t="s">
        <v>7427</v>
      </c>
      <c r="B1124" s="13">
        <v>0.25</v>
      </c>
      <c r="C1124" s="16" t="s">
        <v>5331</v>
      </c>
      <c r="D1124" s="12">
        <v>0.97218000000000004</v>
      </c>
      <c r="E1124" s="12" t="s">
        <v>5332</v>
      </c>
      <c r="F1124" s="12" t="s">
        <v>5328</v>
      </c>
      <c r="G1124" s="12" t="s">
        <v>7428</v>
      </c>
      <c r="H1124" s="12">
        <v>73147</v>
      </c>
    </row>
    <row r="1125" spans="1:8">
      <c r="A1125" s="12" t="s">
        <v>7429</v>
      </c>
      <c r="B1125" s="13">
        <v>0.25</v>
      </c>
      <c r="C1125" s="16" t="s">
        <v>5331</v>
      </c>
      <c r="D1125" s="12">
        <v>0.97218000000000004</v>
      </c>
      <c r="E1125" s="12" t="s">
        <v>5332</v>
      </c>
      <c r="F1125" s="12" t="s">
        <v>5328</v>
      </c>
      <c r="G1125" s="12" t="s">
        <v>7430</v>
      </c>
      <c r="H1125" s="12">
        <v>73148</v>
      </c>
    </row>
    <row r="1126" spans="1:8">
      <c r="A1126" s="12" t="s">
        <v>7431</v>
      </c>
      <c r="B1126" s="13">
        <v>0.17</v>
      </c>
      <c r="C1126" s="16" t="s">
        <v>5331</v>
      </c>
      <c r="D1126" s="12">
        <v>0.64812000000000003</v>
      </c>
      <c r="E1126" s="12" t="s">
        <v>5332</v>
      </c>
      <c r="F1126" s="12" t="s">
        <v>5328</v>
      </c>
      <c r="G1126" s="12" t="s">
        <v>7432</v>
      </c>
      <c r="H1126" s="12">
        <v>73149</v>
      </c>
    </row>
    <row r="1127" spans="1:8">
      <c r="A1127" s="12" t="s">
        <v>7433</v>
      </c>
      <c r="B1127" s="13">
        <v>0.54</v>
      </c>
      <c r="C1127" s="16" t="s">
        <v>5331</v>
      </c>
      <c r="D1127" s="12">
        <v>2.1063900000000002</v>
      </c>
      <c r="E1127" s="12" t="s">
        <v>5332</v>
      </c>
      <c r="F1127" s="12" t="s">
        <v>5328</v>
      </c>
      <c r="G1127" s="12" t="s">
        <v>7434</v>
      </c>
      <c r="H1127" s="12">
        <v>73150</v>
      </c>
    </row>
    <row r="1128" spans="1:8">
      <c r="A1128" s="12" t="s">
        <v>7435</v>
      </c>
      <c r="B1128" s="13">
        <v>0.54</v>
      </c>
      <c r="C1128" s="16" t="s">
        <v>5331</v>
      </c>
      <c r="D1128" s="12">
        <v>2.1063900000000002</v>
      </c>
      <c r="E1128" s="12" t="s">
        <v>5332</v>
      </c>
      <c r="F1128" s="12" t="s">
        <v>5328</v>
      </c>
      <c r="G1128" s="12" t="s">
        <v>7436</v>
      </c>
      <c r="H1128" s="12">
        <v>73151</v>
      </c>
    </row>
    <row r="1129" spans="1:8">
      <c r="A1129" s="12" t="s">
        <v>7437</v>
      </c>
      <c r="B1129" s="13">
        <v>0.17</v>
      </c>
      <c r="C1129" s="16" t="s">
        <v>5331</v>
      </c>
      <c r="D1129" s="12">
        <v>0.64812000000000003</v>
      </c>
      <c r="E1129" s="12" t="s">
        <v>5332</v>
      </c>
      <c r="F1129" s="12" t="s">
        <v>5328</v>
      </c>
      <c r="G1129" s="12" t="s">
        <v>7438</v>
      </c>
      <c r="H1129" s="12">
        <v>73152</v>
      </c>
    </row>
    <row r="1130" spans="1:8">
      <c r="A1130" s="12" t="s">
        <v>7439</v>
      </c>
      <c r="B1130" s="13">
        <v>0.12</v>
      </c>
      <c r="C1130" s="16" t="s">
        <v>5331</v>
      </c>
      <c r="D1130" s="12">
        <v>0.48609000000000002</v>
      </c>
      <c r="E1130" s="12" t="s">
        <v>5332</v>
      </c>
      <c r="F1130" s="12" t="s">
        <v>5328</v>
      </c>
      <c r="G1130" s="12" t="s">
        <v>7440</v>
      </c>
      <c r="H1130" s="12">
        <v>73153</v>
      </c>
    </row>
    <row r="1131" spans="1:8">
      <c r="A1131" s="12" t="s">
        <v>7441</v>
      </c>
      <c r="B1131" s="13">
        <v>0.35</v>
      </c>
      <c r="C1131" s="16" t="s">
        <v>5331</v>
      </c>
      <c r="D1131" s="12">
        <v>1.1879999999999999</v>
      </c>
      <c r="E1131" s="12" t="s">
        <v>5332</v>
      </c>
      <c r="F1131" s="12" t="s">
        <v>5328</v>
      </c>
      <c r="G1131" s="12" t="s">
        <v>7442</v>
      </c>
      <c r="H1131" s="12">
        <v>73154</v>
      </c>
    </row>
    <row r="1132" spans="1:8">
      <c r="A1132" s="12" t="s">
        <v>7443</v>
      </c>
      <c r="B1132" s="13">
        <v>0.16</v>
      </c>
      <c r="C1132" s="16" t="s">
        <v>5331</v>
      </c>
      <c r="D1132" s="12">
        <v>0.52800000000000002</v>
      </c>
      <c r="E1132" s="12" t="s">
        <v>5332</v>
      </c>
      <c r="F1132" s="12" t="s">
        <v>5328</v>
      </c>
      <c r="G1132" s="12" t="s">
        <v>7444</v>
      </c>
      <c r="H1132" s="12">
        <v>73155</v>
      </c>
    </row>
    <row r="1133" spans="1:8">
      <c r="A1133" s="12" t="s">
        <v>7445</v>
      </c>
      <c r="B1133" s="13">
        <v>0.31</v>
      </c>
      <c r="C1133" s="16" t="s">
        <v>5331</v>
      </c>
      <c r="D1133" s="12">
        <v>1.056</v>
      </c>
      <c r="E1133" s="12" t="s">
        <v>5332</v>
      </c>
      <c r="F1133" s="12" t="s">
        <v>5328</v>
      </c>
      <c r="G1133" s="12" t="s">
        <v>7446</v>
      </c>
      <c r="H1133" s="12">
        <v>73156</v>
      </c>
    </row>
    <row r="1134" spans="1:8">
      <c r="A1134" s="12" t="s">
        <v>7447</v>
      </c>
      <c r="B1134" s="13">
        <v>23.39</v>
      </c>
      <c r="C1134" s="16" t="s">
        <v>5331</v>
      </c>
      <c r="D1134" s="12">
        <v>22.83</v>
      </c>
      <c r="E1134" s="12" t="s">
        <v>5332</v>
      </c>
      <c r="F1134" s="12" t="s">
        <v>5328</v>
      </c>
      <c r="G1134" s="12" t="s">
        <v>7448</v>
      </c>
      <c r="H1134" s="12">
        <v>72972</v>
      </c>
    </row>
    <row r="1135" spans="1:8">
      <c r="A1135" s="12" t="s">
        <v>7449</v>
      </c>
      <c r="B1135" s="13">
        <v>14.27</v>
      </c>
      <c r="C1135" s="16" t="s">
        <v>5331</v>
      </c>
      <c r="D1135" s="12">
        <v>20.48</v>
      </c>
      <c r="E1135" s="12" t="s">
        <v>5332</v>
      </c>
      <c r="F1135" s="12" t="s">
        <v>5328</v>
      </c>
      <c r="G1135" s="12" t="s">
        <v>7450</v>
      </c>
      <c r="H1135" s="12">
        <v>72973</v>
      </c>
    </row>
    <row r="1136" spans="1:8">
      <c r="A1136" s="12" t="s">
        <v>7451</v>
      </c>
      <c r="B1136" s="13">
        <v>0</v>
      </c>
      <c r="C1136" s="16" t="s">
        <v>5331</v>
      </c>
      <c r="D1136" s="12">
        <v>2.145</v>
      </c>
      <c r="E1136" s="12" t="s">
        <v>5332</v>
      </c>
      <c r="F1136" s="12" t="s">
        <v>5328</v>
      </c>
      <c r="G1136" s="12" t="s">
        <v>7452</v>
      </c>
      <c r="H1136" s="12">
        <v>88547</v>
      </c>
    </row>
    <row r="1137" spans="1:8">
      <c r="A1137" s="12" t="s">
        <v>7453</v>
      </c>
      <c r="B1137" s="13">
        <v>16.04</v>
      </c>
      <c r="C1137" s="16" t="s">
        <v>5331</v>
      </c>
      <c r="D1137" s="12">
        <v>48.57</v>
      </c>
      <c r="E1137" s="12" t="s">
        <v>5332</v>
      </c>
      <c r="F1137" s="12" t="s">
        <v>5328</v>
      </c>
      <c r="G1137" s="12" t="s">
        <v>7454</v>
      </c>
      <c r="H1137" s="12">
        <v>14446</v>
      </c>
    </row>
    <row r="1138" spans="1:8">
      <c r="A1138" s="12" t="s">
        <v>7455</v>
      </c>
      <c r="B1138" s="13">
        <v>0.04</v>
      </c>
      <c r="C1138" s="16" t="s">
        <v>5331</v>
      </c>
      <c r="D1138" s="12">
        <v>24.33</v>
      </c>
      <c r="E1138" s="12" t="s">
        <v>5332</v>
      </c>
      <c r="F1138" s="12" t="s">
        <v>5328</v>
      </c>
      <c r="G1138" s="12" t="s">
        <v>7456</v>
      </c>
      <c r="H1138" s="12">
        <v>101449</v>
      </c>
    </row>
    <row r="1139" spans="1:8">
      <c r="A1139" s="12" t="s">
        <v>7457</v>
      </c>
      <c r="B1139" s="13">
        <v>0.42</v>
      </c>
      <c r="C1139" s="16" t="s">
        <v>5331</v>
      </c>
      <c r="D1139" s="12">
        <v>1.85</v>
      </c>
      <c r="E1139" s="12" t="s">
        <v>5332</v>
      </c>
      <c r="F1139" s="12" t="s">
        <v>5328</v>
      </c>
      <c r="G1139" s="12" t="s">
        <v>7458</v>
      </c>
      <c r="H1139" s="12">
        <v>155286</v>
      </c>
    </row>
    <row r="1140" spans="1:8">
      <c r="A1140" s="12" t="s">
        <v>7459</v>
      </c>
      <c r="B1140" s="13">
        <v>133.51</v>
      </c>
      <c r="C1140" s="16" t="s">
        <v>5331</v>
      </c>
      <c r="D1140" s="12">
        <v>1117.26</v>
      </c>
      <c r="E1140" s="12" t="s">
        <v>5332</v>
      </c>
      <c r="F1140" s="12" t="s">
        <v>5328</v>
      </c>
      <c r="G1140" s="12" t="s">
        <v>7460</v>
      </c>
      <c r="H1140" s="12">
        <v>19714</v>
      </c>
    </row>
    <row r="1141" spans="1:8">
      <c r="A1141" s="12" t="s">
        <v>7461</v>
      </c>
      <c r="B1141" s="13">
        <v>2.2000000000000002</v>
      </c>
      <c r="C1141" s="16" t="s">
        <v>5331</v>
      </c>
      <c r="D1141" s="12">
        <v>19.8</v>
      </c>
      <c r="E1141" s="12" t="s">
        <v>5332</v>
      </c>
      <c r="F1141" s="12" t="s">
        <v>5328</v>
      </c>
      <c r="G1141" s="12" t="s">
        <v>7462</v>
      </c>
      <c r="H1141" s="12">
        <v>53459</v>
      </c>
    </row>
    <row r="1142" spans="1:8">
      <c r="A1142" s="12" t="s">
        <v>7463</v>
      </c>
      <c r="B1142" s="13">
        <v>11.3</v>
      </c>
      <c r="C1142" s="16" t="s">
        <v>5331</v>
      </c>
      <c r="D1142" s="12">
        <v>34.200000000000003</v>
      </c>
      <c r="E1142" s="12" t="s">
        <v>5332</v>
      </c>
      <c r="F1142" s="12" t="s">
        <v>5328</v>
      </c>
      <c r="G1142" s="12" t="s">
        <v>7464</v>
      </c>
      <c r="H1142" s="12">
        <v>53460</v>
      </c>
    </row>
    <row r="1143" spans="1:8">
      <c r="A1143" s="12" t="s">
        <v>7465</v>
      </c>
      <c r="B1143" s="13">
        <v>9.49</v>
      </c>
      <c r="C1143" s="16" t="s">
        <v>5331</v>
      </c>
      <c r="D1143" s="12">
        <v>43.8</v>
      </c>
      <c r="E1143" s="12" t="s">
        <v>5332</v>
      </c>
      <c r="F1143" s="12" t="s">
        <v>5328</v>
      </c>
      <c r="G1143" s="12" t="s">
        <v>7466</v>
      </c>
      <c r="H1143" s="12">
        <v>53461</v>
      </c>
    </row>
    <row r="1144" spans="1:8">
      <c r="A1144" s="12" t="s">
        <v>7467</v>
      </c>
      <c r="B1144" s="13">
        <v>2.27</v>
      </c>
      <c r="C1144" s="16" t="s">
        <v>5331</v>
      </c>
      <c r="D1144" s="12">
        <v>6.81</v>
      </c>
      <c r="E1144" s="12" t="s">
        <v>5332</v>
      </c>
      <c r="F1144" s="12" t="s">
        <v>5328</v>
      </c>
      <c r="G1144" s="12" t="s">
        <v>7468</v>
      </c>
      <c r="H1144" s="12">
        <v>55505</v>
      </c>
    </row>
    <row r="1145" spans="1:8">
      <c r="A1145" s="12" t="s">
        <v>7469</v>
      </c>
      <c r="B1145" s="13">
        <v>2.27</v>
      </c>
      <c r="C1145" s="16" t="s">
        <v>5331</v>
      </c>
      <c r="D1145" s="12">
        <v>6.81</v>
      </c>
      <c r="E1145" s="12" t="s">
        <v>5332</v>
      </c>
      <c r="F1145" s="12" t="s">
        <v>5328</v>
      </c>
      <c r="G1145" s="12" t="s">
        <v>7470</v>
      </c>
      <c r="H1145" s="12">
        <v>55506</v>
      </c>
    </row>
    <row r="1146" spans="1:8">
      <c r="A1146" s="12" t="s">
        <v>7471</v>
      </c>
      <c r="B1146" s="13">
        <v>1.97</v>
      </c>
      <c r="C1146" s="16" t="s">
        <v>5331</v>
      </c>
      <c r="D1146" s="12">
        <v>8.8699999999999992</v>
      </c>
      <c r="E1146" s="12" t="s">
        <v>5332</v>
      </c>
      <c r="F1146" s="12" t="s">
        <v>5328</v>
      </c>
      <c r="G1146" s="12" t="s">
        <v>7472</v>
      </c>
      <c r="H1146" s="12">
        <v>85417</v>
      </c>
    </row>
    <row r="1147" spans="1:8">
      <c r="A1147" s="12" t="s">
        <v>7473</v>
      </c>
      <c r="B1147" s="13">
        <v>0.85</v>
      </c>
      <c r="C1147" s="16" t="s">
        <v>5331</v>
      </c>
      <c r="D1147" s="12">
        <v>1.5</v>
      </c>
      <c r="E1147" s="12" t="s">
        <v>5332</v>
      </c>
      <c r="F1147" s="12" t="s">
        <v>5328</v>
      </c>
      <c r="G1147" s="12" t="s">
        <v>7474</v>
      </c>
      <c r="H1147" s="12">
        <v>15302</v>
      </c>
    </row>
    <row r="1148" spans="1:8">
      <c r="A1148" s="12" t="s">
        <v>7475</v>
      </c>
      <c r="B1148" s="13">
        <v>129</v>
      </c>
      <c r="C1148" s="16" t="s">
        <v>5331</v>
      </c>
      <c r="D1148" s="12">
        <v>6.29</v>
      </c>
      <c r="E1148" s="12" t="s">
        <v>5332</v>
      </c>
      <c r="F1148" s="12" t="s">
        <v>5328</v>
      </c>
      <c r="G1148" s="12" t="s">
        <v>7476</v>
      </c>
      <c r="H1148" s="12">
        <v>124308</v>
      </c>
    </row>
    <row r="1149" spans="1:8">
      <c r="A1149" s="12" t="s">
        <v>7477</v>
      </c>
      <c r="B1149" s="13">
        <v>3.36</v>
      </c>
      <c r="C1149" s="16" t="s">
        <v>5331</v>
      </c>
      <c r="D1149" s="12">
        <v>9.6</v>
      </c>
      <c r="E1149" s="12" t="s">
        <v>5332</v>
      </c>
      <c r="F1149" s="12" t="s">
        <v>5328</v>
      </c>
      <c r="G1149" s="12" t="s">
        <v>7478</v>
      </c>
      <c r="H1149" s="12">
        <v>154575</v>
      </c>
    </row>
    <row r="1150" spans="1:8">
      <c r="A1150" s="12" t="s">
        <v>7479</v>
      </c>
      <c r="B1150" s="13">
        <v>1.79</v>
      </c>
      <c r="C1150" s="16" t="s">
        <v>5331</v>
      </c>
      <c r="D1150" s="12">
        <v>13.73</v>
      </c>
      <c r="E1150" s="12" t="s">
        <v>5332</v>
      </c>
      <c r="F1150" s="12" t="s">
        <v>5328</v>
      </c>
      <c r="G1150" s="12" t="s">
        <v>7480</v>
      </c>
      <c r="H1150" s="12">
        <v>186723</v>
      </c>
    </row>
    <row r="1151" spans="1:8">
      <c r="A1151" s="12" t="s">
        <v>7481</v>
      </c>
      <c r="B1151" s="13">
        <v>36.950000000000003</v>
      </c>
      <c r="C1151" s="16" t="s">
        <v>5331</v>
      </c>
      <c r="D1151" s="12">
        <v>216</v>
      </c>
      <c r="E1151" s="12" t="s">
        <v>5332</v>
      </c>
      <c r="F1151" s="12" t="s">
        <v>5328</v>
      </c>
      <c r="G1151" s="12" t="s">
        <v>7482</v>
      </c>
      <c r="H1151" s="12">
        <v>191946</v>
      </c>
    </row>
    <row r="1152" spans="1:8">
      <c r="A1152" s="12" t="s">
        <v>7483</v>
      </c>
      <c r="B1152" s="13">
        <v>55.44</v>
      </c>
      <c r="C1152" s="16" t="s">
        <v>5331</v>
      </c>
      <c r="D1152" s="12">
        <v>186</v>
      </c>
      <c r="E1152" s="12" t="s">
        <v>5332</v>
      </c>
      <c r="F1152" s="12" t="s">
        <v>5328</v>
      </c>
      <c r="G1152" s="12" t="s">
        <v>7484</v>
      </c>
      <c r="H1152" s="12">
        <v>192045</v>
      </c>
    </row>
    <row r="1153" spans="1:8">
      <c r="A1153" s="12" t="s">
        <v>7485</v>
      </c>
      <c r="B1153" s="13">
        <v>930.29</v>
      </c>
      <c r="C1153" s="16" t="s">
        <v>5331</v>
      </c>
      <c r="D1153" s="12">
        <v>3358.16</v>
      </c>
      <c r="E1153" s="12" t="s">
        <v>5332</v>
      </c>
      <c r="F1153" s="12" t="s">
        <v>5328</v>
      </c>
      <c r="G1153" s="12" t="s">
        <v>7486</v>
      </c>
      <c r="H1153" s="12">
        <v>20623</v>
      </c>
    </row>
    <row r="1154" spans="1:8">
      <c r="A1154" s="12" t="s">
        <v>7485</v>
      </c>
      <c r="B1154" s="13">
        <v>930.29</v>
      </c>
      <c r="C1154" s="16" t="s">
        <v>5331</v>
      </c>
      <c r="D1154" s="12">
        <v>2238.77</v>
      </c>
      <c r="E1154" s="12" t="s">
        <v>5332</v>
      </c>
      <c r="F1154" s="12" t="s">
        <v>5328</v>
      </c>
      <c r="G1154" s="12" t="s">
        <v>7486</v>
      </c>
      <c r="H1154" s="12">
        <v>20623</v>
      </c>
    </row>
    <row r="1155" spans="1:8">
      <c r="A1155" s="12" t="s">
        <v>7487</v>
      </c>
      <c r="B1155" s="13">
        <v>153.5</v>
      </c>
      <c r="C1155" s="16" t="s">
        <v>5331</v>
      </c>
      <c r="D1155" s="12">
        <v>1410.42</v>
      </c>
      <c r="E1155" s="12" t="s">
        <v>5332</v>
      </c>
      <c r="F1155" s="12" t="s">
        <v>5328</v>
      </c>
      <c r="G1155" s="12" t="s">
        <v>7488</v>
      </c>
      <c r="H1155" s="12">
        <v>20626</v>
      </c>
    </row>
    <row r="1156" spans="1:8">
      <c r="A1156" s="12" t="s">
        <v>7487</v>
      </c>
      <c r="B1156" s="13">
        <v>153.5</v>
      </c>
      <c r="C1156" s="16" t="s">
        <v>5331</v>
      </c>
      <c r="D1156" s="12">
        <v>940.28</v>
      </c>
      <c r="E1156" s="12" t="s">
        <v>5332</v>
      </c>
      <c r="F1156" s="12" t="s">
        <v>5328</v>
      </c>
      <c r="G1156" s="12" t="s">
        <v>7488</v>
      </c>
      <c r="H1156" s="12">
        <v>20626</v>
      </c>
    </row>
    <row r="1157" spans="1:8">
      <c r="A1157" s="12" t="s">
        <v>7489</v>
      </c>
      <c r="B1157" s="13">
        <v>66.459999999999994</v>
      </c>
      <c r="C1157" s="16" t="s">
        <v>5331</v>
      </c>
      <c r="D1157" s="12">
        <v>302.49</v>
      </c>
      <c r="E1157" s="12" t="s">
        <v>5332</v>
      </c>
      <c r="F1157" s="12" t="s">
        <v>5328</v>
      </c>
      <c r="G1157" s="12" t="s">
        <v>7490</v>
      </c>
      <c r="H1157" s="12">
        <v>20627</v>
      </c>
    </row>
    <row r="1158" spans="1:8">
      <c r="A1158" s="12" t="s">
        <v>7489</v>
      </c>
      <c r="B1158" s="13">
        <v>66.459999999999994</v>
      </c>
      <c r="C1158" s="16" t="s">
        <v>5331</v>
      </c>
      <c r="D1158" s="12">
        <v>201.66</v>
      </c>
      <c r="E1158" s="12" t="s">
        <v>5332</v>
      </c>
      <c r="F1158" s="12" t="s">
        <v>5328</v>
      </c>
      <c r="G1158" s="12" t="s">
        <v>7490</v>
      </c>
      <c r="H1158" s="12">
        <v>20627</v>
      </c>
    </row>
    <row r="1159" spans="1:8">
      <c r="A1159" s="12" t="s">
        <v>7491</v>
      </c>
      <c r="B1159" s="13">
        <v>13.23</v>
      </c>
      <c r="C1159" s="16" t="s">
        <v>5331</v>
      </c>
      <c r="D1159" s="12">
        <v>31.76</v>
      </c>
      <c r="E1159" s="12" t="s">
        <v>5332</v>
      </c>
      <c r="F1159" s="12" t="s">
        <v>5328</v>
      </c>
      <c r="G1159" s="12" t="s">
        <v>7492</v>
      </c>
      <c r="H1159" s="12">
        <v>20628</v>
      </c>
    </row>
    <row r="1160" spans="1:8">
      <c r="A1160" s="12" t="s">
        <v>7491</v>
      </c>
      <c r="B1160" s="13">
        <v>0</v>
      </c>
      <c r="C1160" s="16" t="s">
        <v>5331</v>
      </c>
      <c r="D1160" s="12">
        <v>20.16</v>
      </c>
      <c r="E1160" s="12" t="s">
        <v>5332</v>
      </c>
      <c r="F1160" s="12" t="s">
        <v>5328</v>
      </c>
      <c r="G1160" s="12" t="s">
        <v>7493</v>
      </c>
      <c r="H1160" s="12">
        <v>204820</v>
      </c>
    </row>
    <row r="1161" spans="1:8">
      <c r="A1161" s="12" t="s">
        <v>7491</v>
      </c>
      <c r="B1161" s="13">
        <v>0</v>
      </c>
      <c r="C1161" s="16" t="s">
        <v>5331</v>
      </c>
      <c r="D1161" s="12">
        <v>20.16</v>
      </c>
      <c r="E1161" s="12" t="s">
        <v>5332</v>
      </c>
      <c r="F1161" s="12" t="s">
        <v>5328</v>
      </c>
      <c r="G1161" s="12" t="s">
        <v>7494</v>
      </c>
      <c r="H1161" s="12">
        <v>204835</v>
      </c>
    </row>
    <row r="1162" spans="1:8">
      <c r="A1162" s="12" t="s">
        <v>7495</v>
      </c>
      <c r="B1162" s="13">
        <v>310.62</v>
      </c>
      <c r="C1162" s="16" t="s">
        <v>5331</v>
      </c>
      <c r="D1162" s="12">
        <v>931.86</v>
      </c>
      <c r="E1162" s="12" t="s">
        <v>5332</v>
      </c>
      <c r="F1162" s="12" t="s">
        <v>5328</v>
      </c>
      <c r="G1162" s="12" t="s">
        <v>7496</v>
      </c>
      <c r="H1162" s="12">
        <v>20629</v>
      </c>
    </row>
    <row r="1163" spans="1:8">
      <c r="A1163" s="12" t="s">
        <v>7497</v>
      </c>
      <c r="B1163" s="13">
        <v>16.04</v>
      </c>
      <c r="C1163" s="16" t="s">
        <v>5331</v>
      </c>
      <c r="D1163" s="12">
        <v>86.43</v>
      </c>
      <c r="E1163" s="12" t="s">
        <v>5332</v>
      </c>
      <c r="F1163" s="12" t="s">
        <v>5328</v>
      </c>
      <c r="G1163" s="12" t="s">
        <v>7498</v>
      </c>
      <c r="H1163" s="12">
        <v>20631</v>
      </c>
    </row>
    <row r="1164" spans="1:8">
      <c r="A1164" s="12" t="s">
        <v>7499</v>
      </c>
      <c r="B1164" s="13">
        <v>52.72</v>
      </c>
      <c r="C1164" s="16" t="s">
        <v>5331</v>
      </c>
      <c r="D1164" s="12">
        <v>136.13</v>
      </c>
      <c r="E1164" s="12" t="s">
        <v>5332</v>
      </c>
      <c r="F1164" s="12" t="s">
        <v>5328</v>
      </c>
      <c r="G1164" s="12" t="s">
        <v>7500</v>
      </c>
      <c r="H1164" s="12">
        <v>20633</v>
      </c>
    </row>
    <row r="1165" spans="1:8">
      <c r="A1165" s="12" t="s">
        <v>7499</v>
      </c>
      <c r="B1165" s="13">
        <v>0</v>
      </c>
      <c r="C1165" s="16" t="s">
        <v>5331</v>
      </c>
      <c r="D1165" s="12">
        <v>86.43</v>
      </c>
      <c r="E1165" s="12" t="s">
        <v>5332</v>
      </c>
      <c r="F1165" s="12" t="s">
        <v>5328</v>
      </c>
      <c r="G1165" s="12" t="s">
        <v>7501</v>
      </c>
      <c r="H1165" s="12">
        <v>204821</v>
      </c>
    </row>
    <row r="1166" spans="1:8">
      <c r="A1166" s="12" t="s">
        <v>7499</v>
      </c>
      <c r="B1166" s="13">
        <v>0</v>
      </c>
      <c r="C1166" s="16" t="s">
        <v>5331</v>
      </c>
      <c r="D1166" s="12">
        <v>86.43</v>
      </c>
      <c r="E1166" s="12" t="s">
        <v>5332</v>
      </c>
      <c r="F1166" s="12" t="s">
        <v>5328</v>
      </c>
      <c r="G1166" s="12" t="s">
        <v>7502</v>
      </c>
      <c r="H1166" s="12">
        <v>204836</v>
      </c>
    </row>
    <row r="1167" spans="1:8">
      <c r="A1167" s="12" t="s">
        <v>7503</v>
      </c>
      <c r="B1167" s="13">
        <v>77.39</v>
      </c>
      <c r="C1167" s="16" t="s">
        <v>5331</v>
      </c>
      <c r="D1167" s="12">
        <v>245.7</v>
      </c>
      <c r="E1167" s="12" t="s">
        <v>5332</v>
      </c>
      <c r="F1167" s="12" t="s">
        <v>5328</v>
      </c>
      <c r="G1167" s="12" t="s">
        <v>7504</v>
      </c>
      <c r="H1167" s="12">
        <v>30691</v>
      </c>
    </row>
    <row r="1168" spans="1:8">
      <c r="A1168" s="12" t="s">
        <v>7503</v>
      </c>
      <c r="B1168" s="13">
        <v>77.39</v>
      </c>
      <c r="C1168" s="16" t="s">
        <v>5331</v>
      </c>
      <c r="D1168" s="12">
        <v>163.80000000000001</v>
      </c>
      <c r="E1168" s="12" t="s">
        <v>5332</v>
      </c>
      <c r="F1168" s="12" t="s">
        <v>5328</v>
      </c>
      <c r="G1168" s="12" t="s">
        <v>7504</v>
      </c>
      <c r="H1168" s="12">
        <v>30691</v>
      </c>
    </row>
    <row r="1169" spans="1:8">
      <c r="A1169" s="12" t="s">
        <v>7505</v>
      </c>
      <c r="B1169" s="13">
        <v>131.97</v>
      </c>
      <c r="C1169" s="16" t="s">
        <v>5331</v>
      </c>
      <c r="D1169" s="12">
        <v>623.57000000000005</v>
      </c>
      <c r="E1169" s="12" t="s">
        <v>5332</v>
      </c>
      <c r="F1169" s="12" t="s">
        <v>5328</v>
      </c>
      <c r="G1169" s="12" t="s">
        <v>7506</v>
      </c>
      <c r="H1169" s="12">
        <v>20639</v>
      </c>
    </row>
    <row r="1170" spans="1:8">
      <c r="A1170" s="12" t="s">
        <v>7507</v>
      </c>
      <c r="B1170" s="13">
        <v>7.16</v>
      </c>
      <c r="C1170" s="16" t="s">
        <v>5331</v>
      </c>
      <c r="D1170" s="12">
        <v>33.83</v>
      </c>
      <c r="E1170" s="12" t="s">
        <v>5332</v>
      </c>
      <c r="F1170" s="12" t="s">
        <v>5328</v>
      </c>
      <c r="G1170" s="12" t="s">
        <v>7508</v>
      </c>
      <c r="H1170" s="12">
        <v>20640</v>
      </c>
    </row>
    <row r="1171" spans="1:8">
      <c r="A1171" s="12" t="s">
        <v>7509</v>
      </c>
      <c r="B1171" s="13">
        <v>62.98</v>
      </c>
      <c r="C1171" s="16" t="s">
        <v>5331</v>
      </c>
      <c r="D1171" s="12">
        <v>387.87</v>
      </c>
      <c r="E1171" s="12" t="s">
        <v>5332</v>
      </c>
      <c r="F1171" s="12" t="s">
        <v>5328</v>
      </c>
      <c r="G1171" s="12" t="s">
        <v>7510</v>
      </c>
      <c r="H1171" s="12">
        <v>20642</v>
      </c>
    </row>
    <row r="1172" spans="1:8">
      <c r="A1172" s="12" t="s">
        <v>7509</v>
      </c>
      <c r="B1172" s="13">
        <v>62.98</v>
      </c>
      <c r="C1172" s="16" t="s">
        <v>5331</v>
      </c>
      <c r="D1172" s="12">
        <v>258.58</v>
      </c>
      <c r="E1172" s="12" t="s">
        <v>5332</v>
      </c>
      <c r="F1172" s="12" t="s">
        <v>5328</v>
      </c>
      <c r="G1172" s="12" t="s">
        <v>7510</v>
      </c>
      <c r="H1172" s="12">
        <v>20642</v>
      </c>
    </row>
    <row r="1173" spans="1:8">
      <c r="A1173" s="12" t="s">
        <v>7511</v>
      </c>
      <c r="B1173" s="13">
        <v>258</v>
      </c>
      <c r="C1173" s="16" t="s">
        <v>5331</v>
      </c>
      <c r="D1173" s="12">
        <v>774</v>
      </c>
      <c r="E1173" s="12" t="s">
        <v>5332</v>
      </c>
      <c r="F1173" s="12" t="s">
        <v>5328</v>
      </c>
      <c r="G1173" s="12" t="s">
        <v>7512</v>
      </c>
      <c r="H1173" s="12">
        <v>20645</v>
      </c>
    </row>
    <row r="1174" spans="1:8">
      <c r="A1174" s="12" t="s">
        <v>7513</v>
      </c>
      <c r="B1174" s="13">
        <v>245.16</v>
      </c>
      <c r="C1174" s="16" t="s">
        <v>5331</v>
      </c>
      <c r="D1174" s="12">
        <v>774</v>
      </c>
      <c r="E1174" s="12" t="s">
        <v>5332</v>
      </c>
      <c r="F1174" s="12" t="s">
        <v>5328</v>
      </c>
      <c r="G1174" s="12" t="s">
        <v>7514</v>
      </c>
      <c r="H1174" s="12">
        <v>20646</v>
      </c>
    </row>
    <row r="1175" spans="1:8">
      <c r="A1175" s="12" t="s">
        <v>7513</v>
      </c>
      <c r="B1175" s="13">
        <v>208.95</v>
      </c>
      <c r="C1175" s="16" t="s">
        <v>5331</v>
      </c>
      <c r="D1175" s="12">
        <v>626.85</v>
      </c>
      <c r="E1175" s="12" t="s">
        <v>5332</v>
      </c>
      <c r="F1175" s="12" t="s">
        <v>5328</v>
      </c>
      <c r="G1175" s="12" t="s">
        <v>7515</v>
      </c>
      <c r="H1175" s="12">
        <v>20647</v>
      </c>
    </row>
    <row r="1176" spans="1:8">
      <c r="A1176" s="12" t="s">
        <v>7516</v>
      </c>
      <c r="B1176" s="13">
        <v>142.30000000000001</v>
      </c>
      <c r="C1176" s="16" t="s">
        <v>5331</v>
      </c>
      <c r="D1176" s="12">
        <v>626.85</v>
      </c>
      <c r="E1176" s="12" t="s">
        <v>5332</v>
      </c>
      <c r="F1176" s="12" t="s">
        <v>5328</v>
      </c>
      <c r="G1176" s="12" t="s">
        <v>7517</v>
      </c>
      <c r="H1176" s="12">
        <v>20648</v>
      </c>
    </row>
    <row r="1177" spans="1:8">
      <c r="A1177" s="12" t="s">
        <v>7516</v>
      </c>
      <c r="B1177" s="13">
        <v>93.78</v>
      </c>
      <c r="C1177" s="16" t="s">
        <v>5331</v>
      </c>
      <c r="D1177" s="12">
        <v>442.5</v>
      </c>
      <c r="E1177" s="12" t="s">
        <v>5332</v>
      </c>
      <c r="F1177" s="12" t="s">
        <v>5328</v>
      </c>
      <c r="G1177" s="12" t="s">
        <v>7518</v>
      </c>
      <c r="H1177" s="12">
        <v>20649</v>
      </c>
    </row>
    <row r="1178" spans="1:8">
      <c r="A1178" s="12" t="s">
        <v>7519</v>
      </c>
      <c r="B1178" s="13">
        <v>153.34</v>
      </c>
      <c r="C1178" s="16" t="s">
        <v>5331</v>
      </c>
      <c r="D1178" s="12">
        <v>945</v>
      </c>
      <c r="E1178" s="12" t="s">
        <v>5332</v>
      </c>
      <c r="F1178" s="12" t="s">
        <v>5328</v>
      </c>
      <c r="G1178" s="12" t="s">
        <v>7520</v>
      </c>
      <c r="H1178" s="12">
        <v>20654</v>
      </c>
    </row>
    <row r="1179" spans="1:8">
      <c r="A1179" s="12" t="s">
        <v>7519</v>
      </c>
      <c r="B1179" s="13">
        <v>153.34</v>
      </c>
      <c r="C1179" s="16" t="s">
        <v>5331</v>
      </c>
      <c r="D1179" s="12">
        <v>630</v>
      </c>
      <c r="E1179" s="12" t="s">
        <v>5332</v>
      </c>
      <c r="F1179" s="12" t="s">
        <v>5328</v>
      </c>
      <c r="G1179" s="12" t="s">
        <v>7520</v>
      </c>
      <c r="H1179" s="12">
        <v>20654</v>
      </c>
    </row>
    <row r="1180" spans="1:8">
      <c r="A1180" s="12" t="s">
        <v>7521</v>
      </c>
      <c r="B1180" s="13">
        <v>45.35</v>
      </c>
      <c r="C1180" s="16" t="s">
        <v>5331</v>
      </c>
      <c r="D1180" s="12">
        <v>753.92</v>
      </c>
      <c r="E1180" s="12" t="s">
        <v>5332</v>
      </c>
      <c r="F1180" s="12" t="s">
        <v>5328</v>
      </c>
      <c r="G1180" s="12" t="s">
        <v>7522</v>
      </c>
      <c r="H1180" s="12">
        <v>20656</v>
      </c>
    </row>
    <row r="1181" spans="1:8">
      <c r="A1181" s="12" t="s">
        <v>7521</v>
      </c>
      <c r="B1181" s="13">
        <v>45.35</v>
      </c>
      <c r="C1181" s="16" t="s">
        <v>5331</v>
      </c>
      <c r="D1181" s="12">
        <v>502.61</v>
      </c>
      <c r="E1181" s="12" t="s">
        <v>5332</v>
      </c>
      <c r="F1181" s="12" t="s">
        <v>5328</v>
      </c>
      <c r="G1181" s="12" t="s">
        <v>7522</v>
      </c>
      <c r="H1181" s="12">
        <v>20656</v>
      </c>
    </row>
    <row r="1182" spans="1:8">
      <c r="A1182" s="12" t="s">
        <v>7523</v>
      </c>
      <c r="B1182" s="13">
        <v>88.27</v>
      </c>
      <c r="C1182" s="16" t="s">
        <v>5331</v>
      </c>
      <c r="D1182" s="12">
        <v>753.92</v>
      </c>
      <c r="E1182" s="12" t="s">
        <v>5332</v>
      </c>
      <c r="F1182" s="12" t="s">
        <v>5328</v>
      </c>
      <c r="G1182" s="12" t="s">
        <v>7524</v>
      </c>
      <c r="H1182" s="12">
        <v>20655</v>
      </c>
    </row>
    <row r="1183" spans="1:8">
      <c r="A1183" s="12" t="s">
        <v>7523</v>
      </c>
      <c r="B1183" s="13">
        <v>88.27</v>
      </c>
      <c r="C1183" s="16" t="s">
        <v>5331</v>
      </c>
      <c r="D1183" s="12">
        <v>502.61</v>
      </c>
      <c r="E1183" s="12" t="s">
        <v>5332</v>
      </c>
      <c r="F1183" s="12" t="s">
        <v>5328</v>
      </c>
      <c r="G1183" s="12" t="s">
        <v>7524</v>
      </c>
      <c r="H1183" s="12">
        <v>20655</v>
      </c>
    </row>
    <row r="1184" spans="1:8">
      <c r="A1184" s="12" t="s">
        <v>7521</v>
      </c>
      <c r="B1184" s="13">
        <v>0</v>
      </c>
      <c r="C1184" s="16" t="s">
        <v>5331</v>
      </c>
      <c r="D1184" s="12">
        <v>478.68</v>
      </c>
      <c r="E1184" s="12" t="s">
        <v>5332</v>
      </c>
      <c r="F1184" s="12" t="s">
        <v>5328</v>
      </c>
      <c r="G1184" s="12" t="s">
        <v>7525</v>
      </c>
      <c r="H1184" s="12">
        <v>204822</v>
      </c>
    </row>
    <row r="1185" spans="1:8">
      <c r="A1185" s="12" t="s">
        <v>7521</v>
      </c>
      <c r="B1185" s="13">
        <v>0</v>
      </c>
      <c r="C1185" s="16" t="s">
        <v>5331</v>
      </c>
      <c r="D1185" s="12">
        <v>478.68</v>
      </c>
      <c r="E1185" s="12" t="s">
        <v>5332</v>
      </c>
      <c r="F1185" s="12" t="s">
        <v>5328</v>
      </c>
      <c r="G1185" s="12" t="s">
        <v>7526</v>
      </c>
      <c r="H1185" s="12">
        <v>204837</v>
      </c>
    </row>
    <row r="1186" spans="1:8">
      <c r="A1186" s="12" t="s">
        <v>7527</v>
      </c>
      <c r="B1186" s="13">
        <v>12.25</v>
      </c>
      <c r="C1186" s="16" t="s">
        <v>5331</v>
      </c>
      <c r="D1186" s="12">
        <v>62.28</v>
      </c>
      <c r="E1186" s="12" t="s">
        <v>5332</v>
      </c>
      <c r="F1186" s="12" t="s">
        <v>5328</v>
      </c>
      <c r="G1186" s="12" t="s">
        <v>7528</v>
      </c>
      <c r="H1186" s="12">
        <v>20658</v>
      </c>
    </row>
    <row r="1187" spans="1:8">
      <c r="A1187" s="12" t="s">
        <v>7527</v>
      </c>
      <c r="B1187" s="13">
        <v>12.25</v>
      </c>
      <c r="C1187" s="16" t="s">
        <v>5331</v>
      </c>
      <c r="D1187" s="12">
        <v>41.52</v>
      </c>
      <c r="E1187" s="12" t="s">
        <v>5332</v>
      </c>
      <c r="F1187" s="12" t="s">
        <v>5328</v>
      </c>
      <c r="G1187" s="12" t="s">
        <v>7528</v>
      </c>
      <c r="H1187" s="12">
        <v>20658</v>
      </c>
    </row>
    <row r="1188" spans="1:8">
      <c r="A1188" s="12" t="s">
        <v>7527</v>
      </c>
      <c r="B1188" s="13">
        <v>8.27</v>
      </c>
      <c r="C1188" s="16" t="s">
        <v>5331</v>
      </c>
      <c r="D1188" s="12">
        <v>62.28</v>
      </c>
      <c r="E1188" s="12" t="s">
        <v>5332</v>
      </c>
      <c r="F1188" s="12" t="s">
        <v>5328</v>
      </c>
      <c r="G1188" s="12" t="s">
        <v>7529</v>
      </c>
      <c r="H1188" s="12">
        <v>20657</v>
      </c>
    </row>
    <row r="1189" spans="1:8">
      <c r="A1189" s="12" t="s">
        <v>7527</v>
      </c>
      <c r="B1189" s="13">
        <v>8.27</v>
      </c>
      <c r="C1189" s="16" t="s">
        <v>5331</v>
      </c>
      <c r="D1189" s="12">
        <v>41.52</v>
      </c>
      <c r="E1189" s="12" t="s">
        <v>5332</v>
      </c>
      <c r="F1189" s="12" t="s">
        <v>5328</v>
      </c>
      <c r="G1189" s="12" t="s">
        <v>7529</v>
      </c>
      <c r="H1189" s="12">
        <v>20657</v>
      </c>
    </row>
    <row r="1190" spans="1:8">
      <c r="A1190" s="12" t="s">
        <v>7530</v>
      </c>
      <c r="B1190" s="13">
        <v>7.03</v>
      </c>
      <c r="C1190" s="16" t="s">
        <v>5331</v>
      </c>
      <c r="D1190" s="12">
        <v>53.34</v>
      </c>
      <c r="E1190" s="12" t="s">
        <v>5332</v>
      </c>
      <c r="F1190" s="12" t="s">
        <v>5328</v>
      </c>
      <c r="G1190" s="12" t="s">
        <v>7531</v>
      </c>
      <c r="H1190" s="12">
        <v>20659</v>
      </c>
    </row>
    <row r="1191" spans="1:8">
      <c r="A1191" s="12" t="s">
        <v>7530</v>
      </c>
      <c r="B1191" s="13">
        <v>7.03</v>
      </c>
      <c r="C1191" s="16" t="s">
        <v>5331</v>
      </c>
      <c r="D1191" s="12">
        <v>35.56</v>
      </c>
      <c r="E1191" s="12" t="s">
        <v>5332</v>
      </c>
      <c r="F1191" s="12" t="s">
        <v>5328</v>
      </c>
      <c r="G1191" s="12" t="s">
        <v>7531</v>
      </c>
      <c r="H1191" s="12">
        <v>20659</v>
      </c>
    </row>
    <row r="1192" spans="1:8">
      <c r="A1192" s="12" t="s">
        <v>7530</v>
      </c>
      <c r="B1192" s="13">
        <v>0</v>
      </c>
      <c r="C1192" s="16" t="s">
        <v>5331</v>
      </c>
      <c r="D1192" s="12">
        <v>33.869999999999997</v>
      </c>
      <c r="E1192" s="12" t="s">
        <v>5332</v>
      </c>
      <c r="F1192" s="12" t="s">
        <v>5328</v>
      </c>
      <c r="G1192" s="12" t="s">
        <v>7532</v>
      </c>
      <c r="H1192" s="12">
        <v>204823</v>
      </c>
    </row>
    <row r="1193" spans="1:8">
      <c r="A1193" s="12" t="s">
        <v>7530</v>
      </c>
      <c r="B1193" s="13">
        <v>0</v>
      </c>
      <c r="C1193" s="16" t="s">
        <v>5331</v>
      </c>
      <c r="D1193" s="12">
        <v>33.869999999999997</v>
      </c>
      <c r="E1193" s="12" t="s">
        <v>5332</v>
      </c>
      <c r="F1193" s="12" t="s">
        <v>5328</v>
      </c>
      <c r="G1193" s="12" t="s">
        <v>7533</v>
      </c>
      <c r="H1193" s="12">
        <v>204838</v>
      </c>
    </row>
    <row r="1194" spans="1:8">
      <c r="A1194" s="12" t="s">
        <v>7534</v>
      </c>
      <c r="B1194" s="13">
        <v>19.559999999999999</v>
      </c>
      <c r="C1194" s="16" t="s">
        <v>5331</v>
      </c>
      <c r="D1194" s="12">
        <v>145.22999999999999</v>
      </c>
      <c r="E1194" s="12" t="s">
        <v>5332</v>
      </c>
      <c r="F1194" s="12" t="s">
        <v>5328</v>
      </c>
      <c r="G1194" s="12" t="s">
        <v>7535</v>
      </c>
      <c r="H1194" s="12">
        <v>20660</v>
      </c>
    </row>
    <row r="1195" spans="1:8">
      <c r="A1195" s="12" t="s">
        <v>7536</v>
      </c>
      <c r="B1195" s="13">
        <v>9.56</v>
      </c>
      <c r="C1195" s="16" t="s">
        <v>5331</v>
      </c>
      <c r="D1195" s="12">
        <v>94.14</v>
      </c>
      <c r="E1195" s="12" t="s">
        <v>5332</v>
      </c>
      <c r="F1195" s="12" t="s">
        <v>5328</v>
      </c>
      <c r="G1195" s="12" t="s">
        <v>7537</v>
      </c>
      <c r="H1195" s="12">
        <v>20661</v>
      </c>
    </row>
    <row r="1196" spans="1:8">
      <c r="A1196" s="12" t="s">
        <v>7538</v>
      </c>
      <c r="B1196" s="13">
        <v>67.790000000000006</v>
      </c>
      <c r="C1196" s="16" t="s">
        <v>5331</v>
      </c>
      <c r="D1196" s="12">
        <v>538.08000000000004</v>
      </c>
      <c r="E1196" s="12" t="s">
        <v>5332</v>
      </c>
      <c r="F1196" s="12" t="s">
        <v>5328</v>
      </c>
      <c r="G1196" s="12" t="s">
        <v>7539</v>
      </c>
      <c r="H1196" s="12">
        <v>20663</v>
      </c>
    </row>
    <row r="1197" spans="1:8">
      <c r="A1197" s="12" t="s">
        <v>7538</v>
      </c>
      <c r="B1197" s="13">
        <v>67.790000000000006</v>
      </c>
      <c r="C1197" s="16" t="s">
        <v>5331</v>
      </c>
      <c r="D1197" s="12">
        <v>358.72</v>
      </c>
      <c r="E1197" s="12" t="s">
        <v>5332</v>
      </c>
      <c r="F1197" s="12" t="s">
        <v>5328</v>
      </c>
      <c r="G1197" s="12" t="s">
        <v>7539</v>
      </c>
      <c r="H1197" s="12">
        <v>20663</v>
      </c>
    </row>
    <row r="1198" spans="1:8">
      <c r="A1198" s="12" t="s">
        <v>7540</v>
      </c>
      <c r="B1198" s="13">
        <v>35.619999999999997</v>
      </c>
      <c r="C1198" s="16" t="s">
        <v>5331</v>
      </c>
      <c r="D1198" s="12">
        <v>106.857</v>
      </c>
      <c r="E1198" s="12" t="s">
        <v>5332</v>
      </c>
      <c r="F1198" s="12" t="s">
        <v>5328</v>
      </c>
      <c r="G1198" s="12" t="s">
        <v>7541</v>
      </c>
      <c r="H1198" s="12">
        <v>30490</v>
      </c>
    </row>
    <row r="1199" spans="1:8">
      <c r="A1199" s="12" t="s">
        <v>7542</v>
      </c>
      <c r="B1199" s="13">
        <v>21.89</v>
      </c>
      <c r="C1199" s="16" t="s">
        <v>5331</v>
      </c>
      <c r="D1199" s="12">
        <v>104.622</v>
      </c>
      <c r="E1199" s="12" t="s">
        <v>5332</v>
      </c>
      <c r="F1199" s="12" t="s">
        <v>5328</v>
      </c>
      <c r="G1199" s="12" t="s">
        <v>7543</v>
      </c>
      <c r="H1199" s="12">
        <v>33681</v>
      </c>
    </row>
    <row r="1200" spans="1:8">
      <c r="A1200" s="12" t="s">
        <v>7542</v>
      </c>
      <c r="B1200" s="13">
        <v>0</v>
      </c>
      <c r="C1200" s="16" t="s">
        <v>5331</v>
      </c>
      <c r="D1200" s="12">
        <v>104.622</v>
      </c>
      <c r="E1200" s="12" t="s">
        <v>5332</v>
      </c>
      <c r="F1200" s="12" t="s">
        <v>5328</v>
      </c>
      <c r="G1200" s="12" t="s">
        <v>7544</v>
      </c>
      <c r="H1200" s="12">
        <v>204088</v>
      </c>
    </row>
    <row r="1201" spans="1:8">
      <c r="A1201" s="12" t="s">
        <v>7545</v>
      </c>
      <c r="B1201" s="13">
        <v>21.9</v>
      </c>
      <c r="C1201" s="16" t="s">
        <v>5331</v>
      </c>
      <c r="D1201" s="12">
        <v>104.622</v>
      </c>
      <c r="E1201" s="12" t="s">
        <v>5332</v>
      </c>
      <c r="F1201" s="12" t="s">
        <v>5328</v>
      </c>
      <c r="G1201" s="12" t="s">
        <v>7546</v>
      </c>
      <c r="H1201" s="12">
        <v>33682</v>
      </c>
    </row>
    <row r="1202" spans="1:8">
      <c r="A1202" s="12" t="s">
        <v>7547</v>
      </c>
      <c r="B1202" s="13">
        <v>241.39</v>
      </c>
      <c r="C1202" s="16" t="s">
        <v>5331</v>
      </c>
      <c r="D1202" s="12">
        <v>411.66</v>
      </c>
      <c r="E1202" s="12" t="s">
        <v>5332</v>
      </c>
      <c r="F1202" s="12" t="s">
        <v>5328</v>
      </c>
      <c r="G1202" s="12" t="s">
        <v>7548</v>
      </c>
      <c r="H1202" s="12">
        <v>20667</v>
      </c>
    </row>
    <row r="1203" spans="1:8">
      <c r="A1203" s="12" t="s">
        <v>7547</v>
      </c>
      <c r="B1203" s="13">
        <v>204.8</v>
      </c>
      <c r="C1203" s="16" t="s">
        <v>5331</v>
      </c>
      <c r="D1203" s="12">
        <v>648.54</v>
      </c>
      <c r="E1203" s="12" t="s">
        <v>5332</v>
      </c>
      <c r="F1203" s="12" t="s">
        <v>5328</v>
      </c>
      <c r="G1203" s="12" t="s">
        <v>7549</v>
      </c>
      <c r="H1203" s="12">
        <v>20666</v>
      </c>
    </row>
    <row r="1204" spans="1:8">
      <c r="A1204" s="12" t="s">
        <v>7550</v>
      </c>
      <c r="B1204" s="13">
        <v>24.05</v>
      </c>
      <c r="C1204" s="16" t="s">
        <v>5331</v>
      </c>
      <c r="D1204" s="12">
        <v>163.08000000000001</v>
      </c>
      <c r="E1204" s="12" t="s">
        <v>5332</v>
      </c>
      <c r="F1204" s="12" t="s">
        <v>5328</v>
      </c>
      <c r="G1204" s="12" t="s">
        <v>7551</v>
      </c>
      <c r="H1204" s="12">
        <v>20668</v>
      </c>
    </row>
    <row r="1205" spans="1:8">
      <c r="A1205" s="12" t="s">
        <v>7552</v>
      </c>
      <c r="B1205" s="13">
        <v>142.88</v>
      </c>
      <c r="C1205" s="16" t="s">
        <v>5331</v>
      </c>
      <c r="D1205" s="12">
        <v>775.47</v>
      </c>
      <c r="E1205" s="12" t="s">
        <v>5332</v>
      </c>
      <c r="F1205" s="12" t="s">
        <v>5328</v>
      </c>
      <c r="G1205" s="12" t="s">
        <v>7553</v>
      </c>
      <c r="H1205" s="12">
        <v>20670</v>
      </c>
    </row>
    <row r="1206" spans="1:8">
      <c r="A1206" s="12" t="s">
        <v>7552</v>
      </c>
      <c r="B1206" s="13">
        <v>0</v>
      </c>
      <c r="C1206" s="16" t="s">
        <v>5331</v>
      </c>
      <c r="D1206" s="12">
        <v>492.36</v>
      </c>
      <c r="E1206" s="12" t="s">
        <v>5332</v>
      </c>
      <c r="F1206" s="12" t="s">
        <v>5328</v>
      </c>
      <c r="G1206" s="12" t="s">
        <v>7554</v>
      </c>
      <c r="H1206" s="12">
        <v>204824</v>
      </c>
    </row>
    <row r="1207" spans="1:8">
      <c r="A1207" s="12" t="s">
        <v>7552</v>
      </c>
      <c r="B1207" s="13">
        <v>0</v>
      </c>
      <c r="C1207" s="16" t="s">
        <v>5331</v>
      </c>
      <c r="D1207" s="12">
        <v>492.36</v>
      </c>
      <c r="E1207" s="12" t="s">
        <v>5332</v>
      </c>
      <c r="F1207" s="12" t="s">
        <v>5328</v>
      </c>
      <c r="G1207" s="12" t="s">
        <v>7555</v>
      </c>
      <c r="H1207" s="12">
        <v>204839</v>
      </c>
    </row>
    <row r="1208" spans="1:8">
      <c r="A1208" s="12" t="s">
        <v>7556</v>
      </c>
      <c r="B1208" s="13">
        <v>38.270000000000003</v>
      </c>
      <c r="C1208" s="16" t="s">
        <v>5331</v>
      </c>
      <c r="D1208" s="12">
        <v>424.26</v>
      </c>
      <c r="E1208" s="12" t="s">
        <v>5332</v>
      </c>
      <c r="F1208" s="12" t="s">
        <v>5328</v>
      </c>
      <c r="G1208" s="12" t="s">
        <v>7557</v>
      </c>
      <c r="H1208" s="12">
        <v>20672</v>
      </c>
    </row>
    <row r="1209" spans="1:8">
      <c r="A1209" s="12" t="s">
        <v>7558</v>
      </c>
      <c r="B1209" s="13">
        <v>44.97</v>
      </c>
      <c r="C1209" s="16" t="s">
        <v>5331</v>
      </c>
      <c r="D1209" s="12">
        <v>94.41</v>
      </c>
      <c r="E1209" s="12" t="s">
        <v>5332</v>
      </c>
      <c r="F1209" s="12" t="s">
        <v>5328</v>
      </c>
      <c r="G1209" s="12" t="s">
        <v>7559</v>
      </c>
      <c r="H1209" s="12">
        <v>20673</v>
      </c>
    </row>
    <row r="1210" spans="1:8">
      <c r="A1210" s="12" t="s">
        <v>7560</v>
      </c>
      <c r="B1210" s="13">
        <v>89.31</v>
      </c>
      <c r="C1210" s="16" t="s">
        <v>5331</v>
      </c>
      <c r="D1210" s="12">
        <v>533.4</v>
      </c>
      <c r="E1210" s="12" t="s">
        <v>5332</v>
      </c>
      <c r="F1210" s="12" t="s">
        <v>5328</v>
      </c>
      <c r="G1210" s="12" t="s">
        <v>7561</v>
      </c>
      <c r="H1210" s="12">
        <v>20675</v>
      </c>
    </row>
    <row r="1211" spans="1:8">
      <c r="A1211" s="12" t="s">
        <v>7560</v>
      </c>
      <c r="B1211" s="13">
        <v>89.31</v>
      </c>
      <c r="C1211" s="16" t="s">
        <v>5331</v>
      </c>
      <c r="D1211" s="12">
        <v>355.6</v>
      </c>
      <c r="E1211" s="12" t="s">
        <v>5332</v>
      </c>
      <c r="F1211" s="12" t="s">
        <v>5328</v>
      </c>
      <c r="G1211" s="12" t="s">
        <v>7561</v>
      </c>
      <c r="H1211" s="12">
        <v>20675</v>
      </c>
    </row>
    <row r="1212" spans="1:8">
      <c r="A1212" s="12" t="s">
        <v>7562</v>
      </c>
      <c r="B1212" s="13">
        <v>6.15</v>
      </c>
      <c r="C1212" s="16" t="s">
        <v>5331</v>
      </c>
      <c r="D1212" s="12">
        <v>99.81</v>
      </c>
      <c r="E1212" s="12" t="s">
        <v>5332</v>
      </c>
      <c r="F1212" s="12" t="s">
        <v>5328</v>
      </c>
      <c r="G1212" s="12" t="s">
        <v>7563</v>
      </c>
      <c r="H1212" s="12">
        <v>20676</v>
      </c>
    </row>
    <row r="1213" spans="1:8">
      <c r="A1213" s="12" t="s">
        <v>7564</v>
      </c>
      <c r="B1213" s="13">
        <v>1.03</v>
      </c>
      <c r="C1213" s="16" t="s">
        <v>5331</v>
      </c>
      <c r="D1213" s="12">
        <v>0.45900000000000002</v>
      </c>
      <c r="E1213" s="12" t="s">
        <v>5332</v>
      </c>
      <c r="F1213" s="12" t="s">
        <v>5328</v>
      </c>
      <c r="G1213" s="12" t="s">
        <v>7565</v>
      </c>
      <c r="H1213" s="12">
        <v>20677</v>
      </c>
    </row>
    <row r="1214" spans="1:8">
      <c r="A1214" s="12" t="s">
        <v>7566</v>
      </c>
      <c r="B1214" s="13">
        <v>53.14</v>
      </c>
      <c r="C1214" s="16" t="s">
        <v>5331</v>
      </c>
      <c r="D1214" s="12">
        <v>269.75</v>
      </c>
      <c r="E1214" s="12" t="s">
        <v>5332</v>
      </c>
      <c r="F1214" s="12" t="s">
        <v>5328</v>
      </c>
      <c r="G1214" s="12" t="s">
        <v>7567</v>
      </c>
      <c r="H1214" s="12">
        <v>20678</v>
      </c>
    </row>
    <row r="1215" spans="1:8">
      <c r="A1215" s="12" t="s">
        <v>7566</v>
      </c>
      <c r="B1215" s="13">
        <v>53.14</v>
      </c>
      <c r="C1215" s="16" t="s">
        <v>5331</v>
      </c>
      <c r="D1215" s="12">
        <v>179.83</v>
      </c>
      <c r="E1215" s="12" t="s">
        <v>5332</v>
      </c>
      <c r="F1215" s="12" t="s">
        <v>5328</v>
      </c>
      <c r="G1215" s="12" t="s">
        <v>7567</v>
      </c>
      <c r="H1215" s="12">
        <v>20678</v>
      </c>
    </row>
    <row r="1216" spans="1:8">
      <c r="A1216" s="12" t="s">
        <v>7568</v>
      </c>
      <c r="B1216" s="13">
        <v>11.67</v>
      </c>
      <c r="C1216" s="16" t="s">
        <v>5331</v>
      </c>
      <c r="D1216" s="12">
        <v>44.42</v>
      </c>
      <c r="E1216" s="12" t="s">
        <v>5332</v>
      </c>
      <c r="F1216" s="12" t="s">
        <v>5328</v>
      </c>
      <c r="G1216" s="12" t="s">
        <v>7569</v>
      </c>
      <c r="H1216" s="12">
        <v>20679</v>
      </c>
    </row>
    <row r="1217" spans="1:8">
      <c r="A1217" s="12" t="s">
        <v>7568</v>
      </c>
      <c r="B1217" s="13">
        <v>11.67</v>
      </c>
      <c r="C1217" s="16" t="s">
        <v>5331</v>
      </c>
      <c r="D1217" s="12">
        <v>29.61</v>
      </c>
      <c r="E1217" s="12" t="s">
        <v>5332</v>
      </c>
      <c r="F1217" s="12" t="s">
        <v>5328</v>
      </c>
      <c r="G1217" s="12" t="s">
        <v>7569</v>
      </c>
      <c r="H1217" s="12">
        <v>20679</v>
      </c>
    </row>
    <row r="1218" spans="1:8">
      <c r="A1218" s="12" t="s">
        <v>7570</v>
      </c>
      <c r="B1218" s="13">
        <v>54.15</v>
      </c>
      <c r="C1218" s="16" t="s">
        <v>5331</v>
      </c>
      <c r="D1218" s="12">
        <v>287.81</v>
      </c>
      <c r="E1218" s="12" t="s">
        <v>5332</v>
      </c>
      <c r="F1218" s="12" t="s">
        <v>5328</v>
      </c>
      <c r="G1218" s="12" t="s">
        <v>7571</v>
      </c>
      <c r="H1218" s="12">
        <v>20681</v>
      </c>
    </row>
    <row r="1219" spans="1:8">
      <c r="A1219" s="12" t="s">
        <v>7572</v>
      </c>
      <c r="B1219" s="13">
        <v>65.06</v>
      </c>
      <c r="C1219" s="16" t="s">
        <v>5331</v>
      </c>
      <c r="D1219" s="12">
        <v>434.61</v>
      </c>
      <c r="E1219" s="12" t="s">
        <v>5332</v>
      </c>
      <c r="F1219" s="12" t="s">
        <v>5328</v>
      </c>
      <c r="G1219" s="12" t="s">
        <v>7573</v>
      </c>
      <c r="H1219" s="12">
        <v>49541</v>
      </c>
    </row>
    <row r="1220" spans="1:8">
      <c r="A1220" s="12" t="s">
        <v>7572</v>
      </c>
      <c r="B1220" s="13">
        <v>0</v>
      </c>
      <c r="C1220" s="16" t="s">
        <v>5331</v>
      </c>
      <c r="D1220" s="12">
        <v>275.94</v>
      </c>
      <c r="E1220" s="12" t="s">
        <v>5332</v>
      </c>
      <c r="F1220" s="12" t="s">
        <v>5328</v>
      </c>
      <c r="G1220" s="12" t="s">
        <v>7574</v>
      </c>
      <c r="H1220" s="12">
        <v>204825</v>
      </c>
    </row>
    <row r="1221" spans="1:8">
      <c r="A1221" s="12" t="s">
        <v>7572</v>
      </c>
      <c r="B1221" s="13">
        <v>0</v>
      </c>
      <c r="C1221" s="16" t="s">
        <v>5331</v>
      </c>
      <c r="D1221" s="12">
        <v>275.94</v>
      </c>
      <c r="E1221" s="12" t="s">
        <v>5332</v>
      </c>
      <c r="F1221" s="12" t="s">
        <v>5328</v>
      </c>
      <c r="G1221" s="12" t="s">
        <v>7575</v>
      </c>
      <c r="H1221" s="12">
        <v>204840</v>
      </c>
    </row>
    <row r="1222" spans="1:8">
      <c r="A1222" s="12" t="s">
        <v>7576</v>
      </c>
      <c r="B1222" s="13">
        <v>2.68</v>
      </c>
      <c r="C1222" s="16" t="s">
        <v>5331</v>
      </c>
      <c r="D1222" s="12">
        <v>23.54</v>
      </c>
      <c r="E1222" s="12" t="s">
        <v>5332</v>
      </c>
      <c r="F1222" s="12" t="s">
        <v>5328</v>
      </c>
      <c r="G1222" s="12" t="s">
        <v>7577</v>
      </c>
      <c r="H1222" s="12">
        <v>43846</v>
      </c>
    </row>
    <row r="1223" spans="1:8">
      <c r="A1223" s="12" t="s">
        <v>7576</v>
      </c>
      <c r="B1223" s="13">
        <v>0</v>
      </c>
      <c r="C1223" s="16" t="s">
        <v>5331</v>
      </c>
      <c r="D1223" s="12">
        <v>14.94</v>
      </c>
      <c r="E1223" s="12" t="s">
        <v>5332</v>
      </c>
      <c r="F1223" s="12" t="s">
        <v>5328</v>
      </c>
      <c r="G1223" s="12" t="s">
        <v>7578</v>
      </c>
      <c r="H1223" s="12">
        <v>204826</v>
      </c>
    </row>
    <row r="1224" spans="1:8">
      <c r="A1224" s="12" t="s">
        <v>7576</v>
      </c>
      <c r="B1224" s="13">
        <v>0</v>
      </c>
      <c r="C1224" s="16" t="s">
        <v>5331</v>
      </c>
      <c r="D1224" s="12">
        <v>14.94</v>
      </c>
      <c r="E1224" s="12" t="s">
        <v>5332</v>
      </c>
      <c r="F1224" s="12" t="s">
        <v>5328</v>
      </c>
      <c r="G1224" s="12" t="s">
        <v>7579</v>
      </c>
      <c r="H1224" s="12">
        <v>204841</v>
      </c>
    </row>
    <row r="1225" spans="1:8">
      <c r="A1225" s="12" t="s">
        <v>7516</v>
      </c>
      <c r="B1225" s="13">
        <v>173.73</v>
      </c>
      <c r="C1225" s="16" t="s">
        <v>5331</v>
      </c>
      <c r="D1225" s="12">
        <v>417.48</v>
      </c>
      <c r="E1225" s="12" t="s">
        <v>5332</v>
      </c>
      <c r="F1225" s="12" t="s">
        <v>5328</v>
      </c>
      <c r="G1225" s="12" t="s">
        <v>7580</v>
      </c>
      <c r="H1225" s="12">
        <v>30954</v>
      </c>
    </row>
    <row r="1226" spans="1:8">
      <c r="A1226" s="12" t="s">
        <v>7581</v>
      </c>
      <c r="B1226" s="13">
        <v>117.55</v>
      </c>
      <c r="C1226" s="16" t="s">
        <v>5331</v>
      </c>
      <c r="D1226" s="12">
        <v>308.22000000000003</v>
      </c>
      <c r="E1226" s="12" t="s">
        <v>5332</v>
      </c>
      <c r="F1226" s="12" t="s">
        <v>5328</v>
      </c>
      <c r="G1226" s="12" t="s">
        <v>7582</v>
      </c>
      <c r="H1226" s="12">
        <v>31454</v>
      </c>
    </row>
    <row r="1227" spans="1:8">
      <c r="A1227" s="12" t="s">
        <v>7583</v>
      </c>
      <c r="B1227" s="13">
        <v>27.55</v>
      </c>
      <c r="C1227" s="16" t="s">
        <v>5331</v>
      </c>
      <c r="D1227" s="12">
        <v>106.857</v>
      </c>
      <c r="E1227" s="12" t="s">
        <v>5332</v>
      </c>
      <c r="F1227" s="12" t="s">
        <v>5328</v>
      </c>
      <c r="G1227" s="12" t="s">
        <v>7584</v>
      </c>
      <c r="H1227" s="12">
        <v>34249</v>
      </c>
    </row>
    <row r="1228" spans="1:8">
      <c r="A1228" s="12" t="s">
        <v>7585</v>
      </c>
      <c r="B1228" s="13">
        <v>22.48</v>
      </c>
      <c r="C1228" s="16" t="s">
        <v>5331</v>
      </c>
      <c r="D1228" s="12">
        <v>68.055000000000007</v>
      </c>
      <c r="E1228" s="12" t="s">
        <v>5332</v>
      </c>
      <c r="F1228" s="12" t="s">
        <v>5328</v>
      </c>
      <c r="G1228" s="12" t="s">
        <v>7586</v>
      </c>
      <c r="H1228" s="12">
        <v>34250</v>
      </c>
    </row>
    <row r="1229" spans="1:8">
      <c r="A1229" s="12" t="s">
        <v>7587</v>
      </c>
      <c r="B1229" s="13">
        <v>22.47</v>
      </c>
      <c r="C1229" s="16" t="s">
        <v>5331</v>
      </c>
      <c r="D1229" s="12">
        <v>68.037000000000006</v>
      </c>
      <c r="E1229" s="12" t="s">
        <v>5332</v>
      </c>
      <c r="F1229" s="12" t="s">
        <v>5328</v>
      </c>
      <c r="G1229" s="12" t="s">
        <v>7588</v>
      </c>
      <c r="H1229" s="12">
        <v>34251</v>
      </c>
    </row>
    <row r="1230" spans="1:8">
      <c r="A1230" s="12" t="s">
        <v>7589</v>
      </c>
      <c r="B1230" s="13">
        <v>33</v>
      </c>
      <c r="C1230" s="16" t="s">
        <v>5331</v>
      </c>
      <c r="D1230" s="12">
        <v>90.81</v>
      </c>
      <c r="E1230" s="12" t="s">
        <v>5332</v>
      </c>
      <c r="F1230" s="12" t="s">
        <v>5328</v>
      </c>
      <c r="G1230" s="12" t="s">
        <v>7590</v>
      </c>
      <c r="H1230" s="12">
        <v>49544</v>
      </c>
    </row>
    <row r="1231" spans="1:8">
      <c r="A1231" s="12" t="s">
        <v>7591</v>
      </c>
      <c r="B1231" s="13">
        <v>96.79</v>
      </c>
      <c r="C1231" s="16" t="s">
        <v>5331</v>
      </c>
      <c r="D1231" s="12">
        <v>428.18</v>
      </c>
      <c r="E1231" s="12" t="s">
        <v>5332</v>
      </c>
      <c r="F1231" s="12" t="s">
        <v>5328</v>
      </c>
      <c r="G1231" s="12" t="s">
        <v>7592</v>
      </c>
      <c r="H1231" s="12">
        <v>49543</v>
      </c>
    </row>
    <row r="1232" spans="1:8">
      <c r="A1232" s="12" t="s">
        <v>7562</v>
      </c>
      <c r="B1232" s="13">
        <v>5.35</v>
      </c>
      <c r="C1232" s="16" t="s">
        <v>5331</v>
      </c>
      <c r="D1232" s="12">
        <v>20.85</v>
      </c>
      <c r="E1232" s="12" t="s">
        <v>5332</v>
      </c>
      <c r="F1232" s="12" t="s">
        <v>5328</v>
      </c>
      <c r="G1232" s="12" t="s">
        <v>7593</v>
      </c>
      <c r="H1232" s="12">
        <v>53667</v>
      </c>
    </row>
    <row r="1233" spans="1:8">
      <c r="A1233" s="12" t="s">
        <v>7594</v>
      </c>
      <c r="B1233" s="13">
        <v>259.63</v>
      </c>
      <c r="C1233" s="16" t="s">
        <v>5331</v>
      </c>
      <c r="D1233" s="12">
        <v>843.42</v>
      </c>
      <c r="E1233" s="12" t="s">
        <v>5332</v>
      </c>
      <c r="F1233" s="12" t="s">
        <v>5328</v>
      </c>
      <c r="G1233" s="12" t="s">
        <v>7595</v>
      </c>
      <c r="H1233" s="12">
        <v>75635</v>
      </c>
    </row>
    <row r="1234" spans="1:8">
      <c r="A1234" s="12" t="s">
        <v>7596</v>
      </c>
      <c r="B1234" s="13">
        <v>219.84</v>
      </c>
      <c r="C1234" s="16" t="s">
        <v>5331</v>
      </c>
      <c r="D1234" s="12">
        <v>1444.01</v>
      </c>
      <c r="E1234" s="12" t="s">
        <v>5332</v>
      </c>
      <c r="F1234" s="12" t="s">
        <v>5328</v>
      </c>
      <c r="G1234" s="12" t="s">
        <v>7597</v>
      </c>
      <c r="H1234" s="12">
        <v>59783</v>
      </c>
    </row>
    <row r="1235" spans="1:8">
      <c r="A1235" s="12" t="s">
        <v>7598</v>
      </c>
      <c r="B1235" s="13">
        <v>33.1</v>
      </c>
      <c r="C1235" s="16" t="s">
        <v>5331</v>
      </c>
      <c r="D1235" s="12">
        <v>114.03</v>
      </c>
      <c r="E1235" s="12" t="s">
        <v>5332</v>
      </c>
      <c r="F1235" s="12" t="s">
        <v>5328</v>
      </c>
      <c r="G1235" s="12" t="s">
        <v>7599</v>
      </c>
      <c r="H1235" s="12">
        <v>72974</v>
      </c>
    </row>
    <row r="1236" spans="1:8">
      <c r="A1236" s="12" t="s">
        <v>7600</v>
      </c>
      <c r="B1236" s="14">
        <v>1898.33</v>
      </c>
      <c r="C1236" s="16" t="s">
        <v>5331</v>
      </c>
      <c r="D1236" s="12">
        <v>9627.84</v>
      </c>
      <c r="E1236" s="12" t="s">
        <v>5332</v>
      </c>
      <c r="F1236" s="12" t="s">
        <v>5328</v>
      </c>
      <c r="G1236" s="12" t="s">
        <v>7601</v>
      </c>
      <c r="H1236" s="12">
        <v>72977</v>
      </c>
    </row>
    <row r="1237" spans="1:8">
      <c r="A1237" s="12" t="s">
        <v>7602</v>
      </c>
      <c r="B1237" s="13">
        <v>155.76</v>
      </c>
      <c r="C1237" s="16" t="s">
        <v>5331</v>
      </c>
      <c r="D1237" s="12">
        <v>2879.22</v>
      </c>
      <c r="E1237" s="12" t="s">
        <v>5332</v>
      </c>
      <c r="F1237" s="12" t="s">
        <v>5328</v>
      </c>
      <c r="G1237" s="12" t="s">
        <v>7603</v>
      </c>
      <c r="H1237" s="12">
        <v>72979</v>
      </c>
    </row>
    <row r="1238" spans="1:8">
      <c r="A1238" s="12" t="s">
        <v>7604</v>
      </c>
      <c r="B1238" s="13">
        <v>51.92</v>
      </c>
      <c r="C1238" s="16" t="s">
        <v>5331</v>
      </c>
      <c r="D1238" s="12">
        <v>178.86</v>
      </c>
      <c r="E1238" s="12" t="s">
        <v>5332</v>
      </c>
      <c r="F1238" s="12" t="s">
        <v>5328</v>
      </c>
      <c r="G1238" s="12" t="s">
        <v>7605</v>
      </c>
      <c r="H1238" s="12">
        <v>72981</v>
      </c>
    </row>
    <row r="1239" spans="1:8">
      <c r="A1239" s="12" t="s">
        <v>7606</v>
      </c>
      <c r="B1239" s="13">
        <v>4.8899999999999997</v>
      </c>
      <c r="C1239" s="16" t="s">
        <v>5331</v>
      </c>
      <c r="D1239" s="12">
        <v>14.958</v>
      </c>
      <c r="E1239" s="12" t="s">
        <v>5332</v>
      </c>
      <c r="F1239" s="12" t="s">
        <v>5328</v>
      </c>
      <c r="G1239" s="12" t="s">
        <v>7607</v>
      </c>
      <c r="H1239" s="12">
        <v>30680</v>
      </c>
    </row>
    <row r="1240" spans="1:8">
      <c r="A1240" s="12" t="s">
        <v>7608</v>
      </c>
      <c r="B1240" s="13">
        <v>101.57</v>
      </c>
      <c r="C1240" s="16" t="s">
        <v>5331</v>
      </c>
      <c r="D1240" s="12">
        <v>545.61</v>
      </c>
      <c r="E1240" s="12" t="s">
        <v>5332</v>
      </c>
      <c r="F1240" s="12" t="s">
        <v>5328</v>
      </c>
      <c r="G1240" s="12" t="s">
        <v>7609</v>
      </c>
      <c r="H1240" s="12">
        <v>72982</v>
      </c>
    </row>
    <row r="1241" spans="1:8">
      <c r="A1241" s="12" t="s">
        <v>7610</v>
      </c>
      <c r="B1241" s="13">
        <v>2.2000000000000002</v>
      </c>
      <c r="C1241" s="16" t="s">
        <v>5331</v>
      </c>
      <c r="D1241" s="12">
        <v>7.14</v>
      </c>
      <c r="E1241" s="12" t="s">
        <v>5332</v>
      </c>
      <c r="F1241" s="12" t="s">
        <v>5328</v>
      </c>
      <c r="G1241" s="12" t="s">
        <v>7611</v>
      </c>
      <c r="H1241" s="12">
        <v>72983</v>
      </c>
    </row>
    <row r="1242" spans="1:8">
      <c r="A1242" s="12" t="s">
        <v>7612</v>
      </c>
      <c r="B1242" s="13">
        <v>491.93</v>
      </c>
      <c r="C1242" s="16" t="s">
        <v>5331</v>
      </c>
      <c r="D1242" s="12">
        <v>2194.35</v>
      </c>
      <c r="E1242" s="12" t="s">
        <v>5332</v>
      </c>
      <c r="F1242" s="12" t="s">
        <v>5328</v>
      </c>
      <c r="G1242" s="12" t="s">
        <v>7613</v>
      </c>
      <c r="H1242" s="12">
        <v>72984</v>
      </c>
    </row>
    <row r="1243" spans="1:8">
      <c r="A1243" s="12" t="s">
        <v>7614</v>
      </c>
      <c r="B1243" s="13">
        <v>6.35</v>
      </c>
      <c r="C1243" s="16" t="s">
        <v>6565</v>
      </c>
      <c r="D1243" s="12">
        <v>1.8</v>
      </c>
      <c r="E1243" s="12" t="s">
        <v>5332</v>
      </c>
      <c r="F1243" s="12" t="s">
        <v>5328</v>
      </c>
      <c r="G1243" s="12" t="s">
        <v>7615</v>
      </c>
      <c r="H1243" s="12">
        <v>17981</v>
      </c>
    </row>
    <row r="1244" spans="1:8">
      <c r="A1244" s="12" t="s">
        <v>7616</v>
      </c>
      <c r="B1244" s="13">
        <v>6.35</v>
      </c>
      <c r="C1244" s="16" t="s">
        <v>6565</v>
      </c>
      <c r="D1244" s="12">
        <v>1.8</v>
      </c>
      <c r="E1244" s="12" t="s">
        <v>5332</v>
      </c>
      <c r="F1244" s="12" t="s">
        <v>5328</v>
      </c>
      <c r="G1244" s="12" t="s">
        <v>7617</v>
      </c>
      <c r="H1244" s="12">
        <v>17983</v>
      </c>
    </row>
    <row r="1245" spans="1:8">
      <c r="A1245" s="12" t="s">
        <v>7618</v>
      </c>
      <c r="B1245" s="13">
        <v>39.56</v>
      </c>
      <c r="C1245" s="16" t="s">
        <v>6565</v>
      </c>
      <c r="D1245" s="12">
        <v>1.8</v>
      </c>
      <c r="E1245" s="12" t="s">
        <v>5332</v>
      </c>
      <c r="F1245" s="12" t="s">
        <v>5328</v>
      </c>
      <c r="G1245" s="12" t="s">
        <v>7619</v>
      </c>
      <c r="H1245" s="12">
        <v>17990</v>
      </c>
    </row>
    <row r="1246" spans="1:8">
      <c r="A1246" s="12" t="s">
        <v>7620</v>
      </c>
      <c r="B1246" s="13">
        <v>0</v>
      </c>
      <c r="C1246" s="16" t="s">
        <v>7621</v>
      </c>
      <c r="D1246" s="12">
        <v>1.1156999999999999</v>
      </c>
      <c r="E1246" s="12" t="s">
        <v>5332</v>
      </c>
      <c r="F1246" s="12" t="s">
        <v>5328</v>
      </c>
      <c r="G1246" s="12" t="s">
        <v>7622</v>
      </c>
      <c r="H1246" s="12">
        <v>49209</v>
      </c>
    </row>
    <row r="1247" spans="1:8">
      <c r="A1247" s="12" t="s">
        <v>7623</v>
      </c>
      <c r="B1247" s="13">
        <v>0.42</v>
      </c>
      <c r="C1247" s="16" t="s">
        <v>5331</v>
      </c>
      <c r="D1247" s="12">
        <v>1.04</v>
      </c>
      <c r="E1247" s="12" t="s">
        <v>5332</v>
      </c>
      <c r="F1247" s="12" t="s">
        <v>5328</v>
      </c>
      <c r="G1247" s="12" t="s">
        <v>7624</v>
      </c>
      <c r="H1247" s="12">
        <v>14477</v>
      </c>
    </row>
    <row r="1248" spans="1:8">
      <c r="A1248" s="12" t="s">
        <v>7625</v>
      </c>
      <c r="B1248" s="13">
        <v>0.36</v>
      </c>
      <c r="C1248" s="16" t="s">
        <v>5331</v>
      </c>
      <c r="D1248" s="12">
        <v>0.99</v>
      </c>
      <c r="E1248" s="12" t="s">
        <v>5332</v>
      </c>
      <c r="F1248" s="12" t="s">
        <v>5328</v>
      </c>
      <c r="G1248" s="12" t="s">
        <v>7626</v>
      </c>
      <c r="H1248" s="12">
        <v>14478</v>
      </c>
    </row>
    <row r="1249" spans="1:8">
      <c r="A1249" s="12" t="s">
        <v>7627</v>
      </c>
      <c r="B1249" s="13">
        <v>12.28</v>
      </c>
      <c r="C1249" s="16" t="s">
        <v>5331</v>
      </c>
      <c r="D1249" s="12">
        <v>52.46</v>
      </c>
      <c r="E1249" s="12" t="s">
        <v>5332</v>
      </c>
      <c r="F1249" s="12" t="s">
        <v>5328</v>
      </c>
      <c r="G1249" s="12" t="s">
        <v>7628</v>
      </c>
      <c r="H1249" s="12">
        <v>14523</v>
      </c>
    </row>
    <row r="1250" spans="1:8">
      <c r="A1250" s="12" t="s">
        <v>7629</v>
      </c>
      <c r="B1250" s="13">
        <v>9.64</v>
      </c>
      <c r="C1250" s="16" t="s">
        <v>5331</v>
      </c>
      <c r="D1250" s="12">
        <v>66.150000000000006</v>
      </c>
      <c r="E1250" s="12" t="s">
        <v>5332</v>
      </c>
      <c r="F1250" s="12" t="s">
        <v>5328</v>
      </c>
      <c r="G1250" s="12" t="s">
        <v>7630</v>
      </c>
      <c r="H1250" s="12">
        <v>14528</v>
      </c>
    </row>
    <row r="1251" spans="1:8">
      <c r="A1251" s="12" t="s">
        <v>7631</v>
      </c>
      <c r="B1251" s="13">
        <v>0.18</v>
      </c>
      <c r="C1251" s="16" t="s">
        <v>5331</v>
      </c>
      <c r="D1251" s="12">
        <v>0.69</v>
      </c>
      <c r="E1251" s="12" t="s">
        <v>5332</v>
      </c>
      <c r="F1251" s="12" t="s">
        <v>5328</v>
      </c>
      <c r="G1251" s="12" t="s">
        <v>7632</v>
      </c>
      <c r="H1251" s="12">
        <v>14595</v>
      </c>
    </row>
    <row r="1252" spans="1:8">
      <c r="A1252" s="12" t="s">
        <v>7633</v>
      </c>
      <c r="B1252" s="13">
        <v>0.2</v>
      </c>
      <c r="C1252" s="16" t="s">
        <v>5331</v>
      </c>
      <c r="D1252" s="12">
        <v>0.99</v>
      </c>
      <c r="E1252" s="12" t="s">
        <v>5332</v>
      </c>
      <c r="F1252" s="12" t="s">
        <v>5328</v>
      </c>
      <c r="G1252" s="12" t="s">
        <v>7634</v>
      </c>
      <c r="H1252" s="12">
        <v>14605</v>
      </c>
    </row>
    <row r="1253" spans="1:8">
      <c r="A1253" s="12" t="s">
        <v>7635</v>
      </c>
      <c r="B1253" s="13">
        <v>0.15</v>
      </c>
      <c r="C1253" s="16" t="s">
        <v>5331</v>
      </c>
      <c r="D1253" s="12">
        <v>0.33</v>
      </c>
      <c r="E1253" s="12" t="s">
        <v>5332</v>
      </c>
      <c r="F1253" s="12" t="s">
        <v>5328</v>
      </c>
      <c r="G1253" s="12" t="s">
        <v>7636</v>
      </c>
      <c r="H1253" s="12">
        <v>14696</v>
      </c>
    </row>
    <row r="1254" spans="1:8">
      <c r="A1254" s="12" t="s">
        <v>7637</v>
      </c>
      <c r="B1254" s="13">
        <v>0.05</v>
      </c>
      <c r="C1254" s="16" t="s">
        <v>5331</v>
      </c>
      <c r="D1254" s="12">
        <v>0.2</v>
      </c>
      <c r="E1254" s="12" t="s">
        <v>5332</v>
      </c>
      <c r="F1254" s="12" t="s">
        <v>5328</v>
      </c>
      <c r="G1254" s="12" t="s">
        <v>7638</v>
      </c>
      <c r="H1254" s="12">
        <v>14727</v>
      </c>
    </row>
    <row r="1255" spans="1:8">
      <c r="A1255" s="12" t="s">
        <v>7639</v>
      </c>
      <c r="B1255" s="13">
        <v>0.06</v>
      </c>
      <c r="C1255" s="16" t="s">
        <v>5331</v>
      </c>
      <c r="D1255" s="12">
        <v>0.27</v>
      </c>
      <c r="E1255" s="12" t="s">
        <v>5332</v>
      </c>
      <c r="F1255" s="12" t="s">
        <v>5328</v>
      </c>
      <c r="G1255" s="12" t="s">
        <v>7640</v>
      </c>
      <c r="H1255" s="12">
        <v>14739</v>
      </c>
    </row>
    <row r="1256" spans="1:8">
      <c r="A1256" s="12" t="s">
        <v>7641</v>
      </c>
      <c r="B1256" s="13">
        <v>260.20999999999998</v>
      </c>
      <c r="C1256" s="16" t="s">
        <v>5331</v>
      </c>
      <c r="D1256" s="12">
        <v>843.33</v>
      </c>
      <c r="E1256" s="12" t="s">
        <v>5332</v>
      </c>
      <c r="F1256" s="12" t="s">
        <v>5328</v>
      </c>
      <c r="G1256" s="12" t="s">
        <v>7642</v>
      </c>
      <c r="H1256" s="12">
        <v>72985</v>
      </c>
    </row>
    <row r="1257" spans="1:8">
      <c r="A1257" s="12" t="s">
        <v>7643</v>
      </c>
      <c r="B1257" s="13">
        <v>981.67</v>
      </c>
      <c r="C1257" s="16" t="s">
        <v>5331</v>
      </c>
      <c r="D1257" s="12">
        <v>2979.69</v>
      </c>
      <c r="E1257" s="12" t="s">
        <v>5332</v>
      </c>
      <c r="F1257" s="12" t="s">
        <v>5328</v>
      </c>
      <c r="G1257" s="12" t="s">
        <v>7644</v>
      </c>
      <c r="H1257" s="12">
        <v>72986</v>
      </c>
    </row>
    <row r="1258" spans="1:8">
      <c r="A1258" s="12" t="s">
        <v>7643</v>
      </c>
      <c r="B1258" s="13">
        <v>0</v>
      </c>
      <c r="C1258" s="16" t="s">
        <v>5331</v>
      </c>
      <c r="D1258" s="12">
        <v>2979.69</v>
      </c>
      <c r="E1258" s="12" t="s">
        <v>5332</v>
      </c>
      <c r="F1258" s="12" t="s">
        <v>5328</v>
      </c>
      <c r="G1258" s="12" t="s">
        <v>7645</v>
      </c>
      <c r="H1258" s="12">
        <v>204827</v>
      </c>
    </row>
    <row r="1259" spans="1:8">
      <c r="A1259" s="12" t="s">
        <v>7643</v>
      </c>
      <c r="B1259" s="13">
        <v>0</v>
      </c>
      <c r="C1259" s="16" t="s">
        <v>5331</v>
      </c>
      <c r="D1259" s="12">
        <v>2979.69</v>
      </c>
      <c r="E1259" s="12" t="s">
        <v>5332</v>
      </c>
      <c r="F1259" s="12" t="s">
        <v>5328</v>
      </c>
      <c r="G1259" s="12" t="s">
        <v>7646</v>
      </c>
      <c r="H1259" s="12">
        <v>204842</v>
      </c>
    </row>
    <row r="1260" spans="1:8">
      <c r="A1260" s="12" t="s">
        <v>7647</v>
      </c>
      <c r="B1260" s="13">
        <v>33.06</v>
      </c>
      <c r="C1260" s="16" t="s">
        <v>5331</v>
      </c>
      <c r="D1260" s="12">
        <v>188.37</v>
      </c>
      <c r="E1260" s="12" t="s">
        <v>5332</v>
      </c>
      <c r="F1260" s="12" t="s">
        <v>5328</v>
      </c>
      <c r="G1260" s="12" t="s">
        <v>7648</v>
      </c>
      <c r="H1260" s="12">
        <v>72987</v>
      </c>
    </row>
    <row r="1261" spans="1:8">
      <c r="A1261" s="12" t="s">
        <v>7649</v>
      </c>
      <c r="B1261" s="13">
        <v>42.96</v>
      </c>
      <c r="C1261" s="16" t="s">
        <v>5331</v>
      </c>
      <c r="D1261" s="12">
        <v>225.77</v>
      </c>
      <c r="E1261" s="12" t="s">
        <v>5332</v>
      </c>
      <c r="F1261" s="12" t="s">
        <v>5328</v>
      </c>
      <c r="G1261" s="12" t="s">
        <v>7650</v>
      </c>
      <c r="H1261" s="12">
        <v>197417</v>
      </c>
    </row>
    <row r="1262" spans="1:8">
      <c r="A1262" s="12" t="s">
        <v>7651</v>
      </c>
      <c r="B1262" s="13">
        <v>4.88</v>
      </c>
      <c r="C1262" s="16" t="s">
        <v>5331</v>
      </c>
      <c r="D1262" s="12">
        <v>85.34</v>
      </c>
      <c r="E1262" s="12" t="s">
        <v>5332</v>
      </c>
      <c r="F1262" s="12" t="s">
        <v>5328</v>
      </c>
      <c r="G1262" s="12" t="s">
        <v>7652</v>
      </c>
      <c r="H1262" s="12">
        <v>17613</v>
      </c>
    </row>
    <row r="1263" spans="1:8">
      <c r="A1263" s="12" t="s">
        <v>7653</v>
      </c>
      <c r="B1263" s="13">
        <v>8.9499999999999993</v>
      </c>
      <c r="C1263" s="16" t="s">
        <v>5331</v>
      </c>
      <c r="D1263" s="12">
        <v>37.85</v>
      </c>
      <c r="E1263" s="12" t="s">
        <v>5332</v>
      </c>
      <c r="F1263" s="12" t="s">
        <v>5328</v>
      </c>
      <c r="G1263" s="12" t="s">
        <v>7654</v>
      </c>
      <c r="H1263" s="12">
        <v>17616</v>
      </c>
    </row>
    <row r="1264" spans="1:8">
      <c r="A1264" s="12" t="s">
        <v>7655</v>
      </c>
      <c r="B1264" s="13">
        <v>5.12</v>
      </c>
      <c r="C1264" s="16" t="s">
        <v>5331</v>
      </c>
      <c r="D1264" s="12">
        <v>37.85</v>
      </c>
      <c r="E1264" s="12" t="s">
        <v>5332</v>
      </c>
      <c r="F1264" s="12" t="s">
        <v>5328</v>
      </c>
      <c r="G1264" s="12" t="s">
        <v>7656</v>
      </c>
      <c r="H1264" s="12">
        <v>17619</v>
      </c>
    </row>
    <row r="1265" spans="1:8">
      <c r="A1265" s="12" t="s">
        <v>7657</v>
      </c>
      <c r="B1265" s="13">
        <v>8.36</v>
      </c>
      <c r="C1265" s="16" t="s">
        <v>5331</v>
      </c>
      <c r="D1265" s="12">
        <v>30.925000000000001</v>
      </c>
      <c r="E1265" s="12" t="s">
        <v>5332</v>
      </c>
      <c r="F1265" s="12" t="s">
        <v>5328</v>
      </c>
      <c r="G1265" s="12" t="s">
        <v>7658</v>
      </c>
      <c r="H1265" s="12">
        <v>18699</v>
      </c>
    </row>
    <row r="1266" spans="1:8">
      <c r="A1266" s="12" t="s">
        <v>7659</v>
      </c>
      <c r="B1266" s="13">
        <v>6.32</v>
      </c>
      <c r="C1266" s="16" t="s">
        <v>5331</v>
      </c>
      <c r="D1266" s="12">
        <v>18.96</v>
      </c>
      <c r="E1266" s="12" t="s">
        <v>5332</v>
      </c>
      <c r="F1266" s="12" t="s">
        <v>5328</v>
      </c>
      <c r="G1266" s="12" t="s">
        <v>7660</v>
      </c>
      <c r="H1266" s="12">
        <v>32021</v>
      </c>
    </row>
    <row r="1267" spans="1:8">
      <c r="A1267" s="12" t="s">
        <v>7661</v>
      </c>
      <c r="B1267" s="13">
        <v>12.37</v>
      </c>
      <c r="C1267" s="16" t="s">
        <v>5331</v>
      </c>
      <c r="D1267" s="12">
        <v>37.11</v>
      </c>
      <c r="E1267" s="12" t="s">
        <v>5332</v>
      </c>
      <c r="F1267" s="12" t="s">
        <v>5328</v>
      </c>
      <c r="G1267" s="12" t="s">
        <v>7662</v>
      </c>
      <c r="H1267" s="12">
        <v>17622</v>
      </c>
    </row>
    <row r="1268" spans="1:8">
      <c r="A1268" s="12" t="s">
        <v>7663</v>
      </c>
      <c r="B1268" s="13">
        <v>12.37</v>
      </c>
      <c r="C1268" s="16" t="s">
        <v>5331</v>
      </c>
      <c r="D1268" s="12">
        <v>58.46</v>
      </c>
      <c r="E1268" s="12" t="s">
        <v>5332</v>
      </c>
      <c r="F1268" s="12" t="s">
        <v>5328</v>
      </c>
      <c r="G1268" s="12" t="s">
        <v>7664</v>
      </c>
      <c r="H1268" s="12">
        <v>17623</v>
      </c>
    </row>
    <row r="1269" spans="1:8">
      <c r="A1269" s="12" t="s">
        <v>7665</v>
      </c>
      <c r="B1269" s="13">
        <v>12.13</v>
      </c>
      <c r="C1269" s="16" t="s">
        <v>5331</v>
      </c>
      <c r="D1269" s="12">
        <v>37.11</v>
      </c>
      <c r="E1269" s="12" t="s">
        <v>5332</v>
      </c>
      <c r="F1269" s="12" t="s">
        <v>5328</v>
      </c>
      <c r="G1269" s="12" t="s">
        <v>7666</v>
      </c>
      <c r="H1269" s="12">
        <v>17624</v>
      </c>
    </row>
    <row r="1270" spans="1:8">
      <c r="A1270" s="12" t="s">
        <v>7667</v>
      </c>
      <c r="B1270" s="13">
        <v>7.6</v>
      </c>
      <c r="C1270" s="16" t="s">
        <v>5331</v>
      </c>
      <c r="D1270" s="12">
        <v>22.8</v>
      </c>
      <c r="E1270" s="12" t="s">
        <v>5332</v>
      </c>
      <c r="F1270" s="12" t="s">
        <v>5328</v>
      </c>
      <c r="G1270" s="12" t="s">
        <v>7668</v>
      </c>
      <c r="H1270" s="12">
        <v>17626</v>
      </c>
    </row>
    <row r="1271" spans="1:8">
      <c r="A1271" s="12" t="s">
        <v>7669</v>
      </c>
      <c r="B1271" s="13">
        <v>8.09</v>
      </c>
      <c r="C1271" s="16" t="s">
        <v>5331</v>
      </c>
      <c r="D1271" s="12">
        <v>24.27</v>
      </c>
      <c r="E1271" s="12" t="s">
        <v>5332</v>
      </c>
      <c r="F1271" s="12" t="s">
        <v>5328</v>
      </c>
      <c r="G1271" s="12" t="s">
        <v>7670</v>
      </c>
      <c r="H1271" s="12">
        <v>17628</v>
      </c>
    </row>
    <row r="1272" spans="1:8">
      <c r="A1272" s="12" t="s">
        <v>7671</v>
      </c>
      <c r="B1272" s="13">
        <v>2.52</v>
      </c>
      <c r="C1272" s="16" t="s">
        <v>5331</v>
      </c>
      <c r="D1272" s="12">
        <v>14.46</v>
      </c>
      <c r="E1272" s="12" t="s">
        <v>5332</v>
      </c>
      <c r="F1272" s="12" t="s">
        <v>5328</v>
      </c>
      <c r="G1272" s="12" t="s">
        <v>7672</v>
      </c>
      <c r="H1272" s="12">
        <v>17631</v>
      </c>
    </row>
    <row r="1273" spans="1:8">
      <c r="A1273" s="12" t="s">
        <v>7671</v>
      </c>
      <c r="B1273" s="13">
        <v>2.52</v>
      </c>
      <c r="C1273" s="16" t="s">
        <v>5331</v>
      </c>
      <c r="D1273" s="12">
        <v>9.64</v>
      </c>
      <c r="E1273" s="12" t="s">
        <v>5332</v>
      </c>
      <c r="F1273" s="12" t="s">
        <v>5328</v>
      </c>
      <c r="G1273" s="12" t="s">
        <v>7672</v>
      </c>
      <c r="H1273" s="12">
        <v>17631</v>
      </c>
    </row>
    <row r="1274" spans="1:8">
      <c r="A1274" s="12" t="s">
        <v>7673</v>
      </c>
      <c r="B1274" s="13">
        <v>4.29</v>
      </c>
      <c r="C1274" s="16" t="s">
        <v>5331</v>
      </c>
      <c r="D1274" s="12">
        <v>14.46</v>
      </c>
      <c r="E1274" s="12" t="s">
        <v>5332</v>
      </c>
      <c r="F1274" s="12" t="s">
        <v>5328</v>
      </c>
      <c r="G1274" s="12" t="s">
        <v>7674</v>
      </c>
      <c r="H1274" s="12">
        <v>17633</v>
      </c>
    </row>
    <row r="1275" spans="1:8">
      <c r="A1275" s="12" t="s">
        <v>7675</v>
      </c>
      <c r="B1275" s="13">
        <v>15.75</v>
      </c>
      <c r="C1275" s="16" t="s">
        <v>5331</v>
      </c>
      <c r="D1275" s="12">
        <v>47.25</v>
      </c>
      <c r="E1275" s="12" t="s">
        <v>5332</v>
      </c>
      <c r="F1275" s="12" t="s">
        <v>5328</v>
      </c>
      <c r="G1275" s="12" t="s">
        <v>7676</v>
      </c>
      <c r="H1275" s="12">
        <v>17635</v>
      </c>
    </row>
    <row r="1276" spans="1:8">
      <c r="A1276" s="12" t="s">
        <v>7677</v>
      </c>
      <c r="B1276" s="13">
        <v>2.33</v>
      </c>
      <c r="C1276" s="16" t="s">
        <v>5331</v>
      </c>
      <c r="D1276" s="12">
        <v>24.66</v>
      </c>
      <c r="E1276" s="12" t="s">
        <v>5332</v>
      </c>
      <c r="F1276" s="12" t="s">
        <v>5328</v>
      </c>
      <c r="G1276" s="12" t="s">
        <v>7678</v>
      </c>
      <c r="H1276" s="12">
        <v>17637</v>
      </c>
    </row>
    <row r="1277" spans="1:8">
      <c r="A1277" s="12" t="s">
        <v>7679</v>
      </c>
      <c r="B1277" s="13">
        <v>0</v>
      </c>
      <c r="C1277" s="16" t="s">
        <v>5331</v>
      </c>
      <c r="D1277" s="12">
        <v>31.35</v>
      </c>
      <c r="E1277" s="12" t="s">
        <v>5332</v>
      </c>
      <c r="F1277" s="12" t="s">
        <v>5328</v>
      </c>
      <c r="G1277" s="12" t="s">
        <v>7680</v>
      </c>
      <c r="H1277" s="12">
        <v>17639</v>
      </c>
    </row>
    <row r="1278" spans="1:8">
      <c r="A1278" s="12" t="s">
        <v>7681</v>
      </c>
      <c r="B1278" s="13">
        <v>5.82</v>
      </c>
      <c r="C1278" s="16" t="s">
        <v>5331</v>
      </c>
      <c r="D1278" s="12">
        <v>16.98</v>
      </c>
      <c r="E1278" s="12" t="s">
        <v>5332</v>
      </c>
      <c r="F1278" s="12" t="s">
        <v>5328</v>
      </c>
      <c r="G1278" s="12" t="s">
        <v>7682</v>
      </c>
      <c r="H1278" s="12">
        <v>17641</v>
      </c>
    </row>
    <row r="1279" spans="1:8">
      <c r="A1279" s="12" t="s">
        <v>7683</v>
      </c>
      <c r="B1279" s="13">
        <v>2.4500000000000002</v>
      </c>
      <c r="C1279" s="16" t="s">
        <v>5331</v>
      </c>
      <c r="D1279" s="12">
        <v>52.88</v>
      </c>
      <c r="E1279" s="12" t="s">
        <v>5332</v>
      </c>
      <c r="F1279" s="12" t="s">
        <v>5328</v>
      </c>
      <c r="G1279" s="12" t="s">
        <v>7684</v>
      </c>
      <c r="H1279" s="12">
        <v>17643</v>
      </c>
    </row>
    <row r="1280" spans="1:8">
      <c r="A1280" s="12" t="s">
        <v>7683</v>
      </c>
      <c r="B1280" s="13">
        <v>2.4500000000000002</v>
      </c>
      <c r="C1280" s="16" t="s">
        <v>5331</v>
      </c>
      <c r="D1280" s="12">
        <v>35.25</v>
      </c>
      <c r="E1280" s="12" t="s">
        <v>5332</v>
      </c>
      <c r="F1280" s="12" t="s">
        <v>5328</v>
      </c>
      <c r="G1280" s="12" t="s">
        <v>7684</v>
      </c>
      <c r="H1280" s="12">
        <v>17643</v>
      </c>
    </row>
    <row r="1281" spans="1:8">
      <c r="A1281" s="12" t="s">
        <v>7685</v>
      </c>
      <c r="B1281" s="13">
        <v>0</v>
      </c>
      <c r="C1281" s="16" t="s">
        <v>5331</v>
      </c>
      <c r="D1281" s="12">
        <v>24.18</v>
      </c>
      <c r="E1281" s="12" t="s">
        <v>5332</v>
      </c>
      <c r="F1281" s="12" t="s">
        <v>5328</v>
      </c>
      <c r="G1281" s="12" t="s">
        <v>7686</v>
      </c>
      <c r="H1281" s="12">
        <v>17645</v>
      </c>
    </row>
    <row r="1282" spans="1:8">
      <c r="A1282" s="12" t="s">
        <v>7687</v>
      </c>
      <c r="B1282" s="13">
        <v>0</v>
      </c>
      <c r="C1282" s="16" t="s">
        <v>5331</v>
      </c>
      <c r="D1282" s="12">
        <v>24.18</v>
      </c>
      <c r="E1282" s="12" t="s">
        <v>5332</v>
      </c>
      <c r="F1282" s="12" t="s">
        <v>5328</v>
      </c>
      <c r="G1282" s="12" t="s">
        <v>7688</v>
      </c>
      <c r="H1282" s="12">
        <v>17647</v>
      </c>
    </row>
    <row r="1283" spans="1:8">
      <c r="A1283" s="12" t="s">
        <v>7689</v>
      </c>
      <c r="B1283" s="13">
        <v>13.5</v>
      </c>
      <c r="C1283" s="16" t="s">
        <v>5331</v>
      </c>
      <c r="D1283" s="12">
        <v>38.79</v>
      </c>
      <c r="E1283" s="12" t="s">
        <v>5332</v>
      </c>
      <c r="F1283" s="12" t="s">
        <v>5328</v>
      </c>
      <c r="G1283" s="12" t="s">
        <v>7690</v>
      </c>
      <c r="H1283" s="12">
        <v>17649</v>
      </c>
    </row>
    <row r="1284" spans="1:8">
      <c r="A1284" s="12" t="s">
        <v>7691</v>
      </c>
      <c r="B1284" s="13">
        <v>2.35</v>
      </c>
      <c r="C1284" s="16" t="s">
        <v>5331</v>
      </c>
      <c r="D1284" s="12">
        <v>14.37</v>
      </c>
      <c r="E1284" s="12" t="s">
        <v>5332</v>
      </c>
      <c r="F1284" s="12" t="s">
        <v>5328</v>
      </c>
      <c r="G1284" s="12" t="s">
        <v>7692</v>
      </c>
      <c r="H1284" s="12">
        <v>17652</v>
      </c>
    </row>
    <row r="1285" spans="1:8">
      <c r="A1285" s="12" t="s">
        <v>7691</v>
      </c>
      <c r="B1285" s="13">
        <v>2.35</v>
      </c>
      <c r="C1285" s="16" t="s">
        <v>5331</v>
      </c>
      <c r="D1285" s="12">
        <v>9.58</v>
      </c>
      <c r="E1285" s="12" t="s">
        <v>5332</v>
      </c>
      <c r="F1285" s="12" t="s">
        <v>5328</v>
      </c>
      <c r="G1285" s="12" t="s">
        <v>7692</v>
      </c>
      <c r="H1285" s="12">
        <v>17652</v>
      </c>
    </row>
    <row r="1286" spans="1:8">
      <c r="A1286" s="12" t="s">
        <v>7693</v>
      </c>
      <c r="B1286" s="13">
        <v>6.12</v>
      </c>
      <c r="C1286" s="16" t="s">
        <v>5331</v>
      </c>
      <c r="D1286" s="12">
        <v>29.16</v>
      </c>
      <c r="E1286" s="12" t="s">
        <v>5332</v>
      </c>
      <c r="F1286" s="12" t="s">
        <v>5328</v>
      </c>
      <c r="G1286" s="12" t="s">
        <v>7694</v>
      </c>
      <c r="H1286" s="12">
        <v>17660</v>
      </c>
    </row>
    <row r="1287" spans="1:8">
      <c r="A1287" s="12" t="s">
        <v>7695</v>
      </c>
      <c r="B1287" s="13">
        <v>5.42</v>
      </c>
      <c r="C1287" s="16" t="s">
        <v>5331</v>
      </c>
      <c r="D1287" s="12">
        <v>29.16</v>
      </c>
      <c r="E1287" s="12" t="s">
        <v>5332</v>
      </c>
      <c r="F1287" s="12" t="s">
        <v>5328</v>
      </c>
      <c r="G1287" s="12" t="s">
        <v>7696</v>
      </c>
      <c r="H1287" s="12">
        <v>17661</v>
      </c>
    </row>
    <row r="1288" spans="1:8">
      <c r="A1288" s="12" t="s">
        <v>7697</v>
      </c>
      <c r="B1288" s="13">
        <v>4.2699999999999996</v>
      </c>
      <c r="C1288" s="16" t="s">
        <v>5331</v>
      </c>
      <c r="D1288" s="12">
        <v>6.95</v>
      </c>
      <c r="E1288" s="12" t="s">
        <v>5332</v>
      </c>
      <c r="F1288" s="12" t="s">
        <v>5328</v>
      </c>
      <c r="G1288" s="12" t="s">
        <v>7698</v>
      </c>
      <c r="H1288" s="12">
        <v>17663</v>
      </c>
    </row>
    <row r="1289" spans="1:8">
      <c r="A1289" s="12" t="s">
        <v>7699</v>
      </c>
      <c r="B1289" s="13">
        <v>4.17</v>
      </c>
      <c r="C1289" s="16" t="s">
        <v>5331</v>
      </c>
      <c r="D1289" s="12">
        <v>28.26</v>
      </c>
      <c r="E1289" s="12" t="s">
        <v>5332</v>
      </c>
      <c r="F1289" s="12" t="s">
        <v>5328</v>
      </c>
      <c r="G1289" s="12" t="s">
        <v>7700</v>
      </c>
      <c r="H1289" s="12">
        <v>17664</v>
      </c>
    </row>
    <row r="1290" spans="1:8">
      <c r="A1290" s="12" t="s">
        <v>7701</v>
      </c>
      <c r="B1290" s="13">
        <v>1.58</v>
      </c>
      <c r="C1290" s="16" t="s">
        <v>5331</v>
      </c>
      <c r="D1290" s="12">
        <v>82.7</v>
      </c>
      <c r="E1290" s="12" t="s">
        <v>5332</v>
      </c>
      <c r="F1290" s="12" t="s">
        <v>5328</v>
      </c>
      <c r="G1290" s="12" t="s">
        <v>7702</v>
      </c>
      <c r="H1290" s="12">
        <v>17666</v>
      </c>
    </row>
    <row r="1291" spans="1:8">
      <c r="A1291" s="12" t="s">
        <v>7701</v>
      </c>
      <c r="B1291" s="13">
        <v>1.58</v>
      </c>
      <c r="C1291" s="16" t="s">
        <v>5331</v>
      </c>
      <c r="D1291" s="12">
        <v>55.13</v>
      </c>
      <c r="E1291" s="12" t="s">
        <v>5332</v>
      </c>
      <c r="F1291" s="12" t="s">
        <v>5328</v>
      </c>
      <c r="G1291" s="12" t="s">
        <v>7702</v>
      </c>
      <c r="H1291" s="12">
        <v>17666</v>
      </c>
    </row>
    <row r="1292" spans="1:8">
      <c r="A1292" s="12" t="s">
        <v>7701</v>
      </c>
      <c r="B1292" s="13">
        <v>17.5</v>
      </c>
      <c r="C1292" s="16" t="s">
        <v>5331</v>
      </c>
      <c r="D1292" s="12">
        <v>52.5</v>
      </c>
      <c r="E1292" s="12" t="s">
        <v>5332</v>
      </c>
      <c r="F1292" s="12" t="s">
        <v>5328</v>
      </c>
      <c r="G1292" s="12" t="s">
        <v>7703</v>
      </c>
      <c r="H1292" s="12">
        <v>17665</v>
      </c>
    </row>
    <row r="1293" spans="1:8">
      <c r="A1293" s="12" t="s">
        <v>7704</v>
      </c>
      <c r="B1293" s="13">
        <v>2</v>
      </c>
      <c r="C1293" s="16" t="s">
        <v>5331</v>
      </c>
      <c r="D1293" s="12">
        <v>82.7</v>
      </c>
      <c r="E1293" s="12" t="s">
        <v>5332</v>
      </c>
      <c r="F1293" s="12" t="s">
        <v>5328</v>
      </c>
      <c r="G1293" s="12" t="s">
        <v>7705</v>
      </c>
      <c r="H1293" s="12">
        <v>17668</v>
      </c>
    </row>
    <row r="1294" spans="1:8">
      <c r="A1294" s="12" t="s">
        <v>7704</v>
      </c>
      <c r="B1294" s="13">
        <v>2</v>
      </c>
      <c r="C1294" s="16" t="s">
        <v>5331</v>
      </c>
      <c r="D1294" s="12">
        <v>55.13</v>
      </c>
      <c r="E1294" s="12" t="s">
        <v>5332</v>
      </c>
      <c r="F1294" s="12" t="s">
        <v>5328</v>
      </c>
      <c r="G1294" s="12" t="s">
        <v>7705</v>
      </c>
      <c r="H1294" s="12">
        <v>17668</v>
      </c>
    </row>
    <row r="1295" spans="1:8">
      <c r="A1295" s="12" t="s">
        <v>7704</v>
      </c>
      <c r="B1295" s="13">
        <v>17.5</v>
      </c>
      <c r="C1295" s="16" t="s">
        <v>5331</v>
      </c>
      <c r="D1295" s="12">
        <v>52.5</v>
      </c>
      <c r="E1295" s="12" t="s">
        <v>5332</v>
      </c>
      <c r="F1295" s="12" t="s">
        <v>5328</v>
      </c>
      <c r="G1295" s="12" t="s">
        <v>7706</v>
      </c>
      <c r="H1295" s="12">
        <v>17667</v>
      </c>
    </row>
    <row r="1296" spans="1:8">
      <c r="A1296" s="12" t="s">
        <v>7707</v>
      </c>
      <c r="B1296" s="13">
        <v>2.12</v>
      </c>
      <c r="C1296" s="16" t="s">
        <v>5331</v>
      </c>
      <c r="D1296" s="12">
        <v>9.33</v>
      </c>
      <c r="E1296" s="12" t="s">
        <v>5332</v>
      </c>
      <c r="F1296" s="12" t="s">
        <v>5328</v>
      </c>
      <c r="G1296" s="12" t="s">
        <v>7708</v>
      </c>
      <c r="H1296" s="12">
        <v>17670</v>
      </c>
    </row>
    <row r="1297" spans="1:8">
      <c r="A1297" s="12" t="s">
        <v>7707</v>
      </c>
      <c r="B1297" s="13">
        <v>17.5</v>
      </c>
      <c r="C1297" s="16" t="s">
        <v>5331</v>
      </c>
      <c r="D1297" s="12">
        <v>52.5</v>
      </c>
      <c r="E1297" s="12" t="s">
        <v>5332</v>
      </c>
      <c r="F1297" s="12" t="s">
        <v>5328</v>
      </c>
      <c r="G1297" s="12" t="s">
        <v>7709</v>
      </c>
      <c r="H1297" s="12">
        <v>17669</v>
      </c>
    </row>
    <row r="1298" spans="1:8">
      <c r="A1298" s="12" t="s">
        <v>7710</v>
      </c>
      <c r="B1298" s="13">
        <v>2.5299999999999998</v>
      </c>
      <c r="C1298" s="16" t="s">
        <v>5331</v>
      </c>
      <c r="D1298" s="12">
        <v>82.7</v>
      </c>
      <c r="E1298" s="12" t="s">
        <v>5332</v>
      </c>
      <c r="F1298" s="12" t="s">
        <v>5328</v>
      </c>
      <c r="G1298" s="12" t="s">
        <v>7711</v>
      </c>
      <c r="H1298" s="12">
        <v>17672</v>
      </c>
    </row>
    <row r="1299" spans="1:8">
      <c r="A1299" s="12" t="s">
        <v>7710</v>
      </c>
      <c r="B1299" s="13">
        <v>2.5299999999999998</v>
      </c>
      <c r="C1299" s="16" t="s">
        <v>5331</v>
      </c>
      <c r="D1299" s="12">
        <v>55.13</v>
      </c>
      <c r="E1299" s="12" t="s">
        <v>5332</v>
      </c>
      <c r="F1299" s="12" t="s">
        <v>5328</v>
      </c>
      <c r="G1299" s="12" t="s">
        <v>7711</v>
      </c>
      <c r="H1299" s="12">
        <v>17672</v>
      </c>
    </row>
    <row r="1300" spans="1:8">
      <c r="A1300" s="12" t="s">
        <v>7710</v>
      </c>
      <c r="B1300" s="13">
        <v>17.5</v>
      </c>
      <c r="C1300" s="16" t="s">
        <v>5331</v>
      </c>
      <c r="D1300" s="12">
        <v>52.5</v>
      </c>
      <c r="E1300" s="12" t="s">
        <v>5332</v>
      </c>
      <c r="F1300" s="12" t="s">
        <v>5328</v>
      </c>
      <c r="G1300" s="12" t="s">
        <v>7712</v>
      </c>
      <c r="H1300" s="12">
        <v>17671</v>
      </c>
    </row>
    <row r="1301" spans="1:8">
      <c r="A1301" s="12" t="s">
        <v>7713</v>
      </c>
      <c r="B1301" s="13">
        <v>2.92</v>
      </c>
      <c r="C1301" s="16" t="s">
        <v>5331</v>
      </c>
      <c r="D1301" s="12">
        <v>52.5</v>
      </c>
      <c r="E1301" s="12" t="s">
        <v>5332</v>
      </c>
      <c r="F1301" s="12" t="s">
        <v>5328</v>
      </c>
      <c r="G1301" s="12" t="s">
        <v>7714</v>
      </c>
      <c r="H1301" s="12">
        <v>17674</v>
      </c>
    </row>
    <row r="1302" spans="1:8">
      <c r="A1302" s="12" t="s">
        <v>7713</v>
      </c>
      <c r="B1302" s="13">
        <v>17.5</v>
      </c>
      <c r="C1302" s="16" t="s">
        <v>5331</v>
      </c>
      <c r="D1302" s="12">
        <v>52.5</v>
      </c>
      <c r="E1302" s="12" t="s">
        <v>5332</v>
      </c>
      <c r="F1302" s="12" t="s">
        <v>5328</v>
      </c>
      <c r="G1302" s="12" t="s">
        <v>7715</v>
      </c>
      <c r="H1302" s="12">
        <v>17673</v>
      </c>
    </row>
    <row r="1303" spans="1:8">
      <c r="A1303" s="12" t="s">
        <v>7716</v>
      </c>
      <c r="B1303" s="13">
        <v>2.97</v>
      </c>
      <c r="C1303" s="16" t="s">
        <v>5331</v>
      </c>
      <c r="D1303" s="12">
        <v>52.5</v>
      </c>
      <c r="E1303" s="12" t="s">
        <v>5332</v>
      </c>
      <c r="F1303" s="12" t="s">
        <v>5328</v>
      </c>
      <c r="G1303" s="12" t="s">
        <v>7717</v>
      </c>
      <c r="H1303" s="12">
        <v>17676</v>
      </c>
    </row>
    <row r="1304" spans="1:8">
      <c r="A1304" s="12" t="s">
        <v>7716</v>
      </c>
      <c r="B1304" s="13">
        <v>17.5</v>
      </c>
      <c r="C1304" s="16" t="s">
        <v>5331</v>
      </c>
      <c r="D1304" s="12">
        <v>52.5</v>
      </c>
      <c r="E1304" s="12" t="s">
        <v>5332</v>
      </c>
      <c r="F1304" s="12" t="s">
        <v>5328</v>
      </c>
      <c r="G1304" s="12" t="s">
        <v>7718</v>
      </c>
      <c r="H1304" s="12">
        <v>17675</v>
      </c>
    </row>
    <row r="1305" spans="1:8">
      <c r="A1305" s="12" t="s">
        <v>7719</v>
      </c>
      <c r="B1305" s="13">
        <v>7.52</v>
      </c>
      <c r="C1305" s="16" t="s">
        <v>5331</v>
      </c>
      <c r="D1305" s="12">
        <v>29.63</v>
      </c>
      <c r="E1305" s="12" t="s">
        <v>5332</v>
      </c>
      <c r="F1305" s="12" t="s">
        <v>5328</v>
      </c>
      <c r="G1305" s="12" t="s">
        <v>7720</v>
      </c>
      <c r="H1305" s="12">
        <v>17677</v>
      </c>
    </row>
    <row r="1306" spans="1:8">
      <c r="A1306" s="12" t="s">
        <v>7721</v>
      </c>
      <c r="B1306" s="13">
        <v>6.06</v>
      </c>
      <c r="C1306" s="16" t="s">
        <v>5331</v>
      </c>
      <c r="D1306" s="12">
        <v>30.38</v>
      </c>
      <c r="E1306" s="12" t="s">
        <v>5332</v>
      </c>
      <c r="F1306" s="12" t="s">
        <v>5328</v>
      </c>
      <c r="G1306" s="12" t="s">
        <v>7722</v>
      </c>
      <c r="H1306" s="12">
        <v>17678</v>
      </c>
    </row>
    <row r="1307" spans="1:8">
      <c r="A1307" s="12" t="s">
        <v>7723</v>
      </c>
      <c r="B1307" s="13">
        <v>2.06</v>
      </c>
      <c r="C1307" s="16" t="s">
        <v>5331</v>
      </c>
      <c r="D1307" s="12">
        <v>6.3120000000000003</v>
      </c>
      <c r="E1307" s="12" t="s">
        <v>5332</v>
      </c>
      <c r="F1307" s="12" t="s">
        <v>5328</v>
      </c>
      <c r="G1307" s="12" t="s">
        <v>7724</v>
      </c>
      <c r="H1307" s="12">
        <v>17679</v>
      </c>
    </row>
    <row r="1308" spans="1:8">
      <c r="A1308" s="12" t="s">
        <v>7725</v>
      </c>
      <c r="B1308" s="13">
        <v>13.88</v>
      </c>
      <c r="C1308" s="16" t="s">
        <v>5331</v>
      </c>
      <c r="D1308" s="12">
        <v>15.7</v>
      </c>
      <c r="E1308" s="12" t="s">
        <v>5332</v>
      </c>
      <c r="F1308" s="12" t="s">
        <v>5328</v>
      </c>
      <c r="G1308" s="12" t="s">
        <v>7726</v>
      </c>
      <c r="H1308" s="12">
        <v>18700</v>
      </c>
    </row>
    <row r="1309" spans="1:8">
      <c r="A1309" s="12" t="s">
        <v>7727</v>
      </c>
      <c r="B1309" s="13">
        <v>13.91</v>
      </c>
      <c r="C1309" s="16" t="s">
        <v>5331</v>
      </c>
      <c r="D1309" s="12">
        <v>16.8</v>
      </c>
      <c r="E1309" s="12" t="s">
        <v>5332</v>
      </c>
      <c r="F1309" s="12" t="s">
        <v>5328</v>
      </c>
      <c r="G1309" s="12" t="s">
        <v>7728</v>
      </c>
      <c r="H1309" s="12">
        <v>18701</v>
      </c>
    </row>
    <row r="1310" spans="1:8">
      <c r="A1310" s="12" t="s">
        <v>7729</v>
      </c>
      <c r="B1310" s="13">
        <v>14.04</v>
      </c>
      <c r="C1310" s="16" t="s">
        <v>5331</v>
      </c>
      <c r="D1310" s="12">
        <v>17.399999999999999</v>
      </c>
      <c r="E1310" s="12" t="s">
        <v>5332</v>
      </c>
      <c r="F1310" s="12" t="s">
        <v>5328</v>
      </c>
      <c r="G1310" s="12" t="s">
        <v>7730</v>
      </c>
      <c r="H1310" s="12">
        <v>18702</v>
      </c>
    </row>
    <row r="1311" spans="1:8">
      <c r="A1311" s="12" t="s">
        <v>7731</v>
      </c>
      <c r="B1311" s="13">
        <v>4.8499999999999996</v>
      </c>
      <c r="C1311" s="16" t="s">
        <v>5331</v>
      </c>
      <c r="D1311" s="12">
        <v>21.81</v>
      </c>
      <c r="E1311" s="12" t="s">
        <v>5332</v>
      </c>
      <c r="F1311" s="12" t="s">
        <v>5328</v>
      </c>
      <c r="G1311" s="12" t="s">
        <v>7732</v>
      </c>
      <c r="H1311" s="12">
        <v>17681</v>
      </c>
    </row>
    <row r="1312" spans="1:8">
      <c r="A1312" s="12" t="s">
        <v>7733</v>
      </c>
      <c r="B1312" s="13">
        <v>1.01</v>
      </c>
      <c r="C1312" s="16" t="s">
        <v>5331</v>
      </c>
      <c r="D1312" s="12">
        <v>4.7699999999999996</v>
      </c>
      <c r="E1312" s="12" t="s">
        <v>5332</v>
      </c>
      <c r="F1312" s="12" t="s">
        <v>5328</v>
      </c>
      <c r="G1312" s="12" t="s">
        <v>7734</v>
      </c>
      <c r="H1312" s="12">
        <v>17682</v>
      </c>
    </row>
    <row r="1313" spans="1:8">
      <c r="A1313" s="12" t="s">
        <v>7735</v>
      </c>
      <c r="B1313" s="13">
        <v>2.15</v>
      </c>
      <c r="C1313" s="16" t="s">
        <v>5331</v>
      </c>
      <c r="D1313" s="12">
        <v>6.45</v>
      </c>
      <c r="E1313" s="12" t="s">
        <v>5332</v>
      </c>
      <c r="F1313" s="12" t="s">
        <v>5328</v>
      </c>
      <c r="G1313" s="12" t="s">
        <v>7736</v>
      </c>
      <c r="H1313" s="12">
        <v>17683</v>
      </c>
    </row>
    <row r="1314" spans="1:8">
      <c r="A1314" s="12" t="s">
        <v>7737</v>
      </c>
      <c r="B1314" s="13">
        <v>4.7699999999999996</v>
      </c>
      <c r="C1314" s="16" t="s">
        <v>5331</v>
      </c>
      <c r="D1314" s="12">
        <v>24.05</v>
      </c>
      <c r="E1314" s="12" t="s">
        <v>5332</v>
      </c>
      <c r="F1314" s="12" t="s">
        <v>5328</v>
      </c>
      <c r="G1314" s="12" t="s">
        <v>7738</v>
      </c>
      <c r="H1314" s="12">
        <v>17684</v>
      </c>
    </row>
    <row r="1315" spans="1:8">
      <c r="A1315" s="12" t="s">
        <v>7739</v>
      </c>
      <c r="B1315" s="13">
        <v>3.64</v>
      </c>
      <c r="C1315" s="16" t="s">
        <v>5331</v>
      </c>
      <c r="D1315" s="12">
        <v>11.46</v>
      </c>
      <c r="E1315" s="12" t="s">
        <v>5332</v>
      </c>
      <c r="F1315" s="12" t="s">
        <v>5328</v>
      </c>
      <c r="G1315" s="12" t="s">
        <v>7740</v>
      </c>
      <c r="H1315" s="12">
        <v>17685</v>
      </c>
    </row>
    <row r="1316" spans="1:8">
      <c r="A1316" s="12" t="s">
        <v>7741</v>
      </c>
      <c r="B1316" s="13">
        <v>10.35</v>
      </c>
      <c r="C1316" s="16" t="s">
        <v>5331</v>
      </c>
      <c r="D1316" s="12">
        <v>17.3795</v>
      </c>
      <c r="E1316" s="12" t="s">
        <v>5332</v>
      </c>
      <c r="F1316" s="12" t="s">
        <v>5328</v>
      </c>
      <c r="G1316" s="12" t="s">
        <v>7742</v>
      </c>
      <c r="H1316" s="12">
        <v>18703</v>
      </c>
    </row>
    <row r="1317" spans="1:8">
      <c r="A1317" s="12" t="s">
        <v>7743</v>
      </c>
      <c r="B1317" s="13">
        <v>4.05</v>
      </c>
      <c r="C1317" s="16" t="s">
        <v>5331</v>
      </c>
      <c r="D1317" s="12">
        <v>25.05</v>
      </c>
      <c r="E1317" s="12" t="s">
        <v>5332</v>
      </c>
      <c r="F1317" s="12" t="s">
        <v>5328</v>
      </c>
      <c r="G1317" s="12" t="s">
        <v>7744</v>
      </c>
      <c r="H1317" s="12">
        <v>17686</v>
      </c>
    </row>
    <row r="1318" spans="1:8">
      <c r="A1318" s="12" t="s">
        <v>7745</v>
      </c>
      <c r="B1318" s="13">
        <v>3.21</v>
      </c>
      <c r="C1318" s="16" t="s">
        <v>5331</v>
      </c>
      <c r="D1318" s="12">
        <v>16.02</v>
      </c>
      <c r="E1318" s="12" t="s">
        <v>5332</v>
      </c>
      <c r="F1318" s="12" t="s">
        <v>5328</v>
      </c>
      <c r="G1318" s="12" t="s">
        <v>7746</v>
      </c>
      <c r="H1318" s="12">
        <v>17687</v>
      </c>
    </row>
    <row r="1319" spans="1:8">
      <c r="A1319" s="12" t="s">
        <v>7747</v>
      </c>
      <c r="B1319" s="13">
        <v>15.79</v>
      </c>
      <c r="C1319" s="16" t="s">
        <v>5331</v>
      </c>
      <c r="D1319" s="12">
        <v>17.100000000000001</v>
      </c>
      <c r="E1319" s="12" t="s">
        <v>5332</v>
      </c>
      <c r="F1319" s="12" t="s">
        <v>5328</v>
      </c>
      <c r="G1319" s="12" t="s">
        <v>7748</v>
      </c>
      <c r="H1319" s="12">
        <v>17689</v>
      </c>
    </row>
    <row r="1320" spans="1:8">
      <c r="A1320" s="12" t="s">
        <v>7749</v>
      </c>
      <c r="B1320" s="13">
        <v>6</v>
      </c>
      <c r="C1320" s="16" t="s">
        <v>5331</v>
      </c>
      <c r="D1320" s="12">
        <v>28.35</v>
      </c>
      <c r="E1320" s="12" t="s">
        <v>5332</v>
      </c>
      <c r="F1320" s="12" t="s">
        <v>5328</v>
      </c>
      <c r="G1320" s="12" t="s">
        <v>7750</v>
      </c>
      <c r="H1320" s="12">
        <v>17688</v>
      </c>
    </row>
    <row r="1321" spans="1:8">
      <c r="A1321" s="12" t="s">
        <v>7751</v>
      </c>
      <c r="B1321" s="13">
        <v>15.79</v>
      </c>
      <c r="C1321" s="16" t="s">
        <v>5331</v>
      </c>
      <c r="D1321" s="12">
        <v>17.760000000000002</v>
      </c>
      <c r="E1321" s="12" t="s">
        <v>5332</v>
      </c>
      <c r="F1321" s="12" t="s">
        <v>5328</v>
      </c>
      <c r="G1321" s="12" t="s">
        <v>7752</v>
      </c>
      <c r="H1321" s="12">
        <v>17691</v>
      </c>
    </row>
    <row r="1322" spans="1:8">
      <c r="A1322" s="12" t="s">
        <v>7753</v>
      </c>
      <c r="B1322" s="13">
        <v>6.23</v>
      </c>
      <c r="C1322" s="16" t="s">
        <v>5331</v>
      </c>
      <c r="D1322" s="12">
        <v>29.43</v>
      </c>
      <c r="E1322" s="12" t="s">
        <v>5332</v>
      </c>
      <c r="F1322" s="12" t="s">
        <v>5328</v>
      </c>
      <c r="G1322" s="12" t="s">
        <v>7754</v>
      </c>
      <c r="H1322" s="12">
        <v>17690</v>
      </c>
    </row>
    <row r="1323" spans="1:8">
      <c r="A1323" s="12" t="s">
        <v>7755</v>
      </c>
      <c r="B1323" s="13">
        <v>2.25</v>
      </c>
      <c r="C1323" s="16" t="s">
        <v>5331</v>
      </c>
      <c r="D1323" s="12">
        <v>6.5549999999999997</v>
      </c>
      <c r="E1323" s="12" t="s">
        <v>5332</v>
      </c>
      <c r="F1323" s="12" t="s">
        <v>5328</v>
      </c>
      <c r="G1323" s="12" t="s">
        <v>7756</v>
      </c>
      <c r="H1323" s="12">
        <v>17699</v>
      </c>
    </row>
    <row r="1324" spans="1:8">
      <c r="A1324" s="12" t="s">
        <v>7757</v>
      </c>
      <c r="B1324" s="13">
        <v>3.3</v>
      </c>
      <c r="C1324" s="16" t="s">
        <v>5331</v>
      </c>
      <c r="D1324" s="12">
        <v>8.3970000000000002</v>
      </c>
      <c r="E1324" s="12" t="s">
        <v>5332</v>
      </c>
      <c r="F1324" s="12" t="s">
        <v>5328</v>
      </c>
      <c r="G1324" s="12" t="s">
        <v>7758</v>
      </c>
      <c r="H1324" s="12">
        <v>17701</v>
      </c>
    </row>
    <row r="1325" spans="1:8">
      <c r="A1325" s="12" t="s">
        <v>7759</v>
      </c>
      <c r="B1325" s="13">
        <v>5.14</v>
      </c>
      <c r="C1325" s="16" t="s">
        <v>5331</v>
      </c>
      <c r="D1325" s="12">
        <v>13.917</v>
      </c>
      <c r="E1325" s="12" t="s">
        <v>5332</v>
      </c>
      <c r="F1325" s="12" t="s">
        <v>5328</v>
      </c>
      <c r="G1325" s="12" t="s">
        <v>7760</v>
      </c>
      <c r="H1325" s="12">
        <v>17703</v>
      </c>
    </row>
    <row r="1326" spans="1:8">
      <c r="A1326" s="12" t="s">
        <v>7761</v>
      </c>
      <c r="B1326" s="13">
        <v>4.8099999999999996</v>
      </c>
      <c r="C1326" s="16" t="s">
        <v>5331</v>
      </c>
      <c r="D1326" s="12">
        <v>14.721</v>
      </c>
      <c r="E1326" s="12" t="s">
        <v>5332</v>
      </c>
      <c r="F1326" s="12" t="s">
        <v>5328</v>
      </c>
      <c r="G1326" s="12" t="s">
        <v>7762</v>
      </c>
      <c r="H1326" s="12">
        <v>17705</v>
      </c>
    </row>
    <row r="1327" spans="1:8">
      <c r="A1327" s="12" t="s">
        <v>7763</v>
      </c>
      <c r="B1327" s="13">
        <v>5.21</v>
      </c>
      <c r="C1327" s="16" t="s">
        <v>5331</v>
      </c>
      <c r="D1327" s="12">
        <v>15.144</v>
      </c>
      <c r="E1327" s="12" t="s">
        <v>5332</v>
      </c>
      <c r="F1327" s="12" t="s">
        <v>5328</v>
      </c>
      <c r="G1327" s="12" t="s">
        <v>7764</v>
      </c>
      <c r="H1327" s="12">
        <v>17707</v>
      </c>
    </row>
    <row r="1328" spans="1:8">
      <c r="A1328" s="12" t="s">
        <v>7765</v>
      </c>
      <c r="B1328" s="13">
        <v>5.3</v>
      </c>
      <c r="C1328" s="16" t="s">
        <v>5331</v>
      </c>
      <c r="D1328" s="12">
        <v>15.417</v>
      </c>
      <c r="E1328" s="12" t="s">
        <v>5332</v>
      </c>
      <c r="F1328" s="12" t="s">
        <v>5328</v>
      </c>
      <c r="G1328" s="12" t="s">
        <v>7766</v>
      </c>
      <c r="H1328" s="12">
        <v>17709</v>
      </c>
    </row>
    <row r="1329" spans="1:8">
      <c r="A1329" s="12" t="s">
        <v>7767</v>
      </c>
      <c r="B1329" s="13">
        <v>4.4000000000000004</v>
      </c>
      <c r="C1329" s="16" t="s">
        <v>5331</v>
      </c>
      <c r="D1329" s="12">
        <v>12.42</v>
      </c>
      <c r="E1329" s="12" t="s">
        <v>5332</v>
      </c>
      <c r="F1329" s="12" t="s">
        <v>5328</v>
      </c>
      <c r="G1329" s="12" t="s">
        <v>7768</v>
      </c>
      <c r="H1329" s="12">
        <v>17710</v>
      </c>
    </row>
    <row r="1330" spans="1:8">
      <c r="A1330" s="12" t="s">
        <v>7769</v>
      </c>
      <c r="B1330" s="13">
        <v>3.4</v>
      </c>
      <c r="C1330" s="16" t="s">
        <v>5331</v>
      </c>
      <c r="D1330" s="12">
        <v>21.5</v>
      </c>
      <c r="E1330" s="12" t="s">
        <v>5332</v>
      </c>
      <c r="F1330" s="12" t="s">
        <v>5328</v>
      </c>
      <c r="G1330" s="12" t="s">
        <v>7770</v>
      </c>
      <c r="H1330" s="12">
        <v>17711</v>
      </c>
    </row>
    <row r="1331" spans="1:8">
      <c r="A1331" s="12" t="s">
        <v>7771</v>
      </c>
      <c r="B1331" s="13">
        <v>11.2</v>
      </c>
      <c r="C1331" s="16" t="s">
        <v>5331</v>
      </c>
      <c r="D1331" s="12">
        <v>67.010000000000005</v>
      </c>
      <c r="E1331" s="12" t="s">
        <v>5332</v>
      </c>
      <c r="F1331" s="12" t="s">
        <v>5328</v>
      </c>
      <c r="G1331" s="12" t="s">
        <v>7772</v>
      </c>
      <c r="H1331" s="12">
        <v>17712</v>
      </c>
    </row>
    <row r="1332" spans="1:8">
      <c r="A1332" s="12" t="s">
        <v>7773</v>
      </c>
      <c r="B1332" s="13">
        <v>10.3</v>
      </c>
      <c r="C1332" s="16" t="s">
        <v>5331</v>
      </c>
      <c r="D1332" s="12">
        <v>30.9</v>
      </c>
      <c r="E1332" s="12" t="s">
        <v>5332</v>
      </c>
      <c r="F1332" s="12" t="s">
        <v>5328</v>
      </c>
      <c r="G1332" s="12" t="s">
        <v>7774</v>
      </c>
      <c r="H1332" s="12">
        <v>17713</v>
      </c>
    </row>
    <row r="1333" spans="1:8">
      <c r="A1333" s="12" t="s">
        <v>7775</v>
      </c>
      <c r="B1333" s="13">
        <v>8.61</v>
      </c>
      <c r="C1333" s="16" t="s">
        <v>5331</v>
      </c>
      <c r="D1333" s="12">
        <v>30.9</v>
      </c>
      <c r="E1333" s="12" t="s">
        <v>5332</v>
      </c>
      <c r="F1333" s="12" t="s">
        <v>5328</v>
      </c>
      <c r="G1333" s="12" t="s">
        <v>7776</v>
      </c>
      <c r="H1333" s="12">
        <v>20683</v>
      </c>
    </row>
    <row r="1334" spans="1:8">
      <c r="A1334" s="12" t="s">
        <v>7777</v>
      </c>
      <c r="B1334" s="13">
        <v>3.74</v>
      </c>
      <c r="C1334" s="16" t="s">
        <v>5331</v>
      </c>
      <c r="D1334" s="12">
        <v>14.55</v>
      </c>
      <c r="E1334" s="12" t="s">
        <v>5332</v>
      </c>
      <c r="F1334" s="12" t="s">
        <v>5328</v>
      </c>
      <c r="G1334" s="12" t="s">
        <v>7778</v>
      </c>
      <c r="H1334" s="12">
        <v>17715</v>
      </c>
    </row>
    <row r="1335" spans="1:8">
      <c r="A1335" s="12" t="s">
        <v>7779</v>
      </c>
      <c r="B1335" s="13">
        <v>3.08</v>
      </c>
      <c r="C1335" s="16" t="s">
        <v>5331</v>
      </c>
      <c r="D1335" s="12">
        <v>30.6</v>
      </c>
      <c r="E1335" s="12" t="s">
        <v>5332</v>
      </c>
      <c r="F1335" s="12" t="s">
        <v>5328</v>
      </c>
      <c r="G1335" s="12" t="s">
        <v>7780</v>
      </c>
      <c r="H1335" s="12">
        <v>60258</v>
      </c>
    </row>
    <row r="1336" spans="1:8">
      <c r="A1336" s="12" t="s">
        <v>7781</v>
      </c>
      <c r="B1336" s="13">
        <v>56.2</v>
      </c>
      <c r="C1336" s="16" t="s">
        <v>5331</v>
      </c>
      <c r="D1336" s="12">
        <v>145.86000000000001</v>
      </c>
      <c r="E1336" s="12" t="s">
        <v>5332</v>
      </c>
      <c r="F1336" s="12" t="s">
        <v>5328</v>
      </c>
      <c r="G1336" s="12" t="s">
        <v>7782</v>
      </c>
      <c r="H1336" s="12">
        <v>78673</v>
      </c>
    </row>
    <row r="1337" spans="1:8">
      <c r="A1337" s="12" t="s">
        <v>7783</v>
      </c>
      <c r="B1337" s="13">
        <v>3.01</v>
      </c>
      <c r="C1337" s="16" t="s">
        <v>5331</v>
      </c>
      <c r="D1337" s="12">
        <v>20.64</v>
      </c>
      <c r="E1337" s="12" t="s">
        <v>5332</v>
      </c>
      <c r="F1337" s="12" t="s">
        <v>5328</v>
      </c>
      <c r="G1337" s="12" t="s">
        <v>7784</v>
      </c>
      <c r="H1337" s="12">
        <v>17717</v>
      </c>
    </row>
    <row r="1338" spans="1:8">
      <c r="A1338" s="12" t="s">
        <v>7785</v>
      </c>
      <c r="B1338" s="13">
        <v>2.86</v>
      </c>
      <c r="C1338" s="16" t="s">
        <v>5331</v>
      </c>
      <c r="D1338" s="12">
        <v>13.23</v>
      </c>
      <c r="E1338" s="12" t="s">
        <v>5332</v>
      </c>
      <c r="F1338" s="12" t="s">
        <v>5328</v>
      </c>
      <c r="G1338" s="12" t="s">
        <v>7786</v>
      </c>
      <c r="H1338" s="12">
        <v>17719</v>
      </c>
    </row>
    <row r="1339" spans="1:8">
      <c r="A1339" s="12" t="s">
        <v>7787</v>
      </c>
      <c r="B1339" s="13">
        <v>10.55</v>
      </c>
      <c r="C1339" s="16" t="s">
        <v>5331</v>
      </c>
      <c r="D1339" s="12">
        <v>43.41</v>
      </c>
      <c r="E1339" s="12" t="s">
        <v>5332</v>
      </c>
      <c r="F1339" s="12" t="s">
        <v>5328</v>
      </c>
      <c r="G1339" s="12" t="s">
        <v>7788</v>
      </c>
      <c r="H1339" s="12">
        <v>17721</v>
      </c>
    </row>
    <row r="1340" spans="1:8">
      <c r="A1340" s="12" t="s">
        <v>7789</v>
      </c>
      <c r="B1340" s="13">
        <v>15.18</v>
      </c>
      <c r="C1340" s="16" t="s">
        <v>5331</v>
      </c>
      <c r="D1340" s="12">
        <v>58.23</v>
      </c>
      <c r="E1340" s="12" t="s">
        <v>5332</v>
      </c>
      <c r="F1340" s="12" t="s">
        <v>5328</v>
      </c>
      <c r="G1340" s="12" t="s">
        <v>7790</v>
      </c>
      <c r="H1340" s="12">
        <v>17723</v>
      </c>
    </row>
    <row r="1341" spans="1:8">
      <c r="A1341" s="12" t="s">
        <v>7791</v>
      </c>
      <c r="B1341" s="13">
        <v>2.19</v>
      </c>
      <c r="C1341" s="16" t="s">
        <v>5331</v>
      </c>
      <c r="D1341" s="12">
        <v>6.69</v>
      </c>
      <c r="E1341" s="12" t="s">
        <v>5332</v>
      </c>
      <c r="F1341" s="12" t="s">
        <v>5328</v>
      </c>
      <c r="G1341" s="12" t="s">
        <v>7792</v>
      </c>
      <c r="H1341" s="12">
        <v>17724</v>
      </c>
    </row>
    <row r="1342" spans="1:8">
      <c r="A1342" s="12" t="s">
        <v>7793</v>
      </c>
      <c r="B1342" s="13">
        <v>6.79</v>
      </c>
      <c r="C1342" s="16" t="s">
        <v>5331</v>
      </c>
      <c r="D1342" s="12">
        <v>11.93</v>
      </c>
      <c r="E1342" s="12" t="s">
        <v>5332</v>
      </c>
      <c r="F1342" s="12" t="s">
        <v>5328</v>
      </c>
      <c r="G1342" s="12" t="s">
        <v>7794</v>
      </c>
      <c r="H1342" s="12">
        <v>17725</v>
      </c>
    </row>
    <row r="1343" spans="1:8">
      <c r="A1343" s="12" t="s">
        <v>7795</v>
      </c>
      <c r="B1343" s="13">
        <v>7.08</v>
      </c>
      <c r="C1343" s="16" t="s">
        <v>5331</v>
      </c>
      <c r="D1343" s="12">
        <v>23.82</v>
      </c>
      <c r="E1343" s="12" t="s">
        <v>5332</v>
      </c>
      <c r="F1343" s="12" t="s">
        <v>5328</v>
      </c>
      <c r="G1343" s="12" t="s">
        <v>7796</v>
      </c>
      <c r="H1343" s="12">
        <v>17728</v>
      </c>
    </row>
    <row r="1344" spans="1:8">
      <c r="A1344" s="12" t="s">
        <v>7797</v>
      </c>
      <c r="B1344" s="13">
        <v>5.38</v>
      </c>
      <c r="C1344" s="16" t="s">
        <v>5331</v>
      </c>
      <c r="D1344" s="12">
        <v>22.77</v>
      </c>
      <c r="E1344" s="12" t="s">
        <v>5332</v>
      </c>
      <c r="F1344" s="12" t="s">
        <v>5328</v>
      </c>
      <c r="G1344" s="12" t="s">
        <v>7798</v>
      </c>
      <c r="H1344" s="12">
        <v>17730</v>
      </c>
    </row>
    <row r="1345" spans="1:8">
      <c r="A1345" s="12" t="s">
        <v>7799</v>
      </c>
      <c r="B1345" s="13">
        <v>7.08</v>
      </c>
      <c r="C1345" s="16" t="s">
        <v>5331</v>
      </c>
      <c r="D1345" s="12">
        <v>11.13</v>
      </c>
      <c r="E1345" s="12" t="s">
        <v>5332</v>
      </c>
      <c r="F1345" s="12" t="s">
        <v>5328</v>
      </c>
      <c r="G1345" s="12" t="s">
        <v>7800</v>
      </c>
      <c r="H1345" s="12">
        <v>17732</v>
      </c>
    </row>
    <row r="1346" spans="1:8">
      <c r="A1346" s="12" t="s">
        <v>7801</v>
      </c>
      <c r="B1346" s="13">
        <v>3.53</v>
      </c>
      <c r="C1346" s="16" t="s">
        <v>5331</v>
      </c>
      <c r="D1346" s="12">
        <v>10.59</v>
      </c>
      <c r="E1346" s="12" t="s">
        <v>5332</v>
      </c>
      <c r="F1346" s="12" t="s">
        <v>5328</v>
      </c>
      <c r="G1346" s="12" t="s">
        <v>7802</v>
      </c>
      <c r="H1346" s="12">
        <v>17733</v>
      </c>
    </row>
    <row r="1347" spans="1:8">
      <c r="A1347" s="12" t="s">
        <v>7803</v>
      </c>
      <c r="B1347" s="13">
        <v>4.3899999999999997</v>
      </c>
      <c r="C1347" s="16" t="s">
        <v>5331</v>
      </c>
      <c r="D1347" s="12">
        <v>21.18</v>
      </c>
      <c r="E1347" s="12" t="s">
        <v>5332</v>
      </c>
      <c r="F1347" s="12" t="s">
        <v>5328</v>
      </c>
      <c r="G1347" s="12" t="s">
        <v>7804</v>
      </c>
      <c r="H1347" s="12">
        <v>17735</v>
      </c>
    </row>
    <row r="1348" spans="1:8">
      <c r="A1348" s="12" t="s">
        <v>7805</v>
      </c>
      <c r="B1348" s="13">
        <v>6.44</v>
      </c>
      <c r="C1348" s="16" t="s">
        <v>5331</v>
      </c>
      <c r="D1348" s="12">
        <v>21.72</v>
      </c>
      <c r="E1348" s="12" t="s">
        <v>5332</v>
      </c>
      <c r="F1348" s="12" t="s">
        <v>5328</v>
      </c>
      <c r="G1348" s="12" t="s">
        <v>7806</v>
      </c>
      <c r="H1348" s="12">
        <v>17736</v>
      </c>
    </row>
    <row r="1349" spans="1:8">
      <c r="A1349" s="12" t="s">
        <v>7807</v>
      </c>
      <c r="B1349" s="13">
        <v>4.87</v>
      </c>
      <c r="C1349" s="16" t="s">
        <v>5331</v>
      </c>
      <c r="D1349" s="12">
        <v>22.23</v>
      </c>
      <c r="E1349" s="12" t="s">
        <v>5332</v>
      </c>
      <c r="F1349" s="12" t="s">
        <v>5328</v>
      </c>
      <c r="G1349" s="12" t="s">
        <v>7808</v>
      </c>
      <c r="H1349" s="12">
        <v>17737</v>
      </c>
    </row>
    <row r="1350" spans="1:8">
      <c r="A1350" s="12" t="s">
        <v>7809</v>
      </c>
      <c r="B1350" s="13">
        <v>5.17</v>
      </c>
      <c r="C1350" s="16" t="s">
        <v>5331</v>
      </c>
      <c r="D1350" s="12">
        <v>21.72</v>
      </c>
      <c r="E1350" s="12" t="s">
        <v>5332</v>
      </c>
      <c r="F1350" s="12" t="s">
        <v>5328</v>
      </c>
      <c r="G1350" s="12" t="s">
        <v>7810</v>
      </c>
      <c r="H1350" s="12">
        <v>17738</v>
      </c>
    </row>
    <row r="1351" spans="1:8">
      <c r="A1351" s="12" t="s">
        <v>7811</v>
      </c>
      <c r="B1351" s="13">
        <v>0</v>
      </c>
      <c r="C1351" s="16" t="s">
        <v>5331</v>
      </c>
      <c r="D1351" s="12">
        <v>7.26</v>
      </c>
      <c r="E1351" s="12" t="s">
        <v>5332</v>
      </c>
      <c r="F1351" s="12" t="s">
        <v>5328</v>
      </c>
      <c r="G1351" s="12" t="s">
        <v>7812</v>
      </c>
      <c r="H1351" s="12">
        <v>17739</v>
      </c>
    </row>
    <row r="1352" spans="1:8">
      <c r="A1352" s="12" t="s">
        <v>7813</v>
      </c>
      <c r="B1352" s="13">
        <v>0.82</v>
      </c>
      <c r="C1352" s="16" t="s">
        <v>5331</v>
      </c>
      <c r="D1352" s="12">
        <v>7.86</v>
      </c>
      <c r="E1352" s="12" t="s">
        <v>5332</v>
      </c>
      <c r="F1352" s="12" t="s">
        <v>5328</v>
      </c>
      <c r="G1352" s="12" t="s">
        <v>7814</v>
      </c>
      <c r="H1352" s="12">
        <v>17740</v>
      </c>
    </row>
    <row r="1353" spans="1:8">
      <c r="A1353" s="12" t="s">
        <v>7815</v>
      </c>
      <c r="B1353" s="13">
        <v>2.59</v>
      </c>
      <c r="C1353" s="16" t="s">
        <v>5331</v>
      </c>
      <c r="D1353" s="12">
        <v>7.29</v>
      </c>
      <c r="E1353" s="12" t="s">
        <v>5332</v>
      </c>
      <c r="F1353" s="12" t="s">
        <v>5328</v>
      </c>
      <c r="G1353" s="12" t="s">
        <v>7816</v>
      </c>
      <c r="H1353" s="12">
        <v>17741</v>
      </c>
    </row>
    <row r="1354" spans="1:8">
      <c r="A1354" s="12" t="s">
        <v>7817</v>
      </c>
      <c r="B1354" s="13">
        <v>8.74</v>
      </c>
      <c r="C1354" s="16" t="s">
        <v>5331</v>
      </c>
      <c r="D1354" s="12">
        <v>12.09</v>
      </c>
      <c r="E1354" s="12" t="s">
        <v>5332</v>
      </c>
      <c r="F1354" s="12" t="s">
        <v>5328</v>
      </c>
      <c r="G1354" s="12" t="s">
        <v>7818</v>
      </c>
      <c r="H1354" s="12">
        <v>17742</v>
      </c>
    </row>
    <row r="1355" spans="1:8">
      <c r="A1355" s="12" t="s">
        <v>7817</v>
      </c>
      <c r="B1355" s="13">
        <v>8.74</v>
      </c>
      <c r="C1355" s="16" t="s">
        <v>5331</v>
      </c>
      <c r="D1355" s="12">
        <v>8.06</v>
      </c>
      <c r="E1355" s="12" t="s">
        <v>5332</v>
      </c>
      <c r="F1355" s="12" t="s">
        <v>5328</v>
      </c>
      <c r="G1355" s="12" t="s">
        <v>7818</v>
      </c>
      <c r="H1355" s="12">
        <v>17742</v>
      </c>
    </row>
    <row r="1356" spans="1:8">
      <c r="A1356" s="12" t="s">
        <v>7819</v>
      </c>
      <c r="B1356" s="13">
        <v>2.04</v>
      </c>
      <c r="C1356" s="16" t="s">
        <v>5331</v>
      </c>
      <c r="D1356" s="12">
        <v>6.258</v>
      </c>
      <c r="E1356" s="12" t="s">
        <v>5332</v>
      </c>
      <c r="F1356" s="12" t="s">
        <v>5328</v>
      </c>
      <c r="G1356" s="12" t="s">
        <v>7820</v>
      </c>
      <c r="H1356" s="12">
        <v>34127</v>
      </c>
    </row>
    <row r="1357" spans="1:8">
      <c r="A1357" s="12" t="s">
        <v>7821</v>
      </c>
      <c r="B1357" s="13">
        <v>8.94</v>
      </c>
      <c r="C1357" s="16" t="s">
        <v>5331</v>
      </c>
      <c r="D1357" s="12">
        <v>42.29</v>
      </c>
      <c r="E1357" s="12" t="s">
        <v>5332</v>
      </c>
      <c r="F1357" s="12" t="s">
        <v>5328</v>
      </c>
      <c r="G1357" s="12" t="s">
        <v>7822</v>
      </c>
      <c r="H1357" s="12">
        <v>34131</v>
      </c>
    </row>
    <row r="1358" spans="1:8">
      <c r="A1358" s="12" t="s">
        <v>7823</v>
      </c>
      <c r="B1358" s="13">
        <v>4.16</v>
      </c>
      <c r="C1358" s="16" t="s">
        <v>5331</v>
      </c>
      <c r="D1358" s="12">
        <v>43.19</v>
      </c>
      <c r="E1358" s="12" t="s">
        <v>5332</v>
      </c>
      <c r="F1358" s="12" t="s">
        <v>5328</v>
      </c>
      <c r="G1358" s="12" t="s">
        <v>7824</v>
      </c>
      <c r="H1358" s="12">
        <v>17745</v>
      </c>
    </row>
    <row r="1359" spans="1:8">
      <c r="A1359" s="12" t="s">
        <v>7823</v>
      </c>
      <c r="B1359" s="13">
        <v>4.16</v>
      </c>
      <c r="C1359" s="16" t="s">
        <v>5331</v>
      </c>
      <c r="D1359" s="12">
        <v>28.79</v>
      </c>
      <c r="E1359" s="12" t="s">
        <v>5332</v>
      </c>
      <c r="F1359" s="12" t="s">
        <v>5328</v>
      </c>
      <c r="G1359" s="12" t="s">
        <v>7824</v>
      </c>
      <c r="H1359" s="12">
        <v>17745</v>
      </c>
    </row>
    <row r="1360" spans="1:8">
      <c r="A1360" s="12" t="s">
        <v>7825</v>
      </c>
      <c r="B1360" s="13">
        <v>4.1900000000000004</v>
      </c>
      <c r="C1360" s="16" t="s">
        <v>5331</v>
      </c>
      <c r="D1360" s="12">
        <v>18.86</v>
      </c>
      <c r="E1360" s="12" t="s">
        <v>5332</v>
      </c>
      <c r="F1360" s="12" t="s">
        <v>5328</v>
      </c>
      <c r="G1360" s="12" t="s">
        <v>7826</v>
      </c>
      <c r="H1360" s="12">
        <v>17746</v>
      </c>
    </row>
    <row r="1361" spans="1:8">
      <c r="A1361" s="12" t="s">
        <v>7827</v>
      </c>
      <c r="B1361" s="13">
        <v>8.58</v>
      </c>
      <c r="C1361" s="16" t="s">
        <v>5331</v>
      </c>
      <c r="D1361" s="12">
        <v>37.94</v>
      </c>
      <c r="E1361" s="12" t="s">
        <v>5332</v>
      </c>
      <c r="F1361" s="12" t="s">
        <v>5328</v>
      </c>
      <c r="G1361" s="12" t="s">
        <v>7828</v>
      </c>
      <c r="H1361" s="12">
        <v>33802</v>
      </c>
    </row>
    <row r="1362" spans="1:8">
      <c r="A1362" s="12" t="s">
        <v>7829</v>
      </c>
      <c r="B1362" s="13">
        <v>31.49</v>
      </c>
      <c r="C1362" s="16" t="s">
        <v>5331</v>
      </c>
      <c r="D1362" s="12">
        <v>9.84</v>
      </c>
      <c r="E1362" s="12" t="s">
        <v>5332</v>
      </c>
      <c r="F1362" s="12" t="s">
        <v>5328</v>
      </c>
      <c r="G1362" s="12" t="s">
        <v>7830</v>
      </c>
      <c r="H1362" s="12">
        <v>46380</v>
      </c>
    </row>
    <row r="1363" spans="1:8">
      <c r="A1363" s="12" t="s">
        <v>7831</v>
      </c>
      <c r="B1363" s="13">
        <v>7.41</v>
      </c>
      <c r="C1363" s="16" t="s">
        <v>5331</v>
      </c>
      <c r="D1363" s="12">
        <v>23.3</v>
      </c>
      <c r="E1363" s="12" t="s">
        <v>5332</v>
      </c>
      <c r="F1363" s="12" t="s">
        <v>5328</v>
      </c>
      <c r="G1363" s="12" t="s">
        <v>7832</v>
      </c>
      <c r="H1363" s="12">
        <v>17748</v>
      </c>
    </row>
    <row r="1364" spans="1:8">
      <c r="A1364" s="12" t="s">
        <v>7831</v>
      </c>
      <c r="B1364" s="13">
        <v>7.41</v>
      </c>
      <c r="C1364" s="16" t="s">
        <v>5331</v>
      </c>
      <c r="D1364" s="12">
        <v>15.53</v>
      </c>
      <c r="E1364" s="12" t="s">
        <v>5332</v>
      </c>
      <c r="F1364" s="12" t="s">
        <v>5328</v>
      </c>
      <c r="G1364" s="12" t="s">
        <v>7832</v>
      </c>
      <c r="H1364" s="12">
        <v>17748</v>
      </c>
    </row>
    <row r="1365" spans="1:8">
      <c r="A1365" s="12" t="s">
        <v>7833</v>
      </c>
      <c r="B1365" s="13">
        <v>56.48</v>
      </c>
      <c r="C1365" s="16" t="s">
        <v>5331</v>
      </c>
      <c r="D1365" s="12">
        <v>110.66</v>
      </c>
      <c r="E1365" s="12" t="s">
        <v>5332</v>
      </c>
      <c r="F1365" s="12" t="s">
        <v>5328</v>
      </c>
      <c r="G1365" s="12" t="s">
        <v>7834</v>
      </c>
      <c r="H1365" s="12">
        <v>34656</v>
      </c>
    </row>
    <row r="1366" spans="1:8">
      <c r="A1366" s="12" t="s">
        <v>7835</v>
      </c>
      <c r="B1366" s="13">
        <v>15.58</v>
      </c>
      <c r="C1366" s="16" t="s">
        <v>5331</v>
      </c>
      <c r="D1366" s="12">
        <v>6.06</v>
      </c>
      <c r="E1366" s="12" t="s">
        <v>5332</v>
      </c>
      <c r="F1366" s="12" t="s">
        <v>5328</v>
      </c>
      <c r="G1366" s="12" t="s">
        <v>7836</v>
      </c>
      <c r="H1366" s="12">
        <v>46480</v>
      </c>
    </row>
    <row r="1367" spans="1:8">
      <c r="A1367" s="12" t="s">
        <v>7837</v>
      </c>
      <c r="B1367" s="13">
        <v>7.32</v>
      </c>
      <c r="C1367" s="16" t="s">
        <v>5331</v>
      </c>
      <c r="D1367" s="12">
        <v>26.09</v>
      </c>
      <c r="E1367" s="12" t="s">
        <v>5332</v>
      </c>
      <c r="F1367" s="12" t="s">
        <v>5328</v>
      </c>
      <c r="G1367" s="12" t="s">
        <v>7838</v>
      </c>
      <c r="H1367" s="12">
        <v>17751</v>
      </c>
    </row>
    <row r="1368" spans="1:8">
      <c r="A1368" s="12" t="s">
        <v>7839</v>
      </c>
      <c r="B1368" s="13">
        <v>3.32</v>
      </c>
      <c r="C1368" s="16" t="s">
        <v>5331</v>
      </c>
      <c r="D1368" s="12">
        <v>82.41</v>
      </c>
      <c r="E1368" s="12" t="s">
        <v>5332</v>
      </c>
      <c r="F1368" s="12" t="s">
        <v>5328</v>
      </c>
      <c r="G1368" s="12" t="s">
        <v>7840</v>
      </c>
      <c r="H1368" s="12">
        <v>17752</v>
      </c>
    </row>
    <row r="1369" spans="1:8">
      <c r="A1369" s="12" t="s">
        <v>7839</v>
      </c>
      <c r="B1369" s="13">
        <v>3.32</v>
      </c>
      <c r="C1369" s="16" t="s">
        <v>5331</v>
      </c>
      <c r="D1369" s="12">
        <v>54.94</v>
      </c>
      <c r="E1369" s="12" t="s">
        <v>5332</v>
      </c>
      <c r="F1369" s="12" t="s">
        <v>5328</v>
      </c>
      <c r="G1369" s="12" t="s">
        <v>7840</v>
      </c>
      <c r="H1369" s="12">
        <v>17752</v>
      </c>
    </row>
    <row r="1370" spans="1:8">
      <c r="A1370" s="12" t="s">
        <v>7841</v>
      </c>
      <c r="B1370" s="13">
        <v>3.14</v>
      </c>
      <c r="C1370" s="16" t="s">
        <v>5331</v>
      </c>
      <c r="D1370" s="12">
        <v>14.66</v>
      </c>
      <c r="E1370" s="12" t="s">
        <v>5332</v>
      </c>
      <c r="F1370" s="12" t="s">
        <v>5328</v>
      </c>
      <c r="G1370" s="12" t="s">
        <v>7842</v>
      </c>
      <c r="H1370" s="12">
        <v>17754</v>
      </c>
    </row>
    <row r="1371" spans="1:8">
      <c r="A1371" s="12" t="s">
        <v>7843</v>
      </c>
      <c r="B1371" s="13">
        <v>9.93</v>
      </c>
      <c r="C1371" s="16" t="s">
        <v>5331</v>
      </c>
      <c r="D1371" s="12">
        <v>19.71</v>
      </c>
      <c r="E1371" s="12" t="s">
        <v>5332</v>
      </c>
      <c r="F1371" s="12" t="s">
        <v>5328</v>
      </c>
      <c r="G1371" s="12" t="s">
        <v>7844</v>
      </c>
      <c r="H1371" s="12">
        <v>17755</v>
      </c>
    </row>
    <row r="1372" spans="1:8">
      <c r="A1372" s="12" t="s">
        <v>7845</v>
      </c>
      <c r="B1372" s="13">
        <v>4.3899999999999997</v>
      </c>
      <c r="C1372" s="16" t="s">
        <v>5331</v>
      </c>
      <c r="D1372" s="12">
        <v>13.04</v>
      </c>
      <c r="E1372" s="12" t="s">
        <v>5332</v>
      </c>
      <c r="F1372" s="12" t="s">
        <v>5328</v>
      </c>
      <c r="G1372" s="12" t="s">
        <v>7846</v>
      </c>
      <c r="H1372" s="12">
        <v>30685</v>
      </c>
    </row>
    <row r="1373" spans="1:8">
      <c r="A1373" s="12" t="s">
        <v>7847</v>
      </c>
      <c r="B1373" s="13">
        <v>4.51</v>
      </c>
      <c r="C1373" s="16" t="s">
        <v>5331</v>
      </c>
      <c r="D1373" s="12">
        <v>21.6</v>
      </c>
      <c r="E1373" s="12" t="s">
        <v>5332</v>
      </c>
      <c r="F1373" s="12" t="s">
        <v>5328</v>
      </c>
      <c r="G1373" s="12" t="s">
        <v>7848</v>
      </c>
      <c r="H1373" s="12">
        <v>30684</v>
      </c>
    </row>
    <row r="1374" spans="1:8">
      <c r="A1374" s="12" t="s">
        <v>7825</v>
      </c>
      <c r="B1374" s="13">
        <v>8.94</v>
      </c>
      <c r="C1374" s="16" t="s">
        <v>5331</v>
      </c>
      <c r="D1374" s="12">
        <v>22.35</v>
      </c>
      <c r="E1374" s="12" t="s">
        <v>5332</v>
      </c>
      <c r="F1374" s="12" t="s">
        <v>5328</v>
      </c>
      <c r="G1374" s="12" t="s">
        <v>7849</v>
      </c>
      <c r="H1374" s="12">
        <v>54461</v>
      </c>
    </row>
    <row r="1375" spans="1:8">
      <c r="A1375" s="12" t="s">
        <v>7850</v>
      </c>
      <c r="B1375" s="13">
        <v>10.67</v>
      </c>
      <c r="C1375" s="16" t="s">
        <v>5331</v>
      </c>
      <c r="D1375" s="12">
        <v>15.744</v>
      </c>
      <c r="E1375" s="12" t="s">
        <v>5332</v>
      </c>
      <c r="F1375" s="12" t="s">
        <v>5328</v>
      </c>
      <c r="G1375" s="12" t="s">
        <v>7851</v>
      </c>
      <c r="H1375" s="12">
        <v>54462</v>
      </c>
    </row>
    <row r="1376" spans="1:8">
      <c r="A1376" s="12" t="s">
        <v>7852</v>
      </c>
      <c r="B1376" s="13">
        <v>6.66</v>
      </c>
      <c r="C1376" s="16" t="s">
        <v>5331</v>
      </c>
      <c r="D1376" s="12">
        <v>20.22</v>
      </c>
      <c r="E1376" s="12" t="s">
        <v>5332</v>
      </c>
      <c r="F1376" s="12" t="s">
        <v>5328</v>
      </c>
      <c r="G1376" s="12" t="s">
        <v>7853</v>
      </c>
      <c r="H1376" s="12">
        <v>33478</v>
      </c>
    </row>
    <row r="1377" spans="1:8">
      <c r="A1377" s="12" t="s">
        <v>7854</v>
      </c>
      <c r="B1377" s="13">
        <v>6.4</v>
      </c>
      <c r="C1377" s="16" t="s">
        <v>5331</v>
      </c>
      <c r="D1377" s="12">
        <v>32.75</v>
      </c>
      <c r="E1377" s="12" t="s">
        <v>5332</v>
      </c>
      <c r="F1377" s="12" t="s">
        <v>5328</v>
      </c>
      <c r="G1377" s="12" t="s">
        <v>7855</v>
      </c>
      <c r="H1377" s="12">
        <v>30476</v>
      </c>
    </row>
    <row r="1378" spans="1:8">
      <c r="A1378" s="12" t="s">
        <v>7854</v>
      </c>
      <c r="B1378" s="13">
        <v>6.4</v>
      </c>
      <c r="C1378" s="16" t="s">
        <v>5331</v>
      </c>
      <c r="D1378" s="12">
        <v>21.83</v>
      </c>
      <c r="E1378" s="12" t="s">
        <v>5332</v>
      </c>
      <c r="F1378" s="12" t="s">
        <v>5328</v>
      </c>
      <c r="G1378" s="12" t="s">
        <v>7855</v>
      </c>
      <c r="H1378" s="12">
        <v>30476</v>
      </c>
    </row>
    <row r="1379" spans="1:8">
      <c r="A1379" s="12" t="s">
        <v>7856</v>
      </c>
      <c r="B1379" s="13">
        <v>21.2</v>
      </c>
      <c r="C1379" s="16" t="s">
        <v>5331</v>
      </c>
      <c r="D1379" s="12">
        <v>37.43</v>
      </c>
      <c r="E1379" s="12" t="s">
        <v>5332</v>
      </c>
      <c r="F1379" s="12" t="s">
        <v>5328</v>
      </c>
      <c r="G1379" s="12" t="s">
        <v>7857</v>
      </c>
      <c r="H1379" s="12">
        <v>30279</v>
      </c>
    </row>
    <row r="1380" spans="1:8">
      <c r="A1380" s="12" t="s">
        <v>7856</v>
      </c>
      <c r="B1380" s="13">
        <v>21.2</v>
      </c>
      <c r="C1380" s="16" t="s">
        <v>5331</v>
      </c>
      <c r="D1380" s="12">
        <v>24.95</v>
      </c>
      <c r="E1380" s="12" t="s">
        <v>5332</v>
      </c>
      <c r="F1380" s="12" t="s">
        <v>5328</v>
      </c>
      <c r="G1380" s="12" t="s">
        <v>7857</v>
      </c>
      <c r="H1380" s="12">
        <v>30279</v>
      </c>
    </row>
    <row r="1381" spans="1:8">
      <c r="A1381" s="12" t="s">
        <v>7858</v>
      </c>
      <c r="B1381" s="13">
        <v>23.08</v>
      </c>
      <c r="C1381" s="16" t="s">
        <v>5331</v>
      </c>
      <c r="D1381" s="12">
        <v>38.369999999999997</v>
      </c>
      <c r="E1381" s="12" t="s">
        <v>5332</v>
      </c>
      <c r="F1381" s="12" t="s">
        <v>5328</v>
      </c>
      <c r="G1381" s="12" t="s">
        <v>7859</v>
      </c>
      <c r="H1381" s="12">
        <v>30280</v>
      </c>
    </row>
    <row r="1382" spans="1:8">
      <c r="A1382" s="12" t="s">
        <v>7858</v>
      </c>
      <c r="B1382" s="13">
        <v>23.08</v>
      </c>
      <c r="C1382" s="16" t="s">
        <v>5331</v>
      </c>
      <c r="D1382" s="12">
        <v>25.58</v>
      </c>
      <c r="E1382" s="12" t="s">
        <v>5332</v>
      </c>
      <c r="F1382" s="12" t="s">
        <v>5328</v>
      </c>
      <c r="G1382" s="12" t="s">
        <v>7859</v>
      </c>
      <c r="H1382" s="12">
        <v>30280</v>
      </c>
    </row>
    <row r="1383" spans="1:8">
      <c r="A1383" s="12" t="s">
        <v>7860</v>
      </c>
      <c r="B1383" s="13">
        <v>23.61</v>
      </c>
      <c r="C1383" s="16" t="s">
        <v>5331</v>
      </c>
      <c r="D1383" s="12">
        <v>39.270000000000003</v>
      </c>
      <c r="E1383" s="12" t="s">
        <v>5332</v>
      </c>
      <c r="F1383" s="12" t="s">
        <v>5328</v>
      </c>
      <c r="G1383" s="12" t="s">
        <v>7861</v>
      </c>
      <c r="H1383" s="12">
        <v>30281</v>
      </c>
    </row>
    <row r="1384" spans="1:8">
      <c r="A1384" s="12" t="s">
        <v>7860</v>
      </c>
      <c r="B1384" s="13">
        <v>23.61</v>
      </c>
      <c r="C1384" s="16" t="s">
        <v>5331</v>
      </c>
      <c r="D1384" s="12">
        <v>26.18</v>
      </c>
      <c r="E1384" s="12" t="s">
        <v>5332</v>
      </c>
      <c r="F1384" s="12" t="s">
        <v>5328</v>
      </c>
      <c r="G1384" s="12" t="s">
        <v>7861</v>
      </c>
      <c r="H1384" s="12">
        <v>30281</v>
      </c>
    </row>
    <row r="1385" spans="1:8">
      <c r="A1385" s="12" t="s">
        <v>7862</v>
      </c>
      <c r="B1385" s="13">
        <v>24.18</v>
      </c>
      <c r="C1385" s="16" t="s">
        <v>5331</v>
      </c>
      <c r="D1385" s="12">
        <v>12.57</v>
      </c>
      <c r="E1385" s="12" t="s">
        <v>5332</v>
      </c>
      <c r="F1385" s="12" t="s">
        <v>5328</v>
      </c>
      <c r="G1385" s="12" t="s">
        <v>7863</v>
      </c>
      <c r="H1385" s="12">
        <v>30282</v>
      </c>
    </row>
    <row r="1386" spans="1:8">
      <c r="A1386" s="12" t="s">
        <v>7862</v>
      </c>
      <c r="B1386" s="13">
        <v>24.18</v>
      </c>
      <c r="C1386" s="16" t="s">
        <v>5331</v>
      </c>
      <c r="D1386" s="12">
        <v>8.3800000000000008</v>
      </c>
      <c r="E1386" s="12" t="s">
        <v>5332</v>
      </c>
      <c r="F1386" s="12" t="s">
        <v>5328</v>
      </c>
      <c r="G1386" s="12" t="s">
        <v>7863</v>
      </c>
      <c r="H1386" s="12">
        <v>30282</v>
      </c>
    </row>
    <row r="1387" spans="1:8">
      <c r="A1387" s="12" t="s">
        <v>7864</v>
      </c>
      <c r="B1387" s="13">
        <v>24.59</v>
      </c>
      <c r="C1387" s="16" t="s">
        <v>5331</v>
      </c>
      <c r="D1387" s="12">
        <v>76.08</v>
      </c>
      <c r="E1387" s="12" t="s">
        <v>5332</v>
      </c>
      <c r="F1387" s="12" t="s">
        <v>5328</v>
      </c>
      <c r="G1387" s="12" t="s">
        <v>7865</v>
      </c>
      <c r="H1387" s="12">
        <v>30283</v>
      </c>
    </row>
    <row r="1388" spans="1:8">
      <c r="A1388" s="12" t="s">
        <v>7864</v>
      </c>
      <c r="B1388" s="13">
        <v>24.59</v>
      </c>
      <c r="C1388" s="16" t="s">
        <v>5331</v>
      </c>
      <c r="D1388" s="12">
        <v>50.72</v>
      </c>
      <c r="E1388" s="12" t="s">
        <v>5332</v>
      </c>
      <c r="F1388" s="12" t="s">
        <v>5328</v>
      </c>
      <c r="G1388" s="12" t="s">
        <v>7865</v>
      </c>
      <c r="H1388" s="12">
        <v>30283</v>
      </c>
    </row>
    <row r="1389" spans="1:8">
      <c r="A1389" s="12" t="s">
        <v>7866</v>
      </c>
      <c r="B1389" s="13">
        <v>27.01</v>
      </c>
      <c r="C1389" s="16" t="s">
        <v>5331</v>
      </c>
      <c r="D1389" s="12">
        <v>48.62</v>
      </c>
      <c r="E1389" s="12" t="s">
        <v>5332</v>
      </c>
      <c r="F1389" s="12" t="s">
        <v>5328</v>
      </c>
      <c r="G1389" s="12" t="s">
        <v>7867</v>
      </c>
      <c r="H1389" s="12">
        <v>30284</v>
      </c>
    </row>
    <row r="1390" spans="1:8">
      <c r="A1390" s="12" t="s">
        <v>7866</v>
      </c>
      <c r="B1390" s="13">
        <v>27.01</v>
      </c>
      <c r="C1390" s="16" t="s">
        <v>5331</v>
      </c>
      <c r="D1390" s="12">
        <v>32.409999999999997</v>
      </c>
      <c r="E1390" s="12" t="s">
        <v>5332</v>
      </c>
      <c r="F1390" s="12" t="s">
        <v>5328</v>
      </c>
      <c r="G1390" s="12" t="s">
        <v>7867</v>
      </c>
      <c r="H1390" s="12">
        <v>30284</v>
      </c>
    </row>
    <row r="1391" spans="1:8">
      <c r="A1391" s="12" t="s">
        <v>7868</v>
      </c>
      <c r="B1391" s="13">
        <v>27.8</v>
      </c>
      <c r="C1391" s="16" t="s">
        <v>5331</v>
      </c>
      <c r="D1391" s="12">
        <v>97.58</v>
      </c>
      <c r="E1391" s="12" t="s">
        <v>5332</v>
      </c>
      <c r="F1391" s="12" t="s">
        <v>5328</v>
      </c>
      <c r="G1391" s="12" t="s">
        <v>7869</v>
      </c>
      <c r="H1391" s="12">
        <v>30285</v>
      </c>
    </row>
    <row r="1392" spans="1:8">
      <c r="A1392" s="12" t="s">
        <v>7868</v>
      </c>
      <c r="B1392" s="13">
        <v>27.8</v>
      </c>
      <c r="C1392" s="16" t="s">
        <v>5331</v>
      </c>
      <c r="D1392" s="12">
        <v>65.05</v>
      </c>
      <c r="E1392" s="12" t="s">
        <v>5332</v>
      </c>
      <c r="F1392" s="12" t="s">
        <v>5328</v>
      </c>
      <c r="G1392" s="12" t="s">
        <v>7869</v>
      </c>
      <c r="H1392" s="12">
        <v>30285</v>
      </c>
    </row>
    <row r="1393" spans="1:8">
      <c r="A1393" s="12" t="s">
        <v>7870</v>
      </c>
      <c r="B1393" s="13">
        <v>26.43</v>
      </c>
      <c r="C1393" s="16" t="s">
        <v>5331</v>
      </c>
      <c r="D1393" s="12">
        <v>94.04</v>
      </c>
      <c r="E1393" s="12" t="s">
        <v>5332</v>
      </c>
      <c r="F1393" s="12" t="s">
        <v>5328</v>
      </c>
      <c r="G1393" s="12" t="s">
        <v>7871</v>
      </c>
      <c r="H1393" s="12">
        <v>30286</v>
      </c>
    </row>
    <row r="1394" spans="1:8">
      <c r="A1394" s="12" t="s">
        <v>7870</v>
      </c>
      <c r="B1394" s="13">
        <v>26.43</v>
      </c>
      <c r="C1394" s="16" t="s">
        <v>5331</v>
      </c>
      <c r="D1394" s="12">
        <v>62.69</v>
      </c>
      <c r="E1394" s="12" t="s">
        <v>5332</v>
      </c>
      <c r="F1394" s="12" t="s">
        <v>5328</v>
      </c>
      <c r="G1394" s="12" t="s">
        <v>7871</v>
      </c>
      <c r="H1394" s="12">
        <v>30286</v>
      </c>
    </row>
    <row r="1395" spans="1:8">
      <c r="A1395" s="12" t="s">
        <v>7872</v>
      </c>
      <c r="B1395" s="13">
        <v>25.11</v>
      </c>
      <c r="C1395" s="16" t="s">
        <v>5331</v>
      </c>
      <c r="D1395" s="12">
        <v>94.74</v>
      </c>
      <c r="E1395" s="12" t="s">
        <v>5332</v>
      </c>
      <c r="F1395" s="12" t="s">
        <v>5328</v>
      </c>
      <c r="G1395" s="12" t="s">
        <v>7873</v>
      </c>
      <c r="H1395" s="12">
        <v>30287</v>
      </c>
    </row>
    <row r="1396" spans="1:8">
      <c r="A1396" s="12" t="s">
        <v>7872</v>
      </c>
      <c r="B1396" s="13">
        <v>25.11</v>
      </c>
      <c r="C1396" s="16" t="s">
        <v>5331</v>
      </c>
      <c r="D1396" s="12">
        <v>63.16</v>
      </c>
      <c r="E1396" s="12" t="s">
        <v>5332</v>
      </c>
      <c r="F1396" s="12" t="s">
        <v>5328</v>
      </c>
      <c r="G1396" s="12" t="s">
        <v>7873</v>
      </c>
      <c r="H1396" s="12">
        <v>30287</v>
      </c>
    </row>
    <row r="1397" spans="1:8">
      <c r="A1397" s="12" t="s">
        <v>7874</v>
      </c>
      <c r="B1397" s="13">
        <v>5.15</v>
      </c>
      <c r="C1397" s="16" t="s">
        <v>5331</v>
      </c>
      <c r="D1397" s="12">
        <v>7.28</v>
      </c>
      <c r="E1397" s="12" t="s">
        <v>5332</v>
      </c>
      <c r="F1397" s="12" t="s">
        <v>5328</v>
      </c>
      <c r="G1397" s="12" t="s">
        <v>7875</v>
      </c>
      <c r="H1397" s="12">
        <v>47432</v>
      </c>
    </row>
    <row r="1398" spans="1:8">
      <c r="A1398" s="12" t="s">
        <v>7876</v>
      </c>
      <c r="B1398" s="13">
        <v>13.58</v>
      </c>
      <c r="C1398" s="16" t="s">
        <v>5331</v>
      </c>
      <c r="D1398" s="12">
        <v>70.88</v>
      </c>
      <c r="E1398" s="12" t="s">
        <v>5332</v>
      </c>
      <c r="F1398" s="12" t="s">
        <v>5328</v>
      </c>
      <c r="G1398" s="12" t="s">
        <v>7877</v>
      </c>
      <c r="H1398" s="12">
        <v>113005</v>
      </c>
    </row>
    <row r="1399" spans="1:8">
      <c r="A1399" s="12" t="s">
        <v>7878</v>
      </c>
      <c r="B1399" s="13">
        <v>46.34</v>
      </c>
      <c r="C1399" s="16" t="s">
        <v>5331</v>
      </c>
      <c r="D1399" s="12">
        <v>236.25</v>
      </c>
      <c r="E1399" s="12" t="s">
        <v>5332</v>
      </c>
      <c r="F1399" s="12" t="s">
        <v>5328</v>
      </c>
      <c r="G1399" s="12" t="s">
        <v>7879</v>
      </c>
      <c r="H1399" s="12">
        <v>61653</v>
      </c>
    </row>
    <row r="1400" spans="1:8">
      <c r="A1400" s="12" t="s">
        <v>7880</v>
      </c>
      <c r="B1400" s="13">
        <v>13.49</v>
      </c>
      <c r="C1400" s="16" t="s">
        <v>5331</v>
      </c>
      <c r="D1400" s="12">
        <v>31.85</v>
      </c>
      <c r="E1400" s="12" t="s">
        <v>5332</v>
      </c>
      <c r="F1400" s="12" t="s">
        <v>5328</v>
      </c>
      <c r="G1400" s="12" t="s">
        <v>7881</v>
      </c>
      <c r="H1400" s="12">
        <v>49545</v>
      </c>
    </row>
    <row r="1401" spans="1:8">
      <c r="A1401" s="12" t="s">
        <v>7882</v>
      </c>
      <c r="B1401" s="13">
        <v>13.68</v>
      </c>
      <c r="C1401" s="16" t="s">
        <v>5331</v>
      </c>
      <c r="D1401" s="12">
        <v>12.05</v>
      </c>
      <c r="E1401" s="12" t="s">
        <v>5332</v>
      </c>
      <c r="F1401" s="12" t="s">
        <v>5328</v>
      </c>
      <c r="G1401" s="12" t="s">
        <v>7883</v>
      </c>
      <c r="H1401" s="12">
        <v>49546</v>
      </c>
    </row>
    <row r="1402" spans="1:8">
      <c r="A1402" s="12" t="s">
        <v>7884</v>
      </c>
      <c r="B1402" s="13">
        <v>13.78</v>
      </c>
      <c r="C1402" s="16" t="s">
        <v>5331</v>
      </c>
      <c r="D1402" s="12">
        <v>12.05</v>
      </c>
      <c r="E1402" s="12" t="s">
        <v>5332</v>
      </c>
      <c r="F1402" s="12" t="s">
        <v>5328</v>
      </c>
      <c r="G1402" s="12" t="s">
        <v>7885</v>
      </c>
      <c r="H1402" s="12">
        <v>49547</v>
      </c>
    </row>
    <row r="1403" spans="1:8">
      <c r="A1403" s="12" t="s">
        <v>7886</v>
      </c>
      <c r="B1403" s="13">
        <v>14.08</v>
      </c>
      <c r="C1403" s="16" t="s">
        <v>5331</v>
      </c>
      <c r="D1403" s="12">
        <v>12.62</v>
      </c>
      <c r="E1403" s="12" t="s">
        <v>5332</v>
      </c>
      <c r="F1403" s="12" t="s">
        <v>5328</v>
      </c>
      <c r="G1403" s="12" t="s">
        <v>7887</v>
      </c>
      <c r="H1403" s="12">
        <v>49548</v>
      </c>
    </row>
    <row r="1404" spans="1:8">
      <c r="A1404" s="12" t="s">
        <v>7888</v>
      </c>
      <c r="B1404" s="13">
        <v>14.24</v>
      </c>
      <c r="C1404" s="16" t="s">
        <v>5331</v>
      </c>
      <c r="D1404" s="12">
        <v>12.62</v>
      </c>
      <c r="E1404" s="12" t="s">
        <v>5332</v>
      </c>
      <c r="F1404" s="12" t="s">
        <v>5328</v>
      </c>
      <c r="G1404" s="12" t="s">
        <v>7889</v>
      </c>
      <c r="H1404" s="12">
        <v>49549</v>
      </c>
    </row>
    <row r="1405" spans="1:8">
      <c r="A1405" s="12" t="s">
        <v>7890</v>
      </c>
      <c r="B1405" s="13">
        <v>14.28</v>
      </c>
      <c r="C1405" s="16" t="s">
        <v>5331</v>
      </c>
      <c r="D1405" s="12">
        <v>12.81</v>
      </c>
      <c r="E1405" s="12" t="s">
        <v>5332</v>
      </c>
      <c r="F1405" s="12" t="s">
        <v>5328</v>
      </c>
      <c r="G1405" s="12" t="s">
        <v>7891</v>
      </c>
      <c r="H1405" s="12">
        <v>49550</v>
      </c>
    </row>
    <row r="1406" spans="1:8">
      <c r="A1406" s="12" t="s">
        <v>7892</v>
      </c>
      <c r="B1406" s="13">
        <v>14.41</v>
      </c>
      <c r="C1406" s="16" t="s">
        <v>5331</v>
      </c>
      <c r="D1406" s="12">
        <v>78.150000000000006</v>
      </c>
      <c r="E1406" s="12" t="s">
        <v>5332</v>
      </c>
      <c r="F1406" s="12" t="s">
        <v>5328</v>
      </c>
      <c r="G1406" s="12" t="s">
        <v>7893</v>
      </c>
      <c r="H1406" s="12">
        <v>49655</v>
      </c>
    </row>
    <row r="1407" spans="1:8">
      <c r="A1407" s="12" t="s">
        <v>7894</v>
      </c>
      <c r="B1407" s="13">
        <v>15.26</v>
      </c>
      <c r="C1407" s="16" t="s">
        <v>5331</v>
      </c>
      <c r="D1407" s="12">
        <v>82.08</v>
      </c>
      <c r="E1407" s="12" t="s">
        <v>5332</v>
      </c>
      <c r="F1407" s="12" t="s">
        <v>5328</v>
      </c>
      <c r="G1407" s="12" t="s">
        <v>7895</v>
      </c>
      <c r="H1407" s="12">
        <v>49656</v>
      </c>
    </row>
    <row r="1408" spans="1:8">
      <c r="A1408" s="12" t="s">
        <v>7896</v>
      </c>
      <c r="B1408" s="13">
        <v>15.5</v>
      </c>
      <c r="C1408" s="16" t="s">
        <v>5331</v>
      </c>
      <c r="D1408" s="12">
        <v>83.36</v>
      </c>
      <c r="E1408" s="12" t="s">
        <v>5332</v>
      </c>
      <c r="F1408" s="12" t="s">
        <v>5328</v>
      </c>
      <c r="G1408" s="12" t="s">
        <v>7897</v>
      </c>
      <c r="H1408" s="12">
        <v>49657</v>
      </c>
    </row>
    <row r="1409" spans="1:8">
      <c r="A1409" s="12" t="s">
        <v>7898</v>
      </c>
      <c r="B1409" s="13">
        <v>14.95</v>
      </c>
      <c r="C1409" s="16" t="s">
        <v>5331</v>
      </c>
      <c r="D1409" s="12">
        <v>81.14</v>
      </c>
      <c r="E1409" s="12" t="s">
        <v>5332</v>
      </c>
      <c r="F1409" s="12" t="s">
        <v>5328</v>
      </c>
      <c r="G1409" s="12" t="s">
        <v>7899</v>
      </c>
      <c r="H1409" s="12">
        <v>49658</v>
      </c>
    </row>
    <row r="1410" spans="1:8">
      <c r="A1410" s="12" t="s">
        <v>7900</v>
      </c>
      <c r="B1410" s="13">
        <v>15.06</v>
      </c>
      <c r="C1410" s="16" t="s">
        <v>5331</v>
      </c>
      <c r="D1410" s="12">
        <v>81.56</v>
      </c>
      <c r="E1410" s="12" t="s">
        <v>5332</v>
      </c>
      <c r="F1410" s="12" t="s">
        <v>5328</v>
      </c>
      <c r="G1410" s="12" t="s">
        <v>7901</v>
      </c>
      <c r="H1410" s="12">
        <v>49659</v>
      </c>
    </row>
    <row r="1411" spans="1:8">
      <c r="A1411" s="12" t="s">
        <v>7902</v>
      </c>
      <c r="B1411" s="13">
        <v>11.52</v>
      </c>
      <c r="C1411" s="16" t="s">
        <v>5331</v>
      </c>
      <c r="D1411" s="12">
        <v>145.86000000000001</v>
      </c>
      <c r="E1411" s="12" t="s">
        <v>5332</v>
      </c>
      <c r="F1411" s="12" t="s">
        <v>5328</v>
      </c>
      <c r="G1411" s="12" t="s">
        <v>7903</v>
      </c>
      <c r="H1411" s="12">
        <v>50860</v>
      </c>
    </row>
    <row r="1412" spans="1:8">
      <c r="A1412" s="12" t="s">
        <v>7904</v>
      </c>
      <c r="B1412" s="13">
        <v>12.83</v>
      </c>
      <c r="C1412" s="16" t="s">
        <v>5331</v>
      </c>
      <c r="D1412" s="12">
        <v>44.7</v>
      </c>
      <c r="E1412" s="12" t="s">
        <v>5332</v>
      </c>
      <c r="F1412" s="12" t="s">
        <v>5328</v>
      </c>
      <c r="G1412" s="12" t="s">
        <v>7905</v>
      </c>
      <c r="H1412" s="12">
        <v>72989</v>
      </c>
    </row>
    <row r="1413" spans="1:8">
      <c r="A1413" s="12" t="s">
        <v>7906</v>
      </c>
      <c r="B1413" s="13">
        <v>23.15</v>
      </c>
      <c r="C1413" s="16" t="s">
        <v>5331</v>
      </c>
      <c r="D1413" s="12">
        <v>35.909999999999997</v>
      </c>
      <c r="E1413" s="12" t="s">
        <v>5332</v>
      </c>
      <c r="F1413" s="12" t="s">
        <v>5328</v>
      </c>
      <c r="G1413" s="12" t="s">
        <v>7907</v>
      </c>
      <c r="H1413" s="12">
        <v>72990</v>
      </c>
    </row>
    <row r="1414" spans="1:8">
      <c r="A1414" s="12" t="s">
        <v>7908</v>
      </c>
      <c r="B1414" s="13">
        <v>13.27</v>
      </c>
      <c r="C1414" s="16" t="s">
        <v>5331</v>
      </c>
      <c r="D1414" s="12">
        <v>43.02</v>
      </c>
      <c r="E1414" s="12" t="s">
        <v>5332</v>
      </c>
      <c r="F1414" s="12" t="s">
        <v>5328</v>
      </c>
      <c r="G1414" s="12" t="s">
        <v>7909</v>
      </c>
      <c r="H1414" s="12">
        <v>72991</v>
      </c>
    </row>
    <row r="1415" spans="1:8">
      <c r="A1415" s="12" t="s">
        <v>7910</v>
      </c>
      <c r="B1415" s="13">
        <v>21.94</v>
      </c>
      <c r="C1415" s="16" t="s">
        <v>5331</v>
      </c>
      <c r="D1415" s="12">
        <v>66.3</v>
      </c>
      <c r="E1415" s="12" t="s">
        <v>5332</v>
      </c>
      <c r="F1415" s="12" t="s">
        <v>5328</v>
      </c>
      <c r="G1415" s="12" t="s">
        <v>7911</v>
      </c>
      <c r="H1415" s="12">
        <v>72992</v>
      </c>
    </row>
    <row r="1416" spans="1:8">
      <c r="A1416" s="12" t="s">
        <v>7912</v>
      </c>
      <c r="B1416" s="13">
        <v>28.25</v>
      </c>
      <c r="C1416" s="16" t="s">
        <v>5331</v>
      </c>
      <c r="D1416" s="12">
        <v>97.32</v>
      </c>
      <c r="E1416" s="12" t="s">
        <v>5332</v>
      </c>
      <c r="F1416" s="12" t="s">
        <v>5328</v>
      </c>
      <c r="G1416" s="12" t="s">
        <v>7913</v>
      </c>
      <c r="H1416" s="12">
        <v>72993</v>
      </c>
    </row>
    <row r="1417" spans="1:8">
      <c r="A1417" s="12" t="s">
        <v>7914</v>
      </c>
      <c r="B1417" s="13">
        <v>7.58</v>
      </c>
      <c r="C1417" s="16" t="s">
        <v>5331</v>
      </c>
      <c r="D1417" s="12">
        <v>23.82</v>
      </c>
      <c r="E1417" s="12" t="s">
        <v>5332</v>
      </c>
      <c r="F1417" s="12" t="s">
        <v>5328</v>
      </c>
      <c r="G1417" s="12" t="s">
        <v>7915</v>
      </c>
      <c r="H1417" s="12">
        <v>72994</v>
      </c>
    </row>
    <row r="1418" spans="1:8">
      <c r="A1418" s="12" t="s">
        <v>7916</v>
      </c>
      <c r="B1418" s="13">
        <v>18.39</v>
      </c>
      <c r="C1418" s="16" t="s">
        <v>5331</v>
      </c>
      <c r="D1418" s="12">
        <v>55.89</v>
      </c>
      <c r="E1418" s="12" t="s">
        <v>5332</v>
      </c>
      <c r="F1418" s="12" t="s">
        <v>5328</v>
      </c>
      <c r="G1418" s="12" t="s">
        <v>7917</v>
      </c>
      <c r="H1418" s="12">
        <v>72995</v>
      </c>
    </row>
    <row r="1419" spans="1:8">
      <c r="A1419" s="12" t="s">
        <v>7918</v>
      </c>
      <c r="B1419" s="13">
        <v>23.51</v>
      </c>
      <c r="C1419" s="16" t="s">
        <v>5331</v>
      </c>
      <c r="D1419" s="12">
        <v>55.89</v>
      </c>
      <c r="E1419" s="12" t="s">
        <v>5332</v>
      </c>
      <c r="F1419" s="12" t="s">
        <v>5328</v>
      </c>
      <c r="G1419" s="12" t="s">
        <v>7919</v>
      </c>
      <c r="H1419" s="12">
        <v>72996</v>
      </c>
    </row>
    <row r="1420" spans="1:8">
      <c r="A1420" s="12" t="s">
        <v>7920</v>
      </c>
      <c r="B1420" s="13">
        <v>3.95</v>
      </c>
      <c r="C1420" s="16" t="s">
        <v>5331</v>
      </c>
      <c r="D1420" s="12">
        <v>25.2</v>
      </c>
      <c r="E1420" s="12" t="s">
        <v>5332</v>
      </c>
      <c r="F1420" s="12" t="s">
        <v>5328</v>
      </c>
      <c r="G1420" s="12" t="s">
        <v>7921</v>
      </c>
      <c r="H1420" s="12">
        <v>53668</v>
      </c>
    </row>
    <row r="1421" spans="1:8">
      <c r="A1421" s="12" t="s">
        <v>7922</v>
      </c>
      <c r="B1421" s="13">
        <v>9.64</v>
      </c>
      <c r="C1421" s="16" t="s">
        <v>5331</v>
      </c>
      <c r="D1421" s="12">
        <v>31.32</v>
      </c>
      <c r="E1421" s="12" t="s">
        <v>5332</v>
      </c>
      <c r="F1421" s="12" t="s">
        <v>5328</v>
      </c>
      <c r="G1421" s="12" t="s">
        <v>7923</v>
      </c>
      <c r="H1421" s="12">
        <v>72997</v>
      </c>
    </row>
    <row r="1422" spans="1:8">
      <c r="A1422" s="12" t="s">
        <v>7924</v>
      </c>
      <c r="B1422" s="13">
        <v>19.329999999999998</v>
      </c>
      <c r="C1422" s="16" t="s">
        <v>5331</v>
      </c>
      <c r="D1422" s="12">
        <v>62.64</v>
      </c>
      <c r="E1422" s="12" t="s">
        <v>5332</v>
      </c>
      <c r="F1422" s="12" t="s">
        <v>5328</v>
      </c>
      <c r="G1422" s="12" t="s">
        <v>7925</v>
      </c>
      <c r="H1422" s="12">
        <v>72998</v>
      </c>
    </row>
    <row r="1423" spans="1:8">
      <c r="A1423" s="12" t="s">
        <v>7926</v>
      </c>
      <c r="B1423" s="13">
        <v>9.6</v>
      </c>
      <c r="C1423" s="16" t="s">
        <v>5331</v>
      </c>
      <c r="D1423" s="12">
        <v>28.41</v>
      </c>
      <c r="E1423" s="12" t="s">
        <v>5332</v>
      </c>
      <c r="F1423" s="12" t="s">
        <v>5328</v>
      </c>
      <c r="G1423" s="12" t="s">
        <v>7927</v>
      </c>
      <c r="H1423" s="12">
        <v>72999</v>
      </c>
    </row>
    <row r="1424" spans="1:8">
      <c r="A1424" s="12" t="s">
        <v>7928</v>
      </c>
      <c r="B1424" s="13">
        <v>20.05</v>
      </c>
      <c r="C1424" s="16" t="s">
        <v>5331</v>
      </c>
      <c r="D1424" s="12">
        <v>66.42</v>
      </c>
      <c r="E1424" s="12" t="s">
        <v>5332</v>
      </c>
      <c r="F1424" s="12" t="s">
        <v>5328</v>
      </c>
      <c r="G1424" s="12" t="s">
        <v>7929</v>
      </c>
      <c r="H1424" s="12">
        <v>73000</v>
      </c>
    </row>
    <row r="1425" spans="1:8">
      <c r="A1425" s="12" t="s">
        <v>7930</v>
      </c>
      <c r="B1425" s="13">
        <v>3.95</v>
      </c>
      <c r="C1425" s="16" t="s">
        <v>5331</v>
      </c>
      <c r="D1425" s="12">
        <v>23.4</v>
      </c>
      <c r="E1425" s="12" t="s">
        <v>5332</v>
      </c>
      <c r="F1425" s="12" t="s">
        <v>5328</v>
      </c>
      <c r="G1425" s="12" t="s">
        <v>7931</v>
      </c>
      <c r="H1425" s="12">
        <v>73001</v>
      </c>
    </row>
    <row r="1426" spans="1:8">
      <c r="A1426" s="12" t="s">
        <v>7932</v>
      </c>
      <c r="B1426" s="13">
        <v>14.27</v>
      </c>
      <c r="C1426" s="16" t="s">
        <v>5331</v>
      </c>
      <c r="D1426" s="12">
        <v>46.35</v>
      </c>
      <c r="E1426" s="12" t="s">
        <v>5332</v>
      </c>
      <c r="F1426" s="12" t="s">
        <v>5328</v>
      </c>
      <c r="G1426" s="12" t="s">
        <v>7933</v>
      </c>
      <c r="H1426" s="12">
        <v>73002</v>
      </c>
    </row>
    <row r="1427" spans="1:8">
      <c r="A1427" s="12" t="s">
        <v>7934</v>
      </c>
      <c r="B1427" s="13">
        <v>8.77</v>
      </c>
      <c r="C1427" s="16" t="s">
        <v>5331</v>
      </c>
      <c r="D1427" s="12">
        <v>29.25</v>
      </c>
      <c r="E1427" s="12" t="s">
        <v>5332</v>
      </c>
      <c r="F1427" s="12" t="s">
        <v>5328</v>
      </c>
      <c r="G1427" s="12" t="s">
        <v>7935</v>
      </c>
      <c r="H1427" s="12">
        <v>73003</v>
      </c>
    </row>
    <row r="1428" spans="1:8">
      <c r="A1428" s="12" t="s">
        <v>7936</v>
      </c>
      <c r="B1428" s="13">
        <v>24.7</v>
      </c>
      <c r="C1428" s="16" t="s">
        <v>5331</v>
      </c>
      <c r="D1428" s="12">
        <v>80.61</v>
      </c>
      <c r="E1428" s="12" t="s">
        <v>5332</v>
      </c>
      <c r="F1428" s="12" t="s">
        <v>5328</v>
      </c>
      <c r="G1428" s="12" t="s">
        <v>7937</v>
      </c>
      <c r="H1428" s="12">
        <v>73004</v>
      </c>
    </row>
    <row r="1429" spans="1:8">
      <c r="A1429" s="12" t="s">
        <v>7938</v>
      </c>
      <c r="B1429" s="13">
        <v>23.88</v>
      </c>
      <c r="C1429" s="16" t="s">
        <v>5331</v>
      </c>
      <c r="D1429" s="12">
        <v>56.4</v>
      </c>
      <c r="E1429" s="12" t="s">
        <v>5332</v>
      </c>
      <c r="F1429" s="12" t="s">
        <v>5328</v>
      </c>
      <c r="G1429" s="12" t="s">
        <v>7939</v>
      </c>
      <c r="H1429" s="12">
        <v>73005</v>
      </c>
    </row>
    <row r="1430" spans="1:8">
      <c r="A1430" s="12" t="s">
        <v>7940</v>
      </c>
      <c r="B1430" s="13">
        <v>6.97</v>
      </c>
      <c r="C1430" s="16" t="s">
        <v>5331</v>
      </c>
      <c r="D1430" s="12">
        <v>21.72</v>
      </c>
      <c r="E1430" s="12" t="s">
        <v>5332</v>
      </c>
      <c r="F1430" s="12" t="s">
        <v>5328</v>
      </c>
      <c r="G1430" s="12" t="s">
        <v>7941</v>
      </c>
      <c r="H1430" s="12">
        <v>73006</v>
      </c>
    </row>
    <row r="1431" spans="1:8">
      <c r="A1431" s="12" t="s">
        <v>7942</v>
      </c>
      <c r="B1431" s="13">
        <v>15.98</v>
      </c>
      <c r="C1431" s="16" t="s">
        <v>5331</v>
      </c>
      <c r="D1431" s="12">
        <v>52.2</v>
      </c>
      <c r="E1431" s="12" t="s">
        <v>5332</v>
      </c>
      <c r="F1431" s="12" t="s">
        <v>5328</v>
      </c>
      <c r="G1431" s="12" t="s">
        <v>7943</v>
      </c>
      <c r="H1431" s="12">
        <v>73007</v>
      </c>
    </row>
    <row r="1432" spans="1:8">
      <c r="A1432" s="12" t="s">
        <v>7944</v>
      </c>
      <c r="B1432" s="13">
        <v>7.04</v>
      </c>
      <c r="C1432" s="16" t="s">
        <v>5331</v>
      </c>
      <c r="D1432" s="12">
        <v>24.24</v>
      </c>
      <c r="E1432" s="12" t="s">
        <v>5332</v>
      </c>
      <c r="F1432" s="12" t="s">
        <v>5328</v>
      </c>
      <c r="G1432" s="12" t="s">
        <v>7945</v>
      </c>
      <c r="H1432" s="12">
        <v>73008</v>
      </c>
    </row>
    <row r="1433" spans="1:8">
      <c r="A1433" s="12" t="s">
        <v>7946</v>
      </c>
      <c r="B1433" s="13">
        <v>10.46</v>
      </c>
      <c r="C1433" s="16" t="s">
        <v>5331</v>
      </c>
      <c r="D1433" s="12">
        <v>36.33</v>
      </c>
      <c r="E1433" s="12" t="s">
        <v>5332</v>
      </c>
      <c r="F1433" s="12" t="s">
        <v>5328</v>
      </c>
      <c r="G1433" s="12" t="s">
        <v>7947</v>
      </c>
      <c r="H1433" s="12">
        <v>73009</v>
      </c>
    </row>
    <row r="1434" spans="1:8">
      <c r="A1434" s="12" t="s">
        <v>7948</v>
      </c>
      <c r="B1434" s="13">
        <v>4.3600000000000003</v>
      </c>
      <c r="C1434" s="16" t="s">
        <v>5331</v>
      </c>
      <c r="D1434" s="12">
        <v>14.22</v>
      </c>
      <c r="E1434" s="12" t="s">
        <v>5332</v>
      </c>
      <c r="F1434" s="12" t="s">
        <v>5328</v>
      </c>
      <c r="G1434" s="12" t="s">
        <v>7949</v>
      </c>
      <c r="H1434" s="12">
        <v>73010</v>
      </c>
    </row>
    <row r="1435" spans="1:8">
      <c r="A1435" s="12" t="s">
        <v>7950</v>
      </c>
      <c r="B1435" s="13">
        <v>9.9</v>
      </c>
      <c r="C1435" s="16" t="s">
        <v>5331</v>
      </c>
      <c r="D1435" s="12">
        <v>30.9</v>
      </c>
      <c r="E1435" s="12" t="s">
        <v>5332</v>
      </c>
      <c r="F1435" s="12" t="s">
        <v>5328</v>
      </c>
      <c r="G1435" s="12" t="s">
        <v>7951</v>
      </c>
      <c r="H1435" s="12">
        <v>73011</v>
      </c>
    </row>
    <row r="1436" spans="1:8">
      <c r="A1436" s="12" t="s">
        <v>7952</v>
      </c>
      <c r="B1436" s="13">
        <v>9.64</v>
      </c>
      <c r="C1436" s="16" t="s">
        <v>5331</v>
      </c>
      <c r="D1436" s="12">
        <v>46.98</v>
      </c>
      <c r="E1436" s="12" t="s">
        <v>5332</v>
      </c>
      <c r="F1436" s="12" t="s">
        <v>5328</v>
      </c>
      <c r="G1436" s="12" t="s">
        <v>7953</v>
      </c>
      <c r="H1436" s="12">
        <v>73012</v>
      </c>
    </row>
    <row r="1437" spans="1:8">
      <c r="A1437" s="12" t="s">
        <v>7954</v>
      </c>
      <c r="B1437" s="13">
        <v>3.71</v>
      </c>
      <c r="C1437" s="16" t="s">
        <v>5331</v>
      </c>
      <c r="D1437" s="12">
        <v>12.96</v>
      </c>
      <c r="E1437" s="12" t="s">
        <v>5332</v>
      </c>
      <c r="F1437" s="12" t="s">
        <v>5328</v>
      </c>
      <c r="G1437" s="12" t="s">
        <v>7955</v>
      </c>
      <c r="H1437" s="12">
        <v>73013</v>
      </c>
    </row>
    <row r="1438" spans="1:8">
      <c r="A1438" s="12" t="s">
        <v>7956</v>
      </c>
      <c r="B1438" s="13">
        <v>10.27</v>
      </c>
      <c r="C1438" s="16" t="s">
        <v>5331</v>
      </c>
      <c r="D1438" s="12">
        <v>45.54</v>
      </c>
      <c r="E1438" s="12" t="s">
        <v>5332</v>
      </c>
      <c r="F1438" s="12" t="s">
        <v>5328</v>
      </c>
      <c r="G1438" s="12" t="s">
        <v>7957</v>
      </c>
      <c r="H1438" s="12">
        <v>73015</v>
      </c>
    </row>
    <row r="1439" spans="1:8">
      <c r="A1439" s="12" t="s">
        <v>7958</v>
      </c>
      <c r="B1439" s="13">
        <v>17.239999999999998</v>
      </c>
      <c r="C1439" s="16" t="s">
        <v>5331</v>
      </c>
      <c r="D1439" s="12">
        <v>56.01</v>
      </c>
      <c r="E1439" s="12" t="s">
        <v>5332</v>
      </c>
      <c r="F1439" s="12" t="s">
        <v>5328</v>
      </c>
      <c r="G1439" s="12" t="s">
        <v>7959</v>
      </c>
      <c r="H1439" s="12">
        <v>73016</v>
      </c>
    </row>
    <row r="1440" spans="1:8">
      <c r="A1440" s="12" t="s">
        <v>7960</v>
      </c>
      <c r="B1440" s="13">
        <v>8.43</v>
      </c>
      <c r="C1440" s="16" t="s">
        <v>5331</v>
      </c>
      <c r="D1440" s="12">
        <v>27.15</v>
      </c>
      <c r="E1440" s="12" t="s">
        <v>5332</v>
      </c>
      <c r="F1440" s="12" t="s">
        <v>5328</v>
      </c>
      <c r="G1440" s="12" t="s">
        <v>7961</v>
      </c>
      <c r="H1440" s="12">
        <v>73017</v>
      </c>
    </row>
    <row r="1441" spans="1:8">
      <c r="A1441" s="12" t="s">
        <v>7962</v>
      </c>
      <c r="B1441" s="13">
        <v>7.15</v>
      </c>
      <c r="C1441" s="16" t="s">
        <v>5331</v>
      </c>
      <c r="D1441" s="12">
        <v>29.63</v>
      </c>
      <c r="E1441" s="12" t="s">
        <v>5332</v>
      </c>
      <c r="F1441" s="12" t="s">
        <v>5328</v>
      </c>
      <c r="G1441" s="12" t="s">
        <v>7963</v>
      </c>
      <c r="H1441" s="12">
        <v>88950</v>
      </c>
    </row>
    <row r="1442" spans="1:8">
      <c r="A1442" s="12" t="s">
        <v>7964</v>
      </c>
      <c r="B1442" s="13">
        <v>7.55</v>
      </c>
      <c r="C1442" s="16" t="s">
        <v>5331</v>
      </c>
      <c r="D1442" s="12">
        <v>18.809999999999999</v>
      </c>
      <c r="E1442" s="12" t="s">
        <v>5332</v>
      </c>
      <c r="F1442" s="12" t="s">
        <v>5328</v>
      </c>
      <c r="G1442" s="12" t="s">
        <v>7965</v>
      </c>
      <c r="H1442" s="12">
        <v>73018</v>
      </c>
    </row>
    <row r="1443" spans="1:8">
      <c r="A1443" s="12" t="s">
        <v>7966</v>
      </c>
      <c r="B1443" s="13">
        <v>6.83</v>
      </c>
      <c r="C1443" s="16" t="s">
        <v>5331</v>
      </c>
      <c r="D1443" s="12">
        <v>22.98</v>
      </c>
      <c r="E1443" s="12" t="s">
        <v>5332</v>
      </c>
      <c r="F1443" s="12" t="s">
        <v>5328</v>
      </c>
      <c r="G1443" s="12" t="s">
        <v>7967</v>
      </c>
      <c r="H1443" s="12">
        <v>73019</v>
      </c>
    </row>
    <row r="1444" spans="1:8">
      <c r="A1444" s="12" t="s">
        <v>7968</v>
      </c>
      <c r="B1444" s="13">
        <v>6.28</v>
      </c>
      <c r="C1444" s="16" t="s">
        <v>5331</v>
      </c>
      <c r="D1444" s="12">
        <v>22.05</v>
      </c>
      <c r="E1444" s="12" t="s">
        <v>5332</v>
      </c>
      <c r="F1444" s="12" t="s">
        <v>5328</v>
      </c>
      <c r="G1444" s="12" t="s">
        <v>7969</v>
      </c>
      <c r="H1444" s="12">
        <v>73024</v>
      </c>
    </row>
    <row r="1445" spans="1:8">
      <c r="A1445" s="12" t="s">
        <v>7970</v>
      </c>
      <c r="B1445" s="13">
        <v>6.95</v>
      </c>
      <c r="C1445" s="16" t="s">
        <v>5331</v>
      </c>
      <c r="D1445" s="12">
        <v>25.05</v>
      </c>
      <c r="E1445" s="12" t="s">
        <v>5332</v>
      </c>
      <c r="F1445" s="12" t="s">
        <v>5328</v>
      </c>
      <c r="G1445" s="12" t="s">
        <v>7971</v>
      </c>
      <c r="H1445" s="12">
        <v>73025</v>
      </c>
    </row>
    <row r="1446" spans="1:8">
      <c r="A1446" s="12" t="s">
        <v>7972</v>
      </c>
      <c r="B1446" s="13">
        <v>23.85</v>
      </c>
      <c r="C1446" s="16" t="s">
        <v>5331</v>
      </c>
      <c r="D1446" s="12">
        <v>77.28</v>
      </c>
      <c r="E1446" s="12" t="s">
        <v>5332</v>
      </c>
      <c r="F1446" s="12" t="s">
        <v>5328</v>
      </c>
      <c r="G1446" s="12" t="s">
        <v>7973</v>
      </c>
      <c r="H1446" s="12">
        <v>73026</v>
      </c>
    </row>
    <row r="1447" spans="1:8">
      <c r="A1447" s="12" t="s">
        <v>7974</v>
      </c>
      <c r="B1447" s="13">
        <v>13.5</v>
      </c>
      <c r="C1447" s="16" t="s">
        <v>5331</v>
      </c>
      <c r="D1447" s="12">
        <v>43.86</v>
      </c>
      <c r="E1447" s="12" t="s">
        <v>5332</v>
      </c>
      <c r="F1447" s="12" t="s">
        <v>5328</v>
      </c>
      <c r="G1447" s="12" t="s">
        <v>7975</v>
      </c>
      <c r="H1447" s="12">
        <v>73029</v>
      </c>
    </row>
    <row r="1448" spans="1:8">
      <c r="A1448" s="12" t="s">
        <v>7976</v>
      </c>
      <c r="B1448" s="13">
        <v>9.39</v>
      </c>
      <c r="C1448" s="16" t="s">
        <v>5331</v>
      </c>
      <c r="D1448" s="12">
        <v>37.520000000000003</v>
      </c>
      <c r="E1448" s="12" t="s">
        <v>5332</v>
      </c>
      <c r="F1448" s="12" t="s">
        <v>5328</v>
      </c>
      <c r="G1448" s="12" t="s">
        <v>7977</v>
      </c>
      <c r="H1448" s="12">
        <v>73030</v>
      </c>
    </row>
    <row r="1449" spans="1:8">
      <c r="A1449" s="12" t="s">
        <v>7978</v>
      </c>
      <c r="B1449" s="13">
        <v>12.73</v>
      </c>
      <c r="C1449" s="16" t="s">
        <v>5331</v>
      </c>
      <c r="D1449" s="12">
        <v>41.34</v>
      </c>
      <c r="E1449" s="12" t="s">
        <v>5332</v>
      </c>
      <c r="F1449" s="12" t="s">
        <v>5328</v>
      </c>
      <c r="G1449" s="12" t="s">
        <v>7979</v>
      </c>
      <c r="H1449" s="12">
        <v>73031</v>
      </c>
    </row>
    <row r="1450" spans="1:8">
      <c r="A1450" s="12" t="s">
        <v>7980</v>
      </c>
      <c r="B1450" s="13">
        <v>11.55</v>
      </c>
      <c r="C1450" s="16" t="s">
        <v>5331</v>
      </c>
      <c r="D1450" s="12">
        <v>24.24</v>
      </c>
      <c r="E1450" s="12" t="s">
        <v>5332</v>
      </c>
      <c r="F1450" s="12" t="s">
        <v>5328</v>
      </c>
      <c r="G1450" s="12" t="s">
        <v>7981</v>
      </c>
      <c r="H1450" s="12">
        <v>73032</v>
      </c>
    </row>
    <row r="1451" spans="1:8">
      <c r="A1451" s="12" t="s">
        <v>7982</v>
      </c>
      <c r="B1451" s="13">
        <v>10.029999999999999</v>
      </c>
      <c r="C1451" s="16" t="s">
        <v>5331</v>
      </c>
      <c r="D1451" s="12">
        <v>34.26</v>
      </c>
      <c r="E1451" s="12" t="s">
        <v>5332</v>
      </c>
      <c r="F1451" s="12" t="s">
        <v>5328</v>
      </c>
      <c r="G1451" s="12" t="s">
        <v>7983</v>
      </c>
      <c r="H1451" s="12">
        <v>73033</v>
      </c>
    </row>
    <row r="1452" spans="1:8">
      <c r="A1452" s="12" t="s">
        <v>7984</v>
      </c>
      <c r="B1452" s="13">
        <v>22.47</v>
      </c>
      <c r="C1452" s="16" t="s">
        <v>5331</v>
      </c>
      <c r="D1452" s="12">
        <v>68.099999999999994</v>
      </c>
      <c r="E1452" s="12" t="s">
        <v>5332</v>
      </c>
      <c r="F1452" s="12" t="s">
        <v>5328</v>
      </c>
      <c r="G1452" s="12" t="s">
        <v>7985</v>
      </c>
      <c r="H1452" s="12">
        <v>73034</v>
      </c>
    </row>
    <row r="1453" spans="1:8">
      <c r="A1453" s="12" t="s">
        <v>7986</v>
      </c>
      <c r="B1453" s="13">
        <v>16.46</v>
      </c>
      <c r="C1453" s="16" t="s">
        <v>5331</v>
      </c>
      <c r="D1453" s="12">
        <v>53.46</v>
      </c>
      <c r="E1453" s="12" t="s">
        <v>5332</v>
      </c>
      <c r="F1453" s="12" t="s">
        <v>5328</v>
      </c>
      <c r="G1453" s="12" t="s">
        <v>7987</v>
      </c>
      <c r="H1453" s="12">
        <v>73035</v>
      </c>
    </row>
    <row r="1454" spans="1:8">
      <c r="A1454" s="12" t="s">
        <v>7988</v>
      </c>
      <c r="B1454" s="13">
        <v>15.91</v>
      </c>
      <c r="C1454" s="16" t="s">
        <v>5331</v>
      </c>
      <c r="D1454" s="12">
        <v>57.42</v>
      </c>
      <c r="E1454" s="12" t="s">
        <v>5332</v>
      </c>
      <c r="F1454" s="12" t="s">
        <v>5328</v>
      </c>
      <c r="G1454" s="12" t="s">
        <v>7989</v>
      </c>
      <c r="H1454" s="12">
        <v>73037</v>
      </c>
    </row>
    <row r="1455" spans="1:8">
      <c r="A1455" s="12" t="s">
        <v>7990</v>
      </c>
      <c r="B1455" s="13">
        <v>7.62</v>
      </c>
      <c r="C1455" s="16" t="s">
        <v>5331</v>
      </c>
      <c r="D1455" s="12">
        <v>26.64</v>
      </c>
      <c r="E1455" s="12" t="s">
        <v>5332</v>
      </c>
      <c r="F1455" s="12" t="s">
        <v>5328</v>
      </c>
      <c r="G1455" s="12" t="s">
        <v>7991</v>
      </c>
      <c r="H1455" s="12">
        <v>73039</v>
      </c>
    </row>
    <row r="1456" spans="1:8">
      <c r="A1456" s="12" t="s">
        <v>7992</v>
      </c>
      <c r="B1456" s="13">
        <v>6.99</v>
      </c>
      <c r="C1456" s="16" t="s">
        <v>5331</v>
      </c>
      <c r="D1456" s="12">
        <v>34.92</v>
      </c>
      <c r="E1456" s="12" t="s">
        <v>5332</v>
      </c>
      <c r="F1456" s="12" t="s">
        <v>5328</v>
      </c>
      <c r="G1456" s="12" t="s">
        <v>7993</v>
      </c>
      <c r="H1456" s="12">
        <v>73040</v>
      </c>
    </row>
    <row r="1457" spans="1:8">
      <c r="A1457" s="12" t="s">
        <v>7994</v>
      </c>
      <c r="B1457" s="13">
        <v>8.7200000000000006</v>
      </c>
      <c r="C1457" s="16" t="s">
        <v>5331</v>
      </c>
      <c r="D1457" s="12">
        <v>29.85</v>
      </c>
      <c r="E1457" s="12" t="s">
        <v>5332</v>
      </c>
      <c r="F1457" s="12" t="s">
        <v>5328</v>
      </c>
      <c r="G1457" s="12" t="s">
        <v>7995</v>
      </c>
      <c r="H1457" s="12">
        <v>73041</v>
      </c>
    </row>
    <row r="1458" spans="1:8">
      <c r="A1458" s="12" t="s">
        <v>7996</v>
      </c>
      <c r="B1458" s="13">
        <v>10.64</v>
      </c>
      <c r="C1458" s="16" t="s">
        <v>5331</v>
      </c>
      <c r="D1458" s="12">
        <v>34.56</v>
      </c>
      <c r="E1458" s="12" t="s">
        <v>5332</v>
      </c>
      <c r="F1458" s="12" t="s">
        <v>5328</v>
      </c>
      <c r="G1458" s="12" t="s">
        <v>7997</v>
      </c>
      <c r="H1458" s="12">
        <v>73042</v>
      </c>
    </row>
    <row r="1459" spans="1:8">
      <c r="A1459" s="12" t="s">
        <v>7998</v>
      </c>
      <c r="B1459" s="13">
        <v>8.61</v>
      </c>
      <c r="C1459" s="16" t="s">
        <v>5331</v>
      </c>
      <c r="D1459" s="12">
        <v>57.66</v>
      </c>
      <c r="E1459" s="12" t="s">
        <v>5332</v>
      </c>
      <c r="F1459" s="12" t="s">
        <v>5328</v>
      </c>
      <c r="G1459" s="12" t="s">
        <v>7999</v>
      </c>
      <c r="H1459" s="12">
        <v>73044</v>
      </c>
    </row>
    <row r="1460" spans="1:8">
      <c r="A1460" s="12" t="s">
        <v>8000</v>
      </c>
      <c r="B1460" s="13">
        <v>19.25</v>
      </c>
      <c r="C1460" s="16" t="s">
        <v>5331</v>
      </c>
      <c r="D1460" s="12">
        <v>8.34</v>
      </c>
      <c r="E1460" s="12" t="s">
        <v>5332</v>
      </c>
      <c r="F1460" s="12" t="s">
        <v>5328</v>
      </c>
      <c r="G1460" s="12" t="s">
        <v>8001</v>
      </c>
      <c r="H1460" s="12">
        <v>73045</v>
      </c>
    </row>
    <row r="1461" spans="1:8">
      <c r="A1461" s="12" t="s">
        <v>8002</v>
      </c>
      <c r="B1461" s="13">
        <v>6.18</v>
      </c>
      <c r="C1461" s="16" t="s">
        <v>5331</v>
      </c>
      <c r="D1461" s="12">
        <v>22.35</v>
      </c>
      <c r="E1461" s="12" t="s">
        <v>5332</v>
      </c>
      <c r="F1461" s="12" t="s">
        <v>5328</v>
      </c>
      <c r="G1461" s="12" t="s">
        <v>8003</v>
      </c>
      <c r="H1461" s="12">
        <v>73046</v>
      </c>
    </row>
    <row r="1462" spans="1:8">
      <c r="A1462" s="12" t="s">
        <v>8004</v>
      </c>
      <c r="B1462" s="13">
        <v>21.43</v>
      </c>
      <c r="C1462" s="16" t="s">
        <v>5331</v>
      </c>
      <c r="D1462" s="12">
        <v>62.04</v>
      </c>
      <c r="E1462" s="12" t="s">
        <v>5332</v>
      </c>
      <c r="F1462" s="12" t="s">
        <v>5328</v>
      </c>
      <c r="G1462" s="12" t="s">
        <v>8005</v>
      </c>
      <c r="H1462" s="12">
        <v>73047</v>
      </c>
    </row>
    <row r="1463" spans="1:8">
      <c r="A1463" s="12" t="s">
        <v>8006</v>
      </c>
      <c r="B1463" s="13">
        <v>59.74</v>
      </c>
      <c r="C1463" s="16" t="s">
        <v>5331</v>
      </c>
      <c r="D1463" s="12">
        <v>73.8</v>
      </c>
      <c r="E1463" s="12" t="s">
        <v>5332</v>
      </c>
      <c r="F1463" s="12" t="s">
        <v>5328</v>
      </c>
      <c r="G1463" s="12" t="s">
        <v>8007</v>
      </c>
      <c r="H1463" s="12">
        <v>16415</v>
      </c>
    </row>
    <row r="1464" spans="1:8">
      <c r="A1464" s="12" t="s">
        <v>8008</v>
      </c>
      <c r="B1464" s="13">
        <v>8.9499999999999993</v>
      </c>
      <c r="C1464" s="16" t="s">
        <v>5331</v>
      </c>
      <c r="D1464" s="12">
        <v>23.87</v>
      </c>
      <c r="E1464" s="12" t="s">
        <v>5332</v>
      </c>
      <c r="F1464" s="12" t="s">
        <v>5328</v>
      </c>
      <c r="G1464" s="12" t="s">
        <v>8009</v>
      </c>
      <c r="H1464" s="12">
        <v>11626</v>
      </c>
    </row>
    <row r="1465" spans="1:8">
      <c r="A1465" s="12" t="s">
        <v>8010</v>
      </c>
      <c r="B1465" s="13">
        <v>7.71</v>
      </c>
      <c r="C1465" s="16" t="s">
        <v>5331</v>
      </c>
      <c r="D1465" s="12">
        <v>39.11</v>
      </c>
      <c r="E1465" s="12" t="s">
        <v>5332</v>
      </c>
      <c r="F1465" s="12" t="s">
        <v>5328</v>
      </c>
      <c r="G1465" s="12" t="s">
        <v>8011</v>
      </c>
      <c r="H1465" s="12">
        <v>193740</v>
      </c>
    </row>
    <row r="1466" spans="1:8">
      <c r="A1466" s="12" t="s">
        <v>8012</v>
      </c>
      <c r="B1466" s="13">
        <v>55.07</v>
      </c>
      <c r="C1466" s="16" t="s">
        <v>5331</v>
      </c>
      <c r="D1466" s="12">
        <v>275.66000000000003</v>
      </c>
      <c r="E1466" s="12" t="s">
        <v>5332</v>
      </c>
      <c r="F1466" s="12" t="s">
        <v>5328</v>
      </c>
      <c r="G1466" s="12" t="s">
        <v>8013</v>
      </c>
      <c r="H1466" s="12">
        <v>17756</v>
      </c>
    </row>
    <row r="1467" spans="1:8">
      <c r="A1467" s="12" t="s">
        <v>8012</v>
      </c>
      <c r="B1467" s="13">
        <v>55.07</v>
      </c>
      <c r="C1467" s="16" t="s">
        <v>5331</v>
      </c>
      <c r="D1467" s="12">
        <v>183.77</v>
      </c>
      <c r="E1467" s="12" t="s">
        <v>5332</v>
      </c>
      <c r="F1467" s="12" t="s">
        <v>5328</v>
      </c>
      <c r="G1467" s="12" t="s">
        <v>8013</v>
      </c>
      <c r="H1467" s="12">
        <v>17756</v>
      </c>
    </row>
    <row r="1468" spans="1:8">
      <c r="A1468" s="12" t="s">
        <v>8014</v>
      </c>
      <c r="B1468" s="13">
        <v>65.45</v>
      </c>
      <c r="C1468" s="16" t="s">
        <v>5331</v>
      </c>
      <c r="D1468" s="12">
        <v>373.76</v>
      </c>
      <c r="E1468" s="12" t="s">
        <v>5332</v>
      </c>
      <c r="F1468" s="12" t="s">
        <v>5328</v>
      </c>
      <c r="G1468" s="12" t="s">
        <v>8015</v>
      </c>
      <c r="H1468" s="12">
        <v>17758</v>
      </c>
    </row>
    <row r="1469" spans="1:8">
      <c r="A1469" s="12" t="s">
        <v>8014</v>
      </c>
      <c r="B1469" s="13">
        <v>65.45</v>
      </c>
      <c r="C1469" s="16" t="s">
        <v>5331</v>
      </c>
      <c r="D1469" s="12">
        <v>249.17</v>
      </c>
      <c r="E1469" s="12" t="s">
        <v>5332</v>
      </c>
      <c r="F1469" s="12" t="s">
        <v>5328</v>
      </c>
      <c r="G1469" s="12" t="s">
        <v>8015</v>
      </c>
      <c r="H1469" s="12">
        <v>17758</v>
      </c>
    </row>
    <row r="1470" spans="1:8">
      <c r="A1470" s="12" t="s">
        <v>8014</v>
      </c>
      <c r="B1470" s="13">
        <v>68.790000000000006</v>
      </c>
      <c r="C1470" s="16" t="s">
        <v>5331</v>
      </c>
      <c r="D1470" s="12">
        <v>237.3</v>
      </c>
      <c r="E1470" s="12" t="s">
        <v>5332</v>
      </c>
      <c r="F1470" s="12" t="s">
        <v>5328</v>
      </c>
      <c r="G1470" s="12" t="s">
        <v>8016</v>
      </c>
      <c r="H1470" s="12">
        <v>17757</v>
      </c>
    </row>
    <row r="1471" spans="1:8">
      <c r="A1471" s="12" t="s">
        <v>8017</v>
      </c>
      <c r="B1471" s="13">
        <v>0.8</v>
      </c>
      <c r="C1471" s="16" t="s">
        <v>5331</v>
      </c>
      <c r="D1471" s="12">
        <v>3.81</v>
      </c>
      <c r="E1471" s="12" t="s">
        <v>5332</v>
      </c>
      <c r="F1471" s="12" t="s">
        <v>5328</v>
      </c>
      <c r="G1471" s="12" t="s">
        <v>8018</v>
      </c>
      <c r="H1471" s="12">
        <v>17759</v>
      </c>
    </row>
    <row r="1472" spans="1:8">
      <c r="A1472" s="12" t="s">
        <v>8019</v>
      </c>
      <c r="B1472" s="13">
        <v>0.62</v>
      </c>
      <c r="C1472" s="16" t="s">
        <v>5331</v>
      </c>
      <c r="D1472" s="12">
        <v>3.12</v>
      </c>
      <c r="E1472" s="12" t="s">
        <v>5332</v>
      </c>
      <c r="F1472" s="12" t="s">
        <v>5328</v>
      </c>
      <c r="G1472" s="12" t="s">
        <v>8020</v>
      </c>
      <c r="H1472" s="12">
        <v>17760</v>
      </c>
    </row>
    <row r="1473" spans="1:8">
      <c r="A1473" s="12" t="s">
        <v>8021</v>
      </c>
      <c r="B1473" s="13">
        <v>1.71</v>
      </c>
      <c r="C1473" s="16" t="s">
        <v>5331</v>
      </c>
      <c r="D1473" s="12">
        <v>2.46</v>
      </c>
      <c r="E1473" s="12" t="s">
        <v>5332</v>
      </c>
      <c r="F1473" s="12" t="s">
        <v>5328</v>
      </c>
      <c r="G1473" s="12" t="s">
        <v>8022</v>
      </c>
      <c r="H1473" s="12">
        <v>17761</v>
      </c>
    </row>
    <row r="1474" spans="1:8">
      <c r="A1474" s="12" t="s">
        <v>8023</v>
      </c>
      <c r="B1474" s="13">
        <v>5.73</v>
      </c>
      <c r="C1474" s="16" t="s">
        <v>5331</v>
      </c>
      <c r="D1474" s="12">
        <v>29.06</v>
      </c>
      <c r="E1474" s="12" t="s">
        <v>5332</v>
      </c>
      <c r="F1474" s="12" t="s">
        <v>5328</v>
      </c>
      <c r="G1474" s="12" t="s">
        <v>8024</v>
      </c>
      <c r="H1474" s="12">
        <v>17764</v>
      </c>
    </row>
    <row r="1475" spans="1:8">
      <c r="A1475" s="12" t="s">
        <v>8025</v>
      </c>
      <c r="B1475" s="13">
        <v>40.51</v>
      </c>
      <c r="C1475" s="16" t="s">
        <v>5331</v>
      </c>
      <c r="D1475" s="12">
        <v>204.21</v>
      </c>
      <c r="E1475" s="12" t="s">
        <v>5332</v>
      </c>
      <c r="F1475" s="12" t="s">
        <v>5328</v>
      </c>
      <c r="G1475" s="12" t="s">
        <v>8026</v>
      </c>
      <c r="H1475" s="12">
        <v>17765</v>
      </c>
    </row>
    <row r="1476" spans="1:8">
      <c r="A1476" s="12" t="s">
        <v>8025</v>
      </c>
      <c r="B1476" s="13">
        <v>40.51</v>
      </c>
      <c r="C1476" s="16" t="s">
        <v>5331</v>
      </c>
      <c r="D1476" s="12">
        <v>136.13999999999999</v>
      </c>
      <c r="E1476" s="12" t="s">
        <v>5332</v>
      </c>
      <c r="F1476" s="12" t="s">
        <v>5328</v>
      </c>
      <c r="G1476" s="12" t="s">
        <v>8026</v>
      </c>
      <c r="H1476" s="12">
        <v>17765</v>
      </c>
    </row>
    <row r="1477" spans="1:8">
      <c r="A1477" s="12" t="s">
        <v>8027</v>
      </c>
      <c r="B1477" s="13">
        <v>13.93</v>
      </c>
      <c r="C1477" s="16" t="s">
        <v>5331</v>
      </c>
      <c r="D1477" s="12">
        <v>12.48</v>
      </c>
      <c r="E1477" s="12" t="s">
        <v>5332</v>
      </c>
      <c r="F1477" s="12" t="s">
        <v>5328</v>
      </c>
      <c r="G1477" s="12" t="s">
        <v>8028</v>
      </c>
      <c r="H1477" s="12">
        <v>17767</v>
      </c>
    </row>
    <row r="1478" spans="1:8">
      <c r="A1478" s="12" t="s">
        <v>8029</v>
      </c>
      <c r="B1478" s="13">
        <v>0.09</v>
      </c>
      <c r="C1478" s="16" t="s">
        <v>5331</v>
      </c>
      <c r="D1478" s="12">
        <v>1.59</v>
      </c>
      <c r="E1478" s="12" t="s">
        <v>5332</v>
      </c>
      <c r="F1478" s="12" t="s">
        <v>5328</v>
      </c>
      <c r="G1478" s="12" t="s">
        <v>8030</v>
      </c>
      <c r="H1478" s="12">
        <v>17768</v>
      </c>
    </row>
    <row r="1479" spans="1:8">
      <c r="A1479" s="12" t="s">
        <v>8031</v>
      </c>
      <c r="B1479" s="13">
        <v>0.06</v>
      </c>
      <c r="C1479" s="16" t="s">
        <v>5331</v>
      </c>
      <c r="D1479" s="12">
        <v>0.21</v>
      </c>
      <c r="E1479" s="12" t="s">
        <v>5332</v>
      </c>
      <c r="F1479" s="12" t="s">
        <v>5328</v>
      </c>
      <c r="G1479" s="12" t="s">
        <v>8032</v>
      </c>
      <c r="H1479" s="12">
        <v>17769</v>
      </c>
    </row>
    <row r="1480" spans="1:8">
      <c r="A1480" s="12" t="s">
        <v>8033</v>
      </c>
      <c r="B1480" s="13">
        <v>0.03</v>
      </c>
      <c r="C1480" s="16" t="s">
        <v>5331</v>
      </c>
      <c r="D1480" s="12">
        <v>0.21</v>
      </c>
      <c r="E1480" s="12" t="s">
        <v>5332</v>
      </c>
      <c r="F1480" s="12" t="s">
        <v>5328</v>
      </c>
      <c r="G1480" s="12" t="s">
        <v>8034</v>
      </c>
      <c r="H1480" s="12">
        <v>17770</v>
      </c>
    </row>
    <row r="1481" spans="1:8">
      <c r="A1481" s="12" t="s">
        <v>8035</v>
      </c>
      <c r="B1481" s="13">
        <v>0.24</v>
      </c>
      <c r="C1481" s="16" t="s">
        <v>5331</v>
      </c>
      <c r="D1481" s="12">
        <v>0.76559999999999995</v>
      </c>
      <c r="E1481" s="12" t="s">
        <v>5332</v>
      </c>
      <c r="F1481" s="12" t="s">
        <v>5328</v>
      </c>
      <c r="G1481" s="12" t="s">
        <v>8036</v>
      </c>
      <c r="H1481" s="12">
        <v>17771</v>
      </c>
    </row>
    <row r="1482" spans="1:8">
      <c r="A1482" s="12" t="s">
        <v>8037</v>
      </c>
      <c r="B1482" s="13">
        <v>0.18</v>
      </c>
      <c r="C1482" s="16" t="s">
        <v>5331</v>
      </c>
      <c r="D1482" s="12">
        <v>0.18</v>
      </c>
      <c r="E1482" s="12" t="s">
        <v>5332</v>
      </c>
      <c r="F1482" s="12" t="s">
        <v>5328</v>
      </c>
      <c r="G1482" s="12" t="s">
        <v>8038</v>
      </c>
      <c r="H1482" s="12">
        <v>17772</v>
      </c>
    </row>
    <row r="1483" spans="1:8">
      <c r="A1483" s="12" t="s">
        <v>8039</v>
      </c>
      <c r="B1483" s="13">
        <v>0.39</v>
      </c>
      <c r="C1483" s="16" t="s">
        <v>5331</v>
      </c>
      <c r="D1483" s="12">
        <v>1.35</v>
      </c>
      <c r="E1483" s="12" t="s">
        <v>5332</v>
      </c>
      <c r="F1483" s="12" t="s">
        <v>5328</v>
      </c>
      <c r="G1483" s="12" t="s">
        <v>8040</v>
      </c>
      <c r="H1483" s="12">
        <v>17773</v>
      </c>
    </row>
    <row r="1484" spans="1:8">
      <c r="A1484" s="12" t="s">
        <v>8041</v>
      </c>
      <c r="B1484" s="13">
        <v>0.23</v>
      </c>
      <c r="C1484" s="16" t="s">
        <v>5331</v>
      </c>
      <c r="D1484" s="12">
        <v>0.66</v>
      </c>
      <c r="E1484" s="12" t="s">
        <v>5332</v>
      </c>
      <c r="F1484" s="12" t="s">
        <v>5328</v>
      </c>
      <c r="G1484" s="12" t="s">
        <v>8042</v>
      </c>
      <c r="H1484" s="12">
        <v>17774</v>
      </c>
    </row>
    <row r="1485" spans="1:8">
      <c r="A1485" s="12" t="s">
        <v>8043</v>
      </c>
      <c r="B1485" s="13">
        <v>0.03</v>
      </c>
      <c r="C1485" s="16" t="s">
        <v>5331</v>
      </c>
      <c r="D1485" s="12">
        <v>8.9700000000000002E-2</v>
      </c>
      <c r="E1485" s="12" t="s">
        <v>5332</v>
      </c>
      <c r="F1485" s="12" t="s">
        <v>5328</v>
      </c>
      <c r="G1485" s="12" t="s">
        <v>8044</v>
      </c>
      <c r="H1485" s="12">
        <v>17775</v>
      </c>
    </row>
    <row r="1486" spans="1:8">
      <c r="A1486" s="12" t="s">
        <v>8045</v>
      </c>
      <c r="B1486" s="13">
        <v>0.08</v>
      </c>
      <c r="C1486" s="16" t="s">
        <v>5331</v>
      </c>
      <c r="D1486" s="12">
        <v>0.21809999999999999</v>
      </c>
      <c r="E1486" s="12" t="s">
        <v>5332</v>
      </c>
      <c r="F1486" s="12" t="s">
        <v>5328</v>
      </c>
      <c r="G1486" s="12" t="s">
        <v>8046</v>
      </c>
      <c r="H1486" s="12">
        <v>17776</v>
      </c>
    </row>
    <row r="1487" spans="1:8">
      <c r="A1487" s="12" t="s">
        <v>8047</v>
      </c>
      <c r="B1487" s="13">
        <v>0.23</v>
      </c>
      <c r="C1487" s="16" t="s">
        <v>5331</v>
      </c>
      <c r="D1487" s="12">
        <v>0.78569999999999995</v>
      </c>
      <c r="E1487" s="12" t="s">
        <v>5332</v>
      </c>
      <c r="F1487" s="12" t="s">
        <v>5328</v>
      </c>
      <c r="G1487" s="12" t="s">
        <v>8048</v>
      </c>
      <c r="H1487" s="12">
        <v>17777</v>
      </c>
    </row>
    <row r="1488" spans="1:8">
      <c r="A1488" s="12" t="s">
        <v>8049</v>
      </c>
      <c r="B1488" s="13">
        <v>1.2</v>
      </c>
      <c r="C1488" s="16" t="s">
        <v>5331</v>
      </c>
      <c r="D1488" s="12">
        <v>3.48</v>
      </c>
      <c r="E1488" s="12" t="s">
        <v>5332</v>
      </c>
      <c r="F1488" s="12" t="s">
        <v>5328</v>
      </c>
      <c r="G1488" s="12" t="s">
        <v>8050</v>
      </c>
      <c r="H1488" s="12">
        <v>17778</v>
      </c>
    </row>
    <row r="1489" spans="1:8">
      <c r="A1489" s="12" t="s">
        <v>8051</v>
      </c>
      <c r="B1489" s="13">
        <v>23.03</v>
      </c>
      <c r="C1489" s="16" t="s">
        <v>5331</v>
      </c>
      <c r="D1489" s="12">
        <v>58.94</v>
      </c>
      <c r="E1489" s="12" t="s">
        <v>5332</v>
      </c>
      <c r="F1489" s="12" t="s">
        <v>5328</v>
      </c>
      <c r="G1489" s="12" t="s">
        <v>8052</v>
      </c>
      <c r="H1489" s="12">
        <v>17779</v>
      </c>
    </row>
    <row r="1490" spans="1:8">
      <c r="A1490" s="12" t="s">
        <v>8053</v>
      </c>
      <c r="B1490" s="13">
        <v>1.76</v>
      </c>
      <c r="C1490" s="16" t="s">
        <v>5331</v>
      </c>
      <c r="D1490" s="12">
        <v>5.28</v>
      </c>
      <c r="E1490" s="12" t="s">
        <v>5332</v>
      </c>
      <c r="F1490" s="12" t="s">
        <v>5328</v>
      </c>
      <c r="G1490" s="12" t="s">
        <v>8054</v>
      </c>
      <c r="H1490" s="12">
        <v>17780</v>
      </c>
    </row>
    <row r="1491" spans="1:8">
      <c r="A1491" s="12" t="s">
        <v>8055</v>
      </c>
      <c r="B1491" s="13">
        <v>23.68</v>
      </c>
      <c r="C1491" s="16" t="s">
        <v>5331</v>
      </c>
      <c r="D1491" s="12">
        <v>68.882999999999996</v>
      </c>
      <c r="E1491" s="12" t="s">
        <v>5332</v>
      </c>
      <c r="F1491" s="12" t="s">
        <v>5328</v>
      </c>
      <c r="G1491" s="12" t="s">
        <v>8056</v>
      </c>
      <c r="H1491" s="12">
        <v>17782</v>
      </c>
    </row>
    <row r="1492" spans="1:8">
      <c r="A1492" s="12" t="s">
        <v>8057</v>
      </c>
      <c r="B1492" s="13">
        <v>0.06</v>
      </c>
      <c r="C1492" s="16" t="s">
        <v>5331</v>
      </c>
      <c r="D1492" s="12">
        <v>0.27</v>
      </c>
      <c r="E1492" s="12" t="s">
        <v>5332</v>
      </c>
      <c r="F1492" s="12" t="s">
        <v>5328</v>
      </c>
      <c r="G1492" s="12" t="s">
        <v>8058</v>
      </c>
      <c r="H1492" s="12">
        <v>17783</v>
      </c>
    </row>
    <row r="1493" spans="1:8">
      <c r="A1493" s="12" t="s">
        <v>8059</v>
      </c>
      <c r="B1493" s="13">
        <v>3.03</v>
      </c>
      <c r="C1493" s="16" t="s">
        <v>5331</v>
      </c>
      <c r="D1493" s="12">
        <v>14.45</v>
      </c>
      <c r="E1493" s="12" t="s">
        <v>5332</v>
      </c>
      <c r="F1493" s="12" t="s">
        <v>5328</v>
      </c>
      <c r="G1493" s="12" t="s">
        <v>8060</v>
      </c>
      <c r="H1493" s="12">
        <v>17784</v>
      </c>
    </row>
    <row r="1494" spans="1:8">
      <c r="A1494" s="12" t="s">
        <v>8061</v>
      </c>
      <c r="B1494" s="13">
        <v>0.16</v>
      </c>
      <c r="C1494" s="16" t="s">
        <v>5331</v>
      </c>
      <c r="D1494" s="12">
        <v>0.91080000000000005</v>
      </c>
      <c r="E1494" s="12" t="s">
        <v>5332</v>
      </c>
      <c r="F1494" s="12" t="s">
        <v>5328</v>
      </c>
      <c r="G1494" s="12" t="s">
        <v>8062</v>
      </c>
      <c r="H1494" s="12">
        <v>17787</v>
      </c>
    </row>
    <row r="1495" spans="1:8">
      <c r="A1495" s="12" t="s">
        <v>8063</v>
      </c>
      <c r="B1495" s="13">
        <v>0.28999999999999998</v>
      </c>
      <c r="C1495" s="16" t="s">
        <v>5331</v>
      </c>
      <c r="D1495" s="12">
        <v>0.9</v>
      </c>
      <c r="E1495" s="12" t="s">
        <v>5332</v>
      </c>
      <c r="F1495" s="12" t="s">
        <v>5328</v>
      </c>
      <c r="G1495" s="12" t="s">
        <v>8064</v>
      </c>
      <c r="H1495" s="12">
        <v>17788</v>
      </c>
    </row>
    <row r="1496" spans="1:8">
      <c r="A1496" s="12" t="s">
        <v>8065</v>
      </c>
      <c r="B1496" s="13">
        <v>1.21</v>
      </c>
      <c r="C1496" s="16" t="s">
        <v>5331</v>
      </c>
      <c r="D1496" s="12">
        <v>5.25</v>
      </c>
      <c r="E1496" s="12" t="s">
        <v>5332</v>
      </c>
      <c r="F1496" s="12" t="s">
        <v>5328</v>
      </c>
      <c r="G1496" s="12" t="s">
        <v>8066</v>
      </c>
      <c r="H1496" s="12">
        <v>17789</v>
      </c>
    </row>
    <row r="1497" spans="1:8">
      <c r="A1497" s="12" t="s">
        <v>8067</v>
      </c>
      <c r="B1497" s="13">
        <v>0.02</v>
      </c>
      <c r="C1497" s="16" t="s">
        <v>5331</v>
      </c>
      <c r="D1497" s="12">
        <v>0.09</v>
      </c>
      <c r="E1497" s="12" t="s">
        <v>5332</v>
      </c>
      <c r="F1497" s="12" t="s">
        <v>5328</v>
      </c>
      <c r="G1497" s="12" t="s">
        <v>8068</v>
      </c>
      <c r="H1497" s="12">
        <v>17791</v>
      </c>
    </row>
    <row r="1498" spans="1:8">
      <c r="A1498" s="12" t="s">
        <v>8069</v>
      </c>
      <c r="B1498" s="13">
        <v>0.54</v>
      </c>
      <c r="C1498" s="16" t="s">
        <v>5331</v>
      </c>
      <c r="D1498" s="12">
        <v>2.58</v>
      </c>
      <c r="E1498" s="12" t="s">
        <v>5332</v>
      </c>
      <c r="F1498" s="12" t="s">
        <v>5328</v>
      </c>
      <c r="G1498" s="12" t="s">
        <v>8070</v>
      </c>
      <c r="H1498" s="12">
        <v>20685</v>
      </c>
    </row>
    <row r="1499" spans="1:8">
      <c r="A1499" s="12" t="s">
        <v>8071</v>
      </c>
      <c r="B1499" s="13">
        <v>0.12</v>
      </c>
      <c r="C1499" s="16" t="s">
        <v>5331</v>
      </c>
      <c r="D1499" s="12">
        <v>0.378</v>
      </c>
      <c r="E1499" s="12" t="s">
        <v>5332</v>
      </c>
      <c r="F1499" s="12" t="s">
        <v>5328</v>
      </c>
      <c r="G1499" s="12" t="s">
        <v>8072</v>
      </c>
      <c r="H1499" s="12">
        <v>44301</v>
      </c>
    </row>
    <row r="1500" spans="1:8">
      <c r="A1500" s="12" t="s">
        <v>8073</v>
      </c>
      <c r="B1500" s="13">
        <v>0.87</v>
      </c>
      <c r="C1500" s="16" t="s">
        <v>5331</v>
      </c>
      <c r="D1500" s="12">
        <v>2.97</v>
      </c>
      <c r="E1500" s="12" t="s">
        <v>5332</v>
      </c>
      <c r="F1500" s="12" t="s">
        <v>5328</v>
      </c>
      <c r="G1500" s="12" t="s">
        <v>8074</v>
      </c>
      <c r="H1500" s="12">
        <v>15338</v>
      </c>
    </row>
    <row r="1501" spans="1:8">
      <c r="A1501" s="12" t="s">
        <v>8075</v>
      </c>
      <c r="B1501" s="13">
        <v>0.76</v>
      </c>
      <c r="C1501" s="16" t="s">
        <v>5331</v>
      </c>
      <c r="D1501" s="12">
        <v>2.97</v>
      </c>
      <c r="E1501" s="12" t="s">
        <v>5332</v>
      </c>
      <c r="F1501" s="12" t="s">
        <v>5328</v>
      </c>
      <c r="G1501" s="12" t="s">
        <v>8076</v>
      </c>
      <c r="H1501" s="12">
        <v>15447</v>
      </c>
    </row>
    <row r="1502" spans="1:8">
      <c r="A1502" s="12" t="s">
        <v>8077</v>
      </c>
      <c r="B1502" s="13">
        <v>3.74</v>
      </c>
      <c r="C1502" s="16" t="s">
        <v>5331</v>
      </c>
      <c r="D1502" s="12">
        <v>17.059999999999999</v>
      </c>
      <c r="E1502" s="12" t="s">
        <v>5332</v>
      </c>
      <c r="F1502" s="12" t="s">
        <v>5328</v>
      </c>
      <c r="G1502" s="12" t="s">
        <v>8078</v>
      </c>
      <c r="H1502" s="12">
        <v>15360</v>
      </c>
    </row>
    <row r="1503" spans="1:8">
      <c r="A1503" s="12" t="s">
        <v>8079</v>
      </c>
      <c r="B1503" s="13">
        <v>9.64</v>
      </c>
      <c r="C1503" s="16" t="s">
        <v>5331</v>
      </c>
      <c r="D1503" s="12">
        <v>27.32</v>
      </c>
      <c r="E1503" s="12" t="s">
        <v>5332</v>
      </c>
      <c r="F1503" s="12" t="s">
        <v>5328</v>
      </c>
      <c r="G1503" s="12" t="s">
        <v>8080</v>
      </c>
      <c r="H1503" s="12">
        <v>15424</v>
      </c>
    </row>
    <row r="1504" spans="1:8">
      <c r="A1504" s="12" t="s">
        <v>8081</v>
      </c>
      <c r="B1504" s="13">
        <v>0.64</v>
      </c>
      <c r="C1504" s="16" t="s">
        <v>5331</v>
      </c>
      <c r="D1504" s="12">
        <v>2.36</v>
      </c>
      <c r="E1504" s="12" t="s">
        <v>5332</v>
      </c>
      <c r="F1504" s="12" t="s">
        <v>5328</v>
      </c>
      <c r="G1504" s="12" t="s">
        <v>8082</v>
      </c>
      <c r="H1504" s="12">
        <v>15317</v>
      </c>
    </row>
    <row r="1505" spans="1:8">
      <c r="A1505" s="12" t="s">
        <v>8083</v>
      </c>
      <c r="B1505" s="13">
        <v>6.96</v>
      </c>
      <c r="C1505" s="16" t="s">
        <v>5331</v>
      </c>
      <c r="D1505" s="12">
        <v>37.799999999999997</v>
      </c>
      <c r="E1505" s="12" t="s">
        <v>5332</v>
      </c>
      <c r="F1505" s="12" t="s">
        <v>5328</v>
      </c>
      <c r="G1505" s="12" t="s">
        <v>8084</v>
      </c>
      <c r="H1505" s="12">
        <v>15368</v>
      </c>
    </row>
    <row r="1506" spans="1:8">
      <c r="A1506" s="12" t="s">
        <v>8085</v>
      </c>
      <c r="B1506" s="13">
        <v>0.52</v>
      </c>
      <c r="C1506" s="16" t="s">
        <v>5331</v>
      </c>
      <c r="D1506" s="12">
        <v>1.4730000000000001</v>
      </c>
      <c r="E1506" s="12" t="s">
        <v>5332</v>
      </c>
      <c r="F1506" s="12" t="s">
        <v>5328</v>
      </c>
      <c r="G1506" s="12" t="s">
        <v>8086</v>
      </c>
      <c r="H1506" s="12">
        <v>44302</v>
      </c>
    </row>
    <row r="1507" spans="1:8">
      <c r="A1507" s="12" t="s">
        <v>8087</v>
      </c>
      <c r="B1507" s="13">
        <v>0.88</v>
      </c>
      <c r="C1507" s="16" t="s">
        <v>5331</v>
      </c>
      <c r="D1507" s="12">
        <v>2.4990000000000001</v>
      </c>
      <c r="E1507" s="12" t="s">
        <v>5332</v>
      </c>
      <c r="F1507" s="12" t="s">
        <v>5328</v>
      </c>
      <c r="G1507" s="12" t="s">
        <v>8088</v>
      </c>
      <c r="H1507" s="12">
        <v>44303</v>
      </c>
    </row>
    <row r="1508" spans="1:8">
      <c r="A1508" s="12" t="s">
        <v>8089</v>
      </c>
      <c r="B1508" s="13">
        <v>35.619999999999997</v>
      </c>
      <c r="C1508" s="16" t="s">
        <v>5331</v>
      </c>
      <c r="D1508" s="12">
        <v>188.64</v>
      </c>
      <c r="E1508" s="12" t="s">
        <v>5332</v>
      </c>
      <c r="F1508" s="12" t="s">
        <v>5328</v>
      </c>
      <c r="G1508" s="12" t="s">
        <v>8090</v>
      </c>
      <c r="H1508" s="12">
        <v>68549</v>
      </c>
    </row>
    <row r="1509" spans="1:8">
      <c r="A1509" s="12" t="s">
        <v>8091</v>
      </c>
      <c r="B1509" s="13">
        <v>288.72000000000003</v>
      </c>
      <c r="C1509" s="16" t="s">
        <v>5331</v>
      </c>
      <c r="D1509" s="12">
        <v>1732.5</v>
      </c>
      <c r="E1509" s="12" t="s">
        <v>5332</v>
      </c>
      <c r="F1509" s="12" t="s">
        <v>5328</v>
      </c>
      <c r="G1509" s="12" t="s">
        <v>8092</v>
      </c>
      <c r="H1509" s="12">
        <v>80210</v>
      </c>
    </row>
    <row r="1510" spans="1:8">
      <c r="A1510" s="12" t="s">
        <v>8093</v>
      </c>
      <c r="B1510" s="13">
        <v>0.23</v>
      </c>
      <c r="C1510" s="16" t="s">
        <v>5331</v>
      </c>
      <c r="D1510" s="12">
        <v>1.7310000000000001</v>
      </c>
      <c r="E1510" s="12" t="s">
        <v>5332</v>
      </c>
      <c r="F1510" s="12" t="s">
        <v>5328</v>
      </c>
      <c r="G1510" s="12" t="s">
        <v>8094</v>
      </c>
      <c r="H1510" s="12">
        <v>17792</v>
      </c>
    </row>
    <row r="1511" spans="1:8">
      <c r="A1511" s="12" t="s">
        <v>8095</v>
      </c>
      <c r="B1511" s="13">
        <v>0.27</v>
      </c>
      <c r="C1511" s="16" t="s">
        <v>5331</v>
      </c>
      <c r="D1511" s="12">
        <v>0.83099999999999996</v>
      </c>
      <c r="E1511" s="12" t="s">
        <v>5332</v>
      </c>
      <c r="F1511" s="12" t="s">
        <v>5328</v>
      </c>
      <c r="G1511" s="12" t="s">
        <v>8096</v>
      </c>
      <c r="H1511" s="12">
        <v>17793</v>
      </c>
    </row>
    <row r="1512" spans="1:8">
      <c r="A1512" s="12" t="s">
        <v>8097</v>
      </c>
      <c r="B1512" s="13">
        <v>0.25</v>
      </c>
      <c r="C1512" s="16" t="s">
        <v>5331</v>
      </c>
      <c r="D1512" s="12">
        <v>0.77700000000000002</v>
      </c>
      <c r="E1512" s="12" t="s">
        <v>5332</v>
      </c>
      <c r="F1512" s="12" t="s">
        <v>5328</v>
      </c>
      <c r="G1512" s="12" t="s">
        <v>8098</v>
      </c>
      <c r="H1512" s="12">
        <v>17794</v>
      </c>
    </row>
    <row r="1513" spans="1:8">
      <c r="A1513" s="12" t="s">
        <v>8099</v>
      </c>
      <c r="B1513" s="13">
        <v>0.02</v>
      </c>
      <c r="C1513" s="16" t="s">
        <v>5331</v>
      </c>
      <c r="D1513" s="12">
        <v>5.0999999999999997E-2</v>
      </c>
      <c r="E1513" s="12" t="s">
        <v>5332</v>
      </c>
      <c r="F1513" s="12" t="s">
        <v>5328</v>
      </c>
      <c r="G1513" s="12" t="s">
        <v>8100</v>
      </c>
      <c r="H1513" s="12">
        <v>17795</v>
      </c>
    </row>
    <row r="1514" spans="1:8">
      <c r="A1514" s="12" t="s">
        <v>8101</v>
      </c>
      <c r="B1514" s="13">
        <v>0.09</v>
      </c>
      <c r="C1514" s="16" t="s">
        <v>5331</v>
      </c>
      <c r="D1514" s="12">
        <v>0.51300000000000001</v>
      </c>
      <c r="E1514" s="12" t="s">
        <v>5332</v>
      </c>
      <c r="F1514" s="12" t="s">
        <v>5328</v>
      </c>
      <c r="G1514" s="12" t="s">
        <v>8102</v>
      </c>
      <c r="H1514" s="12">
        <v>17796</v>
      </c>
    </row>
    <row r="1515" spans="1:8">
      <c r="A1515" s="12" t="s">
        <v>8103</v>
      </c>
      <c r="B1515" s="13">
        <v>0.17</v>
      </c>
      <c r="C1515" s="16" t="s">
        <v>5331</v>
      </c>
      <c r="D1515" s="12">
        <v>1.3380000000000001</v>
      </c>
      <c r="E1515" s="12" t="s">
        <v>5332</v>
      </c>
      <c r="F1515" s="12" t="s">
        <v>5328</v>
      </c>
      <c r="G1515" s="12" t="s">
        <v>8104</v>
      </c>
      <c r="H1515" s="12">
        <v>17797</v>
      </c>
    </row>
    <row r="1516" spans="1:8">
      <c r="A1516" s="12" t="s">
        <v>8105</v>
      </c>
      <c r="B1516" s="13">
        <v>0.47</v>
      </c>
      <c r="C1516" s="16" t="s">
        <v>5331</v>
      </c>
      <c r="D1516" s="12">
        <v>1.536</v>
      </c>
      <c r="E1516" s="12" t="s">
        <v>5332</v>
      </c>
      <c r="F1516" s="12" t="s">
        <v>5328</v>
      </c>
      <c r="G1516" s="12" t="s">
        <v>8106</v>
      </c>
      <c r="H1516" s="12">
        <v>17798</v>
      </c>
    </row>
    <row r="1517" spans="1:8">
      <c r="A1517" s="12" t="s">
        <v>8107</v>
      </c>
      <c r="B1517" s="13">
        <v>0.37</v>
      </c>
      <c r="C1517" s="16" t="s">
        <v>5331</v>
      </c>
      <c r="D1517" s="12">
        <v>1.143</v>
      </c>
      <c r="E1517" s="12" t="s">
        <v>5332</v>
      </c>
      <c r="F1517" s="12" t="s">
        <v>5328</v>
      </c>
      <c r="G1517" s="12" t="s">
        <v>8108</v>
      </c>
      <c r="H1517" s="12">
        <v>17799</v>
      </c>
    </row>
    <row r="1518" spans="1:8">
      <c r="A1518" s="12" t="s">
        <v>8109</v>
      </c>
      <c r="B1518" s="13">
        <v>14.27</v>
      </c>
      <c r="C1518" s="16" t="s">
        <v>5331</v>
      </c>
      <c r="D1518" s="12">
        <v>60.18</v>
      </c>
      <c r="E1518" s="12" t="s">
        <v>5332</v>
      </c>
      <c r="F1518" s="12" t="s">
        <v>5328</v>
      </c>
      <c r="G1518" s="12" t="s">
        <v>8110</v>
      </c>
      <c r="H1518" s="12">
        <v>17800</v>
      </c>
    </row>
    <row r="1519" spans="1:8">
      <c r="A1519" s="12" t="s">
        <v>8111</v>
      </c>
      <c r="B1519" s="13">
        <v>14.27</v>
      </c>
      <c r="C1519" s="16" t="s">
        <v>5331</v>
      </c>
      <c r="D1519" s="12">
        <v>60.18</v>
      </c>
      <c r="E1519" s="12" t="s">
        <v>5332</v>
      </c>
      <c r="F1519" s="12" t="s">
        <v>5328</v>
      </c>
      <c r="G1519" s="12" t="s">
        <v>8112</v>
      </c>
      <c r="H1519" s="12">
        <v>17801</v>
      </c>
    </row>
    <row r="1520" spans="1:8">
      <c r="A1520" s="12" t="s">
        <v>8113</v>
      </c>
      <c r="B1520" s="13">
        <v>11.62</v>
      </c>
      <c r="C1520" s="16" t="s">
        <v>5331</v>
      </c>
      <c r="D1520" s="12">
        <v>53.372999999999998</v>
      </c>
      <c r="E1520" s="12" t="s">
        <v>5332</v>
      </c>
      <c r="F1520" s="12" t="s">
        <v>5328</v>
      </c>
      <c r="G1520" s="12" t="s">
        <v>8114</v>
      </c>
      <c r="H1520" s="12">
        <v>17802</v>
      </c>
    </row>
    <row r="1521" spans="1:8">
      <c r="A1521" s="12" t="s">
        <v>8115</v>
      </c>
      <c r="B1521" s="13">
        <v>14.18</v>
      </c>
      <c r="C1521" s="16" t="s">
        <v>5331</v>
      </c>
      <c r="D1521" s="12">
        <v>62.94</v>
      </c>
      <c r="E1521" s="12" t="s">
        <v>5332</v>
      </c>
      <c r="F1521" s="12" t="s">
        <v>5328</v>
      </c>
      <c r="G1521" s="12" t="s">
        <v>8116</v>
      </c>
      <c r="H1521" s="12">
        <v>17803</v>
      </c>
    </row>
    <row r="1522" spans="1:8">
      <c r="A1522" s="12" t="s">
        <v>8117</v>
      </c>
      <c r="B1522" s="13">
        <v>6.65</v>
      </c>
      <c r="C1522" s="16" t="s">
        <v>5331</v>
      </c>
      <c r="D1522" s="12">
        <v>21.06</v>
      </c>
      <c r="E1522" s="12" t="s">
        <v>5332</v>
      </c>
      <c r="F1522" s="12" t="s">
        <v>5328</v>
      </c>
      <c r="G1522" s="12" t="s">
        <v>8118</v>
      </c>
      <c r="H1522" s="12">
        <v>17804</v>
      </c>
    </row>
    <row r="1523" spans="1:8">
      <c r="A1523" s="12" t="s">
        <v>8119</v>
      </c>
      <c r="B1523" s="13">
        <v>29.71</v>
      </c>
      <c r="C1523" s="16" t="s">
        <v>5331</v>
      </c>
      <c r="D1523" s="12">
        <v>130.22999999999999</v>
      </c>
      <c r="E1523" s="12" t="s">
        <v>5332</v>
      </c>
      <c r="F1523" s="12" t="s">
        <v>5328</v>
      </c>
      <c r="G1523" s="12" t="s">
        <v>8120</v>
      </c>
      <c r="H1523" s="12">
        <v>17805</v>
      </c>
    </row>
    <row r="1524" spans="1:8">
      <c r="A1524" s="12" t="s">
        <v>8121</v>
      </c>
      <c r="B1524" s="13">
        <v>19.829999999999998</v>
      </c>
      <c r="C1524" s="16" t="s">
        <v>5331</v>
      </c>
      <c r="D1524" s="12">
        <v>143.46</v>
      </c>
      <c r="E1524" s="12" t="s">
        <v>5332</v>
      </c>
      <c r="F1524" s="12" t="s">
        <v>5328</v>
      </c>
      <c r="G1524" s="12" t="s">
        <v>8122</v>
      </c>
      <c r="H1524" s="12">
        <v>17806</v>
      </c>
    </row>
    <row r="1525" spans="1:8">
      <c r="A1525" s="12" t="s">
        <v>8123</v>
      </c>
      <c r="B1525" s="13">
        <v>0.88</v>
      </c>
      <c r="C1525" s="16" t="s">
        <v>5331</v>
      </c>
      <c r="D1525" s="12">
        <v>3.72</v>
      </c>
      <c r="E1525" s="12" t="s">
        <v>5332</v>
      </c>
      <c r="F1525" s="12" t="s">
        <v>5328</v>
      </c>
      <c r="G1525" s="12" t="s">
        <v>8124</v>
      </c>
      <c r="H1525" s="12">
        <v>17807</v>
      </c>
    </row>
    <row r="1526" spans="1:8">
      <c r="A1526" s="12" t="s">
        <v>8125</v>
      </c>
      <c r="B1526" s="13">
        <v>0.44</v>
      </c>
      <c r="C1526" s="16" t="s">
        <v>5331</v>
      </c>
      <c r="D1526" s="12">
        <v>18.600000000000001</v>
      </c>
      <c r="E1526" s="12" t="s">
        <v>5332</v>
      </c>
      <c r="F1526" s="12" t="s">
        <v>5328</v>
      </c>
      <c r="G1526" s="12" t="s">
        <v>8126</v>
      </c>
      <c r="H1526" s="12">
        <v>17808</v>
      </c>
    </row>
    <row r="1527" spans="1:8">
      <c r="A1527" s="12" t="s">
        <v>8127</v>
      </c>
      <c r="B1527" s="13">
        <v>2.11</v>
      </c>
      <c r="C1527" s="16" t="s">
        <v>5331</v>
      </c>
      <c r="D1527" s="12">
        <v>6.45</v>
      </c>
      <c r="E1527" s="12" t="s">
        <v>5332</v>
      </c>
      <c r="F1527" s="12" t="s">
        <v>5328</v>
      </c>
      <c r="G1527" s="12" t="s">
        <v>8128</v>
      </c>
      <c r="H1527" s="12">
        <v>17809</v>
      </c>
    </row>
    <row r="1528" spans="1:8">
      <c r="A1528" s="12" t="s">
        <v>8129</v>
      </c>
      <c r="B1528" s="13">
        <v>0.15</v>
      </c>
      <c r="C1528" s="16" t="s">
        <v>5331</v>
      </c>
      <c r="D1528" s="12">
        <v>0.44400000000000001</v>
      </c>
      <c r="E1528" s="12" t="s">
        <v>5332</v>
      </c>
      <c r="F1528" s="12" t="s">
        <v>5328</v>
      </c>
      <c r="G1528" s="12" t="s">
        <v>8130</v>
      </c>
      <c r="H1528" s="12">
        <v>17810</v>
      </c>
    </row>
    <row r="1529" spans="1:8">
      <c r="A1529" s="12" t="s">
        <v>8131</v>
      </c>
      <c r="B1529" s="13">
        <v>9.35</v>
      </c>
      <c r="C1529" s="16" t="s">
        <v>5331</v>
      </c>
      <c r="D1529" s="12">
        <v>26.46</v>
      </c>
      <c r="E1529" s="12" t="s">
        <v>5332</v>
      </c>
      <c r="F1529" s="12" t="s">
        <v>5328</v>
      </c>
      <c r="G1529" s="12" t="s">
        <v>8132</v>
      </c>
      <c r="H1529" s="12">
        <v>17811</v>
      </c>
    </row>
    <row r="1530" spans="1:8">
      <c r="A1530" s="12" t="s">
        <v>8133</v>
      </c>
      <c r="B1530" s="13">
        <v>9</v>
      </c>
      <c r="C1530" s="16" t="s">
        <v>5331</v>
      </c>
      <c r="D1530" s="12">
        <v>29.907</v>
      </c>
      <c r="E1530" s="12" t="s">
        <v>5332</v>
      </c>
      <c r="F1530" s="12" t="s">
        <v>5328</v>
      </c>
      <c r="G1530" s="12" t="s">
        <v>8134</v>
      </c>
      <c r="H1530" s="12">
        <v>17812</v>
      </c>
    </row>
    <row r="1531" spans="1:8">
      <c r="A1531" s="12" t="s">
        <v>8135</v>
      </c>
      <c r="B1531" s="13">
        <v>0.81</v>
      </c>
      <c r="C1531" s="16" t="s">
        <v>5331</v>
      </c>
      <c r="D1531" s="12">
        <v>2.2829999999999999</v>
      </c>
      <c r="E1531" s="12" t="s">
        <v>5332</v>
      </c>
      <c r="F1531" s="12" t="s">
        <v>5328</v>
      </c>
      <c r="G1531" s="12" t="s">
        <v>8136</v>
      </c>
      <c r="H1531" s="12">
        <v>17814</v>
      </c>
    </row>
    <row r="1532" spans="1:8">
      <c r="A1532" s="12" t="s">
        <v>8137</v>
      </c>
      <c r="B1532" s="13">
        <v>0.01</v>
      </c>
      <c r="C1532" s="16" t="s">
        <v>5331</v>
      </c>
      <c r="D1532" s="12">
        <v>0.39</v>
      </c>
      <c r="E1532" s="12" t="s">
        <v>5332</v>
      </c>
      <c r="F1532" s="12" t="s">
        <v>5328</v>
      </c>
      <c r="G1532" s="12" t="s">
        <v>8138</v>
      </c>
      <c r="H1532" s="12">
        <v>17815</v>
      </c>
    </row>
    <row r="1533" spans="1:8">
      <c r="A1533" s="12" t="s">
        <v>8139</v>
      </c>
      <c r="B1533" s="13">
        <v>0.01</v>
      </c>
      <c r="C1533" s="16" t="s">
        <v>5331</v>
      </c>
      <c r="D1533" s="12">
        <v>0.432</v>
      </c>
      <c r="E1533" s="12" t="s">
        <v>5332</v>
      </c>
      <c r="F1533" s="12" t="s">
        <v>5328</v>
      </c>
      <c r="G1533" s="12" t="s">
        <v>8140</v>
      </c>
      <c r="H1533" s="12">
        <v>17816</v>
      </c>
    </row>
    <row r="1534" spans="1:8">
      <c r="A1534" s="12" t="s">
        <v>8141</v>
      </c>
      <c r="B1534" s="13">
        <v>88.05</v>
      </c>
      <c r="C1534" s="16" t="s">
        <v>5331</v>
      </c>
      <c r="D1534" s="12">
        <v>635.33000000000004</v>
      </c>
      <c r="E1534" s="12" t="s">
        <v>5332</v>
      </c>
      <c r="F1534" s="12" t="s">
        <v>5328</v>
      </c>
      <c r="G1534" s="12" t="s">
        <v>8142</v>
      </c>
      <c r="H1534" s="12">
        <v>17817</v>
      </c>
    </row>
    <row r="1535" spans="1:8">
      <c r="A1535" s="12" t="s">
        <v>8141</v>
      </c>
      <c r="B1535" s="13">
        <v>88.05</v>
      </c>
      <c r="C1535" s="16" t="s">
        <v>5331</v>
      </c>
      <c r="D1535" s="12">
        <v>423.55</v>
      </c>
      <c r="E1535" s="12" t="s">
        <v>5332</v>
      </c>
      <c r="F1535" s="12" t="s">
        <v>5328</v>
      </c>
      <c r="G1535" s="12" t="s">
        <v>8142</v>
      </c>
      <c r="H1535" s="12">
        <v>17817</v>
      </c>
    </row>
    <row r="1536" spans="1:8">
      <c r="A1536" s="12" t="s">
        <v>8143</v>
      </c>
      <c r="B1536" s="13">
        <v>57.1</v>
      </c>
      <c r="C1536" s="16" t="s">
        <v>5331</v>
      </c>
      <c r="D1536" s="12">
        <v>415.1</v>
      </c>
      <c r="E1536" s="12" t="s">
        <v>5332</v>
      </c>
      <c r="F1536" s="12" t="s">
        <v>5328</v>
      </c>
      <c r="G1536" s="12" t="s">
        <v>8144</v>
      </c>
      <c r="H1536" s="12">
        <v>17818</v>
      </c>
    </row>
    <row r="1537" spans="1:8">
      <c r="A1537" s="12" t="s">
        <v>8143</v>
      </c>
      <c r="B1537" s="13">
        <v>57.1</v>
      </c>
      <c r="C1537" s="16" t="s">
        <v>5331</v>
      </c>
      <c r="D1537" s="12">
        <v>276.73</v>
      </c>
      <c r="E1537" s="12" t="s">
        <v>5332</v>
      </c>
      <c r="F1537" s="12" t="s">
        <v>5328</v>
      </c>
      <c r="G1537" s="12" t="s">
        <v>8144</v>
      </c>
      <c r="H1537" s="12">
        <v>17818</v>
      </c>
    </row>
    <row r="1538" spans="1:8">
      <c r="A1538" s="12" t="s">
        <v>8145</v>
      </c>
      <c r="B1538" s="13">
        <v>0.11</v>
      </c>
      <c r="C1538" s="16" t="s">
        <v>5331</v>
      </c>
      <c r="D1538" s="12">
        <v>0.39</v>
      </c>
      <c r="E1538" s="12" t="s">
        <v>5332</v>
      </c>
      <c r="F1538" s="12" t="s">
        <v>5328</v>
      </c>
      <c r="G1538" s="12" t="s">
        <v>8146</v>
      </c>
      <c r="H1538" s="12">
        <v>17819</v>
      </c>
    </row>
    <row r="1539" spans="1:8">
      <c r="A1539" s="12" t="s">
        <v>8147</v>
      </c>
      <c r="B1539" s="13">
        <v>0.39</v>
      </c>
      <c r="C1539" s="16" t="s">
        <v>5331</v>
      </c>
      <c r="D1539" s="12">
        <v>1.2270000000000001</v>
      </c>
      <c r="E1539" s="12" t="s">
        <v>5332</v>
      </c>
      <c r="F1539" s="12" t="s">
        <v>5328</v>
      </c>
      <c r="G1539" s="12" t="s">
        <v>8148</v>
      </c>
      <c r="H1539" s="12">
        <v>17820</v>
      </c>
    </row>
    <row r="1540" spans="1:8">
      <c r="A1540" s="12" t="s">
        <v>8149</v>
      </c>
      <c r="B1540" s="13">
        <v>0.55000000000000004</v>
      </c>
      <c r="C1540" s="16" t="s">
        <v>5331</v>
      </c>
      <c r="D1540" s="12">
        <v>1.6739999999999999</v>
      </c>
      <c r="E1540" s="12" t="s">
        <v>5332</v>
      </c>
      <c r="F1540" s="12" t="s">
        <v>5328</v>
      </c>
      <c r="G1540" s="12" t="s">
        <v>8150</v>
      </c>
      <c r="H1540" s="12">
        <v>17821</v>
      </c>
    </row>
    <row r="1541" spans="1:8">
      <c r="A1541" s="12" t="s">
        <v>8151</v>
      </c>
      <c r="B1541" s="13">
        <v>0.42</v>
      </c>
      <c r="C1541" s="16" t="s">
        <v>5331</v>
      </c>
      <c r="D1541" s="12">
        <v>1.2629999999999999</v>
      </c>
      <c r="E1541" s="12" t="s">
        <v>5332</v>
      </c>
      <c r="F1541" s="12" t="s">
        <v>5328</v>
      </c>
      <c r="G1541" s="12" t="s">
        <v>8152</v>
      </c>
      <c r="H1541" s="12">
        <v>17822</v>
      </c>
    </row>
    <row r="1542" spans="1:8">
      <c r="A1542" s="12" t="s">
        <v>8153</v>
      </c>
      <c r="B1542" s="13">
        <v>0.54</v>
      </c>
      <c r="C1542" s="16" t="s">
        <v>5331</v>
      </c>
      <c r="D1542" s="12">
        <v>3.1019999999999999</v>
      </c>
      <c r="E1542" s="12" t="s">
        <v>5332</v>
      </c>
      <c r="F1542" s="12" t="s">
        <v>5328</v>
      </c>
      <c r="G1542" s="12" t="s">
        <v>8154</v>
      </c>
      <c r="H1542" s="12">
        <v>17823</v>
      </c>
    </row>
    <row r="1543" spans="1:8">
      <c r="A1543" s="12" t="s">
        <v>8155</v>
      </c>
      <c r="B1543" s="13">
        <v>0.32</v>
      </c>
      <c r="C1543" s="16" t="s">
        <v>5331</v>
      </c>
      <c r="D1543" s="12">
        <v>0.98399999999999999</v>
      </c>
      <c r="E1543" s="12" t="s">
        <v>5332</v>
      </c>
      <c r="F1543" s="12" t="s">
        <v>5328</v>
      </c>
      <c r="G1543" s="12" t="s">
        <v>8156</v>
      </c>
      <c r="H1543" s="12">
        <v>17824</v>
      </c>
    </row>
    <row r="1544" spans="1:8">
      <c r="A1544" s="12" t="s">
        <v>8157</v>
      </c>
      <c r="B1544" s="13">
        <v>0.03</v>
      </c>
      <c r="C1544" s="16" t="s">
        <v>5331</v>
      </c>
      <c r="D1544" s="12">
        <v>7.8E-2</v>
      </c>
      <c r="E1544" s="12" t="s">
        <v>5332</v>
      </c>
      <c r="F1544" s="12" t="s">
        <v>5328</v>
      </c>
      <c r="G1544" s="12" t="s">
        <v>8158</v>
      </c>
      <c r="H1544" s="12">
        <v>17825</v>
      </c>
    </row>
    <row r="1545" spans="1:8">
      <c r="A1545" s="12" t="s">
        <v>8159</v>
      </c>
      <c r="B1545" s="13">
        <v>0.13</v>
      </c>
      <c r="C1545" s="16" t="s">
        <v>5331</v>
      </c>
      <c r="D1545" s="12">
        <v>0.39</v>
      </c>
      <c r="E1545" s="12" t="s">
        <v>5332</v>
      </c>
      <c r="F1545" s="12" t="s">
        <v>5328</v>
      </c>
      <c r="G1545" s="12" t="s">
        <v>8160</v>
      </c>
      <c r="H1545" s="12">
        <v>17826</v>
      </c>
    </row>
    <row r="1546" spans="1:8">
      <c r="A1546" s="12" t="s">
        <v>8161</v>
      </c>
      <c r="B1546" s="13">
        <v>0.33</v>
      </c>
      <c r="C1546" s="16" t="s">
        <v>5331</v>
      </c>
      <c r="D1546" s="12">
        <v>12.71</v>
      </c>
      <c r="E1546" s="12" t="s">
        <v>5332</v>
      </c>
      <c r="F1546" s="12" t="s">
        <v>5328</v>
      </c>
      <c r="G1546" s="12" t="s">
        <v>8162</v>
      </c>
      <c r="H1546" s="12">
        <v>17827</v>
      </c>
    </row>
    <row r="1547" spans="1:8">
      <c r="A1547" s="12" t="s">
        <v>8163</v>
      </c>
      <c r="B1547" s="13">
        <v>0.75</v>
      </c>
      <c r="C1547" s="16" t="s">
        <v>5331</v>
      </c>
      <c r="D1547" s="12">
        <v>2.2829999999999999</v>
      </c>
      <c r="E1547" s="12" t="s">
        <v>5332</v>
      </c>
      <c r="F1547" s="12" t="s">
        <v>5328</v>
      </c>
      <c r="G1547" s="12" t="s">
        <v>8164</v>
      </c>
      <c r="H1547" s="12">
        <v>17828</v>
      </c>
    </row>
    <row r="1548" spans="1:8">
      <c r="A1548" s="12" t="s">
        <v>8165</v>
      </c>
      <c r="B1548" s="13">
        <v>0.42</v>
      </c>
      <c r="C1548" s="16" t="s">
        <v>5331</v>
      </c>
      <c r="D1548" s="12">
        <v>1.4339999999999999</v>
      </c>
      <c r="E1548" s="12" t="s">
        <v>5332</v>
      </c>
      <c r="F1548" s="12" t="s">
        <v>5328</v>
      </c>
      <c r="G1548" s="12" t="s">
        <v>8166</v>
      </c>
      <c r="H1548" s="12">
        <v>17829</v>
      </c>
    </row>
    <row r="1549" spans="1:8">
      <c r="A1549" s="12" t="s">
        <v>8167</v>
      </c>
      <c r="B1549" s="13">
        <v>15.72</v>
      </c>
      <c r="C1549" s="16" t="s">
        <v>6565</v>
      </c>
      <c r="D1549" s="12">
        <v>1.01</v>
      </c>
      <c r="E1549" s="12" t="s">
        <v>5332</v>
      </c>
      <c r="F1549" s="12" t="s">
        <v>5328</v>
      </c>
      <c r="G1549" s="12" t="s">
        <v>8168</v>
      </c>
      <c r="H1549" s="12">
        <v>49408</v>
      </c>
    </row>
    <row r="1550" spans="1:8">
      <c r="A1550" s="12" t="s">
        <v>8169</v>
      </c>
      <c r="B1550" s="13">
        <v>108.36</v>
      </c>
      <c r="C1550" s="16" t="s">
        <v>5331</v>
      </c>
      <c r="D1550" s="12">
        <v>352.02</v>
      </c>
      <c r="E1550" s="12" t="s">
        <v>5332</v>
      </c>
      <c r="F1550" s="12" t="s">
        <v>5328</v>
      </c>
      <c r="G1550" s="12" t="s">
        <v>8170</v>
      </c>
      <c r="H1550" s="12">
        <v>73053</v>
      </c>
    </row>
    <row r="1551" spans="1:8">
      <c r="A1551" s="12" t="s">
        <v>8171</v>
      </c>
      <c r="B1551" s="13">
        <v>14.84</v>
      </c>
      <c r="C1551" s="16" t="s">
        <v>5331</v>
      </c>
      <c r="D1551" s="12">
        <v>24.86</v>
      </c>
      <c r="E1551" s="12" t="s">
        <v>5332</v>
      </c>
      <c r="F1551" s="12" t="s">
        <v>5328</v>
      </c>
      <c r="G1551" s="12" t="s">
        <v>8172</v>
      </c>
      <c r="H1551" s="12">
        <v>73055</v>
      </c>
    </row>
    <row r="1552" spans="1:8">
      <c r="A1552" s="12" t="s">
        <v>8173</v>
      </c>
      <c r="B1552" s="13">
        <v>2.2400000000000002</v>
      </c>
      <c r="C1552" s="16" t="s">
        <v>5331</v>
      </c>
      <c r="D1552" s="12">
        <v>11.58</v>
      </c>
      <c r="E1552" s="12" t="s">
        <v>5332</v>
      </c>
      <c r="F1552" s="12" t="s">
        <v>5328</v>
      </c>
      <c r="G1552" s="12" t="s">
        <v>8174</v>
      </c>
      <c r="H1552" s="12">
        <v>15468</v>
      </c>
    </row>
    <row r="1553" spans="1:8">
      <c r="A1553" s="12" t="s">
        <v>8175</v>
      </c>
      <c r="B1553" s="13">
        <v>1.1000000000000001</v>
      </c>
      <c r="C1553" s="16" t="s">
        <v>5331</v>
      </c>
      <c r="D1553" s="12">
        <v>3.3</v>
      </c>
      <c r="E1553" s="12" t="s">
        <v>5332</v>
      </c>
      <c r="F1553" s="12" t="s">
        <v>5328</v>
      </c>
      <c r="G1553" s="12" t="s">
        <v>8176</v>
      </c>
      <c r="H1553" s="12">
        <v>17830</v>
      </c>
    </row>
    <row r="1554" spans="1:8">
      <c r="A1554" s="12" t="s">
        <v>8177</v>
      </c>
      <c r="B1554" s="13">
        <v>0.44</v>
      </c>
      <c r="C1554" s="16" t="s">
        <v>5331</v>
      </c>
      <c r="D1554" s="12">
        <v>6.29</v>
      </c>
      <c r="E1554" s="12" t="s">
        <v>5332</v>
      </c>
      <c r="F1554" s="12" t="s">
        <v>5328</v>
      </c>
      <c r="G1554" s="12" t="s">
        <v>8178</v>
      </c>
      <c r="H1554" s="12">
        <v>17831</v>
      </c>
    </row>
    <row r="1555" spans="1:8">
      <c r="A1555" s="12" t="s">
        <v>8179</v>
      </c>
      <c r="B1555" s="13">
        <v>15</v>
      </c>
      <c r="C1555" s="16" t="s">
        <v>5331</v>
      </c>
      <c r="D1555" s="12">
        <v>45</v>
      </c>
      <c r="E1555" s="12" t="s">
        <v>5332</v>
      </c>
      <c r="F1555" s="12" t="s">
        <v>5328</v>
      </c>
      <c r="G1555" s="12" t="s">
        <v>8180</v>
      </c>
      <c r="H1555" s="12">
        <v>17835</v>
      </c>
    </row>
    <row r="1556" spans="1:8">
      <c r="A1556" s="12" t="s">
        <v>8181</v>
      </c>
      <c r="B1556" s="13">
        <v>15</v>
      </c>
      <c r="C1556" s="16" t="s">
        <v>5331</v>
      </c>
      <c r="D1556" s="12">
        <v>45</v>
      </c>
      <c r="E1556" s="12" t="s">
        <v>5332</v>
      </c>
      <c r="F1556" s="12" t="s">
        <v>5328</v>
      </c>
      <c r="G1556" s="12" t="s">
        <v>8182</v>
      </c>
      <c r="H1556" s="12">
        <v>17837</v>
      </c>
    </row>
    <row r="1557" spans="1:8">
      <c r="A1557" s="12" t="s">
        <v>6873</v>
      </c>
      <c r="B1557" s="13">
        <v>15</v>
      </c>
      <c r="C1557" s="16" t="s">
        <v>5331</v>
      </c>
      <c r="D1557" s="12">
        <v>45</v>
      </c>
      <c r="E1557" s="12" t="s">
        <v>5332</v>
      </c>
      <c r="F1557" s="12" t="s">
        <v>5328</v>
      </c>
      <c r="G1557" s="12" t="s">
        <v>8183</v>
      </c>
      <c r="H1557" s="12">
        <v>17838</v>
      </c>
    </row>
    <row r="1558" spans="1:8">
      <c r="A1558" s="12" t="s">
        <v>8184</v>
      </c>
      <c r="B1558" s="13">
        <v>15</v>
      </c>
      <c r="C1558" s="16" t="s">
        <v>5331</v>
      </c>
      <c r="D1558" s="12">
        <v>45</v>
      </c>
      <c r="E1558" s="12" t="s">
        <v>5332</v>
      </c>
      <c r="F1558" s="12" t="s">
        <v>5328</v>
      </c>
      <c r="G1558" s="12" t="s">
        <v>8185</v>
      </c>
      <c r="H1558" s="12">
        <v>17840</v>
      </c>
    </row>
    <row r="1559" spans="1:8">
      <c r="A1559" s="12" t="s">
        <v>6855</v>
      </c>
      <c r="B1559" s="13">
        <v>26</v>
      </c>
      <c r="C1559" s="16" t="s">
        <v>5331</v>
      </c>
      <c r="D1559" s="12">
        <v>78</v>
      </c>
      <c r="E1559" s="12" t="s">
        <v>5332</v>
      </c>
      <c r="F1559" s="12" t="s">
        <v>5328</v>
      </c>
      <c r="G1559" s="12" t="s">
        <v>8186</v>
      </c>
      <c r="H1559" s="12">
        <v>17843</v>
      </c>
    </row>
    <row r="1560" spans="1:8">
      <c r="A1560" s="12" t="s">
        <v>6859</v>
      </c>
      <c r="B1560" s="13">
        <v>26</v>
      </c>
      <c r="C1560" s="16" t="s">
        <v>5331</v>
      </c>
      <c r="D1560" s="12">
        <v>78</v>
      </c>
      <c r="E1560" s="12" t="s">
        <v>5332</v>
      </c>
      <c r="F1560" s="12" t="s">
        <v>5328</v>
      </c>
      <c r="G1560" s="12" t="s">
        <v>8187</v>
      </c>
      <c r="H1560" s="12">
        <v>17846</v>
      </c>
    </row>
    <row r="1561" spans="1:8">
      <c r="A1561" s="12" t="s">
        <v>6863</v>
      </c>
      <c r="B1561" s="13">
        <v>26</v>
      </c>
      <c r="C1561" s="16" t="s">
        <v>5331</v>
      </c>
      <c r="D1561" s="12">
        <v>78</v>
      </c>
      <c r="E1561" s="12" t="s">
        <v>5332</v>
      </c>
      <c r="F1561" s="12" t="s">
        <v>5328</v>
      </c>
      <c r="G1561" s="12" t="s">
        <v>8188</v>
      </c>
      <c r="H1561" s="12">
        <v>17849</v>
      </c>
    </row>
    <row r="1562" spans="1:8">
      <c r="A1562" s="12" t="s">
        <v>8189</v>
      </c>
      <c r="B1562" s="14">
        <v>24332.42</v>
      </c>
      <c r="C1562" s="16" t="s">
        <v>5331</v>
      </c>
      <c r="D1562" s="12">
        <v>283472</v>
      </c>
      <c r="E1562" s="12" t="s">
        <v>5332</v>
      </c>
      <c r="F1562" s="12" t="s">
        <v>5328</v>
      </c>
      <c r="G1562" s="12" t="s">
        <v>8190</v>
      </c>
      <c r="H1562" s="12">
        <v>194078</v>
      </c>
    </row>
    <row r="1563" spans="1:8">
      <c r="A1563" s="12" t="s">
        <v>8191</v>
      </c>
      <c r="B1563" s="14">
        <v>20347.43</v>
      </c>
      <c r="C1563" s="16" t="s">
        <v>5331</v>
      </c>
      <c r="D1563" s="12">
        <v>210000</v>
      </c>
      <c r="E1563" s="12" t="s">
        <v>5332</v>
      </c>
      <c r="F1563" s="12" t="s">
        <v>5328</v>
      </c>
      <c r="G1563" s="12" t="s">
        <v>8192</v>
      </c>
      <c r="H1563" s="12">
        <v>21058</v>
      </c>
    </row>
    <row r="1564" spans="1:8">
      <c r="A1564" s="12" t="s">
        <v>8191</v>
      </c>
      <c r="B1564" s="14">
        <v>20347.43</v>
      </c>
      <c r="C1564" s="16" t="s">
        <v>5331</v>
      </c>
      <c r="D1564" s="12">
        <v>67904.55</v>
      </c>
      <c r="E1564" s="12" t="s">
        <v>5332</v>
      </c>
      <c r="F1564" s="12" t="s">
        <v>5328</v>
      </c>
      <c r="G1564" s="12" t="s">
        <v>8192</v>
      </c>
      <c r="H1564" s="12">
        <v>21058</v>
      </c>
    </row>
    <row r="1565" spans="1:8">
      <c r="A1565" s="12" t="s">
        <v>8189</v>
      </c>
      <c r="B1565" s="14">
        <v>24226.92</v>
      </c>
      <c r="C1565" s="16" t="s">
        <v>5331</v>
      </c>
      <c r="D1565" s="12">
        <v>243000</v>
      </c>
      <c r="E1565" s="12" t="s">
        <v>5332</v>
      </c>
      <c r="F1565" s="12" t="s">
        <v>5328</v>
      </c>
      <c r="G1565" s="12" t="s">
        <v>8193</v>
      </c>
      <c r="H1565" s="12">
        <v>38934</v>
      </c>
    </row>
    <row r="1566" spans="1:8">
      <c r="A1566" s="12" t="s">
        <v>8194</v>
      </c>
      <c r="B1566" s="14">
        <v>15953.78</v>
      </c>
      <c r="C1566" s="16" t="s">
        <v>5331</v>
      </c>
      <c r="D1566" s="12">
        <v>235759</v>
      </c>
      <c r="E1566" s="12" t="s">
        <v>5332</v>
      </c>
      <c r="F1566" s="12" t="s">
        <v>5328</v>
      </c>
      <c r="G1566" s="12" t="s">
        <v>8195</v>
      </c>
      <c r="H1566" s="12">
        <v>193907</v>
      </c>
    </row>
    <row r="1567" spans="1:8">
      <c r="A1567" s="12" t="s">
        <v>8194</v>
      </c>
      <c r="B1567" s="14">
        <v>20366</v>
      </c>
      <c r="C1567" s="16" t="s">
        <v>5331</v>
      </c>
      <c r="D1567" s="12">
        <v>194400</v>
      </c>
      <c r="E1567" s="12" t="s">
        <v>5332</v>
      </c>
      <c r="F1567" s="12" t="s">
        <v>5328</v>
      </c>
      <c r="G1567" s="12" t="s">
        <v>8196</v>
      </c>
      <c r="H1567" s="12">
        <v>52810</v>
      </c>
    </row>
    <row r="1568" spans="1:8">
      <c r="A1568" s="12" t="s">
        <v>8197</v>
      </c>
      <c r="B1568" s="13">
        <v>0</v>
      </c>
      <c r="C1568" s="16" t="s">
        <v>5331</v>
      </c>
      <c r="D1568" s="12">
        <v>39384.14</v>
      </c>
      <c r="E1568" s="12" t="s">
        <v>5332</v>
      </c>
      <c r="F1568" s="12" t="s">
        <v>5328</v>
      </c>
      <c r="G1568" s="12" t="s">
        <v>8198</v>
      </c>
      <c r="H1568" s="12">
        <v>193906</v>
      </c>
    </row>
    <row r="1569" spans="1:8">
      <c r="A1569" s="12" t="s">
        <v>8197</v>
      </c>
      <c r="B1569" s="13">
        <v>0</v>
      </c>
      <c r="C1569" s="16" t="s">
        <v>5331</v>
      </c>
      <c r="D1569" s="12">
        <v>39384.14</v>
      </c>
      <c r="E1569" s="12" t="s">
        <v>5332</v>
      </c>
      <c r="F1569" s="12" t="s">
        <v>5328</v>
      </c>
      <c r="G1569" s="12" t="s">
        <v>8199</v>
      </c>
      <c r="H1569" s="12">
        <v>21059</v>
      </c>
    </row>
    <row r="1570" spans="1:8">
      <c r="A1570" s="12" t="s">
        <v>8200</v>
      </c>
      <c r="B1570" s="14">
        <v>27599.8</v>
      </c>
      <c r="C1570" s="16" t="s">
        <v>5331</v>
      </c>
      <c r="D1570" s="12">
        <v>366297</v>
      </c>
      <c r="E1570" s="12" t="s">
        <v>5332</v>
      </c>
      <c r="F1570" s="12" t="s">
        <v>5328</v>
      </c>
      <c r="G1570" s="12" t="s">
        <v>8201</v>
      </c>
      <c r="H1570" s="12">
        <v>194077</v>
      </c>
    </row>
    <row r="1571" spans="1:8">
      <c r="A1571" s="12" t="s">
        <v>8202</v>
      </c>
      <c r="B1571" s="14">
        <v>29972</v>
      </c>
      <c r="C1571" s="16" t="s">
        <v>5331</v>
      </c>
      <c r="D1571" s="12">
        <v>270000</v>
      </c>
      <c r="E1571" s="12" t="s">
        <v>5332</v>
      </c>
      <c r="F1571" s="12" t="s">
        <v>5328</v>
      </c>
      <c r="G1571" s="12" t="s">
        <v>8203</v>
      </c>
      <c r="H1571" s="12">
        <v>21060</v>
      </c>
    </row>
    <row r="1572" spans="1:8">
      <c r="A1572" s="12" t="s">
        <v>8200</v>
      </c>
      <c r="B1572" s="14">
        <v>34089.589999999997</v>
      </c>
      <c r="C1572" s="16" t="s">
        <v>5331</v>
      </c>
      <c r="D1572" s="12">
        <v>314000</v>
      </c>
      <c r="E1572" s="12" t="s">
        <v>5332</v>
      </c>
      <c r="F1572" s="12" t="s">
        <v>5328</v>
      </c>
      <c r="G1572" s="12" t="s">
        <v>8204</v>
      </c>
      <c r="H1572" s="12">
        <v>38935</v>
      </c>
    </row>
    <row r="1573" spans="1:8">
      <c r="A1573" s="12" t="s">
        <v>8205</v>
      </c>
      <c r="B1573" s="14">
        <v>19213.43</v>
      </c>
      <c r="C1573" s="16" t="s">
        <v>5331</v>
      </c>
      <c r="D1573" s="12">
        <v>304643</v>
      </c>
      <c r="E1573" s="12" t="s">
        <v>5332</v>
      </c>
      <c r="F1573" s="12" t="s">
        <v>5328</v>
      </c>
      <c r="G1573" s="12" t="s">
        <v>8206</v>
      </c>
      <c r="H1573" s="12">
        <v>193905</v>
      </c>
    </row>
    <row r="1574" spans="1:8">
      <c r="A1574" s="12" t="s">
        <v>8205</v>
      </c>
      <c r="B1574" s="14">
        <v>24662.38</v>
      </c>
      <c r="C1574" s="16" t="s">
        <v>5331</v>
      </c>
      <c r="D1574" s="12">
        <v>251200</v>
      </c>
      <c r="E1574" s="12" t="s">
        <v>5332</v>
      </c>
      <c r="F1574" s="12" t="s">
        <v>5328</v>
      </c>
      <c r="G1574" s="12" t="s">
        <v>8207</v>
      </c>
      <c r="H1574" s="12">
        <v>52811</v>
      </c>
    </row>
    <row r="1575" spans="1:8">
      <c r="A1575" s="12" t="s">
        <v>8208</v>
      </c>
      <c r="B1575" s="13">
        <v>0</v>
      </c>
      <c r="C1575" s="16" t="s">
        <v>5331</v>
      </c>
      <c r="D1575" s="12">
        <v>264000</v>
      </c>
      <c r="E1575" s="12" t="s">
        <v>5332</v>
      </c>
      <c r="F1575" s="12" t="s">
        <v>5328</v>
      </c>
      <c r="G1575" s="12" t="s">
        <v>8209</v>
      </c>
      <c r="H1575" s="12">
        <v>194140</v>
      </c>
    </row>
    <row r="1576" spans="1:8">
      <c r="A1576" s="12" t="s">
        <v>8208</v>
      </c>
      <c r="B1576" s="14">
        <v>29965.55</v>
      </c>
      <c r="C1576" s="16" t="s">
        <v>5331</v>
      </c>
      <c r="D1576" s="12">
        <v>264000</v>
      </c>
      <c r="E1576" s="12" t="s">
        <v>5332</v>
      </c>
      <c r="F1576" s="12" t="s">
        <v>5328</v>
      </c>
      <c r="G1576" s="12" t="s">
        <v>8210</v>
      </c>
      <c r="H1576" s="12">
        <v>64492</v>
      </c>
    </row>
    <row r="1577" spans="1:8">
      <c r="A1577" s="12" t="s">
        <v>8211</v>
      </c>
      <c r="B1577" s="13">
        <v>0</v>
      </c>
      <c r="C1577" s="16" t="s">
        <v>5331</v>
      </c>
      <c r="D1577" s="12">
        <v>211200</v>
      </c>
      <c r="E1577" s="12" t="s">
        <v>5332</v>
      </c>
      <c r="F1577" s="12" t="s">
        <v>5328</v>
      </c>
      <c r="G1577" s="12" t="s">
        <v>8212</v>
      </c>
      <c r="H1577" s="12">
        <v>193904</v>
      </c>
    </row>
    <row r="1578" spans="1:8">
      <c r="A1578" s="12" t="s">
        <v>8211</v>
      </c>
      <c r="B1578" s="13">
        <v>0</v>
      </c>
      <c r="C1578" s="16" t="s">
        <v>5331</v>
      </c>
      <c r="D1578" s="12">
        <v>211200</v>
      </c>
      <c r="E1578" s="12" t="s">
        <v>5332</v>
      </c>
      <c r="F1578" s="12" t="s">
        <v>5328</v>
      </c>
      <c r="G1578" s="12" t="s">
        <v>8213</v>
      </c>
      <c r="H1578" s="12">
        <v>105860</v>
      </c>
    </row>
    <row r="1579" spans="1:8">
      <c r="A1579" s="12" t="s">
        <v>8214</v>
      </c>
      <c r="B1579" s="14">
        <v>49667.18</v>
      </c>
      <c r="C1579" s="16" t="s">
        <v>5331</v>
      </c>
      <c r="D1579" s="12">
        <v>518244</v>
      </c>
      <c r="E1579" s="12" t="s">
        <v>5332</v>
      </c>
      <c r="F1579" s="12" t="s">
        <v>5328</v>
      </c>
      <c r="G1579" s="12" t="s">
        <v>8215</v>
      </c>
      <c r="H1579" s="12">
        <v>194076</v>
      </c>
    </row>
    <row r="1580" spans="1:8">
      <c r="A1580" s="12" t="s">
        <v>8216</v>
      </c>
      <c r="B1580" s="14">
        <v>51346.16</v>
      </c>
      <c r="C1580" s="16" t="s">
        <v>5331</v>
      </c>
      <c r="D1580" s="12">
        <v>370000</v>
      </c>
      <c r="E1580" s="12" t="s">
        <v>5332</v>
      </c>
      <c r="F1580" s="12" t="s">
        <v>5328</v>
      </c>
      <c r="G1580" s="12" t="s">
        <v>8217</v>
      </c>
      <c r="H1580" s="12">
        <v>21061</v>
      </c>
    </row>
    <row r="1581" spans="1:8">
      <c r="A1581" s="12" t="s">
        <v>8214</v>
      </c>
      <c r="B1581" s="14">
        <v>52321.98</v>
      </c>
      <c r="C1581" s="16" t="s">
        <v>5331</v>
      </c>
      <c r="D1581" s="12">
        <v>418950</v>
      </c>
      <c r="E1581" s="12" t="s">
        <v>5332</v>
      </c>
      <c r="F1581" s="12" t="s">
        <v>5328</v>
      </c>
      <c r="G1581" s="12" t="s">
        <v>8218</v>
      </c>
      <c r="H1581" s="12">
        <v>37329</v>
      </c>
    </row>
    <row r="1582" spans="1:8">
      <c r="A1582" s="12" t="s">
        <v>8219</v>
      </c>
      <c r="B1582" s="14">
        <v>34347.86</v>
      </c>
      <c r="C1582" s="16" t="s">
        <v>5331</v>
      </c>
      <c r="D1582" s="12">
        <v>426789</v>
      </c>
      <c r="E1582" s="12" t="s">
        <v>5332</v>
      </c>
      <c r="F1582" s="12" t="s">
        <v>5328</v>
      </c>
      <c r="G1582" s="12" t="s">
        <v>8220</v>
      </c>
      <c r="H1582" s="12">
        <v>193903</v>
      </c>
    </row>
    <row r="1583" spans="1:8">
      <c r="A1583" s="12" t="s">
        <v>8219</v>
      </c>
      <c r="B1583" s="14">
        <v>40259</v>
      </c>
      <c r="C1583" s="16" t="s">
        <v>5331</v>
      </c>
      <c r="D1583" s="12">
        <v>335160</v>
      </c>
      <c r="E1583" s="12" t="s">
        <v>5332</v>
      </c>
      <c r="F1583" s="12" t="s">
        <v>5328</v>
      </c>
      <c r="G1583" s="12" t="s">
        <v>8221</v>
      </c>
      <c r="H1583" s="12">
        <v>52812</v>
      </c>
    </row>
    <row r="1584" spans="1:8">
      <c r="A1584" s="12" t="s">
        <v>8222</v>
      </c>
      <c r="B1584" s="13">
        <v>0</v>
      </c>
      <c r="C1584" s="16" t="s">
        <v>5331</v>
      </c>
      <c r="D1584" s="12">
        <v>77001.399999999994</v>
      </c>
      <c r="E1584" s="12" t="s">
        <v>5332</v>
      </c>
      <c r="F1584" s="12" t="s">
        <v>5328</v>
      </c>
      <c r="G1584" s="12" t="s">
        <v>8223</v>
      </c>
      <c r="H1584" s="12">
        <v>193902</v>
      </c>
    </row>
    <row r="1585" spans="1:8">
      <c r="A1585" s="12" t="s">
        <v>8222</v>
      </c>
      <c r="B1585" s="14">
        <v>17398.080000000002</v>
      </c>
      <c r="C1585" s="16" t="s">
        <v>5331</v>
      </c>
      <c r="D1585" s="12">
        <v>77001.399999999994</v>
      </c>
      <c r="E1585" s="12" t="s">
        <v>5332</v>
      </c>
      <c r="F1585" s="12" t="s">
        <v>5328</v>
      </c>
      <c r="G1585" s="12" t="s">
        <v>8224</v>
      </c>
      <c r="H1585" s="12">
        <v>21183</v>
      </c>
    </row>
    <row r="1586" spans="1:8">
      <c r="A1586" s="12" t="s">
        <v>8225</v>
      </c>
      <c r="B1586" s="13">
        <v>0</v>
      </c>
      <c r="C1586" s="16" t="s">
        <v>5331</v>
      </c>
      <c r="D1586" s="12">
        <v>20713.310000000001</v>
      </c>
      <c r="E1586" s="12" t="s">
        <v>5332</v>
      </c>
      <c r="F1586" s="12" t="s">
        <v>5328</v>
      </c>
      <c r="G1586" s="12" t="s">
        <v>8226</v>
      </c>
      <c r="H1586" s="12">
        <v>193901</v>
      </c>
    </row>
    <row r="1587" spans="1:8">
      <c r="A1587" s="12" t="s">
        <v>8225</v>
      </c>
      <c r="B1587" s="13">
        <v>0</v>
      </c>
      <c r="C1587" s="16" t="s">
        <v>5331</v>
      </c>
      <c r="D1587" s="12">
        <v>20713.310000000001</v>
      </c>
      <c r="E1587" s="12" t="s">
        <v>5332</v>
      </c>
      <c r="F1587" s="12" t="s">
        <v>5328</v>
      </c>
      <c r="G1587" s="12" t="s">
        <v>8227</v>
      </c>
      <c r="H1587" s="12">
        <v>21062</v>
      </c>
    </row>
    <row r="1588" spans="1:8">
      <c r="A1588" s="12" t="s">
        <v>8228</v>
      </c>
      <c r="B1588" s="14">
        <v>14633.41</v>
      </c>
      <c r="C1588" s="16" t="s">
        <v>5331</v>
      </c>
      <c r="D1588" s="12">
        <v>99990</v>
      </c>
      <c r="E1588" s="12" t="s">
        <v>5332</v>
      </c>
      <c r="F1588" s="12" t="s">
        <v>5328</v>
      </c>
      <c r="G1588" s="12" t="s">
        <v>8229</v>
      </c>
      <c r="H1588" s="12">
        <v>194075</v>
      </c>
    </row>
    <row r="1589" spans="1:8">
      <c r="A1589" s="12" t="s">
        <v>8228</v>
      </c>
      <c r="B1589" s="14">
        <v>16253.74</v>
      </c>
      <c r="C1589" s="16" t="s">
        <v>5331</v>
      </c>
      <c r="D1589" s="12">
        <v>85714</v>
      </c>
      <c r="E1589" s="12" t="s">
        <v>5332</v>
      </c>
      <c r="F1589" s="12" t="s">
        <v>5328</v>
      </c>
      <c r="G1589" s="12" t="s">
        <v>8230</v>
      </c>
      <c r="H1589" s="12">
        <v>21063</v>
      </c>
    </row>
    <row r="1590" spans="1:8">
      <c r="A1590" s="12" t="s">
        <v>8231</v>
      </c>
      <c r="B1590" s="13">
        <v>0</v>
      </c>
      <c r="C1590" s="16" t="s">
        <v>5331</v>
      </c>
      <c r="D1590" s="12">
        <v>83160</v>
      </c>
      <c r="E1590" s="12" t="s">
        <v>5332</v>
      </c>
      <c r="F1590" s="12" t="s">
        <v>5328</v>
      </c>
      <c r="G1590" s="12" t="s">
        <v>8232</v>
      </c>
      <c r="H1590" s="12">
        <v>193900</v>
      </c>
    </row>
    <row r="1591" spans="1:8">
      <c r="A1591" s="12" t="s">
        <v>8231</v>
      </c>
      <c r="B1591" s="13">
        <v>0</v>
      </c>
      <c r="C1591" s="16" t="s">
        <v>5331</v>
      </c>
      <c r="D1591" s="12">
        <v>68571.199999999997</v>
      </c>
      <c r="E1591" s="12" t="s">
        <v>5332</v>
      </c>
      <c r="F1591" s="12" t="s">
        <v>5328</v>
      </c>
      <c r="G1591" s="12" t="s">
        <v>8233</v>
      </c>
      <c r="H1591" s="12">
        <v>52813</v>
      </c>
    </row>
    <row r="1592" spans="1:8">
      <c r="A1592" s="12" t="s">
        <v>8234</v>
      </c>
      <c r="B1592" s="14">
        <v>17441.75</v>
      </c>
      <c r="C1592" s="16" t="s">
        <v>5331</v>
      </c>
      <c r="D1592" s="12">
        <v>149985</v>
      </c>
      <c r="E1592" s="12" t="s">
        <v>5332</v>
      </c>
      <c r="F1592" s="12" t="s">
        <v>5328</v>
      </c>
      <c r="G1592" s="12" t="s">
        <v>8235</v>
      </c>
      <c r="H1592" s="12">
        <v>194074</v>
      </c>
    </row>
    <row r="1593" spans="1:8">
      <c r="A1593" s="12" t="s">
        <v>8236</v>
      </c>
      <c r="B1593" s="14">
        <v>30528.79</v>
      </c>
      <c r="C1593" s="16" t="s">
        <v>5331</v>
      </c>
      <c r="D1593" s="12">
        <v>130000</v>
      </c>
      <c r="E1593" s="12" t="s">
        <v>5332</v>
      </c>
      <c r="F1593" s="12" t="s">
        <v>5328</v>
      </c>
      <c r="G1593" s="12" t="s">
        <v>8237</v>
      </c>
      <c r="H1593" s="12">
        <v>21064</v>
      </c>
    </row>
    <row r="1594" spans="1:8">
      <c r="A1594" s="12" t="s">
        <v>8234</v>
      </c>
      <c r="B1594" s="14">
        <v>21613.03</v>
      </c>
      <c r="C1594" s="16" t="s">
        <v>5331</v>
      </c>
      <c r="D1594" s="12">
        <v>128571</v>
      </c>
      <c r="E1594" s="12" t="s">
        <v>5332</v>
      </c>
      <c r="F1594" s="12" t="s">
        <v>5328</v>
      </c>
      <c r="G1594" s="12" t="s">
        <v>8238</v>
      </c>
      <c r="H1594" s="12">
        <v>43229</v>
      </c>
    </row>
    <row r="1595" spans="1:8">
      <c r="A1595" s="12" t="s">
        <v>8239</v>
      </c>
      <c r="B1595" s="13">
        <v>0</v>
      </c>
      <c r="C1595" s="16" t="s">
        <v>5331</v>
      </c>
      <c r="D1595" s="12">
        <v>124740</v>
      </c>
      <c r="E1595" s="12" t="s">
        <v>5332</v>
      </c>
      <c r="F1595" s="12" t="s">
        <v>5328</v>
      </c>
      <c r="G1595" s="12" t="s">
        <v>8240</v>
      </c>
      <c r="H1595" s="12">
        <v>193899</v>
      </c>
    </row>
    <row r="1596" spans="1:8">
      <c r="A1596" s="12" t="s">
        <v>8239</v>
      </c>
      <c r="B1596" s="13">
        <v>0</v>
      </c>
      <c r="C1596" s="16" t="s">
        <v>5331</v>
      </c>
      <c r="D1596" s="12">
        <v>102856.8</v>
      </c>
      <c r="E1596" s="12" t="s">
        <v>5332</v>
      </c>
      <c r="F1596" s="12" t="s">
        <v>5328</v>
      </c>
      <c r="G1596" s="12" t="s">
        <v>8241</v>
      </c>
      <c r="H1596" s="12">
        <v>52814</v>
      </c>
    </row>
    <row r="1597" spans="1:8">
      <c r="A1597" s="12" t="s">
        <v>8242</v>
      </c>
      <c r="B1597" s="14">
        <v>21724.46</v>
      </c>
      <c r="C1597" s="16" t="s">
        <v>5331</v>
      </c>
      <c r="D1597" s="12">
        <v>203941</v>
      </c>
      <c r="E1597" s="12" t="s">
        <v>5332</v>
      </c>
      <c r="F1597" s="12" t="s">
        <v>5328</v>
      </c>
      <c r="G1597" s="12" t="s">
        <v>8243</v>
      </c>
      <c r="H1597" s="12">
        <v>194073</v>
      </c>
    </row>
    <row r="1598" spans="1:8">
      <c r="A1598" s="12" t="s">
        <v>8244</v>
      </c>
      <c r="B1598" s="14">
        <v>33025.730000000003</v>
      </c>
      <c r="C1598" s="16" t="s">
        <v>5331</v>
      </c>
      <c r="D1598" s="12">
        <v>180000</v>
      </c>
      <c r="E1598" s="12" t="s">
        <v>5332</v>
      </c>
      <c r="F1598" s="12" t="s">
        <v>5328</v>
      </c>
      <c r="G1598" s="12" t="s">
        <v>8245</v>
      </c>
      <c r="H1598" s="12">
        <v>21065</v>
      </c>
    </row>
    <row r="1599" spans="1:8">
      <c r="A1599" s="12" t="s">
        <v>8244</v>
      </c>
      <c r="B1599" s="14">
        <v>33025.730000000003</v>
      </c>
      <c r="C1599" s="16" t="s">
        <v>5331</v>
      </c>
      <c r="D1599" s="12">
        <v>68239.48</v>
      </c>
      <c r="E1599" s="12" t="s">
        <v>5332</v>
      </c>
      <c r="F1599" s="12" t="s">
        <v>5328</v>
      </c>
      <c r="G1599" s="12" t="s">
        <v>8245</v>
      </c>
      <c r="H1599" s="12">
        <v>21065</v>
      </c>
    </row>
    <row r="1600" spans="1:8">
      <c r="A1600" s="12" t="s">
        <v>8242</v>
      </c>
      <c r="B1600" s="14">
        <v>27498.65</v>
      </c>
      <c r="C1600" s="16" t="s">
        <v>5331</v>
      </c>
      <c r="D1600" s="12">
        <v>171429</v>
      </c>
      <c r="E1600" s="12" t="s">
        <v>5332</v>
      </c>
      <c r="F1600" s="12" t="s">
        <v>5328</v>
      </c>
      <c r="G1600" s="12" t="s">
        <v>8246</v>
      </c>
      <c r="H1600" s="12">
        <v>43228</v>
      </c>
    </row>
    <row r="1601" spans="1:8">
      <c r="A1601" s="12" t="s">
        <v>8247</v>
      </c>
      <c r="B1601" s="14">
        <v>15090.51</v>
      </c>
      <c r="C1601" s="16" t="s">
        <v>5331</v>
      </c>
      <c r="D1601" s="12">
        <v>166320</v>
      </c>
      <c r="E1601" s="12" t="s">
        <v>5332</v>
      </c>
      <c r="F1601" s="12" t="s">
        <v>5328</v>
      </c>
      <c r="G1601" s="12" t="s">
        <v>8248</v>
      </c>
      <c r="H1601" s="12">
        <v>193898</v>
      </c>
    </row>
    <row r="1602" spans="1:8">
      <c r="A1602" s="12" t="s">
        <v>8247</v>
      </c>
      <c r="B1602" s="14">
        <v>19364</v>
      </c>
      <c r="C1602" s="16" t="s">
        <v>5331</v>
      </c>
      <c r="D1602" s="12">
        <v>137143.20000000001</v>
      </c>
      <c r="E1602" s="12" t="s">
        <v>5332</v>
      </c>
      <c r="F1602" s="12" t="s">
        <v>5328</v>
      </c>
      <c r="G1602" s="12" t="s">
        <v>8249</v>
      </c>
      <c r="H1602" s="12">
        <v>52815</v>
      </c>
    </row>
    <row r="1603" spans="1:8">
      <c r="A1603" s="12" t="s">
        <v>8250</v>
      </c>
      <c r="B1603" s="13">
        <v>0</v>
      </c>
      <c r="C1603" s="16" t="s">
        <v>5331</v>
      </c>
      <c r="D1603" s="12">
        <v>80499.58</v>
      </c>
      <c r="E1603" s="12" t="s">
        <v>5332</v>
      </c>
      <c r="F1603" s="12" t="s">
        <v>5328</v>
      </c>
      <c r="G1603" s="12" t="s">
        <v>8251</v>
      </c>
      <c r="H1603" s="12">
        <v>193897</v>
      </c>
    </row>
    <row r="1604" spans="1:8">
      <c r="A1604" s="12" t="s">
        <v>8250</v>
      </c>
      <c r="B1604" s="14">
        <v>14246.52</v>
      </c>
      <c r="C1604" s="16" t="s">
        <v>5331</v>
      </c>
      <c r="D1604" s="12">
        <v>80499.58</v>
      </c>
      <c r="E1604" s="12" t="s">
        <v>5332</v>
      </c>
      <c r="F1604" s="12" t="s">
        <v>5328</v>
      </c>
      <c r="G1604" s="12" t="s">
        <v>8252</v>
      </c>
      <c r="H1604" s="12">
        <v>21184</v>
      </c>
    </row>
    <row r="1605" spans="1:8">
      <c r="A1605" s="12" t="s">
        <v>8253</v>
      </c>
      <c r="B1605" s="13">
        <v>0</v>
      </c>
      <c r="C1605" s="16" t="s">
        <v>5331</v>
      </c>
      <c r="D1605" s="12">
        <v>45769.779280000002</v>
      </c>
      <c r="E1605" s="12" t="s">
        <v>5332</v>
      </c>
      <c r="F1605" s="12" t="s">
        <v>5328</v>
      </c>
      <c r="G1605" s="12" t="s">
        <v>8254</v>
      </c>
      <c r="H1605" s="12">
        <v>193896</v>
      </c>
    </row>
    <row r="1606" spans="1:8">
      <c r="A1606" s="12" t="s">
        <v>8253</v>
      </c>
      <c r="B1606" s="14">
        <v>17509.919999999998</v>
      </c>
      <c r="C1606" s="16" t="s">
        <v>5331</v>
      </c>
      <c r="D1606" s="12">
        <v>45769.779280000002</v>
      </c>
      <c r="E1606" s="12" t="s">
        <v>5332</v>
      </c>
      <c r="F1606" s="12" t="s">
        <v>5328</v>
      </c>
      <c r="G1606" s="12" t="s">
        <v>8255</v>
      </c>
      <c r="H1606" s="12">
        <v>30487</v>
      </c>
    </row>
    <row r="1607" spans="1:8">
      <c r="A1607" s="12" t="s">
        <v>8256</v>
      </c>
      <c r="B1607" s="14">
        <v>44967.82</v>
      </c>
      <c r="C1607" s="16" t="s">
        <v>5331</v>
      </c>
      <c r="D1607" s="12">
        <v>422938</v>
      </c>
      <c r="E1607" s="12" t="s">
        <v>5332</v>
      </c>
      <c r="F1607" s="12" t="s">
        <v>5328</v>
      </c>
      <c r="G1607" s="12" t="s">
        <v>8257</v>
      </c>
      <c r="H1607" s="12">
        <v>194072</v>
      </c>
    </row>
    <row r="1608" spans="1:8">
      <c r="A1608" s="12" t="s">
        <v>8256</v>
      </c>
      <c r="B1608" s="14">
        <v>52202.87</v>
      </c>
      <c r="C1608" s="16" t="s">
        <v>5331</v>
      </c>
      <c r="D1608" s="12">
        <v>359000</v>
      </c>
      <c r="E1608" s="12" t="s">
        <v>5332</v>
      </c>
      <c r="F1608" s="12" t="s">
        <v>5328</v>
      </c>
      <c r="G1608" s="12" t="s">
        <v>8258</v>
      </c>
      <c r="H1608" s="12">
        <v>41826</v>
      </c>
    </row>
    <row r="1609" spans="1:8">
      <c r="A1609" s="12" t="s">
        <v>8259</v>
      </c>
      <c r="B1609" s="13">
        <v>0</v>
      </c>
      <c r="C1609" s="16" t="s">
        <v>5331</v>
      </c>
      <c r="D1609" s="12">
        <v>348302</v>
      </c>
      <c r="E1609" s="12" t="s">
        <v>5332</v>
      </c>
      <c r="F1609" s="12" t="s">
        <v>5328</v>
      </c>
      <c r="G1609" s="12" t="s">
        <v>8260</v>
      </c>
      <c r="H1609" s="12">
        <v>193895</v>
      </c>
    </row>
    <row r="1610" spans="1:8">
      <c r="A1610" s="12" t="s">
        <v>8259</v>
      </c>
      <c r="B1610" s="14">
        <v>37702.9</v>
      </c>
      <c r="C1610" s="16" t="s">
        <v>5331</v>
      </c>
      <c r="D1610" s="12">
        <v>287200</v>
      </c>
      <c r="E1610" s="12" t="s">
        <v>5332</v>
      </c>
      <c r="F1610" s="12" t="s">
        <v>5328</v>
      </c>
      <c r="G1610" s="12" t="s">
        <v>8261</v>
      </c>
      <c r="H1610" s="12">
        <v>52816</v>
      </c>
    </row>
    <row r="1611" spans="1:8">
      <c r="A1611" s="12" t="s">
        <v>8262</v>
      </c>
      <c r="B1611" s="14">
        <v>19175.45</v>
      </c>
      <c r="C1611" s="16" t="s">
        <v>5331</v>
      </c>
      <c r="D1611" s="12">
        <v>149985</v>
      </c>
      <c r="E1611" s="12" t="s">
        <v>5332</v>
      </c>
      <c r="F1611" s="12" t="s">
        <v>5328</v>
      </c>
      <c r="G1611" s="12" t="s">
        <v>8263</v>
      </c>
      <c r="H1611" s="12">
        <v>194071</v>
      </c>
    </row>
    <row r="1612" spans="1:8">
      <c r="A1612" s="12" t="s">
        <v>8262</v>
      </c>
      <c r="B1612" s="14">
        <v>22188.959999999999</v>
      </c>
      <c r="C1612" s="16" t="s">
        <v>5331</v>
      </c>
      <c r="D1612" s="12">
        <v>128571</v>
      </c>
      <c r="E1612" s="12" t="s">
        <v>5332</v>
      </c>
      <c r="F1612" s="12" t="s">
        <v>5328</v>
      </c>
      <c r="G1612" s="12" t="s">
        <v>8264</v>
      </c>
      <c r="H1612" s="12">
        <v>43230</v>
      </c>
    </row>
    <row r="1613" spans="1:8">
      <c r="A1613" s="12" t="s">
        <v>8265</v>
      </c>
      <c r="B1613" s="13">
        <v>0</v>
      </c>
      <c r="C1613" s="16" t="s">
        <v>5331</v>
      </c>
      <c r="D1613" s="12">
        <v>124740</v>
      </c>
      <c r="E1613" s="12" t="s">
        <v>5332</v>
      </c>
      <c r="F1613" s="12" t="s">
        <v>5328</v>
      </c>
      <c r="G1613" s="12" t="s">
        <v>8266</v>
      </c>
      <c r="H1613" s="12">
        <v>193894</v>
      </c>
    </row>
    <row r="1614" spans="1:8">
      <c r="A1614" s="12" t="s">
        <v>8265</v>
      </c>
      <c r="B1614" s="13">
        <v>0</v>
      </c>
      <c r="C1614" s="16" t="s">
        <v>5331</v>
      </c>
      <c r="D1614" s="12">
        <v>102856.8</v>
      </c>
      <c r="E1614" s="12" t="s">
        <v>5332</v>
      </c>
      <c r="F1614" s="12" t="s">
        <v>5328</v>
      </c>
      <c r="G1614" s="12" t="s">
        <v>8267</v>
      </c>
      <c r="H1614" s="12">
        <v>52817</v>
      </c>
    </row>
    <row r="1615" spans="1:8">
      <c r="A1615" s="12" t="s">
        <v>8268</v>
      </c>
      <c r="B1615" s="14">
        <v>2791.09</v>
      </c>
      <c r="C1615" s="16" t="s">
        <v>5331</v>
      </c>
      <c r="D1615" s="12">
        <v>28875</v>
      </c>
      <c r="E1615" s="12" t="s">
        <v>5332</v>
      </c>
      <c r="F1615" s="12" t="s">
        <v>5328</v>
      </c>
      <c r="G1615" s="12" t="s">
        <v>8269</v>
      </c>
      <c r="H1615" s="12">
        <v>193892</v>
      </c>
    </row>
    <row r="1616" spans="1:8">
      <c r="A1616" s="12" t="s">
        <v>8268</v>
      </c>
      <c r="B1616" s="14">
        <v>2858.76</v>
      </c>
      <c r="C1616" s="16" t="s">
        <v>5331</v>
      </c>
      <c r="D1616" s="12">
        <v>25000</v>
      </c>
      <c r="E1616" s="12" t="s">
        <v>5332</v>
      </c>
      <c r="F1616" s="12" t="s">
        <v>5328</v>
      </c>
      <c r="G1616" s="12" t="s">
        <v>8270</v>
      </c>
      <c r="H1616" s="12">
        <v>21066</v>
      </c>
    </row>
    <row r="1617" spans="1:8">
      <c r="A1617" s="12" t="s">
        <v>8271</v>
      </c>
      <c r="B1617" s="14">
        <v>1842.26</v>
      </c>
      <c r="C1617" s="16" t="s">
        <v>5331</v>
      </c>
      <c r="D1617" s="12">
        <v>20790</v>
      </c>
      <c r="E1617" s="12" t="s">
        <v>5332</v>
      </c>
      <c r="F1617" s="12" t="s">
        <v>5328</v>
      </c>
      <c r="G1617" s="12" t="s">
        <v>8272</v>
      </c>
      <c r="H1617" s="12">
        <v>193891</v>
      </c>
    </row>
    <row r="1618" spans="1:8">
      <c r="A1618" s="12" t="s">
        <v>8271</v>
      </c>
      <c r="B1618" s="14">
        <v>1987.16</v>
      </c>
      <c r="C1618" s="16" t="s">
        <v>5331</v>
      </c>
      <c r="D1618" s="12">
        <v>20000</v>
      </c>
      <c r="E1618" s="12" t="s">
        <v>5332</v>
      </c>
      <c r="F1618" s="12" t="s">
        <v>5328</v>
      </c>
      <c r="G1618" s="12" t="s">
        <v>8273</v>
      </c>
      <c r="H1618" s="12">
        <v>59287</v>
      </c>
    </row>
    <row r="1619" spans="1:8">
      <c r="A1619" s="12" t="s">
        <v>8271</v>
      </c>
      <c r="B1619" s="13">
        <v>0.01</v>
      </c>
      <c r="C1619" s="16" t="s">
        <v>5331</v>
      </c>
      <c r="D1619" s="12">
        <v>21000</v>
      </c>
      <c r="E1619" s="12" t="s">
        <v>5332</v>
      </c>
      <c r="F1619" s="12" t="s">
        <v>5328</v>
      </c>
      <c r="G1619" s="12" t="s">
        <v>8274</v>
      </c>
      <c r="H1619" s="12">
        <v>217738</v>
      </c>
    </row>
    <row r="1620" spans="1:8">
      <c r="A1620" s="12" t="s">
        <v>8275</v>
      </c>
      <c r="B1620" s="14">
        <v>2380.09</v>
      </c>
      <c r="C1620" s="16" t="s">
        <v>5331</v>
      </c>
      <c r="D1620" s="12">
        <v>34754</v>
      </c>
      <c r="E1620" s="12" t="s">
        <v>5332</v>
      </c>
      <c r="F1620" s="12" t="s">
        <v>5328</v>
      </c>
      <c r="G1620" s="12" t="s">
        <v>8276</v>
      </c>
      <c r="H1620" s="12">
        <v>193890</v>
      </c>
    </row>
    <row r="1621" spans="1:8">
      <c r="A1621" s="12" t="s">
        <v>8275</v>
      </c>
      <c r="B1621" s="14">
        <v>3359.62</v>
      </c>
      <c r="C1621" s="16" t="s">
        <v>5331</v>
      </c>
      <c r="D1621" s="12">
        <v>29500</v>
      </c>
      <c r="E1621" s="12" t="s">
        <v>5332</v>
      </c>
      <c r="F1621" s="12" t="s">
        <v>5328</v>
      </c>
      <c r="G1621" s="12" t="s">
        <v>8277</v>
      </c>
      <c r="H1621" s="12">
        <v>68604</v>
      </c>
    </row>
    <row r="1622" spans="1:8">
      <c r="A1622" s="12" t="s">
        <v>8278</v>
      </c>
      <c r="B1622" s="14">
        <v>1532.8</v>
      </c>
      <c r="C1622" s="16" t="s">
        <v>5331</v>
      </c>
      <c r="D1622" s="12">
        <v>28621</v>
      </c>
      <c r="E1622" s="12" t="s">
        <v>5332</v>
      </c>
      <c r="F1622" s="12" t="s">
        <v>5328</v>
      </c>
      <c r="G1622" s="12" t="s">
        <v>8279</v>
      </c>
      <c r="H1622" s="12">
        <v>193889</v>
      </c>
    </row>
    <row r="1623" spans="1:8">
      <c r="A1623" s="12" t="s">
        <v>8280</v>
      </c>
      <c r="B1623" s="14">
        <v>3357.23</v>
      </c>
      <c r="C1623" s="16" t="s">
        <v>5331</v>
      </c>
      <c r="D1623" s="12">
        <v>30975</v>
      </c>
      <c r="E1623" s="12" t="s">
        <v>5332</v>
      </c>
      <c r="F1623" s="12" t="s">
        <v>5328</v>
      </c>
      <c r="G1623" s="12" t="s">
        <v>8281</v>
      </c>
      <c r="H1623" s="12">
        <v>68605</v>
      </c>
    </row>
    <row r="1624" spans="1:8">
      <c r="A1624" s="12" t="s">
        <v>8282</v>
      </c>
      <c r="B1624" s="14">
        <v>5187.21</v>
      </c>
      <c r="C1624" s="16" t="s">
        <v>5331</v>
      </c>
      <c r="D1624" s="12">
        <v>96686</v>
      </c>
      <c r="E1624" s="12" t="s">
        <v>5332</v>
      </c>
      <c r="F1624" s="12" t="s">
        <v>5328</v>
      </c>
      <c r="G1624" s="12" t="s">
        <v>8283</v>
      </c>
      <c r="H1624" s="12">
        <v>21067</v>
      </c>
    </row>
    <row r="1625" spans="1:8">
      <c r="A1625" s="12" t="s">
        <v>8284</v>
      </c>
      <c r="B1625" s="14">
        <v>23049.89</v>
      </c>
      <c r="C1625" s="16" t="s">
        <v>5331</v>
      </c>
      <c r="D1625" s="12">
        <v>152111</v>
      </c>
      <c r="E1625" s="12" t="s">
        <v>5332</v>
      </c>
      <c r="F1625" s="12" t="s">
        <v>5328</v>
      </c>
      <c r="G1625" s="12" t="s">
        <v>8285</v>
      </c>
      <c r="H1625" s="12">
        <v>20891</v>
      </c>
    </row>
    <row r="1626" spans="1:8">
      <c r="A1626" s="12" t="s">
        <v>8284</v>
      </c>
      <c r="B1626" s="13">
        <v>0</v>
      </c>
      <c r="C1626" s="16" t="s">
        <v>5331</v>
      </c>
      <c r="D1626" s="12">
        <v>119725</v>
      </c>
      <c r="E1626" s="12" t="s">
        <v>5332</v>
      </c>
      <c r="F1626" s="12" t="s">
        <v>5328</v>
      </c>
      <c r="G1626" s="12" t="s">
        <v>8286</v>
      </c>
      <c r="H1626" s="12">
        <v>204714</v>
      </c>
    </row>
    <row r="1627" spans="1:8">
      <c r="A1627" s="12" t="s">
        <v>8284</v>
      </c>
      <c r="B1627" s="13">
        <v>0</v>
      </c>
      <c r="C1627" s="16" t="s">
        <v>5331</v>
      </c>
      <c r="D1627" s="12">
        <v>119725</v>
      </c>
      <c r="E1627" s="12" t="s">
        <v>5332</v>
      </c>
      <c r="F1627" s="12" t="s">
        <v>5328</v>
      </c>
      <c r="G1627" s="12" t="s">
        <v>8287</v>
      </c>
      <c r="H1627" s="12">
        <v>208543</v>
      </c>
    </row>
    <row r="1628" spans="1:8">
      <c r="A1628" s="12" t="s">
        <v>8284</v>
      </c>
      <c r="B1628" s="13">
        <v>0</v>
      </c>
      <c r="C1628" s="16" t="s">
        <v>5331</v>
      </c>
      <c r="D1628" s="12">
        <v>119725</v>
      </c>
      <c r="E1628" s="12" t="s">
        <v>5332</v>
      </c>
      <c r="F1628" s="12" t="s">
        <v>5328</v>
      </c>
      <c r="G1628" s="12" t="s">
        <v>8288</v>
      </c>
      <c r="H1628" s="12">
        <v>204738</v>
      </c>
    </row>
    <row r="1629" spans="1:8">
      <c r="A1629" s="12" t="s">
        <v>8289</v>
      </c>
      <c r="B1629" s="14">
        <v>1335.43</v>
      </c>
      <c r="C1629" s="16" t="s">
        <v>5331</v>
      </c>
      <c r="D1629" s="12">
        <v>403.93</v>
      </c>
      <c r="E1629" s="12" t="s">
        <v>5332</v>
      </c>
      <c r="F1629" s="12" t="s">
        <v>5328</v>
      </c>
      <c r="G1629" s="12" t="s">
        <v>8290</v>
      </c>
      <c r="H1629" s="12">
        <v>21068</v>
      </c>
    </row>
    <row r="1630" spans="1:8">
      <c r="A1630" s="12" t="s">
        <v>8291</v>
      </c>
      <c r="B1630" s="14">
        <v>4685.83</v>
      </c>
      <c r="C1630" s="16" t="s">
        <v>5331</v>
      </c>
      <c r="D1630" s="12">
        <v>0</v>
      </c>
      <c r="E1630" s="12" t="s">
        <v>5332</v>
      </c>
      <c r="F1630" s="12" t="s">
        <v>5328</v>
      </c>
      <c r="G1630" s="12" t="s">
        <v>8292</v>
      </c>
      <c r="H1630" s="12">
        <v>20892</v>
      </c>
    </row>
    <row r="1631" spans="1:8">
      <c r="A1631" s="12" t="s">
        <v>8293</v>
      </c>
      <c r="B1631" s="14">
        <v>4688.4399999999996</v>
      </c>
      <c r="C1631" s="16" t="s">
        <v>5331</v>
      </c>
      <c r="D1631" s="12">
        <v>72431</v>
      </c>
      <c r="E1631" s="12" t="s">
        <v>5332</v>
      </c>
      <c r="F1631" s="12" t="s">
        <v>5328</v>
      </c>
      <c r="G1631" s="12" t="s">
        <v>8294</v>
      </c>
      <c r="H1631" s="12">
        <v>47607</v>
      </c>
    </row>
    <row r="1632" spans="1:8">
      <c r="A1632" s="12" t="s">
        <v>8295</v>
      </c>
      <c r="B1632" s="14">
        <v>4010.16</v>
      </c>
      <c r="C1632" s="16" t="s">
        <v>5331</v>
      </c>
      <c r="D1632" s="12">
        <v>75881</v>
      </c>
      <c r="E1632" s="12" t="s">
        <v>5332</v>
      </c>
      <c r="F1632" s="12" t="s">
        <v>5328</v>
      </c>
      <c r="G1632" s="12" t="s">
        <v>8296</v>
      </c>
      <c r="H1632" s="12">
        <v>47608</v>
      </c>
    </row>
    <row r="1633" spans="1:8">
      <c r="A1633" s="12" t="s">
        <v>8297</v>
      </c>
      <c r="B1633" s="13">
        <v>192.26</v>
      </c>
      <c r="C1633" s="16" t="s">
        <v>5331</v>
      </c>
      <c r="D1633" s="12">
        <v>1562.6</v>
      </c>
      <c r="E1633" s="12" t="s">
        <v>5332</v>
      </c>
      <c r="F1633" s="12" t="s">
        <v>5328</v>
      </c>
      <c r="G1633" s="12" t="s">
        <v>8298</v>
      </c>
      <c r="H1633" s="12">
        <v>50754</v>
      </c>
    </row>
    <row r="1634" spans="1:8">
      <c r="A1634" s="12" t="s">
        <v>8299</v>
      </c>
      <c r="B1634" s="14">
        <v>4882.42</v>
      </c>
      <c r="C1634" s="16" t="s">
        <v>5331</v>
      </c>
      <c r="D1634" s="12">
        <v>13067.337240000001</v>
      </c>
      <c r="E1634" s="12" t="s">
        <v>5332</v>
      </c>
      <c r="F1634" s="12" t="s">
        <v>5328</v>
      </c>
      <c r="G1634" s="12" t="s">
        <v>8300</v>
      </c>
      <c r="H1634" s="12">
        <v>56195</v>
      </c>
    </row>
    <row r="1635" spans="1:8">
      <c r="A1635" s="12" t="s">
        <v>8301</v>
      </c>
      <c r="B1635" s="13">
        <v>83.81</v>
      </c>
      <c r="C1635" s="16" t="s">
        <v>5331</v>
      </c>
      <c r="D1635" s="12">
        <v>464.04</v>
      </c>
      <c r="E1635" s="12" t="s">
        <v>5332</v>
      </c>
      <c r="F1635" s="12" t="s">
        <v>5328</v>
      </c>
      <c r="G1635" s="12" t="s">
        <v>8302</v>
      </c>
      <c r="H1635" s="12">
        <v>61253</v>
      </c>
    </row>
    <row r="1636" spans="1:8">
      <c r="A1636" s="12" t="s">
        <v>8303</v>
      </c>
      <c r="B1636" s="14">
        <v>2523.9899999999998</v>
      </c>
      <c r="C1636" s="16" t="s">
        <v>5331</v>
      </c>
      <c r="D1636" s="12">
        <v>34073</v>
      </c>
      <c r="E1636" s="12" t="s">
        <v>5332</v>
      </c>
      <c r="F1636" s="12" t="s">
        <v>5328</v>
      </c>
      <c r="G1636" s="12" t="s">
        <v>8304</v>
      </c>
      <c r="H1636" s="12">
        <v>193887</v>
      </c>
    </row>
    <row r="1637" spans="1:8">
      <c r="A1637" s="12" t="s">
        <v>8303</v>
      </c>
      <c r="B1637" s="14">
        <v>3458.55</v>
      </c>
      <c r="C1637" s="16" t="s">
        <v>5331</v>
      </c>
      <c r="D1637" s="12">
        <v>29500</v>
      </c>
      <c r="E1637" s="12" t="s">
        <v>5332</v>
      </c>
      <c r="F1637" s="12" t="s">
        <v>5328</v>
      </c>
      <c r="G1637" s="12" t="s">
        <v>8305</v>
      </c>
      <c r="H1637" s="12">
        <v>100263</v>
      </c>
    </row>
    <row r="1638" spans="1:8">
      <c r="A1638" s="12" t="s">
        <v>8306</v>
      </c>
      <c r="B1638" s="14">
        <v>23276.77</v>
      </c>
      <c r="C1638" s="16" t="s">
        <v>5331</v>
      </c>
      <c r="D1638" s="12">
        <v>155925</v>
      </c>
      <c r="E1638" s="12" t="s">
        <v>5332</v>
      </c>
      <c r="F1638" s="12" t="s">
        <v>5328</v>
      </c>
      <c r="G1638" s="12" t="s">
        <v>8307</v>
      </c>
      <c r="H1638" s="12">
        <v>185291</v>
      </c>
    </row>
    <row r="1639" spans="1:8">
      <c r="A1639" s="12" t="s">
        <v>8308</v>
      </c>
      <c r="B1639" s="13">
        <v>0</v>
      </c>
      <c r="C1639" s="16" t="s">
        <v>5331</v>
      </c>
      <c r="D1639" s="12">
        <v>0</v>
      </c>
      <c r="E1639" s="12" t="s">
        <v>5332</v>
      </c>
      <c r="F1639" s="12" t="s">
        <v>5328</v>
      </c>
      <c r="G1639" s="12" t="s">
        <v>8309</v>
      </c>
      <c r="H1639" s="12">
        <v>21185</v>
      </c>
    </row>
    <row r="1640" spans="1:8">
      <c r="A1640" s="12" t="s">
        <v>8310</v>
      </c>
      <c r="B1640" s="14">
        <v>22104.639999999999</v>
      </c>
      <c r="C1640" s="16" t="s">
        <v>5331</v>
      </c>
      <c r="D1640" s="12">
        <v>0</v>
      </c>
      <c r="E1640" s="12" t="s">
        <v>5332</v>
      </c>
      <c r="F1640" s="12" t="s">
        <v>5328</v>
      </c>
      <c r="G1640" s="12" t="s">
        <v>8311</v>
      </c>
      <c r="H1640" s="12">
        <v>21186</v>
      </c>
    </row>
    <row r="1641" spans="1:8">
      <c r="A1641" s="12" t="s">
        <v>8312</v>
      </c>
      <c r="B1641" s="13">
        <v>0</v>
      </c>
      <c r="C1641" s="16" t="s">
        <v>5331</v>
      </c>
      <c r="D1641" s="12">
        <v>56819.424160000002</v>
      </c>
      <c r="E1641" s="12" t="s">
        <v>5332</v>
      </c>
      <c r="F1641" s="12" t="s">
        <v>5328</v>
      </c>
      <c r="G1641" s="12" t="s">
        <v>8313</v>
      </c>
      <c r="H1641" s="12">
        <v>41128</v>
      </c>
    </row>
    <row r="1642" spans="1:8">
      <c r="A1642" s="12" t="s">
        <v>8314</v>
      </c>
      <c r="B1642" s="13">
        <v>0</v>
      </c>
      <c r="C1642" s="16" t="s">
        <v>5331</v>
      </c>
      <c r="D1642" s="12">
        <v>196900</v>
      </c>
      <c r="E1642" s="12" t="s">
        <v>5332</v>
      </c>
      <c r="F1642" s="12" t="s">
        <v>5328</v>
      </c>
      <c r="G1642" s="12" t="s">
        <v>8315</v>
      </c>
      <c r="H1642" s="12">
        <v>273998</v>
      </c>
    </row>
    <row r="1643" spans="1:8">
      <c r="A1643" s="12" t="s">
        <v>8316</v>
      </c>
      <c r="B1643" s="13">
        <v>0</v>
      </c>
      <c r="C1643" s="16" t="s">
        <v>5331</v>
      </c>
      <c r="D1643" s="12">
        <v>196900</v>
      </c>
      <c r="E1643" s="12" t="s">
        <v>5332</v>
      </c>
      <c r="F1643" s="12" t="s">
        <v>5328</v>
      </c>
      <c r="G1643" s="12" t="s">
        <v>8317</v>
      </c>
      <c r="H1643" s="12">
        <v>273999</v>
      </c>
    </row>
    <row r="1644" spans="1:8">
      <c r="A1644" s="12" t="s">
        <v>8318</v>
      </c>
      <c r="B1644" s="13">
        <v>0</v>
      </c>
      <c r="C1644" s="16" t="s">
        <v>5331</v>
      </c>
      <c r="D1644" s="12">
        <v>284900</v>
      </c>
      <c r="E1644" s="12" t="s">
        <v>5332</v>
      </c>
      <c r="F1644" s="12" t="s">
        <v>5328</v>
      </c>
      <c r="G1644" s="12" t="s">
        <v>8319</v>
      </c>
      <c r="H1644" s="12">
        <v>274000</v>
      </c>
    </row>
    <row r="1645" spans="1:8">
      <c r="A1645" s="12" t="s">
        <v>8320</v>
      </c>
      <c r="B1645" s="13">
        <v>0</v>
      </c>
      <c r="C1645" s="16" t="s">
        <v>5331</v>
      </c>
      <c r="D1645" s="12">
        <v>284900</v>
      </c>
      <c r="E1645" s="12" t="s">
        <v>5332</v>
      </c>
      <c r="F1645" s="12" t="s">
        <v>5328</v>
      </c>
      <c r="G1645" s="12" t="s">
        <v>8321</v>
      </c>
      <c r="H1645" s="12">
        <v>274098</v>
      </c>
    </row>
    <row r="1646" spans="1:8">
      <c r="A1646" s="12" t="s">
        <v>8322</v>
      </c>
      <c r="B1646" s="13">
        <v>0</v>
      </c>
      <c r="C1646" s="16" t="s">
        <v>5331</v>
      </c>
      <c r="D1646" s="12">
        <v>262900</v>
      </c>
      <c r="E1646" s="12" t="s">
        <v>5332</v>
      </c>
      <c r="F1646" s="12" t="s">
        <v>5328</v>
      </c>
      <c r="G1646" s="12" t="s">
        <v>8323</v>
      </c>
      <c r="H1646" s="12">
        <v>274001</v>
      </c>
    </row>
    <row r="1647" spans="1:8">
      <c r="A1647" s="12" t="s">
        <v>8324</v>
      </c>
      <c r="B1647" s="13">
        <v>0</v>
      </c>
      <c r="C1647" s="16" t="s">
        <v>5331</v>
      </c>
      <c r="D1647" s="12">
        <v>394900</v>
      </c>
      <c r="E1647" s="12" t="s">
        <v>5332</v>
      </c>
      <c r="F1647" s="12" t="s">
        <v>5328</v>
      </c>
      <c r="G1647" s="12" t="s">
        <v>8325</v>
      </c>
      <c r="H1647" s="12">
        <v>274002</v>
      </c>
    </row>
    <row r="1648" spans="1:8">
      <c r="A1648" s="12" t="s">
        <v>8326</v>
      </c>
      <c r="B1648" s="14">
        <v>58427.18</v>
      </c>
      <c r="C1648" s="16" t="s">
        <v>5331</v>
      </c>
      <c r="D1648" s="12">
        <v>559900</v>
      </c>
      <c r="E1648" s="12" t="s">
        <v>5332</v>
      </c>
      <c r="F1648" s="12" t="s">
        <v>5328</v>
      </c>
      <c r="G1648" s="12" t="s">
        <v>8327</v>
      </c>
      <c r="H1648" s="12">
        <v>274010</v>
      </c>
    </row>
    <row r="1649" spans="1:8">
      <c r="A1649" s="12" t="s">
        <v>8328</v>
      </c>
      <c r="B1649" s="14">
        <v>12093.46</v>
      </c>
      <c r="C1649" s="16" t="s">
        <v>5331</v>
      </c>
      <c r="D1649" s="12">
        <v>45003.632949999999</v>
      </c>
      <c r="E1649" s="12" t="s">
        <v>5332</v>
      </c>
      <c r="F1649" s="12" t="s">
        <v>5328</v>
      </c>
      <c r="G1649" s="12" t="s">
        <v>8329</v>
      </c>
      <c r="H1649" s="12">
        <v>193886</v>
      </c>
    </row>
    <row r="1650" spans="1:8">
      <c r="A1650" s="12" t="s">
        <v>8328</v>
      </c>
      <c r="B1650" s="14">
        <v>13091.56</v>
      </c>
      <c r="C1650" s="16" t="s">
        <v>5331</v>
      </c>
      <c r="D1650" s="12">
        <v>45003.632949999999</v>
      </c>
      <c r="E1650" s="12" t="s">
        <v>5332</v>
      </c>
      <c r="F1650" s="12" t="s">
        <v>5328</v>
      </c>
      <c r="G1650" s="12" t="s">
        <v>8330</v>
      </c>
      <c r="H1650" s="12">
        <v>42527</v>
      </c>
    </row>
    <row r="1651" spans="1:8">
      <c r="A1651" s="12" t="s">
        <v>8331</v>
      </c>
      <c r="B1651" s="13">
        <v>0</v>
      </c>
      <c r="C1651" s="16" t="s">
        <v>5331</v>
      </c>
      <c r="D1651" s="12">
        <v>54382.118410000003</v>
      </c>
      <c r="E1651" s="12" t="s">
        <v>5332</v>
      </c>
      <c r="F1651" s="12" t="s">
        <v>5328</v>
      </c>
      <c r="G1651" s="12" t="s">
        <v>8332</v>
      </c>
      <c r="H1651" s="12">
        <v>193885</v>
      </c>
    </row>
    <row r="1652" spans="1:8">
      <c r="A1652" s="12" t="s">
        <v>8331</v>
      </c>
      <c r="B1652" s="14">
        <v>14777.91</v>
      </c>
      <c r="C1652" s="16" t="s">
        <v>5331</v>
      </c>
      <c r="D1652" s="12">
        <v>54382.118410000003</v>
      </c>
      <c r="E1652" s="12" t="s">
        <v>5332</v>
      </c>
      <c r="F1652" s="12" t="s">
        <v>5328</v>
      </c>
      <c r="G1652" s="12" t="s">
        <v>8333</v>
      </c>
      <c r="H1652" s="12">
        <v>42528</v>
      </c>
    </row>
    <row r="1653" spans="1:8">
      <c r="A1653" s="12" t="s">
        <v>8334</v>
      </c>
      <c r="B1653" s="13">
        <v>0</v>
      </c>
      <c r="C1653" s="16" t="s">
        <v>5331</v>
      </c>
      <c r="D1653" s="12">
        <v>51794.528409999999</v>
      </c>
      <c r="E1653" s="12" t="s">
        <v>5332</v>
      </c>
      <c r="F1653" s="12" t="s">
        <v>5328</v>
      </c>
      <c r="G1653" s="12" t="s">
        <v>8335</v>
      </c>
      <c r="H1653" s="12">
        <v>193884</v>
      </c>
    </row>
    <row r="1654" spans="1:8">
      <c r="A1654" s="12" t="s">
        <v>8334</v>
      </c>
      <c r="B1654" s="14">
        <v>13622.45</v>
      </c>
      <c r="C1654" s="16" t="s">
        <v>5331</v>
      </c>
      <c r="D1654" s="12">
        <v>51794.528409999999</v>
      </c>
      <c r="E1654" s="12" t="s">
        <v>5332</v>
      </c>
      <c r="F1654" s="12" t="s">
        <v>5328</v>
      </c>
      <c r="G1654" s="12" t="s">
        <v>8336</v>
      </c>
      <c r="H1654" s="12">
        <v>42529</v>
      </c>
    </row>
    <row r="1655" spans="1:8">
      <c r="A1655" s="12" t="s">
        <v>8337</v>
      </c>
      <c r="B1655" s="14">
        <v>20924.349999999999</v>
      </c>
      <c r="C1655" s="16" t="s">
        <v>5331</v>
      </c>
      <c r="D1655" s="12">
        <v>48121.815490000001</v>
      </c>
      <c r="E1655" s="12" t="s">
        <v>5332</v>
      </c>
      <c r="F1655" s="12" t="s">
        <v>5328</v>
      </c>
      <c r="G1655" s="12" t="s">
        <v>8338</v>
      </c>
      <c r="H1655" s="12">
        <v>193883</v>
      </c>
    </row>
    <row r="1656" spans="1:8">
      <c r="A1656" s="12" t="s">
        <v>8337</v>
      </c>
      <c r="B1656" s="14">
        <v>23074.09</v>
      </c>
      <c r="C1656" s="16" t="s">
        <v>5331</v>
      </c>
      <c r="D1656" s="12">
        <v>48121.815490000001</v>
      </c>
      <c r="E1656" s="12" t="s">
        <v>5332</v>
      </c>
      <c r="F1656" s="12" t="s">
        <v>5328</v>
      </c>
      <c r="G1656" s="12" t="s">
        <v>8339</v>
      </c>
      <c r="H1656" s="12">
        <v>42530</v>
      </c>
    </row>
    <row r="1657" spans="1:8">
      <c r="A1657" s="12" t="s">
        <v>8340</v>
      </c>
      <c r="B1657" s="14">
        <v>21919.49</v>
      </c>
      <c r="C1657" s="16" t="s">
        <v>5331</v>
      </c>
      <c r="D1657" s="12">
        <v>59968.240270000002</v>
      </c>
      <c r="E1657" s="12" t="s">
        <v>5332</v>
      </c>
      <c r="F1657" s="12" t="s">
        <v>5328</v>
      </c>
      <c r="G1657" s="12" t="s">
        <v>8341</v>
      </c>
      <c r="H1657" s="12">
        <v>193882</v>
      </c>
    </row>
    <row r="1658" spans="1:8">
      <c r="A1658" s="12" t="s">
        <v>8340</v>
      </c>
      <c r="B1658" s="14">
        <v>24165.94</v>
      </c>
      <c r="C1658" s="16" t="s">
        <v>5331</v>
      </c>
      <c r="D1658" s="12">
        <v>59968.240270000002</v>
      </c>
      <c r="E1658" s="12" t="s">
        <v>5332</v>
      </c>
      <c r="F1658" s="12" t="s">
        <v>5328</v>
      </c>
      <c r="G1658" s="12" t="s">
        <v>8342</v>
      </c>
      <c r="H1658" s="12">
        <v>42531</v>
      </c>
    </row>
    <row r="1659" spans="1:8">
      <c r="A1659" s="12" t="s">
        <v>8343</v>
      </c>
      <c r="B1659" s="14">
        <v>23058.87</v>
      </c>
      <c r="C1659" s="16" t="s">
        <v>5331</v>
      </c>
      <c r="D1659" s="12">
        <v>73327.101729999995</v>
      </c>
      <c r="E1659" s="12" t="s">
        <v>5332</v>
      </c>
      <c r="F1659" s="12" t="s">
        <v>5328</v>
      </c>
      <c r="G1659" s="12" t="s">
        <v>8344</v>
      </c>
      <c r="H1659" s="12">
        <v>193881</v>
      </c>
    </row>
    <row r="1660" spans="1:8">
      <c r="A1660" s="12" t="s">
        <v>8343</v>
      </c>
      <c r="B1660" s="14">
        <v>28792.720000000001</v>
      </c>
      <c r="C1660" s="16" t="s">
        <v>5331</v>
      </c>
      <c r="D1660" s="12">
        <v>73327.101729999995</v>
      </c>
      <c r="E1660" s="12" t="s">
        <v>5332</v>
      </c>
      <c r="F1660" s="12" t="s">
        <v>5328</v>
      </c>
      <c r="G1660" s="12" t="s">
        <v>8345</v>
      </c>
      <c r="H1660" s="12">
        <v>42532</v>
      </c>
    </row>
    <row r="1661" spans="1:8">
      <c r="A1661" s="12" t="s">
        <v>8346</v>
      </c>
      <c r="B1661" s="14">
        <v>29578.720000000001</v>
      </c>
      <c r="C1661" s="16" t="s">
        <v>5331</v>
      </c>
      <c r="D1661" s="12">
        <v>57378.893530000001</v>
      </c>
      <c r="E1661" s="12" t="s">
        <v>5332</v>
      </c>
      <c r="F1661" s="12" t="s">
        <v>5328</v>
      </c>
      <c r="G1661" s="12" t="s">
        <v>8347</v>
      </c>
      <c r="H1661" s="12">
        <v>193880</v>
      </c>
    </row>
    <row r="1662" spans="1:8">
      <c r="A1662" s="12" t="s">
        <v>8346</v>
      </c>
      <c r="B1662" s="14">
        <v>29541.03</v>
      </c>
      <c r="C1662" s="16" t="s">
        <v>5331</v>
      </c>
      <c r="D1662" s="12">
        <v>57378.893530000001</v>
      </c>
      <c r="E1662" s="12" t="s">
        <v>5332</v>
      </c>
      <c r="F1662" s="12" t="s">
        <v>5328</v>
      </c>
      <c r="G1662" s="12" t="s">
        <v>8348</v>
      </c>
      <c r="H1662" s="12">
        <v>42533</v>
      </c>
    </row>
    <row r="1663" spans="1:8">
      <c r="A1663" s="12" t="s">
        <v>8349</v>
      </c>
      <c r="B1663" s="14">
        <v>26577.040000000001</v>
      </c>
      <c r="C1663" s="16" t="s">
        <v>5331</v>
      </c>
      <c r="D1663" s="12">
        <v>78173.763609999995</v>
      </c>
      <c r="E1663" s="12" t="s">
        <v>5332</v>
      </c>
      <c r="F1663" s="12" t="s">
        <v>5328</v>
      </c>
      <c r="G1663" s="12" t="s">
        <v>8350</v>
      </c>
      <c r="H1663" s="12">
        <v>193879</v>
      </c>
    </row>
    <row r="1664" spans="1:8">
      <c r="A1664" s="12" t="s">
        <v>8349</v>
      </c>
      <c r="B1664" s="14">
        <v>34173.9</v>
      </c>
      <c r="C1664" s="16" t="s">
        <v>5331</v>
      </c>
      <c r="D1664" s="12">
        <v>78173.763609999995</v>
      </c>
      <c r="E1664" s="12" t="s">
        <v>5332</v>
      </c>
      <c r="F1664" s="12" t="s">
        <v>5328</v>
      </c>
      <c r="G1664" s="12" t="s">
        <v>8351</v>
      </c>
      <c r="H1664" s="12">
        <v>42534</v>
      </c>
    </row>
    <row r="1665" spans="1:8">
      <c r="A1665" s="12" t="s">
        <v>8352</v>
      </c>
      <c r="B1665" s="13">
        <v>0</v>
      </c>
      <c r="C1665" s="16" t="s">
        <v>5331</v>
      </c>
      <c r="D1665" s="12">
        <v>199000</v>
      </c>
      <c r="E1665" s="12" t="s">
        <v>5332</v>
      </c>
      <c r="F1665" s="12" t="s">
        <v>5328</v>
      </c>
      <c r="G1665" s="12" t="s">
        <v>8353</v>
      </c>
      <c r="H1665" s="12">
        <v>57554</v>
      </c>
    </row>
    <row r="1666" spans="1:8">
      <c r="A1666" s="12" t="s">
        <v>8354</v>
      </c>
      <c r="B1666" s="14">
        <v>14556.94</v>
      </c>
      <c r="C1666" s="16" t="s">
        <v>5331</v>
      </c>
      <c r="D1666" s="12">
        <v>153731</v>
      </c>
      <c r="E1666" s="12" t="s">
        <v>5332</v>
      </c>
      <c r="F1666" s="12" t="s">
        <v>5328</v>
      </c>
      <c r="G1666" s="12" t="s">
        <v>8355</v>
      </c>
      <c r="H1666" s="12">
        <v>194069</v>
      </c>
    </row>
    <row r="1667" spans="1:8">
      <c r="A1667" s="12" t="s">
        <v>8356</v>
      </c>
      <c r="B1667" s="14">
        <v>16091.7</v>
      </c>
      <c r="C1667" s="16" t="s">
        <v>5331</v>
      </c>
      <c r="D1667" s="12">
        <v>110000</v>
      </c>
      <c r="E1667" s="12" t="s">
        <v>5332</v>
      </c>
      <c r="F1667" s="12" t="s">
        <v>5328</v>
      </c>
      <c r="G1667" s="12" t="s">
        <v>8357</v>
      </c>
      <c r="H1667" s="12">
        <v>44596</v>
      </c>
    </row>
    <row r="1668" spans="1:8">
      <c r="A1668" s="12" t="s">
        <v>8358</v>
      </c>
      <c r="B1668" s="13">
        <v>0</v>
      </c>
      <c r="C1668" s="16" t="s">
        <v>5331</v>
      </c>
      <c r="D1668" s="12">
        <v>102720</v>
      </c>
      <c r="E1668" s="12" t="s">
        <v>5332</v>
      </c>
      <c r="F1668" s="12" t="s">
        <v>5328</v>
      </c>
      <c r="G1668" s="12" t="s">
        <v>8359</v>
      </c>
      <c r="H1668" s="12">
        <v>199845</v>
      </c>
    </row>
    <row r="1669" spans="1:8">
      <c r="A1669" s="12" t="s">
        <v>8360</v>
      </c>
      <c r="B1669" s="14">
        <v>21641.77</v>
      </c>
      <c r="C1669" s="16" t="s">
        <v>5331</v>
      </c>
      <c r="D1669" s="12">
        <v>218526</v>
      </c>
      <c r="E1669" s="12" t="s">
        <v>5332</v>
      </c>
      <c r="F1669" s="12" t="s">
        <v>5328</v>
      </c>
      <c r="G1669" s="12" t="s">
        <v>8361</v>
      </c>
      <c r="H1669" s="12">
        <v>194068</v>
      </c>
    </row>
    <row r="1670" spans="1:8">
      <c r="A1670" s="12" t="s">
        <v>8362</v>
      </c>
      <c r="B1670" s="14">
        <v>20252</v>
      </c>
      <c r="C1670" s="16" t="s">
        <v>5331</v>
      </c>
      <c r="D1670" s="12">
        <v>150000</v>
      </c>
      <c r="E1670" s="12" t="s">
        <v>5332</v>
      </c>
      <c r="F1670" s="12" t="s">
        <v>5328</v>
      </c>
      <c r="G1670" s="12" t="s">
        <v>8363</v>
      </c>
      <c r="H1670" s="12">
        <v>44597</v>
      </c>
    </row>
    <row r="1671" spans="1:8">
      <c r="A1671" s="12" t="s">
        <v>8364</v>
      </c>
      <c r="B1671" s="13">
        <v>0</v>
      </c>
      <c r="C1671" s="16" t="s">
        <v>5331</v>
      </c>
      <c r="D1671" s="12">
        <v>146015</v>
      </c>
      <c r="E1671" s="12" t="s">
        <v>5332</v>
      </c>
      <c r="F1671" s="12" t="s">
        <v>5328</v>
      </c>
      <c r="G1671" s="12" t="s">
        <v>8365</v>
      </c>
      <c r="H1671" s="12">
        <v>212546</v>
      </c>
    </row>
    <row r="1672" spans="1:8">
      <c r="A1672" s="12" t="s">
        <v>8366</v>
      </c>
      <c r="B1672" s="14">
        <v>18464.05</v>
      </c>
      <c r="C1672" s="16" t="s">
        <v>5331</v>
      </c>
      <c r="D1672" s="12">
        <v>218526</v>
      </c>
      <c r="E1672" s="12" t="s">
        <v>5332</v>
      </c>
      <c r="F1672" s="12" t="s">
        <v>5328</v>
      </c>
      <c r="G1672" s="12" t="s">
        <v>8367</v>
      </c>
      <c r="H1672" s="12">
        <v>194067</v>
      </c>
    </row>
    <row r="1673" spans="1:8">
      <c r="A1673" s="12" t="s">
        <v>8368</v>
      </c>
      <c r="B1673" s="14">
        <v>19686.62</v>
      </c>
      <c r="C1673" s="16" t="s">
        <v>5331</v>
      </c>
      <c r="D1673" s="12">
        <v>150000</v>
      </c>
      <c r="E1673" s="12" t="s">
        <v>5332</v>
      </c>
      <c r="F1673" s="12" t="s">
        <v>5328</v>
      </c>
      <c r="G1673" s="12" t="s">
        <v>8369</v>
      </c>
      <c r="H1673" s="12">
        <v>44598</v>
      </c>
    </row>
    <row r="1674" spans="1:8">
      <c r="A1674" s="12" t="s">
        <v>8370</v>
      </c>
      <c r="B1674" s="13">
        <v>0</v>
      </c>
      <c r="C1674" s="16" t="s">
        <v>5331</v>
      </c>
      <c r="D1674" s="12">
        <v>146015</v>
      </c>
      <c r="E1674" s="12" t="s">
        <v>5332</v>
      </c>
      <c r="F1674" s="12" t="s">
        <v>5328</v>
      </c>
      <c r="G1674" s="12" t="s">
        <v>8371</v>
      </c>
      <c r="H1674" s="12">
        <v>199834</v>
      </c>
    </row>
    <row r="1675" spans="1:8">
      <c r="A1675" s="12" t="s">
        <v>8372</v>
      </c>
      <c r="B1675" s="14">
        <v>22963.42</v>
      </c>
      <c r="C1675" s="16" t="s">
        <v>5331</v>
      </c>
      <c r="D1675" s="12">
        <v>266805</v>
      </c>
      <c r="E1675" s="12" t="s">
        <v>5332</v>
      </c>
      <c r="F1675" s="12" t="s">
        <v>5328</v>
      </c>
      <c r="G1675" s="12" t="s">
        <v>8373</v>
      </c>
      <c r="H1675" s="12">
        <v>194066</v>
      </c>
    </row>
    <row r="1676" spans="1:8">
      <c r="A1676" s="12" t="s">
        <v>8374</v>
      </c>
      <c r="B1676" s="14">
        <v>28217.18</v>
      </c>
      <c r="C1676" s="16" t="s">
        <v>5331</v>
      </c>
      <c r="D1676" s="12">
        <v>190000</v>
      </c>
      <c r="E1676" s="12" t="s">
        <v>5332</v>
      </c>
      <c r="F1676" s="12" t="s">
        <v>5328</v>
      </c>
      <c r="G1676" s="12" t="s">
        <v>8375</v>
      </c>
      <c r="H1676" s="12">
        <v>44599</v>
      </c>
    </row>
    <row r="1677" spans="1:8">
      <c r="A1677" s="12" t="s">
        <v>8376</v>
      </c>
      <c r="B1677" s="14">
        <v>18017.84</v>
      </c>
      <c r="C1677" s="16" t="s">
        <v>5331</v>
      </c>
      <c r="D1677" s="12">
        <v>178274</v>
      </c>
      <c r="E1677" s="12" t="s">
        <v>5332</v>
      </c>
      <c r="F1677" s="12" t="s">
        <v>5328</v>
      </c>
      <c r="G1677" s="12" t="s">
        <v>8377</v>
      </c>
      <c r="H1677" s="12">
        <v>199110</v>
      </c>
    </row>
    <row r="1678" spans="1:8">
      <c r="A1678" s="12" t="s">
        <v>8378</v>
      </c>
      <c r="B1678" s="14">
        <v>15079.51</v>
      </c>
      <c r="C1678" s="16" t="s">
        <v>5331</v>
      </c>
      <c r="D1678" s="12">
        <v>98571</v>
      </c>
      <c r="E1678" s="12" t="s">
        <v>5332</v>
      </c>
      <c r="F1678" s="12" t="s">
        <v>5328</v>
      </c>
      <c r="G1678" s="12" t="s">
        <v>8379</v>
      </c>
      <c r="H1678" s="12">
        <v>59063</v>
      </c>
    </row>
    <row r="1679" spans="1:8">
      <c r="A1679" s="12" t="s">
        <v>8380</v>
      </c>
      <c r="B1679" s="13">
        <v>0</v>
      </c>
      <c r="C1679" s="16" t="s">
        <v>5331</v>
      </c>
      <c r="D1679" s="12">
        <v>141429</v>
      </c>
      <c r="E1679" s="12" t="s">
        <v>5332</v>
      </c>
      <c r="F1679" s="12" t="s">
        <v>5328</v>
      </c>
      <c r="G1679" s="12" t="s">
        <v>8381</v>
      </c>
      <c r="H1679" s="12">
        <v>59064</v>
      </c>
    </row>
    <row r="1680" spans="1:8">
      <c r="A1680" s="12" t="s">
        <v>8382</v>
      </c>
      <c r="B1680" s="14">
        <v>21401.82</v>
      </c>
      <c r="C1680" s="16" t="s">
        <v>5331</v>
      </c>
      <c r="D1680" s="12">
        <v>141429</v>
      </c>
      <c r="E1680" s="12" t="s">
        <v>5332</v>
      </c>
      <c r="F1680" s="12" t="s">
        <v>5328</v>
      </c>
      <c r="G1680" s="12" t="s">
        <v>8383</v>
      </c>
      <c r="H1680" s="12">
        <v>59065</v>
      </c>
    </row>
    <row r="1681" spans="1:8">
      <c r="A1681" s="12" t="s">
        <v>8384</v>
      </c>
      <c r="B1681" s="14">
        <v>27418.71</v>
      </c>
      <c r="C1681" s="16" t="s">
        <v>5331</v>
      </c>
      <c r="D1681" s="12">
        <v>184286</v>
      </c>
      <c r="E1681" s="12" t="s">
        <v>5332</v>
      </c>
      <c r="F1681" s="12" t="s">
        <v>5328</v>
      </c>
      <c r="G1681" s="12" t="s">
        <v>8385</v>
      </c>
      <c r="H1681" s="12">
        <v>59066</v>
      </c>
    </row>
    <row r="1682" spans="1:8">
      <c r="A1682" s="12" t="s">
        <v>8386</v>
      </c>
      <c r="B1682" s="14">
        <v>46936.6</v>
      </c>
      <c r="C1682" s="16" t="s">
        <v>5331</v>
      </c>
      <c r="D1682" s="12">
        <v>429000</v>
      </c>
      <c r="E1682" s="12" t="s">
        <v>5332</v>
      </c>
      <c r="F1682" s="12" t="s">
        <v>5328</v>
      </c>
      <c r="G1682" s="12" t="s">
        <v>8387</v>
      </c>
      <c r="H1682" s="12">
        <v>194061</v>
      </c>
    </row>
    <row r="1683" spans="1:8">
      <c r="A1683" s="12" t="s">
        <v>8386</v>
      </c>
      <c r="B1683" s="14">
        <v>40480.39</v>
      </c>
      <c r="C1683" s="16" t="s">
        <v>5331</v>
      </c>
      <c r="D1683" s="12">
        <v>413750</v>
      </c>
      <c r="E1683" s="12" t="s">
        <v>5332</v>
      </c>
      <c r="F1683" s="12" t="s">
        <v>5328</v>
      </c>
      <c r="G1683" s="12" t="s">
        <v>8388</v>
      </c>
      <c r="H1683" s="12">
        <v>72441</v>
      </c>
    </row>
    <row r="1684" spans="1:8">
      <c r="A1684" s="12" t="s">
        <v>8389</v>
      </c>
      <c r="B1684" s="14">
        <v>31100.21</v>
      </c>
      <c r="C1684" s="16" t="s">
        <v>5331</v>
      </c>
      <c r="D1684" s="12">
        <v>343200</v>
      </c>
      <c r="E1684" s="12" t="s">
        <v>5332</v>
      </c>
      <c r="F1684" s="12" t="s">
        <v>5328</v>
      </c>
      <c r="G1684" s="12" t="s">
        <v>8390</v>
      </c>
      <c r="H1684" s="12">
        <v>193878</v>
      </c>
    </row>
    <row r="1685" spans="1:8">
      <c r="A1685" s="12" t="s">
        <v>8391</v>
      </c>
      <c r="B1685" s="14">
        <v>48913.49</v>
      </c>
      <c r="C1685" s="16" t="s">
        <v>5331</v>
      </c>
      <c r="D1685" s="12">
        <v>577500</v>
      </c>
      <c r="E1685" s="12" t="s">
        <v>5332</v>
      </c>
      <c r="F1685" s="12" t="s">
        <v>5328</v>
      </c>
      <c r="G1685" s="12" t="s">
        <v>8392</v>
      </c>
      <c r="H1685" s="12">
        <v>194059</v>
      </c>
    </row>
    <row r="1686" spans="1:8">
      <c r="A1686" s="12" t="s">
        <v>8391</v>
      </c>
      <c r="B1686" s="14">
        <v>57692.27</v>
      </c>
      <c r="C1686" s="16" t="s">
        <v>5331</v>
      </c>
      <c r="D1686" s="12">
        <v>498750</v>
      </c>
      <c r="E1686" s="12" t="s">
        <v>5332</v>
      </c>
      <c r="F1686" s="12" t="s">
        <v>5328</v>
      </c>
      <c r="G1686" s="12" t="s">
        <v>8393</v>
      </c>
      <c r="H1686" s="12">
        <v>72443</v>
      </c>
    </row>
    <row r="1687" spans="1:8">
      <c r="A1687" s="12" t="s">
        <v>8394</v>
      </c>
      <c r="B1687" s="13">
        <v>0</v>
      </c>
      <c r="C1687" s="16" t="s">
        <v>5331</v>
      </c>
      <c r="D1687" s="12">
        <v>462000</v>
      </c>
      <c r="E1687" s="12" t="s">
        <v>5332</v>
      </c>
      <c r="F1687" s="12" t="s">
        <v>5328</v>
      </c>
      <c r="G1687" s="12" t="s">
        <v>8395</v>
      </c>
      <c r="H1687" s="12">
        <v>193877</v>
      </c>
    </row>
    <row r="1688" spans="1:8">
      <c r="A1688" s="12" t="s">
        <v>8396</v>
      </c>
      <c r="B1688" s="13">
        <v>0</v>
      </c>
      <c r="C1688" s="16" t="s">
        <v>5331</v>
      </c>
      <c r="D1688" s="12">
        <v>551250</v>
      </c>
      <c r="E1688" s="12" t="s">
        <v>5332</v>
      </c>
      <c r="F1688" s="12" t="s">
        <v>5328</v>
      </c>
      <c r="G1688" s="12" t="s">
        <v>8397</v>
      </c>
      <c r="H1688" s="12">
        <v>194058</v>
      </c>
    </row>
    <row r="1689" spans="1:8">
      <c r="A1689" s="12" t="s">
        <v>8396</v>
      </c>
      <c r="B1689" s="14">
        <v>75889.440000000002</v>
      </c>
      <c r="C1689" s="16" t="s">
        <v>5331</v>
      </c>
      <c r="D1689" s="12">
        <v>551250</v>
      </c>
      <c r="E1689" s="12" t="s">
        <v>5332</v>
      </c>
      <c r="F1689" s="12" t="s">
        <v>5328</v>
      </c>
      <c r="G1689" s="12" t="s">
        <v>8398</v>
      </c>
      <c r="H1689" s="12">
        <v>72444</v>
      </c>
    </row>
    <row r="1690" spans="1:8">
      <c r="A1690" s="12" t="s">
        <v>8399</v>
      </c>
      <c r="B1690" s="13">
        <v>0</v>
      </c>
      <c r="C1690" s="16" t="s">
        <v>5331</v>
      </c>
      <c r="D1690" s="12">
        <v>485100</v>
      </c>
      <c r="E1690" s="12" t="s">
        <v>5332</v>
      </c>
      <c r="F1690" s="12" t="s">
        <v>5328</v>
      </c>
      <c r="G1690" s="12" t="s">
        <v>8400</v>
      </c>
      <c r="H1690" s="12">
        <v>193876</v>
      </c>
    </row>
    <row r="1691" spans="1:8">
      <c r="A1691" s="12" t="s">
        <v>8401</v>
      </c>
      <c r="B1691" s="14">
        <v>74747.210000000006</v>
      </c>
      <c r="C1691" s="16" t="s">
        <v>5331</v>
      </c>
      <c r="D1691" s="12">
        <v>687500</v>
      </c>
      <c r="E1691" s="12" t="s">
        <v>5332</v>
      </c>
      <c r="F1691" s="12" t="s">
        <v>5328</v>
      </c>
      <c r="G1691" s="12" t="s">
        <v>8402</v>
      </c>
      <c r="H1691" s="12">
        <v>194057</v>
      </c>
    </row>
    <row r="1692" spans="1:8">
      <c r="A1692" s="12" t="s">
        <v>8401</v>
      </c>
      <c r="B1692" s="14">
        <v>66491.02</v>
      </c>
      <c r="C1692" s="16" t="s">
        <v>5331</v>
      </c>
      <c r="D1692" s="12">
        <v>599000</v>
      </c>
      <c r="E1692" s="12" t="s">
        <v>5332</v>
      </c>
      <c r="F1692" s="12" t="s">
        <v>5328</v>
      </c>
      <c r="G1692" s="12" t="s">
        <v>8403</v>
      </c>
      <c r="H1692" s="12">
        <v>72445</v>
      </c>
    </row>
    <row r="1693" spans="1:8">
      <c r="A1693" s="12" t="s">
        <v>8404</v>
      </c>
      <c r="B1693" s="14">
        <v>49456.33</v>
      </c>
      <c r="C1693" s="16" t="s">
        <v>5331</v>
      </c>
      <c r="D1693" s="12">
        <v>550000</v>
      </c>
      <c r="E1693" s="12" t="s">
        <v>5332</v>
      </c>
      <c r="F1693" s="12" t="s">
        <v>5328</v>
      </c>
      <c r="G1693" s="12" t="s">
        <v>8405</v>
      </c>
      <c r="H1693" s="12">
        <v>193875</v>
      </c>
    </row>
    <row r="1694" spans="1:8">
      <c r="A1694" s="12" t="s">
        <v>8406</v>
      </c>
      <c r="B1694" s="14">
        <v>20536.04</v>
      </c>
      <c r="C1694" s="16" t="s">
        <v>5331</v>
      </c>
      <c r="D1694" s="12">
        <v>167242.75</v>
      </c>
      <c r="E1694" s="12" t="s">
        <v>5332</v>
      </c>
      <c r="F1694" s="12" t="s">
        <v>5328</v>
      </c>
      <c r="G1694" s="12" t="s">
        <v>8407</v>
      </c>
      <c r="H1694" s="12">
        <v>194051</v>
      </c>
    </row>
    <row r="1695" spans="1:8">
      <c r="A1695" s="12" t="s">
        <v>8406</v>
      </c>
      <c r="B1695" s="14">
        <v>26086.91</v>
      </c>
      <c r="C1695" s="16" t="s">
        <v>5331</v>
      </c>
      <c r="D1695" s="12">
        <v>167242.75</v>
      </c>
      <c r="E1695" s="12" t="s">
        <v>5332</v>
      </c>
      <c r="F1695" s="12" t="s">
        <v>5328</v>
      </c>
      <c r="G1695" s="12" t="s">
        <v>8408</v>
      </c>
      <c r="H1695" s="12">
        <v>143660</v>
      </c>
    </row>
    <row r="1696" spans="1:8">
      <c r="A1696" s="12" t="s">
        <v>378</v>
      </c>
      <c r="B1696" s="14">
        <v>13214.36</v>
      </c>
      <c r="C1696" s="16" t="s">
        <v>5331</v>
      </c>
      <c r="D1696" s="12">
        <v>82500</v>
      </c>
      <c r="E1696" s="12" t="s">
        <v>5332</v>
      </c>
      <c r="F1696" s="12" t="s">
        <v>5328</v>
      </c>
      <c r="G1696" s="12" t="s">
        <v>8409</v>
      </c>
      <c r="H1696" s="12">
        <v>220747</v>
      </c>
    </row>
    <row r="1697" spans="1:8">
      <c r="A1697" s="12" t="s">
        <v>378</v>
      </c>
      <c r="B1697" s="14">
        <v>13790.93</v>
      </c>
      <c r="C1697" s="16" t="s">
        <v>5331</v>
      </c>
      <c r="D1697" s="12">
        <v>90000</v>
      </c>
      <c r="E1697" s="12" t="s">
        <v>5332</v>
      </c>
      <c r="F1697" s="12" t="s">
        <v>5328</v>
      </c>
      <c r="G1697" s="12" t="s">
        <v>8410</v>
      </c>
      <c r="H1697" s="12">
        <v>209074</v>
      </c>
    </row>
    <row r="1698" spans="1:8">
      <c r="A1698" s="12" t="s">
        <v>8411</v>
      </c>
      <c r="B1698" s="14">
        <v>45968.56</v>
      </c>
      <c r="C1698" s="16" t="s">
        <v>5331</v>
      </c>
      <c r="D1698" s="12">
        <v>233310</v>
      </c>
      <c r="E1698" s="12" t="s">
        <v>5332</v>
      </c>
      <c r="F1698" s="12" t="s">
        <v>5328</v>
      </c>
      <c r="G1698" s="12" t="s">
        <v>8412</v>
      </c>
      <c r="H1698" s="12">
        <v>230077</v>
      </c>
    </row>
    <row r="1699" spans="1:8">
      <c r="A1699" s="12" t="s">
        <v>8413</v>
      </c>
      <c r="B1699" s="14">
        <v>43343.77</v>
      </c>
      <c r="C1699" s="16" t="s">
        <v>5331</v>
      </c>
      <c r="D1699" s="12">
        <v>277750</v>
      </c>
      <c r="E1699" s="12" t="s">
        <v>5332</v>
      </c>
      <c r="F1699" s="12" t="s">
        <v>5328</v>
      </c>
      <c r="G1699" s="12" t="s">
        <v>8414</v>
      </c>
      <c r="H1699" s="12">
        <v>230078</v>
      </c>
    </row>
    <row r="1700" spans="1:8">
      <c r="A1700" s="12" t="s">
        <v>8415</v>
      </c>
      <c r="B1700" s="14">
        <v>43343.77</v>
      </c>
      <c r="C1700" s="16" t="s">
        <v>5331</v>
      </c>
      <c r="D1700" s="12">
        <v>277750</v>
      </c>
      <c r="E1700" s="12" t="s">
        <v>5332</v>
      </c>
      <c r="F1700" s="12" t="s">
        <v>5328</v>
      </c>
      <c r="G1700" s="12" t="s">
        <v>8416</v>
      </c>
      <c r="H1700" s="12">
        <v>230079</v>
      </c>
    </row>
    <row r="1701" spans="1:8">
      <c r="A1701" s="12" t="s">
        <v>8417</v>
      </c>
      <c r="B1701" s="14">
        <v>6719.38</v>
      </c>
      <c r="C1701" s="16" t="s">
        <v>5331</v>
      </c>
      <c r="D1701" s="12">
        <v>18700</v>
      </c>
      <c r="E1701" s="12" t="s">
        <v>5332</v>
      </c>
      <c r="F1701" s="12" t="s">
        <v>5328</v>
      </c>
      <c r="G1701" s="12" t="s">
        <v>8418</v>
      </c>
      <c r="H1701" s="12">
        <v>272316</v>
      </c>
    </row>
    <row r="1702" spans="1:8">
      <c r="A1702" s="12" t="s">
        <v>8419</v>
      </c>
      <c r="B1702" s="14">
        <v>6719.38</v>
      </c>
      <c r="C1702" s="16" t="s">
        <v>5331</v>
      </c>
      <c r="D1702" s="12">
        <v>25000</v>
      </c>
      <c r="E1702" s="12" t="s">
        <v>5332</v>
      </c>
      <c r="F1702" s="12" t="s">
        <v>5328</v>
      </c>
      <c r="G1702" s="12" t="s">
        <v>8420</v>
      </c>
      <c r="H1702" s="12">
        <v>272524</v>
      </c>
    </row>
    <row r="1703" spans="1:8">
      <c r="A1703" s="12" t="s">
        <v>8421</v>
      </c>
      <c r="B1703" s="13">
        <v>692.69</v>
      </c>
      <c r="C1703" s="16" t="s">
        <v>5331</v>
      </c>
      <c r="D1703" s="12">
        <v>1033.28</v>
      </c>
      <c r="E1703" s="12" t="s">
        <v>5332</v>
      </c>
      <c r="F1703" s="12" t="s">
        <v>5328</v>
      </c>
      <c r="G1703" s="12" t="s">
        <v>8422</v>
      </c>
      <c r="H1703" s="12">
        <v>20893</v>
      </c>
    </row>
    <row r="1704" spans="1:8">
      <c r="A1704" s="12" t="s">
        <v>8423</v>
      </c>
      <c r="B1704" s="13">
        <v>324.05</v>
      </c>
      <c r="C1704" s="16" t="s">
        <v>5331</v>
      </c>
      <c r="D1704" s="12">
        <v>1344.2175</v>
      </c>
      <c r="E1704" s="12" t="s">
        <v>5332</v>
      </c>
      <c r="F1704" s="12" t="s">
        <v>5328</v>
      </c>
      <c r="G1704" s="12" t="s">
        <v>8424</v>
      </c>
      <c r="H1704" s="12">
        <v>18704</v>
      </c>
    </row>
    <row r="1705" spans="1:8">
      <c r="A1705" s="12" t="s">
        <v>8425</v>
      </c>
      <c r="B1705" s="13">
        <v>85.22</v>
      </c>
      <c r="C1705" s="16" t="s">
        <v>5331</v>
      </c>
      <c r="D1705" s="12">
        <v>223.6</v>
      </c>
      <c r="E1705" s="12" t="s">
        <v>5332</v>
      </c>
      <c r="F1705" s="12" t="s">
        <v>5328</v>
      </c>
      <c r="G1705" s="12" t="s">
        <v>8426</v>
      </c>
      <c r="H1705" s="12">
        <v>18705</v>
      </c>
    </row>
    <row r="1706" spans="1:8">
      <c r="A1706" s="12" t="s">
        <v>8427</v>
      </c>
      <c r="B1706" s="13">
        <v>141.97999999999999</v>
      </c>
      <c r="C1706" s="16" t="s">
        <v>5331</v>
      </c>
      <c r="D1706" s="12">
        <v>781.41250000000002</v>
      </c>
      <c r="E1706" s="12" t="s">
        <v>5332</v>
      </c>
      <c r="F1706" s="12" t="s">
        <v>5328</v>
      </c>
      <c r="G1706" s="12" t="s">
        <v>8428</v>
      </c>
      <c r="H1706" s="12">
        <v>18706</v>
      </c>
    </row>
    <row r="1707" spans="1:8">
      <c r="A1707" s="12" t="s">
        <v>8429</v>
      </c>
      <c r="B1707" s="13">
        <v>96.55</v>
      </c>
      <c r="C1707" s="16" t="s">
        <v>5331</v>
      </c>
      <c r="D1707" s="12">
        <v>146.05500000000001</v>
      </c>
      <c r="E1707" s="12" t="s">
        <v>5332</v>
      </c>
      <c r="F1707" s="12" t="s">
        <v>5328</v>
      </c>
      <c r="G1707" s="12" t="s">
        <v>8430</v>
      </c>
      <c r="H1707" s="12">
        <v>18707</v>
      </c>
    </row>
    <row r="1708" spans="1:8">
      <c r="A1708" s="12" t="s">
        <v>8431</v>
      </c>
      <c r="B1708" s="13">
        <v>143.03</v>
      </c>
      <c r="C1708" s="16" t="s">
        <v>5331</v>
      </c>
      <c r="D1708" s="12">
        <v>830.9</v>
      </c>
      <c r="E1708" s="12" t="s">
        <v>5332</v>
      </c>
      <c r="F1708" s="12" t="s">
        <v>5328</v>
      </c>
      <c r="G1708" s="12" t="s">
        <v>8432</v>
      </c>
      <c r="H1708" s="12">
        <v>18708</v>
      </c>
    </row>
    <row r="1709" spans="1:8">
      <c r="A1709" s="12" t="s">
        <v>8431</v>
      </c>
      <c r="B1709" s="13">
        <v>143.03</v>
      </c>
      <c r="C1709" s="16" t="s">
        <v>5331</v>
      </c>
      <c r="D1709" s="12">
        <v>553.92999999999995</v>
      </c>
      <c r="E1709" s="12" t="s">
        <v>5332</v>
      </c>
      <c r="F1709" s="12" t="s">
        <v>5328</v>
      </c>
      <c r="G1709" s="12" t="s">
        <v>8432</v>
      </c>
      <c r="H1709" s="12">
        <v>18708</v>
      </c>
    </row>
    <row r="1710" spans="1:8">
      <c r="A1710" s="12" t="s">
        <v>8433</v>
      </c>
      <c r="B1710" s="13">
        <v>415.69</v>
      </c>
      <c r="C1710" s="16" t="s">
        <v>5331</v>
      </c>
      <c r="D1710" s="12">
        <v>1302.5</v>
      </c>
      <c r="E1710" s="12" t="s">
        <v>5332</v>
      </c>
      <c r="F1710" s="12" t="s">
        <v>5328</v>
      </c>
      <c r="G1710" s="12" t="s">
        <v>8434</v>
      </c>
      <c r="H1710" s="12">
        <v>18709</v>
      </c>
    </row>
    <row r="1711" spans="1:8">
      <c r="A1711" s="12" t="s">
        <v>8435</v>
      </c>
      <c r="B1711" s="13">
        <v>62.96</v>
      </c>
      <c r="C1711" s="16" t="s">
        <v>5331</v>
      </c>
      <c r="D1711" s="12">
        <v>397.17500000000001</v>
      </c>
      <c r="E1711" s="12" t="s">
        <v>5332</v>
      </c>
      <c r="F1711" s="12" t="s">
        <v>5328</v>
      </c>
      <c r="G1711" s="12" t="s">
        <v>8436</v>
      </c>
      <c r="H1711" s="12">
        <v>18710</v>
      </c>
    </row>
    <row r="1712" spans="1:8">
      <c r="A1712" s="12" t="s">
        <v>8437</v>
      </c>
      <c r="B1712" s="13">
        <v>276.61</v>
      </c>
      <c r="C1712" s="16" t="s">
        <v>5331</v>
      </c>
      <c r="D1712" s="12">
        <v>940.55</v>
      </c>
      <c r="E1712" s="12" t="s">
        <v>5332</v>
      </c>
      <c r="F1712" s="12" t="s">
        <v>5328</v>
      </c>
      <c r="G1712" s="12" t="s">
        <v>8438</v>
      </c>
      <c r="H1712" s="12">
        <v>18711</v>
      </c>
    </row>
    <row r="1713" spans="1:8">
      <c r="A1713" s="12" t="s">
        <v>8439</v>
      </c>
      <c r="B1713" s="13">
        <v>165.16</v>
      </c>
      <c r="C1713" s="16" t="s">
        <v>5331</v>
      </c>
      <c r="D1713" s="12">
        <v>1327.7750000000001</v>
      </c>
      <c r="E1713" s="12" t="s">
        <v>5332</v>
      </c>
      <c r="F1713" s="12" t="s">
        <v>5328</v>
      </c>
      <c r="G1713" s="12" t="s">
        <v>8440</v>
      </c>
      <c r="H1713" s="12">
        <v>18712</v>
      </c>
    </row>
    <row r="1714" spans="1:8">
      <c r="A1714" s="12" t="s">
        <v>8441</v>
      </c>
      <c r="B1714" s="13">
        <v>126.25</v>
      </c>
      <c r="C1714" s="16" t="s">
        <v>5331</v>
      </c>
      <c r="D1714" s="12">
        <v>532.74</v>
      </c>
      <c r="E1714" s="12" t="s">
        <v>5332</v>
      </c>
      <c r="F1714" s="12" t="s">
        <v>5328</v>
      </c>
      <c r="G1714" s="12" t="s">
        <v>8442</v>
      </c>
      <c r="H1714" s="12">
        <v>45310</v>
      </c>
    </row>
    <row r="1715" spans="1:8">
      <c r="A1715" s="12" t="s">
        <v>8441</v>
      </c>
      <c r="B1715" s="13">
        <v>0</v>
      </c>
      <c r="C1715" s="16" t="s">
        <v>5331</v>
      </c>
      <c r="D1715" s="12">
        <v>709.55</v>
      </c>
      <c r="E1715" s="12" t="s">
        <v>5332</v>
      </c>
      <c r="F1715" s="12" t="s">
        <v>5328</v>
      </c>
      <c r="G1715" s="12" t="s">
        <v>8443</v>
      </c>
      <c r="H1715" s="12">
        <v>20894</v>
      </c>
    </row>
    <row r="1716" spans="1:8">
      <c r="A1716" s="12" t="s">
        <v>8444</v>
      </c>
      <c r="B1716" s="13">
        <v>102.89</v>
      </c>
      <c r="C1716" s="16" t="s">
        <v>5331</v>
      </c>
      <c r="D1716" s="12">
        <v>320.55</v>
      </c>
      <c r="E1716" s="12" t="s">
        <v>5332</v>
      </c>
      <c r="F1716" s="12" t="s">
        <v>5328</v>
      </c>
      <c r="G1716" s="12" t="s">
        <v>8445</v>
      </c>
      <c r="H1716" s="12">
        <v>20895</v>
      </c>
    </row>
    <row r="1717" spans="1:8">
      <c r="A1717" s="12" t="s">
        <v>8446</v>
      </c>
      <c r="B1717" s="13">
        <v>234.7</v>
      </c>
      <c r="C1717" s="16" t="s">
        <v>5331</v>
      </c>
      <c r="D1717" s="12">
        <v>540.45000000000005</v>
      </c>
      <c r="E1717" s="12" t="s">
        <v>5332</v>
      </c>
      <c r="F1717" s="12" t="s">
        <v>5328</v>
      </c>
      <c r="G1717" s="12" t="s">
        <v>8447</v>
      </c>
      <c r="H1717" s="12">
        <v>20896</v>
      </c>
    </row>
    <row r="1718" spans="1:8">
      <c r="A1718" s="12" t="s">
        <v>8448</v>
      </c>
      <c r="B1718" s="13">
        <v>0</v>
      </c>
      <c r="C1718" s="16" t="s">
        <v>5331</v>
      </c>
      <c r="D1718" s="12">
        <v>317.31900000000002</v>
      </c>
      <c r="E1718" s="12" t="s">
        <v>5332</v>
      </c>
      <c r="F1718" s="12" t="s">
        <v>5328</v>
      </c>
      <c r="G1718" s="12" t="s">
        <v>8449</v>
      </c>
      <c r="H1718" s="12">
        <v>51639</v>
      </c>
    </row>
    <row r="1719" spans="1:8">
      <c r="A1719" s="12" t="s">
        <v>8450</v>
      </c>
      <c r="B1719" s="13">
        <v>21.27</v>
      </c>
      <c r="C1719" s="16" t="s">
        <v>5331</v>
      </c>
      <c r="D1719" s="12">
        <v>184.28</v>
      </c>
      <c r="E1719" s="12" t="s">
        <v>5332</v>
      </c>
      <c r="F1719" s="12" t="s">
        <v>5328</v>
      </c>
      <c r="G1719" s="12" t="s">
        <v>8451</v>
      </c>
      <c r="H1719" s="12">
        <v>66882</v>
      </c>
    </row>
    <row r="1720" spans="1:8">
      <c r="A1720" s="12" t="s">
        <v>8452</v>
      </c>
      <c r="B1720" s="13">
        <v>37.619999999999997</v>
      </c>
      <c r="C1720" s="16" t="s">
        <v>5331</v>
      </c>
      <c r="D1720" s="12">
        <v>448.88</v>
      </c>
      <c r="E1720" s="12" t="s">
        <v>5332</v>
      </c>
      <c r="F1720" s="12" t="s">
        <v>5328</v>
      </c>
      <c r="G1720" s="12" t="s">
        <v>8453</v>
      </c>
      <c r="H1720" s="12">
        <v>107543</v>
      </c>
    </row>
    <row r="1721" spans="1:8">
      <c r="A1721" s="12" t="s">
        <v>8454</v>
      </c>
      <c r="B1721" s="13">
        <v>65.86</v>
      </c>
      <c r="C1721" s="16" t="s">
        <v>5331</v>
      </c>
      <c r="D1721" s="12">
        <v>378</v>
      </c>
      <c r="E1721" s="12" t="s">
        <v>5332</v>
      </c>
      <c r="F1721" s="12" t="s">
        <v>5328</v>
      </c>
      <c r="G1721" s="12" t="s">
        <v>8455</v>
      </c>
      <c r="H1721" s="12">
        <v>107347</v>
      </c>
    </row>
    <row r="1722" spans="1:8">
      <c r="A1722" s="12" t="s">
        <v>8456</v>
      </c>
      <c r="B1722" s="14">
        <v>21188.2</v>
      </c>
      <c r="C1722" s="16" t="s">
        <v>5331</v>
      </c>
      <c r="D1722" s="12">
        <v>70235.109070000006</v>
      </c>
      <c r="E1722" s="12" t="s">
        <v>5332</v>
      </c>
      <c r="F1722" s="12" t="s">
        <v>5328</v>
      </c>
      <c r="G1722" s="12" t="s">
        <v>8457</v>
      </c>
      <c r="H1722" s="12">
        <v>193940</v>
      </c>
    </row>
    <row r="1723" spans="1:8">
      <c r="A1723" s="12" t="s">
        <v>8456</v>
      </c>
      <c r="B1723" s="14">
        <v>26352.14</v>
      </c>
      <c r="C1723" s="16" t="s">
        <v>5331</v>
      </c>
      <c r="D1723" s="12">
        <v>70235.109070000006</v>
      </c>
      <c r="E1723" s="12" t="s">
        <v>5332</v>
      </c>
      <c r="F1723" s="12" t="s">
        <v>5328</v>
      </c>
      <c r="G1723" s="12" t="s">
        <v>8458</v>
      </c>
      <c r="H1723" s="12">
        <v>38932</v>
      </c>
    </row>
    <row r="1724" spans="1:8">
      <c r="A1724" s="12" t="s">
        <v>8459</v>
      </c>
      <c r="B1724" s="14">
        <v>24635.1</v>
      </c>
      <c r="C1724" s="16" t="s">
        <v>5331</v>
      </c>
      <c r="D1724" s="12">
        <v>84863.788329999996</v>
      </c>
      <c r="E1724" s="12" t="s">
        <v>5332</v>
      </c>
      <c r="F1724" s="12" t="s">
        <v>5328</v>
      </c>
      <c r="G1724" s="12" t="s">
        <v>8460</v>
      </c>
      <c r="H1724" s="12">
        <v>193941</v>
      </c>
    </row>
    <row r="1725" spans="1:8">
      <c r="A1725" s="12" t="s">
        <v>8459</v>
      </c>
      <c r="B1725" s="14">
        <v>31407.88</v>
      </c>
      <c r="C1725" s="16" t="s">
        <v>5331</v>
      </c>
      <c r="D1725" s="12">
        <v>84863.788329999996</v>
      </c>
      <c r="E1725" s="12" t="s">
        <v>5332</v>
      </c>
      <c r="F1725" s="12" t="s">
        <v>5328</v>
      </c>
      <c r="G1725" s="12" t="s">
        <v>8461</v>
      </c>
      <c r="H1725" s="12">
        <v>38933</v>
      </c>
    </row>
    <row r="1726" spans="1:8">
      <c r="A1726" s="12" t="s">
        <v>8462</v>
      </c>
      <c r="B1726" s="14">
        <v>46255.71</v>
      </c>
      <c r="C1726" s="16" t="s">
        <v>5331</v>
      </c>
      <c r="D1726" s="12">
        <v>137751.0263</v>
      </c>
      <c r="E1726" s="12" t="s">
        <v>5332</v>
      </c>
      <c r="F1726" s="12" t="s">
        <v>5328</v>
      </c>
      <c r="G1726" s="12" t="s">
        <v>8463</v>
      </c>
      <c r="H1726" s="12">
        <v>193942</v>
      </c>
    </row>
    <row r="1727" spans="1:8">
      <c r="A1727" s="12" t="s">
        <v>8462</v>
      </c>
      <c r="B1727" s="14">
        <v>54715.49</v>
      </c>
      <c r="C1727" s="16" t="s">
        <v>5331</v>
      </c>
      <c r="D1727" s="12">
        <v>137751.0263</v>
      </c>
      <c r="E1727" s="12" t="s">
        <v>5332</v>
      </c>
      <c r="F1727" s="12" t="s">
        <v>5328</v>
      </c>
      <c r="G1727" s="12" t="s">
        <v>8464</v>
      </c>
      <c r="H1727" s="12">
        <v>37330</v>
      </c>
    </row>
    <row r="1728" spans="1:8">
      <c r="A1728" s="12" t="s">
        <v>8465</v>
      </c>
      <c r="B1728" s="14">
        <v>12367.88</v>
      </c>
      <c r="C1728" s="16" t="s">
        <v>5331</v>
      </c>
      <c r="D1728" s="12">
        <v>44521.25404</v>
      </c>
      <c r="E1728" s="12" t="s">
        <v>5332</v>
      </c>
      <c r="F1728" s="12" t="s">
        <v>5328</v>
      </c>
      <c r="G1728" s="12" t="s">
        <v>8466</v>
      </c>
      <c r="H1728" s="12">
        <v>193943</v>
      </c>
    </row>
    <row r="1729" spans="1:8">
      <c r="A1729" s="12" t="s">
        <v>8465</v>
      </c>
      <c r="B1729" s="14">
        <v>12850.89</v>
      </c>
      <c r="C1729" s="16" t="s">
        <v>5331</v>
      </c>
      <c r="D1729" s="12">
        <v>44521.25404</v>
      </c>
      <c r="E1729" s="12" t="s">
        <v>5332</v>
      </c>
      <c r="F1729" s="12" t="s">
        <v>5328</v>
      </c>
      <c r="G1729" s="12" t="s">
        <v>8467</v>
      </c>
      <c r="H1729" s="12">
        <v>43127</v>
      </c>
    </row>
    <row r="1730" spans="1:8">
      <c r="A1730" s="12" t="s">
        <v>8468</v>
      </c>
      <c r="B1730" s="13">
        <v>0</v>
      </c>
      <c r="C1730" s="16" t="s">
        <v>5331</v>
      </c>
      <c r="D1730" s="12">
        <v>49535.7595</v>
      </c>
      <c r="E1730" s="12" t="s">
        <v>5332</v>
      </c>
      <c r="F1730" s="12" t="s">
        <v>5328</v>
      </c>
      <c r="G1730" s="12" t="s">
        <v>8469</v>
      </c>
      <c r="H1730" s="12">
        <v>193944</v>
      </c>
    </row>
    <row r="1731" spans="1:8">
      <c r="A1731" s="12" t="s">
        <v>8468</v>
      </c>
      <c r="B1731" s="14">
        <v>15327.21</v>
      </c>
      <c r="C1731" s="16" t="s">
        <v>5331</v>
      </c>
      <c r="D1731" s="12">
        <v>49535.7595</v>
      </c>
      <c r="E1731" s="12" t="s">
        <v>5332</v>
      </c>
      <c r="F1731" s="12" t="s">
        <v>5328</v>
      </c>
      <c r="G1731" s="12" t="s">
        <v>8470</v>
      </c>
      <c r="H1731" s="12">
        <v>43128</v>
      </c>
    </row>
    <row r="1732" spans="1:8">
      <c r="A1732" s="12" t="s">
        <v>8471</v>
      </c>
      <c r="B1732" s="14">
        <v>18988.02</v>
      </c>
      <c r="C1732" s="16" t="s">
        <v>5331</v>
      </c>
      <c r="D1732" s="12">
        <v>57816.579669999999</v>
      </c>
      <c r="E1732" s="12" t="s">
        <v>5332</v>
      </c>
      <c r="F1732" s="12" t="s">
        <v>5328</v>
      </c>
      <c r="G1732" s="12" t="s">
        <v>8472</v>
      </c>
      <c r="H1732" s="12">
        <v>193945</v>
      </c>
    </row>
    <row r="1733" spans="1:8">
      <c r="A1733" s="12" t="s">
        <v>8471</v>
      </c>
      <c r="B1733" s="14">
        <v>25063.38</v>
      </c>
      <c r="C1733" s="16" t="s">
        <v>5331</v>
      </c>
      <c r="D1733" s="12">
        <v>57816.579669999999</v>
      </c>
      <c r="E1733" s="12" t="s">
        <v>5332</v>
      </c>
      <c r="F1733" s="12" t="s">
        <v>5328</v>
      </c>
      <c r="G1733" s="12" t="s">
        <v>8473</v>
      </c>
      <c r="H1733" s="12">
        <v>43129</v>
      </c>
    </row>
    <row r="1734" spans="1:8">
      <c r="A1734" s="12" t="s">
        <v>8474</v>
      </c>
      <c r="B1734" s="14">
        <v>41976.32</v>
      </c>
      <c r="C1734" s="16" t="s">
        <v>5331</v>
      </c>
      <c r="D1734" s="12">
        <v>123327.7549</v>
      </c>
      <c r="E1734" s="12" t="s">
        <v>5332</v>
      </c>
      <c r="F1734" s="12" t="s">
        <v>5328</v>
      </c>
      <c r="G1734" s="12" t="s">
        <v>8475</v>
      </c>
      <c r="H1734" s="12">
        <v>193946</v>
      </c>
    </row>
    <row r="1735" spans="1:8">
      <c r="A1735" s="12" t="s">
        <v>8474</v>
      </c>
      <c r="B1735" s="14">
        <v>49557.16</v>
      </c>
      <c r="C1735" s="16" t="s">
        <v>5331</v>
      </c>
      <c r="D1735" s="12">
        <v>123327.7549</v>
      </c>
      <c r="E1735" s="12" t="s">
        <v>5332</v>
      </c>
      <c r="F1735" s="12" t="s">
        <v>5328</v>
      </c>
      <c r="G1735" s="12" t="s">
        <v>8476</v>
      </c>
      <c r="H1735" s="12">
        <v>41726</v>
      </c>
    </row>
    <row r="1736" spans="1:8">
      <c r="A1736" s="12" t="s">
        <v>8477</v>
      </c>
      <c r="B1736" s="13">
        <v>229.06</v>
      </c>
      <c r="C1736" s="16" t="s">
        <v>5331</v>
      </c>
      <c r="D1736" s="12">
        <v>1749.24</v>
      </c>
      <c r="E1736" s="12" t="s">
        <v>5332</v>
      </c>
      <c r="F1736" s="12" t="s">
        <v>5328</v>
      </c>
      <c r="G1736" s="12" t="s">
        <v>8478</v>
      </c>
      <c r="H1736" s="12">
        <v>132467</v>
      </c>
    </row>
    <row r="1737" spans="1:8">
      <c r="A1737" s="12" t="s">
        <v>8479</v>
      </c>
      <c r="B1737" s="13">
        <v>0</v>
      </c>
      <c r="C1737" s="16" t="s">
        <v>5331</v>
      </c>
      <c r="D1737" s="12">
        <v>50675.1895</v>
      </c>
      <c r="E1737" s="12" t="s">
        <v>5332</v>
      </c>
      <c r="F1737" s="12" t="s">
        <v>5328</v>
      </c>
      <c r="G1737" s="12" t="s">
        <v>8480</v>
      </c>
      <c r="H1737" s="12">
        <v>193947</v>
      </c>
    </row>
    <row r="1738" spans="1:8">
      <c r="A1738" s="12" t="s">
        <v>8479</v>
      </c>
      <c r="B1738" s="14">
        <v>18176.34</v>
      </c>
      <c r="C1738" s="16" t="s">
        <v>5331</v>
      </c>
      <c r="D1738" s="12">
        <v>50675.1895</v>
      </c>
      <c r="E1738" s="12" t="s">
        <v>5332</v>
      </c>
      <c r="F1738" s="12" t="s">
        <v>5328</v>
      </c>
      <c r="G1738" s="12" t="s">
        <v>8481</v>
      </c>
      <c r="H1738" s="12">
        <v>43130</v>
      </c>
    </row>
    <row r="1739" spans="1:8">
      <c r="A1739" s="12" t="s">
        <v>8482</v>
      </c>
      <c r="B1739" s="13">
        <v>0</v>
      </c>
      <c r="C1739" s="16" t="s">
        <v>5331</v>
      </c>
      <c r="D1739" s="12">
        <v>199000</v>
      </c>
      <c r="E1739" s="12" t="s">
        <v>5332</v>
      </c>
      <c r="F1739" s="12" t="s">
        <v>5328</v>
      </c>
      <c r="G1739" s="12" t="s">
        <v>8483</v>
      </c>
      <c r="H1739" s="12">
        <v>193948</v>
      </c>
    </row>
    <row r="1740" spans="1:8">
      <c r="A1740" s="12" t="s">
        <v>8482</v>
      </c>
      <c r="B1740" s="14">
        <v>19991.900000000001</v>
      </c>
      <c r="C1740" s="16" t="s">
        <v>5331</v>
      </c>
      <c r="D1740" s="12">
        <v>199000</v>
      </c>
      <c r="E1740" s="12" t="s">
        <v>5332</v>
      </c>
      <c r="F1740" s="12" t="s">
        <v>5328</v>
      </c>
      <c r="G1740" s="12" t="s">
        <v>8484</v>
      </c>
      <c r="H1740" s="12">
        <v>57555</v>
      </c>
    </row>
    <row r="1741" spans="1:8">
      <c r="A1741" s="12" t="s">
        <v>8485</v>
      </c>
      <c r="B1741" s="13">
        <v>0</v>
      </c>
      <c r="C1741" s="16" t="s">
        <v>5331</v>
      </c>
      <c r="D1741" s="12">
        <v>159200</v>
      </c>
      <c r="E1741" s="12" t="s">
        <v>5332</v>
      </c>
      <c r="F1741" s="12" t="s">
        <v>5328</v>
      </c>
      <c r="G1741" s="12" t="s">
        <v>8486</v>
      </c>
      <c r="H1741" s="12">
        <v>193859</v>
      </c>
    </row>
    <row r="1742" spans="1:8">
      <c r="A1742" s="12" t="s">
        <v>8485</v>
      </c>
      <c r="B1742" s="13">
        <v>0</v>
      </c>
      <c r="C1742" s="16" t="s">
        <v>5331</v>
      </c>
      <c r="D1742" s="12">
        <v>159200</v>
      </c>
      <c r="E1742" s="12" t="s">
        <v>5332</v>
      </c>
      <c r="F1742" s="12" t="s">
        <v>5328</v>
      </c>
      <c r="G1742" s="12" t="s">
        <v>8487</v>
      </c>
      <c r="H1742" s="12">
        <v>105859</v>
      </c>
    </row>
    <row r="1743" spans="1:8">
      <c r="A1743" s="12" t="s">
        <v>8488</v>
      </c>
      <c r="B1743" s="13">
        <v>0</v>
      </c>
      <c r="C1743" s="16" t="s">
        <v>5331</v>
      </c>
      <c r="D1743" s="12">
        <v>36038.89172</v>
      </c>
      <c r="E1743" s="12" t="s">
        <v>5332</v>
      </c>
      <c r="F1743" s="12" t="s">
        <v>5328</v>
      </c>
      <c r="G1743" s="12" t="s">
        <v>8489</v>
      </c>
      <c r="H1743" s="12">
        <v>193858</v>
      </c>
    </row>
    <row r="1744" spans="1:8">
      <c r="A1744" s="12" t="s">
        <v>8488</v>
      </c>
      <c r="B1744" s="14">
        <v>9969.36</v>
      </c>
      <c r="C1744" s="16" t="s">
        <v>5331</v>
      </c>
      <c r="D1744" s="12">
        <v>36038.89172</v>
      </c>
      <c r="E1744" s="12" t="s">
        <v>5332</v>
      </c>
      <c r="F1744" s="12" t="s">
        <v>5328</v>
      </c>
      <c r="G1744" s="12" t="s">
        <v>8490</v>
      </c>
      <c r="H1744" s="12">
        <v>54965</v>
      </c>
    </row>
    <row r="1745" spans="1:8">
      <c r="A1745" s="12" t="s">
        <v>8491</v>
      </c>
      <c r="B1745" s="13">
        <v>0</v>
      </c>
      <c r="C1745" s="16" t="s">
        <v>5331</v>
      </c>
      <c r="D1745" s="12">
        <v>44674.489159999997</v>
      </c>
      <c r="E1745" s="12" t="s">
        <v>5332</v>
      </c>
      <c r="F1745" s="12" t="s">
        <v>5328</v>
      </c>
      <c r="G1745" s="12" t="s">
        <v>8492</v>
      </c>
      <c r="H1745" s="12">
        <v>193857</v>
      </c>
    </row>
    <row r="1746" spans="1:8">
      <c r="A1746" s="12" t="s">
        <v>8491</v>
      </c>
      <c r="B1746" s="14">
        <v>14699.92</v>
      </c>
      <c r="C1746" s="16" t="s">
        <v>5331</v>
      </c>
      <c r="D1746" s="12">
        <v>44674.489159999997</v>
      </c>
      <c r="E1746" s="12" t="s">
        <v>5332</v>
      </c>
      <c r="F1746" s="12" t="s">
        <v>5328</v>
      </c>
      <c r="G1746" s="12" t="s">
        <v>8493</v>
      </c>
      <c r="H1746" s="12">
        <v>54966</v>
      </c>
    </row>
    <row r="1747" spans="1:8">
      <c r="A1747" s="12" t="s">
        <v>8494</v>
      </c>
      <c r="B1747" s="13">
        <v>0</v>
      </c>
      <c r="C1747" s="16" t="s">
        <v>5331</v>
      </c>
      <c r="D1747" s="12">
        <v>39283.074560000001</v>
      </c>
      <c r="E1747" s="12" t="s">
        <v>5332</v>
      </c>
      <c r="F1747" s="12" t="s">
        <v>5328</v>
      </c>
      <c r="G1747" s="12" t="s">
        <v>8495</v>
      </c>
      <c r="H1747" s="12">
        <v>193856</v>
      </c>
    </row>
    <row r="1748" spans="1:8">
      <c r="A1748" s="12" t="s">
        <v>8494</v>
      </c>
      <c r="B1748" s="14">
        <v>12917.21</v>
      </c>
      <c r="C1748" s="16" t="s">
        <v>5331</v>
      </c>
      <c r="D1748" s="12">
        <v>39283.074560000001</v>
      </c>
      <c r="E1748" s="12" t="s">
        <v>5332</v>
      </c>
      <c r="F1748" s="12" t="s">
        <v>5328</v>
      </c>
      <c r="G1748" s="12" t="s">
        <v>8496</v>
      </c>
      <c r="H1748" s="12">
        <v>54967</v>
      </c>
    </row>
    <row r="1749" spans="1:8">
      <c r="A1749" s="12" t="s">
        <v>8497</v>
      </c>
      <c r="B1749" s="13">
        <v>0</v>
      </c>
      <c r="C1749" s="16" t="s">
        <v>5331</v>
      </c>
      <c r="D1749" s="12">
        <v>47744.730490000002</v>
      </c>
      <c r="E1749" s="12" t="s">
        <v>5332</v>
      </c>
      <c r="F1749" s="12" t="s">
        <v>5328</v>
      </c>
      <c r="G1749" s="12" t="s">
        <v>8498</v>
      </c>
      <c r="H1749" s="12">
        <v>193855</v>
      </c>
    </row>
    <row r="1750" spans="1:8">
      <c r="A1750" s="12" t="s">
        <v>8497</v>
      </c>
      <c r="B1750" s="13">
        <v>0</v>
      </c>
      <c r="C1750" s="16" t="s">
        <v>5331</v>
      </c>
      <c r="D1750" s="12">
        <v>47744.730490000002</v>
      </c>
      <c r="E1750" s="12" t="s">
        <v>5332</v>
      </c>
      <c r="F1750" s="12" t="s">
        <v>5328</v>
      </c>
      <c r="G1750" s="12" t="s">
        <v>8499</v>
      </c>
      <c r="H1750" s="12">
        <v>54968</v>
      </c>
    </row>
    <row r="1751" spans="1:8">
      <c r="A1751" s="12" t="s">
        <v>8500</v>
      </c>
      <c r="B1751" s="14">
        <v>23404.16</v>
      </c>
      <c r="C1751" s="16" t="s">
        <v>5331</v>
      </c>
      <c r="D1751" s="12">
        <v>31500.931209999999</v>
      </c>
      <c r="E1751" s="12" t="s">
        <v>5332</v>
      </c>
      <c r="F1751" s="12" t="s">
        <v>5328</v>
      </c>
      <c r="G1751" s="12" t="s">
        <v>8501</v>
      </c>
      <c r="H1751" s="12">
        <v>193854</v>
      </c>
    </row>
    <row r="1752" spans="1:8">
      <c r="A1752" s="12" t="s">
        <v>8500</v>
      </c>
      <c r="B1752" s="13">
        <v>0</v>
      </c>
      <c r="C1752" s="16" t="s">
        <v>5331</v>
      </c>
      <c r="D1752" s="12">
        <v>31500.931209999999</v>
      </c>
      <c r="E1752" s="12" t="s">
        <v>5332</v>
      </c>
      <c r="F1752" s="12" t="s">
        <v>5328</v>
      </c>
      <c r="G1752" s="12" t="s">
        <v>8502</v>
      </c>
      <c r="H1752" s="12">
        <v>54969</v>
      </c>
    </row>
    <row r="1753" spans="1:8">
      <c r="A1753" s="12" t="s">
        <v>8503</v>
      </c>
      <c r="B1753" s="14">
        <v>23385.55</v>
      </c>
      <c r="C1753" s="16" t="s">
        <v>5331</v>
      </c>
      <c r="D1753" s="12">
        <v>60709.022839999998</v>
      </c>
      <c r="E1753" s="12" t="s">
        <v>5332</v>
      </c>
      <c r="F1753" s="12" t="s">
        <v>5328</v>
      </c>
      <c r="G1753" s="12" t="s">
        <v>8504</v>
      </c>
      <c r="H1753" s="12">
        <v>193853</v>
      </c>
    </row>
    <row r="1754" spans="1:8">
      <c r="A1754" s="12" t="s">
        <v>8503</v>
      </c>
      <c r="B1754" s="13">
        <v>0</v>
      </c>
      <c r="C1754" s="16" t="s">
        <v>5331</v>
      </c>
      <c r="D1754" s="12">
        <v>60709.022839999998</v>
      </c>
      <c r="E1754" s="12" t="s">
        <v>5332</v>
      </c>
      <c r="F1754" s="12" t="s">
        <v>5328</v>
      </c>
      <c r="G1754" s="12" t="s">
        <v>8505</v>
      </c>
      <c r="H1754" s="12">
        <v>54970</v>
      </c>
    </row>
    <row r="1755" spans="1:8">
      <c r="A1755" s="12" t="s">
        <v>8506</v>
      </c>
      <c r="B1755" s="13">
        <v>0</v>
      </c>
      <c r="C1755" s="16" t="s">
        <v>5331</v>
      </c>
      <c r="D1755" s="12">
        <v>55314.073880000004</v>
      </c>
      <c r="E1755" s="12" t="s">
        <v>5332</v>
      </c>
      <c r="F1755" s="12" t="s">
        <v>5328</v>
      </c>
      <c r="G1755" s="12" t="s">
        <v>8507</v>
      </c>
      <c r="H1755" s="12">
        <v>193852</v>
      </c>
    </row>
    <row r="1756" spans="1:8">
      <c r="A1756" s="12" t="s">
        <v>8506</v>
      </c>
      <c r="B1756" s="13">
        <v>0</v>
      </c>
      <c r="C1756" s="16" t="s">
        <v>5331</v>
      </c>
      <c r="D1756" s="12">
        <v>55314.073880000004</v>
      </c>
      <c r="E1756" s="12" t="s">
        <v>5332</v>
      </c>
      <c r="F1756" s="12" t="s">
        <v>5328</v>
      </c>
      <c r="G1756" s="12" t="s">
        <v>8508</v>
      </c>
      <c r="H1756" s="12">
        <v>54971</v>
      </c>
    </row>
    <row r="1757" spans="1:8">
      <c r="A1757" s="12" t="s">
        <v>8509</v>
      </c>
      <c r="B1757" s="13">
        <v>0</v>
      </c>
      <c r="C1757" s="16" t="s">
        <v>5331</v>
      </c>
      <c r="D1757" s="12">
        <v>77796.678610000003</v>
      </c>
      <c r="E1757" s="12" t="s">
        <v>5332</v>
      </c>
      <c r="F1757" s="12" t="s">
        <v>5328</v>
      </c>
      <c r="G1757" s="12" t="s">
        <v>8510</v>
      </c>
      <c r="H1757" s="12">
        <v>193851</v>
      </c>
    </row>
    <row r="1758" spans="1:8">
      <c r="A1758" s="12" t="s">
        <v>8509</v>
      </c>
      <c r="B1758" s="14">
        <v>25783.13</v>
      </c>
      <c r="C1758" s="16" t="s">
        <v>5331</v>
      </c>
      <c r="D1758" s="12">
        <v>77796.678610000003</v>
      </c>
      <c r="E1758" s="12" t="s">
        <v>5332</v>
      </c>
      <c r="F1758" s="12" t="s">
        <v>5328</v>
      </c>
      <c r="G1758" s="12" t="s">
        <v>8511</v>
      </c>
      <c r="H1758" s="12">
        <v>54972</v>
      </c>
    </row>
    <row r="1759" spans="1:8">
      <c r="A1759" s="12" t="s">
        <v>8512</v>
      </c>
      <c r="B1759" s="13">
        <v>0</v>
      </c>
      <c r="C1759" s="16" t="s">
        <v>5331</v>
      </c>
      <c r="D1759" s="12">
        <v>43791.594040000004</v>
      </c>
      <c r="E1759" s="12" t="s">
        <v>5332</v>
      </c>
      <c r="F1759" s="12" t="s">
        <v>5328</v>
      </c>
      <c r="G1759" s="12" t="s">
        <v>8513</v>
      </c>
      <c r="H1759" s="12">
        <v>193949</v>
      </c>
    </row>
    <row r="1760" spans="1:8">
      <c r="A1760" s="12" t="s">
        <v>8514</v>
      </c>
      <c r="B1760" s="14">
        <v>12276.69</v>
      </c>
      <c r="C1760" s="16" t="s">
        <v>5331</v>
      </c>
      <c r="D1760" s="12">
        <v>43791.594040000004</v>
      </c>
      <c r="E1760" s="12" t="s">
        <v>5332</v>
      </c>
      <c r="F1760" s="12" t="s">
        <v>5328</v>
      </c>
      <c r="G1760" s="12" t="s">
        <v>8515</v>
      </c>
      <c r="H1760" s="12">
        <v>44496</v>
      </c>
    </row>
    <row r="1761" spans="1:8">
      <c r="A1761" s="12" t="s">
        <v>8516</v>
      </c>
      <c r="B1761" s="13">
        <v>0</v>
      </c>
      <c r="C1761" s="16" t="s">
        <v>5331</v>
      </c>
      <c r="D1761" s="12">
        <v>49945.529499999997</v>
      </c>
      <c r="E1761" s="12" t="s">
        <v>5332</v>
      </c>
      <c r="F1761" s="12" t="s">
        <v>5328</v>
      </c>
      <c r="G1761" s="12" t="s">
        <v>8517</v>
      </c>
      <c r="H1761" s="12">
        <v>193950</v>
      </c>
    </row>
    <row r="1762" spans="1:8">
      <c r="A1762" s="12" t="s">
        <v>8518</v>
      </c>
      <c r="B1762" s="14">
        <v>18169.72</v>
      </c>
      <c r="C1762" s="16" t="s">
        <v>5331</v>
      </c>
      <c r="D1762" s="12">
        <v>49945.529499999997</v>
      </c>
      <c r="E1762" s="12" t="s">
        <v>5332</v>
      </c>
      <c r="F1762" s="12" t="s">
        <v>5328</v>
      </c>
      <c r="G1762" s="12" t="s">
        <v>8519</v>
      </c>
      <c r="H1762" s="12">
        <v>44497</v>
      </c>
    </row>
    <row r="1763" spans="1:8">
      <c r="A1763" s="12" t="s">
        <v>8520</v>
      </c>
      <c r="B1763" s="13">
        <v>0</v>
      </c>
      <c r="C1763" s="16" t="s">
        <v>5331</v>
      </c>
      <c r="D1763" s="12">
        <v>48806.099499999997</v>
      </c>
      <c r="E1763" s="12" t="s">
        <v>5332</v>
      </c>
      <c r="F1763" s="12" t="s">
        <v>5328</v>
      </c>
      <c r="G1763" s="12" t="s">
        <v>8521</v>
      </c>
      <c r="H1763" s="12">
        <v>193951</v>
      </c>
    </row>
    <row r="1764" spans="1:8">
      <c r="A1764" s="12" t="s">
        <v>8522</v>
      </c>
      <c r="B1764" s="14">
        <v>14972.82</v>
      </c>
      <c r="C1764" s="16" t="s">
        <v>5331</v>
      </c>
      <c r="D1764" s="12">
        <v>48806.099499999997</v>
      </c>
      <c r="E1764" s="12" t="s">
        <v>5332</v>
      </c>
      <c r="F1764" s="12" t="s">
        <v>5328</v>
      </c>
      <c r="G1764" s="12" t="s">
        <v>8523</v>
      </c>
      <c r="H1764" s="12">
        <v>44498</v>
      </c>
    </row>
    <row r="1765" spans="1:8">
      <c r="A1765" s="12" t="s">
        <v>8524</v>
      </c>
      <c r="B1765" s="13">
        <v>0</v>
      </c>
      <c r="C1765" s="16" t="s">
        <v>5331</v>
      </c>
      <c r="D1765" s="12">
        <v>57086.919670000003</v>
      </c>
      <c r="E1765" s="12" t="s">
        <v>5332</v>
      </c>
      <c r="F1765" s="12" t="s">
        <v>5328</v>
      </c>
      <c r="G1765" s="12" t="s">
        <v>8525</v>
      </c>
      <c r="H1765" s="12">
        <v>193952</v>
      </c>
    </row>
    <row r="1766" spans="1:8">
      <c r="A1766" s="12" t="s">
        <v>8526</v>
      </c>
      <c r="B1766" s="14">
        <v>22929.8</v>
      </c>
      <c r="C1766" s="16" t="s">
        <v>5331</v>
      </c>
      <c r="D1766" s="12">
        <v>57086.919670000003</v>
      </c>
      <c r="E1766" s="12" t="s">
        <v>5332</v>
      </c>
      <c r="F1766" s="12" t="s">
        <v>5328</v>
      </c>
      <c r="G1766" s="12" t="s">
        <v>8527</v>
      </c>
      <c r="H1766" s="12">
        <v>44499</v>
      </c>
    </row>
    <row r="1767" spans="1:8">
      <c r="A1767" s="12" t="s">
        <v>8528</v>
      </c>
      <c r="B1767" s="14">
        <v>11827.91</v>
      </c>
      <c r="C1767" s="16" t="s">
        <v>5331</v>
      </c>
      <c r="D1767" s="12">
        <v>37801.527609999997</v>
      </c>
      <c r="E1767" s="12" t="s">
        <v>5332</v>
      </c>
      <c r="F1767" s="12" t="s">
        <v>5328</v>
      </c>
      <c r="G1767" s="12" t="s">
        <v>8529</v>
      </c>
      <c r="H1767" s="12">
        <v>193953</v>
      </c>
    </row>
    <row r="1768" spans="1:8">
      <c r="A1768" s="12" t="s">
        <v>8528</v>
      </c>
      <c r="B1768" s="14">
        <v>13947.93</v>
      </c>
      <c r="C1768" s="16" t="s">
        <v>5331</v>
      </c>
      <c r="D1768" s="12">
        <v>37801.527609999997</v>
      </c>
      <c r="E1768" s="12" t="s">
        <v>5332</v>
      </c>
      <c r="F1768" s="12" t="s">
        <v>5328</v>
      </c>
      <c r="G1768" s="12" t="s">
        <v>8530</v>
      </c>
      <c r="H1768" s="12">
        <v>59067</v>
      </c>
    </row>
    <row r="1769" spans="1:8">
      <c r="A1769" s="12" t="s">
        <v>8531</v>
      </c>
      <c r="B1769" s="14">
        <v>16369.94</v>
      </c>
      <c r="C1769" s="16" t="s">
        <v>5331</v>
      </c>
      <c r="D1769" s="12">
        <v>54496.49005</v>
      </c>
      <c r="E1769" s="12" t="s">
        <v>5332</v>
      </c>
      <c r="F1769" s="12" t="s">
        <v>5328</v>
      </c>
      <c r="G1769" s="12" t="s">
        <v>8532</v>
      </c>
      <c r="H1769" s="12">
        <v>193954</v>
      </c>
    </row>
    <row r="1770" spans="1:8">
      <c r="A1770" s="12" t="s">
        <v>8531</v>
      </c>
      <c r="B1770" s="13">
        <v>0</v>
      </c>
      <c r="C1770" s="16" t="s">
        <v>5331</v>
      </c>
      <c r="D1770" s="12">
        <v>54496.49005</v>
      </c>
      <c r="E1770" s="12" t="s">
        <v>5332</v>
      </c>
      <c r="F1770" s="12" t="s">
        <v>5328</v>
      </c>
      <c r="G1770" s="12" t="s">
        <v>8533</v>
      </c>
      <c r="H1770" s="12">
        <v>59068</v>
      </c>
    </row>
    <row r="1771" spans="1:8">
      <c r="A1771" s="12" t="s">
        <v>8534</v>
      </c>
      <c r="B1771" s="14">
        <v>15692.35</v>
      </c>
      <c r="C1771" s="16" t="s">
        <v>5331</v>
      </c>
      <c r="D1771" s="12">
        <v>47178.532449999999</v>
      </c>
      <c r="E1771" s="12" t="s">
        <v>5332</v>
      </c>
      <c r="F1771" s="12" t="s">
        <v>5328</v>
      </c>
      <c r="G1771" s="12" t="s">
        <v>8535</v>
      </c>
      <c r="H1771" s="12">
        <v>193955</v>
      </c>
    </row>
    <row r="1772" spans="1:8">
      <c r="A1772" s="12" t="s">
        <v>8534</v>
      </c>
      <c r="B1772" s="14">
        <v>19269.939999999999</v>
      </c>
      <c r="C1772" s="16" t="s">
        <v>5331</v>
      </c>
      <c r="D1772" s="12">
        <v>47178.532449999999</v>
      </c>
      <c r="E1772" s="12" t="s">
        <v>5332</v>
      </c>
      <c r="F1772" s="12" t="s">
        <v>5328</v>
      </c>
      <c r="G1772" s="12" t="s">
        <v>8536</v>
      </c>
      <c r="H1772" s="12">
        <v>59069</v>
      </c>
    </row>
    <row r="1773" spans="1:8">
      <c r="A1773" s="12" t="s">
        <v>8537</v>
      </c>
      <c r="B1773" s="14">
        <v>20234.39</v>
      </c>
      <c r="C1773" s="16" t="s">
        <v>5331</v>
      </c>
      <c r="D1773" s="12">
        <v>58221.617290000002</v>
      </c>
      <c r="E1773" s="12" t="s">
        <v>5332</v>
      </c>
      <c r="F1773" s="12" t="s">
        <v>5328</v>
      </c>
      <c r="G1773" s="12" t="s">
        <v>8538</v>
      </c>
      <c r="H1773" s="12">
        <v>193956</v>
      </c>
    </row>
    <row r="1774" spans="1:8">
      <c r="A1774" s="12" t="s">
        <v>8537</v>
      </c>
      <c r="B1774" s="14">
        <v>25251.67</v>
      </c>
      <c r="C1774" s="16" t="s">
        <v>5331</v>
      </c>
      <c r="D1774" s="12">
        <v>58221.617290000002</v>
      </c>
      <c r="E1774" s="12" t="s">
        <v>5332</v>
      </c>
      <c r="F1774" s="12" t="s">
        <v>5328</v>
      </c>
      <c r="G1774" s="12" t="s">
        <v>8539</v>
      </c>
      <c r="H1774" s="12">
        <v>59070</v>
      </c>
    </row>
    <row r="1775" spans="1:8">
      <c r="A1775" s="12" t="s">
        <v>8540</v>
      </c>
      <c r="B1775" s="14">
        <v>1456.6</v>
      </c>
      <c r="C1775" s="16" t="s">
        <v>5331</v>
      </c>
      <c r="D1775" s="12">
        <v>5029</v>
      </c>
      <c r="E1775" s="12" t="s">
        <v>5332</v>
      </c>
      <c r="F1775" s="12" t="s">
        <v>5328</v>
      </c>
      <c r="G1775" s="12" t="s">
        <v>8541</v>
      </c>
      <c r="H1775" s="12">
        <v>43131</v>
      </c>
    </row>
    <row r="1776" spans="1:8">
      <c r="A1776" s="12" t="s">
        <v>8542</v>
      </c>
      <c r="B1776" s="14">
        <v>1748.49</v>
      </c>
      <c r="C1776" s="16" t="s">
        <v>5331</v>
      </c>
      <c r="D1776" s="12">
        <v>2891.25</v>
      </c>
      <c r="E1776" s="12" t="s">
        <v>5332</v>
      </c>
      <c r="F1776" s="12" t="s">
        <v>5328</v>
      </c>
      <c r="G1776" s="12" t="s">
        <v>8543</v>
      </c>
      <c r="H1776" s="12">
        <v>18715</v>
      </c>
    </row>
    <row r="1777" spans="1:8">
      <c r="A1777" s="12" t="s">
        <v>8544</v>
      </c>
      <c r="B1777" s="14">
        <v>1049.57</v>
      </c>
      <c r="C1777" s="16" t="s">
        <v>5331</v>
      </c>
      <c r="D1777" s="12">
        <v>4275.2299999999996</v>
      </c>
      <c r="E1777" s="12" t="s">
        <v>5332</v>
      </c>
      <c r="F1777" s="12" t="s">
        <v>5328</v>
      </c>
      <c r="G1777" s="12" t="s">
        <v>8545</v>
      </c>
      <c r="H1777" s="12">
        <v>21187</v>
      </c>
    </row>
    <row r="1778" spans="1:8">
      <c r="A1778" s="12" t="s">
        <v>8546</v>
      </c>
      <c r="B1778" s="14">
        <v>3062.19</v>
      </c>
      <c r="C1778" s="16" t="s">
        <v>5331</v>
      </c>
      <c r="D1778" s="12">
        <v>19606.099999999999</v>
      </c>
      <c r="E1778" s="12" t="s">
        <v>5332</v>
      </c>
      <c r="F1778" s="12" t="s">
        <v>5328</v>
      </c>
      <c r="G1778" s="12" t="s">
        <v>8547</v>
      </c>
      <c r="H1778" s="12">
        <v>37135</v>
      </c>
    </row>
    <row r="1779" spans="1:8">
      <c r="A1779" s="12" t="s">
        <v>8546</v>
      </c>
      <c r="B1779" s="14">
        <v>3645.62</v>
      </c>
      <c r="C1779" s="16" t="s">
        <v>5331</v>
      </c>
      <c r="D1779" s="12">
        <v>7997.48</v>
      </c>
      <c r="E1779" s="12" t="s">
        <v>5332</v>
      </c>
      <c r="F1779" s="12" t="s">
        <v>5328</v>
      </c>
      <c r="G1779" s="12" t="s">
        <v>8548</v>
      </c>
      <c r="H1779" s="12">
        <v>21069</v>
      </c>
    </row>
    <row r="1780" spans="1:8">
      <c r="A1780" s="12" t="s">
        <v>8549</v>
      </c>
      <c r="B1780" s="14">
        <v>4269.2299999999996</v>
      </c>
      <c r="C1780" s="16" t="s">
        <v>5331</v>
      </c>
      <c r="D1780" s="12">
        <v>15570.78398</v>
      </c>
      <c r="E1780" s="12" t="s">
        <v>5332</v>
      </c>
      <c r="F1780" s="12" t="s">
        <v>5328</v>
      </c>
      <c r="G1780" s="12" t="s">
        <v>8550</v>
      </c>
      <c r="H1780" s="12">
        <v>43132</v>
      </c>
    </row>
    <row r="1781" spans="1:8">
      <c r="A1781" s="12" t="s">
        <v>8551</v>
      </c>
      <c r="B1781" s="14">
        <v>8718.94</v>
      </c>
      <c r="C1781" s="16" t="s">
        <v>5331</v>
      </c>
      <c r="D1781" s="12">
        <v>22619.45</v>
      </c>
      <c r="E1781" s="12" t="s">
        <v>5332</v>
      </c>
      <c r="F1781" s="12" t="s">
        <v>5328</v>
      </c>
      <c r="G1781" s="12" t="s">
        <v>8552</v>
      </c>
      <c r="H1781" s="12">
        <v>21070</v>
      </c>
    </row>
    <row r="1782" spans="1:8">
      <c r="A1782" s="12" t="s">
        <v>8553</v>
      </c>
      <c r="B1782" s="14">
        <v>5075.9799999999996</v>
      </c>
      <c r="C1782" s="16" t="s">
        <v>5331</v>
      </c>
      <c r="D1782" s="12">
        <v>15982.55</v>
      </c>
      <c r="E1782" s="12" t="s">
        <v>5332</v>
      </c>
      <c r="F1782" s="12" t="s">
        <v>5328</v>
      </c>
      <c r="G1782" s="12" t="s">
        <v>8554</v>
      </c>
      <c r="H1782" s="12">
        <v>21071</v>
      </c>
    </row>
    <row r="1783" spans="1:8">
      <c r="A1783" s="12" t="s">
        <v>8555</v>
      </c>
      <c r="B1783" s="14">
        <v>1997.88</v>
      </c>
      <c r="C1783" s="16" t="s">
        <v>5331</v>
      </c>
      <c r="D1783" s="12">
        <v>10753.338</v>
      </c>
      <c r="E1783" s="12" t="s">
        <v>5332</v>
      </c>
      <c r="F1783" s="12" t="s">
        <v>5328</v>
      </c>
      <c r="G1783" s="12" t="s">
        <v>8556</v>
      </c>
      <c r="H1783" s="12">
        <v>45311</v>
      </c>
    </row>
    <row r="1784" spans="1:8">
      <c r="A1784" s="12" t="s">
        <v>8557</v>
      </c>
      <c r="B1784" s="14">
        <v>6436.25</v>
      </c>
      <c r="C1784" s="16" t="s">
        <v>5331</v>
      </c>
      <c r="D1784" s="12">
        <v>8937.5</v>
      </c>
      <c r="E1784" s="12" t="s">
        <v>5332</v>
      </c>
      <c r="F1784" s="12" t="s">
        <v>5328</v>
      </c>
      <c r="G1784" s="12" t="s">
        <v>8558</v>
      </c>
      <c r="H1784" s="12">
        <v>21072</v>
      </c>
    </row>
    <row r="1785" spans="1:8">
      <c r="A1785" s="12" t="s">
        <v>8559</v>
      </c>
      <c r="B1785" s="13">
        <v>479.69</v>
      </c>
      <c r="C1785" s="16" t="s">
        <v>5331</v>
      </c>
      <c r="D1785" s="12">
        <v>1481.8643999999999</v>
      </c>
      <c r="E1785" s="12" t="s">
        <v>5332</v>
      </c>
      <c r="F1785" s="12" t="s">
        <v>5328</v>
      </c>
      <c r="G1785" s="12" t="s">
        <v>8560</v>
      </c>
      <c r="H1785" s="12">
        <v>45312</v>
      </c>
    </row>
    <row r="1786" spans="1:8">
      <c r="A1786" s="12" t="s">
        <v>8561</v>
      </c>
      <c r="B1786" s="13">
        <v>478.73</v>
      </c>
      <c r="C1786" s="16" t="s">
        <v>5331</v>
      </c>
      <c r="D1786" s="12">
        <v>982.71</v>
      </c>
      <c r="E1786" s="12" t="s">
        <v>5332</v>
      </c>
      <c r="F1786" s="12" t="s">
        <v>5328</v>
      </c>
      <c r="G1786" s="12" t="s">
        <v>8562</v>
      </c>
      <c r="H1786" s="12">
        <v>21188</v>
      </c>
    </row>
    <row r="1787" spans="1:8">
      <c r="A1787" s="12" t="s">
        <v>8563</v>
      </c>
      <c r="B1787" s="13">
        <v>0</v>
      </c>
      <c r="C1787" s="16" t="s">
        <v>5331</v>
      </c>
      <c r="D1787" s="12">
        <v>10933.48</v>
      </c>
      <c r="E1787" s="12" t="s">
        <v>5332</v>
      </c>
      <c r="F1787" s="12" t="s">
        <v>5328</v>
      </c>
      <c r="G1787" s="12" t="s">
        <v>8564</v>
      </c>
      <c r="H1787" s="12">
        <v>21073</v>
      </c>
    </row>
    <row r="1788" spans="1:8">
      <c r="A1788" s="12" t="s">
        <v>8565</v>
      </c>
      <c r="B1788" s="13">
        <v>0</v>
      </c>
      <c r="C1788" s="16" t="s">
        <v>5331</v>
      </c>
      <c r="D1788" s="12">
        <v>4872.5600000000004</v>
      </c>
      <c r="E1788" s="12" t="s">
        <v>5332</v>
      </c>
      <c r="F1788" s="12" t="s">
        <v>5328</v>
      </c>
      <c r="G1788" s="12" t="s">
        <v>8566</v>
      </c>
      <c r="H1788" s="12">
        <v>21074</v>
      </c>
    </row>
    <row r="1789" spans="1:8">
      <c r="A1789" s="12" t="s">
        <v>8567</v>
      </c>
      <c r="B1789" s="13">
        <v>0</v>
      </c>
      <c r="C1789" s="16" t="s">
        <v>5331</v>
      </c>
      <c r="D1789" s="12">
        <v>4263.3100000000004</v>
      </c>
      <c r="E1789" s="12" t="s">
        <v>5332</v>
      </c>
      <c r="F1789" s="12" t="s">
        <v>5328</v>
      </c>
      <c r="G1789" s="12" t="s">
        <v>8568</v>
      </c>
      <c r="H1789" s="12">
        <v>20897</v>
      </c>
    </row>
    <row r="1790" spans="1:8">
      <c r="A1790" s="12" t="s">
        <v>8569</v>
      </c>
      <c r="B1790" s="14">
        <v>1367.1</v>
      </c>
      <c r="C1790" s="16" t="s">
        <v>5331</v>
      </c>
      <c r="D1790" s="12">
        <v>5929.6265400000002</v>
      </c>
      <c r="E1790" s="12" t="s">
        <v>5332</v>
      </c>
      <c r="F1790" s="12" t="s">
        <v>5328</v>
      </c>
      <c r="G1790" s="12" t="s">
        <v>8570</v>
      </c>
      <c r="H1790" s="12">
        <v>45313</v>
      </c>
    </row>
    <row r="1791" spans="1:8">
      <c r="A1791" s="12" t="s">
        <v>8569</v>
      </c>
      <c r="B1791" s="14">
        <v>1920.14</v>
      </c>
      <c r="C1791" s="16" t="s">
        <v>5331</v>
      </c>
      <c r="D1791" s="12">
        <v>4471.5600000000004</v>
      </c>
      <c r="E1791" s="12" t="s">
        <v>5332</v>
      </c>
      <c r="F1791" s="12" t="s">
        <v>5328</v>
      </c>
      <c r="G1791" s="12" t="s">
        <v>8571</v>
      </c>
      <c r="H1791" s="12">
        <v>21075</v>
      </c>
    </row>
    <row r="1792" spans="1:8">
      <c r="A1792" s="12" t="s">
        <v>8569</v>
      </c>
      <c r="B1792" s="13">
        <v>0</v>
      </c>
      <c r="C1792" s="16" t="s">
        <v>5331</v>
      </c>
      <c r="D1792" s="12">
        <v>7405.0421399999996</v>
      </c>
      <c r="E1792" s="12" t="s">
        <v>5332</v>
      </c>
      <c r="F1792" s="12" t="s">
        <v>5328</v>
      </c>
      <c r="G1792" s="12" t="s">
        <v>8572</v>
      </c>
      <c r="H1792" s="12">
        <v>34314</v>
      </c>
    </row>
    <row r="1793" spans="1:8">
      <c r="A1793" s="12" t="s">
        <v>8569</v>
      </c>
      <c r="B1793" s="14">
        <v>1563.4</v>
      </c>
      <c r="C1793" s="16" t="s">
        <v>5331</v>
      </c>
      <c r="D1793" s="12">
        <v>6605.6782800000001</v>
      </c>
      <c r="E1793" s="12" t="s">
        <v>5332</v>
      </c>
      <c r="F1793" s="12" t="s">
        <v>5328</v>
      </c>
      <c r="G1793" s="12" t="s">
        <v>8573</v>
      </c>
      <c r="H1793" s="12">
        <v>34614</v>
      </c>
    </row>
    <row r="1794" spans="1:8">
      <c r="A1794" s="12" t="s">
        <v>8574</v>
      </c>
      <c r="B1794" s="14">
        <v>8478.0499999999993</v>
      </c>
      <c r="C1794" s="16" t="s">
        <v>5331</v>
      </c>
      <c r="D1794" s="12">
        <v>22820.41848</v>
      </c>
      <c r="E1794" s="12" t="s">
        <v>5332</v>
      </c>
      <c r="F1794" s="12" t="s">
        <v>5328</v>
      </c>
      <c r="G1794" s="12" t="s">
        <v>8575</v>
      </c>
      <c r="H1794" s="12">
        <v>45314</v>
      </c>
    </row>
    <row r="1795" spans="1:8">
      <c r="A1795" s="12" t="s">
        <v>8576</v>
      </c>
      <c r="B1795" s="14">
        <v>8476.73</v>
      </c>
      <c r="C1795" s="16" t="s">
        <v>5331</v>
      </c>
      <c r="D1795" s="12">
        <v>21918.880000000001</v>
      </c>
      <c r="E1795" s="12" t="s">
        <v>5332</v>
      </c>
      <c r="F1795" s="12" t="s">
        <v>5328</v>
      </c>
      <c r="G1795" s="12" t="s">
        <v>8577</v>
      </c>
      <c r="H1795" s="12">
        <v>21076</v>
      </c>
    </row>
    <row r="1796" spans="1:8">
      <c r="A1796" s="12" t="s">
        <v>8578</v>
      </c>
      <c r="B1796" s="14">
        <v>2423.58</v>
      </c>
      <c r="C1796" s="16" t="s">
        <v>5331</v>
      </c>
      <c r="D1796" s="12">
        <v>5458.88</v>
      </c>
      <c r="E1796" s="12" t="s">
        <v>5332</v>
      </c>
      <c r="F1796" s="12" t="s">
        <v>5328</v>
      </c>
      <c r="G1796" s="12" t="s">
        <v>8579</v>
      </c>
      <c r="H1796" s="12">
        <v>21077</v>
      </c>
    </row>
    <row r="1797" spans="1:8">
      <c r="A1797" s="12" t="s">
        <v>8580</v>
      </c>
      <c r="B1797" s="14">
        <v>4744.03</v>
      </c>
      <c r="C1797" s="16" t="s">
        <v>5331</v>
      </c>
      <c r="D1797" s="12">
        <v>27884.703379999999</v>
      </c>
      <c r="E1797" s="12" t="s">
        <v>5332</v>
      </c>
      <c r="F1797" s="12" t="s">
        <v>5328</v>
      </c>
      <c r="G1797" s="12" t="s">
        <v>8581</v>
      </c>
      <c r="H1797" s="12">
        <v>38836</v>
      </c>
    </row>
    <row r="1798" spans="1:8">
      <c r="A1798" s="12" t="s">
        <v>8582</v>
      </c>
      <c r="B1798" s="13">
        <v>990.34</v>
      </c>
      <c r="C1798" s="16" t="s">
        <v>5331</v>
      </c>
      <c r="D1798" s="12">
        <v>4139.8819899999999</v>
      </c>
      <c r="E1798" s="12" t="s">
        <v>5332</v>
      </c>
      <c r="F1798" s="12" t="s">
        <v>5328</v>
      </c>
      <c r="G1798" s="12" t="s">
        <v>8583</v>
      </c>
      <c r="H1798" s="12">
        <v>45315</v>
      </c>
    </row>
    <row r="1799" spans="1:8">
      <c r="A1799" s="12" t="s">
        <v>8584</v>
      </c>
      <c r="B1799" s="14">
        <v>8362.18</v>
      </c>
      <c r="C1799" s="16" t="s">
        <v>5331</v>
      </c>
      <c r="D1799" s="12">
        <v>39165.064160000002</v>
      </c>
      <c r="E1799" s="12" t="s">
        <v>5332</v>
      </c>
      <c r="F1799" s="12" t="s">
        <v>5328</v>
      </c>
      <c r="G1799" s="12" t="s">
        <v>8585</v>
      </c>
      <c r="H1799" s="12">
        <v>38837</v>
      </c>
    </row>
    <row r="1800" spans="1:8">
      <c r="A1800" s="12" t="s">
        <v>8586</v>
      </c>
      <c r="B1800" s="14">
        <v>12860.87</v>
      </c>
      <c r="C1800" s="16" t="s">
        <v>5331</v>
      </c>
      <c r="D1800" s="12">
        <v>29030.18</v>
      </c>
      <c r="E1800" s="12" t="s">
        <v>5332</v>
      </c>
      <c r="F1800" s="12" t="s">
        <v>5328</v>
      </c>
      <c r="G1800" s="12" t="s">
        <v>8587</v>
      </c>
      <c r="H1800" s="12">
        <v>21078</v>
      </c>
    </row>
    <row r="1801" spans="1:8">
      <c r="A1801" s="12" t="s">
        <v>8588</v>
      </c>
      <c r="B1801" s="14">
        <v>6418.05</v>
      </c>
      <c r="C1801" s="16" t="s">
        <v>5331</v>
      </c>
      <c r="D1801" s="12">
        <v>19742.580000000002</v>
      </c>
      <c r="E1801" s="12" t="s">
        <v>5332</v>
      </c>
      <c r="F1801" s="12" t="s">
        <v>5328</v>
      </c>
      <c r="G1801" s="12" t="s">
        <v>8589</v>
      </c>
      <c r="H1801" s="12">
        <v>21079</v>
      </c>
    </row>
    <row r="1802" spans="1:8">
      <c r="A1802" s="12" t="s">
        <v>8590</v>
      </c>
      <c r="B1802" s="14">
        <v>1214.49</v>
      </c>
      <c r="C1802" s="16" t="s">
        <v>5331</v>
      </c>
      <c r="D1802" s="12">
        <v>4726.5</v>
      </c>
      <c r="E1802" s="12" t="s">
        <v>5332</v>
      </c>
      <c r="F1802" s="12" t="s">
        <v>5328</v>
      </c>
      <c r="G1802" s="12" t="s">
        <v>8591</v>
      </c>
      <c r="H1802" s="12">
        <v>21189</v>
      </c>
    </row>
    <row r="1803" spans="1:8">
      <c r="A1803" s="12" t="s">
        <v>8592</v>
      </c>
      <c r="B1803" s="13">
        <v>438.73</v>
      </c>
      <c r="C1803" s="16" t="s">
        <v>5331</v>
      </c>
      <c r="D1803" s="12">
        <v>1767.3919900000001</v>
      </c>
      <c r="E1803" s="12" t="s">
        <v>5332</v>
      </c>
      <c r="F1803" s="12" t="s">
        <v>5328</v>
      </c>
      <c r="G1803" s="12" t="s">
        <v>8593</v>
      </c>
      <c r="H1803" s="12">
        <v>44500</v>
      </c>
    </row>
    <row r="1804" spans="1:8">
      <c r="A1804" s="12" t="s">
        <v>8594</v>
      </c>
      <c r="B1804" s="13">
        <v>0</v>
      </c>
      <c r="C1804" s="16" t="s">
        <v>5331</v>
      </c>
      <c r="D1804" s="12">
        <v>391.43</v>
      </c>
      <c r="E1804" s="12" t="s">
        <v>5332</v>
      </c>
      <c r="F1804" s="12" t="s">
        <v>5328</v>
      </c>
      <c r="G1804" s="12" t="s">
        <v>8595</v>
      </c>
      <c r="H1804" s="12">
        <v>20898</v>
      </c>
    </row>
    <row r="1805" spans="1:8">
      <c r="A1805" s="12" t="s">
        <v>8596</v>
      </c>
      <c r="B1805" s="14">
        <v>4663.6099999999997</v>
      </c>
      <c r="C1805" s="16" t="s">
        <v>5331</v>
      </c>
      <c r="D1805" s="12">
        <v>9132.0499999999993</v>
      </c>
      <c r="E1805" s="12" t="s">
        <v>5332</v>
      </c>
      <c r="F1805" s="12" t="s">
        <v>5328</v>
      </c>
      <c r="G1805" s="12" t="s">
        <v>8597</v>
      </c>
      <c r="H1805" s="12">
        <v>21080</v>
      </c>
    </row>
    <row r="1806" spans="1:8">
      <c r="A1806" s="12" t="s">
        <v>8598</v>
      </c>
      <c r="B1806" s="13">
        <v>94.55</v>
      </c>
      <c r="C1806" s="16" t="s">
        <v>5331</v>
      </c>
      <c r="D1806" s="12">
        <v>259.8</v>
      </c>
      <c r="E1806" s="12" t="s">
        <v>5332</v>
      </c>
      <c r="F1806" s="12" t="s">
        <v>5328</v>
      </c>
      <c r="G1806" s="12" t="s">
        <v>8599</v>
      </c>
      <c r="H1806" s="12">
        <v>20899</v>
      </c>
    </row>
    <row r="1807" spans="1:8">
      <c r="A1807" s="12" t="s">
        <v>8600</v>
      </c>
      <c r="B1807" s="13">
        <v>0</v>
      </c>
      <c r="C1807" s="16" t="s">
        <v>5331</v>
      </c>
      <c r="D1807" s="12">
        <v>30.05</v>
      </c>
      <c r="E1807" s="12" t="s">
        <v>5332</v>
      </c>
      <c r="F1807" s="12" t="s">
        <v>5328</v>
      </c>
      <c r="G1807" s="12" t="s">
        <v>8601</v>
      </c>
      <c r="H1807" s="12">
        <v>20900</v>
      </c>
    </row>
    <row r="1808" spans="1:8">
      <c r="A1808" s="12" t="s">
        <v>8602</v>
      </c>
      <c r="B1808" s="13">
        <v>563.08000000000004</v>
      </c>
      <c r="C1808" s="16" t="s">
        <v>5331</v>
      </c>
      <c r="D1808" s="12">
        <v>1364.4</v>
      </c>
      <c r="E1808" s="12" t="s">
        <v>5332</v>
      </c>
      <c r="F1808" s="12" t="s">
        <v>5328</v>
      </c>
      <c r="G1808" s="12" t="s">
        <v>8603</v>
      </c>
      <c r="H1808" s="12">
        <v>30822</v>
      </c>
    </row>
    <row r="1809" spans="1:8">
      <c r="A1809" s="12" t="s">
        <v>8604</v>
      </c>
      <c r="B1809" s="13">
        <v>453.1</v>
      </c>
      <c r="C1809" s="16" t="s">
        <v>5331</v>
      </c>
      <c r="D1809" s="12">
        <v>1364.4</v>
      </c>
      <c r="E1809" s="12" t="s">
        <v>5332</v>
      </c>
      <c r="F1809" s="12" t="s">
        <v>5328</v>
      </c>
      <c r="G1809" s="12" t="s">
        <v>8605</v>
      </c>
      <c r="H1809" s="12">
        <v>21190</v>
      </c>
    </row>
    <row r="1810" spans="1:8">
      <c r="A1810" s="12" t="s">
        <v>8606</v>
      </c>
      <c r="B1810" s="13">
        <v>383.09</v>
      </c>
      <c r="C1810" s="16" t="s">
        <v>5331</v>
      </c>
      <c r="D1810" s="12">
        <v>1244.6099999999999</v>
      </c>
      <c r="E1810" s="12" t="s">
        <v>5332</v>
      </c>
      <c r="F1810" s="12" t="s">
        <v>5328</v>
      </c>
      <c r="G1810" s="12" t="s">
        <v>8607</v>
      </c>
      <c r="H1810" s="12">
        <v>34648</v>
      </c>
    </row>
    <row r="1811" spans="1:8">
      <c r="A1811" s="12" t="s">
        <v>8608</v>
      </c>
      <c r="B1811" s="13">
        <v>0</v>
      </c>
      <c r="C1811" s="16" t="s">
        <v>5331</v>
      </c>
      <c r="D1811" s="12">
        <v>1055.98</v>
      </c>
      <c r="E1811" s="12" t="s">
        <v>5332</v>
      </c>
      <c r="F1811" s="12" t="s">
        <v>5328</v>
      </c>
      <c r="G1811" s="12" t="s">
        <v>8609</v>
      </c>
      <c r="H1811" s="12">
        <v>20901</v>
      </c>
    </row>
    <row r="1812" spans="1:8">
      <c r="A1812" s="12" t="s">
        <v>8610</v>
      </c>
      <c r="B1812" s="13">
        <v>0</v>
      </c>
      <c r="C1812" s="16" t="s">
        <v>5331</v>
      </c>
      <c r="D1812" s="12">
        <v>25.85</v>
      </c>
      <c r="E1812" s="12" t="s">
        <v>5332</v>
      </c>
      <c r="F1812" s="12" t="s">
        <v>5328</v>
      </c>
      <c r="G1812" s="12" t="s">
        <v>8611</v>
      </c>
      <c r="H1812" s="12">
        <v>20902</v>
      </c>
    </row>
    <row r="1813" spans="1:8">
      <c r="A1813" s="12" t="s">
        <v>8551</v>
      </c>
      <c r="B1813" s="13">
        <v>0</v>
      </c>
      <c r="C1813" s="16" t="s">
        <v>5331</v>
      </c>
      <c r="D1813" s="12">
        <v>0</v>
      </c>
      <c r="E1813" s="12" t="s">
        <v>5332</v>
      </c>
      <c r="F1813" s="12" t="s">
        <v>5328</v>
      </c>
      <c r="G1813" s="12" t="s">
        <v>8612</v>
      </c>
      <c r="H1813" s="12">
        <v>21081</v>
      </c>
    </row>
    <row r="1814" spans="1:8">
      <c r="A1814" s="12" t="s">
        <v>8613</v>
      </c>
      <c r="B1814" s="14">
        <v>6632.55</v>
      </c>
      <c r="C1814" s="16" t="s">
        <v>5331</v>
      </c>
      <c r="D1814" s="12">
        <v>10933.83</v>
      </c>
      <c r="E1814" s="12" t="s">
        <v>5332</v>
      </c>
      <c r="F1814" s="12" t="s">
        <v>5328</v>
      </c>
      <c r="G1814" s="12" t="s">
        <v>8614</v>
      </c>
      <c r="H1814" s="12">
        <v>21082</v>
      </c>
    </row>
    <row r="1815" spans="1:8">
      <c r="A1815" s="12" t="s">
        <v>8615</v>
      </c>
      <c r="B1815" s="14">
        <v>26136.5</v>
      </c>
      <c r="C1815" s="16" t="s">
        <v>5331</v>
      </c>
      <c r="D1815" s="12">
        <v>82421.085470000005</v>
      </c>
      <c r="E1815" s="12" t="s">
        <v>5332</v>
      </c>
      <c r="F1815" s="12" t="s">
        <v>5328</v>
      </c>
      <c r="G1815" s="12" t="s">
        <v>8616</v>
      </c>
      <c r="H1815" s="12">
        <v>37139</v>
      </c>
    </row>
    <row r="1816" spans="1:8">
      <c r="A1816" s="12" t="s">
        <v>8615</v>
      </c>
      <c r="B1816" s="14">
        <v>28227.02</v>
      </c>
      <c r="C1816" s="16" t="s">
        <v>5331</v>
      </c>
      <c r="D1816" s="12">
        <v>56070.85</v>
      </c>
      <c r="E1816" s="12" t="s">
        <v>5332</v>
      </c>
      <c r="F1816" s="12" t="s">
        <v>5328</v>
      </c>
      <c r="G1816" s="12" t="s">
        <v>8617</v>
      </c>
      <c r="H1816" s="12">
        <v>21083</v>
      </c>
    </row>
    <row r="1817" spans="1:8">
      <c r="A1817" s="12" t="s">
        <v>8618</v>
      </c>
      <c r="B1817" s="14">
        <v>8295.25</v>
      </c>
      <c r="C1817" s="16" t="s">
        <v>5331</v>
      </c>
      <c r="D1817" s="12">
        <v>247.18</v>
      </c>
      <c r="E1817" s="12" t="s">
        <v>5332</v>
      </c>
      <c r="F1817" s="12" t="s">
        <v>5328</v>
      </c>
      <c r="G1817" s="12" t="s">
        <v>8619</v>
      </c>
      <c r="H1817" s="12">
        <v>21084</v>
      </c>
    </row>
    <row r="1818" spans="1:8">
      <c r="A1818" s="12" t="s">
        <v>8620</v>
      </c>
      <c r="B1818" s="14">
        <v>1151.3699999999999</v>
      </c>
      <c r="C1818" s="16" t="s">
        <v>5331</v>
      </c>
      <c r="D1818" s="12">
        <v>4696.45</v>
      </c>
      <c r="E1818" s="12" t="s">
        <v>5332</v>
      </c>
      <c r="F1818" s="12" t="s">
        <v>5328</v>
      </c>
      <c r="G1818" s="12" t="s">
        <v>8621</v>
      </c>
      <c r="H1818" s="12">
        <v>30696</v>
      </c>
    </row>
    <row r="1819" spans="1:8">
      <c r="A1819" s="12" t="s">
        <v>8622</v>
      </c>
      <c r="B1819" s="14">
        <v>1216.93</v>
      </c>
      <c r="C1819" s="16" t="s">
        <v>5331</v>
      </c>
      <c r="D1819" s="12">
        <v>4696.45</v>
      </c>
      <c r="E1819" s="12" t="s">
        <v>5332</v>
      </c>
      <c r="F1819" s="12" t="s">
        <v>5328</v>
      </c>
      <c r="G1819" s="12" t="s">
        <v>8623</v>
      </c>
      <c r="H1819" s="12">
        <v>21085</v>
      </c>
    </row>
    <row r="1820" spans="1:8">
      <c r="A1820" s="12" t="s">
        <v>8624</v>
      </c>
      <c r="B1820" s="13">
        <v>15.43</v>
      </c>
      <c r="C1820" s="16" t="s">
        <v>5331</v>
      </c>
      <c r="D1820" s="12">
        <v>385.98</v>
      </c>
      <c r="E1820" s="12" t="s">
        <v>5332</v>
      </c>
      <c r="F1820" s="12" t="s">
        <v>5328</v>
      </c>
      <c r="G1820" s="12" t="s">
        <v>8625</v>
      </c>
      <c r="H1820" s="12">
        <v>44501</v>
      </c>
    </row>
    <row r="1821" spans="1:8">
      <c r="A1821" s="12" t="s">
        <v>8626</v>
      </c>
      <c r="B1821" s="13">
        <v>0</v>
      </c>
      <c r="C1821" s="16" t="s">
        <v>5331</v>
      </c>
      <c r="D1821" s="12">
        <v>0</v>
      </c>
      <c r="E1821" s="12" t="s">
        <v>5332</v>
      </c>
      <c r="F1821" s="12" t="s">
        <v>5328</v>
      </c>
      <c r="G1821" s="12" t="s">
        <v>8627</v>
      </c>
      <c r="H1821" s="12">
        <v>30695</v>
      </c>
    </row>
    <row r="1822" spans="1:8">
      <c r="A1822" s="12" t="s">
        <v>8626</v>
      </c>
      <c r="B1822" s="13">
        <v>0</v>
      </c>
      <c r="C1822" s="16" t="s">
        <v>5331</v>
      </c>
      <c r="D1822" s="12">
        <v>0</v>
      </c>
      <c r="E1822" s="12" t="s">
        <v>5332</v>
      </c>
      <c r="F1822" s="12" t="s">
        <v>5328</v>
      </c>
      <c r="G1822" s="12" t="s">
        <v>8628</v>
      </c>
      <c r="H1822" s="12">
        <v>19730</v>
      </c>
    </row>
    <row r="1823" spans="1:8">
      <c r="A1823" s="12" t="s">
        <v>8629</v>
      </c>
      <c r="B1823" s="13">
        <v>0</v>
      </c>
      <c r="C1823" s="16" t="s">
        <v>5331</v>
      </c>
      <c r="D1823" s="12">
        <v>11361.43305</v>
      </c>
      <c r="E1823" s="12" t="s">
        <v>5332</v>
      </c>
      <c r="F1823" s="12" t="s">
        <v>5328</v>
      </c>
      <c r="G1823" s="12" t="s">
        <v>8630</v>
      </c>
      <c r="H1823" s="12">
        <v>45931</v>
      </c>
    </row>
    <row r="1824" spans="1:8">
      <c r="A1824" s="12" t="s">
        <v>8631</v>
      </c>
      <c r="B1824" s="14">
        <v>3648</v>
      </c>
      <c r="C1824" s="16" t="s">
        <v>5331</v>
      </c>
      <c r="D1824" s="12">
        <v>5080.45</v>
      </c>
      <c r="E1824" s="12" t="s">
        <v>5332</v>
      </c>
      <c r="F1824" s="12" t="s">
        <v>5328</v>
      </c>
      <c r="G1824" s="12" t="s">
        <v>8632</v>
      </c>
      <c r="H1824" s="12">
        <v>21086</v>
      </c>
    </row>
    <row r="1825" spans="1:8">
      <c r="A1825" s="12" t="s">
        <v>8633</v>
      </c>
      <c r="B1825" s="14">
        <v>2463.9899999999998</v>
      </c>
      <c r="C1825" s="16" t="s">
        <v>5331</v>
      </c>
      <c r="D1825" s="12">
        <v>0</v>
      </c>
      <c r="E1825" s="12" t="s">
        <v>5332</v>
      </c>
      <c r="F1825" s="12" t="s">
        <v>5328</v>
      </c>
      <c r="G1825" s="12" t="s">
        <v>8634</v>
      </c>
      <c r="H1825" s="12">
        <v>21087</v>
      </c>
    </row>
    <row r="1826" spans="1:8">
      <c r="A1826" s="12" t="s">
        <v>8635</v>
      </c>
      <c r="B1826" s="14">
        <v>5561.19</v>
      </c>
      <c r="C1826" s="16" t="s">
        <v>5331</v>
      </c>
      <c r="D1826" s="12">
        <v>10029.62594</v>
      </c>
      <c r="E1826" s="12" t="s">
        <v>5332</v>
      </c>
      <c r="F1826" s="12" t="s">
        <v>5328</v>
      </c>
      <c r="G1826" s="12" t="s">
        <v>8636</v>
      </c>
      <c r="H1826" s="12">
        <v>46234</v>
      </c>
    </row>
    <row r="1827" spans="1:8">
      <c r="A1827" s="12" t="s">
        <v>8637</v>
      </c>
      <c r="B1827" s="14">
        <v>4920.2299999999996</v>
      </c>
      <c r="C1827" s="16" t="s">
        <v>5331</v>
      </c>
      <c r="D1827" s="12">
        <v>11989.783939999999</v>
      </c>
      <c r="E1827" s="12" t="s">
        <v>5332</v>
      </c>
      <c r="F1827" s="12" t="s">
        <v>5328</v>
      </c>
      <c r="G1827" s="12" t="s">
        <v>8638</v>
      </c>
      <c r="H1827" s="12">
        <v>32946</v>
      </c>
    </row>
    <row r="1828" spans="1:8">
      <c r="A1828" s="12" t="s">
        <v>8635</v>
      </c>
      <c r="B1828" s="14">
        <v>4635.55</v>
      </c>
      <c r="C1828" s="16" t="s">
        <v>5331</v>
      </c>
      <c r="D1828" s="12">
        <v>10135.79594</v>
      </c>
      <c r="E1828" s="12" t="s">
        <v>5332</v>
      </c>
      <c r="F1828" s="12" t="s">
        <v>5328</v>
      </c>
      <c r="G1828" s="12" t="s">
        <v>8639</v>
      </c>
      <c r="H1828" s="12">
        <v>34630</v>
      </c>
    </row>
    <row r="1829" spans="1:8">
      <c r="A1829" s="12" t="s">
        <v>8640</v>
      </c>
      <c r="B1829" s="13">
        <v>0</v>
      </c>
      <c r="C1829" s="16" t="s">
        <v>5331</v>
      </c>
      <c r="D1829" s="12">
        <v>10245.934160000001</v>
      </c>
      <c r="E1829" s="12" t="s">
        <v>5332</v>
      </c>
      <c r="F1829" s="12" t="s">
        <v>5328</v>
      </c>
      <c r="G1829" s="12" t="s">
        <v>8641</v>
      </c>
      <c r="H1829" s="12">
        <v>46235</v>
      </c>
    </row>
    <row r="1830" spans="1:8">
      <c r="A1830" s="12" t="s">
        <v>8640</v>
      </c>
      <c r="B1830" s="13">
        <v>0</v>
      </c>
      <c r="C1830" s="16" t="s">
        <v>5331</v>
      </c>
      <c r="D1830" s="12">
        <v>10375.80416</v>
      </c>
      <c r="E1830" s="12" t="s">
        <v>5332</v>
      </c>
      <c r="F1830" s="12" t="s">
        <v>5328</v>
      </c>
      <c r="G1830" s="12" t="s">
        <v>8642</v>
      </c>
      <c r="H1830" s="12">
        <v>34333</v>
      </c>
    </row>
    <row r="1831" spans="1:8">
      <c r="A1831" s="12" t="s">
        <v>8643</v>
      </c>
      <c r="B1831" s="13">
        <v>28.16</v>
      </c>
      <c r="C1831" s="16" t="s">
        <v>5331</v>
      </c>
      <c r="D1831" s="12">
        <v>84.744</v>
      </c>
      <c r="E1831" s="12" t="s">
        <v>5332</v>
      </c>
      <c r="F1831" s="12" t="s">
        <v>5328</v>
      </c>
      <c r="G1831" s="12" t="s">
        <v>8644</v>
      </c>
      <c r="H1831" s="12">
        <v>48813</v>
      </c>
    </row>
    <row r="1832" spans="1:8">
      <c r="A1832" s="12" t="s">
        <v>8645</v>
      </c>
      <c r="B1832" s="13">
        <v>130.47</v>
      </c>
      <c r="C1832" s="16" t="s">
        <v>5331</v>
      </c>
      <c r="D1832" s="12">
        <v>377.08499999999998</v>
      </c>
      <c r="E1832" s="12" t="s">
        <v>5332</v>
      </c>
      <c r="F1832" s="12" t="s">
        <v>5328</v>
      </c>
      <c r="G1832" s="12" t="s">
        <v>8646</v>
      </c>
      <c r="H1832" s="12">
        <v>32222</v>
      </c>
    </row>
    <row r="1833" spans="1:8">
      <c r="A1833" s="12" t="s">
        <v>8557</v>
      </c>
      <c r="B1833" s="14">
        <v>6004.89</v>
      </c>
      <c r="C1833" s="16" t="s">
        <v>5331</v>
      </c>
      <c r="D1833" s="12">
        <v>17413.88</v>
      </c>
      <c r="E1833" s="12" t="s">
        <v>5332</v>
      </c>
      <c r="F1833" s="12" t="s">
        <v>5328</v>
      </c>
      <c r="G1833" s="12" t="s">
        <v>8647</v>
      </c>
      <c r="H1833" s="12">
        <v>34658</v>
      </c>
    </row>
    <row r="1834" spans="1:8">
      <c r="A1834" s="12" t="s">
        <v>8557</v>
      </c>
      <c r="B1834" s="14">
        <v>3963.37</v>
      </c>
      <c r="C1834" s="16" t="s">
        <v>5331</v>
      </c>
      <c r="D1834" s="12">
        <v>11056.431</v>
      </c>
      <c r="E1834" s="12" t="s">
        <v>5332</v>
      </c>
      <c r="F1834" s="12" t="s">
        <v>5328</v>
      </c>
      <c r="G1834" s="12" t="s">
        <v>8648</v>
      </c>
      <c r="H1834" s="12">
        <v>204715</v>
      </c>
    </row>
    <row r="1835" spans="1:8">
      <c r="A1835" s="12" t="s">
        <v>8557</v>
      </c>
      <c r="B1835" s="13">
        <v>0</v>
      </c>
      <c r="C1835" s="16" t="s">
        <v>5331</v>
      </c>
      <c r="D1835" s="12">
        <v>11056.431</v>
      </c>
      <c r="E1835" s="12" t="s">
        <v>5332</v>
      </c>
      <c r="F1835" s="12" t="s">
        <v>5328</v>
      </c>
      <c r="G1835" s="12" t="s">
        <v>8649</v>
      </c>
      <c r="H1835" s="12">
        <v>208547</v>
      </c>
    </row>
    <row r="1836" spans="1:8">
      <c r="A1836" s="12" t="s">
        <v>8557</v>
      </c>
      <c r="B1836" s="13">
        <v>0</v>
      </c>
      <c r="C1836" s="16" t="s">
        <v>5331</v>
      </c>
      <c r="D1836" s="12">
        <v>11056.431</v>
      </c>
      <c r="E1836" s="12" t="s">
        <v>5332</v>
      </c>
      <c r="F1836" s="12" t="s">
        <v>5328</v>
      </c>
      <c r="G1836" s="12" t="s">
        <v>8650</v>
      </c>
      <c r="H1836" s="12">
        <v>204739</v>
      </c>
    </row>
    <row r="1837" spans="1:8">
      <c r="A1837" s="12" t="s">
        <v>8651</v>
      </c>
      <c r="B1837" s="14">
        <v>23887.21</v>
      </c>
      <c r="C1837" s="16" t="s">
        <v>5331</v>
      </c>
      <c r="D1837" s="12">
        <v>71346.132519999999</v>
      </c>
      <c r="E1837" s="12" t="s">
        <v>5332</v>
      </c>
      <c r="F1837" s="12" t="s">
        <v>5328</v>
      </c>
      <c r="G1837" s="12" t="s">
        <v>8652</v>
      </c>
      <c r="H1837" s="12">
        <v>41727</v>
      </c>
    </row>
    <row r="1838" spans="1:8">
      <c r="A1838" s="12" t="s">
        <v>8653</v>
      </c>
      <c r="B1838" s="14">
        <v>1951.16</v>
      </c>
      <c r="C1838" s="16" t="s">
        <v>5331</v>
      </c>
      <c r="D1838" s="12">
        <v>2358.2860000000001</v>
      </c>
      <c r="E1838" s="12" t="s">
        <v>5332</v>
      </c>
      <c r="F1838" s="12" t="s">
        <v>5328</v>
      </c>
      <c r="G1838" s="12" t="s">
        <v>8654</v>
      </c>
      <c r="H1838" s="12">
        <v>38844</v>
      </c>
    </row>
    <row r="1839" spans="1:8">
      <c r="A1839" s="12" t="s">
        <v>8655</v>
      </c>
      <c r="B1839" s="14">
        <v>1692.82</v>
      </c>
      <c r="C1839" s="16" t="s">
        <v>5331</v>
      </c>
      <c r="D1839" s="12">
        <v>3375.386</v>
      </c>
      <c r="E1839" s="12" t="s">
        <v>5332</v>
      </c>
      <c r="F1839" s="12" t="s">
        <v>5328</v>
      </c>
      <c r="G1839" s="12" t="s">
        <v>8656</v>
      </c>
      <c r="H1839" s="12">
        <v>37143</v>
      </c>
    </row>
    <row r="1840" spans="1:8">
      <c r="A1840" s="12" t="s">
        <v>8657</v>
      </c>
      <c r="B1840" s="14">
        <v>2293.5700000000002</v>
      </c>
      <c r="C1840" s="16" t="s">
        <v>5331</v>
      </c>
      <c r="D1840" s="12">
        <v>3768.2939999999999</v>
      </c>
      <c r="E1840" s="12" t="s">
        <v>5332</v>
      </c>
      <c r="F1840" s="12" t="s">
        <v>5328</v>
      </c>
      <c r="G1840" s="12" t="s">
        <v>8658</v>
      </c>
      <c r="H1840" s="12">
        <v>34132</v>
      </c>
    </row>
    <row r="1841" spans="1:8">
      <c r="A1841" s="12" t="s">
        <v>8659</v>
      </c>
      <c r="B1841" s="13">
        <v>22.18</v>
      </c>
      <c r="C1841" s="16" t="s">
        <v>5331</v>
      </c>
      <c r="D1841" s="12">
        <v>415.41</v>
      </c>
      <c r="E1841" s="12" t="s">
        <v>5332</v>
      </c>
      <c r="F1841" s="12" t="s">
        <v>5328</v>
      </c>
      <c r="G1841" s="12" t="s">
        <v>8660</v>
      </c>
      <c r="H1841" s="12">
        <v>45210</v>
      </c>
    </row>
    <row r="1842" spans="1:8">
      <c r="A1842" s="12" t="s">
        <v>8661</v>
      </c>
      <c r="B1842" s="14">
        <v>2024.61</v>
      </c>
      <c r="C1842" s="16" t="s">
        <v>5331</v>
      </c>
      <c r="D1842" s="12">
        <v>3262.98</v>
      </c>
      <c r="E1842" s="12" t="s">
        <v>5332</v>
      </c>
      <c r="F1842" s="12" t="s">
        <v>5328</v>
      </c>
      <c r="G1842" s="12" t="s">
        <v>8662</v>
      </c>
      <c r="H1842" s="12">
        <v>30687</v>
      </c>
    </row>
    <row r="1843" spans="1:8">
      <c r="A1843" s="12" t="s">
        <v>8663</v>
      </c>
      <c r="B1843" s="13">
        <v>178.43</v>
      </c>
      <c r="C1843" s="16" t="s">
        <v>5331</v>
      </c>
      <c r="D1843" s="12">
        <v>67.739999999999995</v>
      </c>
      <c r="E1843" s="12" t="s">
        <v>5332</v>
      </c>
      <c r="F1843" s="12" t="s">
        <v>5328</v>
      </c>
      <c r="G1843" s="12" t="s">
        <v>8664</v>
      </c>
      <c r="H1843" s="12">
        <v>34346</v>
      </c>
    </row>
    <row r="1844" spans="1:8">
      <c r="A1844" s="12" t="s">
        <v>8665</v>
      </c>
      <c r="B1844" s="13">
        <v>113.69</v>
      </c>
      <c r="C1844" s="16" t="s">
        <v>5331</v>
      </c>
      <c r="D1844" s="12">
        <v>67.739999999999995</v>
      </c>
      <c r="E1844" s="12" t="s">
        <v>5332</v>
      </c>
      <c r="F1844" s="12" t="s">
        <v>5328</v>
      </c>
      <c r="G1844" s="12" t="s">
        <v>8666</v>
      </c>
      <c r="H1844" s="12">
        <v>38846</v>
      </c>
    </row>
    <row r="1845" spans="1:8">
      <c r="A1845" s="12" t="s">
        <v>8667</v>
      </c>
      <c r="B1845" s="14">
        <v>2089.36</v>
      </c>
      <c r="C1845" s="16" t="s">
        <v>5331</v>
      </c>
      <c r="D1845" s="12">
        <v>5467.31</v>
      </c>
      <c r="E1845" s="12" t="s">
        <v>5332</v>
      </c>
      <c r="F1845" s="12" t="s">
        <v>5328</v>
      </c>
      <c r="G1845" s="12" t="s">
        <v>8668</v>
      </c>
      <c r="H1845" s="12">
        <v>34645</v>
      </c>
    </row>
    <row r="1846" spans="1:8">
      <c r="A1846" s="12" t="s">
        <v>8592</v>
      </c>
      <c r="B1846" s="13">
        <v>0</v>
      </c>
      <c r="C1846" s="16" t="s">
        <v>5331</v>
      </c>
      <c r="D1846" s="12">
        <v>226.6</v>
      </c>
      <c r="E1846" s="12" t="s">
        <v>5332</v>
      </c>
      <c r="F1846" s="12" t="s">
        <v>5328</v>
      </c>
      <c r="G1846" s="12" t="s">
        <v>8669</v>
      </c>
      <c r="H1846" s="12">
        <v>20904</v>
      </c>
    </row>
    <row r="1847" spans="1:8">
      <c r="A1847" s="12" t="s">
        <v>8670</v>
      </c>
      <c r="B1847" s="14">
        <v>2611.2199999999998</v>
      </c>
      <c r="C1847" s="16" t="s">
        <v>5331</v>
      </c>
      <c r="D1847" s="12">
        <v>11029.16532</v>
      </c>
      <c r="E1847" s="12" t="s">
        <v>5332</v>
      </c>
      <c r="F1847" s="12" t="s">
        <v>5328</v>
      </c>
      <c r="G1847" s="12" t="s">
        <v>8671</v>
      </c>
      <c r="H1847" s="12">
        <v>43133</v>
      </c>
    </row>
    <row r="1848" spans="1:8">
      <c r="A1848" s="12" t="s">
        <v>8672</v>
      </c>
      <c r="B1848" s="14">
        <v>3513.32</v>
      </c>
      <c r="C1848" s="16" t="s">
        <v>5331</v>
      </c>
      <c r="D1848" s="12">
        <v>12229.9923</v>
      </c>
      <c r="E1848" s="12" t="s">
        <v>5332</v>
      </c>
      <c r="F1848" s="12" t="s">
        <v>5328</v>
      </c>
      <c r="G1848" s="12" t="s">
        <v>8673</v>
      </c>
      <c r="H1848" s="12">
        <v>43134</v>
      </c>
    </row>
    <row r="1849" spans="1:8">
      <c r="A1849" s="12" t="s">
        <v>8674</v>
      </c>
      <c r="B1849" s="14">
        <v>3367.13</v>
      </c>
      <c r="C1849" s="16" t="s">
        <v>5331</v>
      </c>
      <c r="D1849" s="12">
        <v>12243.0723</v>
      </c>
      <c r="E1849" s="12" t="s">
        <v>5332</v>
      </c>
      <c r="F1849" s="12" t="s">
        <v>5328</v>
      </c>
      <c r="G1849" s="12" t="s">
        <v>8675</v>
      </c>
      <c r="H1849" s="12">
        <v>43135</v>
      </c>
    </row>
    <row r="1850" spans="1:8">
      <c r="A1850" s="12" t="s">
        <v>8676</v>
      </c>
      <c r="B1850" s="14">
        <v>6817.17</v>
      </c>
      <c r="C1850" s="16" t="s">
        <v>5331</v>
      </c>
      <c r="D1850" s="12">
        <v>15120.964389999999</v>
      </c>
      <c r="E1850" s="12" t="s">
        <v>5332</v>
      </c>
      <c r="F1850" s="12" t="s">
        <v>5328</v>
      </c>
      <c r="G1850" s="12" t="s">
        <v>8677</v>
      </c>
      <c r="H1850" s="12">
        <v>44502</v>
      </c>
    </row>
    <row r="1851" spans="1:8">
      <c r="A1851" s="12" t="s">
        <v>8678</v>
      </c>
      <c r="B1851" s="14">
        <v>11205.51</v>
      </c>
      <c r="C1851" s="16" t="s">
        <v>5331</v>
      </c>
      <c r="D1851" s="12">
        <v>16942.53139</v>
      </c>
      <c r="E1851" s="12" t="s">
        <v>5332</v>
      </c>
      <c r="F1851" s="12" t="s">
        <v>5328</v>
      </c>
      <c r="G1851" s="12" t="s">
        <v>8679</v>
      </c>
      <c r="H1851" s="12">
        <v>30688</v>
      </c>
    </row>
    <row r="1852" spans="1:8">
      <c r="A1852" s="12" t="s">
        <v>8680</v>
      </c>
      <c r="B1852" s="14">
        <v>6336.79</v>
      </c>
      <c r="C1852" s="16" t="s">
        <v>5331</v>
      </c>
      <c r="D1852" s="12">
        <v>16375.08439</v>
      </c>
      <c r="E1852" s="12" t="s">
        <v>5332</v>
      </c>
      <c r="F1852" s="12" t="s">
        <v>5328</v>
      </c>
      <c r="G1852" s="12" t="s">
        <v>8681</v>
      </c>
      <c r="H1852" s="12">
        <v>37939</v>
      </c>
    </row>
    <row r="1853" spans="1:8">
      <c r="A1853" s="12" t="s">
        <v>8682</v>
      </c>
      <c r="B1853" s="14">
        <v>2417.0500000000002</v>
      </c>
      <c r="C1853" s="16" t="s">
        <v>5331</v>
      </c>
      <c r="D1853" s="12">
        <v>15282.334220000001</v>
      </c>
      <c r="E1853" s="12" t="s">
        <v>5332</v>
      </c>
      <c r="F1853" s="12" t="s">
        <v>5328</v>
      </c>
      <c r="G1853" s="12" t="s">
        <v>8683</v>
      </c>
      <c r="H1853" s="12">
        <v>42428</v>
      </c>
    </row>
    <row r="1854" spans="1:8">
      <c r="A1854" s="12" t="s">
        <v>8684</v>
      </c>
      <c r="B1854" s="14">
        <v>4025.43</v>
      </c>
      <c r="C1854" s="16" t="s">
        <v>5331</v>
      </c>
      <c r="D1854" s="12">
        <v>12291.57408</v>
      </c>
      <c r="E1854" s="12" t="s">
        <v>5332</v>
      </c>
      <c r="F1854" s="12" t="s">
        <v>5328</v>
      </c>
      <c r="G1854" s="12" t="s">
        <v>8685</v>
      </c>
      <c r="H1854" s="12">
        <v>42429</v>
      </c>
    </row>
    <row r="1855" spans="1:8">
      <c r="A1855" s="12" t="s">
        <v>8686</v>
      </c>
      <c r="B1855" s="14">
        <v>4593.16</v>
      </c>
      <c r="C1855" s="16" t="s">
        <v>5331</v>
      </c>
      <c r="D1855" s="12">
        <v>25864.62458</v>
      </c>
      <c r="E1855" s="12" t="s">
        <v>5332</v>
      </c>
      <c r="F1855" s="12" t="s">
        <v>5328</v>
      </c>
      <c r="G1855" s="12" t="s">
        <v>8687</v>
      </c>
      <c r="H1855" s="12">
        <v>42430</v>
      </c>
    </row>
    <row r="1856" spans="1:8">
      <c r="A1856" s="12" t="s">
        <v>8688</v>
      </c>
      <c r="B1856" s="14">
        <v>8175.4</v>
      </c>
      <c r="C1856" s="16" t="s">
        <v>5331</v>
      </c>
      <c r="D1856" s="12">
        <v>37220.51756</v>
      </c>
      <c r="E1856" s="12" t="s">
        <v>5332</v>
      </c>
      <c r="F1856" s="12" t="s">
        <v>5328</v>
      </c>
      <c r="G1856" s="12" t="s">
        <v>8689</v>
      </c>
      <c r="H1856" s="12">
        <v>42431</v>
      </c>
    </row>
    <row r="1857" spans="1:8">
      <c r="A1857" s="12" t="s">
        <v>8690</v>
      </c>
      <c r="B1857" s="14">
        <v>5857.92</v>
      </c>
      <c r="C1857" s="16" t="s">
        <v>5331</v>
      </c>
      <c r="D1857" s="12">
        <v>17975.399359999999</v>
      </c>
      <c r="E1857" s="12" t="s">
        <v>5332</v>
      </c>
      <c r="F1857" s="12" t="s">
        <v>5328</v>
      </c>
      <c r="G1857" s="12" t="s">
        <v>8691</v>
      </c>
      <c r="H1857" s="12">
        <v>42432</v>
      </c>
    </row>
    <row r="1858" spans="1:8">
      <c r="A1858" s="12" t="s">
        <v>8692</v>
      </c>
      <c r="B1858" s="14">
        <v>9440.73</v>
      </c>
      <c r="C1858" s="16" t="s">
        <v>5331</v>
      </c>
      <c r="D1858" s="12">
        <v>33753.048239999996</v>
      </c>
      <c r="E1858" s="12" t="s">
        <v>5332</v>
      </c>
      <c r="F1858" s="12" t="s">
        <v>5328</v>
      </c>
      <c r="G1858" s="12" t="s">
        <v>8693</v>
      </c>
      <c r="H1858" s="12">
        <v>42433</v>
      </c>
    </row>
    <row r="1859" spans="1:8">
      <c r="A1859" s="12" t="s">
        <v>8694</v>
      </c>
      <c r="B1859" s="14">
        <v>3404.6</v>
      </c>
      <c r="C1859" s="16" t="s">
        <v>5331</v>
      </c>
      <c r="D1859" s="12">
        <v>22386.081200000001</v>
      </c>
      <c r="E1859" s="12" t="s">
        <v>5332</v>
      </c>
      <c r="F1859" s="12" t="s">
        <v>5328</v>
      </c>
      <c r="G1859" s="12" t="s">
        <v>8695</v>
      </c>
      <c r="H1859" s="12">
        <v>42434</v>
      </c>
    </row>
    <row r="1860" spans="1:8">
      <c r="A1860" s="12" t="s">
        <v>8696</v>
      </c>
      <c r="B1860" s="14">
        <v>3050.05</v>
      </c>
      <c r="C1860" s="16" t="s">
        <v>5331</v>
      </c>
      <c r="D1860" s="12">
        <v>20070.261200000001</v>
      </c>
      <c r="E1860" s="12" t="s">
        <v>5332</v>
      </c>
      <c r="F1860" s="12" t="s">
        <v>5328</v>
      </c>
      <c r="G1860" s="12" t="s">
        <v>8697</v>
      </c>
      <c r="H1860" s="12">
        <v>42435</v>
      </c>
    </row>
    <row r="1861" spans="1:8">
      <c r="A1861" s="12" t="s">
        <v>8698</v>
      </c>
      <c r="B1861" s="14">
        <v>2158.33</v>
      </c>
      <c r="C1861" s="16" t="s">
        <v>5331</v>
      </c>
      <c r="D1861" s="12">
        <v>10571.165999999999</v>
      </c>
      <c r="E1861" s="12" t="s">
        <v>5332</v>
      </c>
      <c r="F1861" s="12" t="s">
        <v>5328</v>
      </c>
      <c r="G1861" s="12" t="s">
        <v>8699</v>
      </c>
      <c r="H1861" s="12">
        <v>44503</v>
      </c>
    </row>
    <row r="1862" spans="1:8">
      <c r="A1862" s="12" t="s">
        <v>8559</v>
      </c>
      <c r="B1862" s="13">
        <v>544.24</v>
      </c>
      <c r="C1862" s="16" t="s">
        <v>5331</v>
      </c>
      <c r="D1862" s="12">
        <v>1466.9064000000001</v>
      </c>
      <c r="E1862" s="12" t="s">
        <v>5332</v>
      </c>
      <c r="F1862" s="12" t="s">
        <v>5328</v>
      </c>
      <c r="G1862" s="12" t="s">
        <v>8700</v>
      </c>
      <c r="H1862" s="12">
        <v>44504</v>
      </c>
    </row>
    <row r="1863" spans="1:8">
      <c r="A1863" s="12" t="s">
        <v>8701</v>
      </c>
      <c r="B1863" s="13">
        <v>955.8</v>
      </c>
      <c r="C1863" s="16" t="s">
        <v>5331</v>
      </c>
      <c r="D1863" s="12">
        <v>3082.8919900000001</v>
      </c>
      <c r="E1863" s="12" t="s">
        <v>5332</v>
      </c>
      <c r="F1863" s="12" t="s">
        <v>5328</v>
      </c>
      <c r="G1863" s="12" t="s">
        <v>8702</v>
      </c>
      <c r="H1863" s="12">
        <v>44505</v>
      </c>
    </row>
    <row r="1864" spans="1:8">
      <c r="A1864" s="12" t="s">
        <v>8703</v>
      </c>
      <c r="B1864" s="13">
        <v>438.35</v>
      </c>
      <c r="C1864" s="16" t="s">
        <v>5331</v>
      </c>
      <c r="D1864" s="12">
        <v>1211.8800000000001</v>
      </c>
      <c r="E1864" s="12" t="s">
        <v>5332</v>
      </c>
      <c r="F1864" s="12" t="s">
        <v>5328</v>
      </c>
      <c r="G1864" s="12" t="s">
        <v>8704</v>
      </c>
      <c r="H1864" s="12">
        <v>50025</v>
      </c>
    </row>
    <row r="1865" spans="1:8">
      <c r="A1865" s="12" t="s">
        <v>8705</v>
      </c>
      <c r="B1865" s="14">
        <v>7947.26</v>
      </c>
      <c r="C1865" s="16" t="s">
        <v>5331</v>
      </c>
      <c r="D1865" s="12">
        <v>20840.21977</v>
      </c>
      <c r="E1865" s="12" t="s">
        <v>5332</v>
      </c>
      <c r="F1865" s="12" t="s">
        <v>5328</v>
      </c>
      <c r="G1865" s="12" t="s">
        <v>8706</v>
      </c>
      <c r="H1865" s="12">
        <v>58963</v>
      </c>
    </row>
    <row r="1866" spans="1:8">
      <c r="A1866" s="12" t="s">
        <v>8707</v>
      </c>
      <c r="B1866" s="13">
        <v>462.99</v>
      </c>
      <c r="C1866" s="16" t="s">
        <v>5331</v>
      </c>
      <c r="D1866" s="12">
        <v>1467.3504</v>
      </c>
      <c r="E1866" s="12" t="s">
        <v>5332</v>
      </c>
      <c r="F1866" s="12" t="s">
        <v>5328</v>
      </c>
      <c r="G1866" s="12" t="s">
        <v>8708</v>
      </c>
      <c r="H1866" s="12">
        <v>58964</v>
      </c>
    </row>
    <row r="1867" spans="1:8">
      <c r="A1867" s="12" t="s">
        <v>8709</v>
      </c>
      <c r="B1867" s="14">
        <v>2656.54</v>
      </c>
      <c r="C1867" s="16" t="s">
        <v>5331</v>
      </c>
      <c r="D1867" s="12">
        <v>33469.17</v>
      </c>
      <c r="E1867" s="12" t="s">
        <v>5332</v>
      </c>
      <c r="F1867" s="12" t="s">
        <v>5328</v>
      </c>
      <c r="G1867" s="12" t="s">
        <v>8710</v>
      </c>
      <c r="H1867" s="12">
        <v>76032</v>
      </c>
    </row>
    <row r="1868" spans="1:8">
      <c r="A1868" s="12" t="s">
        <v>8709</v>
      </c>
      <c r="B1868" s="13">
        <v>0</v>
      </c>
      <c r="C1868" s="16" t="s">
        <v>5331</v>
      </c>
      <c r="D1868" s="12">
        <v>21250.268080000002</v>
      </c>
      <c r="E1868" s="12" t="s">
        <v>5332</v>
      </c>
      <c r="F1868" s="12" t="s">
        <v>5328</v>
      </c>
      <c r="G1868" s="12" t="s">
        <v>8711</v>
      </c>
      <c r="H1868" s="12">
        <v>204716</v>
      </c>
    </row>
    <row r="1869" spans="1:8">
      <c r="A1869" s="12" t="s">
        <v>8709</v>
      </c>
      <c r="B1869" s="13">
        <v>0</v>
      </c>
      <c r="C1869" s="16" t="s">
        <v>5331</v>
      </c>
      <c r="D1869" s="12">
        <v>21250.268080000002</v>
      </c>
      <c r="E1869" s="12" t="s">
        <v>5332</v>
      </c>
      <c r="F1869" s="12" t="s">
        <v>5328</v>
      </c>
      <c r="G1869" s="12" t="s">
        <v>8712</v>
      </c>
      <c r="H1869" s="12">
        <v>208549</v>
      </c>
    </row>
    <row r="1870" spans="1:8">
      <c r="A1870" s="12" t="s">
        <v>8709</v>
      </c>
      <c r="B1870" s="13">
        <v>0</v>
      </c>
      <c r="C1870" s="16" t="s">
        <v>5331</v>
      </c>
      <c r="D1870" s="12">
        <v>21250.268080000002</v>
      </c>
      <c r="E1870" s="12" t="s">
        <v>5332</v>
      </c>
      <c r="F1870" s="12" t="s">
        <v>5328</v>
      </c>
      <c r="G1870" s="12" t="s">
        <v>8713</v>
      </c>
      <c r="H1870" s="12">
        <v>204740</v>
      </c>
    </row>
    <row r="1871" spans="1:8">
      <c r="A1871" s="12" t="s">
        <v>8714</v>
      </c>
      <c r="B1871" s="14">
        <v>1444.2</v>
      </c>
      <c r="C1871" s="16" t="s">
        <v>5331</v>
      </c>
      <c r="D1871" s="12">
        <v>2171.61</v>
      </c>
      <c r="E1871" s="12" t="s">
        <v>5332</v>
      </c>
      <c r="F1871" s="12" t="s">
        <v>5328</v>
      </c>
      <c r="G1871" s="12" t="s">
        <v>8715</v>
      </c>
      <c r="H1871" s="12">
        <v>58965</v>
      </c>
    </row>
    <row r="1872" spans="1:8">
      <c r="A1872" s="12" t="s">
        <v>8716</v>
      </c>
      <c r="B1872" s="13">
        <v>62.76</v>
      </c>
      <c r="C1872" s="16" t="s">
        <v>5331</v>
      </c>
      <c r="D1872" s="12">
        <v>135.47999999999999</v>
      </c>
      <c r="E1872" s="12" t="s">
        <v>5332</v>
      </c>
      <c r="F1872" s="12" t="s">
        <v>5328</v>
      </c>
      <c r="G1872" s="12" t="s">
        <v>8717</v>
      </c>
      <c r="H1872" s="12">
        <v>58966</v>
      </c>
    </row>
    <row r="1873" spans="1:8">
      <c r="A1873" s="12" t="s">
        <v>8718</v>
      </c>
      <c r="B1873" s="14">
        <v>1971.46</v>
      </c>
      <c r="C1873" s="16" t="s">
        <v>5331</v>
      </c>
      <c r="D1873" s="12">
        <v>3346.86</v>
      </c>
      <c r="E1873" s="12" t="s">
        <v>5332</v>
      </c>
      <c r="F1873" s="12" t="s">
        <v>5328</v>
      </c>
      <c r="G1873" s="12" t="s">
        <v>8719</v>
      </c>
      <c r="H1873" s="12">
        <v>58967</v>
      </c>
    </row>
    <row r="1874" spans="1:8">
      <c r="A1874" s="12" t="s">
        <v>8720</v>
      </c>
      <c r="B1874" s="14">
        <v>1970.77</v>
      </c>
      <c r="C1874" s="16" t="s">
        <v>5331</v>
      </c>
      <c r="D1874" s="12">
        <v>3358.59</v>
      </c>
      <c r="E1874" s="12" t="s">
        <v>5332</v>
      </c>
      <c r="F1874" s="12" t="s">
        <v>5328</v>
      </c>
      <c r="G1874" s="12" t="s">
        <v>8721</v>
      </c>
      <c r="H1874" s="12">
        <v>58968</v>
      </c>
    </row>
    <row r="1875" spans="1:8">
      <c r="A1875" s="12" t="s">
        <v>8722</v>
      </c>
      <c r="B1875" s="14">
        <v>3657.96</v>
      </c>
      <c r="C1875" s="16" t="s">
        <v>5331</v>
      </c>
      <c r="D1875" s="12">
        <v>6569.97</v>
      </c>
      <c r="E1875" s="12" t="s">
        <v>5332</v>
      </c>
      <c r="F1875" s="12" t="s">
        <v>5328</v>
      </c>
      <c r="G1875" s="12" t="s">
        <v>8723</v>
      </c>
      <c r="H1875" s="12">
        <v>58969</v>
      </c>
    </row>
    <row r="1876" spans="1:8">
      <c r="A1876" s="12" t="s">
        <v>8724</v>
      </c>
      <c r="B1876" s="13">
        <v>0</v>
      </c>
      <c r="C1876" s="16" t="s">
        <v>5331</v>
      </c>
      <c r="D1876" s="12">
        <v>6657.12</v>
      </c>
      <c r="E1876" s="12" t="s">
        <v>5332</v>
      </c>
      <c r="F1876" s="12" t="s">
        <v>5328</v>
      </c>
      <c r="G1876" s="12" t="s">
        <v>8725</v>
      </c>
      <c r="H1876" s="12">
        <v>58970</v>
      </c>
    </row>
    <row r="1877" spans="1:8">
      <c r="A1877" s="12" t="s">
        <v>8726</v>
      </c>
      <c r="B1877" s="13">
        <v>147.05000000000001</v>
      </c>
      <c r="C1877" s="16" t="s">
        <v>5331</v>
      </c>
      <c r="D1877" s="12">
        <v>110.33</v>
      </c>
      <c r="E1877" s="12" t="s">
        <v>5332</v>
      </c>
      <c r="F1877" s="12" t="s">
        <v>5328</v>
      </c>
      <c r="G1877" s="12" t="s">
        <v>8727</v>
      </c>
      <c r="H1877" s="12">
        <v>62795</v>
      </c>
    </row>
    <row r="1878" spans="1:8">
      <c r="A1878" s="12" t="s">
        <v>8728</v>
      </c>
      <c r="B1878" s="13">
        <v>109.84</v>
      </c>
      <c r="C1878" s="16" t="s">
        <v>5331</v>
      </c>
      <c r="D1878" s="12">
        <v>0</v>
      </c>
      <c r="E1878" s="12" t="s">
        <v>5332</v>
      </c>
      <c r="F1878" s="12" t="s">
        <v>5328</v>
      </c>
      <c r="G1878" s="12" t="s">
        <v>8729</v>
      </c>
      <c r="H1878" s="12">
        <v>67846</v>
      </c>
    </row>
    <row r="1879" spans="1:8">
      <c r="A1879" s="12" t="s">
        <v>8730</v>
      </c>
      <c r="B1879" s="13">
        <v>39.97</v>
      </c>
      <c r="C1879" s="16" t="s">
        <v>5331</v>
      </c>
      <c r="D1879" s="12">
        <v>131.81</v>
      </c>
      <c r="E1879" s="12" t="s">
        <v>5332</v>
      </c>
      <c r="F1879" s="12" t="s">
        <v>5328</v>
      </c>
      <c r="G1879" s="12" t="s">
        <v>8731</v>
      </c>
      <c r="H1879" s="12">
        <v>68934</v>
      </c>
    </row>
    <row r="1880" spans="1:8">
      <c r="A1880" s="12" t="s">
        <v>8732</v>
      </c>
      <c r="B1880" s="14">
        <v>1715.89</v>
      </c>
      <c r="C1880" s="16" t="s">
        <v>5331</v>
      </c>
      <c r="D1880" s="12">
        <v>22122.959999999999</v>
      </c>
      <c r="E1880" s="12" t="s">
        <v>5332</v>
      </c>
      <c r="F1880" s="12" t="s">
        <v>5328</v>
      </c>
      <c r="G1880" s="12" t="s">
        <v>8733</v>
      </c>
      <c r="H1880" s="12">
        <v>73176</v>
      </c>
    </row>
    <row r="1881" spans="1:8">
      <c r="A1881" s="12" t="s">
        <v>8734</v>
      </c>
      <c r="B1881" s="13">
        <v>229.73</v>
      </c>
      <c r="C1881" s="16" t="s">
        <v>5331</v>
      </c>
      <c r="D1881" s="12">
        <v>3389.27</v>
      </c>
      <c r="E1881" s="12" t="s">
        <v>5332</v>
      </c>
      <c r="F1881" s="12" t="s">
        <v>5328</v>
      </c>
      <c r="G1881" s="12" t="s">
        <v>8735</v>
      </c>
      <c r="H1881" s="12">
        <v>73177</v>
      </c>
    </row>
    <row r="1882" spans="1:8">
      <c r="A1882" s="12" t="s">
        <v>8736</v>
      </c>
      <c r="B1882" s="14">
        <v>2683.03</v>
      </c>
      <c r="C1882" s="16" t="s">
        <v>5331</v>
      </c>
      <c r="D1882" s="12">
        <v>19748.216380000002</v>
      </c>
      <c r="E1882" s="12" t="s">
        <v>5332</v>
      </c>
      <c r="F1882" s="12" t="s">
        <v>5328</v>
      </c>
      <c r="G1882" s="12" t="s">
        <v>8737</v>
      </c>
      <c r="H1882" s="12">
        <v>73178</v>
      </c>
    </row>
    <row r="1883" spans="1:8">
      <c r="A1883" s="12" t="s">
        <v>8738</v>
      </c>
      <c r="B1883" s="14">
        <v>1152.8499999999999</v>
      </c>
      <c r="C1883" s="16" t="s">
        <v>5331</v>
      </c>
      <c r="D1883" s="12">
        <v>6662.2720099999997</v>
      </c>
      <c r="E1883" s="12" t="s">
        <v>5332</v>
      </c>
      <c r="F1883" s="12" t="s">
        <v>5328</v>
      </c>
      <c r="G1883" s="12" t="s">
        <v>8739</v>
      </c>
      <c r="H1883" s="12">
        <v>73179</v>
      </c>
    </row>
    <row r="1884" spans="1:8">
      <c r="A1884" s="12" t="s">
        <v>8740</v>
      </c>
      <c r="B1884" s="14">
        <v>1730.9</v>
      </c>
      <c r="C1884" s="16" t="s">
        <v>5331</v>
      </c>
      <c r="D1884" s="12">
        <v>13682</v>
      </c>
      <c r="E1884" s="12" t="s">
        <v>5332</v>
      </c>
      <c r="F1884" s="12" t="s">
        <v>5328</v>
      </c>
      <c r="G1884" s="12" t="s">
        <v>8741</v>
      </c>
      <c r="H1884" s="12">
        <v>138211</v>
      </c>
    </row>
    <row r="1885" spans="1:8">
      <c r="A1885" s="12" t="s">
        <v>8742</v>
      </c>
      <c r="B1885" s="13">
        <v>0</v>
      </c>
      <c r="C1885" s="16" t="s">
        <v>5331</v>
      </c>
      <c r="D1885" s="12">
        <v>17667</v>
      </c>
      <c r="E1885" s="12" t="s">
        <v>5332</v>
      </c>
      <c r="F1885" s="12" t="s">
        <v>5328</v>
      </c>
      <c r="G1885" s="12" t="s">
        <v>8743</v>
      </c>
      <c r="H1885" s="12">
        <v>236427</v>
      </c>
    </row>
    <row r="1886" spans="1:8">
      <c r="A1886" s="12" t="s">
        <v>8744</v>
      </c>
      <c r="B1886" s="14">
        <v>1635.48</v>
      </c>
      <c r="C1886" s="16" t="s">
        <v>5331</v>
      </c>
      <c r="D1886" s="12">
        <v>3818.7249999999999</v>
      </c>
      <c r="E1886" s="12" t="s">
        <v>5332</v>
      </c>
      <c r="F1886" s="12" t="s">
        <v>5328</v>
      </c>
      <c r="G1886" s="12" t="s">
        <v>8745</v>
      </c>
      <c r="H1886" s="12">
        <v>18718</v>
      </c>
    </row>
    <row r="1887" spans="1:8">
      <c r="A1887" s="12" t="s">
        <v>8592</v>
      </c>
      <c r="B1887" s="13">
        <v>0</v>
      </c>
      <c r="C1887" s="16" t="s">
        <v>5331</v>
      </c>
      <c r="D1887" s="12">
        <v>1364.18</v>
      </c>
      <c r="E1887" s="12" t="s">
        <v>5332</v>
      </c>
      <c r="F1887" s="12" t="s">
        <v>5328</v>
      </c>
      <c r="G1887" s="12" t="s">
        <v>8746</v>
      </c>
      <c r="H1887" s="12">
        <v>20903</v>
      </c>
    </row>
    <row r="1888" spans="1:8">
      <c r="A1888" s="12" t="s">
        <v>8747</v>
      </c>
      <c r="B1888" s="13">
        <v>485.28</v>
      </c>
      <c r="C1888" s="16" t="s">
        <v>5331</v>
      </c>
      <c r="D1888" s="12">
        <v>1376.13</v>
      </c>
      <c r="E1888" s="12" t="s">
        <v>5332</v>
      </c>
      <c r="F1888" s="12" t="s">
        <v>5328</v>
      </c>
      <c r="G1888" s="12" t="s">
        <v>8748</v>
      </c>
      <c r="H1888" s="12">
        <v>45316</v>
      </c>
    </row>
    <row r="1889" spans="1:8">
      <c r="A1889" s="12" t="s">
        <v>8747</v>
      </c>
      <c r="B1889" s="13">
        <v>0</v>
      </c>
      <c r="C1889" s="16" t="s">
        <v>5331</v>
      </c>
      <c r="D1889" s="12">
        <v>3607.35</v>
      </c>
      <c r="E1889" s="12" t="s">
        <v>5332</v>
      </c>
      <c r="F1889" s="12" t="s">
        <v>5328</v>
      </c>
      <c r="G1889" s="12" t="s">
        <v>8749</v>
      </c>
      <c r="H1889" s="12">
        <v>20905</v>
      </c>
    </row>
    <row r="1890" spans="1:8">
      <c r="A1890" s="12" t="s">
        <v>8750</v>
      </c>
      <c r="B1890" s="13">
        <v>0</v>
      </c>
      <c r="C1890" s="16" t="s">
        <v>5331</v>
      </c>
      <c r="D1890" s="12">
        <v>483.15</v>
      </c>
      <c r="E1890" s="12" t="s">
        <v>5332</v>
      </c>
      <c r="F1890" s="12" t="s">
        <v>5328</v>
      </c>
      <c r="G1890" s="12" t="s">
        <v>8751</v>
      </c>
      <c r="H1890" s="12">
        <v>20906</v>
      </c>
    </row>
    <row r="1891" spans="1:8">
      <c r="A1891" s="12" t="s">
        <v>8752</v>
      </c>
      <c r="B1891" s="13">
        <v>428.82</v>
      </c>
      <c r="C1891" s="16" t="s">
        <v>5331</v>
      </c>
      <c r="D1891" s="12">
        <v>1957.08</v>
      </c>
      <c r="E1891" s="12" t="s">
        <v>5332</v>
      </c>
      <c r="F1891" s="12" t="s">
        <v>5328</v>
      </c>
      <c r="G1891" s="12" t="s">
        <v>8753</v>
      </c>
      <c r="H1891" s="12">
        <v>37940</v>
      </c>
    </row>
    <row r="1892" spans="1:8">
      <c r="A1892" s="12" t="s">
        <v>8754</v>
      </c>
      <c r="B1892" s="13">
        <v>428.82</v>
      </c>
      <c r="C1892" s="16" t="s">
        <v>5331</v>
      </c>
      <c r="D1892" s="12">
        <v>1188.96</v>
      </c>
      <c r="E1892" s="12" t="s">
        <v>5332</v>
      </c>
      <c r="F1892" s="12" t="s">
        <v>5328</v>
      </c>
      <c r="G1892" s="12" t="s">
        <v>8755</v>
      </c>
      <c r="H1892" s="12">
        <v>44506</v>
      </c>
    </row>
    <row r="1893" spans="1:8">
      <c r="A1893" s="12" t="s">
        <v>8756</v>
      </c>
      <c r="B1893" s="13">
        <v>175.36</v>
      </c>
      <c r="C1893" s="16" t="s">
        <v>5331</v>
      </c>
      <c r="D1893" s="12">
        <v>647.07000000000005</v>
      </c>
      <c r="E1893" s="12" t="s">
        <v>5332</v>
      </c>
      <c r="F1893" s="12" t="s">
        <v>5328</v>
      </c>
      <c r="G1893" s="12" t="s">
        <v>8757</v>
      </c>
      <c r="H1893" s="12">
        <v>73196</v>
      </c>
    </row>
    <row r="1894" spans="1:8">
      <c r="A1894" s="12" t="s">
        <v>8758</v>
      </c>
      <c r="B1894" s="13">
        <v>115.25</v>
      </c>
      <c r="C1894" s="16" t="s">
        <v>5331</v>
      </c>
      <c r="D1894" s="12">
        <v>410.04</v>
      </c>
      <c r="E1894" s="12" t="s">
        <v>5332</v>
      </c>
      <c r="F1894" s="12" t="s">
        <v>5328</v>
      </c>
      <c r="G1894" s="12" t="s">
        <v>8759</v>
      </c>
      <c r="H1894" s="12">
        <v>73197</v>
      </c>
    </row>
    <row r="1895" spans="1:8">
      <c r="A1895" s="12" t="s">
        <v>8760</v>
      </c>
      <c r="B1895" s="13">
        <v>189.77</v>
      </c>
      <c r="C1895" s="16" t="s">
        <v>5331</v>
      </c>
      <c r="D1895" s="12">
        <v>686.44799999999998</v>
      </c>
      <c r="E1895" s="12" t="s">
        <v>5332</v>
      </c>
      <c r="F1895" s="12" t="s">
        <v>5328</v>
      </c>
      <c r="G1895" s="12" t="s">
        <v>8761</v>
      </c>
      <c r="H1895" s="12">
        <v>73198</v>
      </c>
    </row>
    <row r="1896" spans="1:8">
      <c r="A1896" s="12" t="s">
        <v>8762</v>
      </c>
      <c r="B1896" s="13">
        <v>176.1</v>
      </c>
      <c r="C1896" s="16" t="s">
        <v>5331</v>
      </c>
      <c r="D1896" s="12">
        <v>539.34</v>
      </c>
      <c r="E1896" s="12" t="s">
        <v>5332</v>
      </c>
      <c r="F1896" s="12" t="s">
        <v>5328</v>
      </c>
      <c r="G1896" s="12" t="s">
        <v>8763</v>
      </c>
      <c r="H1896" s="12">
        <v>73199</v>
      </c>
    </row>
    <row r="1897" spans="1:8">
      <c r="A1897" s="12" t="s">
        <v>8764</v>
      </c>
      <c r="B1897" s="13">
        <v>408.86</v>
      </c>
      <c r="C1897" s="16" t="s">
        <v>5331</v>
      </c>
      <c r="D1897" s="12">
        <v>2178.23</v>
      </c>
      <c r="E1897" s="12" t="s">
        <v>5332</v>
      </c>
      <c r="F1897" s="12" t="s">
        <v>5328</v>
      </c>
      <c r="G1897" s="12" t="s">
        <v>8765</v>
      </c>
      <c r="H1897" s="12">
        <v>73200</v>
      </c>
    </row>
    <row r="1898" spans="1:8">
      <c r="A1898" s="12" t="s">
        <v>8766</v>
      </c>
      <c r="B1898" s="13">
        <v>356.92</v>
      </c>
      <c r="C1898" s="16" t="s">
        <v>5331</v>
      </c>
      <c r="D1898" s="12">
        <v>1162.47</v>
      </c>
      <c r="E1898" s="12" t="s">
        <v>5332</v>
      </c>
      <c r="F1898" s="12" t="s">
        <v>5328</v>
      </c>
      <c r="G1898" s="12" t="s">
        <v>8767</v>
      </c>
      <c r="H1898" s="12">
        <v>73201</v>
      </c>
    </row>
    <row r="1899" spans="1:8">
      <c r="A1899" s="12" t="s">
        <v>8768</v>
      </c>
      <c r="B1899" s="13">
        <v>297.74</v>
      </c>
      <c r="C1899" s="16" t="s">
        <v>5331</v>
      </c>
      <c r="D1899" s="12">
        <v>4410</v>
      </c>
      <c r="E1899" s="12" t="s">
        <v>5332</v>
      </c>
      <c r="F1899" s="12" t="s">
        <v>5328</v>
      </c>
      <c r="G1899" s="12" t="s">
        <v>8769</v>
      </c>
      <c r="H1899" s="12">
        <v>73202</v>
      </c>
    </row>
    <row r="1900" spans="1:8">
      <c r="A1900" s="12" t="s">
        <v>8770</v>
      </c>
      <c r="B1900" s="13">
        <v>218.23</v>
      </c>
      <c r="C1900" s="16" t="s">
        <v>5331</v>
      </c>
      <c r="D1900" s="12">
        <v>1490.6004</v>
      </c>
      <c r="E1900" s="12" t="s">
        <v>5332</v>
      </c>
      <c r="F1900" s="12" t="s">
        <v>5328</v>
      </c>
      <c r="G1900" s="12" t="s">
        <v>8771</v>
      </c>
      <c r="H1900" s="12">
        <v>73203</v>
      </c>
    </row>
    <row r="1901" spans="1:8">
      <c r="A1901" s="12" t="s">
        <v>8772</v>
      </c>
      <c r="B1901" s="13">
        <v>675.16</v>
      </c>
      <c r="C1901" s="16" t="s">
        <v>5331</v>
      </c>
      <c r="D1901" s="12">
        <v>2995.29</v>
      </c>
      <c r="E1901" s="12" t="s">
        <v>5332</v>
      </c>
      <c r="F1901" s="12" t="s">
        <v>5328</v>
      </c>
      <c r="G1901" s="12" t="s">
        <v>8773</v>
      </c>
      <c r="H1901" s="12">
        <v>73204</v>
      </c>
    </row>
    <row r="1902" spans="1:8">
      <c r="A1902" s="12" t="s">
        <v>8774</v>
      </c>
      <c r="B1902" s="13">
        <v>43.86</v>
      </c>
      <c r="C1902" s="16" t="s">
        <v>5331</v>
      </c>
      <c r="D1902" s="12">
        <v>1145.6099999999999</v>
      </c>
      <c r="E1902" s="12" t="s">
        <v>5332</v>
      </c>
      <c r="F1902" s="12" t="s">
        <v>5328</v>
      </c>
      <c r="G1902" s="12" t="s">
        <v>8775</v>
      </c>
      <c r="H1902" s="12">
        <v>73205</v>
      </c>
    </row>
    <row r="1903" spans="1:8">
      <c r="A1903" s="12" t="s">
        <v>8776</v>
      </c>
      <c r="B1903" s="13">
        <v>40.28</v>
      </c>
      <c r="C1903" s="16" t="s">
        <v>5331</v>
      </c>
      <c r="D1903" s="12">
        <v>117.96599999999999</v>
      </c>
      <c r="E1903" s="12" t="s">
        <v>5332</v>
      </c>
      <c r="F1903" s="12" t="s">
        <v>5328</v>
      </c>
      <c r="G1903" s="12" t="s">
        <v>8777</v>
      </c>
      <c r="H1903" s="12">
        <v>73206</v>
      </c>
    </row>
    <row r="1904" spans="1:8">
      <c r="A1904" s="12" t="s">
        <v>8778</v>
      </c>
      <c r="B1904" s="13">
        <v>130.28</v>
      </c>
      <c r="C1904" s="16" t="s">
        <v>5331</v>
      </c>
      <c r="D1904" s="12">
        <v>599.44878000000006</v>
      </c>
      <c r="E1904" s="12" t="s">
        <v>5332</v>
      </c>
      <c r="F1904" s="12" t="s">
        <v>5328</v>
      </c>
      <c r="G1904" s="12" t="s">
        <v>8779</v>
      </c>
      <c r="H1904" s="12">
        <v>73207</v>
      </c>
    </row>
    <row r="1905" spans="1:8">
      <c r="A1905" s="12" t="s">
        <v>8780</v>
      </c>
      <c r="B1905" s="13">
        <v>412.95</v>
      </c>
      <c r="C1905" s="16" t="s">
        <v>5331</v>
      </c>
      <c r="D1905" s="12">
        <v>2439.71</v>
      </c>
      <c r="E1905" s="12" t="s">
        <v>5332</v>
      </c>
      <c r="F1905" s="12" t="s">
        <v>5328</v>
      </c>
      <c r="G1905" s="12" t="s">
        <v>8781</v>
      </c>
      <c r="H1905" s="12">
        <v>21088</v>
      </c>
    </row>
    <row r="1906" spans="1:8">
      <c r="A1906" s="12" t="s">
        <v>8780</v>
      </c>
      <c r="B1906" s="13">
        <v>412.95</v>
      </c>
      <c r="C1906" s="16" t="s">
        <v>5331</v>
      </c>
      <c r="D1906" s="12">
        <v>1626.47</v>
      </c>
      <c r="E1906" s="12" t="s">
        <v>5332</v>
      </c>
      <c r="F1906" s="12" t="s">
        <v>5328</v>
      </c>
      <c r="G1906" s="12" t="s">
        <v>8781</v>
      </c>
      <c r="H1906" s="12">
        <v>21088</v>
      </c>
    </row>
    <row r="1907" spans="1:8">
      <c r="A1907" s="12" t="s">
        <v>8782</v>
      </c>
      <c r="B1907" s="13">
        <v>165.84</v>
      </c>
      <c r="C1907" s="16" t="s">
        <v>5331</v>
      </c>
      <c r="D1907" s="12">
        <v>801.93</v>
      </c>
      <c r="E1907" s="12" t="s">
        <v>5332</v>
      </c>
      <c r="F1907" s="12" t="s">
        <v>5328</v>
      </c>
      <c r="G1907" s="12" t="s">
        <v>8783</v>
      </c>
      <c r="H1907" s="12">
        <v>18722</v>
      </c>
    </row>
    <row r="1908" spans="1:8">
      <c r="A1908" s="12" t="s">
        <v>8782</v>
      </c>
      <c r="B1908" s="13">
        <v>165.84</v>
      </c>
      <c r="C1908" s="16" t="s">
        <v>5331</v>
      </c>
      <c r="D1908" s="12">
        <v>534.62</v>
      </c>
      <c r="E1908" s="12" t="s">
        <v>5332</v>
      </c>
      <c r="F1908" s="12" t="s">
        <v>5328</v>
      </c>
      <c r="G1908" s="12" t="s">
        <v>8783</v>
      </c>
      <c r="H1908" s="12">
        <v>18722</v>
      </c>
    </row>
    <row r="1909" spans="1:8">
      <c r="A1909" s="12" t="s">
        <v>8784</v>
      </c>
      <c r="B1909" s="13">
        <v>133.81</v>
      </c>
      <c r="C1909" s="16" t="s">
        <v>5331</v>
      </c>
      <c r="D1909" s="12">
        <v>41.96</v>
      </c>
      <c r="E1909" s="12" t="s">
        <v>5332</v>
      </c>
      <c r="F1909" s="12" t="s">
        <v>5328</v>
      </c>
      <c r="G1909" s="12" t="s">
        <v>8785</v>
      </c>
      <c r="H1909" s="12">
        <v>37149</v>
      </c>
    </row>
    <row r="1910" spans="1:8">
      <c r="A1910" s="12" t="s">
        <v>8784</v>
      </c>
      <c r="B1910" s="13">
        <v>133.81</v>
      </c>
      <c r="C1910" s="16" t="s">
        <v>5331</v>
      </c>
      <c r="D1910" s="12">
        <v>27.97</v>
      </c>
      <c r="E1910" s="12" t="s">
        <v>5332</v>
      </c>
      <c r="F1910" s="12" t="s">
        <v>5328</v>
      </c>
      <c r="G1910" s="12" t="s">
        <v>8785</v>
      </c>
      <c r="H1910" s="12">
        <v>37149</v>
      </c>
    </row>
    <row r="1911" spans="1:8">
      <c r="A1911" s="12" t="s">
        <v>8784</v>
      </c>
      <c r="B1911" s="13">
        <v>4.8099999999999996</v>
      </c>
      <c r="C1911" s="16" t="s">
        <v>5331</v>
      </c>
      <c r="D1911" s="12">
        <v>3.1</v>
      </c>
      <c r="E1911" s="12" t="s">
        <v>5332</v>
      </c>
      <c r="F1911" s="12" t="s">
        <v>5328</v>
      </c>
      <c r="G1911" s="12" t="s">
        <v>8786</v>
      </c>
      <c r="H1911" s="12">
        <v>18723</v>
      </c>
    </row>
    <row r="1912" spans="1:8">
      <c r="A1912" s="12" t="s">
        <v>8787</v>
      </c>
      <c r="B1912" s="14">
        <v>1469.57</v>
      </c>
      <c r="C1912" s="16" t="s">
        <v>5331</v>
      </c>
      <c r="D1912" s="12">
        <v>3132.53</v>
      </c>
      <c r="E1912" s="12" t="s">
        <v>5332</v>
      </c>
      <c r="F1912" s="12" t="s">
        <v>5328</v>
      </c>
      <c r="G1912" s="12" t="s">
        <v>8788</v>
      </c>
      <c r="H1912" s="12">
        <v>20907</v>
      </c>
    </row>
    <row r="1913" spans="1:8">
      <c r="A1913" s="12" t="s">
        <v>8789</v>
      </c>
      <c r="B1913" s="13">
        <v>251.57</v>
      </c>
      <c r="C1913" s="16" t="s">
        <v>5331</v>
      </c>
      <c r="D1913" s="12">
        <v>1466.27</v>
      </c>
      <c r="E1913" s="12" t="s">
        <v>5332</v>
      </c>
      <c r="F1913" s="12" t="s">
        <v>5328</v>
      </c>
      <c r="G1913" s="12" t="s">
        <v>8790</v>
      </c>
      <c r="H1913" s="12">
        <v>19734</v>
      </c>
    </row>
    <row r="1914" spans="1:8">
      <c r="A1914" s="12" t="s">
        <v>8789</v>
      </c>
      <c r="B1914" s="13">
        <v>251.57</v>
      </c>
      <c r="C1914" s="16" t="s">
        <v>5331</v>
      </c>
      <c r="D1914" s="12">
        <v>977.51</v>
      </c>
      <c r="E1914" s="12" t="s">
        <v>5332</v>
      </c>
      <c r="F1914" s="12" t="s">
        <v>5328</v>
      </c>
      <c r="G1914" s="12" t="s">
        <v>8790</v>
      </c>
      <c r="H1914" s="12">
        <v>19734</v>
      </c>
    </row>
    <row r="1915" spans="1:8">
      <c r="A1915" s="12" t="s">
        <v>8791</v>
      </c>
      <c r="B1915" s="13">
        <v>864.92</v>
      </c>
      <c r="C1915" s="16" t="s">
        <v>5331</v>
      </c>
      <c r="D1915" s="12">
        <v>3736.49</v>
      </c>
      <c r="E1915" s="12" t="s">
        <v>5332</v>
      </c>
      <c r="F1915" s="12" t="s">
        <v>5328</v>
      </c>
      <c r="G1915" s="12" t="s">
        <v>8792</v>
      </c>
      <c r="H1915" s="12">
        <v>19735</v>
      </c>
    </row>
    <row r="1916" spans="1:8">
      <c r="A1916" s="12" t="s">
        <v>8791</v>
      </c>
      <c r="B1916" s="13">
        <v>864.92</v>
      </c>
      <c r="C1916" s="16" t="s">
        <v>5331</v>
      </c>
      <c r="D1916" s="12">
        <v>2490.9899999999998</v>
      </c>
      <c r="E1916" s="12" t="s">
        <v>5332</v>
      </c>
      <c r="F1916" s="12" t="s">
        <v>5328</v>
      </c>
      <c r="G1916" s="12" t="s">
        <v>8792</v>
      </c>
      <c r="H1916" s="12">
        <v>19735</v>
      </c>
    </row>
    <row r="1917" spans="1:8">
      <c r="A1917" s="12" t="s">
        <v>8793</v>
      </c>
      <c r="B1917" s="13">
        <v>61.71</v>
      </c>
      <c r="C1917" s="16" t="s">
        <v>5331</v>
      </c>
      <c r="D1917" s="12">
        <v>375.54</v>
      </c>
      <c r="E1917" s="12" t="s">
        <v>5332</v>
      </c>
      <c r="F1917" s="12" t="s">
        <v>5328</v>
      </c>
      <c r="G1917" s="12" t="s">
        <v>8794</v>
      </c>
      <c r="H1917" s="12">
        <v>18724</v>
      </c>
    </row>
    <row r="1918" spans="1:8">
      <c r="A1918" s="12" t="s">
        <v>8795</v>
      </c>
      <c r="B1918" s="13">
        <v>0</v>
      </c>
      <c r="C1918" s="16" t="s">
        <v>5331</v>
      </c>
      <c r="D1918" s="12">
        <v>36.479999999999997</v>
      </c>
      <c r="E1918" s="12" t="s">
        <v>5332</v>
      </c>
      <c r="F1918" s="12" t="s">
        <v>5328</v>
      </c>
      <c r="G1918" s="12" t="s">
        <v>8796</v>
      </c>
      <c r="H1918" s="12">
        <v>20908</v>
      </c>
    </row>
    <row r="1919" spans="1:8">
      <c r="A1919" s="12" t="s">
        <v>8797</v>
      </c>
      <c r="B1919" s="13">
        <v>64.150000000000006</v>
      </c>
      <c r="C1919" s="16" t="s">
        <v>5331</v>
      </c>
      <c r="D1919" s="12">
        <v>140.82499999999999</v>
      </c>
      <c r="E1919" s="12" t="s">
        <v>5332</v>
      </c>
      <c r="F1919" s="12" t="s">
        <v>5328</v>
      </c>
      <c r="G1919" s="12" t="s">
        <v>8798</v>
      </c>
      <c r="H1919" s="12">
        <v>18726</v>
      </c>
    </row>
    <row r="1920" spans="1:8">
      <c r="A1920" s="12" t="s">
        <v>8799</v>
      </c>
      <c r="B1920" s="13">
        <v>6.5</v>
      </c>
      <c r="C1920" s="16" t="s">
        <v>5331</v>
      </c>
      <c r="D1920" s="12">
        <v>23.274999999999999</v>
      </c>
      <c r="E1920" s="12" t="s">
        <v>5332</v>
      </c>
      <c r="F1920" s="12" t="s">
        <v>5328</v>
      </c>
      <c r="G1920" s="12" t="s">
        <v>8800</v>
      </c>
      <c r="H1920" s="12">
        <v>18727</v>
      </c>
    </row>
    <row r="1921" spans="1:8">
      <c r="A1921" s="12" t="s">
        <v>8801</v>
      </c>
      <c r="B1921" s="13">
        <v>27.18</v>
      </c>
      <c r="C1921" s="16" t="s">
        <v>5331</v>
      </c>
      <c r="D1921" s="12">
        <v>135</v>
      </c>
      <c r="E1921" s="12" t="s">
        <v>5332</v>
      </c>
      <c r="F1921" s="12" t="s">
        <v>5328</v>
      </c>
      <c r="G1921" s="12" t="s">
        <v>8802</v>
      </c>
      <c r="H1921" s="12">
        <v>18728</v>
      </c>
    </row>
    <row r="1922" spans="1:8">
      <c r="A1922" s="12" t="s">
        <v>8803</v>
      </c>
      <c r="B1922" s="13">
        <v>0</v>
      </c>
      <c r="C1922" s="16" t="s">
        <v>5331</v>
      </c>
      <c r="D1922" s="12">
        <v>247.74</v>
      </c>
      <c r="E1922" s="12" t="s">
        <v>5332</v>
      </c>
      <c r="F1922" s="12" t="s">
        <v>5328</v>
      </c>
      <c r="G1922" s="12" t="s">
        <v>8804</v>
      </c>
      <c r="H1922" s="12">
        <v>34619</v>
      </c>
    </row>
    <row r="1923" spans="1:8">
      <c r="A1923" s="12" t="s">
        <v>8803</v>
      </c>
      <c r="B1923" s="13">
        <v>0</v>
      </c>
      <c r="C1923" s="16" t="s">
        <v>5331</v>
      </c>
      <c r="D1923" s="12">
        <v>189.65</v>
      </c>
      <c r="E1923" s="12" t="s">
        <v>5332</v>
      </c>
      <c r="F1923" s="12" t="s">
        <v>5328</v>
      </c>
      <c r="G1923" s="12" t="s">
        <v>8805</v>
      </c>
      <c r="H1923" s="12">
        <v>18729</v>
      </c>
    </row>
    <row r="1924" spans="1:8">
      <c r="A1924" s="12" t="s">
        <v>8806</v>
      </c>
      <c r="B1924" s="13">
        <v>0</v>
      </c>
      <c r="C1924" s="16" t="s">
        <v>5331</v>
      </c>
      <c r="D1924" s="12">
        <v>143.41560000000001</v>
      </c>
      <c r="E1924" s="12" t="s">
        <v>5332</v>
      </c>
      <c r="F1924" s="12" t="s">
        <v>5328</v>
      </c>
      <c r="G1924" s="12" t="s">
        <v>8807</v>
      </c>
      <c r="H1924" s="12">
        <v>45211</v>
      </c>
    </row>
    <row r="1925" spans="1:8">
      <c r="A1925" s="12" t="s">
        <v>8806</v>
      </c>
      <c r="B1925" s="13">
        <v>0</v>
      </c>
      <c r="C1925" s="16" t="s">
        <v>5331</v>
      </c>
      <c r="D1925" s="12">
        <v>288.8075</v>
      </c>
      <c r="E1925" s="12" t="s">
        <v>5332</v>
      </c>
      <c r="F1925" s="12" t="s">
        <v>5328</v>
      </c>
      <c r="G1925" s="12" t="s">
        <v>8808</v>
      </c>
      <c r="H1925" s="12">
        <v>19741</v>
      </c>
    </row>
    <row r="1926" spans="1:8">
      <c r="A1926" s="12" t="s">
        <v>8809</v>
      </c>
      <c r="B1926" s="13">
        <v>0</v>
      </c>
      <c r="C1926" s="16" t="s">
        <v>5331</v>
      </c>
      <c r="D1926" s="12">
        <v>36.476750000000003</v>
      </c>
      <c r="E1926" s="12" t="s">
        <v>5332</v>
      </c>
      <c r="F1926" s="12" t="s">
        <v>5328</v>
      </c>
      <c r="G1926" s="12" t="s">
        <v>8810</v>
      </c>
      <c r="H1926" s="12">
        <v>18730</v>
      </c>
    </row>
    <row r="1927" spans="1:8">
      <c r="A1927" s="12" t="s">
        <v>8811</v>
      </c>
      <c r="B1927" s="13">
        <v>37.69</v>
      </c>
      <c r="C1927" s="16" t="s">
        <v>5331</v>
      </c>
      <c r="D1927" s="12">
        <v>139.5</v>
      </c>
      <c r="E1927" s="12" t="s">
        <v>5332</v>
      </c>
      <c r="F1927" s="12" t="s">
        <v>5328</v>
      </c>
      <c r="G1927" s="12" t="s">
        <v>8812</v>
      </c>
      <c r="H1927" s="12">
        <v>18732</v>
      </c>
    </row>
    <row r="1928" spans="1:8">
      <c r="A1928" s="12" t="s">
        <v>8813</v>
      </c>
      <c r="B1928" s="13">
        <v>11.25</v>
      </c>
      <c r="C1928" s="16" t="s">
        <v>5331</v>
      </c>
      <c r="D1928" s="12">
        <v>75.476749999999996</v>
      </c>
      <c r="E1928" s="12" t="s">
        <v>5332</v>
      </c>
      <c r="F1928" s="12" t="s">
        <v>5328</v>
      </c>
      <c r="G1928" s="12" t="s">
        <v>8814</v>
      </c>
      <c r="H1928" s="12">
        <v>18731</v>
      </c>
    </row>
    <row r="1929" spans="1:8">
      <c r="A1929" s="12" t="s">
        <v>8815</v>
      </c>
      <c r="B1929" s="13">
        <v>89.07</v>
      </c>
      <c r="C1929" s="16" t="s">
        <v>5331</v>
      </c>
      <c r="D1929" s="12">
        <v>553.97</v>
      </c>
      <c r="E1929" s="12" t="s">
        <v>5332</v>
      </c>
      <c r="F1929" s="12" t="s">
        <v>5328</v>
      </c>
      <c r="G1929" s="12" t="s">
        <v>8816</v>
      </c>
      <c r="H1929" s="12">
        <v>34616</v>
      </c>
    </row>
    <row r="1930" spans="1:8">
      <c r="A1930" s="12" t="s">
        <v>8817</v>
      </c>
      <c r="B1930" s="13">
        <v>85.12</v>
      </c>
      <c r="C1930" s="16" t="s">
        <v>5331</v>
      </c>
      <c r="D1930" s="12">
        <v>150.82499999999999</v>
      </c>
      <c r="E1930" s="12" t="s">
        <v>5332</v>
      </c>
      <c r="F1930" s="12" t="s">
        <v>5328</v>
      </c>
      <c r="G1930" s="12" t="s">
        <v>8818</v>
      </c>
      <c r="H1930" s="12">
        <v>18733</v>
      </c>
    </row>
    <row r="1931" spans="1:8">
      <c r="A1931" s="12" t="s">
        <v>8819</v>
      </c>
      <c r="B1931" s="13">
        <v>107.58</v>
      </c>
      <c r="C1931" s="16" t="s">
        <v>5331</v>
      </c>
      <c r="D1931" s="12">
        <v>210</v>
      </c>
      <c r="E1931" s="12" t="s">
        <v>5332</v>
      </c>
      <c r="F1931" s="12" t="s">
        <v>5328</v>
      </c>
      <c r="G1931" s="12" t="s">
        <v>8820</v>
      </c>
      <c r="H1931" s="12">
        <v>18734</v>
      </c>
    </row>
    <row r="1932" spans="1:8">
      <c r="A1932" s="12" t="s">
        <v>8819</v>
      </c>
      <c r="B1932" s="13">
        <v>107.58</v>
      </c>
      <c r="C1932" s="16" t="s">
        <v>5331</v>
      </c>
      <c r="D1932" s="12">
        <v>134</v>
      </c>
      <c r="E1932" s="12" t="s">
        <v>5332</v>
      </c>
      <c r="F1932" s="12" t="s">
        <v>5328</v>
      </c>
      <c r="G1932" s="12" t="s">
        <v>8820</v>
      </c>
      <c r="H1932" s="12">
        <v>18734</v>
      </c>
    </row>
    <row r="1933" spans="1:8">
      <c r="A1933" s="12" t="s">
        <v>8821</v>
      </c>
      <c r="B1933" s="13">
        <v>19.05</v>
      </c>
      <c r="C1933" s="16" t="s">
        <v>5331</v>
      </c>
      <c r="D1933" s="12">
        <v>52.417920000000002</v>
      </c>
      <c r="E1933" s="12" t="s">
        <v>5332</v>
      </c>
      <c r="F1933" s="12" t="s">
        <v>5328</v>
      </c>
      <c r="G1933" s="12" t="s">
        <v>8822</v>
      </c>
      <c r="H1933" s="12">
        <v>34629</v>
      </c>
    </row>
    <row r="1934" spans="1:8">
      <c r="A1934" s="12" t="s">
        <v>8823</v>
      </c>
      <c r="B1934" s="14">
        <v>1172.73</v>
      </c>
      <c r="C1934" s="16" t="s">
        <v>5331</v>
      </c>
      <c r="D1934" s="12">
        <v>0</v>
      </c>
      <c r="E1934" s="12" t="s">
        <v>5332</v>
      </c>
      <c r="F1934" s="12" t="s">
        <v>5328</v>
      </c>
      <c r="G1934" s="12" t="s">
        <v>8824</v>
      </c>
      <c r="H1934" s="12">
        <v>20909</v>
      </c>
    </row>
    <row r="1935" spans="1:8">
      <c r="A1935" s="12" t="s">
        <v>8825</v>
      </c>
      <c r="B1935" s="13">
        <v>0</v>
      </c>
      <c r="C1935" s="16" t="s">
        <v>5331</v>
      </c>
      <c r="D1935" s="12">
        <v>115.47</v>
      </c>
      <c r="E1935" s="12" t="s">
        <v>5332</v>
      </c>
      <c r="F1935" s="12" t="s">
        <v>5328</v>
      </c>
      <c r="G1935" s="12" t="s">
        <v>8826</v>
      </c>
      <c r="H1935" s="12">
        <v>34622</v>
      </c>
    </row>
    <row r="1936" spans="1:8">
      <c r="A1936" s="12" t="s">
        <v>8827</v>
      </c>
      <c r="B1936" s="13">
        <v>0</v>
      </c>
      <c r="C1936" s="16" t="s">
        <v>5331</v>
      </c>
      <c r="D1936" s="12">
        <v>4452.9359999999997</v>
      </c>
      <c r="E1936" s="12" t="s">
        <v>5332</v>
      </c>
      <c r="F1936" s="12" t="s">
        <v>5328</v>
      </c>
      <c r="G1936" s="12" t="s">
        <v>8828</v>
      </c>
      <c r="H1936" s="12">
        <v>34623</v>
      </c>
    </row>
    <row r="1937" spans="1:8">
      <c r="A1937" s="12" t="s">
        <v>8827</v>
      </c>
      <c r="B1937" s="13">
        <v>0</v>
      </c>
      <c r="C1937" s="16" t="s">
        <v>5331</v>
      </c>
      <c r="D1937" s="12">
        <v>4314.8747999999996</v>
      </c>
      <c r="E1937" s="12" t="s">
        <v>5332</v>
      </c>
      <c r="F1937" s="12" t="s">
        <v>5328</v>
      </c>
      <c r="G1937" s="12" t="s">
        <v>8829</v>
      </c>
      <c r="H1937" s="12">
        <v>45212</v>
      </c>
    </row>
    <row r="1938" spans="1:8">
      <c r="A1938" s="12" t="s">
        <v>8830</v>
      </c>
      <c r="B1938" s="13">
        <v>83.25</v>
      </c>
      <c r="C1938" s="16" t="s">
        <v>5331</v>
      </c>
      <c r="D1938" s="12">
        <v>115.08</v>
      </c>
      <c r="E1938" s="12" t="s">
        <v>5332</v>
      </c>
      <c r="F1938" s="12" t="s">
        <v>5328</v>
      </c>
      <c r="G1938" s="12" t="s">
        <v>8831</v>
      </c>
      <c r="H1938" s="12">
        <v>60358</v>
      </c>
    </row>
    <row r="1939" spans="1:8">
      <c r="A1939" s="12" t="s">
        <v>8832</v>
      </c>
      <c r="B1939" s="13">
        <v>42.53</v>
      </c>
      <c r="C1939" s="16" t="s">
        <v>5331</v>
      </c>
      <c r="D1939" s="12">
        <v>235.35</v>
      </c>
      <c r="E1939" s="12" t="s">
        <v>5332</v>
      </c>
      <c r="F1939" s="12" t="s">
        <v>5328</v>
      </c>
      <c r="G1939" s="12" t="s">
        <v>8833</v>
      </c>
      <c r="H1939" s="12">
        <v>73209</v>
      </c>
    </row>
    <row r="1940" spans="1:8">
      <c r="A1940" s="12" t="s">
        <v>8834</v>
      </c>
      <c r="B1940" s="13">
        <v>79.37</v>
      </c>
      <c r="C1940" s="16" t="s">
        <v>5331</v>
      </c>
      <c r="D1940" s="12">
        <v>448.94</v>
      </c>
      <c r="E1940" s="12" t="s">
        <v>5332</v>
      </c>
      <c r="F1940" s="12" t="s">
        <v>5328</v>
      </c>
      <c r="G1940" s="12" t="s">
        <v>8835</v>
      </c>
      <c r="H1940" s="12">
        <v>73210</v>
      </c>
    </row>
    <row r="1941" spans="1:8">
      <c r="A1941" s="12" t="s">
        <v>8836</v>
      </c>
      <c r="B1941" s="13">
        <v>550.22</v>
      </c>
      <c r="C1941" s="16" t="s">
        <v>5331</v>
      </c>
      <c r="D1941" s="12">
        <v>1868.93</v>
      </c>
      <c r="E1941" s="12" t="s">
        <v>5332</v>
      </c>
      <c r="F1941" s="12" t="s">
        <v>5328</v>
      </c>
      <c r="G1941" s="12" t="s">
        <v>8837</v>
      </c>
      <c r="H1941" s="12">
        <v>73212</v>
      </c>
    </row>
    <row r="1942" spans="1:8">
      <c r="A1942" s="12" t="s">
        <v>8838</v>
      </c>
      <c r="B1942" s="13">
        <v>346.72</v>
      </c>
      <c r="C1942" s="16" t="s">
        <v>5331</v>
      </c>
      <c r="D1942" s="12">
        <v>1322.97</v>
      </c>
      <c r="E1942" s="12" t="s">
        <v>5332</v>
      </c>
      <c r="F1942" s="12" t="s">
        <v>5328</v>
      </c>
      <c r="G1942" s="12" t="s">
        <v>8839</v>
      </c>
      <c r="H1942" s="12">
        <v>73215</v>
      </c>
    </row>
    <row r="1943" spans="1:8">
      <c r="A1943" s="12" t="s">
        <v>8840</v>
      </c>
      <c r="B1943" s="13">
        <v>375.61</v>
      </c>
      <c r="C1943" s="16" t="s">
        <v>5331</v>
      </c>
      <c r="D1943" s="12">
        <v>919</v>
      </c>
      <c r="E1943" s="12" t="s">
        <v>5332</v>
      </c>
      <c r="F1943" s="12" t="s">
        <v>5328</v>
      </c>
      <c r="G1943" s="12" t="s">
        <v>8841</v>
      </c>
      <c r="H1943" s="12">
        <v>73216</v>
      </c>
    </row>
    <row r="1944" spans="1:8">
      <c r="A1944" s="12" t="s">
        <v>8842</v>
      </c>
      <c r="B1944" s="13">
        <v>357.32</v>
      </c>
      <c r="C1944" s="16" t="s">
        <v>5331</v>
      </c>
      <c r="D1944" s="12">
        <v>900</v>
      </c>
      <c r="E1944" s="12" t="s">
        <v>5332</v>
      </c>
      <c r="F1944" s="12" t="s">
        <v>5328</v>
      </c>
      <c r="G1944" s="12" t="s">
        <v>8843</v>
      </c>
      <c r="H1944" s="12">
        <v>73217</v>
      </c>
    </row>
    <row r="1945" spans="1:8">
      <c r="A1945" s="12" t="s">
        <v>8844</v>
      </c>
      <c r="B1945" s="13">
        <v>977.13</v>
      </c>
      <c r="C1945" s="16" t="s">
        <v>5331</v>
      </c>
      <c r="D1945" s="12">
        <v>2645</v>
      </c>
      <c r="E1945" s="12" t="s">
        <v>5332</v>
      </c>
      <c r="F1945" s="12" t="s">
        <v>5328</v>
      </c>
      <c r="G1945" s="12" t="s">
        <v>8845</v>
      </c>
      <c r="H1945" s="12">
        <v>74546</v>
      </c>
    </row>
    <row r="1946" spans="1:8">
      <c r="A1946" s="12" t="s">
        <v>8846</v>
      </c>
      <c r="B1946" s="14">
        <v>1101.6099999999999</v>
      </c>
      <c r="C1946" s="16" t="s">
        <v>5331</v>
      </c>
      <c r="D1946" s="12">
        <v>4315.25</v>
      </c>
      <c r="E1946" s="12" t="s">
        <v>5332</v>
      </c>
      <c r="F1946" s="12" t="s">
        <v>5328</v>
      </c>
      <c r="G1946" s="12" t="s">
        <v>8847</v>
      </c>
      <c r="H1946" s="12">
        <v>74547</v>
      </c>
    </row>
    <row r="1947" spans="1:8">
      <c r="A1947" s="12" t="s">
        <v>8848</v>
      </c>
      <c r="B1947" s="13">
        <v>59.52</v>
      </c>
      <c r="C1947" s="16" t="s">
        <v>5331</v>
      </c>
      <c r="D1947" s="12">
        <v>453.44</v>
      </c>
      <c r="E1947" s="12" t="s">
        <v>5332</v>
      </c>
      <c r="F1947" s="12" t="s">
        <v>5328</v>
      </c>
      <c r="G1947" s="12" t="s">
        <v>8849</v>
      </c>
      <c r="H1947" s="12">
        <v>73218</v>
      </c>
    </row>
    <row r="1948" spans="1:8">
      <c r="A1948" s="12" t="s">
        <v>8850</v>
      </c>
      <c r="B1948" s="13">
        <v>10.01</v>
      </c>
      <c r="C1948" s="16" t="s">
        <v>5331</v>
      </c>
      <c r="D1948" s="12">
        <v>41.81</v>
      </c>
      <c r="E1948" s="12" t="s">
        <v>5332</v>
      </c>
      <c r="F1948" s="12" t="s">
        <v>5328</v>
      </c>
      <c r="G1948" s="12" t="s">
        <v>8851</v>
      </c>
      <c r="H1948" s="12">
        <v>73220</v>
      </c>
    </row>
    <row r="1949" spans="1:8">
      <c r="A1949" s="12" t="s">
        <v>8852</v>
      </c>
      <c r="B1949" s="13">
        <v>29.85</v>
      </c>
      <c r="C1949" s="16" t="s">
        <v>5331</v>
      </c>
      <c r="D1949" s="12">
        <v>96.989130000000003</v>
      </c>
      <c r="E1949" s="12" t="s">
        <v>5332</v>
      </c>
      <c r="F1949" s="12" t="s">
        <v>5328</v>
      </c>
      <c r="G1949" s="12" t="s">
        <v>8853</v>
      </c>
      <c r="H1949" s="12">
        <v>73221</v>
      </c>
    </row>
    <row r="1950" spans="1:8">
      <c r="A1950" s="12" t="s">
        <v>8854</v>
      </c>
      <c r="B1950" s="13">
        <v>112.47</v>
      </c>
      <c r="C1950" s="16" t="s">
        <v>5331</v>
      </c>
      <c r="D1950" s="12">
        <v>587.37</v>
      </c>
      <c r="E1950" s="12" t="s">
        <v>5332</v>
      </c>
      <c r="F1950" s="12" t="s">
        <v>5328</v>
      </c>
      <c r="G1950" s="12" t="s">
        <v>8855</v>
      </c>
      <c r="H1950" s="12">
        <v>73222</v>
      </c>
    </row>
    <row r="1951" spans="1:8">
      <c r="A1951" s="12" t="s">
        <v>8856</v>
      </c>
      <c r="B1951" s="13">
        <v>118.15</v>
      </c>
      <c r="C1951" s="16" t="s">
        <v>5331</v>
      </c>
      <c r="D1951" s="12">
        <v>1149.03</v>
      </c>
      <c r="E1951" s="12" t="s">
        <v>5332</v>
      </c>
      <c r="F1951" s="12" t="s">
        <v>5328</v>
      </c>
      <c r="G1951" s="12" t="s">
        <v>8857</v>
      </c>
      <c r="H1951" s="12">
        <v>73223</v>
      </c>
    </row>
    <row r="1952" spans="1:8">
      <c r="A1952" s="12" t="s">
        <v>8858</v>
      </c>
      <c r="B1952" s="13">
        <v>58.38</v>
      </c>
      <c r="C1952" s="16" t="s">
        <v>5331</v>
      </c>
      <c r="D1952" s="12">
        <v>393.48</v>
      </c>
      <c r="E1952" s="12" t="s">
        <v>5332</v>
      </c>
      <c r="F1952" s="12" t="s">
        <v>5328</v>
      </c>
      <c r="G1952" s="12" t="s">
        <v>8859</v>
      </c>
      <c r="H1952" s="12">
        <v>73224</v>
      </c>
    </row>
    <row r="1953" spans="1:8">
      <c r="A1953" s="12" t="s">
        <v>8860</v>
      </c>
      <c r="B1953" s="13">
        <v>157.93</v>
      </c>
      <c r="C1953" s="16" t="s">
        <v>5331</v>
      </c>
      <c r="D1953" s="12">
        <v>1715.25</v>
      </c>
      <c r="E1953" s="12" t="s">
        <v>5332</v>
      </c>
      <c r="F1953" s="12" t="s">
        <v>5328</v>
      </c>
      <c r="G1953" s="12" t="s">
        <v>8861</v>
      </c>
      <c r="H1953" s="12">
        <v>74346</v>
      </c>
    </row>
    <row r="1954" spans="1:8">
      <c r="A1954" s="12" t="s">
        <v>8862</v>
      </c>
      <c r="B1954" s="13">
        <v>125.44</v>
      </c>
      <c r="C1954" s="16" t="s">
        <v>5331</v>
      </c>
      <c r="D1954" s="12">
        <v>1221.6600000000001</v>
      </c>
      <c r="E1954" s="12" t="s">
        <v>5332</v>
      </c>
      <c r="F1954" s="12" t="s">
        <v>5328</v>
      </c>
      <c r="G1954" s="12" t="s">
        <v>8863</v>
      </c>
      <c r="H1954" s="12">
        <v>74347</v>
      </c>
    </row>
    <row r="1955" spans="1:8">
      <c r="A1955" s="12" t="s">
        <v>8864</v>
      </c>
      <c r="B1955" s="13">
        <v>69.72</v>
      </c>
      <c r="C1955" s="16" t="s">
        <v>5331</v>
      </c>
      <c r="D1955" s="12">
        <v>245.73</v>
      </c>
      <c r="E1955" s="12" t="s">
        <v>5332</v>
      </c>
      <c r="F1955" s="12" t="s">
        <v>5328</v>
      </c>
      <c r="G1955" s="12" t="s">
        <v>8865</v>
      </c>
      <c r="H1955" s="12">
        <v>74750</v>
      </c>
    </row>
    <row r="1956" spans="1:8">
      <c r="A1956" s="12" t="s">
        <v>8866</v>
      </c>
      <c r="B1956" s="13">
        <v>117.61</v>
      </c>
      <c r="C1956" s="16" t="s">
        <v>5331</v>
      </c>
      <c r="D1956" s="12">
        <v>628.5</v>
      </c>
      <c r="E1956" s="12" t="s">
        <v>5332</v>
      </c>
      <c r="F1956" s="12" t="s">
        <v>5328</v>
      </c>
      <c r="G1956" s="12" t="s">
        <v>8867</v>
      </c>
      <c r="H1956" s="12">
        <v>77486</v>
      </c>
    </row>
    <row r="1957" spans="1:8">
      <c r="A1957" s="12" t="s">
        <v>8866</v>
      </c>
      <c r="B1957" s="13">
        <v>0</v>
      </c>
      <c r="C1957" s="16" t="s">
        <v>5331</v>
      </c>
      <c r="D1957" s="12">
        <v>628.5</v>
      </c>
      <c r="E1957" s="12" t="s">
        <v>5332</v>
      </c>
      <c r="F1957" s="12" t="s">
        <v>5328</v>
      </c>
      <c r="G1957" s="12" t="s">
        <v>8868</v>
      </c>
      <c r="H1957" s="12">
        <v>285921</v>
      </c>
    </row>
    <row r="1958" spans="1:8">
      <c r="A1958" s="12" t="s">
        <v>8869</v>
      </c>
      <c r="B1958" s="14">
        <v>4817.6099999999997</v>
      </c>
      <c r="C1958" s="16" t="s">
        <v>5331</v>
      </c>
      <c r="D1958" s="12">
        <v>13104</v>
      </c>
      <c r="E1958" s="12" t="s">
        <v>5332</v>
      </c>
      <c r="F1958" s="12" t="s">
        <v>5328</v>
      </c>
      <c r="G1958" s="12" t="s">
        <v>8870</v>
      </c>
      <c r="H1958" s="12">
        <v>278230</v>
      </c>
    </row>
    <row r="1959" spans="1:8">
      <c r="A1959" s="12" t="s">
        <v>8869</v>
      </c>
      <c r="B1959" s="14">
        <v>4817.6099999999997</v>
      </c>
      <c r="C1959" s="16" t="s">
        <v>5331</v>
      </c>
      <c r="D1959" s="12">
        <v>14414</v>
      </c>
      <c r="E1959" s="12" t="s">
        <v>5332</v>
      </c>
      <c r="F1959" s="12" t="s">
        <v>5328</v>
      </c>
      <c r="G1959" s="12" t="s">
        <v>8871</v>
      </c>
      <c r="H1959" s="12">
        <v>77487</v>
      </c>
    </row>
    <row r="1960" spans="1:8">
      <c r="A1960" s="12" t="s">
        <v>8872</v>
      </c>
      <c r="B1960" s="14">
        <v>5311.68</v>
      </c>
      <c r="C1960" s="16" t="s">
        <v>5331</v>
      </c>
      <c r="D1960" s="12">
        <v>13104</v>
      </c>
      <c r="E1960" s="12" t="s">
        <v>5332</v>
      </c>
      <c r="F1960" s="12" t="s">
        <v>5328</v>
      </c>
      <c r="G1960" s="12" t="s">
        <v>8873</v>
      </c>
      <c r="H1960" s="12">
        <v>278231</v>
      </c>
    </row>
    <row r="1961" spans="1:8">
      <c r="A1961" s="12" t="s">
        <v>8872</v>
      </c>
      <c r="B1961" s="14">
        <v>5311.68</v>
      </c>
      <c r="C1961" s="16" t="s">
        <v>5331</v>
      </c>
      <c r="D1961" s="12">
        <v>14414</v>
      </c>
      <c r="E1961" s="12" t="s">
        <v>5332</v>
      </c>
      <c r="F1961" s="12" t="s">
        <v>5328</v>
      </c>
      <c r="G1961" s="12" t="s">
        <v>8874</v>
      </c>
      <c r="H1961" s="12">
        <v>77488</v>
      </c>
    </row>
    <row r="1962" spans="1:8">
      <c r="A1962" s="12" t="s">
        <v>8875</v>
      </c>
      <c r="B1962" s="13">
        <v>13.73</v>
      </c>
      <c r="C1962" s="16" t="s">
        <v>5331</v>
      </c>
      <c r="D1962" s="12">
        <v>64.5</v>
      </c>
      <c r="E1962" s="12" t="s">
        <v>5332</v>
      </c>
      <c r="F1962" s="12" t="s">
        <v>5328</v>
      </c>
      <c r="G1962" s="12" t="s">
        <v>8876</v>
      </c>
      <c r="H1962" s="12">
        <v>85517</v>
      </c>
    </row>
    <row r="1963" spans="1:8">
      <c r="A1963" s="12" t="s">
        <v>8877</v>
      </c>
      <c r="B1963" s="13">
        <v>13.73</v>
      </c>
      <c r="C1963" s="16" t="s">
        <v>5331</v>
      </c>
      <c r="D1963" s="12">
        <v>64.5</v>
      </c>
      <c r="E1963" s="12" t="s">
        <v>5332</v>
      </c>
      <c r="F1963" s="12" t="s">
        <v>5328</v>
      </c>
      <c r="G1963" s="12" t="s">
        <v>8878</v>
      </c>
      <c r="H1963" s="12">
        <v>85518</v>
      </c>
    </row>
    <row r="1964" spans="1:8">
      <c r="A1964" s="12" t="s">
        <v>8879</v>
      </c>
      <c r="B1964" s="13">
        <v>33.93</v>
      </c>
      <c r="C1964" s="16" t="s">
        <v>5331</v>
      </c>
      <c r="D1964" s="12">
        <v>215.78</v>
      </c>
      <c r="E1964" s="12" t="s">
        <v>5332</v>
      </c>
      <c r="F1964" s="12" t="s">
        <v>5328</v>
      </c>
      <c r="G1964" s="12" t="s">
        <v>8880</v>
      </c>
      <c r="H1964" s="12">
        <v>86234</v>
      </c>
    </row>
    <row r="1965" spans="1:8">
      <c r="A1965" s="12" t="s">
        <v>8881</v>
      </c>
      <c r="B1965" s="13">
        <v>39.340000000000003</v>
      </c>
      <c r="C1965" s="16" t="s">
        <v>5331</v>
      </c>
      <c r="D1965" s="12">
        <v>284.45</v>
      </c>
      <c r="E1965" s="12" t="s">
        <v>5332</v>
      </c>
      <c r="F1965" s="12" t="s">
        <v>5328</v>
      </c>
      <c r="G1965" s="12" t="s">
        <v>8882</v>
      </c>
      <c r="H1965" s="12">
        <v>102359</v>
      </c>
    </row>
    <row r="1966" spans="1:8">
      <c r="A1966" s="12" t="s">
        <v>8883</v>
      </c>
      <c r="B1966" s="13">
        <v>44.56</v>
      </c>
      <c r="C1966" s="16" t="s">
        <v>5331</v>
      </c>
      <c r="D1966" s="12">
        <v>1715.18</v>
      </c>
      <c r="E1966" s="12" t="s">
        <v>5332</v>
      </c>
      <c r="F1966" s="12" t="s">
        <v>5328</v>
      </c>
      <c r="G1966" s="12" t="s">
        <v>8884</v>
      </c>
      <c r="H1966" s="12">
        <v>114200</v>
      </c>
    </row>
    <row r="1967" spans="1:8">
      <c r="A1967" s="12" t="s">
        <v>8885</v>
      </c>
      <c r="B1967" s="13">
        <v>132.19999999999999</v>
      </c>
      <c r="C1967" s="16" t="s">
        <v>5331</v>
      </c>
      <c r="D1967" s="12">
        <v>430</v>
      </c>
      <c r="E1967" s="12" t="s">
        <v>5332</v>
      </c>
      <c r="F1967" s="12" t="s">
        <v>5328</v>
      </c>
      <c r="G1967" s="12" t="s">
        <v>8886</v>
      </c>
      <c r="H1967" s="12">
        <v>149169</v>
      </c>
    </row>
    <row r="1968" spans="1:8">
      <c r="A1968" s="12" t="s">
        <v>8887</v>
      </c>
      <c r="B1968" s="14">
        <v>1070.3499999999999</v>
      </c>
      <c r="C1968" s="16" t="s">
        <v>5331</v>
      </c>
      <c r="D1968" s="12">
        <v>4707.7700000000004</v>
      </c>
      <c r="E1968" s="12" t="s">
        <v>5332</v>
      </c>
      <c r="F1968" s="12" t="s">
        <v>5328</v>
      </c>
      <c r="G1968" s="12" t="s">
        <v>8888</v>
      </c>
      <c r="H1968" s="12">
        <v>192048</v>
      </c>
    </row>
    <row r="1969" spans="1:8">
      <c r="A1969" s="12" t="s">
        <v>8889</v>
      </c>
      <c r="B1969" s="13">
        <v>698.21</v>
      </c>
      <c r="C1969" s="16" t="s">
        <v>5331</v>
      </c>
      <c r="D1969" s="12">
        <v>7059.35</v>
      </c>
      <c r="E1969" s="12" t="s">
        <v>5332</v>
      </c>
      <c r="F1969" s="12" t="s">
        <v>5328</v>
      </c>
      <c r="G1969" s="12" t="s">
        <v>8890</v>
      </c>
      <c r="H1969" s="12">
        <v>37158</v>
      </c>
    </row>
    <row r="1970" spans="1:8">
      <c r="A1970" s="12" t="s">
        <v>8889</v>
      </c>
      <c r="B1970" s="13">
        <v>698.21</v>
      </c>
      <c r="C1970" s="16" t="s">
        <v>5331</v>
      </c>
      <c r="D1970" s="12">
        <v>4706.2299999999996</v>
      </c>
      <c r="E1970" s="12" t="s">
        <v>5332</v>
      </c>
      <c r="F1970" s="12" t="s">
        <v>5328</v>
      </c>
      <c r="G1970" s="12" t="s">
        <v>8890</v>
      </c>
      <c r="H1970" s="12">
        <v>37158</v>
      </c>
    </row>
    <row r="1971" spans="1:8">
      <c r="A1971" s="12" t="s">
        <v>8889</v>
      </c>
      <c r="B1971" s="13">
        <v>489.19</v>
      </c>
      <c r="C1971" s="16" t="s">
        <v>5331</v>
      </c>
      <c r="D1971" s="12">
        <v>783.99</v>
      </c>
      <c r="E1971" s="12" t="s">
        <v>5332</v>
      </c>
      <c r="F1971" s="12" t="s">
        <v>5328</v>
      </c>
      <c r="G1971" s="12" t="s">
        <v>8891</v>
      </c>
      <c r="H1971" s="12">
        <v>20910</v>
      </c>
    </row>
    <row r="1972" spans="1:8">
      <c r="A1972" s="12" t="s">
        <v>8892</v>
      </c>
      <c r="B1972" s="13">
        <v>40.31</v>
      </c>
      <c r="C1972" s="16" t="s">
        <v>5331</v>
      </c>
      <c r="D1972" s="12">
        <v>565.28</v>
      </c>
      <c r="E1972" s="12" t="s">
        <v>5332</v>
      </c>
      <c r="F1972" s="12" t="s">
        <v>5328</v>
      </c>
      <c r="G1972" s="12" t="s">
        <v>8893</v>
      </c>
      <c r="H1972" s="12">
        <v>20911</v>
      </c>
    </row>
    <row r="1973" spans="1:8">
      <c r="A1973" s="12" t="s">
        <v>8892</v>
      </c>
      <c r="B1973" s="13">
        <v>40.31</v>
      </c>
      <c r="C1973" s="16" t="s">
        <v>5331</v>
      </c>
      <c r="D1973" s="12">
        <v>376.85</v>
      </c>
      <c r="E1973" s="12" t="s">
        <v>5332</v>
      </c>
      <c r="F1973" s="12" t="s">
        <v>5328</v>
      </c>
      <c r="G1973" s="12" t="s">
        <v>8893</v>
      </c>
      <c r="H1973" s="12">
        <v>20911</v>
      </c>
    </row>
    <row r="1974" spans="1:8">
      <c r="A1974" s="12" t="s">
        <v>8894</v>
      </c>
      <c r="B1974" s="13">
        <v>81.36</v>
      </c>
      <c r="C1974" s="16" t="s">
        <v>5331</v>
      </c>
      <c r="D1974" s="12">
        <v>499.58</v>
      </c>
      <c r="E1974" s="12" t="s">
        <v>5332</v>
      </c>
      <c r="F1974" s="12" t="s">
        <v>5328</v>
      </c>
      <c r="G1974" s="12" t="s">
        <v>8895</v>
      </c>
      <c r="H1974" s="12">
        <v>20912</v>
      </c>
    </row>
    <row r="1975" spans="1:8">
      <c r="A1975" s="12" t="s">
        <v>8894</v>
      </c>
      <c r="B1975" s="13">
        <v>81.36</v>
      </c>
      <c r="C1975" s="16" t="s">
        <v>5331</v>
      </c>
      <c r="D1975" s="12">
        <v>333.05</v>
      </c>
      <c r="E1975" s="12" t="s">
        <v>5332</v>
      </c>
      <c r="F1975" s="12" t="s">
        <v>5328</v>
      </c>
      <c r="G1975" s="12" t="s">
        <v>8895</v>
      </c>
      <c r="H1975" s="12">
        <v>20912</v>
      </c>
    </row>
    <row r="1976" spans="1:8">
      <c r="A1976" s="12" t="s">
        <v>8896</v>
      </c>
      <c r="B1976" s="13">
        <v>96.13</v>
      </c>
      <c r="C1976" s="16" t="s">
        <v>5331</v>
      </c>
      <c r="D1976" s="12">
        <v>682.8</v>
      </c>
      <c r="E1976" s="12" t="s">
        <v>5332</v>
      </c>
      <c r="F1976" s="12" t="s">
        <v>5328</v>
      </c>
      <c r="G1976" s="12" t="s">
        <v>8897</v>
      </c>
      <c r="H1976" s="12">
        <v>20913</v>
      </c>
    </row>
    <row r="1977" spans="1:8">
      <c r="A1977" s="12" t="s">
        <v>8896</v>
      </c>
      <c r="B1977" s="13">
        <v>96.13</v>
      </c>
      <c r="C1977" s="16" t="s">
        <v>5331</v>
      </c>
      <c r="D1977" s="12">
        <v>455.2</v>
      </c>
      <c r="E1977" s="12" t="s">
        <v>5332</v>
      </c>
      <c r="F1977" s="12" t="s">
        <v>5328</v>
      </c>
      <c r="G1977" s="12" t="s">
        <v>8897</v>
      </c>
      <c r="H1977" s="12">
        <v>20913</v>
      </c>
    </row>
    <row r="1978" spans="1:8">
      <c r="A1978" s="12" t="s">
        <v>8898</v>
      </c>
      <c r="B1978" s="13">
        <v>186.28</v>
      </c>
      <c r="C1978" s="16" t="s">
        <v>5331</v>
      </c>
      <c r="D1978" s="12">
        <v>920.96</v>
      </c>
      <c r="E1978" s="12" t="s">
        <v>5332</v>
      </c>
      <c r="F1978" s="12" t="s">
        <v>5328</v>
      </c>
      <c r="G1978" s="12" t="s">
        <v>8899</v>
      </c>
      <c r="H1978" s="12">
        <v>20914</v>
      </c>
    </row>
    <row r="1979" spans="1:8">
      <c r="A1979" s="12" t="s">
        <v>8898</v>
      </c>
      <c r="B1979" s="13">
        <v>186.28</v>
      </c>
      <c r="C1979" s="16" t="s">
        <v>5331</v>
      </c>
      <c r="D1979" s="12">
        <v>613.97</v>
      </c>
      <c r="E1979" s="12" t="s">
        <v>5332</v>
      </c>
      <c r="F1979" s="12" t="s">
        <v>5328</v>
      </c>
      <c r="G1979" s="12" t="s">
        <v>8899</v>
      </c>
      <c r="H1979" s="12">
        <v>20914</v>
      </c>
    </row>
    <row r="1980" spans="1:8">
      <c r="A1980" s="12" t="s">
        <v>8900</v>
      </c>
      <c r="B1980" s="13">
        <v>186.28</v>
      </c>
      <c r="C1980" s="16" t="s">
        <v>5331</v>
      </c>
      <c r="D1980" s="12">
        <v>691.32</v>
      </c>
      <c r="E1980" s="12" t="s">
        <v>5332</v>
      </c>
      <c r="F1980" s="12" t="s">
        <v>5328</v>
      </c>
      <c r="G1980" s="12" t="s">
        <v>8901</v>
      </c>
      <c r="H1980" s="12">
        <v>47507</v>
      </c>
    </row>
    <row r="1981" spans="1:8">
      <c r="A1981" s="12" t="s">
        <v>8900</v>
      </c>
      <c r="B1981" s="13">
        <v>186.28</v>
      </c>
      <c r="C1981" s="16" t="s">
        <v>5331</v>
      </c>
      <c r="D1981" s="12">
        <v>460.88</v>
      </c>
      <c r="E1981" s="12" t="s">
        <v>5332</v>
      </c>
      <c r="F1981" s="12" t="s">
        <v>5328</v>
      </c>
      <c r="G1981" s="12" t="s">
        <v>8901</v>
      </c>
      <c r="H1981" s="12">
        <v>47507</v>
      </c>
    </row>
    <row r="1982" spans="1:8">
      <c r="A1982" s="12" t="s">
        <v>8900</v>
      </c>
      <c r="B1982" s="13">
        <v>194.91</v>
      </c>
      <c r="C1982" s="16" t="s">
        <v>5331</v>
      </c>
      <c r="D1982" s="12">
        <v>553.67999999999995</v>
      </c>
      <c r="E1982" s="12" t="s">
        <v>5332</v>
      </c>
      <c r="F1982" s="12" t="s">
        <v>5328</v>
      </c>
      <c r="G1982" s="12" t="s">
        <v>8902</v>
      </c>
      <c r="H1982" s="12">
        <v>20915</v>
      </c>
    </row>
    <row r="1983" spans="1:8">
      <c r="A1983" s="12" t="s">
        <v>8900</v>
      </c>
      <c r="B1983" s="13">
        <v>0</v>
      </c>
      <c r="C1983" s="16" t="s">
        <v>5331</v>
      </c>
      <c r="D1983" s="12">
        <v>438.93</v>
      </c>
      <c r="E1983" s="12" t="s">
        <v>5332</v>
      </c>
      <c r="F1983" s="12" t="s">
        <v>5328</v>
      </c>
      <c r="G1983" s="12" t="s">
        <v>8903</v>
      </c>
      <c r="H1983" s="12">
        <v>204717</v>
      </c>
    </row>
    <row r="1984" spans="1:8">
      <c r="A1984" s="12" t="s">
        <v>8900</v>
      </c>
      <c r="B1984" s="13">
        <v>0</v>
      </c>
      <c r="C1984" s="16" t="s">
        <v>5331</v>
      </c>
      <c r="D1984" s="12">
        <v>438.93</v>
      </c>
      <c r="E1984" s="12" t="s">
        <v>5332</v>
      </c>
      <c r="F1984" s="12" t="s">
        <v>5328</v>
      </c>
      <c r="G1984" s="12" t="s">
        <v>8904</v>
      </c>
      <c r="H1984" s="12">
        <v>208563</v>
      </c>
    </row>
    <row r="1985" spans="1:8">
      <c r="A1985" s="12" t="s">
        <v>8900</v>
      </c>
      <c r="B1985" s="13">
        <v>0</v>
      </c>
      <c r="C1985" s="16" t="s">
        <v>5331</v>
      </c>
      <c r="D1985" s="12">
        <v>438.93</v>
      </c>
      <c r="E1985" s="12" t="s">
        <v>5332</v>
      </c>
      <c r="F1985" s="12" t="s">
        <v>5328</v>
      </c>
      <c r="G1985" s="12" t="s">
        <v>8905</v>
      </c>
      <c r="H1985" s="12">
        <v>204741</v>
      </c>
    </row>
    <row r="1986" spans="1:8">
      <c r="A1986" s="12" t="s">
        <v>8906</v>
      </c>
      <c r="B1986" s="13">
        <v>182.87</v>
      </c>
      <c r="C1986" s="16" t="s">
        <v>5331</v>
      </c>
      <c r="D1986" s="12">
        <v>936.63</v>
      </c>
      <c r="E1986" s="12" t="s">
        <v>5332</v>
      </c>
      <c r="F1986" s="12" t="s">
        <v>5328</v>
      </c>
      <c r="G1986" s="12" t="s">
        <v>8907</v>
      </c>
      <c r="H1986" s="12">
        <v>47508</v>
      </c>
    </row>
    <row r="1987" spans="1:8">
      <c r="A1987" s="12" t="s">
        <v>8906</v>
      </c>
      <c r="B1987" s="13">
        <v>182.87</v>
      </c>
      <c r="C1987" s="16" t="s">
        <v>5331</v>
      </c>
      <c r="D1987" s="12">
        <v>624.41999999999996</v>
      </c>
      <c r="E1987" s="12" t="s">
        <v>5332</v>
      </c>
      <c r="F1987" s="12" t="s">
        <v>5328</v>
      </c>
      <c r="G1987" s="12" t="s">
        <v>8907</v>
      </c>
      <c r="H1987" s="12">
        <v>47508</v>
      </c>
    </row>
    <row r="1988" spans="1:8">
      <c r="A1988" s="12" t="s">
        <v>8906</v>
      </c>
      <c r="B1988" s="13">
        <v>198.23</v>
      </c>
      <c r="C1988" s="16" t="s">
        <v>5331</v>
      </c>
      <c r="D1988" s="12">
        <v>516.4</v>
      </c>
      <c r="E1988" s="12" t="s">
        <v>5332</v>
      </c>
      <c r="F1988" s="12" t="s">
        <v>5328</v>
      </c>
      <c r="G1988" s="12" t="s">
        <v>8908</v>
      </c>
      <c r="H1988" s="12">
        <v>20916</v>
      </c>
    </row>
    <row r="1989" spans="1:8">
      <c r="A1989" s="12" t="s">
        <v>8906</v>
      </c>
      <c r="B1989" s="13">
        <v>0</v>
      </c>
      <c r="C1989" s="16" t="s">
        <v>5331</v>
      </c>
      <c r="D1989" s="12">
        <v>594.69000000000005</v>
      </c>
      <c r="E1989" s="12" t="s">
        <v>5332</v>
      </c>
      <c r="F1989" s="12" t="s">
        <v>5328</v>
      </c>
      <c r="G1989" s="12" t="s">
        <v>8909</v>
      </c>
      <c r="H1989" s="12">
        <v>204718</v>
      </c>
    </row>
    <row r="1990" spans="1:8">
      <c r="A1990" s="12" t="s">
        <v>8906</v>
      </c>
      <c r="B1990" s="13">
        <v>0</v>
      </c>
      <c r="C1990" s="16" t="s">
        <v>5331</v>
      </c>
      <c r="D1990" s="12">
        <v>594.69000000000005</v>
      </c>
      <c r="E1990" s="12" t="s">
        <v>5332</v>
      </c>
      <c r="F1990" s="12" t="s">
        <v>5328</v>
      </c>
      <c r="G1990" s="12" t="s">
        <v>8910</v>
      </c>
      <c r="H1990" s="12">
        <v>208564</v>
      </c>
    </row>
    <row r="1991" spans="1:8">
      <c r="A1991" s="12" t="s">
        <v>8906</v>
      </c>
      <c r="B1991" s="13">
        <v>0</v>
      </c>
      <c r="C1991" s="16" t="s">
        <v>5331</v>
      </c>
      <c r="D1991" s="12">
        <v>594.69000000000005</v>
      </c>
      <c r="E1991" s="12" t="s">
        <v>5332</v>
      </c>
      <c r="F1991" s="12" t="s">
        <v>5328</v>
      </c>
      <c r="G1991" s="12" t="s">
        <v>8911</v>
      </c>
      <c r="H1991" s="12">
        <v>204742</v>
      </c>
    </row>
    <row r="1992" spans="1:8">
      <c r="A1992" s="12" t="s">
        <v>8912</v>
      </c>
      <c r="B1992" s="13">
        <v>35.86</v>
      </c>
      <c r="C1992" s="16" t="s">
        <v>5331</v>
      </c>
      <c r="D1992" s="12">
        <v>225.29</v>
      </c>
      <c r="E1992" s="12" t="s">
        <v>5332</v>
      </c>
      <c r="F1992" s="12" t="s">
        <v>5328</v>
      </c>
      <c r="G1992" s="12" t="s">
        <v>8913</v>
      </c>
      <c r="H1992" s="12">
        <v>30824</v>
      </c>
    </row>
    <row r="1993" spans="1:8">
      <c r="A1993" s="12" t="s">
        <v>8912</v>
      </c>
      <c r="B1993" s="13">
        <v>35.86</v>
      </c>
      <c r="C1993" s="16" t="s">
        <v>5331</v>
      </c>
      <c r="D1993" s="12">
        <v>150.19</v>
      </c>
      <c r="E1993" s="12" t="s">
        <v>5332</v>
      </c>
      <c r="F1993" s="12" t="s">
        <v>5328</v>
      </c>
      <c r="G1993" s="12" t="s">
        <v>8913</v>
      </c>
      <c r="H1993" s="12">
        <v>30824</v>
      </c>
    </row>
    <row r="1994" spans="1:8">
      <c r="A1994" s="12" t="s">
        <v>8912</v>
      </c>
      <c r="B1994" s="13">
        <v>46.13</v>
      </c>
      <c r="C1994" s="16" t="s">
        <v>5331</v>
      </c>
      <c r="D1994" s="12">
        <v>152.80500000000001</v>
      </c>
      <c r="E1994" s="12" t="s">
        <v>5332</v>
      </c>
      <c r="F1994" s="12" t="s">
        <v>5328</v>
      </c>
      <c r="G1994" s="12" t="s">
        <v>8914</v>
      </c>
      <c r="H1994" s="12">
        <v>18742</v>
      </c>
    </row>
    <row r="1995" spans="1:8">
      <c r="A1995" s="12" t="s">
        <v>8915</v>
      </c>
      <c r="B1995" s="13">
        <v>35.770000000000003</v>
      </c>
      <c r="C1995" s="16" t="s">
        <v>5331</v>
      </c>
      <c r="D1995" s="12">
        <v>225.29</v>
      </c>
      <c r="E1995" s="12" t="s">
        <v>5332</v>
      </c>
      <c r="F1995" s="12" t="s">
        <v>5328</v>
      </c>
      <c r="G1995" s="12" t="s">
        <v>8916</v>
      </c>
      <c r="H1995" s="12">
        <v>18743</v>
      </c>
    </row>
    <row r="1996" spans="1:8">
      <c r="A1996" s="12" t="s">
        <v>8915</v>
      </c>
      <c r="B1996" s="13">
        <v>35.770000000000003</v>
      </c>
      <c r="C1996" s="16" t="s">
        <v>5331</v>
      </c>
      <c r="D1996" s="12">
        <v>150.19</v>
      </c>
      <c r="E1996" s="12" t="s">
        <v>5332</v>
      </c>
      <c r="F1996" s="12" t="s">
        <v>5328</v>
      </c>
      <c r="G1996" s="12" t="s">
        <v>8916</v>
      </c>
      <c r="H1996" s="12">
        <v>18743</v>
      </c>
    </row>
    <row r="1997" spans="1:8">
      <c r="A1997" s="12" t="s">
        <v>8915</v>
      </c>
      <c r="B1997" s="13">
        <v>47.68</v>
      </c>
      <c r="C1997" s="16" t="s">
        <v>5331</v>
      </c>
      <c r="D1997" s="12">
        <v>152.80500000000001</v>
      </c>
      <c r="E1997" s="12" t="s">
        <v>5332</v>
      </c>
      <c r="F1997" s="12" t="s">
        <v>5328</v>
      </c>
      <c r="G1997" s="12" t="s">
        <v>8917</v>
      </c>
      <c r="H1997" s="12">
        <v>30825</v>
      </c>
    </row>
    <row r="1998" spans="1:8">
      <c r="A1998" s="12" t="s">
        <v>8918</v>
      </c>
      <c r="B1998" s="13">
        <v>33.74</v>
      </c>
      <c r="C1998" s="16" t="s">
        <v>5331</v>
      </c>
      <c r="D1998" s="12">
        <v>225.29</v>
      </c>
      <c r="E1998" s="12" t="s">
        <v>5332</v>
      </c>
      <c r="F1998" s="12" t="s">
        <v>5328</v>
      </c>
      <c r="G1998" s="12" t="s">
        <v>8919</v>
      </c>
      <c r="H1998" s="12">
        <v>18744</v>
      </c>
    </row>
    <row r="1999" spans="1:8">
      <c r="A1999" s="12" t="s">
        <v>8918</v>
      </c>
      <c r="B1999" s="13">
        <v>33.74</v>
      </c>
      <c r="C1999" s="16" t="s">
        <v>5331</v>
      </c>
      <c r="D1999" s="12">
        <v>150.19</v>
      </c>
      <c r="E1999" s="12" t="s">
        <v>5332</v>
      </c>
      <c r="F1999" s="12" t="s">
        <v>5328</v>
      </c>
      <c r="G1999" s="12" t="s">
        <v>8919</v>
      </c>
      <c r="H1999" s="12">
        <v>18744</v>
      </c>
    </row>
    <row r="2000" spans="1:8">
      <c r="A2000" s="12" t="s">
        <v>8918</v>
      </c>
      <c r="B2000" s="13">
        <v>47.68</v>
      </c>
      <c r="C2000" s="16" t="s">
        <v>5331</v>
      </c>
      <c r="D2000" s="12">
        <v>152.80500000000001</v>
      </c>
      <c r="E2000" s="12" t="s">
        <v>5332</v>
      </c>
      <c r="F2000" s="12" t="s">
        <v>5328</v>
      </c>
      <c r="G2000" s="12" t="s">
        <v>8920</v>
      </c>
      <c r="H2000" s="12">
        <v>30826</v>
      </c>
    </row>
    <row r="2001" spans="1:8">
      <c r="A2001" s="12" t="s">
        <v>8921</v>
      </c>
      <c r="B2001" s="13">
        <v>459.98</v>
      </c>
      <c r="C2001" s="16" t="s">
        <v>5331</v>
      </c>
      <c r="D2001" s="12">
        <v>2911.08</v>
      </c>
      <c r="E2001" s="12" t="s">
        <v>5332</v>
      </c>
      <c r="F2001" s="12" t="s">
        <v>5328</v>
      </c>
      <c r="G2001" s="12" t="s">
        <v>8922</v>
      </c>
      <c r="H2001" s="12">
        <v>18745</v>
      </c>
    </row>
    <row r="2002" spans="1:8">
      <c r="A2002" s="12" t="s">
        <v>8921</v>
      </c>
      <c r="B2002" s="13">
        <v>459.98</v>
      </c>
      <c r="C2002" s="16" t="s">
        <v>5331</v>
      </c>
      <c r="D2002" s="12">
        <v>1940.72</v>
      </c>
      <c r="E2002" s="12" t="s">
        <v>5332</v>
      </c>
      <c r="F2002" s="12" t="s">
        <v>5328</v>
      </c>
      <c r="G2002" s="12" t="s">
        <v>8922</v>
      </c>
      <c r="H2002" s="12">
        <v>18745</v>
      </c>
    </row>
    <row r="2003" spans="1:8">
      <c r="A2003" s="12" t="s">
        <v>8923</v>
      </c>
      <c r="B2003" s="13">
        <v>42.56</v>
      </c>
      <c r="C2003" s="16" t="s">
        <v>5331</v>
      </c>
      <c r="D2003" s="12">
        <v>174.47499999999999</v>
      </c>
      <c r="E2003" s="12" t="s">
        <v>5332</v>
      </c>
      <c r="F2003" s="12" t="s">
        <v>5328</v>
      </c>
      <c r="G2003" s="12" t="s">
        <v>8924</v>
      </c>
      <c r="H2003" s="12">
        <v>18746</v>
      </c>
    </row>
    <row r="2004" spans="1:8">
      <c r="A2004" s="12" t="s">
        <v>8925</v>
      </c>
      <c r="B2004" s="13">
        <v>34.82</v>
      </c>
      <c r="C2004" s="16" t="s">
        <v>5331</v>
      </c>
      <c r="D2004" s="12">
        <v>83.49</v>
      </c>
      <c r="E2004" s="12" t="s">
        <v>5332</v>
      </c>
      <c r="F2004" s="12" t="s">
        <v>5328</v>
      </c>
      <c r="G2004" s="12" t="s">
        <v>8926</v>
      </c>
      <c r="H2004" s="12">
        <v>18747</v>
      </c>
    </row>
    <row r="2005" spans="1:8">
      <c r="A2005" s="12" t="s">
        <v>8925</v>
      </c>
      <c r="B2005" s="13">
        <v>34.82</v>
      </c>
      <c r="C2005" s="16" t="s">
        <v>5331</v>
      </c>
      <c r="D2005" s="12">
        <v>55.66</v>
      </c>
      <c r="E2005" s="12" t="s">
        <v>5332</v>
      </c>
      <c r="F2005" s="12" t="s">
        <v>5328</v>
      </c>
      <c r="G2005" s="12" t="s">
        <v>8926</v>
      </c>
      <c r="H2005" s="12">
        <v>18747</v>
      </c>
    </row>
    <row r="2006" spans="1:8">
      <c r="A2006" s="12" t="s">
        <v>8927</v>
      </c>
      <c r="B2006" s="13">
        <v>88.25</v>
      </c>
      <c r="C2006" s="16" t="s">
        <v>5331</v>
      </c>
      <c r="D2006" s="12">
        <v>442.17</v>
      </c>
      <c r="E2006" s="12" t="s">
        <v>5332</v>
      </c>
      <c r="F2006" s="12" t="s">
        <v>5328</v>
      </c>
      <c r="G2006" s="12" t="s">
        <v>8928</v>
      </c>
      <c r="H2006" s="12">
        <v>20917</v>
      </c>
    </row>
    <row r="2007" spans="1:8">
      <c r="A2007" s="12" t="s">
        <v>8927</v>
      </c>
      <c r="B2007" s="13">
        <v>88.25</v>
      </c>
      <c r="C2007" s="16" t="s">
        <v>5331</v>
      </c>
      <c r="D2007" s="12">
        <v>294.77999999999997</v>
      </c>
      <c r="E2007" s="12" t="s">
        <v>5332</v>
      </c>
      <c r="F2007" s="12" t="s">
        <v>5328</v>
      </c>
      <c r="G2007" s="12" t="s">
        <v>8928</v>
      </c>
      <c r="H2007" s="12">
        <v>20917</v>
      </c>
    </row>
    <row r="2008" spans="1:8">
      <c r="A2008" s="12" t="s">
        <v>8929</v>
      </c>
      <c r="B2008" s="13">
        <v>40.369999999999997</v>
      </c>
      <c r="C2008" s="16" t="s">
        <v>5331</v>
      </c>
      <c r="D2008" s="12">
        <v>118.724</v>
      </c>
      <c r="E2008" s="12" t="s">
        <v>5332</v>
      </c>
      <c r="F2008" s="12" t="s">
        <v>5328</v>
      </c>
      <c r="G2008" s="12" t="s">
        <v>8930</v>
      </c>
      <c r="H2008" s="12">
        <v>18748</v>
      </c>
    </row>
    <row r="2009" spans="1:8">
      <c r="A2009" s="12" t="s">
        <v>8931</v>
      </c>
      <c r="B2009" s="13">
        <v>134.13</v>
      </c>
      <c r="C2009" s="16" t="s">
        <v>5331</v>
      </c>
      <c r="D2009" s="12">
        <v>320.60000000000002</v>
      </c>
      <c r="E2009" s="12" t="s">
        <v>5332</v>
      </c>
      <c r="F2009" s="12" t="s">
        <v>5328</v>
      </c>
      <c r="G2009" s="12" t="s">
        <v>8932</v>
      </c>
      <c r="H2009" s="12">
        <v>18749</v>
      </c>
    </row>
    <row r="2010" spans="1:8">
      <c r="A2010" s="12" t="s">
        <v>8931</v>
      </c>
      <c r="B2010" s="13">
        <v>0</v>
      </c>
      <c r="C2010" s="16" t="s">
        <v>5331</v>
      </c>
      <c r="D2010" s="12">
        <v>412.82040000000001</v>
      </c>
      <c r="E2010" s="12" t="s">
        <v>5332</v>
      </c>
      <c r="F2010" s="12" t="s">
        <v>5328</v>
      </c>
      <c r="G2010" s="12" t="s">
        <v>8933</v>
      </c>
      <c r="H2010" s="12">
        <v>37956</v>
      </c>
    </row>
    <row r="2011" spans="1:8">
      <c r="A2011" s="12" t="s">
        <v>8934</v>
      </c>
      <c r="B2011" s="13">
        <v>32.61</v>
      </c>
      <c r="C2011" s="16" t="s">
        <v>5331</v>
      </c>
      <c r="D2011" s="12">
        <v>271.58999999999997</v>
      </c>
      <c r="E2011" s="12" t="s">
        <v>5332</v>
      </c>
      <c r="F2011" s="12" t="s">
        <v>5328</v>
      </c>
      <c r="G2011" s="12" t="s">
        <v>8935</v>
      </c>
      <c r="H2011" s="12">
        <v>18750</v>
      </c>
    </row>
    <row r="2012" spans="1:8">
      <c r="A2012" s="12" t="s">
        <v>8934</v>
      </c>
      <c r="B2012" s="13">
        <v>32.61</v>
      </c>
      <c r="C2012" s="16" t="s">
        <v>5331</v>
      </c>
      <c r="D2012" s="12">
        <v>181.06</v>
      </c>
      <c r="E2012" s="12" t="s">
        <v>5332</v>
      </c>
      <c r="F2012" s="12" t="s">
        <v>5328</v>
      </c>
      <c r="G2012" s="12" t="s">
        <v>8935</v>
      </c>
      <c r="H2012" s="12">
        <v>18750</v>
      </c>
    </row>
    <row r="2013" spans="1:8">
      <c r="A2013" s="12" t="s">
        <v>8936</v>
      </c>
      <c r="B2013" s="13">
        <v>315.14999999999998</v>
      </c>
      <c r="C2013" s="16" t="s">
        <v>5331</v>
      </c>
      <c r="D2013" s="12">
        <v>1708.25</v>
      </c>
      <c r="E2013" s="12" t="s">
        <v>5332</v>
      </c>
      <c r="F2013" s="12" t="s">
        <v>5328</v>
      </c>
      <c r="G2013" s="12" t="s">
        <v>8937</v>
      </c>
      <c r="H2013" s="12">
        <v>18751</v>
      </c>
    </row>
    <row r="2014" spans="1:8">
      <c r="A2014" s="12" t="s">
        <v>8936</v>
      </c>
      <c r="B2014" s="13">
        <v>315.14999999999998</v>
      </c>
      <c r="C2014" s="16" t="s">
        <v>5331</v>
      </c>
      <c r="D2014" s="12">
        <v>1138.83</v>
      </c>
      <c r="E2014" s="12" t="s">
        <v>5332</v>
      </c>
      <c r="F2014" s="12" t="s">
        <v>5328</v>
      </c>
      <c r="G2014" s="12" t="s">
        <v>8937</v>
      </c>
      <c r="H2014" s="12">
        <v>18751</v>
      </c>
    </row>
    <row r="2015" spans="1:8">
      <c r="A2015" s="12" t="s">
        <v>8938</v>
      </c>
      <c r="B2015" s="13">
        <v>214.37</v>
      </c>
      <c r="C2015" s="16" t="s">
        <v>5331</v>
      </c>
      <c r="D2015" s="12">
        <v>692.69</v>
      </c>
      <c r="E2015" s="12" t="s">
        <v>5332</v>
      </c>
      <c r="F2015" s="12" t="s">
        <v>5328</v>
      </c>
      <c r="G2015" s="12" t="s">
        <v>8939</v>
      </c>
      <c r="H2015" s="12">
        <v>37166</v>
      </c>
    </row>
    <row r="2016" spans="1:8">
      <c r="A2016" s="12" t="s">
        <v>8938</v>
      </c>
      <c r="B2016" s="13">
        <v>214.37</v>
      </c>
      <c r="C2016" s="16" t="s">
        <v>5331</v>
      </c>
      <c r="D2016" s="12">
        <v>461.79</v>
      </c>
      <c r="E2016" s="12" t="s">
        <v>5332</v>
      </c>
      <c r="F2016" s="12" t="s">
        <v>5328</v>
      </c>
      <c r="G2016" s="12" t="s">
        <v>8939</v>
      </c>
      <c r="H2016" s="12">
        <v>37166</v>
      </c>
    </row>
    <row r="2017" spans="1:8">
      <c r="A2017" s="12" t="s">
        <v>8940</v>
      </c>
      <c r="B2017" s="13">
        <v>0</v>
      </c>
      <c r="C2017" s="16" t="s">
        <v>5331</v>
      </c>
      <c r="D2017" s="12">
        <v>0</v>
      </c>
      <c r="E2017" s="12" t="s">
        <v>5332</v>
      </c>
      <c r="F2017" s="12" t="s">
        <v>5328</v>
      </c>
      <c r="G2017" s="12" t="s">
        <v>8941</v>
      </c>
      <c r="H2017" s="12">
        <v>18752</v>
      </c>
    </row>
    <row r="2018" spans="1:8">
      <c r="A2018" s="12" t="s">
        <v>8942</v>
      </c>
      <c r="B2018" s="13">
        <v>223.25</v>
      </c>
      <c r="C2018" s="16" t="s">
        <v>5331</v>
      </c>
      <c r="D2018" s="12">
        <v>692.69</v>
      </c>
      <c r="E2018" s="12" t="s">
        <v>5332</v>
      </c>
      <c r="F2018" s="12" t="s">
        <v>5328</v>
      </c>
      <c r="G2018" s="12" t="s">
        <v>8943</v>
      </c>
      <c r="H2018" s="12">
        <v>37167</v>
      </c>
    </row>
    <row r="2019" spans="1:8">
      <c r="A2019" s="12" t="s">
        <v>8942</v>
      </c>
      <c r="B2019" s="13">
        <v>223.25</v>
      </c>
      <c r="C2019" s="16" t="s">
        <v>5331</v>
      </c>
      <c r="D2019" s="12">
        <v>461.79</v>
      </c>
      <c r="E2019" s="12" t="s">
        <v>5332</v>
      </c>
      <c r="F2019" s="12" t="s">
        <v>5328</v>
      </c>
      <c r="G2019" s="12" t="s">
        <v>8943</v>
      </c>
      <c r="H2019" s="12">
        <v>37167</v>
      </c>
    </row>
    <row r="2020" spans="1:8">
      <c r="A2020" s="12" t="s">
        <v>8944</v>
      </c>
      <c r="B2020" s="13">
        <v>0</v>
      </c>
      <c r="C2020" s="16" t="s">
        <v>5331</v>
      </c>
      <c r="D2020" s="12">
        <v>5.5575000000000001</v>
      </c>
      <c r="E2020" s="12" t="s">
        <v>5332</v>
      </c>
      <c r="F2020" s="12" t="s">
        <v>5328</v>
      </c>
      <c r="G2020" s="12" t="s">
        <v>8945</v>
      </c>
      <c r="H2020" s="12">
        <v>18753</v>
      </c>
    </row>
    <row r="2021" spans="1:8">
      <c r="A2021" s="12" t="s">
        <v>8946</v>
      </c>
      <c r="B2021" s="13">
        <v>213.12</v>
      </c>
      <c r="C2021" s="16" t="s">
        <v>5331</v>
      </c>
      <c r="D2021" s="12">
        <v>692.69</v>
      </c>
      <c r="E2021" s="12" t="s">
        <v>5332</v>
      </c>
      <c r="F2021" s="12" t="s">
        <v>5328</v>
      </c>
      <c r="G2021" s="12" t="s">
        <v>8947</v>
      </c>
      <c r="H2021" s="12">
        <v>37168</v>
      </c>
    </row>
    <row r="2022" spans="1:8">
      <c r="A2022" s="12" t="s">
        <v>8946</v>
      </c>
      <c r="B2022" s="13">
        <v>213.12</v>
      </c>
      <c r="C2022" s="16" t="s">
        <v>5331</v>
      </c>
      <c r="D2022" s="12">
        <v>461.79</v>
      </c>
      <c r="E2022" s="12" t="s">
        <v>5332</v>
      </c>
      <c r="F2022" s="12" t="s">
        <v>5328</v>
      </c>
      <c r="G2022" s="12" t="s">
        <v>8947</v>
      </c>
      <c r="H2022" s="12">
        <v>37168</v>
      </c>
    </row>
    <row r="2023" spans="1:8">
      <c r="A2023" s="12" t="s">
        <v>8948</v>
      </c>
      <c r="B2023" s="13">
        <v>0</v>
      </c>
      <c r="C2023" s="16" t="s">
        <v>5331</v>
      </c>
      <c r="D2023" s="12">
        <v>0</v>
      </c>
      <c r="E2023" s="12" t="s">
        <v>5332</v>
      </c>
      <c r="F2023" s="12" t="s">
        <v>5328</v>
      </c>
      <c r="G2023" s="12" t="s">
        <v>8949</v>
      </c>
      <c r="H2023" s="12">
        <v>18754</v>
      </c>
    </row>
    <row r="2024" spans="1:8">
      <c r="A2024" s="12" t="s">
        <v>8950</v>
      </c>
      <c r="B2024" s="13">
        <v>224.61</v>
      </c>
      <c r="C2024" s="16" t="s">
        <v>5331</v>
      </c>
      <c r="D2024" s="12">
        <v>692.69</v>
      </c>
      <c r="E2024" s="12" t="s">
        <v>5332</v>
      </c>
      <c r="F2024" s="12" t="s">
        <v>5328</v>
      </c>
      <c r="G2024" s="12" t="s">
        <v>8951</v>
      </c>
      <c r="H2024" s="12">
        <v>37169</v>
      </c>
    </row>
    <row r="2025" spans="1:8">
      <c r="A2025" s="12" t="s">
        <v>8950</v>
      </c>
      <c r="B2025" s="13">
        <v>224.61</v>
      </c>
      <c r="C2025" s="16" t="s">
        <v>5331</v>
      </c>
      <c r="D2025" s="12">
        <v>461.79</v>
      </c>
      <c r="E2025" s="12" t="s">
        <v>5332</v>
      </c>
      <c r="F2025" s="12" t="s">
        <v>5328</v>
      </c>
      <c r="G2025" s="12" t="s">
        <v>8951</v>
      </c>
      <c r="H2025" s="12">
        <v>37169</v>
      </c>
    </row>
    <row r="2026" spans="1:8">
      <c r="A2026" s="12" t="s">
        <v>8952</v>
      </c>
      <c r="B2026" s="13">
        <v>203.31</v>
      </c>
      <c r="C2026" s="16" t="s">
        <v>5331</v>
      </c>
      <c r="D2026" s="12">
        <v>0</v>
      </c>
      <c r="E2026" s="12" t="s">
        <v>5332</v>
      </c>
      <c r="F2026" s="12" t="s">
        <v>5328</v>
      </c>
      <c r="G2026" s="12" t="s">
        <v>8953</v>
      </c>
      <c r="H2026" s="12">
        <v>18755</v>
      </c>
    </row>
    <row r="2027" spans="1:8">
      <c r="A2027" s="12" t="s">
        <v>8954</v>
      </c>
      <c r="B2027" s="13">
        <v>79.89</v>
      </c>
      <c r="C2027" s="16" t="s">
        <v>5331</v>
      </c>
      <c r="D2027" s="12">
        <v>433.0548</v>
      </c>
      <c r="E2027" s="12" t="s">
        <v>5332</v>
      </c>
      <c r="F2027" s="12" t="s">
        <v>5328</v>
      </c>
      <c r="G2027" s="12" t="s">
        <v>8955</v>
      </c>
      <c r="H2027" s="12">
        <v>37170</v>
      </c>
    </row>
    <row r="2028" spans="1:8">
      <c r="A2028" s="12" t="s">
        <v>8956</v>
      </c>
      <c r="B2028" s="13">
        <v>139.38999999999999</v>
      </c>
      <c r="C2028" s="16" t="s">
        <v>5331</v>
      </c>
      <c r="D2028" s="12">
        <v>252.18899999999999</v>
      </c>
      <c r="E2028" s="12" t="s">
        <v>5332</v>
      </c>
      <c r="F2028" s="12" t="s">
        <v>5328</v>
      </c>
      <c r="G2028" s="12" t="s">
        <v>8957</v>
      </c>
      <c r="H2028" s="12">
        <v>18756</v>
      </c>
    </row>
    <row r="2029" spans="1:8">
      <c r="A2029" s="12" t="s">
        <v>8958</v>
      </c>
      <c r="B2029" s="13">
        <v>55.11</v>
      </c>
      <c r="C2029" s="16" t="s">
        <v>5331</v>
      </c>
      <c r="D2029" s="12">
        <v>329.24</v>
      </c>
      <c r="E2029" s="12" t="s">
        <v>5332</v>
      </c>
      <c r="F2029" s="12" t="s">
        <v>5328</v>
      </c>
      <c r="G2029" s="12" t="s">
        <v>8959</v>
      </c>
      <c r="H2029" s="12">
        <v>18757</v>
      </c>
    </row>
    <row r="2030" spans="1:8">
      <c r="A2030" s="12" t="s">
        <v>8958</v>
      </c>
      <c r="B2030" s="13">
        <v>55.11</v>
      </c>
      <c r="C2030" s="16" t="s">
        <v>5331</v>
      </c>
      <c r="D2030" s="12">
        <v>219.49</v>
      </c>
      <c r="E2030" s="12" t="s">
        <v>5332</v>
      </c>
      <c r="F2030" s="12" t="s">
        <v>5328</v>
      </c>
      <c r="G2030" s="12" t="s">
        <v>8959</v>
      </c>
      <c r="H2030" s="12">
        <v>18757</v>
      </c>
    </row>
    <row r="2031" spans="1:8">
      <c r="A2031" s="12" t="s">
        <v>8958</v>
      </c>
      <c r="B2031" s="13">
        <v>0</v>
      </c>
      <c r="C2031" s="16" t="s">
        <v>5331</v>
      </c>
      <c r="D2031" s="12">
        <v>19.66</v>
      </c>
      <c r="E2031" s="12" t="s">
        <v>5332</v>
      </c>
      <c r="F2031" s="12" t="s">
        <v>5328</v>
      </c>
      <c r="G2031" s="12" t="s">
        <v>8960</v>
      </c>
      <c r="H2031" s="12">
        <v>30827</v>
      </c>
    </row>
    <row r="2032" spans="1:8">
      <c r="A2032" s="12" t="s">
        <v>8961</v>
      </c>
      <c r="B2032" s="13">
        <v>631.03</v>
      </c>
      <c r="C2032" s="16" t="s">
        <v>5331</v>
      </c>
      <c r="D2032" s="12">
        <v>3823.23</v>
      </c>
      <c r="E2032" s="12" t="s">
        <v>5332</v>
      </c>
      <c r="F2032" s="12" t="s">
        <v>5328</v>
      </c>
      <c r="G2032" s="12" t="s">
        <v>8962</v>
      </c>
      <c r="H2032" s="12">
        <v>18758</v>
      </c>
    </row>
    <row r="2033" spans="1:8">
      <c r="A2033" s="12" t="s">
        <v>8961</v>
      </c>
      <c r="B2033" s="13">
        <v>631.03</v>
      </c>
      <c r="C2033" s="16" t="s">
        <v>5331</v>
      </c>
      <c r="D2033" s="12">
        <v>2548.8200000000002</v>
      </c>
      <c r="E2033" s="12" t="s">
        <v>5332</v>
      </c>
      <c r="F2033" s="12" t="s">
        <v>5328</v>
      </c>
      <c r="G2033" s="12" t="s">
        <v>8962</v>
      </c>
      <c r="H2033" s="12">
        <v>18758</v>
      </c>
    </row>
    <row r="2034" spans="1:8">
      <c r="A2034" s="12" t="s">
        <v>8961</v>
      </c>
      <c r="B2034" s="13">
        <v>0</v>
      </c>
      <c r="C2034" s="16" t="s">
        <v>5331</v>
      </c>
      <c r="D2034" s="12">
        <v>139.85</v>
      </c>
      <c r="E2034" s="12" t="s">
        <v>5332</v>
      </c>
      <c r="F2034" s="12" t="s">
        <v>5328</v>
      </c>
      <c r="G2034" s="12" t="s">
        <v>8963</v>
      </c>
      <c r="H2034" s="12">
        <v>19764</v>
      </c>
    </row>
    <row r="2035" spans="1:8">
      <c r="A2035" s="12" t="s">
        <v>8964</v>
      </c>
      <c r="B2035" s="13">
        <v>0</v>
      </c>
      <c r="C2035" s="16" t="s">
        <v>5331</v>
      </c>
      <c r="D2035" s="12">
        <v>460.1155</v>
      </c>
      <c r="E2035" s="12" t="s">
        <v>5332</v>
      </c>
      <c r="F2035" s="12" t="s">
        <v>5328</v>
      </c>
      <c r="G2035" s="12" t="s">
        <v>8965</v>
      </c>
      <c r="H2035" s="12">
        <v>19765</v>
      </c>
    </row>
    <row r="2036" spans="1:8">
      <c r="A2036" s="12" t="s">
        <v>8966</v>
      </c>
      <c r="B2036" s="13">
        <v>0</v>
      </c>
      <c r="C2036" s="16" t="s">
        <v>5331</v>
      </c>
      <c r="D2036" s="12">
        <v>0</v>
      </c>
      <c r="E2036" s="12" t="s">
        <v>5332</v>
      </c>
      <c r="F2036" s="12" t="s">
        <v>5328</v>
      </c>
      <c r="G2036" s="12" t="s">
        <v>8967</v>
      </c>
      <c r="H2036" s="12">
        <v>19766</v>
      </c>
    </row>
    <row r="2037" spans="1:8">
      <c r="A2037" s="12" t="s">
        <v>8968</v>
      </c>
      <c r="B2037" s="13">
        <v>377.8</v>
      </c>
      <c r="C2037" s="16" t="s">
        <v>5331</v>
      </c>
      <c r="D2037" s="12">
        <v>2554.1</v>
      </c>
      <c r="E2037" s="12" t="s">
        <v>5332</v>
      </c>
      <c r="F2037" s="12" t="s">
        <v>5328</v>
      </c>
      <c r="G2037" s="12" t="s">
        <v>8969</v>
      </c>
      <c r="H2037" s="12">
        <v>79904</v>
      </c>
    </row>
    <row r="2038" spans="1:8">
      <c r="A2038" s="12" t="s">
        <v>8970</v>
      </c>
      <c r="B2038" s="13">
        <v>103.9</v>
      </c>
      <c r="C2038" s="16" t="s">
        <v>5331</v>
      </c>
      <c r="D2038" s="12">
        <v>235.9</v>
      </c>
      <c r="E2038" s="12" t="s">
        <v>5332</v>
      </c>
      <c r="F2038" s="12" t="s">
        <v>5328</v>
      </c>
      <c r="G2038" s="12" t="s">
        <v>8971</v>
      </c>
      <c r="H2038" s="12">
        <v>18759</v>
      </c>
    </row>
    <row r="2039" spans="1:8">
      <c r="A2039" s="12" t="s">
        <v>8968</v>
      </c>
      <c r="B2039" s="13">
        <v>0</v>
      </c>
      <c r="C2039" s="16" t="s">
        <v>5331</v>
      </c>
      <c r="D2039" s="12">
        <v>1621.65</v>
      </c>
      <c r="E2039" s="12" t="s">
        <v>5332</v>
      </c>
      <c r="F2039" s="12" t="s">
        <v>5328</v>
      </c>
      <c r="G2039" s="12" t="s">
        <v>8972</v>
      </c>
      <c r="H2039" s="12">
        <v>204719</v>
      </c>
    </row>
    <row r="2040" spans="1:8">
      <c r="A2040" s="12" t="s">
        <v>8968</v>
      </c>
      <c r="B2040" s="13">
        <v>0.01</v>
      </c>
      <c r="C2040" s="16" t="s">
        <v>5331</v>
      </c>
      <c r="D2040" s="12">
        <v>1621.65</v>
      </c>
      <c r="E2040" s="12" t="s">
        <v>5332</v>
      </c>
      <c r="F2040" s="12" t="s">
        <v>5328</v>
      </c>
      <c r="G2040" s="12" t="s">
        <v>8973</v>
      </c>
      <c r="H2040" s="12">
        <v>208574</v>
      </c>
    </row>
    <row r="2041" spans="1:8">
      <c r="A2041" s="12" t="s">
        <v>8968</v>
      </c>
      <c r="B2041" s="13">
        <v>0</v>
      </c>
      <c r="C2041" s="16" t="s">
        <v>5331</v>
      </c>
      <c r="D2041" s="12">
        <v>1621.65</v>
      </c>
      <c r="E2041" s="12" t="s">
        <v>5332</v>
      </c>
      <c r="F2041" s="12" t="s">
        <v>5328</v>
      </c>
      <c r="G2041" s="12" t="s">
        <v>8974</v>
      </c>
      <c r="H2041" s="12">
        <v>204743</v>
      </c>
    </row>
    <row r="2042" spans="1:8">
      <c r="A2042" s="12" t="s">
        <v>8975</v>
      </c>
      <c r="B2042" s="14">
        <v>15060.62</v>
      </c>
      <c r="C2042" s="16" t="s">
        <v>5331</v>
      </c>
      <c r="D2042" s="12">
        <v>35854.11</v>
      </c>
      <c r="E2042" s="12" t="s">
        <v>5332</v>
      </c>
      <c r="F2042" s="12" t="s">
        <v>5328</v>
      </c>
      <c r="G2042" s="12" t="s">
        <v>8976</v>
      </c>
      <c r="H2042" s="12">
        <v>21089</v>
      </c>
    </row>
    <row r="2043" spans="1:8">
      <c r="A2043" s="12" t="s">
        <v>8977</v>
      </c>
      <c r="B2043" s="13">
        <v>0</v>
      </c>
      <c r="C2043" s="16" t="s">
        <v>5331</v>
      </c>
      <c r="D2043" s="12">
        <v>0</v>
      </c>
      <c r="E2043" s="12" t="s">
        <v>5332</v>
      </c>
      <c r="F2043" s="12" t="s">
        <v>5328</v>
      </c>
      <c r="G2043" s="12" t="s">
        <v>8978</v>
      </c>
      <c r="H2043" s="12">
        <v>21090</v>
      </c>
    </row>
    <row r="2044" spans="1:8">
      <c r="A2044" s="12" t="s">
        <v>8979</v>
      </c>
      <c r="B2044" s="13">
        <v>739.03</v>
      </c>
      <c r="C2044" s="16" t="s">
        <v>5331</v>
      </c>
      <c r="D2044" s="12">
        <v>4775.37</v>
      </c>
      <c r="E2044" s="12" t="s">
        <v>5332</v>
      </c>
      <c r="F2044" s="12" t="s">
        <v>5328</v>
      </c>
      <c r="G2044" s="12" t="s">
        <v>8980</v>
      </c>
      <c r="H2044" s="12">
        <v>34638</v>
      </c>
    </row>
    <row r="2045" spans="1:8">
      <c r="A2045" s="12" t="s">
        <v>8981</v>
      </c>
      <c r="B2045" s="13">
        <v>949.83</v>
      </c>
      <c r="C2045" s="16" t="s">
        <v>5331</v>
      </c>
      <c r="D2045" s="12">
        <v>0</v>
      </c>
      <c r="E2045" s="12" t="s">
        <v>5332</v>
      </c>
      <c r="F2045" s="12" t="s">
        <v>5328</v>
      </c>
      <c r="G2045" s="12" t="s">
        <v>8982</v>
      </c>
      <c r="H2045" s="12">
        <v>18760</v>
      </c>
    </row>
    <row r="2046" spans="1:8">
      <c r="A2046" s="12" t="s">
        <v>8983</v>
      </c>
      <c r="B2046" s="13">
        <v>60.39</v>
      </c>
      <c r="C2046" s="16" t="s">
        <v>5331</v>
      </c>
      <c r="D2046" s="12">
        <v>252.18</v>
      </c>
      <c r="E2046" s="12" t="s">
        <v>5332</v>
      </c>
      <c r="F2046" s="12" t="s">
        <v>5328</v>
      </c>
      <c r="G2046" s="12" t="s">
        <v>8984</v>
      </c>
      <c r="H2046" s="12">
        <v>30831</v>
      </c>
    </row>
    <row r="2047" spans="1:8">
      <c r="A2047" s="12" t="s">
        <v>8983</v>
      </c>
      <c r="B2047" s="13">
        <v>60.39</v>
      </c>
      <c r="C2047" s="16" t="s">
        <v>5331</v>
      </c>
      <c r="D2047" s="12">
        <v>168.12</v>
      </c>
      <c r="E2047" s="12" t="s">
        <v>5332</v>
      </c>
      <c r="F2047" s="12" t="s">
        <v>5328</v>
      </c>
      <c r="G2047" s="12" t="s">
        <v>8984</v>
      </c>
      <c r="H2047" s="12">
        <v>30831</v>
      </c>
    </row>
    <row r="2048" spans="1:8">
      <c r="A2048" s="12" t="s">
        <v>8983</v>
      </c>
      <c r="B2048" s="13">
        <v>0</v>
      </c>
      <c r="C2048" s="16" t="s">
        <v>5331</v>
      </c>
      <c r="D2048" s="12">
        <v>0</v>
      </c>
      <c r="E2048" s="12" t="s">
        <v>5332</v>
      </c>
      <c r="F2048" s="12" t="s">
        <v>5328</v>
      </c>
      <c r="G2048" s="12" t="s">
        <v>8985</v>
      </c>
      <c r="H2048" s="12">
        <v>18761</v>
      </c>
    </row>
    <row r="2049" spans="1:8">
      <c r="A2049" s="12" t="s">
        <v>8983</v>
      </c>
      <c r="B2049" s="13">
        <v>0</v>
      </c>
      <c r="C2049" s="16" t="s">
        <v>5331</v>
      </c>
      <c r="D2049" s="12">
        <v>160.11000000000001</v>
      </c>
      <c r="E2049" s="12" t="s">
        <v>5332</v>
      </c>
      <c r="F2049" s="12" t="s">
        <v>5328</v>
      </c>
      <c r="G2049" s="12" t="s">
        <v>8986</v>
      </c>
      <c r="H2049" s="12">
        <v>204720</v>
      </c>
    </row>
    <row r="2050" spans="1:8">
      <c r="A2050" s="12" t="s">
        <v>8983</v>
      </c>
      <c r="B2050" s="13">
        <v>0</v>
      </c>
      <c r="C2050" s="16" t="s">
        <v>5331</v>
      </c>
      <c r="D2050" s="12">
        <v>160.11000000000001</v>
      </c>
      <c r="E2050" s="12" t="s">
        <v>5332</v>
      </c>
      <c r="F2050" s="12" t="s">
        <v>5328</v>
      </c>
      <c r="G2050" s="12" t="s">
        <v>8987</v>
      </c>
      <c r="H2050" s="12">
        <v>208576</v>
      </c>
    </row>
    <row r="2051" spans="1:8">
      <c r="A2051" s="12" t="s">
        <v>8983</v>
      </c>
      <c r="B2051" s="13">
        <v>0</v>
      </c>
      <c r="C2051" s="16" t="s">
        <v>5331</v>
      </c>
      <c r="D2051" s="12">
        <v>160.11000000000001</v>
      </c>
      <c r="E2051" s="12" t="s">
        <v>5332</v>
      </c>
      <c r="F2051" s="12" t="s">
        <v>5328</v>
      </c>
      <c r="G2051" s="12" t="s">
        <v>8988</v>
      </c>
      <c r="H2051" s="12">
        <v>204744</v>
      </c>
    </row>
    <row r="2052" spans="1:8">
      <c r="A2052" s="12" t="s">
        <v>8989</v>
      </c>
      <c r="B2052" s="13">
        <v>86.49</v>
      </c>
      <c r="C2052" s="16" t="s">
        <v>5331</v>
      </c>
      <c r="D2052" s="12">
        <v>369.05</v>
      </c>
      <c r="E2052" s="12" t="s">
        <v>5332</v>
      </c>
      <c r="F2052" s="12" t="s">
        <v>5328</v>
      </c>
      <c r="G2052" s="12" t="s">
        <v>8990</v>
      </c>
      <c r="H2052" s="12">
        <v>20918</v>
      </c>
    </row>
    <row r="2053" spans="1:8">
      <c r="A2053" s="12" t="s">
        <v>8991</v>
      </c>
      <c r="B2053" s="13">
        <v>233.01</v>
      </c>
      <c r="C2053" s="16" t="s">
        <v>5331</v>
      </c>
      <c r="D2053" s="12">
        <v>1240.79</v>
      </c>
      <c r="E2053" s="12" t="s">
        <v>5332</v>
      </c>
      <c r="F2053" s="12" t="s">
        <v>5328</v>
      </c>
      <c r="G2053" s="12" t="s">
        <v>8992</v>
      </c>
      <c r="H2053" s="12">
        <v>18763</v>
      </c>
    </row>
    <row r="2054" spans="1:8">
      <c r="A2054" s="12" t="s">
        <v>8991</v>
      </c>
      <c r="B2054" s="13">
        <v>233.01</v>
      </c>
      <c r="C2054" s="16" t="s">
        <v>5331</v>
      </c>
      <c r="D2054" s="12">
        <v>827.19</v>
      </c>
      <c r="E2054" s="12" t="s">
        <v>5332</v>
      </c>
      <c r="F2054" s="12" t="s">
        <v>5328</v>
      </c>
      <c r="G2054" s="12" t="s">
        <v>8992</v>
      </c>
      <c r="H2054" s="12">
        <v>18763</v>
      </c>
    </row>
    <row r="2055" spans="1:8">
      <c r="A2055" s="12" t="s">
        <v>8993</v>
      </c>
      <c r="B2055" s="13">
        <v>31.16</v>
      </c>
      <c r="C2055" s="16" t="s">
        <v>5331</v>
      </c>
      <c r="D2055" s="12">
        <v>145.66999999999999</v>
      </c>
      <c r="E2055" s="12" t="s">
        <v>5332</v>
      </c>
      <c r="F2055" s="12" t="s">
        <v>5328</v>
      </c>
      <c r="G2055" s="12" t="s">
        <v>8994</v>
      </c>
      <c r="H2055" s="12">
        <v>18764</v>
      </c>
    </row>
    <row r="2056" spans="1:8">
      <c r="A2056" s="12" t="s">
        <v>8993</v>
      </c>
      <c r="B2056" s="13">
        <v>31.16</v>
      </c>
      <c r="C2056" s="16" t="s">
        <v>5331</v>
      </c>
      <c r="D2056" s="12">
        <v>97.11</v>
      </c>
      <c r="E2056" s="12" t="s">
        <v>5332</v>
      </c>
      <c r="F2056" s="12" t="s">
        <v>5328</v>
      </c>
      <c r="G2056" s="12" t="s">
        <v>8994</v>
      </c>
      <c r="H2056" s="12">
        <v>18764</v>
      </c>
    </row>
    <row r="2057" spans="1:8">
      <c r="A2057" s="12" t="s">
        <v>8993</v>
      </c>
      <c r="B2057" s="13">
        <v>32.380000000000003</v>
      </c>
      <c r="C2057" s="16" t="s">
        <v>5331</v>
      </c>
      <c r="D2057" s="12">
        <v>0</v>
      </c>
      <c r="E2057" s="12" t="s">
        <v>5332</v>
      </c>
      <c r="F2057" s="12" t="s">
        <v>5328</v>
      </c>
      <c r="G2057" s="12" t="s">
        <v>8995</v>
      </c>
      <c r="H2057" s="12">
        <v>30828</v>
      </c>
    </row>
    <row r="2058" spans="1:8">
      <c r="A2058" s="12" t="s">
        <v>8996</v>
      </c>
      <c r="B2058" s="13">
        <v>108.48</v>
      </c>
      <c r="C2058" s="16" t="s">
        <v>5331</v>
      </c>
      <c r="D2058" s="12">
        <v>837.63</v>
      </c>
      <c r="E2058" s="12" t="s">
        <v>5332</v>
      </c>
      <c r="F2058" s="12" t="s">
        <v>5328</v>
      </c>
      <c r="G2058" s="12" t="s">
        <v>8997</v>
      </c>
      <c r="H2058" s="12">
        <v>37177</v>
      </c>
    </row>
    <row r="2059" spans="1:8">
      <c r="A2059" s="12" t="s">
        <v>8998</v>
      </c>
      <c r="B2059" s="13">
        <v>0</v>
      </c>
      <c r="C2059" s="16" t="s">
        <v>5331</v>
      </c>
      <c r="D2059" s="12">
        <v>0</v>
      </c>
      <c r="E2059" s="12" t="s">
        <v>5332</v>
      </c>
      <c r="F2059" s="12" t="s">
        <v>5328</v>
      </c>
      <c r="G2059" s="12" t="s">
        <v>8999</v>
      </c>
      <c r="H2059" s="12">
        <v>18765</v>
      </c>
    </row>
    <row r="2060" spans="1:8">
      <c r="A2060" s="12" t="s">
        <v>9000</v>
      </c>
      <c r="B2060" s="13">
        <v>82.42</v>
      </c>
      <c r="C2060" s="16" t="s">
        <v>5331</v>
      </c>
      <c r="D2060" s="12">
        <v>459.01979999999998</v>
      </c>
      <c r="E2060" s="12" t="s">
        <v>5332</v>
      </c>
      <c r="F2060" s="12" t="s">
        <v>5328</v>
      </c>
      <c r="G2060" s="12" t="s">
        <v>9001</v>
      </c>
      <c r="H2060" s="12">
        <v>37178</v>
      </c>
    </row>
    <row r="2061" spans="1:8">
      <c r="A2061" s="12" t="s">
        <v>9002</v>
      </c>
      <c r="B2061" s="13">
        <v>152.33000000000001</v>
      </c>
      <c r="C2061" s="16" t="s">
        <v>5331</v>
      </c>
      <c r="D2061" s="12">
        <v>0</v>
      </c>
      <c r="E2061" s="12" t="s">
        <v>5332</v>
      </c>
      <c r="F2061" s="12" t="s">
        <v>5328</v>
      </c>
      <c r="G2061" s="12" t="s">
        <v>9003</v>
      </c>
      <c r="H2061" s="12">
        <v>18766</v>
      </c>
    </row>
    <row r="2062" spans="1:8">
      <c r="A2062" s="12" t="s">
        <v>9004</v>
      </c>
      <c r="B2062" s="13">
        <v>86.78</v>
      </c>
      <c r="C2062" s="16" t="s">
        <v>5331</v>
      </c>
      <c r="D2062" s="12">
        <v>440.5548</v>
      </c>
      <c r="E2062" s="12" t="s">
        <v>5332</v>
      </c>
      <c r="F2062" s="12" t="s">
        <v>5328</v>
      </c>
      <c r="G2062" s="12" t="s">
        <v>9005</v>
      </c>
      <c r="H2062" s="12">
        <v>37179</v>
      </c>
    </row>
    <row r="2063" spans="1:8">
      <c r="A2063" s="12" t="s">
        <v>9006</v>
      </c>
      <c r="B2063" s="13">
        <v>0</v>
      </c>
      <c r="C2063" s="16" t="s">
        <v>5331</v>
      </c>
      <c r="D2063" s="12">
        <v>0</v>
      </c>
      <c r="E2063" s="12" t="s">
        <v>5332</v>
      </c>
      <c r="F2063" s="12" t="s">
        <v>5328</v>
      </c>
      <c r="G2063" s="12" t="s">
        <v>9007</v>
      </c>
      <c r="H2063" s="12">
        <v>20919</v>
      </c>
    </row>
    <row r="2064" spans="1:8">
      <c r="A2064" s="12" t="s">
        <v>8931</v>
      </c>
      <c r="B2064" s="13">
        <v>130.46</v>
      </c>
      <c r="C2064" s="16" t="s">
        <v>5331</v>
      </c>
      <c r="D2064" s="12">
        <v>383.09519999999998</v>
      </c>
      <c r="E2064" s="12" t="s">
        <v>5332</v>
      </c>
      <c r="F2064" s="12" t="s">
        <v>5328</v>
      </c>
      <c r="G2064" s="12" t="s">
        <v>9008</v>
      </c>
      <c r="H2064" s="12">
        <v>42436</v>
      </c>
    </row>
    <row r="2065" spans="1:8">
      <c r="A2065" s="12" t="s">
        <v>9009</v>
      </c>
      <c r="B2065" s="13">
        <v>34.54</v>
      </c>
      <c r="C2065" s="16" t="s">
        <v>5331</v>
      </c>
      <c r="D2065" s="12">
        <v>103.61490000000001</v>
      </c>
      <c r="E2065" s="12" t="s">
        <v>5332</v>
      </c>
      <c r="F2065" s="12" t="s">
        <v>5328</v>
      </c>
      <c r="G2065" s="12" t="s">
        <v>9010</v>
      </c>
      <c r="H2065" s="12">
        <v>37963</v>
      </c>
    </row>
    <row r="2066" spans="1:8">
      <c r="A2066" s="12" t="s">
        <v>9011</v>
      </c>
      <c r="B2066" s="13">
        <v>17.02</v>
      </c>
      <c r="C2066" s="16" t="s">
        <v>5331</v>
      </c>
      <c r="D2066" s="12">
        <v>68.819999999999993</v>
      </c>
      <c r="E2066" s="12" t="s">
        <v>5332</v>
      </c>
      <c r="F2066" s="12" t="s">
        <v>5328</v>
      </c>
      <c r="G2066" s="12" t="s">
        <v>9012</v>
      </c>
      <c r="H2066" s="12">
        <v>54261</v>
      </c>
    </row>
    <row r="2067" spans="1:8">
      <c r="A2067" s="12" t="s">
        <v>9013</v>
      </c>
      <c r="B2067" s="13">
        <v>73.59</v>
      </c>
      <c r="C2067" s="16" t="s">
        <v>5331</v>
      </c>
      <c r="D2067" s="12">
        <v>426.51479999999998</v>
      </c>
      <c r="E2067" s="12" t="s">
        <v>5332</v>
      </c>
      <c r="F2067" s="12" t="s">
        <v>5328</v>
      </c>
      <c r="G2067" s="12" t="s">
        <v>9014</v>
      </c>
      <c r="H2067" s="12">
        <v>54881</v>
      </c>
    </row>
    <row r="2068" spans="1:8">
      <c r="A2068" s="12" t="s">
        <v>9015</v>
      </c>
      <c r="B2068" s="13">
        <v>156.05000000000001</v>
      </c>
      <c r="C2068" s="16" t="s">
        <v>5331</v>
      </c>
      <c r="D2068" s="12">
        <v>382.95479999999998</v>
      </c>
      <c r="E2068" s="12" t="s">
        <v>5332</v>
      </c>
      <c r="F2068" s="12" t="s">
        <v>5328</v>
      </c>
      <c r="G2068" s="12" t="s">
        <v>9016</v>
      </c>
      <c r="H2068" s="12">
        <v>54882</v>
      </c>
    </row>
    <row r="2069" spans="1:8">
      <c r="A2069" s="12" t="s">
        <v>9017</v>
      </c>
      <c r="B2069" s="13">
        <v>88.11</v>
      </c>
      <c r="C2069" s="16" t="s">
        <v>5331</v>
      </c>
      <c r="D2069" s="12">
        <v>9300</v>
      </c>
      <c r="E2069" s="12" t="s">
        <v>5332</v>
      </c>
      <c r="F2069" s="12" t="s">
        <v>5328</v>
      </c>
      <c r="G2069" s="12" t="s">
        <v>9018</v>
      </c>
      <c r="H2069" s="12">
        <v>148533</v>
      </c>
    </row>
    <row r="2070" spans="1:8">
      <c r="A2070" s="12" t="s">
        <v>9019</v>
      </c>
      <c r="B2070" s="14">
        <v>1881.71</v>
      </c>
      <c r="C2070" s="16" t="s">
        <v>5331</v>
      </c>
      <c r="D2070" s="12">
        <v>10018.00793</v>
      </c>
      <c r="E2070" s="12" t="s">
        <v>5332</v>
      </c>
      <c r="F2070" s="12" t="s">
        <v>5328</v>
      </c>
      <c r="G2070" s="12" t="s">
        <v>9020</v>
      </c>
      <c r="H2070" s="12">
        <v>70865</v>
      </c>
    </row>
    <row r="2071" spans="1:8">
      <c r="A2071" s="12" t="s">
        <v>9019</v>
      </c>
      <c r="B2071" s="13">
        <v>0</v>
      </c>
      <c r="C2071" s="16" t="s">
        <v>5331</v>
      </c>
      <c r="D2071" s="12">
        <v>10018.00793</v>
      </c>
      <c r="E2071" s="12" t="s">
        <v>5332</v>
      </c>
      <c r="F2071" s="12" t="s">
        <v>5328</v>
      </c>
      <c r="G2071" s="12" t="s">
        <v>9021</v>
      </c>
      <c r="H2071" s="12">
        <v>204721</v>
      </c>
    </row>
    <row r="2072" spans="1:8">
      <c r="A2072" s="12" t="s">
        <v>9019</v>
      </c>
      <c r="B2072" s="13">
        <v>0</v>
      </c>
      <c r="C2072" s="16" t="s">
        <v>5331</v>
      </c>
      <c r="D2072" s="12">
        <v>10018.00793</v>
      </c>
      <c r="E2072" s="12" t="s">
        <v>5332</v>
      </c>
      <c r="F2072" s="12" t="s">
        <v>5328</v>
      </c>
      <c r="G2072" s="12" t="s">
        <v>9022</v>
      </c>
      <c r="H2072" s="12">
        <v>208585</v>
      </c>
    </row>
    <row r="2073" spans="1:8">
      <c r="A2073" s="12" t="s">
        <v>9019</v>
      </c>
      <c r="B2073" s="13">
        <v>0</v>
      </c>
      <c r="C2073" s="16" t="s">
        <v>5331</v>
      </c>
      <c r="D2073" s="12">
        <v>10018.00793</v>
      </c>
      <c r="E2073" s="12" t="s">
        <v>5332</v>
      </c>
      <c r="F2073" s="12" t="s">
        <v>5328</v>
      </c>
      <c r="G2073" s="12" t="s">
        <v>9023</v>
      </c>
      <c r="H2073" s="12">
        <v>204745</v>
      </c>
    </row>
    <row r="2074" spans="1:8">
      <c r="A2074" s="12" t="s">
        <v>9024</v>
      </c>
      <c r="B2074" s="13">
        <v>606.26</v>
      </c>
      <c r="C2074" s="16" t="s">
        <v>5331</v>
      </c>
      <c r="D2074" s="12">
        <v>7098.42</v>
      </c>
      <c r="E2074" s="12" t="s">
        <v>5332</v>
      </c>
      <c r="F2074" s="12" t="s">
        <v>5328</v>
      </c>
      <c r="G2074" s="12" t="s">
        <v>9025</v>
      </c>
      <c r="H2074" s="12">
        <v>49421</v>
      </c>
    </row>
    <row r="2075" spans="1:8">
      <c r="A2075" s="12" t="s">
        <v>9024</v>
      </c>
      <c r="B2075" s="13">
        <v>606.26</v>
      </c>
      <c r="C2075" s="16" t="s">
        <v>5331</v>
      </c>
      <c r="D2075" s="12">
        <v>4732.28</v>
      </c>
      <c r="E2075" s="12" t="s">
        <v>5332</v>
      </c>
      <c r="F2075" s="12" t="s">
        <v>5328</v>
      </c>
      <c r="G2075" s="12" t="s">
        <v>9025</v>
      </c>
      <c r="H2075" s="12">
        <v>49421</v>
      </c>
    </row>
    <row r="2076" spans="1:8">
      <c r="A2076" s="12" t="s">
        <v>9026</v>
      </c>
      <c r="B2076" s="14">
        <v>2087.6799999999998</v>
      </c>
      <c r="C2076" s="16" t="s">
        <v>5331</v>
      </c>
      <c r="D2076" s="12">
        <v>10587.41</v>
      </c>
      <c r="E2076" s="12" t="s">
        <v>5332</v>
      </c>
      <c r="F2076" s="12" t="s">
        <v>5328</v>
      </c>
      <c r="G2076" s="12" t="s">
        <v>9027</v>
      </c>
      <c r="H2076" s="12">
        <v>49422</v>
      </c>
    </row>
    <row r="2077" spans="1:8">
      <c r="A2077" s="12" t="s">
        <v>9026</v>
      </c>
      <c r="B2077" s="14">
        <v>2087.6799999999998</v>
      </c>
      <c r="C2077" s="16" t="s">
        <v>5331</v>
      </c>
      <c r="D2077" s="12">
        <v>7058.27</v>
      </c>
      <c r="E2077" s="12" t="s">
        <v>5332</v>
      </c>
      <c r="F2077" s="12" t="s">
        <v>5328</v>
      </c>
      <c r="G2077" s="12" t="s">
        <v>9027</v>
      </c>
      <c r="H2077" s="12">
        <v>49422</v>
      </c>
    </row>
    <row r="2078" spans="1:8">
      <c r="A2078" s="12" t="s">
        <v>9028</v>
      </c>
      <c r="B2078" s="14">
        <v>3328.03</v>
      </c>
      <c r="C2078" s="16" t="s">
        <v>5331</v>
      </c>
      <c r="D2078" s="12">
        <v>16031.46</v>
      </c>
      <c r="E2078" s="12" t="s">
        <v>5332</v>
      </c>
      <c r="F2078" s="12" t="s">
        <v>5328</v>
      </c>
      <c r="G2078" s="12" t="s">
        <v>9029</v>
      </c>
      <c r="H2078" s="12">
        <v>49423</v>
      </c>
    </row>
    <row r="2079" spans="1:8">
      <c r="A2079" s="12" t="s">
        <v>9028</v>
      </c>
      <c r="B2079" s="14">
        <v>3328.03</v>
      </c>
      <c r="C2079" s="16" t="s">
        <v>5331</v>
      </c>
      <c r="D2079" s="12">
        <v>10687.64</v>
      </c>
      <c r="E2079" s="12" t="s">
        <v>5332</v>
      </c>
      <c r="F2079" s="12" t="s">
        <v>5328</v>
      </c>
      <c r="G2079" s="12" t="s">
        <v>9029</v>
      </c>
      <c r="H2079" s="12">
        <v>49423</v>
      </c>
    </row>
    <row r="2080" spans="1:8">
      <c r="A2080" s="12" t="s">
        <v>9030</v>
      </c>
      <c r="B2080" s="13">
        <v>495.21</v>
      </c>
      <c r="C2080" s="16" t="s">
        <v>5331</v>
      </c>
      <c r="D2080" s="12">
        <v>6770.12</v>
      </c>
      <c r="E2080" s="12" t="s">
        <v>5332</v>
      </c>
      <c r="F2080" s="12" t="s">
        <v>5328</v>
      </c>
      <c r="G2080" s="12" t="s">
        <v>9031</v>
      </c>
      <c r="H2080" s="12">
        <v>49424</v>
      </c>
    </row>
    <row r="2081" spans="1:8">
      <c r="A2081" s="12" t="s">
        <v>9032</v>
      </c>
      <c r="B2081" s="14">
        <v>17437.830000000002</v>
      </c>
      <c r="C2081" s="16" t="s">
        <v>5331</v>
      </c>
      <c r="D2081" s="12">
        <v>85939.91</v>
      </c>
      <c r="E2081" s="12" t="s">
        <v>5332</v>
      </c>
      <c r="F2081" s="12" t="s">
        <v>5328</v>
      </c>
      <c r="G2081" s="12" t="s">
        <v>9033</v>
      </c>
      <c r="H2081" s="12">
        <v>56094</v>
      </c>
    </row>
    <row r="2082" spans="1:8">
      <c r="A2082" s="12" t="s">
        <v>9032</v>
      </c>
      <c r="B2082" s="14">
        <v>17437.830000000002</v>
      </c>
      <c r="C2082" s="16" t="s">
        <v>5331</v>
      </c>
      <c r="D2082" s="12">
        <v>57293.27</v>
      </c>
      <c r="E2082" s="12" t="s">
        <v>5332</v>
      </c>
      <c r="F2082" s="12" t="s">
        <v>5328</v>
      </c>
      <c r="G2082" s="12" t="s">
        <v>9033</v>
      </c>
      <c r="H2082" s="12">
        <v>56094</v>
      </c>
    </row>
    <row r="2083" spans="1:8">
      <c r="A2083" s="12" t="s">
        <v>9034</v>
      </c>
      <c r="B2083" s="13">
        <v>399.41</v>
      </c>
      <c r="C2083" s="16" t="s">
        <v>5331</v>
      </c>
      <c r="D2083" s="12">
        <v>1272.318</v>
      </c>
      <c r="E2083" s="12" t="s">
        <v>5332</v>
      </c>
      <c r="F2083" s="12" t="s">
        <v>5328</v>
      </c>
      <c r="G2083" s="12" t="s">
        <v>9035</v>
      </c>
      <c r="H2083" s="12">
        <v>56687</v>
      </c>
    </row>
    <row r="2084" spans="1:8">
      <c r="A2084" s="12" t="s">
        <v>9036</v>
      </c>
      <c r="B2084" s="13">
        <v>881.93</v>
      </c>
      <c r="C2084" s="16" t="s">
        <v>5331</v>
      </c>
      <c r="D2084" s="12">
        <v>5083.3500000000004</v>
      </c>
      <c r="E2084" s="12" t="s">
        <v>5332</v>
      </c>
      <c r="F2084" s="12" t="s">
        <v>5328</v>
      </c>
      <c r="G2084" s="12" t="s">
        <v>9037</v>
      </c>
      <c r="H2084" s="12">
        <v>66069</v>
      </c>
    </row>
    <row r="2085" spans="1:8">
      <c r="A2085" s="12" t="s">
        <v>9038</v>
      </c>
      <c r="B2085" s="13">
        <v>269.22000000000003</v>
      </c>
      <c r="C2085" s="16" t="s">
        <v>5331</v>
      </c>
      <c r="D2085" s="12">
        <v>2705.85</v>
      </c>
      <c r="E2085" s="12" t="s">
        <v>5332</v>
      </c>
      <c r="F2085" s="12" t="s">
        <v>5328</v>
      </c>
      <c r="G2085" s="12" t="s">
        <v>9039</v>
      </c>
      <c r="H2085" s="12">
        <v>70866</v>
      </c>
    </row>
    <row r="2086" spans="1:8">
      <c r="A2086" s="12" t="s">
        <v>9038</v>
      </c>
      <c r="B2086" s="13">
        <v>0</v>
      </c>
      <c r="C2086" s="16" t="s">
        <v>5331</v>
      </c>
      <c r="D2086" s="12">
        <v>1718</v>
      </c>
      <c r="E2086" s="12" t="s">
        <v>5332</v>
      </c>
      <c r="F2086" s="12" t="s">
        <v>5328</v>
      </c>
      <c r="G2086" s="12" t="s">
        <v>9040</v>
      </c>
      <c r="H2086" s="12">
        <v>204722</v>
      </c>
    </row>
    <row r="2087" spans="1:8">
      <c r="A2087" s="12" t="s">
        <v>9038</v>
      </c>
      <c r="B2087" s="13">
        <v>0.01</v>
      </c>
      <c r="C2087" s="16" t="s">
        <v>5331</v>
      </c>
      <c r="D2087" s="12">
        <v>1718</v>
      </c>
      <c r="E2087" s="12" t="s">
        <v>5332</v>
      </c>
      <c r="F2087" s="12" t="s">
        <v>5328</v>
      </c>
      <c r="G2087" s="12" t="s">
        <v>9041</v>
      </c>
      <c r="H2087" s="12">
        <v>208593</v>
      </c>
    </row>
    <row r="2088" spans="1:8">
      <c r="A2088" s="12" t="s">
        <v>9038</v>
      </c>
      <c r="B2088" s="13">
        <v>0</v>
      </c>
      <c r="C2088" s="16" t="s">
        <v>5331</v>
      </c>
      <c r="D2088" s="12">
        <v>1718</v>
      </c>
      <c r="E2088" s="12" t="s">
        <v>5332</v>
      </c>
      <c r="F2088" s="12" t="s">
        <v>5328</v>
      </c>
      <c r="G2088" s="12" t="s">
        <v>9042</v>
      </c>
      <c r="H2088" s="12">
        <v>204746</v>
      </c>
    </row>
    <row r="2089" spans="1:8">
      <c r="A2089" s="12" t="s">
        <v>9043</v>
      </c>
      <c r="B2089" s="13">
        <v>213.24</v>
      </c>
      <c r="C2089" s="16" t="s">
        <v>5331</v>
      </c>
      <c r="D2089" s="12">
        <v>1632</v>
      </c>
      <c r="E2089" s="12" t="s">
        <v>5332</v>
      </c>
      <c r="F2089" s="12" t="s">
        <v>5328</v>
      </c>
      <c r="G2089" s="12" t="s">
        <v>9044</v>
      </c>
      <c r="H2089" s="12">
        <v>69448</v>
      </c>
    </row>
    <row r="2090" spans="1:8">
      <c r="A2090" s="12" t="s">
        <v>9045</v>
      </c>
      <c r="B2090" s="13">
        <v>916.88</v>
      </c>
      <c r="C2090" s="16" t="s">
        <v>5331</v>
      </c>
      <c r="D2090" s="12">
        <v>9617.18</v>
      </c>
      <c r="E2090" s="12" t="s">
        <v>5332</v>
      </c>
      <c r="F2090" s="12" t="s">
        <v>5328</v>
      </c>
      <c r="G2090" s="12" t="s">
        <v>9046</v>
      </c>
      <c r="H2090" s="12">
        <v>155485</v>
      </c>
    </row>
    <row r="2091" spans="1:8">
      <c r="A2091" s="12" t="s">
        <v>9045</v>
      </c>
      <c r="B2091" s="13">
        <v>603.72</v>
      </c>
      <c r="C2091" s="16" t="s">
        <v>5331</v>
      </c>
      <c r="D2091" s="12">
        <v>6106.14</v>
      </c>
      <c r="E2091" s="12" t="s">
        <v>5332</v>
      </c>
      <c r="F2091" s="12" t="s">
        <v>5328</v>
      </c>
      <c r="G2091" s="12" t="s">
        <v>9047</v>
      </c>
      <c r="H2091" s="12">
        <v>204723</v>
      </c>
    </row>
    <row r="2092" spans="1:8">
      <c r="A2092" s="12" t="s">
        <v>9045</v>
      </c>
      <c r="B2092" s="13">
        <v>0.01</v>
      </c>
      <c r="C2092" s="16" t="s">
        <v>5331</v>
      </c>
      <c r="D2092" s="12">
        <v>6106.14</v>
      </c>
      <c r="E2092" s="12" t="s">
        <v>5332</v>
      </c>
      <c r="F2092" s="12" t="s">
        <v>5328</v>
      </c>
      <c r="G2092" s="12" t="s">
        <v>9048</v>
      </c>
      <c r="H2092" s="12">
        <v>208594</v>
      </c>
    </row>
    <row r="2093" spans="1:8">
      <c r="A2093" s="12" t="s">
        <v>9045</v>
      </c>
      <c r="B2093" s="13">
        <v>0</v>
      </c>
      <c r="C2093" s="16" t="s">
        <v>5331</v>
      </c>
      <c r="D2093" s="12">
        <v>6106.14</v>
      </c>
      <c r="E2093" s="12" t="s">
        <v>5332</v>
      </c>
      <c r="F2093" s="12" t="s">
        <v>5328</v>
      </c>
      <c r="G2093" s="12" t="s">
        <v>9049</v>
      </c>
      <c r="H2093" s="12">
        <v>204747</v>
      </c>
    </row>
    <row r="2094" spans="1:8">
      <c r="A2094" s="12" t="s">
        <v>9050</v>
      </c>
      <c r="B2094" s="13">
        <v>227.6</v>
      </c>
      <c r="C2094" s="16" t="s">
        <v>5331</v>
      </c>
      <c r="D2094" s="12">
        <v>755.61</v>
      </c>
      <c r="E2094" s="12" t="s">
        <v>5332</v>
      </c>
      <c r="F2094" s="12" t="s">
        <v>5328</v>
      </c>
      <c r="G2094" s="12" t="s">
        <v>9051</v>
      </c>
      <c r="H2094" s="12">
        <v>73226</v>
      </c>
    </row>
    <row r="2095" spans="1:8">
      <c r="A2095" s="12" t="s">
        <v>9052</v>
      </c>
      <c r="B2095" s="13">
        <v>222.97</v>
      </c>
      <c r="C2095" s="16" t="s">
        <v>5331</v>
      </c>
      <c r="D2095" s="12">
        <v>747.21</v>
      </c>
      <c r="E2095" s="12" t="s">
        <v>5332</v>
      </c>
      <c r="F2095" s="12" t="s">
        <v>5328</v>
      </c>
      <c r="G2095" s="12" t="s">
        <v>9053</v>
      </c>
      <c r="H2095" s="12">
        <v>73228</v>
      </c>
    </row>
    <row r="2096" spans="1:8">
      <c r="A2096" s="12" t="s">
        <v>9054</v>
      </c>
      <c r="B2096" s="13">
        <v>212.86</v>
      </c>
      <c r="C2096" s="16" t="s">
        <v>5331</v>
      </c>
      <c r="D2096" s="12">
        <v>755.61</v>
      </c>
      <c r="E2096" s="12" t="s">
        <v>5332</v>
      </c>
      <c r="F2096" s="12" t="s">
        <v>5328</v>
      </c>
      <c r="G2096" s="12" t="s">
        <v>9055</v>
      </c>
      <c r="H2096" s="12">
        <v>73230</v>
      </c>
    </row>
    <row r="2097" spans="1:8">
      <c r="A2097" s="12" t="s">
        <v>9056</v>
      </c>
      <c r="B2097" s="13">
        <v>211.54</v>
      </c>
      <c r="C2097" s="16" t="s">
        <v>5331</v>
      </c>
      <c r="D2097" s="12">
        <v>767.85</v>
      </c>
      <c r="E2097" s="12" t="s">
        <v>5332</v>
      </c>
      <c r="F2097" s="12" t="s">
        <v>5328</v>
      </c>
      <c r="G2097" s="12" t="s">
        <v>9057</v>
      </c>
      <c r="H2097" s="12">
        <v>73232</v>
      </c>
    </row>
    <row r="2098" spans="1:8">
      <c r="A2098" s="12" t="s">
        <v>9058</v>
      </c>
      <c r="B2098" s="13">
        <v>250.45</v>
      </c>
      <c r="C2098" s="16" t="s">
        <v>5331</v>
      </c>
      <c r="D2098" s="12">
        <v>911.46</v>
      </c>
      <c r="E2098" s="12" t="s">
        <v>5332</v>
      </c>
      <c r="F2098" s="12" t="s">
        <v>5328</v>
      </c>
      <c r="G2098" s="12" t="s">
        <v>9059</v>
      </c>
      <c r="H2098" s="12">
        <v>73234</v>
      </c>
    </row>
    <row r="2099" spans="1:8">
      <c r="A2099" s="12" t="s">
        <v>9060</v>
      </c>
      <c r="B2099" s="13">
        <v>42.88</v>
      </c>
      <c r="C2099" s="16" t="s">
        <v>5331</v>
      </c>
      <c r="D2099" s="12">
        <v>180.81</v>
      </c>
      <c r="E2099" s="12" t="s">
        <v>5332</v>
      </c>
      <c r="F2099" s="12" t="s">
        <v>5328</v>
      </c>
      <c r="G2099" s="12" t="s">
        <v>9061</v>
      </c>
      <c r="H2099" s="12">
        <v>73235</v>
      </c>
    </row>
    <row r="2100" spans="1:8">
      <c r="A2100" s="12" t="s">
        <v>9062</v>
      </c>
      <c r="B2100" s="13">
        <v>341.7</v>
      </c>
      <c r="C2100" s="16" t="s">
        <v>5331</v>
      </c>
      <c r="D2100" s="12">
        <v>1080.8399999999999</v>
      </c>
      <c r="E2100" s="12" t="s">
        <v>5332</v>
      </c>
      <c r="F2100" s="12" t="s">
        <v>5328</v>
      </c>
      <c r="G2100" s="12" t="s">
        <v>9063</v>
      </c>
      <c r="H2100" s="12">
        <v>73237</v>
      </c>
    </row>
    <row r="2101" spans="1:8">
      <c r="A2101" s="12" t="s">
        <v>9064</v>
      </c>
      <c r="B2101" s="13">
        <v>106.25</v>
      </c>
      <c r="C2101" s="16" t="s">
        <v>5331</v>
      </c>
      <c r="D2101" s="12">
        <v>369.24</v>
      </c>
      <c r="E2101" s="12" t="s">
        <v>5332</v>
      </c>
      <c r="F2101" s="12" t="s">
        <v>5328</v>
      </c>
      <c r="G2101" s="12" t="s">
        <v>9065</v>
      </c>
      <c r="H2101" s="12">
        <v>73238</v>
      </c>
    </row>
    <row r="2102" spans="1:8">
      <c r="A2102" s="12" t="s">
        <v>9066</v>
      </c>
      <c r="B2102" s="13">
        <v>97.09</v>
      </c>
      <c r="C2102" s="16" t="s">
        <v>5331</v>
      </c>
      <c r="D2102" s="12">
        <v>388.98</v>
      </c>
      <c r="E2102" s="12" t="s">
        <v>5332</v>
      </c>
      <c r="F2102" s="12" t="s">
        <v>5328</v>
      </c>
      <c r="G2102" s="12" t="s">
        <v>9067</v>
      </c>
      <c r="H2102" s="12">
        <v>73239</v>
      </c>
    </row>
    <row r="2103" spans="1:8">
      <c r="A2103" s="12" t="s">
        <v>9068</v>
      </c>
      <c r="B2103" s="13">
        <v>173.04</v>
      </c>
      <c r="C2103" s="16" t="s">
        <v>5331</v>
      </c>
      <c r="D2103" s="12">
        <v>3288.6</v>
      </c>
      <c r="E2103" s="12" t="s">
        <v>5332</v>
      </c>
      <c r="F2103" s="12" t="s">
        <v>5328</v>
      </c>
      <c r="G2103" s="12" t="s">
        <v>9069</v>
      </c>
      <c r="H2103" s="12">
        <v>73241</v>
      </c>
    </row>
    <row r="2104" spans="1:8">
      <c r="A2104" s="12" t="s">
        <v>9068</v>
      </c>
      <c r="B2104" s="13">
        <v>0</v>
      </c>
      <c r="C2104" s="16" t="s">
        <v>5331</v>
      </c>
      <c r="D2104" s="12">
        <v>2088</v>
      </c>
      <c r="E2104" s="12" t="s">
        <v>5332</v>
      </c>
      <c r="F2104" s="12" t="s">
        <v>5328</v>
      </c>
      <c r="G2104" s="12" t="s">
        <v>9070</v>
      </c>
      <c r="H2104" s="12">
        <v>204724</v>
      </c>
    </row>
    <row r="2105" spans="1:8">
      <c r="A2105" s="12" t="s">
        <v>9068</v>
      </c>
      <c r="B2105" s="13">
        <v>0</v>
      </c>
      <c r="C2105" s="16" t="s">
        <v>5331</v>
      </c>
      <c r="D2105" s="12">
        <v>2088</v>
      </c>
      <c r="E2105" s="12" t="s">
        <v>5332</v>
      </c>
      <c r="F2105" s="12" t="s">
        <v>5328</v>
      </c>
      <c r="G2105" s="12" t="s">
        <v>9071</v>
      </c>
      <c r="H2105" s="12">
        <v>208595</v>
      </c>
    </row>
    <row r="2106" spans="1:8">
      <c r="A2106" s="12" t="s">
        <v>9068</v>
      </c>
      <c r="B2106" s="13">
        <v>0</v>
      </c>
      <c r="C2106" s="16" t="s">
        <v>5331</v>
      </c>
      <c r="D2106" s="12">
        <v>2088</v>
      </c>
      <c r="E2106" s="12" t="s">
        <v>5332</v>
      </c>
      <c r="F2106" s="12" t="s">
        <v>5328</v>
      </c>
      <c r="G2106" s="12" t="s">
        <v>9072</v>
      </c>
      <c r="H2106" s="12">
        <v>204748</v>
      </c>
    </row>
    <row r="2107" spans="1:8">
      <c r="A2107" s="12" t="s">
        <v>9073</v>
      </c>
      <c r="B2107" s="13">
        <v>388.32</v>
      </c>
      <c r="C2107" s="16" t="s">
        <v>5331</v>
      </c>
      <c r="D2107" s="12">
        <v>1217.31</v>
      </c>
      <c r="E2107" s="12" t="s">
        <v>5332</v>
      </c>
      <c r="F2107" s="12" t="s">
        <v>5328</v>
      </c>
      <c r="G2107" s="12" t="s">
        <v>9074</v>
      </c>
      <c r="H2107" s="12">
        <v>73242</v>
      </c>
    </row>
    <row r="2108" spans="1:8">
      <c r="A2108" s="12" t="s">
        <v>9075</v>
      </c>
      <c r="B2108" s="13">
        <v>340.57</v>
      </c>
      <c r="C2108" s="16" t="s">
        <v>5331</v>
      </c>
      <c r="D2108" s="12">
        <v>735.54</v>
      </c>
      <c r="E2108" s="12" t="s">
        <v>5332</v>
      </c>
      <c r="F2108" s="12" t="s">
        <v>5328</v>
      </c>
      <c r="G2108" s="12" t="s">
        <v>9076</v>
      </c>
      <c r="H2108" s="12">
        <v>73244</v>
      </c>
    </row>
    <row r="2109" spans="1:8">
      <c r="A2109" s="12" t="s">
        <v>9077</v>
      </c>
      <c r="B2109" s="13">
        <v>223.16</v>
      </c>
      <c r="C2109" s="16" t="s">
        <v>5331</v>
      </c>
      <c r="D2109" s="12">
        <v>890</v>
      </c>
      <c r="E2109" s="12" t="s">
        <v>5332</v>
      </c>
      <c r="F2109" s="12" t="s">
        <v>5328</v>
      </c>
      <c r="G2109" s="12" t="s">
        <v>9078</v>
      </c>
      <c r="H2109" s="12">
        <v>279993</v>
      </c>
    </row>
    <row r="2110" spans="1:8">
      <c r="A2110" s="12" t="s">
        <v>9079</v>
      </c>
      <c r="B2110" s="14">
        <v>3626.84</v>
      </c>
      <c r="C2110" s="16" t="s">
        <v>5331</v>
      </c>
      <c r="D2110" s="12">
        <v>8262.5</v>
      </c>
      <c r="E2110" s="12" t="s">
        <v>5332</v>
      </c>
      <c r="F2110" s="12" t="s">
        <v>5328</v>
      </c>
      <c r="G2110" s="12" t="s">
        <v>9080</v>
      </c>
      <c r="H2110" s="12">
        <v>18768</v>
      </c>
    </row>
    <row r="2111" spans="1:8">
      <c r="A2111" s="12" t="s">
        <v>9081</v>
      </c>
      <c r="B2111" s="13">
        <v>32.93</v>
      </c>
      <c r="C2111" s="16" t="s">
        <v>5331</v>
      </c>
      <c r="D2111" s="12">
        <v>263.94</v>
      </c>
      <c r="E2111" s="12" t="s">
        <v>5332</v>
      </c>
      <c r="F2111" s="12" t="s">
        <v>5328</v>
      </c>
      <c r="G2111" s="12" t="s">
        <v>9082</v>
      </c>
      <c r="H2111" s="12">
        <v>21091</v>
      </c>
    </row>
    <row r="2112" spans="1:8">
      <c r="A2112" s="12" t="s">
        <v>9081</v>
      </c>
      <c r="B2112" s="13">
        <v>32.93</v>
      </c>
      <c r="C2112" s="16" t="s">
        <v>5331</v>
      </c>
      <c r="D2112" s="12">
        <v>175.96</v>
      </c>
      <c r="E2112" s="12" t="s">
        <v>5332</v>
      </c>
      <c r="F2112" s="12" t="s">
        <v>5328</v>
      </c>
      <c r="G2112" s="12" t="s">
        <v>9082</v>
      </c>
      <c r="H2112" s="12">
        <v>21091</v>
      </c>
    </row>
    <row r="2113" spans="1:8">
      <c r="A2113" s="12" t="s">
        <v>9083</v>
      </c>
      <c r="B2113" s="14">
        <v>2185.89</v>
      </c>
      <c r="C2113" s="16" t="s">
        <v>5331</v>
      </c>
      <c r="D2113" s="12">
        <v>0</v>
      </c>
      <c r="E2113" s="12" t="s">
        <v>5332</v>
      </c>
      <c r="F2113" s="12" t="s">
        <v>5328</v>
      </c>
      <c r="G2113" s="12" t="s">
        <v>9084</v>
      </c>
      <c r="H2113" s="12">
        <v>18769</v>
      </c>
    </row>
    <row r="2114" spans="1:8">
      <c r="A2114" s="12" t="s">
        <v>9085</v>
      </c>
      <c r="B2114" s="13">
        <v>345.64</v>
      </c>
      <c r="C2114" s="16" t="s">
        <v>5331</v>
      </c>
      <c r="D2114" s="12">
        <v>987.65</v>
      </c>
      <c r="E2114" s="12" t="s">
        <v>5332</v>
      </c>
      <c r="F2114" s="12" t="s">
        <v>5328</v>
      </c>
      <c r="G2114" s="12" t="s">
        <v>9086</v>
      </c>
      <c r="H2114" s="12">
        <v>18770</v>
      </c>
    </row>
    <row r="2115" spans="1:8">
      <c r="A2115" s="12" t="s">
        <v>9087</v>
      </c>
      <c r="B2115" s="13">
        <v>205.52</v>
      </c>
      <c r="C2115" s="16" t="s">
        <v>5331</v>
      </c>
      <c r="D2115" s="12">
        <v>582.65</v>
      </c>
      <c r="E2115" s="12" t="s">
        <v>5332</v>
      </c>
      <c r="F2115" s="12" t="s">
        <v>5328</v>
      </c>
      <c r="G2115" s="12" t="s">
        <v>9088</v>
      </c>
      <c r="H2115" s="12">
        <v>18771</v>
      </c>
    </row>
    <row r="2116" spans="1:8">
      <c r="A2116" s="12" t="s">
        <v>9089</v>
      </c>
      <c r="B2116" s="13">
        <v>392.22</v>
      </c>
      <c r="C2116" s="16" t="s">
        <v>5331</v>
      </c>
      <c r="D2116" s="12">
        <v>1132.6500000000001</v>
      </c>
      <c r="E2116" s="12" t="s">
        <v>5332</v>
      </c>
      <c r="F2116" s="12" t="s">
        <v>5328</v>
      </c>
      <c r="G2116" s="12" t="s">
        <v>9090</v>
      </c>
      <c r="H2116" s="12">
        <v>18772</v>
      </c>
    </row>
    <row r="2117" spans="1:8">
      <c r="A2117" s="12" t="s">
        <v>9091</v>
      </c>
      <c r="B2117" s="13">
        <v>97.6</v>
      </c>
      <c r="C2117" s="16" t="s">
        <v>5331</v>
      </c>
      <c r="D2117" s="12">
        <v>332.07499999999999</v>
      </c>
      <c r="E2117" s="12" t="s">
        <v>5332</v>
      </c>
      <c r="F2117" s="12" t="s">
        <v>5328</v>
      </c>
      <c r="G2117" s="12" t="s">
        <v>9092</v>
      </c>
      <c r="H2117" s="12">
        <v>18773</v>
      </c>
    </row>
    <row r="2118" spans="1:8">
      <c r="A2118" s="12" t="s">
        <v>9093</v>
      </c>
      <c r="B2118" s="13">
        <v>12.88</v>
      </c>
      <c r="C2118" s="16" t="s">
        <v>5331</v>
      </c>
      <c r="D2118" s="12">
        <v>66.06</v>
      </c>
      <c r="E2118" s="12" t="s">
        <v>5332</v>
      </c>
      <c r="F2118" s="12" t="s">
        <v>5328</v>
      </c>
      <c r="G2118" s="12" t="s">
        <v>9094</v>
      </c>
      <c r="H2118" s="12">
        <v>37185</v>
      </c>
    </row>
    <row r="2119" spans="1:8">
      <c r="A2119" s="12" t="s">
        <v>9093</v>
      </c>
      <c r="B2119" s="13">
        <v>0</v>
      </c>
      <c r="C2119" s="16" t="s">
        <v>5331</v>
      </c>
      <c r="D2119" s="12">
        <v>54.69</v>
      </c>
      <c r="E2119" s="12" t="s">
        <v>5332</v>
      </c>
      <c r="F2119" s="12" t="s">
        <v>5328</v>
      </c>
      <c r="G2119" s="12" t="s">
        <v>9095</v>
      </c>
      <c r="H2119" s="12">
        <v>20920</v>
      </c>
    </row>
    <row r="2120" spans="1:8">
      <c r="A2120" s="12" t="s">
        <v>9096</v>
      </c>
      <c r="B2120" s="13">
        <v>0</v>
      </c>
      <c r="C2120" s="16" t="s">
        <v>5331</v>
      </c>
      <c r="D2120" s="12">
        <v>140.1</v>
      </c>
      <c r="E2120" s="12" t="s">
        <v>5332</v>
      </c>
      <c r="F2120" s="12" t="s">
        <v>5328</v>
      </c>
      <c r="G2120" s="12" t="s">
        <v>9097</v>
      </c>
      <c r="H2120" s="12">
        <v>20921</v>
      </c>
    </row>
    <row r="2121" spans="1:8">
      <c r="A2121" s="12" t="s">
        <v>9098</v>
      </c>
      <c r="B2121" s="13">
        <v>25.62</v>
      </c>
      <c r="C2121" s="16" t="s">
        <v>5331</v>
      </c>
      <c r="D2121" s="12">
        <v>76.86</v>
      </c>
      <c r="E2121" s="12" t="s">
        <v>5332</v>
      </c>
      <c r="F2121" s="12" t="s">
        <v>5328</v>
      </c>
      <c r="G2121" s="12" t="s">
        <v>9099</v>
      </c>
      <c r="H2121" s="12">
        <v>37187</v>
      </c>
    </row>
    <row r="2122" spans="1:8">
      <c r="A2122" s="12" t="s">
        <v>9098</v>
      </c>
      <c r="B2122" s="13">
        <v>22.02</v>
      </c>
      <c r="C2122" s="16" t="s">
        <v>5331</v>
      </c>
      <c r="D2122" s="12">
        <v>64.06</v>
      </c>
      <c r="E2122" s="12" t="s">
        <v>5332</v>
      </c>
      <c r="F2122" s="12" t="s">
        <v>5328</v>
      </c>
      <c r="G2122" s="12" t="s">
        <v>9100</v>
      </c>
      <c r="H2122" s="12">
        <v>18776</v>
      </c>
    </row>
    <row r="2123" spans="1:8">
      <c r="A2123" s="12" t="s">
        <v>9101</v>
      </c>
      <c r="B2123" s="13">
        <v>17.75</v>
      </c>
      <c r="C2123" s="16" t="s">
        <v>5331</v>
      </c>
      <c r="D2123" s="12">
        <v>76.86</v>
      </c>
      <c r="E2123" s="12" t="s">
        <v>5332</v>
      </c>
      <c r="F2123" s="12" t="s">
        <v>5328</v>
      </c>
      <c r="G2123" s="12" t="s">
        <v>9102</v>
      </c>
      <c r="H2123" s="12">
        <v>37188</v>
      </c>
    </row>
    <row r="2124" spans="1:8">
      <c r="A2124" s="12" t="s">
        <v>9101</v>
      </c>
      <c r="B2124" s="13">
        <v>0</v>
      </c>
      <c r="C2124" s="16" t="s">
        <v>5331</v>
      </c>
      <c r="D2124" s="12">
        <v>64.06</v>
      </c>
      <c r="E2124" s="12" t="s">
        <v>5332</v>
      </c>
      <c r="F2124" s="12" t="s">
        <v>5328</v>
      </c>
      <c r="G2124" s="12" t="s">
        <v>9103</v>
      </c>
      <c r="H2124" s="12">
        <v>18777</v>
      </c>
    </row>
    <row r="2125" spans="1:8">
      <c r="A2125" s="12" t="s">
        <v>9104</v>
      </c>
      <c r="B2125" s="13">
        <v>878.39</v>
      </c>
      <c r="C2125" s="16" t="s">
        <v>5331</v>
      </c>
      <c r="D2125" s="12">
        <v>2833.2</v>
      </c>
      <c r="E2125" s="12" t="s">
        <v>5332</v>
      </c>
      <c r="F2125" s="12" t="s">
        <v>5328</v>
      </c>
      <c r="G2125" s="12" t="s">
        <v>9105</v>
      </c>
      <c r="H2125" s="12">
        <v>21092</v>
      </c>
    </row>
    <row r="2126" spans="1:8">
      <c r="A2126" s="12" t="s">
        <v>9106</v>
      </c>
      <c r="B2126" s="13">
        <v>684.81</v>
      </c>
      <c r="C2126" s="16" t="s">
        <v>5331</v>
      </c>
      <c r="D2126" s="12">
        <v>2295.23</v>
      </c>
      <c r="E2126" s="12" t="s">
        <v>5332</v>
      </c>
      <c r="F2126" s="12" t="s">
        <v>5328</v>
      </c>
      <c r="G2126" s="12" t="s">
        <v>9107</v>
      </c>
      <c r="H2126" s="12">
        <v>21093</v>
      </c>
    </row>
    <row r="2127" spans="1:8">
      <c r="A2127" s="12" t="s">
        <v>9108</v>
      </c>
      <c r="B2127" s="13">
        <v>949.09</v>
      </c>
      <c r="C2127" s="16" t="s">
        <v>5331</v>
      </c>
      <c r="D2127" s="12">
        <v>2961.33</v>
      </c>
      <c r="E2127" s="12" t="s">
        <v>5332</v>
      </c>
      <c r="F2127" s="12" t="s">
        <v>5328</v>
      </c>
      <c r="G2127" s="12" t="s">
        <v>9109</v>
      </c>
      <c r="H2127" s="12">
        <v>21094</v>
      </c>
    </row>
    <row r="2128" spans="1:8">
      <c r="A2128" s="12" t="s">
        <v>9110</v>
      </c>
      <c r="B2128" s="13">
        <v>47.82</v>
      </c>
      <c r="C2128" s="16" t="s">
        <v>5331</v>
      </c>
      <c r="D2128" s="12">
        <v>215.33</v>
      </c>
      <c r="E2128" s="12" t="s">
        <v>5332</v>
      </c>
      <c r="F2128" s="12" t="s">
        <v>5328</v>
      </c>
      <c r="G2128" s="12" t="s">
        <v>9111</v>
      </c>
      <c r="H2128" s="12">
        <v>20922</v>
      </c>
    </row>
    <row r="2129" spans="1:8">
      <c r="A2129" s="12" t="s">
        <v>9112</v>
      </c>
      <c r="B2129" s="13">
        <v>0</v>
      </c>
      <c r="C2129" s="16" t="s">
        <v>5331</v>
      </c>
      <c r="D2129" s="12">
        <v>50.95</v>
      </c>
      <c r="E2129" s="12" t="s">
        <v>5332</v>
      </c>
      <c r="F2129" s="12" t="s">
        <v>5328</v>
      </c>
      <c r="G2129" s="12" t="s">
        <v>9113</v>
      </c>
      <c r="H2129" s="12">
        <v>18778</v>
      </c>
    </row>
    <row r="2130" spans="1:8">
      <c r="A2130" s="12" t="s">
        <v>9112</v>
      </c>
      <c r="B2130" s="13">
        <v>0</v>
      </c>
      <c r="C2130" s="16" t="s">
        <v>5331</v>
      </c>
      <c r="D2130" s="12">
        <v>126.2</v>
      </c>
      <c r="E2130" s="12" t="s">
        <v>5332</v>
      </c>
      <c r="F2130" s="12" t="s">
        <v>5328</v>
      </c>
      <c r="G2130" s="12" t="s">
        <v>9114</v>
      </c>
      <c r="H2130" s="12">
        <v>19783</v>
      </c>
    </row>
    <row r="2131" spans="1:8">
      <c r="A2131" s="12" t="s">
        <v>9115</v>
      </c>
      <c r="B2131" s="13">
        <v>237.51</v>
      </c>
      <c r="C2131" s="16" t="s">
        <v>5331</v>
      </c>
      <c r="D2131" s="12">
        <v>600.15</v>
      </c>
      <c r="E2131" s="12" t="s">
        <v>5332</v>
      </c>
      <c r="F2131" s="12" t="s">
        <v>5328</v>
      </c>
      <c r="G2131" s="12" t="s">
        <v>9116</v>
      </c>
      <c r="H2131" s="12">
        <v>18779</v>
      </c>
    </row>
    <row r="2132" spans="1:8">
      <c r="A2132" s="12" t="s">
        <v>9117</v>
      </c>
      <c r="B2132" s="13">
        <v>69.28</v>
      </c>
      <c r="C2132" s="16" t="s">
        <v>5331</v>
      </c>
      <c r="D2132" s="12">
        <v>199.47499999999999</v>
      </c>
      <c r="E2132" s="12" t="s">
        <v>5332</v>
      </c>
      <c r="F2132" s="12" t="s">
        <v>5328</v>
      </c>
      <c r="G2132" s="12" t="s">
        <v>9118</v>
      </c>
      <c r="H2132" s="12">
        <v>18780</v>
      </c>
    </row>
    <row r="2133" spans="1:8">
      <c r="A2133" s="12" t="s">
        <v>9119</v>
      </c>
      <c r="B2133" s="13">
        <v>548.63</v>
      </c>
      <c r="C2133" s="16" t="s">
        <v>5331</v>
      </c>
      <c r="D2133" s="12">
        <v>1913.15</v>
      </c>
      <c r="E2133" s="12" t="s">
        <v>5332</v>
      </c>
      <c r="F2133" s="12" t="s">
        <v>5328</v>
      </c>
      <c r="G2133" s="12" t="s">
        <v>9120</v>
      </c>
      <c r="H2133" s="12">
        <v>20923</v>
      </c>
    </row>
    <row r="2134" spans="1:8">
      <c r="A2134" s="12" t="s">
        <v>9121</v>
      </c>
      <c r="B2134" s="13">
        <v>472.37</v>
      </c>
      <c r="C2134" s="16" t="s">
        <v>5331</v>
      </c>
      <c r="D2134" s="12">
        <v>1900.08</v>
      </c>
      <c r="E2134" s="12" t="s">
        <v>5332</v>
      </c>
      <c r="F2134" s="12" t="s">
        <v>5328</v>
      </c>
      <c r="G2134" s="12" t="s">
        <v>9122</v>
      </c>
      <c r="H2134" s="12">
        <v>20924</v>
      </c>
    </row>
    <row r="2135" spans="1:8">
      <c r="A2135" s="12" t="s">
        <v>9123</v>
      </c>
      <c r="B2135" s="13">
        <v>553.30999999999995</v>
      </c>
      <c r="C2135" s="16" t="s">
        <v>5331</v>
      </c>
      <c r="D2135" s="12">
        <v>1912.25</v>
      </c>
      <c r="E2135" s="12" t="s">
        <v>5332</v>
      </c>
      <c r="F2135" s="12" t="s">
        <v>5328</v>
      </c>
      <c r="G2135" s="12" t="s">
        <v>9124</v>
      </c>
      <c r="H2135" s="12">
        <v>20925</v>
      </c>
    </row>
    <row r="2136" spans="1:8">
      <c r="A2136" s="12" t="s">
        <v>9125</v>
      </c>
      <c r="B2136" s="13">
        <v>12.39</v>
      </c>
      <c r="C2136" s="16" t="s">
        <v>5331</v>
      </c>
      <c r="D2136" s="12">
        <v>232.8</v>
      </c>
      <c r="E2136" s="12" t="s">
        <v>5332</v>
      </c>
      <c r="F2136" s="12" t="s">
        <v>5328</v>
      </c>
      <c r="G2136" s="12" t="s">
        <v>9126</v>
      </c>
      <c r="H2136" s="12">
        <v>20926</v>
      </c>
    </row>
    <row r="2137" spans="1:8">
      <c r="A2137" s="12" t="s">
        <v>9127</v>
      </c>
      <c r="B2137" s="14">
        <v>1983.06</v>
      </c>
      <c r="C2137" s="16" t="s">
        <v>5331</v>
      </c>
      <c r="D2137" s="12">
        <v>8154.93</v>
      </c>
      <c r="E2137" s="12" t="s">
        <v>5332</v>
      </c>
      <c r="F2137" s="12" t="s">
        <v>5328</v>
      </c>
      <c r="G2137" s="12" t="s">
        <v>9128</v>
      </c>
      <c r="H2137" s="12">
        <v>21095</v>
      </c>
    </row>
    <row r="2138" spans="1:8">
      <c r="A2138" s="12" t="s">
        <v>9127</v>
      </c>
      <c r="B2138" s="14">
        <v>1983.06</v>
      </c>
      <c r="C2138" s="16" t="s">
        <v>5331</v>
      </c>
      <c r="D2138" s="12">
        <v>5436.62</v>
      </c>
      <c r="E2138" s="12" t="s">
        <v>5332</v>
      </c>
      <c r="F2138" s="12" t="s">
        <v>5328</v>
      </c>
      <c r="G2138" s="12" t="s">
        <v>9128</v>
      </c>
      <c r="H2138" s="12">
        <v>21095</v>
      </c>
    </row>
    <row r="2139" spans="1:8">
      <c r="A2139" s="12" t="s">
        <v>9129</v>
      </c>
      <c r="B2139" s="14">
        <v>1515.62</v>
      </c>
      <c r="C2139" s="16" t="s">
        <v>5331</v>
      </c>
      <c r="D2139" s="12">
        <v>6131.73</v>
      </c>
      <c r="E2139" s="12" t="s">
        <v>5332</v>
      </c>
      <c r="F2139" s="12" t="s">
        <v>5328</v>
      </c>
      <c r="G2139" s="12" t="s">
        <v>9130</v>
      </c>
      <c r="H2139" s="12">
        <v>21096</v>
      </c>
    </row>
    <row r="2140" spans="1:8">
      <c r="A2140" s="12" t="s">
        <v>9129</v>
      </c>
      <c r="B2140" s="14">
        <v>1515.62</v>
      </c>
      <c r="C2140" s="16" t="s">
        <v>5331</v>
      </c>
      <c r="D2140" s="12">
        <v>4087.82</v>
      </c>
      <c r="E2140" s="12" t="s">
        <v>5332</v>
      </c>
      <c r="F2140" s="12" t="s">
        <v>5328</v>
      </c>
      <c r="G2140" s="12" t="s">
        <v>9130</v>
      </c>
      <c r="H2140" s="12">
        <v>21096</v>
      </c>
    </row>
    <row r="2141" spans="1:8">
      <c r="A2141" s="12" t="s">
        <v>9131</v>
      </c>
      <c r="B2141" s="14">
        <v>2105.96</v>
      </c>
      <c r="C2141" s="16" t="s">
        <v>5331</v>
      </c>
      <c r="D2141" s="12">
        <v>4904.3999999999996</v>
      </c>
      <c r="E2141" s="12" t="s">
        <v>5332</v>
      </c>
      <c r="F2141" s="12" t="s">
        <v>5328</v>
      </c>
      <c r="G2141" s="12" t="s">
        <v>9132</v>
      </c>
      <c r="H2141" s="12">
        <v>21097</v>
      </c>
    </row>
    <row r="2142" spans="1:8">
      <c r="A2142" s="12" t="s">
        <v>9133</v>
      </c>
      <c r="B2142" s="13">
        <v>536.5</v>
      </c>
      <c r="C2142" s="16" t="s">
        <v>5331</v>
      </c>
      <c r="D2142" s="12">
        <v>1310</v>
      </c>
      <c r="E2142" s="12" t="s">
        <v>5332</v>
      </c>
      <c r="F2142" s="12" t="s">
        <v>5328</v>
      </c>
      <c r="G2142" s="12" t="s">
        <v>9134</v>
      </c>
      <c r="H2142" s="12">
        <v>20927</v>
      </c>
    </row>
    <row r="2143" spans="1:8">
      <c r="A2143" s="12" t="s">
        <v>9135</v>
      </c>
      <c r="B2143" s="14">
        <v>1126.3900000000001</v>
      </c>
      <c r="C2143" s="16" t="s">
        <v>5331</v>
      </c>
      <c r="D2143" s="12">
        <v>6678.36</v>
      </c>
      <c r="E2143" s="12" t="s">
        <v>5332</v>
      </c>
      <c r="F2143" s="12" t="s">
        <v>5328</v>
      </c>
      <c r="G2143" s="12" t="s">
        <v>9136</v>
      </c>
      <c r="H2143" s="12">
        <v>21098</v>
      </c>
    </row>
    <row r="2144" spans="1:8">
      <c r="A2144" s="12" t="s">
        <v>9135</v>
      </c>
      <c r="B2144" s="14">
        <v>1126.3900000000001</v>
      </c>
      <c r="C2144" s="16" t="s">
        <v>5331</v>
      </c>
      <c r="D2144" s="12">
        <v>4452.24</v>
      </c>
      <c r="E2144" s="12" t="s">
        <v>5332</v>
      </c>
      <c r="F2144" s="12" t="s">
        <v>5328</v>
      </c>
      <c r="G2144" s="12" t="s">
        <v>9136</v>
      </c>
      <c r="H2144" s="12">
        <v>21098</v>
      </c>
    </row>
    <row r="2145" spans="1:8">
      <c r="A2145" s="12" t="s">
        <v>9137</v>
      </c>
      <c r="B2145" s="13">
        <v>224.85</v>
      </c>
      <c r="C2145" s="16" t="s">
        <v>5331</v>
      </c>
      <c r="D2145" s="12">
        <v>727.65</v>
      </c>
      <c r="E2145" s="12" t="s">
        <v>5332</v>
      </c>
      <c r="F2145" s="12" t="s">
        <v>5328</v>
      </c>
      <c r="G2145" s="12" t="s">
        <v>9138</v>
      </c>
      <c r="H2145" s="12">
        <v>18781</v>
      </c>
    </row>
    <row r="2146" spans="1:8">
      <c r="A2146" s="12" t="s">
        <v>9139</v>
      </c>
      <c r="B2146" s="13">
        <v>0</v>
      </c>
      <c r="C2146" s="16" t="s">
        <v>5331</v>
      </c>
      <c r="D2146" s="12">
        <v>2576.9499999999998</v>
      </c>
      <c r="E2146" s="12" t="s">
        <v>5332</v>
      </c>
      <c r="F2146" s="12" t="s">
        <v>5328</v>
      </c>
      <c r="G2146" s="12" t="s">
        <v>9140</v>
      </c>
      <c r="H2146" s="12">
        <v>21099</v>
      </c>
    </row>
    <row r="2147" spans="1:8">
      <c r="A2147" s="12" t="s">
        <v>9141</v>
      </c>
      <c r="B2147" s="14">
        <v>7022.04</v>
      </c>
      <c r="C2147" s="16" t="s">
        <v>5331</v>
      </c>
      <c r="D2147" s="12">
        <v>19603.349999999999</v>
      </c>
      <c r="E2147" s="12" t="s">
        <v>5332</v>
      </c>
      <c r="F2147" s="12" t="s">
        <v>5328</v>
      </c>
      <c r="G2147" s="12" t="s">
        <v>9142</v>
      </c>
      <c r="H2147" s="12">
        <v>20928</v>
      </c>
    </row>
    <row r="2148" spans="1:8">
      <c r="A2148" s="12" t="s">
        <v>9143</v>
      </c>
      <c r="B2148" s="14">
        <v>2740.67</v>
      </c>
      <c r="C2148" s="16" t="s">
        <v>5331</v>
      </c>
      <c r="D2148" s="12">
        <v>8830.44</v>
      </c>
      <c r="E2148" s="12" t="s">
        <v>5332</v>
      </c>
      <c r="F2148" s="12" t="s">
        <v>5328</v>
      </c>
      <c r="G2148" s="12" t="s">
        <v>9144</v>
      </c>
      <c r="H2148" s="12">
        <v>21100</v>
      </c>
    </row>
    <row r="2149" spans="1:8">
      <c r="A2149" s="12" t="s">
        <v>9145</v>
      </c>
      <c r="B2149" s="13">
        <v>179.61</v>
      </c>
      <c r="C2149" s="16" t="s">
        <v>5331</v>
      </c>
      <c r="D2149" s="12">
        <v>439.80498</v>
      </c>
      <c r="E2149" s="12" t="s">
        <v>5332</v>
      </c>
      <c r="F2149" s="12" t="s">
        <v>5328</v>
      </c>
      <c r="G2149" s="12" t="s">
        <v>9146</v>
      </c>
      <c r="H2149" s="12">
        <v>34344</v>
      </c>
    </row>
    <row r="2150" spans="1:8">
      <c r="A2150" s="12" t="s">
        <v>9147</v>
      </c>
      <c r="B2150" s="13">
        <v>0</v>
      </c>
      <c r="C2150" s="16" t="s">
        <v>5331</v>
      </c>
      <c r="D2150" s="12">
        <v>0</v>
      </c>
      <c r="E2150" s="12" t="s">
        <v>5332</v>
      </c>
      <c r="F2150" s="12" t="s">
        <v>5328</v>
      </c>
      <c r="G2150" s="12" t="s">
        <v>9148</v>
      </c>
      <c r="H2150" s="12">
        <v>18782</v>
      </c>
    </row>
    <row r="2151" spans="1:8">
      <c r="A2151" s="12" t="s">
        <v>9149</v>
      </c>
      <c r="B2151" s="13">
        <v>21.23</v>
      </c>
      <c r="C2151" s="16" t="s">
        <v>5331</v>
      </c>
      <c r="D2151" s="12">
        <v>0</v>
      </c>
      <c r="E2151" s="12" t="s">
        <v>5332</v>
      </c>
      <c r="F2151" s="12" t="s">
        <v>5328</v>
      </c>
      <c r="G2151" s="12" t="s">
        <v>9150</v>
      </c>
      <c r="H2151" s="12">
        <v>18783</v>
      </c>
    </row>
    <row r="2152" spans="1:8">
      <c r="A2152" s="12" t="s">
        <v>9151</v>
      </c>
      <c r="B2152" s="13">
        <v>421.69</v>
      </c>
      <c r="C2152" s="16" t="s">
        <v>5331</v>
      </c>
      <c r="D2152" s="12">
        <v>0</v>
      </c>
      <c r="E2152" s="12" t="s">
        <v>5332</v>
      </c>
      <c r="F2152" s="12" t="s">
        <v>5328</v>
      </c>
      <c r="G2152" s="12" t="s">
        <v>9152</v>
      </c>
      <c r="H2152" s="12">
        <v>18784</v>
      </c>
    </row>
    <row r="2153" spans="1:8">
      <c r="A2153" s="12" t="s">
        <v>9153</v>
      </c>
      <c r="B2153" s="13">
        <v>104.94</v>
      </c>
      <c r="C2153" s="16" t="s">
        <v>5331</v>
      </c>
      <c r="D2153" s="12">
        <v>0</v>
      </c>
      <c r="E2153" s="12" t="s">
        <v>5332</v>
      </c>
      <c r="F2153" s="12" t="s">
        <v>5328</v>
      </c>
      <c r="G2153" s="12" t="s">
        <v>9154</v>
      </c>
      <c r="H2153" s="12">
        <v>18785</v>
      </c>
    </row>
    <row r="2154" spans="1:8">
      <c r="A2154" s="12" t="s">
        <v>9155</v>
      </c>
      <c r="B2154" s="13">
        <v>680.44</v>
      </c>
      <c r="C2154" s="16" t="s">
        <v>5331</v>
      </c>
      <c r="D2154" s="12">
        <v>0</v>
      </c>
      <c r="E2154" s="12" t="s">
        <v>5332</v>
      </c>
      <c r="F2154" s="12" t="s">
        <v>5328</v>
      </c>
      <c r="G2154" s="12" t="s">
        <v>9156</v>
      </c>
      <c r="H2154" s="12">
        <v>21101</v>
      </c>
    </row>
    <row r="2155" spans="1:8">
      <c r="A2155" s="12" t="s">
        <v>9157</v>
      </c>
      <c r="B2155" s="14">
        <v>1625.83</v>
      </c>
      <c r="C2155" s="16" t="s">
        <v>5331</v>
      </c>
      <c r="D2155" s="12">
        <v>8831.5499999999993</v>
      </c>
      <c r="E2155" s="12" t="s">
        <v>5332</v>
      </c>
      <c r="F2155" s="12" t="s">
        <v>5328</v>
      </c>
      <c r="G2155" s="12" t="s">
        <v>9158</v>
      </c>
      <c r="H2155" s="12">
        <v>30690</v>
      </c>
    </row>
    <row r="2156" spans="1:8">
      <c r="A2156" s="12" t="s">
        <v>9157</v>
      </c>
      <c r="B2156" s="14">
        <v>1625.83</v>
      </c>
      <c r="C2156" s="16" t="s">
        <v>5331</v>
      </c>
      <c r="D2156" s="12">
        <v>5887.7</v>
      </c>
      <c r="E2156" s="12" t="s">
        <v>5332</v>
      </c>
      <c r="F2156" s="12" t="s">
        <v>5328</v>
      </c>
      <c r="G2156" s="12" t="s">
        <v>9158</v>
      </c>
      <c r="H2156" s="12">
        <v>30690</v>
      </c>
    </row>
    <row r="2157" spans="1:8">
      <c r="A2157" s="12" t="s">
        <v>9157</v>
      </c>
      <c r="B2157" s="14">
        <v>1617.62</v>
      </c>
      <c r="C2157" s="16" t="s">
        <v>5331</v>
      </c>
      <c r="D2157" s="12">
        <v>0</v>
      </c>
      <c r="E2157" s="12" t="s">
        <v>5332</v>
      </c>
      <c r="F2157" s="12" t="s">
        <v>5328</v>
      </c>
      <c r="G2157" s="12" t="s">
        <v>9159</v>
      </c>
      <c r="H2157" s="12">
        <v>21102</v>
      </c>
    </row>
    <row r="2158" spans="1:8">
      <c r="A2158" s="12" t="s">
        <v>9160</v>
      </c>
      <c r="B2158" s="14">
        <v>1545.03</v>
      </c>
      <c r="C2158" s="16" t="s">
        <v>5331</v>
      </c>
      <c r="D2158" s="12">
        <v>25706.51</v>
      </c>
      <c r="E2158" s="12" t="s">
        <v>5332</v>
      </c>
      <c r="F2158" s="12" t="s">
        <v>5328</v>
      </c>
      <c r="G2158" s="12" t="s">
        <v>9161</v>
      </c>
      <c r="H2158" s="12">
        <v>37194</v>
      </c>
    </row>
    <row r="2159" spans="1:8">
      <c r="A2159" s="12" t="s">
        <v>9160</v>
      </c>
      <c r="B2159" s="14">
        <v>1545.03</v>
      </c>
      <c r="C2159" s="16" t="s">
        <v>5331</v>
      </c>
      <c r="D2159" s="12">
        <v>17137.669999999998</v>
      </c>
      <c r="E2159" s="12" t="s">
        <v>5332</v>
      </c>
      <c r="F2159" s="12" t="s">
        <v>5328</v>
      </c>
      <c r="G2159" s="12" t="s">
        <v>9161</v>
      </c>
      <c r="H2159" s="12">
        <v>37194</v>
      </c>
    </row>
    <row r="2160" spans="1:8">
      <c r="A2160" s="12" t="s">
        <v>9162</v>
      </c>
      <c r="B2160" s="14">
        <v>1691.83</v>
      </c>
      <c r="C2160" s="16" t="s">
        <v>5331</v>
      </c>
      <c r="D2160" s="12">
        <v>0</v>
      </c>
      <c r="E2160" s="12" t="s">
        <v>5332</v>
      </c>
      <c r="F2160" s="12" t="s">
        <v>5328</v>
      </c>
      <c r="G2160" s="12" t="s">
        <v>9163</v>
      </c>
      <c r="H2160" s="12">
        <v>21103</v>
      </c>
    </row>
    <row r="2161" spans="1:8">
      <c r="A2161" s="12" t="s">
        <v>9162</v>
      </c>
      <c r="B2161" s="14">
        <v>1716.08</v>
      </c>
      <c r="C2161" s="16" t="s">
        <v>5331</v>
      </c>
      <c r="D2161" s="12">
        <v>0</v>
      </c>
      <c r="E2161" s="12" t="s">
        <v>5332</v>
      </c>
      <c r="F2161" s="12" t="s">
        <v>5328</v>
      </c>
      <c r="G2161" s="12" t="s">
        <v>9164</v>
      </c>
      <c r="H2161" s="12">
        <v>30692</v>
      </c>
    </row>
    <row r="2162" spans="1:8">
      <c r="A2162" s="12" t="s">
        <v>9165</v>
      </c>
      <c r="B2162" s="14">
        <v>1131.3900000000001</v>
      </c>
      <c r="C2162" s="16" t="s">
        <v>5331</v>
      </c>
      <c r="D2162" s="12">
        <v>16196.07</v>
      </c>
      <c r="E2162" s="12" t="s">
        <v>5332</v>
      </c>
      <c r="F2162" s="12" t="s">
        <v>5328</v>
      </c>
      <c r="G2162" s="12" t="s">
        <v>9166</v>
      </c>
      <c r="H2162" s="12">
        <v>30693</v>
      </c>
    </row>
    <row r="2163" spans="1:8">
      <c r="A2163" s="12" t="s">
        <v>9165</v>
      </c>
      <c r="B2163" s="14">
        <v>1131.3900000000001</v>
      </c>
      <c r="C2163" s="16" t="s">
        <v>5331</v>
      </c>
      <c r="D2163" s="12">
        <v>10797.38</v>
      </c>
      <c r="E2163" s="12" t="s">
        <v>5332</v>
      </c>
      <c r="F2163" s="12" t="s">
        <v>5328</v>
      </c>
      <c r="G2163" s="12" t="s">
        <v>9166</v>
      </c>
      <c r="H2163" s="12">
        <v>30693</v>
      </c>
    </row>
    <row r="2164" spans="1:8">
      <c r="A2164" s="12" t="s">
        <v>9167</v>
      </c>
      <c r="B2164" s="14">
        <v>1320.83</v>
      </c>
      <c r="C2164" s="16" t="s">
        <v>5331</v>
      </c>
      <c r="D2164" s="12">
        <v>0</v>
      </c>
      <c r="E2164" s="12" t="s">
        <v>5332</v>
      </c>
      <c r="F2164" s="12" t="s">
        <v>5328</v>
      </c>
      <c r="G2164" s="12" t="s">
        <v>9168</v>
      </c>
      <c r="H2164" s="12">
        <v>21104</v>
      </c>
    </row>
    <row r="2165" spans="1:8">
      <c r="A2165" s="12" t="s">
        <v>9169</v>
      </c>
      <c r="B2165" s="14">
        <v>1731.93</v>
      </c>
      <c r="C2165" s="16" t="s">
        <v>5331</v>
      </c>
      <c r="D2165" s="12">
        <v>22576.799999999999</v>
      </c>
      <c r="E2165" s="12" t="s">
        <v>5332</v>
      </c>
      <c r="F2165" s="12" t="s">
        <v>5328</v>
      </c>
      <c r="G2165" s="12" t="s">
        <v>9170</v>
      </c>
      <c r="H2165" s="12">
        <v>30694</v>
      </c>
    </row>
    <row r="2166" spans="1:8">
      <c r="A2166" s="12" t="s">
        <v>9169</v>
      </c>
      <c r="B2166" s="14">
        <v>1731.93</v>
      </c>
      <c r="C2166" s="16" t="s">
        <v>5331</v>
      </c>
      <c r="D2166" s="12">
        <v>15051.2</v>
      </c>
      <c r="E2166" s="12" t="s">
        <v>5332</v>
      </c>
      <c r="F2166" s="12" t="s">
        <v>5328</v>
      </c>
      <c r="G2166" s="12" t="s">
        <v>9170</v>
      </c>
      <c r="H2166" s="12">
        <v>30694</v>
      </c>
    </row>
    <row r="2167" spans="1:8">
      <c r="A2167" s="12" t="s">
        <v>9171</v>
      </c>
      <c r="B2167" s="14">
        <v>1655.75</v>
      </c>
      <c r="C2167" s="16" t="s">
        <v>5331</v>
      </c>
      <c r="D2167" s="12">
        <v>0</v>
      </c>
      <c r="E2167" s="12" t="s">
        <v>5332</v>
      </c>
      <c r="F2167" s="12" t="s">
        <v>5328</v>
      </c>
      <c r="G2167" s="12" t="s">
        <v>9172</v>
      </c>
      <c r="H2167" s="12">
        <v>21105</v>
      </c>
    </row>
    <row r="2168" spans="1:8">
      <c r="A2168" s="12" t="s">
        <v>9173</v>
      </c>
      <c r="B2168" s="14">
        <v>1862.92</v>
      </c>
      <c r="C2168" s="16" t="s">
        <v>5331</v>
      </c>
      <c r="D2168" s="12">
        <v>14334.48</v>
      </c>
      <c r="E2168" s="12" t="s">
        <v>5332</v>
      </c>
      <c r="F2168" s="12" t="s">
        <v>5328</v>
      </c>
      <c r="G2168" s="12" t="s">
        <v>9174</v>
      </c>
      <c r="H2168" s="12">
        <v>61052</v>
      </c>
    </row>
    <row r="2169" spans="1:8">
      <c r="A2169" s="12" t="s">
        <v>9175</v>
      </c>
      <c r="B2169" s="14">
        <v>1217.8499999999999</v>
      </c>
      <c r="C2169" s="16" t="s">
        <v>5331</v>
      </c>
      <c r="D2169" s="12">
        <v>13920.42</v>
      </c>
      <c r="E2169" s="12" t="s">
        <v>5332</v>
      </c>
      <c r="F2169" s="12" t="s">
        <v>5328</v>
      </c>
      <c r="G2169" s="12" t="s">
        <v>9176</v>
      </c>
      <c r="H2169" s="12">
        <v>37197</v>
      </c>
    </row>
    <row r="2170" spans="1:8">
      <c r="A2170" s="12" t="s">
        <v>9175</v>
      </c>
      <c r="B2170" s="14">
        <v>1217.8499999999999</v>
      </c>
      <c r="C2170" s="16" t="s">
        <v>5331</v>
      </c>
      <c r="D2170" s="12">
        <v>9280.2800000000007</v>
      </c>
      <c r="E2170" s="12" t="s">
        <v>5332</v>
      </c>
      <c r="F2170" s="12" t="s">
        <v>5328</v>
      </c>
      <c r="G2170" s="12" t="s">
        <v>9176</v>
      </c>
      <c r="H2170" s="12">
        <v>37197</v>
      </c>
    </row>
    <row r="2171" spans="1:8">
      <c r="A2171" s="12" t="s">
        <v>9177</v>
      </c>
      <c r="B2171" s="14">
        <v>1315.58</v>
      </c>
      <c r="C2171" s="16" t="s">
        <v>5331</v>
      </c>
      <c r="D2171" s="12">
        <v>3291.06</v>
      </c>
      <c r="E2171" s="12" t="s">
        <v>5332</v>
      </c>
      <c r="F2171" s="12" t="s">
        <v>5328</v>
      </c>
      <c r="G2171" s="12" t="s">
        <v>9178</v>
      </c>
      <c r="H2171" s="12">
        <v>21106</v>
      </c>
    </row>
    <row r="2172" spans="1:8">
      <c r="A2172" s="12" t="s">
        <v>9177</v>
      </c>
      <c r="B2172" s="14">
        <v>1417.98</v>
      </c>
      <c r="C2172" s="16" t="s">
        <v>5331</v>
      </c>
      <c r="D2172" s="12">
        <v>3291.06</v>
      </c>
      <c r="E2172" s="12" t="s">
        <v>5332</v>
      </c>
      <c r="F2172" s="12" t="s">
        <v>5328</v>
      </c>
      <c r="G2172" s="12" t="s">
        <v>9179</v>
      </c>
      <c r="H2172" s="12">
        <v>31811</v>
      </c>
    </row>
    <row r="2173" spans="1:8">
      <c r="A2173" s="12" t="s">
        <v>9180</v>
      </c>
      <c r="B2173" s="14">
        <v>1753.07</v>
      </c>
      <c r="C2173" s="16" t="s">
        <v>5331</v>
      </c>
      <c r="D2173" s="12">
        <v>12705</v>
      </c>
      <c r="E2173" s="12" t="s">
        <v>5332</v>
      </c>
      <c r="F2173" s="12" t="s">
        <v>5328</v>
      </c>
      <c r="G2173" s="12" t="s">
        <v>9181</v>
      </c>
      <c r="H2173" s="12">
        <v>75385</v>
      </c>
    </row>
    <row r="2174" spans="1:8">
      <c r="A2174" s="12" t="s">
        <v>9180</v>
      </c>
      <c r="B2174" s="14">
        <v>1227.1500000000001</v>
      </c>
      <c r="C2174" s="16" t="s">
        <v>5331</v>
      </c>
      <c r="D2174" s="12">
        <v>10000</v>
      </c>
      <c r="E2174" s="12" t="s">
        <v>5332</v>
      </c>
      <c r="F2174" s="12" t="s">
        <v>5328</v>
      </c>
      <c r="G2174" s="12" t="s">
        <v>9182</v>
      </c>
      <c r="H2174" s="12">
        <v>204725</v>
      </c>
    </row>
    <row r="2175" spans="1:8">
      <c r="A2175" s="12" t="s">
        <v>9180</v>
      </c>
      <c r="B2175" s="13">
        <v>0.01</v>
      </c>
      <c r="C2175" s="16" t="s">
        <v>5331</v>
      </c>
      <c r="D2175" s="12">
        <v>10000</v>
      </c>
      <c r="E2175" s="12" t="s">
        <v>5332</v>
      </c>
      <c r="F2175" s="12" t="s">
        <v>5328</v>
      </c>
      <c r="G2175" s="12" t="s">
        <v>9183</v>
      </c>
      <c r="H2175" s="12">
        <v>208608</v>
      </c>
    </row>
    <row r="2176" spans="1:8">
      <c r="A2176" s="12" t="s">
        <v>9180</v>
      </c>
      <c r="B2176" s="13">
        <v>0</v>
      </c>
      <c r="C2176" s="16" t="s">
        <v>5331</v>
      </c>
      <c r="D2176" s="12">
        <v>10000</v>
      </c>
      <c r="E2176" s="12" t="s">
        <v>5332</v>
      </c>
      <c r="F2176" s="12" t="s">
        <v>5328</v>
      </c>
      <c r="G2176" s="12" t="s">
        <v>9184</v>
      </c>
      <c r="H2176" s="12">
        <v>204749</v>
      </c>
    </row>
    <row r="2177" spans="1:8">
      <c r="A2177" s="12" t="s">
        <v>9185</v>
      </c>
      <c r="B2177" s="13">
        <v>697.88</v>
      </c>
      <c r="C2177" s="16" t="s">
        <v>5331</v>
      </c>
      <c r="D2177" s="12">
        <v>2225.0284799999999</v>
      </c>
      <c r="E2177" s="12" t="s">
        <v>5332</v>
      </c>
      <c r="F2177" s="12" t="s">
        <v>5328</v>
      </c>
      <c r="G2177" s="12" t="s">
        <v>9186</v>
      </c>
      <c r="H2177" s="12">
        <v>44510</v>
      </c>
    </row>
    <row r="2178" spans="1:8">
      <c r="A2178" s="12" t="s">
        <v>9187</v>
      </c>
      <c r="B2178" s="13">
        <v>816.03</v>
      </c>
      <c r="C2178" s="16" t="s">
        <v>5331</v>
      </c>
      <c r="D2178" s="12">
        <v>2499.4984800000002</v>
      </c>
      <c r="E2178" s="12" t="s">
        <v>5332</v>
      </c>
      <c r="F2178" s="12" t="s">
        <v>5328</v>
      </c>
      <c r="G2178" s="12" t="s">
        <v>9188</v>
      </c>
      <c r="H2178" s="12">
        <v>34662</v>
      </c>
    </row>
    <row r="2179" spans="1:8">
      <c r="A2179" s="12" t="s">
        <v>9189</v>
      </c>
      <c r="B2179" s="13">
        <v>28.31</v>
      </c>
      <c r="C2179" s="16" t="s">
        <v>5331</v>
      </c>
      <c r="D2179" s="12">
        <v>272.64479999999998</v>
      </c>
      <c r="E2179" s="12" t="s">
        <v>5332</v>
      </c>
      <c r="F2179" s="12" t="s">
        <v>5328</v>
      </c>
      <c r="G2179" s="12" t="s">
        <v>9190</v>
      </c>
      <c r="H2179" s="12">
        <v>32625</v>
      </c>
    </row>
    <row r="2180" spans="1:8">
      <c r="A2180" s="12" t="s">
        <v>9191</v>
      </c>
      <c r="B2180" s="13">
        <v>0</v>
      </c>
      <c r="C2180" s="16" t="s">
        <v>5331</v>
      </c>
      <c r="D2180" s="12">
        <v>439.80498</v>
      </c>
      <c r="E2180" s="12" t="s">
        <v>5332</v>
      </c>
      <c r="F2180" s="12" t="s">
        <v>5328</v>
      </c>
      <c r="G2180" s="12" t="s">
        <v>9192</v>
      </c>
      <c r="H2180" s="12">
        <v>32728</v>
      </c>
    </row>
    <row r="2181" spans="1:8">
      <c r="A2181" s="12" t="s">
        <v>9193</v>
      </c>
      <c r="B2181" s="13">
        <v>9.6999999999999993</v>
      </c>
      <c r="C2181" s="16" t="s">
        <v>5331</v>
      </c>
      <c r="D2181" s="12">
        <v>9.6611999999999991</v>
      </c>
      <c r="E2181" s="12" t="s">
        <v>5332</v>
      </c>
      <c r="F2181" s="12" t="s">
        <v>5328</v>
      </c>
      <c r="G2181" s="12" t="s">
        <v>9194</v>
      </c>
      <c r="H2181" s="12">
        <v>31758</v>
      </c>
    </row>
    <row r="2182" spans="1:8">
      <c r="A2182" s="12" t="s">
        <v>9195</v>
      </c>
      <c r="B2182" s="13">
        <v>47.22</v>
      </c>
      <c r="C2182" s="16" t="s">
        <v>5331</v>
      </c>
      <c r="D2182" s="12">
        <v>264.45479999999998</v>
      </c>
      <c r="E2182" s="12" t="s">
        <v>5332</v>
      </c>
      <c r="F2182" s="12" t="s">
        <v>5328</v>
      </c>
      <c r="G2182" s="12" t="s">
        <v>9196</v>
      </c>
      <c r="H2182" s="12">
        <v>32833</v>
      </c>
    </row>
    <row r="2183" spans="1:8">
      <c r="A2183" s="12" t="s">
        <v>9197</v>
      </c>
      <c r="B2183" s="13">
        <v>737.68</v>
      </c>
      <c r="C2183" s="16" t="s">
        <v>5331</v>
      </c>
      <c r="D2183" s="12">
        <v>2326.69848</v>
      </c>
      <c r="E2183" s="12" t="s">
        <v>5332</v>
      </c>
      <c r="F2183" s="12" t="s">
        <v>5328</v>
      </c>
      <c r="G2183" s="12" t="s">
        <v>9198</v>
      </c>
      <c r="H2183" s="12">
        <v>45317</v>
      </c>
    </row>
    <row r="2184" spans="1:8">
      <c r="A2184" s="12" t="s">
        <v>9199</v>
      </c>
      <c r="B2184" s="13">
        <v>23.73</v>
      </c>
      <c r="C2184" s="16" t="s">
        <v>5331</v>
      </c>
      <c r="D2184" s="12">
        <v>68.73</v>
      </c>
      <c r="E2184" s="12" t="s">
        <v>5332</v>
      </c>
      <c r="F2184" s="12" t="s">
        <v>5328</v>
      </c>
      <c r="G2184" s="12" t="s">
        <v>9200</v>
      </c>
      <c r="H2184" s="12">
        <v>31254</v>
      </c>
    </row>
    <row r="2185" spans="1:8">
      <c r="A2185" s="12" t="s">
        <v>9201</v>
      </c>
      <c r="B2185" s="13">
        <v>536.78</v>
      </c>
      <c r="C2185" s="16" t="s">
        <v>5331</v>
      </c>
      <c r="D2185" s="12">
        <v>1468.5996</v>
      </c>
      <c r="E2185" s="12" t="s">
        <v>5332</v>
      </c>
      <c r="F2185" s="12" t="s">
        <v>5328</v>
      </c>
      <c r="G2185" s="12" t="s">
        <v>9202</v>
      </c>
      <c r="H2185" s="12">
        <v>34665</v>
      </c>
    </row>
    <row r="2186" spans="1:8">
      <c r="A2186" s="12" t="s">
        <v>9203</v>
      </c>
      <c r="B2186" s="13">
        <v>365.95</v>
      </c>
      <c r="C2186" s="16" t="s">
        <v>5331</v>
      </c>
      <c r="D2186" s="12">
        <v>1359.3396</v>
      </c>
      <c r="E2186" s="12" t="s">
        <v>5332</v>
      </c>
      <c r="F2186" s="12" t="s">
        <v>5328</v>
      </c>
      <c r="G2186" s="12" t="s">
        <v>9204</v>
      </c>
      <c r="H2186" s="12">
        <v>34661</v>
      </c>
    </row>
    <row r="2187" spans="1:8">
      <c r="A2187" s="12" t="s">
        <v>9205</v>
      </c>
      <c r="B2187" s="13">
        <v>319</v>
      </c>
      <c r="C2187" s="16" t="s">
        <v>5331</v>
      </c>
      <c r="D2187" s="12">
        <v>1059</v>
      </c>
      <c r="E2187" s="12" t="s">
        <v>5332</v>
      </c>
      <c r="F2187" s="12" t="s">
        <v>5328</v>
      </c>
      <c r="G2187" s="12" t="s">
        <v>9206</v>
      </c>
      <c r="H2187" s="12">
        <v>37207</v>
      </c>
    </row>
    <row r="2188" spans="1:8">
      <c r="A2188" s="12" t="s">
        <v>9207</v>
      </c>
      <c r="B2188" s="13">
        <v>182</v>
      </c>
      <c r="C2188" s="16" t="s">
        <v>5331</v>
      </c>
      <c r="D2188" s="12">
        <v>606</v>
      </c>
      <c r="E2188" s="12" t="s">
        <v>5332</v>
      </c>
      <c r="F2188" s="12" t="s">
        <v>5328</v>
      </c>
      <c r="G2188" s="12" t="s">
        <v>9208</v>
      </c>
      <c r="H2188" s="12">
        <v>37208</v>
      </c>
    </row>
    <row r="2189" spans="1:8">
      <c r="A2189" s="12" t="s">
        <v>9209</v>
      </c>
      <c r="B2189" s="13">
        <v>368.7</v>
      </c>
      <c r="C2189" s="16" t="s">
        <v>5331</v>
      </c>
      <c r="D2189" s="12">
        <v>795</v>
      </c>
      <c r="E2189" s="12" t="s">
        <v>5332</v>
      </c>
      <c r="F2189" s="12" t="s">
        <v>5328</v>
      </c>
      <c r="G2189" s="12" t="s">
        <v>9210</v>
      </c>
      <c r="H2189" s="12">
        <v>37209</v>
      </c>
    </row>
    <row r="2190" spans="1:8">
      <c r="A2190" s="12" t="s">
        <v>9211</v>
      </c>
      <c r="B2190" s="13">
        <v>201.33</v>
      </c>
      <c r="C2190" s="16" t="s">
        <v>5331</v>
      </c>
      <c r="D2190" s="12">
        <v>624</v>
      </c>
      <c r="E2190" s="12" t="s">
        <v>5332</v>
      </c>
      <c r="F2190" s="12" t="s">
        <v>5328</v>
      </c>
      <c r="G2190" s="12" t="s">
        <v>9212</v>
      </c>
      <c r="H2190" s="12">
        <v>51387</v>
      </c>
    </row>
    <row r="2191" spans="1:8">
      <c r="A2191" s="12" t="s">
        <v>9213</v>
      </c>
      <c r="B2191" s="13">
        <v>398.16</v>
      </c>
      <c r="C2191" s="16" t="s">
        <v>5331</v>
      </c>
      <c r="D2191" s="12">
        <v>489</v>
      </c>
      <c r="E2191" s="12" t="s">
        <v>5332</v>
      </c>
      <c r="F2191" s="12" t="s">
        <v>5328</v>
      </c>
      <c r="G2191" s="12" t="s">
        <v>9214</v>
      </c>
      <c r="H2191" s="12">
        <v>37210</v>
      </c>
    </row>
    <row r="2192" spans="1:8">
      <c r="A2192" s="12" t="s">
        <v>9215</v>
      </c>
      <c r="B2192" s="13">
        <v>0</v>
      </c>
      <c r="C2192" s="16" t="s">
        <v>5331</v>
      </c>
      <c r="D2192" s="12">
        <v>3770.79</v>
      </c>
      <c r="E2192" s="12" t="s">
        <v>5332</v>
      </c>
      <c r="F2192" s="12" t="s">
        <v>5328</v>
      </c>
      <c r="G2192" s="12" t="s">
        <v>9216</v>
      </c>
      <c r="H2192" s="12">
        <v>37211</v>
      </c>
    </row>
    <row r="2193" spans="1:8">
      <c r="A2193" s="12" t="s">
        <v>9217</v>
      </c>
      <c r="B2193" s="13">
        <v>0</v>
      </c>
      <c r="C2193" s="16" t="s">
        <v>5331</v>
      </c>
      <c r="D2193" s="12">
        <v>1797.63</v>
      </c>
      <c r="E2193" s="12" t="s">
        <v>5332</v>
      </c>
      <c r="F2193" s="12" t="s">
        <v>5328</v>
      </c>
      <c r="G2193" s="12" t="s">
        <v>9218</v>
      </c>
      <c r="H2193" s="12">
        <v>37212</v>
      </c>
    </row>
    <row r="2194" spans="1:8">
      <c r="A2194" s="12" t="s">
        <v>9219</v>
      </c>
      <c r="B2194" s="13">
        <v>0</v>
      </c>
      <c r="C2194" s="16" t="s">
        <v>5331</v>
      </c>
      <c r="D2194" s="12">
        <v>2678.37</v>
      </c>
      <c r="E2194" s="12" t="s">
        <v>5332</v>
      </c>
      <c r="F2194" s="12" t="s">
        <v>5328</v>
      </c>
      <c r="G2194" s="12" t="s">
        <v>9220</v>
      </c>
      <c r="H2194" s="12">
        <v>37213</v>
      </c>
    </row>
    <row r="2195" spans="1:8">
      <c r="A2195" s="12" t="s">
        <v>9221</v>
      </c>
      <c r="B2195" s="13">
        <v>0</v>
      </c>
      <c r="C2195" s="16" t="s">
        <v>5331</v>
      </c>
      <c r="D2195" s="12">
        <v>1345.35</v>
      </c>
      <c r="E2195" s="12" t="s">
        <v>5332</v>
      </c>
      <c r="F2195" s="12" t="s">
        <v>5328</v>
      </c>
      <c r="G2195" s="12" t="s">
        <v>9222</v>
      </c>
      <c r="H2195" s="12">
        <v>37214</v>
      </c>
    </row>
    <row r="2196" spans="1:8">
      <c r="A2196" s="12" t="s">
        <v>9223</v>
      </c>
      <c r="B2196" s="13">
        <v>0</v>
      </c>
      <c r="C2196" s="16" t="s">
        <v>5331</v>
      </c>
      <c r="D2196" s="12">
        <v>3568.98</v>
      </c>
      <c r="E2196" s="12" t="s">
        <v>5332</v>
      </c>
      <c r="F2196" s="12" t="s">
        <v>5328</v>
      </c>
      <c r="G2196" s="12" t="s">
        <v>9224</v>
      </c>
      <c r="H2196" s="12">
        <v>37215</v>
      </c>
    </row>
    <row r="2197" spans="1:8">
      <c r="A2197" s="12" t="s">
        <v>9225</v>
      </c>
      <c r="B2197" s="13">
        <v>161.94999999999999</v>
      </c>
      <c r="C2197" s="16" t="s">
        <v>5331</v>
      </c>
      <c r="D2197" s="12">
        <v>363.88</v>
      </c>
      <c r="E2197" s="12" t="s">
        <v>5332</v>
      </c>
      <c r="F2197" s="12" t="s">
        <v>5328</v>
      </c>
      <c r="G2197" s="12" t="s">
        <v>9226</v>
      </c>
      <c r="H2197" s="12">
        <v>20929</v>
      </c>
    </row>
    <row r="2198" spans="1:8">
      <c r="A2198" s="12" t="s">
        <v>9227</v>
      </c>
      <c r="B2198" s="13">
        <v>4.2300000000000004</v>
      </c>
      <c r="C2198" s="16" t="s">
        <v>5331</v>
      </c>
      <c r="D2198" s="12">
        <v>0</v>
      </c>
      <c r="E2198" s="12" t="s">
        <v>5332</v>
      </c>
      <c r="F2198" s="12" t="s">
        <v>5328</v>
      </c>
      <c r="G2198" s="12" t="s">
        <v>9228</v>
      </c>
      <c r="H2198" s="12">
        <v>20930</v>
      </c>
    </row>
    <row r="2199" spans="1:8">
      <c r="A2199" s="12" t="s">
        <v>9229</v>
      </c>
      <c r="B2199" s="14">
        <v>1669.32</v>
      </c>
      <c r="C2199" s="16" t="s">
        <v>5331</v>
      </c>
      <c r="D2199" s="12">
        <v>9092.36</v>
      </c>
      <c r="E2199" s="12" t="s">
        <v>5332</v>
      </c>
      <c r="F2199" s="12" t="s">
        <v>5328</v>
      </c>
      <c r="G2199" s="12" t="s">
        <v>9230</v>
      </c>
      <c r="H2199" s="12">
        <v>57307</v>
      </c>
    </row>
    <row r="2200" spans="1:8">
      <c r="A2200" s="12" t="s">
        <v>9231</v>
      </c>
      <c r="B2200" s="14">
        <v>1581.28</v>
      </c>
      <c r="C2200" s="16" t="s">
        <v>5331</v>
      </c>
      <c r="D2200" s="12">
        <v>10092.870000000001</v>
      </c>
      <c r="E2200" s="12" t="s">
        <v>5332</v>
      </c>
      <c r="F2200" s="12" t="s">
        <v>5328</v>
      </c>
      <c r="G2200" s="12" t="s">
        <v>9232</v>
      </c>
      <c r="H2200" s="12">
        <v>57308</v>
      </c>
    </row>
    <row r="2201" spans="1:8">
      <c r="A2201" s="12" t="s">
        <v>9233</v>
      </c>
      <c r="B2201" s="14">
        <v>1238.28</v>
      </c>
      <c r="C2201" s="16" t="s">
        <v>5331</v>
      </c>
      <c r="D2201" s="12">
        <v>6557.12</v>
      </c>
      <c r="E2201" s="12" t="s">
        <v>5332</v>
      </c>
      <c r="F2201" s="12" t="s">
        <v>5328</v>
      </c>
      <c r="G2201" s="12" t="s">
        <v>9234</v>
      </c>
      <c r="H2201" s="12">
        <v>57309</v>
      </c>
    </row>
    <row r="2202" spans="1:8">
      <c r="A2202" s="12" t="s">
        <v>9235</v>
      </c>
      <c r="B2202" s="14">
        <v>1254.0999999999999</v>
      </c>
      <c r="C2202" s="16" t="s">
        <v>5331</v>
      </c>
      <c r="D2202" s="12">
        <v>5844.77</v>
      </c>
      <c r="E2202" s="12" t="s">
        <v>5332</v>
      </c>
      <c r="F2202" s="12" t="s">
        <v>5328</v>
      </c>
      <c r="G2202" s="12" t="s">
        <v>9236</v>
      </c>
      <c r="H2202" s="12">
        <v>57310</v>
      </c>
    </row>
    <row r="2203" spans="1:8">
      <c r="A2203" s="12" t="s">
        <v>9237</v>
      </c>
      <c r="B2203" s="14">
        <v>1662.08</v>
      </c>
      <c r="C2203" s="16" t="s">
        <v>5331</v>
      </c>
      <c r="D2203" s="12">
        <v>11016.24</v>
      </c>
      <c r="E2203" s="12" t="s">
        <v>5332</v>
      </c>
      <c r="F2203" s="12" t="s">
        <v>5328</v>
      </c>
      <c r="G2203" s="12" t="s">
        <v>9238</v>
      </c>
      <c r="H2203" s="12">
        <v>57311</v>
      </c>
    </row>
    <row r="2204" spans="1:8">
      <c r="A2204" s="12" t="s">
        <v>9239</v>
      </c>
      <c r="B2204" s="13">
        <v>0</v>
      </c>
      <c r="C2204" s="16" t="s">
        <v>5331</v>
      </c>
      <c r="D2204" s="12">
        <v>347.13</v>
      </c>
      <c r="E2204" s="12" t="s">
        <v>5332</v>
      </c>
      <c r="F2204" s="12" t="s">
        <v>5328</v>
      </c>
      <c r="G2204" s="12" t="s">
        <v>9240</v>
      </c>
      <c r="H2204" s="12">
        <v>58971</v>
      </c>
    </row>
    <row r="2205" spans="1:8">
      <c r="A2205" s="12" t="s">
        <v>9241</v>
      </c>
      <c r="B2205" s="14">
        <v>5200.72</v>
      </c>
      <c r="C2205" s="16" t="s">
        <v>5331</v>
      </c>
      <c r="D2205" s="12">
        <v>110565</v>
      </c>
      <c r="E2205" s="12" t="s">
        <v>5332</v>
      </c>
      <c r="F2205" s="12" t="s">
        <v>5328</v>
      </c>
      <c r="G2205" s="12" t="s">
        <v>9242</v>
      </c>
      <c r="H2205" s="12">
        <v>278238</v>
      </c>
    </row>
    <row r="2206" spans="1:8">
      <c r="A2206" s="12" t="s">
        <v>9241</v>
      </c>
      <c r="B2206" s="14">
        <v>5212.83</v>
      </c>
      <c r="C2206" s="16" t="s">
        <v>5331</v>
      </c>
      <c r="D2206" s="12">
        <v>121622</v>
      </c>
      <c r="E2206" s="12" t="s">
        <v>5332</v>
      </c>
      <c r="F2206" s="12" t="s">
        <v>5328</v>
      </c>
      <c r="G2206" s="12" t="s">
        <v>9243</v>
      </c>
      <c r="H2206" s="12">
        <v>211668</v>
      </c>
    </row>
    <row r="2207" spans="1:8">
      <c r="A2207" s="12" t="s">
        <v>9244</v>
      </c>
      <c r="B2207" s="13">
        <v>65.37</v>
      </c>
      <c r="C2207" s="16" t="s">
        <v>5331</v>
      </c>
      <c r="D2207" s="12">
        <v>360.29</v>
      </c>
      <c r="E2207" s="12" t="s">
        <v>5332</v>
      </c>
      <c r="F2207" s="12" t="s">
        <v>5328</v>
      </c>
      <c r="G2207" s="12" t="s">
        <v>9245</v>
      </c>
      <c r="H2207" s="12">
        <v>75846</v>
      </c>
    </row>
    <row r="2208" spans="1:8">
      <c r="A2208" s="12" t="s">
        <v>9246</v>
      </c>
      <c r="B2208" s="13">
        <v>65.38</v>
      </c>
      <c r="C2208" s="16" t="s">
        <v>5331</v>
      </c>
      <c r="D2208" s="12">
        <v>363.92</v>
      </c>
      <c r="E2208" s="12" t="s">
        <v>5332</v>
      </c>
      <c r="F2208" s="12" t="s">
        <v>5328</v>
      </c>
      <c r="G2208" s="12" t="s">
        <v>9247</v>
      </c>
      <c r="H2208" s="12">
        <v>75847</v>
      </c>
    </row>
    <row r="2209" spans="1:8">
      <c r="A2209" s="12" t="s">
        <v>9248</v>
      </c>
      <c r="B2209" s="13">
        <v>30.95</v>
      </c>
      <c r="C2209" s="16" t="s">
        <v>5331</v>
      </c>
      <c r="D2209" s="12">
        <v>470.15</v>
      </c>
      <c r="E2209" s="12" t="s">
        <v>5332</v>
      </c>
      <c r="F2209" s="12" t="s">
        <v>5328</v>
      </c>
      <c r="G2209" s="12" t="s">
        <v>9249</v>
      </c>
      <c r="H2209" s="12">
        <v>75848</v>
      </c>
    </row>
    <row r="2210" spans="1:8">
      <c r="A2210" s="12" t="s">
        <v>9250</v>
      </c>
      <c r="B2210" s="13">
        <v>233.14</v>
      </c>
      <c r="C2210" s="16" t="s">
        <v>5331</v>
      </c>
      <c r="D2210" s="12">
        <v>1186.58</v>
      </c>
      <c r="E2210" s="12" t="s">
        <v>5332</v>
      </c>
      <c r="F2210" s="12" t="s">
        <v>5328</v>
      </c>
      <c r="G2210" s="12" t="s">
        <v>9251</v>
      </c>
      <c r="H2210" s="12">
        <v>75857</v>
      </c>
    </row>
    <row r="2211" spans="1:8">
      <c r="A2211" s="12" t="s">
        <v>9250</v>
      </c>
      <c r="B2211" s="13">
        <v>0</v>
      </c>
      <c r="C2211" s="16" t="s">
        <v>5331</v>
      </c>
      <c r="D2211" s="12">
        <v>753.38400000000001</v>
      </c>
      <c r="E2211" s="12" t="s">
        <v>5332</v>
      </c>
      <c r="F2211" s="12" t="s">
        <v>5328</v>
      </c>
      <c r="G2211" s="12" t="s">
        <v>9252</v>
      </c>
      <c r="H2211" s="12">
        <v>204726</v>
      </c>
    </row>
    <row r="2212" spans="1:8">
      <c r="A2212" s="12" t="s">
        <v>9250</v>
      </c>
      <c r="B2212" s="13">
        <v>0</v>
      </c>
      <c r="C2212" s="16" t="s">
        <v>5331</v>
      </c>
      <c r="D2212" s="12">
        <v>753.38400000000001</v>
      </c>
      <c r="E2212" s="12" t="s">
        <v>5332</v>
      </c>
      <c r="F2212" s="12" t="s">
        <v>5328</v>
      </c>
      <c r="G2212" s="12" t="s">
        <v>9253</v>
      </c>
      <c r="H2212" s="12">
        <v>208615</v>
      </c>
    </row>
    <row r="2213" spans="1:8">
      <c r="A2213" s="12" t="s">
        <v>9250</v>
      </c>
      <c r="B2213" s="13">
        <v>0</v>
      </c>
      <c r="C2213" s="16" t="s">
        <v>5331</v>
      </c>
      <c r="D2213" s="12">
        <v>753.38400000000001</v>
      </c>
      <c r="E2213" s="12" t="s">
        <v>5332</v>
      </c>
      <c r="F2213" s="12" t="s">
        <v>5328</v>
      </c>
      <c r="G2213" s="12" t="s">
        <v>9254</v>
      </c>
      <c r="H2213" s="12">
        <v>204750</v>
      </c>
    </row>
    <row r="2214" spans="1:8">
      <c r="A2214" s="12" t="s">
        <v>9255</v>
      </c>
      <c r="B2214" s="13">
        <v>58.64</v>
      </c>
      <c r="C2214" s="16" t="s">
        <v>5331</v>
      </c>
      <c r="D2214" s="12">
        <v>104.99</v>
      </c>
      <c r="E2214" s="12" t="s">
        <v>5332</v>
      </c>
      <c r="F2214" s="12" t="s">
        <v>5328</v>
      </c>
      <c r="G2214" s="12" t="s">
        <v>9256</v>
      </c>
      <c r="H2214" s="12">
        <v>20931</v>
      </c>
    </row>
    <row r="2215" spans="1:8">
      <c r="A2215" s="12" t="s">
        <v>9255</v>
      </c>
      <c r="B2215" s="13">
        <v>0</v>
      </c>
      <c r="C2215" s="16" t="s">
        <v>5331</v>
      </c>
      <c r="D2215" s="12">
        <v>104.99</v>
      </c>
      <c r="E2215" s="12" t="s">
        <v>5332</v>
      </c>
      <c r="F2215" s="12" t="s">
        <v>5328</v>
      </c>
      <c r="G2215" s="12" t="s">
        <v>9257</v>
      </c>
      <c r="H2215" s="12">
        <v>30817</v>
      </c>
    </row>
    <row r="2216" spans="1:8">
      <c r="A2216" s="12" t="s">
        <v>9258</v>
      </c>
      <c r="B2216" s="13">
        <v>131.6</v>
      </c>
      <c r="C2216" s="16" t="s">
        <v>5331</v>
      </c>
      <c r="D2216" s="12">
        <v>203.45</v>
      </c>
      <c r="E2216" s="12" t="s">
        <v>5332</v>
      </c>
      <c r="F2216" s="12" t="s">
        <v>5328</v>
      </c>
      <c r="G2216" s="12" t="s">
        <v>9259</v>
      </c>
      <c r="H2216" s="12">
        <v>20932</v>
      </c>
    </row>
    <row r="2217" spans="1:8">
      <c r="A2217" s="12" t="s">
        <v>9260</v>
      </c>
      <c r="B2217" s="13">
        <v>407.23</v>
      </c>
      <c r="C2217" s="16" t="s">
        <v>5331</v>
      </c>
      <c r="D2217" s="12">
        <v>692.5</v>
      </c>
      <c r="E2217" s="12" t="s">
        <v>5332</v>
      </c>
      <c r="F2217" s="12" t="s">
        <v>5328</v>
      </c>
      <c r="G2217" s="12" t="s">
        <v>9261</v>
      </c>
      <c r="H2217" s="12">
        <v>20933</v>
      </c>
    </row>
    <row r="2218" spans="1:8">
      <c r="A2218" s="12" t="s">
        <v>9260</v>
      </c>
      <c r="B2218" s="13">
        <v>0</v>
      </c>
      <c r="C2218" s="16" t="s">
        <v>5331</v>
      </c>
      <c r="D2218" s="12">
        <v>1221.69</v>
      </c>
      <c r="E2218" s="12" t="s">
        <v>5332</v>
      </c>
      <c r="F2218" s="12" t="s">
        <v>5328</v>
      </c>
      <c r="G2218" s="12" t="s">
        <v>9262</v>
      </c>
      <c r="H2218" s="12">
        <v>37975</v>
      </c>
    </row>
    <row r="2219" spans="1:8">
      <c r="A2219" s="12" t="s">
        <v>9260</v>
      </c>
      <c r="B2219" s="13">
        <v>306.8</v>
      </c>
      <c r="C2219" s="16" t="s">
        <v>5331</v>
      </c>
      <c r="D2219" s="12">
        <v>1221.69</v>
      </c>
      <c r="E2219" s="12" t="s">
        <v>5332</v>
      </c>
      <c r="F2219" s="12" t="s">
        <v>5328</v>
      </c>
      <c r="G2219" s="12" t="s">
        <v>9263</v>
      </c>
      <c r="H2219" s="12">
        <v>45319</v>
      </c>
    </row>
    <row r="2220" spans="1:8">
      <c r="A2220" s="12" t="s">
        <v>9264</v>
      </c>
      <c r="B2220" s="13">
        <v>0</v>
      </c>
      <c r="C2220" s="16" t="s">
        <v>5331</v>
      </c>
      <c r="D2220" s="12">
        <v>257.84519999999998</v>
      </c>
      <c r="E2220" s="12" t="s">
        <v>5332</v>
      </c>
      <c r="F2220" s="12" t="s">
        <v>5328</v>
      </c>
      <c r="G2220" s="12" t="s">
        <v>9265</v>
      </c>
      <c r="H2220" s="12">
        <v>44512</v>
      </c>
    </row>
    <row r="2221" spans="1:8">
      <c r="A2221" s="12" t="s">
        <v>9266</v>
      </c>
      <c r="B2221" s="13">
        <v>0</v>
      </c>
      <c r="C2221" s="16" t="s">
        <v>5331</v>
      </c>
      <c r="D2221" s="12">
        <v>889.96799999999996</v>
      </c>
      <c r="E2221" s="12" t="s">
        <v>5332</v>
      </c>
      <c r="F2221" s="12" t="s">
        <v>5328</v>
      </c>
      <c r="G2221" s="12" t="s">
        <v>9267</v>
      </c>
      <c r="H2221" s="12">
        <v>44513</v>
      </c>
    </row>
    <row r="2222" spans="1:8">
      <c r="A2222" s="12" t="s">
        <v>9268</v>
      </c>
      <c r="B2222" s="13">
        <v>0</v>
      </c>
      <c r="C2222" s="16" t="s">
        <v>5331</v>
      </c>
      <c r="D2222" s="12">
        <v>334.05119999999999</v>
      </c>
      <c r="E2222" s="12" t="s">
        <v>5332</v>
      </c>
      <c r="F2222" s="12" t="s">
        <v>5328</v>
      </c>
      <c r="G2222" s="12" t="s">
        <v>9269</v>
      </c>
      <c r="H2222" s="12">
        <v>44514</v>
      </c>
    </row>
    <row r="2223" spans="1:8">
      <c r="A2223" s="12" t="s">
        <v>9270</v>
      </c>
      <c r="B2223" s="13">
        <v>0</v>
      </c>
      <c r="C2223" s="16" t="s">
        <v>5331</v>
      </c>
      <c r="D2223" s="12">
        <v>183.17519999999999</v>
      </c>
      <c r="E2223" s="12" t="s">
        <v>5332</v>
      </c>
      <c r="F2223" s="12" t="s">
        <v>5328</v>
      </c>
      <c r="G2223" s="12" t="s">
        <v>9271</v>
      </c>
      <c r="H2223" s="12">
        <v>54883</v>
      </c>
    </row>
    <row r="2224" spans="1:8">
      <c r="A2224" s="12" t="s">
        <v>9272</v>
      </c>
      <c r="B2224" s="13">
        <v>0</v>
      </c>
      <c r="C2224" s="16" t="s">
        <v>5331</v>
      </c>
      <c r="D2224" s="12">
        <v>875.01</v>
      </c>
      <c r="E2224" s="12" t="s">
        <v>5332</v>
      </c>
      <c r="F2224" s="12" t="s">
        <v>5328</v>
      </c>
      <c r="G2224" s="12" t="s">
        <v>9273</v>
      </c>
      <c r="H2224" s="12">
        <v>54884</v>
      </c>
    </row>
    <row r="2225" spans="1:8">
      <c r="A2225" s="12" t="s">
        <v>9274</v>
      </c>
      <c r="B2225" s="13">
        <v>0</v>
      </c>
      <c r="C2225" s="16" t="s">
        <v>5331</v>
      </c>
      <c r="D2225" s="12">
        <v>265.44119999999998</v>
      </c>
      <c r="E2225" s="12" t="s">
        <v>5332</v>
      </c>
      <c r="F2225" s="12" t="s">
        <v>5328</v>
      </c>
      <c r="G2225" s="12" t="s">
        <v>9275</v>
      </c>
      <c r="H2225" s="12">
        <v>54885</v>
      </c>
    </row>
    <row r="2226" spans="1:8">
      <c r="A2226" s="12" t="s">
        <v>9276</v>
      </c>
      <c r="B2226" s="13">
        <v>16.850000000000001</v>
      </c>
      <c r="C2226" s="16" t="s">
        <v>5331</v>
      </c>
      <c r="D2226" s="12">
        <v>113.652</v>
      </c>
      <c r="E2226" s="12" t="s">
        <v>5332</v>
      </c>
      <c r="F2226" s="12" t="s">
        <v>5328</v>
      </c>
      <c r="G2226" s="12" t="s">
        <v>9277</v>
      </c>
      <c r="H2226" s="12">
        <v>73255</v>
      </c>
    </row>
    <row r="2227" spans="1:8">
      <c r="A2227" s="12" t="s">
        <v>9278</v>
      </c>
      <c r="B2227" s="13">
        <v>27.01</v>
      </c>
      <c r="C2227" s="16" t="s">
        <v>5331</v>
      </c>
      <c r="D2227" s="12">
        <v>90.03</v>
      </c>
      <c r="E2227" s="12" t="s">
        <v>5332</v>
      </c>
      <c r="F2227" s="12" t="s">
        <v>5328</v>
      </c>
      <c r="G2227" s="12" t="s">
        <v>9279</v>
      </c>
      <c r="H2227" s="12">
        <v>73269</v>
      </c>
    </row>
    <row r="2228" spans="1:8">
      <c r="A2228" s="12" t="s">
        <v>9280</v>
      </c>
      <c r="B2228" s="13">
        <v>10.29</v>
      </c>
      <c r="C2228" s="16" t="s">
        <v>5331</v>
      </c>
      <c r="D2228" s="12">
        <v>33.36</v>
      </c>
      <c r="E2228" s="12" t="s">
        <v>5332</v>
      </c>
      <c r="F2228" s="12" t="s">
        <v>5328</v>
      </c>
      <c r="G2228" s="12" t="s">
        <v>9281</v>
      </c>
      <c r="H2228" s="12">
        <v>73270</v>
      </c>
    </row>
    <row r="2229" spans="1:8">
      <c r="A2229" s="12" t="s">
        <v>9282</v>
      </c>
      <c r="B2229" s="13">
        <v>134.53</v>
      </c>
      <c r="C2229" s="16" t="s">
        <v>5331</v>
      </c>
      <c r="D2229" s="12">
        <v>848.42</v>
      </c>
      <c r="E2229" s="12" t="s">
        <v>5332</v>
      </c>
      <c r="F2229" s="12" t="s">
        <v>5328</v>
      </c>
      <c r="G2229" s="12" t="s">
        <v>9283</v>
      </c>
      <c r="H2229" s="12">
        <v>73272</v>
      </c>
    </row>
    <row r="2230" spans="1:8">
      <c r="A2230" s="12" t="s">
        <v>9284</v>
      </c>
      <c r="B2230" s="13">
        <v>6.73</v>
      </c>
      <c r="C2230" s="16" t="s">
        <v>5331</v>
      </c>
      <c r="D2230" s="12">
        <v>21.39</v>
      </c>
      <c r="E2230" s="12" t="s">
        <v>5332</v>
      </c>
      <c r="F2230" s="12" t="s">
        <v>5328</v>
      </c>
      <c r="G2230" s="12" t="s">
        <v>9285</v>
      </c>
      <c r="H2230" s="12">
        <v>73274</v>
      </c>
    </row>
    <row r="2231" spans="1:8">
      <c r="A2231" s="12" t="s">
        <v>9286</v>
      </c>
      <c r="B2231" s="13">
        <v>0.68</v>
      </c>
      <c r="C2231" s="16" t="s">
        <v>5331</v>
      </c>
      <c r="D2231" s="12">
        <v>2.16</v>
      </c>
      <c r="E2231" s="12" t="s">
        <v>5332</v>
      </c>
      <c r="F2231" s="12" t="s">
        <v>5328</v>
      </c>
      <c r="G2231" s="12" t="s">
        <v>9287</v>
      </c>
      <c r="H2231" s="12">
        <v>73275</v>
      </c>
    </row>
    <row r="2232" spans="1:8">
      <c r="A2232" s="12" t="s">
        <v>9288</v>
      </c>
      <c r="B2232" s="13">
        <v>9.75</v>
      </c>
      <c r="C2232" s="16" t="s">
        <v>5331</v>
      </c>
      <c r="D2232" s="12">
        <v>50.61</v>
      </c>
      <c r="E2232" s="12" t="s">
        <v>5332</v>
      </c>
      <c r="F2232" s="12" t="s">
        <v>5328</v>
      </c>
      <c r="G2232" s="12" t="s">
        <v>9289</v>
      </c>
      <c r="H2232" s="12">
        <v>73276</v>
      </c>
    </row>
    <row r="2233" spans="1:8">
      <c r="A2233" s="12" t="s">
        <v>9290</v>
      </c>
      <c r="B2233" s="13">
        <v>14.37</v>
      </c>
      <c r="C2233" s="16" t="s">
        <v>5331</v>
      </c>
      <c r="D2233" s="12">
        <v>22.866</v>
      </c>
      <c r="E2233" s="12" t="s">
        <v>5332</v>
      </c>
      <c r="F2233" s="12" t="s">
        <v>5328</v>
      </c>
      <c r="G2233" s="12" t="s">
        <v>9291</v>
      </c>
      <c r="H2233" s="12">
        <v>73277</v>
      </c>
    </row>
    <row r="2234" spans="1:8">
      <c r="A2234" s="12" t="s">
        <v>9292</v>
      </c>
      <c r="B2234" s="13">
        <v>9.99</v>
      </c>
      <c r="C2234" s="16" t="s">
        <v>5331</v>
      </c>
      <c r="D2234" s="12">
        <v>29.63</v>
      </c>
      <c r="E2234" s="12" t="s">
        <v>5332</v>
      </c>
      <c r="F2234" s="12" t="s">
        <v>5328</v>
      </c>
      <c r="G2234" s="12" t="s">
        <v>9293</v>
      </c>
      <c r="H2234" s="12">
        <v>73279</v>
      </c>
    </row>
    <row r="2235" spans="1:8">
      <c r="A2235" s="12" t="s">
        <v>9294</v>
      </c>
      <c r="B2235" s="13">
        <v>44.33</v>
      </c>
      <c r="C2235" s="16" t="s">
        <v>5331</v>
      </c>
      <c r="D2235" s="12">
        <v>102.15</v>
      </c>
      <c r="E2235" s="12" t="s">
        <v>5332</v>
      </c>
      <c r="F2235" s="12" t="s">
        <v>5328</v>
      </c>
      <c r="G2235" s="12" t="s">
        <v>9295</v>
      </c>
      <c r="H2235" s="12">
        <v>73281</v>
      </c>
    </row>
    <row r="2236" spans="1:8">
      <c r="A2236" s="12" t="s">
        <v>9296</v>
      </c>
      <c r="B2236" s="13">
        <v>242.89</v>
      </c>
      <c r="C2236" s="16" t="s">
        <v>5331</v>
      </c>
      <c r="D2236" s="12">
        <v>4881.3599999999997</v>
      </c>
      <c r="E2236" s="12" t="s">
        <v>5332</v>
      </c>
      <c r="F2236" s="12" t="s">
        <v>5328</v>
      </c>
      <c r="G2236" s="12" t="s">
        <v>9297</v>
      </c>
      <c r="H2236" s="12">
        <v>73284</v>
      </c>
    </row>
    <row r="2237" spans="1:8">
      <c r="A2237" s="12" t="s">
        <v>9298</v>
      </c>
      <c r="B2237" s="13">
        <v>25.87</v>
      </c>
      <c r="C2237" s="16" t="s">
        <v>5331</v>
      </c>
      <c r="D2237" s="12">
        <v>133.44</v>
      </c>
      <c r="E2237" s="12" t="s">
        <v>5332</v>
      </c>
      <c r="F2237" s="12" t="s">
        <v>5328</v>
      </c>
      <c r="G2237" s="12" t="s">
        <v>9299</v>
      </c>
      <c r="H2237" s="12">
        <v>77186</v>
      </c>
    </row>
    <row r="2238" spans="1:8">
      <c r="A2238" s="12" t="s">
        <v>9300</v>
      </c>
      <c r="B2238" s="14">
        <v>1095.53</v>
      </c>
      <c r="C2238" s="16" t="s">
        <v>5331</v>
      </c>
      <c r="D2238" s="12">
        <v>5087.88</v>
      </c>
      <c r="E2238" s="12" t="s">
        <v>5332</v>
      </c>
      <c r="F2238" s="12" t="s">
        <v>5328</v>
      </c>
      <c r="G2238" s="12" t="s">
        <v>9301</v>
      </c>
      <c r="H2238" s="12">
        <v>77187</v>
      </c>
    </row>
    <row r="2239" spans="1:8">
      <c r="A2239" s="12" t="s">
        <v>9300</v>
      </c>
      <c r="B2239" s="13">
        <v>725.25</v>
      </c>
      <c r="C2239" s="16" t="s">
        <v>5331</v>
      </c>
      <c r="D2239" s="12">
        <v>3230.4</v>
      </c>
      <c r="E2239" s="12" t="s">
        <v>5332</v>
      </c>
      <c r="F2239" s="12" t="s">
        <v>5328</v>
      </c>
      <c r="G2239" s="12" t="s">
        <v>9302</v>
      </c>
      <c r="H2239" s="12">
        <v>204728</v>
      </c>
    </row>
    <row r="2240" spans="1:8">
      <c r="A2240" s="12" t="s">
        <v>9300</v>
      </c>
      <c r="B2240" s="13">
        <v>0</v>
      </c>
      <c r="C2240" s="16" t="s">
        <v>5331</v>
      </c>
      <c r="D2240" s="12">
        <v>3230.4</v>
      </c>
      <c r="E2240" s="12" t="s">
        <v>5332</v>
      </c>
      <c r="F2240" s="12" t="s">
        <v>5328</v>
      </c>
      <c r="G2240" s="12" t="s">
        <v>9303</v>
      </c>
      <c r="H2240" s="12">
        <v>208617</v>
      </c>
    </row>
    <row r="2241" spans="1:8">
      <c r="A2241" s="12" t="s">
        <v>9300</v>
      </c>
      <c r="B2241" s="13">
        <v>0</v>
      </c>
      <c r="C2241" s="16" t="s">
        <v>5331</v>
      </c>
      <c r="D2241" s="12">
        <v>3230.4</v>
      </c>
      <c r="E2241" s="12" t="s">
        <v>5332</v>
      </c>
      <c r="F2241" s="12" t="s">
        <v>5328</v>
      </c>
      <c r="G2241" s="12" t="s">
        <v>9304</v>
      </c>
      <c r="H2241" s="12">
        <v>204752</v>
      </c>
    </row>
    <row r="2242" spans="1:8">
      <c r="A2242" s="12" t="s">
        <v>9305</v>
      </c>
      <c r="B2242" s="13">
        <v>31.81</v>
      </c>
      <c r="C2242" s="16" t="s">
        <v>5331</v>
      </c>
      <c r="D2242" s="12">
        <v>133.5</v>
      </c>
      <c r="E2242" s="12" t="s">
        <v>5332</v>
      </c>
      <c r="F2242" s="12" t="s">
        <v>5328</v>
      </c>
      <c r="G2242" s="12" t="s">
        <v>9306</v>
      </c>
      <c r="H2242" s="12">
        <v>215494</v>
      </c>
    </row>
    <row r="2243" spans="1:8">
      <c r="A2243" s="12" t="s">
        <v>9307</v>
      </c>
      <c r="B2243" s="13">
        <v>0</v>
      </c>
      <c r="C2243" s="16" t="s">
        <v>5331</v>
      </c>
      <c r="D2243" s="12">
        <v>96.168000000000006</v>
      </c>
      <c r="E2243" s="12" t="s">
        <v>5332</v>
      </c>
      <c r="F2243" s="12" t="s">
        <v>5328</v>
      </c>
      <c r="G2243" s="12" t="s">
        <v>9308</v>
      </c>
      <c r="H2243" s="12">
        <v>58763</v>
      </c>
    </row>
    <row r="2244" spans="1:8">
      <c r="A2244" s="12" t="s">
        <v>9309</v>
      </c>
      <c r="B2244" s="13">
        <v>161.25</v>
      </c>
      <c r="C2244" s="16" t="s">
        <v>5331</v>
      </c>
      <c r="D2244" s="12">
        <v>835.5</v>
      </c>
      <c r="E2244" s="12" t="s">
        <v>5332</v>
      </c>
      <c r="F2244" s="12" t="s">
        <v>5328</v>
      </c>
      <c r="G2244" s="12" t="s">
        <v>9310</v>
      </c>
      <c r="H2244" s="12">
        <v>75152</v>
      </c>
    </row>
    <row r="2245" spans="1:8">
      <c r="A2245" s="12" t="s">
        <v>9309</v>
      </c>
      <c r="B2245" s="13">
        <v>0</v>
      </c>
      <c r="C2245" s="16" t="s">
        <v>5331</v>
      </c>
      <c r="D2245" s="12">
        <v>990.18</v>
      </c>
      <c r="E2245" s="12" t="s">
        <v>5332</v>
      </c>
      <c r="F2245" s="12" t="s">
        <v>5328</v>
      </c>
      <c r="G2245" s="12" t="s">
        <v>9311</v>
      </c>
      <c r="H2245" s="12">
        <v>204729</v>
      </c>
    </row>
    <row r="2246" spans="1:8">
      <c r="A2246" s="12" t="s">
        <v>9309</v>
      </c>
      <c r="B2246" s="13">
        <v>0</v>
      </c>
      <c r="C2246" s="16" t="s">
        <v>5331</v>
      </c>
      <c r="D2246" s="12">
        <v>990.18</v>
      </c>
      <c r="E2246" s="12" t="s">
        <v>5332</v>
      </c>
      <c r="F2246" s="12" t="s">
        <v>5328</v>
      </c>
      <c r="G2246" s="12" t="s">
        <v>9312</v>
      </c>
      <c r="H2246" s="12">
        <v>208618</v>
      </c>
    </row>
    <row r="2247" spans="1:8">
      <c r="A2247" s="12" t="s">
        <v>9309</v>
      </c>
      <c r="B2247" s="13">
        <v>0</v>
      </c>
      <c r="C2247" s="16" t="s">
        <v>5331</v>
      </c>
      <c r="D2247" s="12">
        <v>990.18</v>
      </c>
      <c r="E2247" s="12" t="s">
        <v>5332</v>
      </c>
      <c r="F2247" s="12" t="s">
        <v>5328</v>
      </c>
      <c r="G2247" s="12" t="s">
        <v>9313</v>
      </c>
      <c r="H2247" s="12">
        <v>204753</v>
      </c>
    </row>
    <row r="2248" spans="1:8">
      <c r="A2248" s="12" t="s">
        <v>9314</v>
      </c>
      <c r="B2248" s="13">
        <v>159.84</v>
      </c>
      <c r="C2248" s="16" t="s">
        <v>5331</v>
      </c>
      <c r="D2248" s="12">
        <v>835.5</v>
      </c>
      <c r="E2248" s="12" t="s">
        <v>5332</v>
      </c>
      <c r="F2248" s="12" t="s">
        <v>5328</v>
      </c>
      <c r="G2248" s="12" t="s">
        <v>9315</v>
      </c>
      <c r="H2248" s="12">
        <v>75153</v>
      </c>
    </row>
    <row r="2249" spans="1:8">
      <c r="A2249" s="12" t="s">
        <v>9316</v>
      </c>
      <c r="B2249" s="13">
        <v>161.25</v>
      </c>
      <c r="C2249" s="16" t="s">
        <v>5331</v>
      </c>
      <c r="D2249" s="12">
        <v>835.5</v>
      </c>
      <c r="E2249" s="12" t="s">
        <v>5332</v>
      </c>
      <c r="F2249" s="12" t="s">
        <v>5328</v>
      </c>
      <c r="G2249" s="12" t="s">
        <v>9317</v>
      </c>
      <c r="H2249" s="12">
        <v>75154</v>
      </c>
    </row>
    <row r="2250" spans="1:8">
      <c r="A2250" s="12" t="s">
        <v>9316</v>
      </c>
      <c r="B2250" s="13">
        <v>0</v>
      </c>
      <c r="C2250" s="16" t="s">
        <v>5331</v>
      </c>
      <c r="D2250" s="12">
        <v>990.18</v>
      </c>
      <c r="E2250" s="12" t="s">
        <v>5332</v>
      </c>
      <c r="F2250" s="12" t="s">
        <v>5328</v>
      </c>
      <c r="G2250" s="12" t="s">
        <v>9318</v>
      </c>
      <c r="H2250" s="12">
        <v>204730</v>
      </c>
    </row>
    <row r="2251" spans="1:8">
      <c r="A2251" s="12" t="s">
        <v>9316</v>
      </c>
      <c r="B2251" s="13">
        <v>0.01</v>
      </c>
      <c r="C2251" s="16" t="s">
        <v>5331</v>
      </c>
      <c r="D2251" s="12">
        <v>990.18</v>
      </c>
      <c r="E2251" s="12" t="s">
        <v>5332</v>
      </c>
      <c r="F2251" s="12" t="s">
        <v>5328</v>
      </c>
      <c r="G2251" s="12" t="s">
        <v>9319</v>
      </c>
      <c r="H2251" s="12">
        <v>208619</v>
      </c>
    </row>
    <row r="2252" spans="1:8">
      <c r="A2252" s="12" t="s">
        <v>9316</v>
      </c>
      <c r="B2252" s="13">
        <v>0</v>
      </c>
      <c r="C2252" s="16" t="s">
        <v>5331</v>
      </c>
      <c r="D2252" s="12">
        <v>990.18</v>
      </c>
      <c r="E2252" s="12" t="s">
        <v>5332</v>
      </c>
      <c r="F2252" s="12" t="s">
        <v>5328</v>
      </c>
      <c r="G2252" s="12" t="s">
        <v>9320</v>
      </c>
      <c r="H2252" s="12">
        <v>204754</v>
      </c>
    </row>
    <row r="2253" spans="1:8">
      <c r="A2253" s="12" t="s">
        <v>9321</v>
      </c>
      <c r="B2253" s="13">
        <v>159.84</v>
      </c>
      <c r="C2253" s="16" t="s">
        <v>5331</v>
      </c>
      <c r="D2253" s="12">
        <v>1559.54</v>
      </c>
      <c r="E2253" s="12" t="s">
        <v>5332</v>
      </c>
      <c r="F2253" s="12" t="s">
        <v>5328</v>
      </c>
      <c r="G2253" s="12" t="s">
        <v>9322</v>
      </c>
      <c r="H2253" s="12">
        <v>75155</v>
      </c>
    </row>
    <row r="2254" spans="1:8">
      <c r="A2254" s="12" t="s">
        <v>9321</v>
      </c>
      <c r="B2254" s="13">
        <v>0</v>
      </c>
      <c r="C2254" s="16" t="s">
        <v>5331</v>
      </c>
      <c r="D2254" s="12">
        <v>990.18</v>
      </c>
      <c r="E2254" s="12" t="s">
        <v>5332</v>
      </c>
      <c r="F2254" s="12" t="s">
        <v>5328</v>
      </c>
      <c r="G2254" s="12" t="s">
        <v>9323</v>
      </c>
      <c r="H2254" s="12">
        <v>204731</v>
      </c>
    </row>
    <row r="2255" spans="1:8">
      <c r="A2255" s="12" t="s">
        <v>9321</v>
      </c>
      <c r="B2255" s="13">
        <v>0</v>
      </c>
      <c r="C2255" s="16" t="s">
        <v>5331</v>
      </c>
      <c r="D2255" s="12">
        <v>990.18</v>
      </c>
      <c r="E2255" s="12" t="s">
        <v>5332</v>
      </c>
      <c r="F2255" s="12" t="s">
        <v>5328</v>
      </c>
      <c r="G2255" s="12" t="s">
        <v>9324</v>
      </c>
      <c r="H2255" s="12">
        <v>208620</v>
      </c>
    </row>
    <row r="2256" spans="1:8">
      <c r="A2256" s="12" t="s">
        <v>9321</v>
      </c>
      <c r="B2256" s="13">
        <v>0</v>
      </c>
      <c r="C2256" s="16" t="s">
        <v>5331</v>
      </c>
      <c r="D2256" s="12">
        <v>990.18</v>
      </c>
      <c r="E2256" s="12" t="s">
        <v>5332</v>
      </c>
      <c r="F2256" s="12" t="s">
        <v>5328</v>
      </c>
      <c r="G2256" s="12" t="s">
        <v>9325</v>
      </c>
      <c r="H2256" s="12">
        <v>204755</v>
      </c>
    </row>
    <row r="2257" spans="1:8">
      <c r="A2257" s="12" t="s">
        <v>9326</v>
      </c>
      <c r="B2257" s="13">
        <v>258.47000000000003</v>
      </c>
      <c r="C2257" s="16" t="s">
        <v>5331</v>
      </c>
      <c r="D2257" s="12">
        <v>969.45</v>
      </c>
      <c r="E2257" s="12" t="s">
        <v>5332</v>
      </c>
      <c r="F2257" s="12" t="s">
        <v>5328</v>
      </c>
      <c r="G2257" s="12" t="s">
        <v>9327</v>
      </c>
      <c r="H2257" s="12">
        <v>73286</v>
      </c>
    </row>
    <row r="2258" spans="1:8">
      <c r="A2258" s="12" t="s">
        <v>9328</v>
      </c>
      <c r="B2258" s="14">
        <v>1126.74</v>
      </c>
      <c r="C2258" s="16" t="s">
        <v>5331</v>
      </c>
      <c r="D2258" s="12">
        <v>4099.53</v>
      </c>
      <c r="E2258" s="12" t="s">
        <v>5332</v>
      </c>
      <c r="F2258" s="12" t="s">
        <v>5328</v>
      </c>
      <c r="G2258" s="12" t="s">
        <v>9329</v>
      </c>
      <c r="H2258" s="12">
        <v>73287</v>
      </c>
    </row>
    <row r="2259" spans="1:8">
      <c r="A2259" s="12" t="s">
        <v>9330</v>
      </c>
      <c r="B2259" s="13">
        <v>560.47</v>
      </c>
      <c r="C2259" s="16" t="s">
        <v>5331</v>
      </c>
      <c r="D2259" s="12">
        <v>5823.24</v>
      </c>
      <c r="E2259" s="12" t="s">
        <v>5332</v>
      </c>
      <c r="F2259" s="12" t="s">
        <v>5328</v>
      </c>
      <c r="G2259" s="12" t="s">
        <v>9331</v>
      </c>
      <c r="H2259" s="12">
        <v>73288</v>
      </c>
    </row>
    <row r="2260" spans="1:8">
      <c r="A2260" s="12" t="s">
        <v>9332</v>
      </c>
      <c r="B2260" s="13">
        <v>22.56</v>
      </c>
      <c r="C2260" s="16" t="s">
        <v>5331</v>
      </c>
      <c r="D2260" s="12">
        <v>73.11</v>
      </c>
      <c r="E2260" s="12" t="s">
        <v>5332</v>
      </c>
      <c r="F2260" s="12" t="s">
        <v>5328</v>
      </c>
      <c r="G2260" s="12" t="s">
        <v>9333</v>
      </c>
      <c r="H2260" s="12">
        <v>73290</v>
      </c>
    </row>
    <row r="2261" spans="1:8">
      <c r="A2261" s="12" t="s">
        <v>9334</v>
      </c>
      <c r="B2261" s="13">
        <v>29.32</v>
      </c>
      <c r="C2261" s="16" t="s">
        <v>5331</v>
      </c>
      <c r="D2261" s="12">
        <v>138.6</v>
      </c>
      <c r="E2261" s="12" t="s">
        <v>5332</v>
      </c>
      <c r="F2261" s="12" t="s">
        <v>5328</v>
      </c>
      <c r="G2261" s="12" t="s">
        <v>9335</v>
      </c>
      <c r="H2261" s="12">
        <v>86237</v>
      </c>
    </row>
    <row r="2262" spans="1:8">
      <c r="A2262" s="12" t="s">
        <v>9336</v>
      </c>
      <c r="B2262" s="13">
        <v>62.7</v>
      </c>
      <c r="C2262" s="16" t="s">
        <v>5331</v>
      </c>
      <c r="D2262" s="12">
        <v>268.37</v>
      </c>
      <c r="E2262" s="12" t="s">
        <v>5332</v>
      </c>
      <c r="F2262" s="12" t="s">
        <v>5328</v>
      </c>
      <c r="G2262" s="12" t="s">
        <v>9337</v>
      </c>
      <c r="H2262" s="12">
        <v>20934</v>
      </c>
    </row>
    <row r="2263" spans="1:8">
      <c r="A2263" s="12" t="s">
        <v>9336</v>
      </c>
      <c r="B2263" s="13">
        <v>62.7</v>
      </c>
      <c r="C2263" s="16" t="s">
        <v>5331</v>
      </c>
      <c r="D2263" s="12">
        <v>178.91</v>
      </c>
      <c r="E2263" s="12" t="s">
        <v>5332</v>
      </c>
      <c r="F2263" s="12" t="s">
        <v>5328</v>
      </c>
      <c r="G2263" s="12" t="s">
        <v>9337</v>
      </c>
      <c r="H2263" s="12">
        <v>20934</v>
      </c>
    </row>
    <row r="2264" spans="1:8">
      <c r="A2264" s="12" t="s">
        <v>9336</v>
      </c>
      <c r="B2264" s="13">
        <v>0</v>
      </c>
      <c r="C2264" s="16" t="s">
        <v>5331</v>
      </c>
      <c r="D2264" s="12">
        <v>170.39</v>
      </c>
      <c r="E2264" s="12" t="s">
        <v>5332</v>
      </c>
      <c r="F2264" s="12" t="s">
        <v>5328</v>
      </c>
      <c r="G2264" s="12" t="s">
        <v>9338</v>
      </c>
      <c r="H2264" s="12">
        <v>204732</v>
      </c>
    </row>
    <row r="2265" spans="1:8">
      <c r="A2265" s="12" t="s">
        <v>9336</v>
      </c>
      <c r="B2265" s="13">
        <v>0</v>
      </c>
      <c r="C2265" s="16" t="s">
        <v>5331</v>
      </c>
      <c r="D2265" s="12">
        <v>170.39</v>
      </c>
      <c r="E2265" s="12" t="s">
        <v>5332</v>
      </c>
      <c r="F2265" s="12" t="s">
        <v>5328</v>
      </c>
      <c r="G2265" s="12" t="s">
        <v>9339</v>
      </c>
      <c r="H2265" s="12">
        <v>208621</v>
      </c>
    </row>
    <row r="2266" spans="1:8">
      <c r="A2266" s="12" t="s">
        <v>9336</v>
      </c>
      <c r="B2266" s="13">
        <v>0</v>
      </c>
      <c r="C2266" s="16" t="s">
        <v>5331</v>
      </c>
      <c r="D2266" s="12">
        <v>170.39</v>
      </c>
      <c r="E2266" s="12" t="s">
        <v>5332</v>
      </c>
      <c r="F2266" s="12" t="s">
        <v>5328</v>
      </c>
      <c r="G2266" s="12" t="s">
        <v>9340</v>
      </c>
      <c r="H2266" s="12">
        <v>204756</v>
      </c>
    </row>
    <row r="2267" spans="1:8">
      <c r="A2267" s="12" t="s">
        <v>9341</v>
      </c>
      <c r="B2267" s="13">
        <v>163.71</v>
      </c>
      <c r="C2267" s="16" t="s">
        <v>5331</v>
      </c>
      <c r="D2267" s="12">
        <v>877.29</v>
      </c>
      <c r="E2267" s="12" t="s">
        <v>5332</v>
      </c>
      <c r="F2267" s="12" t="s">
        <v>5328</v>
      </c>
      <c r="G2267" s="12" t="s">
        <v>9342</v>
      </c>
      <c r="H2267" s="12">
        <v>18788</v>
      </c>
    </row>
    <row r="2268" spans="1:8">
      <c r="A2268" s="12" t="s">
        <v>9341</v>
      </c>
      <c r="B2268" s="13">
        <v>163.71</v>
      </c>
      <c r="C2268" s="16" t="s">
        <v>5331</v>
      </c>
      <c r="D2268" s="12">
        <v>584.86</v>
      </c>
      <c r="E2268" s="12" t="s">
        <v>5332</v>
      </c>
      <c r="F2268" s="12" t="s">
        <v>5328</v>
      </c>
      <c r="G2268" s="12" t="s">
        <v>9342</v>
      </c>
      <c r="H2268" s="12">
        <v>18788</v>
      </c>
    </row>
    <row r="2269" spans="1:8">
      <c r="A2269" s="12" t="s">
        <v>9343</v>
      </c>
      <c r="B2269" s="13">
        <v>245.6</v>
      </c>
      <c r="C2269" s="16" t="s">
        <v>5331</v>
      </c>
      <c r="D2269" s="12">
        <v>1106.31</v>
      </c>
      <c r="E2269" s="12" t="s">
        <v>5332</v>
      </c>
      <c r="F2269" s="12" t="s">
        <v>5328</v>
      </c>
      <c r="G2269" s="12" t="s">
        <v>9344</v>
      </c>
      <c r="H2269" s="12">
        <v>18789</v>
      </c>
    </row>
    <row r="2270" spans="1:8">
      <c r="A2270" s="12" t="s">
        <v>9343</v>
      </c>
      <c r="B2270" s="13">
        <v>245.6</v>
      </c>
      <c r="C2270" s="16" t="s">
        <v>5331</v>
      </c>
      <c r="D2270" s="12">
        <v>737.54</v>
      </c>
      <c r="E2270" s="12" t="s">
        <v>5332</v>
      </c>
      <c r="F2270" s="12" t="s">
        <v>5328</v>
      </c>
      <c r="G2270" s="12" t="s">
        <v>9344</v>
      </c>
      <c r="H2270" s="12">
        <v>18789</v>
      </c>
    </row>
    <row r="2271" spans="1:8">
      <c r="A2271" s="12" t="s">
        <v>9345</v>
      </c>
      <c r="B2271" s="13">
        <v>50.66</v>
      </c>
      <c r="C2271" s="16" t="s">
        <v>5331</v>
      </c>
      <c r="D2271" s="12">
        <v>329.76</v>
      </c>
      <c r="E2271" s="12" t="s">
        <v>5332</v>
      </c>
      <c r="F2271" s="12" t="s">
        <v>5328</v>
      </c>
      <c r="G2271" s="12" t="s">
        <v>9346</v>
      </c>
      <c r="H2271" s="12">
        <v>18790</v>
      </c>
    </row>
    <row r="2272" spans="1:8">
      <c r="A2272" s="12" t="s">
        <v>9345</v>
      </c>
      <c r="B2272" s="13">
        <v>50.66</v>
      </c>
      <c r="C2272" s="16" t="s">
        <v>5331</v>
      </c>
      <c r="D2272" s="12">
        <v>219.84</v>
      </c>
      <c r="E2272" s="12" t="s">
        <v>5332</v>
      </c>
      <c r="F2272" s="12" t="s">
        <v>5328</v>
      </c>
      <c r="G2272" s="12" t="s">
        <v>9346</v>
      </c>
      <c r="H2272" s="12">
        <v>18790</v>
      </c>
    </row>
    <row r="2273" spans="1:8">
      <c r="A2273" s="12" t="s">
        <v>9347</v>
      </c>
      <c r="B2273" s="13">
        <v>19.78</v>
      </c>
      <c r="C2273" s="16" t="s">
        <v>5331</v>
      </c>
      <c r="D2273" s="12">
        <v>267.57</v>
      </c>
      <c r="E2273" s="12" t="s">
        <v>5332</v>
      </c>
      <c r="F2273" s="12" t="s">
        <v>5328</v>
      </c>
      <c r="G2273" s="12" t="s">
        <v>9348</v>
      </c>
      <c r="H2273" s="12">
        <v>18791</v>
      </c>
    </row>
    <row r="2274" spans="1:8">
      <c r="A2274" s="12" t="s">
        <v>9347</v>
      </c>
      <c r="B2274" s="13">
        <v>19.78</v>
      </c>
      <c r="C2274" s="16" t="s">
        <v>5331</v>
      </c>
      <c r="D2274" s="12">
        <v>178.38</v>
      </c>
      <c r="E2274" s="12" t="s">
        <v>5332</v>
      </c>
      <c r="F2274" s="12" t="s">
        <v>5328</v>
      </c>
      <c r="G2274" s="12" t="s">
        <v>9348</v>
      </c>
      <c r="H2274" s="12">
        <v>18791</v>
      </c>
    </row>
    <row r="2275" spans="1:8">
      <c r="A2275" s="12" t="s">
        <v>9349</v>
      </c>
      <c r="B2275" s="13">
        <v>4.13</v>
      </c>
      <c r="C2275" s="16" t="s">
        <v>5331</v>
      </c>
      <c r="D2275" s="12">
        <v>738</v>
      </c>
      <c r="E2275" s="12" t="s">
        <v>5332</v>
      </c>
      <c r="F2275" s="12" t="s">
        <v>5328</v>
      </c>
      <c r="G2275" s="12" t="s">
        <v>9350</v>
      </c>
      <c r="H2275" s="12">
        <v>18792</v>
      </c>
    </row>
    <row r="2276" spans="1:8">
      <c r="A2276" s="12" t="s">
        <v>9349</v>
      </c>
      <c r="B2276" s="13">
        <v>4.13</v>
      </c>
      <c r="C2276" s="16" t="s">
        <v>5331</v>
      </c>
      <c r="D2276" s="12">
        <v>492</v>
      </c>
      <c r="E2276" s="12" t="s">
        <v>5332</v>
      </c>
      <c r="F2276" s="12" t="s">
        <v>5328</v>
      </c>
      <c r="G2276" s="12" t="s">
        <v>9350</v>
      </c>
      <c r="H2276" s="12">
        <v>18792</v>
      </c>
    </row>
    <row r="2277" spans="1:8">
      <c r="A2277" s="12" t="s">
        <v>9351</v>
      </c>
      <c r="B2277" s="13">
        <v>36.68</v>
      </c>
      <c r="C2277" s="16" t="s">
        <v>5331</v>
      </c>
      <c r="D2277" s="12">
        <v>335.67</v>
      </c>
      <c r="E2277" s="12" t="s">
        <v>5332</v>
      </c>
      <c r="F2277" s="12" t="s">
        <v>5328</v>
      </c>
      <c r="G2277" s="12" t="s">
        <v>9352</v>
      </c>
      <c r="H2277" s="12">
        <v>18793</v>
      </c>
    </row>
    <row r="2278" spans="1:8">
      <c r="A2278" s="12" t="s">
        <v>9351</v>
      </c>
      <c r="B2278" s="13">
        <v>36.68</v>
      </c>
      <c r="C2278" s="16" t="s">
        <v>5331</v>
      </c>
      <c r="D2278" s="12">
        <v>223.78</v>
      </c>
      <c r="E2278" s="12" t="s">
        <v>5332</v>
      </c>
      <c r="F2278" s="12" t="s">
        <v>5328</v>
      </c>
      <c r="G2278" s="12" t="s">
        <v>9352</v>
      </c>
      <c r="H2278" s="12">
        <v>18793</v>
      </c>
    </row>
    <row r="2279" spans="1:8">
      <c r="A2279" s="12" t="s">
        <v>9353</v>
      </c>
      <c r="B2279" s="13">
        <v>0</v>
      </c>
      <c r="C2279" s="16" t="s">
        <v>5331</v>
      </c>
      <c r="D2279" s="12">
        <v>102.386</v>
      </c>
      <c r="E2279" s="12" t="s">
        <v>5332</v>
      </c>
      <c r="F2279" s="12" t="s">
        <v>5328</v>
      </c>
      <c r="G2279" s="12" t="s">
        <v>9354</v>
      </c>
      <c r="H2279" s="12">
        <v>18794</v>
      </c>
    </row>
    <row r="2280" spans="1:8">
      <c r="A2280" s="12" t="s">
        <v>9355</v>
      </c>
      <c r="B2280" s="13">
        <v>34.32</v>
      </c>
      <c r="C2280" s="16" t="s">
        <v>5331</v>
      </c>
      <c r="D2280" s="12">
        <v>161.24</v>
      </c>
      <c r="E2280" s="12" t="s">
        <v>5332</v>
      </c>
      <c r="F2280" s="12" t="s">
        <v>5328</v>
      </c>
      <c r="G2280" s="12" t="s">
        <v>9356</v>
      </c>
      <c r="H2280" s="12">
        <v>18795</v>
      </c>
    </row>
    <row r="2281" spans="1:8">
      <c r="A2281" s="12" t="s">
        <v>9355</v>
      </c>
      <c r="B2281" s="13">
        <v>34.32</v>
      </c>
      <c r="C2281" s="16" t="s">
        <v>5331</v>
      </c>
      <c r="D2281" s="12">
        <v>107.49</v>
      </c>
      <c r="E2281" s="12" t="s">
        <v>5332</v>
      </c>
      <c r="F2281" s="12" t="s">
        <v>5328</v>
      </c>
      <c r="G2281" s="12" t="s">
        <v>9356</v>
      </c>
      <c r="H2281" s="12">
        <v>18795</v>
      </c>
    </row>
    <row r="2282" spans="1:8">
      <c r="A2282" s="12" t="s">
        <v>9357</v>
      </c>
      <c r="B2282" s="13">
        <v>3.85</v>
      </c>
      <c r="C2282" s="16" t="s">
        <v>5331</v>
      </c>
      <c r="D2282" s="12">
        <v>5.63</v>
      </c>
      <c r="E2282" s="12" t="s">
        <v>5332</v>
      </c>
      <c r="F2282" s="12" t="s">
        <v>5328</v>
      </c>
      <c r="G2282" s="12" t="s">
        <v>9358</v>
      </c>
      <c r="H2282" s="12">
        <v>18796</v>
      </c>
    </row>
    <row r="2283" spans="1:8">
      <c r="A2283" s="12" t="s">
        <v>9357</v>
      </c>
      <c r="B2283" s="13">
        <v>3.85</v>
      </c>
      <c r="C2283" s="16" t="s">
        <v>5331</v>
      </c>
      <c r="D2283" s="12">
        <v>3.75</v>
      </c>
      <c r="E2283" s="12" t="s">
        <v>5332</v>
      </c>
      <c r="F2283" s="12" t="s">
        <v>5328</v>
      </c>
      <c r="G2283" s="12" t="s">
        <v>9358</v>
      </c>
      <c r="H2283" s="12">
        <v>18796</v>
      </c>
    </row>
    <row r="2284" spans="1:8">
      <c r="A2284" s="12" t="s">
        <v>9359</v>
      </c>
      <c r="B2284" s="13">
        <v>1.1499999999999999</v>
      </c>
      <c r="C2284" s="16" t="s">
        <v>5331</v>
      </c>
      <c r="D2284" s="12">
        <v>41.25</v>
      </c>
      <c r="E2284" s="12" t="s">
        <v>5332</v>
      </c>
      <c r="F2284" s="12" t="s">
        <v>5328</v>
      </c>
      <c r="G2284" s="12" t="s">
        <v>9360</v>
      </c>
      <c r="H2284" s="12">
        <v>44518</v>
      </c>
    </row>
    <row r="2285" spans="1:8">
      <c r="A2285" s="12" t="s">
        <v>9359</v>
      </c>
      <c r="B2285" s="13">
        <v>0</v>
      </c>
      <c r="C2285" s="16" t="s">
        <v>5331</v>
      </c>
      <c r="D2285" s="12">
        <v>2.3774999999999999</v>
      </c>
      <c r="E2285" s="12" t="s">
        <v>5332</v>
      </c>
      <c r="F2285" s="12" t="s">
        <v>5328</v>
      </c>
      <c r="G2285" s="12" t="s">
        <v>9361</v>
      </c>
      <c r="H2285" s="12">
        <v>18797</v>
      </c>
    </row>
    <row r="2286" spans="1:8">
      <c r="A2286" s="12" t="s">
        <v>9362</v>
      </c>
      <c r="B2286" s="13">
        <v>0.35</v>
      </c>
      <c r="C2286" s="16" t="s">
        <v>5331</v>
      </c>
      <c r="D2286" s="12">
        <v>4.8600000000000003</v>
      </c>
      <c r="E2286" s="12" t="s">
        <v>5332</v>
      </c>
      <c r="F2286" s="12" t="s">
        <v>5328</v>
      </c>
      <c r="G2286" s="12" t="s">
        <v>9363</v>
      </c>
      <c r="H2286" s="12">
        <v>18798</v>
      </c>
    </row>
    <row r="2287" spans="1:8">
      <c r="A2287" s="12" t="s">
        <v>9362</v>
      </c>
      <c r="B2287" s="13">
        <v>0.35</v>
      </c>
      <c r="C2287" s="16" t="s">
        <v>5331</v>
      </c>
      <c r="D2287" s="12">
        <v>3.24</v>
      </c>
      <c r="E2287" s="12" t="s">
        <v>5332</v>
      </c>
      <c r="F2287" s="12" t="s">
        <v>5328</v>
      </c>
      <c r="G2287" s="12" t="s">
        <v>9363</v>
      </c>
      <c r="H2287" s="12">
        <v>18798</v>
      </c>
    </row>
    <row r="2288" spans="1:8">
      <c r="A2288" s="12" t="s">
        <v>9364</v>
      </c>
      <c r="B2288" s="13">
        <v>35.69</v>
      </c>
      <c r="C2288" s="16" t="s">
        <v>5331</v>
      </c>
      <c r="D2288" s="12">
        <v>147.09</v>
      </c>
      <c r="E2288" s="12" t="s">
        <v>5332</v>
      </c>
      <c r="F2288" s="12" t="s">
        <v>5328</v>
      </c>
      <c r="G2288" s="12" t="s">
        <v>9365</v>
      </c>
      <c r="H2288" s="12">
        <v>18799</v>
      </c>
    </row>
    <row r="2289" spans="1:8">
      <c r="A2289" s="12" t="s">
        <v>9364</v>
      </c>
      <c r="B2289" s="13">
        <v>35.69</v>
      </c>
      <c r="C2289" s="16" t="s">
        <v>5331</v>
      </c>
      <c r="D2289" s="12">
        <v>98.06</v>
      </c>
      <c r="E2289" s="12" t="s">
        <v>5332</v>
      </c>
      <c r="F2289" s="12" t="s">
        <v>5328</v>
      </c>
      <c r="G2289" s="12" t="s">
        <v>9365</v>
      </c>
      <c r="H2289" s="12">
        <v>18799</v>
      </c>
    </row>
    <row r="2290" spans="1:8">
      <c r="A2290" s="12" t="s">
        <v>9366</v>
      </c>
      <c r="B2290" s="13">
        <v>113.34</v>
      </c>
      <c r="C2290" s="16" t="s">
        <v>5331</v>
      </c>
      <c r="D2290" s="12">
        <v>606</v>
      </c>
      <c r="E2290" s="12" t="s">
        <v>5332</v>
      </c>
      <c r="F2290" s="12" t="s">
        <v>5328</v>
      </c>
      <c r="G2290" s="12" t="s">
        <v>9367</v>
      </c>
      <c r="H2290" s="12">
        <v>19803</v>
      </c>
    </row>
    <row r="2291" spans="1:8">
      <c r="A2291" s="12" t="s">
        <v>9366</v>
      </c>
      <c r="B2291" s="13">
        <v>113.34</v>
      </c>
      <c r="C2291" s="16" t="s">
        <v>5331</v>
      </c>
      <c r="D2291" s="12">
        <v>388</v>
      </c>
      <c r="E2291" s="12" t="s">
        <v>5332</v>
      </c>
      <c r="F2291" s="12" t="s">
        <v>5328</v>
      </c>
      <c r="G2291" s="12" t="s">
        <v>9367</v>
      </c>
      <c r="H2291" s="12">
        <v>19803</v>
      </c>
    </row>
    <row r="2292" spans="1:8">
      <c r="A2292" s="12" t="s">
        <v>9368</v>
      </c>
      <c r="B2292" s="13">
        <v>64.150000000000006</v>
      </c>
      <c r="C2292" s="16" t="s">
        <v>5331</v>
      </c>
      <c r="D2292" s="12">
        <v>259.5</v>
      </c>
      <c r="E2292" s="12" t="s">
        <v>5332</v>
      </c>
      <c r="F2292" s="12" t="s">
        <v>5328</v>
      </c>
      <c r="G2292" s="12" t="s">
        <v>9369</v>
      </c>
      <c r="H2292" s="12">
        <v>19804</v>
      </c>
    </row>
    <row r="2293" spans="1:8">
      <c r="A2293" s="12" t="s">
        <v>9368</v>
      </c>
      <c r="B2293" s="13">
        <v>64.150000000000006</v>
      </c>
      <c r="C2293" s="16" t="s">
        <v>5331</v>
      </c>
      <c r="D2293" s="12">
        <v>166</v>
      </c>
      <c r="E2293" s="12" t="s">
        <v>5332</v>
      </c>
      <c r="F2293" s="12" t="s">
        <v>5328</v>
      </c>
      <c r="G2293" s="12" t="s">
        <v>9369</v>
      </c>
      <c r="H2293" s="12">
        <v>19804</v>
      </c>
    </row>
    <row r="2294" spans="1:8">
      <c r="A2294" s="12" t="s">
        <v>9370</v>
      </c>
      <c r="B2294" s="13">
        <v>145.11000000000001</v>
      </c>
      <c r="C2294" s="16" t="s">
        <v>5331</v>
      </c>
      <c r="D2294" s="12">
        <v>614.97</v>
      </c>
      <c r="E2294" s="12" t="s">
        <v>5332</v>
      </c>
      <c r="F2294" s="12" t="s">
        <v>5328</v>
      </c>
      <c r="G2294" s="12" t="s">
        <v>9371</v>
      </c>
      <c r="H2294" s="12">
        <v>18800</v>
      </c>
    </row>
    <row r="2295" spans="1:8">
      <c r="A2295" s="12" t="s">
        <v>9372</v>
      </c>
      <c r="B2295" s="13">
        <v>730.85</v>
      </c>
      <c r="C2295" s="16" t="s">
        <v>5331</v>
      </c>
      <c r="D2295" s="12">
        <v>1485.175</v>
      </c>
      <c r="E2295" s="12" t="s">
        <v>5332</v>
      </c>
      <c r="F2295" s="12" t="s">
        <v>5328</v>
      </c>
      <c r="G2295" s="12" t="s">
        <v>9373</v>
      </c>
      <c r="H2295" s="12">
        <v>18801</v>
      </c>
    </row>
    <row r="2296" spans="1:8">
      <c r="A2296" s="12" t="s">
        <v>9374</v>
      </c>
      <c r="B2296" s="13">
        <v>39</v>
      </c>
      <c r="C2296" s="16" t="s">
        <v>5331</v>
      </c>
      <c r="D2296" s="12">
        <v>231.87</v>
      </c>
      <c r="E2296" s="12" t="s">
        <v>5332</v>
      </c>
      <c r="F2296" s="12" t="s">
        <v>5328</v>
      </c>
      <c r="G2296" s="12" t="s">
        <v>9375</v>
      </c>
      <c r="H2296" s="12">
        <v>45214</v>
      </c>
    </row>
    <row r="2297" spans="1:8">
      <c r="A2297" s="12" t="s">
        <v>9374</v>
      </c>
      <c r="B2297" s="13">
        <v>0</v>
      </c>
      <c r="C2297" s="16" t="s">
        <v>5331</v>
      </c>
      <c r="D2297" s="12">
        <v>257.94</v>
      </c>
      <c r="E2297" s="12" t="s">
        <v>5332</v>
      </c>
      <c r="F2297" s="12" t="s">
        <v>5328</v>
      </c>
      <c r="G2297" s="12" t="s">
        <v>9376</v>
      </c>
      <c r="H2297" s="12">
        <v>34627</v>
      </c>
    </row>
    <row r="2298" spans="1:8">
      <c r="A2298" s="12" t="s">
        <v>9377</v>
      </c>
      <c r="B2298" s="13">
        <v>58.38</v>
      </c>
      <c r="C2298" s="16" t="s">
        <v>5331</v>
      </c>
      <c r="D2298" s="12">
        <v>209.56800000000001</v>
      </c>
      <c r="E2298" s="12" t="s">
        <v>5332</v>
      </c>
      <c r="F2298" s="12" t="s">
        <v>5328</v>
      </c>
      <c r="G2298" s="12" t="s">
        <v>9378</v>
      </c>
      <c r="H2298" s="12">
        <v>49308</v>
      </c>
    </row>
    <row r="2299" spans="1:8">
      <c r="A2299" s="12" t="s">
        <v>9379</v>
      </c>
      <c r="B2299" s="13">
        <v>0</v>
      </c>
      <c r="C2299" s="16" t="s">
        <v>5331</v>
      </c>
      <c r="D2299" s="12">
        <v>323.94</v>
      </c>
      <c r="E2299" s="12" t="s">
        <v>5332</v>
      </c>
      <c r="F2299" s="12" t="s">
        <v>5328</v>
      </c>
      <c r="G2299" s="12" t="s">
        <v>9380</v>
      </c>
      <c r="H2299" s="12">
        <v>52449</v>
      </c>
    </row>
    <row r="2300" spans="1:8">
      <c r="A2300" s="12" t="s">
        <v>9381</v>
      </c>
      <c r="B2300" s="13">
        <v>72.349999999999994</v>
      </c>
      <c r="C2300" s="16" t="s">
        <v>5331</v>
      </c>
      <c r="D2300" s="12">
        <v>177.18</v>
      </c>
      <c r="E2300" s="12" t="s">
        <v>5332</v>
      </c>
      <c r="F2300" s="12" t="s">
        <v>5328</v>
      </c>
      <c r="G2300" s="12" t="s">
        <v>9382</v>
      </c>
      <c r="H2300" s="12">
        <v>54142</v>
      </c>
    </row>
    <row r="2301" spans="1:8">
      <c r="A2301" s="12" t="s">
        <v>9383</v>
      </c>
      <c r="B2301" s="13">
        <v>30.71</v>
      </c>
      <c r="C2301" s="16" t="s">
        <v>5331</v>
      </c>
      <c r="D2301" s="12">
        <v>159.41999999999999</v>
      </c>
      <c r="E2301" s="12" t="s">
        <v>5332</v>
      </c>
      <c r="F2301" s="12" t="s">
        <v>5328</v>
      </c>
      <c r="G2301" s="12" t="s">
        <v>9384</v>
      </c>
      <c r="H2301" s="12">
        <v>73291</v>
      </c>
    </row>
    <row r="2302" spans="1:8">
      <c r="A2302" s="12" t="s">
        <v>9385</v>
      </c>
      <c r="B2302" s="13">
        <v>37.119999999999997</v>
      </c>
      <c r="C2302" s="16" t="s">
        <v>5331</v>
      </c>
      <c r="D2302" s="12">
        <v>169.29</v>
      </c>
      <c r="E2302" s="12" t="s">
        <v>5332</v>
      </c>
      <c r="F2302" s="12" t="s">
        <v>5328</v>
      </c>
      <c r="G2302" s="12" t="s">
        <v>9386</v>
      </c>
      <c r="H2302" s="12">
        <v>73292</v>
      </c>
    </row>
    <row r="2303" spans="1:8">
      <c r="A2303" s="12" t="s">
        <v>9387</v>
      </c>
      <c r="B2303" s="13">
        <v>52.96</v>
      </c>
      <c r="C2303" s="16" t="s">
        <v>5331</v>
      </c>
      <c r="D2303" s="12">
        <v>269.89999999999998</v>
      </c>
      <c r="E2303" s="12" t="s">
        <v>5332</v>
      </c>
      <c r="F2303" s="12" t="s">
        <v>5328</v>
      </c>
      <c r="G2303" s="12" t="s">
        <v>9388</v>
      </c>
      <c r="H2303" s="12">
        <v>73293</v>
      </c>
    </row>
    <row r="2304" spans="1:8">
      <c r="A2304" s="12" t="s">
        <v>9389</v>
      </c>
      <c r="B2304" s="13">
        <v>12.19</v>
      </c>
      <c r="C2304" s="16" t="s">
        <v>5331</v>
      </c>
      <c r="D2304" s="12">
        <v>23.07</v>
      </c>
      <c r="E2304" s="12" t="s">
        <v>5332</v>
      </c>
      <c r="F2304" s="12" t="s">
        <v>5328</v>
      </c>
      <c r="G2304" s="12" t="s">
        <v>9390</v>
      </c>
      <c r="H2304" s="12">
        <v>73294</v>
      </c>
    </row>
    <row r="2305" spans="1:8">
      <c r="A2305" s="12" t="s">
        <v>9391</v>
      </c>
      <c r="B2305" s="13">
        <v>38.979999999999997</v>
      </c>
      <c r="C2305" s="16" t="s">
        <v>5331</v>
      </c>
      <c r="D2305" s="12">
        <v>202.65</v>
      </c>
      <c r="E2305" s="12" t="s">
        <v>5332</v>
      </c>
      <c r="F2305" s="12" t="s">
        <v>5328</v>
      </c>
      <c r="G2305" s="12" t="s">
        <v>9392</v>
      </c>
      <c r="H2305" s="12">
        <v>73453</v>
      </c>
    </row>
    <row r="2306" spans="1:8">
      <c r="A2306" s="12" t="s">
        <v>9393</v>
      </c>
      <c r="B2306" s="13">
        <v>1.88</v>
      </c>
      <c r="C2306" s="16" t="s">
        <v>5331</v>
      </c>
      <c r="D2306" s="12">
        <v>8.01</v>
      </c>
      <c r="E2306" s="12" t="s">
        <v>5332</v>
      </c>
      <c r="F2306" s="12" t="s">
        <v>5328</v>
      </c>
      <c r="G2306" s="12" t="s">
        <v>9394</v>
      </c>
      <c r="H2306" s="12">
        <v>155305</v>
      </c>
    </row>
    <row r="2307" spans="1:8">
      <c r="A2307" s="12" t="s">
        <v>9395</v>
      </c>
      <c r="B2307" s="13">
        <v>4.25</v>
      </c>
      <c r="C2307" s="16" t="s">
        <v>5331</v>
      </c>
      <c r="D2307" s="12">
        <v>19.170000000000002</v>
      </c>
      <c r="E2307" s="12" t="s">
        <v>5332</v>
      </c>
      <c r="F2307" s="12" t="s">
        <v>5328</v>
      </c>
      <c r="G2307" s="12" t="s">
        <v>9396</v>
      </c>
      <c r="H2307" s="12">
        <v>155384</v>
      </c>
    </row>
    <row r="2308" spans="1:8">
      <c r="A2308" s="12" t="s">
        <v>9397</v>
      </c>
      <c r="B2308" s="13">
        <v>4.3</v>
      </c>
      <c r="C2308" s="16" t="s">
        <v>5331</v>
      </c>
      <c r="D2308" s="12">
        <v>19.399999999999999</v>
      </c>
      <c r="E2308" s="12" t="s">
        <v>5332</v>
      </c>
      <c r="F2308" s="12" t="s">
        <v>5328</v>
      </c>
      <c r="G2308" s="12" t="s">
        <v>9398</v>
      </c>
      <c r="H2308" s="12">
        <v>155385</v>
      </c>
    </row>
    <row r="2309" spans="1:8">
      <c r="A2309" s="12" t="s">
        <v>9399</v>
      </c>
      <c r="B2309" s="13">
        <v>1.55</v>
      </c>
      <c r="C2309" s="16" t="s">
        <v>5331</v>
      </c>
      <c r="D2309" s="12">
        <v>7.25</v>
      </c>
      <c r="E2309" s="12" t="s">
        <v>5332</v>
      </c>
      <c r="F2309" s="12" t="s">
        <v>5328</v>
      </c>
      <c r="G2309" s="12" t="s">
        <v>9400</v>
      </c>
      <c r="H2309" s="12">
        <v>155386</v>
      </c>
    </row>
    <row r="2310" spans="1:8">
      <c r="A2310" s="12" t="s">
        <v>9401</v>
      </c>
      <c r="B2310" s="13">
        <v>0.83</v>
      </c>
      <c r="C2310" s="16" t="s">
        <v>5331</v>
      </c>
      <c r="D2310" s="12">
        <v>3.74</v>
      </c>
      <c r="E2310" s="12" t="s">
        <v>5332</v>
      </c>
      <c r="F2310" s="12" t="s">
        <v>5328</v>
      </c>
      <c r="G2310" s="12" t="s">
        <v>9402</v>
      </c>
      <c r="H2310" s="12">
        <v>155387</v>
      </c>
    </row>
    <row r="2311" spans="1:8">
      <c r="A2311" s="12" t="s">
        <v>9403</v>
      </c>
      <c r="B2311" s="13">
        <v>9.0399999999999991</v>
      </c>
      <c r="C2311" s="16" t="s">
        <v>5331</v>
      </c>
      <c r="D2311" s="12">
        <v>6.62</v>
      </c>
      <c r="E2311" s="12" t="s">
        <v>5332</v>
      </c>
      <c r="F2311" s="12" t="s">
        <v>5328</v>
      </c>
      <c r="G2311" s="12" t="s">
        <v>9404</v>
      </c>
      <c r="H2311" s="12">
        <v>155307</v>
      </c>
    </row>
    <row r="2312" spans="1:8">
      <c r="A2312" s="12" t="s">
        <v>9405</v>
      </c>
      <c r="B2312" s="13">
        <v>1.1299999999999999</v>
      </c>
      <c r="C2312" s="16" t="s">
        <v>5331</v>
      </c>
      <c r="D2312" s="12">
        <v>6.62</v>
      </c>
      <c r="E2312" s="12" t="s">
        <v>5332</v>
      </c>
      <c r="F2312" s="12" t="s">
        <v>5328</v>
      </c>
      <c r="G2312" s="12" t="s">
        <v>9406</v>
      </c>
      <c r="H2312" s="12">
        <v>155308</v>
      </c>
    </row>
    <row r="2313" spans="1:8">
      <c r="A2313" s="12" t="s">
        <v>9407</v>
      </c>
      <c r="B2313" s="13">
        <v>0.99</v>
      </c>
      <c r="C2313" s="16" t="s">
        <v>5331</v>
      </c>
      <c r="D2313" s="12">
        <v>6.03</v>
      </c>
      <c r="E2313" s="12" t="s">
        <v>5332</v>
      </c>
      <c r="F2313" s="12" t="s">
        <v>5328</v>
      </c>
      <c r="G2313" s="12" t="s">
        <v>9408</v>
      </c>
      <c r="H2313" s="12">
        <v>155309</v>
      </c>
    </row>
    <row r="2314" spans="1:8">
      <c r="A2314" s="12" t="s">
        <v>9409</v>
      </c>
      <c r="B2314" s="13">
        <v>1.88</v>
      </c>
      <c r="C2314" s="16" t="s">
        <v>5331</v>
      </c>
      <c r="D2314" s="12">
        <v>11.07</v>
      </c>
      <c r="E2314" s="12" t="s">
        <v>5332</v>
      </c>
      <c r="F2314" s="12" t="s">
        <v>5328</v>
      </c>
      <c r="G2314" s="12" t="s">
        <v>9410</v>
      </c>
      <c r="H2314" s="12">
        <v>155310</v>
      </c>
    </row>
    <row r="2315" spans="1:8">
      <c r="A2315" s="12" t="s">
        <v>9411</v>
      </c>
      <c r="B2315" s="13">
        <v>1.91</v>
      </c>
      <c r="C2315" s="16" t="s">
        <v>5331</v>
      </c>
      <c r="D2315" s="12">
        <v>11.25</v>
      </c>
      <c r="E2315" s="12" t="s">
        <v>5332</v>
      </c>
      <c r="F2315" s="12" t="s">
        <v>5328</v>
      </c>
      <c r="G2315" s="12" t="s">
        <v>9412</v>
      </c>
      <c r="H2315" s="12">
        <v>155311</v>
      </c>
    </row>
    <row r="2316" spans="1:8">
      <c r="A2316" s="12" t="s">
        <v>9413</v>
      </c>
      <c r="B2316" s="13">
        <v>15.93</v>
      </c>
      <c r="C2316" s="16" t="s">
        <v>5331</v>
      </c>
      <c r="D2316" s="12">
        <v>75.56</v>
      </c>
      <c r="E2316" s="12" t="s">
        <v>5332</v>
      </c>
      <c r="F2316" s="12" t="s">
        <v>5328</v>
      </c>
      <c r="G2316" s="12" t="s">
        <v>9414</v>
      </c>
      <c r="H2316" s="12">
        <v>155312</v>
      </c>
    </row>
    <row r="2317" spans="1:8">
      <c r="A2317" s="12" t="s">
        <v>9415</v>
      </c>
      <c r="B2317" s="13">
        <v>13.19</v>
      </c>
      <c r="C2317" s="16" t="s">
        <v>5331</v>
      </c>
      <c r="D2317" s="12">
        <v>62.1</v>
      </c>
      <c r="E2317" s="12" t="s">
        <v>5332</v>
      </c>
      <c r="F2317" s="12" t="s">
        <v>5328</v>
      </c>
      <c r="G2317" s="12" t="s">
        <v>9416</v>
      </c>
      <c r="H2317" s="12">
        <v>155313</v>
      </c>
    </row>
    <row r="2318" spans="1:8">
      <c r="A2318" s="12" t="s">
        <v>9417</v>
      </c>
      <c r="B2318" s="13">
        <v>0.83</v>
      </c>
      <c r="C2318" s="16" t="s">
        <v>5331</v>
      </c>
      <c r="D2318" s="12">
        <v>3.51</v>
      </c>
      <c r="E2318" s="12" t="s">
        <v>5332</v>
      </c>
      <c r="F2318" s="12" t="s">
        <v>5328</v>
      </c>
      <c r="G2318" s="12" t="s">
        <v>9418</v>
      </c>
      <c r="H2318" s="12">
        <v>155314</v>
      </c>
    </row>
    <row r="2319" spans="1:8">
      <c r="A2319" s="12" t="s">
        <v>9419</v>
      </c>
      <c r="B2319" s="13">
        <v>1.21</v>
      </c>
      <c r="C2319" s="16" t="s">
        <v>5331</v>
      </c>
      <c r="D2319" s="12">
        <v>7.02</v>
      </c>
      <c r="E2319" s="12" t="s">
        <v>5332</v>
      </c>
      <c r="F2319" s="12" t="s">
        <v>5328</v>
      </c>
      <c r="G2319" s="12" t="s">
        <v>9420</v>
      </c>
      <c r="H2319" s="12">
        <v>155315</v>
      </c>
    </row>
    <row r="2320" spans="1:8">
      <c r="A2320" s="12" t="s">
        <v>9421</v>
      </c>
      <c r="B2320" s="13">
        <v>0.82</v>
      </c>
      <c r="C2320" s="16" t="s">
        <v>5331</v>
      </c>
      <c r="D2320" s="12">
        <v>3.69</v>
      </c>
      <c r="E2320" s="12" t="s">
        <v>5332</v>
      </c>
      <c r="F2320" s="12" t="s">
        <v>5328</v>
      </c>
      <c r="G2320" s="12" t="s">
        <v>9422</v>
      </c>
      <c r="H2320" s="12">
        <v>155316</v>
      </c>
    </row>
    <row r="2321" spans="1:8">
      <c r="A2321" s="12" t="s">
        <v>9423</v>
      </c>
      <c r="B2321" s="13">
        <v>0</v>
      </c>
      <c r="C2321" s="16" t="s">
        <v>5331</v>
      </c>
      <c r="D2321" s="12">
        <v>12.6</v>
      </c>
      <c r="E2321" s="12" t="s">
        <v>5332</v>
      </c>
      <c r="F2321" s="12" t="s">
        <v>5328</v>
      </c>
      <c r="G2321" s="12" t="s">
        <v>9424</v>
      </c>
      <c r="H2321" s="12">
        <v>187418</v>
      </c>
    </row>
    <row r="2322" spans="1:8">
      <c r="A2322" s="12" t="s">
        <v>9425</v>
      </c>
      <c r="B2322" s="13">
        <v>0.86</v>
      </c>
      <c r="C2322" s="16" t="s">
        <v>5331</v>
      </c>
      <c r="D2322" s="12">
        <v>1.4846900000000001</v>
      </c>
      <c r="E2322" s="12" t="s">
        <v>5332</v>
      </c>
      <c r="F2322" s="12" t="s">
        <v>5328</v>
      </c>
      <c r="G2322" s="12" t="s">
        <v>9426</v>
      </c>
      <c r="H2322" s="12">
        <v>51510</v>
      </c>
    </row>
    <row r="2323" spans="1:8">
      <c r="A2323" s="12" t="s">
        <v>9427</v>
      </c>
      <c r="B2323" s="13">
        <v>437.26</v>
      </c>
      <c r="C2323" s="16" t="s">
        <v>5331</v>
      </c>
      <c r="D2323" s="12">
        <v>334.92500000000001</v>
      </c>
      <c r="E2323" s="12" t="s">
        <v>5332</v>
      </c>
      <c r="F2323" s="12" t="s">
        <v>5328</v>
      </c>
      <c r="G2323" s="12" t="s">
        <v>9428</v>
      </c>
      <c r="H2323" s="12">
        <v>18802</v>
      </c>
    </row>
    <row r="2324" spans="1:8">
      <c r="A2324" s="12" t="s">
        <v>9429</v>
      </c>
      <c r="B2324" s="13">
        <v>885.15</v>
      </c>
      <c r="C2324" s="16" t="s">
        <v>5331</v>
      </c>
      <c r="D2324" s="12">
        <v>1863.83</v>
      </c>
      <c r="E2324" s="12" t="s">
        <v>5332</v>
      </c>
      <c r="F2324" s="12" t="s">
        <v>5328</v>
      </c>
      <c r="G2324" s="12" t="s">
        <v>9430</v>
      </c>
      <c r="H2324" s="12">
        <v>38919</v>
      </c>
    </row>
    <row r="2325" spans="1:8">
      <c r="A2325" s="12" t="s">
        <v>9429</v>
      </c>
      <c r="B2325" s="13">
        <v>885.15</v>
      </c>
      <c r="C2325" s="16" t="s">
        <v>5331</v>
      </c>
      <c r="D2325" s="12">
        <v>1242.55</v>
      </c>
      <c r="E2325" s="12" t="s">
        <v>5332</v>
      </c>
      <c r="F2325" s="12" t="s">
        <v>5328</v>
      </c>
      <c r="G2325" s="12" t="s">
        <v>9430</v>
      </c>
      <c r="H2325" s="12">
        <v>38919</v>
      </c>
    </row>
    <row r="2326" spans="1:8">
      <c r="A2326" s="12" t="s">
        <v>9431</v>
      </c>
      <c r="B2326" s="13">
        <v>460.31</v>
      </c>
      <c r="C2326" s="16" t="s">
        <v>5331</v>
      </c>
      <c r="D2326" s="12">
        <v>1183.3800000000001</v>
      </c>
      <c r="E2326" s="12" t="s">
        <v>5332</v>
      </c>
      <c r="F2326" s="12" t="s">
        <v>5328</v>
      </c>
      <c r="G2326" s="12" t="s">
        <v>9432</v>
      </c>
      <c r="H2326" s="12">
        <v>22029</v>
      </c>
    </row>
    <row r="2327" spans="1:8">
      <c r="A2327" s="12" t="s">
        <v>9433</v>
      </c>
      <c r="B2327" s="14">
        <v>1123.6400000000001</v>
      </c>
      <c r="C2327" s="16" t="s">
        <v>5331</v>
      </c>
      <c r="D2327" s="12">
        <v>3052.4113299999999</v>
      </c>
      <c r="E2327" s="12" t="s">
        <v>5332</v>
      </c>
      <c r="F2327" s="12" t="s">
        <v>5328</v>
      </c>
      <c r="G2327" s="12" t="s">
        <v>9434</v>
      </c>
      <c r="H2327" s="12">
        <v>51745</v>
      </c>
    </row>
    <row r="2328" spans="1:8">
      <c r="A2328" s="12" t="s">
        <v>9433</v>
      </c>
      <c r="B2328" s="14">
        <v>1013.99</v>
      </c>
      <c r="C2328" s="16" t="s">
        <v>5331</v>
      </c>
      <c r="D2328" s="12">
        <v>2547.2399999999998</v>
      </c>
      <c r="E2328" s="12" t="s">
        <v>5332</v>
      </c>
      <c r="F2328" s="12" t="s">
        <v>5328</v>
      </c>
      <c r="G2328" s="12" t="s">
        <v>9435</v>
      </c>
      <c r="H2328" s="12">
        <v>22030</v>
      </c>
    </row>
    <row r="2329" spans="1:8">
      <c r="A2329" s="12" t="s">
        <v>9436</v>
      </c>
      <c r="B2329" s="14">
        <v>6029.28</v>
      </c>
      <c r="C2329" s="16" t="s">
        <v>5331</v>
      </c>
      <c r="D2329" s="12">
        <v>11539.92613</v>
      </c>
      <c r="E2329" s="12" t="s">
        <v>5332</v>
      </c>
      <c r="F2329" s="12" t="s">
        <v>5328</v>
      </c>
      <c r="G2329" s="12" t="s">
        <v>9437</v>
      </c>
      <c r="H2329" s="12">
        <v>51746</v>
      </c>
    </row>
    <row r="2330" spans="1:8">
      <c r="A2330" s="12" t="s">
        <v>9436</v>
      </c>
      <c r="B2330" s="14">
        <v>3513.31</v>
      </c>
      <c r="C2330" s="16" t="s">
        <v>5331</v>
      </c>
      <c r="D2330" s="12">
        <v>9753.2999999999993</v>
      </c>
      <c r="E2330" s="12" t="s">
        <v>5332</v>
      </c>
      <c r="F2330" s="12" t="s">
        <v>5328</v>
      </c>
      <c r="G2330" s="12" t="s">
        <v>9438</v>
      </c>
      <c r="H2330" s="12">
        <v>22031</v>
      </c>
    </row>
    <row r="2331" spans="1:8">
      <c r="A2331" s="12" t="s">
        <v>9439</v>
      </c>
      <c r="B2331" s="13">
        <v>91.27</v>
      </c>
      <c r="C2331" s="16" t="s">
        <v>5331</v>
      </c>
      <c r="D2331" s="12">
        <v>446.21</v>
      </c>
      <c r="E2331" s="12" t="s">
        <v>5332</v>
      </c>
      <c r="F2331" s="12" t="s">
        <v>5328</v>
      </c>
      <c r="G2331" s="12" t="s">
        <v>9440</v>
      </c>
      <c r="H2331" s="12">
        <v>18803</v>
      </c>
    </row>
    <row r="2332" spans="1:8">
      <c r="A2332" s="12" t="s">
        <v>9439</v>
      </c>
      <c r="B2332" s="13">
        <v>91.27</v>
      </c>
      <c r="C2332" s="16" t="s">
        <v>5331</v>
      </c>
      <c r="D2332" s="12">
        <v>297.47000000000003</v>
      </c>
      <c r="E2332" s="12" t="s">
        <v>5332</v>
      </c>
      <c r="F2332" s="12" t="s">
        <v>5328</v>
      </c>
      <c r="G2332" s="12" t="s">
        <v>9440</v>
      </c>
      <c r="H2332" s="12">
        <v>18803</v>
      </c>
    </row>
    <row r="2333" spans="1:8">
      <c r="A2333" s="12" t="s">
        <v>9441</v>
      </c>
      <c r="B2333" s="13">
        <v>0</v>
      </c>
      <c r="C2333" s="16" t="s">
        <v>5331</v>
      </c>
      <c r="D2333" s="12">
        <v>4364.6000000000004</v>
      </c>
      <c r="E2333" s="12" t="s">
        <v>5332</v>
      </c>
      <c r="F2333" s="12" t="s">
        <v>5328</v>
      </c>
      <c r="G2333" s="12" t="s">
        <v>9442</v>
      </c>
      <c r="H2333" s="12">
        <v>22032</v>
      </c>
    </row>
    <row r="2334" spans="1:8">
      <c r="A2334" s="12" t="s">
        <v>9443</v>
      </c>
      <c r="B2334" s="13">
        <v>169.07</v>
      </c>
      <c r="C2334" s="16" t="s">
        <v>5331</v>
      </c>
      <c r="D2334" s="12">
        <v>418.82499999999999</v>
      </c>
      <c r="E2334" s="12" t="s">
        <v>5332</v>
      </c>
      <c r="F2334" s="12" t="s">
        <v>5328</v>
      </c>
      <c r="G2334" s="12" t="s">
        <v>9444</v>
      </c>
      <c r="H2334" s="12">
        <v>19809</v>
      </c>
    </row>
    <row r="2335" spans="1:8">
      <c r="A2335" s="12" t="s">
        <v>9445</v>
      </c>
      <c r="B2335" s="13">
        <v>0</v>
      </c>
      <c r="C2335" s="16" t="s">
        <v>5331</v>
      </c>
      <c r="D2335" s="12">
        <v>8085.5023300000003</v>
      </c>
      <c r="E2335" s="12" t="s">
        <v>5332</v>
      </c>
      <c r="F2335" s="12" t="s">
        <v>5328</v>
      </c>
      <c r="G2335" s="12" t="s">
        <v>9446</v>
      </c>
      <c r="H2335" s="12">
        <v>51845</v>
      </c>
    </row>
    <row r="2336" spans="1:8">
      <c r="A2336" s="12" t="s">
        <v>9445</v>
      </c>
      <c r="B2336" s="13">
        <v>0</v>
      </c>
      <c r="C2336" s="16" t="s">
        <v>5331</v>
      </c>
      <c r="D2336" s="12">
        <v>8680.85</v>
      </c>
      <c r="E2336" s="12" t="s">
        <v>5332</v>
      </c>
      <c r="F2336" s="12" t="s">
        <v>5328</v>
      </c>
      <c r="G2336" s="12" t="s">
        <v>9447</v>
      </c>
      <c r="H2336" s="12">
        <v>22033</v>
      </c>
    </row>
    <row r="2337" spans="1:8">
      <c r="A2337" s="12" t="s">
        <v>9448</v>
      </c>
      <c r="B2337" s="14">
        <v>4149.74</v>
      </c>
      <c r="C2337" s="16" t="s">
        <v>5331</v>
      </c>
      <c r="D2337" s="12">
        <v>11004.963669999999</v>
      </c>
      <c r="E2337" s="12" t="s">
        <v>5332</v>
      </c>
      <c r="F2337" s="12" t="s">
        <v>5328</v>
      </c>
      <c r="G2337" s="12" t="s">
        <v>9449</v>
      </c>
      <c r="H2337" s="12">
        <v>54262</v>
      </c>
    </row>
    <row r="2338" spans="1:8">
      <c r="A2338" s="12" t="s">
        <v>9450</v>
      </c>
      <c r="B2338" s="13">
        <v>0</v>
      </c>
      <c r="C2338" s="16" t="s">
        <v>5331</v>
      </c>
      <c r="D2338" s="12">
        <v>84000</v>
      </c>
      <c r="E2338" s="12" t="s">
        <v>5332</v>
      </c>
      <c r="F2338" s="12" t="s">
        <v>5328</v>
      </c>
      <c r="G2338" s="12" t="s">
        <v>9451</v>
      </c>
      <c r="H2338" s="12">
        <v>20692</v>
      </c>
    </row>
    <row r="2339" spans="1:8">
      <c r="A2339" s="12" t="s">
        <v>9452</v>
      </c>
      <c r="B2339" s="14">
        <v>1420.64</v>
      </c>
      <c r="C2339" s="16" t="s">
        <v>5331</v>
      </c>
      <c r="D2339" s="12">
        <v>6362.03</v>
      </c>
      <c r="E2339" s="12" t="s">
        <v>5332</v>
      </c>
      <c r="F2339" s="12" t="s">
        <v>5328</v>
      </c>
      <c r="G2339" s="12" t="s">
        <v>9453</v>
      </c>
      <c r="H2339" s="12">
        <v>21112</v>
      </c>
    </row>
    <row r="2340" spans="1:8">
      <c r="A2340" s="12" t="s">
        <v>9452</v>
      </c>
      <c r="B2340" s="14">
        <v>1420.64</v>
      </c>
      <c r="C2340" s="16" t="s">
        <v>5331</v>
      </c>
      <c r="D2340" s="12">
        <v>4241.3500000000004</v>
      </c>
      <c r="E2340" s="12" t="s">
        <v>5332</v>
      </c>
      <c r="F2340" s="12" t="s">
        <v>5328</v>
      </c>
      <c r="G2340" s="12" t="s">
        <v>9453</v>
      </c>
      <c r="H2340" s="12">
        <v>21112</v>
      </c>
    </row>
    <row r="2341" spans="1:8">
      <c r="A2341" s="12" t="s">
        <v>9454</v>
      </c>
      <c r="B2341" s="14">
        <v>3084.84</v>
      </c>
      <c r="C2341" s="16" t="s">
        <v>5331</v>
      </c>
      <c r="D2341" s="12">
        <v>11655.44</v>
      </c>
      <c r="E2341" s="12" t="s">
        <v>5332</v>
      </c>
      <c r="F2341" s="12" t="s">
        <v>5328</v>
      </c>
      <c r="G2341" s="12" t="s">
        <v>9455</v>
      </c>
      <c r="H2341" s="12">
        <v>49425</v>
      </c>
    </row>
    <row r="2342" spans="1:8">
      <c r="A2342" s="12" t="s">
        <v>9454</v>
      </c>
      <c r="B2342" s="14">
        <v>3084.84</v>
      </c>
      <c r="C2342" s="16" t="s">
        <v>5331</v>
      </c>
      <c r="D2342" s="12">
        <v>7770.29</v>
      </c>
      <c r="E2342" s="12" t="s">
        <v>5332</v>
      </c>
      <c r="F2342" s="12" t="s">
        <v>5328</v>
      </c>
      <c r="G2342" s="12" t="s">
        <v>9455</v>
      </c>
      <c r="H2342" s="12">
        <v>49425</v>
      </c>
    </row>
    <row r="2343" spans="1:8">
      <c r="A2343" s="12" t="s">
        <v>9456</v>
      </c>
      <c r="B2343" s="14">
        <v>3335.9</v>
      </c>
      <c r="C2343" s="16" t="s">
        <v>5331</v>
      </c>
      <c r="D2343" s="12">
        <v>9743.99</v>
      </c>
      <c r="E2343" s="12" t="s">
        <v>5332</v>
      </c>
      <c r="F2343" s="12" t="s">
        <v>5328</v>
      </c>
      <c r="G2343" s="12" t="s">
        <v>9457</v>
      </c>
      <c r="H2343" s="12">
        <v>49426</v>
      </c>
    </row>
    <row r="2344" spans="1:8">
      <c r="A2344" s="12" t="s">
        <v>9456</v>
      </c>
      <c r="B2344" s="14">
        <v>3335.9</v>
      </c>
      <c r="C2344" s="16" t="s">
        <v>5331</v>
      </c>
      <c r="D2344" s="12">
        <v>6495.99</v>
      </c>
      <c r="E2344" s="12" t="s">
        <v>5332</v>
      </c>
      <c r="F2344" s="12" t="s">
        <v>5328</v>
      </c>
      <c r="G2344" s="12" t="s">
        <v>9457</v>
      </c>
      <c r="H2344" s="12">
        <v>49426</v>
      </c>
    </row>
    <row r="2345" spans="1:8">
      <c r="A2345" s="12" t="s">
        <v>9458</v>
      </c>
      <c r="B2345" s="13">
        <v>181.19</v>
      </c>
      <c r="C2345" s="16" t="s">
        <v>5331</v>
      </c>
      <c r="D2345" s="12">
        <v>1429.31</v>
      </c>
      <c r="E2345" s="12" t="s">
        <v>5332</v>
      </c>
      <c r="F2345" s="12" t="s">
        <v>5328</v>
      </c>
      <c r="G2345" s="12" t="s">
        <v>9459</v>
      </c>
      <c r="H2345" s="12">
        <v>53201</v>
      </c>
    </row>
    <row r="2346" spans="1:8">
      <c r="A2346" s="12" t="s">
        <v>9460</v>
      </c>
      <c r="B2346" s="13">
        <v>457</v>
      </c>
      <c r="C2346" s="16" t="s">
        <v>5331</v>
      </c>
      <c r="D2346" s="12">
        <v>1356.8994</v>
      </c>
      <c r="E2346" s="12" t="s">
        <v>5332</v>
      </c>
      <c r="F2346" s="12" t="s">
        <v>5328</v>
      </c>
      <c r="G2346" s="12" t="s">
        <v>9461</v>
      </c>
      <c r="H2346" s="12">
        <v>54143</v>
      </c>
    </row>
    <row r="2347" spans="1:8">
      <c r="A2347" s="12" t="s">
        <v>9462</v>
      </c>
      <c r="B2347" s="13">
        <v>350.14</v>
      </c>
      <c r="C2347" s="16" t="s">
        <v>5331</v>
      </c>
      <c r="D2347" s="12">
        <v>1680.96</v>
      </c>
      <c r="E2347" s="12" t="s">
        <v>5332</v>
      </c>
      <c r="F2347" s="12" t="s">
        <v>5328</v>
      </c>
      <c r="G2347" s="12" t="s">
        <v>9463</v>
      </c>
      <c r="H2347" s="12">
        <v>47039</v>
      </c>
    </row>
    <row r="2348" spans="1:8">
      <c r="A2348" s="12" t="s">
        <v>9462</v>
      </c>
      <c r="B2348" s="13">
        <v>350.14</v>
      </c>
      <c r="C2348" s="16" t="s">
        <v>5331</v>
      </c>
      <c r="D2348" s="12">
        <v>1120.6400000000001</v>
      </c>
      <c r="E2348" s="12" t="s">
        <v>5332</v>
      </c>
      <c r="F2348" s="12" t="s">
        <v>5328</v>
      </c>
      <c r="G2348" s="12" t="s">
        <v>9463</v>
      </c>
      <c r="H2348" s="12">
        <v>47039</v>
      </c>
    </row>
    <row r="2349" spans="1:8">
      <c r="A2349" s="12" t="s">
        <v>9462</v>
      </c>
      <c r="B2349" s="13">
        <v>0</v>
      </c>
      <c r="C2349" s="16" t="s">
        <v>5331</v>
      </c>
      <c r="D2349" s="12">
        <v>1067.28</v>
      </c>
      <c r="E2349" s="12" t="s">
        <v>5332</v>
      </c>
      <c r="F2349" s="12" t="s">
        <v>5328</v>
      </c>
      <c r="G2349" s="12" t="s">
        <v>9464</v>
      </c>
      <c r="H2349" s="12">
        <v>204733</v>
      </c>
    </row>
    <row r="2350" spans="1:8">
      <c r="A2350" s="12" t="s">
        <v>9462</v>
      </c>
      <c r="B2350" s="13">
        <v>0</v>
      </c>
      <c r="C2350" s="16" t="s">
        <v>5331</v>
      </c>
      <c r="D2350" s="12">
        <v>1067.28</v>
      </c>
      <c r="E2350" s="12" t="s">
        <v>5332</v>
      </c>
      <c r="F2350" s="12" t="s">
        <v>5328</v>
      </c>
      <c r="G2350" s="12" t="s">
        <v>9465</v>
      </c>
      <c r="H2350" s="12">
        <v>208630</v>
      </c>
    </row>
    <row r="2351" spans="1:8">
      <c r="A2351" s="12" t="s">
        <v>9462</v>
      </c>
      <c r="B2351" s="13">
        <v>0</v>
      </c>
      <c r="C2351" s="16" t="s">
        <v>5331</v>
      </c>
      <c r="D2351" s="12">
        <v>1067.28</v>
      </c>
      <c r="E2351" s="12" t="s">
        <v>5332</v>
      </c>
      <c r="F2351" s="12" t="s">
        <v>5328</v>
      </c>
      <c r="G2351" s="12" t="s">
        <v>9466</v>
      </c>
      <c r="H2351" s="12">
        <v>204757</v>
      </c>
    </row>
    <row r="2352" spans="1:8">
      <c r="A2352" s="12" t="s">
        <v>9467</v>
      </c>
      <c r="B2352" s="13">
        <v>46.02</v>
      </c>
      <c r="C2352" s="16" t="s">
        <v>5331</v>
      </c>
      <c r="D2352" s="12">
        <v>317.57</v>
      </c>
      <c r="E2352" s="12" t="s">
        <v>5332</v>
      </c>
      <c r="F2352" s="12" t="s">
        <v>5328</v>
      </c>
      <c r="G2352" s="12" t="s">
        <v>9468</v>
      </c>
      <c r="H2352" s="12">
        <v>55605</v>
      </c>
    </row>
    <row r="2353" spans="1:8">
      <c r="A2353" s="12" t="s">
        <v>9469</v>
      </c>
      <c r="B2353" s="13">
        <v>495.65</v>
      </c>
      <c r="C2353" s="16" t="s">
        <v>5331</v>
      </c>
      <c r="D2353" s="12">
        <v>1183.3800000000001</v>
      </c>
      <c r="E2353" s="12" t="s">
        <v>5332</v>
      </c>
      <c r="F2353" s="12" t="s">
        <v>5328</v>
      </c>
      <c r="G2353" s="12" t="s">
        <v>9470</v>
      </c>
      <c r="H2353" s="12">
        <v>37235</v>
      </c>
    </row>
    <row r="2354" spans="1:8">
      <c r="A2354" s="12" t="s">
        <v>9471</v>
      </c>
      <c r="B2354" s="13">
        <v>0</v>
      </c>
      <c r="C2354" s="16" t="s">
        <v>5331</v>
      </c>
      <c r="D2354" s="12">
        <v>1183.3800000000001</v>
      </c>
      <c r="E2354" s="12" t="s">
        <v>5332</v>
      </c>
      <c r="F2354" s="12" t="s">
        <v>5328</v>
      </c>
      <c r="G2354" s="12" t="s">
        <v>9472</v>
      </c>
      <c r="H2354" s="12">
        <v>31760</v>
      </c>
    </row>
    <row r="2355" spans="1:8">
      <c r="A2355" s="12" t="s">
        <v>9473</v>
      </c>
      <c r="B2355" s="13">
        <v>849.8</v>
      </c>
      <c r="C2355" s="16" t="s">
        <v>5331</v>
      </c>
      <c r="D2355" s="12">
        <v>1477.6320000000001</v>
      </c>
      <c r="E2355" s="12" t="s">
        <v>5332</v>
      </c>
      <c r="F2355" s="12" t="s">
        <v>5328</v>
      </c>
      <c r="G2355" s="12" t="s">
        <v>9474</v>
      </c>
      <c r="H2355" s="12">
        <v>44519</v>
      </c>
    </row>
    <row r="2356" spans="1:8">
      <c r="A2356" s="12" t="s">
        <v>9475</v>
      </c>
      <c r="B2356" s="13">
        <v>824.45</v>
      </c>
      <c r="C2356" s="16" t="s">
        <v>5331</v>
      </c>
      <c r="D2356" s="12">
        <v>1004.5449</v>
      </c>
      <c r="E2356" s="12" t="s">
        <v>5332</v>
      </c>
      <c r="F2356" s="12" t="s">
        <v>5328</v>
      </c>
      <c r="G2356" s="12" t="s">
        <v>9476</v>
      </c>
      <c r="H2356" s="12">
        <v>59163</v>
      </c>
    </row>
    <row r="2357" spans="1:8">
      <c r="A2357" s="12" t="s">
        <v>9477</v>
      </c>
      <c r="B2357" s="13">
        <v>363.25</v>
      </c>
      <c r="C2357" s="16" t="s">
        <v>5331</v>
      </c>
      <c r="D2357" s="12">
        <v>1787.63</v>
      </c>
      <c r="E2357" s="12" t="s">
        <v>5332</v>
      </c>
      <c r="F2357" s="12" t="s">
        <v>5328</v>
      </c>
      <c r="G2357" s="12" t="s">
        <v>9478</v>
      </c>
      <c r="H2357" s="12">
        <v>59883</v>
      </c>
    </row>
    <row r="2358" spans="1:8">
      <c r="A2358" s="12" t="s">
        <v>9479</v>
      </c>
      <c r="B2358" s="13">
        <v>108.73</v>
      </c>
      <c r="C2358" s="16" t="s">
        <v>5331</v>
      </c>
      <c r="D2358" s="12">
        <v>366</v>
      </c>
      <c r="E2358" s="12" t="s">
        <v>5332</v>
      </c>
      <c r="F2358" s="12" t="s">
        <v>5328</v>
      </c>
      <c r="G2358" s="12" t="s">
        <v>9480</v>
      </c>
      <c r="H2358" s="12">
        <v>76655</v>
      </c>
    </row>
    <row r="2359" spans="1:8">
      <c r="A2359" s="12" t="s">
        <v>9481</v>
      </c>
      <c r="B2359" s="14">
        <v>1364.83</v>
      </c>
      <c r="C2359" s="16" t="s">
        <v>5331</v>
      </c>
      <c r="D2359" s="12">
        <v>3232.91</v>
      </c>
      <c r="E2359" s="12" t="s">
        <v>5332</v>
      </c>
      <c r="F2359" s="12" t="s">
        <v>5328</v>
      </c>
      <c r="G2359" s="12" t="s">
        <v>9482</v>
      </c>
      <c r="H2359" s="12">
        <v>90692</v>
      </c>
    </row>
    <row r="2360" spans="1:8">
      <c r="A2360" s="12" t="s">
        <v>9481</v>
      </c>
      <c r="B2360" s="13">
        <v>957.18</v>
      </c>
      <c r="C2360" s="16" t="s">
        <v>5331</v>
      </c>
      <c r="D2360" s="12">
        <v>2052.64</v>
      </c>
      <c r="E2360" s="12" t="s">
        <v>5332</v>
      </c>
      <c r="F2360" s="12" t="s">
        <v>5328</v>
      </c>
      <c r="G2360" s="12" t="s">
        <v>9483</v>
      </c>
      <c r="H2360" s="12">
        <v>204734</v>
      </c>
    </row>
    <row r="2361" spans="1:8">
      <c r="A2361" s="12" t="s">
        <v>9481</v>
      </c>
      <c r="B2361" s="13">
        <v>0</v>
      </c>
      <c r="C2361" s="16" t="s">
        <v>5331</v>
      </c>
      <c r="D2361" s="12">
        <v>2052.64</v>
      </c>
      <c r="E2361" s="12" t="s">
        <v>5332</v>
      </c>
      <c r="F2361" s="12" t="s">
        <v>5328</v>
      </c>
      <c r="G2361" s="12" t="s">
        <v>9484</v>
      </c>
      <c r="H2361" s="12">
        <v>208631</v>
      </c>
    </row>
    <row r="2362" spans="1:8">
      <c r="A2362" s="12" t="s">
        <v>9481</v>
      </c>
      <c r="B2362" s="13">
        <v>0</v>
      </c>
      <c r="C2362" s="16" t="s">
        <v>5331</v>
      </c>
      <c r="D2362" s="12">
        <v>2052.64</v>
      </c>
      <c r="E2362" s="12" t="s">
        <v>5332</v>
      </c>
      <c r="F2362" s="12" t="s">
        <v>5328</v>
      </c>
      <c r="G2362" s="12" t="s">
        <v>9485</v>
      </c>
      <c r="H2362" s="12">
        <v>204758</v>
      </c>
    </row>
    <row r="2363" spans="1:8">
      <c r="A2363" s="12" t="s">
        <v>9486</v>
      </c>
      <c r="B2363" s="13">
        <v>255.4</v>
      </c>
      <c r="C2363" s="16" t="s">
        <v>5331</v>
      </c>
      <c r="D2363" s="12">
        <v>1049</v>
      </c>
      <c r="E2363" s="12" t="s">
        <v>5332</v>
      </c>
      <c r="F2363" s="12" t="s">
        <v>5328</v>
      </c>
      <c r="G2363" s="12" t="s">
        <v>9487</v>
      </c>
      <c r="H2363" s="12">
        <v>88851</v>
      </c>
    </row>
    <row r="2364" spans="1:8">
      <c r="A2364" s="12" t="s">
        <v>9488</v>
      </c>
      <c r="B2364" s="13">
        <v>47.92</v>
      </c>
      <c r="C2364" s="16" t="s">
        <v>5331</v>
      </c>
      <c r="D2364" s="12">
        <v>317.57</v>
      </c>
      <c r="E2364" s="12" t="s">
        <v>5332</v>
      </c>
      <c r="F2364" s="12" t="s">
        <v>5328</v>
      </c>
      <c r="G2364" s="12" t="s">
        <v>9489</v>
      </c>
      <c r="H2364" s="12">
        <v>85519</v>
      </c>
    </row>
    <row r="2365" spans="1:8">
      <c r="A2365" s="12" t="s">
        <v>9490</v>
      </c>
      <c r="B2365" s="13">
        <v>119.96</v>
      </c>
      <c r="C2365" s="16" t="s">
        <v>5331</v>
      </c>
      <c r="D2365" s="12">
        <v>769.23</v>
      </c>
      <c r="E2365" s="12" t="s">
        <v>5332</v>
      </c>
      <c r="F2365" s="12" t="s">
        <v>5328</v>
      </c>
      <c r="G2365" s="12" t="s">
        <v>9491</v>
      </c>
      <c r="H2365" s="12">
        <v>86235</v>
      </c>
    </row>
    <row r="2366" spans="1:8">
      <c r="A2366" s="12" t="s">
        <v>9492</v>
      </c>
      <c r="B2366" s="13">
        <v>98.98</v>
      </c>
      <c r="C2366" s="16" t="s">
        <v>5331</v>
      </c>
      <c r="D2366" s="12">
        <v>1280.8499999999999</v>
      </c>
      <c r="E2366" s="12" t="s">
        <v>5332</v>
      </c>
      <c r="F2366" s="12" t="s">
        <v>5328</v>
      </c>
      <c r="G2366" s="12" t="s">
        <v>9493</v>
      </c>
      <c r="H2366" s="12">
        <v>111241</v>
      </c>
    </row>
    <row r="2367" spans="1:8">
      <c r="A2367" s="12" t="s">
        <v>9494</v>
      </c>
      <c r="B2367" s="14">
        <v>3064.41</v>
      </c>
      <c r="C2367" s="16" t="s">
        <v>5331</v>
      </c>
      <c r="D2367" s="12">
        <v>33075</v>
      </c>
      <c r="E2367" s="12" t="s">
        <v>5332</v>
      </c>
      <c r="F2367" s="12" t="s">
        <v>5328</v>
      </c>
      <c r="G2367" s="12" t="s">
        <v>9495</v>
      </c>
      <c r="H2367" s="12">
        <v>107936</v>
      </c>
    </row>
    <row r="2368" spans="1:8">
      <c r="A2368" s="12" t="s">
        <v>9496</v>
      </c>
      <c r="B2368" s="13">
        <v>136.9</v>
      </c>
      <c r="C2368" s="16" t="s">
        <v>5331</v>
      </c>
      <c r="D2368" s="12">
        <v>1417.5</v>
      </c>
      <c r="E2368" s="12" t="s">
        <v>5332</v>
      </c>
      <c r="F2368" s="12" t="s">
        <v>5328</v>
      </c>
      <c r="G2368" s="12" t="s">
        <v>9497</v>
      </c>
      <c r="H2368" s="12">
        <v>114944</v>
      </c>
    </row>
    <row r="2369" spans="1:8">
      <c r="A2369" s="12" t="s">
        <v>9498</v>
      </c>
      <c r="B2369" s="13">
        <v>170.71</v>
      </c>
      <c r="C2369" s="16" t="s">
        <v>5331</v>
      </c>
      <c r="D2369" s="12">
        <v>1327.91</v>
      </c>
      <c r="E2369" s="12" t="s">
        <v>5332</v>
      </c>
      <c r="F2369" s="12" t="s">
        <v>5328</v>
      </c>
      <c r="G2369" s="12" t="s">
        <v>9499</v>
      </c>
      <c r="H2369" s="12">
        <v>119071</v>
      </c>
    </row>
    <row r="2370" spans="1:8">
      <c r="A2370" s="12" t="s">
        <v>9500</v>
      </c>
      <c r="B2370" s="13">
        <v>140.18</v>
      </c>
      <c r="C2370" s="16" t="s">
        <v>5331</v>
      </c>
      <c r="D2370" s="12">
        <v>2255.7199999999998</v>
      </c>
      <c r="E2370" s="12" t="s">
        <v>5332</v>
      </c>
      <c r="F2370" s="12" t="s">
        <v>5328</v>
      </c>
      <c r="G2370" s="12" t="s">
        <v>9501</v>
      </c>
      <c r="H2370" s="12">
        <v>136550</v>
      </c>
    </row>
    <row r="2371" spans="1:8">
      <c r="A2371" s="12" t="s">
        <v>9502</v>
      </c>
      <c r="B2371" s="13">
        <v>294.06</v>
      </c>
      <c r="C2371" s="16" t="s">
        <v>5331</v>
      </c>
      <c r="D2371" s="12">
        <v>2112.69</v>
      </c>
      <c r="E2371" s="12" t="s">
        <v>5332</v>
      </c>
      <c r="F2371" s="12" t="s">
        <v>5328</v>
      </c>
      <c r="G2371" s="12" t="s">
        <v>9503</v>
      </c>
      <c r="H2371" s="12">
        <v>141928</v>
      </c>
    </row>
    <row r="2372" spans="1:8">
      <c r="A2372" s="12" t="s">
        <v>9504</v>
      </c>
      <c r="B2372" s="14">
        <v>3831.11</v>
      </c>
      <c r="C2372" s="16" t="s">
        <v>5331</v>
      </c>
      <c r="D2372" s="12">
        <v>17589.96</v>
      </c>
      <c r="E2372" s="12" t="s">
        <v>5332</v>
      </c>
      <c r="F2372" s="12" t="s">
        <v>5328</v>
      </c>
      <c r="G2372" s="12" t="s">
        <v>9505</v>
      </c>
      <c r="H2372" s="12">
        <v>189734</v>
      </c>
    </row>
    <row r="2373" spans="1:8">
      <c r="A2373" s="12" t="s">
        <v>9506</v>
      </c>
      <c r="B2373" s="13">
        <v>142.75</v>
      </c>
      <c r="C2373" s="16" t="s">
        <v>5331</v>
      </c>
      <c r="D2373" s="12">
        <v>426</v>
      </c>
      <c r="E2373" s="12" t="s">
        <v>5332</v>
      </c>
      <c r="F2373" s="12" t="s">
        <v>5328</v>
      </c>
      <c r="G2373" s="12" t="s">
        <v>9507</v>
      </c>
      <c r="H2373" s="12">
        <v>189035</v>
      </c>
    </row>
    <row r="2374" spans="1:8">
      <c r="A2374" s="12" t="s">
        <v>9508</v>
      </c>
      <c r="B2374" s="14">
        <v>2813.4</v>
      </c>
      <c r="C2374" s="16" t="s">
        <v>5331</v>
      </c>
      <c r="D2374" s="12">
        <v>10430.1</v>
      </c>
      <c r="E2374" s="12" t="s">
        <v>5332</v>
      </c>
      <c r="F2374" s="12" t="s">
        <v>5328</v>
      </c>
      <c r="G2374" s="12" t="s">
        <v>9509</v>
      </c>
      <c r="H2374" s="12">
        <v>210663</v>
      </c>
    </row>
    <row r="2375" spans="1:8">
      <c r="A2375" s="12" t="s">
        <v>9510</v>
      </c>
      <c r="B2375" s="13">
        <v>611.64</v>
      </c>
      <c r="C2375" s="16" t="s">
        <v>5331</v>
      </c>
      <c r="D2375" s="12">
        <v>2348.2399999999998</v>
      </c>
      <c r="E2375" s="12" t="s">
        <v>5332</v>
      </c>
      <c r="F2375" s="12" t="s">
        <v>5328</v>
      </c>
      <c r="G2375" s="12" t="s">
        <v>9511</v>
      </c>
      <c r="H2375" s="12">
        <v>192047</v>
      </c>
    </row>
    <row r="2376" spans="1:8">
      <c r="A2376" s="12" t="s">
        <v>9512</v>
      </c>
      <c r="B2376" s="13">
        <v>0.96</v>
      </c>
      <c r="C2376" s="16" t="s">
        <v>5331</v>
      </c>
      <c r="D2376" s="12">
        <v>15</v>
      </c>
      <c r="E2376" s="12" t="s">
        <v>5332</v>
      </c>
      <c r="F2376" s="12" t="s">
        <v>5328</v>
      </c>
      <c r="G2376" s="12" t="s">
        <v>9513</v>
      </c>
      <c r="H2376" s="12">
        <v>223342</v>
      </c>
    </row>
    <row r="2377" spans="1:8">
      <c r="A2377" s="12" t="s">
        <v>9514</v>
      </c>
      <c r="B2377" s="13">
        <v>11.28</v>
      </c>
      <c r="C2377" s="16" t="s">
        <v>5331</v>
      </c>
      <c r="D2377" s="12">
        <v>97.5</v>
      </c>
      <c r="E2377" s="12" t="s">
        <v>5332</v>
      </c>
      <c r="F2377" s="12" t="s">
        <v>5328</v>
      </c>
      <c r="G2377" s="12" t="s">
        <v>9515</v>
      </c>
      <c r="H2377" s="12">
        <v>223344</v>
      </c>
    </row>
    <row r="2378" spans="1:8">
      <c r="A2378" s="12" t="s">
        <v>9516</v>
      </c>
      <c r="B2378" s="13">
        <v>8.1300000000000008</v>
      </c>
      <c r="C2378" s="16" t="s">
        <v>5331</v>
      </c>
      <c r="D2378" s="12">
        <v>60</v>
      </c>
      <c r="E2378" s="12" t="s">
        <v>5332</v>
      </c>
      <c r="F2378" s="12" t="s">
        <v>5328</v>
      </c>
      <c r="G2378" s="12" t="s">
        <v>9517</v>
      </c>
      <c r="H2378" s="12">
        <v>223141</v>
      </c>
    </row>
    <row r="2379" spans="1:8">
      <c r="A2379" s="12" t="s">
        <v>9518</v>
      </c>
      <c r="B2379" s="13">
        <v>0.25</v>
      </c>
      <c r="C2379" s="16" t="s">
        <v>5331</v>
      </c>
      <c r="D2379" s="12">
        <v>15</v>
      </c>
      <c r="E2379" s="12" t="s">
        <v>5332</v>
      </c>
      <c r="F2379" s="12" t="s">
        <v>5328</v>
      </c>
      <c r="G2379" s="12" t="s">
        <v>9519</v>
      </c>
      <c r="H2379" s="12">
        <v>223236</v>
      </c>
    </row>
    <row r="2380" spans="1:8">
      <c r="A2380" s="12" t="s">
        <v>9520</v>
      </c>
      <c r="B2380" s="13">
        <v>0.66</v>
      </c>
      <c r="C2380" s="16" t="s">
        <v>5331</v>
      </c>
      <c r="D2380" s="12">
        <v>15</v>
      </c>
      <c r="E2380" s="12" t="s">
        <v>5332</v>
      </c>
      <c r="F2380" s="12" t="s">
        <v>5328</v>
      </c>
      <c r="G2380" s="12" t="s">
        <v>9521</v>
      </c>
      <c r="H2380" s="12">
        <v>223336</v>
      </c>
    </row>
    <row r="2381" spans="1:8">
      <c r="A2381" s="12" t="s">
        <v>9522</v>
      </c>
      <c r="B2381" s="13">
        <v>11.95</v>
      </c>
      <c r="C2381" s="16" t="s">
        <v>5331</v>
      </c>
      <c r="D2381" s="12">
        <v>150</v>
      </c>
      <c r="E2381" s="12" t="s">
        <v>5332</v>
      </c>
      <c r="F2381" s="12" t="s">
        <v>5328</v>
      </c>
      <c r="G2381" s="12" t="s">
        <v>9523</v>
      </c>
      <c r="H2381" s="12">
        <v>223346</v>
      </c>
    </row>
    <row r="2382" spans="1:8">
      <c r="A2382" s="12" t="s">
        <v>9524</v>
      </c>
      <c r="B2382" s="13">
        <v>13.27</v>
      </c>
      <c r="C2382" s="16" t="s">
        <v>5331</v>
      </c>
      <c r="D2382" s="12">
        <v>150</v>
      </c>
      <c r="E2382" s="12" t="s">
        <v>5332</v>
      </c>
      <c r="F2382" s="12" t="s">
        <v>5328</v>
      </c>
      <c r="G2382" s="12" t="s">
        <v>9525</v>
      </c>
      <c r="H2382" s="12">
        <v>223347</v>
      </c>
    </row>
    <row r="2383" spans="1:8">
      <c r="A2383" s="12" t="s">
        <v>9526</v>
      </c>
      <c r="B2383" s="14">
        <v>6560.6</v>
      </c>
      <c r="C2383" s="16" t="s">
        <v>5331</v>
      </c>
      <c r="D2383" s="12">
        <v>20400</v>
      </c>
      <c r="E2383" s="12" t="s">
        <v>5332</v>
      </c>
      <c r="F2383" s="12" t="s">
        <v>5328</v>
      </c>
      <c r="G2383" s="12" t="s">
        <v>9527</v>
      </c>
      <c r="H2383" s="12">
        <v>278366</v>
      </c>
    </row>
    <row r="2384" spans="1:8">
      <c r="A2384" s="12" t="s">
        <v>9528</v>
      </c>
      <c r="B2384" s="13">
        <v>377.54</v>
      </c>
      <c r="C2384" s="16" t="s">
        <v>5331</v>
      </c>
      <c r="D2384" s="12">
        <v>1428</v>
      </c>
      <c r="E2384" s="12" t="s">
        <v>5332</v>
      </c>
      <c r="F2384" s="12" t="s">
        <v>5328</v>
      </c>
      <c r="G2384" s="12" t="s">
        <v>9529</v>
      </c>
      <c r="H2384" s="12">
        <v>278266</v>
      </c>
    </row>
    <row r="2385" spans="1:8">
      <c r="A2385" s="12" t="s">
        <v>9530</v>
      </c>
      <c r="B2385" s="13">
        <v>39.950000000000003</v>
      </c>
      <c r="C2385" s="16" t="s">
        <v>5331</v>
      </c>
      <c r="D2385" s="12">
        <v>307.13</v>
      </c>
      <c r="E2385" s="12" t="s">
        <v>5332</v>
      </c>
      <c r="F2385" s="12" t="s">
        <v>5328</v>
      </c>
      <c r="G2385" s="12" t="s">
        <v>9531</v>
      </c>
      <c r="H2385" s="12">
        <v>20935</v>
      </c>
    </row>
    <row r="2386" spans="1:8">
      <c r="A2386" s="12" t="s">
        <v>9532</v>
      </c>
      <c r="B2386" s="13">
        <v>16.75</v>
      </c>
      <c r="C2386" s="16" t="s">
        <v>5331</v>
      </c>
      <c r="D2386" s="12">
        <v>60.81</v>
      </c>
      <c r="E2386" s="12" t="s">
        <v>5332</v>
      </c>
      <c r="F2386" s="12" t="s">
        <v>5328</v>
      </c>
      <c r="G2386" s="12" t="s">
        <v>9533</v>
      </c>
      <c r="H2386" s="12">
        <v>53557</v>
      </c>
    </row>
    <row r="2387" spans="1:8">
      <c r="A2387" s="12" t="s">
        <v>9534</v>
      </c>
      <c r="B2387" s="13">
        <v>14.64</v>
      </c>
      <c r="C2387" s="16" t="s">
        <v>5331</v>
      </c>
      <c r="D2387" s="12">
        <v>70.41</v>
      </c>
      <c r="E2387" s="12" t="s">
        <v>5332</v>
      </c>
      <c r="F2387" s="12" t="s">
        <v>5328</v>
      </c>
      <c r="G2387" s="12" t="s">
        <v>9535</v>
      </c>
      <c r="H2387" s="12">
        <v>53558</v>
      </c>
    </row>
    <row r="2388" spans="1:8">
      <c r="A2388" s="12" t="s">
        <v>9536</v>
      </c>
      <c r="B2388" s="13">
        <v>68.77</v>
      </c>
      <c r="C2388" s="16" t="s">
        <v>5331</v>
      </c>
      <c r="D2388" s="12">
        <v>329.85</v>
      </c>
      <c r="E2388" s="12" t="s">
        <v>5332</v>
      </c>
      <c r="F2388" s="12" t="s">
        <v>5328</v>
      </c>
      <c r="G2388" s="12" t="s">
        <v>9537</v>
      </c>
      <c r="H2388" s="12">
        <v>118316</v>
      </c>
    </row>
    <row r="2389" spans="1:8">
      <c r="A2389" s="12" t="s">
        <v>9538</v>
      </c>
      <c r="B2389" s="13">
        <v>69.81</v>
      </c>
      <c r="C2389" s="16" t="s">
        <v>5331</v>
      </c>
      <c r="D2389" s="12">
        <v>209.43</v>
      </c>
      <c r="E2389" s="12" t="s">
        <v>5332</v>
      </c>
      <c r="F2389" s="12" t="s">
        <v>5328</v>
      </c>
      <c r="G2389" s="12" t="s">
        <v>9539</v>
      </c>
      <c r="H2389" s="12">
        <v>33902</v>
      </c>
    </row>
    <row r="2390" spans="1:8">
      <c r="A2390" s="12" t="s">
        <v>9540</v>
      </c>
      <c r="B2390" s="14">
        <v>17450.599999999999</v>
      </c>
      <c r="C2390" s="16" t="s">
        <v>5331</v>
      </c>
      <c r="D2390" s="12">
        <v>119183.88</v>
      </c>
      <c r="E2390" s="12" t="s">
        <v>5332</v>
      </c>
      <c r="F2390" s="12" t="s">
        <v>5328</v>
      </c>
      <c r="G2390" s="12" t="s">
        <v>9541</v>
      </c>
      <c r="H2390" s="12">
        <v>123070</v>
      </c>
    </row>
    <row r="2391" spans="1:8">
      <c r="A2391" s="12" t="s">
        <v>9542</v>
      </c>
      <c r="B2391" s="13">
        <v>363.41</v>
      </c>
      <c r="C2391" s="16" t="s">
        <v>5331</v>
      </c>
      <c r="D2391" s="12">
        <v>2122.61</v>
      </c>
      <c r="E2391" s="12" t="s">
        <v>5332</v>
      </c>
      <c r="F2391" s="12" t="s">
        <v>5328</v>
      </c>
      <c r="G2391" s="12" t="s">
        <v>9543</v>
      </c>
      <c r="H2391" s="12">
        <v>112053</v>
      </c>
    </row>
    <row r="2392" spans="1:8">
      <c r="A2392" s="12" t="s">
        <v>9542</v>
      </c>
      <c r="B2392" s="13">
        <v>0</v>
      </c>
      <c r="C2392" s="16" t="s">
        <v>5331</v>
      </c>
      <c r="D2392" s="12">
        <v>1347.69</v>
      </c>
      <c r="E2392" s="12" t="s">
        <v>5332</v>
      </c>
      <c r="F2392" s="12" t="s">
        <v>5328</v>
      </c>
      <c r="G2392" s="12" t="s">
        <v>9544</v>
      </c>
      <c r="H2392" s="12">
        <v>204811</v>
      </c>
    </row>
    <row r="2393" spans="1:8">
      <c r="A2393" s="12" t="s">
        <v>9542</v>
      </c>
      <c r="B2393" s="13">
        <v>0</v>
      </c>
      <c r="C2393" s="16" t="s">
        <v>5331</v>
      </c>
      <c r="D2393" s="12">
        <v>1347.69</v>
      </c>
      <c r="E2393" s="12" t="s">
        <v>5332</v>
      </c>
      <c r="F2393" s="12" t="s">
        <v>5328</v>
      </c>
      <c r="G2393" s="12" t="s">
        <v>9545</v>
      </c>
      <c r="H2393" s="12">
        <v>208633</v>
      </c>
    </row>
    <row r="2394" spans="1:8">
      <c r="A2394" s="12" t="s">
        <v>9542</v>
      </c>
      <c r="B2394" s="13">
        <v>0</v>
      </c>
      <c r="C2394" s="16" t="s">
        <v>5331</v>
      </c>
      <c r="D2394" s="12">
        <v>1347.69</v>
      </c>
      <c r="E2394" s="12" t="s">
        <v>5332</v>
      </c>
      <c r="F2394" s="12" t="s">
        <v>5328</v>
      </c>
      <c r="G2394" s="12" t="s">
        <v>9546</v>
      </c>
      <c r="H2394" s="12">
        <v>204812</v>
      </c>
    </row>
    <row r="2395" spans="1:8">
      <c r="A2395" s="12" t="s">
        <v>9547</v>
      </c>
      <c r="B2395" s="13">
        <v>253.68</v>
      </c>
      <c r="C2395" s="16" t="s">
        <v>5331</v>
      </c>
      <c r="D2395" s="12">
        <v>831.02499999999998</v>
      </c>
      <c r="E2395" s="12" t="s">
        <v>5332</v>
      </c>
      <c r="F2395" s="12" t="s">
        <v>5328</v>
      </c>
      <c r="G2395" s="12" t="s">
        <v>9548</v>
      </c>
      <c r="H2395" s="12">
        <v>19710</v>
      </c>
    </row>
    <row r="2396" spans="1:8">
      <c r="A2396" s="12" t="s">
        <v>9549</v>
      </c>
      <c r="B2396" s="13">
        <v>569.75</v>
      </c>
      <c r="C2396" s="16" t="s">
        <v>5331</v>
      </c>
      <c r="D2396" s="12">
        <v>1648.7</v>
      </c>
      <c r="E2396" s="12" t="s">
        <v>5332</v>
      </c>
      <c r="F2396" s="12" t="s">
        <v>5328</v>
      </c>
      <c r="G2396" s="12" t="s">
        <v>9550</v>
      </c>
      <c r="H2396" s="12">
        <v>18696</v>
      </c>
    </row>
    <row r="2397" spans="1:8">
      <c r="A2397" s="12" t="s">
        <v>9549</v>
      </c>
      <c r="B2397" s="13">
        <v>569.75</v>
      </c>
      <c r="C2397" s="16" t="s">
        <v>5331</v>
      </c>
      <c r="D2397" s="12">
        <v>1099.1300000000001</v>
      </c>
      <c r="E2397" s="12" t="s">
        <v>5332</v>
      </c>
      <c r="F2397" s="12" t="s">
        <v>5328</v>
      </c>
      <c r="G2397" s="12" t="s">
        <v>9550</v>
      </c>
      <c r="H2397" s="12">
        <v>18696</v>
      </c>
    </row>
    <row r="2398" spans="1:8">
      <c r="A2398" s="12" t="s">
        <v>9551</v>
      </c>
      <c r="B2398" s="13">
        <v>848.42</v>
      </c>
      <c r="C2398" s="16" t="s">
        <v>5331</v>
      </c>
      <c r="D2398" s="12">
        <v>3816</v>
      </c>
      <c r="E2398" s="12" t="s">
        <v>5332</v>
      </c>
      <c r="F2398" s="12" t="s">
        <v>5328</v>
      </c>
      <c r="G2398" s="12" t="s">
        <v>9552</v>
      </c>
      <c r="H2398" s="12">
        <v>140336</v>
      </c>
    </row>
    <row r="2399" spans="1:8">
      <c r="A2399" s="12" t="s">
        <v>9553</v>
      </c>
      <c r="B2399" s="14">
        <v>6107.14</v>
      </c>
      <c r="C2399" s="16" t="s">
        <v>5331</v>
      </c>
      <c r="D2399" s="12">
        <v>34423</v>
      </c>
      <c r="E2399" s="12" t="s">
        <v>5332</v>
      </c>
      <c r="F2399" s="12" t="s">
        <v>5328</v>
      </c>
      <c r="G2399" s="12" t="s">
        <v>9554</v>
      </c>
      <c r="H2399" s="12">
        <v>143079</v>
      </c>
    </row>
    <row r="2400" spans="1:8">
      <c r="A2400" s="12" t="s">
        <v>9555</v>
      </c>
      <c r="B2400" s="13">
        <v>206.7</v>
      </c>
      <c r="C2400" s="16" t="s">
        <v>5331</v>
      </c>
      <c r="D2400" s="12">
        <v>732.56</v>
      </c>
      <c r="E2400" s="12" t="s">
        <v>5332</v>
      </c>
      <c r="F2400" s="12" t="s">
        <v>5328</v>
      </c>
      <c r="G2400" s="12" t="s">
        <v>9556</v>
      </c>
      <c r="H2400" s="12">
        <v>237273</v>
      </c>
    </row>
    <row r="2401" spans="1:8">
      <c r="A2401" s="12" t="s">
        <v>9557</v>
      </c>
      <c r="B2401" s="13">
        <v>32.880000000000003</v>
      </c>
      <c r="C2401" s="16" t="s">
        <v>5331</v>
      </c>
      <c r="D2401" s="12">
        <v>1328</v>
      </c>
      <c r="E2401" s="12" t="s">
        <v>5332</v>
      </c>
      <c r="F2401" s="12" t="s">
        <v>5328</v>
      </c>
      <c r="G2401" s="12" t="s">
        <v>9558</v>
      </c>
      <c r="H2401" s="12">
        <v>38736</v>
      </c>
    </row>
    <row r="2402" spans="1:8">
      <c r="A2402" s="12" t="s">
        <v>9559</v>
      </c>
      <c r="B2402" s="13">
        <v>13.59</v>
      </c>
      <c r="C2402" s="16" t="s">
        <v>5331</v>
      </c>
      <c r="D2402" s="12">
        <v>18.66</v>
      </c>
      <c r="E2402" s="12" t="s">
        <v>5332</v>
      </c>
      <c r="F2402" s="12" t="s">
        <v>5328</v>
      </c>
      <c r="G2402" s="12" t="s">
        <v>9560</v>
      </c>
      <c r="H2402" s="12">
        <v>17870</v>
      </c>
    </row>
    <row r="2403" spans="1:8">
      <c r="A2403" s="12" t="s">
        <v>9561</v>
      </c>
      <c r="B2403" s="13">
        <v>223.24</v>
      </c>
      <c r="C2403" s="16" t="s">
        <v>5331</v>
      </c>
      <c r="D2403" s="12">
        <v>1181.25</v>
      </c>
      <c r="E2403" s="12" t="s">
        <v>5332</v>
      </c>
      <c r="F2403" s="12" t="s">
        <v>5328</v>
      </c>
      <c r="G2403" s="12" t="s">
        <v>9562</v>
      </c>
      <c r="H2403" s="12">
        <v>17872</v>
      </c>
    </row>
    <row r="2404" spans="1:8">
      <c r="A2404" s="12" t="s">
        <v>9563</v>
      </c>
      <c r="B2404" s="13">
        <v>0</v>
      </c>
      <c r="C2404" s="16" t="s">
        <v>5331</v>
      </c>
      <c r="D2404" s="12">
        <v>71.875</v>
      </c>
      <c r="E2404" s="12" t="s">
        <v>5332</v>
      </c>
      <c r="F2404" s="12" t="s">
        <v>5328</v>
      </c>
      <c r="G2404" s="12" t="s">
        <v>9564</v>
      </c>
      <c r="H2404" s="12">
        <v>18804</v>
      </c>
    </row>
    <row r="2405" spans="1:8">
      <c r="A2405" s="12" t="s">
        <v>9565</v>
      </c>
      <c r="B2405" s="13">
        <v>968</v>
      </c>
      <c r="C2405" s="16" t="s">
        <v>5331</v>
      </c>
      <c r="D2405" s="12">
        <v>2915.06</v>
      </c>
      <c r="E2405" s="12" t="s">
        <v>5332</v>
      </c>
      <c r="F2405" s="12" t="s">
        <v>5328</v>
      </c>
      <c r="G2405" s="12" t="s">
        <v>9566</v>
      </c>
      <c r="H2405" s="12">
        <v>12069</v>
      </c>
    </row>
    <row r="2406" spans="1:8">
      <c r="A2406" s="12" t="s">
        <v>9565</v>
      </c>
      <c r="B2406" s="13">
        <v>968</v>
      </c>
      <c r="C2406" s="16" t="s">
        <v>5331</v>
      </c>
      <c r="D2406" s="12">
        <v>1943.37</v>
      </c>
      <c r="E2406" s="12" t="s">
        <v>5332</v>
      </c>
      <c r="F2406" s="12" t="s">
        <v>5328</v>
      </c>
      <c r="G2406" s="12" t="s">
        <v>9566</v>
      </c>
      <c r="H2406" s="12">
        <v>12069</v>
      </c>
    </row>
    <row r="2407" spans="1:8">
      <c r="A2407" s="12" t="s">
        <v>9567</v>
      </c>
      <c r="B2407" s="13">
        <v>322.26</v>
      </c>
      <c r="C2407" s="16" t="s">
        <v>5331</v>
      </c>
      <c r="D2407" s="12">
        <v>551.24</v>
      </c>
      <c r="E2407" s="12" t="s">
        <v>5332</v>
      </c>
      <c r="F2407" s="12" t="s">
        <v>5328</v>
      </c>
      <c r="G2407" s="12" t="s">
        <v>9568</v>
      </c>
      <c r="H2407" s="12">
        <v>12333</v>
      </c>
    </row>
    <row r="2408" spans="1:8">
      <c r="A2408" s="12" t="s">
        <v>9569</v>
      </c>
      <c r="B2408" s="14">
        <v>1362.97</v>
      </c>
      <c r="C2408" s="16" t="s">
        <v>5331</v>
      </c>
      <c r="D2408" s="12">
        <v>4698</v>
      </c>
      <c r="E2408" s="12" t="s">
        <v>5332</v>
      </c>
      <c r="F2408" s="12" t="s">
        <v>5328</v>
      </c>
      <c r="G2408" s="12" t="s">
        <v>9570</v>
      </c>
      <c r="H2408" s="12">
        <v>30634</v>
      </c>
    </row>
    <row r="2409" spans="1:8">
      <c r="A2409" s="12" t="s">
        <v>9569</v>
      </c>
      <c r="B2409" s="14">
        <v>1362.97</v>
      </c>
      <c r="C2409" s="16" t="s">
        <v>5331</v>
      </c>
      <c r="D2409" s="12">
        <v>3012</v>
      </c>
      <c r="E2409" s="12" t="s">
        <v>5332</v>
      </c>
      <c r="F2409" s="12" t="s">
        <v>5328</v>
      </c>
      <c r="G2409" s="12" t="s">
        <v>9570</v>
      </c>
      <c r="H2409" s="12">
        <v>30634</v>
      </c>
    </row>
    <row r="2410" spans="1:8">
      <c r="A2410" s="12" t="s">
        <v>9571</v>
      </c>
      <c r="B2410" s="13">
        <v>309.99</v>
      </c>
      <c r="C2410" s="16" t="s">
        <v>5331</v>
      </c>
      <c r="D2410" s="12">
        <v>842.3</v>
      </c>
      <c r="E2410" s="12" t="s">
        <v>5332</v>
      </c>
      <c r="F2410" s="12" t="s">
        <v>5328</v>
      </c>
      <c r="G2410" s="12" t="s">
        <v>9572</v>
      </c>
      <c r="H2410" s="12">
        <v>37075</v>
      </c>
    </row>
    <row r="2411" spans="1:8">
      <c r="A2411" s="12" t="s">
        <v>9573</v>
      </c>
      <c r="B2411" s="13">
        <v>13.59</v>
      </c>
      <c r="C2411" s="16" t="s">
        <v>5331</v>
      </c>
      <c r="D2411" s="12">
        <v>18.66</v>
      </c>
      <c r="E2411" s="12" t="s">
        <v>5332</v>
      </c>
      <c r="F2411" s="12" t="s">
        <v>5328</v>
      </c>
      <c r="G2411" s="12" t="s">
        <v>9574</v>
      </c>
      <c r="H2411" s="12">
        <v>50549</v>
      </c>
    </row>
    <row r="2412" spans="1:8">
      <c r="A2412" s="12" t="s">
        <v>9575</v>
      </c>
      <c r="B2412" s="13">
        <v>958.26</v>
      </c>
      <c r="C2412" s="16" t="s">
        <v>5331</v>
      </c>
      <c r="D2412" s="12">
        <v>2112.96</v>
      </c>
      <c r="E2412" s="12" t="s">
        <v>5332</v>
      </c>
      <c r="F2412" s="12" t="s">
        <v>5328</v>
      </c>
      <c r="G2412" s="12" t="s">
        <v>9576</v>
      </c>
      <c r="H2412" s="12">
        <v>53097</v>
      </c>
    </row>
    <row r="2413" spans="1:8">
      <c r="A2413" s="12" t="s">
        <v>9577</v>
      </c>
      <c r="B2413" s="13">
        <v>0</v>
      </c>
      <c r="C2413" s="16" t="s">
        <v>5331</v>
      </c>
      <c r="D2413" s="12">
        <v>18.66</v>
      </c>
      <c r="E2413" s="12" t="s">
        <v>5332</v>
      </c>
      <c r="F2413" s="12" t="s">
        <v>5328</v>
      </c>
      <c r="G2413" s="12" t="s">
        <v>9578</v>
      </c>
      <c r="H2413" s="12">
        <v>58030</v>
      </c>
    </row>
    <row r="2414" spans="1:8">
      <c r="A2414" s="12" t="s">
        <v>9579</v>
      </c>
      <c r="B2414" s="13">
        <v>0</v>
      </c>
      <c r="C2414" s="16" t="s">
        <v>5331</v>
      </c>
      <c r="D2414" s="12">
        <v>18.66</v>
      </c>
      <c r="E2414" s="12" t="s">
        <v>5332</v>
      </c>
      <c r="F2414" s="12" t="s">
        <v>5328</v>
      </c>
      <c r="G2414" s="12" t="s">
        <v>9580</v>
      </c>
      <c r="H2414" s="12">
        <v>58031</v>
      </c>
    </row>
    <row r="2415" spans="1:8">
      <c r="A2415" s="12" t="s">
        <v>9581</v>
      </c>
      <c r="B2415" s="14">
        <v>1157.24</v>
      </c>
      <c r="C2415" s="16" t="s">
        <v>5331</v>
      </c>
      <c r="D2415" s="12">
        <v>1636.8240000000001</v>
      </c>
      <c r="E2415" s="12" t="s">
        <v>5332</v>
      </c>
      <c r="F2415" s="12" t="s">
        <v>5328</v>
      </c>
      <c r="G2415" s="12" t="s">
        <v>9582</v>
      </c>
      <c r="H2415" s="12">
        <v>58864</v>
      </c>
    </row>
    <row r="2416" spans="1:8">
      <c r="A2416" s="12" t="s">
        <v>9583</v>
      </c>
      <c r="B2416" s="13">
        <v>0</v>
      </c>
      <c r="C2416" s="16" t="s">
        <v>5331</v>
      </c>
      <c r="D2416" s="12">
        <v>218.876</v>
      </c>
      <c r="E2416" s="12" t="s">
        <v>5332</v>
      </c>
      <c r="F2416" s="12" t="s">
        <v>5328</v>
      </c>
      <c r="G2416" s="12" t="s">
        <v>9584</v>
      </c>
      <c r="H2416" s="12">
        <v>58865</v>
      </c>
    </row>
    <row r="2417" spans="1:8">
      <c r="A2417" s="12" t="s">
        <v>9585</v>
      </c>
      <c r="B2417" s="13">
        <v>6.78</v>
      </c>
      <c r="C2417" s="16" t="s">
        <v>5331</v>
      </c>
      <c r="D2417" s="12">
        <v>18.66</v>
      </c>
      <c r="E2417" s="12" t="s">
        <v>5332</v>
      </c>
      <c r="F2417" s="12" t="s">
        <v>5328</v>
      </c>
      <c r="G2417" s="12" t="s">
        <v>9586</v>
      </c>
      <c r="H2417" s="12">
        <v>58972</v>
      </c>
    </row>
    <row r="2418" spans="1:8">
      <c r="A2418" s="12" t="s">
        <v>9587</v>
      </c>
      <c r="B2418" s="14">
        <v>5988</v>
      </c>
      <c r="C2418" s="16" t="s">
        <v>5331</v>
      </c>
      <c r="D2418" s="12">
        <v>17108.57</v>
      </c>
      <c r="E2418" s="12" t="s">
        <v>5332</v>
      </c>
      <c r="F2418" s="12" t="s">
        <v>5328</v>
      </c>
      <c r="G2418" s="12" t="s">
        <v>9588</v>
      </c>
      <c r="H2418" s="12">
        <v>221864</v>
      </c>
    </row>
    <row r="2419" spans="1:8">
      <c r="A2419" s="12" t="s">
        <v>9589</v>
      </c>
      <c r="B2419" s="13">
        <v>0</v>
      </c>
      <c r="C2419" s="16" t="s">
        <v>5331</v>
      </c>
      <c r="D2419" s="12">
        <v>153</v>
      </c>
      <c r="E2419" s="12" t="s">
        <v>5332</v>
      </c>
      <c r="F2419" s="12" t="s">
        <v>5328</v>
      </c>
      <c r="G2419" s="12" t="s">
        <v>9590</v>
      </c>
      <c r="H2419" s="12">
        <v>281947</v>
      </c>
    </row>
    <row r="2420" spans="1:8">
      <c r="A2420" s="12" t="s">
        <v>9591</v>
      </c>
      <c r="B2420" s="13">
        <v>0.92</v>
      </c>
      <c r="C2420" s="16" t="s">
        <v>5331</v>
      </c>
      <c r="D2420" s="12">
        <v>3.08</v>
      </c>
      <c r="E2420" s="12" t="s">
        <v>5332</v>
      </c>
      <c r="F2420" s="12" t="s">
        <v>5328</v>
      </c>
      <c r="G2420" s="12" t="s">
        <v>9592</v>
      </c>
      <c r="H2420" s="12">
        <v>16452</v>
      </c>
    </row>
    <row r="2421" spans="1:8">
      <c r="A2421" s="12" t="s">
        <v>9593</v>
      </c>
      <c r="B2421" s="13">
        <v>8.99</v>
      </c>
      <c r="C2421" s="16" t="s">
        <v>5331</v>
      </c>
      <c r="D2421" s="12">
        <v>36.33</v>
      </c>
      <c r="E2421" s="12" t="s">
        <v>5332</v>
      </c>
      <c r="F2421" s="12" t="s">
        <v>5328</v>
      </c>
      <c r="G2421" s="12" t="s">
        <v>9594</v>
      </c>
      <c r="H2421" s="12">
        <v>12461</v>
      </c>
    </row>
    <row r="2422" spans="1:8">
      <c r="A2422" s="12" t="s">
        <v>9595</v>
      </c>
      <c r="B2422" s="13">
        <v>0.64</v>
      </c>
      <c r="C2422" s="16" t="s">
        <v>5331</v>
      </c>
      <c r="D2422" s="12">
        <v>5.2172999999999998</v>
      </c>
      <c r="E2422" s="12" t="s">
        <v>5332</v>
      </c>
      <c r="F2422" s="12" t="s">
        <v>5328</v>
      </c>
      <c r="G2422" s="12" t="s">
        <v>9596</v>
      </c>
      <c r="H2422" s="12">
        <v>14873</v>
      </c>
    </row>
    <row r="2423" spans="1:8">
      <c r="A2423" s="12" t="s">
        <v>9597</v>
      </c>
      <c r="B2423" s="13">
        <v>0.88</v>
      </c>
      <c r="C2423" s="16" t="s">
        <v>5331</v>
      </c>
      <c r="D2423" s="12">
        <v>5.21</v>
      </c>
      <c r="E2423" s="12" t="s">
        <v>5332</v>
      </c>
      <c r="F2423" s="12" t="s">
        <v>5328</v>
      </c>
      <c r="G2423" s="12" t="s">
        <v>9598</v>
      </c>
      <c r="H2423" s="12">
        <v>17873</v>
      </c>
    </row>
    <row r="2424" spans="1:8">
      <c r="A2424" s="12" t="s">
        <v>9599</v>
      </c>
      <c r="B2424" s="13">
        <v>0.13</v>
      </c>
      <c r="C2424" s="16" t="s">
        <v>5331</v>
      </c>
      <c r="D2424" s="12">
        <v>1.85</v>
      </c>
      <c r="E2424" s="12" t="s">
        <v>5332</v>
      </c>
      <c r="F2424" s="12" t="s">
        <v>5328</v>
      </c>
      <c r="G2424" s="12" t="s">
        <v>9600</v>
      </c>
      <c r="H2424" s="12">
        <v>17874</v>
      </c>
    </row>
    <row r="2425" spans="1:8">
      <c r="A2425" s="12" t="s">
        <v>9601</v>
      </c>
      <c r="B2425" s="13">
        <v>0.13</v>
      </c>
      <c r="C2425" s="16" t="s">
        <v>5331</v>
      </c>
      <c r="D2425" s="12">
        <v>1.85</v>
      </c>
      <c r="E2425" s="12" t="s">
        <v>5332</v>
      </c>
      <c r="F2425" s="12" t="s">
        <v>5328</v>
      </c>
      <c r="G2425" s="12" t="s">
        <v>9602</v>
      </c>
      <c r="H2425" s="12">
        <v>17875</v>
      </c>
    </row>
    <row r="2426" spans="1:8">
      <c r="A2426" s="12" t="s">
        <v>9603</v>
      </c>
      <c r="B2426" s="13">
        <v>0.13</v>
      </c>
      <c r="C2426" s="16" t="s">
        <v>5331</v>
      </c>
      <c r="D2426" s="12">
        <v>5.34</v>
      </c>
      <c r="E2426" s="12" t="s">
        <v>5332</v>
      </c>
      <c r="F2426" s="12" t="s">
        <v>5328</v>
      </c>
      <c r="G2426" s="12" t="s">
        <v>9604</v>
      </c>
      <c r="H2426" s="12">
        <v>17876</v>
      </c>
    </row>
    <row r="2427" spans="1:8">
      <c r="A2427" s="12" t="s">
        <v>9605</v>
      </c>
      <c r="B2427" s="13">
        <v>0.14000000000000001</v>
      </c>
      <c r="C2427" s="16" t="s">
        <v>5331</v>
      </c>
      <c r="D2427" s="12">
        <v>2.46</v>
      </c>
      <c r="E2427" s="12" t="s">
        <v>5332</v>
      </c>
      <c r="F2427" s="12" t="s">
        <v>5328</v>
      </c>
      <c r="G2427" s="12" t="s">
        <v>9606</v>
      </c>
      <c r="H2427" s="12">
        <v>17877</v>
      </c>
    </row>
    <row r="2428" spans="1:8">
      <c r="A2428" s="12" t="s">
        <v>9607</v>
      </c>
      <c r="B2428" s="13">
        <v>0.97</v>
      </c>
      <c r="C2428" s="16" t="s">
        <v>5331</v>
      </c>
      <c r="D2428" s="12">
        <v>5.67</v>
      </c>
      <c r="E2428" s="12" t="s">
        <v>5332</v>
      </c>
      <c r="F2428" s="12" t="s">
        <v>5328</v>
      </c>
      <c r="G2428" s="12" t="s">
        <v>9608</v>
      </c>
      <c r="H2428" s="12">
        <v>17878</v>
      </c>
    </row>
    <row r="2429" spans="1:8">
      <c r="A2429" s="12" t="s">
        <v>9609</v>
      </c>
      <c r="B2429" s="13">
        <v>0.47</v>
      </c>
      <c r="C2429" s="16" t="s">
        <v>5331</v>
      </c>
      <c r="D2429" s="12">
        <v>4.59</v>
      </c>
      <c r="E2429" s="12" t="s">
        <v>5332</v>
      </c>
      <c r="F2429" s="12" t="s">
        <v>5328</v>
      </c>
      <c r="G2429" s="12" t="s">
        <v>9610</v>
      </c>
      <c r="H2429" s="12">
        <v>17879</v>
      </c>
    </row>
    <row r="2430" spans="1:8">
      <c r="A2430" s="12" t="s">
        <v>9611</v>
      </c>
      <c r="B2430" s="13">
        <v>0.97</v>
      </c>
      <c r="C2430" s="16" t="s">
        <v>5331</v>
      </c>
      <c r="D2430" s="12">
        <v>4.59</v>
      </c>
      <c r="E2430" s="12" t="s">
        <v>5332</v>
      </c>
      <c r="F2430" s="12" t="s">
        <v>5328</v>
      </c>
      <c r="G2430" s="12" t="s">
        <v>9612</v>
      </c>
      <c r="H2430" s="12">
        <v>17880</v>
      </c>
    </row>
    <row r="2431" spans="1:8">
      <c r="A2431" s="12" t="s">
        <v>9613</v>
      </c>
      <c r="B2431" s="13">
        <v>36.14</v>
      </c>
      <c r="C2431" s="16" t="s">
        <v>5331</v>
      </c>
      <c r="D2431" s="12">
        <v>1.65</v>
      </c>
      <c r="E2431" s="12" t="s">
        <v>5332</v>
      </c>
      <c r="F2431" s="12" t="s">
        <v>5328</v>
      </c>
      <c r="G2431" s="12" t="s">
        <v>9614</v>
      </c>
      <c r="H2431" s="12">
        <v>17881</v>
      </c>
    </row>
    <row r="2432" spans="1:8">
      <c r="A2432" s="12" t="s">
        <v>9615</v>
      </c>
      <c r="B2432" s="13">
        <v>0.33</v>
      </c>
      <c r="C2432" s="16" t="s">
        <v>5331</v>
      </c>
      <c r="D2432" s="12">
        <v>1.371</v>
      </c>
      <c r="E2432" s="12" t="s">
        <v>5332</v>
      </c>
      <c r="F2432" s="12" t="s">
        <v>5328</v>
      </c>
      <c r="G2432" s="12" t="s">
        <v>9616</v>
      </c>
      <c r="H2432" s="12">
        <v>17882</v>
      </c>
    </row>
    <row r="2433" spans="1:8">
      <c r="A2433" s="12" t="s">
        <v>9617</v>
      </c>
      <c r="B2433" s="13">
        <v>0.33</v>
      </c>
      <c r="C2433" s="16" t="s">
        <v>5331</v>
      </c>
      <c r="D2433" s="12">
        <v>1.371</v>
      </c>
      <c r="E2433" s="12" t="s">
        <v>5332</v>
      </c>
      <c r="F2433" s="12" t="s">
        <v>5328</v>
      </c>
      <c r="G2433" s="12" t="s">
        <v>9618</v>
      </c>
      <c r="H2433" s="12">
        <v>17883</v>
      </c>
    </row>
    <row r="2434" spans="1:8">
      <c r="A2434" s="12" t="s">
        <v>9619</v>
      </c>
      <c r="B2434" s="13">
        <v>0.23</v>
      </c>
      <c r="C2434" s="16" t="s">
        <v>5331</v>
      </c>
      <c r="D2434" s="12">
        <v>2.1</v>
      </c>
      <c r="E2434" s="12" t="s">
        <v>5332</v>
      </c>
      <c r="F2434" s="12" t="s">
        <v>5328</v>
      </c>
      <c r="G2434" s="12" t="s">
        <v>9620</v>
      </c>
      <c r="H2434" s="12">
        <v>17884</v>
      </c>
    </row>
    <row r="2435" spans="1:8">
      <c r="A2435" s="12" t="s">
        <v>9621</v>
      </c>
      <c r="B2435" s="13">
        <v>0.25</v>
      </c>
      <c r="C2435" s="16" t="s">
        <v>5331</v>
      </c>
      <c r="D2435" s="12">
        <v>14.66</v>
      </c>
      <c r="E2435" s="12" t="s">
        <v>5332</v>
      </c>
      <c r="F2435" s="12" t="s">
        <v>5328</v>
      </c>
      <c r="G2435" s="12" t="s">
        <v>9622</v>
      </c>
      <c r="H2435" s="12">
        <v>17885</v>
      </c>
    </row>
    <row r="2436" spans="1:8">
      <c r="A2436" s="12" t="s">
        <v>9623</v>
      </c>
      <c r="B2436" s="13">
        <v>0.75</v>
      </c>
      <c r="C2436" s="16" t="s">
        <v>5331</v>
      </c>
      <c r="D2436" s="12">
        <v>1.17</v>
      </c>
      <c r="E2436" s="12" t="s">
        <v>5332</v>
      </c>
      <c r="F2436" s="12" t="s">
        <v>5328</v>
      </c>
      <c r="G2436" s="12" t="s">
        <v>9624</v>
      </c>
      <c r="H2436" s="12">
        <v>58568</v>
      </c>
    </row>
    <row r="2437" spans="1:8">
      <c r="A2437" s="12" t="s">
        <v>9625</v>
      </c>
      <c r="B2437" s="13">
        <v>0.37</v>
      </c>
      <c r="C2437" s="16" t="s">
        <v>5331</v>
      </c>
      <c r="D2437" s="12">
        <v>1.17</v>
      </c>
      <c r="E2437" s="12" t="s">
        <v>5332</v>
      </c>
      <c r="F2437" s="12" t="s">
        <v>5328</v>
      </c>
      <c r="G2437" s="12" t="s">
        <v>9626</v>
      </c>
      <c r="H2437" s="12">
        <v>58569</v>
      </c>
    </row>
    <row r="2438" spans="1:8">
      <c r="A2438" s="12" t="s">
        <v>9627</v>
      </c>
      <c r="B2438" s="13">
        <v>0.72</v>
      </c>
      <c r="C2438" s="16" t="s">
        <v>5331</v>
      </c>
      <c r="D2438" s="12">
        <v>6.93</v>
      </c>
      <c r="E2438" s="12" t="s">
        <v>5332</v>
      </c>
      <c r="F2438" s="12" t="s">
        <v>5328</v>
      </c>
      <c r="G2438" s="12" t="s">
        <v>9628</v>
      </c>
      <c r="H2438" s="12">
        <v>57155</v>
      </c>
    </row>
    <row r="2439" spans="1:8">
      <c r="A2439" s="12" t="s">
        <v>9629</v>
      </c>
      <c r="B2439" s="13">
        <v>0.49</v>
      </c>
      <c r="C2439" s="16" t="s">
        <v>5331</v>
      </c>
      <c r="D2439" s="12">
        <v>1.56</v>
      </c>
      <c r="E2439" s="12" t="s">
        <v>5332</v>
      </c>
      <c r="F2439" s="12" t="s">
        <v>5328</v>
      </c>
      <c r="G2439" s="12" t="s">
        <v>9630</v>
      </c>
      <c r="H2439" s="12">
        <v>58570</v>
      </c>
    </row>
    <row r="2440" spans="1:8">
      <c r="A2440" s="12" t="s">
        <v>9631</v>
      </c>
      <c r="B2440" s="13">
        <v>0.35</v>
      </c>
      <c r="C2440" s="16" t="s">
        <v>5331</v>
      </c>
      <c r="D2440" s="12">
        <v>3.6</v>
      </c>
      <c r="E2440" s="12" t="s">
        <v>5332</v>
      </c>
      <c r="F2440" s="12" t="s">
        <v>5328</v>
      </c>
      <c r="G2440" s="12" t="s">
        <v>9632</v>
      </c>
      <c r="H2440" s="12">
        <v>58571</v>
      </c>
    </row>
    <row r="2441" spans="1:8">
      <c r="A2441" s="12" t="s">
        <v>9633</v>
      </c>
      <c r="B2441" s="13">
        <v>2.5299999999999998</v>
      </c>
      <c r="C2441" s="16" t="s">
        <v>5331</v>
      </c>
      <c r="D2441" s="12">
        <v>8.2200000000000006</v>
      </c>
      <c r="E2441" s="12" t="s">
        <v>5332</v>
      </c>
      <c r="F2441" s="12" t="s">
        <v>5328</v>
      </c>
      <c r="G2441" s="12" t="s">
        <v>9634</v>
      </c>
      <c r="H2441" s="12">
        <v>30832</v>
      </c>
    </row>
    <row r="2442" spans="1:8">
      <c r="A2442" s="12" t="s">
        <v>9635</v>
      </c>
      <c r="B2442" s="13">
        <v>0.73</v>
      </c>
      <c r="C2442" s="16" t="s">
        <v>5331</v>
      </c>
      <c r="D2442" s="12">
        <v>2.2229999999999999</v>
      </c>
      <c r="E2442" s="12" t="s">
        <v>5332</v>
      </c>
      <c r="F2442" s="12" t="s">
        <v>5328</v>
      </c>
      <c r="G2442" s="12" t="s">
        <v>9636</v>
      </c>
      <c r="H2442" s="12">
        <v>44307</v>
      </c>
    </row>
    <row r="2443" spans="1:8">
      <c r="A2443" s="12" t="s">
        <v>9637</v>
      </c>
      <c r="B2443" s="13">
        <v>15.98</v>
      </c>
      <c r="C2443" s="16" t="s">
        <v>5331</v>
      </c>
      <c r="D2443" s="12">
        <v>48.927</v>
      </c>
      <c r="E2443" s="12" t="s">
        <v>5332</v>
      </c>
      <c r="F2443" s="12" t="s">
        <v>5328</v>
      </c>
      <c r="G2443" s="12" t="s">
        <v>9638</v>
      </c>
      <c r="H2443" s="12">
        <v>44308</v>
      </c>
    </row>
    <row r="2444" spans="1:8">
      <c r="A2444" s="12" t="s">
        <v>9639</v>
      </c>
      <c r="B2444" s="13">
        <v>0.57999999999999996</v>
      </c>
      <c r="C2444" s="16" t="s">
        <v>5331</v>
      </c>
      <c r="D2444" s="12">
        <v>1.335</v>
      </c>
      <c r="E2444" s="12" t="s">
        <v>5332</v>
      </c>
      <c r="F2444" s="12" t="s">
        <v>5328</v>
      </c>
      <c r="G2444" s="12" t="s">
        <v>9640</v>
      </c>
      <c r="H2444" s="12">
        <v>44309</v>
      </c>
    </row>
    <row r="2445" spans="1:8">
      <c r="A2445" s="12" t="s">
        <v>9641</v>
      </c>
      <c r="B2445" s="13">
        <v>0.51</v>
      </c>
      <c r="C2445" s="16" t="s">
        <v>5331</v>
      </c>
      <c r="D2445" s="12">
        <v>1.335</v>
      </c>
      <c r="E2445" s="12" t="s">
        <v>5332</v>
      </c>
      <c r="F2445" s="12" t="s">
        <v>5328</v>
      </c>
      <c r="G2445" s="12" t="s">
        <v>9642</v>
      </c>
      <c r="H2445" s="12">
        <v>44310</v>
      </c>
    </row>
    <row r="2446" spans="1:8">
      <c r="A2446" s="12" t="s">
        <v>9643</v>
      </c>
      <c r="B2446" s="13">
        <v>0.75</v>
      </c>
      <c r="C2446" s="16" t="s">
        <v>5331</v>
      </c>
      <c r="D2446" s="12">
        <v>1.7789999999999999</v>
      </c>
      <c r="E2446" s="12" t="s">
        <v>5332</v>
      </c>
      <c r="F2446" s="12" t="s">
        <v>5328</v>
      </c>
      <c r="G2446" s="12" t="s">
        <v>9644</v>
      </c>
      <c r="H2446" s="12">
        <v>44311</v>
      </c>
    </row>
    <row r="2447" spans="1:8">
      <c r="A2447" s="12" t="s">
        <v>9645</v>
      </c>
      <c r="B2447" s="13">
        <v>0.77</v>
      </c>
      <c r="C2447" s="16" t="s">
        <v>5331</v>
      </c>
      <c r="D2447" s="12">
        <v>2.4449999999999998</v>
      </c>
      <c r="E2447" s="12" t="s">
        <v>5332</v>
      </c>
      <c r="F2447" s="12" t="s">
        <v>5328</v>
      </c>
      <c r="G2447" s="12" t="s">
        <v>9646</v>
      </c>
      <c r="H2447" s="12">
        <v>44312</v>
      </c>
    </row>
    <row r="2448" spans="1:8">
      <c r="A2448" s="12" t="s">
        <v>9647</v>
      </c>
      <c r="B2448" s="13">
        <v>0.77</v>
      </c>
      <c r="C2448" s="16" t="s">
        <v>5331</v>
      </c>
      <c r="D2448" s="12">
        <v>2.4449999999999998</v>
      </c>
      <c r="E2448" s="12" t="s">
        <v>5332</v>
      </c>
      <c r="F2448" s="12" t="s">
        <v>5328</v>
      </c>
      <c r="G2448" s="12" t="s">
        <v>9648</v>
      </c>
      <c r="H2448" s="12">
        <v>44313</v>
      </c>
    </row>
    <row r="2449" spans="1:8">
      <c r="A2449" s="12" t="s">
        <v>9649</v>
      </c>
      <c r="B2449" s="13">
        <v>0.57999999999999996</v>
      </c>
      <c r="C2449" s="16" t="s">
        <v>5331</v>
      </c>
      <c r="D2449" s="12">
        <v>2.0009999999999999</v>
      </c>
      <c r="E2449" s="12" t="s">
        <v>5332</v>
      </c>
      <c r="F2449" s="12" t="s">
        <v>5328</v>
      </c>
      <c r="G2449" s="12" t="s">
        <v>9650</v>
      </c>
      <c r="H2449" s="12">
        <v>44314</v>
      </c>
    </row>
    <row r="2450" spans="1:8">
      <c r="A2450" s="12" t="s">
        <v>9651</v>
      </c>
      <c r="B2450" s="13">
        <v>0.77</v>
      </c>
      <c r="C2450" s="16" t="s">
        <v>5331</v>
      </c>
      <c r="D2450" s="12">
        <v>0.98399999999999999</v>
      </c>
      <c r="E2450" s="12" t="s">
        <v>5332</v>
      </c>
      <c r="F2450" s="12" t="s">
        <v>5328</v>
      </c>
      <c r="G2450" s="12" t="s">
        <v>9652</v>
      </c>
      <c r="H2450" s="12">
        <v>44315</v>
      </c>
    </row>
    <row r="2451" spans="1:8">
      <c r="A2451" s="12" t="s">
        <v>9653</v>
      </c>
      <c r="B2451" s="13">
        <v>0.64</v>
      </c>
      <c r="C2451" s="16" t="s">
        <v>5331</v>
      </c>
      <c r="D2451" s="12">
        <v>2.2229999999999999</v>
      </c>
      <c r="E2451" s="12" t="s">
        <v>5332</v>
      </c>
      <c r="F2451" s="12" t="s">
        <v>5328</v>
      </c>
      <c r="G2451" s="12" t="s">
        <v>9654</v>
      </c>
      <c r="H2451" s="12">
        <v>44316</v>
      </c>
    </row>
    <row r="2452" spans="1:8">
      <c r="A2452" s="12" t="s">
        <v>9655</v>
      </c>
      <c r="B2452" s="13">
        <v>0.49</v>
      </c>
      <c r="C2452" s="16" t="s">
        <v>5331</v>
      </c>
      <c r="D2452" s="12">
        <v>1.4970000000000001</v>
      </c>
      <c r="E2452" s="12" t="s">
        <v>5332</v>
      </c>
      <c r="F2452" s="12" t="s">
        <v>5328</v>
      </c>
      <c r="G2452" s="12" t="s">
        <v>9656</v>
      </c>
      <c r="H2452" s="12">
        <v>44317</v>
      </c>
    </row>
    <row r="2453" spans="1:8">
      <c r="A2453" s="12" t="s">
        <v>9657</v>
      </c>
      <c r="B2453" s="13">
        <v>0.06</v>
      </c>
      <c r="C2453" s="16" t="s">
        <v>5331</v>
      </c>
      <c r="D2453" s="12">
        <v>0.19800000000000001</v>
      </c>
      <c r="E2453" s="12" t="s">
        <v>5332</v>
      </c>
      <c r="F2453" s="12" t="s">
        <v>5328</v>
      </c>
      <c r="G2453" s="12" t="s">
        <v>9658</v>
      </c>
      <c r="H2453" s="12">
        <v>48387</v>
      </c>
    </row>
    <row r="2454" spans="1:8">
      <c r="A2454" s="12" t="s">
        <v>9659</v>
      </c>
      <c r="B2454" s="13">
        <v>0.06</v>
      </c>
      <c r="C2454" s="16" t="s">
        <v>5331</v>
      </c>
      <c r="D2454" s="12">
        <v>0.19800000000000001</v>
      </c>
      <c r="E2454" s="12" t="s">
        <v>5332</v>
      </c>
      <c r="F2454" s="12" t="s">
        <v>5328</v>
      </c>
      <c r="G2454" s="12" t="s">
        <v>9660</v>
      </c>
      <c r="H2454" s="12">
        <v>48388</v>
      </c>
    </row>
    <row r="2455" spans="1:8">
      <c r="A2455" s="12" t="s">
        <v>9661</v>
      </c>
      <c r="B2455" s="13">
        <v>0.03</v>
      </c>
      <c r="C2455" s="16" t="s">
        <v>5331</v>
      </c>
      <c r="D2455" s="12">
        <v>7.8E-2</v>
      </c>
      <c r="E2455" s="12" t="s">
        <v>5332</v>
      </c>
      <c r="F2455" s="12" t="s">
        <v>5328</v>
      </c>
      <c r="G2455" s="12" t="s">
        <v>9662</v>
      </c>
      <c r="H2455" s="12">
        <v>48389</v>
      </c>
    </row>
    <row r="2456" spans="1:8">
      <c r="A2456" s="12" t="s">
        <v>9663</v>
      </c>
      <c r="B2456" s="13">
        <v>0.36</v>
      </c>
      <c r="C2456" s="16" t="s">
        <v>5331</v>
      </c>
      <c r="D2456" s="12">
        <v>7.05</v>
      </c>
      <c r="E2456" s="12" t="s">
        <v>5332</v>
      </c>
      <c r="F2456" s="12" t="s">
        <v>5328</v>
      </c>
      <c r="G2456" s="12" t="s">
        <v>9664</v>
      </c>
      <c r="H2456" s="12">
        <v>56950</v>
      </c>
    </row>
    <row r="2457" spans="1:8">
      <c r="A2457" s="12" t="s">
        <v>9665</v>
      </c>
      <c r="B2457" s="13">
        <v>0.66</v>
      </c>
      <c r="C2457" s="16" t="s">
        <v>5331</v>
      </c>
      <c r="D2457" s="12">
        <v>6.2</v>
      </c>
      <c r="E2457" s="12" t="s">
        <v>5332</v>
      </c>
      <c r="F2457" s="12" t="s">
        <v>5328</v>
      </c>
      <c r="G2457" s="12" t="s">
        <v>9666</v>
      </c>
      <c r="H2457" s="12">
        <v>54045</v>
      </c>
    </row>
    <row r="2458" spans="1:8">
      <c r="A2458" s="12" t="s">
        <v>9667</v>
      </c>
      <c r="B2458" s="13">
        <v>0.71</v>
      </c>
      <c r="C2458" s="16" t="s">
        <v>5331</v>
      </c>
      <c r="D2458" s="12">
        <v>2.1659999999999999</v>
      </c>
      <c r="E2458" s="12" t="s">
        <v>5332</v>
      </c>
      <c r="F2458" s="12" t="s">
        <v>5328</v>
      </c>
      <c r="G2458" s="12" t="s">
        <v>9668</v>
      </c>
      <c r="H2458" s="12">
        <v>55188</v>
      </c>
    </row>
    <row r="2459" spans="1:8">
      <c r="A2459" s="12" t="s">
        <v>9669</v>
      </c>
      <c r="B2459" s="13">
        <v>0.71</v>
      </c>
      <c r="C2459" s="16" t="s">
        <v>5331</v>
      </c>
      <c r="D2459" s="12">
        <v>2.1659999999999999</v>
      </c>
      <c r="E2459" s="12" t="s">
        <v>5332</v>
      </c>
      <c r="F2459" s="12" t="s">
        <v>5328</v>
      </c>
      <c r="G2459" s="12" t="s">
        <v>9670</v>
      </c>
      <c r="H2459" s="12">
        <v>55189</v>
      </c>
    </row>
    <row r="2460" spans="1:8">
      <c r="A2460" s="12" t="s">
        <v>9671</v>
      </c>
      <c r="B2460" s="13">
        <v>1.03</v>
      </c>
      <c r="C2460" s="16" t="s">
        <v>5331</v>
      </c>
      <c r="D2460" s="12">
        <v>0.63</v>
      </c>
      <c r="E2460" s="12" t="s">
        <v>5332</v>
      </c>
      <c r="F2460" s="12" t="s">
        <v>5328</v>
      </c>
      <c r="G2460" s="12" t="s">
        <v>9672</v>
      </c>
      <c r="H2460" s="12">
        <v>58572</v>
      </c>
    </row>
    <row r="2461" spans="1:8">
      <c r="A2461" s="12" t="s">
        <v>9673</v>
      </c>
      <c r="B2461" s="13">
        <v>0.65</v>
      </c>
      <c r="C2461" s="16" t="s">
        <v>5331</v>
      </c>
      <c r="D2461" s="12">
        <v>7.26</v>
      </c>
      <c r="E2461" s="12" t="s">
        <v>5332</v>
      </c>
      <c r="F2461" s="12" t="s">
        <v>5328</v>
      </c>
      <c r="G2461" s="12" t="s">
        <v>9674</v>
      </c>
      <c r="H2461" s="12">
        <v>57150</v>
      </c>
    </row>
    <row r="2462" spans="1:8">
      <c r="A2462" s="12" t="s">
        <v>9675</v>
      </c>
      <c r="B2462" s="13">
        <v>0.22</v>
      </c>
      <c r="C2462" s="16" t="s">
        <v>5331</v>
      </c>
      <c r="D2462" s="12">
        <v>6.9</v>
      </c>
      <c r="E2462" s="12" t="s">
        <v>5332</v>
      </c>
      <c r="F2462" s="12" t="s">
        <v>5328</v>
      </c>
      <c r="G2462" s="12" t="s">
        <v>9676</v>
      </c>
      <c r="H2462" s="12">
        <v>57151</v>
      </c>
    </row>
    <row r="2463" spans="1:8">
      <c r="A2463" s="12" t="s">
        <v>9677</v>
      </c>
      <c r="B2463" s="13">
        <v>0.22</v>
      </c>
      <c r="C2463" s="16" t="s">
        <v>5331</v>
      </c>
      <c r="D2463" s="12">
        <v>6.9</v>
      </c>
      <c r="E2463" s="12" t="s">
        <v>5332</v>
      </c>
      <c r="F2463" s="12" t="s">
        <v>5328</v>
      </c>
      <c r="G2463" s="12" t="s">
        <v>9678</v>
      </c>
      <c r="H2463" s="12">
        <v>57152</v>
      </c>
    </row>
    <row r="2464" spans="1:8">
      <c r="A2464" s="12" t="s">
        <v>9679</v>
      </c>
      <c r="B2464" s="13">
        <v>0.68</v>
      </c>
      <c r="C2464" s="16" t="s">
        <v>5331</v>
      </c>
      <c r="D2464" s="12">
        <v>6.87</v>
      </c>
      <c r="E2464" s="12" t="s">
        <v>5332</v>
      </c>
      <c r="F2464" s="12" t="s">
        <v>5328</v>
      </c>
      <c r="G2464" s="12" t="s">
        <v>9680</v>
      </c>
      <c r="H2464" s="12">
        <v>57153</v>
      </c>
    </row>
    <row r="2465" spans="1:8">
      <c r="A2465" s="12" t="s">
        <v>9681</v>
      </c>
      <c r="B2465" s="13">
        <v>0.38</v>
      </c>
      <c r="C2465" s="16" t="s">
        <v>5331</v>
      </c>
      <c r="D2465" s="12">
        <v>8.07</v>
      </c>
      <c r="E2465" s="12" t="s">
        <v>5332</v>
      </c>
      <c r="F2465" s="12" t="s">
        <v>5328</v>
      </c>
      <c r="G2465" s="12" t="s">
        <v>9682</v>
      </c>
      <c r="H2465" s="12">
        <v>57154</v>
      </c>
    </row>
    <row r="2466" spans="1:8">
      <c r="A2466" s="12" t="s">
        <v>9683</v>
      </c>
      <c r="B2466" s="13">
        <v>0.35</v>
      </c>
      <c r="C2466" s="16" t="s">
        <v>5331</v>
      </c>
      <c r="D2466" s="12">
        <v>7.59</v>
      </c>
      <c r="E2466" s="12" t="s">
        <v>5332</v>
      </c>
      <c r="F2466" s="12" t="s">
        <v>5328</v>
      </c>
      <c r="G2466" s="12" t="s">
        <v>9684</v>
      </c>
      <c r="H2466" s="12">
        <v>56951</v>
      </c>
    </row>
    <row r="2467" spans="1:8">
      <c r="A2467" s="12" t="s">
        <v>9685</v>
      </c>
      <c r="B2467" s="13">
        <v>0.75</v>
      </c>
      <c r="C2467" s="16" t="s">
        <v>5331</v>
      </c>
      <c r="D2467" s="12">
        <v>7.05</v>
      </c>
      <c r="E2467" s="12" t="s">
        <v>5332</v>
      </c>
      <c r="F2467" s="12" t="s">
        <v>5328</v>
      </c>
      <c r="G2467" s="12" t="s">
        <v>9686</v>
      </c>
      <c r="H2467" s="12">
        <v>56952</v>
      </c>
    </row>
    <row r="2468" spans="1:8">
      <c r="A2468" s="12" t="s">
        <v>9687</v>
      </c>
      <c r="B2468" s="13">
        <v>0.32</v>
      </c>
      <c r="C2468" s="16" t="s">
        <v>5331</v>
      </c>
      <c r="D2468" s="12">
        <v>7.05</v>
      </c>
      <c r="E2468" s="12" t="s">
        <v>5332</v>
      </c>
      <c r="F2468" s="12" t="s">
        <v>5328</v>
      </c>
      <c r="G2468" s="12" t="s">
        <v>9688</v>
      </c>
      <c r="H2468" s="12">
        <v>56953</v>
      </c>
    </row>
    <row r="2469" spans="1:8">
      <c r="A2469" s="12" t="s">
        <v>9659</v>
      </c>
      <c r="B2469" s="13">
        <v>0.21</v>
      </c>
      <c r="C2469" s="16" t="s">
        <v>5331</v>
      </c>
      <c r="D2469" s="12">
        <v>0.63</v>
      </c>
      <c r="E2469" s="12" t="s">
        <v>5332</v>
      </c>
      <c r="F2469" s="12" t="s">
        <v>5328</v>
      </c>
      <c r="G2469" s="12" t="s">
        <v>9689</v>
      </c>
      <c r="H2469" s="12">
        <v>58573</v>
      </c>
    </row>
    <row r="2470" spans="1:8">
      <c r="A2470" s="12" t="s">
        <v>9661</v>
      </c>
      <c r="B2470" s="13">
        <v>0.19</v>
      </c>
      <c r="C2470" s="16" t="s">
        <v>5331</v>
      </c>
      <c r="D2470" s="12">
        <v>0.69</v>
      </c>
      <c r="E2470" s="12" t="s">
        <v>5332</v>
      </c>
      <c r="F2470" s="12" t="s">
        <v>5328</v>
      </c>
      <c r="G2470" s="12" t="s">
        <v>9690</v>
      </c>
      <c r="H2470" s="12">
        <v>58574</v>
      </c>
    </row>
    <row r="2471" spans="1:8">
      <c r="A2471" s="12" t="s">
        <v>9691</v>
      </c>
      <c r="B2471" s="13">
        <v>0.34</v>
      </c>
      <c r="C2471" s="16" t="s">
        <v>5331</v>
      </c>
      <c r="D2471" s="12">
        <v>7.29</v>
      </c>
      <c r="E2471" s="12" t="s">
        <v>5332</v>
      </c>
      <c r="F2471" s="12" t="s">
        <v>5328</v>
      </c>
      <c r="G2471" s="12" t="s">
        <v>9692</v>
      </c>
      <c r="H2471" s="12">
        <v>57156</v>
      </c>
    </row>
    <row r="2472" spans="1:8">
      <c r="A2472" s="12" t="s">
        <v>9693</v>
      </c>
      <c r="B2472" s="13">
        <v>0.69</v>
      </c>
      <c r="C2472" s="16" t="s">
        <v>5331</v>
      </c>
      <c r="D2472" s="12">
        <v>7.32</v>
      </c>
      <c r="E2472" s="12" t="s">
        <v>5332</v>
      </c>
      <c r="F2472" s="12" t="s">
        <v>5328</v>
      </c>
      <c r="G2472" s="12" t="s">
        <v>9694</v>
      </c>
      <c r="H2472" s="12">
        <v>57157</v>
      </c>
    </row>
    <row r="2473" spans="1:8">
      <c r="A2473" s="12" t="s">
        <v>9695</v>
      </c>
      <c r="B2473" s="13">
        <v>0.39</v>
      </c>
      <c r="C2473" s="16" t="s">
        <v>5331</v>
      </c>
      <c r="D2473" s="12">
        <v>1.05</v>
      </c>
      <c r="E2473" s="12" t="s">
        <v>5332</v>
      </c>
      <c r="F2473" s="12" t="s">
        <v>5328</v>
      </c>
      <c r="G2473" s="12" t="s">
        <v>9696</v>
      </c>
      <c r="H2473" s="12">
        <v>58575</v>
      </c>
    </row>
    <row r="2474" spans="1:8">
      <c r="A2474" s="12" t="s">
        <v>9697</v>
      </c>
      <c r="B2474" s="13">
        <v>0.39</v>
      </c>
      <c r="C2474" s="16" t="s">
        <v>5331</v>
      </c>
      <c r="D2474" s="12">
        <v>3.78</v>
      </c>
      <c r="E2474" s="12" t="s">
        <v>5332</v>
      </c>
      <c r="F2474" s="12" t="s">
        <v>5328</v>
      </c>
      <c r="G2474" s="12" t="s">
        <v>9698</v>
      </c>
      <c r="H2474" s="12">
        <v>58663</v>
      </c>
    </row>
    <row r="2475" spans="1:8">
      <c r="A2475" s="12" t="s">
        <v>9657</v>
      </c>
      <c r="B2475" s="13">
        <v>0.44</v>
      </c>
      <c r="C2475" s="16" t="s">
        <v>5331</v>
      </c>
      <c r="D2475" s="12">
        <v>1.29</v>
      </c>
      <c r="E2475" s="12" t="s">
        <v>5332</v>
      </c>
      <c r="F2475" s="12" t="s">
        <v>5328</v>
      </c>
      <c r="G2475" s="12" t="s">
        <v>9699</v>
      </c>
      <c r="H2475" s="12">
        <v>58577</v>
      </c>
    </row>
    <row r="2476" spans="1:8">
      <c r="A2476" s="12" t="s">
        <v>9700</v>
      </c>
      <c r="B2476" s="13">
        <v>0.45</v>
      </c>
      <c r="C2476" s="16" t="s">
        <v>5331</v>
      </c>
      <c r="D2476" s="12">
        <v>1.98</v>
      </c>
      <c r="E2476" s="12" t="s">
        <v>5332</v>
      </c>
      <c r="F2476" s="12" t="s">
        <v>5328</v>
      </c>
      <c r="G2476" s="12" t="s">
        <v>9701</v>
      </c>
      <c r="H2476" s="12">
        <v>16297</v>
      </c>
    </row>
    <row r="2477" spans="1:8">
      <c r="A2477" s="12" t="s">
        <v>9702</v>
      </c>
      <c r="B2477" s="13">
        <v>0.49</v>
      </c>
      <c r="C2477" s="16" t="s">
        <v>5331</v>
      </c>
      <c r="D2477" s="12">
        <v>1.61</v>
      </c>
      <c r="E2477" s="12" t="s">
        <v>5332</v>
      </c>
      <c r="F2477" s="12" t="s">
        <v>5328</v>
      </c>
      <c r="G2477" s="12" t="s">
        <v>9703</v>
      </c>
      <c r="H2477" s="12">
        <v>16299</v>
      </c>
    </row>
    <row r="2478" spans="1:8">
      <c r="A2478" s="12" t="s">
        <v>9704</v>
      </c>
      <c r="B2478" s="13">
        <v>0</v>
      </c>
      <c r="C2478" s="16" t="s">
        <v>5331</v>
      </c>
      <c r="D2478" s="12">
        <v>5516</v>
      </c>
      <c r="E2478" s="12" t="s">
        <v>5332</v>
      </c>
      <c r="F2478" s="12" t="s">
        <v>5328</v>
      </c>
      <c r="G2478" s="12" t="s">
        <v>9705</v>
      </c>
      <c r="H2478" s="12">
        <v>68300</v>
      </c>
    </row>
    <row r="2479" spans="1:8">
      <c r="A2479" s="12" t="s">
        <v>9706</v>
      </c>
      <c r="B2479" s="13">
        <v>0</v>
      </c>
      <c r="C2479" s="16" t="s">
        <v>9707</v>
      </c>
      <c r="D2479" s="12">
        <v>22678</v>
      </c>
      <c r="E2479" s="12" t="s">
        <v>5332</v>
      </c>
      <c r="F2479" s="12" t="s">
        <v>5328</v>
      </c>
      <c r="G2479" s="12" t="s">
        <v>9708</v>
      </c>
      <c r="H2479" s="12">
        <v>109487</v>
      </c>
    </row>
    <row r="2480" spans="1:8">
      <c r="A2480" s="12" t="s">
        <v>9706</v>
      </c>
      <c r="B2480" s="13">
        <v>0</v>
      </c>
      <c r="C2480" s="16" t="s">
        <v>9707</v>
      </c>
      <c r="D2480" s="12">
        <v>19440</v>
      </c>
      <c r="E2480" s="12" t="s">
        <v>5332</v>
      </c>
      <c r="F2480" s="12" t="s">
        <v>5328</v>
      </c>
      <c r="G2480" s="12" t="s">
        <v>9709</v>
      </c>
      <c r="H2480" s="12">
        <v>21809</v>
      </c>
    </row>
    <row r="2481" spans="1:8">
      <c r="A2481" s="12" t="s">
        <v>9710</v>
      </c>
      <c r="B2481" s="13">
        <v>0</v>
      </c>
      <c r="C2481" s="16" t="s">
        <v>9707</v>
      </c>
      <c r="D2481" s="12">
        <v>17008</v>
      </c>
      <c r="E2481" s="12" t="s">
        <v>5332</v>
      </c>
      <c r="F2481" s="12" t="s">
        <v>5328</v>
      </c>
      <c r="G2481" s="12" t="s">
        <v>9711</v>
      </c>
      <c r="H2481" s="12">
        <v>109488</v>
      </c>
    </row>
    <row r="2482" spans="1:8">
      <c r="A2482" s="12" t="s">
        <v>9710</v>
      </c>
      <c r="B2482" s="13">
        <v>0</v>
      </c>
      <c r="C2482" s="16" t="s">
        <v>9707</v>
      </c>
      <c r="D2482" s="12">
        <v>14580</v>
      </c>
      <c r="E2482" s="12" t="s">
        <v>5332</v>
      </c>
      <c r="F2482" s="12" t="s">
        <v>5328</v>
      </c>
      <c r="G2482" s="12" t="s">
        <v>9712</v>
      </c>
      <c r="H2482" s="12">
        <v>21810</v>
      </c>
    </row>
    <row r="2483" spans="1:8">
      <c r="A2483" s="12" t="s">
        <v>9713</v>
      </c>
      <c r="B2483" s="13">
        <v>0</v>
      </c>
      <c r="C2483" s="16" t="s">
        <v>9707</v>
      </c>
      <c r="D2483" s="12">
        <v>9915</v>
      </c>
      <c r="E2483" s="12" t="s">
        <v>5332</v>
      </c>
      <c r="F2483" s="12" t="s">
        <v>5328</v>
      </c>
      <c r="G2483" s="12" t="s">
        <v>9714</v>
      </c>
      <c r="H2483" s="12">
        <v>109489</v>
      </c>
    </row>
    <row r="2484" spans="1:8">
      <c r="A2484" s="12" t="s">
        <v>9713</v>
      </c>
      <c r="B2484" s="13">
        <v>0</v>
      </c>
      <c r="C2484" s="16" t="s">
        <v>9707</v>
      </c>
      <c r="D2484" s="12">
        <v>8500</v>
      </c>
      <c r="E2484" s="12" t="s">
        <v>5332</v>
      </c>
      <c r="F2484" s="12" t="s">
        <v>5328</v>
      </c>
      <c r="G2484" s="12" t="s">
        <v>9715</v>
      </c>
      <c r="H2484" s="12">
        <v>21811</v>
      </c>
    </row>
    <row r="2485" spans="1:8">
      <c r="A2485" s="12" t="s">
        <v>9716</v>
      </c>
      <c r="B2485" s="13">
        <v>0</v>
      </c>
      <c r="C2485" s="16" t="s">
        <v>5331</v>
      </c>
      <c r="D2485" s="12">
        <v>5833</v>
      </c>
      <c r="E2485" s="12" t="s">
        <v>5332</v>
      </c>
      <c r="F2485" s="12" t="s">
        <v>5328</v>
      </c>
      <c r="G2485" s="12" t="s">
        <v>9717</v>
      </c>
      <c r="H2485" s="12">
        <v>30270</v>
      </c>
    </row>
    <row r="2486" spans="1:8">
      <c r="A2486" s="12" t="s">
        <v>9718</v>
      </c>
      <c r="B2486" s="13">
        <v>0</v>
      </c>
      <c r="C2486" s="16" t="s">
        <v>9707</v>
      </c>
      <c r="D2486" s="12">
        <v>29304</v>
      </c>
      <c r="E2486" s="12" t="s">
        <v>5332</v>
      </c>
      <c r="F2486" s="12" t="s">
        <v>5328</v>
      </c>
      <c r="G2486" s="12" t="s">
        <v>9719</v>
      </c>
      <c r="H2486" s="12">
        <v>109490</v>
      </c>
    </row>
    <row r="2487" spans="1:8">
      <c r="A2487" s="12" t="s">
        <v>9718</v>
      </c>
      <c r="B2487" s="13">
        <v>0</v>
      </c>
      <c r="C2487" s="16" t="s">
        <v>9707</v>
      </c>
      <c r="D2487" s="12">
        <v>25120</v>
      </c>
      <c r="E2487" s="12" t="s">
        <v>5332</v>
      </c>
      <c r="F2487" s="12" t="s">
        <v>5328</v>
      </c>
      <c r="G2487" s="12" t="s">
        <v>9720</v>
      </c>
      <c r="H2487" s="12">
        <v>21813</v>
      </c>
    </row>
    <row r="2488" spans="1:8">
      <c r="A2488" s="12" t="s">
        <v>9721</v>
      </c>
      <c r="B2488" s="13">
        <v>0</v>
      </c>
      <c r="C2488" s="16" t="s">
        <v>9707</v>
      </c>
      <c r="D2488" s="12">
        <v>21978</v>
      </c>
      <c r="E2488" s="12" t="s">
        <v>5332</v>
      </c>
      <c r="F2488" s="12" t="s">
        <v>5328</v>
      </c>
      <c r="G2488" s="12" t="s">
        <v>9722</v>
      </c>
      <c r="H2488" s="12">
        <v>109491</v>
      </c>
    </row>
    <row r="2489" spans="1:8">
      <c r="A2489" s="12" t="s">
        <v>9721</v>
      </c>
      <c r="B2489" s="13">
        <v>0</v>
      </c>
      <c r="C2489" s="16" t="s">
        <v>9707</v>
      </c>
      <c r="D2489" s="12">
        <v>18840</v>
      </c>
      <c r="E2489" s="12" t="s">
        <v>5332</v>
      </c>
      <c r="F2489" s="12" t="s">
        <v>5328</v>
      </c>
      <c r="G2489" s="12" t="s">
        <v>9723</v>
      </c>
      <c r="H2489" s="12">
        <v>21814</v>
      </c>
    </row>
    <row r="2490" spans="1:8">
      <c r="A2490" s="12" t="s">
        <v>9724</v>
      </c>
      <c r="B2490" s="13">
        <v>0</v>
      </c>
      <c r="C2490" s="16" t="s">
        <v>9707</v>
      </c>
      <c r="D2490" s="12">
        <v>41460</v>
      </c>
      <c r="E2490" s="12" t="s">
        <v>5332</v>
      </c>
      <c r="F2490" s="12" t="s">
        <v>5328</v>
      </c>
      <c r="G2490" s="12" t="s">
        <v>9725</v>
      </c>
      <c r="H2490" s="12">
        <v>109492</v>
      </c>
    </row>
    <row r="2491" spans="1:8">
      <c r="A2491" s="12" t="s">
        <v>9724</v>
      </c>
      <c r="B2491" s="13">
        <v>0</v>
      </c>
      <c r="C2491" s="16" t="s">
        <v>9707</v>
      </c>
      <c r="D2491" s="12">
        <v>29326.5</v>
      </c>
      <c r="E2491" s="12" t="s">
        <v>5332</v>
      </c>
      <c r="F2491" s="12" t="s">
        <v>5328</v>
      </c>
      <c r="G2491" s="12" t="s">
        <v>9726</v>
      </c>
      <c r="H2491" s="12">
        <v>21815</v>
      </c>
    </row>
    <row r="2492" spans="1:8">
      <c r="A2492" s="12" t="s">
        <v>9727</v>
      </c>
      <c r="B2492" s="13">
        <v>0</v>
      </c>
      <c r="C2492" s="16" t="s">
        <v>9707</v>
      </c>
      <c r="D2492" s="12">
        <v>31095</v>
      </c>
      <c r="E2492" s="12" t="s">
        <v>5332</v>
      </c>
      <c r="F2492" s="12" t="s">
        <v>5328</v>
      </c>
      <c r="G2492" s="12" t="s">
        <v>9728</v>
      </c>
      <c r="H2492" s="12">
        <v>109493</v>
      </c>
    </row>
    <row r="2493" spans="1:8">
      <c r="A2493" s="12" t="s">
        <v>9727</v>
      </c>
      <c r="B2493" s="13">
        <v>0</v>
      </c>
      <c r="C2493" s="16" t="s">
        <v>9707</v>
      </c>
      <c r="D2493" s="12">
        <v>25137</v>
      </c>
      <c r="E2493" s="12" t="s">
        <v>5332</v>
      </c>
      <c r="F2493" s="12" t="s">
        <v>5328</v>
      </c>
      <c r="G2493" s="12" t="s">
        <v>9729</v>
      </c>
      <c r="H2493" s="12">
        <v>21816</v>
      </c>
    </row>
    <row r="2494" spans="1:8">
      <c r="A2494" s="12" t="s">
        <v>9730</v>
      </c>
      <c r="B2494" s="13">
        <v>0</v>
      </c>
      <c r="C2494" s="16" t="s">
        <v>9707</v>
      </c>
      <c r="D2494" s="12">
        <v>7999</v>
      </c>
      <c r="E2494" s="12" t="s">
        <v>5332</v>
      </c>
      <c r="F2494" s="12" t="s">
        <v>5328</v>
      </c>
      <c r="G2494" s="12" t="s">
        <v>9731</v>
      </c>
      <c r="H2494" s="12">
        <v>109494</v>
      </c>
    </row>
    <row r="2495" spans="1:8">
      <c r="A2495" s="12" t="s">
        <v>9730</v>
      </c>
      <c r="B2495" s="13">
        <v>0</v>
      </c>
      <c r="C2495" s="16" t="s">
        <v>9707</v>
      </c>
      <c r="D2495" s="12">
        <v>6857.12</v>
      </c>
      <c r="E2495" s="12" t="s">
        <v>5332</v>
      </c>
      <c r="F2495" s="12" t="s">
        <v>5328</v>
      </c>
      <c r="G2495" s="12" t="s">
        <v>9732</v>
      </c>
      <c r="H2495" s="12">
        <v>21817</v>
      </c>
    </row>
    <row r="2496" spans="1:8">
      <c r="A2496" s="12" t="s">
        <v>9733</v>
      </c>
      <c r="B2496" s="13">
        <v>0</v>
      </c>
      <c r="C2496" s="16" t="s">
        <v>9707</v>
      </c>
      <c r="D2496" s="12">
        <v>5999</v>
      </c>
      <c r="E2496" s="12" t="s">
        <v>5332</v>
      </c>
      <c r="F2496" s="12" t="s">
        <v>5328</v>
      </c>
      <c r="G2496" s="12" t="s">
        <v>9734</v>
      </c>
      <c r="H2496" s="12">
        <v>109495</v>
      </c>
    </row>
    <row r="2497" spans="1:8">
      <c r="A2497" s="12" t="s">
        <v>9733</v>
      </c>
      <c r="B2497" s="13">
        <v>0</v>
      </c>
      <c r="C2497" s="16" t="s">
        <v>9707</v>
      </c>
      <c r="D2497" s="12">
        <v>5142.84</v>
      </c>
      <c r="E2497" s="12" t="s">
        <v>5332</v>
      </c>
      <c r="F2497" s="12" t="s">
        <v>5328</v>
      </c>
      <c r="G2497" s="12" t="s">
        <v>9735</v>
      </c>
      <c r="H2497" s="12">
        <v>21818</v>
      </c>
    </row>
    <row r="2498" spans="1:8">
      <c r="A2498" s="12" t="s">
        <v>9736</v>
      </c>
      <c r="B2498" s="13">
        <v>0</v>
      </c>
      <c r="C2498" s="16" t="s">
        <v>9707</v>
      </c>
      <c r="D2498" s="12">
        <v>11999</v>
      </c>
      <c r="E2498" s="12" t="s">
        <v>5332</v>
      </c>
      <c r="F2498" s="12" t="s">
        <v>5328</v>
      </c>
      <c r="G2498" s="12" t="s">
        <v>9737</v>
      </c>
      <c r="H2498" s="12">
        <v>109496</v>
      </c>
    </row>
    <row r="2499" spans="1:8">
      <c r="A2499" s="12" t="s">
        <v>9736</v>
      </c>
      <c r="B2499" s="13">
        <v>0</v>
      </c>
      <c r="C2499" s="16" t="s">
        <v>9707</v>
      </c>
      <c r="D2499" s="12">
        <v>10285.68</v>
      </c>
      <c r="E2499" s="12" t="s">
        <v>5332</v>
      </c>
      <c r="F2499" s="12" t="s">
        <v>5328</v>
      </c>
      <c r="G2499" s="12" t="s">
        <v>9738</v>
      </c>
      <c r="H2499" s="12">
        <v>21819</v>
      </c>
    </row>
    <row r="2500" spans="1:8">
      <c r="A2500" s="12" t="s">
        <v>9739</v>
      </c>
      <c r="B2500" s="13">
        <v>0</v>
      </c>
      <c r="C2500" s="16" t="s">
        <v>9707</v>
      </c>
      <c r="D2500" s="12">
        <v>8999</v>
      </c>
      <c r="E2500" s="12" t="s">
        <v>5332</v>
      </c>
      <c r="F2500" s="12" t="s">
        <v>5328</v>
      </c>
      <c r="G2500" s="12" t="s">
        <v>9740</v>
      </c>
      <c r="H2500" s="12">
        <v>109497</v>
      </c>
    </row>
    <row r="2501" spans="1:8">
      <c r="A2501" s="12" t="s">
        <v>9739</v>
      </c>
      <c r="B2501" s="13">
        <v>0</v>
      </c>
      <c r="C2501" s="16" t="s">
        <v>9707</v>
      </c>
      <c r="D2501" s="12">
        <v>7714.26</v>
      </c>
      <c r="E2501" s="12" t="s">
        <v>5332</v>
      </c>
      <c r="F2501" s="12" t="s">
        <v>5328</v>
      </c>
      <c r="G2501" s="12" t="s">
        <v>9741</v>
      </c>
      <c r="H2501" s="12">
        <v>21820</v>
      </c>
    </row>
    <row r="2502" spans="1:8">
      <c r="A2502" s="12" t="s">
        <v>9742</v>
      </c>
      <c r="B2502" s="13">
        <v>0</v>
      </c>
      <c r="C2502" s="16" t="s">
        <v>9707</v>
      </c>
      <c r="D2502" s="12">
        <v>2780</v>
      </c>
      <c r="E2502" s="12" t="s">
        <v>5332</v>
      </c>
      <c r="F2502" s="12" t="s">
        <v>5328</v>
      </c>
      <c r="G2502" s="12" t="s">
        <v>9743</v>
      </c>
      <c r="H2502" s="12">
        <v>109498</v>
      </c>
    </row>
    <row r="2503" spans="1:8">
      <c r="A2503" s="12" t="s">
        <v>9742</v>
      </c>
      <c r="B2503" s="13">
        <v>0</v>
      </c>
      <c r="C2503" s="16" t="s">
        <v>9707</v>
      </c>
      <c r="D2503" s="12">
        <v>2360</v>
      </c>
      <c r="E2503" s="12" t="s">
        <v>5332</v>
      </c>
      <c r="F2503" s="12" t="s">
        <v>5328</v>
      </c>
      <c r="G2503" s="12" t="s">
        <v>9744</v>
      </c>
      <c r="H2503" s="12">
        <v>21821</v>
      </c>
    </row>
    <row r="2504" spans="1:8">
      <c r="A2504" s="12" t="s">
        <v>9745</v>
      </c>
      <c r="B2504" s="13">
        <v>0</v>
      </c>
      <c r="C2504" s="16" t="s">
        <v>9707</v>
      </c>
      <c r="D2504" s="12">
        <v>956</v>
      </c>
      <c r="E2504" s="12" t="s">
        <v>5332</v>
      </c>
      <c r="F2504" s="12" t="s">
        <v>5328</v>
      </c>
      <c r="G2504" s="12" t="s">
        <v>9746</v>
      </c>
      <c r="H2504" s="12">
        <v>109380</v>
      </c>
    </row>
    <row r="2505" spans="1:8">
      <c r="A2505" s="12" t="s">
        <v>9745</v>
      </c>
      <c r="B2505" s="13">
        <v>0</v>
      </c>
      <c r="C2505" s="16" t="s">
        <v>9707</v>
      </c>
      <c r="D2505" s="12">
        <v>956</v>
      </c>
      <c r="E2505" s="12" t="s">
        <v>5332</v>
      </c>
      <c r="F2505" s="12" t="s">
        <v>5328</v>
      </c>
      <c r="G2505" s="12" t="s">
        <v>9747</v>
      </c>
      <c r="H2505" s="12">
        <v>21822</v>
      </c>
    </row>
    <row r="2506" spans="1:8">
      <c r="A2506" s="12" t="s">
        <v>9748</v>
      </c>
      <c r="B2506" s="13">
        <v>0</v>
      </c>
      <c r="C2506" s="16" t="s">
        <v>5331</v>
      </c>
      <c r="D2506" s="12">
        <v>545</v>
      </c>
      <c r="E2506" s="12" t="s">
        <v>5332</v>
      </c>
      <c r="F2506" s="12" t="s">
        <v>5328</v>
      </c>
      <c r="G2506" s="12" t="s">
        <v>9749</v>
      </c>
      <c r="H2506" s="12">
        <v>30271</v>
      </c>
    </row>
    <row r="2507" spans="1:8">
      <c r="A2507" s="12" t="s">
        <v>9750</v>
      </c>
      <c r="B2507" s="13">
        <v>0</v>
      </c>
      <c r="C2507" s="16" t="s">
        <v>9707</v>
      </c>
      <c r="D2507" s="12">
        <v>1803</v>
      </c>
      <c r="E2507" s="12" t="s">
        <v>5332</v>
      </c>
      <c r="F2507" s="12" t="s">
        <v>5328</v>
      </c>
      <c r="G2507" s="12" t="s">
        <v>9751</v>
      </c>
      <c r="H2507" s="12">
        <v>109499</v>
      </c>
    </row>
    <row r="2508" spans="1:8">
      <c r="A2508" s="12" t="s">
        <v>9750</v>
      </c>
      <c r="B2508" s="13">
        <v>0</v>
      </c>
      <c r="C2508" s="16" t="s">
        <v>9707</v>
      </c>
      <c r="D2508" s="12">
        <v>1803</v>
      </c>
      <c r="E2508" s="12" t="s">
        <v>5332</v>
      </c>
      <c r="F2508" s="12" t="s">
        <v>5328</v>
      </c>
      <c r="G2508" s="12" t="s">
        <v>9752</v>
      </c>
      <c r="H2508" s="12">
        <v>47141</v>
      </c>
    </row>
    <row r="2509" spans="1:8">
      <c r="A2509" s="12" t="s">
        <v>9753</v>
      </c>
      <c r="B2509" s="13">
        <v>0</v>
      </c>
      <c r="C2509" s="16" t="s">
        <v>9707</v>
      </c>
      <c r="D2509" s="12">
        <v>8500</v>
      </c>
      <c r="E2509" s="12" t="s">
        <v>5332</v>
      </c>
      <c r="F2509" s="12" t="s">
        <v>5328</v>
      </c>
      <c r="G2509" s="12" t="s">
        <v>9754</v>
      </c>
      <c r="H2509" s="12">
        <v>109500</v>
      </c>
    </row>
    <row r="2510" spans="1:8">
      <c r="A2510" s="12" t="s">
        <v>9753</v>
      </c>
      <c r="B2510" s="13">
        <v>0</v>
      </c>
      <c r="C2510" s="16" t="s">
        <v>9707</v>
      </c>
      <c r="D2510" s="12">
        <v>8500</v>
      </c>
      <c r="E2510" s="12" t="s">
        <v>5332</v>
      </c>
      <c r="F2510" s="12" t="s">
        <v>5328</v>
      </c>
      <c r="G2510" s="12" t="s">
        <v>9755</v>
      </c>
      <c r="H2510" s="12">
        <v>47142</v>
      </c>
    </row>
    <row r="2511" spans="1:8">
      <c r="A2511" s="12" t="s">
        <v>9756</v>
      </c>
      <c r="B2511" s="13">
        <v>0</v>
      </c>
      <c r="C2511" s="16" t="s">
        <v>9707</v>
      </c>
      <c r="D2511" s="12">
        <v>5249</v>
      </c>
      <c r="E2511" s="12" t="s">
        <v>5332</v>
      </c>
      <c r="F2511" s="12" t="s">
        <v>5328</v>
      </c>
      <c r="G2511" s="12" t="s">
        <v>9757</v>
      </c>
      <c r="H2511" s="12">
        <v>109501</v>
      </c>
    </row>
    <row r="2512" spans="1:8">
      <c r="A2512" s="12" t="s">
        <v>9756</v>
      </c>
      <c r="B2512" s="13">
        <v>0</v>
      </c>
      <c r="C2512" s="16" t="s">
        <v>9707</v>
      </c>
      <c r="D2512" s="12">
        <v>4500</v>
      </c>
      <c r="E2512" s="12" t="s">
        <v>5332</v>
      </c>
      <c r="F2512" s="12" t="s">
        <v>5328</v>
      </c>
      <c r="G2512" s="12" t="s">
        <v>9758</v>
      </c>
      <c r="H2512" s="12">
        <v>47144</v>
      </c>
    </row>
    <row r="2513" spans="1:8">
      <c r="A2513" s="12" t="s">
        <v>9759</v>
      </c>
      <c r="B2513" s="13">
        <v>0</v>
      </c>
      <c r="C2513" s="16" t="s">
        <v>9707</v>
      </c>
      <c r="D2513" s="12">
        <v>8500</v>
      </c>
      <c r="E2513" s="12" t="s">
        <v>5332</v>
      </c>
      <c r="F2513" s="12" t="s">
        <v>5328</v>
      </c>
      <c r="G2513" s="12" t="s">
        <v>9760</v>
      </c>
      <c r="H2513" s="12">
        <v>109502</v>
      </c>
    </row>
    <row r="2514" spans="1:8">
      <c r="A2514" s="12" t="s">
        <v>9759</v>
      </c>
      <c r="B2514" s="13">
        <v>0</v>
      </c>
      <c r="C2514" s="16" t="s">
        <v>9707</v>
      </c>
      <c r="D2514" s="12">
        <v>8500</v>
      </c>
      <c r="E2514" s="12" t="s">
        <v>5332</v>
      </c>
      <c r="F2514" s="12" t="s">
        <v>5328</v>
      </c>
      <c r="G2514" s="12" t="s">
        <v>9761</v>
      </c>
      <c r="H2514" s="12">
        <v>47145</v>
      </c>
    </row>
    <row r="2515" spans="1:8">
      <c r="A2515" s="12" t="s">
        <v>9762</v>
      </c>
      <c r="B2515" s="13">
        <v>0</v>
      </c>
      <c r="C2515" s="16" t="s">
        <v>9707</v>
      </c>
      <c r="D2515" s="12">
        <v>5249</v>
      </c>
      <c r="E2515" s="12" t="s">
        <v>5332</v>
      </c>
      <c r="F2515" s="12" t="s">
        <v>5328</v>
      </c>
      <c r="G2515" s="12" t="s">
        <v>9763</v>
      </c>
      <c r="H2515" s="12">
        <v>109503</v>
      </c>
    </row>
    <row r="2516" spans="1:8">
      <c r="A2516" s="12" t="s">
        <v>9762</v>
      </c>
      <c r="B2516" s="13">
        <v>0</v>
      </c>
      <c r="C2516" s="16" t="s">
        <v>9707</v>
      </c>
      <c r="D2516" s="12">
        <v>4500</v>
      </c>
      <c r="E2516" s="12" t="s">
        <v>5332</v>
      </c>
      <c r="F2516" s="12" t="s">
        <v>5328</v>
      </c>
      <c r="G2516" s="12" t="s">
        <v>9764</v>
      </c>
      <c r="H2516" s="12">
        <v>47146</v>
      </c>
    </row>
    <row r="2517" spans="1:8">
      <c r="A2517" s="12" t="s">
        <v>9765</v>
      </c>
      <c r="B2517" s="13">
        <v>0</v>
      </c>
      <c r="C2517" s="16" t="s">
        <v>9707</v>
      </c>
      <c r="D2517" s="12">
        <v>9915</v>
      </c>
      <c r="E2517" s="12" t="s">
        <v>5332</v>
      </c>
      <c r="F2517" s="12" t="s">
        <v>5328</v>
      </c>
      <c r="G2517" s="12" t="s">
        <v>9766</v>
      </c>
      <c r="H2517" s="12">
        <v>109504</v>
      </c>
    </row>
    <row r="2518" spans="1:8">
      <c r="A2518" s="12" t="s">
        <v>9765</v>
      </c>
      <c r="B2518" s="13">
        <v>0</v>
      </c>
      <c r="C2518" s="16" t="s">
        <v>9707</v>
      </c>
      <c r="D2518" s="12">
        <v>8500</v>
      </c>
      <c r="E2518" s="12" t="s">
        <v>5332</v>
      </c>
      <c r="F2518" s="12" t="s">
        <v>5328</v>
      </c>
      <c r="G2518" s="12" t="s">
        <v>9767</v>
      </c>
      <c r="H2518" s="12">
        <v>47147</v>
      </c>
    </row>
    <row r="2519" spans="1:8">
      <c r="A2519" s="12" t="s">
        <v>9768</v>
      </c>
      <c r="B2519" s="13">
        <v>0</v>
      </c>
      <c r="C2519" s="16" t="s">
        <v>9707</v>
      </c>
      <c r="D2519" s="12">
        <v>5833</v>
      </c>
      <c r="E2519" s="12" t="s">
        <v>5332</v>
      </c>
      <c r="F2519" s="12" t="s">
        <v>5328</v>
      </c>
      <c r="G2519" s="12" t="s">
        <v>9769</v>
      </c>
      <c r="H2519" s="12">
        <v>109505</v>
      </c>
    </row>
    <row r="2520" spans="1:8">
      <c r="A2520" s="12" t="s">
        <v>9768</v>
      </c>
      <c r="B2520" s="13">
        <v>0</v>
      </c>
      <c r="C2520" s="16" t="s">
        <v>9707</v>
      </c>
      <c r="D2520" s="12">
        <v>5000</v>
      </c>
      <c r="E2520" s="12" t="s">
        <v>5332</v>
      </c>
      <c r="F2520" s="12" t="s">
        <v>5328</v>
      </c>
      <c r="G2520" s="12" t="s">
        <v>9770</v>
      </c>
      <c r="H2520" s="12">
        <v>47148</v>
      </c>
    </row>
    <row r="2521" spans="1:8">
      <c r="A2521" s="12" t="s">
        <v>9771</v>
      </c>
      <c r="B2521" s="13">
        <v>0</v>
      </c>
      <c r="C2521" s="16" t="s">
        <v>9707</v>
      </c>
      <c r="D2521" s="12">
        <v>10014</v>
      </c>
      <c r="E2521" s="12" t="s">
        <v>5332</v>
      </c>
      <c r="F2521" s="12" t="s">
        <v>5328</v>
      </c>
      <c r="G2521" s="12" t="s">
        <v>9772</v>
      </c>
      <c r="H2521" s="12">
        <v>109506</v>
      </c>
    </row>
    <row r="2522" spans="1:8">
      <c r="A2522" s="12" t="s">
        <v>9771</v>
      </c>
      <c r="B2522" s="13">
        <v>0</v>
      </c>
      <c r="C2522" s="16" t="s">
        <v>9707</v>
      </c>
      <c r="D2522" s="12">
        <v>8500</v>
      </c>
      <c r="E2522" s="12" t="s">
        <v>5332</v>
      </c>
      <c r="F2522" s="12" t="s">
        <v>5328</v>
      </c>
      <c r="G2522" s="12" t="s">
        <v>9773</v>
      </c>
      <c r="H2522" s="12">
        <v>47149</v>
      </c>
    </row>
    <row r="2523" spans="1:8">
      <c r="A2523" s="12" t="s">
        <v>9774</v>
      </c>
      <c r="B2523" s="13">
        <v>0</v>
      </c>
      <c r="C2523" s="16" t="s">
        <v>9707</v>
      </c>
      <c r="D2523" s="12">
        <v>5891</v>
      </c>
      <c r="E2523" s="12" t="s">
        <v>5332</v>
      </c>
      <c r="F2523" s="12" t="s">
        <v>5328</v>
      </c>
      <c r="G2523" s="12" t="s">
        <v>9775</v>
      </c>
      <c r="H2523" s="12">
        <v>109507</v>
      </c>
    </row>
    <row r="2524" spans="1:8">
      <c r="A2524" s="12" t="s">
        <v>9774</v>
      </c>
      <c r="B2524" s="13">
        <v>0</v>
      </c>
      <c r="C2524" s="16" t="s">
        <v>9707</v>
      </c>
      <c r="D2524" s="12">
        <v>5000</v>
      </c>
      <c r="E2524" s="12" t="s">
        <v>5332</v>
      </c>
      <c r="F2524" s="12" t="s">
        <v>5328</v>
      </c>
      <c r="G2524" s="12" t="s">
        <v>9776</v>
      </c>
      <c r="H2524" s="12">
        <v>47150</v>
      </c>
    </row>
    <row r="2525" spans="1:8">
      <c r="A2525" s="12" t="s">
        <v>9777</v>
      </c>
      <c r="B2525" s="13">
        <v>0</v>
      </c>
      <c r="C2525" s="16" t="s">
        <v>9707</v>
      </c>
      <c r="D2525" s="12">
        <v>33835</v>
      </c>
      <c r="E2525" s="12" t="s">
        <v>5332</v>
      </c>
      <c r="F2525" s="12" t="s">
        <v>5328</v>
      </c>
      <c r="G2525" s="12" t="s">
        <v>9778</v>
      </c>
      <c r="H2525" s="12">
        <v>109508</v>
      </c>
    </row>
    <row r="2526" spans="1:8">
      <c r="A2526" s="12" t="s">
        <v>9777</v>
      </c>
      <c r="B2526" s="13">
        <v>0</v>
      </c>
      <c r="C2526" s="16" t="s">
        <v>9707</v>
      </c>
      <c r="D2526" s="12">
        <v>28720</v>
      </c>
      <c r="E2526" s="12" t="s">
        <v>5332</v>
      </c>
      <c r="F2526" s="12" t="s">
        <v>5328</v>
      </c>
      <c r="G2526" s="12" t="s">
        <v>9779</v>
      </c>
      <c r="H2526" s="12">
        <v>47151</v>
      </c>
    </row>
    <row r="2527" spans="1:8">
      <c r="A2527" s="12" t="s">
        <v>9780</v>
      </c>
      <c r="B2527" s="13">
        <v>0</v>
      </c>
      <c r="C2527" s="16" t="s">
        <v>9707</v>
      </c>
      <c r="D2527" s="12">
        <v>25376</v>
      </c>
      <c r="E2527" s="12" t="s">
        <v>5332</v>
      </c>
      <c r="F2527" s="12" t="s">
        <v>5328</v>
      </c>
      <c r="G2527" s="12" t="s">
        <v>9781</v>
      </c>
      <c r="H2527" s="12">
        <v>109509</v>
      </c>
    </row>
    <row r="2528" spans="1:8">
      <c r="A2528" s="12" t="s">
        <v>9780</v>
      </c>
      <c r="B2528" s="13">
        <v>0</v>
      </c>
      <c r="C2528" s="16" t="s">
        <v>9707</v>
      </c>
      <c r="D2528" s="12">
        <v>21540</v>
      </c>
      <c r="E2528" s="12" t="s">
        <v>5332</v>
      </c>
      <c r="F2528" s="12" t="s">
        <v>5328</v>
      </c>
      <c r="G2528" s="12" t="s">
        <v>9782</v>
      </c>
      <c r="H2528" s="12">
        <v>47152</v>
      </c>
    </row>
    <row r="2529" spans="1:8">
      <c r="A2529" s="12" t="s">
        <v>9783</v>
      </c>
      <c r="B2529" s="13">
        <v>0</v>
      </c>
      <c r="C2529" s="16" t="s">
        <v>9707</v>
      </c>
      <c r="D2529" s="12">
        <v>10014</v>
      </c>
      <c r="E2529" s="12" t="s">
        <v>5332</v>
      </c>
      <c r="F2529" s="12" t="s">
        <v>5328</v>
      </c>
      <c r="G2529" s="12" t="s">
        <v>9784</v>
      </c>
      <c r="H2529" s="12">
        <v>109510</v>
      </c>
    </row>
    <row r="2530" spans="1:8">
      <c r="A2530" s="12" t="s">
        <v>9783</v>
      </c>
      <c r="B2530" s="13">
        <v>0</v>
      </c>
      <c r="C2530" s="16" t="s">
        <v>9707</v>
      </c>
      <c r="D2530" s="12">
        <v>8500</v>
      </c>
      <c r="E2530" s="12" t="s">
        <v>5332</v>
      </c>
      <c r="F2530" s="12" t="s">
        <v>5328</v>
      </c>
      <c r="G2530" s="12" t="s">
        <v>9785</v>
      </c>
      <c r="H2530" s="12">
        <v>47153</v>
      </c>
    </row>
    <row r="2531" spans="1:8">
      <c r="A2531" s="12" t="s">
        <v>9786</v>
      </c>
      <c r="B2531" s="13">
        <v>0</v>
      </c>
      <c r="C2531" s="16" t="s">
        <v>9707</v>
      </c>
      <c r="D2531" s="12">
        <v>5891</v>
      </c>
      <c r="E2531" s="12" t="s">
        <v>5332</v>
      </c>
      <c r="F2531" s="12" t="s">
        <v>5328</v>
      </c>
      <c r="G2531" s="12" t="s">
        <v>9787</v>
      </c>
      <c r="H2531" s="12">
        <v>109511</v>
      </c>
    </row>
    <row r="2532" spans="1:8">
      <c r="A2532" s="12" t="s">
        <v>9786</v>
      </c>
      <c r="B2532" s="13">
        <v>0</v>
      </c>
      <c r="C2532" s="16" t="s">
        <v>9707</v>
      </c>
      <c r="D2532" s="12">
        <v>5000</v>
      </c>
      <c r="E2532" s="12" t="s">
        <v>5332</v>
      </c>
      <c r="F2532" s="12" t="s">
        <v>5328</v>
      </c>
      <c r="G2532" s="12" t="s">
        <v>9788</v>
      </c>
      <c r="H2532" s="12">
        <v>47154</v>
      </c>
    </row>
    <row r="2533" spans="1:8">
      <c r="A2533" s="12" t="s">
        <v>9789</v>
      </c>
      <c r="B2533" s="13">
        <v>0</v>
      </c>
      <c r="C2533" s="16" t="s">
        <v>9790</v>
      </c>
      <c r="D2533" s="12">
        <v>15198</v>
      </c>
      <c r="E2533" s="12" t="s">
        <v>5332</v>
      </c>
      <c r="F2533" s="12" t="s">
        <v>5328</v>
      </c>
      <c r="G2533" s="12" t="s">
        <v>9791</v>
      </c>
      <c r="H2533" s="12">
        <v>109512</v>
      </c>
    </row>
    <row r="2534" spans="1:8">
      <c r="A2534" s="12" t="s">
        <v>9789</v>
      </c>
      <c r="B2534" s="13">
        <v>0</v>
      </c>
      <c r="C2534" s="16" t="s">
        <v>9790</v>
      </c>
      <c r="D2534" s="12">
        <v>13028.528</v>
      </c>
      <c r="E2534" s="12" t="s">
        <v>5332</v>
      </c>
      <c r="F2534" s="12" t="s">
        <v>5328</v>
      </c>
      <c r="G2534" s="12" t="s">
        <v>9792</v>
      </c>
      <c r="H2534" s="12">
        <v>47155</v>
      </c>
    </row>
    <row r="2535" spans="1:8">
      <c r="A2535" s="12" t="s">
        <v>9793</v>
      </c>
      <c r="B2535" s="13">
        <v>0</v>
      </c>
      <c r="C2535" s="16" t="s">
        <v>9794</v>
      </c>
      <c r="D2535" s="12">
        <v>22318</v>
      </c>
      <c r="E2535" s="12" t="s">
        <v>5332</v>
      </c>
      <c r="F2535" s="12" t="s">
        <v>5328</v>
      </c>
      <c r="G2535" s="12" t="s">
        <v>9795</v>
      </c>
      <c r="H2535" s="12">
        <v>109513</v>
      </c>
    </row>
    <row r="2536" spans="1:8">
      <c r="A2536" s="12" t="s">
        <v>9793</v>
      </c>
      <c r="B2536" s="13">
        <v>0</v>
      </c>
      <c r="C2536" s="16" t="s">
        <v>9794</v>
      </c>
      <c r="D2536" s="12">
        <v>19131.364799999999</v>
      </c>
      <c r="E2536" s="12" t="s">
        <v>5332</v>
      </c>
      <c r="F2536" s="12" t="s">
        <v>5328</v>
      </c>
      <c r="G2536" s="12" t="s">
        <v>9796</v>
      </c>
      <c r="H2536" s="12">
        <v>47156</v>
      </c>
    </row>
    <row r="2537" spans="1:8">
      <c r="A2537" s="12" t="s">
        <v>9797</v>
      </c>
      <c r="B2537" s="13">
        <v>0</v>
      </c>
      <c r="C2537" s="16" t="s">
        <v>9707</v>
      </c>
      <c r="D2537" s="12">
        <v>29437</v>
      </c>
      <c r="E2537" s="12" t="s">
        <v>5332</v>
      </c>
      <c r="F2537" s="12" t="s">
        <v>5328</v>
      </c>
      <c r="G2537" s="12" t="s">
        <v>9798</v>
      </c>
      <c r="H2537" s="12">
        <v>109514</v>
      </c>
    </row>
    <row r="2538" spans="1:8">
      <c r="A2538" s="12" t="s">
        <v>9797</v>
      </c>
      <c r="B2538" s="13">
        <v>0</v>
      </c>
      <c r="C2538" s="16" t="s">
        <v>9707</v>
      </c>
      <c r="D2538" s="12">
        <v>25234.2016</v>
      </c>
      <c r="E2538" s="12" t="s">
        <v>5332</v>
      </c>
      <c r="F2538" s="12" t="s">
        <v>5328</v>
      </c>
      <c r="G2538" s="12" t="s">
        <v>9799</v>
      </c>
      <c r="H2538" s="12">
        <v>47157</v>
      </c>
    </row>
    <row r="2539" spans="1:8">
      <c r="A2539" s="12" t="s">
        <v>9800</v>
      </c>
      <c r="B2539" s="13">
        <v>0</v>
      </c>
      <c r="C2539" s="16" t="s">
        <v>9707</v>
      </c>
      <c r="D2539" s="12">
        <v>35996</v>
      </c>
      <c r="E2539" s="12" t="s">
        <v>5332</v>
      </c>
      <c r="F2539" s="12" t="s">
        <v>5328</v>
      </c>
      <c r="G2539" s="12" t="s">
        <v>9801</v>
      </c>
      <c r="H2539" s="12">
        <v>109515</v>
      </c>
    </row>
    <row r="2540" spans="1:8">
      <c r="A2540" s="12" t="s">
        <v>9800</v>
      </c>
      <c r="B2540" s="13">
        <v>0</v>
      </c>
      <c r="C2540" s="16" t="s">
        <v>9707</v>
      </c>
      <c r="D2540" s="12">
        <v>30857.040000000001</v>
      </c>
      <c r="E2540" s="12" t="s">
        <v>5332</v>
      </c>
      <c r="F2540" s="12" t="s">
        <v>5328</v>
      </c>
      <c r="G2540" s="12" t="s">
        <v>9802</v>
      </c>
      <c r="H2540" s="12">
        <v>47158</v>
      </c>
    </row>
    <row r="2541" spans="1:8">
      <c r="A2541" s="12" t="s">
        <v>9803</v>
      </c>
      <c r="B2541" s="13">
        <v>0</v>
      </c>
      <c r="C2541" s="16" t="s">
        <v>9707</v>
      </c>
      <c r="D2541" s="12">
        <v>22798</v>
      </c>
      <c r="E2541" s="12" t="s">
        <v>5332</v>
      </c>
      <c r="F2541" s="12" t="s">
        <v>5328</v>
      </c>
      <c r="G2541" s="12" t="s">
        <v>9804</v>
      </c>
      <c r="H2541" s="12">
        <v>109516</v>
      </c>
    </row>
    <row r="2542" spans="1:8">
      <c r="A2542" s="12" t="s">
        <v>9803</v>
      </c>
      <c r="B2542" s="13">
        <v>0</v>
      </c>
      <c r="C2542" s="16" t="s">
        <v>9707</v>
      </c>
      <c r="D2542" s="12">
        <v>19542.792000000001</v>
      </c>
      <c r="E2542" s="12" t="s">
        <v>5332</v>
      </c>
      <c r="F2542" s="12" t="s">
        <v>5328</v>
      </c>
      <c r="G2542" s="12" t="s">
        <v>9805</v>
      </c>
      <c r="H2542" s="12">
        <v>47159</v>
      </c>
    </row>
    <row r="2543" spans="1:8">
      <c r="A2543" s="12" t="s">
        <v>9806</v>
      </c>
      <c r="B2543" s="13">
        <v>0</v>
      </c>
      <c r="C2543" s="16" t="s">
        <v>9707</v>
      </c>
      <c r="D2543" s="12">
        <v>33477</v>
      </c>
      <c r="E2543" s="12" t="s">
        <v>5332</v>
      </c>
      <c r="F2543" s="12" t="s">
        <v>5328</v>
      </c>
      <c r="G2543" s="12" t="s">
        <v>9807</v>
      </c>
      <c r="H2543" s="12">
        <v>109517</v>
      </c>
    </row>
    <row r="2544" spans="1:8">
      <c r="A2544" s="12" t="s">
        <v>9806</v>
      </c>
      <c r="B2544" s="13">
        <v>0</v>
      </c>
      <c r="C2544" s="16" t="s">
        <v>9707</v>
      </c>
      <c r="D2544" s="12">
        <v>28697.047200000001</v>
      </c>
      <c r="E2544" s="12" t="s">
        <v>5332</v>
      </c>
      <c r="F2544" s="12" t="s">
        <v>5328</v>
      </c>
      <c r="G2544" s="12" t="s">
        <v>9808</v>
      </c>
      <c r="H2544" s="12">
        <v>47160</v>
      </c>
    </row>
    <row r="2545" spans="1:8">
      <c r="A2545" s="12" t="s">
        <v>9809</v>
      </c>
      <c r="B2545" s="13">
        <v>0</v>
      </c>
      <c r="C2545" s="16" t="s">
        <v>9707</v>
      </c>
      <c r="D2545" s="12">
        <v>44155</v>
      </c>
      <c r="E2545" s="12" t="s">
        <v>5332</v>
      </c>
      <c r="F2545" s="12" t="s">
        <v>5328</v>
      </c>
      <c r="G2545" s="12" t="s">
        <v>9810</v>
      </c>
      <c r="H2545" s="12">
        <v>109518</v>
      </c>
    </row>
    <row r="2546" spans="1:8">
      <c r="A2546" s="12" t="s">
        <v>9809</v>
      </c>
      <c r="B2546" s="13">
        <v>0</v>
      </c>
      <c r="C2546" s="16" t="s">
        <v>9707</v>
      </c>
      <c r="D2546" s="12">
        <v>37851.3024</v>
      </c>
      <c r="E2546" s="12" t="s">
        <v>5332</v>
      </c>
      <c r="F2546" s="12" t="s">
        <v>5328</v>
      </c>
      <c r="G2546" s="12" t="s">
        <v>9811</v>
      </c>
      <c r="H2546" s="12">
        <v>47161</v>
      </c>
    </row>
    <row r="2547" spans="1:8">
      <c r="A2547" s="12" t="s">
        <v>9812</v>
      </c>
      <c r="B2547" s="13">
        <v>0</v>
      </c>
      <c r="C2547" s="16" t="s">
        <v>9707</v>
      </c>
      <c r="D2547" s="12">
        <v>53994</v>
      </c>
      <c r="E2547" s="12" t="s">
        <v>5332</v>
      </c>
      <c r="F2547" s="12" t="s">
        <v>5328</v>
      </c>
      <c r="G2547" s="12" t="s">
        <v>9813</v>
      </c>
      <c r="H2547" s="12">
        <v>109519</v>
      </c>
    </row>
    <row r="2548" spans="1:8">
      <c r="A2548" s="12" t="s">
        <v>9812</v>
      </c>
      <c r="B2548" s="13">
        <v>0</v>
      </c>
      <c r="C2548" s="16" t="s">
        <v>9707</v>
      </c>
      <c r="D2548" s="12">
        <v>46285.56</v>
      </c>
      <c r="E2548" s="12" t="s">
        <v>5332</v>
      </c>
      <c r="F2548" s="12" t="s">
        <v>5328</v>
      </c>
      <c r="G2548" s="12" t="s">
        <v>9814</v>
      </c>
      <c r="H2548" s="12">
        <v>47162</v>
      </c>
    </row>
    <row r="2549" spans="1:8">
      <c r="A2549" s="12" t="s">
        <v>9815</v>
      </c>
      <c r="B2549" s="13">
        <v>0</v>
      </c>
      <c r="C2549" s="16" t="s">
        <v>9707</v>
      </c>
      <c r="D2549" s="12">
        <v>30999</v>
      </c>
      <c r="E2549" s="12" t="s">
        <v>5332</v>
      </c>
      <c r="F2549" s="12" t="s">
        <v>5328</v>
      </c>
      <c r="G2549" s="12" t="s">
        <v>9816</v>
      </c>
      <c r="H2549" s="12">
        <v>109520</v>
      </c>
    </row>
    <row r="2550" spans="1:8">
      <c r="A2550" s="12" t="s">
        <v>9815</v>
      </c>
      <c r="B2550" s="13">
        <v>0</v>
      </c>
      <c r="C2550" s="16" t="s">
        <v>9707</v>
      </c>
      <c r="D2550" s="12">
        <v>36936</v>
      </c>
      <c r="E2550" s="12" t="s">
        <v>5332</v>
      </c>
      <c r="F2550" s="12" t="s">
        <v>5328</v>
      </c>
      <c r="G2550" s="12" t="s">
        <v>9817</v>
      </c>
      <c r="H2550" s="12">
        <v>47163</v>
      </c>
    </row>
    <row r="2551" spans="1:8">
      <c r="A2551" s="12" t="s">
        <v>9818</v>
      </c>
      <c r="B2551" s="13">
        <v>0</v>
      </c>
      <c r="C2551" s="16" t="s">
        <v>9707</v>
      </c>
      <c r="D2551" s="12">
        <v>45520</v>
      </c>
      <c r="E2551" s="12" t="s">
        <v>5332</v>
      </c>
      <c r="F2551" s="12" t="s">
        <v>5328</v>
      </c>
      <c r="G2551" s="12" t="s">
        <v>9819</v>
      </c>
      <c r="H2551" s="12">
        <v>109521</v>
      </c>
    </row>
    <row r="2552" spans="1:8">
      <c r="A2552" s="12" t="s">
        <v>9818</v>
      </c>
      <c r="B2552" s="13">
        <v>0</v>
      </c>
      <c r="C2552" s="16" t="s">
        <v>9707</v>
      </c>
      <c r="D2552" s="12">
        <v>54237.599999999999</v>
      </c>
      <c r="E2552" s="12" t="s">
        <v>5332</v>
      </c>
      <c r="F2552" s="12" t="s">
        <v>5328</v>
      </c>
      <c r="G2552" s="12" t="s">
        <v>9820</v>
      </c>
      <c r="H2552" s="12">
        <v>47164</v>
      </c>
    </row>
    <row r="2553" spans="1:8">
      <c r="A2553" s="12" t="s">
        <v>9821</v>
      </c>
      <c r="B2553" s="13">
        <v>0</v>
      </c>
      <c r="C2553" s="16" t="s">
        <v>9707</v>
      </c>
      <c r="D2553" s="12">
        <v>60040</v>
      </c>
      <c r="E2553" s="12" t="s">
        <v>5332</v>
      </c>
      <c r="F2553" s="12" t="s">
        <v>5328</v>
      </c>
      <c r="G2553" s="12" t="s">
        <v>9822</v>
      </c>
      <c r="H2553" s="12">
        <v>109522</v>
      </c>
    </row>
    <row r="2554" spans="1:8">
      <c r="A2554" s="12" t="s">
        <v>9821</v>
      </c>
      <c r="B2554" s="13">
        <v>0</v>
      </c>
      <c r="C2554" s="16" t="s">
        <v>9707</v>
      </c>
      <c r="D2554" s="12">
        <v>71539.199999999997</v>
      </c>
      <c r="E2554" s="12" t="s">
        <v>5332</v>
      </c>
      <c r="F2554" s="12" t="s">
        <v>5328</v>
      </c>
      <c r="G2554" s="12" t="s">
        <v>9823</v>
      </c>
      <c r="H2554" s="12">
        <v>47165</v>
      </c>
    </row>
    <row r="2555" spans="1:8">
      <c r="A2555" s="12" t="s">
        <v>9824</v>
      </c>
      <c r="B2555" s="13">
        <v>0</v>
      </c>
      <c r="C2555" s="16" t="s">
        <v>9707</v>
      </c>
      <c r="D2555" s="12">
        <v>73419</v>
      </c>
      <c r="E2555" s="12" t="s">
        <v>5332</v>
      </c>
      <c r="F2555" s="12" t="s">
        <v>5328</v>
      </c>
      <c r="G2555" s="12" t="s">
        <v>9825</v>
      </c>
      <c r="H2555" s="12">
        <v>109523</v>
      </c>
    </row>
    <row r="2556" spans="1:8">
      <c r="A2556" s="12" t="s">
        <v>9824</v>
      </c>
      <c r="B2556" s="13">
        <v>0</v>
      </c>
      <c r="C2556" s="16" t="s">
        <v>9707</v>
      </c>
      <c r="D2556" s="12">
        <v>87480</v>
      </c>
      <c r="E2556" s="12" t="s">
        <v>5332</v>
      </c>
      <c r="F2556" s="12" t="s">
        <v>5328</v>
      </c>
      <c r="G2556" s="12" t="s">
        <v>9826</v>
      </c>
      <c r="H2556" s="12">
        <v>47166</v>
      </c>
    </row>
    <row r="2557" spans="1:8">
      <c r="A2557" s="12" t="s">
        <v>9827</v>
      </c>
      <c r="B2557" s="13">
        <v>0</v>
      </c>
      <c r="C2557" s="16" t="s">
        <v>9707</v>
      </c>
      <c r="D2557" s="12">
        <v>43088</v>
      </c>
      <c r="E2557" s="12" t="s">
        <v>5332</v>
      </c>
      <c r="F2557" s="12" t="s">
        <v>5328</v>
      </c>
      <c r="G2557" s="12" t="s">
        <v>9828</v>
      </c>
      <c r="H2557" s="12">
        <v>109524</v>
      </c>
    </row>
    <row r="2558" spans="1:8">
      <c r="A2558" s="12" t="s">
        <v>9827</v>
      </c>
      <c r="B2558" s="13">
        <v>0</v>
      </c>
      <c r="C2558" s="16" t="s">
        <v>9707</v>
      </c>
      <c r="D2558" s="12">
        <v>36936</v>
      </c>
      <c r="E2558" s="12" t="s">
        <v>5332</v>
      </c>
      <c r="F2558" s="12" t="s">
        <v>5328</v>
      </c>
      <c r="G2558" s="12" t="s">
        <v>9829</v>
      </c>
      <c r="H2558" s="12">
        <v>47167</v>
      </c>
    </row>
    <row r="2559" spans="1:8">
      <c r="A2559" s="12" t="s">
        <v>9830</v>
      </c>
      <c r="B2559" s="13">
        <v>0</v>
      </c>
      <c r="C2559" s="16" t="s">
        <v>9707</v>
      </c>
      <c r="D2559" s="12">
        <v>63271</v>
      </c>
      <c r="E2559" s="12" t="s">
        <v>5332</v>
      </c>
      <c r="F2559" s="12" t="s">
        <v>5328</v>
      </c>
      <c r="G2559" s="12" t="s">
        <v>9831</v>
      </c>
      <c r="H2559" s="12">
        <v>109525</v>
      </c>
    </row>
    <row r="2560" spans="1:8">
      <c r="A2560" s="12" t="s">
        <v>9830</v>
      </c>
      <c r="B2560" s="13">
        <v>0</v>
      </c>
      <c r="C2560" s="16" t="s">
        <v>9707</v>
      </c>
      <c r="D2560" s="12">
        <v>54237.599999999999</v>
      </c>
      <c r="E2560" s="12" t="s">
        <v>5332</v>
      </c>
      <c r="F2560" s="12" t="s">
        <v>5328</v>
      </c>
      <c r="G2560" s="12" t="s">
        <v>9832</v>
      </c>
      <c r="H2560" s="12">
        <v>47168</v>
      </c>
    </row>
    <row r="2561" spans="1:8">
      <c r="A2561" s="12" t="s">
        <v>9833</v>
      </c>
      <c r="B2561" s="13">
        <v>0</v>
      </c>
      <c r="C2561" s="16" t="s">
        <v>9707</v>
      </c>
      <c r="D2561" s="12">
        <v>83454</v>
      </c>
      <c r="E2561" s="12" t="s">
        <v>5332</v>
      </c>
      <c r="F2561" s="12" t="s">
        <v>5328</v>
      </c>
      <c r="G2561" s="12" t="s">
        <v>9834</v>
      </c>
      <c r="H2561" s="12">
        <v>109526</v>
      </c>
    </row>
    <row r="2562" spans="1:8">
      <c r="A2562" s="12" t="s">
        <v>9833</v>
      </c>
      <c r="B2562" s="13">
        <v>0</v>
      </c>
      <c r="C2562" s="16" t="s">
        <v>9707</v>
      </c>
      <c r="D2562" s="12">
        <v>71539.199999999997</v>
      </c>
      <c r="E2562" s="12" t="s">
        <v>5332</v>
      </c>
      <c r="F2562" s="12" t="s">
        <v>5328</v>
      </c>
      <c r="G2562" s="12" t="s">
        <v>9835</v>
      </c>
      <c r="H2562" s="12">
        <v>47169</v>
      </c>
    </row>
    <row r="2563" spans="1:8">
      <c r="A2563" s="12" t="s">
        <v>9836</v>
      </c>
      <c r="B2563" s="13">
        <v>0</v>
      </c>
      <c r="C2563" s="16" t="s">
        <v>9707</v>
      </c>
      <c r="D2563" s="12">
        <v>102050</v>
      </c>
      <c r="E2563" s="12" t="s">
        <v>5332</v>
      </c>
      <c r="F2563" s="12" t="s">
        <v>5328</v>
      </c>
      <c r="G2563" s="12" t="s">
        <v>9837</v>
      </c>
      <c r="H2563" s="12">
        <v>109527</v>
      </c>
    </row>
    <row r="2564" spans="1:8">
      <c r="A2564" s="12" t="s">
        <v>9836</v>
      </c>
      <c r="B2564" s="13">
        <v>0</v>
      </c>
      <c r="C2564" s="16" t="s">
        <v>9707</v>
      </c>
      <c r="D2564" s="12">
        <v>87480</v>
      </c>
      <c r="E2564" s="12" t="s">
        <v>5332</v>
      </c>
      <c r="F2564" s="12" t="s">
        <v>5328</v>
      </c>
      <c r="G2564" s="12" t="s">
        <v>9838</v>
      </c>
      <c r="H2564" s="12">
        <v>47170</v>
      </c>
    </row>
    <row r="2565" spans="1:8">
      <c r="A2565" s="12" t="s">
        <v>9839</v>
      </c>
      <c r="B2565" s="13">
        <v>0</v>
      </c>
      <c r="C2565" s="16" t="s">
        <v>9707</v>
      </c>
      <c r="D2565" s="12">
        <v>55677</v>
      </c>
      <c r="E2565" s="12" t="s">
        <v>5332</v>
      </c>
      <c r="F2565" s="12" t="s">
        <v>5328</v>
      </c>
      <c r="G2565" s="12" t="s">
        <v>9840</v>
      </c>
      <c r="H2565" s="12">
        <v>109528</v>
      </c>
    </row>
    <row r="2566" spans="1:8">
      <c r="A2566" s="12" t="s">
        <v>9839</v>
      </c>
      <c r="B2566" s="13">
        <v>0</v>
      </c>
      <c r="C2566" s="16" t="s">
        <v>9707</v>
      </c>
      <c r="D2566" s="12">
        <v>47728</v>
      </c>
      <c r="E2566" s="12" t="s">
        <v>5332</v>
      </c>
      <c r="F2566" s="12" t="s">
        <v>5328</v>
      </c>
      <c r="G2566" s="12" t="s">
        <v>9841</v>
      </c>
      <c r="H2566" s="12">
        <v>47171</v>
      </c>
    </row>
    <row r="2567" spans="1:8">
      <c r="A2567" s="12" t="s">
        <v>9842</v>
      </c>
      <c r="B2567" s="13">
        <v>0</v>
      </c>
      <c r="C2567" s="16" t="s">
        <v>9707</v>
      </c>
      <c r="D2567" s="12">
        <v>81757</v>
      </c>
      <c r="E2567" s="12" t="s">
        <v>5332</v>
      </c>
      <c r="F2567" s="12" t="s">
        <v>5328</v>
      </c>
      <c r="G2567" s="12" t="s">
        <v>9843</v>
      </c>
      <c r="H2567" s="12">
        <v>109529</v>
      </c>
    </row>
    <row r="2568" spans="1:8">
      <c r="A2568" s="12" t="s">
        <v>9842</v>
      </c>
      <c r="B2568" s="13">
        <v>0</v>
      </c>
      <c r="C2568" s="16" t="s">
        <v>9707</v>
      </c>
      <c r="D2568" s="12">
        <v>70084.800000000003</v>
      </c>
      <c r="E2568" s="12" t="s">
        <v>5332</v>
      </c>
      <c r="F2568" s="12" t="s">
        <v>5328</v>
      </c>
      <c r="G2568" s="12" t="s">
        <v>9844</v>
      </c>
      <c r="H2568" s="12">
        <v>47172</v>
      </c>
    </row>
    <row r="2569" spans="1:8">
      <c r="A2569" s="12" t="s">
        <v>9845</v>
      </c>
      <c r="B2569" s="13">
        <v>0</v>
      </c>
      <c r="C2569" s="16" t="s">
        <v>9707</v>
      </c>
      <c r="D2569" s="12">
        <v>107838</v>
      </c>
      <c r="E2569" s="12" t="s">
        <v>5332</v>
      </c>
      <c r="F2569" s="12" t="s">
        <v>5328</v>
      </c>
      <c r="G2569" s="12" t="s">
        <v>9846</v>
      </c>
      <c r="H2569" s="12">
        <v>109530</v>
      </c>
    </row>
    <row r="2570" spans="1:8">
      <c r="A2570" s="12" t="s">
        <v>9845</v>
      </c>
      <c r="B2570" s="13">
        <v>0</v>
      </c>
      <c r="C2570" s="16" t="s">
        <v>9707</v>
      </c>
      <c r="D2570" s="12">
        <v>92441.600000000006</v>
      </c>
      <c r="E2570" s="12" t="s">
        <v>5332</v>
      </c>
      <c r="F2570" s="12" t="s">
        <v>5328</v>
      </c>
      <c r="G2570" s="12" t="s">
        <v>9847</v>
      </c>
      <c r="H2570" s="12">
        <v>47173</v>
      </c>
    </row>
    <row r="2571" spans="1:8">
      <c r="A2571" s="12" t="s">
        <v>9848</v>
      </c>
      <c r="B2571" s="13">
        <v>0</v>
      </c>
      <c r="C2571" s="16" t="s">
        <v>9707</v>
      </c>
      <c r="D2571" s="12">
        <v>131867</v>
      </c>
      <c r="E2571" s="12" t="s">
        <v>5332</v>
      </c>
      <c r="F2571" s="12" t="s">
        <v>5328</v>
      </c>
      <c r="G2571" s="12" t="s">
        <v>9849</v>
      </c>
      <c r="H2571" s="12">
        <v>109531</v>
      </c>
    </row>
    <row r="2572" spans="1:8">
      <c r="A2572" s="12" t="s">
        <v>9848</v>
      </c>
      <c r="B2572" s="13">
        <v>0</v>
      </c>
      <c r="C2572" s="16" t="s">
        <v>9707</v>
      </c>
      <c r="D2572" s="12">
        <v>113040</v>
      </c>
      <c r="E2572" s="12" t="s">
        <v>5332</v>
      </c>
      <c r="F2572" s="12" t="s">
        <v>5328</v>
      </c>
      <c r="G2572" s="12" t="s">
        <v>9850</v>
      </c>
      <c r="H2572" s="12">
        <v>47174</v>
      </c>
    </row>
    <row r="2573" spans="1:8">
      <c r="A2573" s="12" t="s">
        <v>9851</v>
      </c>
      <c r="B2573" s="13">
        <v>0</v>
      </c>
      <c r="C2573" s="16" t="s">
        <v>9707</v>
      </c>
      <c r="D2573" s="12">
        <v>64287</v>
      </c>
      <c r="E2573" s="12" t="s">
        <v>5332</v>
      </c>
      <c r="F2573" s="12" t="s">
        <v>5328</v>
      </c>
      <c r="G2573" s="12" t="s">
        <v>9852</v>
      </c>
      <c r="H2573" s="12">
        <v>109532</v>
      </c>
    </row>
    <row r="2574" spans="1:8">
      <c r="A2574" s="12" t="s">
        <v>9851</v>
      </c>
      <c r="B2574" s="13">
        <v>0</v>
      </c>
      <c r="C2574" s="16" t="s">
        <v>9707</v>
      </c>
      <c r="D2574" s="12">
        <v>54568</v>
      </c>
      <c r="E2574" s="12" t="s">
        <v>5332</v>
      </c>
      <c r="F2574" s="12" t="s">
        <v>5328</v>
      </c>
      <c r="G2574" s="12" t="s">
        <v>9853</v>
      </c>
      <c r="H2574" s="12">
        <v>47175</v>
      </c>
    </row>
    <row r="2575" spans="1:8">
      <c r="A2575" s="12" t="s">
        <v>9854</v>
      </c>
      <c r="B2575" s="13">
        <v>0</v>
      </c>
      <c r="C2575" s="16" t="s">
        <v>9707</v>
      </c>
      <c r="D2575" s="12">
        <v>94400</v>
      </c>
      <c r="E2575" s="12" t="s">
        <v>5332</v>
      </c>
      <c r="F2575" s="12" t="s">
        <v>5328</v>
      </c>
      <c r="G2575" s="12" t="s">
        <v>9855</v>
      </c>
      <c r="H2575" s="12">
        <v>109533</v>
      </c>
    </row>
    <row r="2576" spans="1:8">
      <c r="A2576" s="12" t="s">
        <v>9854</v>
      </c>
      <c r="B2576" s="13">
        <v>0</v>
      </c>
      <c r="C2576" s="16" t="s">
        <v>9707</v>
      </c>
      <c r="D2576" s="12">
        <v>80128.800000000003</v>
      </c>
      <c r="E2576" s="12" t="s">
        <v>5332</v>
      </c>
      <c r="F2576" s="12" t="s">
        <v>5328</v>
      </c>
      <c r="G2576" s="12" t="s">
        <v>9856</v>
      </c>
      <c r="H2576" s="12">
        <v>47176</v>
      </c>
    </row>
    <row r="2577" spans="1:8">
      <c r="A2577" s="12" t="s">
        <v>9857</v>
      </c>
      <c r="B2577" s="13">
        <v>0</v>
      </c>
      <c r="C2577" s="16" t="s">
        <v>9707</v>
      </c>
      <c r="D2577" s="12">
        <v>124513</v>
      </c>
      <c r="E2577" s="12" t="s">
        <v>5332</v>
      </c>
      <c r="F2577" s="12" t="s">
        <v>5328</v>
      </c>
      <c r="G2577" s="12" t="s">
        <v>9858</v>
      </c>
      <c r="H2577" s="12">
        <v>109534</v>
      </c>
    </row>
    <row r="2578" spans="1:8">
      <c r="A2578" s="12" t="s">
        <v>9857</v>
      </c>
      <c r="B2578" s="13">
        <v>0</v>
      </c>
      <c r="C2578" s="16" t="s">
        <v>9707</v>
      </c>
      <c r="D2578" s="12">
        <v>105689.60000000001</v>
      </c>
      <c r="E2578" s="12" t="s">
        <v>5332</v>
      </c>
      <c r="F2578" s="12" t="s">
        <v>5328</v>
      </c>
      <c r="G2578" s="12" t="s">
        <v>9859</v>
      </c>
      <c r="H2578" s="12">
        <v>47177</v>
      </c>
    </row>
    <row r="2579" spans="1:8">
      <c r="A2579" s="12" t="s">
        <v>9860</v>
      </c>
      <c r="B2579" s="13">
        <v>0</v>
      </c>
      <c r="C2579" s="16" t="s">
        <v>9707</v>
      </c>
      <c r="D2579" s="12">
        <v>152258</v>
      </c>
      <c r="E2579" s="12" t="s">
        <v>5332</v>
      </c>
      <c r="F2579" s="12" t="s">
        <v>5328</v>
      </c>
      <c r="G2579" s="12" t="s">
        <v>9861</v>
      </c>
      <c r="H2579" s="12">
        <v>109535</v>
      </c>
    </row>
    <row r="2580" spans="1:8">
      <c r="A2580" s="12" t="s">
        <v>9860</v>
      </c>
      <c r="B2580" s="13">
        <v>0</v>
      </c>
      <c r="C2580" s="16" t="s">
        <v>9707</v>
      </c>
      <c r="D2580" s="12">
        <v>129240</v>
      </c>
      <c r="E2580" s="12" t="s">
        <v>5332</v>
      </c>
      <c r="F2580" s="12" t="s">
        <v>5328</v>
      </c>
      <c r="G2580" s="12" t="s">
        <v>9862</v>
      </c>
      <c r="H2580" s="12">
        <v>47178</v>
      </c>
    </row>
    <row r="2581" spans="1:8">
      <c r="A2581" s="12" t="s">
        <v>9863</v>
      </c>
      <c r="B2581" s="13">
        <v>0</v>
      </c>
      <c r="C2581" s="16" t="s">
        <v>9707</v>
      </c>
      <c r="D2581" s="12">
        <v>78773</v>
      </c>
      <c r="E2581" s="12" t="s">
        <v>5332</v>
      </c>
      <c r="F2581" s="12" t="s">
        <v>5328</v>
      </c>
      <c r="G2581" s="12" t="s">
        <v>9864</v>
      </c>
      <c r="H2581" s="12">
        <v>109536</v>
      </c>
    </row>
    <row r="2582" spans="1:8">
      <c r="A2582" s="12" t="s">
        <v>9863</v>
      </c>
      <c r="B2582" s="13">
        <v>0</v>
      </c>
      <c r="C2582" s="16" t="s">
        <v>9707</v>
      </c>
      <c r="D2582" s="12">
        <v>55720.35</v>
      </c>
      <c r="E2582" s="12" t="s">
        <v>5332</v>
      </c>
      <c r="F2582" s="12" t="s">
        <v>5328</v>
      </c>
      <c r="G2582" s="12" t="s">
        <v>9865</v>
      </c>
      <c r="H2582" s="12">
        <v>47179</v>
      </c>
    </row>
    <row r="2583" spans="1:8">
      <c r="A2583" s="12" t="s">
        <v>9866</v>
      </c>
      <c r="B2583" s="13">
        <v>0</v>
      </c>
      <c r="C2583" s="16" t="s">
        <v>9707</v>
      </c>
      <c r="D2583" s="12">
        <v>115672</v>
      </c>
      <c r="E2583" s="12" t="s">
        <v>5332</v>
      </c>
      <c r="F2583" s="12" t="s">
        <v>5328</v>
      </c>
      <c r="G2583" s="12" t="s">
        <v>9867</v>
      </c>
      <c r="H2583" s="12">
        <v>109537</v>
      </c>
    </row>
    <row r="2584" spans="1:8">
      <c r="A2584" s="12" t="s">
        <v>9866</v>
      </c>
      <c r="B2584" s="13">
        <v>0</v>
      </c>
      <c r="C2584" s="16" t="s">
        <v>9707</v>
      </c>
      <c r="D2584" s="12">
        <v>81820.934999999998</v>
      </c>
      <c r="E2584" s="12" t="s">
        <v>5332</v>
      </c>
      <c r="F2584" s="12" t="s">
        <v>5328</v>
      </c>
      <c r="G2584" s="12" t="s">
        <v>9868</v>
      </c>
      <c r="H2584" s="12">
        <v>47180</v>
      </c>
    </row>
    <row r="2585" spans="1:8">
      <c r="A2585" s="12" t="s">
        <v>9869</v>
      </c>
      <c r="B2585" s="13">
        <v>0</v>
      </c>
      <c r="C2585" s="16" t="s">
        <v>9707</v>
      </c>
      <c r="D2585" s="12">
        <v>152571</v>
      </c>
      <c r="E2585" s="12" t="s">
        <v>5332</v>
      </c>
      <c r="F2585" s="12" t="s">
        <v>5328</v>
      </c>
      <c r="G2585" s="12" t="s">
        <v>9870</v>
      </c>
      <c r="H2585" s="12">
        <v>109538</v>
      </c>
    </row>
    <row r="2586" spans="1:8">
      <c r="A2586" s="12" t="s">
        <v>9869</v>
      </c>
      <c r="B2586" s="13">
        <v>0</v>
      </c>
      <c r="C2586" s="16" t="s">
        <v>9707</v>
      </c>
      <c r="D2586" s="12">
        <v>107921.52</v>
      </c>
      <c r="E2586" s="12" t="s">
        <v>5332</v>
      </c>
      <c r="F2586" s="12" t="s">
        <v>5328</v>
      </c>
      <c r="G2586" s="12" t="s">
        <v>9871</v>
      </c>
      <c r="H2586" s="12">
        <v>47181</v>
      </c>
    </row>
    <row r="2587" spans="1:8">
      <c r="A2587" s="12" t="s">
        <v>9872</v>
      </c>
      <c r="B2587" s="13">
        <v>0</v>
      </c>
      <c r="C2587" s="16" t="s">
        <v>9707</v>
      </c>
      <c r="D2587" s="12">
        <v>186568</v>
      </c>
      <c r="E2587" s="12" t="s">
        <v>5332</v>
      </c>
      <c r="F2587" s="12" t="s">
        <v>5328</v>
      </c>
      <c r="G2587" s="12" t="s">
        <v>9873</v>
      </c>
      <c r="H2587" s="12">
        <v>109539</v>
      </c>
    </row>
    <row r="2588" spans="1:8">
      <c r="A2588" s="12" t="s">
        <v>9872</v>
      </c>
      <c r="B2588" s="13">
        <v>0</v>
      </c>
      <c r="C2588" s="16" t="s">
        <v>9707</v>
      </c>
      <c r="D2588" s="12">
        <v>131969.25</v>
      </c>
      <c r="E2588" s="12" t="s">
        <v>5332</v>
      </c>
      <c r="F2588" s="12" t="s">
        <v>5328</v>
      </c>
      <c r="G2588" s="12" t="s">
        <v>9874</v>
      </c>
      <c r="H2588" s="12">
        <v>47182</v>
      </c>
    </row>
    <row r="2589" spans="1:8">
      <c r="A2589" s="12" t="s">
        <v>9875</v>
      </c>
      <c r="B2589" s="13">
        <v>0</v>
      </c>
      <c r="C2589" s="16" t="s">
        <v>9707</v>
      </c>
      <c r="D2589" s="12">
        <v>5283</v>
      </c>
      <c r="E2589" s="12" t="s">
        <v>5332</v>
      </c>
      <c r="F2589" s="12" t="s">
        <v>5328</v>
      </c>
      <c r="G2589" s="12" t="s">
        <v>9876</v>
      </c>
      <c r="H2589" s="12">
        <v>109540</v>
      </c>
    </row>
    <row r="2590" spans="1:8">
      <c r="A2590" s="12" t="s">
        <v>9875</v>
      </c>
      <c r="B2590" s="13">
        <v>0</v>
      </c>
      <c r="C2590" s="16" t="s">
        <v>9707</v>
      </c>
      <c r="D2590" s="12">
        <v>4484</v>
      </c>
      <c r="E2590" s="12" t="s">
        <v>5332</v>
      </c>
      <c r="F2590" s="12" t="s">
        <v>5328</v>
      </c>
      <c r="G2590" s="12" t="s">
        <v>9877</v>
      </c>
      <c r="H2590" s="12">
        <v>47183</v>
      </c>
    </row>
    <row r="2591" spans="1:8">
      <c r="A2591" s="12" t="s">
        <v>9878</v>
      </c>
      <c r="B2591" s="13">
        <v>0</v>
      </c>
      <c r="C2591" s="16" t="s">
        <v>9707</v>
      </c>
      <c r="D2591" s="12">
        <v>7757</v>
      </c>
      <c r="E2591" s="12" t="s">
        <v>5332</v>
      </c>
      <c r="F2591" s="12" t="s">
        <v>5328</v>
      </c>
      <c r="G2591" s="12" t="s">
        <v>9879</v>
      </c>
      <c r="H2591" s="12">
        <v>109541</v>
      </c>
    </row>
    <row r="2592" spans="1:8">
      <c r="A2592" s="12" t="s">
        <v>9878</v>
      </c>
      <c r="B2592" s="13">
        <v>0</v>
      </c>
      <c r="C2592" s="16" t="s">
        <v>9707</v>
      </c>
      <c r="D2592" s="12">
        <v>6584.4</v>
      </c>
      <c r="E2592" s="12" t="s">
        <v>5332</v>
      </c>
      <c r="F2592" s="12" t="s">
        <v>5328</v>
      </c>
      <c r="G2592" s="12" t="s">
        <v>9880</v>
      </c>
      <c r="H2592" s="12">
        <v>47184</v>
      </c>
    </row>
    <row r="2593" spans="1:8">
      <c r="A2593" s="12" t="s">
        <v>9881</v>
      </c>
      <c r="B2593" s="13">
        <v>0</v>
      </c>
      <c r="C2593" s="16" t="s">
        <v>9707</v>
      </c>
      <c r="D2593" s="12">
        <v>10232</v>
      </c>
      <c r="E2593" s="12" t="s">
        <v>5332</v>
      </c>
      <c r="F2593" s="12" t="s">
        <v>5328</v>
      </c>
      <c r="G2593" s="12" t="s">
        <v>9882</v>
      </c>
      <c r="H2593" s="12">
        <v>109542</v>
      </c>
    </row>
    <row r="2594" spans="1:8">
      <c r="A2594" s="12" t="s">
        <v>9881</v>
      </c>
      <c r="B2594" s="13">
        <v>0</v>
      </c>
      <c r="C2594" s="16" t="s">
        <v>9707</v>
      </c>
      <c r="D2594" s="12">
        <v>8684.7999999999993</v>
      </c>
      <c r="E2594" s="12" t="s">
        <v>5332</v>
      </c>
      <c r="F2594" s="12" t="s">
        <v>5328</v>
      </c>
      <c r="G2594" s="12" t="s">
        <v>9883</v>
      </c>
      <c r="H2594" s="12">
        <v>47185</v>
      </c>
    </row>
    <row r="2595" spans="1:8">
      <c r="A2595" s="12" t="s">
        <v>9884</v>
      </c>
      <c r="B2595" s="13">
        <v>0</v>
      </c>
      <c r="C2595" s="16" t="s">
        <v>9707</v>
      </c>
      <c r="D2595" s="12">
        <v>12511</v>
      </c>
      <c r="E2595" s="12" t="s">
        <v>5332</v>
      </c>
      <c r="F2595" s="12" t="s">
        <v>5328</v>
      </c>
      <c r="G2595" s="12" t="s">
        <v>9885</v>
      </c>
      <c r="H2595" s="12">
        <v>109543</v>
      </c>
    </row>
    <row r="2596" spans="1:8">
      <c r="A2596" s="12" t="s">
        <v>9884</v>
      </c>
      <c r="B2596" s="13">
        <v>0</v>
      </c>
      <c r="C2596" s="16" t="s">
        <v>9707</v>
      </c>
      <c r="D2596" s="12">
        <v>10620</v>
      </c>
      <c r="E2596" s="12" t="s">
        <v>5332</v>
      </c>
      <c r="F2596" s="12" t="s">
        <v>5328</v>
      </c>
      <c r="G2596" s="12" t="s">
        <v>9886</v>
      </c>
      <c r="H2596" s="12">
        <v>47186</v>
      </c>
    </row>
    <row r="2597" spans="1:8">
      <c r="A2597" s="12" t="s">
        <v>9887</v>
      </c>
      <c r="B2597" s="13">
        <v>0</v>
      </c>
      <c r="C2597" s="16" t="s">
        <v>9707</v>
      </c>
      <c r="D2597" s="12">
        <v>11432</v>
      </c>
      <c r="E2597" s="12" t="s">
        <v>5332</v>
      </c>
      <c r="F2597" s="12" t="s">
        <v>5328</v>
      </c>
      <c r="G2597" s="12" t="s">
        <v>9888</v>
      </c>
      <c r="H2597" s="12">
        <v>109544</v>
      </c>
    </row>
    <row r="2598" spans="1:8">
      <c r="A2598" s="12" t="s">
        <v>9887</v>
      </c>
      <c r="B2598" s="13">
        <v>0</v>
      </c>
      <c r="C2598" s="16" t="s">
        <v>9707</v>
      </c>
      <c r="D2598" s="12">
        <v>9800</v>
      </c>
      <c r="E2598" s="12" t="s">
        <v>5332</v>
      </c>
      <c r="F2598" s="12" t="s">
        <v>5328</v>
      </c>
      <c r="G2598" s="12" t="s">
        <v>9889</v>
      </c>
      <c r="H2598" s="12">
        <v>55714</v>
      </c>
    </row>
    <row r="2599" spans="1:8">
      <c r="A2599" s="12" t="s">
        <v>9890</v>
      </c>
      <c r="B2599" s="13">
        <v>0</v>
      </c>
      <c r="C2599" s="16" t="s">
        <v>9707</v>
      </c>
      <c r="D2599" s="12">
        <v>11842</v>
      </c>
      <c r="E2599" s="12" t="s">
        <v>5332</v>
      </c>
      <c r="F2599" s="12" t="s">
        <v>5328</v>
      </c>
      <c r="G2599" s="12" t="s">
        <v>9891</v>
      </c>
      <c r="H2599" s="12">
        <v>109545</v>
      </c>
    </row>
    <row r="2600" spans="1:8">
      <c r="A2600" s="12" t="s">
        <v>9890</v>
      </c>
      <c r="B2600" s="13">
        <v>0</v>
      </c>
      <c r="C2600" s="16" t="s">
        <v>9707</v>
      </c>
      <c r="D2600" s="12">
        <v>10150</v>
      </c>
      <c r="E2600" s="12" t="s">
        <v>5332</v>
      </c>
      <c r="F2600" s="12" t="s">
        <v>5328</v>
      </c>
      <c r="G2600" s="12" t="s">
        <v>9892</v>
      </c>
      <c r="H2600" s="12">
        <v>55715</v>
      </c>
    </row>
    <row r="2601" spans="1:8">
      <c r="A2601" s="12" t="s">
        <v>9893</v>
      </c>
      <c r="B2601" s="13">
        <v>0</v>
      </c>
      <c r="C2601" s="16" t="s">
        <v>9707</v>
      </c>
      <c r="D2601" s="12">
        <v>20617</v>
      </c>
      <c r="E2601" s="12" t="s">
        <v>5332</v>
      </c>
      <c r="F2601" s="12" t="s">
        <v>5328</v>
      </c>
      <c r="G2601" s="12" t="s">
        <v>9894</v>
      </c>
      <c r="H2601" s="12">
        <v>109546</v>
      </c>
    </row>
    <row r="2602" spans="1:8">
      <c r="A2602" s="12" t="s">
        <v>9893</v>
      </c>
      <c r="B2602" s="13">
        <v>0</v>
      </c>
      <c r="C2602" s="16" t="s">
        <v>9707</v>
      </c>
      <c r="D2602" s="12">
        <v>17500</v>
      </c>
      <c r="E2602" s="12" t="s">
        <v>5332</v>
      </c>
      <c r="F2602" s="12" t="s">
        <v>5328</v>
      </c>
      <c r="G2602" s="12" t="s">
        <v>9895</v>
      </c>
      <c r="H2602" s="12">
        <v>55716</v>
      </c>
    </row>
    <row r="2603" spans="1:8">
      <c r="A2603" s="12" t="s">
        <v>9896</v>
      </c>
      <c r="B2603" s="13">
        <v>0</v>
      </c>
      <c r="C2603" s="16" t="s">
        <v>9707</v>
      </c>
      <c r="D2603" s="12">
        <v>4725</v>
      </c>
      <c r="E2603" s="12" t="s">
        <v>5332</v>
      </c>
      <c r="F2603" s="12" t="s">
        <v>5328</v>
      </c>
      <c r="G2603" s="12" t="s">
        <v>9897</v>
      </c>
      <c r="H2603" s="12">
        <v>109547</v>
      </c>
    </row>
    <row r="2604" spans="1:8">
      <c r="A2604" s="12" t="s">
        <v>9896</v>
      </c>
      <c r="B2604" s="13">
        <v>0</v>
      </c>
      <c r="C2604" s="16" t="s">
        <v>9707</v>
      </c>
      <c r="D2604" s="12">
        <v>3857.13</v>
      </c>
      <c r="E2604" s="12" t="s">
        <v>5332</v>
      </c>
      <c r="F2604" s="12" t="s">
        <v>5328</v>
      </c>
      <c r="G2604" s="12" t="s">
        <v>9898</v>
      </c>
      <c r="H2604" s="12">
        <v>55717</v>
      </c>
    </row>
    <row r="2605" spans="1:8">
      <c r="A2605" s="12" t="s">
        <v>9899</v>
      </c>
      <c r="B2605" s="13">
        <v>0</v>
      </c>
      <c r="C2605" s="16" t="s">
        <v>9707</v>
      </c>
      <c r="D2605" s="12">
        <v>7087</v>
      </c>
      <c r="E2605" s="12" t="s">
        <v>5332</v>
      </c>
      <c r="F2605" s="12" t="s">
        <v>5328</v>
      </c>
      <c r="G2605" s="12" t="s">
        <v>9900</v>
      </c>
      <c r="H2605" s="12">
        <v>109548</v>
      </c>
    </row>
    <row r="2606" spans="1:8">
      <c r="A2606" s="12" t="s">
        <v>9899</v>
      </c>
      <c r="B2606" s="13">
        <v>0</v>
      </c>
      <c r="C2606" s="16" t="s">
        <v>9707</v>
      </c>
      <c r="D2606" s="12">
        <v>5785.6949999999997</v>
      </c>
      <c r="E2606" s="12" t="s">
        <v>5332</v>
      </c>
      <c r="F2606" s="12" t="s">
        <v>5328</v>
      </c>
      <c r="G2606" s="12" t="s">
        <v>9901</v>
      </c>
      <c r="H2606" s="12">
        <v>55718</v>
      </c>
    </row>
    <row r="2607" spans="1:8">
      <c r="A2607" s="12" t="s">
        <v>9902</v>
      </c>
      <c r="B2607" s="13">
        <v>0</v>
      </c>
      <c r="C2607" s="16" t="s">
        <v>9707</v>
      </c>
      <c r="D2607" s="12">
        <v>1997</v>
      </c>
      <c r="E2607" s="12" t="s">
        <v>5332</v>
      </c>
      <c r="F2607" s="12" t="s">
        <v>5328</v>
      </c>
      <c r="G2607" s="12" t="s">
        <v>9903</v>
      </c>
      <c r="H2607" s="12">
        <v>109549</v>
      </c>
    </row>
    <row r="2608" spans="1:8">
      <c r="A2608" s="12" t="s">
        <v>9902</v>
      </c>
      <c r="B2608" s="13">
        <v>0</v>
      </c>
      <c r="C2608" s="16" t="s">
        <v>9707</v>
      </c>
      <c r="D2608" s="12">
        <v>1694</v>
      </c>
      <c r="E2608" s="12" t="s">
        <v>5332</v>
      </c>
      <c r="F2608" s="12" t="s">
        <v>5328</v>
      </c>
      <c r="G2608" s="12" t="s">
        <v>9904</v>
      </c>
      <c r="H2608" s="12">
        <v>55719</v>
      </c>
    </row>
    <row r="2609" spans="1:8">
      <c r="A2609" s="12" t="s">
        <v>9905</v>
      </c>
      <c r="B2609" s="13">
        <v>0</v>
      </c>
      <c r="C2609" s="16" t="s">
        <v>9707</v>
      </c>
      <c r="D2609" s="12">
        <v>18142</v>
      </c>
      <c r="E2609" s="12" t="s">
        <v>5332</v>
      </c>
      <c r="F2609" s="12" t="s">
        <v>5328</v>
      </c>
      <c r="G2609" s="12" t="s">
        <v>9906</v>
      </c>
      <c r="H2609" s="12">
        <v>109550</v>
      </c>
    </row>
    <row r="2610" spans="1:8">
      <c r="A2610" s="12" t="s">
        <v>9905</v>
      </c>
      <c r="B2610" s="13">
        <v>0</v>
      </c>
      <c r="C2610" s="16" t="s">
        <v>9707</v>
      </c>
      <c r="D2610" s="12">
        <v>15400</v>
      </c>
      <c r="E2610" s="12" t="s">
        <v>5332</v>
      </c>
      <c r="F2610" s="12" t="s">
        <v>5328</v>
      </c>
      <c r="G2610" s="12" t="s">
        <v>9907</v>
      </c>
      <c r="H2610" s="12">
        <v>58246</v>
      </c>
    </row>
    <row r="2611" spans="1:8">
      <c r="A2611" s="12" t="s">
        <v>9908</v>
      </c>
      <c r="B2611" s="13">
        <v>0</v>
      </c>
      <c r="C2611" s="16" t="s">
        <v>9707</v>
      </c>
      <c r="D2611" s="12">
        <v>33787</v>
      </c>
      <c r="E2611" s="12" t="s">
        <v>5332</v>
      </c>
      <c r="F2611" s="12" t="s">
        <v>5328</v>
      </c>
      <c r="G2611" s="12" t="s">
        <v>9909</v>
      </c>
      <c r="H2611" s="12">
        <v>109551</v>
      </c>
    </row>
    <row r="2612" spans="1:8">
      <c r="A2612" s="12" t="s">
        <v>9908</v>
      </c>
      <c r="B2612" s="13">
        <v>0</v>
      </c>
      <c r="C2612" s="16" t="s">
        <v>9707</v>
      </c>
      <c r="D2612" s="12">
        <v>28963</v>
      </c>
      <c r="E2612" s="12" t="s">
        <v>5332</v>
      </c>
      <c r="F2612" s="12" t="s">
        <v>5328</v>
      </c>
      <c r="G2612" s="12" t="s">
        <v>9910</v>
      </c>
      <c r="H2612" s="12">
        <v>61917</v>
      </c>
    </row>
    <row r="2613" spans="1:8">
      <c r="A2613" s="12" t="s">
        <v>9911</v>
      </c>
      <c r="B2613" s="13">
        <v>0</v>
      </c>
      <c r="C2613" s="16" t="s">
        <v>9707</v>
      </c>
      <c r="D2613" s="12">
        <v>40728</v>
      </c>
      <c r="E2613" s="12" t="s">
        <v>5332</v>
      </c>
      <c r="F2613" s="12" t="s">
        <v>5328</v>
      </c>
      <c r="G2613" s="12" t="s">
        <v>9912</v>
      </c>
      <c r="H2613" s="12">
        <v>109552</v>
      </c>
    </row>
    <row r="2614" spans="1:8">
      <c r="A2614" s="12" t="s">
        <v>9911</v>
      </c>
      <c r="B2614" s="13">
        <v>0</v>
      </c>
      <c r="C2614" s="16" t="s">
        <v>9707</v>
      </c>
      <c r="D2614" s="12">
        <v>34913</v>
      </c>
      <c r="E2614" s="12" t="s">
        <v>5332</v>
      </c>
      <c r="F2614" s="12" t="s">
        <v>5328</v>
      </c>
      <c r="G2614" s="12" t="s">
        <v>9913</v>
      </c>
      <c r="H2614" s="12">
        <v>61918</v>
      </c>
    </row>
    <row r="2615" spans="1:8">
      <c r="A2615" s="12" t="s">
        <v>9914</v>
      </c>
      <c r="B2615" s="13">
        <v>0</v>
      </c>
      <c r="C2615" s="16" t="s">
        <v>9707</v>
      </c>
      <c r="D2615" s="12">
        <v>45015</v>
      </c>
      <c r="E2615" s="12" t="s">
        <v>5332</v>
      </c>
      <c r="F2615" s="12" t="s">
        <v>5328</v>
      </c>
      <c r="G2615" s="12" t="s">
        <v>9915</v>
      </c>
      <c r="H2615" s="12">
        <v>109553</v>
      </c>
    </row>
    <row r="2616" spans="1:8">
      <c r="A2616" s="12" t="s">
        <v>9914</v>
      </c>
      <c r="B2616" s="13">
        <v>0</v>
      </c>
      <c r="C2616" s="16" t="s">
        <v>9707</v>
      </c>
      <c r="D2616" s="12">
        <v>38588</v>
      </c>
      <c r="E2616" s="12" t="s">
        <v>5332</v>
      </c>
      <c r="F2616" s="12" t="s">
        <v>5328</v>
      </c>
      <c r="G2616" s="12" t="s">
        <v>9916</v>
      </c>
      <c r="H2616" s="12">
        <v>61919</v>
      </c>
    </row>
    <row r="2617" spans="1:8">
      <c r="A2617" s="12" t="s">
        <v>9917</v>
      </c>
      <c r="B2617" s="13">
        <v>0</v>
      </c>
      <c r="C2617" s="16" t="s">
        <v>9707</v>
      </c>
      <c r="D2617" s="12">
        <v>49398</v>
      </c>
      <c r="E2617" s="12" t="s">
        <v>5332</v>
      </c>
      <c r="F2617" s="12" t="s">
        <v>5328</v>
      </c>
      <c r="G2617" s="12" t="s">
        <v>9918</v>
      </c>
      <c r="H2617" s="12">
        <v>109554</v>
      </c>
    </row>
    <row r="2618" spans="1:8">
      <c r="A2618" s="12" t="s">
        <v>9917</v>
      </c>
      <c r="B2618" s="13">
        <v>0</v>
      </c>
      <c r="C2618" s="16" t="s">
        <v>9707</v>
      </c>
      <c r="D2618" s="12">
        <v>41930</v>
      </c>
      <c r="E2618" s="12" t="s">
        <v>5332</v>
      </c>
      <c r="F2618" s="12" t="s">
        <v>5328</v>
      </c>
      <c r="G2618" s="12" t="s">
        <v>9919</v>
      </c>
      <c r="H2618" s="12">
        <v>61920</v>
      </c>
    </row>
    <row r="2619" spans="1:8">
      <c r="A2619" s="12" t="s">
        <v>9920</v>
      </c>
      <c r="B2619" s="13">
        <v>0</v>
      </c>
      <c r="C2619" s="16" t="s">
        <v>5331</v>
      </c>
      <c r="D2619" s="12">
        <v>14500</v>
      </c>
      <c r="E2619" s="12" t="s">
        <v>5332</v>
      </c>
      <c r="F2619" s="12" t="s">
        <v>5328</v>
      </c>
      <c r="G2619" s="12" t="s">
        <v>9921</v>
      </c>
      <c r="H2619" s="12">
        <v>109555</v>
      </c>
    </row>
    <row r="2620" spans="1:8">
      <c r="A2620" s="12" t="s">
        <v>9920</v>
      </c>
      <c r="B2620" s="13">
        <v>0</v>
      </c>
      <c r="C2620" s="16" t="s">
        <v>5331</v>
      </c>
      <c r="D2620" s="12">
        <v>14500</v>
      </c>
      <c r="E2620" s="12" t="s">
        <v>5332</v>
      </c>
      <c r="F2620" s="12" t="s">
        <v>5328</v>
      </c>
      <c r="G2620" s="12" t="s">
        <v>9922</v>
      </c>
      <c r="H2620" s="12">
        <v>66372</v>
      </c>
    </row>
    <row r="2621" spans="1:8">
      <c r="A2621" s="12" t="s">
        <v>9923</v>
      </c>
      <c r="B2621" s="13">
        <v>0</v>
      </c>
      <c r="C2621" s="16" t="s">
        <v>5331</v>
      </c>
      <c r="D2621" s="12">
        <v>10870</v>
      </c>
      <c r="E2621" s="12" t="s">
        <v>5332</v>
      </c>
      <c r="F2621" s="12" t="s">
        <v>5328</v>
      </c>
      <c r="G2621" s="12" t="s">
        <v>9924</v>
      </c>
      <c r="H2621" s="12">
        <v>109556</v>
      </c>
    </row>
    <row r="2622" spans="1:8">
      <c r="A2622" s="12" t="s">
        <v>9923</v>
      </c>
      <c r="B2622" s="13">
        <v>0</v>
      </c>
      <c r="C2622" s="16" t="s">
        <v>5331</v>
      </c>
      <c r="D2622" s="12">
        <v>10870</v>
      </c>
      <c r="E2622" s="12" t="s">
        <v>5332</v>
      </c>
      <c r="F2622" s="12" t="s">
        <v>5328</v>
      </c>
      <c r="G2622" s="12" t="s">
        <v>9925</v>
      </c>
      <c r="H2622" s="12">
        <v>66373</v>
      </c>
    </row>
    <row r="2623" spans="1:8">
      <c r="A2623" s="12" t="s">
        <v>9890</v>
      </c>
      <c r="B2623" s="13">
        <v>0</v>
      </c>
      <c r="C2623" s="16" t="s">
        <v>5331</v>
      </c>
      <c r="D2623" s="12">
        <v>10150</v>
      </c>
      <c r="E2623" s="12" t="s">
        <v>5332</v>
      </c>
      <c r="F2623" s="12" t="s">
        <v>5328</v>
      </c>
      <c r="G2623" s="12" t="s">
        <v>9926</v>
      </c>
      <c r="H2623" s="12">
        <v>109680</v>
      </c>
    </row>
    <row r="2624" spans="1:8">
      <c r="A2624" s="12" t="s">
        <v>9890</v>
      </c>
      <c r="B2624" s="13">
        <v>0</v>
      </c>
      <c r="C2624" s="16" t="s">
        <v>5331</v>
      </c>
      <c r="D2624" s="12">
        <v>10150</v>
      </c>
      <c r="E2624" s="12" t="s">
        <v>5332</v>
      </c>
      <c r="F2624" s="12" t="s">
        <v>5328</v>
      </c>
      <c r="G2624" s="12" t="s">
        <v>9927</v>
      </c>
      <c r="H2624" s="12">
        <v>66374</v>
      </c>
    </row>
    <row r="2625" spans="1:8">
      <c r="A2625" s="12" t="s">
        <v>9765</v>
      </c>
      <c r="B2625" s="13">
        <v>0</v>
      </c>
      <c r="C2625" s="16" t="s">
        <v>5331</v>
      </c>
      <c r="D2625" s="12">
        <v>4258</v>
      </c>
      <c r="E2625" s="12" t="s">
        <v>5332</v>
      </c>
      <c r="F2625" s="12" t="s">
        <v>5328</v>
      </c>
      <c r="G2625" s="12" t="s">
        <v>9928</v>
      </c>
      <c r="H2625" s="12">
        <v>109681</v>
      </c>
    </row>
    <row r="2626" spans="1:8">
      <c r="A2626" s="12" t="s">
        <v>9765</v>
      </c>
      <c r="B2626" s="13">
        <v>0</v>
      </c>
      <c r="C2626" s="16" t="s">
        <v>5331</v>
      </c>
      <c r="D2626" s="12">
        <v>4258</v>
      </c>
      <c r="E2626" s="12" t="s">
        <v>5332</v>
      </c>
      <c r="F2626" s="12" t="s">
        <v>5328</v>
      </c>
      <c r="G2626" s="12" t="s">
        <v>9929</v>
      </c>
      <c r="H2626" s="12">
        <v>66375</v>
      </c>
    </row>
    <row r="2627" spans="1:8">
      <c r="A2627" s="12" t="s">
        <v>9768</v>
      </c>
      <c r="B2627" s="13">
        <v>0</v>
      </c>
      <c r="C2627" s="16" t="s">
        <v>5331</v>
      </c>
      <c r="D2627" s="12">
        <v>2428</v>
      </c>
      <c r="E2627" s="12" t="s">
        <v>5332</v>
      </c>
      <c r="F2627" s="12" t="s">
        <v>5328</v>
      </c>
      <c r="G2627" s="12" t="s">
        <v>9930</v>
      </c>
      <c r="H2627" s="12">
        <v>109682</v>
      </c>
    </row>
    <row r="2628" spans="1:8">
      <c r="A2628" s="12" t="s">
        <v>9768</v>
      </c>
      <c r="B2628" s="13">
        <v>0</v>
      </c>
      <c r="C2628" s="16" t="s">
        <v>5331</v>
      </c>
      <c r="D2628" s="12">
        <v>2428</v>
      </c>
      <c r="E2628" s="12" t="s">
        <v>5332</v>
      </c>
      <c r="F2628" s="12" t="s">
        <v>5328</v>
      </c>
      <c r="G2628" s="12" t="s">
        <v>9931</v>
      </c>
      <c r="H2628" s="12">
        <v>66376</v>
      </c>
    </row>
    <row r="2629" spans="1:8">
      <c r="A2629" s="12" t="s">
        <v>9932</v>
      </c>
      <c r="B2629" s="13">
        <v>0</v>
      </c>
      <c r="C2629" s="16" t="s">
        <v>5331</v>
      </c>
      <c r="D2629" s="12">
        <v>64195</v>
      </c>
      <c r="E2629" s="12" t="s">
        <v>5332</v>
      </c>
      <c r="F2629" s="12" t="s">
        <v>5328</v>
      </c>
      <c r="G2629" s="12" t="s">
        <v>9933</v>
      </c>
      <c r="H2629" s="12">
        <v>109563</v>
      </c>
    </row>
    <row r="2630" spans="1:8">
      <c r="A2630" s="12" t="s">
        <v>9932</v>
      </c>
      <c r="B2630" s="13">
        <v>0</v>
      </c>
      <c r="C2630" s="16" t="s">
        <v>5331</v>
      </c>
      <c r="D2630" s="12">
        <v>55029.7</v>
      </c>
      <c r="E2630" s="12" t="s">
        <v>5332</v>
      </c>
      <c r="F2630" s="12" t="s">
        <v>5328</v>
      </c>
      <c r="G2630" s="12" t="s">
        <v>9934</v>
      </c>
      <c r="H2630" s="12">
        <v>66272</v>
      </c>
    </row>
    <row r="2631" spans="1:8">
      <c r="A2631" s="12" t="s">
        <v>9935</v>
      </c>
      <c r="B2631" s="13">
        <v>0</v>
      </c>
      <c r="C2631" s="16" t="s">
        <v>5331</v>
      </c>
      <c r="D2631" s="12">
        <v>93758</v>
      </c>
      <c r="E2631" s="12" t="s">
        <v>5332</v>
      </c>
      <c r="F2631" s="12" t="s">
        <v>5328</v>
      </c>
      <c r="G2631" s="12" t="s">
        <v>9936</v>
      </c>
      <c r="H2631" s="12">
        <v>109564</v>
      </c>
    </row>
    <row r="2632" spans="1:8">
      <c r="A2632" s="12" t="s">
        <v>9935</v>
      </c>
      <c r="B2632" s="13">
        <v>0</v>
      </c>
      <c r="C2632" s="16" t="s">
        <v>5331</v>
      </c>
      <c r="D2632" s="12">
        <v>80372.324999999997</v>
      </c>
      <c r="E2632" s="12" t="s">
        <v>5332</v>
      </c>
      <c r="F2632" s="12" t="s">
        <v>5328</v>
      </c>
      <c r="G2632" s="12" t="s">
        <v>9937</v>
      </c>
      <c r="H2632" s="12">
        <v>66273</v>
      </c>
    </row>
    <row r="2633" spans="1:8">
      <c r="A2633" s="12" t="s">
        <v>9938</v>
      </c>
      <c r="B2633" s="13">
        <v>0</v>
      </c>
      <c r="C2633" s="16" t="s">
        <v>5331</v>
      </c>
      <c r="D2633" s="12">
        <v>121632</v>
      </c>
      <c r="E2633" s="12" t="s">
        <v>5332</v>
      </c>
      <c r="F2633" s="12" t="s">
        <v>5328</v>
      </c>
      <c r="G2633" s="12" t="s">
        <v>9939</v>
      </c>
      <c r="H2633" s="12">
        <v>109565</v>
      </c>
    </row>
    <row r="2634" spans="1:8">
      <c r="A2634" s="12" t="s">
        <v>9938</v>
      </c>
      <c r="B2634" s="13">
        <v>0</v>
      </c>
      <c r="C2634" s="16" t="s">
        <v>5331</v>
      </c>
      <c r="D2634" s="12">
        <v>104266.8</v>
      </c>
      <c r="E2634" s="12" t="s">
        <v>5332</v>
      </c>
      <c r="F2634" s="12" t="s">
        <v>5328</v>
      </c>
      <c r="G2634" s="12" t="s">
        <v>9940</v>
      </c>
      <c r="H2634" s="12">
        <v>66274</v>
      </c>
    </row>
    <row r="2635" spans="1:8">
      <c r="A2635" s="12" t="s">
        <v>9941</v>
      </c>
      <c r="B2635" s="13">
        <v>0</v>
      </c>
      <c r="C2635" s="16" t="s">
        <v>5331</v>
      </c>
      <c r="D2635" s="12">
        <v>152041</v>
      </c>
      <c r="E2635" s="12" t="s">
        <v>5332</v>
      </c>
      <c r="F2635" s="12" t="s">
        <v>5328</v>
      </c>
      <c r="G2635" s="12" t="s">
        <v>9942</v>
      </c>
      <c r="H2635" s="12">
        <v>109566</v>
      </c>
    </row>
    <row r="2636" spans="1:8">
      <c r="A2636" s="12" t="s">
        <v>9941</v>
      </c>
      <c r="B2636" s="13">
        <v>0</v>
      </c>
      <c r="C2636" s="16" t="s">
        <v>5331</v>
      </c>
      <c r="D2636" s="12">
        <v>130333.5</v>
      </c>
      <c r="E2636" s="12" t="s">
        <v>5332</v>
      </c>
      <c r="F2636" s="12" t="s">
        <v>5328</v>
      </c>
      <c r="G2636" s="12" t="s">
        <v>9943</v>
      </c>
      <c r="H2636" s="12">
        <v>66275</v>
      </c>
    </row>
    <row r="2637" spans="1:8">
      <c r="A2637" s="12" t="s">
        <v>9944</v>
      </c>
      <c r="B2637" s="13">
        <v>0</v>
      </c>
      <c r="C2637" s="16" t="s">
        <v>5331</v>
      </c>
      <c r="D2637" s="12">
        <v>77383</v>
      </c>
      <c r="E2637" s="12" t="s">
        <v>5332</v>
      </c>
      <c r="F2637" s="12" t="s">
        <v>5328</v>
      </c>
      <c r="G2637" s="12" t="s">
        <v>9945</v>
      </c>
      <c r="H2637" s="12">
        <v>109567</v>
      </c>
    </row>
    <row r="2638" spans="1:8">
      <c r="A2638" s="12" t="s">
        <v>9944</v>
      </c>
      <c r="B2638" s="13">
        <v>0</v>
      </c>
      <c r="C2638" s="16" t="s">
        <v>5331</v>
      </c>
      <c r="D2638" s="12">
        <v>66334.7</v>
      </c>
      <c r="E2638" s="12" t="s">
        <v>5332</v>
      </c>
      <c r="F2638" s="12" t="s">
        <v>5328</v>
      </c>
      <c r="G2638" s="12" t="s">
        <v>9946</v>
      </c>
      <c r="H2638" s="12">
        <v>66276</v>
      </c>
    </row>
    <row r="2639" spans="1:8">
      <c r="A2639" s="12" t="s">
        <v>9947</v>
      </c>
      <c r="B2639" s="13">
        <v>0</v>
      </c>
      <c r="C2639" s="16" t="s">
        <v>5331</v>
      </c>
      <c r="D2639" s="12">
        <v>113020</v>
      </c>
      <c r="E2639" s="12" t="s">
        <v>5332</v>
      </c>
      <c r="F2639" s="12" t="s">
        <v>5328</v>
      </c>
      <c r="G2639" s="12" t="s">
        <v>9948</v>
      </c>
      <c r="H2639" s="12">
        <v>109568</v>
      </c>
    </row>
    <row r="2640" spans="1:8">
      <c r="A2640" s="12" t="s">
        <v>9947</v>
      </c>
      <c r="B2640" s="13">
        <v>0</v>
      </c>
      <c r="C2640" s="16" t="s">
        <v>5331</v>
      </c>
      <c r="D2640" s="12">
        <v>96883.574999999997</v>
      </c>
      <c r="E2640" s="12" t="s">
        <v>5332</v>
      </c>
      <c r="F2640" s="12" t="s">
        <v>5328</v>
      </c>
      <c r="G2640" s="12" t="s">
        <v>9949</v>
      </c>
      <c r="H2640" s="12">
        <v>66277</v>
      </c>
    </row>
    <row r="2641" spans="1:8">
      <c r="A2641" s="12" t="s">
        <v>9950</v>
      </c>
      <c r="B2641" s="13">
        <v>0</v>
      </c>
      <c r="C2641" s="16" t="s">
        <v>5331</v>
      </c>
      <c r="D2641" s="12">
        <v>146620</v>
      </c>
      <c r="E2641" s="12" t="s">
        <v>5332</v>
      </c>
      <c r="F2641" s="12" t="s">
        <v>5328</v>
      </c>
      <c r="G2641" s="12" t="s">
        <v>9951</v>
      </c>
      <c r="H2641" s="12">
        <v>109569</v>
      </c>
    </row>
    <row r="2642" spans="1:8">
      <c r="A2642" s="12" t="s">
        <v>9950</v>
      </c>
      <c r="B2642" s="13">
        <v>0</v>
      </c>
      <c r="C2642" s="16" t="s">
        <v>5331</v>
      </c>
      <c r="D2642" s="12">
        <v>125686.8</v>
      </c>
      <c r="E2642" s="12" t="s">
        <v>5332</v>
      </c>
      <c r="F2642" s="12" t="s">
        <v>5328</v>
      </c>
      <c r="G2642" s="12" t="s">
        <v>9952</v>
      </c>
      <c r="H2642" s="12">
        <v>66278</v>
      </c>
    </row>
    <row r="2643" spans="1:8">
      <c r="A2643" s="12" t="s">
        <v>9953</v>
      </c>
      <c r="B2643" s="13">
        <v>0</v>
      </c>
      <c r="C2643" s="16" t="s">
        <v>5331</v>
      </c>
      <c r="D2643" s="12">
        <v>183275</v>
      </c>
      <c r="E2643" s="12" t="s">
        <v>5332</v>
      </c>
      <c r="F2643" s="12" t="s">
        <v>5328</v>
      </c>
      <c r="G2643" s="12" t="s">
        <v>9954</v>
      </c>
      <c r="H2643" s="12">
        <v>109570</v>
      </c>
    </row>
    <row r="2644" spans="1:8">
      <c r="A2644" s="12" t="s">
        <v>9953</v>
      </c>
      <c r="B2644" s="13">
        <v>0</v>
      </c>
      <c r="C2644" s="16" t="s">
        <v>5331</v>
      </c>
      <c r="D2644" s="12">
        <v>157108.5</v>
      </c>
      <c r="E2644" s="12" t="s">
        <v>5332</v>
      </c>
      <c r="F2644" s="12" t="s">
        <v>5328</v>
      </c>
      <c r="G2644" s="12" t="s">
        <v>9955</v>
      </c>
      <c r="H2644" s="12">
        <v>66279</v>
      </c>
    </row>
    <row r="2645" spans="1:8">
      <c r="A2645" s="12" t="s">
        <v>9956</v>
      </c>
      <c r="B2645" s="13">
        <v>0</v>
      </c>
      <c r="C2645" s="16" t="s">
        <v>5331</v>
      </c>
      <c r="D2645" s="12">
        <v>85528</v>
      </c>
      <c r="E2645" s="12" t="s">
        <v>5332</v>
      </c>
      <c r="F2645" s="12" t="s">
        <v>5328</v>
      </c>
      <c r="G2645" s="12" t="s">
        <v>9957</v>
      </c>
      <c r="H2645" s="12">
        <v>109571</v>
      </c>
    </row>
    <row r="2646" spans="1:8">
      <c r="A2646" s="12" t="s">
        <v>9956</v>
      </c>
      <c r="B2646" s="13">
        <v>0</v>
      </c>
      <c r="C2646" s="16" t="s">
        <v>5331</v>
      </c>
      <c r="D2646" s="12">
        <v>73317.2</v>
      </c>
      <c r="E2646" s="12" t="s">
        <v>5332</v>
      </c>
      <c r="F2646" s="12" t="s">
        <v>5328</v>
      </c>
      <c r="G2646" s="12" t="s">
        <v>9958</v>
      </c>
      <c r="H2646" s="12">
        <v>66280</v>
      </c>
    </row>
    <row r="2647" spans="1:8">
      <c r="A2647" s="12" t="s">
        <v>9959</v>
      </c>
      <c r="B2647" s="13">
        <v>0</v>
      </c>
      <c r="C2647" s="16" t="s">
        <v>5331</v>
      </c>
      <c r="D2647" s="12">
        <v>124916</v>
      </c>
      <c r="E2647" s="12" t="s">
        <v>5332</v>
      </c>
      <c r="F2647" s="12" t="s">
        <v>5328</v>
      </c>
      <c r="G2647" s="12" t="s">
        <v>9960</v>
      </c>
      <c r="H2647" s="12">
        <v>109572</v>
      </c>
    </row>
    <row r="2648" spans="1:8">
      <c r="A2648" s="12" t="s">
        <v>9959</v>
      </c>
      <c r="B2648" s="13">
        <v>0</v>
      </c>
      <c r="C2648" s="16" t="s">
        <v>5331</v>
      </c>
      <c r="D2648" s="12">
        <v>107081.7</v>
      </c>
      <c r="E2648" s="12" t="s">
        <v>5332</v>
      </c>
      <c r="F2648" s="12" t="s">
        <v>5328</v>
      </c>
      <c r="G2648" s="12" t="s">
        <v>9961</v>
      </c>
      <c r="H2648" s="12">
        <v>66281</v>
      </c>
    </row>
    <row r="2649" spans="1:8">
      <c r="A2649" s="12" t="s">
        <v>9962</v>
      </c>
      <c r="B2649" s="13">
        <v>0</v>
      </c>
      <c r="C2649" s="16" t="s">
        <v>5331</v>
      </c>
      <c r="D2649" s="12">
        <v>162053</v>
      </c>
      <c r="E2649" s="12" t="s">
        <v>5332</v>
      </c>
      <c r="F2649" s="12" t="s">
        <v>5328</v>
      </c>
      <c r="G2649" s="12" t="s">
        <v>9963</v>
      </c>
      <c r="H2649" s="12">
        <v>109573</v>
      </c>
    </row>
    <row r="2650" spans="1:8">
      <c r="A2650" s="12" t="s">
        <v>9962</v>
      </c>
      <c r="B2650" s="13">
        <v>0</v>
      </c>
      <c r="C2650" s="16" t="s">
        <v>5331</v>
      </c>
      <c r="D2650" s="12">
        <v>138916.79999999999</v>
      </c>
      <c r="E2650" s="12" t="s">
        <v>5332</v>
      </c>
      <c r="F2650" s="12" t="s">
        <v>5328</v>
      </c>
      <c r="G2650" s="12" t="s">
        <v>9964</v>
      </c>
      <c r="H2650" s="12">
        <v>66282</v>
      </c>
    </row>
    <row r="2651" spans="1:8">
      <c r="A2651" s="12" t="s">
        <v>9965</v>
      </c>
      <c r="B2651" s="13">
        <v>0</v>
      </c>
      <c r="C2651" s="16" t="s">
        <v>5331</v>
      </c>
      <c r="D2651" s="12">
        <v>202567</v>
      </c>
      <c r="E2651" s="12" t="s">
        <v>5332</v>
      </c>
      <c r="F2651" s="12" t="s">
        <v>5328</v>
      </c>
      <c r="G2651" s="12" t="s">
        <v>9966</v>
      </c>
      <c r="H2651" s="12">
        <v>109574</v>
      </c>
    </row>
    <row r="2652" spans="1:8">
      <c r="A2652" s="12" t="s">
        <v>9965</v>
      </c>
      <c r="B2652" s="13">
        <v>0</v>
      </c>
      <c r="C2652" s="16" t="s">
        <v>5331</v>
      </c>
      <c r="D2652" s="12">
        <v>173646</v>
      </c>
      <c r="E2652" s="12" t="s">
        <v>5332</v>
      </c>
      <c r="F2652" s="12" t="s">
        <v>5328</v>
      </c>
      <c r="G2652" s="12" t="s">
        <v>9967</v>
      </c>
      <c r="H2652" s="12">
        <v>66283</v>
      </c>
    </row>
    <row r="2653" spans="1:8">
      <c r="A2653" s="12" t="s">
        <v>9968</v>
      </c>
      <c r="B2653" s="13">
        <v>0</v>
      </c>
      <c r="C2653" s="16" t="s">
        <v>5331</v>
      </c>
      <c r="D2653" s="12">
        <v>93856</v>
      </c>
      <c r="E2653" s="12" t="s">
        <v>5332</v>
      </c>
      <c r="F2653" s="12" t="s">
        <v>5328</v>
      </c>
      <c r="G2653" s="12" t="s">
        <v>9969</v>
      </c>
      <c r="H2653" s="12">
        <v>109575</v>
      </c>
    </row>
    <row r="2654" spans="1:8">
      <c r="A2654" s="12" t="s">
        <v>9968</v>
      </c>
      <c r="B2654" s="13">
        <v>0</v>
      </c>
      <c r="C2654" s="16" t="s">
        <v>5331</v>
      </c>
      <c r="D2654" s="12">
        <v>79667</v>
      </c>
      <c r="E2654" s="12" t="s">
        <v>5332</v>
      </c>
      <c r="F2654" s="12" t="s">
        <v>5328</v>
      </c>
      <c r="G2654" s="12" t="s">
        <v>9970</v>
      </c>
      <c r="H2654" s="12">
        <v>66284</v>
      </c>
    </row>
    <row r="2655" spans="1:8">
      <c r="A2655" s="12" t="s">
        <v>9971</v>
      </c>
      <c r="B2655" s="13">
        <v>0</v>
      </c>
      <c r="C2655" s="16" t="s">
        <v>5331</v>
      </c>
      <c r="D2655" s="12">
        <v>137079</v>
      </c>
      <c r="E2655" s="12" t="s">
        <v>5332</v>
      </c>
      <c r="F2655" s="12" t="s">
        <v>5328</v>
      </c>
      <c r="G2655" s="12" t="s">
        <v>9972</v>
      </c>
      <c r="H2655" s="12">
        <v>109576</v>
      </c>
    </row>
    <row r="2656" spans="1:8">
      <c r="A2656" s="12" t="s">
        <v>9971</v>
      </c>
      <c r="B2656" s="13">
        <v>0</v>
      </c>
      <c r="C2656" s="16" t="s">
        <v>5331</v>
      </c>
      <c r="D2656" s="12">
        <v>116355.75</v>
      </c>
      <c r="E2656" s="12" t="s">
        <v>5332</v>
      </c>
      <c r="F2656" s="12" t="s">
        <v>5328</v>
      </c>
      <c r="G2656" s="12" t="s">
        <v>9973</v>
      </c>
      <c r="H2656" s="12">
        <v>66285</v>
      </c>
    </row>
    <row r="2657" spans="1:8">
      <c r="A2657" s="12" t="s">
        <v>9974</v>
      </c>
      <c r="B2657" s="13">
        <v>0</v>
      </c>
      <c r="C2657" s="16" t="s">
        <v>5331</v>
      </c>
      <c r="D2657" s="12">
        <v>177832</v>
      </c>
      <c r="E2657" s="12" t="s">
        <v>5332</v>
      </c>
      <c r="F2657" s="12" t="s">
        <v>5328</v>
      </c>
      <c r="G2657" s="12" t="s">
        <v>9975</v>
      </c>
      <c r="H2657" s="12">
        <v>109577</v>
      </c>
    </row>
    <row r="2658" spans="1:8">
      <c r="A2658" s="12" t="s">
        <v>9974</v>
      </c>
      <c r="B2658" s="13">
        <v>0</v>
      </c>
      <c r="C2658" s="16" t="s">
        <v>5331</v>
      </c>
      <c r="D2658" s="12">
        <v>150948</v>
      </c>
      <c r="E2658" s="12" t="s">
        <v>5332</v>
      </c>
      <c r="F2658" s="12" t="s">
        <v>5328</v>
      </c>
      <c r="G2658" s="12" t="s">
        <v>9976</v>
      </c>
      <c r="H2658" s="12">
        <v>66286</v>
      </c>
    </row>
    <row r="2659" spans="1:8">
      <c r="A2659" s="12" t="s">
        <v>9977</v>
      </c>
      <c r="B2659" s="13">
        <v>0</v>
      </c>
      <c r="C2659" s="16" t="s">
        <v>5331</v>
      </c>
      <c r="D2659" s="12">
        <v>222290</v>
      </c>
      <c r="E2659" s="12" t="s">
        <v>5332</v>
      </c>
      <c r="F2659" s="12" t="s">
        <v>5328</v>
      </c>
      <c r="G2659" s="12" t="s">
        <v>9978</v>
      </c>
      <c r="H2659" s="12">
        <v>109578</v>
      </c>
    </row>
    <row r="2660" spans="1:8">
      <c r="A2660" s="12" t="s">
        <v>9977</v>
      </c>
      <c r="B2660" s="13">
        <v>0</v>
      </c>
      <c r="C2660" s="16" t="s">
        <v>5331</v>
      </c>
      <c r="D2660" s="12">
        <v>188685</v>
      </c>
      <c r="E2660" s="12" t="s">
        <v>5332</v>
      </c>
      <c r="F2660" s="12" t="s">
        <v>5328</v>
      </c>
      <c r="G2660" s="12" t="s">
        <v>9979</v>
      </c>
      <c r="H2660" s="12">
        <v>66287</v>
      </c>
    </row>
    <row r="2661" spans="1:8">
      <c r="A2661" s="12" t="s">
        <v>9980</v>
      </c>
      <c r="B2661" s="13">
        <v>0</v>
      </c>
      <c r="C2661" s="16" t="s">
        <v>5331</v>
      </c>
      <c r="D2661" s="12">
        <v>656</v>
      </c>
      <c r="E2661" s="12" t="s">
        <v>5332</v>
      </c>
      <c r="F2661" s="12" t="s">
        <v>5328</v>
      </c>
      <c r="G2661" s="12" t="s">
        <v>9981</v>
      </c>
      <c r="H2661" s="12">
        <v>105651</v>
      </c>
    </row>
    <row r="2662" spans="1:8">
      <c r="A2662" s="12" t="s">
        <v>9982</v>
      </c>
      <c r="B2662" s="13">
        <v>0</v>
      </c>
      <c r="C2662" s="16" t="s">
        <v>5331</v>
      </c>
      <c r="D2662" s="12">
        <v>525</v>
      </c>
      <c r="E2662" s="12" t="s">
        <v>5332</v>
      </c>
      <c r="F2662" s="12" t="s">
        <v>5328</v>
      </c>
      <c r="G2662" s="12" t="s">
        <v>9983</v>
      </c>
      <c r="H2662" s="12">
        <v>105652</v>
      </c>
    </row>
    <row r="2663" spans="1:8">
      <c r="A2663" s="12" t="s">
        <v>9984</v>
      </c>
      <c r="B2663" s="13">
        <v>0</v>
      </c>
      <c r="C2663" s="16"/>
      <c r="D2663" s="12">
        <v>10500</v>
      </c>
      <c r="E2663" s="12" t="s">
        <v>5332</v>
      </c>
      <c r="F2663" s="12" t="s">
        <v>5328</v>
      </c>
      <c r="G2663" s="12" t="s">
        <v>9985</v>
      </c>
      <c r="H2663" s="12">
        <v>68075</v>
      </c>
    </row>
    <row r="2664" spans="1:8">
      <c r="A2664" s="12" t="s">
        <v>9986</v>
      </c>
      <c r="B2664" s="13">
        <v>0</v>
      </c>
      <c r="C2664" s="16"/>
      <c r="D2664" s="12">
        <v>15750</v>
      </c>
      <c r="E2664" s="12" t="s">
        <v>5332</v>
      </c>
      <c r="F2664" s="12" t="s">
        <v>5328</v>
      </c>
      <c r="G2664" s="12" t="s">
        <v>9987</v>
      </c>
      <c r="H2664" s="12">
        <v>68076</v>
      </c>
    </row>
    <row r="2665" spans="1:8">
      <c r="A2665" s="12" t="s">
        <v>9988</v>
      </c>
      <c r="B2665" s="13">
        <v>0</v>
      </c>
      <c r="C2665" s="16"/>
      <c r="D2665" s="12">
        <v>10500</v>
      </c>
      <c r="E2665" s="12" t="s">
        <v>5332</v>
      </c>
      <c r="F2665" s="12" t="s">
        <v>5328</v>
      </c>
      <c r="G2665" s="12" t="s">
        <v>9989</v>
      </c>
      <c r="H2665" s="12">
        <v>22353</v>
      </c>
    </row>
    <row r="2666" spans="1:8">
      <c r="A2666" s="12" t="s">
        <v>9990</v>
      </c>
      <c r="B2666" s="13">
        <v>0</v>
      </c>
      <c r="C2666" s="16" t="s">
        <v>5331</v>
      </c>
      <c r="D2666" s="12">
        <v>1313</v>
      </c>
      <c r="E2666" s="12" t="s">
        <v>5332</v>
      </c>
      <c r="F2666" s="12" t="s">
        <v>5328</v>
      </c>
      <c r="G2666" s="12" t="s">
        <v>9991</v>
      </c>
      <c r="H2666" s="12">
        <v>65838</v>
      </c>
    </row>
    <row r="2667" spans="1:8">
      <c r="A2667" s="12" t="s">
        <v>9992</v>
      </c>
      <c r="B2667" s="13">
        <v>0</v>
      </c>
      <c r="C2667" s="16" t="s">
        <v>5331</v>
      </c>
      <c r="D2667" s="12">
        <v>2625</v>
      </c>
      <c r="E2667" s="12" t="s">
        <v>5332</v>
      </c>
      <c r="F2667" s="12" t="s">
        <v>5328</v>
      </c>
      <c r="G2667" s="12" t="s">
        <v>9993</v>
      </c>
      <c r="H2667" s="12">
        <v>65839</v>
      </c>
    </row>
    <row r="2668" spans="1:8">
      <c r="A2668" s="12" t="s">
        <v>9994</v>
      </c>
      <c r="B2668" s="13">
        <v>0</v>
      </c>
      <c r="C2668" s="16" t="s">
        <v>5331</v>
      </c>
      <c r="D2668" s="12">
        <v>10500</v>
      </c>
      <c r="E2668" s="12" t="s">
        <v>5332</v>
      </c>
      <c r="F2668" s="12" t="s">
        <v>5328</v>
      </c>
      <c r="G2668" s="12" t="s">
        <v>9995</v>
      </c>
      <c r="H2668" s="12">
        <v>109579</v>
      </c>
    </row>
    <row r="2669" spans="1:8">
      <c r="A2669" s="12" t="s">
        <v>9994</v>
      </c>
      <c r="B2669" s="13">
        <v>0</v>
      </c>
      <c r="C2669" s="16" t="s">
        <v>5331</v>
      </c>
      <c r="D2669" s="12">
        <v>10000</v>
      </c>
      <c r="E2669" s="12" t="s">
        <v>5332</v>
      </c>
      <c r="F2669" s="12" t="s">
        <v>5328</v>
      </c>
      <c r="G2669" s="12" t="s">
        <v>9996</v>
      </c>
      <c r="H2669" s="12">
        <v>65840</v>
      </c>
    </row>
    <row r="2670" spans="1:8">
      <c r="A2670" s="12" t="s">
        <v>9997</v>
      </c>
      <c r="B2670" s="13">
        <v>0</v>
      </c>
      <c r="C2670" s="16" t="s">
        <v>5331</v>
      </c>
      <c r="D2670" s="12">
        <v>1575</v>
      </c>
      <c r="E2670" s="12" t="s">
        <v>5332</v>
      </c>
      <c r="F2670" s="12" t="s">
        <v>5328</v>
      </c>
      <c r="G2670" s="12" t="s">
        <v>9998</v>
      </c>
      <c r="H2670" s="12">
        <v>20180</v>
      </c>
    </row>
    <row r="2671" spans="1:8">
      <c r="A2671" s="12" t="s">
        <v>9999</v>
      </c>
      <c r="B2671" s="13">
        <v>0</v>
      </c>
      <c r="C2671" s="16" t="s">
        <v>5331</v>
      </c>
      <c r="D2671" s="12">
        <v>5516</v>
      </c>
      <c r="E2671" s="12" t="s">
        <v>5332</v>
      </c>
      <c r="F2671" s="12" t="s">
        <v>5328</v>
      </c>
      <c r="G2671" s="12" t="s">
        <v>10000</v>
      </c>
      <c r="H2671" s="12">
        <v>68301</v>
      </c>
    </row>
    <row r="2672" spans="1:8">
      <c r="A2672" s="12" t="s">
        <v>10001</v>
      </c>
      <c r="B2672" s="13">
        <v>0</v>
      </c>
      <c r="C2672" s="16" t="s">
        <v>5331</v>
      </c>
      <c r="D2672" s="12">
        <v>2350</v>
      </c>
      <c r="E2672" s="12" t="s">
        <v>5332</v>
      </c>
      <c r="F2672" s="12" t="s">
        <v>5328</v>
      </c>
      <c r="G2672" s="12" t="s">
        <v>10002</v>
      </c>
      <c r="H2672" s="12">
        <v>68302</v>
      </c>
    </row>
    <row r="2673" spans="1:8">
      <c r="A2673" s="12" t="s">
        <v>10003</v>
      </c>
      <c r="B2673" s="13">
        <v>0</v>
      </c>
      <c r="C2673" s="16" t="s">
        <v>5331</v>
      </c>
      <c r="D2673" s="12">
        <v>7164</v>
      </c>
      <c r="E2673" s="12" t="s">
        <v>5332</v>
      </c>
      <c r="F2673" s="12" t="s">
        <v>5328</v>
      </c>
      <c r="G2673" s="12" t="s">
        <v>10004</v>
      </c>
      <c r="H2673" s="12">
        <v>68303</v>
      </c>
    </row>
    <row r="2674" spans="1:8">
      <c r="A2674" s="12" t="s">
        <v>10005</v>
      </c>
      <c r="B2674" s="13">
        <v>0</v>
      </c>
      <c r="C2674" s="16" t="s">
        <v>5331</v>
      </c>
      <c r="D2674" s="12">
        <v>2271</v>
      </c>
      <c r="E2674" s="12" t="s">
        <v>5332</v>
      </c>
      <c r="F2674" s="12" t="s">
        <v>5328</v>
      </c>
      <c r="G2674" s="12" t="s">
        <v>10006</v>
      </c>
      <c r="H2674" s="12">
        <v>68304</v>
      </c>
    </row>
    <row r="2675" spans="1:8">
      <c r="A2675" s="12" t="s">
        <v>10007</v>
      </c>
      <c r="B2675" s="13">
        <v>0</v>
      </c>
      <c r="C2675" s="16" t="s">
        <v>5331</v>
      </c>
      <c r="D2675" s="12">
        <v>24134</v>
      </c>
      <c r="E2675" s="12" t="s">
        <v>5332</v>
      </c>
      <c r="F2675" s="12" t="s">
        <v>5328</v>
      </c>
      <c r="G2675" s="12" t="s">
        <v>10008</v>
      </c>
      <c r="H2675" s="12">
        <v>109580</v>
      </c>
    </row>
    <row r="2676" spans="1:8">
      <c r="A2676" s="12" t="s">
        <v>10007</v>
      </c>
      <c r="B2676" s="13">
        <v>0</v>
      </c>
      <c r="C2676" s="16" t="s">
        <v>5331</v>
      </c>
      <c r="D2676" s="12">
        <v>20688</v>
      </c>
      <c r="E2676" s="12" t="s">
        <v>5332</v>
      </c>
      <c r="F2676" s="12" t="s">
        <v>5328</v>
      </c>
      <c r="G2676" s="12" t="s">
        <v>10009</v>
      </c>
      <c r="H2676" s="12">
        <v>105451</v>
      </c>
    </row>
    <row r="2677" spans="1:8">
      <c r="A2677" s="12" t="s">
        <v>10010</v>
      </c>
      <c r="B2677" s="13">
        <v>0</v>
      </c>
      <c r="C2677" s="16" t="s">
        <v>5331</v>
      </c>
      <c r="D2677" s="12">
        <v>29090</v>
      </c>
      <c r="E2677" s="12" t="s">
        <v>5332</v>
      </c>
      <c r="F2677" s="12" t="s">
        <v>5328</v>
      </c>
      <c r="G2677" s="12" t="s">
        <v>10011</v>
      </c>
      <c r="H2677" s="12">
        <v>109581</v>
      </c>
    </row>
    <row r="2678" spans="1:8">
      <c r="A2678" s="12" t="s">
        <v>10010</v>
      </c>
      <c r="B2678" s="13">
        <v>0</v>
      </c>
      <c r="C2678" s="16" t="s">
        <v>5331</v>
      </c>
      <c r="D2678" s="12">
        <v>24937</v>
      </c>
      <c r="E2678" s="12" t="s">
        <v>5332</v>
      </c>
      <c r="F2678" s="12" t="s">
        <v>5328</v>
      </c>
      <c r="G2678" s="12" t="s">
        <v>10012</v>
      </c>
      <c r="H2678" s="12">
        <v>105453</v>
      </c>
    </row>
    <row r="2679" spans="1:8">
      <c r="A2679" s="12" t="s">
        <v>10013</v>
      </c>
      <c r="B2679" s="13">
        <v>0</v>
      </c>
      <c r="C2679" s="16" t="s">
        <v>5331</v>
      </c>
      <c r="D2679" s="12">
        <v>32154</v>
      </c>
      <c r="E2679" s="12" t="s">
        <v>5332</v>
      </c>
      <c r="F2679" s="12" t="s">
        <v>5328</v>
      </c>
      <c r="G2679" s="12" t="s">
        <v>10014</v>
      </c>
      <c r="H2679" s="12">
        <v>109582</v>
      </c>
    </row>
    <row r="2680" spans="1:8">
      <c r="A2680" s="12" t="s">
        <v>10013</v>
      </c>
      <c r="B2680" s="13">
        <v>0</v>
      </c>
      <c r="C2680" s="16" t="s">
        <v>5331</v>
      </c>
      <c r="D2680" s="12">
        <v>27563</v>
      </c>
      <c r="E2680" s="12" t="s">
        <v>5332</v>
      </c>
      <c r="F2680" s="12" t="s">
        <v>5328</v>
      </c>
      <c r="G2680" s="12" t="s">
        <v>10015</v>
      </c>
      <c r="H2680" s="12">
        <v>105454</v>
      </c>
    </row>
    <row r="2681" spans="1:8">
      <c r="A2681" s="12" t="s">
        <v>10016</v>
      </c>
      <c r="B2681" s="13">
        <v>0</v>
      </c>
      <c r="C2681" s="16" t="s">
        <v>5331</v>
      </c>
      <c r="D2681" s="12">
        <v>35284</v>
      </c>
      <c r="E2681" s="12" t="s">
        <v>5332</v>
      </c>
      <c r="F2681" s="12" t="s">
        <v>5328</v>
      </c>
      <c r="G2681" s="12" t="s">
        <v>10017</v>
      </c>
      <c r="H2681" s="12">
        <v>109583</v>
      </c>
    </row>
    <row r="2682" spans="1:8">
      <c r="A2682" s="12" t="s">
        <v>10016</v>
      </c>
      <c r="B2682" s="13">
        <v>0</v>
      </c>
      <c r="C2682" s="16" t="s">
        <v>5331</v>
      </c>
      <c r="D2682" s="12">
        <v>29950</v>
      </c>
      <c r="E2682" s="12" t="s">
        <v>5332</v>
      </c>
      <c r="F2682" s="12" t="s">
        <v>5328</v>
      </c>
      <c r="G2682" s="12" t="s">
        <v>10018</v>
      </c>
      <c r="H2682" s="12">
        <v>105455</v>
      </c>
    </row>
    <row r="2683" spans="1:8">
      <c r="A2683" s="12" t="s">
        <v>10019</v>
      </c>
      <c r="B2683" s="13">
        <v>0</v>
      </c>
      <c r="C2683" s="16" t="s">
        <v>5331</v>
      </c>
      <c r="D2683" s="12">
        <v>11666</v>
      </c>
      <c r="E2683" s="12" t="s">
        <v>5332</v>
      </c>
      <c r="F2683" s="12" t="s">
        <v>5328</v>
      </c>
      <c r="G2683" s="12" t="s">
        <v>10020</v>
      </c>
      <c r="H2683" s="12">
        <v>109584</v>
      </c>
    </row>
    <row r="2684" spans="1:8">
      <c r="A2684" s="12" t="s">
        <v>10019</v>
      </c>
      <c r="B2684" s="13">
        <v>0</v>
      </c>
      <c r="C2684" s="16" t="s">
        <v>5331</v>
      </c>
      <c r="D2684" s="12">
        <v>10000</v>
      </c>
      <c r="E2684" s="12" t="s">
        <v>5332</v>
      </c>
      <c r="F2684" s="12" t="s">
        <v>5328</v>
      </c>
      <c r="G2684" s="12" t="s">
        <v>10021</v>
      </c>
      <c r="H2684" s="12">
        <v>105456</v>
      </c>
    </row>
    <row r="2685" spans="1:8">
      <c r="A2685" s="12" t="s">
        <v>10022</v>
      </c>
      <c r="B2685" s="13">
        <v>0</v>
      </c>
      <c r="C2685" s="16" t="s">
        <v>5331</v>
      </c>
      <c r="D2685" s="12">
        <v>10000</v>
      </c>
      <c r="E2685" s="12" t="s">
        <v>5332</v>
      </c>
      <c r="F2685" s="12" t="s">
        <v>5328</v>
      </c>
      <c r="G2685" s="12" t="s">
        <v>10023</v>
      </c>
      <c r="H2685" s="12">
        <v>109585</v>
      </c>
    </row>
    <row r="2686" spans="1:8">
      <c r="A2686" s="12" t="s">
        <v>10022</v>
      </c>
      <c r="B2686" s="13">
        <v>0</v>
      </c>
      <c r="C2686" s="16" t="s">
        <v>5331</v>
      </c>
      <c r="D2686" s="12">
        <v>10000</v>
      </c>
      <c r="E2686" s="12" t="s">
        <v>5332</v>
      </c>
      <c r="F2686" s="12" t="s">
        <v>5328</v>
      </c>
      <c r="G2686" s="12" t="s">
        <v>10024</v>
      </c>
      <c r="H2686" s="12">
        <v>105457</v>
      </c>
    </row>
    <row r="2687" spans="1:8">
      <c r="A2687" s="12" t="s">
        <v>10025</v>
      </c>
      <c r="B2687" s="13">
        <v>0</v>
      </c>
      <c r="C2687" s="16" t="s">
        <v>5331</v>
      </c>
      <c r="D2687" s="12">
        <v>11666</v>
      </c>
      <c r="E2687" s="12" t="s">
        <v>5332</v>
      </c>
      <c r="F2687" s="12" t="s">
        <v>5328</v>
      </c>
      <c r="G2687" s="12" t="s">
        <v>10026</v>
      </c>
      <c r="H2687" s="12">
        <v>109586</v>
      </c>
    </row>
    <row r="2688" spans="1:8">
      <c r="A2688" s="12" t="s">
        <v>10025</v>
      </c>
      <c r="B2688" s="13">
        <v>0</v>
      </c>
      <c r="C2688" s="16" t="s">
        <v>5331</v>
      </c>
      <c r="D2688" s="12">
        <v>10000</v>
      </c>
      <c r="E2688" s="12" t="s">
        <v>5332</v>
      </c>
      <c r="F2688" s="12" t="s">
        <v>5328</v>
      </c>
      <c r="G2688" s="12" t="s">
        <v>10027</v>
      </c>
      <c r="H2688" s="12">
        <v>105458</v>
      </c>
    </row>
    <row r="2689" spans="1:8">
      <c r="A2689" s="12" t="s">
        <v>10028</v>
      </c>
      <c r="B2689" s="13">
        <v>0</v>
      </c>
      <c r="C2689" s="16" t="s">
        <v>5331</v>
      </c>
      <c r="D2689" s="12">
        <v>11666</v>
      </c>
      <c r="E2689" s="12" t="s">
        <v>5332</v>
      </c>
      <c r="F2689" s="12" t="s">
        <v>5328</v>
      </c>
      <c r="G2689" s="12" t="s">
        <v>10029</v>
      </c>
      <c r="H2689" s="12">
        <v>109587</v>
      </c>
    </row>
    <row r="2690" spans="1:8">
      <c r="A2690" s="12" t="s">
        <v>10028</v>
      </c>
      <c r="B2690" s="13">
        <v>0</v>
      </c>
      <c r="C2690" s="16" t="s">
        <v>5331</v>
      </c>
      <c r="D2690" s="12">
        <v>10000</v>
      </c>
      <c r="E2690" s="12" t="s">
        <v>5332</v>
      </c>
      <c r="F2690" s="12" t="s">
        <v>5328</v>
      </c>
      <c r="G2690" s="12" t="s">
        <v>10030</v>
      </c>
      <c r="H2690" s="12">
        <v>105459</v>
      </c>
    </row>
    <row r="2691" spans="1:8">
      <c r="A2691" s="12" t="s">
        <v>10031</v>
      </c>
      <c r="B2691" s="13">
        <v>0</v>
      </c>
      <c r="C2691" s="16" t="s">
        <v>5331</v>
      </c>
      <c r="D2691" s="12">
        <v>11781</v>
      </c>
      <c r="E2691" s="12" t="s">
        <v>5332</v>
      </c>
      <c r="F2691" s="12" t="s">
        <v>5328</v>
      </c>
      <c r="G2691" s="12" t="s">
        <v>10032</v>
      </c>
      <c r="H2691" s="12">
        <v>109588</v>
      </c>
    </row>
    <row r="2692" spans="1:8">
      <c r="A2692" s="12" t="s">
        <v>10031</v>
      </c>
      <c r="B2692" s="13">
        <v>0</v>
      </c>
      <c r="C2692" s="16" t="s">
        <v>5331</v>
      </c>
      <c r="D2692" s="12">
        <v>10000</v>
      </c>
      <c r="E2692" s="12" t="s">
        <v>5332</v>
      </c>
      <c r="F2692" s="12" t="s">
        <v>5328</v>
      </c>
      <c r="G2692" s="12" t="s">
        <v>10033</v>
      </c>
      <c r="H2692" s="12">
        <v>105460</v>
      </c>
    </row>
    <row r="2693" spans="1:8">
      <c r="A2693" s="12" t="s">
        <v>10034</v>
      </c>
      <c r="B2693" s="13">
        <v>0</v>
      </c>
      <c r="C2693" s="16" t="s">
        <v>5331</v>
      </c>
      <c r="D2693" s="12">
        <v>11393</v>
      </c>
      <c r="E2693" s="12" t="s">
        <v>5332</v>
      </c>
      <c r="F2693" s="12" t="s">
        <v>5328</v>
      </c>
      <c r="G2693" s="12" t="s">
        <v>10035</v>
      </c>
      <c r="H2693" s="12">
        <v>105351</v>
      </c>
    </row>
    <row r="2694" spans="1:8">
      <c r="A2694" s="12" t="s">
        <v>10036</v>
      </c>
      <c r="B2694" s="13">
        <v>0</v>
      </c>
      <c r="C2694" s="16" t="s">
        <v>5331</v>
      </c>
      <c r="D2694" s="12">
        <v>8852</v>
      </c>
      <c r="E2694" s="12" t="s">
        <v>5332</v>
      </c>
      <c r="F2694" s="12" t="s">
        <v>5328</v>
      </c>
      <c r="G2694" s="12" t="s">
        <v>10037</v>
      </c>
      <c r="H2694" s="12">
        <v>105352</v>
      </c>
    </row>
    <row r="2695" spans="1:8">
      <c r="A2695" s="12" t="s">
        <v>10038</v>
      </c>
      <c r="B2695" s="13">
        <v>0</v>
      </c>
      <c r="C2695" s="16" t="s">
        <v>5331</v>
      </c>
      <c r="D2695" s="12">
        <v>12107</v>
      </c>
      <c r="E2695" s="12" t="s">
        <v>5332</v>
      </c>
      <c r="F2695" s="12" t="s">
        <v>5328</v>
      </c>
      <c r="G2695" s="12" t="s">
        <v>10039</v>
      </c>
      <c r="H2695" s="12">
        <v>105353</v>
      </c>
    </row>
    <row r="2696" spans="1:8">
      <c r="A2696" s="12" t="s">
        <v>10040</v>
      </c>
      <c r="B2696" s="13">
        <v>0</v>
      </c>
      <c r="C2696" s="16" t="s">
        <v>5331</v>
      </c>
      <c r="D2696" s="12">
        <v>15015</v>
      </c>
      <c r="E2696" s="12" t="s">
        <v>5332</v>
      </c>
      <c r="F2696" s="12" t="s">
        <v>5328</v>
      </c>
      <c r="G2696" s="12" t="s">
        <v>10041</v>
      </c>
      <c r="H2696" s="12">
        <v>105354</v>
      </c>
    </row>
    <row r="2697" spans="1:8">
      <c r="A2697" s="12" t="s">
        <v>10042</v>
      </c>
      <c r="B2697" s="13">
        <v>0</v>
      </c>
      <c r="C2697" s="16" t="s">
        <v>5331</v>
      </c>
      <c r="D2697" s="12">
        <v>61530</v>
      </c>
      <c r="E2697" s="12" t="s">
        <v>5332</v>
      </c>
      <c r="F2697" s="12" t="s">
        <v>5328</v>
      </c>
      <c r="G2697" s="12" t="s">
        <v>10043</v>
      </c>
      <c r="H2697" s="12">
        <v>105355</v>
      </c>
    </row>
    <row r="2698" spans="1:8">
      <c r="A2698" s="12" t="s">
        <v>10044</v>
      </c>
      <c r="B2698" s="13">
        <v>0</v>
      </c>
      <c r="C2698" s="16" t="s">
        <v>5331</v>
      </c>
      <c r="D2698" s="12">
        <v>15889</v>
      </c>
      <c r="E2698" s="12" t="s">
        <v>5332</v>
      </c>
      <c r="F2698" s="12" t="s">
        <v>5328</v>
      </c>
      <c r="G2698" s="12" t="s">
        <v>10045</v>
      </c>
      <c r="H2698" s="12">
        <v>105356</v>
      </c>
    </row>
    <row r="2699" spans="1:8">
      <c r="A2699" s="12" t="s">
        <v>10046</v>
      </c>
      <c r="B2699" s="13">
        <v>0</v>
      </c>
      <c r="C2699" s="16" t="s">
        <v>5331</v>
      </c>
      <c r="D2699" s="12">
        <v>15170</v>
      </c>
      <c r="E2699" s="12" t="s">
        <v>5332</v>
      </c>
      <c r="F2699" s="12" t="s">
        <v>5328</v>
      </c>
      <c r="G2699" s="12" t="s">
        <v>10047</v>
      </c>
      <c r="H2699" s="12">
        <v>105357</v>
      </c>
    </row>
    <row r="2700" spans="1:8">
      <c r="A2700" s="12" t="s">
        <v>10048</v>
      </c>
      <c r="B2700" s="13">
        <v>0</v>
      </c>
      <c r="C2700" s="16" t="s">
        <v>5331</v>
      </c>
      <c r="D2700" s="12">
        <v>13117</v>
      </c>
      <c r="E2700" s="12" t="s">
        <v>5332</v>
      </c>
      <c r="F2700" s="12" t="s">
        <v>5328</v>
      </c>
      <c r="G2700" s="12" t="s">
        <v>10049</v>
      </c>
      <c r="H2700" s="12">
        <v>105358</v>
      </c>
    </row>
    <row r="2701" spans="1:8">
      <c r="A2701" s="12" t="s">
        <v>10050</v>
      </c>
      <c r="B2701" s="13">
        <v>0</v>
      </c>
      <c r="C2701" s="16" t="s">
        <v>5331</v>
      </c>
      <c r="D2701" s="12">
        <v>12650</v>
      </c>
      <c r="E2701" s="12" t="s">
        <v>5332</v>
      </c>
      <c r="F2701" s="12" t="s">
        <v>5328</v>
      </c>
      <c r="G2701" s="12" t="s">
        <v>10051</v>
      </c>
      <c r="H2701" s="12">
        <v>105359</v>
      </c>
    </row>
    <row r="2702" spans="1:8">
      <c r="A2702" s="12" t="s">
        <v>10052</v>
      </c>
      <c r="B2702" s="13">
        <v>0</v>
      </c>
      <c r="C2702" s="16" t="s">
        <v>5331</v>
      </c>
      <c r="D2702" s="12">
        <v>15674</v>
      </c>
      <c r="E2702" s="12" t="s">
        <v>5332</v>
      </c>
      <c r="F2702" s="12" t="s">
        <v>5328</v>
      </c>
      <c r="G2702" s="12" t="s">
        <v>10053</v>
      </c>
      <c r="H2702" s="12">
        <v>105360</v>
      </c>
    </row>
    <row r="2703" spans="1:8">
      <c r="A2703" s="12" t="s">
        <v>10054</v>
      </c>
      <c r="B2703" s="13">
        <v>0</v>
      </c>
      <c r="C2703" s="16" t="s">
        <v>5331</v>
      </c>
      <c r="D2703" s="12">
        <v>25458</v>
      </c>
      <c r="E2703" s="12" t="s">
        <v>5332</v>
      </c>
      <c r="F2703" s="12" t="s">
        <v>5328</v>
      </c>
      <c r="G2703" s="12" t="s">
        <v>10055</v>
      </c>
      <c r="H2703" s="12">
        <v>109589</v>
      </c>
    </row>
    <row r="2704" spans="1:8">
      <c r="A2704" s="12" t="s">
        <v>10054</v>
      </c>
      <c r="B2704" s="13">
        <v>0</v>
      </c>
      <c r="C2704" s="16" t="s">
        <v>5331</v>
      </c>
      <c r="D2704" s="12">
        <v>21800</v>
      </c>
      <c r="E2704" s="12" t="s">
        <v>5332</v>
      </c>
      <c r="F2704" s="12" t="s">
        <v>5328</v>
      </c>
      <c r="G2704" s="12" t="s">
        <v>10056</v>
      </c>
      <c r="H2704" s="12">
        <v>105551</v>
      </c>
    </row>
    <row r="2705" spans="1:8">
      <c r="A2705" s="12" t="s">
        <v>10057</v>
      </c>
      <c r="B2705" s="13">
        <v>0</v>
      </c>
      <c r="C2705" s="16" t="s">
        <v>5331</v>
      </c>
      <c r="D2705" s="12">
        <v>19094</v>
      </c>
      <c r="E2705" s="12" t="s">
        <v>5332</v>
      </c>
      <c r="F2705" s="12" t="s">
        <v>5328</v>
      </c>
      <c r="G2705" s="12" t="s">
        <v>10058</v>
      </c>
      <c r="H2705" s="12">
        <v>109590</v>
      </c>
    </row>
    <row r="2706" spans="1:8">
      <c r="A2706" s="12" t="s">
        <v>10057</v>
      </c>
      <c r="B2706" s="13">
        <v>0</v>
      </c>
      <c r="C2706" s="16" t="s">
        <v>5331</v>
      </c>
      <c r="D2706" s="12">
        <v>16350</v>
      </c>
      <c r="E2706" s="12" t="s">
        <v>5332</v>
      </c>
      <c r="F2706" s="12" t="s">
        <v>5328</v>
      </c>
      <c r="G2706" s="12" t="s">
        <v>10059</v>
      </c>
      <c r="H2706" s="12">
        <v>105552</v>
      </c>
    </row>
    <row r="2707" spans="1:8">
      <c r="A2707" s="12" t="s">
        <v>10060</v>
      </c>
      <c r="B2707" s="13">
        <v>0</v>
      </c>
      <c r="C2707" s="16" t="s">
        <v>5331</v>
      </c>
      <c r="D2707" s="12">
        <v>32084</v>
      </c>
      <c r="E2707" s="12" t="s">
        <v>5332</v>
      </c>
      <c r="F2707" s="12" t="s">
        <v>5328</v>
      </c>
      <c r="G2707" s="12" t="s">
        <v>10061</v>
      </c>
      <c r="H2707" s="12">
        <v>109591</v>
      </c>
    </row>
    <row r="2708" spans="1:8">
      <c r="A2708" s="12" t="s">
        <v>10060</v>
      </c>
      <c r="B2708" s="13">
        <v>0</v>
      </c>
      <c r="C2708" s="16" t="s">
        <v>5331</v>
      </c>
      <c r="D2708" s="12">
        <v>27480</v>
      </c>
      <c r="E2708" s="12" t="s">
        <v>5332</v>
      </c>
      <c r="F2708" s="12" t="s">
        <v>5328</v>
      </c>
      <c r="G2708" s="12" t="s">
        <v>10062</v>
      </c>
      <c r="H2708" s="12">
        <v>105553</v>
      </c>
    </row>
    <row r="2709" spans="1:8">
      <c r="A2709" s="12" t="s">
        <v>10063</v>
      </c>
      <c r="B2709" s="13">
        <v>0</v>
      </c>
      <c r="C2709" s="16" t="s">
        <v>5331</v>
      </c>
      <c r="D2709" s="12">
        <v>24063</v>
      </c>
      <c r="E2709" s="12" t="s">
        <v>5332</v>
      </c>
      <c r="F2709" s="12" t="s">
        <v>5328</v>
      </c>
      <c r="G2709" s="12" t="s">
        <v>10064</v>
      </c>
      <c r="H2709" s="12">
        <v>109592</v>
      </c>
    </row>
    <row r="2710" spans="1:8">
      <c r="A2710" s="12" t="s">
        <v>10063</v>
      </c>
      <c r="B2710" s="13">
        <v>0</v>
      </c>
      <c r="C2710" s="16" t="s">
        <v>5331</v>
      </c>
      <c r="D2710" s="12">
        <v>20610</v>
      </c>
      <c r="E2710" s="12" t="s">
        <v>5332</v>
      </c>
      <c r="F2710" s="12" t="s">
        <v>5328</v>
      </c>
      <c r="G2710" s="12" t="s">
        <v>10065</v>
      </c>
      <c r="H2710" s="12">
        <v>105554</v>
      </c>
    </row>
    <row r="2711" spans="1:8">
      <c r="A2711" s="12" t="s">
        <v>10066</v>
      </c>
      <c r="B2711" s="13">
        <v>0</v>
      </c>
      <c r="C2711" s="16" t="s">
        <v>5331</v>
      </c>
      <c r="D2711" s="12">
        <v>36615</v>
      </c>
      <c r="E2711" s="12" t="s">
        <v>5332</v>
      </c>
      <c r="F2711" s="12" t="s">
        <v>5328</v>
      </c>
      <c r="G2711" s="12" t="s">
        <v>10067</v>
      </c>
      <c r="H2711" s="12">
        <v>109593</v>
      </c>
    </row>
    <row r="2712" spans="1:8">
      <c r="A2712" s="12" t="s">
        <v>10066</v>
      </c>
      <c r="B2712" s="13">
        <v>0</v>
      </c>
      <c r="C2712" s="16" t="s">
        <v>5331</v>
      </c>
      <c r="D2712" s="12">
        <v>31080</v>
      </c>
      <c r="E2712" s="12" t="s">
        <v>5332</v>
      </c>
      <c r="F2712" s="12" t="s">
        <v>5328</v>
      </c>
      <c r="G2712" s="12" t="s">
        <v>10068</v>
      </c>
      <c r="H2712" s="12">
        <v>105555</v>
      </c>
    </row>
    <row r="2713" spans="1:8">
      <c r="A2713" s="12" t="s">
        <v>10069</v>
      </c>
      <c r="B2713" s="13">
        <v>0</v>
      </c>
      <c r="C2713" s="16" t="s">
        <v>5331</v>
      </c>
      <c r="D2713" s="12">
        <v>27462</v>
      </c>
      <c r="E2713" s="12" t="s">
        <v>5332</v>
      </c>
      <c r="F2713" s="12" t="s">
        <v>5328</v>
      </c>
      <c r="G2713" s="12" t="s">
        <v>10070</v>
      </c>
      <c r="H2713" s="12">
        <v>109594</v>
      </c>
    </row>
    <row r="2714" spans="1:8">
      <c r="A2714" s="12" t="s">
        <v>10069</v>
      </c>
      <c r="B2714" s="13">
        <v>0</v>
      </c>
      <c r="C2714" s="16" t="s">
        <v>5331</v>
      </c>
      <c r="D2714" s="12">
        <v>23310</v>
      </c>
      <c r="E2714" s="12" t="s">
        <v>5332</v>
      </c>
      <c r="F2714" s="12" t="s">
        <v>5328</v>
      </c>
      <c r="G2714" s="12" t="s">
        <v>10071</v>
      </c>
      <c r="H2714" s="12">
        <v>105556</v>
      </c>
    </row>
    <row r="2715" spans="1:8">
      <c r="A2715" s="12" t="s">
        <v>10072</v>
      </c>
      <c r="B2715" s="13">
        <v>0</v>
      </c>
      <c r="C2715" s="16" t="s">
        <v>5331</v>
      </c>
      <c r="D2715" s="12">
        <v>44240</v>
      </c>
      <c r="E2715" s="12" t="s">
        <v>5332</v>
      </c>
      <c r="F2715" s="12" t="s">
        <v>5328</v>
      </c>
      <c r="G2715" s="12" t="s">
        <v>10073</v>
      </c>
      <c r="H2715" s="12">
        <v>109595</v>
      </c>
    </row>
    <row r="2716" spans="1:8">
      <c r="A2716" s="12" t="s">
        <v>10072</v>
      </c>
      <c r="B2716" s="13">
        <v>0</v>
      </c>
      <c r="C2716" s="16" t="s">
        <v>5331</v>
      </c>
      <c r="D2716" s="12">
        <v>35876</v>
      </c>
      <c r="E2716" s="12" t="s">
        <v>5332</v>
      </c>
      <c r="F2716" s="12" t="s">
        <v>5328</v>
      </c>
      <c r="G2716" s="12" t="s">
        <v>10074</v>
      </c>
      <c r="H2716" s="12">
        <v>105557</v>
      </c>
    </row>
    <row r="2717" spans="1:8">
      <c r="A2717" s="12" t="s">
        <v>10075</v>
      </c>
      <c r="B2717" s="13">
        <v>0</v>
      </c>
      <c r="C2717" s="16" t="s">
        <v>5331</v>
      </c>
      <c r="D2717" s="12">
        <v>33180</v>
      </c>
      <c r="E2717" s="12" t="s">
        <v>5332</v>
      </c>
      <c r="F2717" s="12" t="s">
        <v>5328</v>
      </c>
      <c r="G2717" s="12" t="s">
        <v>10076</v>
      </c>
      <c r="H2717" s="12">
        <v>109596</v>
      </c>
    </row>
    <row r="2718" spans="1:8">
      <c r="A2718" s="12" t="s">
        <v>10075</v>
      </c>
      <c r="B2718" s="13">
        <v>0</v>
      </c>
      <c r="C2718" s="16" t="s">
        <v>5331</v>
      </c>
      <c r="D2718" s="12">
        <v>26907</v>
      </c>
      <c r="E2718" s="12" t="s">
        <v>5332</v>
      </c>
      <c r="F2718" s="12" t="s">
        <v>5328</v>
      </c>
      <c r="G2718" s="12" t="s">
        <v>10077</v>
      </c>
      <c r="H2718" s="12">
        <v>105558</v>
      </c>
    </row>
    <row r="2719" spans="1:8">
      <c r="A2719" s="12" t="s">
        <v>10078</v>
      </c>
      <c r="B2719" s="13">
        <v>0</v>
      </c>
      <c r="C2719" s="16" t="s">
        <v>5331</v>
      </c>
      <c r="D2719" s="12">
        <v>10779</v>
      </c>
      <c r="E2719" s="12" t="s">
        <v>5332</v>
      </c>
      <c r="F2719" s="12" t="s">
        <v>5328</v>
      </c>
      <c r="G2719" s="12" t="s">
        <v>10079</v>
      </c>
      <c r="H2719" s="12">
        <v>109597</v>
      </c>
    </row>
    <row r="2720" spans="1:8">
      <c r="A2720" s="12" t="s">
        <v>10078</v>
      </c>
      <c r="B2720" s="13">
        <v>0</v>
      </c>
      <c r="C2720" s="16" t="s">
        <v>5331</v>
      </c>
      <c r="D2720" s="12">
        <v>9217.1200000000008</v>
      </c>
      <c r="E2720" s="12" t="s">
        <v>5332</v>
      </c>
      <c r="F2720" s="12" t="s">
        <v>5328</v>
      </c>
      <c r="G2720" s="12" t="s">
        <v>10080</v>
      </c>
      <c r="H2720" s="12">
        <v>105559</v>
      </c>
    </row>
    <row r="2721" spans="1:8">
      <c r="A2721" s="12" t="s">
        <v>10081</v>
      </c>
      <c r="B2721" s="13">
        <v>0</v>
      </c>
      <c r="C2721" s="16" t="s">
        <v>5331</v>
      </c>
      <c r="D2721" s="12">
        <v>8085</v>
      </c>
      <c r="E2721" s="12" t="s">
        <v>5332</v>
      </c>
      <c r="F2721" s="12" t="s">
        <v>5328</v>
      </c>
      <c r="G2721" s="12" t="s">
        <v>10082</v>
      </c>
      <c r="H2721" s="12">
        <v>109598</v>
      </c>
    </row>
    <row r="2722" spans="1:8">
      <c r="A2722" s="12" t="s">
        <v>10081</v>
      </c>
      <c r="B2722" s="13">
        <v>0</v>
      </c>
      <c r="C2722" s="16" t="s">
        <v>5331</v>
      </c>
      <c r="D2722" s="12">
        <v>6912.84</v>
      </c>
      <c r="E2722" s="12" t="s">
        <v>5332</v>
      </c>
      <c r="F2722" s="12" t="s">
        <v>5328</v>
      </c>
      <c r="G2722" s="12" t="s">
        <v>10083</v>
      </c>
      <c r="H2722" s="12">
        <v>105560</v>
      </c>
    </row>
    <row r="2723" spans="1:8">
      <c r="A2723" s="12" t="s">
        <v>10084</v>
      </c>
      <c r="B2723" s="13">
        <v>0</v>
      </c>
      <c r="C2723" s="16" t="s">
        <v>5331</v>
      </c>
      <c r="D2723" s="12">
        <v>14779</v>
      </c>
      <c r="E2723" s="12" t="s">
        <v>5332</v>
      </c>
      <c r="F2723" s="12" t="s">
        <v>5328</v>
      </c>
      <c r="G2723" s="12" t="s">
        <v>10085</v>
      </c>
      <c r="H2723" s="12">
        <v>109599</v>
      </c>
    </row>
    <row r="2724" spans="1:8">
      <c r="A2724" s="12" t="s">
        <v>10084</v>
      </c>
      <c r="B2724" s="13">
        <v>0</v>
      </c>
      <c r="C2724" s="16" t="s">
        <v>5331</v>
      </c>
      <c r="D2724" s="12">
        <v>12645.68</v>
      </c>
      <c r="E2724" s="12" t="s">
        <v>5332</v>
      </c>
      <c r="F2724" s="12" t="s">
        <v>5328</v>
      </c>
      <c r="G2724" s="12" t="s">
        <v>10086</v>
      </c>
      <c r="H2724" s="12">
        <v>105561</v>
      </c>
    </row>
    <row r="2725" spans="1:8">
      <c r="A2725" s="12" t="s">
        <v>10087</v>
      </c>
      <c r="B2725" s="13">
        <v>0</v>
      </c>
      <c r="C2725" s="16" t="s">
        <v>5331</v>
      </c>
      <c r="D2725" s="12">
        <v>11084</v>
      </c>
      <c r="E2725" s="12" t="s">
        <v>5332</v>
      </c>
      <c r="F2725" s="12" t="s">
        <v>5328</v>
      </c>
      <c r="G2725" s="12" t="s">
        <v>10088</v>
      </c>
      <c r="H2725" s="12">
        <v>109600</v>
      </c>
    </row>
    <row r="2726" spans="1:8">
      <c r="A2726" s="12" t="s">
        <v>10087</v>
      </c>
      <c r="B2726" s="13">
        <v>0</v>
      </c>
      <c r="C2726" s="16" t="s">
        <v>5331</v>
      </c>
      <c r="D2726" s="12">
        <v>9484.26</v>
      </c>
      <c r="E2726" s="12" t="s">
        <v>5332</v>
      </c>
      <c r="F2726" s="12" t="s">
        <v>5328</v>
      </c>
      <c r="G2726" s="12" t="s">
        <v>10089</v>
      </c>
      <c r="H2726" s="12">
        <v>105562</v>
      </c>
    </row>
    <row r="2727" spans="1:8">
      <c r="A2727" s="12" t="s">
        <v>10090</v>
      </c>
      <c r="B2727" s="13">
        <v>0</v>
      </c>
      <c r="C2727" s="16" t="s">
        <v>5331</v>
      </c>
      <c r="D2727" s="12">
        <v>19096</v>
      </c>
      <c r="E2727" s="12" t="s">
        <v>5332</v>
      </c>
      <c r="F2727" s="12" t="s">
        <v>5328</v>
      </c>
      <c r="G2727" s="12" t="s">
        <v>10091</v>
      </c>
      <c r="H2727" s="12">
        <v>109601</v>
      </c>
    </row>
    <row r="2728" spans="1:8">
      <c r="A2728" s="12" t="s">
        <v>10090</v>
      </c>
      <c r="B2728" s="13">
        <v>0</v>
      </c>
      <c r="C2728" s="16" t="s">
        <v>5331</v>
      </c>
      <c r="D2728" s="12">
        <v>16034</v>
      </c>
      <c r="E2728" s="12" t="s">
        <v>5332</v>
      </c>
      <c r="F2728" s="12" t="s">
        <v>5328</v>
      </c>
      <c r="G2728" s="12" t="s">
        <v>10092</v>
      </c>
      <c r="H2728" s="12">
        <v>105751</v>
      </c>
    </row>
    <row r="2729" spans="1:8">
      <c r="A2729" s="12" t="s">
        <v>10093</v>
      </c>
      <c r="B2729" s="13">
        <v>0</v>
      </c>
      <c r="C2729" s="16" t="s">
        <v>5331</v>
      </c>
      <c r="D2729" s="12">
        <v>16315</v>
      </c>
      <c r="E2729" s="12" t="s">
        <v>5332</v>
      </c>
      <c r="F2729" s="12" t="s">
        <v>5328</v>
      </c>
      <c r="G2729" s="12" t="s">
        <v>10094</v>
      </c>
      <c r="H2729" s="12">
        <v>109602</v>
      </c>
    </row>
    <row r="2730" spans="1:8">
      <c r="A2730" s="12" t="s">
        <v>10093</v>
      </c>
      <c r="B2730" s="13">
        <v>0</v>
      </c>
      <c r="C2730" s="16" t="s">
        <v>5331</v>
      </c>
      <c r="D2730" s="12">
        <v>13714</v>
      </c>
      <c r="E2730" s="12" t="s">
        <v>5332</v>
      </c>
      <c r="F2730" s="12" t="s">
        <v>5328</v>
      </c>
      <c r="G2730" s="12" t="s">
        <v>10095</v>
      </c>
      <c r="H2730" s="12">
        <v>105752</v>
      </c>
    </row>
    <row r="2731" spans="1:8">
      <c r="A2731" s="12" t="s">
        <v>10096</v>
      </c>
      <c r="B2731" s="13">
        <v>0</v>
      </c>
      <c r="C2731" s="16" t="s">
        <v>5331</v>
      </c>
      <c r="D2731" s="12">
        <v>14322</v>
      </c>
      <c r="E2731" s="12" t="s">
        <v>5332</v>
      </c>
      <c r="F2731" s="12" t="s">
        <v>5328</v>
      </c>
      <c r="G2731" s="12" t="s">
        <v>10097</v>
      </c>
      <c r="H2731" s="12">
        <v>109603</v>
      </c>
    </row>
    <row r="2732" spans="1:8">
      <c r="A2732" s="12" t="s">
        <v>10096</v>
      </c>
      <c r="B2732" s="13">
        <v>0</v>
      </c>
      <c r="C2732" s="16" t="s">
        <v>5331</v>
      </c>
      <c r="D2732" s="12">
        <v>12026</v>
      </c>
      <c r="E2732" s="12" t="s">
        <v>5332</v>
      </c>
      <c r="F2732" s="12" t="s">
        <v>5328</v>
      </c>
      <c r="G2732" s="12" t="s">
        <v>10098</v>
      </c>
      <c r="H2732" s="12">
        <v>105753</v>
      </c>
    </row>
    <row r="2733" spans="1:8">
      <c r="A2733" s="12" t="s">
        <v>10099</v>
      </c>
      <c r="B2733" s="13">
        <v>0</v>
      </c>
      <c r="C2733" s="16" t="s">
        <v>5331</v>
      </c>
      <c r="D2733" s="12">
        <v>12118</v>
      </c>
      <c r="E2733" s="12" t="s">
        <v>5332</v>
      </c>
      <c r="F2733" s="12" t="s">
        <v>5328</v>
      </c>
      <c r="G2733" s="12" t="s">
        <v>10100</v>
      </c>
      <c r="H2733" s="12">
        <v>109604</v>
      </c>
    </row>
    <row r="2734" spans="1:8">
      <c r="A2734" s="12" t="s">
        <v>10099</v>
      </c>
      <c r="B2734" s="13">
        <v>0</v>
      </c>
      <c r="C2734" s="16" t="s">
        <v>5331</v>
      </c>
      <c r="D2734" s="12">
        <v>10286</v>
      </c>
      <c r="E2734" s="12" t="s">
        <v>5332</v>
      </c>
      <c r="F2734" s="12" t="s">
        <v>5328</v>
      </c>
      <c r="G2734" s="12" t="s">
        <v>10101</v>
      </c>
      <c r="H2734" s="12">
        <v>105754</v>
      </c>
    </row>
    <row r="2735" spans="1:8">
      <c r="A2735" s="12" t="s">
        <v>10102</v>
      </c>
      <c r="B2735" s="13">
        <v>0</v>
      </c>
      <c r="C2735" s="16" t="s">
        <v>5331</v>
      </c>
      <c r="D2735" s="12">
        <v>9543</v>
      </c>
      <c r="E2735" s="12" t="s">
        <v>5332</v>
      </c>
      <c r="F2735" s="12" t="s">
        <v>5328</v>
      </c>
      <c r="G2735" s="12" t="s">
        <v>10103</v>
      </c>
      <c r="H2735" s="12">
        <v>109605</v>
      </c>
    </row>
    <row r="2736" spans="1:8">
      <c r="A2736" s="12" t="s">
        <v>10102</v>
      </c>
      <c r="B2736" s="13">
        <v>0</v>
      </c>
      <c r="C2736" s="16" t="s">
        <v>5331</v>
      </c>
      <c r="D2736" s="12">
        <v>7714</v>
      </c>
      <c r="E2736" s="12" t="s">
        <v>5332</v>
      </c>
      <c r="F2736" s="12" t="s">
        <v>5328</v>
      </c>
      <c r="G2736" s="12" t="s">
        <v>10104</v>
      </c>
      <c r="H2736" s="12">
        <v>105755</v>
      </c>
    </row>
    <row r="2737" spans="1:8">
      <c r="A2737" s="12" t="s">
        <v>10105</v>
      </c>
      <c r="B2737" s="13">
        <v>0</v>
      </c>
      <c r="C2737" s="16" t="s">
        <v>5331</v>
      </c>
      <c r="D2737" s="12">
        <v>5198</v>
      </c>
      <c r="E2737" s="12" t="s">
        <v>5332</v>
      </c>
      <c r="F2737" s="12" t="s">
        <v>5328</v>
      </c>
      <c r="G2737" s="12" t="s">
        <v>10106</v>
      </c>
      <c r="H2737" s="12">
        <v>109606</v>
      </c>
    </row>
    <row r="2738" spans="1:8">
      <c r="A2738" s="12" t="s">
        <v>10105</v>
      </c>
      <c r="B2738" s="13">
        <v>0</v>
      </c>
      <c r="C2738" s="16" t="s">
        <v>5331</v>
      </c>
      <c r="D2738" s="12">
        <v>4500</v>
      </c>
      <c r="E2738" s="12" t="s">
        <v>5332</v>
      </c>
      <c r="F2738" s="12" t="s">
        <v>5328</v>
      </c>
      <c r="G2738" s="12" t="s">
        <v>10107</v>
      </c>
      <c r="H2738" s="12">
        <v>105756</v>
      </c>
    </row>
    <row r="2739" spans="1:8">
      <c r="A2739" s="12" t="s">
        <v>10108</v>
      </c>
      <c r="B2739" s="13">
        <v>0</v>
      </c>
      <c r="C2739" s="16" t="s">
        <v>5331</v>
      </c>
      <c r="D2739" s="12">
        <v>19535</v>
      </c>
      <c r="E2739" s="12" t="s">
        <v>5332</v>
      </c>
      <c r="F2739" s="12" t="s">
        <v>5328</v>
      </c>
      <c r="G2739" s="12" t="s">
        <v>10109</v>
      </c>
      <c r="H2739" s="12">
        <v>109607</v>
      </c>
    </row>
    <row r="2740" spans="1:8">
      <c r="A2740" s="12" t="s">
        <v>10108</v>
      </c>
      <c r="B2740" s="13">
        <v>0</v>
      </c>
      <c r="C2740" s="16" t="s">
        <v>5331</v>
      </c>
      <c r="D2740" s="12">
        <v>18240</v>
      </c>
      <c r="E2740" s="12" t="s">
        <v>5332</v>
      </c>
      <c r="F2740" s="12" t="s">
        <v>5328</v>
      </c>
      <c r="G2740" s="12" t="s">
        <v>10110</v>
      </c>
      <c r="H2740" s="12">
        <v>105757</v>
      </c>
    </row>
    <row r="2741" spans="1:8">
      <c r="A2741" s="12" t="s">
        <v>10111</v>
      </c>
      <c r="B2741" s="13">
        <v>0</v>
      </c>
      <c r="C2741" s="16" t="s">
        <v>5331</v>
      </c>
      <c r="D2741" s="12">
        <v>17050</v>
      </c>
      <c r="E2741" s="12" t="s">
        <v>5332</v>
      </c>
      <c r="F2741" s="12" t="s">
        <v>5328</v>
      </c>
      <c r="G2741" s="12" t="s">
        <v>10112</v>
      </c>
      <c r="H2741" s="12">
        <v>109608</v>
      </c>
    </row>
    <row r="2742" spans="1:8">
      <c r="A2742" s="12" t="s">
        <v>10111</v>
      </c>
      <c r="B2742" s="13">
        <v>0</v>
      </c>
      <c r="C2742" s="16" t="s">
        <v>5331</v>
      </c>
      <c r="D2742" s="12">
        <v>15920</v>
      </c>
      <c r="E2742" s="12" t="s">
        <v>5332</v>
      </c>
      <c r="F2742" s="12" t="s">
        <v>5328</v>
      </c>
      <c r="G2742" s="12" t="s">
        <v>10113</v>
      </c>
      <c r="H2742" s="12">
        <v>105758</v>
      </c>
    </row>
    <row r="2743" spans="1:8">
      <c r="A2743" s="12" t="s">
        <v>10114</v>
      </c>
      <c r="B2743" s="13">
        <v>0</v>
      </c>
      <c r="C2743" s="16" t="s">
        <v>5331</v>
      </c>
      <c r="D2743" s="12">
        <v>14651</v>
      </c>
      <c r="E2743" s="12" t="s">
        <v>5332</v>
      </c>
      <c r="F2743" s="12" t="s">
        <v>5328</v>
      </c>
      <c r="G2743" s="12" t="s">
        <v>10115</v>
      </c>
      <c r="H2743" s="12">
        <v>109609</v>
      </c>
    </row>
    <row r="2744" spans="1:8">
      <c r="A2744" s="12" t="s">
        <v>10114</v>
      </c>
      <c r="B2744" s="13">
        <v>0</v>
      </c>
      <c r="C2744" s="16" t="s">
        <v>5331</v>
      </c>
      <c r="D2744" s="12">
        <v>13680</v>
      </c>
      <c r="E2744" s="12" t="s">
        <v>5332</v>
      </c>
      <c r="F2744" s="12" t="s">
        <v>5328</v>
      </c>
      <c r="G2744" s="12" t="s">
        <v>10116</v>
      </c>
      <c r="H2744" s="12">
        <v>105759</v>
      </c>
    </row>
    <row r="2745" spans="1:8">
      <c r="A2745" s="12" t="s">
        <v>10117</v>
      </c>
      <c r="B2745" s="13">
        <v>0</v>
      </c>
      <c r="C2745" s="16" t="s">
        <v>5331</v>
      </c>
      <c r="D2745" s="12">
        <v>14068</v>
      </c>
      <c r="E2745" s="12" t="s">
        <v>5332</v>
      </c>
      <c r="F2745" s="12" t="s">
        <v>5328</v>
      </c>
      <c r="G2745" s="12" t="s">
        <v>10118</v>
      </c>
      <c r="H2745" s="12">
        <v>109610</v>
      </c>
    </row>
    <row r="2746" spans="1:8">
      <c r="A2746" s="12" t="s">
        <v>10117</v>
      </c>
      <c r="B2746" s="13">
        <v>0</v>
      </c>
      <c r="C2746" s="16" t="s">
        <v>5331</v>
      </c>
      <c r="D2746" s="12">
        <v>11940</v>
      </c>
      <c r="E2746" s="12" t="s">
        <v>5332</v>
      </c>
      <c r="F2746" s="12" t="s">
        <v>5328</v>
      </c>
      <c r="G2746" s="12" t="s">
        <v>10119</v>
      </c>
      <c r="H2746" s="12">
        <v>105760</v>
      </c>
    </row>
    <row r="2747" spans="1:8">
      <c r="A2747" s="12" t="s">
        <v>10120</v>
      </c>
      <c r="B2747" s="13">
        <v>0</v>
      </c>
      <c r="C2747" s="16" t="s">
        <v>5331</v>
      </c>
      <c r="D2747" s="12">
        <v>10550</v>
      </c>
      <c r="E2747" s="12" t="s">
        <v>5332</v>
      </c>
      <c r="F2747" s="12" t="s">
        <v>5328</v>
      </c>
      <c r="G2747" s="12" t="s">
        <v>10121</v>
      </c>
      <c r="H2747" s="12">
        <v>109611</v>
      </c>
    </row>
    <row r="2748" spans="1:8">
      <c r="A2748" s="12" t="s">
        <v>10120</v>
      </c>
      <c r="B2748" s="13">
        <v>0</v>
      </c>
      <c r="C2748" s="16" t="s">
        <v>5331</v>
      </c>
      <c r="D2748" s="12">
        <v>8955</v>
      </c>
      <c r="E2748" s="12" t="s">
        <v>5332</v>
      </c>
      <c r="F2748" s="12" t="s">
        <v>5328</v>
      </c>
      <c r="G2748" s="12" t="s">
        <v>10122</v>
      </c>
      <c r="H2748" s="12">
        <v>105761</v>
      </c>
    </row>
    <row r="2749" spans="1:8">
      <c r="A2749" s="12" t="s">
        <v>10123</v>
      </c>
      <c r="B2749" s="13">
        <v>0</v>
      </c>
      <c r="C2749" s="16" t="s">
        <v>5331</v>
      </c>
      <c r="D2749" s="12">
        <v>5408</v>
      </c>
      <c r="E2749" s="12" t="s">
        <v>5332</v>
      </c>
      <c r="F2749" s="12" t="s">
        <v>5328</v>
      </c>
      <c r="G2749" s="12" t="s">
        <v>10124</v>
      </c>
      <c r="H2749" s="12">
        <v>109612</v>
      </c>
    </row>
    <row r="2750" spans="1:8">
      <c r="A2750" s="12" t="s">
        <v>10123</v>
      </c>
      <c r="B2750" s="13">
        <v>0</v>
      </c>
      <c r="C2750" s="16" t="s">
        <v>5331</v>
      </c>
      <c r="D2750" s="12">
        <v>4500</v>
      </c>
      <c r="E2750" s="12" t="s">
        <v>5332</v>
      </c>
      <c r="F2750" s="12" t="s">
        <v>5328</v>
      </c>
      <c r="G2750" s="12" t="s">
        <v>10125</v>
      </c>
      <c r="H2750" s="12">
        <v>105762</v>
      </c>
    </row>
    <row r="2751" spans="1:8">
      <c r="A2751" s="12" t="s">
        <v>10126</v>
      </c>
      <c r="B2751" s="13">
        <v>0</v>
      </c>
      <c r="C2751" s="16" t="s">
        <v>5331</v>
      </c>
      <c r="D2751" s="12">
        <v>15024</v>
      </c>
      <c r="E2751" s="12" t="s">
        <v>5332</v>
      </c>
      <c r="F2751" s="12" t="s">
        <v>5328</v>
      </c>
      <c r="G2751" s="12" t="s">
        <v>10127</v>
      </c>
      <c r="H2751" s="12">
        <v>109613</v>
      </c>
    </row>
    <row r="2752" spans="1:8">
      <c r="A2752" s="12" t="s">
        <v>10126</v>
      </c>
      <c r="B2752" s="13">
        <v>0</v>
      </c>
      <c r="C2752" s="16" t="s">
        <v>5331</v>
      </c>
      <c r="D2752" s="12">
        <v>11120</v>
      </c>
      <c r="E2752" s="12" t="s">
        <v>5332</v>
      </c>
      <c r="F2752" s="12" t="s">
        <v>5328</v>
      </c>
      <c r="G2752" s="12" t="s">
        <v>10128</v>
      </c>
      <c r="H2752" s="12">
        <v>105763</v>
      </c>
    </row>
    <row r="2753" spans="1:8">
      <c r="A2753" s="12" t="s">
        <v>10129</v>
      </c>
      <c r="B2753" s="13">
        <v>0</v>
      </c>
      <c r="C2753" s="16" t="s">
        <v>5331</v>
      </c>
      <c r="D2753" s="12">
        <v>12298</v>
      </c>
      <c r="E2753" s="12" t="s">
        <v>5332</v>
      </c>
      <c r="F2753" s="12" t="s">
        <v>5328</v>
      </c>
      <c r="G2753" s="12" t="s">
        <v>10130</v>
      </c>
      <c r="H2753" s="12">
        <v>109614</v>
      </c>
    </row>
    <row r="2754" spans="1:8">
      <c r="A2754" s="12" t="s">
        <v>10129</v>
      </c>
      <c r="B2754" s="13">
        <v>0</v>
      </c>
      <c r="C2754" s="16" t="s">
        <v>5331</v>
      </c>
      <c r="D2754" s="12">
        <v>8800</v>
      </c>
      <c r="E2754" s="12" t="s">
        <v>5332</v>
      </c>
      <c r="F2754" s="12" t="s">
        <v>5328</v>
      </c>
      <c r="G2754" s="12" t="s">
        <v>10131</v>
      </c>
      <c r="H2754" s="12">
        <v>105764</v>
      </c>
    </row>
    <row r="2755" spans="1:8">
      <c r="A2755" s="12" t="s">
        <v>10132</v>
      </c>
      <c r="B2755" s="13">
        <v>0</v>
      </c>
      <c r="C2755" s="16" t="s">
        <v>5331</v>
      </c>
      <c r="D2755" s="12">
        <v>11268</v>
      </c>
      <c r="E2755" s="12" t="s">
        <v>5332</v>
      </c>
      <c r="F2755" s="12" t="s">
        <v>5328</v>
      </c>
      <c r="G2755" s="12" t="s">
        <v>10133</v>
      </c>
      <c r="H2755" s="12">
        <v>109615</v>
      </c>
    </row>
    <row r="2756" spans="1:8">
      <c r="A2756" s="12" t="s">
        <v>10132</v>
      </c>
      <c r="B2756" s="13">
        <v>0</v>
      </c>
      <c r="C2756" s="16" t="s">
        <v>5331</v>
      </c>
      <c r="D2756" s="12">
        <v>8340</v>
      </c>
      <c r="E2756" s="12" t="s">
        <v>5332</v>
      </c>
      <c r="F2756" s="12" t="s">
        <v>5328</v>
      </c>
      <c r="G2756" s="12" t="s">
        <v>10134</v>
      </c>
      <c r="H2756" s="12">
        <v>105765</v>
      </c>
    </row>
    <row r="2757" spans="1:8">
      <c r="A2757" s="12" t="s">
        <v>10135</v>
      </c>
      <c r="B2757" s="13">
        <v>0</v>
      </c>
      <c r="C2757" s="16" t="s">
        <v>5331</v>
      </c>
      <c r="D2757" s="12">
        <v>10146</v>
      </c>
      <c r="E2757" s="12" t="s">
        <v>5332</v>
      </c>
      <c r="F2757" s="12" t="s">
        <v>5328</v>
      </c>
      <c r="G2757" s="12" t="s">
        <v>10136</v>
      </c>
      <c r="H2757" s="12">
        <v>109616</v>
      </c>
    </row>
    <row r="2758" spans="1:8">
      <c r="A2758" s="12" t="s">
        <v>10135</v>
      </c>
      <c r="B2758" s="13">
        <v>0</v>
      </c>
      <c r="C2758" s="16" t="s">
        <v>5331</v>
      </c>
      <c r="D2758" s="12">
        <v>6600</v>
      </c>
      <c r="E2758" s="12" t="s">
        <v>5332</v>
      </c>
      <c r="F2758" s="12" t="s">
        <v>5328</v>
      </c>
      <c r="G2758" s="12" t="s">
        <v>10137</v>
      </c>
      <c r="H2758" s="12">
        <v>105766</v>
      </c>
    </row>
    <row r="2759" spans="1:8">
      <c r="A2759" s="12" t="s">
        <v>10138</v>
      </c>
      <c r="B2759" s="13">
        <v>0</v>
      </c>
      <c r="C2759" s="16" t="s">
        <v>5331</v>
      </c>
      <c r="D2759" s="12">
        <v>7610</v>
      </c>
      <c r="E2759" s="12" t="s">
        <v>5332</v>
      </c>
      <c r="F2759" s="12" t="s">
        <v>5328</v>
      </c>
      <c r="G2759" s="12" t="s">
        <v>10139</v>
      </c>
      <c r="H2759" s="12">
        <v>109617</v>
      </c>
    </row>
    <row r="2760" spans="1:8">
      <c r="A2760" s="12" t="s">
        <v>10138</v>
      </c>
      <c r="B2760" s="13">
        <v>0</v>
      </c>
      <c r="C2760" s="16" t="s">
        <v>5331</v>
      </c>
      <c r="D2760" s="12">
        <v>4950</v>
      </c>
      <c r="E2760" s="12" t="s">
        <v>5332</v>
      </c>
      <c r="F2760" s="12" t="s">
        <v>5328</v>
      </c>
      <c r="G2760" s="12" t="s">
        <v>10140</v>
      </c>
      <c r="H2760" s="12">
        <v>105767</v>
      </c>
    </row>
    <row r="2761" spans="1:8">
      <c r="A2761" s="12" t="s">
        <v>10141</v>
      </c>
      <c r="B2761" s="13">
        <v>0</v>
      </c>
      <c r="C2761" s="16" t="s">
        <v>5331</v>
      </c>
      <c r="D2761" s="12">
        <v>5718</v>
      </c>
      <c r="E2761" s="12" t="s">
        <v>5332</v>
      </c>
      <c r="F2761" s="12" t="s">
        <v>5328</v>
      </c>
      <c r="G2761" s="12" t="s">
        <v>10142</v>
      </c>
      <c r="H2761" s="12">
        <v>109618</v>
      </c>
    </row>
    <row r="2762" spans="1:8">
      <c r="A2762" s="12" t="s">
        <v>10141</v>
      </c>
      <c r="B2762" s="13">
        <v>0</v>
      </c>
      <c r="C2762" s="16" t="s">
        <v>5331</v>
      </c>
      <c r="D2762" s="12">
        <v>4500</v>
      </c>
      <c r="E2762" s="12" t="s">
        <v>5332</v>
      </c>
      <c r="F2762" s="12" t="s">
        <v>5328</v>
      </c>
      <c r="G2762" s="12" t="s">
        <v>10143</v>
      </c>
      <c r="H2762" s="12">
        <v>105768</v>
      </c>
    </row>
    <row r="2763" spans="1:8">
      <c r="A2763" s="12" t="s">
        <v>10144</v>
      </c>
      <c r="B2763" s="13">
        <v>0</v>
      </c>
      <c r="C2763" s="16" t="s">
        <v>5331</v>
      </c>
      <c r="D2763" s="12">
        <v>20208</v>
      </c>
      <c r="E2763" s="12" t="s">
        <v>5332</v>
      </c>
      <c r="F2763" s="12" t="s">
        <v>5328</v>
      </c>
      <c r="G2763" s="12" t="s">
        <v>10145</v>
      </c>
      <c r="H2763" s="12">
        <v>109619</v>
      </c>
    </row>
    <row r="2764" spans="1:8">
      <c r="A2764" s="12" t="s">
        <v>10144</v>
      </c>
      <c r="B2764" s="13">
        <v>0</v>
      </c>
      <c r="C2764" s="16" t="s">
        <v>5331</v>
      </c>
      <c r="D2764" s="12">
        <v>14320</v>
      </c>
      <c r="E2764" s="12" t="s">
        <v>5332</v>
      </c>
      <c r="F2764" s="12" t="s">
        <v>5328</v>
      </c>
      <c r="G2764" s="12" t="s">
        <v>10146</v>
      </c>
      <c r="H2764" s="12">
        <v>105769</v>
      </c>
    </row>
    <row r="2765" spans="1:8">
      <c r="A2765" s="12" t="s">
        <v>10147</v>
      </c>
      <c r="B2765" s="13">
        <v>0</v>
      </c>
      <c r="C2765" s="16" t="s">
        <v>5331</v>
      </c>
      <c r="D2765" s="12">
        <v>17482</v>
      </c>
      <c r="E2765" s="12" t="s">
        <v>5332</v>
      </c>
      <c r="F2765" s="12" t="s">
        <v>5328</v>
      </c>
      <c r="G2765" s="12" t="s">
        <v>10148</v>
      </c>
      <c r="H2765" s="12">
        <v>109620</v>
      </c>
    </row>
    <row r="2766" spans="1:8">
      <c r="A2766" s="12" t="s">
        <v>10147</v>
      </c>
      <c r="B2766" s="13">
        <v>0</v>
      </c>
      <c r="C2766" s="16" t="s">
        <v>5331</v>
      </c>
      <c r="D2766" s="12">
        <v>12000</v>
      </c>
      <c r="E2766" s="12" t="s">
        <v>5332</v>
      </c>
      <c r="F2766" s="12" t="s">
        <v>5328</v>
      </c>
      <c r="G2766" s="12" t="s">
        <v>10149</v>
      </c>
      <c r="H2766" s="12">
        <v>105770</v>
      </c>
    </row>
    <row r="2767" spans="1:8">
      <c r="A2767" s="12" t="s">
        <v>10150</v>
      </c>
      <c r="B2767" s="13">
        <v>0</v>
      </c>
      <c r="C2767" s="16" t="s">
        <v>5331</v>
      </c>
      <c r="D2767" s="12">
        <v>15156</v>
      </c>
      <c r="E2767" s="12" t="s">
        <v>5332</v>
      </c>
      <c r="F2767" s="12" t="s">
        <v>5328</v>
      </c>
      <c r="G2767" s="12" t="s">
        <v>10151</v>
      </c>
      <c r="H2767" s="12">
        <v>109621</v>
      </c>
    </row>
    <row r="2768" spans="1:8">
      <c r="A2768" s="12" t="s">
        <v>10150</v>
      </c>
      <c r="B2768" s="13">
        <v>0</v>
      </c>
      <c r="C2768" s="16" t="s">
        <v>5331</v>
      </c>
      <c r="D2768" s="12">
        <v>10740</v>
      </c>
      <c r="E2768" s="12" t="s">
        <v>5332</v>
      </c>
      <c r="F2768" s="12" t="s">
        <v>5328</v>
      </c>
      <c r="G2768" s="12" t="s">
        <v>10152</v>
      </c>
      <c r="H2768" s="12">
        <v>105771</v>
      </c>
    </row>
    <row r="2769" spans="1:8">
      <c r="A2769" s="12" t="s">
        <v>10153</v>
      </c>
      <c r="B2769" s="13">
        <v>0</v>
      </c>
      <c r="C2769" s="16" t="s">
        <v>5331</v>
      </c>
      <c r="D2769" s="12">
        <v>14423</v>
      </c>
      <c r="E2769" s="12" t="s">
        <v>5332</v>
      </c>
      <c r="F2769" s="12" t="s">
        <v>5328</v>
      </c>
      <c r="G2769" s="12" t="s">
        <v>10154</v>
      </c>
      <c r="H2769" s="12">
        <v>109622</v>
      </c>
    </row>
    <row r="2770" spans="1:8">
      <c r="A2770" s="12" t="s">
        <v>10153</v>
      </c>
      <c r="B2770" s="13">
        <v>0</v>
      </c>
      <c r="C2770" s="16" t="s">
        <v>5331</v>
      </c>
      <c r="D2770" s="12">
        <v>9000</v>
      </c>
      <c r="E2770" s="12" t="s">
        <v>5332</v>
      </c>
      <c r="F2770" s="12" t="s">
        <v>5328</v>
      </c>
      <c r="G2770" s="12" t="s">
        <v>10155</v>
      </c>
      <c r="H2770" s="12">
        <v>105772</v>
      </c>
    </row>
    <row r="2771" spans="1:8">
      <c r="A2771" s="12" t="s">
        <v>10156</v>
      </c>
      <c r="B2771" s="13">
        <v>0</v>
      </c>
      <c r="C2771" s="16" t="s">
        <v>5331</v>
      </c>
      <c r="D2771" s="12">
        <v>10817</v>
      </c>
      <c r="E2771" s="12" t="s">
        <v>5332</v>
      </c>
      <c r="F2771" s="12" t="s">
        <v>5328</v>
      </c>
      <c r="G2771" s="12" t="s">
        <v>10157</v>
      </c>
      <c r="H2771" s="12">
        <v>109623</v>
      </c>
    </row>
    <row r="2772" spans="1:8">
      <c r="A2772" s="12" t="s">
        <v>10156</v>
      </c>
      <c r="B2772" s="13">
        <v>0</v>
      </c>
      <c r="C2772" s="16" t="s">
        <v>5331</v>
      </c>
      <c r="D2772" s="12">
        <v>6750</v>
      </c>
      <c r="E2772" s="12" t="s">
        <v>5332</v>
      </c>
      <c r="F2772" s="12" t="s">
        <v>5328</v>
      </c>
      <c r="G2772" s="12" t="s">
        <v>10158</v>
      </c>
      <c r="H2772" s="12">
        <v>105773</v>
      </c>
    </row>
    <row r="2773" spans="1:8">
      <c r="A2773" s="12" t="s">
        <v>10159</v>
      </c>
      <c r="B2773" s="13">
        <v>0</v>
      </c>
      <c r="C2773" s="16" t="s">
        <v>5331</v>
      </c>
      <c r="D2773" s="12">
        <v>5718</v>
      </c>
      <c r="E2773" s="12" t="s">
        <v>5332</v>
      </c>
      <c r="F2773" s="12" t="s">
        <v>5328</v>
      </c>
      <c r="G2773" s="12" t="s">
        <v>10160</v>
      </c>
      <c r="H2773" s="12">
        <v>109624</v>
      </c>
    </row>
    <row r="2774" spans="1:8">
      <c r="A2774" s="12" t="s">
        <v>10159</v>
      </c>
      <c r="B2774" s="13">
        <v>0</v>
      </c>
      <c r="C2774" s="16" t="s">
        <v>5331</v>
      </c>
      <c r="D2774" s="12">
        <v>4500</v>
      </c>
      <c r="E2774" s="12" t="s">
        <v>5332</v>
      </c>
      <c r="F2774" s="12" t="s">
        <v>5328</v>
      </c>
      <c r="G2774" s="12" t="s">
        <v>10161</v>
      </c>
      <c r="H2774" s="12">
        <v>105774</v>
      </c>
    </row>
    <row r="2775" spans="1:8">
      <c r="A2775" s="12" t="s">
        <v>10162</v>
      </c>
      <c r="B2775" s="13">
        <v>0</v>
      </c>
      <c r="C2775" s="16" t="s">
        <v>5331</v>
      </c>
      <c r="D2775" s="12">
        <v>17732</v>
      </c>
      <c r="E2775" s="12" t="s">
        <v>5332</v>
      </c>
      <c r="F2775" s="12" t="s">
        <v>5328</v>
      </c>
      <c r="G2775" s="12" t="s">
        <v>10163</v>
      </c>
      <c r="H2775" s="12">
        <v>109625</v>
      </c>
    </row>
    <row r="2776" spans="1:8">
      <c r="A2776" s="12" t="s">
        <v>10162</v>
      </c>
      <c r="B2776" s="13">
        <v>0</v>
      </c>
      <c r="C2776" s="16" t="s">
        <v>5331</v>
      </c>
      <c r="D2776" s="12">
        <v>14320</v>
      </c>
      <c r="E2776" s="12" t="s">
        <v>5332</v>
      </c>
      <c r="F2776" s="12" t="s">
        <v>5328</v>
      </c>
      <c r="G2776" s="12" t="s">
        <v>10164</v>
      </c>
      <c r="H2776" s="12">
        <v>105775</v>
      </c>
    </row>
    <row r="2777" spans="1:8">
      <c r="A2777" s="12" t="s">
        <v>10165</v>
      </c>
      <c r="B2777" s="13">
        <v>0</v>
      </c>
      <c r="C2777" s="16" t="s">
        <v>5331</v>
      </c>
      <c r="D2777" s="12">
        <v>15136</v>
      </c>
      <c r="E2777" s="12" t="s">
        <v>5332</v>
      </c>
      <c r="F2777" s="12" t="s">
        <v>5328</v>
      </c>
      <c r="G2777" s="12" t="s">
        <v>10166</v>
      </c>
      <c r="H2777" s="12">
        <v>109626</v>
      </c>
    </row>
    <row r="2778" spans="1:8">
      <c r="A2778" s="12" t="s">
        <v>10165</v>
      </c>
      <c r="B2778" s="13">
        <v>0</v>
      </c>
      <c r="C2778" s="16" t="s">
        <v>5331</v>
      </c>
      <c r="D2778" s="12">
        <v>12000</v>
      </c>
      <c r="E2778" s="12" t="s">
        <v>5332</v>
      </c>
      <c r="F2778" s="12" t="s">
        <v>5328</v>
      </c>
      <c r="G2778" s="12" t="s">
        <v>10167</v>
      </c>
      <c r="H2778" s="12">
        <v>105776</v>
      </c>
    </row>
    <row r="2779" spans="1:8">
      <c r="A2779" s="12" t="s">
        <v>10168</v>
      </c>
      <c r="B2779" s="13">
        <v>0</v>
      </c>
      <c r="C2779" s="16" t="s">
        <v>5331</v>
      </c>
      <c r="D2779" s="12">
        <v>13299</v>
      </c>
      <c r="E2779" s="12" t="s">
        <v>5332</v>
      </c>
      <c r="F2779" s="12" t="s">
        <v>5328</v>
      </c>
      <c r="G2779" s="12" t="s">
        <v>10169</v>
      </c>
      <c r="H2779" s="12">
        <v>109627</v>
      </c>
    </row>
    <row r="2780" spans="1:8">
      <c r="A2780" s="12" t="s">
        <v>10168</v>
      </c>
      <c r="B2780" s="13">
        <v>0</v>
      </c>
      <c r="C2780" s="16" t="s">
        <v>5331</v>
      </c>
      <c r="D2780" s="12">
        <v>10740</v>
      </c>
      <c r="E2780" s="12" t="s">
        <v>5332</v>
      </c>
      <c r="F2780" s="12" t="s">
        <v>5328</v>
      </c>
      <c r="G2780" s="12" t="s">
        <v>10170</v>
      </c>
      <c r="H2780" s="12">
        <v>105777</v>
      </c>
    </row>
    <row r="2781" spans="1:8">
      <c r="A2781" s="12" t="s">
        <v>10153</v>
      </c>
      <c r="B2781" s="13">
        <v>0</v>
      </c>
      <c r="C2781" s="16" t="s">
        <v>5331</v>
      </c>
      <c r="D2781" s="12">
        <v>12487</v>
      </c>
      <c r="E2781" s="12" t="s">
        <v>5332</v>
      </c>
      <c r="F2781" s="12" t="s">
        <v>5328</v>
      </c>
      <c r="G2781" s="12" t="s">
        <v>10171</v>
      </c>
      <c r="H2781" s="12">
        <v>109683</v>
      </c>
    </row>
    <row r="2782" spans="1:8">
      <c r="A2782" s="12" t="s">
        <v>10153</v>
      </c>
      <c r="B2782" s="13">
        <v>0</v>
      </c>
      <c r="C2782" s="16" t="s">
        <v>5331</v>
      </c>
      <c r="D2782" s="12">
        <v>9000</v>
      </c>
      <c r="E2782" s="12" t="s">
        <v>5332</v>
      </c>
      <c r="F2782" s="12" t="s">
        <v>5328</v>
      </c>
      <c r="G2782" s="12" t="s">
        <v>10172</v>
      </c>
      <c r="H2782" s="12">
        <v>105778</v>
      </c>
    </row>
    <row r="2783" spans="1:8">
      <c r="A2783" s="12" t="s">
        <v>10156</v>
      </c>
      <c r="B2783" s="13">
        <v>0</v>
      </c>
      <c r="C2783" s="16" t="s">
        <v>5331</v>
      </c>
      <c r="D2783" s="12">
        <v>9365</v>
      </c>
      <c r="E2783" s="12" t="s">
        <v>5332</v>
      </c>
      <c r="F2783" s="12" t="s">
        <v>5328</v>
      </c>
      <c r="G2783" s="12" t="s">
        <v>10173</v>
      </c>
      <c r="H2783" s="12">
        <v>109684</v>
      </c>
    </row>
    <row r="2784" spans="1:8">
      <c r="A2784" s="12" t="s">
        <v>10156</v>
      </c>
      <c r="B2784" s="13">
        <v>0</v>
      </c>
      <c r="C2784" s="16" t="s">
        <v>5331</v>
      </c>
      <c r="D2784" s="12">
        <v>6750</v>
      </c>
      <c r="E2784" s="12" t="s">
        <v>5332</v>
      </c>
      <c r="F2784" s="12" t="s">
        <v>5328</v>
      </c>
      <c r="G2784" s="12" t="s">
        <v>10174</v>
      </c>
      <c r="H2784" s="12">
        <v>105779</v>
      </c>
    </row>
    <row r="2785" spans="1:8">
      <c r="A2785" s="12" t="s">
        <v>10159</v>
      </c>
      <c r="B2785" s="13">
        <v>0</v>
      </c>
      <c r="C2785" s="16" t="s">
        <v>5331</v>
      </c>
      <c r="D2785" s="12">
        <v>5718</v>
      </c>
      <c r="E2785" s="12" t="s">
        <v>5332</v>
      </c>
      <c r="F2785" s="12" t="s">
        <v>5328</v>
      </c>
      <c r="G2785" s="12" t="s">
        <v>10175</v>
      </c>
      <c r="H2785" s="12">
        <v>109685</v>
      </c>
    </row>
    <row r="2786" spans="1:8">
      <c r="A2786" s="12" t="s">
        <v>10159</v>
      </c>
      <c r="B2786" s="13">
        <v>0</v>
      </c>
      <c r="C2786" s="16" t="s">
        <v>5331</v>
      </c>
      <c r="D2786" s="12">
        <v>4500</v>
      </c>
      <c r="E2786" s="12" t="s">
        <v>5332</v>
      </c>
      <c r="F2786" s="12" t="s">
        <v>5328</v>
      </c>
      <c r="G2786" s="12" t="s">
        <v>10176</v>
      </c>
      <c r="H2786" s="12">
        <v>105780</v>
      </c>
    </row>
    <row r="2787" spans="1:8">
      <c r="A2787" s="12" t="s">
        <v>10177</v>
      </c>
      <c r="B2787" s="13">
        <v>0</v>
      </c>
      <c r="C2787" s="16" t="s">
        <v>5331</v>
      </c>
      <c r="D2787" s="12">
        <v>24070</v>
      </c>
      <c r="E2787" s="12" t="s">
        <v>5332</v>
      </c>
      <c r="F2787" s="12" t="s">
        <v>5328</v>
      </c>
      <c r="G2787" s="12" t="s">
        <v>10178</v>
      </c>
      <c r="H2787" s="12">
        <v>109631</v>
      </c>
    </row>
    <row r="2788" spans="1:8">
      <c r="A2788" s="12" t="s">
        <v>10177</v>
      </c>
      <c r="B2788" s="13">
        <v>0</v>
      </c>
      <c r="C2788" s="16" t="s">
        <v>5331</v>
      </c>
      <c r="D2788" s="12">
        <v>17520</v>
      </c>
      <c r="E2788" s="12" t="s">
        <v>5332</v>
      </c>
      <c r="F2788" s="12" t="s">
        <v>5328</v>
      </c>
      <c r="G2788" s="12" t="s">
        <v>10179</v>
      </c>
      <c r="H2788" s="12">
        <v>105781</v>
      </c>
    </row>
    <row r="2789" spans="1:8">
      <c r="A2789" s="12" t="s">
        <v>10180</v>
      </c>
      <c r="B2789" s="13">
        <v>0</v>
      </c>
      <c r="C2789" s="16" t="s">
        <v>5331</v>
      </c>
      <c r="D2789" s="12">
        <v>21344</v>
      </c>
      <c r="E2789" s="12" t="s">
        <v>5332</v>
      </c>
      <c r="F2789" s="12" t="s">
        <v>5328</v>
      </c>
      <c r="G2789" s="12" t="s">
        <v>10181</v>
      </c>
      <c r="H2789" s="12">
        <v>109632</v>
      </c>
    </row>
    <row r="2790" spans="1:8">
      <c r="A2790" s="12" t="s">
        <v>10180</v>
      </c>
      <c r="B2790" s="13">
        <v>0</v>
      </c>
      <c r="C2790" s="16" t="s">
        <v>5331</v>
      </c>
      <c r="D2790" s="12">
        <v>15200</v>
      </c>
      <c r="E2790" s="12" t="s">
        <v>5332</v>
      </c>
      <c r="F2790" s="12" t="s">
        <v>5328</v>
      </c>
      <c r="G2790" s="12" t="s">
        <v>10182</v>
      </c>
      <c r="H2790" s="12">
        <v>105782</v>
      </c>
    </row>
    <row r="2791" spans="1:8">
      <c r="A2791" s="12" t="s">
        <v>10183</v>
      </c>
      <c r="B2791" s="13">
        <v>0</v>
      </c>
      <c r="C2791" s="16" t="s">
        <v>5331</v>
      </c>
      <c r="D2791" s="12">
        <v>18053</v>
      </c>
      <c r="E2791" s="12" t="s">
        <v>5332</v>
      </c>
      <c r="F2791" s="12" t="s">
        <v>5328</v>
      </c>
      <c r="G2791" s="12" t="s">
        <v>10184</v>
      </c>
      <c r="H2791" s="12">
        <v>109633</v>
      </c>
    </row>
    <row r="2792" spans="1:8">
      <c r="A2792" s="12" t="s">
        <v>10183</v>
      </c>
      <c r="B2792" s="13">
        <v>0</v>
      </c>
      <c r="C2792" s="16" t="s">
        <v>5331</v>
      </c>
      <c r="D2792" s="12">
        <v>13140</v>
      </c>
      <c r="E2792" s="12" t="s">
        <v>5332</v>
      </c>
      <c r="F2792" s="12" t="s">
        <v>5328</v>
      </c>
      <c r="G2792" s="12" t="s">
        <v>10185</v>
      </c>
      <c r="H2792" s="12">
        <v>105783</v>
      </c>
    </row>
    <row r="2793" spans="1:8">
      <c r="A2793" s="12" t="s">
        <v>10186</v>
      </c>
      <c r="B2793" s="13">
        <v>0</v>
      </c>
      <c r="C2793" s="16" t="s">
        <v>5331</v>
      </c>
      <c r="D2793" s="12">
        <v>17609</v>
      </c>
      <c r="E2793" s="12" t="s">
        <v>5332</v>
      </c>
      <c r="F2793" s="12" t="s">
        <v>5328</v>
      </c>
      <c r="G2793" s="12" t="s">
        <v>10187</v>
      </c>
      <c r="H2793" s="12">
        <v>109634</v>
      </c>
    </row>
    <row r="2794" spans="1:8">
      <c r="A2794" s="12" t="s">
        <v>10186</v>
      </c>
      <c r="B2794" s="13">
        <v>0</v>
      </c>
      <c r="C2794" s="16" t="s">
        <v>5331</v>
      </c>
      <c r="D2794" s="12">
        <v>11400</v>
      </c>
      <c r="E2794" s="12" t="s">
        <v>5332</v>
      </c>
      <c r="F2794" s="12" t="s">
        <v>5328</v>
      </c>
      <c r="G2794" s="12" t="s">
        <v>10188</v>
      </c>
      <c r="H2794" s="12">
        <v>105784</v>
      </c>
    </row>
    <row r="2795" spans="1:8">
      <c r="A2795" s="12" t="s">
        <v>10189</v>
      </c>
      <c r="B2795" s="13">
        <v>0</v>
      </c>
      <c r="C2795" s="16" t="s">
        <v>5331</v>
      </c>
      <c r="D2795" s="12">
        <v>13207</v>
      </c>
      <c r="E2795" s="12" t="s">
        <v>5332</v>
      </c>
      <c r="F2795" s="12" t="s">
        <v>5328</v>
      </c>
      <c r="G2795" s="12" t="s">
        <v>10190</v>
      </c>
      <c r="H2795" s="12">
        <v>109635</v>
      </c>
    </row>
    <row r="2796" spans="1:8">
      <c r="A2796" s="12" t="s">
        <v>10189</v>
      </c>
      <c r="B2796" s="13">
        <v>0</v>
      </c>
      <c r="C2796" s="16" t="s">
        <v>5331</v>
      </c>
      <c r="D2796" s="12">
        <v>8550</v>
      </c>
      <c r="E2796" s="12" t="s">
        <v>5332</v>
      </c>
      <c r="F2796" s="12" t="s">
        <v>5328</v>
      </c>
      <c r="G2796" s="12" t="s">
        <v>10191</v>
      </c>
      <c r="H2796" s="12">
        <v>105785</v>
      </c>
    </row>
    <row r="2797" spans="1:8">
      <c r="A2797" s="12" t="s">
        <v>10192</v>
      </c>
      <c r="B2797" s="13">
        <v>0</v>
      </c>
      <c r="C2797" s="16" t="s">
        <v>5331</v>
      </c>
      <c r="D2797" s="12">
        <v>5718</v>
      </c>
      <c r="E2797" s="12" t="s">
        <v>5332</v>
      </c>
      <c r="F2797" s="12" t="s">
        <v>5328</v>
      </c>
      <c r="G2797" s="12" t="s">
        <v>10193</v>
      </c>
      <c r="H2797" s="12">
        <v>109636</v>
      </c>
    </row>
    <row r="2798" spans="1:8">
      <c r="A2798" s="12" t="s">
        <v>10192</v>
      </c>
      <c r="B2798" s="13">
        <v>0</v>
      </c>
      <c r="C2798" s="16" t="s">
        <v>5331</v>
      </c>
      <c r="D2798" s="12">
        <v>4500</v>
      </c>
      <c r="E2798" s="12" t="s">
        <v>5332</v>
      </c>
      <c r="F2798" s="12" t="s">
        <v>5328</v>
      </c>
      <c r="G2798" s="12" t="s">
        <v>10194</v>
      </c>
      <c r="H2798" s="12">
        <v>105786</v>
      </c>
    </row>
    <row r="2799" spans="1:8">
      <c r="A2799" s="12" t="s">
        <v>10195</v>
      </c>
      <c r="B2799" s="13">
        <v>0</v>
      </c>
      <c r="C2799" s="16" t="s">
        <v>5331</v>
      </c>
      <c r="D2799" s="12">
        <v>7138</v>
      </c>
      <c r="E2799" s="12" t="s">
        <v>5332</v>
      </c>
      <c r="F2799" s="12" t="s">
        <v>5328</v>
      </c>
      <c r="G2799" s="12" t="s">
        <v>10196</v>
      </c>
      <c r="H2799" s="12">
        <v>105152</v>
      </c>
    </row>
    <row r="2800" spans="1:8">
      <c r="A2800" s="12" t="s">
        <v>10197</v>
      </c>
      <c r="B2800" s="13">
        <v>0</v>
      </c>
      <c r="C2800" s="16" t="s">
        <v>5331</v>
      </c>
      <c r="D2800" s="12">
        <v>7138</v>
      </c>
      <c r="E2800" s="12" t="s">
        <v>5332</v>
      </c>
      <c r="F2800" s="12" t="s">
        <v>5328</v>
      </c>
      <c r="G2800" s="12" t="s">
        <v>10198</v>
      </c>
      <c r="H2800" s="12">
        <v>105153</v>
      </c>
    </row>
    <row r="2801" spans="1:8">
      <c r="A2801" s="12" t="s">
        <v>10199</v>
      </c>
      <c r="B2801" s="13">
        <v>0</v>
      </c>
      <c r="C2801" s="16" t="s">
        <v>5331</v>
      </c>
      <c r="D2801" s="12">
        <v>784</v>
      </c>
      <c r="E2801" s="12" t="s">
        <v>5332</v>
      </c>
      <c r="F2801" s="12" t="s">
        <v>5328</v>
      </c>
      <c r="G2801" s="12" t="s">
        <v>10200</v>
      </c>
      <c r="H2801" s="12">
        <v>105154</v>
      </c>
    </row>
    <row r="2802" spans="1:8">
      <c r="A2802" s="12" t="s">
        <v>10201</v>
      </c>
      <c r="B2802" s="13">
        <v>0</v>
      </c>
      <c r="C2802" s="16" t="s">
        <v>5331</v>
      </c>
      <c r="D2802" s="12">
        <v>4759</v>
      </c>
      <c r="E2802" s="12" t="s">
        <v>5332</v>
      </c>
      <c r="F2802" s="12" t="s">
        <v>5328</v>
      </c>
      <c r="G2802" s="12" t="s">
        <v>10202</v>
      </c>
      <c r="H2802" s="12">
        <v>105155</v>
      </c>
    </row>
    <row r="2803" spans="1:8">
      <c r="A2803" s="12" t="s">
        <v>10203</v>
      </c>
      <c r="B2803" s="13">
        <v>0</v>
      </c>
      <c r="C2803" s="16" t="s">
        <v>5331</v>
      </c>
      <c r="D2803" s="12">
        <v>3028</v>
      </c>
      <c r="E2803" s="12" t="s">
        <v>5332</v>
      </c>
      <c r="F2803" s="12" t="s">
        <v>5328</v>
      </c>
      <c r="G2803" s="12" t="s">
        <v>10204</v>
      </c>
      <c r="H2803" s="12">
        <v>105156</v>
      </c>
    </row>
    <row r="2804" spans="1:8">
      <c r="A2804" s="12" t="s">
        <v>10205</v>
      </c>
      <c r="B2804" s="13">
        <v>0</v>
      </c>
      <c r="C2804" s="16" t="s">
        <v>10206</v>
      </c>
      <c r="D2804" s="12">
        <v>350</v>
      </c>
      <c r="E2804" s="12" t="s">
        <v>5332</v>
      </c>
      <c r="F2804" s="12" t="s">
        <v>5328</v>
      </c>
      <c r="G2804" s="12" t="s">
        <v>10207</v>
      </c>
      <c r="H2804" s="12">
        <v>105157</v>
      </c>
    </row>
    <row r="2805" spans="1:8">
      <c r="A2805" s="12" t="s">
        <v>10208</v>
      </c>
      <c r="B2805" s="13">
        <v>0</v>
      </c>
      <c r="C2805" s="16" t="s">
        <v>5331</v>
      </c>
      <c r="D2805" s="12">
        <v>2542</v>
      </c>
      <c r="E2805" s="12" t="s">
        <v>5332</v>
      </c>
      <c r="F2805" s="12" t="s">
        <v>5328</v>
      </c>
      <c r="G2805" s="12" t="s">
        <v>10209</v>
      </c>
      <c r="H2805" s="12">
        <v>111601</v>
      </c>
    </row>
    <row r="2806" spans="1:8">
      <c r="A2806" s="12" t="s">
        <v>10210</v>
      </c>
      <c r="B2806" s="13">
        <v>0</v>
      </c>
      <c r="C2806" s="16" t="s">
        <v>9707</v>
      </c>
      <c r="D2806" s="12">
        <v>2086</v>
      </c>
      <c r="E2806" s="12" t="s">
        <v>5332</v>
      </c>
      <c r="F2806" s="12" t="s">
        <v>5328</v>
      </c>
      <c r="G2806" s="12" t="s">
        <v>10211</v>
      </c>
      <c r="H2806" s="12">
        <v>111602</v>
      </c>
    </row>
    <row r="2807" spans="1:8">
      <c r="A2807" s="12" t="s">
        <v>10212</v>
      </c>
      <c r="B2807" s="13">
        <v>0</v>
      </c>
      <c r="C2807" s="16" t="s">
        <v>9707</v>
      </c>
      <c r="D2807" s="12">
        <v>32395</v>
      </c>
      <c r="E2807" s="12" t="s">
        <v>5332</v>
      </c>
      <c r="F2807" s="12" t="s">
        <v>5328</v>
      </c>
      <c r="G2807" s="12" t="s">
        <v>10213</v>
      </c>
      <c r="H2807" s="12">
        <v>110730</v>
      </c>
    </row>
    <row r="2808" spans="1:8">
      <c r="A2808" s="12" t="s">
        <v>10214</v>
      </c>
      <c r="B2808" s="13">
        <v>0</v>
      </c>
      <c r="C2808" s="16" t="s">
        <v>9707</v>
      </c>
      <c r="D2808" s="12">
        <v>47570</v>
      </c>
      <c r="E2808" s="12" t="s">
        <v>5332</v>
      </c>
      <c r="F2808" s="12" t="s">
        <v>5328</v>
      </c>
      <c r="G2808" s="12" t="s">
        <v>10215</v>
      </c>
      <c r="H2808" s="12">
        <v>110731</v>
      </c>
    </row>
    <row r="2809" spans="1:8">
      <c r="A2809" s="12" t="s">
        <v>10216</v>
      </c>
      <c r="B2809" s="13">
        <v>0</v>
      </c>
      <c r="C2809" s="16" t="s">
        <v>9707</v>
      </c>
      <c r="D2809" s="12">
        <v>62744</v>
      </c>
      <c r="E2809" s="12" t="s">
        <v>5332</v>
      </c>
      <c r="F2809" s="12" t="s">
        <v>5328</v>
      </c>
      <c r="G2809" s="12" t="s">
        <v>10217</v>
      </c>
      <c r="H2809" s="12">
        <v>110732</v>
      </c>
    </row>
    <row r="2810" spans="1:8">
      <c r="A2810" s="12" t="s">
        <v>10218</v>
      </c>
      <c r="B2810" s="13">
        <v>0</v>
      </c>
      <c r="C2810" s="16" t="s">
        <v>9707</v>
      </c>
      <c r="D2810" s="12">
        <v>76725</v>
      </c>
      <c r="E2810" s="12" t="s">
        <v>5332</v>
      </c>
      <c r="F2810" s="12" t="s">
        <v>5328</v>
      </c>
      <c r="G2810" s="12" t="s">
        <v>10219</v>
      </c>
      <c r="H2810" s="12">
        <v>110733</v>
      </c>
    </row>
    <row r="2811" spans="1:8">
      <c r="A2811" s="12" t="s">
        <v>10220</v>
      </c>
      <c r="B2811" s="13">
        <v>0</v>
      </c>
      <c r="C2811" s="16" t="s">
        <v>9707</v>
      </c>
      <c r="D2811" s="12">
        <v>23367</v>
      </c>
      <c r="E2811" s="12" t="s">
        <v>5332</v>
      </c>
      <c r="F2811" s="12" t="s">
        <v>5328</v>
      </c>
      <c r="G2811" s="12" t="s">
        <v>10221</v>
      </c>
      <c r="H2811" s="12">
        <v>110734</v>
      </c>
    </row>
    <row r="2812" spans="1:8">
      <c r="A2812" s="12" t="s">
        <v>10222</v>
      </c>
      <c r="B2812" s="13">
        <v>0</v>
      </c>
      <c r="C2812" s="16" t="s">
        <v>9707</v>
      </c>
      <c r="D2812" s="12">
        <v>34313</v>
      </c>
      <c r="E2812" s="12" t="s">
        <v>5332</v>
      </c>
      <c r="F2812" s="12" t="s">
        <v>5328</v>
      </c>
      <c r="G2812" s="12" t="s">
        <v>10223</v>
      </c>
      <c r="H2812" s="12">
        <v>110735</v>
      </c>
    </row>
    <row r="2813" spans="1:8">
      <c r="A2813" s="12" t="s">
        <v>10224</v>
      </c>
      <c r="B2813" s="13">
        <v>0</v>
      </c>
      <c r="C2813" s="16" t="s">
        <v>9707</v>
      </c>
      <c r="D2813" s="12">
        <v>45258</v>
      </c>
      <c r="E2813" s="12" t="s">
        <v>5332</v>
      </c>
      <c r="F2813" s="12" t="s">
        <v>5328</v>
      </c>
      <c r="G2813" s="12" t="s">
        <v>10225</v>
      </c>
      <c r="H2813" s="12">
        <v>110736</v>
      </c>
    </row>
    <row r="2814" spans="1:8">
      <c r="A2814" s="12" t="s">
        <v>10226</v>
      </c>
      <c r="B2814" s="13">
        <v>0</v>
      </c>
      <c r="C2814" s="16" t="s">
        <v>9707</v>
      </c>
      <c r="D2814" s="12">
        <v>55343</v>
      </c>
      <c r="E2814" s="12" t="s">
        <v>5332</v>
      </c>
      <c r="F2814" s="12" t="s">
        <v>5328</v>
      </c>
      <c r="G2814" s="12" t="s">
        <v>10227</v>
      </c>
      <c r="H2814" s="12">
        <v>110737</v>
      </c>
    </row>
    <row r="2815" spans="1:8">
      <c r="A2815" s="12" t="s">
        <v>10228</v>
      </c>
      <c r="B2815" s="13">
        <v>0</v>
      </c>
      <c r="C2815" s="16" t="s">
        <v>9707</v>
      </c>
      <c r="D2815" s="12">
        <v>33216</v>
      </c>
      <c r="E2815" s="12" t="s">
        <v>5332</v>
      </c>
      <c r="F2815" s="12" t="s">
        <v>5328</v>
      </c>
      <c r="G2815" s="12" t="s">
        <v>10229</v>
      </c>
      <c r="H2815" s="12">
        <v>110738</v>
      </c>
    </row>
    <row r="2816" spans="1:8">
      <c r="A2816" s="12" t="s">
        <v>10230</v>
      </c>
      <c r="B2816" s="13">
        <v>0</v>
      </c>
      <c r="C2816" s="16" t="s">
        <v>9707</v>
      </c>
      <c r="D2816" s="12">
        <v>48775</v>
      </c>
      <c r="E2816" s="12" t="s">
        <v>5332</v>
      </c>
      <c r="F2816" s="12" t="s">
        <v>5328</v>
      </c>
      <c r="G2816" s="12" t="s">
        <v>10231</v>
      </c>
      <c r="H2816" s="12">
        <v>110739</v>
      </c>
    </row>
    <row r="2817" spans="1:8">
      <c r="A2817" s="12" t="s">
        <v>10232</v>
      </c>
      <c r="B2817" s="13">
        <v>0</v>
      </c>
      <c r="C2817" s="16" t="s">
        <v>9707</v>
      </c>
      <c r="D2817" s="12">
        <v>64334</v>
      </c>
      <c r="E2817" s="12" t="s">
        <v>5332</v>
      </c>
      <c r="F2817" s="12" t="s">
        <v>5328</v>
      </c>
      <c r="G2817" s="12" t="s">
        <v>10233</v>
      </c>
      <c r="H2817" s="12">
        <v>110740</v>
      </c>
    </row>
    <row r="2818" spans="1:8">
      <c r="A2818" s="12" t="s">
        <v>10234</v>
      </c>
      <c r="B2818" s="13">
        <v>0</v>
      </c>
      <c r="C2818" s="16" t="s">
        <v>9707</v>
      </c>
      <c r="D2818" s="12">
        <v>78669</v>
      </c>
      <c r="E2818" s="12" t="s">
        <v>5332</v>
      </c>
      <c r="F2818" s="12" t="s">
        <v>5328</v>
      </c>
      <c r="G2818" s="12" t="s">
        <v>10235</v>
      </c>
      <c r="H2818" s="12">
        <v>110741</v>
      </c>
    </row>
    <row r="2819" spans="1:8">
      <c r="A2819" s="12" t="s">
        <v>10236</v>
      </c>
      <c r="B2819" s="13">
        <v>0</v>
      </c>
      <c r="C2819" s="16" t="s">
        <v>9707</v>
      </c>
      <c r="D2819" s="12">
        <v>30196</v>
      </c>
      <c r="E2819" s="12" t="s">
        <v>5332</v>
      </c>
      <c r="F2819" s="12" t="s">
        <v>5328</v>
      </c>
      <c r="G2819" s="12" t="s">
        <v>10237</v>
      </c>
      <c r="H2819" s="12">
        <v>110742</v>
      </c>
    </row>
    <row r="2820" spans="1:8">
      <c r="A2820" s="12" t="s">
        <v>10238</v>
      </c>
      <c r="B2820" s="13">
        <v>0</v>
      </c>
      <c r="C2820" s="16" t="s">
        <v>9707</v>
      </c>
      <c r="D2820" s="12">
        <v>44341</v>
      </c>
      <c r="E2820" s="12" t="s">
        <v>5332</v>
      </c>
      <c r="F2820" s="12" t="s">
        <v>5328</v>
      </c>
      <c r="G2820" s="12" t="s">
        <v>10239</v>
      </c>
      <c r="H2820" s="12">
        <v>110743</v>
      </c>
    </row>
    <row r="2821" spans="1:8">
      <c r="A2821" s="12" t="s">
        <v>10240</v>
      </c>
      <c r="B2821" s="13">
        <v>0</v>
      </c>
      <c r="C2821" s="16" t="s">
        <v>9707</v>
      </c>
      <c r="D2821" s="12">
        <v>58486</v>
      </c>
      <c r="E2821" s="12" t="s">
        <v>5332</v>
      </c>
      <c r="F2821" s="12" t="s">
        <v>5328</v>
      </c>
      <c r="G2821" s="12" t="s">
        <v>10241</v>
      </c>
      <c r="H2821" s="12">
        <v>110744</v>
      </c>
    </row>
    <row r="2822" spans="1:8">
      <c r="A2822" s="12" t="s">
        <v>10242</v>
      </c>
      <c r="B2822" s="13">
        <v>0</v>
      </c>
      <c r="C2822" s="16" t="s">
        <v>9707</v>
      </c>
      <c r="D2822" s="12">
        <v>71518</v>
      </c>
      <c r="E2822" s="12" t="s">
        <v>5332</v>
      </c>
      <c r="F2822" s="12" t="s">
        <v>5328</v>
      </c>
      <c r="G2822" s="12" t="s">
        <v>10243</v>
      </c>
      <c r="H2822" s="12">
        <v>110745</v>
      </c>
    </row>
    <row r="2823" spans="1:8">
      <c r="A2823" s="12" t="s">
        <v>10244</v>
      </c>
      <c r="B2823" s="13">
        <v>0</v>
      </c>
      <c r="C2823" s="16" t="s">
        <v>9707</v>
      </c>
      <c r="D2823" s="12">
        <v>40554</v>
      </c>
      <c r="E2823" s="12" t="s">
        <v>5332</v>
      </c>
      <c r="F2823" s="12" t="s">
        <v>5328</v>
      </c>
      <c r="G2823" s="12" t="s">
        <v>10245</v>
      </c>
      <c r="H2823" s="12">
        <v>110746</v>
      </c>
    </row>
    <row r="2824" spans="1:8">
      <c r="A2824" s="12" t="s">
        <v>10246</v>
      </c>
      <c r="B2824" s="13">
        <v>0</v>
      </c>
      <c r="C2824" s="16" t="s">
        <v>9707</v>
      </c>
      <c r="D2824" s="12">
        <v>59551</v>
      </c>
      <c r="E2824" s="12" t="s">
        <v>5332</v>
      </c>
      <c r="F2824" s="12" t="s">
        <v>5328</v>
      </c>
      <c r="G2824" s="12" t="s">
        <v>10247</v>
      </c>
      <c r="H2824" s="12">
        <v>110747</v>
      </c>
    </row>
    <row r="2825" spans="1:8">
      <c r="A2825" s="12" t="s">
        <v>10248</v>
      </c>
      <c r="B2825" s="13">
        <v>0</v>
      </c>
      <c r="C2825" s="16" t="s">
        <v>9707</v>
      </c>
      <c r="D2825" s="12">
        <v>78547</v>
      </c>
      <c r="E2825" s="12" t="s">
        <v>5332</v>
      </c>
      <c r="F2825" s="12" t="s">
        <v>5328</v>
      </c>
      <c r="G2825" s="12" t="s">
        <v>10249</v>
      </c>
      <c r="H2825" s="12">
        <v>110748</v>
      </c>
    </row>
    <row r="2826" spans="1:8">
      <c r="A2826" s="12" t="s">
        <v>10250</v>
      </c>
      <c r="B2826" s="13">
        <v>0</v>
      </c>
      <c r="C2826" s="16" t="s">
        <v>9707</v>
      </c>
      <c r="D2826" s="12">
        <v>96050</v>
      </c>
      <c r="E2826" s="12" t="s">
        <v>5332</v>
      </c>
      <c r="F2826" s="12" t="s">
        <v>5328</v>
      </c>
      <c r="G2826" s="12" t="s">
        <v>10251</v>
      </c>
      <c r="H2826" s="12">
        <v>110749</v>
      </c>
    </row>
    <row r="2827" spans="1:8">
      <c r="A2827" s="12" t="s">
        <v>10252</v>
      </c>
      <c r="B2827" s="13">
        <v>0</v>
      </c>
      <c r="C2827" s="16" t="s">
        <v>5331</v>
      </c>
      <c r="D2827" s="12">
        <v>2000</v>
      </c>
      <c r="E2827" s="12" t="s">
        <v>5332</v>
      </c>
      <c r="F2827" s="12" t="s">
        <v>5328</v>
      </c>
      <c r="G2827" s="12" t="s">
        <v>10253</v>
      </c>
      <c r="H2827" s="12">
        <v>114529</v>
      </c>
    </row>
    <row r="2828" spans="1:8">
      <c r="A2828" s="12" t="s">
        <v>10254</v>
      </c>
      <c r="B2828" s="13">
        <v>0</v>
      </c>
      <c r="C2828" s="16" t="s">
        <v>5331</v>
      </c>
      <c r="D2828" s="12">
        <v>5000</v>
      </c>
      <c r="E2828" s="12" t="s">
        <v>5332</v>
      </c>
      <c r="F2828" s="12" t="s">
        <v>5328</v>
      </c>
      <c r="G2828" s="12" t="s">
        <v>10255</v>
      </c>
      <c r="H2828" s="12">
        <v>114530</v>
      </c>
    </row>
    <row r="2829" spans="1:8">
      <c r="A2829" s="12" t="s">
        <v>10256</v>
      </c>
      <c r="B2829" s="13">
        <v>0</v>
      </c>
      <c r="C2829" s="16" t="s">
        <v>5331</v>
      </c>
      <c r="D2829" s="12">
        <v>7000</v>
      </c>
      <c r="E2829" s="12" t="s">
        <v>5332</v>
      </c>
      <c r="F2829" s="12" t="s">
        <v>5328</v>
      </c>
      <c r="G2829" s="12" t="s">
        <v>10257</v>
      </c>
      <c r="H2829" s="12">
        <v>114531</v>
      </c>
    </row>
    <row r="2830" spans="1:8">
      <c r="A2830" s="12" t="s">
        <v>10258</v>
      </c>
      <c r="B2830" s="13">
        <v>0</v>
      </c>
      <c r="C2830" s="16" t="s">
        <v>5331</v>
      </c>
      <c r="D2830" s="12">
        <v>10000</v>
      </c>
      <c r="E2830" s="12" t="s">
        <v>5332</v>
      </c>
      <c r="F2830" s="12" t="s">
        <v>5328</v>
      </c>
      <c r="G2830" s="12" t="s">
        <v>10259</v>
      </c>
      <c r="H2830" s="12">
        <v>114532</v>
      </c>
    </row>
    <row r="2831" spans="1:8">
      <c r="A2831" s="12" t="s">
        <v>10260</v>
      </c>
      <c r="B2831" s="13">
        <v>0</v>
      </c>
      <c r="C2831" s="16" t="s">
        <v>5331</v>
      </c>
      <c r="D2831" s="12">
        <v>12500</v>
      </c>
      <c r="E2831" s="12" t="s">
        <v>5332</v>
      </c>
      <c r="F2831" s="12" t="s">
        <v>5328</v>
      </c>
      <c r="G2831" s="12" t="s">
        <v>10261</v>
      </c>
      <c r="H2831" s="12">
        <v>114533</v>
      </c>
    </row>
    <row r="2832" spans="1:8">
      <c r="A2832" s="12" t="s">
        <v>10262</v>
      </c>
      <c r="B2832" s="13">
        <v>0</v>
      </c>
      <c r="C2832" s="16" t="s">
        <v>5331</v>
      </c>
      <c r="D2832" s="12">
        <v>15000</v>
      </c>
      <c r="E2832" s="12" t="s">
        <v>5332</v>
      </c>
      <c r="F2832" s="12" t="s">
        <v>5328</v>
      </c>
      <c r="G2832" s="12" t="s">
        <v>10263</v>
      </c>
      <c r="H2832" s="12">
        <v>114534</v>
      </c>
    </row>
    <row r="2833" spans="1:8">
      <c r="A2833" s="12" t="s">
        <v>10264</v>
      </c>
      <c r="B2833" s="13">
        <v>0</v>
      </c>
      <c r="C2833" s="16" t="s">
        <v>5331</v>
      </c>
      <c r="D2833" s="12">
        <v>17160</v>
      </c>
      <c r="E2833" s="12" t="s">
        <v>5332</v>
      </c>
      <c r="F2833" s="12" t="s">
        <v>5328</v>
      </c>
      <c r="G2833" s="12" t="s">
        <v>10265</v>
      </c>
      <c r="H2833" s="12">
        <v>118934</v>
      </c>
    </row>
    <row r="2834" spans="1:8">
      <c r="A2834" s="12" t="s">
        <v>10266</v>
      </c>
      <c r="B2834" s="13">
        <v>0</v>
      </c>
      <c r="C2834" s="16" t="s">
        <v>5331</v>
      </c>
      <c r="D2834" s="12">
        <v>23100</v>
      </c>
      <c r="E2834" s="12" t="s">
        <v>5332</v>
      </c>
      <c r="F2834" s="12" t="s">
        <v>5328</v>
      </c>
      <c r="G2834" s="12" t="s">
        <v>10267</v>
      </c>
      <c r="H2834" s="12">
        <v>118935</v>
      </c>
    </row>
    <row r="2835" spans="1:8">
      <c r="A2835" s="12" t="s">
        <v>10268</v>
      </c>
      <c r="B2835" s="13">
        <v>0</v>
      </c>
      <c r="C2835" s="16" t="s">
        <v>5331</v>
      </c>
      <c r="D2835" s="12">
        <v>25724</v>
      </c>
      <c r="E2835" s="12" t="s">
        <v>5332</v>
      </c>
      <c r="F2835" s="12" t="s">
        <v>5328</v>
      </c>
      <c r="G2835" s="12" t="s">
        <v>10269</v>
      </c>
      <c r="H2835" s="12">
        <v>118936</v>
      </c>
    </row>
    <row r="2836" spans="1:8">
      <c r="A2836" s="12" t="s">
        <v>10270</v>
      </c>
      <c r="B2836" s="13">
        <v>0</v>
      </c>
      <c r="C2836" s="16" t="s">
        <v>5331</v>
      </c>
      <c r="D2836" s="12">
        <v>27500</v>
      </c>
      <c r="E2836" s="12" t="s">
        <v>5332</v>
      </c>
      <c r="F2836" s="12" t="s">
        <v>5328</v>
      </c>
      <c r="G2836" s="12" t="s">
        <v>10271</v>
      </c>
      <c r="H2836" s="12">
        <v>118937</v>
      </c>
    </row>
    <row r="2837" spans="1:8">
      <c r="A2837" s="12" t="s">
        <v>10272</v>
      </c>
      <c r="B2837" s="13">
        <v>0</v>
      </c>
      <c r="C2837" s="16" t="s">
        <v>5331</v>
      </c>
      <c r="D2837" s="12">
        <v>7718</v>
      </c>
      <c r="E2837" s="12" t="s">
        <v>5332</v>
      </c>
      <c r="F2837" s="12" t="s">
        <v>5328</v>
      </c>
      <c r="G2837" s="12" t="s">
        <v>10273</v>
      </c>
      <c r="H2837" s="12">
        <v>118833</v>
      </c>
    </row>
    <row r="2838" spans="1:8">
      <c r="A2838" s="12" t="s">
        <v>10274</v>
      </c>
      <c r="B2838" s="13">
        <v>0</v>
      </c>
      <c r="C2838" s="16" t="s">
        <v>5331</v>
      </c>
      <c r="D2838" s="12">
        <v>5300</v>
      </c>
      <c r="E2838" s="12" t="s">
        <v>5332</v>
      </c>
      <c r="F2838" s="12" t="s">
        <v>5328</v>
      </c>
      <c r="G2838" s="12" t="s">
        <v>10275</v>
      </c>
      <c r="H2838" s="12">
        <v>145925</v>
      </c>
    </row>
    <row r="2839" spans="1:8">
      <c r="A2839" s="12" t="s">
        <v>10276</v>
      </c>
      <c r="B2839" s="13">
        <v>0</v>
      </c>
      <c r="C2839" s="16" t="s">
        <v>5331</v>
      </c>
      <c r="D2839" s="12">
        <v>12500</v>
      </c>
      <c r="E2839" s="12" t="s">
        <v>5332</v>
      </c>
      <c r="F2839" s="12" t="s">
        <v>5328</v>
      </c>
      <c r="G2839" s="12" t="s">
        <v>10277</v>
      </c>
      <c r="H2839" s="12">
        <v>145926</v>
      </c>
    </row>
    <row r="2840" spans="1:8">
      <c r="A2840" s="12" t="s">
        <v>10278</v>
      </c>
      <c r="B2840" s="13">
        <v>0</v>
      </c>
      <c r="C2840" s="16" t="s">
        <v>5331</v>
      </c>
      <c r="D2840" s="12">
        <v>10000</v>
      </c>
      <c r="E2840" s="12" t="s">
        <v>5332</v>
      </c>
      <c r="F2840" s="12" t="s">
        <v>5328</v>
      </c>
      <c r="G2840" s="12" t="s">
        <v>10279</v>
      </c>
      <c r="H2840" s="12">
        <v>164434</v>
      </c>
    </row>
    <row r="2841" spans="1:8">
      <c r="A2841" s="12" t="s">
        <v>10280</v>
      </c>
      <c r="B2841" s="13">
        <v>0</v>
      </c>
      <c r="C2841" s="16" t="s">
        <v>5331</v>
      </c>
      <c r="D2841" s="12">
        <v>1000</v>
      </c>
      <c r="E2841" s="12" t="s">
        <v>5332</v>
      </c>
      <c r="F2841" s="12" t="s">
        <v>5328</v>
      </c>
      <c r="G2841" s="12" t="s">
        <v>10281</v>
      </c>
      <c r="H2841" s="12">
        <v>164435</v>
      </c>
    </row>
    <row r="2842" spans="1:8">
      <c r="A2842" s="12" t="s">
        <v>10282</v>
      </c>
      <c r="B2842" s="13">
        <v>0</v>
      </c>
      <c r="C2842" s="16" t="s">
        <v>5331</v>
      </c>
      <c r="D2842" s="12">
        <v>3353</v>
      </c>
      <c r="E2842" s="12" t="s">
        <v>5332</v>
      </c>
      <c r="F2842" s="12" t="s">
        <v>5328</v>
      </c>
      <c r="G2842" s="12" t="s">
        <v>10283</v>
      </c>
      <c r="H2842" s="12">
        <v>184336</v>
      </c>
    </row>
    <row r="2843" spans="1:8">
      <c r="A2843" s="12" t="s">
        <v>10284</v>
      </c>
      <c r="B2843" s="13">
        <v>0</v>
      </c>
      <c r="C2843" s="16" t="s">
        <v>5331</v>
      </c>
      <c r="D2843" s="12">
        <v>270</v>
      </c>
      <c r="E2843" s="12" t="s">
        <v>5332</v>
      </c>
      <c r="F2843" s="12" t="s">
        <v>5328</v>
      </c>
      <c r="G2843" s="12" t="s">
        <v>10285</v>
      </c>
      <c r="H2843" s="12">
        <v>186383</v>
      </c>
    </row>
    <row r="2844" spans="1:8">
      <c r="A2844" s="12" t="s">
        <v>10286</v>
      </c>
      <c r="B2844" s="13">
        <v>0</v>
      </c>
      <c r="C2844" s="16" t="s">
        <v>5331</v>
      </c>
      <c r="D2844" s="12">
        <v>2100</v>
      </c>
      <c r="E2844" s="12" t="s">
        <v>5332</v>
      </c>
      <c r="F2844" s="12" t="s">
        <v>5328</v>
      </c>
      <c r="G2844" s="12" t="s">
        <v>10287</v>
      </c>
      <c r="H2844" s="12">
        <v>199601</v>
      </c>
    </row>
    <row r="2845" spans="1:8">
      <c r="A2845" s="12" t="s">
        <v>10288</v>
      </c>
      <c r="B2845" s="13">
        <v>0</v>
      </c>
      <c r="C2845" s="16" t="s">
        <v>5331</v>
      </c>
      <c r="D2845" s="12">
        <v>6300</v>
      </c>
      <c r="E2845" s="12" t="s">
        <v>5332</v>
      </c>
      <c r="F2845" s="12" t="s">
        <v>5328</v>
      </c>
      <c r="G2845" s="12" t="s">
        <v>10289</v>
      </c>
      <c r="H2845" s="12">
        <v>199602</v>
      </c>
    </row>
    <row r="2846" spans="1:8">
      <c r="A2846" s="12" t="s">
        <v>10290</v>
      </c>
      <c r="B2846" s="13">
        <v>0</v>
      </c>
      <c r="C2846" s="16" t="s">
        <v>5331</v>
      </c>
      <c r="D2846" s="12">
        <v>11550</v>
      </c>
      <c r="E2846" s="12" t="s">
        <v>5332</v>
      </c>
      <c r="F2846" s="12" t="s">
        <v>5328</v>
      </c>
      <c r="G2846" s="12" t="s">
        <v>10291</v>
      </c>
      <c r="H2846" s="12">
        <v>199603</v>
      </c>
    </row>
    <row r="2847" spans="1:8">
      <c r="A2847" s="12" t="s">
        <v>10292</v>
      </c>
      <c r="B2847" s="13">
        <v>0</v>
      </c>
      <c r="C2847" s="16" t="s">
        <v>5331</v>
      </c>
      <c r="D2847" s="12">
        <v>2100</v>
      </c>
      <c r="E2847" s="12" t="s">
        <v>5332</v>
      </c>
      <c r="F2847" s="12" t="s">
        <v>5328</v>
      </c>
      <c r="G2847" s="12" t="s">
        <v>10293</v>
      </c>
      <c r="H2847" s="12">
        <v>199604</v>
      </c>
    </row>
    <row r="2848" spans="1:8">
      <c r="A2848" s="12" t="s">
        <v>10294</v>
      </c>
      <c r="B2848" s="13">
        <v>0</v>
      </c>
      <c r="C2848" s="16" t="s">
        <v>5331</v>
      </c>
      <c r="D2848" s="12">
        <v>3000</v>
      </c>
      <c r="E2848" s="12" t="s">
        <v>5332</v>
      </c>
      <c r="F2848" s="12" t="s">
        <v>5328</v>
      </c>
      <c r="G2848" s="12" t="s">
        <v>10295</v>
      </c>
      <c r="H2848" s="12">
        <v>257204</v>
      </c>
    </row>
    <row r="2849" spans="1:8">
      <c r="A2849" s="12" t="s">
        <v>10296</v>
      </c>
      <c r="B2849" s="13">
        <v>0</v>
      </c>
      <c r="C2849" s="16" t="s">
        <v>5331</v>
      </c>
      <c r="D2849" s="12">
        <v>9900</v>
      </c>
      <c r="E2849" s="12" t="s">
        <v>5332</v>
      </c>
      <c r="F2849" s="12" t="s">
        <v>5328</v>
      </c>
      <c r="G2849" s="12" t="s">
        <v>10297</v>
      </c>
      <c r="H2849" s="12">
        <v>257205</v>
      </c>
    </row>
    <row r="2850" spans="1:8">
      <c r="A2850" s="12" t="s">
        <v>10298</v>
      </c>
      <c r="B2850" s="13">
        <v>0</v>
      </c>
      <c r="C2850" s="16" t="s">
        <v>5331</v>
      </c>
      <c r="D2850" s="12">
        <v>10000</v>
      </c>
      <c r="E2850" s="12" t="s">
        <v>5332</v>
      </c>
      <c r="F2850" s="12" t="s">
        <v>5328</v>
      </c>
      <c r="G2850" s="12" t="s">
        <v>10299</v>
      </c>
      <c r="H2850" s="12">
        <v>257206</v>
      </c>
    </row>
    <row r="2851" spans="1:8">
      <c r="A2851" s="12" t="s">
        <v>10300</v>
      </c>
      <c r="B2851" s="13">
        <v>0</v>
      </c>
      <c r="C2851" s="16" t="s">
        <v>5331</v>
      </c>
      <c r="D2851" s="12">
        <v>44711</v>
      </c>
      <c r="E2851" s="12" t="s">
        <v>5332</v>
      </c>
      <c r="F2851" s="12" t="s">
        <v>5328</v>
      </c>
      <c r="G2851" s="12" t="s">
        <v>10301</v>
      </c>
      <c r="H2851" s="12">
        <v>225310</v>
      </c>
    </row>
    <row r="2852" spans="1:8">
      <c r="A2852" s="12" t="s">
        <v>10302</v>
      </c>
      <c r="B2852" s="13">
        <v>0</v>
      </c>
      <c r="C2852" s="16" t="s">
        <v>5331</v>
      </c>
      <c r="D2852" s="12">
        <v>35000</v>
      </c>
      <c r="E2852" s="12" t="s">
        <v>5332</v>
      </c>
      <c r="F2852" s="12" t="s">
        <v>5328</v>
      </c>
      <c r="G2852" s="12" t="s">
        <v>10303</v>
      </c>
      <c r="H2852" s="12">
        <v>225311</v>
      </c>
    </row>
    <row r="2853" spans="1:8">
      <c r="A2853" s="12" t="s">
        <v>10304</v>
      </c>
      <c r="B2853" s="13">
        <v>0</v>
      </c>
      <c r="C2853" s="16" t="s">
        <v>5331</v>
      </c>
      <c r="D2853" s="12">
        <v>18665</v>
      </c>
      <c r="E2853" s="12" t="s">
        <v>5332</v>
      </c>
      <c r="F2853" s="12" t="s">
        <v>5328</v>
      </c>
      <c r="G2853" s="12" t="s">
        <v>10305</v>
      </c>
      <c r="H2853" s="12">
        <v>270533</v>
      </c>
    </row>
    <row r="2854" spans="1:8">
      <c r="A2854" s="12" t="s">
        <v>10306</v>
      </c>
      <c r="B2854" s="13">
        <v>0</v>
      </c>
      <c r="C2854" s="16" t="s">
        <v>5331</v>
      </c>
      <c r="D2854" s="12">
        <v>22220</v>
      </c>
      <c r="E2854" s="12" t="s">
        <v>5332</v>
      </c>
      <c r="F2854" s="12" t="s">
        <v>5328</v>
      </c>
      <c r="G2854" s="12" t="s">
        <v>10307</v>
      </c>
      <c r="H2854" s="12">
        <v>270534</v>
      </c>
    </row>
    <row r="2855" spans="1:8">
      <c r="A2855" s="12" t="s">
        <v>10308</v>
      </c>
      <c r="B2855" s="13">
        <v>0</v>
      </c>
      <c r="C2855" s="16" t="s">
        <v>5331</v>
      </c>
      <c r="D2855" s="12">
        <v>22220</v>
      </c>
      <c r="E2855" s="12" t="s">
        <v>5332</v>
      </c>
      <c r="F2855" s="12" t="s">
        <v>5328</v>
      </c>
      <c r="G2855" s="12" t="s">
        <v>10309</v>
      </c>
      <c r="H2855" s="12">
        <v>270535</v>
      </c>
    </row>
    <row r="2856" spans="1:8">
      <c r="A2856" s="12" t="s">
        <v>10310</v>
      </c>
      <c r="B2856" s="13">
        <v>0</v>
      </c>
      <c r="C2856" s="16" t="s">
        <v>5331</v>
      </c>
      <c r="D2856" s="12">
        <v>72072</v>
      </c>
      <c r="E2856" s="12" t="s">
        <v>5332</v>
      </c>
      <c r="F2856" s="12" t="s">
        <v>5328</v>
      </c>
      <c r="G2856" s="12" t="s">
        <v>10311</v>
      </c>
      <c r="H2856" s="12">
        <v>270634</v>
      </c>
    </row>
    <row r="2857" spans="1:8">
      <c r="A2857" s="12" t="s">
        <v>10312</v>
      </c>
      <c r="B2857" s="13">
        <v>0</v>
      </c>
      <c r="C2857" s="16" t="s">
        <v>5331</v>
      </c>
      <c r="D2857" s="12">
        <v>20720</v>
      </c>
      <c r="E2857" s="12" t="s">
        <v>5332</v>
      </c>
      <c r="F2857" s="12" t="s">
        <v>5328</v>
      </c>
      <c r="G2857" s="12" t="s">
        <v>10313</v>
      </c>
      <c r="H2857" s="12">
        <v>270635</v>
      </c>
    </row>
    <row r="2858" spans="1:8">
      <c r="A2858" s="12" t="s">
        <v>10314</v>
      </c>
      <c r="B2858" s="13">
        <v>0</v>
      </c>
      <c r="C2858" s="16" t="s">
        <v>5331</v>
      </c>
      <c r="D2858" s="12">
        <v>19120</v>
      </c>
      <c r="E2858" s="12" t="s">
        <v>5332</v>
      </c>
      <c r="F2858" s="12" t="s">
        <v>5328</v>
      </c>
      <c r="G2858" s="12" t="s">
        <v>10315</v>
      </c>
      <c r="H2858" s="12">
        <v>270636</v>
      </c>
    </row>
    <row r="2859" spans="1:8">
      <c r="A2859" s="12" t="s">
        <v>10316</v>
      </c>
      <c r="B2859" s="13">
        <v>0</v>
      </c>
      <c r="C2859" s="16" t="s">
        <v>5331</v>
      </c>
      <c r="D2859" s="12">
        <v>28720</v>
      </c>
      <c r="E2859" s="12" t="s">
        <v>5332</v>
      </c>
      <c r="F2859" s="12" t="s">
        <v>5328</v>
      </c>
      <c r="G2859" s="12" t="s">
        <v>10317</v>
      </c>
      <c r="H2859" s="12">
        <v>270637</v>
      </c>
    </row>
    <row r="2860" spans="1:8">
      <c r="A2860" s="12" t="s">
        <v>10318</v>
      </c>
      <c r="B2860" s="13">
        <v>0</v>
      </c>
      <c r="C2860" s="16" t="s">
        <v>5331</v>
      </c>
      <c r="D2860" s="12">
        <v>17094</v>
      </c>
      <c r="E2860" s="12" t="s">
        <v>5332</v>
      </c>
      <c r="F2860" s="12" t="s">
        <v>5328</v>
      </c>
      <c r="G2860" s="12" t="s">
        <v>10319</v>
      </c>
      <c r="H2860" s="12">
        <v>280332</v>
      </c>
    </row>
    <row r="2861" spans="1:8">
      <c r="A2861" s="12" t="s">
        <v>10320</v>
      </c>
      <c r="B2861" s="13">
        <v>0</v>
      </c>
      <c r="C2861" s="16" t="s">
        <v>5331</v>
      </c>
      <c r="D2861" s="12">
        <v>17094</v>
      </c>
      <c r="E2861" s="12" t="s">
        <v>5332</v>
      </c>
      <c r="F2861" s="12" t="s">
        <v>5328</v>
      </c>
      <c r="G2861" s="12" t="s">
        <v>10321</v>
      </c>
      <c r="H2861" s="12">
        <v>280333</v>
      </c>
    </row>
    <row r="2862" spans="1:8">
      <c r="A2862" s="12" t="s">
        <v>10322</v>
      </c>
      <c r="B2862" s="13">
        <v>0</v>
      </c>
      <c r="C2862" s="16" t="s">
        <v>5331</v>
      </c>
      <c r="D2862" s="12">
        <v>15774</v>
      </c>
      <c r="E2862" s="12" t="s">
        <v>5332</v>
      </c>
      <c r="F2862" s="12" t="s">
        <v>5328</v>
      </c>
      <c r="G2862" s="12" t="s">
        <v>10323</v>
      </c>
      <c r="H2862" s="12">
        <v>280334</v>
      </c>
    </row>
    <row r="2863" spans="1:8">
      <c r="A2863" s="12" t="s">
        <v>10324</v>
      </c>
      <c r="B2863" s="13">
        <v>0</v>
      </c>
      <c r="C2863" s="16" t="s">
        <v>5331</v>
      </c>
      <c r="D2863" s="12">
        <v>23694</v>
      </c>
      <c r="E2863" s="12" t="s">
        <v>5332</v>
      </c>
      <c r="F2863" s="12" t="s">
        <v>5328</v>
      </c>
      <c r="G2863" s="12" t="s">
        <v>10325</v>
      </c>
      <c r="H2863" s="12">
        <v>280335</v>
      </c>
    </row>
    <row r="2864" spans="1:8">
      <c r="A2864" s="12" t="s">
        <v>10326</v>
      </c>
      <c r="B2864" s="13">
        <v>0</v>
      </c>
      <c r="C2864" s="16" t="s">
        <v>5331</v>
      </c>
      <c r="D2864" s="12">
        <v>33594</v>
      </c>
      <c r="E2864" s="12" t="s">
        <v>5332</v>
      </c>
      <c r="F2864" s="12" t="s">
        <v>5328</v>
      </c>
      <c r="G2864" s="12" t="s">
        <v>10327</v>
      </c>
      <c r="H2864" s="12">
        <v>280336</v>
      </c>
    </row>
    <row r="2865" spans="1:8">
      <c r="A2865" s="12" t="s">
        <v>10328</v>
      </c>
      <c r="B2865" s="13">
        <v>0</v>
      </c>
      <c r="C2865" s="16" t="s">
        <v>5331</v>
      </c>
      <c r="D2865" s="12">
        <v>5907</v>
      </c>
      <c r="E2865" s="12" t="s">
        <v>5332</v>
      </c>
      <c r="F2865" s="12" t="s">
        <v>5328</v>
      </c>
      <c r="G2865" s="12" t="s">
        <v>10329</v>
      </c>
      <c r="H2865" s="12">
        <v>280337</v>
      </c>
    </row>
    <row r="2866" spans="1:8">
      <c r="A2866" s="12" t="s">
        <v>10330</v>
      </c>
      <c r="B2866" s="13">
        <v>0</v>
      </c>
      <c r="C2866" s="16" t="s">
        <v>5331</v>
      </c>
      <c r="D2866" s="12">
        <v>5907</v>
      </c>
      <c r="E2866" s="12" t="s">
        <v>5332</v>
      </c>
      <c r="F2866" s="12" t="s">
        <v>5328</v>
      </c>
      <c r="G2866" s="12" t="s">
        <v>10331</v>
      </c>
      <c r="H2866" s="12">
        <v>280338</v>
      </c>
    </row>
    <row r="2867" spans="1:8">
      <c r="A2867" s="12" t="s">
        <v>10332</v>
      </c>
      <c r="B2867" s="13">
        <v>0</v>
      </c>
      <c r="C2867" s="16" t="s">
        <v>5331</v>
      </c>
      <c r="D2867" s="12">
        <v>8547</v>
      </c>
      <c r="E2867" s="12" t="s">
        <v>5332</v>
      </c>
      <c r="F2867" s="12" t="s">
        <v>5328</v>
      </c>
      <c r="G2867" s="12" t="s">
        <v>10333</v>
      </c>
      <c r="H2867" s="12">
        <v>280339</v>
      </c>
    </row>
    <row r="2868" spans="1:8">
      <c r="A2868" s="12" t="s">
        <v>10334</v>
      </c>
      <c r="B2868" s="13">
        <v>0</v>
      </c>
      <c r="C2868" s="16" t="s">
        <v>5331</v>
      </c>
      <c r="D2868" s="12">
        <v>8547</v>
      </c>
      <c r="E2868" s="12" t="s">
        <v>5332</v>
      </c>
      <c r="F2868" s="12" t="s">
        <v>5328</v>
      </c>
      <c r="G2868" s="12" t="s">
        <v>10335</v>
      </c>
      <c r="H2868" s="12">
        <v>280340</v>
      </c>
    </row>
    <row r="2869" spans="1:8">
      <c r="A2869" s="12" t="s">
        <v>10336</v>
      </c>
      <c r="B2869" s="13">
        <v>0</v>
      </c>
      <c r="C2869" s="16" t="s">
        <v>5331</v>
      </c>
      <c r="D2869" s="12">
        <v>7887</v>
      </c>
      <c r="E2869" s="12" t="s">
        <v>5332</v>
      </c>
      <c r="F2869" s="12" t="s">
        <v>5328</v>
      </c>
      <c r="G2869" s="12" t="s">
        <v>10337</v>
      </c>
      <c r="H2869" s="12">
        <v>280341</v>
      </c>
    </row>
    <row r="2870" spans="1:8">
      <c r="A2870" s="12" t="s">
        <v>10338</v>
      </c>
      <c r="B2870" s="13">
        <v>0</v>
      </c>
      <c r="C2870" s="16" t="s">
        <v>5331</v>
      </c>
      <c r="D2870" s="12">
        <v>11847</v>
      </c>
      <c r="E2870" s="12" t="s">
        <v>5332</v>
      </c>
      <c r="F2870" s="12" t="s">
        <v>5328</v>
      </c>
      <c r="G2870" s="12" t="s">
        <v>10339</v>
      </c>
      <c r="H2870" s="12">
        <v>280342</v>
      </c>
    </row>
    <row r="2871" spans="1:8">
      <c r="A2871" s="12" t="s">
        <v>10340</v>
      </c>
      <c r="B2871" s="13">
        <v>0</v>
      </c>
      <c r="C2871" s="16" t="s">
        <v>5331</v>
      </c>
      <c r="D2871" s="12">
        <v>16797</v>
      </c>
      <c r="E2871" s="12" t="s">
        <v>5332</v>
      </c>
      <c r="F2871" s="12" t="s">
        <v>5328</v>
      </c>
      <c r="G2871" s="12" t="s">
        <v>10341</v>
      </c>
      <c r="H2871" s="12">
        <v>280343</v>
      </c>
    </row>
    <row r="2872" spans="1:8">
      <c r="A2872" s="12" t="s">
        <v>10342</v>
      </c>
      <c r="B2872" s="13">
        <v>0</v>
      </c>
      <c r="C2872" s="16" t="s">
        <v>5331</v>
      </c>
      <c r="D2872" s="12">
        <v>11026</v>
      </c>
      <c r="E2872" s="12" t="s">
        <v>5332</v>
      </c>
      <c r="F2872" s="12" t="s">
        <v>5328</v>
      </c>
      <c r="G2872" s="12" t="s">
        <v>10343</v>
      </c>
      <c r="H2872" s="12">
        <v>280344</v>
      </c>
    </row>
    <row r="2873" spans="1:8">
      <c r="A2873" s="12" t="s">
        <v>10344</v>
      </c>
      <c r="B2873" s="13">
        <v>0</v>
      </c>
      <c r="C2873" s="16" t="s">
        <v>5331</v>
      </c>
      <c r="D2873" s="12">
        <v>11026</v>
      </c>
      <c r="E2873" s="12" t="s">
        <v>5332</v>
      </c>
      <c r="F2873" s="12" t="s">
        <v>5328</v>
      </c>
      <c r="G2873" s="12" t="s">
        <v>10345</v>
      </c>
      <c r="H2873" s="12">
        <v>280345</v>
      </c>
    </row>
    <row r="2874" spans="1:8">
      <c r="A2874" s="12" t="s">
        <v>10346</v>
      </c>
      <c r="B2874" s="13">
        <v>0</v>
      </c>
      <c r="C2874" s="16" t="s">
        <v>5331</v>
      </c>
      <c r="D2874" s="12">
        <v>15954</v>
      </c>
      <c r="E2874" s="12" t="s">
        <v>5332</v>
      </c>
      <c r="F2874" s="12" t="s">
        <v>5328</v>
      </c>
      <c r="G2874" s="12" t="s">
        <v>10347</v>
      </c>
      <c r="H2874" s="12">
        <v>280346</v>
      </c>
    </row>
    <row r="2875" spans="1:8">
      <c r="A2875" s="12" t="s">
        <v>10348</v>
      </c>
      <c r="B2875" s="13">
        <v>0</v>
      </c>
      <c r="C2875" s="16" t="s">
        <v>5331</v>
      </c>
      <c r="D2875" s="12">
        <v>15954</v>
      </c>
      <c r="E2875" s="12" t="s">
        <v>5332</v>
      </c>
      <c r="F2875" s="12" t="s">
        <v>5328</v>
      </c>
      <c r="G2875" s="12" t="s">
        <v>10349</v>
      </c>
      <c r="H2875" s="12">
        <v>280347</v>
      </c>
    </row>
    <row r="2876" spans="1:8">
      <c r="A2876" s="12" t="s">
        <v>10350</v>
      </c>
      <c r="B2876" s="13">
        <v>0</v>
      </c>
      <c r="C2876" s="16" t="s">
        <v>5331</v>
      </c>
      <c r="D2876" s="12">
        <v>14722</v>
      </c>
      <c r="E2876" s="12" t="s">
        <v>5332</v>
      </c>
      <c r="F2876" s="12" t="s">
        <v>5328</v>
      </c>
      <c r="G2876" s="12" t="s">
        <v>10351</v>
      </c>
      <c r="H2876" s="12">
        <v>280348</v>
      </c>
    </row>
    <row r="2877" spans="1:8">
      <c r="A2877" s="12" t="s">
        <v>10352</v>
      </c>
      <c r="B2877" s="13">
        <v>0</v>
      </c>
      <c r="C2877" s="16" t="s">
        <v>5331</v>
      </c>
      <c r="D2877" s="12">
        <v>22114</v>
      </c>
      <c r="E2877" s="12" t="s">
        <v>5332</v>
      </c>
      <c r="F2877" s="12" t="s">
        <v>5328</v>
      </c>
      <c r="G2877" s="12" t="s">
        <v>10353</v>
      </c>
      <c r="H2877" s="12">
        <v>280349</v>
      </c>
    </row>
    <row r="2878" spans="1:8">
      <c r="A2878" s="12" t="s">
        <v>10354</v>
      </c>
      <c r="B2878" s="13">
        <v>0</v>
      </c>
      <c r="C2878" s="16" t="s">
        <v>5331</v>
      </c>
      <c r="D2878" s="12">
        <v>31354</v>
      </c>
      <c r="E2878" s="12" t="s">
        <v>5332</v>
      </c>
      <c r="F2878" s="12" t="s">
        <v>5328</v>
      </c>
      <c r="G2878" s="12" t="s">
        <v>10355</v>
      </c>
      <c r="H2878" s="12">
        <v>280350</v>
      </c>
    </row>
    <row r="2879" spans="1:8">
      <c r="A2879" s="12" t="s">
        <v>10356</v>
      </c>
      <c r="B2879" s="13">
        <v>0</v>
      </c>
      <c r="C2879" s="16" t="s">
        <v>5331</v>
      </c>
      <c r="D2879" s="12">
        <v>15752</v>
      </c>
      <c r="E2879" s="12" t="s">
        <v>5332</v>
      </c>
      <c r="F2879" s="12" t="s">
        <v>5328</v>
      </c>
      <c r="G2879" s="12" t="s">
        <v>10357</v>
      </c>
      <c r="H2879" s="12">
        <v>280323</v>
      </c>
    </row>
    <row r="2880" spans="1:8">
      <c r="A2880" s="12" t="s">
        <v>10358</v>
      </c>
      <c r="B2880" s="13">
        <v>0</v>
      </c>
      <c r="C2880" s="16" t="s">
        <v>5331</v>
      </c>
      <c r="D2880" s="12">
        <v>15752</v>
      </c>
      <c r="E2880" s="12" t="s">
        <v>5332</v>
      </c>
      <c r="F2880" s="12" t="s">
        <v>5328</v>
      </c>
      <c r="G2880" s="12" t="s">
        <v>10359</v>
      </c>
      <c r="H2880" s="12">
        <v>280324</v>
      </c>
    </row>
    <row r="2881" spans="1:8">
      <c r="A2881" s="12" t="s">
        <v>10360</v>
      </c>
      <c r="B2881" s="13">
        <v>0</v>
      </c>
      <c r="C2881" s="16" t="s">
        <v>5331</v>
      </c>
      <c r="D2881" s="12">
        <v>22792</v>
      </c>
      <c r="E2881" s="12" t="s">
        <v>5332</v>
      </c>
      <c r="F2881" s="12" t="s">
        <v>5328</v>
      </c>
      <c r="G2881" s="12" t="s">
        <v>10361</v>
      </c>
      <c r="H2881" s="12">
        <v>280325</v>
      </c>
    </row>
    <row r="2882" spans="1:8">
      <c r="A2882" s="12" t="s">
        <v>10362</v>
      </c>
      <c r="B2882" s="13">
        <v>0</v>
      </c>
      <c r="C2882" s="16" t="s">
        <v>5331</v>
      </c>
      <c r="D2882" s="12">
        <v>22792</v>
      </c>
      <c r="E2882" s="12" t="s">
        <v>5332</v>
      </c>
      <c r="F2882" s="12" t="s">
        <v>5328</v>
      </c>
      <c r="G2882" s="12" t="s">
        <v>10363</v>
      </c>
      <c r="H2882" s="12">
        <v>280326</v>
      </c>
    </row>
    <row r="2883" spans="1:8">
      <c r="A2883" s="12" t="s">
        <v>10364</v>
      </c>
      <c r="B2883" s="13">
        <v>0</v>
      </c>
      <c r="C2883" s="16" t="s">
        <v>5331</v>
      </c>
      <c r="D2883" s="12">
        <v>21032</v>
      </c>
      <c r="E2883" s="12" t="s">
        <v>5332</v>
      </c>
      <c r="F2883" s="12" t="s">
        <v>5328</v>
      </c>
      <c r="G2883" s="12" t="s">
        <v>10365</v>
      </c>
      <c r="H2883" s="12">
        <v>280327</v>
      </c>
    </row>
    <row r="2884" spans="1:8">
      <c r="A2884" s="12" t="s">
        <v>10366</v>
      </c>
      <c r="B2884" s="13">
        <v>0</v>
      </c>
      <c r="C2884" s="16" t="s">
        <v>5331</v>
      </c>
      <c r="D2884" s="12">
        <v>31592</v>
      </c>
      <c r="E2884" s="12" t="s">
        <v>5332</v>
      </c>
      <c r="F2884" s="12" t="s">
        <v>5328</v>
      </c>
      <c r="G2884" s="12" t="s">
        <v>10367</v>
      </c>
      <c r="H2884" s="12">
        <v>280328</v>
      </c>
    </row>
    <row r="2885" spans="1:8">
      <c r="A2885" s="12" t="s">
        <v>10368</v>
      </c>
      <c r="B2885" s="13">
        <v>0</v>
      </c>
      <c r="C2885" s="16" t="s">
        <v>5331</v>
      </c>
      <c r="D2885" s="12">
        <v>44792</v>
      </c>
      <c r="E2885" s="12" t="s">
        <v>5332</v>
      </c>
      <c r="F2885" s="12" t="s">
        <v>5328</v>
      </c>
      <c r="G2885" s="12" t="s">
        <v>10369</v>
      </c>
      <c r="H2885" s="12">
        <v>280329</v>
      </c>
    </row>
    <row r="2886" spans="1:8">
      <c r="A2886" s="12" t="s">
        <v>10370</v>
      </c>
      <c r="B2886" s="13">
        <v>0</v>
      </c>
      <c r="C2886" s="16" t="s">
        <v>5331</v>
      </c>
      <c r="D2886" s="12">
        <v>11814</v>
      </c>
      <c r="E2886" s="12" t="s">
        <v>5332</v>
      </c>
      <c r="F2886" s="12" t="s">
        <v>5328</v>
      </c>
      <c r="G2886" s="12" t="s">
        <v>10371</v>
      </c>
      <c r="H2886" s="12">
        <v>280330</v>
      </c>
    </row>
    <row r="2887" spans="1:8">
      <c r="A2887" s="12" t="s">
        <v>10372</v>
      </c>
      <c r="B2887" s="13">
        <v>0</v>
      </c>
      <c r="C2887" s="16" t="s">
        <v>5331</v>
      </c>
      <c r="D2887" s="12">
        <v>11814</v>
      </c>
      <c r="E2887" s="12" t="s">
        <v>5332</v>
      </c>
      <c r="F2887" s="12" t="s">
        <v>5328</v>
      </c>
      <c r="G2887" s="12" t="s">
        <v>10373</v>
      </c>
      <c r="H2887" s="12">
        <v>280331</v>
      </c>
    </row>
    <row r="2888" spans="1:8">
      <c r="A2888" s="12" t="s">
        <v>10374</v>
      </c>
      <c r="B2888" s="13">
        <v>0</v>
      </c>
      <c r="C2888" s="16" t="s">
        <v>5331</v>
      </c>
      <c r="D2888" s="12">
        <v>2057</v>
      </c>
      <c r="E2888" s="12" t="s">
        <v>5332</v>
      </c>
      <c r="F2888" s="12" t="s">
        <v>5328</v>
      </c>
      <c r="G2888" s="12" t="s">
        <v>10375</v>
      </c>
      <c r="H2888" s="12">
        <v>284181</v>
      </c>
    </row>
    <row r="2889" spans="1:8">
      <c r="A2889" s="12" t="s">
        <v>10376</v>
      </c>
      <c r="B2889" s="13">
        <v>0</v>
      </c>
      <c r="C2889" s="16" t="s">
        <v>5331</v>
      </c>
      <c r="D2889" s="12">
        <v>2131.8000000000002</v>
      </c>
      <c r="E2889" s="12" t="s">
        <v>5332</v>
      </c>
      <c r="F2889" s="12" t="s">
        <v>5328</v>
      </c>
      <c r="G2889" s="12" t="s">
        <v>10377</v>
      </c>
      <c r="H2889" s="12">
        <v>284182</v>
      </c>
    </row>
    <row r="2890" spans="1:8">
      <c r="A2890" s="12" t="s">
        <v>10378</v>
      </c>
      <c r="B2890" s="13">
        <v>0</v>
      </c>
      <c r="C2890" s="16" t="s">
        <v>5331</v>
      </c>
      <c r="D2890" s="12">
        <v>2558.16</v>
      </c>
      <c r="E2890" s="12" t="s">
        <v>5332</v>
      </c>
      <c r="F2890" s="12" t="s">
        <v>5328</v>
      </c>
      <c r="G2890" s="12" t="s">
        <v>10379</v>
      </c>
      <c r="H2890" s="12">
        <v>284183</v>
      </c>
    </row>
    <row r="2891" spans="1:8">
      <c r="A2891" s="12" t="s">
        <v>10380</v>
      </c>
      <c r="B2891" s="13">
        <v>0</v>
      </c>
      <c r="C2891" s="16" t="s">
        <v>5331</v>
      </c>
      <c r="D2891" s="12">
        <v>2750</v>
      </c>
      <c r="E2891" s="12" t="s">
        <v>5332</v>
      </c>
      <c r="F2891" s="12" t="s">
        <v>5328</v>
      </c>
      <c r="G2891" s="12" t="s">
        <v>10381</v>
      </c>
      <c r="H2891" s="12">
        <v>284184</v>
      </c>
    </row>
    <row r="2892" spans="1:8">
      <c r="A2892" s="12" t="s">
        <v>10382</v>
      </c>
      <c r="B2892" s="13">
        <v>0</v>
      </c>
      <c r="C2892" s="16" t="s">
        <v>5331</v>
      </c>
      <c r="D2892" s="12">
        <v>3003</v>
      </c>
      <c r="E2892" s="12" t="s">
        <v>5332</v>
      </c>
      <c r="F2892" s="12" t="s">
        <v>5328</v>
      </c>
      <c r="G2892" s="12" t="s">
        <v>10383</v>
      </c>
      <c r="H2892" s="12">
        <v>284185</v>
      </c>
    </row>
    <row r="2893" spans="1:8">
      <c r="A2893" s="12" t="s">
        <v>10384</v>
      </c>
      <c r="B2893" s="13">
        <v>0</v>
      </c>
      <c r="C2893" s="16" t="s">
        <v>5331</v>
      </c>
      <c r="D2893" s="12">
        <v>3603.6</v>
      </c>
      <c r="E2893" s="12" t="s">
        <v>5332</v>
      </c>
      <c r="F2893" s="12" t="s">
        <v>5328</v>
      </c>
      <c r="G2893" s="12" t="s">
        <v>10385</v>
      </c>
      <c r="H2893" s="12">
        <v>284186</v>
      </c>
    </row>
    <row r="2894" spans="1:8">
      <c r="A2894" s="12" t="s">
        <v>10386</v>
      </c>
      <c r="B2894" s="13">
        <v>0</v>
      </c>
      <c r="C2894" s="16" t="s">
        <v>5331</v>
      </c>
      <c r="D2894" s="12">
        <v>3995.2</v>
      </c>
      <c r="E2894" s="12" t="s">
        <v>5332</v>
      </c>
      <c r="F2894" s="12" t="s">
        <v>5328</v>
      </c>
      <c r="G2894" s="12" t="s">
        <v>10387</v>
      </c>
      <c r="H2894" s="12">
        <v>284187</v>
      </c>
    </row>
    <row r="2895" spans="1:8">
      <c r="A2895" s="12" t="s">
        <v>10388</v>
      </c>
      <c r="B2895" s="13">
        <v>0</v>
      </c>
      <c r="C2895" s="16" t="s">
        <v>5331</v>
      </c>
      <c r="D2895" s="12">
        <v>4814</v>
      </c>
      <c r="E2895" s="12" t="s">
        <v>5332</v>
      </c>
      <c r="F2895" s="12" t="s">
        <v>5328</v>
      </c>
      <c r="G2895" s="12" t="s">
        <v>10389</v>
      </c>
      <c r="H2895" s="12">
        <v>167988</v>
      </c>
    </row>
    <row r="2896" spans="1:8">
      <c r="A2896" s="12" t="s">
        <v>10390</v>
      </c>
      <c r="B2896" s="13">
        <v>0</v>
      </c>
      <c r="C2896" s="16" t="s">
        <v>5331</v>
      </c>
      <c r="D2896" s="12">
        <v>4384</v>
      </c>
      <c r="E2896" s="12" t="s">
        <v>5332</v>
      </c>
      <c r="F2896" s="12" t="s">
        <v>5328</v>
      </c>
      <c r="G2896" s="12" t="s">
        <v>10391</v>
      </c>
      <c r="H2896" s="12">
        <v>167989</v>
      </c>
    </row>
    <row r="2897" spans="1:8">
      <c r="A2897" s="12" t="s">
        <v>10392</v>
      </c>
      <c r="B2897" s="13">
        <v>0</v>
      </c>
      <c r="C2897" s="16" t="s">
        <v>5331</v>
      </c>
      <c r="D2897" s="12">
        <v>9800</v>
      </c>
      <c r="E2897" s="12" t="s">
        <v>5332</v>
      </c>
      <c r="F2897" s="12" t="s">
        <v>5328</v>
      </c>
      <c r="G2897" s="12" t="s">
        <v>10393</v>
      </c>
      <c r="H2897" s="12">
        <v>166604</v>
      </c>
    </row>
    <row r="2898" spans="1:8">
      <c r="A2898" s="12" t="s">
        <v>10394</v>
      </c>
      <c r="B2898" s="13">
        <v>0</v>
      </c>
      <c r="C2898" s="16" t="s">
        <v>5331</v>
      </c>
      <c r="D2898" s="12">
        <v>9800</v>
      </c>
      <c r="E2898" s="12" t="s">
        <v>5332</v>
      </c>
      <c r="F2898" s="12" t="s">
        <v>5328</v>
      </c>
      <c r="G2898" s="12" t="s">
        <v>10395</v>
      </c>
      <c r="H2898" s="12">
        <v>166565</v>
      </c>
    </row>
    <row r="2899" spans="1:8">
      <c r="A2899" s="12"/>
      <c r="B2899" s="13">
        <v>0</v>
      </c>
      <c r="C2899" s="16" t="s">
        <v>5331</v>
      </c>
      <c r="D2899" s="12">
        <v>642.9</v>
      </c>
      <c r="E2899" s="12" t="s">
        <v>5332</v>
      </c>
      <c r="F2899" s="12" t="s">
        <v>5328</v>
      </c>
      <c r="G2899" s="12" t="s">
        <v>10396</v>
      </c>
      <c r="H2899" s="12">
        <v>43870</v>
      </c>
    </row>
    <row r="2900" spans="1:8">
      <c r="A2900" s="12" t="s">
        <v>10397</v>
      </c>
      <c r="B2900" s="13">
        <v>0.34</v>
      </c>
      <c r="C2900" s="16" t="s">
        <v>5331</v>
      </c>
      <c r="D2900" s="12">
        <v>95</v>
      </c>
      <c r="E2900" s="12" t="s">
        <v>5332</v>
      </c>
      <c r="F2900" s="12" t="s">
        <v>5328</v>
      </c>
      <c r="G2900" s="12" t="s">
        <v>10398</v>
      </c>
      <c r="H2900" s="12">
        <v>258013</v>
      </c>
    </row>
    <row r="2901" spans="1:8">
      <c r="A2901" s="12" t="s">
        <v>10399</v>
      </c>
      <c r="B2901" s="13">
        <v>1</v>
      </c>
      <c r="C2901" s="16" t="s">
        <v>5331</v>
      </c>
      <c r="D2901" s="12">
        <v>416</v>
      </c>
      <c r="E2901" s="12" t="s">
        <v>5332</v>
      </c>
      <c r="F2901" s="12" t="s">
        <v>5328</v>
      </c>
      <c r="G2901" s="12" t="s">
        <v>10400</v>
      </c>
      <c r="H2901" s="12">
        <v>127838</v>
      </c>
    </row>
    <row r="2902" spans="1:8">
      <c r="A2902" s="12" t="s">
        <v>10401</v>
      </c>
      <c r="B2902" s="13"/>
      <c r="C2902" s="16"/>
      <c r="D2902" s="12"/>
      <c r="E2902" s="12"/>
      <c r="F2902" s="12"/>
      <c r="G2902" s="12"/>
      <c r="H2902" s="12"/>
    </row>
    <row r="2903" spans="1:8">
      <c r="A2903" s="12" t="s">
        <v>10402</v>
      </c>
      <c r="B2903" s="13"/>
      <c r="C2903" s="16"/>
      <c r="D2903" s="12"/>
      <c r="E2903" s="12"/>
      <c r="F2903" s="12"/>
      <c r="G2903" s="12"/>
      <c r="H2903" s="12"/>
    </row>
    <row r="2904" spans="1:8">
      <c r="A2904" s="12" t="s">
        <v>10403</v>
      </c>
      <c r="B2904" s="13"/>
      <c r="C2904" s="16"/>
      <c r="D2904" s="12"/>
      <c r="E2904" s="12"/>
      <c r="F2904" s="12"/>
      <c r="G2904" s="12"/>
      <c r="H2904" s="12"/>
    </row>
    <row r="2905" spans="1:8">
      <c r="A2905" s="12" t="s">
        <v>10404</v>
      </c>
      <c r="B2905" s="13"/>
      <c r="C2905" s="16"/>
      <c r="D2905" s="12"/>
      <c r="E2905" s="12"/>
      <c r="F2905" s="12"/>
      <c r="G2905" s="12"/>
      <c r="H2905" s="12"/>
    </row>
    <row r="2906" spans="1:8">
      <c r="A2906" s="12" t="s">
        <v>10405</v>
      </c>
      <c r="B2906" s="13"/>
      <c r="C2906" s="16"/>
      <c r="D2906" s="12"/>
      <c r="E2906" s="12"/>
      <c r="F2906" s="12"/>
      <c r="G2906" s="12"/>
      <c r="H2906" s="12"/>
    </row>
    <row r="2907" spans="1:8">
      <c r="A2907" s="12" t="s">
        <v>10399</v>
      </c>
      <c r="B2907" s="13">
        <v>0.85</v>
      </c>
      <c r="C2907" s="16" t="s">
        <v>5331</v>
      </c>
      <c r="D2907" s="12">
        <v>167</v>
      </c>
      <c r="E2907" s="12" t="s">
        <v>5332</v>
      </c>
      <c r="F2907" s="12" t="s">
        <v>5328</v>
      </c>
      <c r="G2907" s="12" t="s">
        <v>10406</v>
      </c>
      <c r="H2907" s="12">
        <v>127839</v>
      </c>
    </row>
    <row r="2908" spans="1:8">
      <c r="A2908" s="12" t="s">
        <v>10407</v>
      </c>
      <c r="B2908" s="13"/>
      <c r="C2908" s="16"/>
      <c r="D2908" s="12"/>
      <c r="E2908" s="12"/>
      <c r="F2908" s="12"/>
      <c r="G2908" s="12"/>
      <c r="H2908" s="12"/>
    </row>
    <row r="2909" spans="1:8">
      <c r="A2909" s="12" t="s">
        <v>10408</v>
      </c>
      <c r="B2909" s="13">
        <v>0.91</v>
      </c>
      <c r="C2909" s="16" t="s">
        <v>5331</v>
      </c>
      <c r="D2909" s="12">
        <v>564</v>
      </c>
      <c r="E2909" s="12" t="s">
        <v>5332</v>
      </c>
      <c r="F2909" s="12" t="s">
        <v>5328</v>
      </c>
      <c r="G2909" s="12" t="s">
        <v>10409</v>
      </c>
      <c r="H2909" s="12">
        <v>127832</v>
      </c>
    </row>
    <row r="2910" spans="1:8">
      <c r="A2910" s="12" t="s">
        <v>10410</v>
      </c>
      <c r="B2910" s="13"/>
      <c r="C2910" s="16"/>
      <c r="D2910" s="12"/>
      <c r="E2910" s="12"/>
      <c r="F2910" s="12"/>
      <c r="G2910" s="12"/>
      <c r="H2910" s="12"/>
    </row>
    <row r="2911" spans="1:8">
      <c r="A2911" s="12" t="s">
        <v>10411</v>
      </c>
      <c r="B2911" s="13"/>
      <c r="C2911" s="16"/>
      <c r="D2911" s="12"/>
      <c r="E2911" s="12"/>
      <c r="F2911" s="12"/>
      <c r="G2911" s="12"/>
      <c r="H2911" s="12"/>
    </row>
    <row r="2912" spans="1:8">
      <c r="A2912" s="12" t="s">
        <v>10408</v>
      </c>
      <c r="B2912" s="13">
        <v>0.85</v>
      </c>
      <c r="C2912" s="16" t="s">
        <v>5331</v>
      </c>
      <c r="D2912" s="12">
        <v>162</v>
      </c>
      <c r="E2912" s="12" t="s">
        <v>5332</v>
      </c>
      <c r="F2912" s="12" t="s">
        <v>5328</v>
      </c>
      <c r="G2912" s="12" t="s">
        <v>10412</v>
      </c>
      <c r="H2912" s="12">
        <v>127833</v>
      </c>
    </row>
    <row r="2913" spans="1:8">
      <c r="A2913" s="12" t="s">
        <v>10413</v>
      </c>
      <c r="B2913" s="13">
        <v>1</v>
      </c>
      <c r="C2913" s="16" t="s">
        <v>5331</v>
      </c>
      <c r="D2913" s="12">
        <v>513</v>
      </c>
      <c r="E2913" s="12" t="s">
        <v>5332</v>
      </c>
      <c r="F2913" s="12" t="s">
        <v>5328</v>
      </c>
      <c r="G2913" s="12" t="s">
        <v>10414</v>
      </c>
      <c r="H2913" s="12">
        <v>128126</v>
      </c>
    </row>
    <row r="2914" spans="1:8">
      <c r="A2914" s="12" t="s">
        <v>10415</v>
      </c>
      <c r="B2914" s="13"/>
      <c r="C2914" s="16"/>
      <c r="D2914" s="12"/>
      <c r="E2914" s="12"/>
      <c r="F2914" s="12"/>
      <c r="G2914" s="12"/>
      <c r="H2914" s="12"/>
    </row>
    <row r="2915" spans="1:8">
      <c r="A2915" s="12" t="s">
        <v>10416</v>
      </c>
      <c r="B2915" s="13"/>
      <c r="C2915" s="16"/>
      <c r="D2915" s="12"/>
      <c r="E2915" s="12"/>
      <c r="F2915" s="12"/>
      <c r="G2915" s="12"/>
      <c r="H2915" s="12"/>
    </row>
    <row r="2916" spans="1:8">
      <c r="A2916" s="12" t="s">
        <v>10413</v>
      </c>
      <c r="B2916" s="13">
        <v>0.85</v>
      </c>
      <c r="C2916" s="16" t="s">
        <v>5331</v>
      </c>
      <c r="D2916" s="12">
        <v>146</v>
      </c>
      <c r="E2916" s="12" t="s">
        <v>5332</v>
      </c>
      <c r="F2916" s="12" t="s">
        <v>5328</v>
      </c>
      <c r="G2916" s="12" t="s">
        <v>10417</v>
      </c>
      <c r="H2916" s="12">
        <v>127837</v>
      </c>
    </row>
    <row r="2917" spans="1:8">
      <c r="A2917" s="12" t="s">
        <v>10418</v>
      </c>
      <c r="B2917" s="13">
        <v>1</v>
      </c>
      <c r="C2917" s="16" t="s">
        <v>5331</v>
      </c>
      <c r="D2917" s="12">
        <v>405</v>
      </c>
      <c r="E2917" s="12" t="s">
        <v>5332</v>
      </c>
      <c r="F2917" s="12" t="s">
        <v>5328</v>
      </c>
      <c r="G2917" s="12" t="s">
        <v>10419</v>
      </c>
      <c r="H2917" s="12">
        <v>128226</v>
      </c>
    </row>
    <row r="2918" spans="1:8">
      <c r="A2918" s="12" t="s">
        <v>10420</v>
      </c>
      <c r="B2918" s="13"/>
      <c r="C2918" s="16"/>
      <c r="D2918" s="12"/>
      <c r="E2918" s="12"/>
      <c r="F2918" s="12"/>
      <c r="G2918" s="12"/>
      <c r="H2918" s="12"/>
    </row>
    <row r="2919" spans="1:8">
      <c r="A2919" s="12" t="s">
        <v>10421</v>
      </c>
      <c r="B2919" s="13"/>
      <c r="C2919" s="16"/>
      <c r="D2919" s="12"/>
      <c r="E2919" s="12"/>
      <c r="F2919" s="12"/>
      <c r="G2919" s="12"/>
      <c r="H2919" s="12"/>
    </row>
    <row r="2920" spans="1:8">
      <c r="A2920" s="12" t="s">
        <v>10418</v>
      </c>
      <c r="B2920" s="13">
        <v>0.85</v>
      </c>
      <c r="C2920" s="16" t="s">
        <v>5331</v>
      </c>
      <c r="D2920" s="12">
        <v>108</v>
      </c>
      <c r="E2920" s="12" t="s">
        <v>5332</v>
      </c>
      <c r="F2920" s="12" t="s">
        <v>5328</v>
      </c>
      <c r="G2920" s="12" t="s">
        <v>10422</v>
      </c>
      <c r="H2920" s="12">
        <v>128227</v>
      </c>
    </row>
    <row r="2921" spans="1:8">
      <c r="A2921" s="12" t="s">
        <v>10423</v>
      </c>
      <c r="B2921" s="13">
        <v>1</v>
      </c>
      <c r="C2921" s="16" t="s">
        <v>5331</v>
      </c>
      <c r="D2921" s="12">
        <v>443</v>
      </c>
      <c r="E2921" s="12" t="s">
        <v>5332</v>
      </c>
      <c r="F2921" s="12" t="s">
        <v>5328</v>
      </c>
      <c r="G2921" s="12" t="s">
        <v>10424</v>
      </c>
      <c r="H2921" s="12">
        <v>127728</v>
      </c>
    </row>
    <row r="2922" spans="1:8">
      <c r="A2922" s="12" t="s">
        <v>10425</v>
      </c>
      <c r="B2922" s="13"/>
      <c r="C2922" s="16"/>
      <c r="D2922" s="12"/>
      <c r="E2922" s="12"/>
      <c r="F2922" s="12"/>
      <c r="G2922" s="12"/>
      <c r="H2922" s="12"/>
    </row>
    <row r="2923" spans="1:8">
      <c r="A2923" s="12" t="s">
        <v>10426</v>
      </c>
      <c r="B2923" s="13"/>
      <c r="C2923" s="16"/>
      <c r="D2923" s="12"/>
      <c r="E2923" s="12"/>
      <c r="F2923" s="12"/>
      <c r="G2923" s="12"/>
      <c r="H2923" s="12"/>
    </row>
    <row r="2924" spans="1:8">
      <c r="A2924" s="12" t="s">
        <v>10423</v>
      </c>
      <c r="B2924" s="13">
        <v>0.85</v>
      </c>
      <c r="C2924" s="16" t="s">
        <v>5331</v>
      </c>
      <c r="D2924" s="12">
        <v>119</v>
      </c>
      <c r="E2924" s="12" t="s">
        <v>5332</v>
      </c>
      <c r="F2924" s="12" t="s">
        <v>5328</v>
      </c>
      <c r="G2924" s="12" t="s">
        <v>10427</v>
      </c>
      <c r="H2924" s="12">
        <v>127843</v>
      </c>
    </row>
    <row r="2925" spans="1:8">
      <c r="A2925" s="12" t="s">
        <v>10428</v>
      </c>
      <c r="B2925" s="13">
        <v>2.42</v>
      </c>
      <c r="C2925" s="16" t="s">
        <v>5331</v>
      </c>
      <c r="D2925" s="12">
        <v>564</v>
      </c>
      <c r="E2925" s="12" t="s">
        <v>5332</v>
      </c>
      <c r="F2925" s="12" t="s">
        <v>5328</v>
      </c>
      <c r="G2925" s="12" t="s">
        <v>10429</v>
      </c>
      <c r="H2925" s="12">
        <v>127844</v>
      </c>
    </row>
    <row r="2926" spans="1:8">
      <c r="A2926" s="12" t="s">
        <v>10430</v>
      </c>
      <c r="B2926" s="13"/>
      <c r="C2926" s="16"/>
      <c r="D2926" s="12"/>
      <c r="E2926" s="12"/>
      <c r="F2926" s="12"/>
      <c r="G2926" s="12"/>
      <c r="H2926" s="12"/>
    </row>
    <row r="2927" spans="1:8">
      <c r="A2927" s="12" t="s">
        <v>10431</v>
      </c>
      <c r="B2927" s="13"/>
      <c r="C2927" s="16"/>
      <c r="D2927" s="12"/>
      <c r="E2927" s="12"/>
      <c r="F2927" s="12"/>
      <c r="G2927" s="12"/>
      <c r="H2927" s="12"/>
    </row>
    <row r="2928" spans="1:8">
      <c r="A2928" s="12" t="s">
        <v>10432</v>
      </c>
      <c r="B2928" s="13"/>
      <c r="C2928" s="16"/>
      <c r="D2928" s="12"/>
      <c r="E2928" s="12"/>
      <c r="F2928" s="12"/>
      <c r="G2928" s="12"/>
      <c r="H2928" s="12"/>
    </row>
    <row r="2929" spans="1:8">
      <c r="A2929" s="12" t="s">
        <v>10428</v>
      </c>
      <c r="B2929" s="13">
        <v>1.22</v>
      </c>
      <c r="C2929" s="16" t="s">
        <v>5331</v>
      </c>
      <c r="D2929" s="12">
        <v>226</v>
      </c>
      <c r="E2929" s="12" t="s">
        <v>5332</v>
      </c>
      <c r="F2929" s="12" t="s">
        <v>5328</v>
      </c>
      <c r="G2929" s="12" t="s">
        <v>10433</v>
      </c>
      <c r="H2929" s="12">
        <v>128325</v>
      </c>
    </row>
    <row r="2930" spans="1:8">
      <c r="A2930" s="12" t="s">
        <v>10434</v>
      </c>
      <c r="B2930" s="13"/>
      <c r="C2930" s="16"/>
      <c r="D2930" s="12"/>
      <c r="E2930" s="12"/>
      <c r="F2930" s="12"/>
      <c r="G2930" s="12"/>
      <c r="H2930" s="12"/>
    </row>
    <row r="2931" spans="1:8">
      <c r="A2931" s="12" t="s">
        <v>10435</v>
      </c>
      <c r="B2931" s="13">
        <v>1</v>
      </c>
      <c r="C2931" s="16" t="s">
        <v>5331</v>
      </c>
      <c r="D2931" s="12">
        <v>513</v>
      </c>
      <c r="E2931" s="12" t="s">
        <v>5332</v>
      </c>
      <c r="F2931" s="12" t="s">
        <v>5328</v>
      </c>
      <c r="G2931" s="12" t="s">
        <v>10436</v>
      </c>
      <c r="H2931" s="12">
        <v>127929</v>
      </c>
    </row>
    <row r="2932" spans="1:8">
      <c r="A2932" s="12" t="s">
        <v>10437</v>
      </c>
      <c r="B2932" s="13"/>
      <c r="C2932" s="16"/>
      <c r="D2932" s="12"/>
      <c r="E2932" s="12"/>
      <c r="F2932" s="12"/>
      <c r="G2932" s="12"/>
      <c r="H2932" s="12"/>
    </row>
    <row r="2933" spans="1:8">
      <c r="A2933" s="12" t="s">
        <v>10435</v>
      </c>
      <c r="B2933" s="13">
        <v>0.85</v>
      </c>
      <c r="C2933" s="16" t="s">
        <v>5331</v>
      </c>
      <c r="D2933" s="12">
        <v>146</v>
      </c>
      <c r="E2933" s="12" t="s">
        <v>5332</v>
      </c>
      <c r="F2933" s="12" t="s">
        <v>5328</v>
      </c>
      <c r="G2933" s="12" t="s">
        <v>10438</v>
      </c>
      <c r="H2933" s="12">
        <v>127727</v>
      </c>
    </row>
    <row r="2934" spans="1:8">
      <c r="A2934" s="12" t="s">
        <v>10439</v>
      </c>
      <c r="B2934" s="13">
        <v>1</v>
      </c>
      <c r="C2934" s="16" t="s">
        <v>5331</v>
      </c>
      <c r="D2934" s="12">
        <v>445</v>
      </c>
      <c r="E2934" s="12" t="s">
        <v>5332</v>
      </c>
      <c r="F2934" s="12" t="s">
        <v>5328</v>
      </c>
      <c r="G2934" s="12" t="s">
        <v>10440</v>
      </c>
      <c r="H2934" s="12">
        <v>127930</v>
      </c>
    </row>
    <row r="2935" spans="1:8">
      <c r="A2935" s="12" t="s">
        <v>10441</v>
      </c>
      <c r="B2935" s="13"/>
      <c r="C2935" s="16"/>
      <c r="D2935" s="12"/>
      <c r="E2935" s="12"/>
      <c r="F2935" s="12"/>
      <c r="G2935" s="12"/>
      <c r="H2935" s="12"/>
    </row>
    <row r="2936" spans="1:8">
      <c r="A2936" s="12" t="s">
        <v>10439</v>
      </c>
      <c r="B2936" s="13">
        <v>0.85</v>
      </c>
      <c r="C2936" s="16" t="s">
        <v>5331</v>
      </c>
      <c r="D2936" s="12">
        <v>179</v>
      </c>
      <c r="E2936" s="12" t="s">
        <v>5332</v>
      </c>
      <c r="F2936" s="12" t="s">
        <v>5328</v>
      </c>
      <c r="G2936" s="12" t="s">
        <v>10442</v>
      </c>
      <c r="H2936" s="12">
        <v>128326</v>
      </c>
    </row>
    <row r="2937" spans="1:8">
      <c r="A2937" s="12" t="s">
        <v>10443</v>
      </c>
      <c r="B2937" s="13">
        <v>220.24</v>
      </c>
      <c r="C2937" s="16" t="s">
        <v>5331</v>
      </c>
      <c r="D2937" s="12">
        <v>368</v>
      </c>
      <c r="E2937" s="12" t="s">
        <v>5332</v>
      </c>
      <c r="F2937" s="12" t="s">
        <v>5328</v>
      </c>
      <c r="G2937" s="12" t="s">
        <v>10444</v>
      </c>
      <c r="H2937" s="12">
        <v>127845</v>
      </c>
    </row>
    <row r="2938" spans="1:8">
      <c r="A2938" s="12" t="s">
        <v>10445</v>
      </c>
      <c r="B2938" s="13">
        <v>56.7</v>
      </c>
      <c r="C2938" s="16" t="s">
        <v>5331</v>
      </c>
      <c r="D2938" s="12">
        <v>148</v>
      </c>
      <c r="E2938" s="12" t="s">
        <v>5332</v>
      </c>
      <c r="F2938" s="12" t="s">
        <v>5328</v>
      </c>
      <c r="G2938" s="12" t="s">
        <v>10446</v>
      </c>
      <c r="H2938" s="12">
        <v>128130</v>
      </c>
    </row>
    <row r="2939" spans="1:8">
      <c r="A2939" s="12" t="s">
        <v>10447</v>
      </c>
      <c r="B2939" s="13">
        <v>42.73</v>
      </c>
      <c r="C2939" s="16" t="s">
        <v>5331</v>
      </c>
      <c r="D2939" s="12">
        <v>368</v>
      </c>
      <c r="E2939" s="12" t="s">
        <v>5332</v>
      </c>
      <c r="F2939" s="12" t="s">
        <v>5328</v>
      </c>
      <c r="G2939" s="12" t="s">
        <v>10448</v>
      </c>
      <c r="H2939" s="12">
        <v>128131</v>
      </c>
    </row>
    <row r="2940" spans="1:8">
      <c r="A2940" s="12" t="s">
        <v>10449</v>
      </c>
      <c r="B2940" s="13"/>
      <c r="C2940" s="16"/>
      <c r="D2940" s="12"/>
      <c r="E2940" s="12"/>
      <c r="F2940" s="12"/>
      <c r="G2940" s="12"/>
      <c r="H2940" s="12"/>
    </row>
    <row r="2941" spans="1:8">
      <c r="A2941" s="12" t="s">
        <v>10450</v>
      </c>
      <c r="B2941" s="13"/>
      <c r="C2941" s="16"/>
      <c r="D2941" s="12"/>
      <c r="E2941" s="12"/>
      <c r="F2941" s="12"/>
      <c r="G2941" s="12"/>
      <c r="H2941" s="12"/>
    </row>
    <row r="2942" spans="1:8">
      <c r="A2942" s="12" t="s">
        <v>10451</v>
      </c>
      <c r="B2942" s="13"/>
      <c r="C2942" s="16"/>
      <c r="D2942" s="12"/>
      <c r="E2942" s="12"/>
      <c r="F2942" s="12"/>
      <c r="G2942" s="12"/>
      <c r="H2942" s="12"/>
    </row>
    <row r="2943" spans="1:8">
      <c r="A2943" s="12" t="s">
        <v>10447</v>
      </c>
      <c r="B2943" s="13">
        <v>11.48</v>
      </c>
      <c r="C2943" s="16" t="s">
        <v>5331</v>
      </c>
      <c r="D2943" s="12">
        <v>148</v>
      </c>
      <c r="E2943" s="12" t="s">
        <v>5332</v>
      </c>
      <c r="F2943" s="12" t="s">
        <v>5328</v>
      </c>
      <c r="G2943" s="12" t="s">
        <v>10452</v>
      </c>
      <c r="H2943" s="12">
        <v>127846</v>
      </c>
    </row>
    <row r="2944" spans="1:8">
      <c r="A2944" s="12" t="s">
        <v>10453</v>
      </c>
      <c r="B2944" s="13">
        <v>11.81</v>
      </c>
      <c r="C2944" s="16" t="s">
        <v>5331</v>
      </c>
      <c r="D2944" s="12">
        <v>488</v>
      </c>
      <c r="E2944" s="12" t="s">
        <v>5332</v>
      </c>
      <c r="F2944" s="12" t="s">
        <v>5328</v>
      </c>
      <c r="G2944" s="12" t="s">
        <v>10454</v>
      </c>
      <c r="H2944" s="12">
        <v>128334</v>
      </c>
    </row>
    <row r="2945" spans="1:8">
      <c r="A2945" s="12" t="s">
        <v>10455</v>
      </c>
      <c r="B2945" s="13"/>
      <c r="C2945" s="16"/>
      <c r="D2945" s="12"/>
      <c r="E2945" s="12"/>
      <c r="F2945" s="12"/>
      <c r="G2945" s="12"/>
      <c r="H2945" s="12"/>
    </row>
    <row r="2946" spans="1:8">
      <c r="A2946" s="12" t="s">
        <v>10456</v>
      </c>
      <c r="B2946" s="13"/>
      <c r="C2946" s="16"/>
      <c r="D2946" s="12"/>
      <c r="E2946" s="12"/>
      <c r="F2946" s="12"/>
      <c r="G2946" s="12"/>
      <c r="H2946" s="12"/>
    </row>
    <row r="2947" spans="1:8">
      <c r="A2947" s="12" t="s">
        <v>10457</v>
      </c>
      <c r="B2947" s="13"/>
      <c r="C2947" s="16"/>
      <c r="D2947" s="12"/>
      <c r="E2947" s="12"/>
      <c r="F2947" s="12"/>
      <c r="G2947" s="12"/>
      <c r="H2947" s="12"/>
    </row>
    <row r="2948" spans="1:8">
      <c r="A2948" s="12" t="s">
        <v>10453</v>
      </c>
      <c r="B2948" s="13">
        <v>3.6</v>
      </c>
      <c r="C2948" s="16" t="s">
        <v>5331</v>
      </c>
      <c r="D2948" s="12">
        <v>191</v>
      </c>
      <c r="E2948" s="12" t="s">
        <v>5332</v>
      </c>
      <c r="F2948" s="12" t="s">
        <v>5328</v>
      </c>
      <c r="G2948" s="12" t="s">
        <v>10458</v>
      </c>
      <c r="H2948" s="12">
        <v>128335</v>
      </c>
    </row>
    <row r="2949" spans="1:8">
      <c r="A2949" s="12" t="s">
        <v>10459</v>
      </c>
      <c r="B2949" s="13">
        <v>1.1000000000000001</v>
      </c>
      <c r="C2949" s="16" t="s">
        <v>5331</v>
      </c>
      <c r="D2949" s="12">
        <v>416</v>
      </c>
      <c r="E2949" s="12" t="s">
        <v>5332</v>
      </c>
      <c r="F2949" s="12" t="s">
        <v>5328</v>
      </c>
      <c r="G2949" s="12" t="s">
        <v>10460</v>
      </c>
      <c r="H2949" s="12">
        <v>127725</v>
      </c>
    </row>
    <row r="2950" spans="1:8">
      <c r="A2950" s="12" t="s">
        <v>10461</v>
      </c>
      <c r="B2950" s="13"/>
      <c r="C2950" s="16"/>
      <c r="D2950" s="12"/>
      <c r="E2950" s="12"/>
      <c r="F2950" s="12"/>
      <c r="G2950" s="12"/>
      <c r="H2950" s="12"/>
    </row>
    <row r="2951" spans="1:8">
      <c r="A2951" s="12" t="s">
        <v>10462</v>
      </c>
      <c r="B2951" s="13"/>
      <c r="C2951" s="16"/>
      <c r="D2951" s="12"/>
      <c r="E2951" s="12"/>
      <c r="F2951" s="12"/>
      <c r="G2951" s="12"/>
      <c r="H2951" s="12"/>
    </row>
    <row r="2952" spans="1:8">
      <c r="A2952" s="12" t="s">
        <v>10459</v>
      </c>
      <c r="B2952" s="13">
        <v>0.88</v>
      </c>
      <c r="C2952" s="16" t="s">
        <v>5331</v>
      </c>
      <c r="D2952" s="12">
        <v>119</v>
      </c>
      <c r="E2952" s="12" t="s">
        <v>5332</v>
      </c>
      <c r="F2952" s="12" t="s">
        <v>5328</v>
      </c>
      <c r="G2952" s="12" t="s">
        <v>10463</v>
      </c>
      <c r="H2952" s="12">
        <v>127825</v>
      </c>
    </row>
    <row r="2953" spans="1:8">
      <c r="A2953" s="12" t="s">
        <v>10464</v>
      </c>
      <c r="B2953" s="13">
        <v>17.010000000000002</v>
      </c>
      <c r="C2953" s="16" t="s">
        <v>5331</v>
      </c>
      <c r="D2953" s="12">
        <v>368</v>
      </c>
      <c r="E2953" s="12" t="s">
        <v>5332</v>
      </c>
      <c r="F2953" s="12" t="s">
        <v>5328</v>
      </c>
      <c r="G2953" s="12" t="s">
        <v>10465</v>
      </c>
      <c r="H2953" s="12">
        <v>128425</v>
      </c>
    </row>
    <row r="2954" spans="1:8">
      <c r="A2954" s="12" t="s">
        <v>10466</v>
      </c>
      <c r="B2954" s="13"/>
      <c r="C2954" s="16"/>
      <c r="D2954" s="12"/>
      <c r="E2954" s="12"/>
      <c r="F2954" s="12"/>
      <c r="G2954" s="12"/>
      <c r="H2954" s="12"/>
    </row>
    <row r="2955" spans="1:8">
      <c r="A2955" s="12" t="s">
        <v>10467</v>
      </c>
      <c r="B2955" s="13"/>
      <c r="C2955" s="16"/>
      <c r="D2955" s="12"/>
      <c r="E2955" s="12"/>
      <c r="F2955" s="12"/>
      <c r="G2955" s="12"/>
      <c r="H2955" s="12"/>
    </row>
    <row r="2956" spans="1:8">
      <c r="A2956" s="12" t="s">
        <v>10468</v>
      </c>
      <c r="B2956" s="13"/>
      <c r="C2956" s="16"/>
      <c r="D2956" s="12"/>
      <c r="E2956" s="12"/>
      <c r="F2956" s="12"/>
      <c r="G2956" s="12"/>
      <c r="H2956" s="12"/>
    </row>
    <row r="2957" spans="1:8">
      <c r="A2957" s="12" t="s">
        <v>10464</v>
      </c>
      <c r="B2957" s="13">
        <v>10.15</v>
      </c>
      <c r="C2957" s="16" t="s">
        <v>5331</v>
      </c>
      <c r="D2957" s="12">
        <v>148</v>
      </c>
      <c r="E2957" s="12" t="s">
        <v>5332</v>
      </c>
      <c r="F2957" s="12" t="s">
        <v>5328</v>
      </c>
      <c r="G2957" s="12" t="s">
        <v>10469</v>
      </c>
      <c r="H2957" s="12">
        <v>128332</v>
      </c>
    </row>
    <row r="2958" spans="1:8">
      <c r="A2958" s="12" t="s">
        <v>10470</v>
      </c>
      <c r="B2958" s="13">
        <v>17.79</v>
      </c>
      <c r="C2958" s="16" t="s">
        <v>5331</v>
      </c>
      <c r="D2958" s="12">
        <v>416</v>
      </c>
      <c r="E2958" s="12" t="s">
        <v>5332</v>
      </c>
      <c r="F2958" s="12" t="s">
        <v>5328</v>
      </c>
      <c r="G2958" s="12" t="s">
        <v>10471</v>
      </c>
      <c r="H2958" s="12">
        <v>128330</v>
      </c>
    </row>
    <row r="2959" spans="1:8">
      <c r="A2959" s="12" t="s">
        <v>10472</v>
      </c>
      <c r="B2959" s="13"/>
      <c r="C2959" s="16"/>
      <c r="D2959" s="12"/>
      <c r="E2959" s="12"/>
      <c r="F2959" s="12"/>
      <c r="G2959" s="12"/>
      <c r="H2959" s="12"/>
    </row>
    <row r="2960" spans="1:8">
      <c r="A2960" s="12" t="s">
        <v>10470</v>
      </c>
      <c r="B2960" s="13">
        <v>5.07</v>
      </c>
      <c r="C2960" s="16" t="s">
        <v>5331</v>
      </c>
      <c r="D2960" s="12">
        <v>167</v>
      </c>
      <c r="E2960" s="12" t="s">
        <v>5332</v>
      </c>
      <c r="F2960" s="12" t="s">
        <v>5328</v>
      </c>
      <c r="G2960" s="12" t="s">
        <v>10473</v>
      </c>
      <c r="H2960" s="12">
        <v>128331</v>
      </c>
    </row>
    <row r="2961" spans="1:8">
      <c r="A2961" s="12" t="s">
        <v>10474</v>
      </c>
      <c r="B2961" s="13">
        <v>1.61</v>
      </c>
      <c r="C2961" s="16" t="s">
        <v>5331</v>
      </c>
      <c r="D2961" s="12">
        <v>416</v>
      </c>
      <c r="E2961" s="12" t="s">
        <v>5332</v>
      </c>
      <c r="F2961" s="12" t="s">
        <v>5328</v>
      </c>
      <c r="G2961" s="12" t="s">
        <v>10475</v>
      </c>
      <c r="H2961" s="12">
        <v>127835</v>
      </c>
    </row>
    <row r="2962" spans="1:8">
      <c r="A2962" s="12" t="s">
        <v>10476</v>
      </c>
      <c r="B2962" s="13">
        <v>1.01</v>
      </c>
      <c r="C2962" s="16" t="s">
        <v>5331</v>
      </c>
      <c r="D2962" s="12">
        <v>167</v>
      </c>
      <c r="E2962" s="12" t="s">
        <v>5332</v>
      </c>
      <c r="F2962" s="12" t="s">
        <v>5328</v>
      </c>
      <c r="G2962" s="12" t="s">
        <v>10477</v>
      </c>
      <c r="H2962" s="12">
        <v>127836</v>
      </c>
    </row>
    <row r="2963" spans="1:8">
      <c r="A2963" s="12" t="s">
        <v>10478</v>
      </c>
      <c r="B2963" s="13">
        <v>1.1100000000000001</v>
      </c>
      <c r="C2963" s="16" t="s">
        <v>5331</v>
      </c>
      <c r="D2963" s="12">
        <v>368</v>
      </c>
      <c r="E2963" s="12" t="s">
        <v>5332</v>
      </c>
      <c r="F2963" s="12" t="s">
        <v>5328</v>
      </c>
      <c r="G2963" s="12" t="s">
        <v>10479</v>
      </c>
      <c r="H2963" s="12">
        <v>127826</v>
      </c>
    </row>
    <row r="2964" spans="1:8">
      <c r="A2964" s="12" t="s">
        <v>10480</v>
      </c>
      <c r="B2964" s="13"/>
      <c r="C2964" s="16"/>
      <c r="D2964" s="12"/>
      <c r="E2964" s="12"/>
      <c r="F2964" s="12"/>
      <c r="G2964" s="12"/>
      <c r="H2964" s="12"/>
    </row>
    <row r="2965" spans="1:8">
      <c r="A2965" s="12" t="s">
        <v>10478</v>
      </c>
      <c r="B2965" s="13">
        <v>0.88</v>
      </c>
      <c r="C2965" s="16" t="s">
        <v>5331</v>
      </c>
      <c r="D2965" s="12">
        <v>148</v>
      </c>
      <c r="E2965" s="12" t="s">
        <v>5332</v>
      </c>
      <c r="F2965" s="12" t="s">
        <v>5328</v>
      </c>
      <c r="G2965" s="12" t="s">
        <v>10481</v>
      </c>
      <c r="H2965" s="12">
        <v>127925</v>
      </c>
    </row>
    <row r="2966" spans="1:8">
      <c r="A2966" s="12" t="s">
        <v>10482</v>
      </c>
      <c r="B2966" s="13">
        <v>10.42</v>
      </c>
      <c r="C2966" s="16" t="s">
        <v>5331</v>
      </c>
      <c r="D2966" s="12">
        <v>486</v>
      </c>
      <c r="E2966" s="12" t="s">
        <v>5332</v>
      </c>
      <c r="F2966" s="12" t="s">
        <v>5328</v>
      </c>
      <c r="G2966" s="12" t="s">
        <v>10483</v>
      </c>
      <c r="H2966" s="12">
        <v>127926</v>
      </c>
    </row>
    <row r="2967" spans="1:8">
      <c r="A2967" s="12" t="s">
        <v>10484</v>
      </c>
      <c r="B2967" s="13"/>
      <c r="C2967" s="16"/>
      <c r="D2967" s="12"/>
      <c r="E2967" s="12"/>
      <c r="F2967" s="12"/>
      <c r="G2967" s="12"/>
      <c r="H2967" s="12"/>
    </row>
    <row r="2968" spans="1:8">
      <c r="A2968" s="12" t="s">
        <v>10482</v>
      </c>
      <c r="B2968" s="13">
        <v>3.26</v>
      </c>
      <c r="C2968" s="16" t="s">
        <v>5331</v>
      </c>
      <c r="D2968" s="12">
        <v>130</v>
      </c>
      <c r="E2968" s="12" t="s">
        <v>5332</v>
      </c>
      <c r="F2968" s="12" t="s">
        <v>5328</v>
      </c>
      <c r="G2968" s="12" t="s">
        <v>10485</v>
      </c>
      <c r="H2968" s="12">
        <v>127827</v>
      </c>
    </row>
    <row r="2969" spans="1:8">
      <c r="A2969" s="12" t="s">
        <v>10486</v>
      </c>
      <c r="B2969" s="13">
        <v>1.1100000000000001</v>
      </c>
      <c r="C2969" s="16" t="s">
        <v>5331</v>
      </c>
      <c r="D2969" s="12">
        <v>368</v>
      </c>
      <c r="E2969" s="12" t="s">
        <v>5332</v>
      </c>
      <c r="F2969" s="12" t="s">
        <v>5328</v>
      </c>
      <c r="G2969" s="12" t="s">
        <v>10487</v>
      </c>
      <c r="H2969" s="12">
        <v>127829</v>
      </c>
    </row>
    <row r="2970" spans="1:8">
      <c r="A2970" s="12" t="s">
        <v>10488</v>
      </c>
      <c r="B2970" s="13"/>
      <c r="C2970" s="16"/>
      <c r="D2970" s="12"/>
      <c r="E2970" s="12"/>
      <c r="F2970" s="12"/>
      <c r="G2970" s="12"/>
      <c r="H2970" s="12"/>
    </row>
    <row r="2971" spans="1:8">
      <c r="A2971" s="12" t="s">
        <v>10486</v>
      </c>
      <c r="B2971" s="13">
        <v>0.88</v>
      </c>
      <c r="C2971" s="16" t="s">
        <v>5331</v>
      </c>
      <c r="D2971" s="12">
        <v>119</v>
      </c>
      <c r="E2971" s="12" t="s">
        <v>5332</v>
      </c>
      <c r="F2971" s="12" t="s">
        <v>5328</v>
      </c>
      <c r="G2971" s="12" t="s">
        <v>10489</v>
      </c>
      <c r="H2971" s="12">
        <v>127830</v>
      </c>
    </row>
    <row r="2972" spans="1:8">
      <c r="A2972" s="12" t="s">
        <v>10490</v>
      </c>
      <c r="B2972" s="13">
        <v>1.1100000000000001</v>
      </c>
      <c r="C2972" s="16" t="s">
        <v>5331</v>
      </c>
      <c r="D2972" s="12">
        <v>368</v>
      </c>
      <c r="E2972" s="12" t="s">
        <v>5332</v>
      </c>
      <c r="F2972" s="12" t="s">
        <v>5328</v>
      </c>
      <c r="G2972" s="12" t="s">
        <v>10491</v>
      </c>
      <c r="H2972" s="12">
        <v>127726</v>
      </c>
    </row>
    <row r="2973" spans="1:8">
      <c r="A2973" s="12" t="s">
        <v>10492</v>
      </c>
      <c r="B2973" s="13"/>
      <c r="C2973" s="16"/>
      <c r="D2973" s="12"/>
      <c r="E2973" s="12"/>
      <c r="F2973" s="12"/>
      <c r="G2973" s="12"/>
      <c r="H2973" s="12"/>
    </row>
    <row r="2974" spans="1:8">
      <c r="A2974" s="12" t="s">
        <v>10490</v>
      </c>
      <c r="B2974" s="13">
        <v>0.88</v>
      </c>
      <c r="C2974" s="16" t="s">
        <v>5331</v>
      </c>
      <c r="D2974" s="12">
        <v>119</v>
      </c>
      <c r="E2974" s="12" t="s">
        <v>5332</v>
      </c>
      <c r="F2974" s="12" t="s">
        <v>5328</v>
      </c>
      <c r="G2974" s="12" t="s">
        <v>10493</v>
      </c>
      <c r="H2974" s="12">
        <v>127828</v>
      </c>
    </row>
    <row r="2975" spans="1:8">
      <c r="A2975" s="12" t="s">
        <v>10494</v>
      </c>
      <c r="B2975" s="13">
        <v>1.01</v>
      </c>
      <c r="C2975" s="16" t="s">
        <v>5331</v>
      </c>
      <c r="D2975" s="12">
        <v>513</v>
      </c>
      <c r="E2975" s="12" t="s">
        <v>5332</v>
      </c>
      <c r="F2975" s="12" t="s">
        <v>5328</v>
      </c>
      <c r="G2975" s="12" t="s">
        <v>10495</v>
      </c>
      <c r="H2975" s="12">
        <v>127840</v>
      </c>
    </row>
    <row r="2976" spans="1:8">
      <c r="A2976" s="12" t="s">
        <v>10494</v>
      </c>
      <c r="B2976" s="13">
        <v>0.86</v>
      </c>
      <c r="C2976" s="16" t="s">
        <v>5331</v>
      </c>
      <c r="D2976" s="12">
        <v>146</v>
      </c>
      <c r="E2976" s="12" t="s">
        <v>5332</v>
      </c>
      <c r="F2976" s="12" t="s">
        <v>5328</v>
      </c>
      <c r="G2976" s="12" t="s">
        <v>10496</v>
      </c>
      <c r="H2976" s="12">
        <v>127841</v>
      </c>
    </row>
    <row r="2977" spans="1:8">
      <c r="A2977" s="12" t="s">
        <v>10497</v>
      </c>
      <c r="B2977" s="13">
        <v>1.41</v>
      </c>
      <c r="C2977" s="16" t="s">
        <v>5331</v>
      </c>
      <c r="D2977" s="12">
        <v>486</v>
      </c>
      <c r="E2977" s="12" t="s">
        <v>5332</v>
      </c>
      <c r="F2977" s="12" t="s">
        <v>5328</v>
      </c>
      <c r="G2977" s="12" t="s">
        <v>10498</v>
      </c>
      <c r="H2977" s="12">
        <v>127831</v>
      </c>
    </row>
    <row r="2978" spans="1:8">
      <c r="A2978" s="12" t="s">
        <v>10499</v>
      </c>
      <c r="B2978" s="13"/>
      <c r="C2978" s="16"/>
      <c r="D2978" s="12"/>
      <c r="E2978" s="12"/>
      <c r="F2978" s="12"/>
      <c r="G2978" s="12"/>
      <c r="H2978" s="12"/>
    </row>
    <row r="2979" spans="1:8">
      <c r="A2979" s="12" t="s">
        <v>10497</v>
      </c>
      <c r="B2979" s="13">
        <v>0.96</v>
      </c>
      <c r="C2979" s="16" t="s">
        <v>5331</v>
      </c>
      <c r="D2979" s="12">
        <v>130</v>
      </c>
      <c r="E2979" s="12" t="s">
        <v>5332</v>
      </c>
      <c r="F2979" s="12" t="s">
        <v>5328</v>
      </c>
      <c r="G2979" s="12" t="s">
        <v>10500</v>
      </c>
      <c r="H2979" s="12">
        <v>127927</v>
      </c>
    </row>
    <row r="2980" spans="1:8">
      <c r="A2980" s="12" t="s">
        <v>10501</v>
      </c>
      <c r="B2980" s="13">
        <v>1.7</v>
      </c>
      <c r="C2980" s="16" t="s">
        <v>5331</v>
      </c>
      <c r="D2980" s="12">
        <v>564</v>
      </c>
      <c r="E2980" s="12" t="s">
        <v>5332</v>
      </c>
      <c r="F2980" s="12" t="s">
        <v>5328</v>
      </c>
      <c r="G2980" s="12" t="s">
        <v>10502</v>
      </c>
      <c r="H2980" s="12">
        <v>127928</v>
      </c>
    </row>
    <row r="2981" spans="1:8">
      <c r="A2981" s="12" t="s">
        <v>10503</v>
      </c>
      <c r="B2981" s="13"/>
      <c r="C2981" s="16"/>
      <c r="D2981" s="12"/>
      <c r="E2981" s="12"/>
      <c r="F2981" s="12"/>
      <c r="G2981" s="12"/>
      <c r="H2981" s="12"/>
    </row>
    <row r="2982" spans="1:8">
      <c r="A2982" s="12" t="s">
        <v>10504</v>
      </c>
      <c r="B2982" s="13"/>
      <c r="C2982" s="16"/>
      <c r="D2982" s="12"/>
      <c r="E2982" s="12"/>
      <c r="F2982" s="12"/>
      <c r="G2982" s="12"/>
      <c r="H2982" s="12"/>
    </row>
    <row r="2983" spans="1:8">
      <c r="A2983" s="12" t="s">
        <v>10505</v>
      </c>
      <c r="B2983" s="13">
        <v>0.97</v>
      </c>
      <c r="C2983" s="16" t="s">
        <v>5331</v>
      </c>
      <c r="D2983" s="12">
        <v>226</v>
      </c>
      <c r="E2983" s="12" t="s">
        <v>5332</v>
      </c>
      <c r="F2983" s="12" t="s">
        <v>5328</v>
      </c>
      <c r="G2983" s="12" t="s">
        <v>10506</v>
      </c>
      <c r="H2983" s="12">
        <v>128125</v>
      </c>
    </row>
    <row r="2984" spans="1:8">
      <c r="A2984" s="12" t="s">
        <v>10507</v>
      </c>
      <c r="B2984" s="13">
        <v>1.01</v>
      </c>
      <c r="C2984" s="16" t="s">
        <v>5331</v>
      </c>
      <c r="D2984" s="12">
        <v>368</v>
      </c>
      <c r="E2984" s="12" t="s">
        <v>5332</v>
      </c>
      <c r="F2984" s="12" t="s">
        <v>5328</v>
      </c>
      <c r="G2984" s="12" t="s">
        <v>10508</v>
      </c>
      <c r="H2984" s="12">
        <v>127842</v>
      </c>
    </row>
    <row r="2985" spans="1:8">
      <c r="A2985" s="12" t="s">
        <v>10507</v>
      </c>
      <c r="B2985" s="13">
        <v>0.85</v>
      </c>
      <c r="C2985" s="16" t="s">
        <v>5331</v>
      </c>
      <c r="D2985" s="12">
        <v>148</v>
      </c>
      <c r="E2985" s="12" t="s">
        <v>5332</v>
      </c>
      <c r="F2985" s="12" t="s">
        <v>5328</v>
      </c>
      <c r="G2985" s="12" t="s">
        <v>10509</v>
      </c>
      <c r="H2985" s="12">
        <v>128127</v>
      </c>
    </row>
    <row r="2986" spans="1:8">
      <c r="A2986" s="12" t="s">
        <v>10510</v>
      </c>
      <c r="B2986" s="13">
        <v>1.01</v>
      </c>
      <c r="C2986" s="16" t="s">
        <v>5331</v>
      </c>
      <c r="D2986" s="12">
        <v>445</v>
      </c>
      <c r="E2986" s="12" t="s">
        <v>5332</v>
      </c>
      <c r="F2986" s="12" t="s">
        <v>5328</v>
      </c>
      <c r="G2986" s="12" t="s">
        <v>10511</v>
      </c>
      <c r="H2986" s="12">
        <v>128128</v>
      </c>
    </row>
    <row r="2987" spans="1:8">
      <c r="A2987" s="12" t="s">
        <v>10512</v>
      </c>
      <c r="B2987" s="13"/>
      <c r="C2987" s="16"/>
      <c r="D2987" s="12"/>
      <c r="E2987" s="12"/>
      <c r="F2987" s="12"/>
      <c r="G2987" s="12"/>
      <c r="H2987" s="12"/>
    </row>
    <row r="2988" spans="1:8">
      <c r="A2988" s="12" t="s">
        <v>10510</v>
      </c>
      <c r="B2988" s="13">
        <v>1.18</v>
      </c>
      <c r="C2988" s="16" t="s">
        <v>5331</v>
      </c>
      <c r="D2988" s="12">
        <v>179</v>
      </c>
      <c r="E2988" s="12" t="s">
        <v>5332</v>
      </c>
      <c r="F2988" s="12" t="s">
        <v>5328</v>
      </c>
      <c r="G2988" s="12" t="s">
        <v>10513</v>
      </c>
      <c r="H2988" s="12">
        <v>128225</v>
      </c>
    </row>
    <row r="2989" spans="1:8">
      <c r="A2989" s="12" t="s">
        <v>10514</v>
      </c>
      <c r="B2989" s="13">
        <v>29.79</v>
      </c>
      <c r="C2989" s="16" t="s">
        <v>5331</v>
      </c>
      <c r="D2989" s="12">
        <v>488</v>
      </c>
      <c r="E2989" s="12" t="s">
        <v>5332</v>
      </c>
      <c r="F2989" s="12" t="s">
        <v>5328</v>
      </c>
      <c r="G2989" s="12" t="s">
        <v>10515</v>
      </c>
      <c r="H2989" s="12">
        <v>128333</v>
      </c>
    </row>
    <row r="2990" spans="1:8">
      <c r="A2990" s="12" t="s">
        <v>10516</v>
      </c>
      <c r="B2990" s="13"/>
      <c r="C2990" s="16"/>
      <c r="D2990" s="12"/>
      <c r="E2990" s="12"/>
      <c r="F2990" s="12"/>
      <c r="G2990" s="12"/>
      <c r="H2990" s="12"/>
    </row>
    <row r="2991" spans="1:8">
      <c r="A2991" s="12" t="s">
        <v>10517</v>
      </c>
      <c r="B2991" s="13"/>
      <c r="C2991" s="16"/>
      <c r="D2991" s="12"/>
      <c r="E2991" s="12"/>
      <c r="F2991" s="12"/>
      <c r="G2991" s="12"/>
      <c r="H2991" s="12"/>
    </row>
    <row r="2992" spans="1:8">
      <c r="A2992" s="12" t="s">
        <v>10514</v>
      </c>
      <c r="B2992" s="13">
        <v>8.19</v>
      </c>
      <c r="C2992" s="16" t="s">
        <v>5331</v>
      </c>
      <c r="D2992" s="12">
        <v>191</v>
      </c>
      <c r="E2992" s="12" t="s">
        <v>5332</v>
      </c>
      <c r="F2992" s="12" t="s">
        <v>5328</v>
      </c>
      <c r="G2992" s="12" t="s">
        <v>10518</v>
      </c>
      <c r="H2992" s="12">
        <v>128426</v>
      </c>
    </row>
    <row r="2993" spans="1:8">
      <c r="A2993" s="12" t="s">
        <v>10519</v>
      </c>
      <c r="B2993" s="13">
        <v>2.4700000000000002</v>
      </c>
      <c r="C2993" s="16" t="s">
        <v>5331</v>
      </c>
      <c r="D2993" s="12">
        <v>416</v>
      </c>
      <c r="E2993" s="12" t="s">
        <v>5332</v>
      </c>
      <c r="F2993" s="12" t="s">
        <v>5328</v>
      </c>
      <c r="G2993" s="12" t="s">
        <v>10520</v>
      </c>
      <c r="H2993" s="12">
        <v>128129</v>
      </c>
    </row>
    <row r="2994" spans="1:8">
      <c r="A2994" s="12" t="s">
        <v>10521</v>
      </c>
      <c r="B2994" s="13"/>
      <c r="C2994" s="16"/>
      <c r="D2994" s="12"/>
      <c r="E2994" s="12"/>
      <c r="F2994" s="12"/>
      <c r="G2994" s="12"/>
      <c r="H2994" s="12"/>
    </row>
    <row r="2995" spans="1:8">
      <c r="A2995" s="12" t="s">
        <v>10522</v>
      </c>
      <c r="B2995" s="13"/>
      <c r="C2995" s="16"/>
      <c r="D2995" s="12"/>
      <c r="E2995" s="12"/>
      <c r="F2995" s="12"/>
      <c r="G2995" s="12"/>
      <c r="H2995" s="12"/>
    </row>
    <row r="2996" spans="1:8">
      <c r="A2996" s="12" t="s">
        <v>10523</v>
      </c>
      <c r="B2996" s="13"/>
      <c r="C2996" s="16"/>
      <c r="D2996" s="12"/>
      <c r="E2996" s="12"/>
      <c r="F2996" s="12"/>
      <c r="G2996" s="12"/>
      <c r="H2996" s="12"/>
    </row>
    <row r="2997" spans="1:8">
      <c r="A2997" s="12" t="s">
        <v>10519</v>
      </c>
      <c r="B2997" s="13">
        <v>1.23</v>
      </c>
      <c r="C2997" s="16" t="s">
        <v>5331</v>
      </c>
      <c r="D2997" s="12">
        <v>167</v>
      </c>
      <c r="E2997" s="12" t="s">
        <v>5332</v>
      </c>
      <c r="F2997" s="12" t="s">
        <v>5328</v>
      </c>
      <c r="G2997" s="12" t="s">
        <v>10524</v>
      </c>
      <c r="H2997" s="12">
        <v>128329</v>
      </c>
    </row>
    <row r="2998" spans="1:8">
      <c r="A2998" s="12" t="s">
        <v>10525</v>
      </c>
      <c r="B2998" s="13">
        <v>2.12</v>
      </c>
      <c r="C2998" s="16" t="s">
        <v>5331</v>
      </c>
      <c r="D2998" s="12">
        <v>416</v>
      </c>
      <c r="E2998" s="12" t="s">
        <v>5332</v>
      </c>
      <c r="F2998" s="12" t="s">
        <v>5328</v>
      </c>
      <c r="G2998" s="12" t="s">
        <v>10526</v>
      </c>
      <c r="H2998" s="12">
        <v>127847</v>
      </c>
    </row>
    <row r="2999" spans="1:8">
      <c r="A2999" s="12" t="s">
        <v>10527</v>
      </c>
      <c r="B2999" s="13"/>
      <c r="C2999" s="16"/>
      <c r="D2999" s="12"/>
      <c r="E2999" s="12"/>
      <c r="F2999" s="12"/>
      <c r="G2999" s="12"/>
      <c r="H2999" s="12"/>
    </row>
    <row r="3000" spans="1:8">
      <c r="A3000" s="12" t="s">
        <v>10528</v>
      </c>
      <c r="B3000" s="13"/>
      <c r="C3000" s="16"/>
      <c r="D3000" s="12"/>
      <c r="E3000" s="12"/>
      <c r="F3000" s="12"/>
      <c r="G3000" s="12"/>
      <c r="H3000" s="12"/>
    </row>
    <row r="3001" spans="1:8">
      <c r="A3001" s="12" t="s">
        <v>10525</v>
      </c>
      <c r="B3001" s="13">
        <v>1.1399999999999999</v>
      </c>
      <c r="C3001" s="16" t="s">
        <v>5331</v>
      </c>
      <c r="D3001" s="12">
        <v>167</v>
      </c>
      <c r="E3001" s="12" t="s">
        <v>5332</v>
      </c>
      <c r="F3001" s="12" t="s">
        <v>5328</v>
      </c>
      <c r="G3001" s="12" t="s">
        <v>10529</v>
      </c>
      <c r="H3001" s="12">
        <v>128132</v>
      </c>
    </row>
    <row r="3002" spans="1:8">
      <c r="A3002" s="12" t="s">
        <v>10530</v>
      </c>
      <c r="B3002" s="13">
        <v>2.27</v>
      </c>
      <c r="C3002" s="16" t="s">
        <v>5331</v>
      </c>
      <c r="D3002" s="12">
        <v>416</v>
      </c>
      <c r="E3002" s="12" t="s">
        <v>5332</v>
      </c>
      <c r="F3002" s="12" t="s">
        <v>5328</v>
      </c>
      <c r="G3002" s="12" t="s">
        <v>10531</v>
      </c>
      <c r="H3002" s="12">
        <v>128327</v>
      </c>
    </row>
    <row r="3003" spans="1:8">
      <c r="A3003" s="12" t="s">
        <v>10532</v>
      </c>
      <c r="B3003" s="13"/>
      <c r="C3003" s="16"/>
      <c r="D3003" s="12"/>
      <c r="E3003" s="12"/>
      <c r="F3003" s="12"/>
      <c r="G3003" s="12"/>
      <c r="H3003" s="12"/>
    </row>
    <row r="3004" spans="1:8">
      <c r="A3004" s="12" t="s">
        <v>10530</v>
      </c>
      <c r="B3004" s="13">
        <v>1.17</v>
      </c>
      <c r="C3004" s="16" t="s">
        <v>5331</v>
      </c>
      <c r="D3004" s="12">
        <v>167</v>
      </c>
      <c r="E3004" s="12" t="s">
        <v>5332</v>
      </c>
      <c r="F3004" s="12" t="s">
        <v>5328</v>
      </c>
      <c r="G3004" s="12" t="s">
        <v>10533</v>
      </c>
      <c r="H3004" s="12">
        <v>128328</v>
      </c>
    </row>
    <row r="3005" spans="1:8">
      <c r="A3005" s="12" t="s">
        <v>10534</v>
      </c>
      <c r="B3005" s="13">
        <v>2.36</v>
      </c>
      <c r="C3005" s="16" t="s">
        <v>5331</v>
      </c>
      <c r="D3005" s="12">
        <v>445</v>
      </c>
      <c r="E3005" s="12" t="s">
        <v>5332</v>
      </c>
      <c r="F3005" s="12" t="s">
        <v>5328</v>
      </c>
      <c r="G3005" s="12" t="s">
        <v>10535</v>
      </c>
      <c r="H3005" s="12">
        <v>127834</v>
      </c>
    </row>
    <row r="3006" spans="1:8">
      <c r="A3006" s="12" t="s">
        <v>10536</v>
      </c>
      <c r="B3006" s="13"/>
      <c r="C3006" s="16"/>
      <c r="D3006" s="12"/>
      <c r="E3006" s="12"/>
      <c r="F3006" s="12"/>
      <c r="G3006" s="12"/>
      <c r="H3006" s="12"/>
    </row>
    <row r="3007" spans="1:8">
      <c r="A3007" s="12" t="s">
        <v>10537</v>
      </c>
      <c r="B3007" s="13"/>
      <c r="C3007" s="16"/>
      <c r="D3007" s="12"/>
      <c r="E3007" s="12"/>
      <c r="F3007" s="12"/>
      <c r="G3007" s="12"/>
      <c r="H3007" s="12"/>
    </row>
    <row r="3008" spans="1:8">
      <c r="A3008" s="12" t="s">
        <v>10534</v>
      </c>
      <c r="B3008" s="13">
        <v>1.2</v>
      </c>
      <c r="C3008" s="16" t="s">
        <v>5331</v>
      </c>
      <c r="D3008" s="12">
        <v>179</v>
      </c>
      <c r="E3008" s="12" t="s">
        <v>5332</v>
      </c>
      <c r="F3008" s="12" t="s">
        <v>5328</v>
      </c>
      <c r="G3008" s="12" t="s">
        <v>10538</v>
      </c>
      <c r="H3008" s="12">
        <v>128025</v>
      </c>
    </row>
    <row r="3009" spans="1:8">
      <c r="A3009" s="12" t="s">
        <v>10539</v>
      </c>
      <c r="B3009" s="13"/>
      <c r="C3009" s="16"/>
      <c r="D3009" s="12"/>
      <c r="E3009" s="12"/>
      <c r="F3009" s="12"/>
      <c r="G3009" s="12"/>
      <c r="H3009" s="12"/>
    </row>
    <row r="3010" spans="1:8">
      <c r="A3010" s="12" t="s">
        <v>10540</v>
      </c>
      <c r="B3010" s="13">
        <v>14.15</v>
      </c>
      <c r="C3010" s="16" t="s">
        <v>5331</v>
      </c>
      <c r="D3010" s="12">
        <v>453</v>
      </c>
      <c r="E3010" s="12" t="s">
        <v>5332</v>
      </c>
      <c r="F3010" s="12" t="s">
        <v>5328</v>
      </c>
      <c r="G3010" s="12" t="s">
        <v>10541</v>
      </c>
      <c r="H3010" s="12">
        <v>79373</v>
      </c>
    </row>
    <row r="3011" spans="1:8">
      <c r="A3011" s="12" t="s">
        <v>10542</v>
      </c>
      <c r="B3011" s="13">
        <v>63.25</v>
      </c>
      <c r="C3011" s="16" t="s">
        <v>5331</v>
      </c>
      <c r="D3011" s="12">
        <v>410</v>
      </c>
      <c r="E3011" s="12" t="s">
        <v>5332</v>
      </c>
      <c r="F3011" s="12" t="s">
        <v>5328</v>
      </c>
      <c r="G3011" s="12" t="s">
        <v>10543</v>
      </c>
      <c r="H3011" s="12">
        <v>67538</v>
      </c>
    </row>
    <row r="3012" spans="1:8">
      <c r="A3012" s="12" t="s">
        <v>10544</v>
      </c>
      <c r="B3012" s="13">
        <v>3.58</v>
      </c>
      <c r="C3012" s="16" t="s">
        <v>5331</v>
      </c>
      <c r="D3012" s="12">
        <v>177</v>
      </c>
      <c r="E3012" s="12" t="s">
        <v>5332</v>
      </c>
      <c r="F3012" s="12" t="s">
        <v>5328</v>
      </c>
      <c r="G3012" s="12" t="s">
        <v>10545</v>
      </c>
      <c r="H3012" s="12">
        <v>79374</v>
      </c>
    </row>
    <row r="3013" spans="1:8">
      <c r="A3013" s="12" t="s">
        <v>10546</v>
      </c>
      <c r="B3013" s="13">
        <v>13.25</v>
      </c>
      <c r="C3013" s="16" t="s">
        <v>5331</v>
      </c>
      <c r="D3013" s="12">
        <v>160</v>
      </c>
      <c r="E3013" s="12" t="s">
        <v>5332</v>
      </c>
      <c r="F3013" s="12" t="s">
        <v>5328</v>
      </c>
      <c r="G3013" s="12" t="s">
        <v>10547</v>
      </c>
      <c r="H3013" s="12">
        <v>65483</v>
      </c>
    </row>
    <row r="3014" spans="1:8">
      <c r="A3014" s="12" t="s">
        <v>10548</v>
      </c>
      <c r="B3014" s="13">
        <v>0</v>
      </c>
      <c r="C3014" s="16" t="s">
        <v>5331</v>
      </c>
      <c r="D3014" s="12">
        <v>414</v>
      </c>
      <c r="E3014" s="12" t="s">
        <v>5332</v>
      </c>
      <c r="F3014" s="12" t="s">
        <v>5328</v>
      </c>
      <c r="G3014" s="12" t="s">
        <v>10549</v>
      </c>
      <c r="H3014" s="12">
        <v>79375</v>
      </c>
    </row>
    <row r="3015" spans="1:8">
      <c r="A3015" s="12" t="s">
        <v>10550</v>
      </c>
      <c r="B3015" s="13">
        <v>53.25</v>
      </c>
      <c r="C3015" s="16" t="s">
        <v>5331</v>
      </c>
      <c r="D3015" s="12">
        <v>375</v>
      </c>
      <c r="E3015" s="12" t="s">
        <v>5332</v>
      </c>
      <c r="F3015" s="12" t="s">
        <v>5328</v>
      </c>
      <c r="G3015" s="12" t="s">
        <v>10551</v>
      </c>
      <c r="H3015" s="12">
        <v>67539</v>
      </c>
    </row>
    <row r="3016" spans="1:8">
      <c r="A3016" s="12" t="s">
        <v>10548</v>
      </c>
      <c r="B3016" s="13">
        <v>0</v>
      </c>
      <c r="C3016" s="16" t="s">
        <v>5331</v>
      </c>
      <c r="D3016" s="12">
        <v>166</v>
      </c>
      <c r="E3016" s="12" t="s">
        <v>5332</v>
      </c>
      <c r="F3016" s="12" t="s">
        <v>5328</v>
      </c>
      <c r="G3016" s="12" t="s">
        <v>10552</v>
      </c>
      <c r="H3016" s="12">
        <v>79376</v>
      </c>
    </row>
    <row r="3017" spans="1:8">
      <c r="A3017" s="12" t="s">
        <v>10553</v>
      </c>
      <c r="B3017" s="13">
        <v>15.75</v>
      </c>
      <c r="C3017" s="16" t="s">
        <v>5331</v>
      </c>
      <c r="D3017" s="12">
        <v>150</v>
      </c>
      <c r="E3017" s="12" t="s">
        <v>5332</v>
      </c>
      <c r="F3017" s="12" t="s">
        <v>5328</v>
      </c>
      <c r="G3017" s="12" t="s">
        <v>10554</v>
      </c>
      <c r="H3017" s="12">
        <v>67540</v>
      </c>
    </row>
    <row r="3018" spans="1:8">
      <c r="A3018" s="12" t="s">
        <v>10555</v>
      </c>
      <c r="B3018" s="13">
        <v>6.77</v>
      </c>
      <c r="C3018" s="16" t="s">
        <v>5331</v>
      </c>
      <c r="D3018" s="12">
        <v>486</v>
      </c>
      <c r="E3018" s="12" t="s">
        <v>5332</v>
      </c>
      <c r="F3018" s="12" t="s">
        <v>5328</v>
      </c>
      <c r="G3018" s="12" t="s">
        <v>10556</v>
      </c>
      <c r="H3018" s="12">
        <v>79377</v>
      </c>
    </row>
    <row r="3019" spans="1:8">
      <c r="A3019" s="12" t="s">
        <v>10557</v>
      </c>
      <c r="B3019" s="13">
        <v>403.25</v>
      </c>
      <c r="C3019" s="16" t="s">
        <v>5331</v>
      </c>
      <c r="D3019" s="12">
        <v>440</v>
      </c>
      <c r="E3019" s="12" t="s">
        <v>5332</v>
      </c>
      <c r="F3019" s="12" t="s">
        <v>5328</v>
      </c>
      <c r="G3019" s="12" t="s">
        <v>10558</v>
      </c>
      <c r="H3019" s="12">
        <v>67541</v>
      </c>
    </row>
    <row r="3020" spans="1:8">
      <c r="A3020" s="12" t="s">
        <v>10559</v>
      </c>
      <c r="B3020" s="13">
        <v>1.3</v>
      </c>
      <c r="C3020" s="16" t="s">
        <v>5331</v>
      </c>
      <c r="D3020" s="12">
        <v>194</v>
      </c>
      <c r="E3020" s="12" t="s">
        <v>5332</v>
      </c>
      <c r="F3020" s="12" t="s">
        <v>5328</v>
      </c>
      <c r="G3020" s="12" t="s">
        <v>10560</v>
      </c>
      <c r="H3020" s="12">
        <v>79378</v>
      </c>
    </row>
    <row r="3021" spans="1:8">
      <c r="A3021" s="12" t="s">
        <v>10561</v>
      </c>
      <c r="B3021" s="13">
        <v>103.25</v>
      </c>
      <c r="C3021" s="16" t="s">
        <v>5331</v>
      </c>
      <c r="D3021" s="12">
        <v>175</v>
      </c>
      <c r="E3021" s="12" t="s">
        <v>5332</v>
      </c>
      <c r="F3021" s="12" t="s">
        <v>5328</v>
      </c>
      <c r="G3021" s="12" t="s">
        <v>10562</v>
      </c>
      <c r="H3021" s="12">
        <v>65484</v>
      </c>
    </row>
    <row r="3022" spans="1:8">
      <c r="A3022" s="12" t="s">
        <v>10563</v>
      </c>
      <c r="B3022" s="13">
        <v>1.31</v>
      </c>
      <c r="C3022" s="16" t="s">
        <v>5331</v>
      </c>
      <c r="D3022" s="12">
        <v>524</v>
      </c>
      <c r="E3022" s="12" t="s">
        <v>5332</v>
      </c>
      <c r="F3022" s="12" t="s">
        <v>5328</v>
      </c>
      <c r="G3022" s="12" t="s">
        <v>10564</v>
      </c>
      <c r="H3022" s="12">
        <v>79379</v>
      </c>
    </row>
    <row r="3023" spans="1:8">
      <c r="A3023" s="12" t="s">
        <v>10565</v>
      </c>
      <c r="B3023" s="13">
        <v>503.25</v>
      </c>
      <c r="C3023" s="16" t="s">
        <v>5331</v>
      </c>
      <c r="D3023" s="12">
        <v>475</v>
      </c>
      <c r="E3023" s="12" t="s">
        <v>5332</v>
      </c>
      <c r="F3023" s="12" t="s">
        <v>5328</v>
      </c>
      <c r="G3023" s="12" t="s">
        <v>10566</v>
      </c>
      <c r="H3023" s="12">
        <v>67543</v>
      </c>
    </row>
    <row r="3024" spans="1:8">
      <c r="A3024" s="12" t="s">
        <v>10563</v>
      </c>
      <c r="B3024" s="13">
        <v>0.36</v>
      </c>
      <c r="C3024" s="16" t="s">
        <v>5331</v>
      </c>
      <c r="D3024" s="12">
        <v>210</v>
      </c>
      <c r="E3024" s="12" t="s">
        <v>5332</v>
      </c>
      <c r="F3024" s="12" t="s">
        <v>5328</v>
      </c>
      <c r="G3024" s="12" t="s">
        <v>10567</v>
      </c>
      <c r="H3024" s="12">
        <v>79380</v>
      </c>
    </row>
    <row r="3025" spans="1:8">
      <c r="A3025" s="12" t="s">
        <v>10568</v>
      </c>
      <c r="B3025" s="13">
        <v>128.25</v>
      </c>
      <c r="C3025" s="16" t="s">
        <v>5331</v>
      </c>
      <c r="D3025" s="12">
        <v>190</v>
      </c>
      <c r="E3025" s="12" t="s">
        <v>5332</v>
      </c>
      <c r="F3025" s="12" t="s">
        <v>5328</v>
      </c>
      <c r="G3025" s="12" t="s">
        <v>10569</v>
      </c>
      <c r="H3025" s="12">
        <v>65485</v>
      </c>
    </row>
    <row r="3026" spans="1:8">
      <c r="A3026" s="12" t="s">
        <v>10570</v>
      </c>
      <c r="B3026" s="13">
        <v>11.49</v>
      </c>
      <c r="C3026" s="16" t="s">
        <v>5331</v>
      </c>
      <c r="D3026" s="12">
        <v>414</v>
      </c>
      <c r="E3026" s="12" t="s">
        <v>5332</v>
      </c>
      <c r="F3026" s="12" t="s">
        <v>5328</v>
      </c>
      <c r="G3026" s="12" t="s">
        <v>10571</v>
      </c>
      <c r="H3026" s="12">
        <v>79381</v>
      </c>
    </row>
    <row r="3027" spans="1:8">
      <c r="A3027" s="12" t="s">
        <v>10572</v>
      </c>
      <c r="B3027" s="13"/>
      <c r="C3027" s="16"/>
      <c r="D3027" s="12"/>
      <c r="E3027" s="12"/>
      <c r="F3027" s="12"/>
      <c r="G3027" s="12"/>
      <c r="H3027" s="12"/>
    </row>
    <row r="3028" spans="1:8">
      <c r="A3028" s="12" t="s">
        <v>10573</v>
      </c>
      <c r="B3028" s="13">
        <v>40.75</v>
      </c>
      <c r="C3028" s="16" t="s">
        <v>5331</v>
      </c>
      <c r="D3028" s="12">
        <v>375</v>
      </c>
      <c r="E3028" s="12" t="s">
        <v>5332</v>
      </c>
      <c r="F3028" s="12" t="s">
        <v>5328</v>
      </c>
      <c r="G3028" s="12" t="s">
        <v>10574</v>
      </c>
      <c r="H3028" s="12">
        <v>67545</v>
      </c>
    </row>
    <row r="3029" spans="1:8">
      <c r="A3029" s="12" t="s">
        <v>10570</v>
      </c>
      <c r="B3029" s="13">
        <v>3.1</v>
      </c>
      <c r="C3029" s="16" t="s">
        <v>5331</v>
      </c>
      <c r="D3029" s="12">
        <v>166</v>
      </c>
      <c r="E3029" s="12" t="s">
        <v>5332</v>
      </c>
      <c r="F3029" s="12" t="s">
        <v>5328</v>
      </c>
      <c r="G3029" s="12" t="s">
        <v>10575</v>
      </c>
      <c r="H3029" s="12">
        <v>79382</v>
      </c>
    </row>
    <row r="3030" spans="1:8">
      <c r="A3030" s="12" t="s">
        <v>10576</v>
      </c>
      <c r="B3030" s="13">
        <v>12.63</v>
      </c>
      <c r="C3030" s="16" t="s">
        <v>5331</v>
      </c>
      <c r="D3030" s="12">
        <v>150</v>
      </c>
      <c r="E3030" s="12" t="s">
        <v>5332</v>
      </c>
      <c r="F3030" s="12" t="s">
        <v>5328</v>
      </c>
      <c r="G3030" s="12" t="s">
        <v>10577</v>
      </c>
      <c r="H3030" s="12">
        <v>67546</v>
      </c>
    </row>
    <row r="3031" spans="1:8">
      <c r="A3031" s="12" t="s">
        <v>10578</v>
      </c>
      <c r="B3031" s="13">
        <v>0.38</v>
      </c>
      <c r="C3031" s="16" t="s">
        <v>5331</v>
      </c>
      <c r="D3031" s="12">
        <v>453</v>
      </c>
      <c r="E3031" s="12" t="s">
        <v>5332</v>
      </c>
      <c r="F3031" s="12" t="s">
        <v>5328</v>
      </c>
      <c r="G3031" s="12" t="s">
        <v>10579</v>
      </c>
      <c r="H3031" s="12">
        <v>79383</v>
      </c>
    </row>
    <row r="3032" spans="1:8">
      <c r="A3032" s="12" t="s">
        <v>10580</v>
      </c>
      <c r="B3032" s="13"/>
      <c r="C3032" s="16"/>
      <c r="D3032" s="12"/>
      <c r="E3032" s="12"/>
      <c r="F3032" s="12"/>
      <c r="G3032" s="12"/>
      <c r="H3032" s="12"/>
    </row>
    <row r="3033" spans="1:8">
      <c r="A3033" s="12" t="s">
        <v>10581</v>
      </c>
      <c r="B3033" s="13"/>
      <c r="C3033" s="16"/>
      <c r="D3033" s="12"/>
      <c r="E3033" s="12"/>
      <c r="F3033" s="12"/>
      <c r="G3033" s="12"/>
      <c r="H3033" s="12"/>
    </row>
    <row r="3034" spans="1:8">
      <c r="A3034" s="12" t="s">
        <v>10582</v>
      </c>
      <c r="B3034" s="13">
        <v>33.25</v>
      </c>
      <c r="C3034" s="16" t="s">
        <v>5331</v>
      </c>
      <c r="D3034" s="12">
        <v>410</v>
      </c>
      <c r="E3034" s="12" t="s">
        <v>5332</v>
      </c>
      <c r="F3034" s="12" t="s">
        <v>5328</v>
      </c>
      <c r="G3034" s="12" t="s">
        <v>10583</v>
      </c>
      <c r="H3034" s="12">
        <v>67547</v>
      </c>
    </row>
    <row r="3035" spans="1:8">
      <c r="A3035" s="12" t="s">
        <v>10578</v>
      </c>
      <c r="B3035" s="13">
        <v>0.11</v>
      </c>
      <c r="C3035" s="16" t="s">
        <v>5331</v>
      </c>
      <c r="D3035" s="12">
        <v>177</v>
      </c>
      <c r="E3035" s="12" t="s">
        <v>5332</v>
      </c>
      <c r="F3035" s="12" t="s">
        <v>5328</v>
      </c>
      <c r="G3035" s="12" t="s">
        <v>10584</v>
      </c>
      <c r="H3035" s="12">
        <v>79384</v>
      </c>
    </row>
    <row r="3036" spans="1:8">
      <c r="A3036" s="12" t="s">
        <v>10585</v>
      </c>
      <c r="B3036" s="13">
        <v>10.75</v>
      </c>
      <c r="C3036" s="16" t="s">
        <v>5331</v>
      </c>
      <c r="D3036" s="12">
        <v>160</v>
      </c>
      <c r="E3036" s="12" t="s">
        <v>5332</v>
      </c>
      <c r="F3036" s="12" t="s">
        <v>5328</v>
      </c>
      <c r="G3036" s="12" t="s">
        <v>10586</v>
      </c>
      <c r="H3036" s="12">
        <v>67548</v>
      </c>
    </row>
    <row r="3037" spans="1:8">
      <c r="A3037" s="12" t="s">
        <v>10587</v>
      </c>
      <c r="B3037" s="13">
        <v>13.14</v>
      </c>
      <c r="C3037" s="16" t="s">
        <v>5331</v>
      </c>
      <c r="D3037" s="12">
        <v>343</v>
      </c>
      <c r="E3037" s="12" t="s">
        <v>5332</v>
      </c>
      <c r="F3037" s="12" t="s">
        <v>5328</v>
      </c>
      <c r="G3037" s="12" t="s">
        <v>10588</v>
      </c>
      <c r="H3037" s="12">
        <v>79385</v>
      </c>
    </row>
    <row r="3038" spans="1:8">
      <c r="A3038" s="12" t="s">
        <v>10589</v>
      </c>
      <c r="B3038" s="13"/>
      <c r="C3038" s="16"/>
      <c r="D3038" s="12"/>
      <c r="E3038" s="12"/>
      <c r="F3038" s="12"/>
      <c r="G3038" s="12"/>
      <c r="H3038" s="12"/>
    </row>
    <row r="3039" spans="1:8">
      <c r="A3039" s="12" t="s">
        <v>10590</v>
      </c>
      <c r="B3039" s="13">
        <v>78.25</v>
      </c>
      <c r="C3039" s="16" t="s">
        <v>5331</v>
      </c>
      <c r="D3039" s="12">
        <v>310</v>
      </c>
      <c r="E3039" s="12" t="s">
        <v>5332</v>
      </c>
      <c r="F3039" s="12" t="s">
        <v>5328</v>
      </c>
      <c r="G3039" s="12" t="s">
        <v>10591</v>
      </c>
      <c r="H3039" s="12">
        <v>67549</v>
      </c>
    </row>
    <row r="3040" spans="1:8">
      <c r="A3040" s="12" t="s">
        <v>10587</v>
      </c>
      <c r="B3040" s="13">
        <v>3.18</v>
      </c>
      <c r="C3040" s="16" t="s">
        <v>5331</v>
      </c>
      <c r="D3040" s="12">
        <v>138</v>
      </c>
      <c r="E3040" s="12" t="s">
        <v>5332</v>
      </c>
      <c r="F3040" s="12" t="s">
        <v>5328</v>
      </c>
      <c r="G3040" s="12" t="s">
        <v>10592</v>
      </c>
      <c r="H3040" s="12">
        <v>79386</v>
      </c>
    </row>
    <row r="3041" spans="1:8">
      <c r="A3041" s="12" t="s">
        <v>10593</v>
      </c>
      <c r="B3041" s="13">
        <v>22</v>
      </c>
      <c r="C3041" s="16" t="s">
        <v>5331</v>
      </c>
      <c r="D3041" s="12">
        <v>125</v>
      </c>
      <c r="E3041" s="12" t="s">
        <v>5332</v>
      </c>
      <c r="F3041" s="12" t="s">
        <v>5328</v>
      </c>
      <c r="G3041" s="12" t="s">
        <v>10594</v>
      </c>
      <c r="H3041" s="12">
        <v>67550</v>
      </c>
    </row>
    <row r="3042" spans="1:8">
      <c r="A3042" s="12" t="s">
        <v>10595</v>
      </c>
      <c r="B3042" s="13">
        <v>106.73</v>
      </c>
      <c r="C3042" s="16" t="s">
        <v>5331</v>
      </c>
      <c r="D3042" s="12">
        <v>486</v>
      </c>
      <c r="E3042" s="12" t="s">
        <v>5332</v>
      </c>
      <c r="F3042" s="12" t="s">
        <v>5328</v>
      </c>
      <c r="G3042" s="12" t="s">
        <v>10596</v>
      </c>
      <c r="H3042" s="12">
        <v>190268</v>
      </c>
    </row>
    <row r="3043" spans="1:8">
      <c r="A3043" s="12" t="s">
        <v>10597</v>
      </c>
      <c r="B3043" s="13"/>
      <c r="C3043" s="16"/>
      <c r="D3043" s="12"/>
      <c r="E3043" s="12"/>
      <c r="F3043" s="12"/>
      <c r="G3043" s="12"/>
      <c r="H3043" s="12"/>
    </row>
    <row r="3044" spans="1:8">
      <c r="A3044" s="12" t="s">
        <v>10598</v>
      </c>
      <c r="B3044" s="13"/>
      <c r="C3044" s="16"/>
      <c r="D3044" s="12"/>
      <c r="E3044" s="12"/>
      <c r="F3044" s="12"/>
      <c r="G3044" s="12"/>
      <c r="H3044" s="12"/>
    </row>
    <row r="3045" spans="1:8">
      <c r="A3045" s="12" t="s">
        <v>10595</v>
      </c>
      <c r="B3045" s="13">
        <v>29.02</v>
      </c>
      <c r="C3045" s="16" t="s">
        <v>5331</v>
      </c>
      <c r="D3045" s="12">
        <v>194</v>
      </c>
      <c r="E3045" s="12" t="s">
        <v>5332</v>
      </c>
      <c r="F3045" s="12" t="s">
        <v>5328</v>
      </c>
      <c r="G3045" s="12" t="s">
        <v>10599</v>
      </c>
      <c r="H3045" s="12">
        <v>162503</v>
      </c>
    </row>
    <row r="3046" spans="1:8">
      <c r="A3046" s="12" t="s">
        <v>10600</v>
      </c>
      <c r="B3046" s="13"/>
      <c r="C3046" s="16"/>
      <c r="D3046" s="12"/>
      <c r="E3046" s="12"/>
      <c r="F3046" s="12"/>
      <c r="G3046" s="12"/>
      <c r="H3046" s="12"/>
    </row>
    <row r="3047" spans="1:8">
      <c r="A3047" s="12" t="s">
        <v>10601</v>
      </c>
      <c r="B3047" s="13">
        <v>4.24</v>
      </c>
      <c r="C3047" s="16" t="s">
        <v>5331</v>
      </c>
      <c r="D3047" s="12">
        <v>453</v>
      </c>
      <c r="E3047" s="12" t="s">
        <v>5332</v>
      </c>
      <c r="F3047" s="12" t="s">
        <v>5328</v>
      </c>
      <c r="G3047" s="12" t="s">
        <v>10602</v>
      </c>
      <c r="H3047" s="12">
        <v>79387</v>
      </c>
    </row>
    <row r="3048" spans="1:8">
      <c r="A3048" s="12" t="s">
        <v>10603</v>
      </c>
      <c r="B3048" s="13"/>
      <c r="C3048" s="16"/>
      <c r="D3048" s="12"/>
      <c r="E3048" s="12"/>
      <c r="F3048" s="12"/>
      <c r="G3048" s="12"/>
      <c r="H3048" s="12"/>
    </row>
    <row r="3049" spans="1:8">
      <c r="A3049" s="12" t="s">
        <v>10604</v>
      </c>
      <c r="B3049" s="13">
        <v>18.25</v>
      </c>
      <c r="C3049" s="16" t="s">
        <v>5331</v>
      </c>
      <c r="D3049" s="12">
        <v>410</v>
      </c>
      <c r="E3049" s="12" t="s">
        <v>5332</v>
      </c>
      <c r="F3049" s="12" t="s">
        <v>5328</v>
      </c>
      <c r="G3049" s="12" t="s">
        <v>10605</v>
      </c>
      <c r="H3049" s="12">
        <v>67551</v>
      </c>
    </row>
    <row r="3050" spans="1:8">
      <c r="A3050" s="12" t="s">
        <v>10601</v>
      </c>
      <c r="B3050" s="13">
        <v>1.1399999999999999</v>
      </c>
      <c r="C3050" s="16" t="s">
        <v>5331</v>
      </c>
      <c r="D3050" s="12">
        <v>177</v>
      </c>
      <c r="E3050" s="12" t="s">
        <v>5332</v>
      </c>
      <c r="F3050" s="12" t="s">
        <v>5328</v>
      </c>
      <c r="G3050" s="12" t="s">
        <v>10606</v>
      </c>
      <c r="H3050" s="12">
        <v>79388</v>
      </c>
    </row>
    <row r="3051" spans="1:8">
      <c r="A3051" s="12" t="s">
        <v>10607</v>
      </c>
      <c r="B3051" s="13">
        <v>7</v>
      </c>
      <c r="C3051" s="16" t="s">
        <v>5331</v>
      </c>
      <c r="D3051" s="12">
        <v>160</v>
      </c>
      <c r="E3051" s="12" t="s">
        <v>5332</v>
      </c>
      <c r="F3051" s="12" t="s">
        <v>5328</v>
      </c>
      <c r="G3051" s="12" t="s">
        <v>10608</v>
      </c>
      <c r="H3051" s="12">
        <v>67552</v>
      </c>
    </row>
    <row r="3052" spans="1:8">
      <c r="A3052" s="12" t="s">
        <v>10609</v>
      </c>
      <c r="B3052" s="13">
        <v>0.04</v>
      </c>
      <c r="C3052" s="16" t="s">
        <v>5331</v>
      </c>
      <c r="D3052" s="12">
        <v>387</v>
      </c>
      <c r="E3052" s="12" t="s">
        <v>5332</v>
      </c>
      <c r="F3052" s="12" t="s">
        <v>5328</v>
      </c>
      <c r="G3052" s="12" t="s">
        <v>10610</v>
      </c>
      <c r="H3052" s="12">
        <v>79389</v>
      </c>
    </row>
    <row r="3053" spans="1:8">
      <c r="A3053" s="12" t="s">
        <v>10611</v>
      </c>
      <c r="B3053" s="13">
        <v>13.25</v>
      </c>
      <c r="C3053" s="16" t="s">
        <v>5331</v>
      </c>
      <c r="D3053" s="12">
        <v>350</v>
      </c>
      <c r="E3053" s="12" t="s">
        <v>5332</v>
      </c>
      <c r="F3053" s="12" t="s">
        <v>5328</v>
      </c>
      <c r="G3053" s="12" t="s">
        <v>10612</v>
      </c>
      <c r="H3053" s="12">
        <v>67553</v>
      </c>
    </row>
    <row r="3054" spans="1:8">
      <c r="A3054" s="12" t="s">
        <v>10609</v>
      </c>
      <c r="B3054" s="13">
        <v>0.01</v>
      </c>
      <c r="C3054" s="16" t="s">
        <v>5331</v>
      </c>
      <c r="D3054" s="12">
        <v>111</v>
      </c>
      <c r="E3054" s="12" t="s">
        <v>5332</v>
      </c>
      <c r="F3054" s="12" t="s">
        <v>5328</v>
      </c>
      <c r="G3054" s="12" t="s">
        <v>10613</v>
      </c>
      <c r="H3054" s="12">
        <v>79390</v>
      </c>
    </row>
    <row r="3055" spans="1:8">
      <c r="A3055" s="12" t="s">
        <v>10614</v>
      </c>
      <c r="B3055" s="13">
        <v>5.75</v>
      </c>
      <c r="C3055" s="16" t="s">
        <v>5331</v>
      </c>
      <c r="D3055" s="12">
        <v>100</v>
      </c>
      <c r="E3055" s="12" t="s">
        <v>5332</v>
      </c>
      <c r="F3055" s="12" t="s">
        <v>5328</v>
      </c>
      <c r="G3055" s="12" t="s">
        <v>10615</v>
      </c>
      <c r="H3055" s="12">
        <v>67554</v>
      </c>
    </row>
    <row r="3056" spans="1:8">
      <c r="A3056" s="12" t="s">
        <v>10616</v>
      </c>
      <c r="B3056" s="13">
        <v>14.33</v>
      </c>
      <c r="C3056" s="16" t="s">
        <v>5331</v>
      </c>
      <c r="D3056" s="12">
        <v>343</v>
      </c>
      <c r="E3056" s="12" t="s">
        <v>5332</v>
      </c>
      <c r="F3056" s="12" t="s">
        <v>5328</v>
      </c>
      <c r="G3056" s="12" t="s">
        <v>10617</v>
      </c>
      <c r="H3056" s="12">
        <v>79391</v>
      </c>
    </row>
    <row r="3057" spans="1:8">
      <c r="A3057" s="12" t="s">
        <v>10618</v>
      </c>
      <c r="B3057" s="13">
        <v>15.75</v>
      </c>
      <c r="C3057" s="16" t="s">
        <v>5331</v>
      </c>
      <c r="D3057" s="12">
        <v>310</v>
      </c>
      <c r="E3057" s="12" t="s">
        <v>5332</v>
      </c>
      <c r="F3057" s="12" t="s">
        <v>5328</v>
      </c>
      <c r="G3057" s="12" t="s">
        <v>10619</v>
      </c>
      <c r="H3057" s="12">
        <v>67555</v>
      </c>
    </row>
    <row r="3058" spans="1:8">
      <c r="A3058" s="12" t="s">
        <v>10616</v>
      </c>
      <c r="B3058" s="13">
        <v>3.86</v>
      </c>
      <c r="C3058" s="16" t="s">
        <v>5331</v>
      </c>
      <c r="D3058" s="12">
        <v>138</v>
      </c>
      <c r="E3058" s="12" t="s">
        <v>5332</v>
      </c>
      <c r="F3058" s="12" t="s">
        <v>5328</v>
      </c>
      <c r="G3058" s="12" t="s">
        <v>10620</v>
      </c>
      <c r="H3058" s="12">
        <v>79392</v>
      </c>
    </row>
    <row r="3059" spans="1:8">
      <c r="A3059" s="12" t="s">
        <v>10621</v>
      </c>
      <c r="B3059" s="13">
        <v>6.38</v>
      </c>
      <c r="C3059" s="16" t="s">
        <v>5331</v>
      </c>
      <c r="D3059" s="12">
        <v>125</v>
      </c>
      <c r="E3059" s="12" t="s">
        <v>5332</v>
      </c>
      <c r="F3059" s="12" t="s">
        <v>5328</v>
      </c>
      <c r="G3059" s="12" t="s">
        <v>10622</v>
      </c>
      <c r="H3059" s="12">
        <v>67556</v>
      </c>
    </row>
    <row r="3060" spans="1:8">
      <c r="A3060" s="12" t="s">
        <v>10623</v>
      </c>
      <c r="B3060" s="13">
        <v>15.78</v>
      </c>
      <c r="C3060" s="16" t="s">
        <v>5331</v>
      </c>
      <c r="D3060" s="12">
        <v>387</v>
      </c>
      <c r="E3060" s="12" t="s">
        <v>5332</v>
      </c>
      <c r="F3060" s="12" t="s">
        <v>5328</v>
      </c>
      <c r="G3060" s="12" t="s">
        <v>10624</v>
      </c>
      <c r="H3060" s="12">
        <v>79393</v>
      </c>
    </row>
    <row r="3061" spans="1:8">
      <c r="A3061" s="12" t="s">
        <v>10625</v>
      </c>
      <c r="B3061" s="13"/>
      <c r="C3061" s="16"/>
      <c r="D3061" s="12"/>
      <c r="E3061" s="12"/>
      <c r="F3061" s="12"/>
      <c r="G3061" s="12"/>
      <c r="H3061" s="12"/>
    </row>
    <row r="3062" spans="1:8">
      <c r="A3062" s="12" t="s">
        <v>10626</v>
      </c>
      <c r="B3062" s="13">
        <v>65.75</v>
      </c>
      <c r="C3062" s="16" t="s">
        <v>5331</v>
      </c>
      <c r="D3062" s="12">
        <v>350</v>
      </c>
      <c r="E3062" s="12" t="s">
        <v>5332</v>
      </c>
      <c r="F3062" s="12" t="s">
        <v>5328</v>
      </c>
      <c r="G3062" s="12" t="s">
        <v>10627</v>
      </c>
      <c r="H3062" s="12">
        <v>67557</v>
      </c>
    </row>
    <row r="3063" spans="1:8">
      <c r="A3063" s="12" t="s">
        <v>10623</v>
      </c>
      <c r="B3063" s="13">
        <v>4.25</v>
      </c>
      <c r="C3063" s="16" t="s">
        <v>5331</v>
      </c>
      <c r="D3063" s="12">
        <v>155</v>
      </c>
      <c r="E3063" s="12" t="s">
        <v>5332</v>
      </c>
      <c r="F3063" s="12" t="s">
        <v>5328</v>
      </c>
      <c r="G3063" s="12" t="s">
        <v>10628</v>
      </c>
      <c r="H3063" s="12">
        <v>79394</v>
      </c>
    </row>
    <row r="3064" spans="1:8">
      <c r="A3064" s="12" t="s">
        <v>10629</v>
      </c>
      <c r="B3064" s="13">
        <v>18.88</v>
      </c>
      <c r="C3064" s="16" t="s">
        <v>5331</v>
      </c>
      <c r="D3064" s="12">
        <v>140</v>
      </c>
      <c r="E3064" s="12" t="s">
        <v>5332</v>
      </c>
      <c r="F3064" s="12" t="s">
        <v>5328</v>
      </c>
      <c r="G3064" s="12" t="s">
        <v>10630</v>
      </c>
      <c r="H3064" s="12">
        <v>67558</v>
      </c>
    </row>
    <row r="3065" spans="1:8">
      <c r="A3065" s="12" t="s">
        <v>10631</v>
      </c>
      <c r="B3065" s="13">
        <v>36.35</v>
      </c>
      <c r="C3065" s="16" t="s">
        <v>5331</v>
      </c>
      <c r="D3065" s="12">
        <v>387</v>
      </c>
      <c r="E3065" s="12" t="s">
        <v>5332</v>
      </c>
      <c r="F3065" s="12" t="s">
        <v>5328</v>
      </c>
      <c r="G3065" s="12" t="s">
        <v>10632</v>
      </c>
      <c r="H3065" s="12">
        <v>79395</v>
      </c>
    </row>
    <row r="3066" spans="1:8">
      <c r="A3066" s="12" t="s">
        <v>10633</v>
      </c>
      <c r="B3066" s="13">
        <v>34.5</v>
      </c>
      <c r="C3066" s="16" t="s">
        <v>5331</v>
      </c>
      <c r="D3066" s="12">
        <v>350</v>
      </c>
      <c r="E3066" s="12" t="s">
        <v>5332</v>
      </c>
      <c r="F3066" s="12" t="s">
        <v>5328</v>
      </c>
      <c r="G3066" s="12" t="s">
        <v>10634</v>
      </c>
      <c r="H3066" s="12">
        <v>67559</v>
      </c>
    </row>
    <row r="3067" spans="1:8">
      <c r="A3067" s="12" t="s">
        <v>10631</v>
      </c>
      <c r="B3067" s="13">
        <v>9.7799999999999994</v>
      </c>
      <c r="C3067" s="16" t="s">
        <v>5331</v>
      </c>
      <c r="D3067" s="12">
        <v>155</v>
      </c>
      <c r="E3067" s="12" t="s">
        <v>5332</v>
      </c>
      <c r="F3067" s="12" t="s">
        <v>5328</v>
      </c>
      <c r="G3067" s="12" t="s">
        <v>10635</v>
      </c>
      <c r="H3067" s="12">
        <v>79396</v>
      </c>
    </row>
    <row r="3068" spans="1:8">
      <c r="A3068" s="12" t="s">
        <v>10636</v>
      </c>
      <c r="B3068" s="13">
        <v>11.06</v>
      </c>
      <c r="C3068" s="16" t="s">
        <v>5331</v>
      </c>
      <c r="D3068" s="12">
        <v>140</v>
      </c>
      <c r="E3068" s="12" t="s">
        <v>5332</v>
      </c>
      <c r="F3068" s="12" t="s">
        <v>5328</v>
      </c>
      <c r="G3068" s="12" t="s">
        <v>10637</v>
      </c>
      <c r="H3068" s="12">
        <v>67560</v>
      </c>
    </row>
    <row r="3069" spans="1:8">
      <c r="A3069" s="12" t="s">
        <v>10638</v>
      </c>
      <c r="B3069" s="13">
        <v>0.56999999999999995</v>
      </c>
      <c r="C3069" s="16" t="s">
        <v>5331</v>
      </c>
      <c r="D3069" s="12">
        <v>387</v>
      </c>
      <c r="E3069" s="12" t="s">
        <v>5332</v>
      </c>
      <c r="F3069" s="12" t="s">
        <v>5328</v>
      </c>
      <c r="G3069" s="12" t="s">
        <v>10639</v>
      </c>
      <c r="H3069" s="12">
        <v>79397</v>
      </c>
    </row>
    <row r="3070" spans="1:8">
      <c r="A3070" s="12" t="s">
        <v>10640</v>
      </c>
      <c r="B3070" s="13">
        <v>253.25</v>
      </c>
      <c r="C3070" s="16" t="s">
        <v>5331</v>
      </c>
      <c r="D3070" s="12">
        <v>350</v>
      </c>
      <c r="E3070" s="12" t="s">
        <v>5332</v>
      </c>
      <c r="F3070" s="12" t="s">
        <v>5328</v>
      </c>
      <c r="G3070" s="12" t="s">
        <v>10641</v>
      </c>
      <c r="H3070" s="12">
        <v>67561</v>
      </c>
    </row>
    <row r="3071" spans="1:8">
      <c r="A3071" s="12" t="s">
        <v>10638</v>
      </c>
      <c r="B3071" s="13">
        <v>0.15</v>
      </c>
      <c r="C3071" s="16" t="s">
        <v>5331</v>
      </c>
      <c r="D3071" s="12">
        <v>155</v>
      </c>
      <c r="E3071" s="12" t="s">
        <v>5332</v>
      </c>
      <c r="F3071" s="12" t="s">
        <v>5328</v>
      </c>
      <c r="G3071" s="12" t="s">
        <v>10642</v>
      </c>
      <c r="H3071" s="12">
        <v>79398</v>
      </c>
    </row>
    <row r="3072" spans="1:8">
      <c r="A3072" s="12" t="s">
        <v>10643</v>
      </c>
      <c r="B3072" s="13">
        <v>65.75</v>
      </c>
      <c r="C3072" s="16" t="s">
        <v>5331</v>
      </c>
      <c r="D3072" s="12">
        <v>140</v>
      </c>
      <c r="E3072" s="12" t="s">
        <v>5332</v>
      </c>
      <c r="F3072" s="12" t="s">
        <v>5328</v>
      </c>
      <c r="G3072" s="12" t="s">
        <v>10644</v>
      </c>
      <c r="H3072" s="12">
        <v>65486</v>
      </c>
    </row>
    <row r="3073" spans="1:8">
      <c r="A3073" s="12" t="s">
        <v>10645</v>
      </c>
      <c r="B3073" s="13">
        <v>0.04</v>
      </c>
      <c r="C3073" s="16" t="s">
        <v>5331</v>
      </c>
      <c r="D3073" s="12">
        <v>343</v>
      </c>
      <c r="E3073" s="12" t="s">
        <v>5332</v>
      </c>
      <c r="F3073" s="12" t="s">
        <v>5328</v>
      </c>
      <c r="G3073" s="12" t="s">
        <v>10646</v>
      </c>
      <c r="H3073" s="12">
        <v>79399</v>
      </c>
    </row>
    <row r="3074" spans="1:8">
      <c r="A3074" s="12" t="s">
        <v>10647</v>
      </c>
      <c r="B3074" s="13">
        <v>13.25</v>
      </c>
      <c r="C3074" s="16" t="s">
        <v>5331</v>
      </c>
      <c r="D3074" s="12">
        <v>310</v>
      </c>
      <c r="E3074" s="12" t="s">
        <v>5332</v>
      </c>
      <c r="F3074" s="12" t="s">
        <v>5328</v>
      </c>
      <c r="G3074" s="12" t="s">
        <v>10648</v>
      </c>
      <c r="H3074" s="12">
        <v>67563</v>
      </c>
    </row>
    <row r="3075" spans="1:8">
      <c r="A3075" s="12" t="s">
        <v>10645</v>
      </c>
      <c r="B3075" s="13">
        <v>0.01</v>
      </c>
      <c r="C3075" s="16" t="s">
        <v>5331</v>
      </c>
      <c r="D3075" s="12">
        <v>111</v>
      </c>
      <c r="E3075" s="12" t="s">
        <v>5332</v>
      </c>
      <c r="F3075" s="12" t="s">
        <v>5328</v>
      </c>
      <c r="G3075" s="12" t="s">
        <v>10649</v>
      </c>
      <c r="H3075" s="12">
        <v>79400</v>
      </c>
    </row>
    <row r="3076" spans="1:8">
      <c r="A3076" s="12" t="s">
        <v>10650</v>
      </c>
      <c r="B3076" s="13">
        <v>5.75</v>
      </c>
      <c r="C3076" s="16" t="s">
        <v>5331</v>
      </c>
      <c r="D3076" s="12">
        <v>100</v>
      </c>
      <c r="E3076" s="12" t="s">
        <v>5332</v>
      </c>
      <c r="F3076" s="12" t="s">
        <v>5328</v>
      </c>
      <c r="G3076" s="12" t="s">
        <v>10651</v>
      </c>
      <c r="H3076" s="12">
        <v>67564</v>
      </c>
    </row>
    <row r="3077" spans="1:8">
      <c r="A3077" s="12" t="s">
        <v>10652</v>
      </c>
      <c r="B3077" s="13">
        <v>42.61</v>
      </c>
      <c r="C3077" s="16" t="s">
        <v>5331</v>
      </c>
      <c r="D3077" s="12">
        <v>486</v>
      </c>
      <c r="E3077" s="12" t="s">
        <v>5332</v>
      </c>
      <c r="F3077" s="12" t="s">
        <v>5328</v>
      </c>
      <c r="G3077" s="12" t="s">
        <v>10653</v>
      </c>
      <c r="H3077" s="12">
        <v>86537</v>
      </c>
    </row>
    <row r="3078" spans="1:8">
      <c r="A3078" s="12" t="s">
        <v>10654</v>
      </c>
      <c r="B3078" s="13">
        <v>10.65</v>
      </c>
      <c r="C3078" s="16" t="s">
        <v>5331</v>
      </c>
      <c r="D3078" s="12">
        <v>138</v>
      </c>
      <c r="E3078" s="12" t="s">
        <v>5332</v>
      </c>
      <c r="F3078" s="12" t="s">
        <v>5328</v>
      </c>
      <c r="G3078" s="12" t="s">
        <v>10655</v>
      </c>
      <c r="H3078" s="12">
        <v>86451</v>
      </c>
    </row>
    <row r="3079" spans="1:8">
      <c r="A3079" s="12" t="s">
        <v>10656</v>
      </c>
      <c r="B3079" s="13">
        <v>0.04</v>
      </c>
      <c r="C3079" s="16" t="s">
        <v>5331</v>
      </c>
      <c r="D3079" s="12">
        <v>486</v>
      </c>
      <c r="E3079" s="12" t="s">
        <v>5332</v>
      </c>
      <c r="F3079" s="12" t="s">
        <v>5328</v>
      </c>
      <c r="G3079" s="12" t="s">
        <v>10657</v>
      </c>
      <c r="H3079" s="12">
        <v>79401</v>
      </c>
    </row>
    <row r="3080" spans="1:8">
      <c r="A3080" s="12" t="s">
        <v>10658</v>
      </c>
      <c r="B3080" s="13">
        <v>3.61</v>
      </c>
      <c r="C3080" s="16" t="s">
        <v>5331</v>
      </c>
      <c r="D3080" s="12">
        <v>440</v>
      </c>
      <c r="E3080" s="12" t="s">
        <v>5332</v>
      </c>
      <c r="F3080" s="12" t="s">
        <v>5328</v>
      </c>
      <c r="G3080" s="12" t="s">
        <v>10659</v>
      </c>
      <c r="H3080" s="12">
        <v>53942</v>
      </c>
    </row>
    <row r="3081" spans="1:8">
      <c r="A3081" s="12" t="s">
        <v>10656</v>
      </c>
      <c r="B3081" s="13">
        <v>0.01</v>
      </c>
      <c r="C3081" s="16" t="s">
        <v>5331</v>
      </c>
      <c r="D3081" s="12">
        <v>138</v>
      </c>
      <c r="E3081" s="12" t="s">
        <v>5332</v>
      </c>
      <c r="F3081" s="12" t="s">
        <v>5328</v>
      </c>
      <c r="G3081" s="12" t="s">
        <v>10660</v>
      </c>
      <c r="H3081" s="12">
        <v>79402</v>
      </c>
    </row>
    <row r="3082" spans="1:8">
      <c r="A3082" s="12" t="s">
        <v>10661</v>
      </c>
      <c r="B3082" s="13">
        <v>0.83</v>
      </c>
      <c r="C3082" s="16" t="s">
        <v>5331</v>
      </c>
      <c r="D3082" s="12">
        <v>125</v>
      </c>
      <c r="E3082" s="12" t="s">
        <v>5332</v>
      </c>
      <c r="F3082" s="12" t="s">
        <v>5328</v>
      </c>
      <c r="G3082" s="12" t="s">
        <v>10662</v>
      </c>
      <c r="H3082" s="12">
        <v>57685</v>
      </c>
    </row>
    <row r="3083" spans="1:8">
      <c r="A3083" s="12" t="s">
        <v>10663</v>
      </c>
      <c r="B3083" s="13">
        <v>3.49</v>
      </c>
      <c r="C3083" s="16" t="s">
        <v>5331</v>
      </c>
      <c r="D3083" s="12">
        <v>453</v>
      </c>
      <c r="E3083" s="12" t="s">
        <v>5332</v>
      </c>
      <c r="F3083" s="12" t="s">
        <v>5328</v>
      </c>
      <c r="G3083" s="12" t="s">
        <v>10664</v>
      </c>
      <c r="H3083" s="12">
        <v>79403</v>
      </c>
    </row>
    <row r="3084" spans="1:8">
      <c r="A3084" s="12" t="s">
        <v>10665</v>
      </c>
      <c r="B3084" s="13">
        <v>3.24</v>
      </c>
      <c r="C3084" s="16" t="s">
        <v>5331</v>
      </c>
      <c r="D3084" s="12">
        <v>410</v>
      </c>
      <c r="E3084" s="12" t="s">
        <v>5332</v>
      </c>
      <c r="F3084" s="12" t="s">
        <v>5328</v>
      </c>
      <c r="G3084" s="12" t="s">
        <v>10666</v>
      </c>
      <c r="H3084" s="12">
        <v>57686</v>
      </c>
    </row>
    <row r="3085" spans="1:8">
      <c r="A3085" s="12" t="s">
        <v>10663</v>
      </c>
      <c r="B3085" s="13">
        <v>0.94</v>
      </c>
      <c r="C3085" s="16" t="s">
        <v>5331</v>
      </c>
      <c r="D3085" s="12">
        <v>122</v>
      </c>
      <c r="E3085" s="12" t="s">
        <v>5332</v>
      </c>
      <c r="F3085" s="12" t="s">
        <v>5328</v>
      </c>
      <c r="G3085" s="12" t="s">
        <v>10667</v>
      </c>
      <c r="H3085" s="12">
        <v>79404</v>
      </c>
    </row>
    <row r="3086" spans="1:8">
      <c r="A3086" s="12" t="s">
        <v>10668</v>
      </c>
      <c r="B3086" s="13">
        <v>0.83</v>
      </c>
      <c r="C3086" s="16" t="s">
        <v>5331</v>
      </c>
      <c r="D3086" s="12">
        <v>110</v>
      </c>
      <c r="E3086" s="12" t="s">
        <v>5332</v>
      </c>
      <c r="F3086" s="12" t="s">
        <v>5328</v>
      </c>
      <c r="G3086" s="12" t="s">
        <v>10669</v>
      </c>
      <c r="H3086" s="12">
        <v>57687</v>
      </c>
    </row>
    <row r="3087" spans="1:8">
      <c r="A3087" s="12" t="s">
        <v>10670</v>
      </c>
      <c r="B3087" s="13">
        <v>0.04</v>
      </c>
      <c r="C3087" s="16" t="s">
        <v>5331</v>
      </c>
      <c r="D3087" s="12">
        <v>414</v>
      </c>
      <c r="E3087" s="12" t="s">
        <v>5332</v>
      </c>
      <c r="F3087" s="12" t="s">
        <v>5328</v>
      </c>
      <c r="G3087" s="12" t="s">
        <v>10671</v>
      </c>
      <c r="H3087" s="12">
        <v>79405</v>
      </c>
    </row>
    <row r="3088" spans="1:8">
      <c r="A3088" s="12" t="s">
        <v>10672</v>
      </c>
      <c r="B3088" s="13">
        <v>3.32</v>
      </c>
      <c r="C3088" s="16" t="s">
        <v>5331</v>
      </c>
      <c r="D3088" s="12">
        <v>375</v>
      </c>
      <c r="E3088" s="12" t="s">
        <v>5332</v>
      </c>
      <c r="F3088" s="12" t="s">
        <v>5328</v>
      </c>
      <c r="G3088" s="12" t="s">
        <v>10673</v>
      </c>
      <c r="H3088" s="12">
        <v>57688</v>
      </c>
    </row>
    <row r="3089" spans="1:8">
      <c r="A3089" s="12" t="s">
        <v>10670</v>
      </c>
      <c r="B3089" s="13">
        <v>0.01</v>
      </c>
      <c r="C3089" s="16" t="s">
        <v>5331</v>
      </c>
      <c r="D3089" s="12">
        <v>111</v>
      </c>
      <c r="E3089" s="12" t="s">
        <v>5332</v>
      </c>
      <c r="F3089" s="12" t="s">
        <v>5328</v>
      </c>
      <c r="G3089" s="12" t="s">
        <v>10674</v>
      </c>
      <c r="H3089" s="12">
        <v>79406</v>
      </c>
    </row>
    <row r="3090" spans="1:8">
      <c r="A3090" s="12" t="s">
        <v>10675</v>
      </c>
      <c r="B3090" s="13">
        <v>0.84</v>
      </c>
      <c r="C3090" s="16" t="s">
        <v>5331</v>
      </c>
      <c r="D3090" s="12">
        <v>100</v>
      </c>
      <c r="E3090" s="12" t="s">
        <v>5332</v>
      </c>
      <c r="F3090" s="12" t="s">
        <v>5328</v>
      </c>
      <c r="G3090" s="12" t="s">
        <v>10676</v>
      </c>
      <c r="H3090" s="12">
        <v>57689</v>
      </c>
    </row>
    <row r="3091" spans="1:8">
      <c r="A3091" s="12" t="s">
        <v>10677</v>
      </c>
      <c r="B3091" s="13">
        <v>1.21</v>
      </c>
      <c r="C3091" s="16" t="s">
        <v>5331</v>
      </c>
      <c r="D3091" s="12">
        <v>486</v>
      </c>
      <c r="E3091" s="12" t="s">
        <v>5332</v>
      </c>
      <c r="F3091" s="12" t="s">
        <v>5328</v>
      </c>
      <c r="G3091" s="12" t="s">
        <v>10678</v>
      </c>
      <c r="H3091" s="12">
        <v>86452</v>
      </c>
    </row>
    <row r="3092" spans="1:8">
      <c r="A3092" s="12" t="s">
        <v>10679</v>
      </c>
      <c r="B3092" s="13">
        <v>0.3</v>
      </c>
      <c r="C3092" s="16" t="s">
        <v>5331</v>
      </c>
      <c r="D3092" s="12">
        <v>138</v>
      </c>
      <c r="E3092" s="12" t="s">
        <v>5332</v>
      </c>
      <c r="F3092" s="12" t="s">
        <v>5328</v>
      </c>
      <c r="G3092" s="12" t="s">
        <v>10680</v>
      </c>
      <c r="H3092" s="12">
        <v>86453</v>
      </c>
    </row>
    <row r="3093" spans="1:8">
      <c r="A3093" s="12" t="s">
        <v>10681</v>
      </c>
      <c r="B3093" s="13">
        <v>0.04</v>
      </c>
      <c r="C3093" s="16" t="s">
        <v>5331</v>
      </c>
      <c r="D3093" s="12">
        <v>343</v>
      </c>
      <c r="E3093" s="12" t="s">
        <v>5332</v>
      </c>
      <c r="F3093" s="12" t="s">
        <v>5328</v>
      </c>
      <c r="G3093" s="12" t="s">
        <v>10682</v>
      </c>
      <c r="H3093" s="12">
        <v>79407</v>
      </c>
    </row>
    <row r="3094" spans="1:8">
      <c r="A3094" s="12" t="s">
        <v>10683</v>
      </c>
      <c r="B3094" s="13">
        <v>13.25</v>
      </c>
      <c r="C3094" s="16" t="s">
        <v>5331</v>
      </c>
      <c r="D3094" s="12">
        <v>310</v>
      </c>
      <c r="E3094" s="12" t="s">
        <v>5332</v>
      </c>
      <c r="F3094" s="12" t="s">
        <v>5328</v>
      </c>
      <c r="G3094" s="12" t="s">
        <v>10684</v>
      </c>
      <c r="H3094" s="12">
        <v>67565</v>
      </c>
    </row>
    <row r="3095" spans="1:8">
      <c r="A3095" s="12" t="s">
        <v>10681</v>
      </c>
      <c r="B3095" s="13">
        <v>0.01</v>
      </c>
      <c r="C3095" s="16" t="s">
        <v>5331</v>
      </c>
      <c r="D3095" s="12">
        <v>111</v>
      </c>
      <c r="E3095" s="12" t="s">
        <v>5332</v>
      </c>
      <c r="F3095" s="12" t="s">
        <v>5328</v>
      </c>
      <c r="G3095" s="12" t="s">
        <v>10685</v>
      </c>
      <c r="H3095" s="12">
        <v>79408</v>
      </c>
    </row>
    <row r="3096" spans="1:8">
      <c r="A3096" s="12" t="s">
        <v>10686</v>
      </c>
      <c r="B3096" s="13">
        <v>5.75</v>
      </c>
      <c r="C3096" s="16" t="s">
        <v>5331</v>
      </c>
      <c r="D3096" s="12">
        <v>100</v>
      </c>
      <c r="E3096" s="12" t="s">
        <v>5332</v>
      </c>
      <c r="F3096" s="12" t="s">
        <v>5328</v>
      </c>
      <c r="G3096" s="12" t="s">
        <v>10687</v>
      </c>
      <c r="H3096" s="12">
        <v>67566</v>
      </c>
    </row>
    <row r="3097" spans="1:8">
      <c r="A3097" s="12" t="s">
        <v>10688</v>
      </c>
      <c r="B3097" s="13">
        <v>0.04</v>
      </c>
      <c r="C3097" s="16" t="s">
        <v>5331</v>
      </c>
      <c r="D3097" s="12">
        <v>414</v>
      </c>
      <c r="E3097" s="12" t="s">
        <v>5332</v>
      </c>
      <c r="F3097" s="12" t="s">
        <v>5328</v>
      </c>
      <c r="G3097" s="12" t="s">
        <v>10689</v>
      </c>
      <c r="H3097" s="12">
        <v>79409</v>
      </c>
    </row>
    <row r="3098" spans="1:8">
      <c r="A3098" s="12" t="s">
        <v>10690</v>
      </c>
      <c r="B3098" s="13">
        <v>13.25</v>
      </c>
      <c r="C3098" s="16" t="s">
        <v>5331</v>
      </c>
      <c r="D3098" s="12">
        <v>375</v>
      </c>
      <c r="E3098" s="12" t="s">
        <v>5332</v>
      </c>
      <c r="F3098" s="12" t="s">
        <v>5328</v>
      </c>
      <c r="G3098" s="12" t="s">
        <v>10691</v>
      </c>
      <c r="H3098" s="12">
        <v>67567</v>
      </c>
    </row>
    <row r="3099" spans="1:8">
      <c r="A3099" s="12" t="s">
        <v>10688</v>
      </c>
      <c r="B3099" s="13">
        <v>0.01</v>
      </c>
      <c r="C3099" s="16" t="s">
        <v>5331</v>
      </c>
      <c r="D3099" s="12">
        <v>111</v>
      </c>
      <c r="E3099" s="12" t="s">
        <v>5332</v>
      </c>
      <c r="F3099" s="12" t="s">
        <v>5328</v>
      </c>
      <c r="G3099" s="12" t="s">
        <v>10692</v>
      </c>
      <c r="H3099" s="12">
        <v>79410</v>
      </c>
    </row>
    <row r="3100" spans="1:8">
      <c r="A3100" s="12" t="s">
        <v>10693</v>
      </c>
      <c r="B3100" s="13">
        <v>5.75</v>
      </c>
      <c r="C3100" s="16" t="s">
        <v>5331</v>
      </c>
      <c r="D3100" s="12">
        <v>100</v>
      </c>
      <c r="E3100" s="12" t="s">
        <v>5332</v>
      </c>
      <c r="F3100" s="12" t="s">
        <v>5328</v>
      </c>
      <c r="G3100" s="12" t="s">
        <v>10694</v>
      </c>
      <c r="H3100" s="12">
        <v>67568</v>
      </c>
    </row>
    <row r="3101" spans="1:8">
      <c r="A3101" s="12" t="s">
        <v>10695</v>
      </c>
      <c r="B3101" s="13">
        <v>0</v>
      </c>
      <c r="C3101" s="16" t="s">
        <v>5331</v>
      </c>
      <c r="D3101" s="12">
        <v>387</v>
      </c>
      <c r="E3101" s="12" t="s">
        <v>5332</v>
      </c>
      <c r="F3101" s="12" t="s">
        <v>5328</v>
      </c>
      <c r="G3101" s="12" t="s">
        <v>10696</v>
      </c>
      <c r="H3101" s="12">
        <v>79411</v>
      </c>
    </row>
    <row r="3102" spans="1:8">
      <c r="A3102" s="12" t="s">
        <v>10697</v>
      </c>
      <c r="B3102" s="13">
        <v>503.25</v>
      </c>
      <c r="C3102" s="16" t="s">
        <v>5331</v>
      </c>
      <c r="D3102" s="12">
        <v>350</v>
      </c>
      <c r="E3102" s="12" t="s">
        <v>5332</v>
      </c>
      <c r="F3102" s="12" t="s">
        <v>5328</v>
      </c>
      <c r="G3102" s="12" t="s">
        <v>10698</v>
      </c>
      <c r="H3102" s="12">
        <v>67569</v>
      </c>
    </row>
    <row r="3103" spans="1:8">
      <c r="A3103" s="12" t="s">
        <v>10695</v>
      </c>
      <c r="B3103" s="13">
        <v>0</v>
      </c>
      <c r="C3103" s="16" t="s">
        <v>5331</v>
      </c>
      <c r="D3103" s="12">
        <v>155</v>
      </c>
      <c r="E3103" s="12" t="s">
        <v>5332</v>
      </c>
      <c r="F3103" s="12" t="s">
        <v>5328</v>
      </c>
      <c r="G3103" s="12" t="s">
        <v>10699</v>
      </c>
      <c r="H3103" s="12">
        <v>79412</v>
      </c>
    </row>
    <row r="3104" spans="1:8">
      <c r="A3104" s="12" t="s">
        <v>10700</v>
      </c>
      <c r="B3104" s="13">
        <v>128.25</v>
      </c>
      <c r="C3104" s="16" t="s">
        <v>5331</v>
      </c>
      <c r="D3104" s="12">
        <v>140</v>
      </c>
      <c r="E3104" s="12" t="s">
        <v>5332</v>
      </c>
      <c r="F3104" s="12" t="s">
        <v>5328</v>
      </c>
      <c r="G3104" s="12" t="s">
        <v>10701</v>
      </c>
      <c r="H3104" s="12">
        <v>65487</v>
      </c>
    </row>
    <row r="3105" spans="1:8">
      <c r="A3105" s="12" t="s">
        <v>10702</v>
      </c>
      <c r="B3105" s="13">
        <v>0.25</v>
      </c>
      <c r="C3105" s="16" t="s">
        <v>5331</v>
      </c>
      <c r="D3105" s="12">
        <v>387</v>
      </c>
      <c r="E3105" s="12" t="s">
        <v>5332</v>
      </c>
      <c r="F3105" s="12" t="s">
        <v>5328</v>
      </c>
      <c r="G3105" s="12" t="s">
        <v>10703</v>
      </c>
      <c r="H3105" s="12">
        <v>79413</v>
      </c>
    </row>
    <row r="3106" spans="1:8">
      <c r="A3106" s="12" t="s">
        <v>10704</v>
      </c>
      <c r="B3106" s="13">
        <v>13.25</v>
      </c>
      <c r="C3106" s="16" t="s">
        <v>5331</v>
      </c>
      <c r="D3106" s="12">
        <v>350</v>
      </c>
      <c r="E3106" s="12" t="s">
        <v>5332</v>
      </c>
      <c r="F3106" s="12" t="s">
        <v>5328</v>
      </c>
      <c r="G3106" s="12" t="s">
        <v>10705</v>
      </c>
      <c r="H3106" s="12">
        <v>67571</v>
      </c>
    </row>
    <row r="3107" spans="1:8">
      <c r="A3107" s="12" t="s">
        <v>10706</v>
      </c>
      <c r="B3107" s="13">
        <v>7.0000000000000007E-2</v>
      </c>
      <c r="C3107" s="16" t="s">
        <v>5331</v>
      </c>
      <c r="D3107" s="12">
        <v>111</v>
      </c>
      <c r="E3107" s="12" t="s">
        <v>5332</v>
      </c>
      <c r="F3107" s="12" t="s">
        <v>5328</v>
      </c>
      <c r="G3107" s="12" t="s">
        <v>10707</v>
      </c>
      <c r="H3107" s="12">
        <v>79673</v>
      </c>
    </row>
    <row r="3108" spans="1:8">
      <c r="A3108" s="12" t="s">
        <v>10708</v>
      </c>
      <c r="B3108" s="13">
        <v>5.75</v>
      </c>
      <c r="C3108" s="16" t="s">
        <v>5331</v>
      </c>
      <c r="D3108" s="12">
        <v>100</v>
      </c>
      <c r="E3108" s="12" t="s">
        <v>5332</v>
      </c>
      <c r="F3108" s="12" t="s">
        <v>5328</v>
      </c>
      <c r="G3108" s="12" t="s">
        <v>10709</v>
      </c>
      <c r="H3108" s="12">
        <v>67572</v>
      </c>
    </row>
    <row r="3109" spans="1:8">
      <c r="A3109" s="12" t="s">
        <v>10710</v>
      </c>
      <c r="B3109" s="13">
        <v>0.16</v>
      </c>
      <c r="C3109" s="16" t="s">
        <v>5331</v>
      </c>
      <c r="D3109" s="12">
        <v>453</v>
      </c>
      <c r="E3109" s="12" t="s">
        <v>5332</v>
      </c>
      <c r="F3109" s="12" t="s">
        <v>5328</v>
      </c>
      <c r="G3109" s="12" t="s">
        <v>10711</v>
      </c>
      <c r="H3109" s="12">
        <v>79414</v>
      </c>
    </row>
    <row r="3110" spans="1:8">
      <c r="A3110" s="12" t="s">
        <v>10712</v>
      </c>
      <c r="B3110" s="13">
        <v>13.25</v>
      </c>
      <c r="C3110" s="16" t="s">
        <v>5331</v>
      </c>
      <c r="D3110" s="12">
        <v>410</v>
      </c>
      <c r="E3110" s="12" t="s">
        <v>5332</v>
      </c>
      <c r="F3110" s="12" t="s">
        <v>5328</v>
      </c>
      <c r="G3110" s="12" t="s">
        <v>10713</v>
      </c>
      <c r="H3110" s="12">
        <v>67573</v>
      </c>
    </row>
    <row r="3111" spans="1:8">
      <c r="A3111" s="12" t="s">
        <v>10710</v>
      </c>
      <c r="B3111" s="13">
        <v>0.04</v>
      </c>
      <c r="C3111" s="16" t="s">
        <v>5331</v>
      </c>
      <c r="D3111" s="12">
        <v>122</v>
      </c>
      <c r="E3111" s="12" t="s">
        <v>5332</v>
      </c>
      <c r="F3111" s="12" t="s">
        <v>5328</v>
      </c>
      <c r="G3111" s="12" t="s">
        <v>10714</v>
      </c>
      <c r="H3111" s="12">
        <v>79415</v>
      </c>
    </row>
    <row r="3112" spans="1:8">
      <c r="A3112" s="12" t="s">
        <v>10715</v>
      </c>
      <c r="B3112" s="13">
        <v>5.75</v>
      </c>
      <c r="C3112" s="16" t="s">
        <v>5331</v>
      </c>
      <c r="D3112" s="12">
        <v>110</v>
      </c>
      <c r="E3112" s="12" t="s">
        <v>5332</v>
      </c>
      <c r="F3112" s="12" t="s">
        <v>5328</v>
      </c>
      <c r="G3112" s="12" t="s">
        <v>10716</v>
      </c>
      <c r="H3112" s="12">
        <v>67574</v>
      </c>
    </row>
    <row r="3113" spans="1:8">
      <c r="A3113" s="12" t="s">
        <v>10717</v>
      </c>
      <c r="B3113" s="13">
        <v>3.53</v>
      </c>
      <c r="C3113" s="16" t="s">
        <v>5331</v>
      </c>
      <c r="D3113" s="12">
        <v>414</v>
      </c>
      <c r="E3113" s="12" t="s">
        <v>5332</v>
      </c>
      <c r="F3113" s="12" t="s">
        <v>5328</v>
      </c>
      <c r="G3113" s="12" t="s">
        <v>10718</v>
      </c>
      <c r="H3113" s="12">
        <v>79416</v>
      </c>
    </row>
    <row r="3114" spans="1:8">
      <c r="A3114" s="12" t="s">
        <v>10719</v>
      </c>
      <c r="B3114" s="13"/>
      <c r="C3114" s="16"/>
      <c r="D3114" s="12"/>
      <c r="E3114" s="12"/>
      <c r="F3114" s="12"/>
      <c r="G3114" s="12"/>
      <c r="H3114" s="12"/>
    </row>
    <row r="3115" spans="1:8">
      <c r="A3115" s="12" t="s">
        <v>10720</v>
      </c>
      <c r="B3115" s="13">
        <v>33.25</v>
      </c>
      <c r="C3115" s="16" t="s">
        <v>5331</v>
      </c>
      <c r="D3115" s="12">
        <v>375</v>
      </c>
      <c r="E3115" s="12" t="s">
        <v>5332</v>
      </c>
      <c r="F3115" s="12" t="s">
        <v>5328</v>
      </c>
      <c r="G3115" s="12" t="s">
        <v>10721</v>
      </c>
      <c r="H3115" s="12">
        <v>67575</v>
      </c>
    </row>
    <row r="3116" spans="1:8">
      <c r="A3116" s="12" t="s">
        <v>10717</v>
      </c>
      <c r="B3116" s="13">
        <v>0.95</v>
      </c>
      <c r="C3116" s="16" t="s">
        <v>5331</v>
      </c>
      <c r="D3116" s="12">
        <v>166</v>
      </c>
      <c r="E3116" s="12" t="s">
        <v>5332</v>
      </c>
      <c r="F3116" s="12" t="s">
        <v>5328</v>
      </c>
      <c r="G3116" s="12" t="s">
        <v>10722</v>
      </c>
      <c r="H3116" s="12">
        <v>79417</v>
      </c>
    </row>
    <row r="3117" spans="1:8">
      <c r="A3117" s="12" t="s">
        <v>10723</v>
      </c>
      <c r="B3117" s="13">
        <v>10.75</v>
      </c>
      <c r="C3117" s="16" t="s">
        <v>5331</v>
      </c>
      <c r="D3117" s="12">
        <v>150</v>
      </c>
      <c r="E3117" s="12" t="s">
        <v>5332</v>
      </c>
      <c r="F3117" s="12" t="s">
        <v>5328</v>
      </c>
      <c r="G3117" s="12" t="s">
        <v>10724</v>
      </c>
      <c r="H3117" s="12">
        <v>67576</v>
      </c>
    </row>
    <row r="3118" spans="1:8">
      <c r="A3118" s="12" t="s">
        <v>10725</v>
      </c>
      <c r="B3118" s="13">
        <v>0.94</v>
      </c>
      <c r="C3118" s="16" t="s">
        <v>5331</v>
      </c>
      <c r="D3118" s="12">
        <v>524</v>
      </c>
      <c r="E3118" s="12" t="s">
        <v>5332</v>
      </c>
      <c r="F3118" s="12" t="s">
        <v>5328</v>
      </c>
      <c r="G3118" s="12" t="s">
        <v>10726</v>
      </c>
      <c r="H3118" s="12">
        <v>79418</v>
      </c>
    </row>
    <row r="3119" spans="1:8">
      <c r="A3119" s="12" t="s">
        <v>10727</v>
      </c>
      <c r="B3119" s="13">
        <v>4.5</v>
      </c>
      <c r="C3119" s="16" t="s">
        <v>5331</v>
      </c>
      <c r="D3119" s="12">
        <v>475</v>
      </c>
      <c r="E3119" s="12" t="s">
        <v>5332</v>
      </c>
      <c r="F3119" s="12" t="s">
        <v>5328</v>
      </c>
      <c r="G3119" s="12" t="s">
        <v>10728</v>
      </c>
      <c r="H3119" s="12">
        <v>67577</v>
      </c>
    </row>
    <row r="3120" spans="1:8">
      <c r="A3120" s="12" t="s">
        <v>10725</v>
      </c>
      <c r="B3120" s="13">
        <v>0.27</v>
      </c>
      <c r="C3120" s="16" t="s">
        <v>5331</v>
      </c>
      <c r="D3120" s="12">
        <v>210</v>
      </c>
      <c r="E3120" s="12" t="s">
        <v>5332</v>
      </c>
      <c r="F3120" s="12" t="s">
        <v>5328</v>
      </c>
      <c r="G3120" s="12" t="s">
        <v>10729</v>
      </c>
      <c r="H3120" s="12">
        <v>79419</v>
      </c>
    </row>
    <row r="3121" spans="1:8">
      <c r="A3121" s="12" t="s">
        <v>10730</v>
      </c>
      <c r="B3121" s="13">
        <v>4.5</v>
      </c>
      <c r="C3121" s="16" t="s">
        <v>5331</v>
      </c>
      <c r="D3121" s="12">
        <v>190</v>
      </c>
      <c r="E3121" s="12" t="s">
        <v>5332</v>
      </c>
      <c r="F3121" s="12" t="s">
        <v>5328</v>
      </c>
      <c r="G3121" s="12" t="s">
        <v>10731</v>
      </c>
      <c r="H3121" s="12">
        <v>67578</v>
      </c>
    </row>
    <row r="3122" spans="1:8">
      <c r="A3122" s="12" t="s">
        <v>10732</v>
      </c>
      <c r="B3122" s="13">
        <v>0</v>
      </c>
      <c r="C3122" s="16" t="s">
        <v>5331</v>
      </c>
      <c r="D3122" s="12">
        <v>343</v>
      </c>
      <c r="E3122" s="12" t="s">
        <v>5332</v>
      </c>
      <c r="F3122" s="12" t="s">
        <v>5328</v>
      </c>
      <c r="G3122" s="12" t="s">
        <v>10733</v>
      </c>
      <c r="H3122" s="12">
        <v>79420</v>
      </c>
    </row>
    <row r="3123" spans="1:8">
      <c r="A3123" s="12" t="s">
        <v>10734</v>
      </c>
      <c r="B3123" s="13">
        <v>503.25</v>
      </c>
      <c r="C3123" s="16" t="s">
        <v>5331</v>
      </c>
      <c r="D3123" s="12">
        <v>310</v>
      </c>
      <c r="E3123" s="12" t="s">
        <v>5332</v>
      </c>
      <c r="F3123" s="12" t="s">
        <v>5328</v>
      </c>
      <c r="G3123" s="12" t="s">
        <v>10735</v>
      </c>
      <c r="H3123" s="12">
        <v>67579</v>
      </c>
    </row>
    <row r="3124" spans="1:8">
      <c r="A3124" s="12" t="s">
        <v>10732</v>
      </c>
      <c r="B3124" s="13">
        <v>0</v>
      </c>
      <c r="C3124" s="16" t="s">
        <v>5331</v>
      </c>
      <c r="D3124" s="12">
        <v>138</v>
      </c>
      <c r="E3124" s="12" t="s">
        <v>5332</v>
      </c>
      <c r="F3124" s="12" t="s">
        <v>5328</v>
      </c>
      <c r="G3124" s="12" t="s">
        <v>10736</v>
      </c>
      <c r="H3124" s="12">
        <v>79421</v>
      </c>
    </row>
    <row r="3125" spans="1:8">
      <c r="A3125" s="12" t="s">
        <v>10737</v>
      </c>
      <c r="B3125" s="13">
        <v>128.25</v>
      </c>
      <c r="C3125" s="16" t="s">
        <v>5331</v>
      </c>
      <c r="D3125" s="12">
        <v>125</v>
      </c>
      <c r="E3125" s="12" t="s">
        <v>5332</v>
      </c>
      <c r="F3125" s="12" t="s">
        <v>5328</v>
      </c>
      <c r="G3125" s="12" t="s">
        <v>10738</v>
      </c>
      <c r="H3125" s="12">
        <v>65488</v>
      </c>
    </row>
    <row r="3126" spans="1:8">
      <c r="A3126" s="12" t="s">
        <v>10739</v>
      </c>
      <c r="B3126" s="13">
        <v>8.1199999999999992</v>
      </c>
      <c r="C3126" s="16" t="s">
        <v>5331</v>
      </c>
      <c r="D3126" s="12">
        <v>343</v>
      </c>
      <c r="E3126" s="12" t="s">
        <v>5332</v>
      </c>
      <c r="F3126" s="12" t="s">
        <v>5328</v>
      </c>
      <c r="G3126" s="12" t="s">
        <v>10740</v>
      </c>
      <c r="H3126" s="12">
        <v>79422</v>
      </c>
    </row>
    <row r="3127" spans="1:8">
      <c r="A3127" s="12" t="s">
        <v>10741</v>
      </c>
      <c r="B3127" s="13"/>
      <c r="C3127" s="16"/>
      <c r="D3127" s="12"/>
      <c r="E3127" s="12"/>
      <c r="F3127" s="12"/>
      <c r="G3127" s="12"/>
      <c r="H3127" s="12"/>
    </row>
    <row r="3128" spans="1:8">
      <c r="A3128" s="12" t="s">
        <v>10742</v>
      </c>
      <c r="B3128" s="13">
        <v>78.25</v>
      </c>
      <c r="C3128" s="16" t="s">
        <v>5331</v>
      </c>
      <c r="D3128" s="12">
        <v>310</v>
      </c>
      <c r="E3128" s="12" t="s">
        <v>5332</v>
      </c>
      <c r="F3128" s="12" t="s">
        <v>5328</v>
      </c>
      <c r="G3128" s="12" t="s">
        <v>10743</v>
      </c>
      <c r="H3128" s="12">
        <v>67581</v>
      </c>
    </row>
    <row r="3129" spans="1:8">
      <c r="A3129" s="12" t="s">
        <v>10739</v>
      </c>
      <c r="B3129" s="13">
        <v>2.33</v>
      </c>
      <c r="C3129" s="16" t="s">
        <v>5331</v>
      </c>
      <c r="D3129" s="12">
        <v>138</v>
      </c>
      <c r="E3129" s="12" t="s">
        <v>5332</v>
      </c>
      <c r="F3129" s="12" t="s">
        <v>5328</v>
      </c>
      <c r="G3129" s="12" t="s">
        <v>10744</v>
      </c>
      <c r="H3129" s="12">
        <v>79423</v>
      </c>
    </row>
    <row r="3130" spans="1:8">
      <c r="A3130" s="12" t="s">
        <v>10745</v>
      </c>
      <c r="B3130" s="13">
        <v>22</v>
      </c>
      <c r="C3130" s="16" t="s">
        <v>5331</v>
      </c>
      <c r="D3130" s="12">
        <v>125</v>
      </c>
      <c r="E3130" s="12" t="s">
        <v>5332</v>
      </c>
      <c r="F3130" s="12" t="s">
        <v>5328</v>
      </c>
      <c r="G3130" s="12" t="s">
        <v>10746</v>
      </c>
      <c r="H3130" s="12">
        <v>65489</v>
      </c>
    </row>
    <row r="3131" spans="1:8">
      <c r="A3131" s="12" t="s">
        <v>10747</v>
      </c>
      <c r="B3131" s="13">
        <v>0.35</v>
      </c>
      <c r="C3131" s="16" t="s">
        <v>5331</v>
      </c>
      <c r="D3131" s="12">
        <v>414</v>
      </c>
      <c r="E3131" s="12" t="s">
        <v>5332</v>
      </c>
      <c r="F3131" s="12" t="s">
        <v>5328</v>
      </c>
      <c r="G3131" s="12" t="s">
        <v>10748</v>
      </c>
      <c r="H3131" s="12">
        <v>79424</v>
      </c>
    </row>
    <row r="3132" spans="1:8">
      <c r="A3132" s="12" t="s">
        <v>10749</v>
      </c>
      <c r="B3132" s="13">
        <v>13.25</v>
      </c>
      <c r="C3132" s="16" t="s">
        <v>5331</v>
      </c>
      <c r="D3132" s="12">
        <v>375</v>
      </c>
      <c r="E3132" s="12" t="s">
        <v>5332</v>
      </c>
      <c r="F3132" s="12" t="s">
        <v>5328</v>
      </c>
      <c r="G3132" s="12" t="s">
        <v>10750</v>
      </c>
      <c r="H3132" s="12">
        <v>67583</v>
      </c>
    </row>
    <row r="3133" spans="1:8">
      <c r="A3133" s="12" t="s">
        <v>10747</v>
      </c>
      <c r="B3133" s="13">
        <v>0.09</v>
      </c>
      <c r="C3133" s="16" t="s">
        <v>5331</v>
      </c>
      <c r="D3133" s="12">
        <v>111</v>
      </c>
      <c r="E3133" s="12" t="s">
        <v>5332</v>
      </c>
      <c r="F3133" s="12" t="s">
        <v>5328</v>
      </c>
      <c r="G3133" s="12" t="s">
        <v>10751</v>
      </c>
      <c r="H3133" s="12">
        <v>79425</v>
      </c>
    </row>
    <row r="3134" spans="1:8">
      <c r="A3134" s="12" t="s">
        <v>10752</v>
      </c>
      <c r="B3134" s="13">
        <v>5.75</v>
      </c>
      <c r="C3134" s="16" t="s">
        <v>5331</v>
      </c>
      <c r="D3134" s="12">
        <v>100</v>
      </c>
      <c r="E3134" s="12" t="s">
        <v>5332</v>
      </c>
      <c r="F3134" s="12" t="s">
        <v>5328</v>
      </c>
      <c r="G3134" s="12" t="s">
        <v>10753</v>
      </c>
      <c r="H3134" s="12">
        <v>67584</v>
      </c>
    </row>
    <row r="3135" spans="1:8">
      <c r="A3135" s="12" t="s">
        <v>10754</v>
      </c>
      <c r="B3135" s="13">
        <v>82.68</v>
      </c>
      <c r="C3135" s="16" t="s">
        <v>5331</v>
      </c>
      <c r="D3135" s="12">
        <v>304</v>
      </c>
      <c r="E3135" s="12" t="s">
        <v>5332</v>
      </c>
      <c r="F3135" s="12" t="s">
        <v>5328</v>
      </c>
      <c r="G3135" s="12" t="s">
        <v>10755</v>
      </c>
      <c r="H3135" s="12">
        <v>79577</v>
      </c>
    </row>
    <row r="3136" spans="1:8">
      <c r="A3136" s="12" t="s">
        <v>10756</v>
      </c>
      <c r="B3136" s="13">
        <v>22.26</v>
      </c>
      <c r="C3136" s="16" t="s">
        <v>5331</v>
      </c>
      <c r="D3136" s="12">
        <v>150</v>
      </c>
      <c r="E3136" s="12" t="s">
        <v>5332</v>
      </c>
      <c r="F3136" s="12" t="s">
        <v>5328</v>
      </c>
      <c r="G3136" s="12" t="s">
        <v>10757</v>
      </c>
      <c r="H3136" s="12">
        <v>79430</v>
      </c>
    </row>
    <row r="3137" spans="1:8">
      <c r="A3137" s="12" t="s">
        <v>10758</v>
      </c>
      <c r="B3137" s="13">
        <v>45.1</v>
      </c>
      <c r="C3137" s="16" t="s">
        <v>5331</v>
      </c>
      <c r="D3137" s="12">
        <v>414</v>
      </c>
      <c r="E3137" s="12" t="s">
        <v>5332</v>
      </c>
      <c r="F3137" s="12" t="s">
        <v>5328</v>
      </c>
      <c r="G3137" s="12" t="s">
        <v>10759</v>
      </c>
      <c r="H3137" s="12">
        <v>79432</v>
      </c>
    </row>
    <row r="3138" spans="1:8">
      <c r="A3138" s="12" t="s">
        <v>10760</v>
      </c>
      <c r="B3138" s="13">
        <v>503.25</v>
      </c>
      <c r="C3138" s="16" t="s">
        <v>5331</v>
      </c>
      <c r="D3138" s="12">
        <v>375</v>
      </c>
      <c r="E3138" s="12" t="s">
        <v>5332</v>
      </c>
      <c r="F3138" s="12" t="s">
        <v>5328</v>
      </c>
      <c r="G3138" s="12" t="s">
        <v>10761</v>
      </c>
      <c r="H3138" s="12">
        <v>67585</v>
      </c>
    </row>
    <row r="3139" spans="1:8">
      <c r="A3139" s="12" t="s">
        <v>10758</v>
      </c>
      <c r="B3139" s="13">
        <v>12.14</v>
      </c>
      <c r="C3139" s="16" t="s">
        <v>5331</v>
      </c>
      <c r="D3139" s="12">
        <v>166</v>
      </c>
      <c r="E3139" s="12" t="s">
        <v>5332</v>
      </c>
      <c r="F3139" s="12" t="s">
        <v>5328</v>
      </c>
      <c r="G3139" s="12" t="s">
        <v>10762</v>
      </c>
      <c r="H3139" s="12">
        <v>79433</v>
      </c>
    </row>
    <row r="3140" spans="1:8">
      <c r="A3140" s="12" t="s">
        <v>10763</v>
      </c>
      <c r="B3140" s="13">
        <v>13.25</v>
      </c>
      <c r="C3140" s="16" t="s">
        <v>5331</v>
      </c>
      <c r="D3140" s="12">
        <v>150</v>
      </c>
      <c r="E3140" s="12" t="s">
        <v>5332</v>
      </c>
      <c r="F3140" s="12" t="s">
        <v>5328</v>
      </c>
      <c r="G3140" s="12" t="s">
        <v>10764</v>
      </c>
      <c r="H3140" s="12">
        <v>65497</v>
      </c>
    </row>
    <row r="3141" spans="1:8">
      <c r="A3141" s="12" t="s">
        <v>10765</v>
      </c>
      <c r="B3141" s="13">
        <v>174.22</v>
      </c>
      <c r="C3141" s="16" t="s">
        <v>5331</v>
      </c>
      <c r="D3141" s="12">
        <v>343</v>
      </c>
      <c r="E3141" s="12" t="s">
        <v>5332</v>
      </c>
      <c r="F3141" s="12" t="s">
        <v>5328</v>
      </c>
      <c r="G3141" s="12" t="s">
        <v>10766</v>
      </c>
      <c r="H3141" s="12">
        <v>91203</v>
      </c>
    </row>
    <row r="3142" spans="1:8">
      <c r="A3142" s="12" t="s">
        <v>10765</v>
      </c>
      <c r="B3142" s="13">
        <v>8.44</v>
      </c>
      <c r="C3142" s="16" t="s">
        <v>5331</v>
      </c>
      <c r="D3142" s="12">
        <v>138</v>
      </c>
      <c r="E3142" s="12" t="s">
        <v>5332</v>
      </c>
      <c r="F3142" s="12" t="s">
        <v>5328</v>
      </c>
      <c r="G3142" s="12" t="s">
        <v>10767</v>
      </c>
      <c r="H3142" s="12">
        <v>91204</v>
      </c>
    </row>
    <row r="3143" spans="1:8">
      <c r="A3143" s="12" t="s">
        <v>10519</v>
      </c>
      <c r="B3143" s="13">
        <v>0.71</v>
      </c>
      <c r="C3143" s="16" t="s">
        <v>5331</v>
      </c>
      <c r="D3143" s="12">
        <v>414</v>
      </c>
      <c r="E3143" s="12" t="s">
        <v>5332</v>
      </c>
      <c r="F3143" s="12" t="s">
        <v>5328</v>
      </c>
      <c r="G3143" s="12" t="s">
        <v>10768</v>
      </c>
      <c r="H3143" s="12">
        <v>91205</v>
      </c>
    </row>
    <row r="3144" spans="1:8">
      <c r="A3144" s="12" t="s">
        <v>10519</v>
      </c>
      <c r="B3144" s="13">
        <v>0.19</v>
      </c>
      <c r="C3144" s="16" t="s">
        <v>5331</v>
      </c>
      <c r="D3144" s="12">
        <v>166</v>
      </c>
      <c r="E3144" s="12" t="s">
        <v>5332</v>
      </c>
      <c r="F3144" s="12" t="s">
        <v>5328</v>
      </c>
      <c r="G3144" s="12" t="s">
        <v>10769</v>
      </c>
      <c r="H3144" s="12">
        <v>91206</v>
      </c>
    </row>
    <row r="3145" spans="1:8">
      <c r="A3145" s="12" t="s">
        <v>10770</v>
      </c>
      <c r="B3145" s="13">
        <v>1.47</v>
      </c>
      <c r="C3145" s="16" t="s">
        <v>5331</v>
      </c>
      <c r="D3145" s="12">
        <v>453</v>
      </c>
      <c r="E3145" s="12" t="s">
        <v>5332</v>
      </c>
      <c r="F3145" s="12" t="s">
        <v>5328</v>
      </c>
      <c r="G3145" s="12" t="s">
        <v>10771</v>
      </c>
      <c r="H3145" s="12">
        <v>91207</v>
      </c>
    </row>
    <row r="3146" spans="1:8">
      <c r="A3146" s="12" t="s">
        <v>10770</v>
      </c>
      <c r="B3146" s="13">
        <v>0.38</v>
      </c>
      <c r="C3146" s="16" t="s">
        <v>5331</v>
      </c>
      <c r="D3146" s="12">
        <v>177</v>
      </c>
      <c r="E3146" s="12" t="s">
        <v>5332</v>
      </c>
      <c r="F3146" s="12" t="s">
        <v>5328</v>
      </c>
      <c r="G3146" s="12" t="s">
        <v>10772</v>
      </c>
      <c r="H3146" s="12">
        <v>91208</v>
      </c>
    </row>
    <row r="3147" spans="1:8">
      <c r="A3147" s="12" t="s">
        <v>10773</v>
      </c>
      <c r="B3147" s="13">
        <v>0.5</v>
      </c>
      <c r="C3147" s="16" t="s">
        <v>5331</v>
      </c>
      <c r="D3147" s="12">
        <v>387</v>
      </c>
      <c r="E3147" s="12" t="s">
        <v>5332</v>
      </c>
      <c r="F3147" s="12" t="s">
        <v>5328</v>
      </c>
      <c r="G3147" s="12" t="s">
        <v>10774</v>
      </c>
      <c r="H3147" s="12">
        <v>91209</v>
      </c>
    </row>
    <row r="3148" spans="1:8">
      <c r="A3148" s="12" t="s">
        <v>10775</v>
      </c>
      <c r="B3148" s="13"/>
      <c r="C3148" s="16"/>
      <c r="D3148" s="12"/>
      <c r="E3148" s="12"/>
      <c r="F3148" s="12"/>
      <c r="G3148" s="12"/>
      <c r="H3148" s="12"/>
    </row>
    <row r="3149" spans="1:8">
      <c r="A3149" s="12" t="s">
        <v>10773</v>
      </c>
      <c r="B3149" s="13">
        <v>0.13</v>
      </c>
      <c r="C3149" s="16" t="s">
        <v>5331</v>
      </c>
      <c r="D3149" s="12">
        <v>155</v>
      </c>
      <c r="E3149" s="12" t="s">
        <v>5332</v>
      </c>
      <c r="F3149" s="12" t="s">
        <v>5328</v>
      </c>
      <c r="G3149" s="12" t="s">
        <v>10776</v>
      </c>
      <c r="H3149" s="12">
        <v>91210</v>
      </c>
    </row>
    <row r="3150" spans="1:8">
      <c r="A3150" s="12" t="s">
        <v>10525</v>
      </c>
      <c r="B3150" s="13">
        <v>1.08</v>
      </c>
      <c r="C3150" s="16" t="s">
        <v>5331</v>
      </c>
      <c r="D3150" s="12">
        <v>387</v>
      </c>
      <c r="E3150" s="12" t="s">
        <v>5332</v>
      </c>
      <c r="F3150" s="12" t="s">
        <v>5328</v>
      </c>
      <c r="G3150" s="12" t="s">
        <v>10777</v>
      </c>
      <c r="H3150" s="12">
        <v>91211</v>
      </c>
    </row>
    <row r="3151" spans="1:8">
      <c r="A3151" s="12" t="s">
        <v>10525</v>
      </c>
      <c r="B3151" s="13">
        <v>0.3</v>
      </c>
      <c r="C3151" s="16" t="s">
        <v>5331</v>
      </c>
      <c r="D3151" s="12">
        <v>155</v>
      </c>
      <c r="E3151" s="12" t="s">
        <v>5332</v>
      </c>
      <c r="F3151" s="12" t="s">
        <v>5328</v>
      </c>
      <c r="G3151" s="12" t="s">
        <v>10778</v>
      </c>
      <c r="H3151" s="12">
        <v>91212</v>
      </c>
    </row>
    <row r="3152" spans="1:8">
      <c r="A3152" s="12" t="s">
        <v>10779</v>
      </c>
      <c r="B3152" s="13">
        <v>16.2</v>
      </c>
      <c r="C3152" s="16" t="s">
        <v>5331</v>
      </c>
      <c r="D3152" s="12">
        <v>414</v>
      </c>
      <c r="E3152" s="12" t="s">
        <v>5332</v>
      </c>
      <c r="F3152" s="12" t="s">
        <v>5328</v>
      </c>
      <c r="G3152" s="12" t="s">
        <v>10780</v>
      </c>
      <c r="H3152" s="12">
        <v>91213</v>
      </c>
    </row>
    <row r="3153" spans="1:8">
      <c r="A3153" s="12" t="s">
        <v>10781</v>
      </c>
      <c r="B3153" s="13"/>
      <c r="C3153" s="16"/>
      <c r="D3153" s="12"/>
      <c r="E3153" s="12"/>
      <c r="F3153" s="12"/>
      <c r="G3153" s="12"/>
      <c r="H3153" s="12"/>
    </row>
    <row r="3154" spans="1:8">
      <c r="A3154" s="12" t="s">
        <v>10779</v>
      </c>
      <c r="B3154" s="13">
        <v>4.13</v>
      </c>
      <c r="C3154" s="16" t="s">
        <v>5331</v>
      </c>
      <c r="D3154" s="12">
        <v>166</v>
      </c>
      <c r="E3154" s="12" t="s">
        <v>5332</v>
      </c>
      <c r="F3154" s="12" t="s">
        <v>5328</v>
      </c>
      <c r="G3154" s="12" t="s">
        <v>10782</v>
      </c>
      <c r="H3154" s="12">
        <v>91214</v>
      </c>
    </row>
    <row r="3155" spans="1:8">
      <c r="A3155" s="12" t="s">
        <v>10783</v>
      </c>
      <c r="B3155" s="13">
        <v>2.2799999999999998</v>
      </c>
      <c r="C3155" s="16" t="s">
        <v>5331</v>
      </c>
      <c r="D3155" s="12">
        <v>343</v>
      </c>
      <c r="E3155" s="12" t="s">
        <v>5332</v>
      </c>
      <c r="F3155" s="12" t="s">
        <v>5328</v>
      </c>
      <c r="G3155" s="12" t="s">
        <v>10784</v>
      </c>
      <c r="H3155" s="12">
        <v>91215</v>
      </c>
    </row>
    <row r="3156" spans="1:8">
      <c r="A3156" s="12" t="s">
        <v>10783</v>
      </c>
      <c r="B3156" s="13">
        <v>0.62</v>
      </c>
      <c r="C3156" s="16" t="s">
        <v>5331</v>
      </c>
      <c r="D3156" s="12">
        <v>138</v>
      </c>
      <c r="E3156" s="12" t="s">
        <v>5332</v>
      </c>
      <c r="F3156" s="12" t="s">
        <v>5328</v>
      </c>
      <c r="G3156" s="12" t="s">
        <v>10785</v>
      </c>
      <c r="H3156" s="12">
        <v>91216</v>
      </c>
    </row>
    <row r="3157" spans="1:8">
      <c r="A3157" s="12" t="s">
        <v>10786</v>
      </c>
      <c r="B3157" s="13">
        <v>2.68</v>
      </c>
      <c r="C3157" s="16" t="s">
        <v>5331</v>
      </c>
      <c r="D3157" s="12">
        <v>524</v>
      </c>
      <c r="E3157" s="12" t="s">
        <v>5332</v>
      </c>
      <c r="F3157" s="12" t="s">
        <v>5328</v>
      </c>
      <c r="G3157" s="12" t="s">
        <v>10787</v>
      </c>
      <c r="H3157" s="12">
        <v>85115</v>
      </c>
    </row>
    <row r="3158" spans="1:8">
      <c r="A3158" s="12" t="s">
        <v>10786</v>
      </c>
      <c r="B3158" s="13">
        <v>0.67</v>
      </c>
      <c r="C3158" s="16" t="s">
        <v>5331</v>
      </c>
      <c r="D3158" s="12">
        <v>210</v>
      </c>
      <c r="E3158" s="12" t="s">
        <v>5332</v>
      </c>
      <c r="F3158" s="12" t="s">
        <v>5328</v>
      </c>
      <c r="G3158" s="12" t="s">
        <v>10788</v>
      </c>
      <c r="H3158" s="12">
        <v>82469</v>
      </c>
    </row>
    <row r="3159" spans="1:8">
      <c r="A3159" s="12" t="s">
        <v>10789</v>
      </c>
      <c r="B3159" s="13">
        <v>40.97</v>
      </c>
      <c r="C3159" s="16" t="s">
        <v>5331</v>
      </c>
      <c r="D3159" s="12">
        <v>387</v>
      </c>
      <c r="E3159" s="12" t="s">
        <v>5332</v>
      </c>
      <c r="F3159" s="12" t="s">
        <v>5328</v>
      </c>
      <c r="G3159" s="12" t="s">
        <v>10790</v>
      </c>
      <c r="H3159" s="12">
        <v>85116</v>
      </c>
    </row>
    <row r="3160" spans="1:8">
      <c r="A3160" s="12" t="s">
        <v>10791</v>
      </c>
      <c r="B3160" s="13"/>
      <c r="C3160" s="16"/>
      <c r="D3160" s="12"/>
      <c r="E3160" s="12"/>
      <c r="F3160" s="12"/>
      <c r="G3160" s="12"/>
      <c r="H3160" s="12"/>
    </row>
    <row r="3161" spans="1:8">
      <c r="A3161" s="12" t="s">
        <v>10789</v>
      </c>
      <c r="B3161" s="13">
        <v>10.24</v>
      </c>
      <c r="C3161" s="16" t="s">
        <v>5331</v>
      </c>
      <c r="D3161" s="12">
        <v>155</v>
      </c>
      <c r="E3161" s="12" t="s">
        <v>5332</v>
      </c>
      <c r="F3161" s="12" t="s">
        <v>5328</v>
      </c>
      <c r="G3161" s="12" t="s">
        <v>10792</v>
      </c>
      <c r="H3161" s="12">
        <v>82470</v>
      </c>
    </row>
    <row r="3162" spans="1:8">
      <c r="A3162" s="12" t="s">
        <v>10793</v>
      </c>
      <c r="B3162" s="13">
        <v>108.31</v>
      </c>
      <c r="C3162" s="16" t="s">
        <v>5331</v>
      </c>
      <c r="D3162" s="12">
        <v>453</v>
      </c>
      <c r="E3162" s="12" t="s">
        <v>5332</v>
      </c>
      <c r="F3162" s="12" t="s">
        <v>5328</v>
      </c>
      <c r="G3162" s="12" t="s">
        <v>10794</v>
      </c>
      <c r="H3162" s="12">
        <v>85117</v>
      </c>
    </row>
    <row r="3163" spans="1:8">
      <c r="A3163" s="12" t="s">
        <v>10795</v>
      </c>
      <c r="B3163" s="13"/>
      <c r="C3163" s="16"/>
      <c r="D3163" s="12"/>
      <c r="E3163" s="12"/>
      <c r="F3163" s="12"/>
      <c r="G3163" s="12"/>
      <c r="H3163" s="12"/>
    </row>
    <row r="3164" spans="1:8">
      <c r="A3164" s="12" t="s">
        <v>10793</v>
      </c>
      <c r="B3164" s="13">
        <v>27.08</v>
      </c>
      <c r="C3164" s="16" t="s">
        <v>5331</v>
      </c>
      <c r="D3164" s="12">
        <v>177</v>
      </c>
      <c r="E3164" s="12" t="s">
        <v>5332</v>
      </c>
      <c r="F3164" s="12" t="s">
        <v>5328</v>
      </c>
      <c r="G3164" s="12" t="s">
        <v>10796</v>
      </c>
      <c r="H3164" s="12">
        <v>82471</v>
      </c>
    </row>
    <row r="3165" spans="1:8">
      <c r="A3165" s="12" t="s">
        <v>10797</v>
      </c>
      <c r="B3165" s="13">
        <v>5.12</v>
      </c>
      <c r="C3165" s="16" t="s">
        <v>5331</v>
      </c>
      <c r="D3165" s="12">
        <v>414</v>
      </c>
      <c r="E3165" s="12" t="s">
        <v>5332</v>
      </c>
      <c r="F3165" s="12" t="s">
        <v>5328</v>
      </c>
      <c r="G3165" s="12" t="s">
        <v>10798</v>
      </c>
      <c r="H3165" s="12">
        <v>85118</v>
      </c>
    </row>
    <row r="3166" spans="1:8">
      <c r="A3166" s="12" t="s">
        <v>10797</v>
      </c>
      <c r="B3166" s="13">
        <v>1.2</v>
      </c>
      <c r="C3166" s="16" t="s">
        <v>5331</v>
      </c>
      <c r="D3166" s="12">
        <v>166</v>
      </c>
      <c r="E3166" s="12" t="s">
        <v>5332</v>
      </c>
      <c r="F3166" s="12" t="s">
        <v>5328</v>
      </c>
      <c r="G3166" s="12" t="s">
        <v>10799</v>
      </c>
      <c r="H3166" s="12">
        <v>82472</v>
      </c>
    </row>
    <row r="3167" spans="1:8">
      <c r="A3167" s="12" t="s">
        <v>10800</v>
      </c>
      <c r="B3167" s="13">
        <v>14.79</v>
      </c>
      <c r="C3167" s="16" t="s">
        <v>5331</v>
      </c>
      <c r="D3167" s="12">
        <v>343</v>
      </c>
      <c r="E3167" s="12" t="s">
        <v>5332</v>
      </c>
      <c r="F3167" s="12" t="s">
        <v>5328</v>
      </c>
      <c r="G3167" s="12" t="s">
        <v>10801</v>
      </c>
      <c r="H3167" s="12">
        <v>85119</v>
      </c>
    </row>
    <row r="3168" spans="1:8">
      <c r="A3168" s="12" t="s">
        <v>10802</v>
      </c>
      <c r="B3168" s="13"/>
      <c r="C3168" s="16"/>
      <c r="D3168" s="12"/>
      <c r="E3168" s="12"/>
      <c r="F3168" s="12"/>
      <c r="G3168" s="12"/>
      <c r="H3168" s="12"/>
    </row>
    <row r="3169" spans="1:8">
      <c r="A3169" s="12" t="s">
        <v>10800</v>
      </c>
      <c r="B3169" s="13">
        <v>3.7</v>
      </c>
      <c r="C3169" s="16" t="s">
        <v>5331</v>
      </c>
      <c r="D3169" s="12">
        <v>138</v>
      </c>
      <c r="E3169" s="12" t="s">
        <v>5332</v>
      </c>
      <c r="F3169" s="12" t="s">
        <v>5328</v>
      </c>
      <c r="G3169" s="12" t="s">
        <v>10803</v>
      </c>
      <c r="H3169" s="12">
        <v>82473</v>
      </c>
    </row>
    <row r="3170" spans="1:8">
      <c r="A3170" s="12" t="s">
        <v>10804</v>
      </c>
      <c r="B3170" s="13">
        <v>2.0699999999999998</v>
      </c>
      <c r="C3170" s="16" t="s">
        <v>5331</v>
      </c>
      <c r="D3170" s="12">
        <v>453</v>
      </c>
      <c r="E3170" s="12" t="s">
        <v>5332</v>
      </c>
      <c r="F3170" s="12" t="s">
        <v>5328</v>
      </c>
      <c r="G3170" s="12" t="s">
        <v>10805</v>
      </c>
      <c r="H3170" s="12">
        <v>85120</v>
      </c>
    </row>
    <row r="3171" spans="1:8">
      <c r="A3171" s="12" t="s">
        <v>10806</v>
      </c>
      <c r="B3171" s="13"/>
      <c r="C3171" s="16"/>
      <c r="D3171" s="12"/>
      <c r="E3171" s="12"/>
      <c r="F3171" s="12"/>
      <c r="G3171" s="12"/>
      <c r="H3171" s="12"/>
    </row>
    <row r="3172" spans="1:8">
      <c r="A3172" s="12" t="s">
        <v>10804</v>
      </c>
      <c r="B3172" s="13">
        <v>0.49</v>
      </c>
      <c r="C3172" s="16" t="s">
        <v>5331</v>
      </c>
      <c r="D3172" s="12">
        <v>177</v>
      </c>
      <c r="E3172" s="12" t="s">
        <v>5332</v>
      </c>
      <c r="F3172" s="12" t="s">
        <v>5328</v>
      </c>
      <c r="G3172" s="12" t="s">
        <v>10807</v>
      </c>
      <c r="H3172" s="12">
        <v>82474</v>
      </c>
    </row>
    <row r="3173" spans="1:8">
      <c r="A3173" s="12" t="s">
        <v>10808</v>
      </c>
      <c r="B3173" s="13">
        <v>3.21</v>
      </c>
      <c r="C3173" s="16" t="s">
        <v>5331</v>
      </c>
      <c r="D3173" s="12">
        <v>343</v>
      </c>
      <c r="E3173" s="12" t="s">
        <v>5332</v>
      </c>
      <c r="F3173" s="12" t="s">
        <v>5328</v>
      </c>
      <c r="G3173" s="12" t="s">
        <v>10809</v>
      </c>
      <c r="H3173" s="12">
        <v>85121</v>
      </c>
    </row>
    <row r="3174" spans="1:8">
      <c r="A3174" s="12" t="s">
        <v>10808</v>
      </c>
      <c r="B3174" s="13">
        <v>0.85</v>
      </c>
      <c r="C3174" s="16" t="s">
        <v>5331</v>
      </c>
      <c r="D3174" s="12">
        <v>138</v>
      </c>
      <c r="E3174" s="12" t="s">
        <v>5332</v>
      </c>
      <c r="F3174" s="12" t="s">
        <v>5328</v>
      </c>
      <c r="G3174" s="12" t="s">
        <v>10810</v>
      </c>
      <c r="H3174" s="12">
        <v>82475</v>
      </c>
    </row>
    <row r="3175" spans="1:8">
      <c r="A3175" s="12" t="s">
        <v>10811</v>
      </c>
      <c r="B3175" s="13">
        <v>10.38</v>
      </c>
      <c r="C3175" s="16" t="s">
        <v>5331</v>
      </c>
      <c r="D3175" s="12">
        <v>398</v>
      </c>
      <c r="E3175" s="12" t="s">
        <v>5332</v>
      </c>
      <c r="F3175" s="12" t="s">
        <v>5328</v>
      </c>
      <c r="G3175" s="12" t="s">
        <v>10812</v>
      </c>
      <c r="H3175" s="12">
        <v>85215</v>
      </c>
    </row>
    <row r="3176" spans="1:8">
      <c r="A3176" s="12" t="s">
        <v>10813</v>
      </c>
      <c r="B3176" s="13">
        <v>2.44</v>
      </c>
      <c r="C3176" s="16" t="s">
        <v>5331</v>
      </c>
      <c r="D3176" s="12">
        <v>177</v>
      </c>
      <c r="E3176" s="12" t="s">
        <v>5332</v>
      </c>
      <c r="F3176" s="12" t="s">
        <v>5328</v>
      </c>
      <c r="G3176" s="12" t="s">
        <v>10814</v>
      </c>
      <c r="H3176" s="12">
        <v>82476</v>
      </c>
    </row>
    <row r="3177" spans="1:8">
      <c r="A3177" s="12" t="s">
        <v>10815</v>
      </c>
      <c r="B3177" s="13">
        <v>5</v>
      </c>
      <c r="C3177" s="16" t="s">
        <v>5331</v>
      </c>
      <c r="D3177" s="12">
        <v>200</v>
      </c>
      <c r="E3177" s="12" t="s">
        <v>5332</v>
      </c>
      <c r="F3177" s="12" t="s">
        <v>5328</v>
      </c>
      <c r="G3177" s="12" t="s">
        <v>10816</v>
      </c>
      <c r="H3177" s="12">
        <v>82478</v>
      </c>
    </row>
    <row r="3178" spans="1:8">
      <c r="A3178" s="12" t="s">
        <v>10817</v>
      </c>
      <c r="B3178" s="13">
        <v>10.23</v>
      </c>
      <c r="C3178" s="16" t="s">
        <v>5331</v>
      </c>
      <c r="D3178" s="12">
        <v>304</v>
      </c>
      <c r="E3178" s="12" t="s">
        <v>5332</v>
      </c>
      <c r="F3178" s="12" t="s">
        <v>5328</v>
      </c>
      <c r="G3178" s="12" t="s">
        <v>10818</v>
      </c>
      <c r="H3178" s="12">
        <v>85219</v>
      </c>
    </row>
    <row r="3179" spans="1:8">
      <c r="A3179" s="12" t="s">
        <v>10819</v>
      </c>
      <c r="B3179" s="13">
        <v>2.41</v>
      </c>
      <c r="C3179" s="16" t="s">
        <v>5331</v>
      </c>
      <c r="D3179" s="12">
        <v>142</v>
      </c>
      <c r="E3179" s="12" t="s">
        <v>5332</v>
      </c>
      <c r="F3179" s="12" t="s">
        <v>5328</v>
      </c>
      <c r="G3179" s="12" t="s">
        <v>10820</v>
      </c>
      <c r="H3179" s="12">
        <v>82480</v>
      </c>
    </row>
    <row r="3180" spans="1:8">
      <c r="A3180" s="12" t="s">
        <v>10821</v>
      </c>
      <c r="B3180" s="13">
        <v>77.91</v>
      </c>
      <c r="C3180" s="16" t="s">
        <v>5331</v>
      </c>
      <c r="D3180" s="12">
        <v>440</v>
      </c>
      <c r="E3180" s="12" t="s">
        <v>5332</v>
      </c>
      <c r="F3180" s="12" t="s">
        <v>5328</v>
      </c>
      <c r="G3180" s="12" t="s">
        <v>10822</v>
      </c>
      <c r="H3180" s="12">
        <v>85220</v>
      </c>
    </row>
    <row r="3181" spans="1:8">
      <c r="A3181" s="12" t="s">
        <v>10823</v>
      </c>
      <c r="B3181" s="13">
        <v>19.48</v>
      </c>
      <c r="C3181" s="16" t="s">
        <v>5331</v>
      </c>
      <c r="D3181" s="12">
        <v>175</v>
      </c>
      <c r="E3181" s="12" t="s">
        <v>5332</v>
      </c>
      <c r="F3181" s="12" t="s">
        <v>5328</v>
      </c>
      <c r="G3181" s="12" t="s">
        <v>10824</v>
      </c>
      <c r="H3181" s="12">
        <v>82481</v>
      </c>
    </row>
    <row r="3182" spans="1:8">
      <c r="A3182" s="12" t="s">
        <v>10825</v>
      </c>
      <c r="B3182" s="13">
        <v>7.81</v>
      </c>
      <c r="C3182" s="16" t="s">
        <v>5331</v>
      </c>
      <c r="D3182" s="12">
        <v>343</v>
      </c>
      <c r="E3182" s="12" t="s">
        <v>5332</v>
      </c>
      <c r="F3182" s="12" t="s">
        <v>5328</v>
      </c>
      <c r="G3182" s="12" t="s">
        <v>10826</v>
      </c>
      <c r="H3182" s="12">
        <v>91226</v>
      </c>
    </row>
    <row r="3183" spans="1:8">
      <c r="A3183" s="12" t="s">
        <v>10827</v>
      </c>
      <c r="B3183" s="13"/>
      <c r="C3183" s="16"/>
      <c r="D3183" s="12"/>
      <c r="E3183" s="12"/>
      <c r="F3183" s="12"/>
      <c r="G3183" s="12"/>
      <c r="H3183" s="12"/>
    </row>
    <row r="3184" spans="1:8">
      <c r="A3184" s="12" t="s">
        <v>10825</v>
      </c>
      <c r="B3184" s="13">
        <v>2.12</v>
      </c>
      <c r="C3184" s="16" t="s">
        <v>5331</v>
      </c>
      <c r="D3184" s="12">
        <v>138</v>
      </c>
      <c r="E3184" s="12" t="s">
        <v>5332</v>
      </c>
      <c r="F3184" s="12" t="s">
        <v>5328</v>
      </c>
      <c r="G3184" s="12" t="s">
        <v>10828</v>
      </c>
      <c r="H3184" s="12">
        <v>91227</v>
      </c>
    </row>
    <row r="3185" spans="1:8">
      <c r="A3185" s="12" t="s">
        <v>10530</v>
      </c>
      <c r="B3185" s="13">
        <v>0.49</v>
      </c>
      <c r="C3185" s="16" t="s">
        <v>5331</v>
      </c>
      <c r="D3185" s="12">
        <v>387</v>
      </c>
      <c r="E3185" s="12" t="s">
        <v>5332</v>
      </c>
      <c r="F3185" s="12" t="s">
        <v>5328</v>
      </c>
      <c r="G3185" s="12" t="s">
        <v>10829</v>
      </c>
      <c r="H3185" s="12">
        <v>91220</v>
      </c>
    </row>
    <row r="3186" spans="1:8">
      <c r="A3186" s="12" t="s">
        <v>10530</v>
      </c>
      <c r="B3186" s="13">
        <v>0.13</v>
      </c>
      <c r="C3186" s="16" t="s">
        <v>5331</v>
      </c>
      <c r="D3186" s="12">
        <v>155</v>
      </c>
      <c r="E3186" s="12" t="s">
        <v>5332</v>
      </c>
      <c r="F3186" s="12" t="s">
        <v>5328</v>
      </c>
      <c r="G3186" s="12" t="s">
        <v>10830</v>
      </c>
      <c r="H3186" s="12">
        <v>91221</v>
      </c>
    </row>
    <row r="3187" spans="1:8">
      <c r="A3187" s="12" t="s">
        <v>10831</v>
      </c>
      <c r="B3187" s="13">
        <v>0.53</v>
      </c>
      <c r="C3187" s="16" t="s">
        <v>5331</v>
      </c>
      <c r="D3187" s="12">
        <v>414</v>
      </c>
      <c r="E3187" s="12" t="s">
        <v>5332</v>
      </c>
      <c r="F3187" s="12" t="s">
        <v>5328</v>
      </c>
      <c r="G3187" s="12" t="s">
        <v>10832</v>
      </c>
      <c r="H3187" s="12">
        <v>91222</v>
      </c>
    </row>
    <row r="3188" spans="1:8">
      <c r="A3188" s="12" t="s">
        <v>10831</v>
      </c>
      <c r="B3188" s="13">
        <v>0.14000000000000001</v>
      </c>
      <c r="C3188" s="16" t="s">
        <v>5331</v>
      </c>
      <c r="D3188" s="12">
        <v>166</v>
      </c>
      <c r="E3188" s="12" t="s">
        <v>5332</v>
      </c>
      <c r="F3188" s="12" t="s">
        <v>5328</v>
      </c>
      <c r="G3188" s="12" t="s">
        <v>10833</v>
      </c>
      <c r="H3188" s="12">
        <v>91223</v>
      </c>
    </row>
    <row r="3189" spans="1:8">
      <c r="A3189" s="12" t="s">
        <v>10834</v>
      </c>
      <c r="B3189" s="13">
        <v>0.04</v>
      </c>
      <c r="C3189" s="16" t="s">
        <v>5331</v>
      </c>
      <c r="D3189" s="12">
        <v>52</v>
      </c>
      <c r="E3189" s="12" t="s">
        <v>5332</v>
      </c>
      <c r="F3189" s="12" t="s">
        <v>5328</v>
      </c>
      <c r="G3189" s="12" t="s">
        <v>10835</v>
      </c>
      <c r="H3189" s="12">
        <v>86434</v>
      </c>
    </row>
    <row r="3190" spans="1:8">
      <c r="A3190" s="12" t="s">
        <v>10836</v>
      </c>
      <c r="B3190" s="13">
        <v>2.75</v>
      </c>
      <c r="C3190" s="16" t="s">
        <v>5331</v>
      </c>
      <c r="D3190" s="12">
        <v>23</v>
      </c>
      <c r="E3190" s="12" t="s">
        <v>5332</v>
      </c>
      <c r="F3190" s="12" t="s">
        <v>5328</v>
      </c>
      <c r="G3190" s="12" t="s">
        <v>10837</v>
      </c>
      <c r="H3190" s="12">
        <v>86435</v>
      </c>
    </row>
    <row r="3191" spans="1:8">
      <c r="A3191" s="12" t="s">
        <v>10838</v>
      </c>
      <c r="B3191" s="13">
        <v>1.23</v>
      </c>
      <c r="C3191" s="16" t="s">
        <v>5331</v>
      </c>
      <c r="D3191" s="12">
        <v>343</v>
      </c>
      <c r="E3191" s="12" t="s">
        <v>5332</v>
      </c>
      <c r="F3191" s="12" t="s">
        <v>5328</v>
      </c>
      <c r="G3191" s="12" t="s">
        <v>10839</v>
      </c>
      <c r="H3191" s="12">
        <v>86436</v>
      </c>
    </row>
    <row r="3192" spans="1:8">
      <c r="A3192" s="12" t="s">
        <v>10840</v>
      </c>
      <c r="B3192" s="13">
        <v>70.45</v>
      </c>
      <c r="C3192" s="16" t="s">
        <v>5331</v>
      </c>
      <c r="D3192" s="12">
        <v>111</v>
      </c>
      <c r="E3192" s="12" t="s">
        <v>5332</v>
      </c>
      <c r="F3192" s="12" t="s">
        <v>5328</v>
      </c>
      <c r="G3192" s="12" t="s">
        <v>10841</v>
      </c>
      <c r="H3192" s="12">
        <v>86437</v>
      </c>
    </row>
    <row r="3193" spans="1:8">
      <c r="A3193" s="12" t="s">
        <v>10842</v>
      </c>
      <c r="B3193" s="13">
        <v>85.65</v>
      </c>
      <c r="C3193" s="16" t="s">
        <v>5331</v>
      </c>
      <c r="D3193" s="12">
        <v>227</v>
      </c>
      <c r="E3193" s="12" t="s">
        <v>5332</v>
      </c>
      <c r="F3193" s="12" t="s">
        <v>5328</v>
      </c>
      <c r="G3193" s="12" t="s">
        <v>10843</v>
      </c>
      <c r="H3193" s="12">
        <v>86438</v>
      </c>
    </row>
    <row r="3194" spans="1:8">
      <c r="A3194" s="12" t="s">
        <v>10844</v>
      </c>
      <c r="B3194" s="13">
        <v>21.58</v>
      </c>
      <c r="C3194" s="16" t="s">
        <v>5331</v>
      </c>
      <c r="D3194" s="12">
        <v>122</v>
      </c>
      <c r="E3194" s="12" t="s">
        <v>5332</v>
      </c>
      <c r="F3194" s="12" t="s">
        <v>5328</v>
      </c>
      <c r="G3194" s="12" t="s">
        <v>10845</v>
      </c>
      <c r="H3194" s="12">
        <v>86439</v>
      </c>
    </row>
    <row r="3195" spans="1:8">
      <c r="A3195" s="12" t="s">
        <v>10846</v>
      </c>
      <c r="B3195" s="13">
        <v>0.78</v>
      </c>
      <c r="C3195" s="16" t="s">
        <v>5331</v>
      </c>
      <c r="D3195" s="12">
        <v>69</v>
      </c>
      <c r="E3195" s="12" t="s">
        <v>5332</v>
      </c>
      <c r="F3195" s="12" t="s">
        <v>5328</v>
      </c>
      <c r="G3195" s="12" t="s">
        <v>10847</v>
      </c>
      <c r="H3195" s="12">
        <v>86440</v>
      </c>
    </row>
    <row r="3196" spans="1:8">
      <c r="A3196" s="12" t="s">
        <v>10846</v>
      </c>
      <c r="B3196" s="13">
        <v>0.2</v>
      </c>
      <c r="C3196" s="16" t="s">
        <v>5331</v>
      </c>
      <c r="D3196" s="12">
        <v>30</v>
      </c>
      <c r="E3196" s="12" t="s">
        <v>5332</v>
      </c>
      <c r="F3196" s="12" t="s">
        <v>5328</v>
      </c>
      <c r="G3196" s="12" t="s">
        <v>10848</v>
      </c>
      <c r="H3196" s="12">
        <v>86441</v>
      </c>
    </row>
    <row r="3197" spans="1:8">
      <c r="A3197" s="12" t="s">
        <v>10849</v>
      </c>
      <c r="B3197" s="13">
        <v>4.63</v>
      </c>
      <c r="C3197" s="16" t="s">
        <v>5331</v>
      </c>
      <c r="D3197" s="12">
        <v>270</v>
      </c>
      <c r="E3197" s="12" t="s">
        <v>5332</v>
      </c>
      <c r="F3197" s="12" t="s">
        <v>5328</v>
      </c>
      <c r="G3197" s="12" t="s">
        <v>10850</v>
      </c>
      <c r="H3197" s="12">
        <v>86442</v>
      </c>
    </row>
    <row r="3198" spans="1:8">
      <c r="A3198" s="12" t="s">
        <v>10851</v>
      </c>
      <c r="B3198" s="13">
        <v>47.99</v>
      </c>
      <c r="C3198" s="16" t="s">
        <v>5331</v>
      </c>
      <c r="D3198" s="12">
        <v>122</v>
      </c>
      <c r="E3198" s="12" t="s">
        <v>5332</v>
      </c>
      <c r="F3198" s="12" t="s">
        <v>5328</v>
      </c>
      <c r="G3198" s="12" t="s">
        <v>10852</v>
      </c>
      <c r="H3198" s="12">
        <v>86335</v>
      </c>
    </row>
    <row r="3199" spans="1:8">
      <c r="A3199" s="12" t="s">
        <v>10853</v>
      </c>
      <c r="B3199" s="13">
        <v>4.12</v>
      </c>
      <c r="C3199" s="16" t="s">
        <v>5331</v>
      </c>
      <c r="D3199" s="12">
        <v>546</v>
      </c>
      <c r="E3199" s="12" t="s">
        <v>5332</v>
      </c>
      <c r="F3199" s="12" t="s">
        <v>5328</v>
      </c>
      <c r="G3199" s="12" t="s">
        <v>10854</v>
      </c>
      <c r="H3199" s="12">
        <v>86337</v>
      </c>
    </row>
    <row r="3200" spans="1:8">
      <c r="A3200" s="12" t="s">
        <v>10855</v>
      </c>
      <c r="B3200" s="13">
        <v>1.19</v>
      </c>
      <c r="C3200" s="16" t="s">
        <v>5331</v>
      </c>
      <c r="D3200" s="12">
        <v>155</v>
      </c>
      <c r="E3200" s="12" t="s">
        <v>5332</v>
      </c>
      <c r="F3200" s="12" t="s">
        <v>5328</v>
      </c>
      <c r="G3200" s="12" t="s">
        <v>10856</v>
      </c>
      <c r="H3200" s="12">
        <v>86338</v>
      </c>
    </row>
    <row r="3201" spans="1:8">
      <c r="A3201" s="12" t="s">
        <v>10857</v>
      </c>
      <c r="B3201" s="13">
        <v>0.95</v>
      </c>
      <c r="C3201" s="16" t="s">
        <v>5331</v>
      </c>
      <c r="D3201" s="12">
        <v>304</v>
      </c>
      <c r="E3201" s="12" t="s">
        <v>5332</v>
      </c>
      <c r="F3201" s="12" t="s">
        <v>5328</v>
      </c>
      <c r="G3201" s="12" t="s">
        <v>10858</v>
      </c>
      <c r="H3201" s="12">
        <v>86339</v>
      </c>
    </row>
    <row r="3202" spans="1:8">
      <c r="A3202" s="12" t="s">
        <v>10859</v>
      </c>
      <c r="B3202" s="13">
        <v>0.24</v>
      </c>
      <c r="C3202" s="16" t="s">
        <v>5331</v>
      </c>
      <c r="D3202" s="12">
        <v>150</v>
      </c>
      <c r="E3202" s="12" t="s">
        <v>5332</v>
      </c>
      <c r="F3202" s="12" t="s">
        <v>5328</v>
      </c>
      <c r="G3202" s="12" t="s">
        <v>10860</v>
      </c>
      <c r="H3202" s="12">
        <v>86340</v>
      </c>
    </row>
    <row r="3203" spans="1:8">
      <c r="A3203" s="12" t="s">
        <v>10861</v>
      </c>
      <c r="B3203" s="13">
        <v>0.43</v>
      </c>
      <c r="C3203" s="16" t="s">
        <v>5331</v>
      </c>
      <c r="D3203" s="12">
        <v>75</v>
      </c>
      <c r="E3203" s="12" t="s">
        <v>5332</v>
      </c>
      <c r="F3203" s="12" t="s">
        <v>5328</v>
      </c>
      <c r="G3203" s="12" t="s">
        <v>10862</v>
      </c>
      <c r="H3203" s="12">
        <v>86341</v>
      </c>
    </row>
    <row r="3204" spans="1:8">
      <c r="A3204" s="12" t="s">
        <v>10863</v>
      </c>
      <c r="B3204" s="13">
        <v>0.11</v>
      </c>
      <c r="C3204" s="16" t="s">
        <v>5331</v>
      </c>
      <c r="D3204" s="12">
        <v>35</v>
      </c>
      <c r="E3204" s="12" t="s">
        <v>5332</v>
      </c>
      <c r="F3204" s="12" t="s">
        <v>5328</v>
      </c>
      <c r="G3204" s="12" t="s">
        <v>10864</v>
      </c>
      <c r="H3204" s="12">
        <v>86342</v>
      </c>
    </row>
    <row r="3205" spans="1:8">
      <c r="A3205" s="12" t="s">
        <v>10865</v>
      </c>
      <c r="B3205" s="13">
        <v>18.78</v>
      </c>
      <c r="C3205" s="16" t="s">
        <v>5331</v>
      </c>
      <c r="D3205" s="12">
        <v>546</v>
      </c>
      <c r="E3205" s="12" t="s">
        <v>5332</v>
      </c>
      <c r="F3205" s="12" t="s">
        <v>5328</v>
      </c>
      <c r="G3205" s="12" t="s">
        <v>10866</v>
      </c>
      <c r="H3205" s="12">
        <v>86534</v>
      </c>
    </row>
    <row r="3206" spans="1:8">
      <c r="A3206" s="12" t="s">
        <v>10867</v>
      </c>
      <c r="B3206" s="13">
        <v>4.7</v>
      </c>
      <c r="C3206" s="16" t="s">
        <v>5331</v>
      </c>
      <c r="D3206" s="12">
        <v>155</v>
      </c>
      <c r="E3206" s="12" t="s">
        <v>5332</v>
      </c>
      <c r="F3206" s="12" t="s">
        <v>5328</v>
      </c>
      <c r="G3206" s="12" t="s">
        <v>10868</v>
      </c>
      <c r="H3206" s="12">
        <v>86443</v>
      </c>
    </row>
    <row r="3207" spans="1:8">
      <c r="A3207" s="12" t="s">
        <v>10869</v>
      </c>
      <c r="B3207" s="13">
        <v>0.57999999999999996</v>
      </c>
      <c r="C3207" s="16" t="s">
        <v>5331</v>
      </c>
      <c r="D3207" s="12">
        <v>524</v>
      </c>
      <c r="E3207" s="12" t="s">
        <v>5332</v>
      </c>
      <c r="F3207" s="12" t="s">
        <v>5328</v>
      </c>
      <c r="G3207" s="12" t="s">
        <v>10870</v>
      </c>
      <c r="H3207" s="12">
        <v>86444</v>
      </c>
    </row>
    <row r="3208" spans="1:8">
      <c r="A3208" s="12" t="s">
        <v>10869</v>
      </c>
      <c r="B3208" s="13">
        <v>0.14000000000000001</v>
      </c>
      <c r="C3208" s="16" t="s">
        <v>5331</v>
      </c>
      <c r="D3208" s="12">
        <v>150</v>
      </c>
      <c r="E3208" s="12" t="s">
        <v>5332</v>
      </c>
      <c r="F3208" s="12" t="s">
        <v>5328</v>
      </c>
      <c r="G3208" s="12" t="s">
        <v>10871</v>
      </c>
      <c r="H3208" s="12">
        <v>86445</v>
      </c>
    </row>
    <row r="3209" spans="1:8">
      <c r="A3209" s="12" t="s">
        <v>10872</v>
      </c>
      <c r="B3209" s="13">
        <v>0.74</v>
      </c>
      <c r="C3209" s="16" t="s">
        <v>5331</v>
      </c>
      <c r="D3209" s="12">
        <v>486</v>
      </c>
      <c r="E3209" s="12" t="s">
        <v>5332</v>
      </c>
      <c r="F3209" s="12" t="s">
        <v>5328</v>
      </c>
      <c r="G3209" s="12" t="s">
        <v>10873</v>
      </c>
      <c r="H3209" s="12">
        <v>86446</v>
      </c>
    </row>
    <row r="3210" spans="1:8">
      <c r="A3210" s="12" t="s">
        <v>10872</v>
      </c>
      <c r="B3210" s="13">
        <v>0.19</v>
      </c>
      <c r="C3210" s="16" t="s">
        <v>5331</v>
      </c>
      <c r="D3210" s="12">
        <v>138</v>
      </c>
      <c r="E3210" s="12" t="s">
        <v>5332</v>
      </c>
      <c r="F3210" s="12" t="s">
        <v>5328</v>
      </c>
      <c r="G3210" s="12" t="s">
        <v>10874</v>
      </c>
      <c r="H3210" s="12">
        <v>86447</v>
      </c>
    </row>
    <row r="3211" spans="1:8">
      <c r="A3211" s="12" t="s">
        <v>10875</v>
      </c>
      <c r="B3211" s="13">
        <v>0.13</v>
      </c>
      <c r="C3211" s="16" t="s">
        <v>5331</v>
      </c>
      <c r="D3211" s="12">
        <v>343</v>
      </c>
      <c r="E3211" s="12" t="s">
        <v>5332</v>
      </c>
      <c r="F3211" s="12" t="s">
        <v>5328</v>
      </c>
      <c r="G3211" s="12" t="s">
        <v>10876</v>
      </c>
      <c r="H3211" s="12">
        <v>111901</v>
      </c>
    </row>
    <row r="3212" spans="1:8">
      <c r="A3212" s="12" t="s">
        <v>10877</v>
      </c>
      <c r="B3212" s="13"/>
      <c r="C3212" s="16"/>
      <c r="D3212" s="12"/>
      <c r="E3212" s="12"/>
      <c r="F3212" s="12"/>
      <c r="G3212" s="12"/>
      <c r="H3212" s="12"/>
    </row>
    <row r="3213" spans="1:8">
      <c r="A3213" s="12" t="s">
        <v>10878</v>
      </c>
      <c r="B3213" s="13">
        <v>0</v>
      </c>
      <c r="C3213" s="16" t="s">
        <v>10879</v>
      </c>
      <c r="D3213" s="12">
        <v>310</v>
      </c>
      <c r="E3213" s="12" t="s">
        <v>5332</v>
      </c>
      <c r="F3213" s="12" t="s">
        <v>5328</v>
      </c>
      <c r="G3213" s="12" t="s">
        <v>10880</v>
      </c>
      <c r="H3213" s="12">
        <v>91218</v>
      </c>
    </row>
    <row r="3214" spans="1:8">
      <c r="A3214" s="12" t="s">
        <v>10875</v>
      </c>
      <c r="B3214" s="13">
        <v>0.03</v>
      </c>
      <c r="C3214" s="16" t="s">
        <v>5331</v>
      </c>
      <c r="D3214" s="12">
        <v>138</v>
      </c>
      <c r="E3214" s="12" t="s">
        <v>5332</v>
      </c>
      <c r="F3214" s="12" t="s">
        <v>5328</v>
      </c>
      <c r="G3214" s="12" t="s">
        <v>10881</v>
      </c>
      <c r="H3214" s="12">
        <v>111902</v>
      </c>
    </row>
    <row r="3215" spans="1:8">
      <c r="A3215" s="12" t="s">
        <v>10882</v>
      </c>
      <c r="B3215" s="13">
        <v>0</v>
      </c>
      <c r="C3215" s="16" t="s">
        <v>10879</v>
      </c>
      <c r="D3215" s="12">
        <v>125</v>
      </c>
      <c r="E3215" s="12" t="s">
        <v>5332</v>
      </c>
      <c r="F3215" s="12" t="s">
        <v>5328</v>
      </c>
      <c r="G3215" s="12" t="s">
        <v>10883</v>
      </c>
      <c r="H3215" s="12">
        <v>91219</v>
      </c>
    </row>
    <row r="3216" spans="1:8">
      <c r="A3216" s="12" t="s">
        <v>10884</v>
      </c>
      <c r="B3216" s="13">
        <v>0.6</v>
      </c>
      <c r="C3216" s="16" t="s">
        <v>5331</v>
      </c>
      <c r="D3216" s="12">
        <v>453</v>
      </c>
      <c r="E3216" s="12" t="s">
        <v>5332</v>
      </c>
      <c r="F3216" s="12" t="s">
        <v>5328</v>
      </c>
      <c r="G3216" s="12" t="s">
        <v>10885</v>
      </c>
      <c r="H3216" s="12">
        <v>91224</v>
      </c>
    </row>
    <row r="3217" spans="1:8">
      <c r="A3217" s="12" t="s">
        <v>10884</v>
      </c>
      <c r="B3217" s="13">
        <v>0.16</v>
      </c>
      <c r="C3217" s="16" t="s">
        <v>5331</v>
      </c>
      <c r="D3217" s="12">
        <v>177</v>
      </c>
      <c r="E3217" s="12" t="s">
        <v>5332</v>
      </c>
      <c r="F3217" s="12" t="s">
        <v>5328</v>
      </c>
      <c r="G3217" s="12" t="s">
        <v>10886</v>
      </c>
      <c r="H3217" s="12">
        <v>91225</v>
      </c>
    </row>
    <row r="3218" spans="1:8">
      <c r="A3218" s="12" t="s">
        <v>10887</v>
      </c>
      <c r="B3218" s="13">
        <v>12.45</v>
      </c>
      <c r="C3218" s="16" t="s">
        <v>5331</v>
      </c>
      <c r="D3218" s="12">
        <v>478</v>
      </c>
      <c r="E3218" s="12" t="s">
        <v>5332</v>
      </c>
      <c r="F3218" s="12" t="s">
        <v>5328</v>
      </c>
      <c r="G3218" s="12" t="s">
        <v>10888</v>
      </c>
      <c r="H3218" s="12">
        <v>193111</v>
      </c>
    </row>
    <row r="3219" spans="1:8">
      <c r="A3219" s="12" t="s">
        <v>10887</v>
      </c>
      <c r="B3219" s="13">
        <v>3.17</v>
      </c>
      <c r="C3219" s="16" t="s">
        <v>5331</v>
      </c>
      <c r="D3219" s="12">
        <v>191.2</v>
      </c>
      <c r="E3219" s="12" t="s">
        <v>5332</v>
      </c>
      <c r="F3219" s="12" t="s">
        <v>5328</v>
      </c>
      <c r="G3219" s="12" t="s">
        <v>10889</v>
      </c>
      <c r="H3219" s="12">
        <v>193112</v>
      </c>
    </row>
    <row r="3220" spans="1:8">
      <c r="A3220" s="12" t="s">
        <v>10890</v>
      </c>
      <c r="B3220" s="13">
        <v>3.21</v>
      </c>
      <c r="C3220" s="16" t="s">
        <v>5331</v>
      </c>
      <c r="D3220" s="12">
        <v>343</v>
      </c>
      <c r="E3220" s="12" t="s">
        <v>5332</v>
      </c>
      <c r="F3220" s="12" t="s">
        <v>5328</v>
      </c>
      <c r="G3220" s="12" t="s">
        <v>10891</v>
      </c>
      <c r="H3220" s="12">
        <v>130057</v>
      </c>
    </row>
    <row r="3221" spans="1:8">
      <c r="A3221" s="12" t="s">
        <v>10892</v>
      </c>
      <c r="B3221" s="13">
        <v>0.82</v>
      </c>
      <c r="C3221" s="16" t="s">
        <v>5331</v>
      </c>
      <c r="D3221" s="12">
        <v>138</v>
      </c>
      <c r="E3221" s="12" t="s">
        <v>5332</v>
      </c>
      <c r="F3221" s="12" t="s">
        <v>5328</v>
      </c>
      <c r="G3221" s="12" t="s">
        <v>10893</v>
      </c>
      <c r="H3221" s="12">
        <v>130058</v>
      </c>
    </row>
    <row r="3222" spans="1:8">
      <c r="A3222" s="12" t="s">
        <v>10894</v>
      </c>
      <c r="B3222" s="13">
        <v>0.62</v>
      </c>
      <c r="C3222" s="16" t="s">
        <v>5331</v>
      </c>
      <c r="D3222" s="12">
        <v>453</v>
      </c>
      <c r="E3222" s="12" t="s">
        <v>5332</v>
      </c>
      <c r="F3222" s="12" t="s">
        <v>5328</v>
      </c>
      <c r="G3222" s="12" t="s">
        <v>10895</v>
      </c>
      <c r="H3222" s="12">
        <v>130445</v>
      </c>
    </row>
    <row r="3223" spans="1:8">
      <c r="A3223" s="12" t="s">
        <v>10894</v>
      </c>
      <c r="B3223" s="13">
        <v>12</v>
      </c>
      <c r="C3223" s="16" t="s">
        <v>5331</v>
      </c>
      <c r="D3223" s="12">
        <v>177</v>
      </c>
      <c r="E3223" s="12" t="s">
        <v>5332</v>
      </c>
      <c r="F3223" s="12" t="s">
        <v>5328</v>
      </c>
      <c r="G3223" s="12" t="s">
        <v>10896</v>
      </c>
      <c r="H3223" s="12">
        <v>130055</v>
      </c>
    </row>
    <row r="3224" spans="1:8">
      <c r="A3224" s="12" t="s">
        <v>10897</v>
      </c>
      <c r="B3224" s="13">
        <v>40.56</v>
      </c>
      <c r="C3224" s="16" t="s">
        <v>5331</v>
      </c>
      <c r="D3224" s="12">
        <v>486</v>
      </c>
      <c r="E3224" s="12" t="s">
        <v>5332</v>
      </c>
      <c r="F3224" s="12" t="s">
        <v>5328</v>
      </c>
      <c r="G3224" s="12" t="s">
        <v>10898</v>
      </c>
      <c r="H3224" s="12">
        <v>130133</v>
      </c>
    </row>
    <row r="3225" spans="1:8">
      <c r="A3225" s="12" t="s">
        <v>10897</v>
      </c>
      <c r="B3225" s="13">
        <v>11.03</v>
      </c>
      <c r="C3225" s="16" t="s">
        <v>5331</v>
      </c>
      <c r="D3225" s="12">
        <v>194</v>
      </c>
      <c r="E3225" s="12" t="s">
        <v>5332</v>
      </c>
      <c r="F3225" s="12" t="s">
        <v>5328</v>
      </c>
      <c r="G3225" s="12" t="s">
        <v>10899</v>
      </c>
      <c r="H3225" s="12">
        <v>130134</v>
      </c>
    </row>
    <row r="3226" spans="1:8">
      <c r="A3226" s="12" t="s">
        <v>10900</v>
      </c>
      <c r="B3226" s="13">
        <v>3.59</v>
      </c>
      <c r="C3226" s="16" t="s">
        <v>5331</v>
      </c>
      <c r="D3226" s="12">
        <v>290</v>
      </c>
      <c r="E3226" s="12" t="s">
        <v>5332</v>
      </c>
      <c r="F3226" s="12" t="s">
        <v>5328</v>
      </c>
      <c r="G3226" s="12" t="s">
        <v>10901</v>
      </c>
      <c r="H3226" s="12">
        <v>130035</v>
      </c>
    </row>
    <row r="3227" spans="1:8">
      <c r="A3227" s="12" t="s">
        <v>10902</v>
      </c>
      <c r="B3227" s="13">
        <v>0.98</v>
      </c>
      <c r="C3227" s="16" t="s">
        <v>5331</v>
      </c>
      <c r="D3227" s="12">
        <v>144</v>
      </c>
      <c r="E3227" s="12" t="s">
        <v>5332</v>
      </c>
      <c r="F3227" s="12" t="s">
        <v>5328</v>
      </c>
      <c r="G3227" s="12" t="s">
        <v>10903</v>
      </c>
      <c r="H3227" s="12">
        <v>130036</v>
      </c>
    </row>
    <row r="3228" spans="1:8">
      <c r="A3228" s="12" t="s">
        <v>10904</v>
      </c>
      <c r="B3228" s="13">
        <v>1.31</v>
      </c>
      <c r="C3228" s="16" t="s">
        <v>5331</v>
      </c>
      <c r="D3228" s="12">
        <v>343</v>
      </c>
      <c r="E3228" s="12" t="s">
        <v>5332</v>
      </c>
      <c r="F3228" s="12" t="s">
        <v>5328</v>
      </c>
      <c r="G3228" s="12" t="s">
        <v>10905</v>
      </c>
      <c r="H3228" s="12">
        <v>130038</v>
      </c>
    </row>
    <row r="3229" spans="1:8">
      <c r="A3229" s="12" t="s">
        <v>10904</v>
      </c>
      <c r="B3229" s="13">
        <v>0.36</v>
      </c>
      <c r="C3229" s="16" t="s">
        <v>5331</v>
      </c>
      <c r="D3229" s="12">
        <v>138</v>
      </c>
      <c r="E3229" s="12" t="s">
        <v>5332</v>
      </c>
      <c r="F3229" s="12" t="s">
        <v>5328</v>
      </c>
      <c r="G3229" s="12" t="s">
        <v>10906</v>
      </c>
      <c r="H3229" s="12">
        <v>130233</v>
      </c>
    </row>
    <row r="3230" spans="1:8">
      <c r="A3230" s="12" t="s">
        <v>10907</v>
      </c>
      <c r="B3230" s="13">
        <v>1.45</v>
      </c>
      <c r="C3230" s="16" t="s">
        <v>5331</v>
      </c>
      <c r="D3230" s="12">
        <v>414</v>
      </c>
      <c r="E3230" s="12" t="s">
        <v>5332</v>
      </c>
      <c r="F3230" s="12" t="s">
        <v>5328</v>
      </c>
      <c r="G3230" s="12" t="s">
        <v>10908</v>
      </c>
      <c r="H3230" s="12">
        <v>130040</v>
      </c>
    </row>
    <row r="3231" spans="1:8">
      <c r="A3231" s="12" t="s">
        <v>10907</v>
      </c>
      <c r="B3231" s="13">
        <v>0.4</v>
      </c>
      <c r="C3231" s="16" t="s">
        <v>5331</v>
      </c>
      <c r="D3231" s="12">
        <v>166</v>
      </c>
      <c r="E3231" s="12" t="s">
        <v>5332</v>
      </c>
      <c r="F3231" s="12" t="s">
        <v>5328</v>
      </c>
      <c r="G3231" s="12" t="s">
        <v>10909</v>
      </c>
      <c r="H3231" s="12">
        <v>130235</v>
      </c>
    </row>
    <row r="3232" spans="1:8">
      <c r="A3232" s="12" t="s">
        <v>10910</v>
      </c>
      <c r="B3232" s="13">
        <v>1.37</v>
      </c>
      <c r="C3232" s="16" t="s">
        <v>5331</v>
      </c>
      <c r="D3232" s="12">
        <v>414</v>
      </c>
      <c r="E3232" s="12" t="s">
        <v>5332</v>
      </c>
      <c r="F3232" s="12" t="s">
        <v>5328</v>
      </c>
      <c r="G3232" s="12" t="s">
        <v>10911</v>
      </c>
      <c r="H3232" s="12">
        <v>130238</v>
      </c>
    </row>
    <row r="3233" spans="1:8">
      <c r="A3233" s="12" t="s">
        <v>10910</v>
      </c>
      <c r="B3233" s="13">
        <v>0.37</v>
      </c>
      <c r="C3233" s="16" t="s">
        <v>5331</v>
      </c>
      <c r="D3233" s="12">
        <v>166</v>
      </c>
      <c r="E3233" s="12" t="s">
        <v>5332</v>
      </c>
      <c r="F3233" s="12" t="s">
        <v>5328</v>
      </c>
      <c r="G3233" s="12" t="s">
        <v>10912</v>
      </c>
      <c r="H3233" s="12">
        <v>130239</v>
      </c>
    </row>
    <row r="3234" spans="1:8">
      <c r="A3234" s="12" t="s">
        <v>10913</v>
      </c>
      <c r="B3234" s="13">
        <v>52.79</v>
      </c>
      <c r="C3234" s="16" t="s">
        <v>5331</v>
      </c>
      <c r="D3234" s="12">
        <v>546</v>
      </c>
      <c r="E3234" s="12" t="s">
        <v>5332</v>
      </c>
      <c r="F3234" s="12" t="s">
        <v>5328</v>
      </c>
      <c r="G3234" s="12" t="s">
        <v>10914</v>
      </c>
      <c r="H3234" s="12">
        <v>130242</v>
      </c>
    </row>
    <row r="3235" spans="1:8">
      <c r="A3235" s="12" t="s">
        <v>10913</v>
      </c>
      <c r="B3235" s="13">
        <v>14.35</v>
      </c>
      <c r="C3235" s="16" t="s">
        <v>5331</v>
      </c>
      <c r="D3235" s="12">
        <v>221</v>
      </c>
      <c r="E3235" s="12" t="s">
        <v>5332</v>
      </c>
      <c r="F3235" s="12" t="s">
        <v>5328</v>
      </c>
      <c r="G3235" s="12" t="s">
        <v>10915</v>
      </c>
      <c r="H3235" s="12">
        <v>130243</v>
      </c>
    </row>
    <row r="3236" spans="1:8">
      <c r="A3236" s="12" t="s">
        <v>10916</v>
      </c>
      <c r="B3236" s="13">
        <v>1.39</v>
      </c>
      <c r="C3236" s="16" t="s">
        <v>5331</v>
      </c>
      <c r="D3236" s="12">
        <v>387</v>
      </c>
      <c r="E3236" s="12" t="s">
        <v>5332</v>
      </c>
      <c r="F3236" s="12" t="s">
        <v>5328</v>
      </c>
      <c r="G3236" s="12" t="s">
        <v>10917</v>
      </c>
      <c r="H3236" s="12">
        <v>130334</v>
      </c>
    </row>
    <row r="3237" spans="1:8">
      <c r="A3237" s="12" t="s">
        <v>10916</v>
      </c>
      <c r="B3237" s="13">
        <v>0.35</v>
      </c>
      <c r="C3237" s="16" t="s">
        <v>5331</v>
      </c>
      <c r="D3237" s="12">
        <v>155</v>
      </c>
      <c r="E3237" s="12" t="s">
        <v>5332</v>
      </c>
      <c r="F3237" s="12" t="s">
        <v>5328</v>
      </c>
      <c r="G3237" s="12" t="s">
        <v>10918</v>
      </c>
      <c r="H3237" s="12">
        <v>130335</v>
      </c>
    </row>
    <row r="3238" spans="1:8">
      <c r="A3238" s="12" t="s">
        <v>10919</v>
      </c>
      <c r="B3238" s="13">
        <v>0.74</v>
      </c>
      <c r="C3238" s="16" t="s">
        <v>5331</v>
      </c>
      <c r="D3238" s="12">
        <v>453</v>
      </c>
      <c r="E3238" s="12" t="s">
        <v>5332</v>
      </c>
      <c r="F3238" s="12" t="s">
        <v>5328</v>
      </c>
      <c r="G3238" s="12" t="s">
        <v>10920</v>
      </c>
      <c r="H3238" s="12">
        <v>130433</v>
      </c>
    </row>
    <row r="3239" spans="1:8">
      <c r="A3239" s="12" t="s">
        <v>10919</v>
      </c>
      <c r="B3239" s="13">
        <v>0.2</v>
      </c>
      <c r="C3239" s="16" t="s">
        <v>5331</v>
      </c>
      <c r="D3239" s="12">
        <v>177</v>
      </c>
      <c r="E3239" s="12" t="s">
        <v>5332</v>
      </c>
      <c r="F3239" s="12" t="s">
        <v>5328</v>
      </c>
      <c r="G3239" s="12" t="s">
        <v>10921</v>
      </c>
      <c r="H3239" s="12">
        <v>130245</v>
      </c>
    </row>
    <row r="3240" spans="1:8">
      <c r="A3240" s="12" t="s">
        <v>10922</v>
      </c>
      <c r="B3240" s="13">
        <v>0.55000000000000004</v>
      </c>
      <c r="C3240" s="16" t="s">
        <v>5331</v>
      </c>
      <c r="D3240" s="12">
        <v>414</v>
      </c>
      <c r="E3240" s="12" t="s">
        <v>5332</v>
      </c>
      <c r="F3240" s="12" t="s">
        <v>5328</v>
      </c>
      <c r="G3240" s="12" t="s">
        <v>10923</v>
      </c>
      <c r="H3240" s="12">
        <v>130248</v>
      </c>
    </row>
    <row r="3241" spans="1:8">
      <c r="A3241" s="12" t="s">
        <v>10924</v>
      </c>
      <c r="B3241" s="13">
        <v>0.6</v>
      </c>
      <c r="C3241" s="16" t="s">
        <v>5331</v>
      </c>
      <c r="D3241" s="12">
        <v>166</v>
      </c>
      <c r="E3241" s="12" t="s">
        <v>5332</v>
      </c>
      <c r="F3241" s="12" t="s">
        <v>5328</v>
      </c>
      <c r="G3241" s="12" t="s">
        <v>10925</v>
      </c>
      <c r="H3241" s="12">
        <v>130249</v>
      </c>
    </row>
    <row r="3242" spans="1:8">
      <c r="A3242" s="12" t="s">
        <v>10926</v>
      </c>
      <c r="B3242" s="13">
        <v>0.99</v>
      </c>
      <c r="C3242" s="16" t="s">
        <v>5331</v>
      </c>
      <c r="D3242" s="12">
        <v>486</v>
      </c>
      <c r="E3242" s="12" t="s">
        <v>5332</v>
      </c>
      <c r="F3242" s="12" t="s">
        <v>5328</v>
      </c>
      <c r="G3242" s="12" t="s">
        <v>10927</v>
      </c>
      <c r="H3242" s="12">
        <v>130045</v>
      </c>
    </row>
    <row r="3243" spans="1:8">
      <c r="A3243" s="12" t="s">
        <v>10926</v>
      </c>
      <c r="B3243" s="13">
        <v>0.24</v>
      </c>
      <c r="C3243" s="16" t="s">
        <v>5331</v>
      </c>
      <c r="D3243" s="12">
        <v>194</v>
      </c>
      <c r="E3243" s="12" t="s">
        <v>5332</v>
      </c>
      <c r="F3243" s="12" t="s">
        <v>5328</v>
      </c>
      <c r="G3243" s="12" t="s">
        <v>10928</v>
      </c>
      <c r="H3243" s="12">
        <v>130046</v>
      </c>
    </row>
    <row r="3244" spans="1:8">
      <c r="A3244" s="12" t="s">
        <v>10929</v>
      </c>
      <c r="B3244" s="13">
        <v>2.1</v>
      </c>
      <c r="C3244" s="16" t="s">
        <v>5331</v>
      </c>
      <c r="D3244" s="12">
        <v>486</v>
      </c>
      <c r="E3244" s="12" t="s">
        <v>5332</v>
      </c>
      <c r="F3244" s="12" t="s">
        <v>5328</v>
      </c>
      <c r="G3244" s="12" t="s">
        <v>10930</v>
      </c>
      <c r="H3244" s="12">
        <v>130250</v>
      </c>
    </row>
    <row r="3245" spans="1:8">
      <c r="A3245" s="12" t="s">
        <v>10929</v>
      </c>
      <c r="B3245" s="13">
        <v>0.56999999999999995</v>
      </c>
      <c r="C3245" s="16" t="s">
        <v>5331</v>
      </c>
      <c r="D3245" s="12">
        <v>194</v>
      </c>
      <c r="E3245" s="12" t="s">
        <v>5332</v>
      </c>
      <c r="F3245" s="12" t="s">
        <v>5328</v>
      </c>
      <c r="G3245" s="12" t="s">
        <v>10931</v>
      </c>
      <c r="H3245" s="12">
        <v>130251</v>
      </c>
    </row>
    <row r="3246" spans="1:8">
      <c r="A3246" s="12" t="s">
        <v>10932</v>
      </c>
      <c r="B3246" s="13">
        <v>0.27</v>
      </c>
      <c r="C3246" s="16" t="s">
        <v>5331</v>
      </c>
      <c r="D3246" s="12">
        <v>524</v>
      </c>
      <c r="E3246" s="12" t="s">
        <v>5332</v>
      </c>
      <c r="F3246" s="12" t="s">
        <v>5328</v>
      </c>
      <c r="G3246" s="12" t="s">
        <v>10933</v>
      </c>
      <c r="H3246" s="12">
        <v>130439</v>
      </c>
    </row>
    <row r="3247" spans="1:8">
      <c r="A3247" s="12" t="s">
        <v>10932</v>
      </c>
      <c r="B3247" s="13">
        <v>7.0000000000000007E-2</v>
      </c>
      <c r="C3247" s="16" t="s">
        <v>5331</v>
      </c>
      <c r="D3247" s="12">
        <v>150</v>
      </c>
      <c r="E3247" s="12" t="s">
        <v>5332</v>
      </c>
      <c r="F3247" s="12" t="s">
        <v>5328</v>
      </c>
      <c r="G3247" s="12" t="s">
        <v>10934</v>
      </c>
      <c r="H3247" s="12">
        <v>130440</v>
      </c>
    </row>
    <row r="3248" spans="1:8">
      <c r="A3248" s="12" t="s">
        <v>10935</v>
      </c>
      <c r="B3248" s="13">
        <v>0.77</v>
      </c>
      <c r="C3248" s="16" t="s">
        <v>5331</v>
      </c>
      <c r="D3248" s="12">
        <v>524</v>
      </c>
      <c r="E3248" s="12" t="s">
        <v>5332</v>
      </c>
      <c r="F3248" s="12" t="s">
        <v>5328</v>
      </c>
      <c r="G3248" s="12" t="s">
        <v>10936</v>
      </c>
      <c r="H3248" s="12">
        <v>130441</v>
      </c>
    </row>
    <row r="3249" spans="1:8">
      <c r="A3249" s="12" t="s">
        <v>10935</v>
      </c>
      <c r="B3249" s="13">
        <v>0.2</v>
      </c>
      <c r="C3249" s="16" t="s">
        <v>5331</v>
      </c>
      <c r="D3249" s="12">
        <v>210</v>
      </c>
      <c r="E3249" s="12" t="s">
        <v>5332</v>
      </c>
      <c r="F3249" s="12" t="s">
        <v>5328</v>
      </c>
      <c r="G3249" s="12" t="s">
        <v>10937</v>
      </c>
      <c r="H3249" s="12">
        <v>130442</v>
      </c>
    </row>
    <row r="3250" spans="1:8">
      <c r="A3250" s="12" t="s">
        <v>10938</v>
      </c>
      <c r="B3250" s="13">
        <v>0.57999999999999996</v>
      </c>
      <c r="C3250" s="16" t="s">
        <v>5331</v>
      </c>
      <c r="D3250" s="12">
        <v>524</v>
      </c>
      <c r="E3250" s="12" t="s">
        <v>5332</v>
      </c>
      <c r="F3250" s="12" t="s">
        <v>5328</v>
      </c>
      <c r="G3250" s="12" t="s">
        <v>10939</v>
      </c>
      <c r="H3250" s="12">
        <v>130260</v>
      </c>
    </row>
    <row r="3251" spans="1:8">
      <c r="A3251" s="12" t="s">
        <v>10938</v>
      </c>
      <c r="B3251" s="13">
        <v>0.16</v>
      </c>
      <c r="C3251" s="16" t="s">
        <v>5331</v>
      </c>
      <c r="D3251" s="12">
        <v>210</v>
      </c>
      <c r="E3251" s="12" t="s">
        <v>5332</v>
      </c>
      <c r="F3251" s="12" t="s">
        <v>5328</v>
      </c>
      <c r="G3251" s="12" t="s">
        <v>10940</v>
      </c>
      <c r="H3251" s="12">
        <v>130446</v>
      </c>
    </row>
    <row r="3252" spans="1:8">
      <c r="A3252" s="12" t="s">
        <v>10941</v>
      </c>
      <c r="B3252" s="13">
        <v>1.0900000000000001</v>
      </c>
      <c r="C3252" s="16" t="s">
        <v>5331</v>
      </c>
      <c r="D3252" s="12">
        <v>524</v>
      </c>
      <c r="E3252" s="12" t="s">
        <v>5332</v>
      </c>
      <c r="F3252" s="12" t="s">
        <v>5328</v>
      </c>
      <c r="G3252" s="12" t="s">
        <v>10942</v>
      </c>
      <c r="H3252" s="12">
        <v>130255</v>
      </c>
    </row>
    <row r="3253" spans="1:8">
      <c r="A3253" s="12" t="s">
        <v>10941</v>
      </c>
      <c r="B3253" s="13">
        <v>0.28000000000000003</v>
      </c>
      <c r="C3253" s="16" t="s">
        <v>5331</v>
      </c>
      <c r="D3253" s="12">
        <v>210</v>
      </c>
      <c r="E3253" s="12" t="s">
        <v>5332</v>
      </c>
      <c r="F3253" s="12" t="s">
        <v>5328</v>
      </c>
      <c r="G3253" s="12" t="s">
        <v>10943</v>
      </c>
      <c r="H3253" s="12">
        <v>130256</v>
      </c>
    </row>
    <row r="3254" spans="1:8">
      <c r="A3254" s="12" t="s">
        <v>10944</v>
      </c>
      <c r="B3254" s="13">
        <v>5.98</v>
      </c>
      <c r="C3254" s="16" t="s">
        <v>5331</v>
      </c>
      <c r="D3254" s="12">
        <v>361</v>
      </c>
      <c r="E3254" s="12" t="s">
        <v>5332</v>
      </c>
      <c r="F3254" s="12" t="s">
        <v>5328</v>
      </c>
      <c r="G3254" s="12" t="s">
        <v>10945</v>
      </c>
      <c r="H3254" s="12">
        <v>130338</v>
      </c>
    </row>
    <row r="3255" spans="1:8">
      <c r="A3255" s="12" t="s">
        <v>10946</v>
      </c>
      <c r="B3255" s="13">
        <v>1.62</v>
      </c>
      <c r="C3255" s="16" t="s">
        <v>5331</v>
      </c>
      <c r="D3255" s="12">
        <v>177</v>
      </c>
      <c r="E3255" s="12" t="s">
        <v>5332</v>
      </c>
      <c r="F3255" s="12" t="s">
        <v>5328</v>
      </c>
      <c r="G3255" s="12" t="s">
        <v>10947</v>
      </c>
      <c r="H3255" s="12">
        <v>130339</v>
      </c>
    </row>
    <row r="3256" spans="1:8">
      <c r="A3256" s="12" t="s">
        <v>10948</v>
      </c>
      <c r="B3256" s="13">
        <v>0.96</v>
      </c>
      <c r="C3256" s="16" t="s">
        <v>5331</v>
      </c>
      <c r="D3256" s="12">
        <v>248</v>
      </c>
      <c r="E3256" s="12" t="s">
        <v>5332</v>
      </c>
      <c r="F3256" s="12" t="s">
        <v>5328</v>
      </c>
      <c r="G3256" s="12" t="s">
        <v>10949</v>
      </c>
      <c r="H3256" s="12">
        <v>122467</v>
      </c>
    </row>
    <row r="3257" spans="1:8">
      <c r="A3257" s="12" t="s">
        <v>10950</v>
      </c>
      <c r="B3257" s="13"/>
      <c r="C3257" s="16"/>
      <c r="D3257" s="12"/>
      <c r="E3257" s="12"/>
      <c r="F3257" s="12"/>
      <c r="G3257" s="12"/>
      <c r="H3257" s="12"/>
    </row>
    <row r="3258" spans="1:8">
      <c r="A3258" s="12" t="s">
        <v>10951</v>
      </c>
      <c r="B3258" s="13"/>
      <c r="C3258" s="16"/>
      <c r="D3258" s="12"/>
      <c r="E3258" s="12"/>
      <c r="F3258" s="12"/>
      <c r="G3258" s="12"/>
      <c r="H3258" s="12"/>
    </row>
    <row r="3259" spans="1:8">
      <c r="A3259" s="12" t="s">
        <v>10948</v>
      </c>
      <c r="B3259" s="13">
        <v>0.21</v>
      </c>
      <c r="C3259" s="16" t="s">
        <v>5331</v>
      </c>
      <c r="D3259" s="12">
        <v>100</v>
      </c>
      <c r="E3259" s="12" t="s">
        <v>5332</v>
      </c>
      <c r="F3259" s="12" t="s">
        <v>5328</v>
      </c>
      <c r="G3259" s="12" t="s">
        <v>10952</v>
      </c>
      <c r="H3259" s="12">
        <v>122468</v>
      </c>
    </row>
    <row r="3260" spans="1:8">
      <c r="A3260" s="12" t="s">
        <v>10953</v>
      </c>
      <c r="B3260" s="13">
        <v>2.91</v>
      </c>
      <c r="C3260" s="16" t="s">
        <v>5331</v>
      </c>
      <c r="D3260" s="12">
        <v>270</v>
      </c>
      <c r="E3260" s="12" t="s">
        <v>5332</v>
      </c>
      <c r="F3260" s="12" t="s">
        <v>5328</v>
      </c>
      <c r="G3260" s="12" t="s">
        <v>10954</v>
      </c>
      <c r="H3260" s="12">
        <v>156710</v>
      </c>
    </row>
    <row r="3261" spans="1:8">
      <c r="A3261" s="12" t="s">
        <v>10955</v>
      </c>
      <c r="B3261" s="13">
        <v>0.79</v>
      </c>
      <c r="C3261" s="16" t="s">
        <v>5331</v>
      </c>
      <c r="D3261" s="12">
        <v>121</v>
      </c>
      <c r="E3261" s="12" t="s">
        <v>5332</v>
      </c>
      <c r="F3261" s="12" t="s">
        <v>5328</v>
      </c>
      <c r="G3261" s="12" t="s">
        <v>10956</v>
      </c>
      <c r="H3261" s="12">
        <v>156605</v>
      </c>
    </row>
    <row r="3262" spans="1:8">
      <c r="A3262" s="12" t="s">
        <v>10957</v>
      </c>
      <c r="B3262" s="13">
        <v>1.32</v>
      </c>
      <c r="C3262" s="16" t="s">
        <v>5331</v>
      </c>
      <c r="D3262" s="12">
        <v>304</v>
      </c>
      <c r="E3262" s="12" t="s">
        <v>5332</v>
      </c>
      <c r="F3262" s="12" t="s">
        <v>5328</v>
      </c>
      <c r="G3262" s="12" t="s">
        <v>10958</v>
      </c>
      <c r="H3262" s="12">
        <v>156237</v>
      </c>
    </row>
    <row r="3263" spans="1:8">
      <c r="A3263" s="12" t="s">
        <v>10959</v>
      </c>
      <c r="B3263" s="13">
        <v>0.36</v>
      </c>
      <c r="C3263" s="16" t="s">
        <v>5331</v>
      </c>
      <c r="D3263" s="12">
        <v>144</v>
      </c>
      <c r="E3263" s="12" t="s">
        <v>5332</v>
      </c>
      <c r="F3263" s="12" t="s">
        <v>5328</v>
      </c>
      <c r="G3263" s="12" t="s">
        <v>10960</v>
      </c>
      <c r="H3263" s="12">
        <v>156149</v>
      </c>
    </row>
    <row r="3264" spans="1:8">
      <c r="A3264" s="12" t="s">
        <v>10961</v>
      </c>
      <c r="B3264" s="13">
        <v>0.77</v>
      </c>
      <c r="C3264" s="16" t="s">
        <v>5331</v>
      </c>
      <c r="D3264" s="12">
        <v>75</v>
      </c>
      <c r="E3264" s="12" t="s">
        <v>5332</v>
      </c>
      <c r="F3264" s="12" t="s">
        <v>5328</v>
      </c>
      <c r="G3264" s="12" t="s">
        <v>10962</v>
      </c>
      <c r="H3264" s="12">
        <v>156150</v>
      </c>
    </row>
    <row r="3265" spans="1:8">
      <c r="A3265" s="12" t="s">
        <v>10961</v>
      </c>
      <c r="B3265" s="13">
        <v>0.21</v>
      </c>
      <c r="C3265" s="16" t="s">
        <v>5331</v>
      </c>
      <c r="D3265" s="12">
        <v>35</v>
      </c>
      <c r="E3265" s="12" t="s">
        <v>5332</v>
      </c>
      <c r="F3265" s="12" t="s">
        <v>5328</v>
      </c>
      <c r="G3265" s="12" t="s">
        <v>10963</v>
      </c>
      <c r="H3265" s="12">
        <v>156152</v>
      </c>
    </row>
    <row r="3266" spans="1:8">
      <c r="A3266" s="12" t="s">
        <v>10964</v>
      </c>
      <c r="B3266" s="13">
        <v>0.4</v>
      </c>
      <c r="C3266" s="16" t="s">
        <v>5331</v>
      </c>
      <c r="D3266" s="12">
        <v>414</v>
      </c>
      <c r="E3266" s="12" t="s">
        <v>5332</v>
      </c>
      <c r="F3266" s="12" t="s">
        <v>5328</v>
      </c>
      <c r="G3266" s="12" t="s">
        <v>10965</v>
      </c>
      <c r="H3266" s="12">
        <v>156145</v>
      </c>
    </row>
    <row r="3267" spans="1:8">
      <c r="A3267" s="12" t="s">
        <v>10966</v>
      </c>
      <c r="B3267" s="13"/>
      <c r="C3267" s="16"/>
      <c r="D3267" s="12"/>
      <c r="E3267" s="12"/>
      <c r="F3267" s="12"/>
      <c r="G3267" s="12"/>
      <c r="H3267" s="12"/>
    </row>
    <row r="3268" spans="1:8">
      <c r="A3268" s="12" t="s">
        <v>10964</v>
      </c>
      <c r="B3268" s="13">
        <v>0.11</v>
      </c>
      <c r="C3268" s="16" t="s">
        <v>5331</v>
      </c>
      <c r="D3268" s="12">
        <v>166</v>
      </c>
      <c r="E3268" s="12" t="s">
        <v>5332</v>
      </c>
      <c r="F3268" s="12" t="s">
        <v>5328</v>
      </c>
      <c r="G3268" s="12" t="s">
        <v>10967</v>
      </c>
      <c r="H3268" s="12">
        <v>156236</v>
      </c>
    </row>
    <row r="3269" spans="1:8">
      <c r="A3269" s="12" t="s">
        <v>10968</v>
      </c>
      <c r="B3269" s="13">
        <v>1.28</v>
      </c>
      <c r="C3269" s="16" t="s">
        <v>5331</v>
      </c>
      <c r="D3269" s="12">
        <v>284</v>
      </c>
      <c r="E3269" s="12" t="s">
        <v>5332</v>
      </c>
      <c r="F3269" s="12" t="s">
        <v>5328</v>
      </c>
      <c r="G3269" s="12" t="s">
        <v>10969</v>
      </c>
      <c r="H3269" s="12">
        <v>160993</v>
      </c>
    </row>
    <row r="3270" spans="1:8">
      <c r="A3270" s="12" t="s">
        <v>10970</v>
      </c>
      <c r="B3270" s="13"/>
      <c r="C3270" s="16"/>
      <c r="D3270" s="12"/>
      <c r="E3270" s="12"/>
      <c r="F3270" s="12"/>
      <c r="G3270" s="12"/>
      <c r="H3270" s="12"/>
    </row>
    <row r="3271" spans="1:8">
      <c r="A3271" s="12" t="s">
        <v>10968</v>
      </c>
      <c r="B3271" s="13">
        <v>0.33</v>
      </c>
      <c r="C3271" s="16" t="s">
        <v>5331</v>
      </c>
      <c r="D3271" s="12">
        <v>158</v>
      </c>
      <c r="E3271" s="12" t="s">
        <v>5332</v>
      </c>
      <c r="F3271" s="12" t="s">
        <v>5328</v>
      </c>
      <c r="G3271" s="12" t="s">
        <v>10971</v>
      </c>
      <c r="H3271" s="12">
        <v>161283</v>
      </c>
    </row>
    <row r="3272" spans="1:8">
      <c r="A3272" s="12" t="s">
        <v>10972</v>
      </c>
      <c r="B3272" s="13">
        <v>33.6</v>
      </c>
      <c r="C3272" s="16" t="s">
        <v>5331</v>
      </c>
      <c r="D3272" s="12">
        <v>546</v>
      </c>
      <c r="E3272" s="12" t="s">
        <v>5332</v>
      </c>
      <c r="F3272" s="12" t="s">
        <v>5328</v>
      </c>
      <c r="G3272" s="12" t="s">
        <v>10973</v>
      </c>
      <c r="H3272" s="12">
        <v>161006</v>
      </c>
    </row>
    <row r="3273" spans="1:8">
      <c r="A3273" s="12" t="s">
        <v>10974</v>
      </c>
      <c r="B3273" s="13"/>
      <c r="C3273" s="16"/>
      <c r="D3273" s="12"/>
      <c r="E3273" s="12"/>
      <c r="F3273" s="12"/>
      <c r="G3273" s="12"/>
      <c r="H3273" s="12"/>
    </row>
    <row r="3274" spans="1:8">
      <c r="A3274" s="12" t="s">
        <v>10975</v>
      </c>
      <c r="B3274" s="13"/>
      <c r="C3274" s="16"/>
      <c r="D3274" s="12"/>
      <c r="E3274" s="12"/>
      <c r="F3274" s="12"/>
      <c r="G3274" s="12"/>
      <c r="H3274" s="12"/>
    </row>
    <row r="3275" spans="1:8">
      <c r="A3275" s="12" t="s">
        <v>10972</v>
      </c>
      <c r="B3275" s="13">
        <v>9.14</v>
      </c>
      <c r="C3275" s="16" t="s">
        <v>5331</v>
      </c>
      <c r="D3275" s="12">
        <v>221</v>
      </c>
      <c r="E3275" s="12" t="s">
        <v>5332</v>
      </c>
      <c r="F3275" s="12" t="s">
        <v>5328</v>
      </c>
      <c r="G3275" s="12" t="s">
        <v>10976</v>
      </c>
      <c r="H3275" s="12">
        <v>161007</v>
      </c>
    </row>
    <row r="3276" spans="1:8">
      <c r="A3276" s="12" t="s">
        <v>10977</v>
      </c>
      <c r="B3276" s="13">
        <v>100.96</v>
      </c>
      <c r="C3276" s="16" t="s">
        <v>5331</v>
      </c>
      <c r="D3276" s="12">
        <v>304</v>
      </c>
      <c r="E3276" s="12" t="s">
        <v>5332</v>
      </c>
      <c r="F3276" s="12" t="s">
        <v>5328</v>
      </c>
      <c r="G3276" s="12" t="s">
        <v>10978</v>
      </c>
      <c r="H3276" s="12">
        <v>183219</v>
      </c>
    </row>
    <row r="3277" spans="1:8">
      <c r="A3277" s="12" t="s">
        <v>10979</v>
      </c>
      <c r="B3277" s="13"/>
      <c r="C3277" s="16"/>
      <c r="D3277" s="12"/>
      <c r="E3277" s="12"/>
      <c r="F3277" s="12"/>
      <c r="G3277" s="12"/>
      <c r="H3277" s="12"/>
    </row>
    <row r="3278" spans="1:8">
      <c r="A3278" s="12" t="s">
        <v>10977</v>
      </c>
      <c r="B3278" s="13">
        <v>26.83</v>
      </c>
      <c r="C3278" s="16" t="s">
        <v>5331</v>
      </c>
      <c r="D3278" s="12">
        <v>135</v>
      </c>
      <c r="E3278" s="12" t="s">
        <v>5332</v>
      </c>
      <c r="F3278" s="12" t="s">
        <v>5328</v>
      </c>
      <c r="G3278" s="12" t="s">
        <v>10980</v>
      </c>
      <c r="H3278" s="12">
        <v>183220</v>
      </c>
    </row>
    <row r="3279" spans="1:8">
      <c r="A3279" s="12" t="s">
        <v>10981</v>
      </c>
      <c r="B3279" s="13">
        <v>12.47</v>
      </c>
      <c r="C3279" s="16" t="s">
        <v>5331</v>
      </c>
      <c r="D3279" s="12">
        <v>387</v>
      </c>
      <c r="E3279" s="12" t="s">
        <v>5332</v>
      </c>
      <c r="F3279" s="12" t="s">
        <v>5328</v>
      </c>
      <c r="G3279" s="12" t="s">
        <v>10982</v>
      </c>
      <c r="H3279" s="12">
        <v>156154</v>
      </c>
    </row>
    <row r="3280" spans="1:8">
      <c r="A3280" s="12" t="s">
        <v>10983</v>
      </c>
      <c r="B3280" s="13"/>
      <c r="C3280" s="16"/>
      <c r="D3280" s="12"/>
      <c r="E3280" s="12"/>
      <c r="F3280" s="12"/>
      <c r="G3280" s="12"/>
      <c r="H3280" s="12"/>
    </row>
    <row r="3281" spans="1:8">
      <c r="A3281" s="12" t="s">
        <v>10981</v>
      </c>
      <c r="B3281" s="13">
        <v>3.39</v>
      </c>
      <c r="C3281" s="16" t="s">
        <v>5331</v>
      </c>
      <c r="D3281" s="12">
        <v>155</v>
      </c>
      <c r="E3281" s="12" t="s">
        <v>5332</v>
      </c>
      <c r="F3281" s="12" t="s">
        <v>5328</v>
      </c>
      <c r="G3281" s="12" t="s">
        <v>10984</v>
      </c>
      <c r="H3281" s="12">
        <v>156156</v>
      </c>
    </row>
    <row r="3282" spans="1:8">
      <c r="A3282" s="12" t="s">
        <v>10985</v>
      </c>
      <c r="B3282" s="13">
        <v>0.95</v>
      </c>
      <c r="C3282" s="16" t="s">
        <v>5331</v>
      </c>
      <c r="D3282" s="12">
        <v>414</v>
      </c>
      <c r="E3282" s="12" t="s">
        <v>5332</v>
      </c>
      <c r="F3282" s="12" t="s">
        <v>5328</v>
      </c>
      <c r="G3282" s="12" t="s">
        <v>10986</v>
      </c>
      <c r="H3282" s="12">
        <v>161484</v>
      </c>
    </row>
    <row r="3283" spans="1:8">
      <c r="A3283" s="12" t="s">
        <v>10987</v>
      </c>
      <c r="B3283" s="13"/>
      <c r="C3283" s="16"/>
      <c r="D3283" s="12"/>
      <c r="E3283" s="12"/>
      <c r="F3283" s="12"/>
      <c r="G3283" s="12"/>
      <c r="H3283" s="12"/>
    </row>
    <row r="3284" spans="1:8">
      <c r="A3284" s="12" t="s">
        <v>10985</v>
      </c>
      <c r="B3284" s="13">
        <v>0.28000000000000003</v>
      </c>
      <c r="C3284" s="16" t="s">
        <v>5331</v>
      </c>
      <c r="D3284" s="12">
        <v>158</v>
      </c>
      <c r="E3284" s="12" t="s">
        <v>5332</v>
      </c>
      <c r="F3284" s="12" t="s">
        <v>5328</v>
      </c>
      <c r="G3284" s="12" t="s">
        <v>10988</v>
      </c>
      <c r="H3284" s="12">
        <v>161286</v>
      </c>
    </row>
    <row r="3285" spans="1:8">
      <c r="A3285" s="12" t="s">
        <v>10989</v>
      </c>
      <c r="B3285" s="13">
        <v>1.79</v>
      </c>
      <c r="C3285" s="16" t="s">
        <v>5331</v>
      </c>
      <c r="D3285" s="12">
        <v>453</v>
      </c>
      <c r="E3285" s="12" t="s">
        <v>5332</v>
      </c>
      <c r="F3285" s="12" t="s">
        <v>5328</v>
      </c>
      <c r="G3285" s="12" t="s">
        <v>10990</v>
      </c>
      <c r="H3285" s="12">
        <v>161191</v>
      </c>
    </row>
    <row r="3286" spans="1:8">
      <c r="A3286" s="12" t="s">
        <v>10989</v>
      </c>
      <c r="B3286" s="13">
        <v>0.46</v>
      </c>
      <c r="C3286" s="16" t="s">
        <v>5331</v>
      </c>
      <c r="D3286" s="12">
        <v>177</v>
      </c>
      <c r="E3286" s="12" t="s">
        <v>5332</v>
      </c>
      <c r="F3286" s="12" t="s">
        <v>5328</v>
      </c>
      <c r="G3286" s="12" t="s">
        <v>10991</v>
      </c>
      <c r="H3286" s="12">
        <v>161192</v>
      </c>
    </row>
    <row r="3287" spans="1:8">
      <c r="A3287" s="12" t="s">
        <v>10992</v>
      </c>
      <c r="B3287" s="13">
        <v>35.96</v>
      </c>
      <c r="C3287" s="16" t="s">
        <v>5331</v>
      </c>
      <c r="D3287" s="12">
        <v>546</v>
      </c>
      <c r="E3287" s="12" t="s">
        <v>5332</v>
      </c>
      <c r="F3287" s="12" t="s">
        <v>5328</v>
      </c>
      <c r="G3287" s="12" t="s">
        <v>10993</v>
      </c>
      <c r="H3287" s="12">
        <v>187419</v>
      </c>
    </row>
    <row r="3288" spans="1:8">
      <c r="A3288" s="12" t="s">
        <v>10994</v>
      </c>
      <c r="B3288" s="13"/>
      <c r="C3288" s="16"/>
      <c r="D3288" s="12"/>
      <c r="E3288" s="12"/>
      <c r="F3288" s="12"/>
      <c r="G3288" s="12"/>
      <c r="H3288" s="12"/>
    </row>
    <row r="3289" spans="1:8">
      <c r="A3289" s="12" t="s">
        <v>10992</v>
      </c>
      <c r="B3289" s="13">
        <v>9.99</v>
      </c>
      <c r="C3289" s="16" t="s">
        <v>5331</v>
      </c>
      <c r="D3289" s="12">
        <v>221</v>
      </c>
      <c r="E3289" s="12" t="s">
        <v>5332</v>
      </c>
      <c r="F3289" s="12" t="s">
        <v>5328</v>
      </c>
      <c r="G3289" s="12" t="s">
        <v>10995</v>
      </c>
      <c r="H3289" s="12">
        <v>187420</v>
      </c>
    </row>
    <row r="3290" spans="1:8">
      <c r="A3290" s="12" t="s">
        <v>10996</v>
      </c>
      <c r="B3290" s="13">
        <v>7.19</v>
      </c>
      <c r="C3290" s="16" t="s">
        <v>5331</v>
      </c>
      <c r="D3290" s="12">
        <v>368</v>
      </c>
      <c r="E3290" s="12" t="s">
        <v>5332</v>
      </c>
      <c r="F3290" s="12" t="s">
        <v>5328</v>
      </c>
      <c r="G3290" s="12" t="s">
        <v>10997</v>
      </c>
      <c r="H3290" s="12">
        <v>161384</v>
      </c>
    </row>
    <row r="3291" spans="1:8">
      <c r="A3291" s="12" t="s">
        <v>10996</v>
      </c>
      <c r="B3291" s="13">
        <v>1.84</v>
      </c>
      <c r="C3291" s="16" t="s">
        <v>5331</v>
      </c>
      <c r="D3291" s="12">
        <v>147</v>
      </c>
      <c r="E3291" s="12" t="s">
        <v>5332</v>
      </c>
      <c r="F3291" s="12" t="s">
        <v>5328</v>
      </c>
      <c r="G3291" s="12" t="s">
        <v>10998</v>
      </c>
      <c r="H3291" s="12">
        <v>160996</v>
      </c>
    </row>
    <row r="3292" spans="1:8">
      <c r="A3292" s="12" t="s">
        <v>10999</v>
      </c>
      <c r="B3292" s="13">
        <v>0</v>
      </c>
      <c r="C3292" s="16" t="s">
        <v>5331</v>
      </c>
      <c r="D3292" s="12">
        <v>410</v>
      </c>
      <c r="E3292" s="12" t="s">
        <v>5332</v>
      </c>
      <c r="F3292" s="12" t="s">
        <v>5328</v>
      </c>
      <c r="G3292" s="12" t="s">
        <v>11000</v>
      </c>
      <c r="H3292" s="12">
        <v>161016</v>
      </c>
    </row>
    <row r="3293" spans="1:8">
      <c r="A3293" s="12" t="s">
        <v>11001</v>
      </c>
      <c r="B3293" s="13"/>
      <c r="C3293" s="16"/>
      <c r="D3293" s="12"/>
      <c r="E3293" s="12"/>
      <c r="F3293" s="12"/>
      <c r="G3293" s="12"/>
      <c r="H3293" s="12"/>
    </row>
    <row r="3294" spans="1:8">
      <c r="A3294" s="12" t="s">
        <v>10999</v>
      </c>
      <c r="B3294" s="13">
        <v>0</v>
      </c>
      <c r="C3294" s="16" t="s">
        <v>5331</v>
      </c>
      <c r="D3294" s="12">
        <v>160</v>
      </c>
      <c r="E3294" s="12" t="s">
        <v>5332</v>
      </c>
      <c r="F3294" s="12" t="s">
        <v>5328</v>
      </c>
      <c r="G3294" s="12" t="s">
        <v>11002</v>
      </c>
      <c r="H3294" s="12">
        <v>161017</v>
      </c>
    </row>
    <row r="3295" spans="1:8">
      <c r="A3295" s="12" t="s">
        <v>11003</v>
      </c>
      <c r="B3295" s="13">
        <v>6.08</v>
      </c>
      <c r="C3295" s="16" t="s">
        <v>5331</v>
      </c>
      <c r="D3295" s="12">
        <v>431</v>
      </c>
      <c r="E3295" s="12" t="s">
        <v>5332</v>
      </c>
      <c r="F3295" s="12" t="s">
        <v>5328</v>
      </c>
      <c r="G3295" s="12" t="s">
        <v>11004</v>
      </c>
      <c r="H3295" s="12">
        <v>161284</v>
      </c>
    </row>
    <row r="3296" spans="1:8">
      <c r="A3296" s="12" t="s">
        <v>11005</v>
      </c>
      <c r="B3296" s="13">
        <v>1.65</v>
      </c>
      <c r="C3296" s="16" t="s">
        <v>5331</v>
      </c>
      <c r="D3296" s="12">
        <v>168</v>
      </c>
      <c r="E3296" s="12" t="s">
        <v>5332</v>
      </c>
      <c r="F3296" s="12" t="s">
        <v>5328</v>
      </c>
      <c r="G3296" s="12" t="s">
        <v>11006</v>
      </c>
      <c r="H3296" s="12">
        <v>161285</v>
      </c>
    </row>
    <row r="3297" spans="1:8">
      <c r="A3297" s="12" t="s">
        <v>11007</v>
      </c>
      <c r="B3297" s="13">
        <v>35.770000000000003</v>
      </c>
      <c r="C3297" s="16" t="s">
        <v>5331</v>
      </c>
      <c r="D3297" s="12">
        <v>486</v>
      </c>
      <c r="E3297" s="12" t="s">
        <v>5332</v>
      </c>
      <c r="F3297" s="12" t="s">
        <v>5328</v>
      </c>
      <c r="G3297" s="12" t="s">
        <v>11008</v>
      </c>
      <c r="H3297" s="12">
        <v>161184</v>
      </c>
    </row>
    <row r="3298" spans="1:8">
      <c r="A3298" s="12" t="s">
        <v>11007</v>
      </c>
      <c r="B3298" s="13">
        <v>9.15</v>
      </c>
      <c r="C3298" s="16" t="s">
        <v>5331</v>
      </c>
      <c r="D3298" s="12">
        <v>184</v>
      </c>
      <c r="E3298" s="12" t="s">
        <v>5332</v>
      </c>
      <c r="F3298" s="12" t="s">
        <v>5328</v>
      </c>
      <c r="G3298" s="12" t="s">
        <v>11009</v>
      </c>
      <c r="H3298" s="12">
        <v>160990</v>
      </c>
    </row>
    <row r="3299" spans="1:8">
      <c r="A3299" s="12" t="s">
        <v>11010</v>
      </c>
      <c r="B3299" s="13">
        <v>6.45</v>
      </c>
      <c r="C3299" s="16" t="s">
        <v>10879</v>
      </c>
      <c r="D3299" s="12">
        <v>284</v>
      </c>
      <c r="E3299" s="12" t="s">
        <v>5332</v>
      </c>
      <c r="F3299" s="12" t="s">
        <v>5328</v>
      </c>
      <c r="G3299" s="12" t="s">
        <v>11011</v>
      </c>
      <c r="H3299" s="12">
        <v>161001</v>
      </c>
    </row>
    <row r="3300" spans="1:8">
      <c r="A3300" s="12" t="s">
        <v>11012</v>
      </c>
      <c r="B3300" s="13">
        <v>1.86</v>
      </c>
      <c r="C3300" s="16" t="s">
        <v>5331</v>
      </c>
      <c r="D3300" s="12">
        <v>135</v>
      </c>
      <c r="E3300" s="12" t="s">
        <v>5332</v>
      </c>
      <c r="F3300" s="12" t="s">
        <v>5328</v>
      </c>
      <c r="G3300" s="12" t="s">
        <v>11013</v>
      </c>
      <c r="H3300" s="12">
        <v>161002</v>
      </c>
    </row>
    <row r="3301" spans="1:8">
      <c r="A3301" s="12" t="s">
        <v>11014</v>
      </c>
      <c r="B3301" s="13">
        <v>53.11</v>
      </c>
      <c r="C3301" s="16" t="s">
        <v>5331</v>
      </c>
      <c r="D3301" s="12">
        <v>279</v>
      </c>
      <c r="E3301" s="12" t="s">
        <v>5332</v>
      </c>
      <c r="F3301" s="12" t="s">
        <v>5328</v>
      </c>
      <c r="G3301" s="12" t="s">
        <v>11015</v>
      </c>
      <c r="H3301" s="12">
        <v>161485</v>
      </c>
    </row>
    <row r="3302" spans="1:8">
      <c r="A3302" s="12" t="s">
        <v>11016</v>
      </c>
      <c r="B3302" s="13"/>
      <c r="C3302" s="16"/>
      <c r="D3302" s="12"/>
      <c r="E3302" s="12"/>
      <c r="F3302" s="12"/>
      <c r="G3302" s="12"/>
      <c r="H3302" s="12"/>
    </row>
    <row r="3303" spans="1:8">
      <c r="A3303" s="12" t="s">
        <v>11014</v>
      </c>
      <c r="B3303" s="13">
        <v>13.58</v>
      </c>
      <c r="C3303" s="16" t="s">
        <v>5331</v>
      </c>
      <c r="D3303" s="12">
        <v>168</v>
      </c>
      <c r="E3303" s="12" t="s">
        <v>5332</v>
      </c>
      <c r="F3303" s="12" t="s">
        <v>5328</v>
      </c>
      <c r="G3303" s="12" t="s">
        <v>11017</v>
      </c>
      <c r="H3303" s="12">
        <v>161020</v>
      </c>
    </row>
    <row r="3304" spans="1:8">
      <c r="A3304" s="12" t="s">
        <v>11018</v>
      </c>
      <c r="B3304" s="13">
        <v>0.15</v>
      </c>
      <c r="C3304" s="16" t="s">
        <v>5331</v>
      </c>
      <c r="D3304" s="12">
        <v>394</v>
      </c>
      <c r="E3304" s="12" t="s">
        <v>5332</v>
      </c>
      <c r="F3304" s="12" t="s">
        <v>5328</v>
      </c>
      <c r="G3304" s="12" t="s">
        <v>11019</v>
      </c>
      <c r="H3304" s="12">
        <v>161011</v>
      </c>
    </row>
    <row r="3305" spans="1:8">
      <c r="A3305" s="12" t="s">
        <v>11018</v>
      </c>
      <c r="B3305" s="13">
        <v>0.04</v>
      </c>
      <c r="C3305" s="16" t="s">
        <v>5331</v>
      </c>
      <c r="D3305" s="12">
        <v>158</v>
      </c>
      <c r="E3305" s="12" t="s">
        <v>5332</v>
      </c>
      <c r="F3305" s="12" t="s">
        <v>5328</v>
      </c>
      <c r="G3305" s="12" t="s">
        <v>11020</v>
      </c>
      <c r="H3305" s="12">
        <v>161012</v>
      </c>
    </row>
    <row r="3306" spans="1:8">
      <c r="A3306" s="12" t="s">
        <v>11021</v>
      </c>
      <c r="B3306" s="13">
        <v>2.62</v>
      </c>
      <c r="C3306" s="16" t="s">
        <v>5331</v>
      </c>
      <c r="D3306" s="12">
        <v>368</v>
      </c>
      <c r="E3306" s="12" t="s">
        <v>5332</v>
      </c>
      <c r="F3306" s="12" t="s">
        <v>5328</v>
      </c>
      <c r="G3306" s="12" t="s">
        <v>11022</v>
      </c>
      <c r="H3306" s="12">
        <v>161187</v>
      </c>
    </row>
    <row r="3307" spans="1:8">
      <c r="A3307" s="12" t="s">
        <v>11021</v>
      </c>
      <c r="B3307" s="13">
        <v>2.63</v>
      </c>
      <c r="C3307" s="16" t="s">
        <v>5331</v>
      </c>
      <c r="D3307" s="12">
        <v>147</v>
      </c>
      <c r="E3307" s="12" t="s">
        <v>5332</v>
      </c>
      <c r="F3307" s="12" t="s">
        <v>5328</v>
      </c>
      <c r="G3307" s="12" t="s">
        <v>11023</v>
      </c>
      <c r="H3307" s="12">
        <v>161188</v>
      </c>
    </row>
    <row r="3308" spans="1:8">
      <c r="A3308" s="12" t="s">
        <v>11024</v>
      </c>
      <c r="B3308" s="13">
        <v>2.81</v>
      </c>
      <c r="C3308" s="16" t="s">
        <v>5331</v>
      </c>
      <c r="D3308" s="12">
        <v>317</v>
      </c>
      <c r="E3308" s="12" t="s">
        <v>5332</v>
      </c>
      <c r="F3308" s="12" t="s">
        <v>5328</v>
      </c>
      <c r="G3308" s="12" t="s">
        <v>11025</v>
      </c>
      <c r="H3308" s="12">
        <v>160986</v>
      </c>
    </row>
    <row r="3309" spans="1:8">
      <c r="A3309" s="12" t="s">
        <v>11026</v>
      </c>
      <c r="B3309" s="13">
        <v>0.81</v>
      </c>
      <c r="C3309" s="16" t="s">
        <v>5331</v>
      </c>
      <c r="D3309" s="12">
        <v>177</v>
      </c>
      <c r="E3309" s="12" t="s">
        <v>5332</v>
      </c>
      <c r="F3309" s="12" t="s">
        <v>5328</v>
      </c>
      <c r="G3309" s="12" t="s">
        <v>11027</v>
      </c>
      <c r="H3309" s="12">
        <v>160987</v>
      </c>
    </row>
    <row r="3310" spans="1:8">
      <c r="A3310" s="12" t="s">
        <v>11028</v>
      </c>
      <c r="B3310" s="13">
        <v>0.49</v>
      </c>
      <c r="C3310" s="16" t="s">
        <v>5331</v>
      </c>
      <c r="D3310" s="12">
        <v>387</v>
      </c>
      <c r="E3310" s="12" t="s">
        <v>5332</v>
      </c>
      <c r="F3310" s="12" t="s">
        <v>5328</v>
      </c>
      <c r="G3310" s="12" t="s">
        <v>11029</v>
      </c>
      <c r="H3310" s="12">
        <v>183211</v>
      </c>
    </row>
    <row r="3311" spans="1:8">
      <c r="A3311" s="12" t="s">
        <v>11028</v>
      </c>
      <c r="B3311" s="13">
        <v>0.13</v>
      </c>
      <c r="C3311" s="16" t="s">
        <v>5331</v>
      </c>
      <c r="D3311" s="12">
        <v>155</v>
      </c>
      <c r="E3311" s="12" t="s">
        <v>5332</v>
      </c>
      <c r="F3311" s="12" t="s">
        <v>5328</v>
      </c>
      <c r="G3311" s="12" t="s">
        <v>11030</v>
      </c>
      <c r="H3311" s="12">
        <v>183212</v>
      </c>
    </row>
    <row r="3312" spans="1:8">
      <c r="A3312" s="12" t="s">
        <v>11031</v>
      </c>
      <c r="B3312" s="13">
        <v>34.43</v>
      </c>
      <c r="C3312" s="16" t="s">
        <v>5331</v>
      </c>
      <c r="D3312" s="12">
        <v>486</v>
      </c>
      <c r="E3312" s="12" t="s">
        <v>5332</v>
      </c>
      <c r="F3312" s="12" t="s">
        <v>5328</v>
      </c>
      <c r="G3312" s="12" t="s">
        <v>11032</v>
      </c>
      <c r="H3312" s="12">
        <v>183213</v>
      </c>
    </row>
    <row r="3313" spans="1:8">
      <c r="A3313" s="12" t="s">
        <v>11031</v>
      </c>
      <c r="B3313" s="13">
        <v>9.44</v>
      </c>
      <c r="C3313" s="16" t="s">
        <v>5331</v>
      </c>
      <c r="D3313" s="12">
        <v>194</v>
      </c>
      <c r="E3313" s="12" t="s">
        <v>5332</v>
      </c>
      <c r="F3313" s="12" t="s">
        <v>5328</v>
      </c>
      <c r="G3313" s="12" t="s">
        <v>11033</v>
      </c>
      <c r="H3313" s="12">
        <v>183214</v>
      </c>
    </row>
    <row r="3314" spans="1:8">
      <c r="A3314" s="12" t="s">
        <v>11034</v>
      </c>
      <c r="B3314" s="13">
        <v>18.850000000000001</v>
      </c>
      <c r="C3314" s="16" t="s">
        <v>10879</v>
      </c>
      <c r="D3314" s="12">
        <v>486</v>
      </c>
      <c r="E3314" s="12" t="s">
        <v>5332</v>
      </c>
      <c r="F3314" s="12" t="s">
        <v>5328</v>
      </c>
      <c r="G3314" s="12" t="s">
        <v>11035</v>
      </c>
      <c r="H3314" s="12">
        <v>161193</v>
      </c>
    </row>
    <row r="3315" spans="1:8">
      <c r="A3315" s="12" t="s">
        <v>11036</v>
      </c>
      <c r="B3315" s="13"/>
      <c r="C3315" s="16"/>
      <c r="D3315" s="12"/>
      <c r="E3315" s="12"/>
      <c r="F3315" s="12"/>
      <c r="G3315" s="12"/>
      <c r="H3315" s="12"/>
    </row>
    <row r="3316" spans="1:8">
      <c r="A3316" s="12" t="s">
        <v>11034</v>
      </c>
      <c r="B3316" s="13">
        <v>5.12</v>
      </c>
      <c r="C3316" s="16" t="s">
        <v>5331</v>
      </c>
      <c r="D3316" s="12">
        <v>194</v>
      </c>
      <c r="E3316" s="12" t="s">
        <v>5332</v>
      </c>
      <c r="F3316" s="12" t="s">
        <v>5328</v>
      </c>
      <c r="G3316" s="12" t="s">
        <v>11037</v>
      </c>
      <c r="H3316" s="12">
        <v>161034</v>
      </c>
    </row>
    <row r="3317" spans="1:8">
      <c r="A3317" s="12" t="s">
        <v>11038</v>
      </c>
      <c r="B3317" s="13">
        <v>4.51</v>
      </c>
      <c r="C3317" s="16" t="s">
        <v>5331</v>
      </c>
      <c r="D3317" s="12">
        <v>546</v>
      </c>
      <c r="E3317" s="12" t="s">
        <v>5332</v>
      </c>
      <c r="F3317" s="12" t="s">
        <v>5328</v>
      </c>
      <c r="G3317" s="12" t="s">
        <v>11039</v>
      </c>
      <c r="H3317" s="12">
        <v>162041</v>
      </c>
    </row>
    <row r="3318" spans="1:8">
      <c r="A3318" s="12" t="s">
        <v>11038</v>
      </c>
      <c r="B3318" s="13">
        <v>1.23</v>
      </c>
      <c r="C3318" s="16" t="s">
        <v>5331</v>
      </c>
      <c r="D3318" s="12">
        <v>221</v>
      </c>
      <c r="E3318" s="12" t="s">
        <v>5332</v>
      </c>
      <c r="F3318" s="12" t="s">
        <v>5328</v>
      </c>
      <c r="G3318" s="12" t="s">
        <v>11040</v>
      </c>
      <c r="H3318" s="12">
        <v>162141</v>
      </c>
    </row>
    <row r="3319" spans="1:8">
      <c r="A3319" s="12" t="s">
        <v>11041</v>
      </c>
      <c r="B3319" s="13">
        <v>19.61</v>
      </c>
      <c r="C3319" s="16" t="s">
        <v>5331</v>
      </c>
      <c r="D3319" s="12">
        <v>304</v>
      </c>
      <c r="E3319" s="12" t="s">
        <v>5332</v>
      </c>
      <c r="F3319" s="12" t="s">
        <v>5328</v>
      </c>
      <c r="G3319" s="12" t="s">
        <v>11042</v>
      </c>
      <c r="H3319" s="12">
        <v>183215</v>
      </c>
    </row>
    <row r="3320" spans="1:8">
      <c r="A3320" s="12" t="s">
        <v>11043</v>
      </c>
      <c r="B3320" s="13"/>
      <c r="C3320" s="16"/>
      <c r="D3320" s="12"/>
      <c r="E3320" s="12"/>
      <c r="F3320" s="12"/>
      <c r="G3320" s="12"/>
      <c r="H3320" s="12"/>
    </row>
    <row r="3321" spans="1:8">
      <c r="A3321" s="12" t="s">
        <v>11041</v>
      </c>
      <c r="B3321" s="13">
        <v>5.33</v>
      </c>
      <c r="C3321" s="16" t="s">
        <v>5331</v>
      </c>
      <c r="D3321" s="12">
        <v>149</v>
      </c>
      <c r="E3321" s="12" t="s">
        <v>5332</v>
      </c>
      <c r="F3321" s="12" t="s">
        <v>5328</v>
      </c>
      <c r="G3321" s="12" t="s">
        <v>11044</v>
      </c>
      <c r="H3321" s="12">
        <v>183216</v>
      </c>
    </row>
    <row r="3322" spans="1:8">
      <c r="A3322" s="12" t="s">
        <v>11045</v>
      </c>
      <c r="B3322" s="13">
        <v>36.24</v>
      </c>
      <c r="C3322" s="16" t="s">
        <v>5331</v>
      </c>
      <c r="D3322" s="12">
        <v>272</v>
      </c>
      <c r="E3322" s="12" t="s">
        <v>5332</v>
      </c>
      <c r="F3322" s="12" t="s">
        <v>5328</v>
      </c>
      <c r="G3322" s="12" t="s">
        <v>11046</v>
      </c>
      <c r="H3322" s="12">
        <v>183221</v>
      </c>
    </row>
    <row r="3323" spans="1:8">
      <c r="A3323" s="12" t="s">
        <v>11045</v>
      </c>
      <c r="B3323" s="13">
        <v>9.94</v>
      </c>
      <c r="C3323" s="16" t="s">
        <v>5331</v>
      </c>
      <c r="D3323" s="12">
        <v>112</v>
      </c>
      <c r="E3323" s="12" t="s">
        <v>5332</v>
      </c>
      <c r="F3323" s="12" t="s">
        <v>5328</v>
      </c>
      <c r="G3323" s="12" t="s">
        <v>11047</v>
      </c>
      <c r="H3323" s="12">
        <v>183222</v>
      </c>
    </row>
    <row r="3324" spans="1:8">
      <c r="A3324" s="12" t="s">
        <v>11048</v>
      </c>
      <c r="B3324" s="13">
        <v>10.15</v>
      </c>
      <c r="C3324" s="16" t="s">
        <v>5331</v>
      </c>
      <c r="D3324" s="12">
        <v>375</v>
      </c>
      <c r="E3324" s="12" t="s">
        <v>5332</v>
      </c>
      <c r="F3324" s="12" t="s">
        <v>5328</v>
      </c>
      <c r="G3324" s="12" t="s">
        <v>11049</v>
      </c>
      <c r="H3324" s="12">
        <v>183217</v>
      </c>
    </row>
    <row r="3325" spans="1:8">
      <c r="A3325" s="12" t="s">
        <v>11048</v>
      </c>
      <c r="B3325" s="13">
        <v>2.75</v>
      </c>
      <c r="C3325" s="16" t="s">
        <v>5331</v>
      </c>
      <c r="D3325" s="12">
        <v>150</v>
      </c>
      <c r="E3325" s="12" t="s">
        <v>5332</v>
      </c>
      <c r="F3325" s="12" t="s">
        <v>5328</v>
      </c>
      <c r="G3325" s="12" t="s">
        <v>11050</v>
      </c>
      <c r="H3325" s="12">
        <v>183218</v>
      </c>
    </row>
    <row r="3326" spans="1:8">
      <c r="A3326" s="12" t="s">
        <v>11051</v>
      </c>
      <c r="B3326" s="13">
        <v>3.2</v>
      </c>
      <c r="C3326" s="16" t="s">
        <v>5331</v>
      </c>
      <c r="D3326" s="12">
        <v>414</v>
      </c>
      <c r="E3326" s="12" t="s">
        <v>5332</v>
      </c>
      <c r="F3326" s="12" t="s">
        <v>5328</v>
      </c>
      <c r="G3326" s="12" t="s">
        <v>11052</v>
      </c>
      <c r="H3326" s="12">
        <v>183207</v>
      </c>
    </row>
    <row r="3327" spans="1:8">
      <c r="A3327" s="12" t="s">
        <v>11053</v>
      </c>
      <c r="B3327" s="13"/>
      <c r="C3327" s="16"/>
      <c r="D3327" s="12"/>
      <c r="E3327" s="12"/>
      <c r="F3327" s="12"/>
      <c r="G3327" s="12"/>
      <c r="H3327" s="12"/>
    </row>
    <row r="3328" spans="1:8">
      <c r="A3328" s="12" t="s">
        <v>11051</v>
      </c>
      <c r="B3328" s="13">
        <v>0.87</v>
      </c>
      <c r="C3328" s="16" t="s">
        <v>5331</v>
      </c>
      <c r="D3328" s="12">
        <v>166</v>
      </c>
      <c r="E3328" s="12" t="s">
        <v>5332</v>
      </c>
      <c r="F3328" s="12" t="s">
        <v>5328</v>
      </c>
      <c r="G3328" s="12" t="s">
        <v>11054</v>
      </c>
      <c r="H3328" s="12">
        <v>183208</v>
      </c>
    </row>
    <row r="3329" spans="1:8">
      <c r="A3329" s="12" t="s">
        <v>11055</v>
      </c>
      <c r="B3329" s="13">
        <v>80.7</v>
      </c>
      <c r="C3329" s="16" t="s">
        <v>5331</v>
      </c>
      <c r="D3329" s="12">
        <v>387</v>
      </c>
      <c r="E3329" s="12" t="s">
        <v>5332</v>
      </c>
      <c r="F3329" s="12" t="s">
        <v>5328</v>
      </c>
      <c r="G3329" s="12" t="s">
        <v>11056</v>
      </c>
      <c r="H3329" s="12">
        <v>187421</v>
      </c>
    </row>
    <row r="3330" spans="1:8">
      <c r="A3330" s="12" t="s">
        <v>11057</v>
      </c>
      <c r="B3330" s="13">
        <v>21.94</v>
      </c>
      <c r="C3330" s="16" t="s">
        <v>5331</v>
      </c>
      <c r="D3330" s="12">
        <v>155</v>
      </c>
      <c r="E3330" s="12" t="s">
        <v>5332</v>
      </c>
      <c r="F3330" s="12" t="s">
        <v>5328</v>
      </c>
      <c r="G3330" s="12" t="s">
        <v>11058</v>
      </c>
      <c r="H3330" s="12">
        <v>187422</v>
      </c>
    </row>
    <row r="3331" spans="1:8">
      <c r="A3331" s="12" t="s">
        <v>11059</v>
      </c>
      <c r="B3331" s="13">
        <v>104.33</v>
      </c>
      <c r="C3331" s="16" t="s">
        <v>5331</v>
      </c>
      <c r="D3331" s="12">
        <v>486</v>
      </c>
      <c r="E3331" s="12" t="s">
        <v>5332</v>
      </c>
      <c r="F3331" s="12" t="s">
        <v>5328</v>
      </c>
      <c r="G3331" s="12" t="s">
        <v>11060</v>
      </c>
      <c r="H3331" s="12">
        <v>187423</v>
      </c>
    </row>
    <row r="3332" spans="1:8">
      <c r="A3332" s="12" t="s">
        <v>11059</v>
      </c>
      <c r="B3332" s="13">
        <v>30.15</v>
      </c>
      <c r="C3332" s="16" t="s">
        <v>5331</v>
      </c>
      <c r="D3332" s="12">
        <v>194</v>
      </c>
      <c r="E3332" s="12" t="s">
        <v>5332</v>
      </c>
      <c r="F3332" s="12" t="s">
        <v>5328</v>
      </c>
      <c r="G3332" s="12" t="s">
        <v>11061</v>
      </c>
      <c r="H3332" s="12">
        <v>187520</v>
      </c>
    </row>
    <row r="3333" spans="1:8">
      <c r="A3333" s="12" t="s">
        <v>11062</v>
      </c>
      <c r="B3333" s="13">
        <v>80.239999999999995</v>
      </c>
      <c r="C3333" s="16" t="s">
        <v>5331</v>
      </c>
      <c r="D3333" s="12">
        <v>486</v>
      </c>
      <c r="E3333" s="12" t="s">
        <v>5332</v>
      </c>
      <c r="F3333" s="12" t="s">
        <v>5328</v>
      </c>
      <c r="G3333" s="12" t="s">
        <v>11063</v>
      </c>
      <c r="H3333" s="12">
        <v>187521</v>
      </c>
    </row>
    <row r="3334" spans="1:8">
      <c r="A3334" s="12" t="s">
        <v>11064</v>
      </c>
      <c r="B3334" s="13"/>
      <c r="C3334" s="16"/>
      <c r="D3334" s="12"/>
      <c r="E3334" s="12"/>
      <c r="F3334" s="12"/>
      <c r="G3334" s="12"/>
      <c r="H3334" s="12"/>
    </row>
    <row r="3335" spans="1:8">
      <c r="A3335" s="12" t="s">
        <v>11062</v>
      </c>
      <c r="B3335" s="13">
        <v>21.81</v>
      </c>
      <c r="C3335" s="16" t="s">
        <v>5331</v>
      </c>
      <c r="D3335" s="12">
        <v>194</v>
      </c>
      <c r="E3335" s="12" t="s">
        <v>5332</v>
      </c>
      <c r="F3335" s="12" t="s">
        <v>5328</v>
      </c>
      <c r="G3335" s="12" t="s">
        <v>11065</v>
      </c>
      <c r="H3335" s="12">
        <v>187522</v>
      </c>
    </row>
    <row r="3336" spans="1:8">
      <c r="A3336" s="12" t="s">
        <v>11066</v>
      </c>
      <c r="B3336" s="13">
        <v>212.47</v>
      </c>
      <c r="C3336" s="16" t="s">
        <v>5331</v>
      </c>
      <c r="D3336" s="12">
        <v>361</v>
      </c>
      <c r="E3336" s="12" t="s">
        <v>5332</v>
      </c>
      <c r="F3336" s="12" t="s">
        <v>5328</v>
      </c>
      <c r="G3336" s="12" t="s">
        <v>11067</v>
      </c>
      <c r="H3336" s="12">
        <v>187424</v>
      </c>
    </row>
    <row r="3337" spans="1:8">
      <c r="A3337" s="12" t="s">
        <v>11068</v>
      </c>
      <c r="B3337" s="13"/>
      <c r="C3337" s="16"/>
      <c r="D3337" s="12"/>
      <c r="E3337" s="12"/>
      <c r="F3337" s="12"/>
      <c r="G3337" s="12"/>
      <c r="H3337" s="12"/>
    </row>
    <row r="3338" spans="1:8">
      <c r="A3338" s="12" t="s">
        <v>11066</v>
      </c>
      <c r="B3338" s="13">
        <v>57.76</v>
      </c>
      <c r="C3338" s="16" t="s">
        <v>5331</v>
      </c>
      <c r="D3338" s="12">
        <v>210</v>
      </c>
      <c r="E3338" s="12" t="s">
        <v>5332</v>
      </c>
      <c r="F3338" s="12" t="s">
        <v>5328</v>
      </c>
      <c r="G3338" s="12" t="s">
        <v>11069</v>
      </c>
      <c r="H3338" s="12">
        <v>187425</v>
      </c>
    </row>
    <row r="3339" spans="1:8">
      <c r="A3339" s="12" t="s">
        <v>11070</v>
      </c>
      <c r="B3339" s="13"/>
      <c r="C3339" s="16"/>
      <c r="D3339" s="12"/>
      <c r="E3339" s="12"/>
      <c r="F3339" s="12"/>
      <c r="G3339" s="12"/>
      <c r="H3339" s="12"/>
    </row>
    <row r="3340" spans="1:8">
      <c r="A3340" s="12" t="s">
        <v>11071</v>
      </c>
      <c r="B3340" s="13">
        <v>26.31</v>
      </c>
      <c r="C3340" s="16" t="s">
        <v>5331</v>
      </c>
      <c r="D3340" s="12">
        <v>414</v>
      </c>
      <c r="E3340" s="12" t="s">
        <v>5332</v>
      </c>
      <c r="F3340" s="12" t="s">
        <v>5328</v>
      </c>
      <c r="G3340" s="12" t="s">
        <v>11072</v>
      </c>
      <c r="H3340" s="12">
        <v>187426</v>
      </c>
    </row>
    <row r="3341" spans="1:8">
      <c r="A3341" s="12" t="s">
        <v>11071</v>
      </c>
      <c r="B3341" s="13">
        <v>6.73</v>
      </c>
      <c r="C3341" s="16" t="s">
        <v>5331</v>
      </c>
      <c r="D3341" s="12">
        <v>166</v>
      </c>
      <c r="E3341" s="12" t="s">
        <v>5332</v>
      </c>
      <c r="F3341" s="12" t="s">
        <v>5328</v>
      </c>
      <c r="G3341" s="12" t="s">
        <v>11073</v>
      </c>
      <c r="H3341" s="12">
        <v>187427</v>
      </c>
    </row>
    <row r="3342" spans="1:8">
      <c r="A3342" s="12" t="s">
        <v>11074</v>
      </c>
      <c r="B3342" s="13">
        <v>87.69</v>
      </c>
      <c r="C3342" s="16" t="s">
        <v>5331</v>
      </c>
      <c r="D3342" s="12">
        <v>414</v>
      </c>
      <c r="E3342" s="12" t="s">
        <v>5332</v>
      </c>
      <c r="F3342" s="12" t="s">
        <v>5328</v>
      </c>
      <c r="G3342" s="12" t="s">
        <v>11075</v>
      </c>
      <c r="H3342" s="12">
        <v>187619</v>
      </c>
    </row>
    <row r="3343" spans="1:8">
      <c r="A3343" s="12" t="s">
        <v>11074</v>
      </c>
      <c r="B3343" s="13">
        <v>23.84</v>
      </c>
      <c r="C3343" s="16" t="s">
        <v>5331</v>
      </c>
      <c r="D3343" s="12">
        <v>166</v>
      </c>
      <c r="E3343" s="12" t="s">
        <v>5332</v>
      </c>
      <c r="F3343" s="12" t="s">
        <v>5328</v>
      </c>
      <c r="G3343" s="12" t="s">
        <v>11076</v>
      </c>
      <c r="H3343" s="12">
        <v>187620</v>
      </c>
    </row>
    <row r="3344" spans="1:8">
      <c r="A3344" s="12" t="s">
        <v>11077</v>
      </c>
      <c r="B3344" s="13">
        <v>77.319999999999993</v>
      </c>
      <c r="C3344" s="16" t="s">
        <v>5331</v>
      </c>
      <c r="D3344" s="12">
        <v>524</v>
      </c>
      <c r="E3344" s="12" t="s">
        <v>5332</v>
      </c>
      <c r="F3344" s="12" t="s">
        <v>5328</v>
      </c>
      <c r="G3344" s="12" t="s">
        <v>11078</v>
      </c>
      <c r="H3344" s="12">
        <v>187428</v>
      </c>
    </row>
    <row r="3345" spans="1:8">
      <c r="A3345" s="12" t="s">
        <v>11077</v>
      </c>
      <c r="B3345" s="13">
        <v>21.02</v>
      </c>
      <c r="C3345" s="16" t="s">
        <v>5331</v>
      </c>
      <c r="D3345" s="12">
        <v>210</v>
      </c>
      <c r="E3345" s="12" t="s">
        <v>5332</v>
      </c>
      <c r="F3345" s="12" t="s">
        <v>5328</v>
      </c>
      <c r="G3345" s="12" t="s">
        <v>11079</v>
      </c>
      <c r="H3345" s="12">
        <v>187523</v>
      </c>
    </row>
    <row r="3346" spans="1:8">
      <c r="A3346" s="12" t="s">
        <v>11080</v>
      </c>
      <c r="B3346" s="13">
        <v>0.74</v>
      </c>
      <c r="C3346" s="16" t="s">
        <v>5331</v>
      </c>
      <c r="D3346" s="12">
        <v>414</v>
      </c>
      <c r="E3346" s="12" t="s">
        <v>5332</v>
      </c>
      <c r="F3346" s="12" t="s">
        <v>5328</v>
      </c>
      <c r="G3346" s="12" t="s">
        <v>11081</v>
      </c>
      <c r="H3346" s="12">
        <v>205190</v>
      </c>
    </row>
    <row r="3347" spans="1:8">
      <c r="A3347" s="12" t="s">
        <v>11082</v>
      </c>
      <c r="B3347" s="13">
        <v>0.18</v>
      </c>
      <c r="C3347" s="16" t="s">
        <v>5331</v>
      </c>
      <c r="D3347" s="12">
        <v>111</v>
      </c>
      <c r="E3347" s="12" t="s">
        <v>5332</v>
      </c>
      <c r="F3347" s="12" t="s">
        <v>5328</v>
      </c>
      <c r="G3347" s="12" t="s">
        <v>11083</v>
      </c>
      <c r="H3347" s="12">
        <v>205191</v>
      </c>
    </row>
    <row r="3348" spans="1:8">
      <c r="A3348" s="12" t="s">
        <v>11084</v>
      </c>
      <c r="B3348" s="13">
        <v>4.0999999999999996</v>
      </c>
      <c r="C3348" s="16" t="s">
        <v>5331</v>
      </c>
      <c r="D3348" s="12">
        <v>115</v>
      </c>
      <c r="E3348" s="12" t="s">
        <v>5332</v>
      </c>
      <c r="F3348" s="12" t="s">
        <v>5328</v>
      </c>
      <c r="G3348" s="12" t="s">
        <v>11085</v>
      </c>
      <c r="H3348" s="12">
        <v>156163</v>
      </c>
    </row>
    <row r="3349" spans="1:8">
      <c r="A3349" s="12" t="s">
        <v>11086</v>
      </c>
      <c r="B3349" s="13"/>
      <c r="C3349" s="16"/>
      <c r="D3349" s="12"/>
      <c r="E3349" s="12"/>
      <c r="F3349" s="12"/>
      <c r="G3349" s="12"/>
      <c r="H3349" s="12"/>
    </row>
    <row r="3350" spans="1:8">
      <c r="A3350" s="12" t="s">
        <v>11084</v>
      </c>
      <c r="B3350" s="13">
        <v>1.1100000000000001</v>
      </c>
      <c r="C3350" s="16" t="s">
        <v>5331</v>
      </c>
      <c r="D3350" s="12">
        <v>46</v>
      </c>
      <c r="E3350" s="12" t="s">
        <v>5332</v>
      </c>
      <c r="F3350" s="12" t="s">
        <v>5328</v>
      </c>
      <c r="G3350" s="12" t="s">
        <v>11087</v>
      </c>
      <c r="H3350" s="12">
        <v>156165</v>
      </c>
    </row>
    <row r="3351" spans="1:8">
      <c r="A3351" s="12" t="s">
        <v>11088</v>
      </c>
      <c r="B3351" s="13">
        <v>0.97</v>
      </c>
      <c r="C3351" s="16" t="s">
        <v>5331</v>
      </c>
      <c r="D3351" s="12">
        <v>343</v>
      </c>
      <c r="E3351" s="12" t="s">
        <v>5332</v>
      </c>
      <c r="F3351" s="12" t="s">
        <v>5328</v>
      </c>
      <c r="G3351" s="12" t="s">
        <v>11089</v>
      </c>
      <c r="H3351" s="12">
        <v>264942</v>
      </c>
    </row>
    <row r="3352" spans="1:8">
      <c r="A3352" s="12" t="s">
        <v>11090</v>
      </c>
      <c r="B3352" s="13">
        <v>0.41</v>
      </c>
      <c r="C3352" s="16" t="s">
        <v>5331</v>
      </c>
      <c r="D3352" s="12">
        <v>137.19999999999999</v>
      </c>
      <c r="E3352" s="12" t="s">
        <v>5332</v>
      </c>
      <c r="F3352" s="12" t="s">
        <v>5328</v>
      </c>
      <c r="G3352" s="12" t="s">
        <v>11091</v>
      </c>
      <c r="H3352" s="12">
        <v>265042</v>
      </c>
    </row>
    <row r="3353" spans="1:8">
      <c r="A3353" s="12" t="s">
        <v>11092</v>
      </c>
      <c r="B3353" s="13">
        <v>0.48</v>
      </c>
      <c r="C3353" s="16" t="s">
        <v>5331</v>
      </c>
      <c r="D3353" s="12">
        <v>394</v>
      </c>
      <c r="E3353" s="12" t="s">
        <v>5332</v>
      </c>
      <c r="F3353" s="12" t="s">
        <v>5328</v>
      </c>
      <c r="G3353" s="12" t="s">
        <v>11093</v>
      </c>
      <c r="H3353" s="12">
        <v>209760</v>
      </c>
    </row>
    <row r="3354" spans="1:8">
      <c r="A3354" s="12" t="s">
        <v>11094</v>
      </c>
      <c r="B3354" s="13">
        <v>0.13</v>
      </c>
      <c r="C3354" s="16" t="s">
        <v>5331</v>
      </c>
      <c r="D3354" s="12">
        <v>158</v>
      </c>
      <c r="E3354" s="12" t="s">
        <v>5332</v>
      </c>
      <c r="F3354" s="12" t="s">
        <v>5328</v>
      </c>
      <c r="G3354" s="12" t="s">
        <v>11095</v>
      </c>
      <c r="H3354" s="12">
        <v>209761</v>
      </c>
    </row>
    <row r="3355" spans="1:8">
      <c r="A3355" s="12" t="s">
        <v>11096</v>
      </c>
      <c r="B3355" s="13">
        <v>4.6100000000000003</v>
      </c>
      <c r="C3355" s="16" t="s">
        <v>5331</v>
      </c>
      <c r="D3355" s="12">
        <v>414</v>
      </c>
      <c r="E3355" s="12" t="s">
        <v>5332</v>
      </c>
      <c r="F3355" s="12" t="s">
        <v>5328</v>
      </c>
      <c r="G3355" s="12" t="s">
        <v>11097</v>
      </c>
      <c r="H3355" s="12">
        <v>193213</v>
      </c>
    </row>
    <row r="3356" spans="1:8">
      <c r="A3356" s="12" t="s">
        <v>11098</v>
      </c>
      <c r="B3356" s="13"/>
      <c r="C3356" s="16"/>
      <c r="D3356" s="12"/>
      <c r="E3356" s="12"/>
      <c r="F3356" s="12"/>
      <c r="G3356" s="12"/>
      <c r="H3356" s="12"/>
    </row>
    <row r="3357" spans="1:8">
      <c r="A3357" s="12" t="s">
        <v>11096</v>
      </c>
      <c r="B3357" s="13">
        <v>1.17</v>
      </c>
      <c r="C3357" s="16" t="s">
        <v>5331</v>
      </c>
      <c r="D3357" s="12">
        <v>165.6</v>
      </c>
      <c r="E3357" s="12" t="s">
        <v>5332</v>
      </c>
      <c r="F3357" s="12" t="s">
        <v>5328</v>
      </c>
      <c r="G3357" s="12" t="s">
        <v>11099</v>
      </c>
      <c r="H3357" s="12">
        <v>193214</v>
      </c>
    </row>
    <row r="3358" spans="1:8">
      <c r="A3358" s="12" t="s">
        <v>11100</v>
      </c>
      <c r="B3358" s="13">
        <v>11.15</v>
      </c>
      <c r="C3358" s="16" t="s">
        <v>5331</v>
      </c>
      <c r="D3358" s="12">
        <v>343</v>
      </c>
      <c r="E3358" s="12" t="s">
        <v>5332</v>
      </c>
      <c r="F3358" s="12" t="s">
        <v>5328</v>
      </c>
      <c r="G3358" s="12" t="s">
        <v>11101</v>
      </c>
      <c r="H3358" s="12">
        <v>156158</v>
      </c>
    </row>
    <row r="3359" spans="1:8">
      <c r="A3359" s="12" t="s">
        <v>11102</v>
      </c>
      <c r="B3359" s="13"/>
      <c r="C3359" s="16"/>
      <c r="D3359" s="12"/>
      <c r="E3359" s="12"/>
      <c r="F3359" s="12"/>
      <c r="G3359" s="12"/>
      <c r="H3359" s="12"/>
    </row>
    <row r="3360" spans="1:8">
      <c r="A3360" s="12" t="s">
        <v>11103</v>
      </c>
      <c r="B3360" s="13"/>
      <c r="C3360" s="16"/>
      <c r="D3360" s="12"/>
      <c r="E3360" s="12"/>
      <c r="F3360" s="12"/>
      <c r="G3360" s="12"/>
      <c r="H3360" s="12"/>
    </row>
    <row r="3361" spans="1:8">
      <c r="A3361" s="12" t="s">
        <v>11100</v>
      </c>
      <c r="B3361" s="13">
        <v>3.04</v>
      </c>
      <c r="C3361" s="16" t="s">
        <v>5331</v>
      </c>
      <c r="D3361" s="12">
        <v>138</v>
      </c>
      <c r="E3361" s="12" t="s">
        <v>5332</v>
      </c>
      <c r="F3361" s="12" t="s">
        <v>5328</v>
      </c>
      <c r="G3361" s="12" t="s">
        <v>11104</v>
      </c>
      <c r="H3361" s="12">
        <v>156336</v>
      </c>
    </row>
    <row r="3362" spans="1:8">
      <c r="A3362" s="12" t="s">
        <v>11105</v>
      </c>
      <c r="B3362" s="13">
        <v>40.159999999999997</v>
      </c>
      <c r="C3362" s="16" t="s">
        <v>5331</v>
      </c>
      <c r="D3362" s="12">
        <v>486</v>
      </c>
      <c r="E3362" s="12" t="s">
        <v>5332</v>
      </c>
      <c r="F3362" s="12" t="s">
        <v>5328</v>
      </c>
      <c r="G3362" s="12" t="s">
        <v>11106</v>
      </c>
      <c r="H3362" s="12">
        <v>156239</v>
      </c>
    </row>
    <row r="3363" spans="1:8">
      <c r="A3363" s="12" t="s">
        <v>11107</v>
      </c>
      <c r="B3363" s="13"/>
      <c r="C3363" s="16"/>
      <c r="D3363" s="12"/>
      <c r="E3363" s="12"/>
      <c r="F3363" s="12"/>
      <c r="G3363" s="12"/>
      <c r="H3363" s="12"/>
    </row>
    <row r="3364" spans="1:8">
      <c r="A3364" s="12" t="s">
        <v>11105</v>
      </c>
      <c r="B3364" s="13">
        <v>10.27</v>
      </c>
      <c r="C3364" s="16" t="s">
        <v>5331</v>
      </c>
      <c r="D3364" s="12">
        <v>194</v>
      </c>
      <c r="E3364" s="12" t="s">
        <v>5332</v>
      </c>
      <c r="F3364" s="12" t="s">
        <v>5328</v>
      </c>
      <c r="G3364" s="12" t="s">
        <v>11108</v>
      </c>
      <c r="H3364" s="12">
        <v>156240</v>
      </c>
    </row>
    <row r="3365" spans="1:8">
      <c r="A3365" s="12" t="s">
        <v>11109</v>
      </c>
      <c r="B3365" s="13">
        <v>10.58</v>
      </c>
      <c r="C3365" s="16" t="s">
        <v>5331</v>
      </c>
      <c r="D3365" s="12">
        <v>324</v>
      </c>
      <c r="E3365" s="12" t="s">
        <v>5332</v>
      </c>
      <c r="F3365" s="12" t="s">
        <v>5328</v>
      </c>
      <c r="G3365" s="12" t="s">
        <v>11110</v>
      </c>
      <c r="H3365" s="12">
        <v>156242</v>
      </c>
    </row>
    <row r="3366" spans="1:8">
      <c r="A3366" s="12" t="s">
        <v>11109</v>
      </c>
      <c r="B3366" s="13">
        <v>2.88</v>
      </c>
      <c r="C3366" s="16" t="s">
        <v>5331</v>
      </c>
      <c r="D3366" s="12">
        <v>177</v>
      </c>
      <c r="E3366" s="12" t="s">
        <v>5332</v>
      </c>
      <c r="F3366" s="12" t="s">
        <v>5328</v>
      </c>
      <c r="G3366" s="12" t="s">
        <v>11111</v>
      </c>
      <c r="H3366" s="12">
        <v>156245</v>
      </c>
    </row>
    <row r="3367" spans="1:8">
      <c r="A3367" s="12" t="s">
        <v>11112</v>
      </c>
      <c r="B3367" s="13">
        <v>11.93</v>
      </c>
      <c r="C3367" s="16" t="s">
        <v>5331</v>
      </c>
      <c r="D3367" s="12">
        <v>431</v>
      </c>
      <c r="E3367" s="12" t="s">
        <v>5332</v>
      </c>
      <c r="F3367" s="12" t="s">
        <v>5328</v>
      </c>
      <c r="G3367" s="12" t="s">
        <v>11113</v>
      </c>
      <c r="H3367" s="12">
        <v>161487</v>
      </c>
    </row>
    <row r="3368" spans="1:8">
      <c r="A3368" s="12" t="s">
        <v>11114</v>
      </c>
      <c r="B3368" s="13"/>
      <c r="C3368" s="16"/>
      <c r="D3368" s="12"/>
      <c r="E3368" s="12"/>
      <c r="F3368" s="12"/>
      <c r="G3368" s="12"/>
      <c r="H3368" s="12"/>
    </row>
    <row r="3369" spans="1:8">
      <c r="A3369" s="12" t="s">
        <v>11112</v>
      </c>
      <c r="B3369" s="13">
        <v>3.24</v>
      </c>
      <c r="C3369" s="16" t="s">
        <v>5331</v>
      </c>
      <c r="D3369" s="12">
        <v>168</v>
      </c>
      <c r="E3369" s="12" t="s">
        <v>5332</v>
      </c>
      <c r="F3369" s="12" t="s">
        <v>5328</v>
      </c>
      <c r="G3369" s="12" t="s">
        <v>11115</v>
      </c>
      <c r="H3369" s="12">
        <v>161488</v>
      </c>
    </row>
    <row r="3370" spans="1:8">
      <c r="A3370" s="12" t="s">
        <v>11116</v>
      </c>
      <c r="B3370" s="13">
        <v>3.26</v>
      </c>
      <c r="C3370" s="16" t="s">
        <v>5331</v>
      </c>
      <c r="D3370" s="12">
        <v>486</v>
      </c>
      <c r="E3370" s="12" t="s">
        <v>5332</v>
      </c>
      <c r="F3370" s="12" t="s">
        <v>5328</v>
      </c>
      <c r="G3370" s="12" t="s">
        <v>11117</v>
      </c>
      <c r="H3370" s="12">
        <v>156161</v>
      </c>
    </row>
    <row r="3371" spans="1:8">
      <c r="A3371" s="12" t="s">
        <v>11118</v>
      </c>
      <c r="B3371" s="13"/>
      <c r="C3371" s="16"/>
      <c r="D3371" s="12"/>
      <c r="E3371" s="12"/>
      <c r="F3371" s="12"/>
      <c r="G3371" s="12"/>
      <c r="H3371" s="12"/>
    </row>
    <row r="3372" spans="1:8">
      <c r="A3372" s="12" t="s">
        <v>11116</v>
      </c>
      <c r="B3372" s="13">
        <v>0.89</v>
      </c>
      <c r="C3372" s="16" t="s">
        <v>5331</v>
      </c>
      <c r="D3372" s="12">
        <v>194</v>
      </c>
      <c r="E3372" s="12" t="s">
        <v>5332</v>
      </c>
      <c r="F3372" s="12" t="s">
        <v>5328</v>
      </c>
      <c r="G3372" s="12" t="s">
        <v>11119</v>
      </c>
      <c r="H3372" s="12">
        <v>156162</v>
      </c>
    </row>
    <row r="3373" spans="1:8">
      <c r="A3373" s="12" t="s">
        <v>11120</v>
      </c>
      <c r="B3373" s="13">
        <v>106.96</v>
      </c>
      <c r="C3373" s="16" t="s">
        <v>5331</v>
      </c>
      <c r="D3373" s="12">
        <v>546</v>
      </c>
      <c r="E3373" s="12" t="s">
        <v>5332</v>
      </c>
      <c r="F3373" s="12" t="s">
        <v>5328</v>
      </c>
      <c r="G3373" s="12" t="s">
        <v>11121</v>
      </c>
      <c r="H3373" s="12">
        <v>161023</v>
      </c>
    </row>
    <row r="3374" spans="1:8">
      <c r="A3374" s="12" t="s">
        <v>11120</v>
      </c>
      <c r="B3374" s="13">
        <v>2.91</v>
      </c>
      <c r="C3374" s="16" t="s">
        <v>5331</v>
      </c>
      <c r="D3374" s="12">
        <v>210</v>
      </c>
      <c r="E3374" s="12" t="s">
        <v>5332</v>
      </c>
      <c r="F3374" s="12" t="s">
        <v>5328</v>
      </c>
      <c r="G3374" s="12" t="s">
        <v>11122</v>
      </c>
      <c r="H3374" s="12">
        <v>161024</v>
      </c>
    </row>
    <row r="3375" spans="1:8">
      <c r="A3375" s="12" t="s">
        <v>11123</v>
      </c>
      <c r="B3375" s="13">
        <v>43.01</v>
      </c>
      <c r="C3375" s="16" t="s">
        <v>5331</v>
      </c>
      <c r="D3375" s="12">
        <v>359</v>
      </c>
      <c r="E3375" s="12" t="s">
        <v>5332</v>
      </c>
      <c r="F3375" s="12" t="s">
        <v>5328</v>
      </c>
      <c r="G3375" s="12" t="s">
        <v>11124</v>
      </c>
      <c r="H3375" s="12">
        <v>161028</v>
      </c>
    </row>
    <row r="3376" spans="1:8">
      <c r="A3376" s="12" t="s">
        <v>11125</v>
      </c>
      <c r="B3376" s="13">
        <v>11.7</v>
      </c>
      <c r="C3376" s="16" t="s">
        <v>5331</v>
      </c>
      <c r="D3376" s="12">
        <v>136</v>
      </c>
      <c r="E3376" s="12" t="s">
        <v>5332</v>
      </c>
      <c r="F3376" s="12" t="s">
        <v>5328</v>
      </c>
      <c r="G3376" s="12" t="s">
        <v>11126</v>
      </c>
      <c r="H3376" s="12">
        <v>161029</v>
      </c>
    </row>
    <row r="3377" spans="1:8">
      <c r="A3377" s="12" t="s">
        <v>11127</v>
      </c>
      <c r="B3377" s="13">
        <v>6.75</v>
      </c>
      <c r="C3377" s="16" t="s">
        <v>5331</v>
      </c>
      <c r="D3377" s="12">
        <v>453</v>
      </c>
      <c r="E3377" s="12" t="s">
        <v>5332</v>
      </c>
      <c r="F3377" s="12" t="s">
        <v>5328</v>
      </c>
      <c r="G3377" s="12" t="s">
        <v>11128</v>
      </c>
      <c r="H3377" s="12">
        <v>184449</v>
      </c>
    </row>
    <row r="3378" spans="1:8">
      <c r="A3378" s="12" t="s">
        <v>11129</v>
      </c>
      <c r="B3378" s="13">
        <v>1.84</v>
      </c>
      <c r="C3378" s="16" t="s">
        <v>5331</v>
      </c>
      <c r="D3378" s="12">
        <v>177</v>
      </c>
      <c r="E3378" s="12" t="s">
        <v>5332</v>
      </c>
      <c r="F3378" s="12" t="s">
        <v>5328</v>
      </c>
      <c r="G3378" s="12" t="s">
        <v>11130</v>
      </c>
      <c r="H3378" s="12">
        <v>184450</v>
      </c>
    </row>
    <row r="3379" spans="1:8">
      <c r="A3379" s="12" t="s">
        <v>11131</v>
      </c>
      <c r="B3379" s="13">
        <v>171.39</v>
      </c>
      <c r="C3379" s="16" t="s">
        <v>5331</v>
      </c>
      <c r="D3379" s="12">
        <v>304</v>
      </c>
      <c r="E3379" s="12" t="s">
        <v>5332</v>
      </c>
      <c r="F3379" s="12" t="s">
        <v>5328</v>
      </c>
      <c r="G3379" s="12" t="s">
        <v>11132</v>
      </c>
      <c r="H3379" s="12">
        <v>188719</v>
      </c>
    </row>
    <row r="3380" spans="1:8">
      <c r="A3380" s="12" t="s">
        <v>11133</v>
      </c>
      <c r="B3380" s="13"/>
      <c r="C3380" s="16"/>
      <c r="D3380" s="12"/>
      <c r="E3380" s="12"/>
      <c r="F3380" s="12"/>
      <c r="G3380" s="12"/>
      <c r="H3380" s="12"/>
    </row>
    <row r="3381" spans="1:8">
      <c r="A3381" s="12" t="s">
        <v>11134</v>
      </c>
      <c r="B3381" s="13">
        <v>0</v>
      </c>
      <c r="C3381" s="16" t="s">
        <v>5331</v>
      </c>
      <c r="D3381" s="12">
        <v>375</v>
      </c>
      <c r="E3381" s="12" t="s">
        <v>5332</v>
      </c>
      <c r="F3381" s="12" t="s">
        <v>5328</v>
      </c>
      <c r="G3381" s="12" t="s">
        <v>11135</v>
      </c>
      <c r="H3381" s="12">
        <v>187626</v>
      </c>
    </row>
    <row r="3382" spans="1:8">
      <c r="A3382" s="12" t="s">
        <v>11136</v>
      </c>
      <c r="B3382" s="13"/>
      <c r="C3382" s="16"/>
      <c r="D3382" s="12"/>
      <c r="E3382" s="12"/>
      <c r="F3382" s="12"/>
      <c r="G3382" s="12"/>
      <c r="H3382" s="12"/>
    </row>
    <row r="3383" spans="1:8">
      <c r="A3383" s="12" t="s">
        <v>11131</v>
      </c>
      <c r="B3383" s="13">
        <v>46.59</v>
      </c>
      <c r="C3383" s="16" t="s">
        <v>5331</v>
      </c>
      <c r="D3383" s="12">
        <v>166</v>
      </c>
      <c r="E3383" s="12" t="s">
        <v>5332</v>
      </c>
      <c r="F3383" s="12" t="s">
        <v>5328</v>
      </c>
      <c r="G3383" s="12" t="s">
        <v>11137</v>
      </c>
      <c r="H3383" s="12">
        <v>188720</v>
      </c>
    </row>
    <row r="3384" spans="1:8">
      <c r="A3384" s="12" t="s">
        <v>11134</v>
      </c>
      <c r="B3384" s="13">
        <v>0</v>
      </c>
      <c r="C3384" s="16" t="s">
        <v>5331</v>
      </c>
      <c r="D3384" s="12">
        <v>150</v>
      </c>
      <c r="E3384" s="12" t="s">
        <v>5332</v>
      </c>
      <c r="F3384" s="12" t="s">
        <v>5328</v>
      </c>
      <c r="G3384" s="12" t="s">
        <v>11138</v>
      </c>
      <c r="H3384" s="12">
        <v>187723</v>
      </c>
    </row>
    <row r="3385" spans="1:8">
      <c r="A3385" s="12" t="s">
        <v>11139</v>
      </c>
      <c r="B3385" s="13">
        <v>105.13</v>
      </c>
      <c r="C3385" s="16" t="s">
        <v>5331</v>
      </c>
      <c r="D3385" s="12">
        <v>389</v>
      </c>
      <c r="E3385" s="12" t="s">
        <v>5332</v>
      </c>
      <c r="F3385" s="12" t="s">
        <v>5328</v>
      </c>
      <c r="G3385" s="12" t="s">
        <v>11140</v>
      </c>
      <c r="H3385" s="12">
        <v>188818</v>
      </c>
    </row>
    <row r="3386" spans="1:8">
      <c r="A3386" s="12" t="s">
        <v>11141</v>
      </c>
      <c r="B3386" s="13"/>
      <c r="C3386" s="16"/>
      <c r="D3386" s="12"/>
      <c r="E3386" s="12"/>
      <c r="F3386" s="12"/>
      <c r="G3386" s="12"/>
      <c r="H3386" s="12"/>
    </row>
    <row r="3387" spans="1:8">
      <c r="A3387" s="12" t="s">
        <v>11142</v>
      </c>
      <c r="B3387" s="13"/>
      <c r="C3387" s="16"/>
      <c r="D3387" s="12"/>
      <c r="E3387" s="12"/>
      <c r="F3387" s="12"/>
      <c r="G3387" s="12"/>
      <c r="H3387" s="12"/>
    </row>
    <row r="3388" spans="1:8">
      <c r="A3388" s="12" t="s">
        <v>11139</v>
      </c>
      <c r="B3388" s="13">
        <v>0</v>
      </c>
      <c r="C3388" s="16" t="s">
        <v>5331</v>
      </c>
      <c r="D3388" s="12">
        <v>410</v>
      </c>
      <c r="E3388" s="12" t="s">
        <v>5332</v>
      </c>
      <c r="F3388" s="12" t="s">
        <v>5328</v>
      </c>
      <c r="G3388" s="12" t="s">
        <v>11143</v>
      </c>
      <c r="H3388" s="12">
        <v>187437</v>
      </c>
    </row>
    <row r="3389" spans="1:8">
      <c r="A3389" s="12" t="s">
        <v>11144</v>
      </c>
      <c r="B3389" s="13">
        <v>28.58</v>
      </c>
      <c r="C3389" s="16" t="s">
        <v>5331</v>
      </c>
      <c r="D3389" s="12">
        <v>177</v>
      </c>
      <c r="E3389" s="12" t="s">
        <v>5332</v>
      </c>
      <c r="F3389" s="12" t="s">
        <v>5328</v>
      </c>
      <c r="G3389" s="12" t="s">
        <v>11145</v>
      </c>
      <c r="H3389" s="12">
        <v>188918</v>
      </c>
    </row>
    <row r="3390" spans="1:8">
      <c r="A3390" s="12" t="s">
        <v>11146</v>
      </c>
      <c r="B3390" s="13"/>
      <c r="C3390" s="16"/>
      <c r="D3390" s="12"/>
      <c r="E3390" s="12"/>
      <c r="F3390" s="12"/>
      <c r="G3390" s="12"/>
      <c r="H3390" s="12"/>
    </row>
    <row r="3391" spans="1:8">
      <c r="A3391" s="12" t="s">
        <v>11144</v>
      </c>
      <c r="B3391" s="13">
        <v>0</v>
      </c>
      <c r="C3391" s="16" t="s">
        <v>5331</v>
      </c>
      <c r="D3391" s="12">
        <v>160</v>
      </c>
      <c r="E3391" s="12" t="s">
        <v>5332</v>
      </c>
      <c r="F3391" s="12" t="s">
        <v>5328</v>
      </c>
      <c r="G3391" s="12" t="s">
        <v>11147</v>
      </c>
      <c r="H3391" s="12">
        <v>187438</v>
      </c>
    </row>
    <row r="3392" spans="1:8">
      <c r="A3392" s="12" t="s">
        <v>11148</v>
      </c>
      <c r="B3392" s="13">
        <v>88.97</v>
      </c>
      <c r="C3392" s="16" t="s">
        <v>5331</v>
      </c>
      <c r="D3392" s="12">
        <v>478</v>
      </c>
      <c r="E3392" s="12" t="s">
        <v>5332</v>
      </c>
      <c r="F3392" s="12" t="s">
        <v>5328</v>
      </c>
      <c r="G3392" s="12" t="s">
        <v>11149</v>
      </c>
      <c r="H3392" s="12">
        <v>193113</v>
      </c>
    </row>
    <row r="3393" spans="1:8">
      <c r="A3393" s="12" t="s">
        <v>11150</v>
      </c>
      <c r="B3393" s="13">
        <v>22.65</v>
      </c>
      <c r="C3393" s="16" t="s">
        <v>5331</v>
      </c>
      <c r="D3393" s="12">
        <v>191.2</v>
      </c>
      <c r="E3393" s="12" t="s">
        <v>5332</v>
      </c>
      <c r="F3393" s="12" t="s">
        <v>5328</v>
      </c>
      <c r="G3393" s="12" t="s">
        <v>11151</v>
      </c>
      <c r="H3393" s="12">
        <v>193114</v>
      </c>
    </row>
    <row r="3394" spans="1:8">
      <c r="A3394" s="12" t="s">
        <v>11152</v>
      </c>
      <c r="B3394" s="13">
        <v>50.8</v>
      </c>
      <c r="C3394" s="16" t="s">
        <v>5331</v>
      </c>
      <c r="D3394" s="12">
        <v>343</v>
      </c>
      <c r="E3394" s="12" t="s">
        <v>5332</v>
      </c>
      <c r="F3394" s="12" t="s">
        <v>5328</v>
      </c>
      <c r="G3394" s="12" t="s">
        <v>11153</v>
      </c>
      <c r="H3394" s="12">
        <v>193311</v>
      </c>
    </row>
    <row r="3395" spans="1:8">
      <c r="A3395" s="12" t="s">
        <v>11154</v>
      </c>
      <c r="B3395" s="13">
        <v>12.93</v>
      </c>
      <c r="C3395" s="16" t="s">
        <v>5331</v>
      </c>
      <c r="D3395" s="12">
        <v>137.19999999999999</v>
      </c>
      <c r="E3395" s="12" t="s">
        <v>5332</v>
      </c>
      <c r="F3395" s="12" t="s">
        <v>5328</v>
      </c>
      <c r="G3395" s="12" t="s">
        <v>11155</v>
      </c>
      <c r="H3395" s="12">
        <v>193115</v>
      </c>
    </row>
    <row r="3396" spans="1:8">
      <c r="A3396" s="12" t="s">
        <v>11156</v>
      </c>
      <c r="B3396" s="13">
        <v>0</v>
      </c>
      <c r="C3396" s="16" t="s">
        <v>5331</v>
      </c>
      <c r="D3396" s="12">
        <v>410</v>
      </c>
      <c r="E3396" s="12" t="s">
        <v>5332</v>
      </c>
      <c r="F3396" s="12" t="s">
        <v>5328</v>
      </c>
      <c r="G3396" s="12" t="s">
        <v>11157</v>
      </c>
      <c r="H3396" s="12">
        <v>193116</v>
      </c>
    </row>
    <row r="3397" spans="1:8">
      <c r="A3397" s="12" t="s">
        <v>11158</v>
      </c>
      <c r="B3397" s="13">
        <v>38.1</v>
      </c>
      <c r="C3397" s="16" t="s">
        <v>5331</v>
      </c>
      <c r="D3397" s="12">
        <v>164</v>
      </c>
      <c r="E3397" s="12" t="s">
        <v>5332</v>
      </c>
      <c r="F3397" s="12" t="s">
        <v>5328</v>
      </c>
      <c r="G3397" s="12" t="s">
        <v>11159</v>
      </c>
      <c r="H3397" s="12">
        <v>193117</v>
      </c>
    </row>
    <row r="3398" spans="1:8">
      <c r="A3398" s="12" t="s">
        <v>11160</v>
      </c>
      <c r="B3398" s="13">
        <v>153.62</v>
      </c>
      <c r="C3398" s="16" t="s">
        <v>5331</v>
      </c>
      <c r="D3398" s="12">
        <v>368</v>
      </c>
      <c r="E3398" s="12" t="s">
        <v>5332</v>
      </c>
      <c r="F3398" s="12" t="s">
        <v>5328</v>
      </c>
      <c r="G3398" s="12" t="s">
        <v>11161</v>
      </c>
      <c r="H3398" s="12">
        <v>193120</v>
      </c>
    </row>
    <row r="3399" spans="1:8">
      <c r="A3399" s="12" t="s">
        <v>11162</v>
      </c>
      <c r="B3399" s="13">
        <v>38.409999999999997</v>
      </c>
      <c r="C3399" s="16" t="s">
        <v>5331</v>
      </c>
      <c r="D3399" s="12">
        <v>147.19999999999999</v>
      </c>
      <c r="E3399" s="12" t="s">
        <v>5332</v>
      </c>
      <c r="F3399" s="12" t="s">
        <v>5328</v>
      </c>
      <c r="G3399" s="12" t="s">
        <v>11163</v>
      </c>
      <c r="H3399" s="12">
        <v>193121</v>
      </c>
    </row>
    <row r="3400" spans="1:8">
      <c r="A3400" s="12" t="s">
        <v>11164</v>
      </c>
      <c r="B3400" s="13">
        <v>0</v>
      </c>
      <c r="C3400" s="16" t="s">
        <v>5331</v>
      </c>
      <c r="D3400" s="12">
        <v>486</v>
      </c>
      <c r="E3400" s="12" t="s">
        <v>5332</v>
      </c>
      <c r="F3400" s="12" t="s">
        <v>5328</v>
      </c>
      <c r="G3400" s="12" t="s">
        <v>11165</v>
      </c>
      <c r="H3400" s="12">
        <v>193122</v>
      </c>
    </row>
    <row r="3401" spans="1:8">
      <c r="A3401" s="12" t="s">
        <v>11166</v>
      </c>
      <c r="B3401" s="13">
        <v>111.47</v>
      </c>
      <c r="C3401" s="16" t="s">
        <v>5331</v>
      </c>
      <c r="D3401" s="12">
        <v>194</v>
      </c>
      <c r="E3401" s="12" t="s">
        <v>5332</v>
      </c>
      <c r="F3401" s="12" t="s">
        <v>5328</v>
      </c>
      <c r="G3401" s="12" t="s">
        <v>11167</v>
      </c>
      <c r="H3401" s="12">
        <v>193123</v>
      </c>
    </row>
    <row r="3402" spans="1:8">
      <c r="A3402" s="12" t="s">
        <v>11168</v>
      </c>
      <c r="B3402" s="13">
        <v>41.42</v>
      </c>
      <c r="C3402" s="16" t="s">
        <v>5331</v>
      </c>
      <c r="D3402" s="12">
        <v>520</v>
      </c>
      <c r="E3402" s="12" t="s">
        <v>5332</v>
      </c>
      <c r="F3402" s="12" t="s">
        <v>5328</v>
      </c>
      <c r="G3402" s="12" t="s">
        <v>11169</v>
      </c>
      <c r="H3402" s="12">
        <v>193124</v>
      </c>
    </row>
    <row r="3403" spans="1:8">
      <c r="A3403" s="12" t="s">
        <v>11170</v>
      </c>
      <c r="B3403" s="13">
        <v>9.0399999999999991</v>
      </c>
      <c r="C3403" s="16" t="s">
        <v>5331</v>
      </c>
      <c r="D3403" s="12">
        <v>208</v>
      </c>
      <c r="E3403" s="12" t="s">
        <v>5332</v>
      </c>
      <c r="F3403" s="12" t="s">
        <v>5328</v>
      </c>
      <c r="G3403" s="12" t="s">
        <v>11171</v>
      </c>
      <c r="H3403" s="12">
        <v>193125</v>
      </c>
    </row>
    <row r="3404" spans="1:8">
      <c r="A3404" s="12" t="s">
        <v>11172</v>
      </c>
      <c r="B3404" s="13">
        <v>4.88</v>
      </c>
      <c r="C3404" s="16" t="s">
        <v>5331</v>
      </c>
      <c r="D3404" s="12">
        <v>478</v>
      </c>
      <c r="E3404" s="12" t="s">
        <v>5332</v>
      </c>
      <c r="F3404" s="12" t="s">
        <v>5328</v>
      </c>
      <c r="G3404" s="12" t="s">
        <v>11173</v>
      </c>
      <c r="H3404" s="12">
        <v>193127</v>
      </c>
    </row>
    <row r="3405" spans="1:8">
      <c r="A3405" s="12" t="s">
        <v>11174</v>
      </c>
      <c r="B3405" s="13">
        <v>1.17</v>
      </c>
      <c r="C3405" s="16" t="s">
        <v>5331</v>
      </c>
      <c r="D3405" s="12">
        <v>191.2</v>
      </c>
      <c r="E3405" s="12" t="s">
        <v>5332</v>
      </c>
      <c r="F3405" s="12" t="s">
        <v>5328</v>
      </c>
      <c r="G3405" s="12" t="s">
        <v>11175</v>
      </c>
      <c r="H3405" s="12">
        <v>193128</v>
      </c>
    </row>
    <row r="3406" spans="1:8">
      <c r="A3406" s="12" t="s">
        <v>11176</v>
      </c>
      <c r="B3406" s="13">
        <v>0</v>
      </c>
      <c r="C3406" s="16" t="s">
        <v>5331</v>
      </c>
      <c r="D3406" s="12">
        <v>453</v>
      </c>
      <c r="E3406" s="12" t="s">
        <v>5332</v>
      </c>
      <c r="F3406" s="12" t="s">
        <v>5328</v>
      </c>
      <c r="G3406" s="12" t="s">
        <v>11177</v>
      </c>
      <c r="H3406" s="12">
        <v>193129</v>
      </c>
    </row>
    <row r="3407" spans="1:8">
      <c r="A3407" s="12" t="s">
        <v>11178</v>
      </c>
      <c r="B3407" s="13">
        <v>5.56</v>
      </c>
      <c r="C3407" s="16" t="s">
        <v>5331</v>
      </c>
      <c r="D3407" s="12">
        <v>181.2</v>
      </c>
      <c r="E3407" s="12" t="s">
        <v>5332</v>
      </c>
      <c r="F3407" s="12" t="s">
        <v>5328</v>
      </c>
      <c r="G3407" s="12" t="s">
        <v>11179</v>
      </c>
      <c r="H3407" s="12">
        <v>193130</v>
      </c>
    </row>
    <row r="3408" spans="1:8">
      <c r="A3408" s="12" t="s">
        <v>11180</v>
      </c>
      <c r="B3408" s="13">
        <v>0.9</v>
      </c>
      <c r="C3408" s="16" t="s">
        <v>5331</v>
      </c>
      <c r="D3408" s="12">
        <v>270</v>
      </c>
      <c r="E3408" s="12" t="s">
        <v>5332</v>
      </c>
      <c r="F3408" s="12" t="s">
        <v>5328</v>
      </c>
      <c r="G3408" s="12" t="s">
        <v>11181</v>
      </c>
      <c r="H3408" s="12">
        <v>197883</v>
      </c>
    </row>
    <row r="3409" spans="1:8">
      <c r="A3409" s="12" t="s">
        <v>11182</v>
      </c>
      <c r="B3409" s="13">
        <v>0.22</v>
      </c>
      <c r="C3409" s="16" t="s">
        <v>5331</v>
      </c>
      <c r="D3409" s="12">
        <v>105</v>
      </c>
      <c r="E3409" s="12" t="s">
        <v>5332</v>
      </c>
      <c r="F3409" s="12" t="s">
        <v>5328</v>
      </c>
      <c r="G3409" s="12" t="s">
        <v>11183</v>
      </c>
      <c r="H3409" s="12">
        <v>197980</v>
      </c>
    </row>
    <row r="3410" spans="1:8">
      <c r="A3410" s="12" t="s">
        <v>11184</v>
      </c>
      <c r="B3410" s="13">
        <v>0.43</v>
      </c>
      <c r="C3410" s="16" t="s">
        <v>5331</v>
      </c>
      <c r="D3410" s="12">
        <v>233</v>
      </c>
      <c r="E3410" s="12" t="s">
        <v>5332</v>
      </c>
      <c r="F3410" s="12" t="s">
        <v>5328</v>
      </c>
      <c r="G3410" s="12" t="s">
        <v>11185</v>
      </c>
      <c r="H3410" s="12">
        <v>197884</v>
      </c>
    </row>
    <row r="3411" spans="1:8">
      <c r="A3411" s="12" t="s">
        <v>11186</v>
      </c>
      <c r="B3411" s="13">
        <v>0.11</v>
      </c>
      <c r="C3411" s="16" t="s">
        <v>5331</v>
      </c>
      <c r="D3411" s="12">
        <v>94</v>
      </c>
      <c r="E3411" s="12" t="s">
        <v>5332</v>
      </c>
      <c r="F3411" s="12" t="s">
        <v>5328</v>
      </c>
      <c r="G3411" s="12" t="s">
        <v>11187</v>
      </c>
      <c r="H3411" s="12">
        <v>197885</v>
      </c>
    </row>
    <row r="3412" spans="1:8">
      <c r="A3412" s="12" t="s">
        <v>11188</v>
      </c>
      <c r="B3412" s="13">
        <v>0.04</v>
      </c>
      <c r="C3412" s="16" t="s">
        <v>5331</v>
      </c>
      <c r="D3412" s="12">
        <v>248</v>
      </c>
      <c r="E3412" s="12" t="s">
        <v>5332</v>
      </c>
      <c r="F3412" s="12" t="s">
        <v>5328</v>
      </c>
      <c r="G3412" s="12" t="s">
        <v>11189</v>
      </c>
      <c r="H3412" s="12">
        <v>197886</v>
      </c>
    </row>
    <row r="3413" spans="1:8">
      <c r="A3413" s="12" t="s">
        <v>11190</v>
      </c>
      <c r="B3413" s="13">
        <v>0.01</v>
      </c>
      <c r="C3413" s="16" t="s">
        <v>5331</v>
      </c>
      <c r="D3413" s="12">
        <v>100</v>
      </c>
      <c r="E3413" s="12" t="s">
        <v>5332</v>
      </c>
      <c r="F3413" s="12" t="s">
        <v>5328</v>
      </c>
      <c r="G3413" s="12" t="s">
        <v>11191</v>
      </c>
      <c r="H3413" s="12">
        <v>197887</v>
      </c>
    </row>
    <row r="3414" spans="1:8">
      <c r="A3414" s="12" t="s">
        <v>11192</v>
      </c>
      <c r="B3414" s="13">
        <v>0.32</v>
      </c>
      <c r="C3414" s="16" t="s">
        <v>5331</v>
      </c>
      <c r="D3414" s="12">
        <v>269.85000000000002</v>
      </c>
      <c r="E3414" s="12" t="s">
        <v>5332</v>
      </c>
      <c r="F3414" s="12" t="s">
        <v>5328</v>
      </c>
      <c r="G3414" s="12" t="s">
        <v>11193</v>
      </c>
      <c r="H3414" s="12">
        <v>197888</v>
      </c>
    </row>
    <row r="3415" spans="1:8">
      <c r="A3415" s="12" t="s">
        <v>11194</v>
      </c>
      <c r="B3415" s="13">
        <v>0.08</v>
      </c>
      <c r="C3415" s="16" t="s">
        <v>5331</v>
      </c>
      <c r="D3415" s="12">
        <v>105</v>
      </c>
      <c r="E3415" s="12" t="s">
        <v>5332</v>
      </c>
      <c r="F3415" s="12" t="s">
        <v>5328</v>
      </c>
      <c r="G3415" s="12" t="s">
        <v>11195</v>
      </c>
      <c r="H3415" s="12">
        <v>197889</v>
      </c>
    </row>
    <row r="3416" spans="1:8">
      <c r="A3416" s="12" t="s">
        <v>11196</v>
      </c>
      <c r="B3416" s="13">
        <v>0.87</v>
      </c>
      <c r="C3416" s="16" t="s">
        <v>5331</v>
      </c>
      <c r="D3416" s="12">
        <v>204</v>
      </c>
      <c r="E3416" s="12" t="s">
        <v>5332</v>
      </c>
      <c r="F3416" s="12" t="s">
        <v>5328</v>
      </c>
      <c r="G3416" s="12" t="s">
        <v>11197</v>
      </c>
      <c r="H3416" s="12">
        <v>197890</v>
      </c>
    </row>
    <row r="3417" spans="1:8">
      <c r="A3417" s="12" t="s">
        <v>11198</v>
      </c>
      <c r="B3417" s="13">
        <v>0.22</v>
      </c>
      <c r="C3417" s="16" t="s">
        <v>5331</v>
      </c>
      <c r="D3417" s="12">
        <v>83</v>
      </c>
      <c r="E3417" s="12" t="s">
        <v>5332</v>
      </c>
      <c r="F3417" s="12" t="s">
        <v>5328</v>
      </c>
      <c r="G3417" s="12" t="s">
        <v>11199</v>
      </c>
      <c r="H3417" s="12">
        <v>197891</v>
      </c>
    </row>
    <row r="3418" spans="1:8">
      <c r="A3418" s="12" t="s">
        <v>11200</v>
      </c>
      <c r="B3418" s="13">
        <v>1.31</v>
      </c>
      <c r="C3418" s="16" t="s">
        <v>5331</v>
      </c>
      <c r="D3418" s="12">
        <v>270</v>
      </c>
      <c r="E3418" s="12" t="s">
        <v>5332</v>
      </c>
      <c r="F3418" s="12" t="s">
        <v>5328</v>
      </c>
      <c r="G3418" s="12" t="s">
        <v>11201</v>
      </c>
      <c r="H3418" s="12">
        <v>197892</v>
      </c>
    </row>
    <row r="3419" spans="1:8">
      <c r="A3419" s="12" t="s">
        <v>11202</v>
      </c>
      <c r="B3419" s="13">
        <v>0.31</v>
      </c>
      <c r="C3419" s="16" t="s">
        <v>5331</v>
      </c>
      <c r="D3419" s="12">
        <v>105</v>
      </c>
      <c r="E3419" s="12" t="s">
        <v>5332</v>
      </c>
      <c r="F3419" s="12" t="s">
        <v>5328</v>
      </c>
      <c r="G3419" s="12" t="s">
        <v>11203</v>
      </c>
      <c r="H3419" s="12">
        <v>197893</v>
      </c>
    </row>
    <row r="3420" spans="1:8">
      <c r="A3420" s="12" t="s">
        <v>11204</v>
      </c>
      <c r="B3420" s="13">
        <v>2.25</v>
      </c>
      <c r="C3420" s="16" t="s">
        <v>5331</v>
      </c>
      <c r="D3420" s="12">
        <v>462</v>
      </c>
      <c r="E3420" s="12" t="s">
        <v>5332</v>
      </c>
      <c r="F3420" s="12" t="s">
        <v>5328</v>
      </c>
      <c r="G3420" s="12" t="s">
        <v>11205</v>
      </c>
      <c r="H3420" s="12">
        <v>197894</v>
      </c>
    </row>
    <row r="3421" spans="1:8">
      <c r="A3421" s="12" t="s">
        <v>11206</v>
      </c>
      <c r="B3421" s="13">
        <v>0.53</v>
      </c>
      <c r="C3421" s="16" t="s">
        <v>5331</v>
      </c>
      <c r="D3421" s="12">
        <v>184</v>
      </c>
      <c r="E3421" s="12" t="s">
        <v>5332</v>
      </c>
      <c r="F3421" s="12" t="s">
        <v>5328</v>
      </c>
      <c r="G3421" s="12" t="s">
        <v>11207</v>
      </c>
      <c r="H3421" s="12">
        <v>197895</v>
      </c>
    </row>
    <row r="3422" spans="1:8">
      <c r="A3422" s="12" t="s">
        <v>11208</v>
      </c>
      <c r="B3422" s="13">
        <v>17.11</v>
      </c>
      <c r="C3422" s="16" t="s">
        <v>5331</v>
      </c>
      <c r="D3422" s="12">
        <v>314</v>
      </c>
      <c r="E3422" s="12" t="s">
        <v>5332</v>
      </c>
      <c r="F3422" s="12" t="s">
        <v>5328</v>
      </c>
      <c r="G3422" s="12" t="s">
        <v>11209</v>
      </c>
      <c r="H3422" s="12">
        <v>197896</v>
      </c>
    </row>
    <row r="3423" spans="1:8">
      <c r="A3423" s="12" t="s">
        <v>11210</v>
      </c>
      <c r="B3423" s="13">
        <v>4.26</v>
      </c>
      <c r="C3423" s="16" t="s">
        <v>5331</v>
      </c>
      <c r="D3423" s="12">
        <v>128</v>
      </c>
      <c r="E3423" s="12" t="s">
        <v>5332</v>
      </c>
      <c r="F3423" s="12" t="s">
        <v>5328</v>
      </c>
      <c r="G3423" s="12" t="s">
        <v>11211</v>
      </c>
      <c r="H3423" s="12">
        <v>197897</v>
      </c>
    </row>
    <row r="3424" spans="1:8">
      <c r="A3424" s="12" t="s">
        <v>11212</v>
      </c>
      <c r="B3424" s="13">
        <v>0.15</v>
      </c>
      <c r="C3424" s="16" t="s">
        <v>5331</v>
      </c>
      <c r="D3424" s="12">
        <v>248</v>
      </c>
      <c r="E3424" s="12" t="s">
        <v>5332</v>
      </c>
      <c r="F3424" s="12" t="s">
        <v>5328</v>
      </c>
      <c r="G3424" s="12" t="s">
        <v>11213</v>
      </c>
      <c r="H3424" s="12">
        <v>197900</v>
      </c>
    </row>
    <row r="3425" spans="1:8">
      <c r="A3425" s="12" t="s">
        <v>11214</v>
      </c>
      <c r="B3425" s="13">
        <v>0.04</v>
      </c>
      <c r="C3425" s="16" t="s">
        <v>5331</v>
      </c>
      <c r="D3425" s="12">
        <v>100</v>
      </c>
      <c r="E3425" s="12" t="s">
        <v>5332</v>
      </c>
      <c r="F3425" s="12" t="s">
        <v>5328</v>
      </c>
      <c r="G3425" s="12" t="s">
        <v>11215</v>
      </c>
      <c r="H3425" s="12">
        <v>197901</v>
      </c>
    </row>
    <row r="3426" spans="1:8">
      <c r="A3426" s="12" t="s">
        <v>11216</v>
      </c>
      <c r="B3426" s="13">
        <v>21.23</v>
      </c>
      <c r="C3426" s="16" t="s">
        <v>5331</v>
      </c>
      <c r="D3426" s="12">
        <v>326</v>
      </c>
      <c r="E3426" s="12" t="s">
        <v>5332</v>
      </c>
      <c r="F3426" s="12" t="s">
        <v>5328</v>
      </c>
      <c r="G3426" s="12" t="s">
        <v>11217</v>
      </c>
      <c r="H3426" s="12">
        <v>197902</v>
      </c>
    </row>
    <row r="3427" spans="1:8">
      <c r="A3427" s="12" t="s">
        <v>11218</v>
      </c>
      <c r="B3427" s="13">
        <v>5.29</v>
      </c>
      <c r="C3427" s="16" t="s">
        <v>5331</v>
      </c>
      <c r="D3427" s="12">
        <v>133</v>
      </c>
      <c r="E3427" s="12" t="s">
        <v>5332</v>
      </c>
      <c r="F3427" s="12" t="s">
        <v>5328</v>
      </c>
      <c r="G3427" s="12" t="s">
        <v>11219</v>
      </c>
      <c r="H3427" s="12">
        <v>197903</v>
      </c>
    </row>
    <row r="3428" spans="1:8">
      <c r="A3428" s="12" t="s">
        <v>11220</v>
      </c>
      <c r="B3428" s="13">
        <v>0.79</v>
      </c>
      <c r="C3428" s="16" t="s">
        <v>5331</v>
      </c>
      <c r="D3428" s="12">
        <v>314</v>
      </c>
      <c r="E3428" s="12" t="s">
        <v>5332</v>
      </c>
      <c r="F3428" s="12" t="s">
        <v>5328</v>
      </c>
      <c r="G3428" s="12" t="s">
        <v>11221</v>
      </c>
      <c r="H3428" s="12">
        <v>197904</v>
      </c>
    </row>
    <row r="3429" spans="1:8">
      <c r="A3429" s="12" t="s">
        <v>11222</v>
      </c>
      <c r="B3429" s="13">
        <v>0.18</v>
      </c>
      <c r="C3429" s="16" t="s">
        <v>5331</v>
      </c>
      <c r="D3429" s="12">
        <v>128</v>
      </c>
      <c r="E3429" s="12" t="s">
        <v>5332</v>
      </c>
      <c r="F3429" s="12" t="s">
        <v>5328</v>
      </c>
      <c r="G3429" s="12" t="s">
        <v>11223</v>
      </c>
      <c r="H3429" s="12">
        <v>197905</v>
      </c>
    </row>
    <row r="3430" spans="1:8">
      <c r="A3430" s="12" t="s">
        <v>11224</v>
      </c>
      <c r="B3430" s="13">
        <v>1.76</v>
      </c>
      <c r="C3430" s="16" t="s">
        <v>5331</v>
      </c>
      <c r="D3430" s="12">
        <v>314</v>
      </c>
      <c r="E3430" s="12" t="s">
        <v>5332</v>
      </c>
      <c r="F3430" s="12" t="s">
        <v>5328</v>
      </c>
      <c r="G3430" s="12" t="s">
        <v>11225</v>
      </c>
      <c r="H3430" s="12">
        <v>197981</v>
      </c>
    </row>
    <row r="3431" spans="1:8">
      <c r="A3431" s="12" t="s">
        <v>11226</v>
      </c>
      <c r="B3431" s="13">
        <v>0.44</v>
      </c>
      <c r="C3431" s="16" t="s">
        <v>5331</v>
      </c>
      <c r="D3431" s="12">
        <v>128</v>
      </c>
      <c r="E3431" s="12" t="s">
        <v>5332</v>
      </c>
      <c r="F3431" s="12" t="s">
        <v>5328</v>
      </c>
      <c r="G3431" s="12" t="s">
        <v>11227</v>
      </c>
      <c r="H3431" s="12">
        <v>197982</v>
      </c>
    </row>
    <row r="3432" spans="1:8">
      <c r="A3432" s="12" t="s">
        <v>11228</v>
      </c>
      <c r="B3432" s="13">
        <v>4.2699999999999996</v>
      </c>
      <c r="C3432" s="16" t="s">
        <v>5331</v>
      </c>
      <c r="D3432" s="12">
        <v>248</v>
      </c>
      <c r="E3432" s="12" t="s">
        <v>5332</v>
      </c>
      <c r="F3432" s="12" t="s">
        <v>5328</v>
      </c>
      <c r="G3432" s="12" t="s">
        <v>11229</v>
      </c>
      <c r="H3432" s="12">
        <v>197983</v>
      </c>
    </row>
    <row r="3433" spans="1:8">
      <c r="A3433" s="12" t="s">
        <v>11230</v>
      </c>
      <c r="B3433" s="13">
        <v>1.06</v>
      </c>
      <c r="C3433" s="16" t="s">
        <v>5331</v>
      </c>
      <c r="D3433" s="12">
        <v>100</v>
      </c>
      <c r="E3433" s="12" t="s">
        <v>5332</v>
      </c>
      <c r="F3433" s="12" t="s">
        <v>5328</v>
      </c>
      <c r="G3433" s="12" t="s">
        <v>11231</v>
      </c>
      <c r="H3433" s="12">
        <v>197906</v>
      </c>
    </row>
    <row r="3434" spans="1:8">
      <c r="A3434" s="12" t="s">
        <v>11232</v>
      </c>
      <c r="B3434" s="13">
        <v>0.28000000000000003</v>
      </c>
      <c r="C3434" s="16" t="s">
        <v>5331</v>
      </c>
      <c r="D3434" s="12">
        <v>314</v>
      </c>
      <c r="E3434" s="12" t="s">
        <v>5332</v>
      </c>
      <c r="F3434" s="12" t="s">
        <v>5328</v>
      </c>
      <c r="G3434" s="12" t="s">
        <v>11233</v>
      </c>
      <c r="H3434" s="12">
        <v>197907</v>
      </c>
    </row>
    <row r="3435" spans="1:8">
      <c r="A3435" s="12" t="s">
        <v>11234</v>
      </c>
      <c r="B3435" s="13">
        <v>7.0000000000000007E-2</v>
      </c>
      <c r="C3435" s="16" t="s">
        <v>5331</v>
      </c>
      <c r="D3435" s="12">
        <v>128</v>
      </c>
      <c r="E3435" s="12" t="s">
        <v>5332</v>
      </c>
      <c r="F3435" s="12" t="s">
        <v>5328</v>
      </c>
      <c r="G3435" s="12" t="s">
        <v>11235</v>
      </c>
      <c r="H3435" s="12">
        <v>197908</v>
      </c>
    </row>
    <row r="3436" spans="1:8">
      <c r="A3436" s="12" t="s">
        <v>11236</v>
      </c>
      <c r="B3436" s="13">
        <v>7.6</v>
      </c>
      <c r="C3436" s="16" t="s">
        <v>5331</v>
      </c>
      <c r="D3436" s="12">
        <v>520</v>
      </c>
      <c r="E3436" s="12" t="s">
        <v>5332</v>
      </c>
      <c r="F3436" s="12" t="s">
        <v>5328</v>
      </c>
      <c r="G3436" s="12" t="s">
        <v>11237</v>
      </c>
      <c r="H3436" s="12">
        <v>197909</v>
      </c>
    </row>
    <row r="3437" spans="1:8">
      <c r="A3437" s="12" t="s">
        <v>11238</v>
      </c>
      <c r="B3437" s="13">
        <v>5.53</v>
      </c>
      <c r="C3437" s="16" t="s">
        <v>5331</v>
      </c>
      <c r="D3437" s="12">
        <v>210</v>
      </c>
      <c r="E3437" s="12" t="s">
        <v>5332</v>
      </c>
      <c r="F3437" s="12" t="s">
        <v>5328</v>
      </c>
      <c r="G3437" s="12" t="s">
        <v>11239</v>
      </c>
      <c r="H3437" s="12">
        <v>197910</v>
      </c>
    </row>
    <row r="3438" spans="1:8">
      <c r="A3438" s="12" t="s">
        <v>11240</v>
      </c>
      <c r="B3438" s="13">
        <v>3.8</v>
      </c>
      <c r="C3438" s="16" t="s">
        <v>5331</v>
      </c>
      <c r="D3438" s="12">
        <v>270</v>
      </c>
      <c r="E3438" s="12" t="s">
        <v>5332</v>
      </c>
      <c r="F3438" s="12" t="s">
        <v>5328</v>
      </c>
      <c r="G3438" s="12" t="s">
        <v>11241</v>
      </c>
      <c r="H3438" s="12">
        <v>197911</v>
      </c>
    </row>
    <row r="3439" spans="1:8">
      <c r="A3439" s="12" t="s">
        <v>11242</v>
      </c>
      <c r="B3439" s="13">
        <v>0.97</v>
      </c>
      <c r="C3439" s="16" t="s">
        <v>5331</v>
      </c>
      <c r="D3439" s="12">
        <v>105</v>
      </c>
      <c r="E3439" s="12" t="s">
        <v>5332</v>
      </c>
      <c r="F3439" s="12" t="s">
        <v>5328</v>
      </c>
      <c r="G3439" s="12" t="s">
        <v>11243</v>
      </c>
      <c r="H3439" s="12">
        <v>197912</v>
      </c>
    </row>
    <row r="3440" spans="1:8">
      <c r="A3440" s="12" t="s">
        <v>11244</v>
      </c>
      <c r="B3440" s="13">
        <v>2.54</v>
      </c>
      <c r="C3440" s="16" t="s">
        <v>5331</v>
      </c>
      <c r="D3440" s="12">
        <v>462</v>
      </c>
      <c r="E3440" s="12" t="s">
        <v>5332</v>
      </c>
      <c r="F3440" s="12" t="s">
        <v>5328</v>
      </c>
      <c r="G3440" s="12" t="s">
        <v>11245</v>
      </c>
      <c r="H3440" s="12">
        <v>197913</v>
      </c>
    </row>
    <row r="3441" spans="1:8">
      <c r="A3441" s="12" t="s">
        <v>11246</v>
      </c>
      <c r="B3441" s="13">
        <v>0.63</v>
      </c>
      <c r="C3441" s="16" t="s">
        <v>5331</v>
      </c>
      <c r="D3441" s="12">
        <v>184</v>
      </c>
      <c r="E3441" s="12" t="s">
        <v>5332</v>
      </c>
      <c r="F3441" s="12" t="s">
        <v>5328</v>
      </c>
      <c r="G3441" s="12" t="s">
        <v>11247</v>
      </c>
      <c r="H3441" s="12">
        <v>197914</v>
      </c>
    </row>
    <row r="3442" spans="1:8">
      <c r="A3442" s="12" t="s">
        <v>11248</v>
      </c>
      <c r="B3442" s="13">
        <v>7.0000000000000007E-2</v>
      </c>
      <c r="C3442" s="16" t="s">
        <v>5331</v>
      </c>
      <c r="D3442" s="12">
        <v>358.05</v>
      </c>
      <c r="E3442" s="12" t="s">
        <v>5332</v>
      </c>
      <c r="F3442" s="12" t="s">
        <v>5328</v>
      </c>
      <c r="G3442" s="12" t="s">
        <v>11249</v>
      </c>
      <c r="H3442" s="12">
        <v>197917</v>
      </c>
    </row>
    <row r="3443" spans="1:8">
      <c r="A3443" s="12" t="s">
        <v>11250</v>
      </c>
      <c r="B3443" s="13">
        <v>0.01</v>
      </c>
      <c r="C3443" s="16" t="s">
        <v>5331</v>
      </c>
      <c r="D3443" s="12">
        <v>143.85</v>
      </c>
      <c r="E3443" s="12" t="s">
        <v>5332</v>
      </c>
      <c r="F3443" s="12" t="s">
        <v>5328</v>
      </c>
      <c r="G3443" s="12" t="s">
        <v>11251</v>
      </c>
      <c r="H3443" s="12">
        <v>197918</v>
      </c>
    </row>
    <row r="3444" spans="1:8">
      <c r="A3444" s="12" t="s">
        <v>11252</v>
      </c>
      <c r="B3444" s="13">
        <v>4.8600000000000003</v>
      </c>
      <c r="C3444" s="16" t="s">
        <v>5331</v>
      </c>
      <c r="D3444" s="12">
        <v>486</v>
      </c>
      <c r="E3444" s="12" t="s">
        <v>5332</v>
      </c>
      <c r="F3444" s="12" t="s">
        <v>5328</v>
      </c>
      <c r="G3444" s="12" t="s">
        <v>11253</v>
      </c>
      <c r="H3444" s="12">
        <v>192268</v>
      </c>
    </row>
    <row r="3445" spans="1:8">
      <c r="A3445" s="12" t="s">
        <v>11254</v>
      </c>
      <c r="B3445" s="13"/>
      <c r="C3445" s="16"/>
      <c r="D3445" s="12"/>
      <c r="E3445" s="12"/>
      <c r="F3445" s="12"/>
      <c r="G3445" s="12"/>
      <c r="H3445" s="12"/>
    </row>
    <row r="3446" spans="1:8">
      <c r="A3446" s="12" t="s">
        <v>11252</v>
      </c>
      <c r="B3446" s="13">
        <v>1.24</v>
      </c>
      <c r="C3446" s="16" t="s">
        <v>5331</v>
      </c>
      <c r="D3446" s="12">
        <v>194</v>
      </c>
      <c r="E3446" s="12" t="s">
        <v>5332</v>
      </c>
      <c r="F3446" s="12" t="s">
        <v>5328</v>
      </c>
      <c r="G3446" s="12" t="s">
        <v>11255</v>
      </c>
      <c r="H3446" s="12">
        <v>192269</v>
      </c>
    </row>
    <row r="3447" spans="1:8">
      <c r="A3447" s="12" t="s">
        <v>11256</v>
      </c>
      <c r="B3447" s="13">
        <v>9.83</v>
      </c>
      <c r="C3447" s="16" t="s">
        <v>5331</v>
      </c>
      <c r="D3447" s="12">
        <v>375</v>
      </c>
      <c r="E3447" s="12" t="s">
        <v>5332</v>
      </c>
      <c r="F3447" s="12" t="s">
        <v>5328</v>
      </c>
      <c r="G3447" s="12" t="s">
        <v>11257</v>
      </c>
      <c r="H3447" s="12">
        <v>209665</v>
      </c>
    </row>
    <row r="3448" spans="1:8">
      <c r="A3448" s="12" t="s">
        <v>11258</v>
      </c>
      <c r="B3448" s="13">
        <v>2.14</v>
      </c>
      <c r="C3448" s="16" t="s">
        <v>5331</v>
      </c>
      <c r="D3448" s="12">
        <v>150</v>
      </c>
      <c r="E3448" s="12" t="s">
        <v>5332</v>
      </c>
      <c r="F3448" s="12" t="s">
        <v>5328</v>
      </c>
      <c r="G3448" s="12" t="s">
        <v>11259</v>
      </c>
      <c r="H3448" s="12">
        <v>209666</v>
      </c>
    </row>
    <row r="3449" spans="1:8">
      <c r="A3449" s="12" t="s">
        <v>11260</v>
      </c>
      <c r="B3449" s="13">
        <v>13.76</v>
      </c>
      <c r="C3449" s="16" t="s">
        <v>5331</v>
      </c>
      <c r="D3449" s="12">
        <v>239</v>
      </c>
      <c r="E3449" s="12" t="s">
        <v>5332</v>
      </c>
      <c r="F3449" s="12" t="s">
        <v>5328</v>
      </c>
      <c r="G3449" s="12" t="s">
        <v>11261</v>
      </c>
      <c r="H3449" s="12">
        <v>209667</v>
      </c>
    </row>
    <row r="3450" spans="1:8">
      <c r="A3450" s="12" t="s">
        <v>11262</v>
      </c>
      <c r="B3450" s="13">
        <v>3.5</v>
      </c>
      <c r="C3450" s="16" t="s">
        <v>5331</v>
      </c>
      <c r="D3450" s="12">
        <v>160</v>
      </c>
      <c r="E3450" s="12" t="s">
        <v>5332</v>
      </c>
      <c r="F3450" s="12" t="s">
        <v>5328</v>
      </c>
      <c r="G3450" s="12" t="s">
        <v>11263</v>
      </c>
      <c r="H3450" s="12">
        <v>209763</v>
      </c>
    </row>
    <row r="3451" spans="1:8">
      <c r="A3451" s="12" t="s">
        <v>11264</v>
      </c>
      <c r="B3451" s="13">
        <v>10.39</v>
      </c>
      <c r="C3451" s="16" t="s">
        <v>5331</v>
      </c>
      <c r="D3451" s="12">
        <v>495</v>
      </c>
      <c r="E3451" s="12" t="s">
        <v>5332</v>
      </c>
      <c r="F3451" s="12" t="s">
        <v>5328</v>
      </c>
      <c r="G3451" s="12" t="s">
        <v>11265</v>
      </c>
      <c r="H3451" s="12">
        <v>209764</v>
      </c>
    </row>
    <row r="3452" spans="1:8">
      <c r="A3452" s="12" t="s">
        <v>11266</v>
      </c>
      <c r="B3452" s="13">
        <v>3.02</v>
      </c>
      <c r="C3452" s="16" t="s">
        <v>5331</v>
      </c>
      <c r="D3452" s="12">
        <v>200</v>
      </c>
      <c r="E3452" s="12" t="s">
        <v>5332</v>
      </c>
      <c r="F3452" s="12" t="s">
        <v>5328</v>
      </c>
      <c r="G3452" s="12" t="s">
        <v>11267</v>
      </c>
      <c r="H3452" s="12">
        <v>209668</v>
      </c>
    </row>
    <row r="3453" spans="1:8">
      <c r="A3453" s="12" t="s">
        <v>11268</v>
      </c>
      <c r="B3453" s="13">
        <v>0.31</v>
      </c>
      <c r="C3453" s="16" t="s">
        <v>5331</v>
      </c>
      <c r="D3453" s="12">
        <v>431</v>
      </c>
      <c r="E3453" s="12" t="s">
        <v>5332</v>
      </c>
      <c r="F3453" s="12" t="s">
        <v>5328</v>
      </c>
      <c r="G3453" s="12" t="s">
        <v>11269</v>
      </c>
      <c r="H3453" s="12">
        <v>209669</v>
      </c>
    </row>
    <row r="3454" spans="1:8">
      <c r="A3454" s="12" t="s">
        <v>11270</v>
      </c>
      <c r="B3454" s="13">
        <v>0.08</v>
      </c>
      <c r="C3454" s="16" t="s">
        <v>5331</v>
      </c>
      <c r="D3454" s="12">
        <v>168</v>
      </c>
      <c r="E3454" s="12" t="s">
        <v>5332</v>
      </c>
      <c r="F3454" s="12" t="s">
        <v>5328</v>
      </c>
      <c r="G3454" s="12" t="s">
        <v>11271</v>
      </c>
      <c r="H3454" s="12">
        <v>209670</v>
      </c>
    </row>
    <row r="3455" spans="1:8">
      <c r="A3455" s="12" t="s">
        <v>11272</v>
      </c>
      <c r="B3455" s="13">
        <v>13.06</v>
      </c>
      <c r="C3455" s="16" t="s">
        <v>5331</v>
      </c>
      <c r="D3455" s="12">
        <v>312</v>
      </c>
      <c r="E3455" s="12" t="s">
        <v>5332</v>
      </c>
      <c r="F3455" s="12" t="s">
        <v>5328</v>
      </c>
      <c r="G3455" s="12" t="s">
        <v>11273</v>
      </c>
      <c r="H3455" s="12">
        <v>209765</v>
      </c>
    </row>
    <row r="3456" spans="1:8">
      <c r="A3456" s="12" t="s">
        <v>11274</v>
      </c>
      <c r="B3456" s="13">
        <v>2.85</v>
      </c>
      <c r="C3456" s="16" t="s">
        <v>5331</v>
      </c>
      <c r="D3456" s="12">
        <v>168</v>
      </c>
      <c r="E3456" s="12" t="s">
        <v>5332</v>
      </c>
      <c r="F3456" s="12" t="s">
        <v>5328</v>
      </c>
      <c r="G3456" s="12" t="s">
        <v>11275</v>
      </c>
      <c r="H3456" s="12">
        <v>209671</v>
      </c>
    </row>
    <row r="3457" spans="1:8">
      <c r="A3457" s="12" t="s">
        <v>11276</v>
      </c>
      <c r="B3457" s="13">
        <v>2.3199999999999998</v>
      </c>
      <c r="C3457" s="16" t="s">
        <v>5331</v>
      </c>
      <c r="D3457" s="12">
        <v>495</v>
      </c>
      <c r="E3457" s="12" t="s">
        <v>5332</v>
      </c>
      <c r="F3457" s="12" t="s">
        <v>5328</v>
      </c>
      <c r="G3457" s="12" t="s">
        <v>11277</v>
      </c>
      <c r="H3457" s="12">
        <v>209672</v>
      </c>
    </row>
    <row r="3458" spans="1:8">
      <c r="A3458" s="12" t="s">
        <v>11278</v>
      </c>
      <c r="B3458" s="13">
        <v>0.56000000000000005</v>
      </c>
      <c r="C3458" s="16" t="s">
        <v>5331</v>
      </c>
      <c r="D3458" s="12">
        <v>210</v>
      </c>
      <c r="E3458" s="12" t="s">
        <v>5332</v>
      </c>
      <c r="F3458" s="12" t="s">
        <v>5328</v>
      </c>
      <c r="G3458" s="12" t="s">
        <v>11279</v>
      </c>
      <c r="H3458" s="12">
        <v>209766</v>
      </c>
    </row>
    <row r="3459" spans="1:8">
      <c r="A3459" s="12" t="s">
        <v>11280</v>
      </c>
      <c r="B3459" s="13">
        <v>14.56</v>
      </c>
      <c r="C3459" s="16" t="s">
        <v>5331</v>
      </c>
      <c r="D3459" s="12">
        <v>375</v>
      </c>
      <c r="E3459" s="12" t="s">
        <v>5332</v>
      </c>
      <c r="F3459" s="12" t="s">
        <v>5328</v>
      </c>
      <c r="G3459" s="12" t="s">
        <v>11281</v>
      </c>
      <c r="H3459" s="12">
        <v>209569</v>
      </c>
    </row>
    <row r="3460" spans="1:8">
      <c r="A3460" s="12" t="s">
        <v>11282</v>
      </c>
      <c r="B3460" s="13">
        <v>3.97</v>
      </c>
      <c r="C3460" s="16" t="s">
        <v>5331</v>
      </c>
      <c r="D3460" s="12">
        <v>150</v>
      </c>
      <c r="E3460" s="12" t="s">
        <v>5332</v>
      </c>
      <c r="F3460" s="12" t="s">
        <v>5328</v>
      </c>
      <c r="G3460" s="12" t="s">
        <v>11283</v>
      </c>
      <c r="H3460" s="12">
        <v>209767</v>
      </c>
    </row>
    <row r="3461" spans="1:8">
      <c r="A3461" s="12" t="s">
        <v>11284</v>
      </c>
      <c r="B3461" s="13">
        <v>0.96</v>
      </c>
      <c r="C3461" s="16" t="s">
        <v>5331</v>
      </c>
      <c r="D3461" s="12">
        <v>475</v>
      </c>
      <c r="E3461" s="12" t="s">
        <v>5332</v>
      </c>
      <c r="F3461" s="12" t="s">
        <v>5328</v>
      </c>
      <c r="G3461" s="12" t="s">
        <v>11285</v>
      </c>
      <c r="H3461" s="12">
        <v>209673</v>
      </c>
    </row>
    <row r="3462" spans="1:8">
      <c r="A3462" s="12" t="s">
        <v>11286</v>
      </c>
      <c r="B3462" s="13">
        <v>0.21</v>
      </c>
      <c r="C3462" s="16" t="s">
        <v>5331</v>
      </c>
      <c r="D3462" s="12">
        <v>190</v>
      </c>
      <c r="E3462" s="12" t="s">
        <v>5332</v>
      </c>
      <c r="F3462" s="12" t="s">
        <v>5328</v>
      </c>
      <c r="G3462" s="12" t="s">
        <v>11287</v>
      </c>
      <c r="H3462" s="12">
        <v>209570</v>
      </c>
    </row>
    <row r="3463" spans="1:8">
      <c r="A3463" s="12" t="s">
        <v>11288</v>
      </c>
      <c r="B3463" s="13">
        <v>23.4</v>
      </c>
      <c r="C3463" s="16" t="s">
        <v>5331</v>
      </c>
      <c r="D3463" s="12">
        <v>324</v>
      </c>
      <c r="E3463" s="12" t="s">
        <v>5332</v>
      </c>
      <c r="F3463" s="12" t="s">
        <v>5328</v>
      </c>
      <c r="G3463" s="12" t="s">
        <v>11289</v>
      </c>
      <c r="H3463" s="12">
        <v>209674</v>
      </c>
    </row>
    <row r="3464" spans="1:8">
      <c r="A3464" s="12" t="s">
        <v>11290</v>
      </c>
      <c r="B3464" s="13">
        <v>6.38</v>
      </c>
      <c r="C3464" s="16" t="s">
        <v>5331</v>
      </c>
      <c r="D3464" s="12">
        <v>146</v>
      </c>
      <c r="E3464" s="12" t="s">
        <v>5332</v>
      </c>
      <c r="F3464" s="12" t="s">
        <v>5328</v>
      </c>
      <c r="G3464" s="12" t="s">
        <v>11291</v>
      </c>
      <c r="H3464" s="12">
        <v>209675</v>
      </c>
    </row>
    <row r="3465" spans="1:8">
      <c r="A3465" s="12" t="s">
        <v>11292</v>
      </c>
      <c r="B3465" s="13">
        <v>2.71</v>
      </c>
      <c r="C3465" s="16" t="s">
        <v>5331</v>
      </c>
      <c r="D3465" s="12">
        <v>520</v>
      </c>
      <c r="E3465" s="12" t="s">
        <v>5332</v>
      </c>
      <c r="F3465" s="12" t="s">
        <v>5328</v>
      </c>
      <c r="G3465" s="12" t="s">
        <v>11293</v>
      </c>
      <c r="H3465" s="12">
        <v>209768</v>
      </c>
    </row>
    <row r="3466" spans="1:8">
      <c r="A3466" s="12" t="s">
        <v>11294</v>
      </c>
      <c r="B3466" s="13">
        <v>0.62</v>
      </c>
      <c r="C3466" s="16" t="s">
        <v>5331</v>
      </c>
      <c r="D3466" s="12">
        <v>210</v>
      </c>
      <c r="E3466" s="12" t="s">
        <v>5332</v>
      </c>
      <c r="F3466" s="12" t="s">
        <v>5328</v>
      </c>
      <c r="G3466" s="12" t="s">
        <v>11295</v>
      </c>
      <c r="H3466" s="12">
        <v>209769</v>
      </c>
    </row>
    <row r="3467" spans="1:8">
      <c r="A3467" s="12" t="s">
        <v>11296</v>
      </c>
      <c r="B3467" s="13">
        <v>42.59</v>
      </c>
      <c r="C3467" s="16" t="s">
        <v>5331</v>
      </c>
      <c r="D3467" s="12">
        <v>440</v>
      </c>
      <c r="E3467" s="12" t="s">
        <v>5332</v>
      </c>
      <c r="F3467" s="12" t="s">
        <v>5328</v>
      </c>
      <c r="G3467" s="12" t="s">
        <v>11297</v>
      </c>
      <c r="H3467" s="12">
        <v>209676</v>
      </c>
    </row>
    <row r="3468" spans="1:8">
      <c r="A3468" s="12" t="s">
        <v>11298</v>
      </c>
      <c r="B3468" s="13">
        <v>0</v>
      </c>
      <c r="C3468" s="16" t="s">
        <v>5331</v>
      </c>
      <c r="D3468" s="12">
        <v>175</v>
      </c>
      <c r="E3468" s="12" t="s">
        <v>5332</v>
      </c>
      <c r="F3468" s="12" t="s">
        <v>5328</v>
      </c>
      <c r="G3468" s="12" t="s">
        <v>11299</v>
      </c>
      <c r="H3468" s="12">
        <v>209571</v>
      </c>
    </row>
    <row r="3469" spans="1:8">
      <c r="A3469" s="12" t="s">
        <v>11300</v>
      </c>
      <c r="B3469" s="13">
        <v>55.81</v>
      </c>
      <c r="C3469" s="16" t="s">
        <v>5331</v>
      </c>
      <c r="D3469" s="12">
        <v>462</v>
      </c>
      <c r="E3469" s="12" t="s">
        <v>5332</v>
      </c>
      <c r="F3469" s="12" t="s">
        <v>5328</v>
      </c>
      <c r="G3469" s="12" t="s">
        <v>11301</v>
      </c>
      <c r="H3469" s="12">
        <v>209572</v>
      </c>
    </row>
    <row r="3470" spans="1:8">
      <c r="A3470" s="12" t="s">
        <v>11302</v>
      </c>
      <c r="B3470" s="13">
        <v>0</v>
      </c>
      <c r="C3470" s="16" t="s">
        <v>5331</v>
      </c>
      <c r="D3470" s="12">
        <v>184</v>
      </c>
      <c r="E3470" s="12" t="s">
        <v>5332</v>
      </c>
      <c r="F3470" s="12" t="s">
        <v>5328</v>
      </c>
      <c r="G3470" s="12" t="s">
        <v>11303</v>
      </c>
      <c r="H3470" s="12">
        <v>209677</v>
      </c>
    </row>
    <row r="3471" spans="1:8">
      <c r="A3471" s="12" t="s">
        <v>11304</v>
      </c>
      <c r="B3471" s="13">
        <v>3.45</v>
      </c>
      <c r="C3471" s="16" t="s">
        <v>5331</v>
      </c>
      <c r="D3471" s="12">
        <v>524</v>
      </c>
      <c r="E3471" s="12" t="s">
        <v>5332</v>
      </c>
      <c r="F3471" s="12" t="s">
        <v>5328</v>
      </c>
      <c r="G3471" s="12" t="s">
        <v>11305</v>
      </c>
      <c r="H3471" s="12">
        <v>209573</v>
      </c>
    </row>
    <row r="3472" spans="1:8">
      <c r="A3472" s="12" t="s">
        <v>11306</v>
      </c>
      <c r="B3472" s="13">
        <v>0.63</v>
      </c>
      <c r="C3472" s="16" t="s">
        <v>5331</v>
      </c>
      <c r="D3472" s="12">
        <v>209.6</v>
      </c>
      <c r="E3472" s="12" t="s">
        <v>5332</v>
      </c>
      <c r="F3472" s="12" t="s">
        <v>5328</v>
      </c>
      <c r="G3472" s="12" t="s">
        <v>11307</v>
      </c>
      <c r="H3472" s="12">
        <v>209574</v>
      </c>
    </row>
    <row r="3473" spans="1:8">
      <c r="A3473" s="12" t="s">
        <v>11308</v>
      </c>
      <c r="B3473" s="13">
        <v>44.01</v>
      </c>
      <c r="C3473" s="16" t="s">
        <v>5331</v>
      </c>
      <c r="D3473" s="12">
        <v>486</v>
      </c>
      <c r="E3473" s="12" t="s">
        <v>5332</v>
      </c>
      <c r="F3473" s="12" t="s">
        <v>5328</v>
      </c>
      <c r="G3473" s="12" t="s">
        <v>11309</v>
      </c>
      <c r="H3473" s="12">
        <v>200603</v>
      </c>
    </row>
    <row r="3474" spans="1:8">
      <c r="A3474" s="12" t="s">
        <v>11310</v>
      </c>
      <c r="B3474" s="13">
        <v>11</v>
      </c>
      <c r="C3474" s="16" t="s">
        <v>5331</v>
      </c>
      <c r="D3474" s="12">
        <v>194</v>
      </c>
      <c r="E3474" s="12" t="s">
        <v>5332</v>
      </c>
      <c r="F3474" s="12" t="s">
        <v>5328</v>
      </c>
      <c r="G3474" s="12" t="s">
        <v>11311</v>
      </c>
      <c r="H3474" s="12">
        <v>200604</v>
      </c>
    </row>
    <row r="3475" spans="1:8">
      <c r="A3475" s="12" t="s">
        <v>11312</v>
      </c>
      <c r="B3475" s="13">
        <v>0.1</v>
      </c>
      <c r="C3475" s="16" t="s">
        <v>5331</v>
      </c>
      <c r="D3475" s="12">
        <v>100</v>
      </c>
      <c r="E3475" s="12" t="s">
        <v>5332</v>
      </c>
      <c r="F3475" s="12" t="s">
        <v>5328</v>
      </c>
      <c r="G3475" s="12" t="s">
        <v>11313</v>
      </c>
      <c r="H3475" s="12">
        <v>211265</v>
      </c>
    </row>
    <row r="3476" spans="1:8">
      <c r="A3476" s="12" t="s">
        <v>11314</v>
      </c>
      <c r="B3476" s="13">
        <v>0.38</v>
      </c>
      <c r="C3476" s="16" t="s">
        <v>5331</v>
      </c>
      <c r="D3476" s="12">
        <v>258</v>
      </c>
      <c r="E3476" s="12" t="s">
        <v>5332</v>
      </c>
      <c r="F3476" s="12" t="s">
        <v>5328</v>
      </c>
      <c r="G3476" s="12" t="s">
        <v>11315</v>
      </c>
      <c r="H3476" s="12">
        <v>211365</v>
      </c>
    </row>
    <row r="3477" spans="1:8">
      <c r="A3477" s="12" t="s">
        <v>11316</v>
      </c>
      <c r="B3477" s="13">
        <v>2.4500000000000002</v>
      </c>
      <c r="C3477" s="16" t="s">
        <v>5331</v>
      </c>
      <c r="D3477" s="12">
        <v>121</v>
      </c>
      <c r="E3477" s="12" t="s">
        <v>5332</v>
      </c>
      <c r="F3477" s="12" t="s">
        <v>5328</v>
      </c>
      <c r="G3477" s="12" t="s">
        <v>11317</v>
      </c>
      <c r="H3477" s="12">
        <v>211266</v>
      </c>
    </row>
    <row r="3478" spans="1:8">
      <c r="A3478" s="12" t="s">
        <v>11318</v>
      </c>
      <c r="B3478" s="13">
        <v>9.61</v>
      </c>
      <c r="C3478" s="16" t="s">
        <v>5331</v>
      </c>
      <c r="D3478" s="12">
        <v>300</v>
      </c>
      <c r="E3478" s="12" t="s">
        <v>5332</v>
      </c>
      <c r="F3478" s="12" t="s">
        <v>5328</v>
      </c>
      <c r="G3478" s="12" t="s">
        <v>11319</v>
      </c>
      <c r="H3478" s="12">
        <v>211166</v>
      </c>
    </row>
    <row r="3479" spans="1:8">
      <c r="A3479" s="12" t="s">
        <v>11320</v>
      </c>
      <c r="B3479" s="13">
        <v>2.71</v>
      </c>
      <c r="C3479" s="16" t="s">
        <v>5331</v>
      </c>
      <c r="D3479" s="12">
        <v>100</v>
      </c>
      <c r="E3479" s="12" t="s">
        <v>5332</v>
      </c>
      <c r="F3479" s="12" t="s">
        <v>5328</v>
      </c>
      <c r="G3479" s="12" t="s">
        <v>11321</v>
      </c>
      <c r="H3479" s="12">
        <v>211366</v>
      </c>
    </row>
    <row r="3480" spans="1:8">
      <c r="A3480" s="12" t="s">
        <v>11322</v>
      </c>
      <c r="B3480" s="13">
        <v>10.85</v>
      </c>
      <c r="C3480" s="16" t="s">
        <v>5331</v>
      </c>
      <c r="D3480" s="12">
        <v>258</v>
      </c>
      <c r="E3480" s="12" t="s">
        <v>5332</v>
      </c>
      <c r="F3480" s="12" t="s">
        <v>5328</v>
      </c>
      <c r="G3480" s="12" t="s">
        <v>11323</v>
      </c>
      <c r="H3480" s="12">
        <v>211465</v>
      </c>
    </row>
    <row r="3481" spans="1:8">
      <c r="A3481" s="12" t="s">
        <v>11324</v>
      </c>
      <c r="B3481" s="13">
        <v>0.25</v>
      </c>
      <c r="C3481" s="16" t="s">
        <v>5331</v>
      </c>
      <c r="D3481" s="12">
        <v>100</v>
      </c>
      <c r="E3481" s="12" t="s">
        <v>5332</v>
      </c>
      <c r="F3481" s="12" t="s">
        <v>5328</v>
      </c>
      <c r="G3481" s="12" t="s">
        <v>11325</v>
      </c>
      <c r="H3481" s="12">
        <v>211466</v>
      </c>
    </row>
    <row r="3482" spans="1:8">
      <c r="A3482" s="12" t="s">
        <v>11326</v>
      </c>
      <c r="B3482" s="13">
        <v>0.99</v>
      </c>
      <c r="C3482" s="16" t="s">
        <v>5331</v>
      </c>
      <c r="D3482" s="12">
        <v>258</v>
      </c>
      <c r="E3482" s="12" t="s">
        <v>5332</v>
      </c>
      <c r="F3482" s="12" t="s">
        <v>5328</v>
      </c>
      <c r="G3482" s="12" t="s">
        <v>11327</v>
      </c>
      <c r="H3482" s="12">
        <v>211467</v>
      </c>
    </row>
    <row r="3483" spans="1:8">
      <c r="A3483" s="12" t="s">
        <v>11328</v>
      </c>
      <c r="B3483" s="13">
        <v>0.1</v>
      </c>
      <c r="C3483" s="16" t="s">
        <v>5331</v>
      </c>
      <c r="D3483" s="12">
        <v>100</v>
      </c>
      <c r="E3483" s="12" t="s">
        <v>5332</v>
      </c>
      <c r="F3483" s="12" t="s">
        <v>5328</v>
      </c>
      <c r="G3483" s="12" t="s">
        <v>11329</v>
      </c>
      <c r="H3483" s="12">
        <v>211267</v>
      </c>
    </row>
    <row r="3484" spans="1:8">
      <c r="A3484" s="12" t="s">
        <v>11330</v>
      </c>
      <c r="B3484" s="13">
        <v>0.4</v>
      </c>
      <c r="C3484" s="16" t="s">
        <v>5331</v>
      </c>
      <c r="D3484" s="12">
        <v>258</v>
      </c>
      <c r="E3484" s="12" t="s">
        <v>5332</v>
      </c>
      <c r="F3484" s="12" t="s">
        <v>5328</v>
      </c>
      <c r="G3484" s="12" t="s">
        <v>11331</v>
      </c>
      <c r="H3484" s="12">
        <v>211565</v>
      </c>
    </row>
    <row r="3485" spans="1:8">
      <c r="A3485" s="12" t="s">
        <v>11332</v>
      </c>
      <c r="B3485" s="13">
        <v>4.67</v>
      </c>
      <c r="C3485" s="16" t="s">
        <v>5331</v>
      </c>
      <c r="D3485" s="12">
        <v>121</v>
      </c>
      <c r="E3485" s="12" t="s">
        <v>5332</v>
      </c>
      <c r="F3485" s="12" t="s">
        <v>5328</v>
      </c>
      <c r="G3485" s="12" t="s">
        <v>11333</v>
      </c>
      <c r="H3485" s="12">
        <v>211268</v>
      </c>
    </row>
    <row r="3486" spans="1:8">
      <c r="A3486" s="12" t="s">
        <v>11334</v>
      </c>
      <c r="B3486" s="13">
        <v>21.4</v>
      </c>
      <c r="C3486" s="16" t="s">
        <v>5331</v>
      </c>
      <c r="D3486" s="12">
        <v>300</v>
      </c>
      <c r="E3486" s="12" t="s">
        <v>5332</v>
      </c>
      <c r="F3486" s="12" t="s">
        <v>5328</v>
      </c>
      <c r="G3486" s="12" t="s">
        <v>11335</v>
      </c>
      <c r="H3486" s="12">
        <v>211566</v>
      </c>
    </row>
    <row r="3487" spans="1:8">
      <c r="A3487" s="12" t="s">
        <v>11336</v>
      </c>
      <c r="B3487" s="13">
        <v>0.26</v>
      </c>
      <c r="C3487" s="16" t="s">
        <v>5331</v>
      </c>
      <c r="D3487" s="12">
        <v>126</v>
      </c>
      <c r="E3487" s="12" t="s">
        <v>5332</v>
      </c>
      <c r="F3487" s="12" t="s">
        <v>5328</v>
      </c>
      <c r="G3487" s="12" t="s">
        <v>11337</v>
      </c>
      <c r="H3487" s="12">
        <v>211269</v>
      </c>
    </row>
    <row r="3488" spans="1:8">
      <c r="A3488" s="12" t="s">
        <v>11338</v>
      </c>
      <c r="B3488" s="13">
        <v>1.04</v>
      </c>
      <c r="C3488" s="16" t="s">
        <v>5331</v>
      </c>
      <c r="D3488" s="12">
        <v>310</v>
      </c>
      <c r="E3488" s="12" t="s">
        <v>5332</v>
      </c>
      <c r="F3488" s="12" t="s">
        <v>5328</v>
      </c>
      <c r="G3488" s="12" t="s">
        <v>11339</v>
      </c>
      <c r="H3488" s="12">
        <v>211567</v>
      </c>
    </row>
    <row r="3489" spans="1:8">
      <c r="A3489" s="12" t="s">
        <v>11340</v>
      </c>
      <c r="B3489" s="13">
        <v>0.01</v>
      </c>
      <c r="C3489" s="16" t="s">
        <v>5331</v>
      </c>
      <c r="D3489" s="12">
        <v>132</v>
      </c>
      <c r="E3489" s="12" t="s">
        <v>5332</v>
      </c>
      <c r="F3489" s="12" t="s">
        <v>5328</v>
      </c>
      <c r="G3489" s="12" t="s">
        <v>11341</v>
      </c>
      <c r="H3489" s="12">
        <v>211568</v>
      </c>
    </row>
    <row r="3490" spans="1:8">
      <c r="A3490" s="12" t="s">
        <v>11342</v>
      </c>
      <c r="B3490" s="13">
        <v>0.05</v>
      </c>
      <c r="C3490" s="16" t="s">
        <v>5331</v>
      </c>
      <c r="D3490" s="12">
        <v>462</v>
      </c>
      <c r="E3490" s="12" t="s">
        <v>5332</v>
      </c>
      <c r="F3490" s="12" t="s">
        <v>5328</v>
      </c>
      <c r="G3490" s="12" t="s">
        <v>11343</v>
      </c>
      <c r="H3490" s="12">
        <v>211270</v>
      </c>
    </row>
    <row r="3491" spans="1:8">
      <c r="A3491" s="12" t="s">
        <v>11344</v>
      </c>
      <c r="B3491" s="13">
        <v>3.94</v>
      </c>
      <c r="C3491" s="16" t="s">
        <v>5331</v>
      </c>
      <c r="D3491" s="12">
        <v>184</v>
      </c>
      <c r="E3491" s="12" t="s">
        <v>5332</v>
      </c>
      <c r="F3491" s="12" t="s">
        <v>5328</v>
      </c>
      <c r="G3491" s="12" t="s">
        <v>11345</v>
      </c>
      <c r="H3491" s="12">
        <v>211271</v>
      </c>
    </row>
    <row r="3492" spans="1:8">
      <c r="A3492" s="12" t="s">
        <v>11346</v>
      </c>
      <c r="B3492" s="13">
        <v>15.79</v>
      </c>
      <c r="C3492" s="16" t="s">
        <v>5331</v>
      </c>
      <c r="D3492" s="12">
        <v>462</v>
      </c>
      <c r="E3492" s="12" t="s">
        <v>5332</v>
      </c>
      <c r="F3492" s="12" t="s">
        <v>5328</v>
      </c>
      <c r="G3492" s="12" t="s">
        <v>11347</v>
      </c>
      <c r="H3492" s="12">
        <v>211367</v>
      </c>
    </row>
    <row r="3493" spans="1:8">
      <c r="A3493" s="12" t="s">
        <v>11348</v>
      </c>
      <c r="B3493" s="13">
        <v>43.53</v>
      </c>
      <c r="C3493" s="16" t="s">
        <v>5331</v>
      </c>
      <c r="D3493" s="12">
        <v>184</v>
      </c>
      <c r="E3493" s="12" t="s">
        <v>5332</v>
      </c>
      <c r="F3493" s="12" t="s">
        <v>5328</v>
      </c>
      <c r="G3493" s="12" t="s">
        <v>11349</v>
      </c>
      <c r="H3493" s="12">
        <v>211569</v>
      </c>
    </row>
    <row r="3494" spans="1:8">
      <c r="A3494" s="12" t="s">
        <v>11350</v>
      </c>
      <c r="B3494" s="13">
        <v>174.13</v>
      </c>
      <c r="C3494" s="16" t="s">
        <v>5331</v>
      </c>
      <c r="D3494" s="12">
        <v>520</v>
      </c>
      <c r="E3494" s="12" t="s">
        <v>5332</v>
      </c>
      <c r="F3494" s="12" t="s">
        <v>5328</v>
      </c>
      <c r="G3494" s="12" t="s">
        <v>11351</v>
      </c>
      <c r="H3494" s="12">
        <v>211570</v>
      </c>
    </row>
    <row r="3495" spans="1:8">
      <c r="A3495" s="12" t="s">
        <v>11352</v>
      </c>
      <c r="B3495" s="13">
        <v>5.4</v>
      </c>
      <c r="C3495" s="16" t="s">
        <v>5331</v>
      </c>
      <c r="D3495" s="12">
        <v>210</v>
      </c>
      <c r="E3495" s="12" t="s">
        <v>5332</v>
      </c>
      <c r="F3495" s="12" t="s">
        <v>5328</v>
      </c>
      <c r="G3495" s="12" t="s">
        <v>11353</v>
      </c>
      <c r="H3495" s="12">
        <v>211368</v>
      </c>
    </row>
    <row r="3496" spans="1:8">
      <c r="A3496" s="12" t="s">
        <v>11354</v>
      </c>
      <c r="B3496" s="13">
        <v>21.62</v>
      </c>
      <c r="C3496" s="16" t="s">
        <v>5331</v>
      </c>
      <c r="D3496" s="12">
        <v>462</v>
      </c>
      <c r="E3496" s="12" t="s">
        <v>5332</v>
      </c>
      <c r="F3496" s="12" t="s">
        <v>5328</v>
      </c>
      <c r="G3496" s="12" t="s">
        <v>11355</v>
      </c>
      <c r="H3496" s="12">
        <v>211369</v>
      </c>
    </row>
    <row r="3497" spans="1:8">
      <c r="A3497" s="12" t="s">
        <v>11356</v>
      </c>
      <c r="B3497" s="13">
        <v>0.87</v>
      </c>
      <c r="C3497" s="16" t="s">
        <v>5331</v>
      </c>
      <c r="D3497" s="12">
        <v>394</v>
      </c>
      <c r="E3497" s="12" t="s">
        <v>5332</v>
      </c>
      <c r="F3497" s="12" t="s">
        <v>5328</v>
      </c>
      <c r="G3497" s="12" t="s">
        <v>11357</v>
      </c>
      <c r="H3497" s="12">
        <v>209551</v>
      </c>
    </row>
    <row r="3498" spans="1:8">
      <c r="A3498" s="12" t="s">
        <v>11358</v>
      </c>
      <c r="B3498" s="13">
        <v>0.22</v>
      </c>
      <c r="C3498" s="16" t="s">
        <v>5331</v>
      </c>
      <c r="D3498" s="12">
        <v>158</v>
      </c>
      <c r="E3498" s="12" t="s">
        <v>5332</v>
      </c>
      <c r="F3498" s="12" t="s">
        <v>5328</v>
      </c>
      <c r="G3498" s="12" t="s">
        <v>11359</v>
      </c>
      <c r="H3498" s="12">
        <v>209553</v>
      </c>
    </row>
    <row r="3499" spans="1:8">
      <c r="A3499" s="12" t="s">
        <v>11360</v>
      </c>
      <c r="B3499" s="13">
        <v>8</v>
      </c>
      <c r="C3499" s="16" t="s">
        <v>5331</v>
      </c>
      <c r="D3499" s="12">
        <v>394</v>
      </c>
      <c r="E3499" s="12" t="s">
        <v>5332</v>
      </c>
      <c r="F3499" s="12" t="s">
        <v>5328</v>
      </c>
      <c r="G3499" s="12" t="s">
        <v>11361</v>
      </c>
      <c r="H3499" s="12">
        <v>209683</v>
      </c>
    </row>
    <row r="3500" spans="1:8">
      <c r="A3500" s="12" t="s">
        <v>11362</v>
      </c>
      <c r="B3500" s="13">
        <v>1.74</v>
      </c>
      <c r="C3500" s="16" t="s">
        <v>5331</v>
      </c>
      <c r="D3500" s="12">
        <v>158</v>
      </c>
      <c r="E3500" s="12" t="s">
        <v>5332</v>
      </c>
      <c r="F3500" s="12" t="s">
        <v>5328</v>
      </c>
      <c r="G3500" s="12" t="s">
        <v>11363</v>
      </c>
      <c r="H3500" s="12">
        <v>209777</v>
      </c>
    </row>
    <row r="3501" spans="1:8">
      <c r="A3501" s="12" t="s">
        <v>11364</v>
      </c>
      <c r="B3501" s="13">
        <v>1.06</v>
      </c>
      <c r="C3501" s="16" t="s">
        <v>5331</v>
      </c>
      <c r="D3501" s="12">
        <v>394</v>
      </c>
      <c r="E3501" s="12" t="s">
        <v>5332</v>
      </c>
      <c r="F3501" s="12" t="s">
        <v>5328</v>
      </c>
      <c r="G3501" s="12" t="s">
        <v>11365</v>
      </c>
      <c r="H3501" s="12">
        <v>209554</v>
      </c>
    </row>
    <row r="3502" spans="1:8">
      <c r="A3502" s="12" t="s">
        <v>11366</v>
      </c>
      <c r="B3502" s="13">
        <v>0.27</v>
      </c>
      <c r="C3502" s="16" t="s">
        <v>5331</v>
      </c>
      <c r="D3502" s="12">
        <v>158</v>
      </c>
      <c r="E3502" s="12" t="s">
        <v>5332</v>
      </c>
      <c r="F3502" s="12" t="s">
        <v>5328</v>
      </c>
      <c r="G3502" s="12" t="s">
        <v>11367</v>
      </c>
      <c r="H3502" s="12">
        <v>209555</v>
      </c>
    </row>
    <row r="3503" spans="1:8">
      <c r="A3503" s="12" t="s">
        <v>11368</v>
      </c>
      <c r="B3503" s="13">
        <v>1.86</v>
      </c>
      <c r="C3503" s="16" t="s">
        <v>5331</v>
      </c>
      <c r="D3503" s="12">
        <v>453</v>
      </c>
      <c r="E3503" s="12" t="s">
        <v>5332</v>
      </c>
      <c r="F3503" s="12" t="s">
        <v>5328</v>
      </c>
      <c r="G3503" s="12" t="s">
        <v>11369</v>
      </c>
      <c r="H3503" s="12">
        <v>261084</v>
      </c>
    </row>
    <row r="3504" spans="1:8">
      <c r="A3504" s="12" t="s">
        <v>11370</v>
      </c>
      <c r="B3504" s="13">
        <v>0.47</v>
      </c>
      <c r="C3504" s="16" t="s">
        <v>5331</v>
      </c>
      <c r="D3504" s="12">
        <v>181.2</v>
      </c>
      <c r="E3504" s="12" t="s">
        <v>5332</v>
      </c>
      <c r="F3504" s="12" t="s">
        <v>5328</v>
      </c>
      <c r="G3504" s="12" t="s">
        <v>11371</v>
      </c>
      <c r="H3504" s="12">
        <v>261184</v>
      </c>
    </row>
    <row r="3505" spans="1:8">
      <c r="A3505" s="12" t="s">
        <v>11372</v>
      </c>
      <c r="B3505" s="13">
        <v>47.41</v>
      </c>
      <c r="C3505" s="16" t="s">
        <v>5331</v>
      </c>
      <c r="D3505" s="12">
        <v>431</v>
      </c>
      <c r="E3505" s="12" t="s">
        <v>5332</v>
      </c>
      <c r="F3505" s="12" t="s">
        <v>5328</v>
      </c>
      <c r="G3505" s="12" t="s">
        <v>11373</v>
      </c>
      <c r="H3505" s="12">
        <v>209584</v>
      </c>
    </row>
    <row r="3506" spans="1:8">
      <c r="A3506" s="12" t="s">
        <v>11374</v>
      </c>
      <c r="B3506" s="13">
        <v>12.93</v>
      </c>
      <c r="C3506" s="16" t="s">
        <v>5331</v>
      </c>
      <c r="D3506" s="12">
        <v>168</v>
      </c>
      <c r="E3506" s="12" t="s">
        <v>5332</v>
      </c>
      <c r="F3506" s="12" t="s">
        <v>5328</v>
      </c>
      <c r="G3506" s="12" t="s">
        <v>11375</v>
      </c>
      <c r="H3506" s="12">
        <v>209684</v>
      </c>
    </row>
    <row r="3507" spans="1:8">
      <c r="A3507" s="12" t="s">
        <v>11376</v>
      </c>
      <c r="B3507" s="13">
        <v>5.37</v>
      </c>
      <c r="C3507" s="16" t="s">
        <v>5331</v>
      </c>
      <c r="D3507" s="12">
        <v>431</v>
      </c>
      <c r="E3507" s="12" t="s">
        <v>5332</v>
      </c>
      <c r="F3507" s="12" t="s">
        <v>5328</v>
      </c>
      <c r="G3507" s="12" t="s">
        <v>11377</v>
      </c>
      <c r="H3507" s="12">
        <v>209585</v>
      </c>
    </row>
    <row r="3508" spans="1:8">
      <c r="A3508" s="12" t="s">
        <v>11378</v>
      </c>
      <c r="B3508" s="13">
        <v>1.37</v>
      </c>
      <c r="C3508" s="16" t="s">
        <v>5331</v>
      </c>
      <c r="D3508" s="12">
        <v>168</v>
      </c>
      <c r="E3508" s="12" t="s">
        <v>5332</v>
      </c>
      <c r="F3508" s="12" t="s">
        <v>5328</v>
      </c>
      <c r="G3508" s="12" t="s">
        <v>11379</v>
      </c>
      <c r="H3508" s="12">
        <v>209586</v>
      </c>
    </row>
    <row r="3509" spans="1:8">
      <c r="A3509" s="12" t="s">
        <v>11380</v>
      </c>
      <c r="B3509" s="13">
        <v>1.81</v>
      </c>
      <c r="C3509" s="16" t="s">
        <v>5331</v>
      </c>
      <c r="D3509" s="12">
        <v>375</v>
      </c>
      <c r="E3509" s="12" t="s">
        <v>5332</v>
      </c>
      <c r="F3509" s="12" t="s">
        <v>5328</v>
      </c>
      <c r="G3509" s="12" t="s">
        <v>11381</v>
      </c>
      <c r="H3509" s="12">
        <v>209556</v>
      </c>
    </row>
    <row r="3510" spans="1:8">
      <c r="A3510" s="12" t="s">
        <v>11382</v>
      </c>
      <c r="B3510" s="13">
        <v>0</v>
      </c>
      <c r="C3510" s="16" t="s">
        <v>5331</v>
      </c>
      <c r="D3510" s="12">
        <v>150</v>
      </c>
      <c r="E3510" s="12" t="s">
        <v>5332</v>
      </c>
      <c r="F3510" s="12" t="s">
        <v>5328</v>
      </c>
      <c r="G3510" s="12" t="s">
        <v>11383</v>
      </c>
      <c r="H3510" s="12">
        <v>209651</v>
      </c>
    </row>
    <row r="3511" spans="1:8">
      <c r="A3511" s="12" t="s">
        <v>11384</v>
      </c>
      <c r="B3511" s="13">
        <v>23.78</v>
      </c>
      <c r="C3511" s="16" t="s">
        <v>5331</v>
      </c>
      <c r="D3511" s="12">
        <v>462</v>
      </c>
      <c r="E3511" s="12" t="s">
        <v>5332</v>
      </c>
      <c r="F3511" s="12" t="s">
        <v>5328</v>
      </c>
      <c r="G3511" s="12" t="s">
        <v>11385</v>
      </c>
      <c r="H3511" s="12">
        <v>209685</v>
      </c>
    </row>
    <row r="3512" spans="1:8">
      <c r="A3512" s="12" t="s">
        <v>11386</v>
      </c>
      <c r="B3512" s="13">
        <v>6.49</v>
      </c>
      <c r="C3512" s="16" t="s">
        <v>5331</v>
      </c>
      <c r="D3512" s="12">
        <v>184</v>
      </c>
      <c r="E3512" s="12" t="s">
        <v>5332</v>
      </c>
      <c r="F3512" s="12" t="s">
        <v>5328</v>
      </c>
      <c r="G3512" s="12" t="s">
        <v>11387</v>
      </c>
      <c r="H3512" s="12">
        <v>209682</v>
      </c>
    </row>
    <row r="3513" spans="1:8">
      <c r="A3513" s="12" t="s">
        <v>11388</v>
      </c>
      <c r="B3513" s="13">
        <v>2.84</v>
      </c>
      <c r="C3513" s="16" t="s">
        <v>5331</v>
      </c>
      <c r="D3513" s="12">
        <v>387</v>
      </c>
      <c r="E3513" s="12" t="s">
        <v>5332</v>
      </c>
      <c r="F3513" s="12" t="s">
        <v>5328</v>
      </c>
      <c r="G3513" s="12" t="s">
        <v>11389</v>
      </c>
      <c r="H3513" s="12">
        <v>209652</v>
      </c>
    </row>
    <row r="3514" spans="1:8">
      <c r="A3514" s="12" t="s">
        <v>11390</v>
      </c>
      <c r="B3514" s="13">
        <v>0.72</v>
      </c>
      <c r="C3514" s="16" t="s">
        <v>5331</v>
      </c>
      <c r="D3514" s="12">
        <v>154.80000000000001</v>
      </c>
      <c r="E3514" s="12" t="s">
        <v>5332</v>
      </c>
      <c r="F3514" s="12" t="s">
        <v>5328</v>
      </c>
      <c r="G3514" s="12" t="s">
        <v>11391</v>
      </c>
      <c r="H3514" s="12">
        <v>209751</v>
      </c>
    </row>
    <row r="3515" spans="1:8">
      <c r="A3515" s="12" t="s">
        <v>11392</v>
      </c>
      <c r="B3515" s="13">
        <v>51.73</v>
      </c>
      <c r="C3515" s="16" t="s">
        <v>5331</v>
      </c>
      <c r="D3515" s="12">
        <v>520</v>
      </c>
      <c r="E3515" s="12" t="s">
        <v>5332</v>
      </c>
      <c r="F3515" s="12" t="s">
        <v>5328</v>
      </c>
      <c r="G3515" s="12" t="s">
        <v>11393</v>
      </c>
      <c r="H3515" s="12">
        <v>209778</v>
      </c>
    </row>
    <row r="3516" spans="1:8">
      <c r="A3516" s="12" t="s">
        <v>11394</v>
      </c>
      <c r="B3516" s="13">
        <v>11.29</v>
      </c>
      <c r="C3516" s="16" t="s">
        <v>5331</v>
      </c>
      <c r="D3516" s="12">
        <v>210</v>
      </c>
      <c r="E3516" s="12" t="s">
        <v>5332</v>
      </c>
      <c r="F3516" s="12" t="s">
        <v>5328</v>
      </c>
      <c r="G3516" s="12" t="s">
        <v>11395</v>
      </c>
      <c r="H3516" s="12">
        <v>209686</v>
      </c>
    </row>
    <row r="3517" spans="1:8">
      <c r="A3517" s="12" t="s">
        <v>11396</v>
      </c>
      <c r="B3517" s="13">
        <v>0.41</v>
      </c>
      <c r="C3517" s="16" t="s">
        <v>5331</v>
      </c>
      <c r="D3517" s="12">
        <v>431</v>
      </c>
      <c r="E3517" s="12" t="s">
        <v>5332</v>
      </c>
      <c r="F3517" s="12" t="s">
        <v>5328</v>
      </c>
      <c r="G3517" s="12" t="s">
        <v>11397</v>
      </c>
      <c r="H3517" s="12">
        <v>209752</v>
      </c>
    </row>
    <row r="3518" spans="1:8">
      <c r="A3518" s="12" t="s">
        <v>11398</v>
      </c>
      <c r="B3518" s="13">
        <v>0.11</v>
      </c>
      <c r="C3518" s="16" t="s">
        <v>5331</v>
      </c>
      <c r="D3518" s="12">
        <v>168</v>
      </c>
      <c r="E3518" s="12" t="s">
        <v>5332</v>
      </c>
      <c r="F3518" s="12" t="s">
        <v>5328</v>
      </c>
      <c r="G3518" s="12" t="s">
        <v>11399</v>
      </c>
      <c r="H3518" s="12">
        <v>209557</v>
      </c>
    </row>
    <row r="3519" spans="1:8">
      <c r="A3519" s="12" t="s">
        <v>11400</v>
      </c>
      <c r="B3519" s="13">
        <v>30.46</v>
      </c>
      <c r="C3519" s="16" t="s">
        <v>5331</v>
      </c>
      <c r="D3519" s="12">
        <v>326</v>
      </c>
      <c r="E3519" s="12" t="s">
        <v>5332</v>
      </c>
      <c r="F3519" s="12" t="s">
        <v>5328</v>
      </c>
      <c r="G3519" s="12" t="s">
        <v>11401</v>
      </c>
      <c r="H3519" s="12">
        <v>209653</v>
      </c>
    </row>
    <row r="3520" spans="1:8">
      <c r="A3520" s="12" t="s">
        <v>11402</v>
      </c>
      <c r="B3520" s="13">
        <v>7.75</v>
      </c>
      <c r="C3520" s="16" t="s">
        <v>5331</v>
      </c>
      <c r="D3520" s="12">
        <v>132</v>
      </c>
      <c r="E3520" s="12" t="s">
        <v>5332</v>
      </c>
      <c r="F3520" s="12" t="s">
        <v>5328</v>
      </c>
      <c r="G3520" s="12" t="s">
        <v>11403</v>
      </c>
      <c r="H3520" s="12">
        <v>209654</v>
      </c>
    </row>
    <row r="3521" spans="1:8">
      <c r="A3521" s="12" t="s">
        <v>11404</v>
      </c>
      <c r="B3521" s="13">
        <v>0.7</v>
      </c>
      <c r="C3521" s="16" t="s">
        <v>5331</v>
      </c>
      <c r="D3521" s="12">
        <v>394</v>
      </c>
      <c r="E3521" s="12" t="s">
        <v>5332</v>
      </c>
      <c r="F3521" s="12" t="s">
        <v>5328</v>
      </c>
      <c r="G3521" s="12" t="s">
        <v>11405</v>
      </c>
      <c r="H3521" s="12">
        <v>209655</v>
      </c>
    </row>
    <row r="3522" spans="1:8">
      <c r="A3522" s="12" t="s">
        <v>11406</v>
      </c>
      <c r="B3522" s="13">
        <v>0.17</v>
      </c>
      <c r="C3522" s="16" t="s">
        <v>5331</v>
      </c>
      <c r="D3522" s="12">
        <v>158</v>
      </c>
      <c r="E3522" s="12" t="s">
        <v>5332</v>
      </c>
      <c r="F3522" s="12" t="s">
        <v>5328</v>
      </c>
      <c r="G3522" s="12" t="s">
        <v>11407</v>
      </c>
      <c r="H3522" s="12">
        <v>209656</v>
      </c>
    </row>
    <row r="3523" spans="1:8">
      <c r="A3523" s="12" t="s">
        <v>11408</v>
      </c>
      <c r="B3523" s="13">
        <v>17.12</v>
      </c>
      <c r="C3523" s="16" t="s">
        <v>5331</v>
      </c>
      <c r="D3523" s="12">
        <v>546</v>
      </c>
      <c r="E3523" s="12" t="s">
        <v>5332</v>
      </c>
      <c r="F3523" s="12" t="s">
        <v>5328</v>
      </c>
      <c r="G3523" s="12" t="s">
        <v>11409</v>
      </c>
      <c r="H3523" s="12">
        <v>209657</v>
      </c>
    </row>
    <row r="3524" spans="1:8">
      <c r="A3524" s="12" t="s">
        <v>11410</v>
      </c>
      <c r="B3524" s="13">
        <v>4.67</v>
      </c>
      <c r="C3524" s="16" t="s">
        <v>5331</v>
      </c>
      <c r="D3524" s="12">
        <v>218.4</v>
      </c>
      <c r="E3524" s="12" t="s">
        <v>5332</v>
      </c>
      <c r="F3524" s="12" t="s">
        <v>5328</v>
      </c>
      <c r="G3524" s="12" t="s">
        <v>11411</v>
      </c>
      <c r="H3524" s="12">
        <v>209753</v>
      </c>
    </row>
    <row r="3525" spans="1:8">
      <c r="A3525" s="12" t="s">
        <v>11412</v>
      </c>
      <c r="B3525" s="13">
        <v>1.05</v>
      </c>
      <c r="C3525" s="16" t="s">
        <v>5331</v>
      </c>
      <c r="D3525" s="12">
        <v>387</v>
      </c>
      <c r="E3525" s="12" t="s">
        <v>5332</v>
      </c>
      <c r="F3525" s="12" t="s">
        <v>5328</v>
      </c>
      <c r="G3525" s="12" t="s">
        <v>11413</v>
      </c>
      <c r="H3525" s="12">
        <v>209552</v>
      </c>
    </row>
    <row r="3526" spans="1:8">
      <c r="A3526" s="12" t="s">
        <v>11414</v>
      </c>
      <c r="B3526" s="13">
        <v>0.27</v>
      </c>
      <c r="C3526" s="16" t="s">
        <v>5331</v>
      </c>
      <c r="D3526" s="12">
        <v>154.80000000000001</v>
      </c>
      <c r="E3526" s="12" t="s">
        <v>5332</v>
      </c>
      <c r="F3526" s="12" t="s">
        <v>5328</v>
      </c>
      <c r="G3526" s="12" t="s">
        <v>11415</v>
      </c>
      <c r="H3526" s="12">
        <v>209754</v>
      </c>
    </row>
    <row r="3527" spans="1:8">
      <c r="A3527" s="12" t="s">
        <v>11416</v>
      </c>
      <c r="B3527" s="13">
        <v>48.74</v>
      </c>
      <c r="C3527" s="16" t="s">
        <v>5331</v>
      </c>
      <c r="D3527" s="12">
        <v>394</v>
      </c>
      <c r="E3527" s="12" t="s">
        <v>5332</v>
      </c>
      <c r="F3527" s="12" t="s">
        <v>5328</v>
      </c>
      <c r="G3527" s="12" t="s">
        <v>11417</v>
      </c>
      <c r="H3527" s="12">
        <v>209587</v>
      </c>
    </row>
    <row r="3528" spans="1:8">
      <c r="A3528" s="12" t="s">
        <v>11418</v>
      </c>
      <c r="B3528" s="13">
        <v>0</v>
      </c>
      <c r="C3528" s="16" t="s">
        <v>5331</v>
      </c>
      <c r="D3528" s="12">
        <v>158</v>
      </c>
      <c r="E3528" s="12" t="s">
        <v>5332</v>
      </c>
      <c r="F3528" s="12" t="s">
        <v>5328</v>
      </c>
      <c r="G3528" s="12" t="s">
        <v>11419</v>
      </c>
      <c r="H3528" s="12">
        <v>209588</v>
      </c>
    </row>
    <row r="3529" spans="1:8">
      <c r="A3529" s="12" t="s">
        <v>11420</v>
      </c>
      <c r="B3529" s="13">
        <v>102.59</v>
      </c>
      <c r="C3529" s="16" t="s">
        <v>5331</v>
      </c>
      <c r="D3529" s="12">
        <v>546</v>
      </c>
      <c r="E3529" s="12" t="s">
        <v>5332</v>
      </c>
      <c r="F3529" s="12" t="s">
        <v>5328</v>
      </c>
      <c r="G3529" s="12" t="s">
        <v>11421</v>
      </c>
      <c r="H3529" s="12">
        <v>205193</v>
      </c>
    </row>
    <row r="3530" spans="1:8">
      <c r="A3530" s="12" t="s">
        <v>11422</v>
      </c>
      <c r="B3530" s="13">
        <v>26.11</v>
      </c>
      <c r="C3530" s="16" t="s">
        <v>5331</v>
      </c>
      <c r="D3530" s="12">
        <v>155</v>
      </c>
      <c r="E3530" s="12" t="s">
        <v>5332</v>
      </c>
      <c r="F3530" s="12" t="s">
        <v>5328</v>
      </c>
      <c r="G3530" s="12" t="s">
        <v>11423</v>
      </c>
      <c r="H3530" s="12">
        <v>205194</v>
      </c>
    </row>
    <row r="3531" spans="1:8">
      <c r="A3531" s="12" t="s">
        <v>11424</v>
      </c>
      <c r="B3531" s="13">
        <v>127.35</v>
      </c>
      <c r="C3531" s="16" t="s">
        <v>5331</v>
      </c>
      <c r="D3531" s="12">
        <v>524</v>
      </c>
      <c r="E3531" s="12" t="s">
        <v>5332</v>
      </c>
      <c r="F3531" s="12" t="s">
        <v>5328</v>
      </c>
      <c r="G3531" s="12" t="s">
        <v>11425</v>
      </c>
      <c r="H3531" s="12">
        <v>205195</v>
      </c>
    </row>
    <row r="3532" spans="1:8">
      <c r="A3532" s="12" t="s">
        <v>11426</v>
      </c>
      <c r="B3532" s="13">
        <v>32.42</v>
      </c>
      <c r="C3532" s="16" t="s">
        <v>5331</v>
      </c>
      <c r="D3532" s="12">
        <v>210</v>
      </c>
      <c r="E3532" s="12" t="s">
        <v>5332</v>
      </c>
      <c r="F3532" s="12" t="s">
        <v>5328</v>
      </c>
      <c r="G3532" s="12" t="s">
        <v>11427</v>
      </c>
      <c r="H3532" s="12">
        <v>205196</v>
      </c>
    </row>
    <row r="3533" spans="1:8">
      <c r="A3533" s="12" t="s">
        <v>11428</v>
      </c>
      <c r="B3533" s="13">
        <v>18.32</v>
      </c>
      <c r="C3533" s="16" t="s">
        <v>5331</v>
      </c>
      <c r="D3533" s="12">
        <v>467</v>
      </c>
      <c r="E3533" s="12" t="s">
        <v>5332</v>
      </c>
      <c r="F3533" s="12" t="s">
        <v>5328</v>
      </c>
      <c r="G3533" s="12" t="s">
        <v>11429</v>
      </c>
      <c r="H3533" s="12">
        <v>257912</v>
      </c>
    </row>
    <row r="3534" spans="1:8">
      <c r="A3534" s="12" t="s">
        <v>11430</v>
      </c>
      <c r="B3534" s="13">
        <v>4</v>
      </c>
      <c r="C3534" s="16" t="s">
        <v>5331</v>
      </c>
      <c r="D3534" s="12">
        <v>201</v>
      </c>
      <c r="E3534" s="12" t="s">
        <v>5332</v>
      </c>
      <c r="F3534" s="12" t="s">
        <v>5328</v>
      </c>
      <c r="G3534" s="12" t="s">
        <v>11431</v>
      </c>
      <c r="H3534" s="12">
        <v>257911</v>
      </c>
    </row>
    <row r="3535" spans="1:8">
      <c r="A3535" s="12" t="s">
        <v>11432</v>
      </c>
      <c r="B3535" s="13">
        <v>54.39</v>
      </c>
      <c r="C3535" s="16" t="s">
        <v>5331</v>
      </c>
      <c r="D3535" s="12">
        <v>422</v>
      </c>
      <c r="E3535" s="12" t="s">
        <v>5332</v>
      </c>
      <c r="F3535" s="12" t="s">
        <v>5328</v>
      </c>
      <c r="G3535" s="12" t="s">
        <v>11433</v>
      </c>
      <c r="H3535" s="12">
        <v>256877</v>
      </c>
    </row>
    <row r="3536" spans="1:8">
      <c r="A3536" s="12" t="s">
        <v>11434</v>
      </c>
      <c r="B3536" s="13">
        <v>13.85</v>
      </c>
      <c r="C3536" s="16" t="s">
        <v>5331</v>
      </c>
      <c r="D3536" s="12">
        <v>235</v>
      </c>
      <c r="E3536" s="12" t="s">
        <v>5332</v>
      </c>
      <c r="F3536" s="12" t="s">
        <v>5328</v>
      </c>
      <c r="G3536" s="12" t="s">
        <v>11435</v>
      </c>
      <c r="H3536" s="12">
        <v>256977</v>
      </c>
    </row>
    <row r="3537" spans="1:8">
      <c r="A3537" s="12" t="s">
        <v>11436</v>
      </c>
      <c r="B3537" s="13">
        <v>25.61</v>
      </c>
      <c r="C3537" s="16" t="s">
        <v>5331</v>
      </c>
      <c r="D3537" s="12">
        <v>150</v>
      </c>
      <c r="E3537" s="12" t="s">
        <v>5332</v>
      </c>
      <c r="F3537" s="12" t="s">
        <v>5328</v>
      </c>
      <c r="G3537" s="12" t="s">
        <v>11437</v>
      </c>
      <c r="H3537" s="12">
        <v>258011</v>
      </c>
    </row>
    <row r="3538" spans="1:8">
      <c r="A3538" s="12" t="s">
        <v>11438</v>
      </c>
      <c r="B3538" s="13">
        <v>3.19</v>
      </c>
      <c r="C3538" s="16" t="s">
        <v>5331</v>
      </c>
      <c r="D3538" s="12">
        <v>368</v>
      </c>
      <c r="E3538" s="12" t="s">
        <v>5332</v>
      </c>
      <c r="F3538" s="12" t="s">
        <v>5328</v>
      </c>
      <c r="G3538" s="12" t="s">
        <v>11439</v>
      </c>
      <c r="H3538" s="12">
        <v>258212</v>
      </c>
    </row>
    <row r="3539" spans="1:8">
      <c r="A3539" s="12" t="s">
        <v>11440</v>
      </c>
      <c r="B3539" s="13">
        <v>0.81</v>
      </c>
      <c r="C3539" s="16" t="s">
        <v>5331</v>
      </c>
      <c r="D3539" s="12">
        <v>147</v>
      </c>
      <c r="E3539" s="12" t="s">
        <v>5332</v>
      </c>
      <c r="F3539" s="12" t="s">
        <v>5328</v>
      </c>
      <c r="G3539" s="12" t="s">
        <v>11441</v>
      </c>
      <c r="H3539" s="12">
        <v>258111</v>
      </c>
    </row>
    <row r="3540" spans="1:8">
      <c r="A3540" s="12" t="s">
        <v>11442</v>
      </c>
      <c r="B3540" s="13">
        <v>1.2</v>
      </c>
      <c r="C3540" s="16" t="s">
        <v>5331</v>
      </c>
      <c r="D3540" s="12">
        <v>475</v>
      </c>
      <c r="E3540" s="12" t="s">
        <v>5332</v>
      </c>
      <c r="F3540" s="12" t="s">
        <v>5328</v>
      </c>
      <c r="G3540" s="12" t="s">
        <v>11443</v>
      </c>
      <c r="H3540" s="12">
        <v>209770</v>
      </c>
    </row>
    <row r="3541" spans="1:8">
      <c r="A3541" s="12" t="s">
        <v>11444</v>
      </c>
      <c r="B3541" s="13">
        <v>0.3</v>
      </c>
      <c r="C3541" s="16" t="s">
        <v>5331</v>
      </c>
      <c r="D3541" s="12">
        <v>190</v>
      </c>
      <c r="E3541" s="12" t="s">
        <v>5332</v>
      </c>
      <c r="F3541" s="12" t="s">
        <v>5328</v>
      </c>
      <c r="G3541" s="12" t="s">
        <v>11445</v>
      </c>
      <c r="H3541" s="12">
        <v>209771</v>
      </c>
    </row>
    <row r="3542" spans="1:8">
      <c r="A3542" s="12" t="s">
        <v>11446</v>
      </c>
      <c r="B3542" s="13">
        <v>0.22</v>
      </c>
      <c r="C3542" s="16" t="s">
        <v>5331</v>
      </c>
      <c r="D3542" s="12">
        <v>475</v>
      </c>
      <c r="E3542" s="12" t="s">
        <v>5332</v>
      </c>
      <c r="F3542" s="12" t="s">
        <v>5328</v>
      </c>
      <c r="G3542" s="12" t="s">
        <v>11447</v>
      </c>
      <c r="H3542" s="12">
        <v>209678</v>
      </c>
    </row>
    <row r="3543" spans="1:8">
      <c r="A3543" s="12" t="s">
        <v>11448</v>
      </c>
      <c r="B3543" s="13">
        <v>0.06</v>
      </c>
      <c r="C3543" s="16" t="s">
        <v>5331</v>
      </c>
      <c r="D3543" s="12">
        <v>190</v>
      </c>
      <c r="E3543" s="12" t="s">
        <v>5332</v>
      </c>
      <c r="F3543" s="12" t="s">
        <v>5328</v>
      </c>
      <c r="G3543" s="12" t="s">
        <v>11449</v>
      </c>
      <c r="H3543" s="12">
        <v>209679</v>
      </c>
    </row>
    <row r="3544" spans="1:8">
      <c r="A3544" s="12" t="s">
        <v>11450</v>
      </c>
      <c r="B3544" s="13">
        <v>69.55</v>
      </c>
      <c r="C3544" s="16" t="s">
        <v>5331</v>
      </c>
      <c r="D3544" s="12">
        <v>375</v>
      </c>
      <c r="E3544" s="12" t="s">
        <v>5332</v>
      </c>
      <c r="F3544" s="12" t="s">
        <v>5328</v>
      </c>
      <c r="G3544" s="12" t="s">
        <v>11451</v>
      </c>
      <c r="H3544" s="12">
        <v>209575</v>
      </c>
    </row>
    <row r="3545" spans="1:8">
      <c r="A3545" s="12" t="s">
        <v>11452</v>
      </c>
      <c r="B3545" s="13">
        <v>15.17</v>
      </c>
      <c r="C3545" s="16" t="s">
        <v>5331</v>
      </c>
      <c r="D3545" s="12">
        <v>150</v>
      </c>
      <c r="E3545" s="12" t="s">
        <v>5332</v>
      </c>
      <c r="F3545" s="12" t="s">
        <v>5328</v>
      </c>
      <c r="G3545" s="12" t="s">
        <v>11453</v>
      </c>
      <c r="H3545" s="12">
        <v>209772</v>
      </c>
    </row>
    <row r="3546" spans="1:8">
      <c r="A3546" s="12" t="s">
        <v>11454</v>
      </c>
      <c r="B3546" s="13">
        <v>0.96</v>
      </c>
      <c r="C3546" s="16" t="s">
        <v>5331</v>
      </c>
      <c r="D3546" s="12">
        <v>486</v>
      </c>
      <c r="E3546" s="12" t="s">
        <v>5332</v>
      </c>
      <c r="F3546" s="12" t="s">
        <v>5328</v>
      </c>
      <c r="G3546" s="12" t="s">
        <v>11455</v>
      </c>
      <c r="H3546" s="12">
        <v>209578</v>
      </c>
    </row>
    <row r="3547" spans="1:8">
      <c r="A3547" s="12" t="s">
        <v>11456</v>
      </c>
      <c r="B3547" s="13">
        <v>0.21</v>
      </c>
      <c r="C3547" s="16" t="s">
        <v>5331</v>
      </c>
      <c r="D3547" s="12">
        <v>194</v>
      </c>
      <c r="E3547" s="12" t="s">
        <v>5332</v>
      </c>
      <c r="F3547" s="12" t="s">
        <v>5328</v>
      </c>
      <c r="G3547" s="12" t="s">
        <v>11457</v>
      </c>
      <c r="H3547" s="12">
        <v>209579</v>
      </c>
    </row>
    <row r="3548" spans="1:8">
      <c r="A3548" s="12" t="s">
        <v>11458</v>
      </c>
      <c r="B3548" s="13">
        <v>188.35</v>
      </c>
      <c r="C3548" s="16" t="s">
        <v>5331</v>
      </c>
      <c r="D3548" s="12">
        <v>520</v>
      </c>
      <c r="E3548" s="12" t="s">
        <v>5332</v>
      </c>
      <c r="F3548" s="12" t="s">
        <v>5328</v>
      </c>
      <c r="G3548" s="12" t="s">
        <v>11459</v>
      </c>
      <c r="H3548" s="12">
        <v>209581</v>
      </c>
    </row>
    <row r="3549" spans="1:8">
      <c r="A3549" s="12" t="s">
        <v>11460</v>
      </c>
      <c r="B3549" s="13">
        <v>47.94</v>
      </c>
      <c r="C3549" s="16" t="s">
        <v>5331</v>
      </c>
      <c r="D3549" s="12">
        <v>210</v>
      </c>
      <c r="E3549" s="12" t="s">
        <v>5332</v>
      </c>
      <c r="F3549" s="12" t="s">
        <v>5328</v>
      </c>
      <c r="G3549" s="12" t="s">
        <v>11461</v>
      </c>
      <c r="H3549" s="12">
        <v>209582</v>
      </c>
    </row>
    <row r="3550" spans="1:8">
      <c r="A3550" s="12" t="s">
        <v>11462</v>
      </c>
      <c r="B3550" s="13">
        <v>1.06</v>
      </c>
      <c r="C3550" s="16" t="s">
        <v>5331</v>
      </c>
      <c r="D3550" s="12">
        <v>780</v>
      </c>
      <c r="E3550" s="12" t="s">
        <v>5332</v>
      </c>
      <c r="F3550" s="12" t="s">
        <v>5328</v>
      </c>
      <c r="G3550" s="12" t="s">
        <v>11463</v>
      </c>
      <c r="H3550" s="12">
        <v>209773</v>
      </c>
    </row>
    <row r="3551" spans="1:8">
      <c r="A3551" s="12" t="s">
        <v>11464</v>
      </c>
      <c r="B3551" s="13">
        <v>0.27</v>
      </c>
      <c r="C3551" s="16" t="s">
        <v>5331</v>
      </c>
      <c r="D3551" s="12">
        <v>315</v>
      </c>
      <c r="E3551" s="12" t="s">
        <v>5332</v>
      </c>
      <c r="F3551" s="12" t="s">
        <v>5328</v>
      </c>
      <c r="G3551" s="12" t="s">
        <v>11465</v>
      </c>
      <c r="H3551" s="12">
        <v>209774</v>
      </c>
    </row>
    <row r="3552" spans="1:8">
      <c r="A3552" s="12" t="s">
        <v>11466</v>
      </c>
      <c r="B3552" s="13">
        <v>86.18</v>
      </c>
      <c r="C3552" s="16" t="s">
        <v>5331</v>
      </c>
      <c r="D3552" s="12">
        <v>524</v>
      </c>
      <c r="E3552" s="12" t="s">
        <v>5332</v>
      </c>
      <c r="F3552" s="12" t="s">
        <v>5328</v>
      </c>
      <c r="G3552" s="12" t="s">
        <v>11467</v>
      </c>
      <c r="H3552" s="12">
        <v>209583</v>
      </c>
    </row>
    <row r="3553" spans="1:8">
      <c r="A3553" s="12" t="s">
        <v>11468</v>
      </c>
      <c r="B3553" s="13">
        <v>21.94</v>
      </c>
      <c r="C3553" s="16" t="s">
        <v>5331</v>
      </c>
      <c r="D3553" s="12">
        <v>210</v>
      </c>
      <c r="E3553" s="12" t="s">
        <v>5332</v>
      </c>
      <c r="F3553" s="12" t="s">
        <v>5328</v>
      </c>
      <c r="G3553" s="12" t="s">
        <v>11469</v>
      </c>
      <c r="H3553" s="12">
        <v>209775</v>
      </c>
    </row>
    <row r="3554" spans="1:8">
      <c r="A3554" s="12" t="s">
        <v>11470</v>
      </c>
      <c r="B3554" s="13">
        <v>46.59</v>
      </c>
      <c r="C3554" s="16" t="s">
        <v>5331</v>
      </c>
      <c r="D3554" s="12">
        <v>310</v>
      </c>
      <c r="E3554" s="12" t="s">
        <v>5332</v>
      </c>
      <c r="F3554" s="12" t="s">
        <v>5328</v>
      </c>
      <c r="G3554" s="12" t="s">
        <v>11471</v>
      </c>
      <c r="H3554" s="12">
        <v>209776</v>
      </c>
    </row>
    <row r="3555" spans="1:8">
      <c r="A3555" s="12" t="s">
        <v>11472</v>
      </c>
      <c r="B3555" s="13">
        <v>11.86</v>
      </c>
      <c r="C3555" s="16" t="s">
        <v>5331</v>
      </c>
      <c r="D3555" s="12">
        <v>125</v>
      </c>
      <c r="E3555" s="12" t="s">
        <v>5332</v>
      </c>
      <c r="F3555" s="12" t="s">
        <v>5328</v>
      </c>
      <c r="G3555" s="12" t="s">
        <v>11473</v>
      </c>
      <c r="H3555" s="12">
        <v>209589</v>
      </c>
    </row>
    <row r="3556" spans="1:8">
      <c r="A3556" s="12" t="s">
        <v>11474</v>
      </c>
      <c r="B3556" s="13">
        <v>77.41</v>
      </c>
      <c r="C3556" s="16" t="s">
        <v>5331</v>
      </c>
      <c r="D3556" s="12">
        <v>499</v>
      </c>
      <c r="E3556" s="12" t="s">
        <v>5332</v>
      </c>
      <c r="F3556" s="12" t="s">
        <v>5328</v>
      </c>
      <c r="G3556" s="12" t="s">
        <v>11475</v>
      </c>
      <c r="H3556" s="12">
        <v>209680</v>
      </c>
    </row>
    <row r="3557" spans="1:8">
      <c r="A3557" s="12" t="s">
        <v>11476</v>
      </c>
      <c r="B3557" s="13">
        <v>21.11</v>
      </c>
      <c r="C3557" s="16" t="s">
        <v>5331</v>
      </c>
      <c r="D3557" s="12">
        <v>200</v>
      </c>
      <c r="E3557" s="12" t="s">
        <v>5332</v>
      </c>
      <c r="F3557" s="12" t="s">
        <v>5328</v>
      </c>
      <c r="G3557" s="12" t="s">
        <v>11477</v>
      </c>
      <c r="H3557" s="12">
        <v>209789</v>
      </c>
    </row>
    <row r="3558" spans="1:8">
      <c r="A3558" s="12" t="s">
        <v>11478</v>
      </c>
      <c r="B3558" s="13">
        <v>31.83</v>
      </c>
      <c r="C3558" s="16" t="s">
        <v>5331</v>
      </c>
      <c r="D3558" s="12">
        <v>573</v>
      </c>
      <c r="E3558" s="12" t="s">
        <v>5332</v>
      </c>
      <c r="F3558" s="12" t="s">
        <v>5328</v>
      </c>
      <c r="G3558" s="12" t="s">
        <v>11479</v>
      </c>
      <c r="H3558" s="12">
        <v>229718</v>
      </c>
    </row>
    <row r="3559" spans="1:8">
      <c r="A3559" s="12" t="s">
        <v>11480</v>
      </c>
      <c r="B3559" s="13">
        <v>8.1</v>
      </c>
      <c r="C3559" s="16" t="s">
        <v>5331</v>
      </c>
      <c r="D3559" s="12">
        <v>246</v>
      </c>
      <c r="E3559" s="12" t="s">
        <v>5332</v>
      </c>
      <c r="F3559" s="12" t="s">
        <v>5328</v>
      </c>
      <c r="G3559" s="12" t="s">
        <v>11481</v>
      </c>
      <c r="H3559" s="12">
        <v>229818</v>
      </c>
    </row>
    <row r="3560" spans="1:8">
      <c r="A3560" s="12" t="s">
        <v>11482</v>
      </c>
      <c r="B3560" s="13">
        <v>168.2</v>
      </c>
      <c r="C3560" s="16" t="s">
        <v>5331</v>
      </c>
      <c r="D3560" s="12">
        <v>491</v>
      </c>
      <c r="E3560" s="12" t="s">
        <v>5332</v>
      </c>
      <c r="F3560" s="12" t="s">
        <v>5328</v>
      </c>
      <c r="G3560" s="12" t="s">
        <v>11483</v>
      </c>
      <c r="H3560" s="12">
        <v>229819</v>
      </c>
    </row>
    <row r="3561" spans="1:8">
      <c r="A3561" s="12" t="s">
        <v>11484</v>
      </c>
      <c r="B3561" s="13">
        <v>42.81</v>
      </c>
      <c r="C3561" s="16" t="s">
        <v>5331</v>
      </c>
      <c r="D3561" s="12">
        <v>212</v>
      </c>
      <c r="E3561" s="12" t="s">
        <v>5332</v>
      </c>
      <c r="F3561" s="12" t="s">
        <v>5328</v>
      </c>
      <c r="G3561" s="12" t="s">
        <v>11485</v>
      </c>
      <c r="H3561" s="12">
        <v>229820</v>
      </c>
    </row>
    <row r="3562" spans="1:8">
      <c r="A3562" s="12" t="s">
        <v>11486</v>
      </c>
      <c r="B3562" s="13">
        <v>34.799999999999997</v>
      </c>
      <c r="C3562" s="16" t="s">
        <v>5331</v>
      </c>
      <c r="D3562" s="12">
        <v>491</v>
      </c>
      <c r="E3562" s="12" t="s">
        <v>5332</v>
      </c>
      <c r="F3562" s="12" t="s">
        <v>5328</v>
      </c>
      <c r="G3562" s="12" t="s">
        <v>11487</v>
      </c>
      <c r="H3562" s="12">
        <v>229918</v>
      </c>
    </row>
    <row r="3563" spans="1:8">
      <c r="A3563" s="12" t="s">
        <v>11488</v>
      </c>
      <c r="B3563" s="13">
        <v>0</v>
      </c>
      <c r="C3563" s="16" t="s">
        <v>5331</v>
      </c>
      <c r="D3563" s="12">
        <v>212</v>
      </c>
      <c r="E3563" s="12" t="s">
        <v>5332</v>
      </c>
      <c r="F3563" s="12" t="s">
        <v>5328</v>
      </c>
      <c r="G3563" s="12" t="s">
        <v>11489</v>
      </c>
      <c r="H3563" s="12">
        <v>229719</v>
      </c>
    </row>
    <row r="3564" spans="1:8">
      <c r="A3564" s="12" t="s">
        <v>11490</v>
      </c>
      <c r="B3564" s="13">
        <v>0</v>
      </c>
      <c r="C3564" s="16" t="s">
        <v>5331</v>
      </c>
      <c r="D3564" s="12">
        <v>410</v>
      </c>
      <c r="E3564" s="12" t="s">
        <v>5332</v>
      </c>
      <c r="F3564" s="12" t="s">
        <v>5328</v>
      </c>
      <c r="G3564" s="12" t="s">
        <v>11491</v>
      </c>
      <c r="H3564" s="12">
        <v>209851</v>
      </c>
    </row>
    <row r="3565" spans="1:8">
      <c r="A3565" s="12" t="s">
        <v>11492</v>
      </c>
      <c r="B3565" s="13">
        <v>0.15</v>
      </c>
      <c r="C3565" s="16" t="s">
        <v>5331</v>
      </c>
      <c r="D3565" s="12">
        <v>160</v>
      </c>
      <c r="E3565" s="12" t="s">
        <v>5332</v>
      </c>
      <c r="F3565" s="12" t="s">
        <v>5328</v>
      </c>
      <c r="G3565" s="12" t="s">
        <v>11493</v>
      </c>
      <c r="H3565" s="12">
        <v>209852</v>
      </c>
    </row>
    <row r="3566" spans="1:8">
      <c r="A3566" s="12" t="s">
        <v>11494</v>
      </c>
      <c r="B3566" s="13">
        <v>0</v>
      </c>
      <c r="C3566" s="16" t="s">
        <v>5331</v>
      </c>
      <c r="D3566" s="12">
        <v>491</v>
      </c>
      <c r="E3566" s="12" t="s">
        <v>5332</v>
      </c>
      <c r="F3566" s="12" t="s">
        <v>5328</v>
      </c>
      <c r="G3566" s="12" t="s">
        <v>11495</v>
      </c>
      <c r="H3566" s="12">
        <v>209853</v>
      </c>
    </row>
    <row r="3567" spans="1:8">
      <c r="A3567" s="12" t="s">
        <v>11496</v>
      </c>
      <c r="B3567" s="13">
        <v>0</v>
      </c>
      <c r="C3567" s="16" t="s">
        <v>5331</v>
      </c>
      <c r="D3567" s="12">
        <v>212</v>
      </c>
      <c r="E3567" s="12" t="s">
        <v>5332</v>
      </c>
      <c r="F3567" s="12" t="s">
        <v>5328</v>
      </c>
      <c r="G3567" s="12" t="s">
        <v>11497</v>
      </c>
      <c r="H3567" s="12">
        <v>209854</v>
      </c>
    </row>
    <row r="3568" spans="1:8">
      <c r="A3568" s="12" t="s">
        <v>11498</v>
      </c>
      <c r="B3568" s="13">
        <v>0.16</v>
      </c>
      <c r="C3568" s="16" t="s">
        <v>5331</v>
      </c>
      <c r="D3568" s="12">
        <v>375</v>
      </c>
      <c r="E3568" s="12" t="s">
        <v>5332</v>
      </c>
      <c r="F3568" s="12" t="s">
        <v>5328</v>
      </c>
      <c r="G3568" s="12" t="s">
        <v>11499</v>
      </c>
      <c r="H3568" s="12">
        <v>237149</v>
      </c>
    </row>
    <row r="3569" spans="1:8">
      <c r="A3569" s="12" t="s">
        <v>11500</v>
      </c>
      <c r="B3569" s="13">
        <v>0.04</v>
      </c>
      <c r="C3569" s="16" t="s">
        <v>5331</v>
      </c>
      <c r="D3569" s="12">
        <v>150</v>
      </c>
      <c r="E3569" s="12" t="s">
        <v>5332</v>
      </c>
      <c r="F3569" s="12" t="s">
        <v>5328</v>
      </c>
      <c r="G3569" s="12" t="s">
        <v>11501</v>
      </c>
      <c r="H3569" s="12">
        <v>237150</v>
      </c>
    </row>
    <row r="3570" spans="1:8">
      <c r="A3570" s="12" t="s">
        <v>11502</v>
      </c>
      <c r="B3570" s="13">
        <v>87.07</v>
      </c>
      <c r="C3570" s="16" t="s">
        <v>5331</v>
      </c>
      <c r="D3570" s="12">
        <v>495</v>
      </c>
      <c r="E3570" s="12" t="s">
        <v>5332</v>
      </c>
      <c r="F3570" s="12" t="s">
        <v>5328</v>
      </c>
      <c r="G3570" s="12" t="s">
        <v>11503</v>
      </c>
      <c r="H3570" s="12">
        <v>209790</v>
      </c>
    </row>
    <row r="3571" spans="1:8">
      <c r="A3571" s="12" t="s">
        <v>11504</v>
      </c>
      <c r="B3571" s="13">
        <v>22.16</v>
      </c>
      <c r="C3571" s="16" t="s">
        <v>5331</v>
      </c>
      <c r="D3571" s="12">
        <v>200</v>
      </c>
      <c r="E3571" s="12" t="s">
        <v>5332</v>
      </c>
      <c r="F3571" s="12" t="s">
        <v>5328</v>
      </c>
      <c r="G3571" s="12" t="s">
        <v>11505</v>
      </c>
      <c r="H3571" s="12">
        <v>209791</v>
      </c>
    </row>
    <row r="3572" spans="1:8">
      <c r="A3572" s="12" t="s">
        <v>11506</v>
      </c>
      <c r="B3572" s="13">
        <v>6.32</v>
      </c>
      <c r="C3572" s="16" t="s">
        <v>5331</v>
      </c>
      <c r="D3572" s="12">
        <v>326</v>
      </c>
      <c r="E3572" s="12" t="s">
        <v>5332</v>
      </c>
      <c r="F3572" s="12" t="s">
        <v>5328</v>
      </c>
      <c r="G3572" s="12" t="s">
        <v>11507</v>
      </c>
      <c r="H3572" s="12">
        <v>211288</v>
      </c>
    </row>
    <row r="3573" spans="1:8">
      <c r="A3573" s="12" t="s">
        <v>11508</v>
      </c>
      <c r="B3573" s="13">
        <v>1.8</v>
      </c>
      <c r="C3573" s="16" t="s">
        <v>5331</v>
      </c>
      <c r="D3573" s="12">
        <v>184</v>
      </c>
      <c r="E3573" s="12" t="s">
        <v>5332</v>
      </c>
      <c r="F3573" s="12" t="s">
        <v>5328</v>
      </c>
      <c r="G3573" s="12" t="s">
        <v>11509</v>
      </c>
      <c r="H3573" s="12">
        <v>211289</v>
      </c>
    </row>
    <row r="3574" spans="1:8">
      <c r="A3574" s="12" t="s">
        <v>11510</v>
      </c>
      <c r="B3574" s="13">
        <v>0</v>
      </c>
      <c r="C3574" s="16" t="s">
        <v>5331</v>
      </c>
      <c r="D3574" s="12">
        <v>507</v>
      </c>
      <c r="E3574" s="12" t="s">
        <v>5332</v>
      </c>
      <c r="F3574" s="12" t="s">
        <v>5328</v>
      </c>
      <c r="G3574" s="12" t="s">
        <v>11511</v>
      </c>
      <c r="H3574" s="12">
        <v>212564</v>
      </c>
    </row>
    <row r="3575" spans="1:8">
      <c r="A3575" s="12" t="s">
        <v>11512</v>
      </c>
      <c r="B3575" s="13">
        <v>0</v>
      </c>
      <c r="C3575" s="16" t="s">
        <v>5331</v>
      </c>
      <c r="D3575" s="12">
        <v>507</v>
      </c>
      <c r="E3575" s="12" t="s">
        <v>5332</v>
      </c>
      <c r="F3575" s="12" t="s">
        <v>5328</v>
      </c>
      <c r="G3575" s="12" t="s">
        <v>11513</v>
      </c>
      <c r="H3575" s="12">
        <v>212764</v>
      </c>
    </row>
    <row r="3576" spans="1:8">
      <c r="A3576" s="12" t="s">
        <v>11514</v>
      </c>
      <c r="B3576" s="13">
        <v>0</v>
      </c>
      <c r="C3576" s="16" t="s">
        <v>5331</v>
      </c>
      <c r="D3576" s="12">
        <v>507</v>
      </c>
      <c r="E3576" s="12" t="s">
        <v>5332</v>
      </c>
      <c r="F3576" s="12" t="s">
        <v>5328</v>
      </c>
      <c r="G3576" s="12" t="s">
        <v>11515</v>
      </c>
      <c r="H3576" s="12">
        <v>212864</v>
      </c>
    </row>
    <row r="3577" spans="1:8">
      <c r="A3577" s="12" t="s">
        <v>11516</v>
      </c>
      <c r="B3577" s="13">
        <v>0</v>
      </c>
      <c r="C3577" s="16" t="s">
        <v>5331</v>
      </c>
      <c r="D3577" s="12">
        <v>507</v>
      </c>
      <c r="E3577" s="12" t="s">
        <v>5332</v>
      </c>
      <c r="F3577" s="12" t="s">
        <v>5328</v>
      </c>
      <c r="G3577" s="12" t="s">
        <v>11517</v>
      </c>
      <c r="H3577" s="12">
        <v>212664</v>
      </c>
    </row>
    <row r="3578" spans="1:8">
      <c r="A3578" s="12" t="s">
        <v>11518</v>
      </c>
      <c r="B3578" s="13">
        <v>0</v>
      </c>
      <c r="C3578" s="16" t="s">
        <v>5331</v>
      </c>
      <c r="D3578" s="12">
        <v>507</v>
      </c>
      <c r="E3578" s="12" t="s">
        <v>5332</v>
      </c>
      <c r="F3578" s="12" t="s">
        <v>5328</v>
      </c>
      <c r="G3578" s="12" t="s">
        <v>11519</v>
      </c>
      <c r="H3578" s="12">
        <v>212964</v>
      </c>
    </row>
    <row r="3579" spans="1:8">
      <c r="A3579" s="12" t="s">
        <v>11520</v>
      </c>
      <c r="B3579" s="13">
        <v>0</v>
      </c>
      <c r="C3579" s="16" t="s">
        <v>5331</v>
      </c>
      <c r="D3579" s="12">
        <v>501.9</v>
      </c>
      <c r="E3579" s="12" t="s">
        <v>5332</v>
      </c>
      <c r="F3579" s="12" t="s">
        <v>5328</v>
      </c>
      <c r="G3579" s="12" t="s">
        <v>11521</v>
      </c>
      <c r="H3579" s="12">
        <v>286506</v>
      </c>
    </row>
    <row r="3580" spans="1:8">
      <c r="A3580" s="12" t="s">
        <v>11520</v>
      </c>
      <c r="B3580" s="13">
        <v>0</v>
      </c>
      <c r="C3580" s="16" t="s">
        <v>5331</v>
      </c>
      <c r="D3580" s="12">
        <v>507</v>
      </c>
      <c r="E3580" s="12" t="s">
        <v>5332</v>
      </c>
      <c r="F3580" s="12" t="s">
        <v>5328</v>
      </c>
      <c r="G3580" s="12" t="s">
        <v>11522</v>
      </c>
      <c r="H3580" s="12">
        <v>212565</v>
      </c>
    </row>
    <row r="3581" spans="1:8">
      <c r="A3581" s="12" t="s">
        <v>11523</v>
      </c>
      <c r="B3581" s="13">
        <v>0</v>
      </c>
      <c r="C3581" s="16" t="s">
        <v>5331</v>
      </c>
      <c r="D3581" s="12">
        <v>200.76</v>
      </c>
      <c r="E3581" s="12" t="s">
        <v>5332</v>
      </c>
      <c r="F3581" s="12" t="s">
        <v>5328</v>
      </c>
      <c r="G3581" s="12" t="s">
        <v>11524</v>
      </c>
      <c r="H3581" s="12">
        <v>286505</v>
      </c>
    </row>
    <row r="3582" spans="1:8">
      <c r="A3582" s="12" t="s">
        <v>11525</v>
      </c>
      <c r="B3582" s="13">
        <v>0</v>
      </c>
      <c r="C3582" s="16" t="s">
        <v>5331</v>
      </c>
      <c r="D3582" s="12">
        <v>507</v>
      </c>
      <c r="E3582" s="12" t="s">
        <v>5332</v>
      </c>
      <c r="F3582" s="12" t="s">
        <v>5328</v>
      </c>
      <c r="G3582" s="12" t="s">
        <v>11526</v>
      </c>
      <c r="H3582" s="12">
        <v>212566</v>
      </c>
    </row>
    <row r="3583" spans="1:8">
      <c r="A3583" s="12" t="s">
        <v>11527</v>
      </c>
      <c r="B3583" s="13">
        <v>0</v>
      </c>
      <c r="C3583" s="16" t="s">
        <v>5331</v>
      </c>
      <c r="D3583" s="12">
        <v>507</v>
      </c>
      <c r="E3583" s="12" t="s">
        <v>5332</v>
      </c>
      <c r="F3583" s="12" t="s">
        <v>5328</v>
      </c>
      <c r="G3583" s="12" t="s">
        <v>11528</v>
      </c>
      <c r="H3583" s="12">
        <v>212567</v>
      </c>
    </row>
    <row r="3584" spans="1:8">
      <c r="A3584" s="12" t="s">
        <v>11529</v>
      </c>
      <c r="B3584" s="13">
        <v>0</v>
      </c>
      <c r="C3584" s="16" t="s">
        <v>5331</v>
      </c>
      <c r="D3584" s="12">
        <v>507</v>
      </c>
      <c r="E3584" s="12" t="s">
        <v>5332</v>
      </c>
      <c r="F3584" s="12" t="s">
        <v>5328</v>
      </c>
      <c r="G3584" s="12" t="s">
        <v>11530</v>
      </c>
      <c r="H3584" s="12">
        <v>212765</v>
      </c>
    </row>
    <row r="3585" spans="1:8">
      <c r="A3585" s="12" t="s">
        <v>11531</v>
      </c>
      <c r="B3585" s="13">
        <v>0</v>
      </c>
      <c r="C3585" s="16" t="s">
        <v>5331</v>
      </c>
      <c r="D3585" s="12">
        <v>477</v>
      </c>
      <c r="E3585" s="12" t="s">
        <v>5332</v>
      </c>
      <c r="F3585" s="12" t="s">
        <v>5328</v>
      </c>
      <c r="G3585" s="12" t="s">
        <v>11532</v>
      </c>
      <c r="H3585" s="12">
        <v>212568</v>
      </c>
    </row>
    <row r="3586" spans="1:8">
      <c r="A3586" s="12" t="s">
        <v>11533</v>
      </c>
      <c r="B3586" s="13">
        <v>0</v>
      </c>
      <c r="C3586" s="16" t="s">
        <v>5331</v>
      </c>
      <c r="D3586" s="12">
        <v>477</v>
      </c>
      <c r="E3586" s="12" t="s">
        <v>5332</v>
      </c>
      <c r="F3586" s="12" t="s">
        <v>5328</v>
      </c>
      <c r="G3586" s="12" t="s">
        <v>11534</v>
      </c>
      <c r="H3586" s="12">
        <v>212766</v>
      </c>
    </row>
    <row r="3587" spans="1:8">
      <c r="A3587" s="12" t="s">
        <v>11535</v>
      </c>
      <c r="B3587" s="13">
        <v>0</v>
      </c>
      <c r="C3587" s="16" t="s">
        <v>5331</v>
      </c>
      <c r="D3587" s="12">
        <v>477</v>
      </c>
      <c r="E3587" s="12" t="s">
        <v>5332</v>
      </c>
      <c r="F3587" s="12" t="s">
        <v>5328</v>
      </c>
      <c r="G3587" s="12" t="s">
        <v>11536</v>
      </c>
      <c r="H3587" s="12">
        <v>212865</v>
      </c>
    </row>
    <row r="3588" spans="1:8">
      <c r="A3588" s="12" t="s">
        <v>11537</v>
      </c>
      <c r="B3588" s="13">
        <v>0</v>
      </c>
      <c r="C3588" s="16" t="s">
        <v>5331</v>
      </c>
      <c r="D3588" s="12">
        <v>477</v>
      </c>
      <c r="E3588" s="12" t="s">
        <v>5332</v>
      </c>
      <c r="F3588" s="12" t="s">
        <v>5328</v>
      </c>
      <c r="G3588" s="12" t="s">
        <v>11538</v>
      </c>
      <c r="H3588" s="12">
        <v>212866</v>
      </c>
    </row>
    <row r="3589" spans="1:8">
      <c r="A3589" s="12" t="s">
        <v>11539</v>
      </c>
      <c r="B3589" s="13">
        <v>0</v>
      </c>
      <c r="C3589" s="16" t="s">
        <v>5331</v>
      </c>
      <c r="D3589" s="12">
        <v>477</v>
      </c>
      <c r="E3589" s="12" t="s">
        <v>5332</v>
      </c>
      <c r="F3589" s="12" t="s">
        <v>5328</v>
      </c>
      <c r="G3589" s="12" t="s">
        <v>11540</v>
      </c>
      <c r="H3589" s="12">
        <v>212867</v>
      </c>
    </row>
    <row r="3590" spans="1:8">
      <c r="A3590" s="12" t="s">
        <v>11541</v>
      </c>
      <c r="B3590" s="13">
        <v>362.25</v>
      </c>
      <c r="C3590" s="16" t="s">
        <v>5331</v>
      </c>
      <c r="D3590" s="12">
        <v>501.9</v>
      </c>
      <c r="E3590" s="12" t="s">
        <v>5332</v>
      </c>
      <c r="F3590" s="12" t="s">
        <v>5328</v>
      </c>
      <c r="G3590" s="12" t="s">
        <v>11542</v>
      </c>
      <c r="H3590" s="12">
        <v>212768</v>
      </c>
    </row>
    <row r="3591" spans="1:8">
      <c r="A3591" s="12" t="s">
        <v>11543</v>
      </c>
      <c r="B3591" s="13">
        <v>362.25</v>
      </c>
      <c r="C3591" s="16" t="s">
        <v>5331</v>
      </c>
      <c r="D3591" s="12">
        <v>501.9</v>
      </c>
      <c r="E3591" s="12" t="s">
        <v>5332</v>
      </c>
      <c r="F3591" s="12" t="s">
        <v>5328</v>
      </c>
      <c r="G3591" s="12" t="s">
        <v>11544</v>
      </c>
      <c r="H3591" s="12">
        <v>212569</v>
      </c>
    </row>
    <row r="3592" spans="1:8">
      <c r="A3592" s="12" t="s">
        <v>11545</v>
      </c>
      <c r="B3592" s="13">
        <v>362.25</v>
      </c>
      <c r="C3592" s="16" t="s">
        <v>5331</v>
      </c>
      <c r="D3592" s="12">
        <v>501.9</v>
      </c>
      <c r="E3592" s="12" t="s">
        <v>5332</v>
      </c>
      <c r="F3592" s="12" t="s">
        <v>5328</v>
      </c>
      <c r="G3592" s="12" t="s">
        <v>11546</v>
      </c>
      <c r="H3592" s="12">
        <v>212570</v>
      </c>
    </row>
    <row r="3593" spans="1:8">
      <c r="A3593" s="12" t="s">
        <v>11547</v>
      </c>
      <c r="B3593" s="13">
        <v>362.25</v>
      </c>
      <c r="C3593" s="16" t="s">
        <v>5331</v>
      </c>
      <c r="D3593" s="12">
        <v>501.9</v>
      </c>
      <c r="E3593" s="12" t="s">
        <v>5332</v>
      </c>
      <c r="F3593" s="12" t="s">
        <v>5328</v>
      </c>
      <c r="G3593" s="12" t="s">
        <v>11548</v>
      </c>
      <c r="H3593" s="12">
        <v>212571</v>
      </c>
    </row>
    <row r="3594" spans="1:8">
      <c r="A3594" s="12" t="s">
        <v>11549</v>
      </c>
      <c r="B3594" s="13">
        <v>362.25</v>
      </c>
      <c r="C3594" s="16" t="s">
        <v>5331</v>
      </c>
      <c r="D3594" s="12">
        <v>501.9</v>
      </c>
      <c r="E3594" s="12" t="s">
        <v>5332</v>
      </c>
      <c r="F3594" s="12" t="s">
        <v>5328</v>
      </c>
      <c r="G3594" s="12" t="s">
        <v>11550</v>
      </c>
      <c r="H3594" s="12">
        <v>212572</v>
      </c>
    </row>
    <row r="3595" spans="1:8">
      <c r="A3595" s="12" t="s">
        <v>11551</v>
      </c>
      <c r="B3595" s="13">
        <v>362.25</v>
      </c>
      <c r="C3595" s="16" t="s">
        <v>5331</v>
      </c>
      <c r="D3595" s="12">
        <v>501.9</v>
      </c>
      <c r="E3595" s="12" t="s">
        <v>5332</v>
      </c>
      <c r="F3595" s="12" t="s">
        <v>5328</v>
      </c>
      <c r="G3595" s="12" t="s">
        <v>11552</v>
      </c>
      <c r="H3595" s="12">
        <v>212665</v>
      </c>
    </row>
    <row r="3596" spans="1:8">
      <c r="A3596" s="12" t="s">
        <v>11553</v>
      </c>
      <c r="B3596" s="13">
        <v>362.25</v>
      </c>
      <c r="C3596" s="16" t="s">
        <v>5331</v>
      </c>
      <c r="D3596" s="12">
        <v>501.9</v>
      </c>
      <c r="E3596" s="12" t="s">
        <v>5332</v>
      </c>
      <c r="F3596" s="12" t="s">
        <v>5328</v>
      </c>
      <c r="G3596" s="12" t="s">
        <v>11554</v>
      </c>
      <c r="H3596" s="12">
        <v>212769</v>
      </c>
    </row>
    <row r="3597" spans="1:8">
      <c r="A3597" s="12" t="s">
        <v>11555</v>
      </c>
      <c r="B3597" s="13">
        <v>362.25</v>
      </c>
      <c r="C3597" s="16" t="s">
        <v>5331</v>
      </c>
      <c r="D3597" s="12">
        <v>501.9</v>
      </c>
      <c r="E3597" s="12" t="s">
        <v>5332</v>
      </c>
      <c r="F3597" s="12" t="s">
        <v>5328</v>
      </c>
      <c r="G3597" s="12" t="s">
        <v>11556</v>
      </c>
      <c r="H3597" s="12">
        <v>212770</v>
      </c>
    </row>
    <row r="3598" spans="1:8">
      <c r="A3598" s="12" t="s">
        <v>11557</v>
      </c>
      <c r="B3598" s="13">
        <v>362.25</v>
      </c>
      <c r="C3598" s="16" t="s">
        <v>5331</v>
      </c>
      <c r="D3598" s="12">
        <v>501.9</v>
      </c>
      <c r="E3598" s="12" t="s">
        <v>5332</v>
      </c>
      <c r="F3598" s="12" t="s">
        <v>5328</v>
      </c>
      <c r="G3598" s="12" t="s">
        <v>11558</v>
      </c>
      <c r="H3598" s="12">
        <v>212767</v>
      </c>
    </row>
    <row r="3599" spans="1:8">
      <c r="A3599" s="12" t="s">
        <v>11559</v>
      </c>
      <c r="B3599" s="13">
        <v>0</v>
      </c>
      <c r="C3599" s="16" t="s">
        <v>5331</v>
      </c>
      <c r="D3599" s="12">
        <v>477</v>
      </c>
      <c r="E3599" s="12" t="s">
        <v>5332</v>
      </c>
      <c r="F3599" s="12" t="s">
        <v>5328</v>
      </c>
      <c r="G3599" s="12" t="s">
        <v>11560</v>
      </c>
      <c r="H3599" s="12">
        <v>212868</v>
      </c>
    </row>
    <row r="3600" spans="1:8">
      <c r="A3600" s="12" t="s">
        <v>11561</v>
      </c>
      <c r="B3600" s="13">
        <v>340.5</v>
      </c>
      <c r="C3600" s="16" t="s">
        <v>5331</v>
      </c>
      <c r="D3600" s="12">
        <v>471.45</v>
      </c>
      <c r="E3600" s="12" t="s">
        <v>5332</v>
      </c>
      <c r="F3600" s="12" t="s">
        <v>5328</v>
      </c>
      <c r="G3600" s="12" t="s">
        <v>11562</v>
      </c>
      <c r="H3600" s="12">
        <v>212869</v>
      </c>
    </row>
    <row r="3601" spans="1:8">
      <c r="A3601" s="12" t="s">
        <v>11563</v>
      </c>
      <c r="B3601" s="13">
        <v>340.5</v>
      </c>
      <c r="C3601" s="16" t="s">
        <v>5331</v>
      </c>
      <c r="D3601" s="12">
        <v>471.45</v>
      </c>
      <c r="E3601" s="12" t="s">
        <v>5332</v>
      </c>
      <c r="F3601" s="12" t="s">
        <v>5328</v>
      </c>
      <c r="G3601" s="12" t="s">
        <v>11564</v>
      </c>
      <c r="H3601" s="12">
        <v>213064</v>
      </c>
    </row>
    <row r="3602" spans="1:8">
      <c r="A3602" s="12" t="s">
        <v>11565</v>
      </c>
      <c r="B3602" s="13">
        <v>340.5</v>
      </c>
      <c r="C3602" s="16" t="s">
        <v>5331</v>
      </c>
      <c r="D3602" s="12">
        <v>471.45</v>
      </c>
      <c r="E3602" s="12" t="s">
        <v>5332</v>
      </c>
      <c r="F3602" s="12" t="s">
        <v>5328</v>
      </c>
      <c r="G3602" s="12" t="s">
        <v>11566</v>
      </c>
      <c r="H3602" s="12">
        <v>212666</v>
      </c>
    </row>
    <row r="3603" spans="1:8">
      <c r="A3603" s="12" t="s">
        <v>11567</v>
      </c>
      <c r="B3603" s="13">
        <v>340.5</v>
      </c>
      <c r="C3603" s="16" t="s">
        <v>5331</v>
      </c>
      <c r="D3603" s="12">
        <v>471.45</v>
      </c>
      <c r="E3603" s="12" t="s">
        <v>5332</v>
      </c>
      <c r="F3603" s="12" t="s">
        <v>5328</v>
      </c>
      <c r="G3603" s="12" t="s">
        <v>11568</v>
      </c>
      <c r="H3603" s="12">
        <v>212573</v>
      </c>
    </row>
    <row r="3604" spans="1:8">
      <c r="A3604" s="12" t="s">
        <v>11569</v>
      </c>
      <c r="B3604" s="13">
        <v>362.25</v>
      </c>
      <c r="C3604" s="16" t="s">
        <v>5331</v>
      </c>
      <c r="D3604" s="12">
        <v>501.9</v>
      </c>
      <c r="E3604" s="12" t="s">
        <v>5332</v>
      </c>
      <c r="F3604" s="12" t="s">
        <v>5328</v>
      </c>
      <c r="G3604" s="12" t="s">
        <v>11570</v>
      </c>
      <c r="H3604" s="12">
        <v>212771</v>
      </c>
    </row>
    <row r="3605" spans="1:8">
      <c r="A3605" s="12" t="s">
        <v>11571</v>
      </c>
      <c r="B3605" s="13">
        <v>362.25</v>
      </c>
      <c r="C3605" s="16" t="s">
        <v>5331</v>
      </c>
      <c r="D3605" s="12">
        <v>501.9</v>
      </c>
      <c r="E3605" s="12" t="s">
        <v>5332</v>
      </c>
      <c r="F3605" s="12" t="s">
        <v>5328</v>
      </c>
      <c r="G3605" s="12" t="s">
        <v>11572</v>
      </c>
      <c r="H3605" s="12">
        <v>212575</v>
      </c>
    </row>
    <row r="3606" spans="1:8">
      <c r="A3606" s="12" t="s">
        <v>11573</v>
      </c>
      <c r="B3606" s="13">
        <v>362.25</v>
      </c>
      <c r="C3606" s="16" t="s">
        <v>5331</v>
      </c>
      <c r="D3606" s="12">
        <v>501.9</v>
      </c>
      <c r="E3606" s="12" t="s">
        <v>5332</v>
      </c>
      <c r="F3606" s="12" t="s">
        <v>5328</v>
      </c>
      <c r="G3606" s="12" t="s">
        <v>11574</v>
      </c>
      <c r="H3606" s="12">
        <v>212576</v>
      </c>
    </row>
    <row r="3607" spans="1:8">
      <c r="A3607" s="12" t="s">
        <v>11575</v>
      </c>
      <c r="B3607" s="13">
        <v>362.25</v>
      </c>
      <c r="C3607" s="16" t="s">
        <v>5331</v>
      </c>
      <c r="D3607" s="12">
        <v>501.9</v>
      </c>
      <c r="E3607" s="12" t="s">
        <v>5332</v>
      </c>
      <c r="F3607" s="12" t="s">
        <v>5328</v>
      </c>
      <c r="G3607" s="12" t="s">
        <v>11576</v>
      </c>
      <c r="H3607" s="12">
        <v>212577</v>
      </c>
    </row>
    <row r="3608" spans="1:8">
      <c r="A3608" s="12" t="s">
        <v>11577</v>
      </c>
      <c r="B3608" s="13">
        <v>362.25</v>
      </c>
      <c r="C3608" s="16" t="s">
        <v>5331</v>
      </c>
      <c r="D3608" s="12">
        <v>501.9</v>
      </c>
      <c r="E3608" s="12" t="s">
        <v>5332</v>
      </c>
      <c r="F3608" s="12" t="s">
        <v>5328</v>
      </c>
      <c r="G3608" s="12" t="s">
        <v>11578</v>
      </c>
      <c r="H3608" s="12">
        <v>212772</v>
      </c>
    </row>
    <row r="3609" spans="1:8">
      <c r="A3609" s="12" t="s">
        <v>11579</v>
      </c>
      <c r="B3609" s="13">
        <v>362.25</v>
      </c>
      <c r="C3609" s="16" t="s">
        <v>5331</v>
      </c>
      <c r="D3609" s="12">
        <v>501.9</v>
      </c>
      <c r="E3609" s="12" t="s">
        <v>5332</v>
      </c>
      <c r="F3609" s="12" t="s">
        <v>5328</v>
      </c>
      <c r="G3609" s="12" t="s">
        <v>11580</v>
      </c>
      <c r="H3609" s="12">
        <v>212870</v>
      </c>
    </row>
    <row r="3610" spans="1:8">
      <c r="A3610" s="12" t="s">
        <v>11581</v>
      </c>
      <c r="B3610" s="13">
        <v>362.25</v>
      </c>
      <c r="C3610" s="16" t="s">
        <v>5331</v>
      </c>
      <c r="D3610" s="12">
        <v>501.9</v>
      </c>
      <c r="E3610" s="12" t="s">
        <v>5332</v>
      </c>
      <c r="F3610" s="12" t="s">
        <v>5328</v>
      </c>
      <c r="G3610" s="12" t="s">
        <v>11582</v>
      </c>
      <c r="H3610" s="12">
        <v>212773</v>
      </c>
    </row>
    <row r="3611" spans="1:8">
      <c r="A3611" s="12" t="s">
        <v>11583</v>
      </c>
      <c r="B3611" s="13">
        <v>0</v>
      </c>
      <c r="C3611" s="16" t="s">
        <v>5331</v>
      </c>
      <c r="D3611" s="12">
        <v>501.9</v>
      </c>
      <c r="E3611" s="12" t="s">
        <v>5332</v>
      </c>
      <c r="F3611" s="12" t="s">
        <v>5328</v>
      </c>
      <c r="G3611" s="12" t="s">
        <v>11584</v>
      </c>
      <c r="H3611" s="12">
        <v>212774</v>
      </c>
    </row>
    <row r="3612" spans="1:8">
      <c r="A3612" s="12" t="s">
        <v>11585</v>
      </c>
      <c r="B3612" s="13">
        <v>362.25</v>
      </c>
      <c r="C3612" s="16" t="s">
        <v>5331</v>
      </c>
      <c r="D3612" s="12">
        <v>501.9</v>
      </c>
      <c r="E3612" s="12" t="s">
        <v>5332</v>
      </c>
      <c r="F3612" s="12" t="s">
        <v>5328</v>
      </c>
      <c r="G3612" s="12" t="s">
        <v>11586</v>
      </c>
      <c r="H3612" s="12">
        <v>212871</v>
      </c>
    </row>
    <row r="3613" spans="1:8">
      <c r="A3613" s="12" t="s">
        <v>11587</v>
      </c>
      <c r="B3613" s="13">
        <v>0</v>
      </c>
      <c r="C3613" s="16" t="s">
        <v>5331</v>
      </c>
      <c r="D3613" s="12">
        <v>471.45</v>
      </c>
      <c r="E3613" s="12" t="s">
        <v>5332</v>
      </c>
      <c r="F3613" s="12" t="s">
        <v>5328</v>
      </c>
      <c r="G3613" s="12" t="s">
        <v>11588</v>
      </c>
      <c r="H3613" s="12">
        <v>213065</v>
      </c>
    </row>
    <row r="3614" spans="1:8">
      <c r="A3614" s="12" t="s">
        <v>11589</v>
      </c>
      <c r="B3614" s="13">
        <v>0</v>
      </c>
      <c r="C3614" s="16" t="s">
        <v>5331</v>
      </c>
      <c r="D3614" s="12">
        <v>471.45</v>
      </c>
      <c r="E3614" s="12" t="s">
        <v>5332</v>
      </c>
      <c r="F3614" s="12" t="s">
        <v>5328</v>
      </c>
      <c r="G3614" s="12" t="s">
        <v>11590</v>
      </c>
      <c r="H3614" s="12">
        <v>212578</v>
      </c>
    </row>
    <row r="3615" spans="1:8">
      <c r="A3615" s="12" t="s">
        <v>11591</v>
      </c>
      <c r="B3615" s="13">
        <v>0</v>
      </c>
      <c r="C3615" s="16" t="s">
        <v>5331</v>
      </c>
      <c r="D3615" s="12">
        <v>471.45</v>
      </c>
      <c r="E3615" s="12" t="s">
        <v>5332</v>
      </c>
      <c r="F3615" s="12" t="s">
        <v>5328</v>
      </c>
      <c r="G3615" s="12" t="s">
        <v>11592</v>
      </c>
      <c r="H3615" s="12">
        <v>212579</v>
      </c>
    </row>
    <row r="3616" spans="1:8">
      <c r="A3616" s="12" t="s">
        <v>11593</v>
      </c>
      <c r="B3616" s="13">
        <v>340.5</v>
      </c>
      <c r="C3616" s="16" t="s">
        <v>5331</v>
      </c>
      <c r="D3616" s="12">
        <v>471.45</v>
      </c>
      <c r="E3616" s="12" t="s">
        <v>5332</v>
      </c>
      <c r="F3616" s="12" t="s">
        <v>5328</v>
      </c>
      <c r="G3616" s="12" t="s">
        <v>11594</v>
      </c>
      <c r="H3616" s="12">
        <v>212580</v>
      </c>
    </row>
    <row r="3617" spans="1:8">
      <c r="A3617" s="12" t="s">
        <v>11595</v>
      </c>
      <c r="B3617" s="13">
        <v>340.5</v>
      </c>
      <c r="C3617" s="16" t="s">
        <v>5331</v>
      </c>
      <c r="D3617" s="12">
        <v>471.45</v>
      </c>
      <c r="E3617" s="12" t="s">
        <v>5332</v>
      </c>
      <c r="F3617" s="12" t="s">
        <v>5328</v>
      </c>
      <c r="G3617" s="12" t="s">
        <v>11596</v>
      </c>
      <c r="H3617" s="12">
        <v>212574</v>
      </c>
    </row>
    <row r="3618" spans="1:8">
      <c r="A3618" s="12" t="s">
        <v>11597</v>
      </c>
      <c r="B3618" s="13">
        <v>385.09</v>
      </c>
      <c r="C3618" s="16" t="s">
        <v>5331</v>
      </c>
      <c r="D3618" s="12">
        <v>501.9</v>
      </c>
      <c r="E3618" s="12" t="s">
        <v>5332</v>
      </c>
      <c r="F3618" s="12" t="s">
        <v>5328</v>
      </c>
      <c r="G3618" s="12" t="s">
        <v>11598</v>
      </c>
      <c r="H3618" s="12">
        <v>212775</v>
      </c>
    </row>
    <row r="3619" spans="1:8">
      <c r="A3619" s="12" t="s">
        <v>11599</v>
      </c>
      <c r="B3619" s="13">
        <v>362.25</v>
      </c>
      <c r="C3619" s="16" t="s">
        <v>5331</v>
      </c>
      <c r="D3619" s="12">
        <v>501.9</v>
      </c>
      <c r="E3619" s="12" t="s">
        <v>5332</v>
      </c>
      <c r="F3619" s="12" t="s">
        <v>5328</v>
      </c>
      <c r="G3619" s="12" t="s">
        <v>11600</v>
      </c>
      <c r="H3619" s="12">
        <v>212965</v>
      </c>
    </row>
    <row r="3620" spans="1:8">
      <c r="A3620" s="12" t="s">
        <v>11601</v>
      </c>
      <c r="B3620" s="13">
        <v>362.25</v>
      </c>
      <c r="C3620" s="16" t="s">
        <v>5331</v>
      </c>
      <c r="D3620" s="12">
        <v>501.9</v>
      </c>
      <c r="E3620" s="12" t="s">
        <v>5332</v>
      </c>
      <c r="F3620" s="12" t="s">
        <v>5328</v>
      </c>
      <c r="G3620" s="12" t="s">
        <v>11602</v>
      </c>
      <c r="H3620" s="12">
        <v>212776</v>
      </c>
    </row>
    <row r="3621" spans="1:8">
      <c r="A3621" s="12" t="s">
        <v>11603</v>
      </c>
      <c r="B3621" s="13">
        <v>362.25</v>
      </c>
      <c r="C3621" s="16" t="s">
        <v>5331</v>
      </c>
      <c r="D3621" s="12">
        <v>501.9</v>
      </c>
      <c r="E3621" s="12" t="s">
        <v>5332</v>
      </c>
      <c r="F3621" s="12" t="s">
        <v>5328</v>
      </c>
      <c r="G3621" s="12" t="s">
        <v>11604</v>
      </c>
      <c r="H3621" s="12">
        <v>212777</v>
      </c>
    </row>
    <row r="3622" spans="1:8">
      <c r="A3622" s="12" t="s">
        <v>11605</v>
      </c>
      <c r="B3622" s="13">
        <v>0</v>
      </c>
      <c r="C3622" s="16" t="s">
        <v>5331</v>
      </c>
      <c r="D3622" s="12">
        <v>501.9</v>
      </c>
      <c r="E3622" s="12" t="s">
        <v>5332</v>
      </c>
      <c r="F3622" s="12" t="s">
        <v>5328</v>
      </c>
      <c r="G3622" s="12" t="s">
        <v>11606</v>
      </c>
      <c r="H3622" s="12">
        <v>212872</v>
      </c>
    </row>
    <row r="3623" spans="1:8">
      <c r="A3623" s="12" t="s">
        <v>11607</v>
      </c>
      <c r="B3623" s="13">
        <v>362.25</v>
      </c>
      <c r="C3623" s="16" t="s">
        <v>5331</v>
      </c>
      <c r="D3623" s="12">
        <v>501.9</v>
      </c>
      <c r="E3623" s="12" t="s">
        <v>5332</v>
      </c>
      <c r="F3623" s="12" t="s">
        <v>5328</v>
      </c>
      <c r="G3623" s="12" t="s">
        <v>11608</v>
      </c>
      <c r="H3623" s="12">
        <v>212874</v>
      </c>
    </row>
    <row r="3624" spans="1:8">
      <c r="A3624" s="12" t="s">
        <v>11609</v>
      </c>
      <c r="B3624" s="13">
        <v>362.25</v>
      </c>
      <c r="C3624" s="16" t="s">
        <v>5331</v>
      </c>
      <c r="D3624" s="12">
        <v>501.9</v>
      </c>
      <c r="E3624" s="12" t="s">
        <v>5332</v>
      </c>
      <c r="F3624" s="12" t="s">
        <v>5328</v>
      </c>
      <c r="G3624" s="12" t="s">
        <v>11610</v>
      </c>
      <c r="H3624" s="12">
        <v>212873</v>
      </c>
    </row>
    <row r="3625" spans="1:8">
      <c r="A3625" s="12" t="s">
        <v>11611</v>
      </c>
      <c r="B3625" s="13">
        <v>362.25</v>
      </c>
      <c r="C3625" s="16" t="s">
        <v>5331</v>
      </c>
      <c r="D3625" s="12">
        <v>501.9</v>
      </c>
      <c r="E3625" s="12" t="s">
        <v>5332</v>
      </c>
      <c r="F3625" s="12" t="s">
        <v>5328</v>
      </c>
      <c r="G3625" s="12" t="s">
        <v>11612</v>
      </c>
      <c r="H3625" s="12">
        <v>212581</v>
      </c>
    </row>
    <row r="3626" spans="1:8">
      <c r="A3626" s="12" t="s">
        <v>11613</v>
      </c>
      <c r="B3626" s="13">
        <v>362.25</v>
      </c>
      <c r="C3626" s="16" t="s">
        <v>5331</v>
      </c>
      <c r="D3626" s="12">
        <v>501.9</v>
      </c>
      <c r="E3626" s="12" t="s">
        <v>5332</v>
      </c>
      <c r="F3626" s="12" t="s">
        <v>5328</v>
      </c>
      <c r="G3626" s="12" t="s">
        <v>11614</v>
      </c>
      <c r="H3626" s="12">
        <v>212583</v>
      </c>
    </row>
    <row r="3627" spans="1:8">
      <c r="A3627" s="12" t="s">
        <v>11615</v>
      </c>
      <c r="B3627" s="13">
        <v>340.5</v>
      </c>
      <c r="C3627" s="16" t="s">
        <v>5331</v>
      </c>
      <c r="D3627" s="12">
        <v>471.45</v>
      </c>
      <c r="E3627" s="12" t="s">
        <v>5332</v>
      </c>
      <c r="F3627" s="12" t="s">
        <v>5328</v>
      </c>
      <c r="G3627" s="12" t="s">
        <v>11616</v>
      </c>
      <c r="H3627" s="12">
        <v>212667</v>
      </c>
    </row>
    <row r="3628" spans="1:8">
      <c r="A3628" s="12" t="s">
        <v>11617</v>
      </c>
      <c r="B3628" s="13">
        <v>0</v>
      </c>
      <c r="C3628" s="16" t="s">
        <v>5331</v>
      </c>
      <c r="D3628" s="12">
        <v>471.45</v>
      </c>
      <c r="E3628" s="12" t="s">
        <v>5332</v>
      </c>
      <c r="F3628" s="12" t="s">
        <v>5328</v>
      </c>
      <c r="G3628" s="12" t="s">
        <v>11618</v>
      </c>
      <c r="H3628" s="12">
        <v>212582</v>
      </c>
    </row>
    <row r="3629" spans="1:8">
      <c r="A3629" s="12" t="s">
        <v>11619</v>
      </c>
      <c r="B3629" s="13">
        <v>340.5</v>
      </c>
      <c r="C3629" s="16" t="s">
        <v>5331</v>
      </c>
      <c r="D3629" s="12">
        <v>471.45</v>
      </c>
      <c r="E3629" s="12" t="s">
        <v>5332</v>
      </c>
      <c r="F3629" s="12" t="s">
        <v>5328</v>
      </c>
      <c r="G3629" s="12" t="s">
        <v>11620</v>
      </c>
      <c r="H3629" s="12">
        <v>212585</v>
      </c>
    </row>
    <row r="3630" spans="1:8">
      <c r="A3630" s="12" t="s">
        <v>11621</v>
      </c>
      <c r="B3630" s="13">
        <v>340.5</v>
      </c>
      <c r="C3630" s="16" t="s">
        <v>5331</v>
      </c>
      <c r="D3630" s="12">
        <v>471.45</v>
      </c>
      <c r="E3630" s="12" t="s">
        <v>5332</v>
      </c>
      <c r="F3630" s="12" t="s">
        <v>5328</v>
      </c>
      <c r="G3630" s="12" t="s">
        <v>11622</v>
      </c>
      <c r="H3630" s="12">
        <v>212584</v>
      </c>
    </row>
    <row r="3631" spans="1:8">
      <c r="A3631" s="12" t="s">
        <v>11623</v>
      </c>
      <c r="B3631" s="13">
        <v>340.5</v>
      </c>
      <c r="C3631" s="16" t="s">
        <v>5331</v>
      </c>
      <c r="D3631" s="12">
        <v>471.45</v>
      </c>
      <c r="E3631" s="12" t="s">
        <v>5332</v>
      </c>
      <c r="F3631" s="12" t="s">
        <v>5328</v>
      </c>
      <c r="G3631" s="12" t="s">
        <v>11624</v>
      </c>
      <c r="H3631" s="12">
        <v>212778</v>
      </c>
    </row>
    <row r="3632" spans="1:8">
      <c r="A3632" s="12" t="s">
        <v>11625</v>
      </c>
      <c r="B3632" s="13">
        <v>0</v>
      </c>
      <c r="C3632" s="16" t="s">
        <v>5331</v>
      </c>
      <c r="D3632" s="12">
        <v>501.9</v>
      </c>
      <c r="E3632" s="12" t="s">
        <v>5332</v>
      </c>
      <c r="F3632" s="12" t="s">
        <v>5328</v>
      </c>
      <c r="G3632" s="12" t="s">
        <v>11626</v>
      </c>
      <c r="H3632" s="12">
        <v>216205</v>
      </c>
    </row>
    <row r="3633" spans="1:8">
      <c r="A3633" s="12" t="s">
        <v>11627</v>
      </c>
      <c r="B3633" s="13">
        <v>0</v>
      </c>
      <c r="C3633" s="16" t="s">
        <v>5331</v>
      </c>
      <c r="D3633" s="12">
        <v>501.9</v>
      </c>
      <c r="E3633" s="12" t="s">
        <v>5332</v>
      </c>
      <c r="F3633" s="12" t="s">
        <v>5328</v>
      </c>
      <c r="G3633" s="12" t="s">
        <v>11628</v>
      </c>
      <c r="H3633" s="12">
        <v>216004</v>
      </c>
    </row>
    <row r="3634" spans="1:8">
      <c r="A3634" s="12" t="s">
        <v>11629</v>
      </c>
      <c r="B3634" s="13">
        <v>362.25</v>
      </c>
      <c r="C3634" s="16" t="s">
        <v>5331</v>
      </c>
      <c r="D3634" s="12">
        <v>501.9</v>
      </c>
      <c r="E3634" s="12" t="s">
        <v>5332</v>
      </c>
      <c r="F3634" s="12" t="s">
        <v>5328</v>
      </c>
      <c r="G3634" s="12" t="s">
        <v>11630</v>
      </c>
      <c r="H3634" s="12">
        <v>216206</v>
      </c>
    </row>
    <row r="3635" spans="1:8">
      <c r="A3635" s="12" t="s">
        <v>11631</v>
      </c>
      <c r="B3635" s="13">
        <v>362.25</v>
      </c>
      <c r="C3635" s="16" t="s">
        <v>5331</v>
      </c>
      <c r="D3635" s="12">
        <v>501.9</v>
      </c>
      <c r="E3635" s="12" t="s">
        <v>5332</v>
      </c>
      <c r="F3635" s="12" t="s">
        <v>5328</v>
      </c>
      <c r="G3635" s="12" t="s">
        <v>11632</v>
      </c>
      <c r="H3635" s="12">
        <v>216107</v>
      </c>
    </row>
    <row r="3636" spans="1:8">
      <c r="A3636" s="12" t="s">
        <v>11633</v>
      </c>
      <c r="B3636" s="13">
        <v>0</v>
      </c>
      <c r="C3636" s="16" t="s">
        <v>5331</v>
      </c>
      <c r="D3636" s="12">
        <v>501.9</v>
      </c>
      <c r="E3636" s="12" t="s">
        <v>5332</v>
      </c>
      <c r="F3636" s="12" t="s">
        <v>5328</v>
      </c>
      <c r="G3636" s="12" t="s">
        <v>11634</v>
      </c>
      <c r="H3636" s="12">
        <v>216106</v>
      </c>
    </row>
    <row r="3637" spans="1:8">
      <c r="A3637" s="12" t="s">
        <v>11635</v>
      </c>
      <c r="B3637" s="13">
        <v>362.25</v>
      </c>
      <c r="C3637" s="16" t="s">
        <v>5331</v>
      </c>
      <c r="D3637" s="12">
        <v>501.9</v>
      </c>
      <c r="E3637" s="12" t="s">
        <v>5332</v>
      </c>
      <c r="F3637" s="12" t="s">
        <v>5328</v>
      </c>
      <c r="G3637" s="12" t="s">
        <v>11636</v>
      </c>
      <c r="H3637" s="12">
        <v>216108</v>
      </c>
    </row>
    <row r="3638" spans="1:8">
      <c r="A3638" s="12" t="s">
        <v>11637</v>
      </c>
      <c r="B3638" s="13">
        <v>0</v>
      </c>
      <c r="C3638" s="16" t="s">
        <v>5331</v>
      </c>
      <c r="D3638" s="12">
        <v>501.9</v>
      </c>
      <c r="E3638" s="12" t="s">
        <v>5332</v>
      </c>
      <c r="F3638" s="12" t="s">
        <v>5328</v>
      </c>
      <c r="G3638" s="12" t="s">
        <v>11638</v>
      </c>
      <c r="H3638" s="12">
        <v>216104</v>
      </c>
    </row>
    <row r="3639" spans="1:8">
      <c r="A3639" s="12" t="s">
        <v>11639</v>
      </c>
      <c r="B3639" s="13">
        <v>362.25</v>
      </c>
      <c r="C3639" s="16" t="s">
        <v>5331</v>
      </c>
      <c r="D3639" s="12">
        <v>501.9</v>
      </c>
      <c r="E3639" s="12" t="s">
        <v>5332</v>
      </c>
      <c r="F3639" s="12" t="s">
        <v>5328</v>
      </c>
      <c r="G3639" s="12" t="s">
        <v>11640</v>
      </c>
      <c r="H3639" s="12">
        <v>216105</v>
      </c>
    </row>
    <row r="3640" spans="1:8">
      <c r="A3640" s="12" t="s">
        <v>11641</v>
      </c>
      <c r="B3640" s="13">
        <v>362.25</v>
      </c>
      <c r="C3640" s="16" t="s">
        <v>5331</v>
      </c>
      <c r="D3640" s="12">
        <v>501.9</v>
      </c>
      <c r="E3640" s="12" t="s">
        <v>5332</v>
      </c>
      <c r="F3640" s="12" t="s">
        <v>5328</v>
      </c>
      <c r="G3640" s="12" t="s">
        <v>11642</v>
      </c>
      <c r="H3640" s="12">
        <v>216304</v>
      </c>
    </row>
    <row r="3641" spans="1:8">
      <c r="A3641" s="12" t="s">
        <v>11643</v>
      </c>
      <c r="B3641" s="13">
        <v>340.5</v>
      </c>
      <c r="C3641" s="16" t="s">
        <v>5331</v>
      </c>
      <c r="D3641" s="12">
        <v>471.45</v>
      </c>
      <c r="E3641" s="12" t="s">
        <v>5332</v>
      </c>
      <c r="F3641" s="12" t="s">
        <v>5328</v>
      </c>
      <c r="G3641" s="12" t="s">
        <v>11644</v>
      </c>
      <c r="H3641" s="12">
        <v>216305</v>
      </c>
    </row>
    <row r="3642" spans="1:8">
      <c r="A3642" s="12" t="s">
        <v>11645</v>
      </c>
      <c r="B3642" s="13">
        <v>0</v>
      </c>
      <c r="C3642" s="16" t="s">
        <v>5331</v>
      </c>
      <c r="D3642" s="12">
        <v>471.45</v>
      </c>
      <c r="E3642" s="12" t="s">
        <v>5332</v>
      </c>
      <c r="F3642" s="12" t="s">
        <v>5328</v>
      </c>
      <c r="G3642" s="12" t="s">
        <v>11646</v>
      </c>
      <c r="H3642" s="12">
        <v>216306</v>
      </c>
    </row>
    <row r="3643" spans="1:8">
      <c r="A3643" s="12" t="s">
        <v>11647</v>
      </c>
      <c r="B3643" s="13">
        <v>340.5</v>
      </c>
      <c r="C3643" s="16" t="s">
        <v>5331</v>
      </c>
      <c r="D3643" s="12">
        <v>471.45</v>
      </c>
      <c r="E3643" s="12" t="s">
        <v>5332</v>
      </c>
      <c r="F3643" s="12" t="s">
        <v>5328</v>
      </c>
      <c r="G3643" s="12" t="s">
        <v>11648</v>
      </c>
      <c r="H3643" s="12">
        <v>216307</v>
      </c>
    </row>
    <row r="3644" spans="1:8">
      <c r="A3644" s="12" t="s">
        <v>11649</v>
      </c>
      <c r="B3644" s="13">
        <v>340.5</v>
      </c>
      <c r="C3644" s="16" t="s">
        <v>5331</v>
      </c>
      <c r="D3644" s="12">
        <v>471.45</v>
      </c>
      <c r="E3644" s="12" t="s">
        <v>5332</v>
      </c>
      <c r="F3644" s="12" t="s">
        <v>5328</v>
      </c>
      <c r="G3644" s="12" t="s">
        <v>11650</v>
      </c>
      <c r="H3644" s="12">
        <v>216204</v>
      </c>
    </row>
    <row r="3645" spans="1:8">
      <c r="A3645" s="12" t="s">
        <v>11651</v>
      </c>
      <c r="B3645" s="13">
        <v>340.5</v>
      </c>
      <c r="C3645" s="16" t="s">
        <v>5331</v>
      </c>
      <c r="D3645" s="12">
        <v>471.45</v>
      </c>
      <c r="E3645" s="12" t="s">
        <v>5332</v>
      </c>
      <c r="F3645" s="12" t="s">
        <v>5328</v>
      </c>
      <c r="G3645" s="12" t="s">
        <v>11652</v>
      </c>
      <c r="H3645" s="12">
        <v>216308</v>
      </c>
    </row>
    <row r="3646" spans="1:8">
      <c r="A3646" s="12" t="s">
        <v>11653</v>
      </c>
      <c r="B3646" s="13">
        <v>0</v>
      </c>
      <c r="C3646" s="16" t="s">
        <v>5331</v>
      </c>
      <c r="D3646" s="12">
        <v>501.9</v>
      </c>
      <c r="E3646" s="12" t="s">
        <v>5332</v>
      </c>
      <c r="F3646" s="12" t="s">
        <v>5328</v>
      </c>
      <c r="G3646" s="12" t="s">
        <v>11654</v>
      </c>
      <c r="H3646" s="12">
        <v>212966</v>
      </c>
    </row>
    <row r="3647" spans="1:8">
      <c r="A3647" s="12" t="s">
        <v>11655</v>
      </c>
      <c r="B3647" s="13">
        <v>0</v>
      </c>
      <c r="C3647" s="16" t="s">
        <v>5331</v>
      </c>
      <c r="D3647" s="12">
        <v>501.9</v>
      </c>
      <c r="E3647" s="12" t="s">
        <v>5332</v>
      </c>
      <c r="F3647" s="12" t="s">
        <v>5328</v>
      </c>
      <c r="G3647" s="12" t="s">
        <v>11656</v>
      </c>
      <c r="H3647" s="12">
        <v>212587</v>
      </c>
    </row>
    <row r="3648" spans="1:8">
      <c r="A3648" s="12" t="s">
        <v>11657</v>
      </c>
      <c r="B3648" s="13">
        <v>362.25</v>
      </c>
      <c r="C3648" s="16" t="s">
        <v>5331</v>
      </c>
      <c r="D3648" s="12">
        <v>501.9</v>
      </c>
      <c r="E3648" s="12" t="s">
        <v>5332</v>
      </c>
      <c r="F3648" s="12" t="s">
        <v>5328</v>
      </c>
      <c r="G3648" s="12" t="s">
        <v>11658</v>
      </c>
      <c r="H3648" s="12">
        <v>212668</v>
      </c>
    </row>
    <row r="3649" spans="1:8">
      <c r="A3649" s="12" t="s">
        <v>11659</v>
      </c>
      <c r="B3649" s="13">
        <v>362.25</v>
      </c>
      <c r="C3649" s="16" t="s">
        <v>5331</v>
      </c>
      <c r="D3649" s="12">
        <v>501.9</v>
      </c>
      <c r="E3649" s="12" t="s">
        <v>5332</v>
      </c>
      <c r="F3649" s="12" t="s">
        <v>5328</v>
      </c>
      <c r="G3649" s="12" t="s">
        <v>11660</v>
      </c>
      <c r="H3649" s="12">
        <v>212780</v>
      </c>
    </row>
    <row r="3650" spans="1:8">
      <c r="A3650" s="12" t="s">
        <v>11661</v>
      </c>
      <c r="B3650" s="13">
        <v>362.25</v>
      </c>
      <c r="C3650" s="16" t="s">
        <v>5331</v>
      </c>
      <c r="D3650" s="12">
        <v>501.9</v>
      </c>
      <c r="E3650" s="12" t="s">
        <v>5332</v>
      </c>
      <c r="F3650" s="12" t="s">
        <v>5328</v>
      </c>
      <c r="G3650" s="12" t="s">
        <v>11662</v>
      </c>
      <c r="H3650" s="12">
        <v>212670</v>
      </c>
    </row>
    <row r="3651" spans="1:8">
      <c r="A3651" s="12" t="s">
        <v>11663</v>
      </c>
      <c r="B3651" s="13">
        <v>362.25</v>
      </c>
      <c r="C3651" s="16" t="s">
        <v>5331</v>
      </c>
      <c r="D3651" s="12">
        <v>501.9</v>
      </c>
      <c r="E3651" s="12" t="s">
        <v>5332</v>
      </c>
      <c r="F3651" s="12" t="s">
        <v>5328</v>
      </c>
      <c r="G3651" s="12" t="s">
        <v>11664</v>
      </c>
      <c r="H3651" s="12">
        <v>212779</v>
      </c>
    </row>
    <row r="3652" spans="1:8">
      <c r="A3652" s="12" t="s">
        <v>11665</v>
      </c>
      <c r="B3652" s="13">
        <v>0</v>
      </c>
      <c r="C3652" s="16" t="s">
        <v>5331</v>
      </c>
      <c r="D3652" s="12">
        <v>501.9</v>
      </c>
      <c r="E3652" s="12" t="s">
        <v>5332</v>
      </c>
      <c r="F3652" s="12" t="s">
        <v>5328</v>
      </c>
      <c r="G3652" s="12" t="s">
        <v>11666</v>
      </c>
      <c r="H3652" s="12">
        <v>212589</v>
      </c>
    </row>
    <row r="3653" spans="1:8">
      <c r="A3653" s="12" t="s">
        <v>11667</v>
      </c>
      <c r="B3653" s="13">
        <v>362.25</v>
      </c>
      <c r="C3653" s="16" t="s">
        <v>5331</v>
      </c>
      <c r="D3653" s="12">
        <v>501.9</v>
      </c>
      <c r="E3653" s="12" t="s">
        <v>5332</v>
      </c>
      <c r="F3653" s="12" t="s">
        <v>5328</v>
      </c>
      <c r="G3653" s="12" t="s">
        <v>11668</v>
      </c>
      <c r="H3653" s="12">
        <v>212669</v>
      </c>
    </row>
    <row r="3654" spans="1:8">
      <c r="A3654" s="12" t="s">
        <v>11669</v>
      </c>
      <c r="B3654" s="13">
        <v>362.25</v>
      </c>
      <c r="C3654" s="16" t="s">
        <v>5331</v>
      </c>
      <c r="D3654" s="12">
        <v>501.9</v>
      </c>
      <c r="E3654" s="12" t="s">
        <v>5332</v>
      </c>
      <c r="F3654" s="12" t="s">
        <v>5328</v>
      </c>
      <c r="G3654" s="12" t="s">
        <v>11670</v>
      </c>
      <c r="H3654" s="12">
        <v>212588</v>
      </c>
    </row>
    <row r="3655" spans="1:8">
      <c r="A3655" s="12" t="s">
        <v>11671</v>
      </c>
      <c r="B3655" s="13">
        <v>340.5</v>
      </c>
      <c r="C3655" s="16" t="s">
        <v>5331</v>
      </c>
      <c r="D3655" s="12">
        <v>471.45</v>
      </c>
      <c r="E3655" s="12" t="s">
        <v>5332</v>
      </c>
      <c r="F3655" s="12" t="s">
        <v>5328</v>
      </c>
      <c r="G3655" s="12" t="s">
        <v>11672</v>
      </c>
      <c r="H3655" s="12">
        <v>212590</v>
      </c>
    </row>
    <row r="3656" spans="1:8">
      <c r="A3656" s="12" t="s">
        <v>11673</v>
      </c>
      <c r="B3656" s="13">
        <v>340.5</v>
      </c>
      <c r="C3656" s="16" t="s">
        <v>5331</v>
      </c>
      <c r="D3656" s="12">
        <v>471.45</v>
      </c>
      <c r="E3656" s="12" t="s">
        <v>5332</v>
      </c>
      <c r="F3656" s="12" t="s">
        <v>5328</v>
      </c>
      <c r="G3656" s="12" t="s">
        <v>11674</v>
      </c>
      <c r="H3656" s="12">
        <v>212586</v>
      </c>
    </row>
    <row r="3657" spans="1:8">
      <c r="A3657" s="12" t="s">
        <v>11675</v>
      </c>
      <c r="B3657" s="13">
        <v>0</v>
      </c>
      <c r="C3657" s="16" t="s">
        <v>5331</v>
      </c>
      <c r="D3657" s="12">
        <v>471.45</v>
      </c>
      <c r="E3657" s="12" t="s">
        <v>5332</v>
      </c>
      <c r="F3657" s="12" t="s">
        <v>5328</v>
      </c>
      <c r="G3657" s="12" t="s">
        <v>11676</v>
      </c>
      <c r="H3657" s="12">
        <v>212591</v>
      </c>
    </row>
    <row r="3658" spans="1:8">
      <c r="A3658" s="12" t="s">
        <v>11677</v>
      </c>
      <c r="B3658" s="13">
        <v>0</v>
      </c>
      <c r="C3658" s="16" t="s">
        <v>5331</v>
      </c>
      <c r="D3658" s="12">
        <v>471.45</v>
      </c>
      <c r="E3658" s="12" t="s">
        <v>5332</v>
      </c>
      <c r="F3658" s="12" t="s">
        <v>5328</v>
      </c>
      <c r="G3658" s="12" t="s">
        <v>11678</v>
      </c>
      <c r="H3658" s="12">
        <v>213164</v>
      </c>
    </row>
    <row r="3659" spans="1:8">
      <c r="A3659" s="12" t="s">
        <v>11679</v>
      </c>
      <c r="B3659" s="13">
        <v>340.5</v>
      </c>
      <c r="C3659" s="16" t="s">
        <v>5331</v>
      </c>
      <c r="D3659" s="12">
        <v>471.45</v>
      </c>
      <c r="E3659" s="12" t="s">
        <v>5332</v>
      </c>
      <c r="F3659" s="12" t="s">
        <v>5328</v>
      </c>
      <c r="G3659" s="12" t="s">
        <v>11680</v>
      </c>
      <c r="H3659" s="12">
        <v>212671</v>
      </c>
    </row>
    <row r="3660" spans="1:8">
      <c r="A3660" s="12" t="s">
        <v>11681</v>
      </c>
      <c r="B3660" s="13">
        <v>362.25</v>
      </c>
      <c r="C3660" s="16" t="s">
        <v>5331</v>
      </c>
      <c r="D3660" s="12">
        <v>501.9</v>
      </c>
      <c r="E3660" s="12" t="s">
        <v>5332</v>
      </c>
      <c r="F3660" s="12" t="s">
        <v>5328</v>
      </c>
      <c r="G3660" s="12" t="s">
        <v>11682</v>
      </c>
      <c r="H3660" s="12">
        <v>212673</v>
      </c>
    </row>
    <row r="3661" spans="1:8">
      <c r="A3661" s="12" t="s">
        <v>11683</v>
      </c>
      <c r="B3661" s="13">
        <v>362.25</v>
      </c>
      <c r="C3661" s="16" t="s">
        <v>5331</v>
      </c>
      <c r="D3661" s="12">
        <v>501.9</v>
      </c>
      <c r="E3661" s="12" t="s">
        <v>5332</v>
      </c>
      <c r="F3661" s="12" t="s">
        <v>5328</v>
      </c>
      <c r="G3661" s="12" t="s">
        <v>11684</v>
      </c>
      <c r="H3661" s="12">
        <v>212593</v>
      </c>
    </row>
    <row r="3662" spans="1:8">
      <c r="A3662" s="12" t="s">
        <v>11685</v>
      </c>
      <c r="B3662" s="13">
        <v>362.25</v>
      </c>
      <c r="C3662" s="16" t="s">
        <v>5331</v>
      </c>
      <c r="D3662" s="12">
        <v>501.9</v>
      </c>
      <c r="E3662" s="12" t="s">
        <v>5332</v>
      </c>
      <c r="F3662" s="12" t="s">
        <v>5328</v>
      </c>
      <c r="G3662" s="12" t="s">
        <v>11686</v>
      </c>
      <c r="H3662" s="12">
        <v>212783</v>
      </c>
    </row>
    <row r="3663" spans="1:8">
      <c r="A3663" s="12" t="s">
        <v>11687</v>
      </c>
      <c r="B3663" s="13">
        <v>362.25</v>
      </c>
      <c r="C3663" s="16" t="s">
        <v>5331</v>
      </c>
      <c r="D3663" s="12">
        <v>501.9</v>
      </c>
      <c r="E3663" s="12" t="s">
        <v>5332</v>
      </c>
      <c r="F3663" s="12" t="s">
        <v>5328</v>
      </c>
      <c r="G3663" s="12" t="s">
        <v>11688</v>
      </c>
      <c r="H3663" s="12">
        <v>212672</v>
      </c>
    </row>
    <row r="3664" spans="1:8">
      <c r="A3664" s="12" t="s">
        <v>11689</v>
      </c>
      <c r="B3664" s="13">
        <v>0</v>
      </c>
      <c r="C3664" s="16" t="s">
        <v>5331</v>
      </c>
      <c r="D3664" s="12">
        <v>501.9</v>
      </c>
      <c r="E3664" s="12" t="s">
        <v>5332</v>
      </c>
      <c r="F3664" s="12" t="s">
        <v>5328</v>
      </c>
      <c r="G3664" s="12" t="s">
        <v>11690</v>
      </c>
      <c r="H3664" s="12">
        <v>212674</v>
      </c>
    </row>
    <row r="3665" spans="1:8">
      <c r="A3665" s="12" t="s">
        <v>11691</v>
      </c>
      <c r="B3665" s="13">
        <v>362.25</v>
      </c>
      <c r="C3665" s="16" t="s">
        <v>5331</v>
      </c>
      <c r="D3665" s="12">
        <v>501.9</v>
      </c>
      <c r="E3665" s="12" t="s">
        <v>5332</v>
      </c>
      <c r="F3665" s="12" t="s">
        <v>5328</v>
      </c>
      <c r="G3665" s="12" t="s">
        <v>11692</v>
      </c>
      <c r="H3665" s="12">
        <v>212675</v>
      </c>
    </row>
    <row r="3666" spans="1:8">
      <c r="A3666" s="12" t="s">
        <v>11693</v>
      </c>
      <c r="B3666" s="13">
        <v>362.25</v>
      </c>
      <c r="C3666" s="16" t="s">
        <v>5331</v>
      </c>
      <c r="D3666" s="12">
        <v>501.9</v>
      </c>
      <c r="E3666" s="12" t="s">
        <v>5332</v>
      </c>
      <c r="F3666" s="12" t="s">
        <v>5328</v>
      </c>
      <c r="G3666" s="12" t="s">
        <v>11694</v>
      </c>
      <c r="H3666" s="12">
        <v>212594</v>
      </c>
    </row>
    <row r="3667" spans="1:8">
      <c r="A3667" s="12" t="s">
        <v>11695</v>
      </c>
      <c r="B3667" s="13">
        <v>362.25</v>
      </c>
      <c r="C3667" s="16" t="s">
        <v>5331</v>
      </c>
      <c r="D3667" s="12">
        <v>501.9</v>
      </c>
      <c r="E3667" s="12" t="s">
        <v>5332</v>
      </c>
      <c r="F3667" s="12" t="s">
        <v>5328</v>
      </c>
      <c r="G3667" s="12" t="s">
        <v>11696</v>
      </c>
      <c r="H3667" s="12">
        <v>212595</v>
      </c>
    </row>
    <row r="3668" spans="1:8">
      <c r="A3668" s="12" t="s">
        <v>11697</v>
      </c>
      <c r="B3668" s="13">
        <v>362.25</v>
      </c>
      <c r="C3668" s="16" t="s">
        <v>5331</v>
      </c>
      <c r="D3668" s="12">
        <v>501.9</v>
      </c>
      <c r="E3668" s="12" t="s">
        <v>5332</v>
      </c>
      <c r="F3668" s="12" t="s">
        <v>5328</v>
      </c>
      <c r="G3668" s="12" t="s">
        <v>11698</v>
      </c>
      <c r="H3668" s="12">
        <v>212782</v>
      </c>
    </row>
    <row r="3669" spans="1:8">
      <c r="A3669" s="12" t="s">
        <v>11699</v>
      </c>
      <c r="B3669" s="13">
        <v>0</v>
      </c>
      <c r="C3669" s="16" t="s">
        <v>5331</v>
      </c>
      <c r="D3669" s="12">
        <v>477</v>
      </c>
      <c r="E3669" s="12" t="s">
        <v>5332</v>
      </c>
      <c r="F3669" s="12" t="s">
        <v>5328</v>
      </c>
      <c r="G3669" s="12" t="s">
        <v>11700</v>
      </c>
      <c r="H3669" s="12">
        <v>212781</v>
      </c>
    </row>
    <row r="3670" spans="1:8">
      <c r="A3670" s="12" t="s">
        <v>11701</v>
      </c>
      <c r="B3670" s="13">
        <v>340.5</v>
      </c>
      <c r="C3670" s="16" t="s">
        <v>5331</v>
      </c>
      <c r="D3670" s="12">
        <v>471.45</v>
      </c>
      <c r="E3670" s="12" t="s">
        <v>5332</v>
      </c>
      <c r="F3670" s="12" t="s">
        <v>5328</v>
      </c>
      <c r="G3670" s="12" t="s">
        <v>11702</v>
      </c>
      <c r="H3670" s="12">
        <v>212596</v>
      </c>
    </row>
    <row r="3671" spans="1:8">
      <c r="A3671" s="12" t="s">
        <v>11703</v>
      </c>
      <c r="B3671" s="13">
        <v>340.5</v>
      </c>
      <c r="C3671" s="16" t="s">
        <v>5331</v>
      </c>
      <c r="D3671" s="12">
        <v>471.45</v>
      </c>
      <c r="E3671" s="12" t="s">
        <v>5332</v>
      </c>
      <c r="F3671" s="12" t="s">
        <v>5328</v>
      </c>
      <c r="G3671" s="12" t="s">
        <v>11704</v>
      </c>
      <c r="H3671" s="12">
        <v>212875</v>
      </c>
    </row>
    <row r="3672" spans="1:8">
      <c r="A3672" s="12" t="s">
        <v>11705</v>
      </c>
      <c r="B3672" s="13">
        <v>340.5</v>
      </c>
      <c r="C3672" s="16" t="s">
        <v>5331</v>
      </c>
      <c r="D3672" s="12">
        <v>471.45</v>
      </c>
      <c r="E3672" s="12" t="s">
        <v>5332</v>
      </c>
      <c r="F3672" s="12" t="s">
        <v>5328</v>
      </c>
      <c r="G3672" s="12" t="s">
        <v>11706</v>
      </c>
      <c r="H3672" s="12">
        <v>212592</v>
      </c>
    </row>
    <row r="3673" spans="1:8">
      <c r="A3673" s="12" t="s">
        <v>11707</v>
      </c>
      <c r="B3673" s="13">
        <v>340.5</v>
      </c>
      <c r="C3673" s="16" t="s">
        <v>5331</v>
      </c>
      <c r="D3673" s="12">
        <v>471.45</v>
      </c>
      <c r="E3673" s="12" t="s">
        <v>5332</v>
      </c>
      <c r="F3673" s="12" t="s">
        <v>5328</v>
      </c>
      <c r="G3673" s="12" t="s">
        <v>11708</v>
      </c>
      <c r="H3673" s="12">
        <v>212784</v>
      </c>
    </row>
    <row r="3674" spans="1:8">
      <c r="A3674" s="12" t="s">
        <v>11709</v>
      </c>
      <c r="B3674" s="13">
        <v>362.25</v>
      </c>
      <c r="C3674" s="16" t="s">
        <v>5331</v>
      </c>
      <c r="D3674" s="12">
        <v>501.9</v>
      </c>
      <c r="E3674" s="12" t="s">
        <v>5332</v>
      </c>
      <c r="F3674" s="12" t="s">
        <v>5328</v>
      </c>
      <c r="G3674" s="12" t="s">
        <v>11710</v>
      </c>
      <c r="H3674" s="12">
        <v>231127</v>
      </c>
    </row>
    <row r="3675" spans="1:8">
      <c r="A3675" s="12" t="s">
        <v>11711</v>
      </c>
      <c r="B3675" s="13">
        <v>0</v>
      </c>
      <c r="C3675" s="16" t="s">
        <v>5331</v>
      </c>
      <c r="D3675" s="12">
        <v>501.9</v>
      </c>
      <c r="E3675" s="12" t="s">
        <v>5332</v>
      </c>
      <c r="F3675" s="12" t="s">
        <v>5328</v>
      </c>
      <c r="G3675" s="12" t="s">
        <v>11712</v>
      </c>
      <c r="H3675" s="12">
        <v>231226</v>
      </c>
    </row>
    <row r="3676" spans="1:8">
      <c r="A3676" s="12" t="s">
        <v>11713</v>
      </c>
      <c r="B3676" s="13">
        <v>362.25</v>
      </c>
      <c r="C3676" s="16" t="s">
        <v>5331</v>
      </c>
      <c r="D3676" s="12">
        <v>501.9</v>
      </c>
      <c r="E3676" s="12" t="s">
        <v>5332</v>
      </c>
      <c r="F3676" s="12" t="s">
        <v>5328</v>
      </c>
      <c r="G3676" s="12" t="s">
        <v>11714</v>
      </c>
      <c r="H3676" s="12">
        <v>231227</v>
      </c>
    </row>
    <row r="3677" spans="1:8">
      <c r="A3677" s="12" t="s">
        <v>11715</v>
      </c>
      <c r="B3677" s="13">
        <v>362.25</v>
      </c>
      <c r="C3677" s="16" t="s">
        <v>5331</v>
      </c>
      <c r="D3677" s="12">
        <v>501.9</v>
      </c>
      <c r="E3677" s="12" t="s">
        <v>5332</v>
      </c>
      <c r="F3677" s="12" t="s">
        <v>5328</v>
      </c>
      <c r="G3677" s="12" t="s">
        <v>11716</v>
      </c>
      <c r="H3677" s="12">
        <v>231225</v>
      </c>
    </row>
    <row r="3678" spans="1:8">
      <c r="A3678" s="12" t="s">
        <v>11717</v>
      </c>
      <c r="B3678" s="13">
        <v>362.25</v>
      </c>
      <c r="C3678" s="16" t="s">
        <v>5331</v>
      </c>
      <c r="D3678" s="12">
        <v>501.9</v>
      </c>
      <c r="E3678" s="12" t="s">
        <v>5332</v>
      </c>
      <c r="F3678" s="12" t="s">
        <v>5328</v>
      </c>
      <c r="G3678" s="12" t="s">
        <v>11718</v>
      </c>
      <c r="H3678" s="12">
        <v>231325</v>
      </c>
    </row>
    <row r="3679" spans="1:8">
      <c r="A3679" s="12" t="s">
        <v>11719</v>
      </c>
      <c r="B3679" s="13">
        <v>362.25</v>
      </c>
      <c r="C3679" s="16" t="s">
        <v>5331</v>
      </c>
      <c r="D3679" s="12">
        <v>501.9</v>
      </c>
      <c r="E3679" s="12" t="s">
        <v>5332</v>
      </c>
      <c r="F3679" s="12" t="s">
        <v>5328</v>
      </c>
      <c r="G3679" s="12" t="s">
        <v>11720</v>
      </c>
      <c r="H3679" s="12">
        <v>231326</v>
      </c>
    </row>
    <row r="3680" spans="1:8">
      <c r="A3680" s="12" t="s">
        <v>11721</v>
      </c>
      <c r="B3680" s="13">
        <v>362.25</v>
      </c>
      <c r="C3680" s="16" t="s">
        <v>5331</v>
      </c>
      <c r="D3680" s="12">
        <v>501.9</v>
      </c>
      <c r="E3680" s="12" t="s">
        <v>5332</v>
      </c>
      <c r="F3680" s="12" t="s">
        <v>5328</v>
      </c>
      <c r="G3680" s="12" t="s">
        <v>11722</v>
      </c>
      <c r="H3680" s="12">
        <v>231327</v>
      </c>
    </row>
    <row r="3681" spans="1:8">
      <c r="A3681" s="12" t="s">
        <v>11723</v>
      </c>
      <c r="B3681" s="13">
        <v>362.25</v>
      </c>
      <c r="C3681" s="16" t="s">
        <v>5331</v>
      </c>
      <c r="D3681" s="12">
        <v>501.9</v>
      </c>
      <c r="E3681" s="12" t="s">
        <v>5332</v>
      </c>
      <c r="F3681" s="12" t="s">
        <v>5328</v>
      </c>
      <c r="G3681" s="12" t="s">
        <v>11724</v>
      </c>
      <c r="H3681" s="12">
        <v>231228</v>
      </c>
    </row>
    <row r="3682" spans="1:8">
      <c r="A3682" s="12" t="s">
        <v>11725</v>
      </c>
      <c r="B3682" s="13">
        <v>362.25</v>
      </c>
      <c r="C3682" s="16" t="s">
        <v>5331</v>
      </c>
      <c r="D3682" s="12">
        <v>501.9</v>
      </c>
      <c r="E3682" s="12" t="s">
        <v>5332</v>
      </c>
      <c r="F3682" s="12" t="s">
        <v>5328</v>
      </c>
      <c r="G3682" s="12" t="s">
        <v>11726</v>
      </c>
      <c r="H3682" s="12">
        <v>231229</v>
      </c>
    </row>
    <row r="3683" spans="1:8">
      <c r="A3683" s="12" t="s">
        <v>11727</v>
      </c>
      <c r="B3683" s="13">
        <v>340.5</v>
      </c>
      <c r="C3683" s="16" t="s">
        <v>5331</v>
      </c>
      <c r="D3683" s="12">
        <v>471.45</v>
      </c>
      <c r="E3683" s="12" t="s">
        <v>5332</v>
      </c>
      <c r="F3683" s="12" t="s">
        <v>5328</v>
      </c>
      <c r="G3683" s="12" t="s">
        <v>11728</v>
      </c>
      <c r="H3683" s="12">
        <v>231126</v>
      </c>
    </row>
    <row r="3684" spans="1:8">
      <c r="A3684" s="12" t="s">
        <v>11729</v>
      </c>
      <c r="B3684" s="13">
        <v>340.5</v>
      </c>
      <c r="C3684" s="16" t="s">
        <v>5331</v>
      </c>
      <c r="D3684" s="12">
        <v>471.45</v>
      </c>
      <c r="E3684" s="12" t="s">
        <v>5332</v>
      </c>
      <c r="F3684" s="12" t="s">
        <v>5328</v>
      </c>
      <c r="G3684" s="12" t="s">
        <v>11730</v>
      </c>
      <c r="H3684" s="12">
        <v>231125</v>
      </c>
    </row>
    <row r="3685" spans="1:8">
      <c r="A3685" s="12" t="s">
        <v>11731</v>
      </c>
      <c r="B3685" s="13">
        <v>0</v>
      </c>
      <c r="C3685" s="16" t="s">
        <v>5331</v>
      </c>
      <c r="D3685" s="12">
        <v>471.45</v>
      </c>
      <c r="E3685" s="12" t="s">
        <v>5332</v>
      </c>
      <c r="F3685" s="12" t="s">
        <v>5328</v>
      </c>
      <c r="G3685" s="12" t="s">
        <v>11732</v>
      </c>
      <c r="H3685" s="12">
        <v>231328</v>
      </c>
    </row>
    <row r="3686" spans="1:8">
      <c r="A3686" s="12" t="s">
        <v>11733</v>
      </c>
      <c r="B3686" s="13">
        <v>340.5</v>
      </c>
      <c r="C3686" s="16" t="s">
        <v>5331</v>
      </c>
      <c r="D3686" s="12">
        <v>471.45</v>
      </c>
      <c r="E3686" s="12" t="s">
        <v>5332</v>
      </c>
      <c r="F3686" s="12" t="s">
        <v>5328</v>
      </c>
      <c r="G3686" s="12" t="s">
        <v>11734</v>
      </c>
      <c r="H3686" s="12">
        <v>231230</v>
      </c>
    </row>
    <row r="3687" spans="1:8">
      <c r="A3687" s="12" t="s">
        <v>11735</v>
      </c>
      <c r="B3687" s="13">
        <v>340.5</v>
      </c>
      <c r="C3687" s="16" t="s">
        <v>5331</v>
      </c>
      <c r="D3687" s="12">
        <v>471.45</v>
      </c>
      <c r="E3687" s="12" t="s">
        <v>5332</v>
      </c>
      <c r="F3687" s="12" t="s">
        <v>5328</v>
      </c>
      <c r="G3687" s="12" t="s">
        <v>11736</v>
      </c>
      <c r="H3687" s="12">
        <v>231231</v>
      </c>
    </row>
    <row r="3688" spans="1:8">
      <c r="A3688" s="12" t="s">
        <v>11737</v>
      </c>
      <c r="B3688" s="13">
        <v>304.5</v>
      </c>
      <c r="C3688" s="16" t="s">
        <v>5331</v>
      </c>
      <c r="D3688" s="12">
        <v>422.1</v>
      </c>
      <c r="E3688" s="12" t="s">
        <v>5332</v>
      </c>
      <c r="F3688" s="12" t="s">
        <v>5328</v>
      </c>
      <c r="G3688" s="12" t="s">
        <v>11738</v>
      </c>
      <c r="H3688" s="12">
        <v>213370</v>
      </c>
    </row>
    <row r="3689" spans="1:8">
      <c r="A3689" s="12" t="s">
        <v>11739</v>
      </c>
      <c r="B3689" s="13">
        <v>304.5</v>
      </c>
      <c r="C3689" s="16" t="s">
        <v>5331</v>
      </c>
      <c r="D3689" s="12">
        <v>422.1</v>
      </c>
      <c r="E3689" s="12" t="s">
        <v>5332</v>
      </c>
      <c r="F3689" s="12" t="s">
        <v>5328</v>
      </c>
      <c r="G3689" s="12" t="s">
        <v>11740</v>
      </c>
      <c r="H3689" s="12">
        <v>213371</v>
      </c>
    </row>
    <row r="3690" spans="1:8">
      <c r="A3690" s="12" t="s">
        <v>11741</v>
      </c>
      <c r="B3690" s="13">
        <v>304.5</v>
      </c>
      <c r="C3690" s="16" t="s">
        <v>5331</v>
      </c>
      <c r="D3690" s="12">
        <v>422.1</v>
      </c>
      <c r="E3690" s="12" t="s">
        <v>5332</v>
      </c>
      <c r="F3690" s="12" t="s">
        <v>5328</v>
      </c>
      <c r="G3690" s="12" t="s">
        <v>11742</v>
      </c>
      <c r="H3690" s="12">
        <v>213272</v>
      </c>
    </row>
    <row r="3691" spans="1:8">
      <c r="A3691" s="12" t="s">
        <v>11743</v>
      </c>
      <c r="B3691" s="13">
        <v>304.5</v>
      </c>
      <c r="C3691" s="16" t="s">
        <v>5331</v>
      </c>
      <c r="D3691" s="12">
        <v>422.1</v>
      </c>
      <c r="E3691" s="12" t="s">
        <v>5332</v>
      </c>
      <c r="F3691" s="12" t="s">
        <v>5328</v>
      </c>
      <c r="G3691" s="12" t="s">
        <v>11744</v>
      </c>
      <c r="H3691" s="12">
        <v>213269</v>
      </c>
    </row>
    <row r="3692" spans="1:8">
      <c r="A3692" s="12" t="s">
        <v>11745</v>
      </c>
      <c r="B3692" s="13">
        <v>0</v>
      </c>
      <c r="C3692" s="16" t="s">
        <v>5331</v>
      </c>
      <c r="D3692" s="12">
        <v>422.1</v>
      </c>
      <c r="E3692" s="12" t="s">
        <v>5332</v>
      </c>
      <c r="F3692" s="12" t="s">
        <v>5328</v>
      </c>
      <c r="G3692" s="12" t="s">
        <v>11746</v>
      </c>
      <c r="H3692" s="12">
        <v>213273</v>
      </c>
    </row>
    <row r="3693" spans="1:8">
      <c r="A3693" s="12" t="s">
        <v>11747</v>
      </c>
      <c r="B3693" s="13">
        <v>304.5</v>
      </c>
      <c r="C3693" s="16" t="s">
        <v>5331</v>
      </c>
      <c r="D3693" s="12">
        <v>422.1</v>
      </c>
      <c r="E3693" s="12" t="s">
        <v>5332</v>
      </c>
      <c r="F3693" s="12" t="s">
        <v>5328</v>
      </c>
      <c r="G3693" s="12" t="s">
        <v>11748</v>
      </c>
      <c r="H3693" s="12">
        <v>213469</v>
      </c>
    </row>
    <row r="3694" spans="1:8">
      <c r="A3694" s="12" t="s">
        <v>11749</v>
      </c>
      <c r="B3694" s="13">
        <v>304.5</v>
      </c>
      <c r="C3694" s="16" t="s">
        <v>5331</v>
      </c>
      <c r="D3694" s="12">
        <v>422.1</v>
      </c>
      <c r="E3694" s="12" t="s">
        <v>5332</v>
      </c>
      <c r="F3694" s="12" t="s">
        <v>5328</v>
      </c>
      <c r="G3694" s="12" t="s">
        <v>11750</v>
      </c>
      <c r="H3694" s="12">
        <v>213270</v>
      </c>
    </row>
    <row r="3695" spans="1:8">
      <c r="A3695" s="12" t="s">
        <v>11751</v>
      </c>
      <c r="B3695" s="13">
        <v>304.5</v>
      </c>
      <c r="C3695" s="16" t="s">
        <v>5331</v>
      </c>
      <c r="D3695" s="12">
        <v>422.1</v>
      </c>
      <c r="E3695" s="12" t="s">
        <v>5332</v>
      </c>
      <c r="F3695" s="12" t="s">
        <v>5328</v>
      </c>
      <c r="G3695" s="12" t="s">
        <v>11752</v>
      </c>
      <c r="H3695" s="12">
        <v>213369</v>
      </c>
    </row>
    <row r="3696" spans="1:8">
      <c r="A3696" s="12" t="s">
        <v>11753</v>
      </c>
      <c r="B3696" s="13">
        <v>0</v>
      </c>
      <c r="C3696" s="16" t="s">
        <v>5331</v>
      </c>
      <c r="D3696" s="12">
        <v>422.1</v>
      </c>
      <c r="E3696" s="12" t="s">
        <v>5332</v>
      </c>
      <c r="F3696" s="12" t="s">
        <v>5328</v>
      </c>
      <c r="G3696" s="12" t="s">
        <v>11754</v>
      </c>
      <c r="H3696" s="12">
        <v>213470</v>
      </c>
    </row>
    <row r="3697" spans="1:8">
      <c r="A3697" s="12" t="s">
        <v>11755</v>
      </c>
      <c r="B3697" s="13">
        <v>299.25</v>
      </c>
      <c r="C3697" s="16" t="s">
        <v>5331</v>
      </c>
      <c r="D3697" s="12">
        <v>414.75</v>
      </c>
      <c r="E3697" s="12" t="s">
        <v>5332</v>
      </c>
      <c r="F3697" s="12" t="s">
        <v>5328</v>
      </c>
      <c r="G3697" s="12" t="s">
        <v>11756</v>
      </c>
      <c r="H3697" s="12">
        <v>213372</v>
      </c>
    </row>
    <row r="3698" spans="1:8">
      <c r="A3698" s="12" t="s">
        <v>11757</v>
      </c>
      <c r="B3698" s="13">
        <v>299.25</v>
      </c>
      <c r="C3698" s="16" t="s">
        <v>5331</v>
      </c>
      <c r="D3698" s="12">
        <v>414.75</v>
      </c>
      <c r="E3698" s="12" t="s">
        <v>5332</v>
      </c>
      <c r="F3698" s="12" t="s">
        <v>5328</v>
      </c>
      <c r="G3698" s="12" t="s">
        <v>11758</v>
      </c>
      <c r="H3698" s="12">
        <v>213274</v>
      </c>
    </row>
    <row r="3699" spans="1:8">
      <c r="A3699" s="12" t="s">
        <v>11759</v>
      </c>
      <c r="B3699" s="13">
        <v>299.25</v>
      </c>
      <c r="C3699" s="16" t="s">
        <v>5331</v>
      </c>
      <c r="D3699" s="12">
        <v>414.75</v>
      </c>
      <c r="E3699" s="12" t="s">
        <v>5332</v>
      </c>
      <c r="F3699" s="12" t="s">
        <v>5328</v>
      </c>
      <c r="G3699" s="12" t="s">
        <v>11760</v>
      </c>
      <c r="H3699" s="12">
        <v>213373</v>
      </c>
    </row>
    <row r="3700" spans="1:8">
      <c r="A3700" s="12" t="s">
        <v>11761</v>
      </c>
      <c r="B3700" s="13">
        <v>299.25</v>
      </c>
      <c r="C3700" s="16" t="s">
        <v>5331</v>
      </c>
      <c r="D3700" s="12">
        <v>414.75</v>
      </c>
      <c r="E3700" s="12" t="s">
        <v>5332</v>
      </c>
      <c r="F3700" s="12" t="s">
        <v>5328</v>
      </c>
      <c r="G3700" s="12" t="s">
        <v>11762</v>
      </c>
      <c r="H3700" s="12">
        <v>213271</v>
      </c>
    </row>
    <row r="3701" spans="1:8">
      <c r="A3701" s="12" t="s">
        <v>11763</v>
      </c>
      <c r="B3701" s="13">
        <v>0</v>
      </c>
      <c r="C3701" s="16" t="s">
        <v>5331</v>
      </c>
      <c r="D3701" s="12">
        <v>414.75</v>
      </c>
      <c r="E3701" s="12" t="s">
        <v>5332</v>
      </c>
      <c r="F3701" s="12" t="s">
        <v>5328</v>
      </c>
      <c r="G3701" s="12" t="s">
        <v>11764</v>
      </c>
      <c r="H3701" s="12">
        <v>213471</v>
      </c>
    </row>
    <row r="3702" spans="1:8">
      <c r="A3702" s="12" t="s">
        <v>11765</v>
      </c>
      <c r="B3702" s="13">
        <v>333.75</v>
      </c>
      <c r="C3702" s="16" t="s">
        <v>5331</v>
      </c>
      <c r="D3702" s="12">
        <v>462</v>
      </c>
      <c r="E3702" s="12" t="s">
        <v>5332</v>
      </c>
      <c r="F3702" s="12" t="s">
        <v>5328</v>
      </c>
      <c r="G3702" s="12" t="s">
        <v>11766</v>
      </c>
      <c r="H3702" s="12">
        <v>213472</v>
      </c>
    </row>
    <row r="3703" spans="1:8">
      <c r="A3703" s="12" t="s">
        <v>11767</v>
      </c>
      <c r="B3703" s="13">
        <v>333.75</v>
      </c>
      <c r="C3703" s="16" t="s">
        <v>5331</v>
      </c>
      <c r="D3703" s="12">
        <v>462</v>
      </c>
      <c r="E3703" s="12" t="s">
        <v>5332</v>
      </c>
      <c r="F3703" s="12" t="s">
        <v>5328</v>
      </c>
      <c r="G3703" s="12" t="s">
        <v>11768</v>
      </c>
      <c r="H3703" s="12">
        <v>213374</v>
      </c>
    </row>
    <row r="3704" spans="1:8">
      <c r="A3704" s="12" t="s">
        <v>11769</v>
      </c>
      <c r="B3704" s="13">
        <v>333.75</v>
      </c>
      <c r="C3704" s="16" t="s">
        <v>5331</v>
      </c>
      <c r="D3704" s="12">
        <v>462</v>
      </c>
      <c r="E3704" s="12" t="s">
        <v>5332</v>
      </c>
      <c r="F3704" s="12" t="s">
        <v>5328</v>
      </c>
      <c r="G3704" s="12" t="s">
        <v>11770</v>
      </c>
      <c r="H3704" s="12">
        <v>213473</v>
      </c>
    </row>
    <row r="3705" spans="1:8">
      <c r="A3705" s="12" t="s">
        <v>11771</v>
      </c>
      <c r="B3705" s="13">
        <v>333.75</v>
      </c>
      <c r="C3705" s="16" t="s">
        <v>5331</v>
      </c>
      <c r="D3705" s="12">
        <v>462</v>
      </c>
      <c r="E3705" s="12" t="s">
        <v>5332</v>
      </c>
      <c r="F3705" s="12" t="s">
        <v>5328</v>
      </c>
      <c r="G3705" s="12" t="s">
        <v>11772</v>
      </c>
      <c r="H3705" s="12">
        <v>213474</v>
      </c>
    </row>
    <row r="3706" spans="1:8">
      <c r="A3706" s="12" t="s">
        <v>11773</v>
      </c>
      <c r="B3706" s="13">
        <v>0</v>
      </c>
      <c r="C3706" s="16" t="s">
        <v>5331</v>
      </c>
      <c r="D3706" s="12">
        <v>462</v>
      </c>
      <c r="E3706" s="12" t="s">
        <v>5332</v>
      </c>
      <c r="F3706" s="12" t="s">
        <v>5328</v>
      </c>
      <c r="G3706" s="12" t="s">
        <v>11774</v>
      </c>
      <c r="H3706" s="12">
        <v>213377</v>
      </c>
    </row>
    <row r="3707" spans="1:8">
      <c r="A3707" s="12" t="s">
        <v>11775</v>
      </c>
      <c r="B3707" s="13">
        <v>333.75</v>
      </c>
      <c r="C3707" s="16" t="s">
        <v>5331</v>
      </c>
      <c r="D3707" s="12">
        <v>462</v>
      </c>
      <c r="E3707" s="12" t="s">
        <v>5332</v>
      </c>
      <c r="F3707" s="12" t="s">
        <v>5328</v>
      </c>
      <c r="G3707" s="12" t="s">
        <v>11776</v>
      </c>
      <c r="H3707" s="12">
        <v>213276</v>
      </c>
    </row>
    <row r="3708" spans="1:8">
      <c r="A3708" s="12" t="s">
        <v>11777</v>
      </c>
      <c r="B3708" s="13">
        <v>333.75</v>
      </c>
      <c r="C3708" s="16" t="s">
        <v>5331</v>
      </c>
      <c r="D3708" s="12">
        <v>462</v>
      </c>
      <c r="E3708" s="12" t="s">
        <v>5332</v>
      </c>
      <c r="F3708" s="12" t="s">
        <v>5328</v>
      </c>
      <c r="G3708" s="12" t="s">
        <v>11778</v>
      </c>
      <c r="H3708" s="12">
        <v>213277</v>
      </c>
    </row>
    <row r="3709" spans="1:8">
      <c r="A3709" s="12" t="s">
        <v>11779</v>
      </c>
      <c r="B3709" s="13">
        <v>333.75</v>
      </c>
      <c r="C3709" s="16" t="s">
        <v>5331</v>
      </c>
      <c r="D3709" s="12">
        <v>462</v>
      </c>
      <c r="E3709" s="12" t="s">
        <v>5332</v>
      </c>
      <c r="F3709" s="12" t="s">
        <v>5328</v>
      </c>
      <c r="G3709" s="12" t="s">
        <v>11780</v>
      </c>
      <c r="H3709" s="12">
        <v>213278</v>
      </c>
    </row>
    <row r="3710" spans="1:8">
      <c r="A3710" s="12" t="s">
        <v>11781</v>
      </c>
      <c r="B3710" s="13">
        <v>0</v>
      </c>
      <c r="C3710" s="16" t="s">
        <v>5331</v>
      </c>
      <c r="D3710" s="12">
        <v>462</v>
      </c>
      <c r="E3710" s="12" t="s">
        <v>5332</v>
      </c>
      <c r="F3710" s="12" t="s">
        <v>5328</v>
      </c>
      <c r="G3710" s="12" t="s">
        <v>11782</v>
      </c>
      <c r="H3710" s="12">
        <v>213375</v>
      </c>
    </row>
    <row r="3711" spans="1:8">
      <c r="A3711" s="12" t="s">
        <v>11783</v>
      </c>
      <c r="B3711" s="13">
        <v>0</v>
      </c>
      <c r="C3711" s="16" t="s">
        <v>5331</v>
      </c>
      <c r="D3711" s="12">
        <v>471.45</v>
      </c>
      <c r="E3711" s="12" t="s">
        <v>5332</v>
      </c>
      <c r="F3711" s="12" t="s">
        <v>5328</v>
      </c>
      <c r="G3711" s="12" t="s">
        <v>11784</v>
      </c>
      <c r="H3711" s="12">
        <v>213376</v>
      </c>
    </row>
    <row r="3712" spans="1:8">
      <c r="A3712" s="12" t="s">
        <v>11785</v>
      </c>
      <c r="B3712" s="13">
        <v>0</v>
      </c>
      <c r="C3712" s="16" t="s">
        <v>5331</v>
      </c>
      <c r="D3712" s="12">
        <v>471.45</v>
      </c>
      <c r="E3712" s="12" t="s">
        <v>5332</v>
      </c>
      <c r="F3712" s="12" t="s">
        <v>5328</v>
      </c>
      <c r="G3712" s="12" t="s">
        <v>11786</v>
      </c>
      <c r="H3712" s="12">
        <v>213275</v>
      </c>
    </row>
    <row r="3713" spans="1:8">
      <c r="A3713" s="12" t="s">
        <v>11787</v>
      </c>
      <c r="B3713" s="13">
        <v>0</v>
      </c>
      <c r="C3713" s="16" t="s">
        <v>5331</v>
      </c>
      <c r="D3713" s="12">
        <v>471.45</v>
      </c>
      <c r="E3713" s="12" t="s">
        <v>5332</v>
      </c>
      <c r="F3713" s="12" t="s">
        <v>5328</v>
      </c>
      <c r="G3713" s="12" t="s">
        <v>11788</v>
      </c>
      <c r="H3713" s="12">
        <v>213279</v>
      </c>
    </row>
    <row r="3714" spans="1:8">
      <c r="A3714" s="12" t="s">
        <v>11789</v>
      </c>
      <c r="B3714" s="13">
        <v>0</v>
      </c>
      <c r="C3714" s="16" t="s">
        <v>5331</v>
      </c>
      <c r="D3714" s="12">
        <v>471.45</v>
      </c>
      <c r="E3714" s="12" t="s">
        <v>5332</v>
      </c>
      <c r="F3714" s="12" t="s">
        <v>5328</v>
      </c>
      <c r="G3714" s="12" t="s">
        <v>11790</v>
      </c>
      <c r="H3714" s="12">
        <v>213280</v>
      </c>
    </row>
    <row r="3715" spans="1:8">
      <c r="A3715" s="12" t="s">
        <v>11791</v>
      </c>
      <c r="B3715" s="13">
        <v>340.5</v>
      </c>
      <c r="C3715" s="16" t="s">
        <v>5331</v>
      </c>
      <c r="D3715" s="12">
        <v>471.45</v>
      </c>
      <c r="E3715" s="12" t="s">
        <v>5332</v>
      </c>
      <c r="F3715" s="12" t="s">
        <v>5328</v>
      </c>
      <c r="G3715" s="12" t="s">
        <v>11792</v>
      </c>
      <c r="H3715" s="12">
        <v>213475</v>
      </c>
    </row>
    <row r="3716" spans="1:8">
      <c r="A3716" s="12" t="s">
        <v>11793</v>
      </c>
      <c r="B3716" s="13">
        <v>333.75</v>
      </c>
      <c r="C3716" s="16" t="s">
        <v>5331</v>
      </c>
      <c r="D3716" s="12">
        <v>462</v>
      </c>
      <c r="E3716" s="12" t="s">
        <v>5332</v>
      </c>
      <c r="F3716" s="12" t="s">
        <v>5328</v>
      </c>
      <c r="G3716" s="12" t="s">
        <v>11794</v>
      </c>
      <c r="H3716" s="12">
        <v>213476</v>
      </c>
    </row>
    <row r="3717" spans="1:8">
      <c r="A3717" s="12" t="s">
        <v>11795</v>
      </c>
      <c r="B3717" s="13">
        <v>333.75</v>
      </c>
      <c r="C3717" s="16" t="s">
        <v>5331</v>
      </c>
      <c r="D3717" s="12">
        <v>462</v>
      </c>
      <c r="E3717" s="12" t="s">
        <v>5332</v>
      </c>
      <c r="F3717" s="12" t="s">
        <v>5328</v>
      </c>
      <c r="G3717" s="12" t="s">
        <v>11796</v>
      </c>
      <c r="H3717" s="12">
        <v>213477</v>
      </c>
    </row>
    <row r="3718" spans="1:8">
      <c r="A3718" s="12" t="s">
        <v>11797</v>
      </c>
      <c r="B3718" s="13">
        <v>333.75</v>
      </c>
      <c r="C3718" s="16" t="s">
        <v>5331</v>
      </c>
      <c r="D3718" s="12">
        <v>462</v>
      </c>
      <c r="E3718" s="12" t="s">
        <v>5332</v>
      </c>
      <c r="F3718" s="12" t="s">
        <v>5328</v>
      </c>
      <c r="G3718" s="12" t="s">
        <v>11798</v>
      </c>
      <c r="H3718" s="12">
        <v>213379</v>
      </c>
    </row>
    <row r="3719" spans="1:8">
      <c r="A3719" s="12" t="s">
        <v>11799</v>
      </c>
      <c r="B3719" s="13">
        <v>0</v>
      </c>
      <c r="C3719" s="16" t="s">
        <v>5331</v>
      </c>
      <c r="D3719" s="12">
        <v>462</v>
      </c>
      <c r="E3719" s="12" t="s">
        <v>5332</v>
      </c>
      <c r="F3719" s="12" t="s">
        <v>5328</v>
      </c>
      <c r="G3719" s="12" t="s">
        <v>11800</v>
      </c>
      <c r="H3719" s="12">
        <v>213478</v>
      </c>
    </row>
    <row r="3720" spans="1:8">
      <c r="A3720" s="12" t="s">
        <v>11801</v>
      </c>
      <c r="B3720" s="13">
        <v>333.75</v>
      </c>
      <c r="C3720" s="16" t="s">
        <v>5331</v>
      </c>
      <c r="D3720" s="12">
        <v>462</v>
      </c>
      <c r="E3720" s="12" t="s">
        <v>5332</v>
      </c>
      <c r="F3720" s="12" t="s">
        <v>5328</v>
      </c>
      <c r="G3720" s="12" t="s">
        <v>11802</v>
      </c>
      <c r="H3720" s="12">
        <v>213381</v>
      </c>
    </row>
    <row r="3721" spans="1:8">
      <c r="A3721" s="12" t="s">
        <v>11803</v>
      </c>
      <c r="B3721" s="13">
        <v>333.75</v>
      </c>
      <c r="C3721" s="16" t="s">
        <v>5331</v>
      </c>
      <c r="D3721" s="12">
        <v>462</v>
      </c>
      <c r="E3721" s="12" t="s">
        <v>5332</v>
      </c>
      <c r="F3721" s="12" t="s">
        <v>5328</v>
      </c>
      <c r="G3721" s="12" t="s">
        <v>11804</v>
      </c>
      <c r="H3721" s="12">
        <v>213382</v>
      </c>
    </row>
    <row r="3722" spans="1:8">
      <c r="A3722" s="12" t="s">
        <v>11805</v>
      </c>
      <c r="B3722" s="13">
        <v>333.75</v>
      </c>
      <c r="C3722" s="16" t="s">
        <v>5331</v>
      </c>
      <c r="D3722" s="12">
        <v>462</v>
      </c>
      <c r="E3722" s="12" t="s">
        <v>5332</v>
      </c>
      <c r="F3722" s="12" t="s">
        <v>5328</v>
      </c>
      <c r="G3722" s="12" t="s">
        <v>11806</v>
      </c>
      <c r="H3722" s="12">
        <v>213383</v>
      </c>
    </row>
    <row r="3723" spans="1:8">
      <c r="A3723" s="12" t="s">
        <v>11807</v>
      </c>
      <c r="B3723" s="13">
        <v>0</v>
      </c>
      <c r="C3723" s="16" t="s">
        <v>5331</v>
      </c>
      <c r="D3723" s="12">
        <v>462</v>
      </c>
      <c r="E3723" s="12" t="s">
        <v>5332</v>
      </c>
      <c r="F3723" s="12" t="s">
        <v>5328</v>
      </c>
      <c r="G3723" s="12" t="s">
        <v>11808</v>
      </c>
      <c r="H3723" s="12">
        <v>213384</v>
      </c>
    </row>
    <row r="3724" spans="1:8">
      <c r="A3724" s="12" t="s">
        <v>11809</v>
      </c>
      <c r="B3724" s="13">
        <v>0</v>
      </c>
      <c r="C3724" s="16" t="s">
        <v>5331</v>
      </c>
      <c r="D3724" s="12">
        <v>462</v>
      </c>
      <c r="E3724" s="12" t="s">
        <v>5332</v>
      </c>
      <c r="F3724" s="12" t="s">
        <v>5328</v>
      </c>
      <c r="G3724" s="12" t="s">
        <v>11810</v>
      </c>
      <c r="H3724" s="12">
        <v>213385</v>
      </c>
    </row>
    <row r="3725" spans="1:8">
      <c r="A3725" s="12" t="s">
        <v>11811</v>
      </c>
      <c r="B3725" s="13">
        <v>0</v>
      </c>
      <c r="C3725" s="16" t="s">
        <v>5331</v>
      </c>
      <c r="D3725" s="12">
        <v>433.65</v>
      </c>
      <c r="E3725" s="12" t="s">
        <v>5332</v>
      </c>
      <c r="F3725" s="12" t="s">
        <v>5328</v>
      </c>
      <c r="G3725" s="12" t="s">
        <v>11812</v>
      </c>
      <c r="H3725" s="12">
        <v>213378</v>
      </c>
    </row>
    <row r="3726" spans="1:8">
      <c r="A3726" s="12" t="s">
        <v>11813</v>
      </c>
      <c r="B3726" s="13">
        <v>312.75</v>
      </c>
      <c r="C3726" s="16" t="s">
        <v>5331</v>
      </c>
      <c r="D3726" s="12">
        <v>433.65</v>
      </c>
      <c r="E3726" s="12" t="s">
        <v>5332</v>
      </c>
      <c r="F3726" s="12" t="s">
        <v>5328</v>
      </c>
      <c r="G3726" s="12" t="s">
        <v>11814</v>
      </c>
      <c r="H3726" s="12">
        <v>213479</v>
      </c>
    </row>
    <row r="3727" spans="1:8">
      <c r="A3727" s="12" t="s">
        <v>11815</v>
      </c>
      <c r="B3727" s="13">
        <v>312.75</v>
      </c>
      <c r="C3727" s="16" t="s">
        <v>5331</v>
      </c>
      <c r="D3727" s="12">
        <v>433.65</v>
      </c>
      <c r="E3727" s="12" t="s">
        <v>5332</v>
      </c>
      <c r="F3727" s="12" t="s">
        <v>5328</v>
      </c>
      <c r="G3727" s="12" t="s">
        <v>11816</v>
      </c>
      <c r="H3727" s="12">
        <v>213386</v>
      </c>
    </row>
    <row r="3728" spans="1:8">
      <c r="A3728" s="12" t="s">
        <v>11817</v>
      </c>
      <c r="B3728" s="13">
        <v>312.75</v>
      </c>
      <c r="C3728" s="16" t="s">
        <v>5331</v>
      </c>
      <c r="D3728" s="12">
        <v>433.65</v>
      </c>
      <c r="E3728" s="12" t="s">
        <v>5332</v>
      </c>
      <c r="F3728" s="12" t="s">
        <v>5328</v>
      </c>
      <c r="G3728" s="12" t="s">
        <v>11818</v>
      </c>
      <c r="H3728" s="12">
        <v>213387</v>
      </c>
    </row>
    <row r="3729" spans="1:8">
      <c r="A3729" s="12" t="s">
        <v>11819</v>
      </c>
      <c r="B3729" s="13">
        <v>0</v>
      </c>
      <c r="C3729" s="16" t="s">
        <v>5331</v>
      </c>
      <c r="D3729" s="12">
        <v>438</v>
      </c>
      <c r="E3729" s="12" t="s">
        <v>5332</v>
      </c>
      <c r="F3729" s="12" t="s">
        <v>5328</v>
      </c>
      <c r="G3729" s="12" t="s">
        <v>11820</v>
      </c>
      <c r="H3729" s="12">
        <v>213380</v>
      </c>
    </row>
    <row r="3730" spans="1:8">
      <c r="A3730" s="12" t="s">
        <v>11821</v>
      </c>
      <c r="B3730" s="13">
        <v>333.75</v>
      </c>
      <c r="C3730" s="16" t="s">
        <v>5331</v>
      </c>
      <c r="D3730" s="12">
        <v>462</v>
      </c>
      <c r="E3730" s="12" t="s">
        <v>5332</v>
      </c>
      <c r="F3730" s="12" t="s">
        <v>5328</v>
      </c>
      <c r="G3730" s="12" t="s">
        <v>11822</v>
      </c>
      <c r="H3730" s="12">
        <v>213570</v>
      </c>
    </row>
    <row r="3731" spans="1:8">
      <c r="A3731" s="12" t="s">
        <v>11823</v>
      </c>
      <c r="B3731" s="13">
        <v>333.75</v>
      </c>
      <c r="C3731" s="16" t="s">
        <v>5331</v>
      </c>
      <c r="D3731" s="12">
        <v>462</v>
      </c>
      <c r="E3731" s="12" t="s">
        <v>5332</v>
      </c>
      <c r="F3731" s="12" t="s">
        <v>5328</v>
      </c>
      <c r="G3731" s="12" t="s">
        <v>11824</v>
      </c>
      <c r="H3731" s="12">
        <v>213670</v>
      </c>
    </row>
    <row r="3732" spans="1:8">
      <c r="A3732" s="12" t="s">
        <v>11825</v>
      </c>
      <c r="B3732" s="13">
        <v>0</v>
      </c>
      <c r="C3732" s="16" t="s">
        <v>5331</v>
      </c>
      <c r="D3732" s="12">
        <v>462</v>
      </c>
      <c r="E3732" s="12" t="s">
        <v>5332</v>
      </c>
      <c r="F3732" s="12" t="s">
        <v>5328</v>
      </c>
      <c r="G3732" s="12" t="s">
        <v>11826</v>
      </c>
      <c r="H3732" s="12">
        <v>213671</v>
      </c>
    </row>
    <row r="3733" spans="1:8">
      <c r="A3733" s="12" t="s">
        <v>11827</v>
      </c>
      <c r="B3733" s="13">
        <v>333.75</v>
      </c>
      <c r="C3733" s="16" t="s">
        <v>5331</v>
      </c>
      <c r="D3733" s="12">
        <v>462</v>
      </c>
      <c r="E3733" s="12" t="s">
        <v>5332</v>
      </c>
      <c r="F3733" s="12" t="s">
        <v>5328</v>
      </c>
      <c r="G3733" s="12" t="s">
        <v>11828</v>
      </c>
      <c r="H3733" s="12">
        <v>213672</v>
      </c>
    </row>
    <row r="3734" spans="1:8">
      <c r="A3734" s="12" t="s">
        <v>11829</v>
      </c>
      <c r="B3734" s="13">
        <v>333.75</v>
      </c>
      <c r="C3734" s="16" t="s">
        <v>5331</v>
      </c>
      <c r="D3734" s="12">
        <v>462</v>
      </c>
      <c r="E3734" s="12" t="s">
        <v>5332</v>
      </c>
      <c r="F3734" s="12" t="s">
        <v>5328</v>
      </c>
      <c r="G3734" s="12" t="s">
        <v>11830</v>
      </c>
      <c r="H3734" s="12">
        <v>213571</v>
      </c>
    </row>
    <row r="3735" spans="1:8">
      <c r="A3735" s="12" t="s">
        <v>11831</v>
      </c>
      <c r="B3735" s="13">
        <v>333.75</v>
      </c>
      <c r="C3735" s="16" t="s">
        <v>5331</v>
      </c>
      <c r="D3735" s="12">
        <v>462</v>
      </c>
      <c r="E3735" s="12" t="s">
        <v>5332</v>
      </c>
      <c r="F3735" s="12" t="s">
        <v>5328</v>
      </c>
      <c r="G3735" s="12" t="s">
        <v>11832</v>
      </c>
      <c r="H3735" s="12">
        <v>213770</v>
      </c>
    </row>
    <row r="3736" spans="1:8">
      <c r="A3736" s="12" t="s">
        <v>11833</v>
      </c>
      <c r="B3736" s="13">
        <v>333.75</v>
      </c>
      <c r="C3736" s="16" t="s">
        <v>5331</v>
      </c>
      <c r="D3736" s="12">
        <v>462</v>
      </c>
      <c r="E3736" s="12" t="s">
        <v>5332</v>
      </c>
      <c r="F3736" s="12" t="s">
        <v>5328</v>
      </c>
      <c r="G3736" s="12" t="s">
        <v>11834</v>
      </c>
      <c r="H3736" s="12">
        <v>213772</v>
      </c>
    </row>
    <row r="3737" spans="1:8">
      <c r="A3737" s="12" t="s">
        <v>11835</v>
      </c>
      <c r="B3737" s="13">
        <v>333.75</v>
      </c>
      <c r="C3737" s="16" t="s">
        <v>5331</v>
      </c>
      <c r="D3737" s="12">
        <v>462</v>
      </c>
      <c r="E3737" s="12" t="s">
        <v>5332</v>
      </c>
      <c r="F3737" s="12" t="s">
        <v>5328</v>
      </c>
      <c r="G3737" s="12" t="s">
        <v>11836</v>
      </c>
      <c r="H3737" s="12">
        <v>213773</v>
      </c>
    </row>
    <row r="3738" spans="1:8">
      <c r="A3738" s="12" t="s">
        <v>11837</v>
      </c>
      <c r="B3738" s="13">
        <v>333.75</v>
      </c>
      <c r="C3738" s="16" t="s">
        <v>5331</v>
      </c>
      <c r="D3738" s="12">
        <v>462</v>
      </c>
      <c r="E3738" s="12" t="s">
        <v>5332</v>
      </c>
      <c r="F3738" s="12" t="s">
        <v>5328</v>
      </c>
      <c r="G3738" s="12" t="s">
        <v>11838</v>
      </c>
      <c r="H3738" s="12">
        <v>213774</v>
      </c>
    </row>
    <row r="3739" spans="1:8">
      <c r="A3739" s="12" t="s">
        <v>11839</v>
      </c>
      <c r="B3739" s="13">
        <v>312.75</v>
      </c>
      <c r="C3739" s="16" t="s">
        <v>5331</v>
      </c>
      <c r="D3739" s="12">
        <v>433.65</v>
      </c>
      <c r="E3739" s="12" t="s">
        <v>5332</v>
      </c>
      <c r="F3739" s="12" t="s">
        <v>5328</v>
      </c>
      <c r="G3739" s="12" t="s">
        <v>11840</v>
      </c>
      <c r="H3739" s="12">
        <v>213673</v>
      </c>
    </row>
    <row r="3740" spans="1:8">
      <c r="A3740" s="12" t="s">
        <v>11841</v>
      </c>
      <c r="B3740" s="13">
        <v>0</v>
      </c>
      <c r="C3740" s="16" t="s">
        <v>5331</v>
      </c>
      <c r="D3740" s="12">
        <v>433.65</v>
      </c>
      <c r="E3740" s="12" t="s">
        <v>5332</v>
      </c>
      <c r="F3740" s="12" t="s">
        <v>5328</v>
      </c>
      <c r="G3740" s="12" t="s">
        <v>11842</v>
      </c>
      <c r="H3740" s="12">
        <v>213775</v>
      </c>
    </row>
    <row r="3741" spans="1:8">
      <c r="A3741" s="12" t="s">
        <v>11843</v>
      </c>
      <c r="B3741" s="13">
        <v>312.75</v>
      </c>
      <c r="C3741" s="16" t="s">
        <v>5331</v>
      </c>
      <c r="D3741" s="12">
        <v>433.65</v>
      </c>
      <c r="E3741" s="12" t="s">
        <v>5332</v>
      </c>
      <c r="F3741" s="12" t="s">
        <v>5328</v>
      </c>
      <c r="G3741" s="12" t="s">
        <v>11844</v>
      </c>
      <c r="H3741" s="12">
        <v>213572</v>
      </c>
    </row>
    <row r="3742" spans="1:8">
      <c r="A3742" s="12" t="s">
        <v>11845</v>
      </c>
      <c r="B3742" s="13">
        <v>312.75</v>
      </c>
      <c r="C3742" s="16" t="s">
        <v>5331</v>
      </c>
      <c r="D3742" s="12">
        <v>433.65</v>
      </c>
      <c r="E3742" s="12" t="s">
        <v>5332</v>
      </c>
      <c r="F3742" s="12" t="s">
        <v>5328</v>
      </c>
      <c r="G3742" s="12" t="s">
        <v>11846</v>
      </c>
      <c r="H3742" s="12">
        <v>213674</v>
      </c>
    </row>
    <row r="3743" spans="1:8">
      <c r="A3743" s="12" t="s">
        <v>11847</v>
      </c>
      <c r="B3743" s="13">
        <v>312.75</v>
      </c>
      <c r="C3743" s="16" t="s">
        <v>5331</v>
      </c>
      <c r="D3743" s="12">
        <v>433.65</v>
      </c>
      <c r="E3743" s="12" t="s">
        <v>5332</v>
      </c>
      <c r="F3743" s="12" t="s">
        <v>5328</v>
      </c>
      <c r="G3743" s="12" t="s">
        <v>11848</v>
      </c>
      <c r="H3743" s="12">
        <v>213771</v>
      </c>
    </row>
    <row r="3744" spans="1:8">
      <c r="A3744" s="12" t="s">
        <v>11849</v>
      </c>
      <c r="B3744" s="13">
        <v>0</v>
      </c>
      <c r="C3744" s="16" t="s">
        <v>5331</v>
      </c>
      <c r="D3744" s="12">
        <v>443.1</v>
      </c>
      <c r="E3744" s="12" t="s">
        <v>5332</v>
      </c>
      <c r="F3744" s="12" t="s">
        <v>5328</v>
      </c>
      <c r="G3744" s="12" t="s">
        <v>11850</v>
      </c>
      <c r="H3744" s="12">
        <v>214229</v>
      </c>
    </row>
    <row r="3745" spans="1:8">
      <c r="A3745" s="12" t="s">
        <v>11851</v>
      </c>
      <c r="B3745" s="13">
        <v>0</v>
      </c>
      <c r="C3745" s="16" t="s">
        <v>5331</v>
      </c>
      <c r="D3745" s="12">
        <v>443.1</v>
      </c>
      <c r="E3745" s="12" t="s">
        <v>5332</v>
      </c>
      <c r="F3745" s="12" t="s">
        <v>5328</v>
      </c>
      <c r="G3745" s="12" t="s">
        <v>11852</v>
      </c>
      <c r="H3745" s="12">
        <v>214230</v>
      </c>
    </row>
    <row r="3746" spans="1:8">
      <c r="A3746" s="12" t="s">
        <v>11853</v>
      </c>
      <c r="B3746" s="13">
        <v>0</v>
      </c>
      <c r="C3746" s="16" t="s">
        <v>5331</v>
      </c>
      <c r="D3746" s="12">
        <v>443.1</v>
      </c>
      <c r="E3746" s="12" t="s">
        <v>5332</v>
      </c>
      <c r="F3746" s="12" t="s">
        <v>5328</v>
      </c>
      <c r="G3746" s="12" t="s">
        <v>11854</v>
      </c>
      <c r="H3746" s="12">
        <v>214421</v>
      </c>
    </row>
    <row r="3747" spans="1:8">
      <c r="A3747" s="12" t="s">
        <v>11855</v>
      </c>
      <c r="B3747" s="13">
        <v>0</v>
      </c>
      <c r="C3747" s="16" t="s">
        <v>5331</v>
      </c>
      <c r="D3747" s="12">
        <v>443.1</v>
      </c>
      <c r="E3747" s="12" t="s">
        <v>5332</v>
      </c>
      <c r="F3747" s="12" t="s">
        <v>5328</v>
      </c>
      <c r="G3747" s="12" t="s">
        <v>11856</v>
      </c>
      <c r="H3747" s="12">
        <v>214228</v>
      </c>
    </row>
    <row r="3748" spans="1:8">
      <c r="A3748" s="12" t="s">
        <v>11857</v>
      </c>
      <c r="B3748" s="13">
        <v>320.25</v>
      </c>
      <c r="C3748" s="16" t="s">
        <v>5331</v>
      </c>
      <c r="D3748" s="12">
        <v>443.1</v>
      </c>
      <c r="E3748" s="12" t="s">
        <v>5332</v>
      </c>
      <c r="F3748" s="12" t="s">
        <v>5328</v>
      </c>
      <c r="G3748" s="12" t="s">
        <v>11858</v>
      </c>
      <c r="H3748" s="12">
        <v>214422</v>
      </c>
    </row>
    <row r="3749" spans="1:8">
      <c r="A3749" s="12" t="s">
        <v>11859</v>
      </c>
      <c r="B3749" s="13">
        <v>320.25</v>
      </c>
      <c r="C3749" s="16" t="s">
        <v>5331</v>
      </c>
      <c r="D3749" s="12">
        <v>443.1</v>
      </c>
      <c r="E3749" s="12" t="s">
        <v>5332</v>
      </c>
      <c r="F3749" s="12" t="s">
        <v>5328</v>
      </c>
      <c r="G3749" s="12" t="s">
        <v>11860</v>
      </c>
      <c r="H3749" s="12">
        <v>214423</v>
      </c>
    </row>
    <row r="3750" spans="1:8">
      <c r="A3750" s="12" t="s">
        <v>11861</v>
      </c>
      <c r="B3750" s="13">
        <v>0</v>
      </c>
      <c r="C3750" s="16" t="s">
        <v>5331</v>
      </c>
      <c r="D3750" s="12">
        <v>443.1</v>
      </c>
      <c r="E3750" s="12" t="s">
        <v>5332</v>
      </c>
      <c r="F3750" s="12" t="s">
        <v>5328</v>
      </c>
      <c r="G3750" s="12" t="s">
        <v>11862</v>
      </c>
      <c r="H3750" s="12">
        <v>214324</v>
      </c>
    </row>
    <row r="3751" spans="1:8">
      <c r="A3751" s="12" t="s">
        <v>11863</v>
      </c>
      <c r="B3751" s="13">
        <v>0</v>
      </c>
      <c r="C3751" s="16" t="s">
        <v>5331</v>
      </c>
      <c r="D3751" s="12">
        <v>443.1</v>
      </c>
      <c r="E3751" s="12" t="s">
        <v>5332</v>
      </c>
      <c r="F3751" s="12" t="s">
        <v>5328</v>
      </c>
      <c r="G3751" s="12" t="s">
        <v>11864</v>
      </c>
      <c r="H3751" s="12">
        <v>214231</v>
      </c>
    </row>
    <row r="3752" spans="1:8">
      <c r="A3752" s="12" t="s">
        <v>11865</v>
      </c>
      <c r="B3752" s="13">
        <v>0</v>
      </c>
      <c r="C3752" s="16" t="s">
        <v>5331</v>
      </c>
      <c r="D3752" s="12">
        <v>443.1</v>
      </c>
      <c r="E3752" s="12" t="s">
        <v>5332</v>
      </c>
      <c r="F3752" s="12" t="s">
        <v>5328</v>
      </c>
      <c r="G3752" s="12" t="s">
        <v>11866</v>
      </c>
      <c r="H3752" s="12">
        <v>214232</v>
      </c>
    </row>
    <row r="3753" spans="1:8">
      <c r="A3753" s="12" t="s">
        <v>11867</v>
      </c>
      <c r="B3753" s="13">
        <v>0</v>
      </c>
      <c r="C3753" s="16" t="s">
        <v>5331</v>
      </c>
      <c r="D3753" s="12">
        <v>414.75</v>
      </c>
      <c r="E3753" s="12" t="s">
        <v>5332</v>
      </c>
      <c r="F3753" s="12" t="s">
        <v>5328</v>
      </c>
      <c r="G3753" s="12" t="s">
        <v>11868</v>
      </c>
      <c r="H3753" s="12">
        <v>214233</v>
      </c>
    </row>
    <row r="3754" spans="1:8">
      <c r="A3754" s="12" t="s">
        <v>11869</v>
      </c>
      <c r="B3754" s="13">
        <v>0</v>
      </c>
      <c r="C3754" s="16" t="s">
        <v>5331</v>
      </c>
      <c r="D3754" s="12">
        <v>414.75</v>
      </c>
      <c r="E3754" s="12" t="s">
        <v>5332</v>
      </c>
      <c r="F3754" s="12" t="s">
        <v>5328</v>
      </c>
      <c r="G3754" s="12" t="s">
        <v>11870</v>
      </c>
      <c r="H3754" s="12">
        <v>214234</v>
      </c>
    </row>
    <row r="3755" spans="1:8">
      <c r="A3755" s="12" t="s">
        <v>11871</v>
      </c>
      <c r="B3755" s="13">
        <v>0</v>
      </c>
      <c r="C3755" s="16" t="s">
        <v>5331</v>
      </c>
      <c r="D3755" s="12">
        <v>414.75</v>
      </c>
      <c r="E3755" s="12" t="s">
        <v>5332</v>
      </c>
      <c r="F3755" s="12" t="s">
        <v>5328</v>
      </c>
      <c r="G3755" s="12" t="s">
        <v>11872</v>
      </c>
      <c r="H3755" s="12">
        <v>214424</v>
      </c>
    </row>
    <row r="3756" spans="1:8">
      <c r="A3756" s="12" t="s">
        <v>11873</v>
      </c>
      <c r="B3756" s="13">
        <v>0</v>
      </c>
      <c r="C3756" s="16" t="s">
        <v>5331</v>
      </c>
      <c r="D3756" s="12">
        <v>414.75</v>
      </c>
      <c r="E3756" s="12" t="s">
        <v>5332</v>
      </c>
      <c r="F3756" s="12" t="s">
        <v>5328</v>
      </c>
      <c r="G3756" s="12" t="s">
        <v>11874</v>
      </c>
      <c r="H3756" s="12">
        <v>214325</v>
      </c>
    </row>
    <row r="3757" spans="1:8">
      <c r="A3757" s="12" t="s">
        <v>11875</v>
      </c>
      <c r="B3757" s="13">
        <v>0</v>
      </c>
      <c r="C3757" s="16" t="s">
        <v>5331</v>
      </c>
      <c r="D3757" s="12">
        <v>414.75</v>
      </c>
      <c r="E3757" s="12" t="s">
        <v>5332</v>
      </c>
      <c r="F3757" s="12" t="s">
        <v>5328</v>
      </c>
      <c r="G3757" s="12" t="s">
        <v>11876</v>
      </c>
      <c r="H3757" s="12">
        <v>214425</v>
      </c>
    </row>
    <row r="3758" spans="1:8">
      <c r="A3758" s="12" t="s">
        <v>11877</v>
      </c>
      <c r="B3758" s="13">
        <v>0</v>
      </c>
      <c r="C3758" s="16" t="s">
        <v>5331</v>
      </c>
      <c r="D3758" s="12">
        <v>443.1</v>
      </c>
      <c r="E3758" s="12" t="s">
        <v>5332</v>
      </c>
      <c r="F3758" s="12" t="s">
        <v>5328</v>
      </c>
      <c r="G3758" s="12" t="s">
        <v>11878</v>
      </c>
      <c r="H3758" s="12">
        <v>213897</v>
      </c>
    </row>
    <row r="3759" spans="1:8">
      <c r="A3759" s="12" t="s">
        <v>11879</v>
      </c>
      <c r="B3759" s="13">
        <v>0</v>
      </c>
      <c r="C3759" s="16" t="s">
        <v>5331</v>
      </c>
      <c r="D3759" s="12">
        <v>443.1</v>
      </c>
      <c r="E3759" s="12" t="s">
        <v>5332</v>
      </c>
      <c r="F3759" s="12" t="s">
        <v>5328</v>
      </c>
      <c r="G3759" s="12" t="s">
        <v>11880</v>
      </c>
      <c r="H3759" s="12">
        <v>213997</v>
      </c>
    </row>
    <row r="3760" spans="1:8">
      <c r="A3760" s="12" t="s">
        <v>11881</v>
      </c>
      <c r="B3760" s="13">
        <v>320.25</v>
      </c>
      <c r="C3760" s="16" t="s">
        <v>5331</v>
      </c>
      <c r="D3760" s="12">
        <v>443.1</v>
      </c>
      <c r="E3760" s="12" t="s">
        <v>5332</v>
      </c>
      <c r="F3760" s="12" t="s">
        <v>5328</v>
      </c>
      <c r="G3760" s="12" t="s">
        <v>11882</v>
      </c>
      <c r="H3760" s="12">
        <v>213998</v>
      </c>
    </row>
    <row r="3761" spans="1:8">
      <c r="A3761" s="12" t="s">
        <v>11883</v>
      </c>
      <c r="B3761" s="13">
        <v>320.25</v>
      </c>
      <c r="C3761" s="16" t="s">
        <v>5331</v>
      </c>
      <c r="D3761" s="12">
        <v>443.1</v>
      </c>
      <c r="E3761" s="12" t="s">
        <v>5332</v>
      </c>
      <c r="F3761" s="12" t="s">
        <v>5328</v>
      </c>
      <c r="G3761" s="12" t="s">
        <v>11884</v>
      </c>
      <c r="H3761" s="12">
        <v>213999</v>
      </c>
    </row>
    <row r="3762" spans="1:8">
      <c r="A3762" s="12" t="s">
        <v>11885</v>
      </c>
      <c r="B3762" s="13">
        <v>85.38</v>
      </c>
      <c r="C3762" s="16" t="s">
        <v>5331</v>
      </c>
      <c r="D3762" s="12">
        <v>491</v>
      </c>
      <c r="E3762" s="12" t="s">
        <v>5332</v>
      </c>
      <c r="F3762" s="12" t="s">
        <v>5328</v>
      </c>
      <c r="G3762" s="12" t="s">
        <v>11886</v>
      </c>
      <c r="H3762" s="12">
        <v>234788</v>
      </c>
    </row>
    <row r="3763" spans="1:8">
      <c r="A3763" s="12" t="s">
        <v>11885</v>
      </c>
      <c r="B3763" s="13">
        <v>320.25</v>
      </c>
      <c r="C3763" s="16" t="s">
        <v>5331</v>
      </c>
      <c r="D3763" s="12">
        <v>467</v>
      </c>
      <c r="E3763" s="12" t="s">
        <v>5332</v>
      </c>
      <c r="F3763" s="12" t="s">
        <v>5328</v>
      </c>
      <c r="G3763" s="12" t="s">
        <v>11887</v>
      </c>
      <c r="H3763" s="12">
        <v>214000</v>
      </c>
    </row>
    <row r="3764" spans="1:8">
      <c r="A3764" s="12" t="s">
        <v>11888</v>
      </c>
      <c r="B3764" s="13">
        <v>21.73</v>
      </c>
      <c r="C3764" s="16" t="s">
        <v>5331</v>
      </c>
      <c r="D3764" s="12">
        <v>212</v>
      </c>
      <c r="E3764" s="12" t="s">
        <v>5332</v>
      </c>
      <c r="F3764" s="12" t="s">
        <v>5328</v>
      </c>
      <c r="G3764" s="12" t="s">
        <v>11889</v>
      </c>
      <c r="H3764" s="12">
        <v>229720</v>
      </c>
    </row>
    <row r="3765" spans="1:8">
      <c r="A3765" s="12" t="s">
        <v>11890</v>
      </c>
      <c r="B3765" s="13">
        <v>320.25</v>
      </c>
      <c r="C3765" s="16" t="s">
        <v>5331</v>
      </c>
      <c r="D3765" s="12">
        <v>443.1</v>
      </c>
      <c r="E3765" s="12" t="s">
        <v>5332</v>
      </c>
      <c r="F3765" s="12" t="s">
        <v>5328</v>
      </c>
      <c r="G3765" s="12" t="s">
        <v>11891</v>
      </c>
      <c r="H3765" s="12">
        <v>214097</v>
      </c>
    </row>
    <row r="3766" spans="1:8">
      <c r="A3766" s="12" t="s">
        <v>11892</v>
      </c>
      <c r="B3766" s="13">
        <v>0</v>
      </c>
      <c r="C3766" s="16" t="s">
        <v>5331</v>
      </c>
      <c r="D3766" s="12">
        <v>443.1</v>
      </c>
      <c r="E3766" s="12" t="s">
        <v>5332</v>
      </c>
      <c r="F3766" s="12" t="s">
        <v>5328</v>
      </c>
      <c r="G3766" s="12" t="s">
        <v>11893</v>
      </c>
      <c r="H3766" s="12">
        <v>214098</v>
      </c>
    </row>
    <row r="3767" spans="1:8">
      <c r="A3767" s="12" t="s">
        <v>11894</v>
      </c>
      <c r="B3767" s="13">
        <v>320.25</v>
      </c>
      <c r="C3767" s="16" t="s">
        <v>5331</v>
      </c>
      <c r="D3767" s="12">
        <v>443.1</v>
      </c>
      <c r="E3767" s="12" t="s">
        <v>5332</v>
      </c>
      <c r="F3767" s="12" t="s">
        <v>5328</v>
      </c>
      <c r="G3767" s="12" t="s">
        <v>11895</v>
      </c>
      <c r="H3767" s="12">
        <v>214099</v>
      </c>
    </row>
    <row r="3768" spans="1:8">
      <c r="A3768" s="12" t="s">
        <v>11896</v>
      </c>
      <c r="B3768" s="13">
        <v>0</v>
      </c>
      <c r="C3768" s="16" t="s">
        <v>5331</v>
      </c>
      <c r="D3768" s="12">
        <v>443.1</v>
      </c>
      <c r="E3768" s="12" t="s">
        <v>5332</v>
      </c>
      <c r="F3768" s="12" t="s">
        <v>5328</v>
      </c>
      <c r="G3768" s="12" t="s">
        <v>11897</v>
      </c>
      <c r="H3768" s="12">
        <v>213898</v>
      </c>
    </row>
    <row r="3769" spans="1:8">
      <c r="A3769" s="12" t="s">
        <v>11898</v>
      </c>
      <c r="B3769" s="13">
        <v>0</v>
      </c>
      <c r="C3769" s="16" t="s">
        <v>5331</v>
      </c>
      <c r="D3769" s="12">
        <v>414.75</v>
      </c>
      <c r="E3769" s="12" t="s">
        <v>5332</v>
      </c>
      <c r="F3769" s="12" t="s">
        <v>5328</v>
      </c>
      <c r="G3769" s="12" t="s">
        <v>11899</v>
      </c>
      <c r="H3769" s="12">
        <v>213899</v>
      </c>
    </row>
    <row r="3770" spans="1:8">
      <c r="A3770" s="12" t="s">
        <v>11900</v>
      </c>
      <c r="B3770" s="13">
        <v>0</v>
      </c>
      <c r="C3770" s="16" t="s">
        <v>5331</v>
      </c>
      <c r="D3770" s="12">
        <v>414.75</v>
      </c>
      <c r="E3770" s="12" t="s">
        <v>5332</v>
      </c>
      <c r="F3770" s="12" t="s">
        <v>5328</v>
      </c>
      <c r="G3770" s="12" t="s">
        <v>11901</v>
      </c>
      <c r="H3770" s="12">
        <v>214001</v>
      </c>
    </row>
    <row r="3771" spans="1:8">
      <c r="A3771" s="12" t="s">
        <v>11902</v>
      </c>
      <c r="B3771" s="13">
        <v>299.25</v>
      </c>
      <c r="C3771" s="16" t="s">
        <v>5331</v>
      </c>
      <c r="D3771" s="12">
        <v>414.75</v>
      </c>
      <c r="E3771" s="12" t="s">
        <v>5332</v>
      </c>
      <c r="F3771" s="12" t="s">
        <v>5328</v>
      </c>
      <c r="G3771" s="12" t="s">
        <v>11903</v>
      </c>
      <c r="H3771" s="12">
        <v>214002</v>
      </c>
    </row>
    <row r="3772" spans="1:8">
      <c r="A3772" s="12" t="s">
        <v>11904</v>
      </c>
      <c r="B3772" s="13">
        <v>0</v>
      </c>
      <c r="C3772" s="16" t="s">
        <v>5331</v>
      </c>
      <c r="D3772" s="12">
        <v>414.75</v>
      </c>
      <c r="E3772" s="12" t="s">
        <v>5332</v>
      </c>
      <c r="F3772" s="12" t="s">
        <v>5328</v>
      </c>
      <c r="G3772" s="12" t="s">
        <v>11905</v>
      </c>
      <c r="H3772" s="12">
        <v>214100</v>
      </c>
    </row>
    <row r="3773" spans="1:8">
      <c r="A3773" s="12" t="s">
        <v>11906</v>
      </c>
      <c r="B3773" s="13">
        <v>320.25</v>
      </c>
      <c r="C3773" s="16" t="s">
        <v>5331</v>
      </c>
      <c r="D3773" s="12">
        <v>414.75</v>
      </c>
      <c r="E3773" s="12" t="s">
        <v>5332</v>
      </c>
      <c r="F3773" s="12" t="s">
        <v>5328</v>
      </c>
      <c r="G3773" s="12" t="s">
        <v>11907</v>
      </c>
      <c r="H3773" s="12">
        <v>214101</v>
      </c>
    </row>
    <row r="3774" spans="1:8">
      <c r="A3774" s="12" t="s">
        <v>11908</v>
      </c>
      <c r="B3774" s="13">
        <v>320.25</v>
      </c>
      <c r="C3774" s="16" t="s">
        <v>5331</v>
      </c>
      <c r="D3774" s="12">
        <v>443.1</v>
      </c>
      <c r="E3774" s="12" t="s">
        <v>5332</v>
      </c>
      <c r="F3774" s="12" t="s">
        <v>5328</v>
      </c>
      <c r="G3774" s="12" t="s">
        <v>11909</v>
      </c>
      <c r="H3774" s="12">
        <v>214220</v>
      </c>
    </row>
    <row r="3775" spans="1:8">
      <c r="A3775" s="12" t="s">
        <v>11910</v>
      </c>
      <c r="B3775" s="13">
        <v>0</v>
      </c>
      <c r="C3775" s="16" t="s">
        <v>5331</v>
      </c>
      <c r="D3775" s="12">
        <v>443.1</v>
      </c>
      <c r="E3775" s="12" t="s">
        <v>5332</v>
      </c>
      <c r="F3775" s="12" t="s">
        <v>5328</v>
      </c>
      <c r="G3775" s="12" t="s">
        <v>11911</v>
      </c>
      <c r="H3775" s="12">
        <v>214221</v>
      </c>
    </row>
    <row r="3776" spans="1:8">
      <c r="A3776" s="12" t="s">
        <v>11912</v>
      </c>
      <c r="B3776" s="13">
        <v>0</v>
      </c>
      <c r="C3776" s="16" t="s">
        <v>5331</v>
      </c>
      <c r="D3776" s="12">
        <v>443.1</v>
      </c>
      <c r="E3776" s="12" t="s">
        <v>5332</v>
      </c>
      <c r="F3776" s="12" t="s">
        <v>5328</v>
      </c>
      <c r="G3776" s="12" t="s">
        <v>11913</v>
      </c>
      <c r="H3776" s="12">
        <v>214222</v>
      </c>
    </row>
    <row r="3777" spans="1:8">
      <c r="A3777" s="12" t="s">
        <v>11914</v>
      </c>
      <c r="B3777" s="13">
        <v>0</v>
      </c>
      <c r="C3777" s="16" t="s">
        <v>5331</v>
      </c>
      <c r="D3777" s="12">
        <v>443.1</v>
      </c>
      <c r="E3777" s="12" t="s">
        <v>5332</v>
      </c>
      <c r="F3777" s="12" t="s">
        <v>5328</v>
      </c>
      <c r="G3777" s="12" t="s">
        <v>11915</v>
      </c>
      <c r="H3777" s="12">
        <v>214223</v>
      </c>
    </row>
    <row r="3778" spans="1:8">
      <c r="A3778" s="12" t="s">
        <v>11916</v>
      </c>
      <c r="B3778" s="13">
        <v>320.25</v>
      </c>
      <c r="C3778" s="16" t="s">
        <v>5331</v>
      </c>
      <c r="D3778" s="12">
        <v>443.1</v>
      </c>
      <c r="E3778" s="12" t="s">
        <v>5332</v>
      </c>
      <c r="F3778" s="12" t="s">
        <v>5328</v>
      </c>
      <c r="G3778" s="12" t="s">
        <v>11917</v>
      </c>
      <c r="H3778" s="12">
        <v>214321</v>
      </c>
    </row>
    <row r="3779" spans="1:8">
      <c r="A3779" s="12" t="s">
        <v>11918</v>
      </c>
      <c r="B3779" s="13">
        <v>0</v>
      </c>
      <c r="C3779" s="16" t="s">
        <v>5331</v>
      </c>
      <c r="D3779" s="12">
        <v>443.1</v>
      </c>
      <c r="E3779" s="12" t="s">
        <v>5332</v>
      </c>
      <c r="F3779" s="12" t="s">
        <v>5328</v>
      </c>
      <c r="G3779" s="12" t="s">
        <v>11919</v>
      </c>
      <c r="H3779" s="12">
        <v>214322</v>
      </c>
    </row>
    <row r="3780" spans="1:8">
      <c r="A3780" s="12" t="s">
        <v>11920</v>
      </c>
      <c r="B3780" s="13">
        <v>0</v>
      </c>
      <c r="C3780" s="16" t="s">
        <v>5331</v>
      </c>
      <c r="D3780" s="12">
        <v>443.1</v>
      </c>
      <c r="E3780" s="12" t="s">
        <v>5332</v>
      </c>
      <c r="F3780" s="12" t="s">
        <v>5328</v>
      </c>
      <c r="G3780" s="12" t="s">
        <v>11921</v>
      </c>
      <c r="H3780" s="12">
        <v>214224</v>
      </c>
    </row>
    <row r="3781" spans="1:8">
      <c r="A3781" s="12" t="s">
        <v>11922</v>
      </c>
      <c r="B3781" s="13">
        <v>0</v>
      </c>
      <c r="C3781" s="16" t="s">
        <v>5331</v>
      </c>
      <c r="D3781" s="12">
        <v>414.75</v>
      </c>
      <c r="E3781" s="12" t="s">
        <v>5332</v>
      </c>
      <c r="F3781" s="12" t="s">
        <v>5328</v>
      </c>
      <c r="G3781" s="12" t="s">
        <v>11923</v>
      </c>
      <c r="H3781" s="12">
        <v>214225</v>
      </c>
    </row>
    <row r="3782" spans="1:8">
      <c r="A3782" s="12" t="s">
        <v>11924</v>
      </c>
      <c r="B3782" s="13">
        <v>0</v>
      </c>
      <c r="C3782" s="16" t="s">
        <v>5331</v>
      </c>
      <c r="D3782" s="12">
        <v>414.75</v>
      </c>
      <c r="E3782" s="12" t="s">
        <v>5332</v>
      </c>
      <c r="F3782" s="12" t="s">
        <v>5328</v>
      </c>
      <c r="G3782" s="12" t="s">
        <v>11925</v>
      </c>
      <c r="H3782" s="12">
        <v>214226</v>
      </c>
    </row>
    <row r="3783" spans="1:8">
      <c r="A3783" s="12" t="s">
        <v>11926</v>
      </c>
      <c r="B3783" s="13">
        <v>0</v>
      </c>
      <c r="C3783" s="16" t="s">
        <v>5331</v>
      </c>
      <c r="D3783" s="12">
        <v>414.75</v>
      </c>
      <c r="E3783" s="12" t="s">
        <v>5332</v>
      </c>
      <c r="F3783" s="12" t="s">
        <v>5328</v>
      </c>
      <c r="G3783" s="12" t="s">
        <v>11927</v>
      </c>
      <c r="H3783" s="12">
        <v>214227</v>
      </c>
    </row>
    <row r="3784" spans="1:8">
      <c r="A3784" s="12" t="s">
        <v>11928</v>
      </c>
      <c r="B3784" s="13">
        <v>341.25</v>
      </c>
      <c r="C3784" s="16" t="s">
        <v>5331</v>
      </c>
      <c r="D3784" s="12">
        <v>414.75</v>
      </c>
      <c r="E3784" s="12" t="s">
        <v>5332</v>
      </c>
      <c r="F3784" s="12" t="s">
        <v>5328</v>
      </c>
      <c r="G3784" s="12" t="s">
        <v>11929</v>
      </c>
      <c r="H3784" s="12">
        <v>214323</v>
      </c>
    </row>
    <row r="3785" spans="1:8">
      <c r="A3785" s="12" t="s">
        <v>11930</v>
      </c>
      <c r="B3785" s="13">
        <v>0</v>
      </c>
      <c r="C3785" s="16" t="s">
        <v>5331</v>
      </c>
      <c r="D3785" s="12">
        <v>414.75</v>
      </c>
      <c r="E3785" s="12" t="s">
        <v>5332</v>
      </c>
      <c r="F3785" s="12" t="s">
        <v>5328</v>
      </c>
      <c r="G3785" s="12" t="s">
        <v>11931</v>
      </c>
      <c r="H3785" s="12">
        <v>214420</v>
      </c>
    </row>
    <row r="3786" spans="1:8">
      <c r="A3786" s="12" t="s">
        <v>11932</v>
      </c>
      <c r="B3786" s="13">
        <v>0</v>
      </c>
      <c r="C3786" s="16" t="s">
        <v>5331</v>
      </c>
      <c r="D3786" s="12">
        <v>501.9</v>
      </c>
      <c r="E3786" s="12" t="s">
        <v>5332</v>
      </c>
      <c r="F3786" s="12" t="s">
        <v>5328</v>
      </c>
      <c r="G3786" s="12" t="s">
        <v>11933</v>
      </c>
      <c r="H3786" s="12">
        <v>214236</v>
      </c>
    </row>
    <row r="3787" spans="1:8">
      <c r="A3787" s="12" t="s">
        <v>11934</v>
      </c>
      <c r="B3787" s="13">
        <v>362.25</v>
      </c>
      <c r="C3787" s="16" t="s">
        <v>5331</v>
      </c>
      <c r="D3787" s="12">
        <v>501.9</v>
      </c>
      <c r="E3787" s="12" t="s">
        <v>5332</v>
      </c>
      <c r="F3787" s="12" t="s">
        <v>5328</v>
      </c>
      <c r="G3787" s="12" t="s">
        <v>11935</v>
      </c>
      <c r="H3787" s="12">
        <v>214426</v>
      </c>
    </row>
    <row r="3788" spans="1:8">
      <c r="A3788" s="12" t="s">
        <v>11936</v>
      </c>
      <c r="B3788" s="13">
        <v>362.25</v>
      </c>
      <c r="C3788" s="16" t="s">
        <v>5331</v>
      </c>
      <c r="D3788" s="12">
        <v>501.9</v>
      </c>
      <c r="E3788" s="12" t="s">
        <v>5332</v>
      </c>
      <c r="F3788" s="12" t="s">
        <v>5328</v>
      </c>
      <c r="G3788" s="12" t="s">
        <v>11937</v>
      </c>
      <c r="H3788" s="12">
        <v>214427</v>
      </c>
    </row>
    <row r="3789" spans="1:8">
      <c r="A3789" s="12" t="s">
        <v>11938</v>
      </c>
      <c r="B3789" s="13">
        <v>341.25</v>
      </c>
      <c r="C3789" s="16" t="s">
        <v>5331</v>
      </c>
      <c r="D3789" s="12">
        <v>501.9</v>
      </c>
      <c r="E3789" s="12" t="s">
        <v>5332</v>
      </c>
      <c r="F3789" s="12" t="s">
        <v>5328</v>
      </c>
      <c r="G3789" s="12" t="s">
        <v>11939</v>
      </c>
      <c r="H3789" s="12">
        <v>214520</v>
      </c>
    </row>
    <row r="3790" spans="1:8">
      <c r="A3790" s="12" t="s">
        <v>11940</v>
      </c>
      <c r="B3790" s="13">
        <v>362.25</v>
      </c>
      <c r="C3790" s="16" t="s">
        <v>5331</v>
      </c>
      <c r="D3790" s="12">
        <v>501.9</v>
      </c>
      <c r="E3790" s="12" t="s">
        <v>5332</v>
      </c>
      <c r="F3790" s="12" t="s">
        <v>5328</v>
      </c>
      <c r="G3790" s="12" t="s">
        <v>11941</v>
      </c>
      <c r="H3790" s="12">
        <v>214521</v>
      </c>
    </row>
    <row r="3791" spans="1:8">
      <c r="A3791" s="12" t="s">
        <v>11942</v>
      </c>
      <c r="B3791" s="13">
        <v>362.25</v>
      </c>
      <c r="C3791" s="16" t="s">
        <v>5331</v>
      </c>
      <c r="D3791" s="12">
        <v>501.9</v>
      </c>
      <c r="E3791" s="12" t="s">
        <v>5332</v>
      </c>
      <c r="F3791" s="12" t="s">
        <v>5328</v>
      </c>
      <c r="G3791" s="12" t="s">
        <v>11943</v>
      </c>
      <c r="H3791" s="12">
        <v>214237</v>
      </c>
    </row>
    <row r="3792" spans="1:8">
      <c r="A3792" s="12" t="s">
        <v>11944</v>
      </c>
      <c r="B3792" s="13">
        <v>0</v>
      </c>
      <c r="C3792" s="16" t="s">
        <v>5331</v>
      </c>
      <c r="D3792" s="12">
        <v>501.9</v>
      </c>
      <c r="E3792" s="12" t="s">
        <v>5332</v>
      </c>
      <c r="F3792" s="12" t="s">
        <v>5328</v>
      </c>
      <c r="G3792" s="12" t="s">
        <v>11945</v>
      </c>
      <c r="H3792" s="12">
        <v>214428</v>
      </c>
    </row>
    <row r="3793" spans="1:8">
      <c r="A3793" s="12" t="s">
        <v>11946</v>
      </c>
      <c r="B3793" s="13">
        <v>0</v>
      </c>
      <c r="C3793" s="16" t="s">
        <v>5331</v>
      </c>
      <c r="D3793" s="12">
        <v>501.9</v>
      </c>
      <c r="E3793" s="12" t="s">
        <v>5332</v>
      </c>
      <c r="F3793" s="12" t="s">
        <v>5328</v>
      </c>
      <c r="G3793" s="12" t="s">
        <v>11947</v>
      </c>
      <c r="H3793" s="12">
        <v>214429</v>
      </c>
    </row>
    <row r="3794" spans="1:8">
      <c r="A3794" s="12" t="s">
        <v>11948</v>
      </c>
      <c r="B3794" s="13">
        <v>362.25</v>
      </c>
      <c r="C3794" s="16" t="s">
        <v>5331</v>
      </c>
      <c r="D3794" s="12">
        <v>501.9</v>
      </c>
      <c r="E3794" s="12" t="s">
        <v>5332</v>
      </c>
      <c r="F3794" s="12" t="s">
        <v>5328</v>
      </c>
      <c r="G3794" s="12" t="s">
        <v>11949</v>
      </c>
      <c r="H3794" s="12">
        <v>214238</v>
      </c>
    </row>
    <row r="3795" spans="1:8">
      <c r="A3795" s="12" t="s">
        <v>11950</v>
      </c>
      <c r="B3795" s="13">
        <v>0</v>
      </c>
      <c r="C3795" s="16" t="s">
        <v>5331</v>
      </c>
      <c r="D3795" s="12">
        <v>491.4</v>
      </c>
      <c r="E3795" s="12" t="s">
        <v>5332</v>
      </c>
      <c r="F3795" s="12" t="s">
        <v>5328</v>
      </c>
      <c r="G3795" s="12" t="s">
        <v>11951</v>
      </c>
      <c r="H3795" s="12">
        <v>214239</v>
      </c>
    </row>
    <row r="3796" spans="1:8">
      <c r="A3796" s="12" t="s">
        <v>11952</v>
      </c>
      <c r="B3796" s="13">
        <v>0</v>
      </c>
      <c r="C3796" s="16" t="s">
        <v>5331</v>
      </c>
      <c r="D3796" s="12">
        <v>491.4</v>
      </c>
      <c r="E3796" s="12" t="s">
        <v>5332</v>
      </c>
      <c r="F3796" s="12" t="s">
        <v>5328</v>
      </c>
      <c r="G3796" s="12" t="s">
        <v>11953</v>
      </c>
      <c r="H3796" s="12">
        <v>214326</v>
      </c>
    </row>
    <row r="3797" spans="1:8">
      <c r="A3797" s="12" t="s">
        <v>11954</v>
      </c>
      <c r="B3797" s="13">
        <v>354.75</v>
      </c>
      <c r="C3797" s="16" t="s">
        <v>5331</v>
      </c>
      <c r="D3797" s="12">
        <v>491.4</v>
      </c>
      <c r="E3797" s="12" t="s">
        <v>5332</v>
      </c>
      <c r="F3797" s="12" t="s">
        <v>5328</v>
      </c>
      <c r="G3797" s="12" t="s">
        <v>11955</v>
      </c>
      <c r="H3797" s="12">
        <v>214235</v>
      </c>
    </row>
    <row r="3798" spans="1:8">
      <c r="A3798" s="12" t="s">
        <v>11956</v>
      </c>
      <c r="B3798" s="13">
        <v>354.75</v>
      </c>
      <c r="C3798" s="16" t="s">
        <v>5331</v>
      </c>
      <c r="D3798" s="12">
        <v>491.4</v>
      </c>
      <c r="E3798" s="12" t="s">
        <v>5332</v>
      </c>
      <c r="F3798" s="12" t="s">
        <v>5328</v>
      </c>
      <c r="G3798" s="12" t="s">
        <v>11957</v>
      </c>
      <c r="H3798" s="12">
        <v>214240</v>
      </c>
    </row>
    <row r="3799" spans="1:8">
      <c r="A3799" s="12" t="s">
        <v>11958</v>
      </c>
      <c r="B3799" s="13">
        <v>0</v>
      </c>
      <c r="C3799" s="16" t="s">
        <v>5331</v>
      </c>
      <c r="D3799" s="12">
        <v>491.4</v>
      </c>
      <c r="E3799" s="12" t="s">
        <v>5332</v>
      </c>
      <c r="F3799" s="12" t="s">
        <v>5328</v>
      </c>
      <c r="G3799" s="12" t="s">
        <v>11959</v>
      </c>
      <c r="H3799" s="12">
        <v>214241</v>
      </c>
    </row>
    <row r="3800" spans="1:8">
      <c r="A3800" s="12" t="s">
        <v>11960</v>
      </c>
      <c r="B3800" s="13">
        <v>0</v>
      </c>
      <c r="C3800" s="16" t="s">
        <v>5331</v>
      </c>
      <c r="D3800" s="12">
        <v>462</v>
      </c>
      <c r="E3800" s="12" t="s">
        <v>5332</v>
      </c>
      <c r="F3800" s="12" t="s">
        <v>5328</v>
      </c>
      <c r="G3800" s="12" t="s">
        <v>11961</v>
      </c>
      <c r="H3800" s="12">
        <v>214327</v>
      </c>
    </row>
    <row r="3801" spans="1:8">
      <c r="A3801" s="12" t="s">
        <v>11962</v>
      </c>
      <c r="B3801" s="13">
        <v>0</v>
      </c>
      <c r="C3801" s="16" t="s">
        <v>5331</v>
      </c>
      <c r="D3801" s="12">
        <v>462</v>
      </c>
      <c r="E3801" s="12" t="s">
        <v>5332</v>
      </c>
      <c r="F3801" s="12" t="s">
        <v>5328</v>
      </c>
      <c r="G3801" s="12" t="s">
        <v>11963</v>
      </c>
      <c r="H3801" s="12">
        <v>214243</v>
      </c>
    </row>
    <row r="3802" spans="1:8">
      <c r="A3802" s="12" t="s">
        <v>11964</v>
      </c>
      <c r="B3802" s="13">
        <v>314.25</v>
      </c>
      <c r="C3802" s="16" t="s">
        <v>5331</v>
      </c>
      <c r="D3802" s="12">
        <v>462</v>
      </c>
      <c r="E3802" s="12" t="s">
        <v>5332</v>
      </c>
      <c r="F3802" s="12" t="s">
        <v>5328</v>
      </c>
      <c r="G3802" s="12" t="s">
        <v>11965</v>
      </c>
      <c r="H3802" s="12">
        <v>214244</v>
      </c>
    </row>
    <row r="3803" spans="1:8">
      <c r="A3803" s="12" t="s">
        <v>11966</v>
      </c>
      <c r="B3803" s="13">
        <v>0</v>
      </c>
      <c r="C3803" s="16" t="s">
        <v>5331</v>
      </c>
      <c r="D3803" s="12">
        <v>462</v>
      </c>
      <c r="E3803" s="12" t="s">
        <v>5332</v>
      </c>
      <c r="F3803" s="12" t="s">
        <v>5328</v>
      </c>
      <c r="G3803" s="12" t="s">
        <v>11967</v>
      </c>
      <c r="H3803" s="12">
        <v>214246</v>
      </c>
    </row>
    <row r="3804" spans="1:8">
      <c r="A3804" s="12" t="s">
        <v>11968</v>
      </c>
      <c r="B3804" s="13">
        <v>333.75</v>
      </c>
      <c r="C3804" s="16" t="s">
        <v>5331</v>
      </c>
      <c r="D3804" s="12">
        <v>462</v>
      </c>
      <c r="E3804" s="12" t="s">
        <v>5332</v>
      </c>
      <c r="F3804" s="12" t="s">
        <v>5328</v>
      </c>
      <c r="G3804" s="12" t="s">
        <v>11969</v>
      </c>
      <c r="H3804" s="12">
        <v>214245</v>
      </c>
    </row>
    <row r="3805" spans="1:8">
      <c r="A3805" s="12" t="s">
        <v>11970</v>
      </c>
      <c r="B3805" s="13">
        <v>0</v>
      </c>
      <c r="C3805" s="16" t="s">
        <v>5331</v>
      </c>
      <c r="D3805" s="12">
        <v>462</v>
      </c>
      <c r="E3805" s="12" t="s">
        <v>5332</v>
      </c>
      <c r="F3805" s="12" t="s">
        <v>5328</v>
      </c>
      <c r="G3805" s="12" t="s">
        <v>11971</v>
      </c>
      <c r="H3805" s="12">
        <v>214247</v>
      </c>
    </row>
    <row r="3806" spans="1:8">
      <c r="A3806" s="12" t="s">
        <v>11972</v>
      </c>
      <c r="B3806" s="13">
        <v>0</v>
      </c>
      <c r="C3806" s="16" t="s">
        <v>5331</v>
      </c>
      <c r="D3806" s="12">
        <v>462</v>
      </c>
      <c r="E3806" s="12" t="s">
        <v>5332</v>
      </c>
      <c r="F3806" s="12" t="s">
        <v>5328</v>
      </c>
      <c r="G3806" s="12" t="s">
        <v>11973</v>
      </c>
      <c r="H3806" s="12">
        <v>214248</v>
      </c>
    </row>
    <row r="3807" spans="1:8">
      <c r="A3807" s="12" t="s">
        <v>11974</v>
      </c>
      <c r="B3807" s="13">
        <v>0</v>
      </c>
      <c r="C3807" s="16" t="s">
        <v>5331</v>
      </c>
      <c r="D3807" s="12">
        <v>462</v>
      </c>
      <c r="E3807" s="12" t="s">
        <v>5332</v>
      </c>
      <c r="F3807" s="12" t="s">
        <v>5328</v>
      </c>
      <c r="G3807" s="12" t="s">
        <v>11975</v>
      </c>
      <c r="H3807" s="12">
        <v>214328</v>
      </c>
    </row>
    <row r="3808" spans="1:8">
      <c r="A3808" s="12" t="s">
        <v>11976</v>
      </c>
      <c r="B3808" s="13">
        <v>282</v>
      </c>
      <c r="C3808" s="16" t="s">
        <v>5331</v>
      </c>
      <c r="D3808" s="12">
        <v>414.75</v>
      </c>
      <c r="E3808" s="12" t="s">
        <v>5332</v>
      </c>
      <c r="F3808" s="12" t="s">
        <v>5328</v>
      </c>
      <c r="G3808" s="12" t="s">
        <v>11977</v>
      </c>
      <c r="H3808" s="12">
        <v>214329</v>
      </c>
    </row>
    <row r="3809" spans="1:8">
      <c r="A3809" s="12" t="s">
        <v>11978</v>
      </c>
      <c r="B3809" s="13">
        <v>299.25</v>
      </c>
      <c r="C3809" s="16" t="s">
        <v>5331</v>
      </c>
      <c r="D3809" s="12">
        <v>414.75</v>
      </c>
      <c r="E3809" s="12" t="s">
        <v>5332</v>
      </c>
      <c r="F3809" s="12" t="s">
        <v>5328</v>
      </c>
      <c r="G3809" s="12" t="s">
        <v>11979</v>
      </c>
      <c r="H3809" s="12">
        <v>214430</v>
      </c>
    </row>
    <row r="3810" spans="1:8">
      <c r="A3810" s="12" t="s">
        <v>11980</v>
      </c>
      <c r="B3810" s="13">
        <v>0</v>
      </c>
      <c r="C3810" s="16" t="s">
        <v>5331</v>
      </c>
      <c r="D3810" s="12">
        <v>414.75</v>
      </c>
      <c r="E3810" s="12" t="s">
        <v>5332</v>
      </c>
      <c r="F3810" s="12" t="s">
        <v>5328</v>
      </c>
      <c r="G3810" s="12" t="s">
        <v>11981</v>
      </c>
      <c r="H3810" s="12">
        <v>214249</v>
      </c>
    </row>
    <row r="3811" spans="1:8">
      <c r="A3811" s="12" t="s">
        <v>11428</v>
      </c>
      <c r="B3811" s="13">
        <v>0</v>
      </c>
      <c r="C3811" s="16" t="s">
        <v>5331</v>
      </c>
      <c r="D3811" s="12">
        <v>414.75</v>
      </c>
      <c r="E3811" s="12" t="s">
        <v>5332</v>
      </c>
      <c r="F3811" s="12" t="s">
        <v>5328</v>
      </c>
      <c r="G3811" s="12" t="s">
        <v>11982</v>
      </c>
      <c r="H3811" s="12">
        <v>214250</v>
      </c>
    </row>
    <row r="3812" spans="1:8">
      <c r="A3812" s="12" t="s">
        <v>11983</v>
      </c>
      <c r="B3812" s="13">
        <v>0</v>
      </c>
      <c r="C3812" s="16" t="s">
        <v>5331</v>
      </c>
      <c r="D3812" s="12">
        <v>414.75</v>
      </c>
      <c r="E3812" s="12" t="s">
        <v>5332</v>
      </c>
      <c r="F3812" s="12" t="s">
        <v>5328</v>
      </c>
      <c r="G3812" s="12" t="s">
        <v>11984</v>
      </c>
      <c r="H3812" s="12">
        <v>214251</v>
      </c>
    </row>
    <row r="3813" spans="1:8">
      <c r="A3813" s="12" t="s">
        <v>11985</v>
      </c>
      <c r="B3813" s="13">
        <v>0</v>
      </c>
      <c r="C3813" s="16" t="s">
        <v>5331</v>
      </c>
      <c r="D3813" s="12">
        <v>467</v>
      </c>
      <c r="E3813" s="12" t="s">
        <v>5332</v>
      </c>
      <c r="F3813" s="12" t="s">
        <v>5328</v>
      </c>
      <c r="G3813" s="12" t="s">
        <v>11986</v>
      </c>
      <c r="H3813" s="12">
        <v>223577</v>
      </c>
    </row>
    <row r="3814" spans="1:8">
      <c r="A3814" s="12" t="s">
        <v>11987</v>
      </c>
      <c r="B3814" s="13">
        <v>0</v>
      </c>
      <c r="C3814" s="16" t="s">
        <v>5331</v>
      </c>
      <c r="D3814" s="12">
        <v>235</v>
      </c>
      <c r="E3814" s="12" t="s">
        <v>5332</v>
      </c>
      <c r="F3814" s="12" t="s">
        <v>5328</v>
      </c>
      <c r="G3814" s="12" t="s">
        <v>11988</v>
      </c>
      <c r="H3814" s="12">
        <v>223578</v>
      </c>
    </row>
    <row r="3815" spans="1:8">
      <c r="A3815" s="12" t="s">
        <v>11989</v>
      </c>
      <c r="B3815" s="13">
        <v>0.06</v>
      </c>
      <c r="C3815" s="16" t="s">
        <v>5331</v>
      </c>
      <c r="D3815" s="12">
        <v>524</v>
      </c>
      <c r="E3815" s="12" t="s">
        <v>5332</v>
      </c>
      <c r="F3815" s="12" t="s">
        <v>5328</v>
      </c>
      <c r="G3815" s="12" t="s">
        <v>11990</v>
      </c>
      <c r="H3815" s="12">
        <v>283368</v>
      </c>
    </row>
    <row r="3816" spans="1:8">
      <c r="A3816" s="12" t="s">
        <v>11991</v>
      </c>
      <c r="B3816" s="13">
        <v>0.01</v>
      </c>
      <c r="C3816" s="16" t="s">
        <v>5331</v>
      </c>
      <c r="D3816" s="12">
        <v>210</v>
      </c>
      <c r="E3816" s="12" t="s">
        <v>5332</v>
      </c>
      <c r="F3816" s="12" t="s">
        <v>5328</v>
      </c>
      <c r="G3816" s="12" t="s">
        <v>11992</v>
      </c>
      <c r="H3816" s="12">
        <v>283269</v>
      </c>
    </row>
    <row r="3817" spans="1:8">
      <c r="A3817" s="12" t="s">
        <v>11993</v>
      </c>
      <c r="B3817" s="13">
        <v>229.3</v>
      </c>
      <c r="C3817" s="16" t="s">
        <v>5331</v>
      </c>
      <c r="D3817" s="12">
        <v>491</v>
      </c>
      <c r="E3817" s="12" t="s">
        <v>5332</v>
      </c>
      <c r="F3817" s="12" t="s">
        <v>5328</v>
      </c>
      <c r="G3817" s="12" t="s">
        <v>11994</v>
      </c>
      <c r="H3817" s="12">
        <v>229721</v>
      </c>
    </row>
    <row r="3818" spans="1:8">
      <c r="A3818" s="12" t="s">
        <v>11995</v>
      </c>
      <c r="B3818" s="13">
        <v>58.37</v>
      </c>
      <c r="C3818" s="16" t="s">
        <v>5331</v>
      </c>
      <c r="D3818" s="12">
        <v>212</v>
      </c>
      <c r="E3818" s="12" t="s">
        <v>5332</v>
      </c>
      <c r="F3818" s="12" t="s">
        <v>5328</v>
      </c>
      <c r="G3818" s="12" t="s">
        <v>11996</v>
      </c>
      <c r="H3818" s="12">
        <v>229821</v>
      </c>
    </row>
    <row r="3819" spans="1:8">
      <c r="A3819" s="12" t="s">
        <v>11997</v>
      </c>
      <c r="B3819" s="13">
        <v>103.33</v>
      </c>
      <c r="C3819" s="16" t="s">
        <v>5331</v>
      </c>
      <c r="D3819" s="12">
        <v>546</v>
      </c>
      <c r="E3819" s="12" t="s">
        <v>5332</v>
      </c>
      <c r="F3819" s="12" t="s">
        <v>5328</v>
      </c>
      <c r="G3819" s="12" t="s">
        <v>11998</v>
      </c>
      <c r="H3819" s="12">
        <v>283367</v>
      </c>
    </row>
    <row r="3820" spans="1:8">
      <c r="A3820" s="12" t="s">
        <v>11999</v>
      </c>
      <c r="B3820" s="13">
        <v>0</v>
      </c>
      <c r="C3820" s="16" t="s">
        <v>5331</v>
      </c>
      <c r="D3820" s="12">
        <v>221</v>
      </c>
      <c r="E3820" s="12" t="s">
        <v>5332</v>
      </c>
      <c r="F3820" s="12" t="s">
        <v>5328</v>
      </c>
      <c r="G3820" s="12" t="s">
        <v>12000</v>
      </c>
      <c r="H3820" s="12">
        <v>283468</v>
      </c>
    </row>
    <row r="3821" spans="1:8">
      <c r="A3821" s="12" t="s">
        <v>12001</v>
      </c>
      <c r="B3821" s="13">
        <v>0.69</v>
      </c>
      <c r="C3821" s="16" t="s">
        <v>5331</v>
      </c>
      <c r="D3821" s="12">
        <v>343</v>
      </c>
      <c r="E3821" s="12" t="s">
        <v>5332</v>
      </c>
      <c r="F3821" s="12" t="s">
        <v>5328</v>
      </c>
      <c r="G3821" s="12" t="s">
        <v>12002</v>
      </c>
      <c r="H3821" s="12">
        <v>264944</v>
      </c>
    </row>
    <row r="3822" spans="1:8">
      <c r="A3822" s="12" t="s">
        <v>12003</v>
      </c>
      <c r="B3822" s="13">
        <v>0.18</v>
      </c>
      <c r="C3822" s="16" t="s">
        <v>5331</v>
      </c>
      <c r="D3822" s="12">
        <v>137.19999999999999</v>
      </c>
      <c r="E3822" s="12" t="s">
        <v>5332</v>
      </c>
      <c r="F3822" s="12" t="s">
        <v>5328</v>
      </c>
      <c r="G3822" s="12" t="s">
        <v>12004</v>
      </c>
      <c r="H3822" s="12">
        <v>264945</v>
      </c>
    </row>
    <row r="3823" spans="1:8">
      <c r="A3823" s="12" t="s">
        <v>12005</v>
      </c>
      <c r="B3823" s="13">
        <v>0.99</v>
      </c>
      <c r="C3823" s="16" t="s">
        <v>5331</v>
      </c>
      <c r="D3823" s="12">
        <v>343</v>
      </c>
      <c r="E3823" s="12" t="s">
        <v>5332</v>
      </c>
      <c r="F3823" s="12" t="s">
        <v>5328</v>
      </c>
      <c r="G3823" s="12" t="s">
        <v>12006</v>
      </c>
      <c r="H3823" s="12">
        <v>264946</v>
      </c>
    </row>
    <row r="3824" spans="1:8">
      <c r="A3824" s="12" t="s">
        <v>12007</v>
      </c>
      <c r="B3824" s="13">
        <v>0.25</v>
      </c>
      <c r="C3824" s="16" t="s">
        <v>5331</v>
      </c>
      <c r="D3824" s="12">
        <v>137.19999999999999</v>
      </c>
      <c r="E3824" s="12" t="s">
        <v>5332</v>
      </c>
      <c r="F3824" s="12" t="s">
        <v>5328</v>
      </c>
      <c r="G3824" s="12" t="s">
        <v>12008</v>
      </c>
      <c r="H3824" s="12">
        <v>265043</v>
      </c>
    </row>
    <row r="3825" spans="1:8">
      <c r="A3825" s="12" t="s">
        <v>12009</v>
      </c>
      <c r="B3825" s="13">
        <v>63.89</v>
      </c>
      <c r="C3825" s="16" t="s">
        <v>5331</v>
      </c>
      <c r="D3825" s="12">
        <v>423</v>
      </c>
      <c r="E3825" s="12" t="s">
        <v>5332</v>
      </c>
      <c r="F3825" s="12" t="s">
        <v>5328</v>
      </c>
      <c r="G3825" s="12" t="s">
        <v>12010</v>
      </c>
      <c r="H3825" s="12">
        <v>264947</v>
      </c>
    </row>
    <row r="3826" spans="1:8">
      <c r="A3826" s="12" t="s">
        <v>12011</v>
      </c>
      <c r="B3826" s="13">
        <v>16.260000000000002</v>
      </c>
      <c r="C3826" s="16" t="s">
        <v>5331</v>
      </c>
      <c r="D3826" s="12">
        <v>169.2</v>
      </c>
      <c r="E3826" s="12" t="s">
        <v>5332</v>
      </c>
      <c r="F3826" s="12" t="s">
        <v>5328</v>
      </c>
      <c r="G3826" s="12" t="s">
        <v>12012</v>
      </c>
      <c r="H3826" s="12">
        <v>264948</v>
      </c>
    </row>
    <row r="3827" spans="1:8">
      <c r="A3827" s="12" t="s">
        <v>12013</v>
      </c>
      <c r="B3827" s="13">
        <v>1.73</v>
      </c>
      <c r="C3827" s="16" t="s">
        <v>5331</v>
      </c>
      <c r="D3827" s="12">
        <v>343</v>
      </c>
      <c r="E3827" s="12" t="s">
        <v>5332</v>
      </c>
      <c r="F3827" s="12" t="s">
        <v>5328</v>
      </c>
      <c r="G3827" s="12" t="s">
        <v>12014</v>
      </c>
      <c r="H3827" s="12">
        <v>264943</v>
      </c>
    </row>
    <row r="3828" spans="1:8">
      <c r="A3828" s="12" t="s">
        <v>12015</v>
      </c>
      <c r="B3828" s="13">
        <v>0.44</v>
      </c>
      <c r="C3828" s="16" t="s">
        <v>5331</v>
      </c>
      <c r="D3828" s="12">
        <v>137.19999999999999</v>
      </c>
      <c r="E3828" s="12" t="s">
        <v>5332</v>
      </c>
      <c r="F3828" s="12" t="s">
        <v>5328</v>
      </c>
      <c r="G3828" s="12" t="s">
        <v>12016</v>
      </c>
      <c r="H3828" s="12">
        <v>264949</v>
      </c>
    </row>
    <row r="3829" spans="1:8">
      <c r="A3829" s="12" t="s">
        <v>12017</v>
      </c>
      <c r="B3829" s="13">
        <v>0.06</v>
      </c>
      <c r="C3829" s="16" t="s">
        <v>5331</v>
      </c>
      <c r="D3829" s="12">
        <v>343</v>
      </c>
      <c r="E3829" s="12" t="s">
        <v>5332</v>
      </c>
      <c r="F3829" s="12" t="s">
        <v>5328</v>
      </c>
      <c r="G3829" s="12" t="s">
        <v>12018</v>
      </c>
      <c r="H3829" s="12">
        <v>264950</v>
      </c>
    </row>
    <row r="3830" spans="1:8">
      <c r="A3830" s="12" t="s">
        <v>12019</v>
      </c>
      <c r="B3830" s="13">
        <v>0.02</v>
      </c>
      <c r="C3830" s="16" t="s">
        <v>5331</v>
      </c>
      <c r="D3830" s="12">
        <v>137.19999999999999</v>
      </c>
      <c r="E3830" s="12" t="s">
        <v>5332</v>
      </c>
      <c r="F3830" s="12" t="s">
        <v>5328</v>
      </c>
      <c r="G3830" s="12" t="s">
        <v>12020</v>
      </c>
      <c r="H3830" s="12">
        <v>264951</v>
      </c>
    </row>
    <row r="3831" spans="1:8">
      <c r="A3831" s="12" t="s">
        <v>12021</v>
      </c>
      <c r="B3831" s="13">
        <v>31.81</v>
      </c>
      <c r="C3831" s="16" t="s">
        <v>5331</v>
      </c>
      <c r="D3831" s="12">
        <v>423</v>
      </c>
      <c r="E3831" s="12" t="s">
        <v>5332</v>
      </c>
      <c r="F3831" s="12" t="s">
        <v>5328</v>
      </c>
      <c r="G3831" s="12" t="s">
        <v>12022</v>
      </c>
      <c r="H3831" s="12">
        <v>264954</v>
      </c>
    </row>
    <row r="3832" spans="1:8">
      <c r="A3832" s="12" t="s">
        <v>12023</v>
      </c>
      <c r="B3832" s="13">
        <v>8.1</v>
      </c>
      <c r="C3832" s="16" t="s">
        <v>5331</v>
      </c>
      <c r="D3832" s="12">
        <v>169.2</v>
      </c>
      <c r="E3832" s="12" t="s">
        <v>5332</v>
      </c>
      <c r="F3832" s="12" t="s">
        <v>5328</v>
      </c>
      <c r="G3832" s="12" t="s">
        <v>12024</v>
      </c>
      <c r="H3832" s="12">
        <v>265044</v>
      </c>
    </row>
    <row r="3833" spans="1:8">
      <c r="A3833" s="12" t="s">
        <v>12025</v>
      </c>
      <c r="B3833" s="13">
        <v>31.64</v>
      </c>
      <c r="C3833" s="16" t="s">
        <v>5331</v>
      </c>
      <c r="D3833" s="12">
        <v>423</v>
      </c>
      <c r="E3833" s="12" t="s">
        <v>5332</v>
      </c>
      <c r="F3833" s="12" t="s">
        <v>5328</v>
      </c>
      <c r="G3833" s="12" t="s">
        <v>12026</v>
      </c>
      <c r="H3833" s="12">
        <v>265045</v>
      </c>
    </row>
    <row r="3834" spans="1:8">
      <c r="A3834" s="12" t="s">
        <v>12027</v>
      </c>
      <c r="B3834" s="13">
        <v>8.0500000000000007</v>
      </c>
      <c r="C3834" s="16" t="s">
        <v>5331</v>
      </c>
      <c r="D3834" s="12">
        <v>169.2</v>
      </c>
      <c r="E3834" s="12" t="s">
        <v>5332</v>
      </c>
      <c r="F3834" s="12" t="s">
        <v>5328</v>
      </c>
      <c r="G3834" s="12" t="s">
        <v>12028</v>
      </c>
      <c r="H3834" s="12">
        <v>265046</v>
      </c>
    </row>
    <row r="3835" spans="1:8">
      <c r="A3835" s="12" t="s">
        <v>12029</v>
      </c>
      <c r="B3835" s="13">
        <v>15.91</v>
      </c>
      <c r="C3835" s="16" t="s">
        <v>5331</v>
      </c>
      <c r="D3835" s="12">
        <v>423</v>
      </c>
      <c r="E3835" s="12" t="s">
        <v>5332</v>
      </c>
      <c r="F3835" s="12" t="s">
        <v>5328</v>
      </c>
      <c r="G3835" s="12" t="s">
        <v>12030</v>
      </c>
      <c r="H3835" s="12">
        <v>264956</v>
      </c>
    </row>
    <row r="3836" spans="1:8">
      <c r="A3836" s="12" t="s">
        <v>12031</v>
      </c>
      <c r="B3836" s="13">
        <v>3.47</v>
      </c>
      <c r="C3836" s="16" t="s">
        <v>5331</v>
      </c>
      <c r="D3836" s="12">
        <v>169.2</v>
      </c>
      <c r="E3836" s="12" t="s">
        <v>5332</v>
      </c>
      <c r="F3836" s="12" t="s">
        <v>5328</v>
      </c>
      <c r="G3836" s="12" t="s">
        <v>12032</v>
      </c>
      <c r="H3836" s="12">
        <v>264957</v>
      </c>
    </row>
    <row r="3837" spans="1:8">
      <c r="A3837" s="12" t="s">
        <v>12033</v>
      </c>
      <c r="B3837" s="13">
        <v>29.23</v>
      </c>
      <c r="C3837" s="16" t="s">
        <v>5331</v>
      </c>
      <c r="D3837" s="12">
        <v>423</v>
      </c>
      <c r="E3837" s="12" t="s">
        <v>5332</v>
      </c>
      <c r="F3837" s="12" t="s">
        <v>5328</v>
      </c>
      <c r="G3837" s="12" t="s">
        <v>12034</v>
      </c>
      <c r="H3837" s="12">
        <v>264955</v>
      </c>
    </row>
    <row r="3838" spans="1:8">
      <c r="A3838" s="12" t="s">
        <v>12035</v>
      </c>
      <c r="B3838" s="13">
        <v>6.38</v>
      </c>
      <c r="C3838" s="16" t="s">
        <v>5331</v>
      </c>
      <c r="D3838" s="12">
        <v>169.2</v>
      </c>
      <c r="E3838" s="12" t="s">
        <v>5332</v>
      </c>
      <c r="F3838" s="12" t="s">
        <v>5328</v>
      </c>
      <c r="G3838" s="12" t="s">
        <v>12036</v>
      </c>
      <c r="H3838" s="12">
        <v>264953</v>
      </c>
    </row>
    <row r="3839" spans="1:8">
      <c r="A3839" s="12" t="s">
        <v>12037</v>
      </c>
      <c r="B3839" s="13">
        <v>32.25</v>
      </c>
      <c r="C3839" s="16" t="s">
        <v>5331</v>
      </c>
      <c r="D3839" s="12">
        <v>423</v>
      </c>
      <c r="E3839" s="12" t="s">
        <v>5332</v>
      </c>
      <c r="F3839" s="12" t="s">
        <v>5328</v>
      </c>
      <c r="G3839" s="12" t="s">
        <v>12038</v>
      </c>
      <c r="H3839" s="12">
        <v>264952</v>
      </c>
    </row>
    <row r="3840" spans="1:8">
      <c r="A3840" s="12" t="s">
        <v>12039</v>
      </c>
      <c r="B3840" s="13">
        <v>8.2100000000000009</v>
      </c>
      <c r="C3840" s="16" t="s">
        <v>5331</v>
      </c>
      <c r="D3840" s="12">
        <v>169.2</v>
      </c>
      <c r="E3840" s="12" t="s">
        <v>5332</v>
      </c>
      <c r="F3840" s="12" t="s">
        <v>5328</v>
      </c>
      <c r="G3840" s="12" t="s">
        <v>12040</v>
      </c>
      <c r="H3840" s="12">
        <v>265142</v>
      </c>
    </row>
    <row r="3841" spans="1:8">
      <c r="A3841" s="12" t="s">
        <v>12041</v>
      </c>
      <c r="B3841" s="13">
        <v>162.31</v>
      </c>
      <c r="C3841" s="16" t="s">
        <v>5331</v>
      </c>
      <c r="D3841" s="12">
        <v>423</v>
      </c>
      <c r="E3841" s="12" t="s">
        <v>5332</v>
      </c>
      <c r="F3841" s="12" t="s">
        <v>5328</v>
      </c>
      <c r="G3841" s="12" t="s">
        <v>12042</v>
      </c>
      <c r="H3841" s="12">
        <v>265143</v>
      </c>
    </row>
    <row r="3842" spans="1:8">
      <c r="A3842" s="12" t="s">
        <v>12043</v>
      </c>
      <c r="B3842" s="13">
        <v>41.31</v>
      </c>
      <c r="C3842" s="16" t="s">
        <v>5331</v>
      </c>
      <c r="D3842" s="12">
        <v>169.2</v>
      </c>
      <c r="E3842" s="12" t="s">
        <v>5332</v>
      </c>
      <c r="F3842" s="12" t="s">
        <v>5328</v>
      </c>
      <c r="G3842" s="12" t="s">
        <v>12044</v>
      </c>
      <c r="H3842" s="12">
        <v>265144</v>
      </c>
    </row>
    <row r="3843" spans="1:8">
      <c r="A3843" s="12" t="s">
        <v>12045</v>
      </c>
      <c r="B3843" s="13">
        <v>5.29</v>
      </c>
      <c r="C3843" s="16" t="s">
        <v>5331</v>
      </c>
      <c r="D3843" s="12">
        <v>423</v>
      </c>
      <c r="E3843" s="12" t="s">
        <v>5332</v>
      </c>
      <c r="F3843" s="12" t="s">
        <v>5328</v>
      </c>
      <c r="G3843" s="12" t="s">
        <v>12046</v>
      </c>
      <c r="H3843" s="12">
        <v>283369</v>
      </c>
    </row>
    <row r="3844" spans="1:8">
      <c r="A3844" s="12" t="s">
        <v>12047</v>
      </c>
      <c r="B3844" s="13">
        <v>1.35</v>
      </c>
      <c r="C3844" s="16" t="s">
        <v>5331</v>
      </c>
      <c r="D3844" s="12">
        <v>169</v>
      </c>
      <c r="E3844" s="12" t="s">
        <v>5332</v>
      </c>
      <c r="F3844" s="12" t="s">
        <v>5328</v>
      </c>
      <c r="G3844" s="12" t="s">
        <v>12048</v>
      </c>
      <c r="H3844" s="12">
        <v>283370</v>
      </c>
    </row>
    <row r="3845" spans="1:8">
      <c r="A3845" s="12" t="s">
        <v>12049</v>
      </c>
      <c r="B3845" s="13">
        <v>0.41</v>
      </c>
      <c r="C3845" s="16" t="s">
        <v>5331</v>
      </c>
      <c r="D3845" s="12">
        <v>453</v>
      </c>
      <c r="E3845" s="12" t="s">
        <v>5332</v>
      </c>
      <c r="F3845" s="12" t="s">
        <v>5328</v>
      </c>
      <c r="G3845" s="12" t="s">
        <v>12050</v>
      </c>
      <c r="H3845" s="12">
        <v>283470</v>
      </c>
    </row>
    <row r="3846" spans="1:8">
      <c r="A3846" s="12" t="s">
        <v>12051</v>
      </c>
      <c r="B3846" s="13">
        <v>0.1</v>
      </c>
      <c r="C3846" s="16" t="s">
        <v>5331</v>
      </c>
      <c r="D3846" s="12">
        <v>177</v>
      </c>
      <c r="E3846" s="12" t="s">
        <v>5332</v>
      </c>
      <c r="F3846" s="12" t="s">
        <v>5328</v>
      </c>
      <c r="G3846" s="12" t="s">
        <v>12052</v>
      </c>
      <c r="H3846" s="12">
        <v>283271</v>
      </c>
    </row>
    <row r="3847" spans="1:8">
      <c r="A3847" s="12" t="s">
        <v>12053</v>
      </c>
      <c r="B3847" s="13">
        <v>67.349999999999994</v>
      </c>
      <c r="C3847" s="16" t="s">
        <v>5331</v>
      </c>
      <c r="D3847" s="12">
        <v>423</v>
      </c>
      <c r="E3847" s="12" t="s">
        <v>5332</v>
      </c>
      <c r="F3847" s="12" t="s">
        <v>5328</v>
      </c>
      <c r="G3847" s="12" t="s">
        <v>12054</v>
      </c>
      <c r="H3847" s="12">
        <v>283270</v>
      </c>
    </row>
    <row r="3848" spans="1:8">
      <c r="A3848" s="12" t="s">
        <v>12055</v>
      </c>
      <c r="B3848" s="13">
        <v>17.14</v>
      </c>
      <c r="C3848" s="16" t="s">
        <v>5331</v>
      </c>
      <c r="D3848" s="12">
        <v>169</v>
      </c>
      <c r="E3848" s="12" t="s">
        <v>5332</v>
      </c>
      <c r="F3848" s="12" t="s">
        <v>5328</v>
      </c>
      <c r="G3848" s="12" t="s">
        <v>12056</v>
      </c>
      <c r="H3848" s="12">
        <v>283371</v>
      </c>
    </row>
    <row r="3849" spans="1:8">
      <c r="A3849" s="12" t="s">
        <v>12057</v>
      </c>
      <c r="B3849" s="13">
        <v>114.39</v>
      </c>
      <c r="C3849" s="16" t="s">
        <v>5331</v>
      </c>
      <c r="D3849" s="12">
        <v>423</v>
      </c>
      <c r="E3849" s="12" t="s">
        <v>5332</v>
      </c>
      <c r="F3849" s="12" t="s">
        <v>5328</v>
      </c>
      <c r="G3849" s="12" t="s">
        <v>12058</v>
      </c>
      <c r="H3849" s="12">
        <v>283372</v>
      </c>
    </row>
    <row r="3850" spans="1:8">
      <c r="A3850" s="12" t="s">
        <v>12059</v>
      </c>
      <c r="B3850" s="13">
        <v>29.12</v>
      </c>
      <c r="C3850" s="16" t="s">
        <v>5331</v>
      </c>
      <c r="D3850" s="12">
        <v>169</v>
      </c>
      <c r="E3850" s="12" t="s">
        <v>5332</v>
      </c>
      <c r="F3850" s="12" t="s">
        <v>5328</v>
      </c>
      <c r="G3850" s="12" t="s">
        <v>12060</v>
      </c>
      <c r="H3850" s="12">
        <v>283272</v>
      </c>
    </row>
    <row r="3851" spans="1:8">
      <c r="A3851" s="12" t="s">
        <v>12061</v>
      </c>
      <c r="B3851" s="13">
        <v>0.87</v>
      </c>
      <c r="C3851" s="16" t="s">
        <v>5331</v>
      </c>
      <c r="D3851" s="12">
        <v>343</v>
      </c>
      <c r="E3851" s="12" t="s">
        <v>5332</v>
      </c>
      <c r="F3851" s="12" t="s">
        <v>5328</v>
      </c>
      <c r="G3851" s="12" t="s">
        <v>12062</v>
      </c>
      <c r="H3851" s="12">
        <v>283373</v>
      </c>
    </row>
    <row r="3852" spans="1:8">
      <c r="A3852" s="12" t="s">
        <v>12063</v>
      </c>
      <c r="B3852" s="13">
        <v>0.22</v>
      </c>
      <c r="C3852" s="16" t="s">
        <v>5331</v>
      </c>
      <c r="D3852" s="12">
        <v>138</v>
      </c>
      <c r="E3852" s="12" t="s">
        <v>5332</v>
      </c>
      <c r="F3852" s="12" t="s">
        <v>5328</v>
      </c>
      <c r="G3852" s="12" t="s">
        <v>12064</v>
      </c>
      <c r="H3852" s="12">
        <v>283374</v>
      </c>
    </row>
    <row r="3853" spans="1:8">
      <c r="A3853" s="12" t="s">
        <v>12065</v>
      </c>
      <c r="B3853" s="13">
        <v>158.41999999999999</v>
      </c>
      <c r="C3853" s="16" t="s">
        <v>5331</v>
      </c>
      <c r="D3853" s="12">
        <v>486</v>
      </c>
      <c r="E3853" s="12" t="s">
        <v>5332</v>
      </c>
      <c r="F3853" s="12" t="s">
        <v>5328</v>
      </c>
      <c r="G3853" s="12" t="s">
        <v>12066</v>
      </c>
      <c r="H3853" s="12">
        <v>283375</v>
      </c>
    </row>
    <row r="3854" spans="1:8">
      <c r="A3854" s="12" t="s">
        <v>12067</v>
      </c>
      <c r="B3854" s="13">
        <v>40.33</v>
      </c>
      <c r="C3854" s="16" t="s">
        <v>5331</v>
      </c>
      <c r="D3854" s="12">
        <v>194</v>
      </c>
      <c r="E3854" s="12" t="s">
        <v>5332</v>
      </c>
      <c r="F3854" s="12" t="s">
        <v>5328</v>
      </c>
      <c r="G3854" s="12" t="s">
        <v>12068</v>
      </c>
      <c r="H3854" s="12">
        <v>283273</v>
      </c>
    </row>
    <row r="3855" spans="1:8">
      <c r="A3855" s="12" t="s">
        <v>12069</v>
      </c>
      <c r="B3855" s="13">
        <v>24.26</v>
      </c>
      <c r="C3855" s="16" t="s">
        <v>5331</v>
      </c>
      <c r="D3855" s="12">
        <v>453</v>
      </c>
      <c r="E3855" s="12" t="s">
        <v>5332</v>
      </c>
      <c r="F3855" s="12" t="s">
        <v>5328</v>
      </c>
      <c r="G3855" s="12" t="s">
        <v>12070</v>
      </c>
      <c r="H3855" s="12">
        <v>283469</v>
      </c>
    </row>
    <row r="3856" spans="1:8">
      <c r="A3856" s="12" t="s">
        <v>12071</v>
      </c>
      <c r="B3856" s="13">
        <v>6.62</v>
      </c>
      <c r="C3856" s="16" t="s">
        <v>5331</v>
      </c>
      <c r="D3856" s="12">
        <v>177</v>
      </c>
      <c r="E3856" s="12" t="s">
        <v>5332</v>
      </c>
      <c r="F3856" s="12" t="s">
        <v>5328</v>
      </c>
      <c r="G3856" s="12" t="s">
        <v>12072</v>
      </c>
      <c r="H3856" s="12">
        <v>283267</v>
      </c>
    </row>
    <row r="3857" spans="1:8">
      <c r="A3857" s="12" t="s">
        <v>12073</v>
      </c>
      <c r="B3857" s="13">
        <v>9.1199999999999992</v>
      </c>
      <c r="C3857" s="16" t="s">
        <v>5331</v>
      </c>
      <c r="D3857" s="12">
        <v>486</v>
      </c>
      <c r="E3857" s="12" t="s">
        <v>5332</v>
      </c>
      <c r="F3857" s="12" t="s">
        <v>5328</v>
      </c>
      <c r="G3857" s="12" t="s">
        <v>12074</v>
      </c>
      <c r="H3857" s="12">
        <v>283376</v>
      </c>
    </row>
    <row r="3858" spans="1:8">
      <c r="A3858" s="12" t="s">
        <v>12075</v>
      </c>
      <c r="B3858" s="13">
        <v>1.66</v>
      </c>
      <c r="C3858" s="16" t="s">
        <v>5331</v>
      </c>
      <c r="D3858" s="12">
        <v>194</v>
      </c>
      <c r="E3858" s="12" t="s">
        <v>5332</v>
      </c>
      <c r="F3858" s="12" t="s">
        <v>5328</v>
      </c>
      <c r="G3858" s="12" t="s">
        <v>12076</v>
      </c>
      <c r="H3858" s="12">
        <v>283274</v>
      </c>
    </row>
    <row r="3859" spans="1:8">
      <c r="A3859" s="12" t="s">
        <v>12077</v>
      </c>
      <c r="B3859" s="13">
        <v>49.16</v>
      </c>
      <c r="C3859" s="16" t="s">
        <v>5331</v>
      </c>
      <c r="D3859" s="12">
        <v>524</v>
      </c>
      <c r="E3859" s="12" t="s">
        <v>5332</v>
      </c>
      <c r="F3859" s="12" t="s">
        <v>5328</v>
      </c>
      <c r="G3859" s="12" t="s">
        <v>12078</v>
      </c>
      <c r="H3859" s="12">
        <v>283275</v>
      </c>
    </row>
    <row r="3860" spans="1:8">
      <c r="A3860" s="12" t="s">
        <v>12079</v>
      </c>
      <c r="B3860" s="13">
        <v>12.51</v>
      </c>
      <c r="C3860" s="16" t="s">
        <v>5331</v>
      </c>
      <c r="D3860" s="12">
        <v>210</v>
      </c>
      <c r="E3860" s="12" t="s">
        <v>5332</v>
      </c>
      <c r="F3860" s="12" t="s">
        <v>5328</v>
      </c>
      <c r="G3860" s="12" t="s">
        <v>12080</v>
      </c>
      <c r="H3860" s="12">
        <v>283377</v>
      </c>
    </row>
    <row r="3861" spans="1:8">
      <c r="A3861" s="12" t="s">
        <v>12081</v>
      </c>
      <c r="B3861" s="13">
        <v>53.39</v>
      </c>
      <c r="C3861" s="16" t="s">
        <v>5331</v>
      </c>
      <c r="D3861" s="12">
        <v>453</v>
      </c>
      <c r="E3861" s="12" t="s">
        <v>5332</v>
      </c>
      <c r="F3861" s="12" t="s">
        <v>5328</v>
      </c>
      <c r="G3861" s="12" t="s">
        <v>12082</v>
      </c>
      <c r="H3861" s="12">
        <v>283276</v>
      </c>
    </row>
    <row r="3862" spans="1:8">
      <c r="A3862" s="12" t="s">
        <v>12083</v>
      </c>
      <c r="B3862" s="13">
        <v>11.65</v>
      </c>
      <c r="C3862" s="16" t="s">
        <v>5331</v>
      </c>
      <c r="D3862" s="12">
        <v>177</v>
      </c>
      <c r="E3862" s="12" t="s">
        <v>5332</v>
      </c>
      <c r="F3862" s="12" t="s">
        <v>5328</v>
      </c>
      <c r="G3862" s="12" t="s">
        <v>12084</v>
      </c>
      <c r="H3862" s="12">
        <v>283277</v>
      </c>
    </row>
    <row r="3863" spans="1:8">
      <c r="A3863" s="12" t="s">
        <v>12085</v>
      </c>
      <c r="B3863" s="13">
        <v>0.35</v>
      </c>
      <c r="C3863" s="16" t="s">
        <v>5331</v>
      </c>
      <c r="D3863" s="12">
        <v>414</v>
      </c>
      <c r="E3863" s="12" t="s">
        <v>5332</v>
      </c>
      <c r="F3863" s="12" t="s">
        <v>5328</v>
      </c>
      <c r="G3863" s="12" t="s">
        <v>12086</v>
      </c>
      <c r="H3863" s="12">
        <v>283278</v>
      </c>
    </row>
    <row r="3864" spans="1:8">
      <c r="A3864" s="12" t="s">
        <v>12087</v>
      </c>
      <c r="B3864" s="13">
        <v>0.08</v>
      </c>
      <c r="C3864" s="16" t="s">
        <v>5331</v>
      </c>
      <c r="D3864" s="12">
        <v>166</v>
      </c>
      <c r="E3864" s="12" t="s">
        <v>5332</v>
      </c>
      <c r="F3864" s="12" t="s">
        <v>5328</v>
      </c>
      <c r="G3864" s="12" t="s">
        <v>12088</v>
      </c>
      <c r="H3864" s="12">
        <v>283279</v>
      </c>
    </row>
    <row r="3865" spans="1:8">
      <c r="A3865" s="12" t="s">
        <v>12089</v>
      </c>
      <c r="B3865" s="13">
        <v>104.11</v>
      </c>
      <c r="C3865" s="16" t="s">
        <v>5331</v>
      </c>
      <c r="D3865" s="12">
        <v>546</v>
      </c>
      <c r="E3865" s="12" t="s">
        <v>5332</v>
      </c>
      <c r="F3865" s="12" t="s">
        <v>5328</v>
      </c>
      <c r="G3865" s="12" t="s">
        <v>12090</v>
      </c>
      <c r="H3865" s="12">
        <v>283378</v>
      </c>
    </row>
    <row r="3866" spans="1:8">
      <c r="A3866" s="12" t="s">
        <v>12091</v>
      </c>
      <c r="B3866" s="13">
        <v>26.5</v>
      </c>
      <c r="C3866" s="16" t="s">
        <v>5331</v>
      </c>
      <c r="D3866" s="12">
        <v>210</v>
      </c>
      <c r="E3866" s="12" t="s">
        <v>5332</v>
      </c>
      <c r="F3866" s="12" t="s">
        <v>5328</v>
      </c>
      <c r="G3866" s="12" t="s">
        <v>12092</v>
      </c>
      <c r="H3866" s="12">
        <v>283379</v>
      </c>
    </row>
    <row r="3867" spans="1:8">
      <c r="A3867" s="12" t="s">
        <v>12093</v>
      </c>
      <c r="B3867" s="13">
        <v>0</v>
      </c>
      <c r="C3867" s="16" t="s">
        <v>5331</v>
      </c>
      <c r="D3867" s="12">
        <v>486</v>
      </c>
      <c r="E3867" s="12" t="s">
        <v>5332</v>
      </c>
      <c r="F3867" s="12" t="s">
        <v>5328</v>
      </c>
      <c r="G3867" s="12" t="s">
        <v>12094</v>
      </c>
      <c r="H3867" s="12">
        <v>283467</v>
      </c>
    </row>
    <row r="3868" spans="1:8">
      <c r="A3868" s="12" t="s">
        <v>12095</v>
      </c>
      <c r="B3868" s="13">
        <v>0</v>
      </c>
      <c r="C3868" s="16" t="s">
        <v>5331</v>
      </c>
      <c r="D3868" s="12">
        <v>194</v>
      </c>
      <c r="E3868" s="12" t="s">
        <v>5332</v>
      </c>
      <c r="F3868" s="12" t="s">
        <v>5328</v>
      </c>
      <c r="G3868" s="12" t="s">
        <v>12096</v>
      </c>
      <c r="H3868" s="12">
        <v>283268</v>
      </c>
    </row>
    <row r="3869" spans="1:8">
      <c r="A3869" s="12" t="s">
        <v>12097</v>
      </c>
      <c r="B3869" s="13">
        <v>2.79</v>
      </c>
      <c r="C3869" s="16" t="s">
        <v>5331</v>
      </c>
      <c r="D3869" s="12">
        <v>1950</v>
      </c>
      <c r="E3869" s="12" t="s">
        <v>5332</v>
      </c>
      <c r="F3869" s="12" t="s">
        <v>5328</v>
      </c>
      <c r="G3869" s="12" t="s">
        <v>12098</v>
      </c>
      <c r="H3869" s="12">
        <v>130838</v>
      </c>
    </row>
    <row r="3870" spans="1:8">
      <c r="A3870" s="12" t="s">
        <v>12099</v>
      </c>
      <c r="B3870" s="13">
        <v>327.16000000000003</v>
      </c>
      <c r="C3870" s="16" t="s">
        <v>5331</v>
      </c>
      <c r="D3870" s="12">
        <v>2548</v>
      </c>
      <c r="E3870" s="12" t="s">
        <v>5332</v>
      </c>
      <c r="F3870" s="12" t="s">
        <v>5328</v>
      </c>
      <c r="G3870" s="12" t="s">
        <v>12100</v>
      </c>
      <c r="H3870" s="12">
        <v>79773</v>
      </c>
    </row>
    <row r="3871" spans="1:8">
      <c r="A3871" s="12" t="s">
        <v>12101</v>
      </c>
      <c r="B3871" s="13"/>
      <c r="C3871" s="16"/>
      <c r="D3871" s="12"/>
      <c r="E3871" s="12"/>
      <c r="F3871" s="12"/>
      <c r="G3871" s="12"/>
      <c r="H3871" s="12"/>
    </row>
    <row r="3872" spans="1:8">
      <c r="A3872" s="12" t="s">
        <v>12102</v>
      </c>
      <c r="B3872" s="13">
        <v>397.5</v>
      </c>
      <c r="C3872" s="16" t="s">
        <v>5331</v>
      </c>
      <c r="D3872" s="12">
        <v>2310</v>
      </c>
      <c r="E3872" s="12" t="s">
        <v>5332</v>
      </c>
      <c r="F3872" s="12" t="s">
        <v>5328</v>
      </c>
      <c r="G3872" s="12" t="s">
        <v>12103</v>
      </c>
      <c r="H3872" s="12">
        <v>65498</v>
      </c>
    </row>
    <row r="3873" spans="1:8">
      <c r="A3873" s="12" t="s">
        <v>12104</v>
      </c>
      <c r="B3873" s="13">
        <v>40.520000000000003</v>
      </c>
      <c r="C3873" s="16" t="s">
        <v>5331</v>
      </c>
      <c r="D3873" s="12">
        <v>1764</v>
      </c>
      <c r="E3873" s="12" t="s">
        <v>5332</v>
      </c>
      <c r="F3873" s="12" t="s">
        <v>5328</v>
      </c>
      <c r="G3873" s="12" t="s">
        <v>12105</v>
      </c>
      <c r="H3873" s="12">
        <v>79434</v>
      </c>
    </row>
    <row r="3874" spans="1:8">
      <c r="A3874" s="12" t="s">
        <v>12106</v>
      </c>
      <c r="B3874" s="13">
        <v>162.76</v>
      </c>
      <c r="C3874" s="16" t="s">
        <v>5331</v>
      </c>
      <c r="D3874" s="12">
        <v>3143</v>
      </c>
      <c r="E3874" s="12" t="s">
        <v>5332</v>
      </c>
      <c r="F3874" s="12" t="s">
        <v>5328</v>
      </c>
      <c r="G3874" s="12" t="s">
        <v>12107</v>
      </c>
      <c r="H3874" s="12">
        <v>82399</v>
      </c>
    </row>
    <row r="3875" spans="1:8">
      <c r="A3875" s="12" t="s">
        <v>12108</v>
      </c>
      <c r="B3875" s="13">
        <v>195.27</v>
      </c>
      <c r="C3875" s="16" t="s">
        <v>5331</v>
      </c>
      <c r="D3875" s="12">
        <v>3005</v>
      </c>
      <c r="E3875" s="12" t="s">
        <v>5332</v>
      </c>
      <c r="F3875" s="12" t="s">
        <v>5328</v>
      </c>
      <c r="G3875" s="12" t="s">
        <v>12109</v>
      </c>
      <c r="H3875" s="12">
        <v>111701</v>
      </c>
    </row>
    <row r="3876" spans="1:8">
      <c r="A3876" s="12" t="s">
        <v>12108</v>
      </c>
      <c r="B3876" s="13">
        <v>0</v>
      </c>
      <c r="C3876" s="16"/>
      <c r="D3876" s="12">
        <v>2725</v>
      </c>
      <c r="E3876" s="12" t="s">
        <v>5332</v>
      </c>
      <c r="F3876" s="12" t="s">
        <v>5328</v>
      </c>
      <c r="G3876" s="12" t="s">
        <v>12110</v>
      </c>
      <c r="H3876" s="12">
        <v>104686</v>
      </c>
    </row>
    <row r="3877" spans="1:8">
      <c r="A3877" s="12" t="s">
        <v>12111</v>
      </c>
      <c r="B3877" s="13">
        <v>183.25</v>
      </c>
      <c r="C3877" s="16" t="s">
        <v>5331</v>
      </c>
      <c r="D3877" s="12">
        <v>2239</v>
      </c>
      <c r="E3877" s="12" t="s">
        <v>5332</v>
      </c>
      <c r="F3877" s="12" t="s">
        <v>5328</v>
      </c>
      <c r="G3877" s="12" t="s">
        <v>12112</v>
      </c>
      <c r="H3877" s="12">
        <v>111801</v>
      </c>
    </row>
    <row r="3878" spans="1:8">
      <c r="A3878" s="12" t="s">
        <v>12111</v>
      </c>
      <c r="B3878" s="13">
        <v>0</v>
      </c>
      <c r="C3878" s="16"/>
      <c r="D3878" s="12">
        <v>2030</v>
      </c>
      <c r="E3878" s="12" t="s">
        <v>5332</v>
      </c>
      <c r="F3878" s="12" t="s">
        <v>5328</v>
      </c>
      <c r="G3878" s="12" t="s">
        <v>12113</v>
      </c>
      <c r="H3878" s="12">
        <v>104687</v>
      </c>
    </row>
    <row r="3879" spans="1:8">
      <c r="A3879" s="12" t="s">
        <v>12114</v>
      </c>
      <c r="B3879" s="13">
        <v>183.64</v>
      </c>
      <c r="C3879" s="16" t="s">
        <v>5331</v>
      </c>
      <c r="D3879" s="12">
        <v>2879</v>
      </c>
      <c r="E3879" s="12" t="s">
        <v>5332</v>
      </c>
      <c r="F3879" s="12" t="s">
        <v>5328</v>
      </c>
      <c r="G3879" s="12" t="s">
        <v>12115</v>
      </c>
      <c r="H3879" s="12">
        <v>111802</v>
      </c>
    </row>
    <row r="3880" spans="1:8">
      <c r="A3880" s="12" t="s">
        <v>12114</v>
      </c>
      <c r="B3880" s="13">
        <v>0</v>
      </c>
      <c r="C3880" s="16"/>
      <c r="D3880" s="12">
        <v>2475</v>
      </c>
      <c r="E3880" s="12" t="s">
        <v>5332</v>
      </c>
      <c r="F3880" s="12" t="s">
        <v>5328</v>
      </c>
      <c r="G3880" s="12" t="s">
        <v>12116</v>
      </c>
      <c r="H3880" s="12">
        <v>104688</v>
      </c>
    </row>
    <row r="3881" spans="1:8">
      <c r="A3881" s="12" t="s">
        <v>12117</v>
      </c>
      <c r="B3881" s="13">
        <v>156.56</v>
      </c>
      <c r="C3881" s="16" t="s">
        <v>5331</v>
      </c>
      <c r="D3881" s="12">
        <v>1974</v>
      </c>
      <c r="E3881" s="12" t="s">
        <v>5332</v>
      </c>
      <c r="F3881" s="12" t="s">
        <v>5328</v>
      </c>
      <c r="G3881" s="12" t="s">
        <v>12118</v>
      </c>
      <c r="H3881" s="12">
        <v>111803</v>
      </c>
    </row>
    <row r="3882" spans="1:8">
      <c r="A3882" s="12" t="s">
        <v>12117</v>
      </c>
      <c r="B3882" s="13">
        <v>0</v>
      </c>
      <c r="C3882" s="16"/>
      <c r="D3882" s="12">
        <v>1655</v>
      </c>
      <c r="E3882" s="12" t="s">
        <v>5332</v>
      </c>
      <c r="F3882" s="12" t="s">
        <v>5328</v>
      </c>
      <c r="G3882" s="12" t="s">
        <v>12119</v>
      </c>
      <c r="H3882" s="12">
        <v>104689</v>
      </c>
    </row>
    <row r="3883" spans="1:8">
      <c r="A3883" s="12" t="s">
        <v>12120</v>
      </c>
      <c r="B3883" s="13">
        <v>76.95</v>
      </c>
      <c r="C3883" s="16" t="s">
        <v>5331</v>
      </c>
      <c r="D3883" s="12">
        <v>5009</v>
      </c>
      <c r="E3883" s="12" t="s">
        <v>5332</v>
      </c>
      <c r="F3883" s="12" t="s">
        <v>5328</v>
      </c>
      <c r="G3883" s="12" t="s">
        <v>12121</v>
      </c>
      <c r="H3883" s="12">
        <v>183223</v>
      </c>
    </row>
    <row r="3884" spans="1:8">
      <c r="A3884" s="12" t="s">
        <v>12122</v>
      </c>
      <c r="B3884" s="13">
        <v>37.07</v>
      </c>
      <c r="C3884" s="16" t="s">
        <v>5331</v>
      </c>
      <c r="D3884" s="12">
        <v>2482</v>
      </c>
      <c r="E3884" s="12" t="s">
        <v>5332</v>
      </c>
      <c r="F3884" s="12" t="s">
        <v>5328</v>
      </c>
      <c r="G3884" s="12" t="s">
        <v>12123</v>
      </c>
      <c r="H3884" s="12">
        <v>156140</v>
      </c>
    </row>
    <row r="3885" spans="1:8">
      <c r="A3885" s="12" t="s">
        <v>12124</v>
      </c>
      <c r="B3885" s="13">
        <v>88.88</v>
      </c>
      <c r="C3885" s="16" t="s">
        <v>5331</v>
      </c>
      <c r="D3885" s="12">
        <v>3633</v>
      </c>
      <c r="E3885" s="12" t="s">
        <v>5332</v>
      </c>
      <c r="F3885" s="12" t="s">
        <v>5328</v>
      </c>
      <c r="G3885" s="12" t="s">
        <v>12125</v>
      </c>
      <c r="H3885" s="12">
        <v>162502</v>
      </c>
    </row>
    <row r="3886" spans="1:8">
      <c r="A3886" s="12" t="s">
        <v>12126</v>
      </c>
      <c r="B3886" s="13">
        <v>276.64999999999998</v>
      </c>
      <c r="C3886" s="16" t="s">
        <v>5331</v>
      </c>
      <c r="D3886" s="12">
        <v>3033</v>
      </c>
      <c r="E3886" s="12" t="s">
        <v>5332</v>
      </c>
      <c r="F3886" s="12" t="s">
        <v>5328</v>
      </c>
      <c r="G3886" s="12" t="s">
        <v>12127</v>
      </c>
      <c r="H3886" s="12">
        <v>188718</v>
      </c>
    </row>
    <row r="3887" spans="1:8">
      <c r="A3887" s="12" t="s">
        <v>12126</v>
      </c>
      <c r="B3887" s="13">
        <v>0</v>
      </c>
      <c r="C3887" s="16" t="s">
        <v>5331</v>
      </c>
      <c r="D3887" s="12">
        <v>2750</v>
      </c>
      <c r="E3887" s="12" t="s">
        <v>5332</v>
      </c>
      <c r="F3887" s="12" t="s">
        <v>5328</v>
      </c>
      <c r="G3887" s="12" t="s">
        <v>12128</v>
      </c>
      <c r="H3887" s="12">
        <v>187625</v>
      </c>
    </row>
    <row r="3888" spans="1:8">
      <c r="A3888" s="12" t="s">
        <v>12129</v>
      </c>
      <c r="B3888" s="13">
        <v>458.53</v>
      </c>
      <c r="C3888" s="16" t="s">
        <v>5331</v>
      </c>
      <c r="D3888" s="12">
        <v>3444</v>
      </c>
      <c r="E3888" s="12" t="s">
        <v>5332</v>
      </c>
      <c r="F3888" s="12" t="s">
        <v>5328</v>
      </c>
      <c r="G3888" s="12" t="s">
        <v>12130</v>
      </c>
      <c r="H3888" s="12">
        <v>207571</v>
      </c>
    </row>
    <row r="3889" spans="1:8">
      <c r="A3889" s="12" t="s">
        <v>12131</v>
      </c>
      <c r="B3889" s="13">
        <v>64.41</v>
      </c>
      <c r="C3889" s="16" t="s">
        <v>5331</v>
      </c>
      <c r="D3889" s="12">
        <v>3989</v>
      </c>
      <c r="E3889" s="12" t="s">
        <v>5332</v>
      </c>
      <c r="F3889" s="12" t="s">
        <v>5328</v>
      </c>
      <c r="G3889" s="12" t="s">
        <v>12132</v>
      </c>
      <c r="H3889" s="12">
        <v>258112</v>
      </c>
    </row>
    <row r="3890" spans="1:8">
      <c r="A3890" s="12" t="s">
        <v>12133</v>
      </c>
      <c r="B3890" s="13">
        <v>362.7</v>
      </c>
      <c r="C3890" s="16" t="s">
        <v>5331</v>
      </c>
      <c r="D3890" s="12">
        <v>352</v>
      </c>
      <c r="E3890" s="12" t="s">
        <v>5332</v>
      </c>
      <c r="F3890" s="12" t="s">
        <v>5328</v>
      </c>
      <c r="G3890" s="12" t="s">
        <v>12134</v>
      </c>
      <c r="H3890" s="12">
        <v>81719</v>
      </c>
    </row>
    <row r="3891" spans="1:8">
      <c r="A3891" s="12" t="s">
        <v>12135</v>
      </c>
      <c r="B3891" s="13">
        <v>689.86</v>
      </c>
      <c r="C3891" s="16" t="s">
        <v>5331</v>
      </c>
      <c r="D3891" s="12">
        <v>2706</v>
      </c>
      <c r="E3891" s="12" t="s">
        <v>5332</v>
      </c>
      <c r="F3891" s="12" t="s">
        <v>5328</v>
      </c>
      <c r="G3891" s="12" t="s">
        <v>12136</v>
      </c>
      <c r="H3891" s="12">
        <v>81720</v>
      </c>
    </row>
    <row r="3892" spans="1:8">
      <c r="A3892" s="12" t="s">
        <v>12137</v>
      </c>
      <c r="B3892" s="13">
        <v>0</v>
      </c>
      <c r="C3892" s="16"/>
      <c r="D3892" s="12">
        <v>861</v>
      </c>
      <c r="E3892" s="12" t="s">
        <v>5332</v>
      </c>
      <c r="F3892" s="12" t="s">
        <v>5328</v>
      </c>
      <c r="G3892" s="12" t="s">
        <v>12138</v>
      </c>
      <c r="H3892" s="12">
        <v>226558</v>
      </c>
    </row>
    <row r="3893" spans="1:8">
      <c r="A3893" s="12" t="s">
        <v>12139</v>
      </c>
      <c r="B3893" s="13">
        <v>0</v>
      </c>
      <c r="C3893" s="16"/>
      <c r="D3893" s="12">
        <v>2155</v>
      </c>
      <c r="E3893" s="12" t="s">
        <v>5332</v>
      </c>
      <c r="F3893" s="12" t="s">
        <v>5328</v>
      </c>
      <c r="G3893" s="12" t="s">
        <v>12140</v>
      </c>
      <c r="H3893" s="12">
        <v>226559</v>
      </c>
    </row>
    <row r="3894" spans="1:8">
      <c r="A3894" s="12" t="s">
        <v>12141</v>
      </c>
      <c r="B3894" s="13">
        <v>34.65</v>
      </c>
      <c r="C3894" s="16" t="s">
        <v>5331</v>
      </c>
      <c r="D3894" s="12">
        <v>122</v>
      </c>
      <c r="E3894" s="12" t="s">
        <v>5332</v>
      </c>
      <c r="F3894" s="12" t="s">
        <v>5328</v>
      </c>
      <c r="G3894" s="12" t="s">
        <v>12142</v>
      </c>
      <c r="H3894" s="12">
        <v>71392</v>
      </c>
    </row>
    <row r="3895" spans="1:8">
      <c r="A3895" s="12" t="s">
        <v>12143</v>
      </c>
      <c r="B3895" s="13">
        <v>32.26</v>
      </c>
      <c r="C3895" s="16" t="s">
        <v>5331</v>
      </c>
      <c r="D3895" s="12">
        <v>122</v>
      </c>
      <c r="E3895" s="12" t="s">
        <v>5332</v>
      </c>
      <c r="F3895" s="12" t="s">
        <v>5328</v>
      </c>
      <c r="G3895" s="12" t="s">
        <v>12144</v>
      </c>
      <c r="H3895" s="12">
        <v>71393</v>
      </c>
    </row>
    <row r="3896" spans="1:8">
      <c r="A3896" s="12" t="s">
        <v>12145</v>
      </c>
      <c r="B3896" s="13">
        <v>0.01</v>
      </c>
      <c r="C3896" s="16" t="s">
        <v>5331</v>
      </c>
      <c r="D3896" s="12">
        <v>277</v>
      </c>
      <c r="E3896" s="12" t="s">
        <v>5332</v>
      </c>
      <c r="F3896" s="12" t="s">
        <v>5328</v>
      </c>
      <c r="G3896" s="12" t="s">
        <v>12146</v>
      </c>
      <c r="H3896" s="12">
        <v>153728</v>
      </c>
    </row>
    <row r="3897" spans="1:8">
      <c r="A3897" s="12" t="s">
        <v>12147</v>
      </c>
      <c r="B3897" s="13">
        <v>0.5</v>
      </c>
      <c r="C3897" s="16" t="s">
        <v>5331</v>
      </c>
      <c r="D3897" s="12">
        <v>277</v>
      </c>
      <c r="E3897" s="12" t="s">
        <v>5332</v>
      </c>
      <c r="F3897" s="12" t="s">
        <v>5328</v>
      </c>
      <c r="G3897" s="12" t="s">
        <v>12148</v>
      </c>
      <c r="H3897" s="12">
        <v>222393</v>
      </c>
    </row>
    <row r="3898" spans="1:8">
      <c r="A3898" s="12" t="s">
        <v>12149</v>
      </c>
      <c r="B3898" s="13"/>
      <c r="C3898" s="16"/>
      <c r="D3898" s="12"/>
      <c r="E3898" s="12"/>
      <c r="F3898" s="12"/>
      <c r="G3898" s="12"/>
      <c r="H3898" s="12"/>
    </row>
    <row r="3899" spans="1:8">
      <c r="A3899" s="12" t="s">
        <v>12150</v>
      </c>
      <c r="B3899" s="13"/>
      <c r="C3899" s="16"/>
      <c r="D3899" s="12"/>
      <c r="E3899" s="12"/>
      <c r="F3899" s="12"/>
      <c r="G3899" s="12"/>
      <c r="H3899" s="12"/>
    </row>
    <row r="3900" spans="1:8">
      <c r="A3900" s="12" t="s">
        <v>12151</v>
      </c>
      <c r="B3900" s="13">
        <v>0.5</v>
      </c>
      <c r="C3900" s="16" t="s">
        <v>5331</v>
      </c>
      <c r="D3900" s="12">
        <v>158</v>
      </c>
      <c r="E3900" s="12" t="s">
        <v>5332</v>
      </c>
      <c r="F3900" s="12" t="s">
        <v>5328</v>
      </c>
      <c r="G3900" s="12" t="s">
        <v>12152</v>
      </c>
      <c r="H3900" s="12">
        <v>70143</v>
      </c>
    </row>
    <row r="3901" spans="1:8">
      <c r="A3901" s="12" t="s">
        <v>12153</v>
      </c>
      <c r="B3901" s="13">
        <v>0.53</v>
      </c>
      <c r="C3901" s="16" t="s">
        <v>5331</v>
      </c>
      <c r="D3901" s="12">
        <v>975</v>
      </c>
      <c r="E3901" s="12" t="s">
        <v>5332</v>
      </c>
      <c r="F3901" s="12" t="s">
        <v>5328</v>
      </c>
      <c r="G3901" s="12" t="s">
        <v>12154</v>
      </c>
      <c r="H3901" s="12">
        <v>73750</v>
      </c>
    </row>
    <row r="3902" spans="1:8">
      <c r="A3902" s="12" t="s">
        <v>12155</v>
      </c>
      <c r="B3902" s="13">
        <v>0</v>
      </c>
      <c r="C3902" s="16" t="s">
        <v>5331</v>
      </c>
      <c r="D3902" s="12">
        <v>9188</v>
      </c>
      <c r="E3902" s="12" t="s">
        <v>5332</v>
      </c>
      <c r="F3902" s="12" t="s">
        <v>5328</v>
      </c>
      <c r="G3902" s="12" t="s">
        <v>12156</v>
      </c>
      <c r="H3902" s="12">
        <v>71645</v>
      </c>
    </row>
    <row r="3903" spans="1:8">
      <c r="A3903" s="12" t="s">
        <v>12157</v>
      </c>
      <c r="B3903" s="13">
        <v>0</v>
      </c>
      <c r="C3903" s="16" t="s">
        <v>5331</v>
      </c>
      <c r="D3903" s="12">
        <v>15750</v>
      </c>
      <c r="E3903" s="12" t="s">
        <v>5332</v>
      </c>
      <c r="F3903" s="12" t="s">
        <v>5328</v>
      </c>
      <c r="G3903" s="12" t="s">
        <v>12158</v>
      </c>
      <c r="H3903" s="12">
        <v>71646</v>
      </c>
    </row>
    <row r="3904" spans="1:8">
      <c r="A3904" s="12" t="s">
        <v>12159</v>
      </c>
      <c r="B3904" s="13">
        <v>0.53</v>
      </c>
      <c r="C3904" s="16" t="s">
        <v>5331</v>
      </c>
      <c r="D3904" s="12">
        <v>975</v>
      </c>
      <c r="E3904" s="12" t="s">
        <v>5332</v>
      </c>
      <c r="F3904" s="12" t="s">
        <v>5328</v>
      </c>
      <c r="G3904" s="12" t="s">
        <v>12160</v>
      </c>
      <c r="H3904" s="12">
        <v>73751</v>
      </c>
    </row>
    <row r="3905" spans="1:8">
      <c r="A3905" s="12" t="s">
        <v>12161</v>
      </c>
      <c r="B3905" s="13">
        <v>0.53</v>
      </c>
      <c r="C3905" s="16" t="s">
        <v>5331</v>
      </c>
      <c r="D3905" s="12">
        <v>828</v>
      </c>
      <c r="E3905" s="12" t="s">
        <v>5332</v>
      </c>
      <c r="F3905" s="12" t="s">
        <v>5328</v>
      </c>
      <c r="G3905" s="12" t="s">
        <v>12162</v>
      </c>
      <c r="H3905" s="12">
        <v>73752</v>
      </c>
    </row>
    <row r="3906" spans="1:8">
      <c r="A3906" s="12" t="s">
        <v>12163</v>
      </c>
      <c r="B3906" s="13">
        <v>187.09</v>
      </c>
      <c r="C3906" s="16" t="s">
        <v>5331</v>
      </c>
      <c r="D3906" s="12">
        <v>461</v>
      </c>
      <c r="E3906" s="12" t="s">
        <v>5332</v>
      </c>
      <c r="F3906" s="12" t="s">
        <v>5328</v>
      </c>
      <c r="G3906" s="12" t="s">
        <v>12164</v>
      </c>
      <c r="H3906" s="12">
        <v>77286</v>
      </c>
    </row>
    <row r="3907" spans="1:8">
      <c r="A3907" s="12" t="s">
        <v>12165</v>
      </c>
      <c r="B3907" s="13">
        <v>86</v>
      </c>
      <c r="C3907" s="16" t="s">
        <v>5331</v>
      </c>
      <c r="D3907" s="12">
        <v>461</v>
      </c>
      <c r="E3907" s="12" t="s">
        <v>5332</v>
      </c>
      <c r="F3907" s="12" t="s">
        <v>5328</v>
      </c>
      <c r="G3907" s="12" t="s">
        <v>12166</v>
      </c>
      <c r="H3907" s="12">
        <v>77288</v>
      </c>
    </row>
    <row r="3908" spans="1:8">
      <c r="A3908" s="12" t="s">
        <v>12167</v>
      </c>
      <c r="B3908" s="13">
        <v>351</v>
      </c>
      <c r="C3908" s="16" t="s">
        <v>5331</v>
      </c>
      <c r="D3908" s="12">
        <v>464</v>
      </c>
      <c r="E3908" s="12" t="s">
        <v>5332</v>
      </c>
      <c r="F3908" s="12" t="s">
        <v>5328</v>
      </c>
      <c r="G3908" s="12" t="s">
        <v>12168</v>
      </c>
      <c r="H3908" s="12">
        <v>77289</v>
      </c>
    </row>
    <row r="3909" spans="1:8">
      <c r="A3909" s="12" t="s">
        <v>12169</v>
      </c>
      <c r="B3909" s="13">
        <v>203</v>
      </c>
      <c r="C3909" s="16" t="s">
        <v>5331</v>
      </c>
      <c r="D3909" s="12">
        <v>534</v>
      </c>
      <c r="E3909" s="12" t="s">
        <v>5332</v>
      </c>
      <c r="F3909" s="12" t="s">
        <v>5328</v>
      </c>
      <c r="G3909" s="12" t="s">
        <v>12170</v>
      </c>
      <c r="H3909" s="12">
        <v>77290</v>
      </c>
    </row>
    <row r="3910" spans="1:8">
      <c r="A3910" s="12" t="s">
        <v>12171</v>
      </c>
      <c r="B3910" s="13">
        <v>149.5</v>
      </c>
      <c r="C3910" s="16" t="s">
        <v>5331</v>
      </c>
      <c r="D3910" s="12">
        <v>534</v>
      </c>
      <c r="E3910" s="12" t="s">
        <v>5332</v>
      </c>
      <c r="F3910" s="12" t="s">
        <v>5328</v>
      </c>
      <c r="G3910" s="12" t="s">
        <v>12172</v>
      </c>
      <c r="H3910" s="12">
        <v>80322</v>
      </c>
    </row>
    <row r="3911" spans="1:8">
      <c r="A3911" s="12" t="s">
        <v>12173</v>
      </c>
      <c r="B3911" s="13">
        <v>190</v>
      </c>
      <c r="C3911" s="16" t="s">
        <v>5331</v>
      </c>
      <c r="D3911" s="12">
        <v>497</v>
      </c>
      <c r="E3911" s="12" t="s">
        <v>5332</v>
      </c>
      <c r="F3911" s="12" t="s">
        <v>5328</v>
      </c>
      <c r="G3911" s="12" t="s">
        <v>12174</v>
      </c>
      <c r="H3911" s="12">
        <v>80323</v>
      </c>
    </row>
    <row r="3912" spans="1:8">
      <c r="A3912" s="12" t="s">
        <v>12175</v>
      </c>
      <c r="B3912" s="13">
        <v>122.25</v>
      </c>
      <c r="C3912" s="16" t="s">
        <v>5331</v>
      </c>
      <c r="D3912" s="12">
        <v>625</v>
      </c>
      <c r="E3912" s="12" t="s">
        <v>5332</v>
      </c>
      <c r="F3912" s="12" t="s">
        <v>5328</v>
      </c>
      <c r="G3912" s="12" t="s">
        <v>12176</v>
      </c>
      <c r="H3912" s="12">
        <v>80325</v>
      </c>
    </row>
    <row r="3913" spans="1:8">
      <c r="A3913" s="12" t="s">
        <v>12177</v>
      </c>
      <c r="B3913" s="13">
        <v>211.25</v>
      </c>
      <c r="C3913" s="16" t="s">
        <v>5331</v>
      </c>
      <c r="D3913" s="12">
        <v>497</v>
      </c>
      <c r="E3913" s="12" t="s">
        <v>5332</v>
      </c>
      <c r="F3913" s="12" t="s">
        <v>5328</v>
      </c>
      <c r="G3913" s="12" t="s">
        <v>12178</v>
      </c>
      <c r="H3913" s="12">
        <v>80330</v>
      </c>
    </row>
    <row r="3914" spans="1:8">
      <c r="A3914" s="12" t="s">
        <v>12179</v>
      </c>
      <c r="B3914" s="13">
        <v>178.75</v>
      </c>
      <c r="C3914" s="16" t="s">
        <v>5331</v>
      </c>
      <c r="D3914" s="12">
        <v>588</v>
      </c>
      <c r="E3914" s="12" t="s">
        <v>5332</v>
      </c>
      <c r="F3914" s="12" t="s">
        <v>5328</v>
      </c>
      <c r="G3914" s="12" t="s">
        <v>12180</v>
      </c>
      <c r="H3914" s="12">
        <v>80331</v>
      </c>
    </row>
    <row r="3915" spans="1:8">
      <c r="A3915" s="12" t="s">
        <v>12181</v>
      </c>
      <c r="B3915" s="13">
        <v>266.23</v>
      </c>
      <c r="C3915" s="16" t="s">
        <v>5331</v>
      </c>
      <c r="D3915" s="12">
        <v>625</v>
      </c>
      <c r="E3915" s="12" t="s">
        <v>5332</v>
      </c>
      <c r="F3915" s="12" t="s">
        <v>5328</v>
      </c>
      <c r="G3915" s="12" t="s">
        <v>12182</v>
      </c>
      <c r="H3915" s="12">
        <v>80333</v>
      </c>
    </row>
    <row r="3916" spans="1:8">
      <c r="A3916" s="12" t="s">
        <v>12183</v>
      </c>
      <c r="B3916" s="13">
        <v>200</v>
      </c>
      <c r="C3916" s="16" t="s">
        <v>5331</v>
      </c>
      <c r="D3916" s="12">
        <v>497</v>
      </c>
      <c r="E3916" s="12" t="s">
        <v>5332</v>
      </c>
      <c r="F3916" s="12" t="s">
        <v>5328</v>
      </c>
      <c r="G3916" s="12" t="s">
        <v>12184</v>
      </c>
      <c r="H3916" s="12">
        <v>80334</v>
      </c>
    </row>
    <row r="3917" spans="1:8">
      <c r="A3917" s="12" t="s">
        <v>12185</v>
      </c>
      <c r="B3917" s="13">
        <v>133.25</v>
      </c>
      <c r="C3917" s="16" t="s">
        <v>5331</v>
      </c>
      <c r="D3917" s="12">
        <v>534</v>
      </c>
      <c r="E3917" s="12" t="s">
        <v>5332</v>
      </c>
      <c r="F3917" s="12" t="s">
        <v>5328</v>
      </c>
      <c r="G3917" s="12" t="s">
        <v>12186</v>
      </c>
      <c r="H3917" s="12">
        <v>80336</v>
      </c>
    </row>
    <row r="3918" spans="1:8">
      <c r="A3918" s="12" t="s">
        <v>12187</v>
      </c>
      <c r="B3918" s="13">
        <v>107.25</v>
      </c>
      <c r="C3918" s="16" t="s">
        <v>5331</v>
      </c>
      <c r="D3918" s="12">
        <v>487</v>
      </c>
      <c r="E3918" s="12" t="s">
        <v>5332</v>
      </c>
      <c r="F3918" s="12" t="s">
        <v>5328</v>
      </c>
      <c r="G3918" s="12" t="s">
        <v>12188</v>
      </c>
      <c r="H3918" s="12">
        <v>80338</v>
      </c>
    </row>
    <row r="3919" spans="1:8">
      <c r="A3919" s="12" t="s">
        <v>12189</v>
      </c>
      <c r="B3919" s="13"/>
      <c r="C3919" s="16"/>
      <c r="D3919" s="12"/>
      <c r="E3919" s="12"/>
      <c r="F3919" s="12"/>
      <c r="G3919" s="12"/>
      <c r="H3919" s="12"/>
    </row>
    <row r="3920" spans="1:8">
      <c r="A3920" s="12" t="s">
        <v>12190</v>
      </c>
      <c r="B3920" s="13"/>
      <c r="C3920" s="16"/>
      <c r="D3920" s="12"/>
      <c r="E3920" s="12"/>
      <c r="F3920" s="12"/>
      <c r="G3920" s="12"/>
      <c r="H3920" s="12"/>
    </row>
    <row r="3921" spans="1:8">
      <c r="A3921" s="12" t="s">
        <v>12191</v>
      </c>
      <c r="B3921" s="13"/>
      <c r="C3921" s="16"/>
      <c r="D3921" s="12"/>
      <c r="E3921" s="12"/>
      <c r="F3921" s="12"/>
      <c r="G3921" s="12"/>
      <c r="H3921" s="12"/>
    </row>
    <row r="3922" spans="1:8">
      <c r="A3922" s="12" t="s">
        <v>12192</v>
      </c>
      <c r="B3922" s="13">
        <v>191.25</v>
      </c>
      <c r="C3922" s="16" t="s">
        <v>5331</v>
      </c>
      <c r="D3922" s="12">
        <v>487</v>
      </c>
      <c r="E3922" s="12" t="s">
        <v>5332</v>
      </c>
      <c r="F3922" s="12" t="s">
        <v>5328</v>
      </c>
      <c r="G3922" s="12" t="s">
        <v>12193</v>
      </c>
      <c r="H3922" s="12">
        <v>80339</v>
      </c>
    </row>
    <row r="3923" spans="1:8">
      <c r="A3923" s="12" t="s">
        <v>12194</v>
      </c>
      <c r="B3923" s="13">
        <v>131.93</v>
      </c>
      <c r="C3923" s="16" t="s">
        <v>5331</v>
      </c>
      <c r="D3923" s="12">
        <v>524</v>
      </c>
      <c r="E3923" s="12" t="s">
        <v>5332</v>
      </c>
      <c r="F3923" s="12" t="s">
        <v>5328</v>
      </c>
      <c r="G3923" s="12" t="s">
        <v>12195</v>
      </c>
      <c r="H3923" s="12">
        <v>80340</v>
      </c>
    </row>
    <row r="3924" spans="1:8">
      <c r="A3924" s="12" t="s">
        <v>12196</v>
      </c>
      <c r="B3924" s="13">
        <v>200</v>
      </c>
      <c r="C3924" s="16" t="s">
        <v>5331</v>
      </c>
      <c r="D3924" s="12">
        <v>1085</v>
      </c>
      <c r="E3924" s="12" t="s">
        <v>5332</v>
      </c>
      <c r="F3924" s="12" t="s">
        <v>5328</v>
      </c>
      <c r="G3924" s="12" t="s">
        <v>12197</v>
      </c>
      <c r="H3924" s="12">
        <v>124422</v>
      </c>
    </row>
    <row r="3925" spans="1:8">
      <c r="A3925" s="12" t="s">
        <v>12198</v>
      </c>
      <c r="B3925" s="13">
        <v>127.57</v>
      </c>
      <c r="C3925" s="16" t="s">
        <v>5331</v>
      </c>
      <c r="D3925" s="12">
        <v>975</v>
      </c>
      <c r="E3925" s="12" t="s">
        <v>5332</v>
      </c>
      <c r="F3925" s="12" t="s">
        <v>5328</v>
      </c>
      <c r="G3925" s="12" t="s">
        <v>12199</v>
      </c>
      <c r="H3925" s="12">
        <v>83160</v>
      </c>
    </row>
    <row r="3926" spans="1:8">
      <c r="A3926" s="12" t="s">
        <v>12200</v>
      </c>
      <c r="B3926" s="13">
        <v>300</v>
      </c>
      <c r="C3926" s="16" t="s">
        <v>5331</v>
      </c>
      <c r="D3926" s="12">
        <v>772</v>
      </c>
      <c r="E3926" s="12" t="s">
        <v>5332</v>
      </c>
      <c r="F3926" s="12" t="s">
        <v>5328</v>
      </c>
      <c r="G3926" s="12" t="s">
        <v>12201</v>
      </c>
      <c r="H3926" s="12">
        <v>89673</v>
      </c>
    </row>
    <row r="3927" spans="1:8">
      <c r="A3927" s="12" t="s">
        <v>12202</v>
      </c>
      <c r="B3927" s="13">
        <v>41</v>
      </c>
      <c r="C3927" s="16" t="s">
        <v>5331</v>
      </c>
      <c r="D3927" s="12">
        <v>902</v>
      </c>
      <c r="E3927" s="12" t="s">
        <v>5332</v>
      </c>
      <c r="F3927" s="12" t="s">
        <v>5328</v>
      </c>
      <c r="G3927" s="12" t="s">
        <v>12203</v>
      </c>
      <c r="H3927" s="12">
        <v>82788</v>
      </c>
    </row>
    <row r="3928" spans="1:8">
      <c r="A3928" s="12" t="s">
        <v>12204</v>
      </c>
      <c r="B3928" s="14">
        <v>1500</v>
      </c>
      <c r="C3928" s="16" t="s">
        <v>5331</v>
      </c>
      <c r="D3928" s="12">
        <v>950</v>
      </c>
      <c r="E3928" s="12" t="s">
        <v>5332</v>
      </c>
      <c r="F3928" s="12" t="s">
        <v>5328</v>
      </c>
      <c r="G3928" s="12" t="s">
        <v>12205</v>
      </c>
      <c r="H3928" s="12">
        <v>93085</v>
      </c>
    </row>
    <row r="3929" spans="1:8">
      <c r="A3929" s="12" t="s">
        <v>12206</v>
      </c>
      <c r="B3929" s="13">
        <v>100</v>
      </c>
      <c r="C3929" s="16" t="s">
        <v>5331</v>
      </c>
      <c r="D3929" s="12">
        <v>588</v>
      </c>
      <c r="E3929" s="12" t="s">
        <v>5332</v>
      </c>
      <c r="F3929" s="12" t="s">
        <v>5328</v>
      </c>
      <c r="G3929" s="12" t="s">
        <v>12207</v>
      </c>
      <c r="H3929" s="12">
        <v>152997</v>
      </c>
    </row>
    <row r="3930" spans="1:8">
      <c r="A3930" s="12" t="s">
        <v>12208</v>
      </c>
      <c r="B3930" s="13"/>
      <c r="C3930" s="16"/>
      <c r="D3930" s="12"/>
      <c r="E3930" s="12"/>
      <c r="F3930" s="12"/>
      <c r="G3930" s="12"/>
      <c r="H3930" s="12"/>
    </row>
    <row r="3931" spans="1:8">
      <c r="A3931" s="12" t="s">
        <v>12209</v>
      </c>
      <c r="B3931" s="13">
        <v>120</v>
      </c>
      <c r="C3931" s="16" t="s">
        <v>5331</v>
      </c>
      <c r="D3931" s="12">
        <v>902</v>
      </c>
      <c r="E3931" s="12" t="s">
        <v>5332</v>
      </c>
      <c r="F3931" s="12" t="s">
        <v>5328</v>
      </c>
      <c r="G3931" s="12" t="s">
        <v>12210</v>
      </c>
      <c r="H3931" s="12">
        <v>83161</v>
      </c>
    </row>
    <row r="3932" spans="1:8">
      <c r="A3932" s="12" t="s">
        <v>12211</v>
      </c>
      <c r="B3932" s="13">
        <v>100</v>
      </c>
      <c r="C3932" s="16" t="s">
        <v>5331</v>
      </c>
      <c r="D3932" s="12">
        <v>615</v>
      </c>
      <c r="E3932" s="12" t="s">
        <v>5332</v>
      </c>
      <c r="F3932" s="12" t="s">
        <v>5328</v>
      </c>
      <c r="G3932" s="12" t="s">
        <v>12212</v>
      </c>
      <c r="H3932" s="12">
        <v>147083</v>
      </c>
    </row>
    <row r="3933" spans="1:8">
      <c r="A3933" s="12" t="s">
        <v>12213</v>
      </c>
      <c r="B3933" s="13"/>
      <c r="C3933" s="16"/>
      <c r="D3933" s="12"/>
      <c r="E3933" s="12"/>
      <c r="F3933" s="12"/>
      <c r="G3933" s="12"/>
      <c r="H3933" s="12"/>
    </row>
    <row r="3934" spans="1:8">
      <c r="A3934" s="12" t="s">
        <v>12214</v>
      </c>
      <c r="B3934" s="13">
        <v>200</v>
      </c>
      <c r="C3934" s="16" t="s">
        <v>5331</v>
      </c>
      <c r="D3934" s="12">
        <v>615</v>
      </c>
      <c r="E3934" s="12" t="s">
        <v>5332</v>
      </c>
      <c r="F3934" s="12" t="s">
        <v>5328</v>
      </c>
      <c r="G3934" s="12" t="s">
        <v>12215</v>
      </c>
      <c r="H3934" s="12">
        <v>146784</v>
      </c>
    </row>
    <row r="3935" spans="1:8">
      <c r="A3935" s="12" t="s">
        <v>12216</v>
      </c>
      <c r="B3935" s="13"/>
      <c r="C3935" s="16"/>
      <c r="D3935" s="12"/>
      <c r="E3935" s="12"/>
      <c r="F3935" s="12"/>
      <c r="G3935" s="12"/>
      <c r="H3935" s="12"/>
    </row>
    <row r="3936" spans="1:8">
      <c r="A3936" s="12" t="s">
        <v>12217</v>
      </c>
      <c r="B3936" s="13"/>
      <c r="C3936" s="16"/>
      <c r="D3936" s="12"/>
      <c r="E3936" s="12"/>
      <c r="F3936" s="12"/>
      <c r="G3936" s="12"/>
      <c r="H3936" s="12"/>
    </row>
    <row r="3937" spans="1:8">
      <c r="A3937" s="12" t="s">
        <v>12218</v>
      </c>
      <c r="B3937" s="13">
        <v>118</v>
      </c>
      <c r="C3937" s="16" t="s">
        <v>5331</v>
      </c>
      <c r="D3937" s="12">
        <v>615</v>
      </c>
      <c r="E3937" s="12" t="s">
        <v>5332</v>
      </c>
      <c r="F3937" s="12" t="s">
        <v>5328</v>
      </c>
      <c r="G3937" s="12" t="s">
        <v>12219</v>
      </c>
      <c r="H3937" s="12">
        <v>82789</v>
      </c>
    </row>
    <row r="3938" spans="1:8">
      <c r="A3938" s="12" t="s">
        <v>12220</v>
      </c>
      <c r="B3938" s="13">
        <v>63</v>
      </c>
      <c r="C3938" s="16" t="s">
        <v>5331</v>
      </c>
      <c r="D3938" s="12">
        <v>828</v>
      </c>
      <c r="E3938" s="12" t="s">
        <v>5332</v>
      </c>
      <c r="F3938" s="12" t="s">
        <v>5328</v>
      </c>
      <c r="G3938" s="12" t="s">
        <v>12221</v>
      </c>
      <c r="H3938" s="12">
        <v>82790</v>
      </c>
    </row>
    <row r="3939" spans="1:8">
      <c r="A3939" s="12" t="s">
        <v>12222</v>
      </c>
      <c r="B3939" s="13">
        <v>78</v>
      </c>
      <c r="C3939" s="16" t="s">
        <v>5331</v>
      </c>
      <c r="D3939" s="12">
        <v>534</v>
      </c>
      <c r="E3939" s="12" t="s">
        <v>5332</v>
      </c>
      <c r="F3939" s="12" t="s">
        <v>5328</v>
      </c>
      <c r="G3939" s="12" t="s">
        <v>12223</v>
      </c>
      <c r="H3939" s="12">
        <v>82791</v>
      </c>
    </row>
    <row r="3940" spans="1:8">
      <c r="A3940" s="12" t="s">
        <v>12224</v>
      </c>
      <c r="B3940" s="13">
        <v>120</v>
      </c>
      <c r="C3940" s="16" t="s">
        <v>5331</v>
      </c>
      <c r="D3940" s="12">
        <v>772</v>
      </c>
      <c r="E3940" s="12" t="s">
        <v>5332</v>
      </c>
      <c r="F3940" s="12" t="s">
        <v>5328</v>
      </c>
      <c r="G3940" s="12" t="s">
        <v>12225</v>
      </c>
      <c r="H3940" s="12">
        <v>92650</v>
      </c>
    </row>
    <row r="3941" spans="1:8">
      <c r="A3941" s="12" t="s">
        <v>12226</v>
      </c>
      <c r="B3941" s="13"/>
      <c r="C3941" s="16"/>
      <c r="D3941" s="12"/>
      <c r="E3941" s="12"/>
      <c r="F3941" s="12"/>
      <c r="G3941" s="12"/>
      <c r="H3941" s="12"/>
    </row>
    <row r="3942" spans="1:8">
      <c r="A3942" s="12" t="s">
        <v>12227</v>
      </c>
      <c r="B3942" s="13">
        <v>300</v>
      </c>
      <c r="C3942" s="16" t="s">
        <v>5331</v>
      </c>
      <c r="D3942" s="12">
        <v>902</v>
      </c>
      <c r="E3942" s="12" t="s">
        <v>5332</v>
      </c>
      <c r="F3942" s="12" t="s">
        <v>5328</v>
      </c>
      <c r="G3942" s="12" t="s">
        <v>12228</v>
      </c>
      <c r="H3942" s="12">
        <v>92552</v>
      </c>
    </row>
    <row r="3943" spans="1:8">
      <c r="A3943" s="12" t="s">
        <v>12229</v>
      </c>
      <c r="B3943" s="13"/>
      <c r="C3943" s="16"/>
      <c r="D3943" s="12"/>
      <c r="E3943" s="12"/>
      <c r="F3943" s="12"/>
      <c r="G3943" s="12"/>
      <c r="H3943" s="12"/>
    </row>
    <row r="3944" spans="1:8">
      <c r="A3944" s="12" t="s">
        <v>12230</v>
      </c>
      <c r="B3944" s="13">
        <v>300</v>
      </c>
      <c r="C3944" s="16" t="s">
        <v>5331</v>
      </c>
      <c r="D3944" s="12">
        <v>975</v>
      </c>
      <c r="E3944" s="12" t="s">
        <v>5332</v>
      </c>
      <c r="F3944" s="12" t="s">
        <v>5328</v>
      </c>
      <c r="G3944" s="12" t="s">
        <v>12231</v>
      </c>
      <c r="H3944" s="12">
        <v>92553</v>
      </c>
    </row>
    <row r="3945" spans="1:8">
      <c r="A3945" s="12" t="s">
        <v>12232</v>
      </c>
      <c r="B3945" s="13"/>
      <c r="C3945" s="16"/>
      <c r="D3945" s="12"/>
      <c r="E3945" s="12"/>
      <c r="F3945" s="12"/>
      <c r="G3945" s="12"/>
      <c r="H3945" s="12"/>
    </row>
    <row r="3946" spans="1:8">
      <c r="A3946" s="12" t="s">
        <v>12233</v>
      </c>
      <c r="B3946" s="13">
        <v>300</v>
      </c>
      <c r="C3946" s="16" t="s">
        <v>5331</v>
      </c>
      <c r="D3946" s="12">
        <v>975</v>
      </c>
      <c r="E3946" s="12" t="s">
        <v>5332</v>
      </c>
      <c r="F3946" s="12" t="s">
        <v>5328</v>
      </c>
      <c r="G3946" s="12" t="s">
        <v>12234</v>
      </c>
      <c r="H3946" s="12">
        <v>92554</v>
      </c>
    </row>
    <row r="3947" spans="1:8">
      <c r="A3947" s="12" t="s">
        <v>12235</v>
      </c>
      <c r="B3947" s="13"/>
      <c r="C3947" s="16"/>
      <c r="D3947" s="12"/>
      <c r="E3947" s="12"/>
      <c r="F3947" s="12"/>
      <c r="G3947" s="12"/>
      <c r="H3947" s="12"/>
    </row>
    <row r="3948" spans="1:8">
      <c r="A3948" s="12" t="s">
        <v>12236</v>
      </c>
      <c r="B3948" s="13">
        <v>300</v>
      </c>
      <c r="C3948" s="16" t="s">
        <v>5331</v>
      </c>
      <c r="D3948" s="12">
        <v>1085</v>
      </c>
      <c r="E3948" s="12" t="s">
        <v>5332</v>
      </c>
      <c r="F3948" s="12" t="s">
        <v>5328</v>
      </c>
      <c r="G3948" s="12" t="s">
        <v>12237</v>
      </c>
      <c r="H3948" s="12">
        <v>92556</v>
      </c>
    </row>
    <row r="3949" spans="1:8">
      <c r="A3949" s="12" t="s">
        <v>12238</v>
      </c>
      <c r="B3949" s="13"/>
      <c r="C3949" s="16"/>
      <c r="D3949" s="12"/>
      <c r="E3949" s="12"/>
      <c r="F3949" s="12"/>
      <c r="G3949" s="12"/>
      <c r="H3949" s="12"/>
    </row>
    <row r="3950" spans="1:8">
      <c r="A3950" s="12" t="s">
        <v>12239</v>
      </c>
      <c r="B3950" s="13">
        <v>300</v>
      </c>
      <c r="C3950" s="16" t="s">
        <v>5331</v>
      </c>
      <c r="D3950" s="12">
        <v>1049</v>
      </c>
      <c r="E3950" s="12" t="s">
        <v>5332</v>
      </c>
      <c r="F3950" s="12" t="s">
        <v>5328</v>
      </c>
      <c r="G3950" s="12" t="s">
        <v>12240</v>
      </c>
      <c r="H3950" s="12">
        <v>92557</v>
      </c>
    </row>
    <row r="3951" spans="1:8">
      <c r="A3951" s="12" t="s">
        <v>12241</v>
      </c>
      <c r="B3951" s="13"/>
      <c r="C3951" s="16"/>
      <c r="D3951" s="12"/>
      <c r="E3951" s="12"/>
      <c r="F3951" s="12"/>
      <c r="G3951" s="12"/>
      <c r="H3951" s="12"/>
    </row>
    <row r="3952" spans="1:8">
      <c r="A3952" s="12" t="s">
        <v>12242</v>
      </c>
      <c r="B3952" s="13">
        <v>120</v>
      </c>
      <c r="C3952" s="16" t="s">
        <v>5331</v>
      </c>
      <c r="D3952" s="12">
        <v>772</v>
      </c>
      <c r="E3952" s="12" t="s">
        <v>5332</v>
      </c>
      <c r="F3952" s="12" t="s">
        <v>5328</v>
      </c>
      <c r="G3952" s="12" t="s">
        <v>12243</v>
      </c>
      <c r="H3952" s="12">
        <v>92558</v>
      </c>
    </row>
    <row r="3953" spans="1:8">
      <c r="A3953" s="12" t="s">
        <v>12244</v>
      </c>
      <c r="B3953" s="14">
        <v>1361.07</v>
      </c>
      <c r="C3953" s="16" t="s">
        <v>5331</v>
      </c>
      <c r="D3953" s="12">
        <v>4043</v>
      </c>
      <c r="E3953" s="12" t="s">
        <v>5332</v>
      </c>
      <c r="F3953" s="12" t="s">
        <v>5328</v>
      </c>
      <c r="G3953" s="12" t="s">
        <v>12245</v>
      </c>
      <c r="H3953" s="12">
        <v>106567</v>
      </c>
    </row>
    <row r="3954" spans="1:8">
      <c r="A3954" s="12" t="s">
        <v>12246</v>
      </c>
      <c r="B3954" s="14"/>
      <c r="C3954" s="16"/>
      <c r="D3954" s="12"/>
      <c r="E3954" s="12"/>
      <c r="F3954" s="12"/>
      <c r="G3954" s="12"/>
      <c r="H3954" s="12"/>
    </row>
    <row r="3955" spans="1:8">
      <c r="A3955" s="12" t="s">
        <v>12247</v>
      </c>
      <c r="B3955" s="13">
        <v>400</v>
      </c>
      <c r="C3955" s="16" t="s">
        <v>5331</v>
      </c>
      <c r="D3955" s="12">
        <v>772</v>
      </c>
      <c r="E3955" s="12" t="s">
        <v>5332</v>
      </c>
      <c r="F3955" s="12" t="s">
        <v>5328</v>
      </c>
      <c r="G3955" s="12" t="s">
        <v>12248</v>
      </c>
      <c r="H3955" s="12">
        <v>86935</v>
      </c>
    </row>
    <row r="3956" spans="1:8">
      <c r="A3956" s="12" t="s">
        <v>12249</v>
      </c>
      <c r="B3956" s="13"/>
      <c r="C3956" s="16"/>
      <c r="D3956" s="12"/>
      <c r="E3956" s="12"/>
      <c r="F3956" s="12"/>
      <c r="G3956" s="12"/>
      <c r="H3956" s="12"/>
    </row>
    <row r="3957" spans="1:8">
      <c r="A3957" s="12" t="s">
        <v>12250</v>
      </c>
      <c r="B3957" s="13">
        <v>500</v>
      </c>
      <c r="C3957" s="16" t="s">
        <v>5331</v>
      </c>
      <c r="D3957" s="12">
        <v>975</v>
      </c>
      <c r="E3957" s="12" t="s">
        <v>5332</v>
      </c>
      <c r="F3957" s="12" t="s">
        <v>5328</v>
      </c>
      <c r="G3957" s="12" t="s">
        <v>12251</v>
      </c>
      <c r="H3957" s="12">
        <v>89773</v>
      </c>
    </row>
    <row r="3958" spans="1:8">
      <c r="A3958" s="12" t="s">
        <v>12252</v>
      </c>
      <c r="B3958" s="13"/>
      <c r="C3958" s="16"/>
      <c r="D3958" s="12"/>
      <c r="E3958" s="12"/>
      <c r="F3958" s="12"/>
      <c r="G3958" s="12"/>
      <c r="H3958" s="12"/>
    </row>
    <row r="3959" spans="1:8">
      <c r="A3959" s="12" t="s">
        <v>12253</v>
      </c>
      <c r="B3959" s="13">
        <v>372.06</v>
      </c>
      <c r="C3959" s="16" t="s">
        <v>5331</v>
      </c>
      <c r="D3959" s="12">
        <v>828</v>
      </c>
      <c r="E3959" s="12" t="s">
        <v>5332</v>
      </c>
      <c r="F3959" s="12" t="s">
        <v>5328</v>
      </c>
      <c r="G3959" s="12" t="s">
        <v>12254</v>
      </c>
      <c r="H3959" s="12">
        <v>89676</v>
      </c>
    </row>
    <row r="3960" spans="1:8">
      <c r="A3960" s="12" t="s">
        <v>12255</v>
      </c>
      <c r="B3960" s="13"/>
      <c r="C3960" s="16"/>
      <c r="D3960" s="12"/>
      <c r="E3960" s="12"/>
      <c r="F3960" s="12"/>
      <c r="G3960" s="12"/>
      <c r="H3960" s="12"/>
    </row>
    <row r="3961" spans="1:8">
      <c r="A3961" s="12" t="s">
        <v>12256</v>
      </c>
      <c r="B3961" s="14">
        <v>1500</v>
      </c>
      <c r="C3961" s="16" t="s">
        <v>5331</v>
      </c>
      <c r="D3961" s="12">
        <v>1085</v>
      </c>
      <c r="E3961" s="12" t="s">
        <v>5332</v>
      </c>
      <c r="F3961" s="12" t="s">
        <v>5328</v>
      </c>
      <c r="G3961" s="12" t="s">
        <v>12257</v>
      </c>
      <c r="H3961" s="12">
        <v>89677</v>
      </c>
    </row>
    <row r="3962" spans="1:8">
      <c r="A3962" s="12" t="s">
        <v>12258</v>
      </c>
      <c r="B3962" s="13">
        <v>150</v>
      </c>
      <c r="C3962" s="16" t="s">
        <v>5331</v>
      </c>
      <c r="D3962" s="12">
        <v>902</v>
      </c>
      <c r="E3962" s="12" t="s">
        <v>5332</v>
      </c>
      <c r="F3962" s="12" t="s">
        <v>5328</v>
      </c>
      <c r="G3962" s="12" t="s">
        <v>12259</v>
      </c>
      <c r="H3962" s="12">
        <v>93089</v>
      </c>
    </row>
    <row r="3963" spans="1:8">
      <c r="A3963" s="12" t="s">
        <v>12260</v>
      </c>
      <c r="B3963" s="13">
        <v>120</v>
      </c>
      <c r="C3963" s="16" t="s">
        <v>5331</v>
      </c>
      <c r="D3963" s="12">
        <v>497</v>
      </c>
      <c r="E3963" s="12" t="s">
        <v>5332</v>
      </c>
      <c r="F3963" s="12" t="s">
        <v>5328</v>
      </c>
      <c r="G3963" s="12" t="s">
        <v>12261</v>
      </c>
      <c r="H3963" s="12">
        <v>91260</v>
      </c>
    </row>
    <row r="3964" spans="1:8">
      <c r="A3964" s="12" t="s">
        <v>12262</v>
      </c>
      <c r="B3964" s="13"/>
      <c r="C3964" s="16"/>
      <c r="D3964" s="12"/>
      <c r="E3964" s="12"/>
      <c r="F3964" s="12"/>
      <c r="G3964" s="12"/>
      <c r="H3964" s="12"/>
    </row>
    <row r="3965" spans="1:8">
      <c r="A3965" s="12" t="s">
        <v>12263</v>
      </c>
      <c r="B3965" s="13">
        <v>400</v>
      </c>
      <c r="C3965" s="16" t="s">
        <v>5331</v>
      </c>
      <c r="D3965" s="12">
        <v>681</v>
      </c>
      <c r="E3965" s="12" t="s">
        <v>5332</v>
      </c>
      <c r="F3965" s="12" t="s">
        <v>5328</v>
      </c>
      <c r="G3965" s="12" t="s">
        <v>12264</v>
      </c>
      <c r="H3965" s="12">
        <v>90072</v>
      </c>
    </row>
    <row r="3966" spans="1:8">
      <c r="A3966" s="12" t="s">
        <v>12265</v>
      </c>
      <c r="B3966" s="13"/>
      <c r="C3966" s="16"/>
      <c r="D3966" s="12"/>
      <c r="E3966" s="12"/>
      <c r="F3966" s="12"/>
      <c r="G3966" s="12"/>
      <c r="H3966" s="12"/>
    </row>
    <row r="3967" spans="1:8">
      <c r="A3967" s="12" t="s">
        <v>12266</v>
      </c>
      <c r="B3967" s="13">
        <v>200</v>
      </c>
      <c r="C3967" s="16" t="s">
        <v>5331</v>
      </c>
      <c r="D3967" s="12">
        <v>1085</v>
      </c>
      <c r="E3967" s="12" t="s">
        <v>5332</v>
      </c>
      <c r="F3967" s="12" t="s">
        <v>5328</v>
      </c>
      <c r="G3967" s="12" t="s">
        <v>12267</v>
      </c>
      <c r="H3967" s="12">
        <v>91819</v>
      </c>
    </row>
    <row r="3968" spans="1:8">
      <c r="A3968" s="12" t="s">
        <v>12268</v>
      </c>
      <c r="B3968" s="13"/>
      <c r="C3968" s="16"/>
      <c r="D3968" s="12"/>
      <c r="E3968" s="12"/>
      <c r="F3968" s="12"/>
      <c r="G3968" s="12"/>
      <c r="H3968" s="12"/>
    </row>
    <row r="3969" spans="1:8">
      <c r="A3969" s="12" t="s">
        <v>12269</v>
      </c>
      <c r="B3969" s="13">
        <v>200</v>
      </c>
      <c r="C3969" s="16" t="s">
        <v>5331</v>
      </c>
      <c r="D3969" s="12">
        <v>660</v>
      </c>
      <c r="E3969" s="12" t="s">
        <v>5332</v>
      </c>
      <c r="F3969" s="12" t="s">
        <v>5328</v>
      </c>
      <c r="G3969" s="12" t="s">
        <v>12270</v>
      </c>
      <c r="H3969" s="12">
        <v>148653</v>
      </c>
    </row>
    <row r="3970" spans="1:8">
      <c r="A3970" s="12" t="s">
        <v>12271</v>
      </c>
      <c r="B3970" s="13">
        <v>161.76</v>
      </c>
      <c r="C3970" s="16" t="s">
        <v>5331</v>
      </c>
      <c r="D3970" s="12">
        <v>413</v>
      </c>
      <c r="E3970" s="12" t="s">
        <v>5332</v>
      </c>
      <c r="F3970" s="12" t="s">
        <v>5328</v>
      </c>
      <c r="G3970" s="12" t="s">
        <v>12272</v>
      </c>
      <c r="H3970" s="12">
        <v>227210</v>
      </c>
    </row>
    <row r="3971" spans="1:8">
      <c r="A3971" s="12" t="s">
        <v>12273</v>
      </c>
      <c r="B3971" s="13"/>
      <c r="C3971" s="16"/>
      <c r="D3971" s="12"/>
      <c r="E3971" s="12"/>
      <c r="F3971" s="12"/>
      <c r="G3971" s="12"/>
      <c r="H3971" s="12"/>
    </row>
    <row r="3972" spans="1:8">
      <c r="A3972" s="12" t="s">
        <v>12274</v>
      </c>
      <c r="B3972" s="13">
        <v>100</v>
      </c>
      <c r="C3972" s="16" t="s">
        <v>5331</v>
      </c>
      <c r="D3972" s="12">
        <v>465</v>
      </c>
      <c r="E3972" s="12" t="s">
        <v>5332</v>
      </c>
      <c r="F3972" s="12" t="s">
        <v>5328</v>
      </c>
      <c r="G3972" s="12" t="s">
        <v>12275</v>
      </c>
      <c r="H3972" s="12">
        <v>146783</v>
      </c>
    </row>
    <row r="3973" spans="1:8">
      <c r="A3973" s="12" t="s">
        <v>12276</v>
      </c>
      <c r="B3973" s="13"/>
      <c r="C3973" s="16"/>
      <c r="D3973" s="12"/>
      <c r="E3973" s="12"/>
      <c r="F3973" s="12"/>
      <c r="G3973" s="12"/>
      <c r="H3973" s="12"/>
    </row>
    <row r="3974" spans="1:8">
      <c r="A3974" s="12" t="s">
        <v>12277</v>
      </c>
      <c r="B3974" s="13"/>
      <c r="C3974" s="16"/>
      <c r="D3974" s="12"/>
      <c r="E3974" s="12"/>
      <c r="F3974" s="12"/>
      <c r="G3974" s="12"/>
      <c r="H3974" s="12"/>
    </row>
    <row r="3975" spans="1:8">
      <c r="A3975" s="12" t="s">
        <v>12278</v>
      </c>
      <c r="B3975" s="13">
        <v>200</v>
      </c>
      <c r="C3975" s="16" t="s">
        <v>5331</v>
      </c>
      <c r="D3975" s="12">
        <v>720</v>
      </c>
      <c r="E3975" s="12" t="s">
        <v>5332</v>
      </c>
      <c r="F3975" s="12" t="s">
        <v>5328</v>
      </c>
      <c r="G3975" s="12" t="s">
        <v>12279</v>
      </c>
      <c r="H3975" s="12">
        <v>153984</v>
      </c>
    </row>
    <row r="3976" spans="1:8">
      <c r="A3976" s="12" t="s">
        <v>12280</v>
      </c>
      <c r="B3976" s="13">
        <v>400</v>
      </c>
      <c r="C3976" s="16" t="s">
        <v>5331</v>
      </c>
      <c r="D3976" s="12">
        <v>660</v>
      </c>
      <c r="E3976" s="12" t="s">
        <v>5332</v>
      </c>
      <c r="F3976" s="12" t="s">
        <v>5328</v>
      </c>
      <c r="G3976" s="12" t="s">
        <v>12281</v>
      </c>
      <c r="H3976" s="12">
        <v>93098</v>
      </c>
    </row>
    <row r="3977" spans="1:8">
      <c r="A3977" s="12" t="s">
        <v>12282</v>
      </c>
      <c r="B3977" s="13">
        <v>900</v>
      </c>
      <c r="C3977" s="16" t="s">
        <v>5331</v>
      </c>
      <c r="D3977" s="12">
        <v>1085</v>
      </c>
      <c r="E3977" s="12" t="s">
        <v>5332</v>
      </c>
      <c r="F3977" s="12" t="s">
        <v>5328</v>
      </c>
      <c r="G3977" s="12" t="s">
        <v>12283</v>
      </c>
      <c r="H3977" s="12">
        <v>93099</v>
      </c>
    </row>
    <row r="3978" spans="1:8">
      <c r="A3978" s="12" t="s">
        <v>12284</v>
      </c>
      <c r="B3978" s="13"/>
      <c r="C3978" s="16"/>
      <c r="D3978" s="12"/>
      <c r="E3978" s="12"/>
      <c r="F3978" s="12"/>
      <c r="G3978" s="12"/>
      <c r="H3978" s="12"/>
    </row>
    <row r="3979" spans="1:8">
      <c r="A3979" s="12" t="s">
        <v>12285</v>
      </c>
      <c r="B3979" s="13">
        <v>200</v>
      </c>
      <c r="C3979" s="16" t="s">
        <v>5331</v>
      </c>
      <c r="D3979" s="12">
        <v>828</v>
      </c>
      <c r="E3979" s="12" t="s">
        <v>5332</v>
      </c>
      <c r="F3979" s="12" t="s">
        <v>5328</v>
      </c>
      <c r="G3979" s="12" t="s">
        <v>12286</v>
      </c>
      <c r="H3979" s="12">
        <v>93100</v>
      </c>
    </row>
    <row r="3980" spans="1:8">
      <c r="A3980" s="12" t="s">
        <v>12287</v>
      </c>
      <c r="B3980" s="13">
        <v>120</v>
      </c>
      <c r="C3980" s="16" t="s">
        <v>5331</v>
      </c>
      <c r="D3980" s="12">
        <v>828</v>
      </c>
      <c r="E3980" s="12" t="s">
        <v>5332</v>
      </c>
      <c r="F3980" s="12" t="s">
        <v>5328</v>
      </c>
      <c r="G3980" s="12" t="s">
        <v>12288</v>
      </c>
      <c r="H3980" s="12">
        <v>91263</v>
      </c>
    </row>
    <row r="3981" spans="1:8">
      <c r="A3981" s="12" t="s">
        <v>12289</v>
      </c>
      <c r="B3981" s="13">
        <v>0</v>
      </c>
      <c r="C3981" s="16" t="s">
        <v>5331</v>
      </c>
      <c r="D3981" s="12">
        <v>828</v>
      </c>
      <c r="E3981" s="12" t="s">
        <v>5332</v>
      </c>
      <c r="F3981" s="12" t="s">
        <v>5328</v>
      </c>
      <c r="G3981" s="12" t="s">
        <v>12290</v>
      </c>
      <c r="H3981" s="12">
        <v>91264</v>
      </c>
    </row>
    <row r="3982" spans="1:8">
      <c r="A3982" s="12" t="s">
        <v>12291</v>
      </c>
      <c r="B3982" s="13">
        <v>150</v>
      </c>
      <c r="C3982" s="16" t="s">
        <v>5331</v>
      </c>
      <c r="D3982" s="12">
        <v>1049</v>
      </c>
      <c r="E3982" s="12" t="s">
        <v>5332</v>
      </c>
      <c r="F3982" s="12" t="s">
        <v>5328</v>
      </c>
      <c r="G3982" s="12" t="s">
        <v>12292</v>
      </c>
      <c r="H3982" s="12">
        <v>93102</v>
      </c>
    </row>
    <row r="3983" spans="1:8">
      <c r="A3983" s="12" t="s">
        <v>12293</v>
      </c>
      <c r="B3983" s="13">
        <v>300</v>
      </c>
      <c r="C3983" s="16" t="s">
        <v>5331</v>
      </c>
      <c r="D3983" s="12">
        <v>902</v>
      </c>
      <c r="E3983" s="12" t="s">
        <v>5332</v>
      </c>
      <c r="F3983" s="12" t="s">
        <v>5328</v>
      </c>
      <c r="G3983" s="12" t="s">
        <v>12294</v>
      </c>
      <c r="H3983" s="12">
        <v>93188</v>
      </c>
    </row>
    <row r="3984" spans="1:8">
      <c r="A3984" s="12" t="s">
        <v>12295</v>
      </c>
      <c r="B3984" s="13">
        <v>200</v>
      </c>
      <c r="C3984" s="16" t="s">
        <v>5331</v>
      </c>
      <c r="D3984" s="12">
        <v>1085</v>
      </c>
      <c r="E3984" s="12" t="s">
        <v>5332</v>
      </c>
      <c r="F3984" s="12" t="s">
        <v>5328</v>
      </c>
      <c r="G3984" s="12" t="s">
        <v>12296</v>
      </c>
      <c r="H3984" s="12">
        <v>91262</v>
      </c>
    </row>
    <row r="3985" spans="1:8">
      <c r="A3985" s="12" t="s">
        <v>12297</v>
      </c>
      <c r="B3985" s="13">
        <v>66.36</v>
      </c>
      <c r="C3985" s="16" t="s">
        <v>5331</v>
      </c>
      <c r="D3985" s="12">
        <v>828</v>
      </c>
      <c r="E3985" s="12" t="s">
        <v>5332</v>
      </c>
      <c r="F3985" s="12" t="s">
        <v>5328</v>
      </c>
      <c r="G3985" s="12" t="s">
        <v>12298</v>
      </c>
      <c r="H3985" s="12">
        <v>158962</v>
      </c>
    </row>
    <row r="3986" spans="1:8">
      <c r="A3986" s="12" t="s">
        <v>12299</v>
      </c>
      <c r="B3986" s="13">
        <v>200</v>
      </c>
      <c r="C3986" s="16" t="s">
        <v>5331</v>
      </c>
      <c r="D3986" s="12">
        <v>2625</v>
      </c>
      <c r="E3986" s="12" t="s">
        <v>5332</v>
      </c>
      <c r="F3986" s="12" t="s">
        <v>5328</v>
      </c>
      <c r="G3986" s="12" t="s">
        <v>12300</v>
      </c>
      <c r="H3986" s="12">
        <v>110611</v>
      </c>
    </row>
    <row r="3987" spans="1:8">
      <c r="A3987" s="12" t="s">
        <v>12301</v>
      </c>
      <c r="B3987" s="13"/>
      <c r="C3987" s="16"/>
      <c r="D3987" s="12"/>
      <c r="E3987" s="12"/>
      <c r="F3987" s="12"/>
      <c r="G3987" s="12"/>
      <c r="H3987" s="12"/>
    </row>
    <row r="3988" spans="1:8">
      <c r="A3988" s="12" t="s">
        <v>12302</v>
      </c>
      <c r="B3988" s="13"/>
      <c r="C3988" s="16"/>
      <c r="D3988" s="12"/>
      <c r="E3988" s="12"/>
      <c r="F3988" s="12"/>
      <c r="G3988" s="12"/>
      <c r="H3988" s="12"/>
    </row>
    <row r="3989" spans="1:8">
      <c r="A3989" s="12" t="s">
        <v>12303</v>
      </c>
      <c r="B3989" s="13">
        <v>400</v>
      </c>
      <c r="C3989" s="16" t="s">
        <v>5331</v>
      </c>
      <c r="D3989" s="12">
        <v>340</v>
      </c>
      <c r="E3989" s="12" t="s">
        <v>5332</v>
      </c>
      <c r="F3989" s="12" t="s">
        <v>5328</v>
      </c>
      <c r="G3989" s="12" t="s">
        <v>12304</v>
      </c>
      <c r="H3989" s="12">
        <v>93088</v>
      </c>
    </row>
    <row r="3990" spans="1:8">
      <c r="A3990" s="12" t="s">
        <v>12305</v>
      </c>
      <c r="B3990" s="13"/>
      <c r="C3990" s="16"/>
      <c r="D3990" s="12"/>
      <c r="E3990" s="12"/>
      <c r="F3990" s="12"/>
      <c r="G3990" s="12"/>
      <c r="H3990" s="12"/>
    </row>
    <row r="3991" spans="1:8">
      <c r="A3991" s="12" t="s">
        <v>12306</v>
      </c>
      <c r="B3991" s="13">
        <v>0</v>
      </c>
      <c r="C3991" s="16" t="s">
        <v>5331</v>
      </c>
      <c r="D3991" s="12">
        <v>190</v>
      </c>
      <c r="E3991" s="12" t="s">
        <v>5332</v>
      </c>
      <c r="F3991" s="12" t="s">
        <v>5328</v>
      </c>
      <c r="G3991" s="12" t="s">
        <v>12307</v>
      </c>
      <c r="H3991" s="12">
        <v>160021</v>
      </c>
    </row>
    <row r="3992" spans="1:8">
      <c r="A3992" s="12" t="s">
        <v>12308</v>
      </c>
      <c r="B3992" s="13">
        <v>212.61</v>
      </c>
      <c r="C3992" s="16" t="s">
        <v>5331</v>
      </c>
      <c r="D3992" s="12">
        <v>681</v>
      </c>
      <c r="E3992" s="12" t="s">
        <v>5332</v>
      </c>
      <c r="F3992" s="12" t="s">
        <v>5328</v>
      </c>
      <c r="G3992" s="12" t="s">
        <v>12309</v>
      </c>
      <c r="H3992" s="12">
        <v>104252</v>
      </c>
    </row>
    <row r="3993" spans="1:8">
      <c r="A3993" s="12" t="s">
        <v>12310</v>
      </c>
      <c r="B3993" s="13"/>
      <c r="C3993" s="16"/>
      <c r="D3993" s="12"/>
      <c r="E3993" s="12"/>
      <c r="F3993" s="12"/>
      <c r="G3993" s="12"/>
      <c r="H3993" s="12"/>
    </row>
    <row r="3994" spans="1:8">
      <c r="A3994" s="12" t="s">
        <v>12311</v>
      </c>
      <c r="B3994" s="13">
        <v>159.46</v>
      </c>
      <c r="C3994" s="16" t="s">
        <v>5331</v>
      </c>
      <c r="D3994" s="12">
        <v>975</v>
      </c>
      <c r="E3994" s="12" t="s">
        <v>5332</v>
      </c>
      <c r="F3994" s="12" t="s">
        <v>5328</v>
      </c>
      <c r="G3994" s="12" t="s">
        <v>12312</v>
      </c>
      <c r="H3994" s="12">
        <v>93103</v>
      </c>
    </row>
    <row r="3995" spans="1:8">
      <c r="A3995" s="12" t="s">
        <v>12313</v>
      </c>
      <c r="B3995" s="13">
        <v>200</v>
      </c>
      <c r="C3995" s="16" t="s">
        <v>5331</v>
      </c>
      <c r="D3995" s="12">
        <v>1049</v>
      </c>
      <c r="E3995" s="12" t="s">
        <v>5332</v>
      </c>
      <c r="F3995" s="12" t="s">
        <v>5328</v>
      </c>
      <c r="G3995" s="12" t="s">
        <v>12314</v>
      </c>
      <c r="H3995" s="12">
        <v>104251</v>
      </c>
    </row>
    <row r="3996" spans="1:8">
      <c r="A3996" s="12" t="s">
        <v>12315</v>
      </c>
      <c r="B3996" s="13"/>
      <c r="C3996" s="16"/>
      <c r="D3996" s="12"/>
      <c r="E3996" s="12"/>
      <c r="F3996" s="12"/>
      <c r="G3996" s="12"/>
      <c r="H3996" s="12"/>
    </row>
    <row r="3997" spans="1:8">
      <c r="A3997" s="12" t="s">
        <v>12316</v>
      </c>
      <c r="B3997" s="13">
        <v>200</v>
      </c>
      <c r="C3997" s="16" t="s">
        <v>5331</v>
      </c>
      <c r="D3997" s="12">
        <v>902</v>
      </c>
      <c r="E3997" s="12" t="s">
        <v>5332</v>
      </c>
      <c r="F3997" s="12" t="s">
        <v>5328</v>
      </c>
      <c r="G3997" s="12" t="s">
        <v>12317</v>
      </c>
      <c r="H3997" s="12">
        <v>110509</v>
      </c>
    </row>
    <row r="3998" spans="1:8">
      <c r="A3998" s="12" t="s">
        <v>12318</v>
      </c>
      <c r="B3998" s="13"/>
      <c r="C3998" s="16"/>
      <c r="D3998" s="12"/>
      <c r="E3998" s="12"/>
      <c r="F3998" s="12"/>
      <c r="G3998" s="12"/>
      <c r="H3998" s="12"/>
    </row>
    <row r="3999" spans="1:8">
      <c r="A3999" s="12" t="s">
        <v>12319</v>
      </c>
      <c r="B3999" s="13">
        <v>400</v>
      </c>
      <c r="C3999" s="16" t="s">
        <v>5331</v>
      </c>
      <c r="D3999" s="12">
        <v>865</v>
      </c>
      <c r="E3999" s="12" t="s">
        <v>5332</v>
      </c>
      <c r="F3999" s="12" t="s">
        <v>5328</v>
      </c>
      <c r="G3999" s="12" t="s">
        <v>12320</v>
      </c>
      <c r="H3999" s="12">
        <v>104253</v>
      </c>
    </row>
    <row r="4000" spans="1:8">
      <c r="A4000" s="12" t="s">
        <v>12321</v>
      </c>
      <c r="B4000" s="13">
        <v>250</v>
      </c>
      <c r="C4000" s="16" t="s">
        <v>5331</v>
      </c>
      <c r="D4000" s="12">
        <v>497</v>
      </c>
      <c r="E4000" s="12" t="s">
        <v>5332</v>
      </c>
      <c r="F4000" s="12" t="s">
        <v>5328</v>
      </c>
      <c r="G4000" s="12" t="s">
        <v>12322</v>
      </c>
      <c r="H4000" s="12">
        <v>102660</v>
      </c>
    </row>
    <row r="4001" spans="1:8">
      <c r="A4001" s="12" t="s">
        <v>12323</v>
      </c>
      <c r="B4001" s="13"/>
      <c r="C4001" s="16"/>
      <c r="D4001" s="12"/>
      <c r="E4001" s="12"/>
      <c r="F4001" s="12"/>
      <c r="G4001" s="12"/>
      <c r="H4001" s="12"/>
    </row>
    <row r="4002" spans="1:8">
      <c r="A4002" s="12" t="s">
        <v>12324</v>
      </c>
      <c r="B4002" s="13">
        <v>478.36</v>
      </c>
      <c r="C4002" s="16" t="s">
        <v>5331</v>
      </c>
      <c r="D4002" s="12">
        <v>950</v>
      </c>
      <c r="E4002" s="12" t="s">
        <v>5332</v>
      </c>
      <c r="F4002" s="12" t="s">
        <v>5328</v>
      </c>
      <c r="G4002" s="12" t="s">
        <v>12325</v>
      </c>
      <c r="H4002" s="12">
        <v>104255</v>
      </c>
    </row>
    <row r="4003" spans="1:8">
      <c r="A4003" s="12" t="s">
        <v>12326</v>
      </c>
      <c r="B4003" s="13">
        <v>200</v>
      </c>
      <c r="C4003" s="16" t="s">
        <v>5331</v>
      </c>
      <c r="D4003" s="12">
        <v>902</v>
      </c>
      <c r="E4003" s="12" t="s">
        <v>5332</v>
      </c>
      <c r="F4003" s="12" t="s">
        <v>5328</v>
      </c>
      <c r="G4003" s="12" t="s">
        <v>12327</v>
      </c>
      <c r="H4003" s="12">
        <v>103950</v>
      </c>
    </row>
    <row r="4004" spans="1:8">
      <c r="A4004" s="12" t="s">
        <v>12328</v>
      </c>
      <c r="B4004" s="13"/>
      <c r="C4004" s="16"/>
      <c r="D4004" s="12"/>
      <c r="E4004" s="12"/>
      <c r="F4004" s="12"/>
      <c r="G4004" s="12"/>
      <c r="H4004" s="12"/>
    </row>
    <row r="4005" spans="1:8">
      <c r="A4005" s="12" t="s">
        <v>12329</v>
      </c>
      <c r="B4005" s="13">
        <v>200</v>
      </c>
      <c r="C4005" s="16" t="s">
        <v>5331</v>
      </c>
      <c r="D4005" s="12">
        <v>828</v>
      </c>
      <c r="E4005" s="12" t="s">
        <v>5332</v>
      </c>
      <c r="F4005" s="12" t="s">
        <v>5328</v>
      </c>
      <c r="G4005" s="12" t="s">
        <v>12330</v>
      </c>
      <c r="H4005" s="12">
        <v>104250</v>
      </c>
    </row>
    <row r="4006" spans="1:8">
      <c r="A4006" s="12" t="s">
        <v>12331</v>
      </c>
      <c r="B4006" s="13"/>
      <c r="C4006" s="16"/>
      <c r="D4006" s="12"/>
      <c r="E4006" s="12"/>
      <c r="F4006" s="12"/>
      <c r="G4006" s="12"/>
      <c r="H4006" s="12"/>
    </row>
    <row r="4007" spans="1:8">
      <c r="A4007" s="12" t="s">
        <v>12332</v>
      </c>
      <c r="B4007" s="13">
        <v>100</v>
      </c>
      <c r="C4007" s="16" t="s">
        <v>5331</v>
      </c>
      <c r="D4007" s="12">
        <v>828</v>
      </c>
      <c r="E4007" s="12" t="s">
        <v>5332</v>
      </c>
      <c r="F4007" s="12" t="s">
        <v>5328</v>
      </c>
      <c r="G4007" s="12" t="s">
        <v>12333</v>
      </c>
      <c r="H4007" s="12">
        <v>106767</v>
      </c>
    </row>
    <row r="4008" spans="1:8">
      <c r="A4008" s="12" t="s">
        <v>12334</v>
      </c>
      <c r="B4008" s="13">
        <v>531.51</v>
      </c>
      <c r="C4008" s="16" t="s">
        <v>5331</v>
      </c>
      <c r="D4008" s="12">
        <v>975</v>
      </c>
      <c r="E4008" s="12" t="s">
        <v>5332</v>
      </c>
      <c r="F4008" s="12" t="s">
        <v>5328</v>
      </c>
      <c r="G4008" s="12" t="s">
        <v>12335</v>
      </c>
      <c r="H4008" s="12">
        <v>102559</v>
      </c>
    </row>
    <row r="4009" spans="1:8">
      <c r="A4009" s="12" t="s">
        <v>12336</v>
      </c>
      <c r="B4009" s="13">
        <v>531.51</v>
      </c>
      <c r="C4009" s="16" t="s">
        <v>5331</v>
      </c>
      <c r="D4009" s="12">
        <v>1085</v>
      </c>
      <c r="E4009" s="12" t="s">
        <v>5332</v>
      </c>
      <c r="F4009" s="12" t="s">
        <v>5328</v>
      </c>
      <c r="G4009" s="12" t="s">
        <v>12337</v>
      </c>
      <c r="H4009" s="12">
        <v>102657</v>
      </c>
    </row>
    <row r="4010" spans="1:8">
      <c r="A4010" s="12" t="s">
        <v>12338</v>
      </c>
      <c r="B4010" s="13"/>
      <c r="C4010" s="16"/>
      <c r="D4010" s="12"/>
      <c r="E4010" s="12"/>
      <c r="F4010" s="12"/>
      <c r="G4010" s="12"/>
      <c r="H4010" s="12"/>
    </row>
    <row r="4011" spans="1:8">
      <c r="A4011" s="12" t="s">
        <v>12339</v>
      </c>
      <c r="B4011" s="13">
        <v>200</v>
      </c>
      <c r="C4011" s="16" t="s">
        <v>5331</v>
      </c>
      <c r="D4011" s="12">
        <v>681</v>
      </c>
      <c r="E4011" s="12" t="s">
        <v>5332</v>
      </c>
      <c r="F4011" s="12" t="s">
        <v>5328</v>
      </c>
      <c r="G4011" s="12" t="s">
        <v>12340</v>
      </c>
      <c r="H4011" s="12">
        <v>102658</v>
      </c>
    </row>
    <row r="4012" spans="1:8">
      <c r="A4012" s="12" t="s">
        <v>12341</v>
      </c>
      <c r="B4012" s="13">
        <v>31.61</v>
      </c>
      <c r="C4012" s="16" t="s">
        <v>5331</v>
      </c>
      <c r="D4012" s="12">
        <v>325</v>
      </c>
      <c r="E4012" s="12" t="s">
        <v>5332</v>
      </c>
      <c r="F4012" s="12" t="s">
        <v>5328</v>
      </c>
      <c r="G4012" s="12" t="s">
        <v>12342</v>
      </c>
      <c r="H4012" s="12">
        <v>113356</v>
      </c>
    </row>
    <row r="4013" spans="1:8">
      <c r="A4013" s="12" t="s">
        <v>12343</v>
      </c>
      <c r="B4013" s="13">
        <v>0</v>
      </c>
      <c r="C4013" s="16" t="s">
        <v>5331</v>
      </c>
      <c r="D4013" s="12">
        <v>497</v>
      </c>
      <c r="E4013" s="12" t="s">
        <v>5332</v>
      </c>
      <c r="F4013" s="12" t="s">
        <v>5328</v>
      </c>
      <c r="G4013" s="12" t="s">
        <v>12344</v>
      </c>
      <c r="H4013" s="12">
        <v>222401</v>
      </c>
    </row>
    <row r="4014" spans="1:8">
      <c r="A4014" s="12" t="s">
        <v>12345</v>
      </c>
      <c r="B4014" s="13"/>
      <c r="C4014" s="16"/>
      <c r="D4014" s="12"/>
      <c r="E4014" s="12"/>
      <c r="F4014" s="12"/>
      <c r="G4014" s="12"/>
      <c r="H4014" s="12"/>
    </row>
    <row r="4015" spans="1:8">
      <c r="A4015" s="12" t="s">
        <v>12346</v>
      </c>
      <c r="B4015" s="13"/>
      <c r="C4015" s="16"/>
      <c r="D4015" s="12"/>
      <c r="E4015" s="12"/>
      <c r="F4015" s="12"/>
      <c r="G4015" s="12"/>
      <c r="H4015" s="12"/>
    </row>
    <row r="4016" spans="1:8">
      <c r="A4016" s="12" t="s">
        <v>12347</v>
      </c>
      <c r="B4016" s="13"/>
      <c r="C4016" s="16"/>
      <c r="D4016" s="12"/>
      <c r="E4016" s="12"/>
      <c r="F4016" s="12"/>
      <c r="G4016" s="12"/>
      <c r="H4016" s="12"/>
    </row>
    <row r="4017" spans="1:8">
      <c r="A4017" s="12" t="s">
        <v>12343</v>
      </c>
      <c r="B4017" s="13">
        <v>100</v>
      </c>
      <c r="C4017" s="16" t="s">
        <v>5331</v>
      </c>
      <c r="D4017" s="12">
        <v>284</v>
      </c>
      <c r="E4017" s="12" t="s">
        <v>5332</v>
      </c>
      <c r="F4017" s="12" t="s">
        <v>5328</v>
      </c>
      <c r="G4017" s="12" t="s">
        <v>12348</v>
      </c>
      <c r="H4017" s="12">
        <v>121533</v>
      </c>
    </row>
    <row r="4018" spans="1:8">
      <c r="A4018" s="12" t="s">
        <v>12349</v>
      </c>
      <c r="B4018" s="13">
        <v>0</v>
      </c>
      <c r="C4018" s="16" t="s">
        <v>5331</v>
      </c>
      <c r="D4018" s="12">
        <v>865</v>
      </c>
      <c r="E4018" s="12" t="s">
        <v>5332</v>
      </c>
      <c r="F4018" s="12" t="s">
        <v>5328</v>
      </c>
      <c r="G4018" s="12" t="s">
        <v>12350</v>
      </c>
      <c r="H4018" s="12">
        <v>222602</v>
      </c>
    </row>
    <row r="4019" spans="1:8">
      <c r="A4019" s="12" t="s">
        <v>12351</v>
      </c>
      <c r="B4019" s="13">
        <v>200</v>
      </c>
      <c r="C4019" s="16" t="s">
        <v>5331</v>
      </c>
      <c r="D4019" s="12">
        <v>865</v>
      </c>
      <c r="E4019" s="12" t="s">
        <v>5332</v>
      </c>
      <c r="F4019" s="12" t="s">
        <v>5328</v>
      </c>
      <c r="G4019" s="12" t="s">
        <v>12352</v>
      </c>
      <c r="H4019" s="12">
        <v>121334</v>
      </c>
    </row>
    <row r="4020" spans="1:8">
      <c r="A4020" s="12" t="s">
        <v>12353</v>
      </c>
      <c r="B4020" s="13">
        <v>106.31</v>
      </c>
      <c r="C4020" s="16" t="s">
        <v>5331</v>
      </c>
      <c r="D4020" s="12">
        <v>828</v>
      </c>
      <c r="E4020" s="12" t="s">
        <v>5332</v>
      </c>
      <c r="F4020" s="12" t="s">
        <v>5328</v>
      </c>
      <c r="G4020" s="12" t="s">
        <v>12354</v>
      </c>
      <c r="H4020" s="12">
        <v>222397</v>
      </c>
    </row>
    <row r="4021" spans="1:8">
      <c r="A4021" s="12" t="s">
        <v>12355</v>
      </c>
      <c r="B4021" s="13">
        <v>100</v>
      </c>
      <c r="C4021" s="16" t="s">
        <v>5331</v>
      </c>
      <c r="D4021" s="12">
        <v>473</v>
      </c>
      <c r="E4021" s="12" t="s">
        <v>5332</v>
      </c>
      <c r="F4021" s="12" t="s">
        <v>5328</v>
      </c>
      <c r="G4021" s="12" t="s">
        <v>12356</v>
      </c>
      <c r="H4021" s="12">
        <v>121433</v>
      </c>
    </row>
    <row r="4022" spans="1:8">
      <c r="A4022" s="12" t="s">
        <v>12357</v>
      </c>
      <c r="B4022" s="13">
        <v>0</v>
      </c>
      <c r="C4022" s="16" t="s">
        <v>5331</v>
      </c>
      <c r="D4022" s="12">
        <v>915</v>
      </c>
      <c r="E4022" s="12" t="s">
        <v>5332</v>
      </c>
      <c r="F4022" s="12" t="s">
        <v>5328</v>
      </c>
      <c r="G4022" s="12" t="s">
        <v>12358</v>
      </c>
      <c r="H4022" s="12">
        <v>222603</v>
      </c>
    </row>
    <row r="4023" spans="1:8">
      <c r="A4023" s="12" t="s">
        <v>12359</v>
      </c>
      <c r="B4023" s="13">
        <v>100</v>
      </c>
      <c r="C4023" s="16" t="s">
        <v>5331</v>
      </c>
      <c r="D4023" s="12">
        <v>915</v>
      </c>
      <c r="E4023" s="12" t="s">
        <v>5332</v>
      </c>
      <c r="F4023" s="12" t="s">
        <v>5328</v>
      </c>
      <c r="G4023" s="12" t="s">
        <v>12360</v>
      </c>
      <c r="H4023" s="12">
        <v>121434</v>
      </c>
    </row>
    <row r="4024" spans="1:8">
      <c r="A4024" s="12" t="s">
        <v>12361</v>
      </c>
      <c r="B4024" s="13">
        <v>100</v>
      </c>
      <c r="C4024" s="16" t="s">
        <v>5331</v>
      </c>
      <c r="D4024" s="12">
        <v>140</v>
      </c>
      <c r="E4024" s="12" t="s">
        <v>5332</v>
      </c>
      <c r="F4024" s="12" t="s">
        <v>5328</v>
      </c>
      <c r="G4024" s="12" t="s">
        <v>12362</v>
      </c>
      <c r="H4024" s="12">
        <v>222610</v>
      </c>
    </row>
    <row r="4025" spans="1:8">
      <c r="A4025" s="12" t="s">
        <v>12363</v>
      </c>
      <c r="B4025" s="13"/>
      <c r="C4025" s="16"/>
      <c r="D4025" s="12"/>
      <c r="E4025" s="12"/>
      <c r="F4025" s="12"/>
      <c r="G4025" s="12"/>
      <c r="H4025" s="12"/>
    </row>
    <row r="4026" spans="1:8">
      <c r="A4026" s="12" t="s">
        <v>12364</v>
      </c>
      <c r="B4026" s="13"/>
      <c r="C4026" s="16"/>
      <c r="D4026" s="12"/>
      <c r="E4026" s="12"/>
      <c r="F4026" s="12"/>
      <c r="G4026" s="12"/>
      <c r="H4026" s="12"/>
    </row>
    <row r="4027" spans="1:8">
      <c r="A4027" s="12" t="s">
        <v>12365</v>
      </c>
      <c r="B4027" s="13">
        <v>0</v>
      </c>
      <c r="C4027" s="16" t="s">
        <v>5331</v>
      </c>
      <c r="D4027" s="12">
        <v>644</v>
      </c>
      <c r="E4027" s="12" t="s">
        <v>5332</v>
      </c>
      <c r="F4027" s="12" t="s">
        <v>5328</v>
      </c>
      <c r="G4027" s="12" t="s">
        <v>12366</v>
      </c>
      <c r="H4027" s="12">
        <v>222399</v>
      </c>
    </row>
    <row r="4028" spans="1:8">
      <c r="A4028" s="12" t="s">
        <v>12367</v>
      </c>
      <c r="B4028" s="13"/>
      <c r="C4028" s="16"/>
      <c r="D4028" s="12"/>
      <c r="E4028" s="12"/>
      <c r="F4028" s="12"/>
      <c r="G4028" s="12"/>
      <c r="H4028" s="12"/>
    </row>
    <row r="4029" spans="1:8">
      <c r="A4029" s="12" t="s">
        <v>12368</v>
      </c>
      <c r="B4029" s="13"/>
      <c r="C4029" s="16"/>
      <c r="D4029" s="12"/>
      <c r="E4029" s="12"/>
      <c r="F4029" s="12"/>
      <c r="G4029" s="12"/>
      <c r="H4029" s="12"/>
    </row>
    <row r="4030" spans="1:8">
      <c r="A4030" s="12" t="s">
        <v>12365</v>
      </c>
      <c r="B4030" s="13">
        <v>200</v>
      </c>
      <c r="C4030" s="16" t="s">
        <v>5331</v>
      </c>
      <c r="D4030" s="12">
        <v>368</v>
      </c>
      <c r="E4030" s="12" t="s">
        <v>5332</v>
      </c>
      <c r="F4030" s="12" t="s">
        <v>5328</v>
      </c>
      <c r="G4030" s="12" t="s">
        <v>12369</v>
      </c>
      <c r="H4030" s="12">
        <v>121335</v>
      </c>
    </row>
    <row r="4031" spans="1:8">
      <c r="A4031" s="12" t="s">
        <v>12370</v>
      </c>
      <c r="B4031" s="13">
        <v>701.9</v>
      </c>
      <c r="C4031" s="16" t="s">
        <v>5331</v>
      </c>
      <c r="D4031" s="12">
        <v>3352.94</v>
      </c>
      <c r="E4031" s="12" t="s">
        <v>5332</v>
      </c>
      <c r="F4031" s="12" t="s">
        <v>5328</v>
      </c>
      <c r="G4031" s="12" t="s">
        <v>12371</v>
      </c>
      <c r="H4031" s="12">
        <v>134623</v>
      </c>
    </row>
    <row r="4032" spans="1:8">
      <c r="A4032" s="12" t="s">
        <v>12372</v>
      </c>
      <c r="B4032" s="13">
        <v>100</v>
      </c>
      <c r="C4032" s="16" t="s">
        <v>5331</v>
      </c>
      <c r="D4032" s="12">
        <v>615</v>
      </c>
      <c r="E4032" s="12" t="s">
        <v>5332</v>
      </c>
      <c r="F4032" s="12" t="s">
        <v>5328</v>
      </c>
      <c r="G4032" s="12" t="s">
        <v>12373</v>
      </c>
      <c r="H4032" s="12">
        <v>124627</v>
      </c>
    </row>
    <row r="4033" spans="1:8">
      <c r="A4033" s="12" t="s">
        <v>12374</v>
      </c>
      <c r="B4033" s="13">
        <v>200</v>
      </c>
      <c r="C4033" s="16" t="s">
        <v>5331</v>
      </c>
      <c r="D4033" s="12">
        <v>499</v>
      </c>
      <c r="E4033" s="12" t="s">
        <v>5332</v>
      </c>
      <c r="F4033" s="12" t="s">
        <v>5328</v>
      </c>
      <c r="G4033" s="12" t="s">
        <v>12375</v>
      </c>
      <c r="H4033" s="12">
        <v>129833</v>
      </c>
    </row>
    <row r="4034" spans="1:8">
      <c r="A4034" s="12" t="s">
        <v>12376</v>
      </c>
      <c r="B4034" s="13">
        <v>200</v>
      </c>
      <c r="C4034" s="16" t="s">
        <v>5331</v>
      </c>
      <c r="D4034" s="12">
        <v>590</v>
      </c>
      <c r="E4034" s="12" t="s">
        <v>5332</v>
      </c>
      <c r="F4034" s="12" t="s">
        <v>5328</v>
      </c>
      <c r="G4034" s="12" t="s">
        <v>12377</v>
      </c>
      <c r="H4034" s="12">
        <v>127219</v>
      </c>
    </row>
    <row r="4035" spans="1:8">
      <c r="A4035" s="12" t="s">
        <v>12378</v>
      </c>
      <c r="B4035" s="13">
        <v>100</v>
      </c>
      <c r="C4035" s="16" t="s">
        <v>5331</v>
      </c>
      <c r="D4035" s="12">
        <v>615</v>
      </c>
      <c r="E4035" s="12" t="s">
        <v>5332</v>
      </c>
      <c r="F4035" s="12" t="s">
        <v>5328</v>
      </c>
      <c r="G4035" s="12" t="s">
        <v>12379</v>
      </c>
      <c r="H4035" s="12">
        <v>148652</v>
      </c>
    </row>
    <row r="4036" spans="1:8">
      <c r="A4036" s="12" t="s">
        <v>12380</v>
      </c>
      <c r="B4036" s="13"/>
      <c r="C4036" s="16"/>
      <c r="D4036" s="12"/>
      <c r="E4036" s="12"/>
      <c r="F4036" s="12"/>
      <c r="G4036" s="12"/>
      <c r="H4036" s="12"/>
    </row>
    <row r="4037" spans="1:8">
      <c r="A4037" s="12" t="s">
        <v>12381</v>
      </c>
      <c r="B4037" s="13"/>
      <c r="C4037" s="16"/>
      <c r="D4037" s="12"/>
      <c r="E4037" s="12"/>
      <c r="F4037" s="12"/>
      <c r="G4037" s="12"/>
      <c r="H4037" s="12"/>
    </row>
    <row r="4038" spans="1:8">
      <c r="A4038" s="12" t="s">
        <v>12382</v>
      </c>
      <c r="B4038" s="13">
        <v>200</v>
      </c>
      <c r="C4038" s="16" t="s">
        <v>5331</v>
      </c>
      <c r="D4038" s="12">
        <v>720</v>
      </c>
      <c r="E4038" s="12" t="s">
        <v>5332</v>
      </c>
      <c r="F4038" s="12" t="s">
        <v>5328</v>
      </c>
      <c r="G4038" s="12" t="s">
        <v>12383</v>
      </c>
      <c r="H4038" s="12">
        <v>148745</v>
      </c>
    </row>
    <row r="4039" spans="1:8">
      <c r="A4039" s="12" t="s">
        <v>12384</v>
      </c>
      <c r="B4039" s="13"/>
      <c r="C4039" s="16"/>
      <c r="D4039" s="12"/>
      <c r="E4039" s="12"/>
      <c r="F4039" s="12"/>
      <c r="G4039" s="12"/>
      <c r="H4039" s="12"/>
    </row>
    <row r="4040" spans="1:8">
      <c r="A4040" s="12" t="s">
        <v>12385</v>
      </c>
      <c r="B4040" s="13">
        <v>212.61</v>
      </c>
      <c r="C4040" s="16" t="s">
        <v>5331</v>
      </c>
      <c r="D4040" s="12">
        <v>865</v>
      </c>
      <c r="E4040" s="12" t="s">
        <v>5332</v>
      </c>
      <c r="F4040" s="12" t="s">
        <v>5328</v>
      </c>
      <c r="G4040" s="12" t="s">
        <v>12386</v>
      </c>
      <c r="H4040" s="12">
        <v>160022</v>
      </c>
    </row>
    <row r="4041" spans="1:8">
      <c r="A4041" s="12" t="s">
        <v>12387</v>
      </c>
      <c r="B4041" s="13">
        <v>100</v>
      </c>
      <c r="C4041" s="16" t="s">
        <v>5331</v>
      </c>
      <c r="D4041" s="12">
        <v>720</v>
      </c>
      <c r="E4041" s="12" t="s">
        <v>5332</v>
      </c>
      <c r="F4041" s="12" t="s">
        <v>5328</v>
      </c>
      <c r="G4041" s="12" t="s">
        <v>12388</v>
      </c>
      <c r="H4041" s="12">
        <v>148750</v>
      </c>
    </row>
    <row r="4042" spans="1:8">
      <c r="A4042" s="12" t="s">
        <v>12389</v>
      </c>
      <c r="B4042" s="13"/>
      <c r="C4042" s="16"/>
      <c r="D4042" s="12"/>
      <c r="E4042" s="12"/>
      <c r="F4042" s="12"/>
      <c r="G4042" s="12"/>
      <c r="H4042" s="12"/>
    </row>
    <row r="4043" spans="1:8">
      <c r="A4043" s="12" t="s">
        <v>12390</v>
      </c>
      <c r="B4043" s="13">
        <v>200</v>
      </c>
      <c r="C4043" s="16" t="s">
        <v>5331</v>
      </c>
      <c r="D4043" s="12">
        <v>575</v>
      </c>
      <c r="E4043" s="12" t="s">
        <v>5332</v>
      </c>
      <c r="F4043" s="12" t="s">
        <v>5328</v>
      </c>
      <c r="G4043" s="12" t="s">
        <v>12391</v>
      </c>
      <c r="H4043" s="12">
        <v>148751</v>
      </c>
    </row>
    <row r="4044" spans="1:8">
      <c r="A4044" s="12" t="s">
        <v>12392</v>
      </c>
      <c r="B4044" s="13"/>
      <c r="C4044" s="16"/>
      <c r="D4044" s="12"/>
      <c r="E4044" s="12"/>
      <c r="F4044" s="12"/>
      <c r="G4044" s="12"/>
      <c r="H4044" s="12"/>
    </row>
    <row r="4045" spans="1:8">
      <c r="A4045" s="12" t="s">
        <v>12393</v>
      </c>
      <c r="B4045" s="13">
        <v>200</v>
      </c>
      <c r="C4045" s="16" t="s">
        <v>5331</v>
      </c>
      <c r="D4045" s="12">
        <v>685</v>
      </c>
      <c r="E4045" s="12" t="s">
        <v>5332</v>
      </c>
      <c r="F4045" s="12" t="s">
        <v>5328</v>
      </c>
      <c r="G4045" s="12" t="s">
        <v>12394</v>
      </c>
      <c r="H4045" s="12">
        <v>148752</v>
      </c>
    </row>
    <row r="4046" spans="1:8">
      <c r="A4046" s="12" t="s">
        <v>12395</v>
      </c>
      <c r="B4046" s="13">
        <v>200</v>
      </c>
      <c r="C4046" s="16" t="s">
        <v>5331</v>
      </c>
      <c r="D4046" s="12">
        <v>865</v>
      </c>
      <c r="E4046" s="12" t="s">
        <v>5332</v>
      </c>
      <c r="F4046" s="12" t="s">
        <v>5328</v>
      </c>
      <c r="G4046" s="12" t="s">
        <v>12396</v>
      </c>
      <c r="H4046" s="12">
        <v>148649</v>
      </c>
    </row>
    <row r="4047" spans="1:8">
      <c r="A4047" s="12" t="s">
        <v>12397</v>
      </c>
      <c r="B4047" s="13"/>
      <c r="C4047" s="16"/>
      <c r="D4047" s="12"/>
      <c r="E4047" s="12"/>
      <c r="F4047" s="12"/>
      <c r="G4047" s="12"/>
      <c r="H4047" s="12"/>
    </row>
    <row r="4048" spans="1:8">
      <c r="A4048" s="12" t="s">
        <v>12398</v>
      </c>
      <c r="B4048" s="13">
        <v>100</v>
      </c>
      <c r="C4048" s="16" t="s">
        <v>5331</v>
      </c>
      <c r="D4048" s="12">
        <v>915</v>
      </c>
      <c r="E4048" s="12" t="s">
        <v>5332</v>
      </c>
      <c r="F4048" s="12" t="s">
        <v>5328</v>
      </c>
      <c r="G4048" s="12" t="s">
        <v>12399</v>
      </c>
      <c r="H4048" s="12">
        <v>148650</v>
      </c>
    </row>
    <row r="4049" spans="1:8">
      <c r="A4049" s="12" t="s">
        <v>12400</v>
      </c>
      <c r="B4049" s="13">
        <v>100</v>
      </c>
      <c r="C4049" s="16" t="s">
        <v>5331</v>
      </c>
      <c r="D4049" s="12">
        <v>850</v>
      </c>
      <c r="E4049" s="12" t="s">
        <v>5332</v>
      </c>
      <c r="F4049" s="12" t="s">
        <v>5328</v>
      </c>
      <c r="G4049" s="12" t="s">
        <v>12401</v>
      </c>
      <c r="H4049" s="12">
        <v>145367</v>
      </c>
    </row>
    <row r="4050" spans="1:8">
      <c r="A4050" s="12" t="s">
        <v>12402</v>
      </c>
      <c r="B4050" s="13"/>
      <c r="C4050" s="16"/>
      <c r="D4050" s="12"/>
      <c r="E4050" s="12"/>
      <c r="F4050" s="12"/>
      <c r="G4050" s="12"/>
      <c r="H4050" s="12"/>
    </row>
    <row r="4051" spans="1:8">
      <c r="A4051" s="12" t="s">
        <v>12403</v>
      </c>
      <c r="B4051" s="13"/>
      <c r="C4051" s="16"/>
      <c r="D4051" s="12"/>
      <c r="E4051" s="12"/>
      <c r="F4051" s="12"/>
      <c r="G4051" s="12"/>
      <c r="H4051" s="12"/>
    </row>
    <row r="4052" spans="1:8">
      <c r="A4052" s="12" t="s">
        <v>12404</v>
      </c>
      <c r="B4052" s="13"/>
      <c r="C4052" s="16"/>
      <c r="D4052" s="12"/>
      <c r="E4052" s="12"/>
      <c r="F4052" s="12"/>
      <c r="G4052" s="12"/>
      <c r="H4052" s="12"/>
    </row>
    <row r="4053" spans="1:8">
      <c r="A4053" s="12" t="s">
        <v>12405</v>
      </c>
      <c r="B4053" s="13">
        <v>200</v>
      </c>
      <c r="C4053" s="16" t="s">
        <v>5331</v>
      </c>
      <c r="D4053" s="12">
        <v>975</v>
      </c>
      <c r="E4053" s="12" t="s">
        <v>5332</v>
      </c>
      <c r="F4053" s="12" t="s">
        <v>5328</v>
      </c>
      <c r="G4053" s="12" t="s">
        <v>12406</v>
      </c>
      <c r="H4053" s="12">
        <v>148643</v>
      </c>
    </row>
    <row r="4054" spans="1:8">
      <c r="A4054" s="12" t="s">
        <v>12407</v>
      </c>
      <c r="B4054" s="13">
        <v>100</v>
      </c>
      <c r="C4054" s="16" t="s">
        <v>5331</v>
      </c>
      <c r="D4054" s="12">
        <v>850</v>
      </c>
      <c r="E4054" s="12" t="s">
        <v>5332</v>
      </c>
      <c r="F4054" s="12" t="s">
        <v>5328</v>
      </c>
      <c r="G4054" s="12" t="s">
        <v>12408</v>
      </c>
      <c r="H4054" s="12">
        <v>148743</v>
      </c>
    </row>
    <row r="4055" spans="1:8">
      <c r="A4055" s="12" t="s">
        <v>12409</v>
      </c>
      <c r="B4055" s="13">
        <v>100</v>
      </c>
      <c r="C4055" s="16" t="s">
        <v>5331</v>
      </c>
      <c r="D4055" s="12">
        <v>850</v>
      </c>
      <c r="E4055" s="12" t="s">
        <v>5332</v>
      </c>
      <c r="F4055" s="12" t="s">
        <v>5328</v>
      </c>
      <c r="G4055" s="12" t="s">
        <v>12410</v>
      </c>
      <c r="H4055" s="12">
        <v>148744</v>
      </c>
    </row>
    <row r="4056" spans="1:8">
      <c r="A4056" s="12" t="s">
        <v>12411</v>
      </c>
      <c r="B4056" s="13">
        <v>106.31</v>
      </c>
      <c r="C4056" s="16" t="s">
        <v>5331</v>
      </c>
      <c r="D4056" s="12">
        <v>175</v>
      </c>
      <c r="E4056" s="12" t="s">
        <v>5332</v>
      </c>
      <c r="F4056" s="12" t="s">
        <v>5328</v>
      </c>
      <c r="G4056" s="12" t="s">
        <v>12412</v>
      </c>
      <c r="H4056" s="12">
        <v>146883</v>
      </c>
    </row>
    <row r="4057" spans="1:8">
      <c r="A4057" s="12" t="s">
        <v>12413</v>
      </c>
      <c r="B4057" s="13"/>
      <c r="C4057" s="16"/>
      <c r="D4057" s="12"/>
      <c r="E4057" s="12"/>
      <c r="F4057" s="12"/>
      <c r="G4057" s="12"/>
      <c r="H4057" s="12"/>
    </row>
    <row r="4058" spans="1:8">
      <c r="A4058" s="12" t="s">
        <v>12414</v>
      </c>
      <c r="B4058" s="13">
        <v>200</v>
      </c>
      <c r="C4058" s="16" t="s">
        <v>5331</v>
      </c>
      <c r="D4058" s="12">
        <v>960.75</v>
      </c>
      <c r="E4058" s="12" t="s">
        <v>5332</v>
      </c>
      <c r="F4058" s="12" t="s">
        <v>5328</v>
      </c>
      <c r="G4058" s="12" t="s">
        <v>12415</v>
      </c>
      <c r="H4058" s="12">
        <v>129735</v>
      </c>
    </row>
    <row r="4059" spans="1:8">
      <c r="A4059" s="12" t="s">
        <v>12416</v>
      </c>
      <c r="B4059" s="13">
        <v>200</v>
      </c>
      <c r="C4059" s="16" t="s">
        <v>5331</v>
      </c>
      <c r="D4059" s="12">
        <v>865</v>
      </c>
      <c r="E4059" s="12" t="s">
        <v>5332</v>
      </c>
      <c r="F4059" s="12" t="s">
        <v>5328</v>
      </c>
      <c r="G4059" s="12" t="s">
        <v>12417</v>
      </c>
      <c r="H4059" s="12">
        <v>129732</v>
      </c>
    </row>
    <row r="4060" spans="1:8">
      <c r="A4060" s="12" t="s">
        <v>12418</v>
      </c>
      <c r="B4060" s="13">
        <v>0</v>
      </c>
      <c r="C4060" s="16" t="s">
        <v>5331</v>
      </c>
      <c r="D4060" s="12">
        <v>720</v>
      </c>
      <c r="E4060" s="12" t="s">
        <v>5332</v>
      </c>
      <c r="F4060" s="12" t="s">
        <v>5328</v>
      </c>
      <c r="G4060" s="12" t="s">
        <v>12419</v>
      </c>
      <c r="H4060" s="12">
        <v>222639</v>
      </c>
    </row>
    <row r="4061" spans="1:8">
      <c r="A4061" s="12" t="s">
        <v>12418</v>
      </c>
      <c r="B4061" s="13">
        <v>100</v>
      </c>
      <c r="C4061" s="16" t="s">
        <v>5331</v>
      </c>
      <c r="D4061" s="12">
        <v>720</v>
      </c>
      <c r="E4061" s="12" t="s">
        <v>5332</v>
      </c>
      <c r="F4061" s="12" t="s">
        <v>5328</v>
      </c>
      <c r="G4061" s="12" t="s">
        <v>12420</v>
      </c>
      <c r="H4061" s="12">
        <v>148648</v>
      </c>
    </row>
    <row r="4062" spans="1:8">
      <c r="A4062" s="12" t="s">
        <v>12421</v>
      </c>
      <c r="B4062" s="13">
        <v>0</v>
      </c>
      <c r="C4062" s="16" t="s">
        <v>5331</v>
      </c>
      <c r="D4062" s="12">
        <v>790</v>
      </c>
      <c r="E4062" s="12" t="s">
        <v>5332</v>
      </c>
      <c r="F4062" s="12" t="s">
        <v>5328</v>
      </c>
      <c r="G4062" s="12" t="s">
        <v>12422</v>
      </c>
      <c r="H4062" s="12">
        <v>222424</v>
      </c>
    </row>
    <row r="4063" spans="1:8">
      <c r="A4063" s="12" t="s">
        <v>12423</v>
      </c>
      <c r="B4063" s="13"/>
      <c r="C4063" s="16"/>
      <c r="D4063" s="12"/>
      <c r="E4063" s="12"/>
      <c r="F4063" s="12"/>
      <c r="G4063" s="12"/>
      <c r="H4063" s="12"/>
    </row>
    <row r="4064" spans="1:8">
      <c r="A4064" s="12" t="s">
        <v>12424</v>
      </c>
      <c r="B4064" s="13">
        <v>200</v>
      </c>
      <c r="C4064" s="16" t="s">
        <v>5331</v>
      </c>
      <c r="D4064" s="12">
        <v>790</v>
      </c>
      <c r="E4064" s="12" t="s">
        <v>5332</v>
      </c>
      <c r="F4064" s="12" t="s">
        <v>5328</v>
      </c>
      <c r="G4064" s="12" t="s">
        <v>12425</v>
      </c>
      <c r="H4064" s="12">
        <v>129736</v>
      </c>
    </row>
    <row r="4065" spans="1:8">
      <c r="A4065" s="12" t="s">
        <v>12426</v>
      </c>
      <c r="B4065" s="13">
        <v>0</v>
      </c>
      <c r="C4065" s="16" t="s">
        <v>5331</v>
      </c>
      <c r="D4065" s="12">
        <v>810</v>
      </c>
      <c r="E4065" s="12" t="s">
        <v>5332</v>
      </c>
      <c r="F4065" s="12" t="s">
        <v>5328</v>
      </c>
      <c r="G4065" s="12" t="s">
        <v>12427</v>
      </c>
      <c r="H4065" s="12">
        <v>222630</v>
      </c>
    </row>
    <row r="4066" spans="1:8">
      <c r="A4066" s="12" t="s">
        <v>12426</v>
      </c>
      <c r="B4066" s="13">
        <v>100</v>
      </c>
      <c r="C4066" s="16" t="s">
        <v>5331</v>
      </c>
      <c r="D4066" s="12">
        <v>810</v>
      </c>
      <c r="E4066" s="12" t="s">
        <v>5332</v>
      </c>
      <c r="F4066" s="12" t="s">
        <v>5328</v>
      </c>
      <c r="G4066" s="12" t="s">
        <v>12428</v>
      </c>
      <c r="H4066" s="12">
        <v>146983</v>
      </c>
    </row>
    <row r="4067" spans="1:8">
      <c r="A4067" s="12" t="s">
        <v>12429</v>
      </c>
      <c r="B4067" s="13">
        <v>200</v>
      </c>
      <c r="C4067" s="16" t="s">
        <v>5331</v>
      </c>
      <c r="D4067" s="12">
        <v>915</v>
      </c>
      <c r="E4067" s="12" t="s">
        <v>5332</v>
      </c>
      <c r="F4067" s="12" t="s">
        <v>5328</v>
      </c>
      <c r="G4067" s="12" t="s">
        <v>12430</v>
      </c>
      <c r="H4067" s="12">
        <v>222538</v>
      </c>
    </row>
    <row r="4068" spans="1:8">
      <c r="A4068" s="12" t="s">
        <v>12429</v>
      </c>
      <c r="B4068" s="13">
        <v>200</v>
      </c>
      <c r="C4068" s="16" t="s">
        <v>5331</v>
      </c>
      <c r="D4068" s="12">
        <v>915</v>
      </c>
      <c r="E4068" s="12" t="s">
        <v>5332</v>
      </c>
      <c r="F4068" s="12" t="s">
        <v>5328</v>
      </c>
      <c r="G4068" s="12" t="s">
        <v>12431</v>
      </c>
      <c r="H4068" s="12">
        <v>144871</v>
      </c>
    </row>
    <row r="4069" spans="1:8">
      <c r="A4069" s="12" t="s">
        <v>12432</v>
      </c>
      <c r="B4069" s="13">
        <v>0</v>
      </c>
      <c r="C4069" s="16" t="s">
        <v>5331</v>
      </c>
      <c r="D4069" s="12">
        <v>915</v>
      </c>
      <c r="E4069" s="12" t="s">
        <v>5332</v>
      </c>
      <c r="F4069" s="12" t="s">
        <v>5328</v>
      </c>
      <c r="G4069" s="12" t="s">
        <v>12433</v>
      </c>
      <c r="H4069" s="12">
        <v>222632</v>
      </c>
    </row>
    <row r="4070" spans="1:8">
      <c r="A4070" s="12" t="s">
        <v>12432</v>
      </c>
      <c r="B4070" s="13">
        <v>200</v>
      </c>
      <c r="C4070" s="16" t="s">
        <v>5331</v>
      </c>
      <c r="D4070" s="12">
        <v>915</v>
      </c>
      <c r="E4070" s="12" t="s">
        <v>5332</v>
      </c>
      <c r="F4070" s="12" t="s">
        <v>5328</v>
      </c>
      <c r="G4070" s="12" t="s">
        <v>12434</v>
      </c>
      <c r="H4070" s="12">
        <v>144872</v>
      </c>
    </row>
    <row r="4071" spans="1:8">
      <c r="A4071" s="12" t="s">
        <v>12147</v>
      </c>
      <c r="B4071" s="13">
        <v>0</v>
      </c>
      <c r="C4071" s="16" t="s">
        <v>5331</v>
      </c>
      <c r="D4071" s="12">
        <v>915</v>
      </c>
      <c r="E4071" s="12" t="s">
        <v>5332</v>
      </c>
      <c r="F4071" s="12" t="s">
        <v>5328</v>
      </c>
      <c r="G4071" s="12" t="s">
        <v>12435</v>
      </c>
      <c r="H4071" s="12">
        <v>222435</v>
      </c>
    </row>
    <row r="4072" spans="1:8">
      <c r="A4072" s="12" t="s">
        <v>12436</v>
      </c>
      <c r="B4072" s="13"/>
      <c r="C4072" s="16"/>
      <c r="D4072" s="12"/>
      <c r="E4072" s="12"/>
      <c r="F4072" s="12"/>
      <c r="G4072" s="12"/>
      <c r="H4072" s="12"/>
    </row>
    <row r="4073" spans="1:8">
      <c r="A4073" s="12" t="s">
        <v>12147</v>
      </c>
      <c r="B4073" s="13">
        <v>100</v>
      </c>
      <c r="C4073" s="16" t="s">
        <v>5331</v>
      </c>
      <c r="D4073" s="12">
        <v>915</v>
      </c>
      <c r="E4073" s="12" t="s">
        <v>5332</v>
      </c>
      <c r="F4073" s="12" t="s">
        <v>5328</v>
      </c>
      <c r="G4073" s="12" t="s">
        <v>12437</v>
      </c>
      <c r="H4073" s="12">
        <v>145166</v>
      </c>
    </row>
    <row r="4074" spans="1:8">
      <c r="A4074" s="12" t="s">
        <v>12438</v>
      </c>
      <c r="B4074" s="13">
        <v>100</v>
      </c>
      <c r="C4074" s="16" t="s">
        <v>5331</v>
      </c>
      <c r="D4074" s="12">
        <v>815</v>
      </c>
      <c r="E4074" s="12" t="s">
        <v>5332</v>
      </c>
      <c r="F4074" s="12" t="s">
        <v>5328</v>
      </c>
      <c r="G4074" s="12" t="s">
        <v>12439</v>
      </c>
      <c r="H4074" s="12">
        <v>222436</v>
      </c>
    </row>
    <row r="4075" spans="1:8">
      <c r="A4075" s="12" t="s">
        <v>12438</v>
      </c>
      <c r="B4075" s="13">
        <v>100</v>
      </c>
      <c r="C4075" s="16" t="s">
        <v>5331</v>
      </c>
      <c r="D4075" s="12">
        <v>815</v>
      </c>
      <c r="E4075" s="12" t="s">
        <v>5332</v>
      </c>
      <c r="F4075" s="12" t="s">
        <v>5328</v>
      </c>
      <c r="G4075" s="12" t="s">
        <v>12440</v>
      </c>
      <c r="H4075" s="12">
        <v>144967</v>
      </c>
    </row>
    <row r="4076" spans="1:8">
      <c r="A4076" s="12" t="s">
        <v>12441</v>
      </c>
      <c r="B4076" s="13">
        <v>0</v>
      </c>
      <c r="C4076" s="16" t="s">
        <v>5331</v>
      </c>
      <c r="D4076" s="12">
        <v>810</v>
      </c>
      <c r="E4076" s="12" t="s">
        <v>5332</v>
      </c>
      <c r="F4076" s="12" t="s">
        <v>5328</v>
      </c>
      <c r="G4076" s="12" t="s">
        <v>12442</v>
      </c>
      <c r="H4076" s="12">
        <v>222531</v>
      </c>
    </row>
    <row r="4077" spans="1:8">
      <c r="A4077" s="12" t="s">
        <v>12441</v>
      </c>
      <c r="B4077" s="13">
        <v>100</v>
      </c>
      <c r="C4077" s="16" t="s">
        <v>5331</v>
      </c>
      <c r="D4077" s="12">
        <v>810</v>
      </c>
      <c r="E4077" s="12" t="s">
        <v>5332</v>
      </c>
      <c r="F4077" s="12" t="s">
        <v>5328</v>
      </c>
      <c r="G4077" s="12" t="s">
        <v>12443</v>
      </c>
      <c r="H4077" s="12">
        <v>145666</v>
      </c>
    </row>
    <row r="4078" spans="1:8">
      <c r="A4078" s="12" t="s">
        <v>12444</v>
      </c>
      <c r="B4078" s="13">
        <v>106.31</v>
      </c>
      <c r="C4078" s="16" t="s">
        <v>5331</v>
      </c>
      <c r="D4078" s="12">
        <v>615</v>
      </c>
      <c r="E4078" s="12" t="s">
        <v>5332</v>
      </c>
      <c r="F4078" s="12" t="s">
        <v>5328</v>
      </c>
      <c r="G4078" s="12" t="s">
        <v>12445</v>
      </c>
      <c r="H4078" s="12">
        <v>222629</v>
      </c>
    </row>
    <row r="4079" spans="1:8">
      <c r="A4079" s="12" t="s">
        <v>12444</v>
      </c>
      <c r="B4079" s="13">
        <v>100</v>
      </c>
      <c r="C4079" s="16" t="s">
        <v>5331</v>
      </c>
      <c r="D4079" s="12">
        <v>615</v>
      </c>
      <c r="E4079" s="12" t="s">
        <v>5332</v>
      </c>
      <c r="F4079" s="12" t="s">
        <v>5328</v>
      </c>
      <c r="G4079" s="12" t="s">
        <v>12446</v>
      </c>
      <c r="H4079" s="12">
        <v>145667</v>
      </c>
    </row>
    <row r="4080" spans="1:8">
      <c r="A4080" s="12" t="s">
        <v>12447</v>
      </c>
      <c r="B4080" s="13">
        <v>0</v>
      </c>
      <c r="C4080" s="16" t="s">
        <v>5331</v>
      </c>
      <c r="D4080" s="12">
        <v>865</v>
      </c>
      <c r="E4080" s="12" t="s">
        <v>5332</v>
      </c>
      <c r="F4080" s="12" t="s">
        <v>5328</v>
      </c>
      <c r="G4080" s="12" t="s">
        <v>12448</v>
      </c>
      <c r="H4080" s="12">
        <v>222532</v>
      </c>
    </row>
    <row r="4081" spans="1:8">
      <c r="A4081" s="12" t="s">
        <v>12449</v>
      </c>
      <c r="B4081" s="13"/>
      <c r="C4081" s="16"/>
      <c r="D4081" s="12"/>
      <c r="E4081" s="12"/>
      <c r="F4081" s="12"/>
      <c r="G4081" s="12"/>
      <c r="H4081" s="12"/>
    </row>
    <row r="4082" spans="1:8">
      <c r="A4082" s="12" t="s">
        <v>12450</v>
      </c>
      <c r="B4082" s="13"/>
      <c r="C4082" s="16"/>
      <c r="D4082" s="12"/>
      <c r="E4082" s="12"/>
      <c r="F4082" s="12"/>
      <c r="G4082" s="12"/>
      <c r="H4082" s="12"/>
    </row>
    <row r="4083" spans="1:8">
      <c r="A4083" s="12" t="s">
        <v>12447</v>
      </c>
      <c r="B4083" s="13">
        <v>200</v>
      </c>
      <c r="C4083" s="16" t="s">
        <v>5331</v>
      </c>
      <c r="D4083" s="12">
        <v>865</v>
      </c>
      <c r="E4083" s="12" t="s">
        <v>5332</v>
      </c>
      <c r="F4083" s="12" t="s">
        <v>5328</v>
      </c>
      <c r="G4083" s="12" t="s">
        <v>12451</v>
      </c>
      <c r="H4083" s="12">
        <v>144767</v>
      </c>
    </row>
    <row r="4084" spans="1:8">
      <c r="A4084" s="12" t="s">
        <v>12452</v>
      </c>
      <c r="B4084" s="13">
        <v>0</v>
      </c>
      <c r="C4084" s="16" t="s">
        <v>5331</v>
      </c>
      <c r="D4084" s="12">
        <v>685</v>
      </c>
      <c r="E4084" s="12" t="s">
        <v>5332</v>
      </c>
      <c r="F4084" s="12" t="s">
        <v>5328</v>
      </c>
      <c r="G4084" s="12" t="s">
        <v>12453</v>
      </c>
      <c r="H4084" s="12">
        <v>222533</v>
      </c>
    </row>
    <row r="4085" spans="1:8">
      <c r="A4085" s="12" t="s">
        <v>12452</v>
      </c>
      <c r="B4085" s="13">
        <v>100</v>
      </c>
      <c r="C4085" s="16" t="s">
        <v>5331</v>
      </c>
      <c r="D4085" s="12">
        <v>685</v>
      </c>
      <c r="E4085" s="12" t="s">
        <v>5332</v>
      </c>
      <c r="F4085" s="12" t="s">
        <v>5328</v>
      </c>
      <c r="G4085" s="12" t="s">
        <v>12454</v>
      </c>
      <c r="H4085" s="12">
        <v>144868</v>
      </c>
    </row>
    <row r="4086" spans="1:8">
      <c r="A4086" s="12" t="s">
        <v>12455</v>
      </c>
      <c r="B4086" s="13">
        <v>100</v>
      </c>
      <c r="C4086" s="16" t="s">
        <v>5331</v>
      </c>
      <c r="D4086" s="12">
        <v>712</v>
      </c>
      <c r="E4086" s="12" t="s">
        <v>5332</v>
      </c>
      <c r="F4086" s="12" t="s">
        <v>5328</v>
      </c>
      <c r="G4086" s="12" t="s">
        <v>12456</v>
      </c>
      <c r="H4086" s="12">
        <v>222534</v>
      </c>
    </row>
    <row r="4087" spans="1:8">
      <c r="A4087" s="12" t="s">
        <v>12455</v>
      </c>
      <c r="B4087" s="13">
        <v>100</v>
      </c>
      <c r="C4087" s="16" t="s">
        <v>5331</v>
      </c>
      <c r="D4087" s="12">
        <v>712</v>
      </c>
      <c r="E4087" s="12" t="s">
        <v>5332</v>
      </c>
      <c r="F4087" s="12" t="s">
        <v>5328</v>
      </c>
      <c r="G4087" s="12" t="s">
        <v>12457</v>
      </c>
      <c r="H4087" s="12">
        <v>144869</v>
      </c>
    </row>
    <row r="4088" spans="1:8">
      <c r="A4088" s="12" t="s">
        <v>12458</v>
      </c>
      <c r="B4088" s="13">
        <v>100</v>
      </c>
      <c r="C4088" s="16" t="s">
        <v>5331</v>
      </c>
      <c r="D4088" s="12">
        <v>720</v>
      </c>
      <c r="E4088" s="12" t="s">
        <v>5332</v>
      </c>
      <c r="F4088" s="12" t="s">
        <v>5328</v>
      </c>
      <c r="G4088" s="12" t="s">
        <v>12459</v>
      </c>
      <c r="H4088" s="12">
        <v>222535</v>
      </c>
    </row>
    <row r="4089" spans="1:8">
      <c r="A4089" s="12" t="s">
        <v>12460</v>
      </c>
      <c r="B4089" s="13"/>
      <c r="C4089" s="16"/>
      <c r="D4089" s="12"/>
      <c r="E4089" s="12"/>
      <c r="F4089" s="12"/>
      <c r="G4089" s="12"/>
      <c r="H4089" s="12"/>
    </row>
    <row r="4090" spans="1:8">
      <c r="A4090" s="12" t="s">
        <v>12458</v>
      </c>
      <c r="B4090" s="13">
        <v>100</v>
      </c>
      <c r="C4090" s="16" t="s">
        <v>5331</v>
      </c>
      <c r="D4090" s="12">
        <v>720</v>
      </c>
      <c r="E4090" s="12" t="s">
        <v>5332</v>
      </c>
      <c r="F4090" s="12" t="s">
        <v>5328</v>
      </c>
      <c r="G4090" s="12" t="s">
        <v>12461</v>
      </c>
      <c r="H4090" s="12">
        <v>144870</v>
      </c>
    </row>
    <row r="4091" spans="1:8">
      <c r="A4091" s="12" t="s">
        <v>12462</v>
      </c>
      <c r="B4091" s="13">
        <v>0</v>
      </c>
      <c r="C4091" s="16" t="s">
        <v>5331</v>
      </c>
      <c r="D4091" s="12">
        <v>875</v>
      </c>
      <c r="E4091" s="12" t="s">
        <v>5332</v>
      </c>
      <c r="F4091" s="12" t="s">
        <v>5328</v>
      </c>
      <c r="G4091" s="12" t="s">
        <v>12463</v>
      </c>
      <c r="H4091" s="12">
        <v>222631</v>
      </c>
    </row>
    <row r="4092" spans="1:8">
      <c r="A4092" s="12" t="s">
        <v>12462</v>
      </c>
      <c r="B4092" s="13">
        <v>200</v>
      </c>
      <c r="C4092" s="16" t="s">
        <v>5331</v>
      </c>
      <c r="D4092" s="12">
        <v>875</v>
      </c>
      <c r="E4092" s="12" t="s">
        <v>5332</v>
      </c>
      <c r="F4092" s="12" t="s">
        <v>5328</v>
      </c>
      <c r="G4092" s="12" t="s">
        <v>12464</v>
      </c>
      <c r="H4092" s="12">
        <v>145265</v>
      </c>
    </row>
    <row r="4093" spans="1:8">
      <c r="A4093" s="12" t="s">
        <v>12465</v>
      </c>
      <c r="B4093" s="13">
        <v>0</v>
      </c>
      <c r="C4093" s="16" t="s">
        <v>5331</v>
      </c>
      <c r="D4093" s="12">
        <v>845</v>
      </c>
      <c r="E4093" s="12" t="s">
        <v>5332</v>
      </c>
      <c r="F4093" s="12" t="s">
        <v>5328</v>
      </c>
      <c r="G4093" s="12" t="s">
        <v>12466</v>
      </c>
      <c r="H4093" s="12">
        <v>222633</v>
      </c>
    </row>
    <row r="4094" spans="1:8">
      <c r="A4094" s="12" t="s">
        <v>12465</v>
      </c>
      <c r="B4094" s="13">
        <v>100</v>
      </c>
      <c r="C4094" s="16" t="s">
        <v>5331</v>
      </c>
      <c r="D4094" s="12">
        <v>845</v>
      </c>
      <c r="E4094" s="12" t="s">
        <v>5332</v>
      </c>
      <c r="F4094" s="12" t="s">
        <v>5328</v>
      </c>
      <c r="G4094" s="12" t="s">
        <v>12467</v>
      </c>
      <c r="H4094" s="12">
        <v>145365</v>
      </c>
    </row>
    <row r="4095" spans="1:8">
      <c r="A4095" s="12" t="s">
        <v>12468</v>
      </c>
      <c r="B4095" s="13">
        <v>0</v>
      </c>
      <c r="C4095" s="16" t="s">
        <v>5331</v>
      </c>
      <c r="D4095" s="12">
        <v>720</v>
      </c>
      <c r="E4095" s="12" t="s">
        <v>5332</v>
      </c>
      <c r="F4095" s="12" t="s">
        <v>5328</v>
      </c>
      <c r="G4095" s="12" t="s">
        <v>12469</v>
      </c>
      <c r="H4095" s="12">
        <v>222539</v>
      </c>
    </row>
    <row r="4096" spans="1:8">
      <c r="A4096" s="12" t="s">
        <v>12470</v>
      </c>
      <c r="B4096" s="13"/>
      <c r="C4096" s="16"/>
      <c r="D4096" s="12"/>
      <c r="E4096" s="12"/>
      <c r="F4096" s="12"/>
      <c r="G4096" s="12"/>
      <c r="H4096" s="12"/>
    </row>
    <row r="4097" spans="1:8">
      <c r="A4097" s="12" t="s">
        <v>12468</v>
      </c>
      <c r="B4097" s="13">
        <v>0</v>
      </c>
      <c r="C4097" s="16" t="s">
        <v>5331</v>
      </c>
      <c r="D4097" s="12">
        <v>720</v>
      </c>
      <c r="E4097" s="12" t="s">
        <v>5332</v>
      </c>
      <c r="F4097" s="12" t="s">
        <v>5328</v>
      </c>
      <c r="G4097" s="12" t="s">
        <v>12471</v>
      </c>
      <c r="H4097" s="12">
        <v>145366</v>
      </c>
    </row>
    <row r="4098" spans="1:8">
      <c r="A4098" s="12" t="s">
        <v>12472</v>
      </c>
      <c r="B4098" s="13">
        <v>0</v>
      </c>
      <c r="C4098" s="16" t="s">
        <v>5331</v>
      </c>
      <c r="D4098" s="12">
        <v>712</v>
      </c>
      <c r="E4098" s="12" t="s">
        <v>5332</v>
      </c>
      <c r="F4098" s="12" t="s">
        <v>5328</v>
      </c>
      <c r="G4098" s="12" t="s">
        <v>12473</v>
      </c>
      <c r="H4098" s="12">
        <v>222634</v>
      </c>
    </row>
    <row r="4099" spans="1:8">
      <c r="A4099" s="12" t="s">
        <v>12474</v>
      </c>
      <c r="B4099" s="13"/>
      <c r="C4099" s="16"/>
      <c r="D4099" s="12"/>
      <c r="E4099" s="12"/>
      <c r="F4099" s="12"/>
      <c r="G4099" s="12"/>
      <c r="H4099" s="12"/>
    </row>
    <row r="4100" spans="1:8">
      <c r="A4100" s="12" t="s">
        <v>12472</v>
      </c>
      <c r="B4100" s="13">
        <v>0</v>
      </c>
      <c r="C4100" s="16" t="s">
        <v>5331</v>
      </c>
      <c r="D4100" s="12">
        <v>712</v>
      </c>
      <c r="E4100" s="12" t="s">
        <v>5332</v>
      </c>
      <c r="F4100" s="12" t="s">
        <v>5328</v>
      </c>
      <c r="G4100" s="12" t="s">
        <v>12475</v>
      </c>
      <c r="H4100" s="12">
        <v>145465</v>
      </c>
    </row>
    <row r="4101" spans="1:8">
      <c r="A4101" s="12" t="s">
        <v>12476</v>
      </c>
      <c r="B4101" s="13">
        <v>0</v>
      </c>
      <c r="C4101" s="16" t="s">
        <v>5331</v>
      </c>
      <c r="D4101" s="12">
        <v>915</v>
      </c>
      <c r="E4101" s="12" t="s">
        <v>5332</v>
      </c>
      <c r="F4101" s="12" t="s">
        <v>5328</v>
      </c>
      <c r="G4101" s="12" t="s">
        <v>12477</v>
      </c>
      <c r="H4101" s="12">
        <v>222635</v>
      </c>
    </row>
    <row r="4102" spans="1:8">
      <c r="A4102" s="12" t="s">
        <v>12478</v>
      </c>
      <c r="B4102" s="13"/>
      <c r="C4102" s="16"/>
      <c r="D4102" s="12"/>
      <c r="E4102" s="12"/>
      <c r="F4102" s="12"/>
      <c r="G4102" s="12"/>
      <c r="H4102" s="12"/>
    </row>
    <row r="4103" spans="1:8">
      <c r="A4103" s="12" t="s">
        <v>12476</v>
      </c>
      <c r="B4103" s="13">
        <v>0</v>
      </c>
      <c r="C4103" s="16" t="s">
        <v>5331</v>
      </c>
      <c r="D4103" s="12">
        <v>915</v>
      </c>
      <c r="E4103" s="12" t="s">
        <v>5332</v>
      </c>
      <c r="F4103" s="12" t="s">
        <v>5328</v>
      </c>
      <c r="G4103" s="12" t="s">
        <v>12479</v>
      </c>
      <c r="H4103" s="12">
        <v>145067</v>
      </c>
    </row>
    <row r="4104" spans="1:8">
      <c r="A4104" s="12" t="s">
        <v>12480</v>
      </c>
      <c r="B4104" s="13">
        <v>0</v>
      </c>
      <c r="C4104" s="16" t="s">
        <v>5331</v>
      </c>
      <c r="D4104" s="12">
        <v>615</v>
      </c>
      <c r="E4104" s="12" t="s">
        <v>5332</v>
      </c>
      <c r="F4104" s="12" t="s">
        <v>5328</v>
      </c>
      <c r="G4104" s="12" t="s">
        <v>12481</v>
      </c>
      <c r="H4104" s="12">
        <v>222636</v>
      </c>
    </row>
    <row r="4105" spans="1:8">
      <c r="A4105" s="12" t="s">
        <v>12480</v>
      </c>
      <c r="B4105" s="13">
        <v>200</v>
      </c>
      <c r="C4105" s="16" t="s">
        <v>5331</v>
      </c>
      <c r="D4105" s="12">
        <v>615</v>
      </c>
      <c r="E4105" s="12" t="s">
        <v>5332</v>
      </c>
      <c r="F4105" s="12" t="s">
        <v>5328</v>
      </c>
      <c r="G4105" s="12" t="s">
        <v>12482</v>
      </c>
      <c r="H4105" s="12">
        <v>145068</v>
      </c>
    </row>
    <row r="4106" spans="1:8">
      <c r="A4106" s="12" t="s">
        <v>12483</v>
      </c>
      <c r="B4106" s="13">
        <v>0</v>
      </c>
      <c r="C4106" s="16" t="s">
        <v>5331</v>
      </c>
      <c r="D4106" s="12">
        <v>865</v>
      </c>
      <c r="E4106" s="12" t="s">
        <v>5332</v>
      </c>
      <c r="F4106" s="12" t="s">
        <v>5328</v>
      </c>
      <c r="G4106" s="12" t="s">
        <v>12484</v>
      </c>
      <c r="H4106" s="12">
        <v>222438</v>
      </c>
    </row>
    <row r="4107" spans="1:8">
      <c r="A4107" s="12" t="s">
        <v>12483</v>
      </c>
      <c r="B4107" s="13">
        <v>200</v>
      </c>
      <c r="C4107" s="16" t="s">
        <v>5331</v>
      </c>
      <c r="D4107" s="12">
        <v>865</v>
      </c>
      <c r="E4107" s="12" t="s">
        <v>5332</v>
      </c>
      <c r="F4107" s="12" t="s">
        <v>5328</v>
      </c>
      <c r="G4107" s="12" t="s">
        <v>12485</v>
      </c>
      <c r="H4107" s="12">
        <v>153985</v>
      </c>
    </row>
    <row r="4108" spans="1:8">
      <c r="A4108" s="12" t="s">
        <v>12486</v>
      </c>
      <c r="B4108" s="13">
        <v>0</v>
      </c>
      <c r="C4108" s="16" t="s">
        <v>5331</v>
      </c>
      <c r="D4108" s="12">
        <v>685</v>
      </c>
      <c r="E4108" s="12" t="s">
        <v>5332</v>
      </c>
      <c r="F4108" s="12" t="s">
        <v>5328</v>
      </c>
      <c r="G4108" s="12" t="s">
        <v>12487</v>
      </c>
      <c r="H4108" s="12">
        <v>222439</v>
      </c>
    </row>
    <row r="4109" spans="1:8">
      <c r="A4109" s="12" t="s">
        <v>12486</v>
      </c>
      <c r="B4109" s="13">
        <v>100</v>
      </c>
      <c r="C4109" s="16" t="s">
        <v>5331</v>
      </c>
      <c r="D4109" s="12">
        <v>685</v>
      </c>
      <c r="E4109" s="12" t="s">
        <v>5332</v>
      </c>
      <c r="F4109" s="12" t="s">
        <v>5328</v>
      </c>
      <c r="G4109" s="12" t="s">
        <v>12488</v>
      </c>
      <c r="H4109" s="12">
        <v>153986</v>
      </c>
    </row>
    <row r="4110" spans="1:8">
      <c r="A4110" s="12" t="s">
        <v>12489</v>
      </c>
      <c r="B4110" s="13">
        <v>0</v>
      </c>
      <c r="C4110" s="16" t="s">
        <v>5331</v>
      </c>
      <c r="D4110" s="12">
        <v>750</v>
      </c>
      <c r="E4110" s="12" t="s">
        <v>5332</v>
      </c>
      <c r="F4110" s="12" t="s">
        <v>5328</v>
      </c>
      <c r="G4110" s="12" t="s">
        <v>12490</v>
      </c>
      <c r="H4110" s="12">
        <v>222440</v>
      </c>
    </row>
    <row r="4111" spans="1:8">
      <c r="A4111" s="12" t="s">
        <v>12489</v>
      </c>
      <c r="B4111" s="13">
        <v>200</v>
      </c>
      <c r="C4111" s="16" t="s">
        <v>5331</v>
      </c>
      <c r="D4111" s="12">
        <v>750</v>
      </c>
      <c r="E4111" s="12" t="s">
        <v>5332</v>
      </c>
      <c r="F4111" s="12" t="s">
        <v>5328</v>
      </c>
      <c r="G4111" s="12" t="s">
        <v>12491</v>
      </c>
      <c r="H4111" s="12">
        <v>153987</v>
      </c>
    </row>
    <row r="4112" spans="1:8">
      <c r="A4112" s="12" t="s">
        <v>12492</v>
      </c>
      <c r="B4112" s="13">
        <v>0</v>
      </c>
      <c r="C4112" s="16" t="s">
        <v>5331</v>
      </c>
      <c r="D4112" s="12">
        <v>720</v>
      </c>
      <c r="E4112" s="12" t="s">
        <v>5332</v>
      </c>
      <c r="F4112" s="12" t="s">
        <v>5328</v>
      </c>
      <c r="G4112" s="12" t="s">
        <v>12493</v>
      </c>
      <c r="H4112" s="12">
        <v>222641</v>
      </c>
    </row>
    <row r="4113" spans="1:8">
      <c r="A4113" s="12" t="s">
        <v>12494</v>
      </c>
      <c r="B4113" s="13"/>
      <c r="C4113" s="16"/>
      <c r="D4113" s="12"/>
      <c r="E4113" s="12"/>
      <c r="F4113" s="12"/>
      <c r="G4113" s="12"/>
      <c r="H4113" s="12"/>
    </row>
    <row r="4114" spans="1:8">
      <c r="A4114" s="12" t="s">
        <v>12492</v>
      </c>
      <c r="B4114" s="13">
        <v>100</v>
      </c>
      <c r="C4114" s="16" t="s">
        <v>5331</v>
      </c>
      <c r="D4114" s="12">
        <v>720</v>
      </c>
      <c r="E4114" s="12" t="s">
        <v>5332</v>
      </c>
      <c r="F4114" s="12" t="s">
        <v>5328</v>
      </c>
      <c r="G4114" s="12" t="s">
        <v>12495</v>
      </c>
      <c r="H4114" s="12">
        <v>148654</v>
      </c>
    </row>
    <row r="4115" spans="1:8">
      <c r="A4115" s="12" t="s">
        <v>12496</v>
      </c>
      <c r="B4115" s="13">
        <v>100</v>
      </c>
      <c r="C4115" s="16" t="s">
        <v>5331</v>
      </c>
      <c r="D4115" s="12">
        <v>685</v>
      </c>
      <c r="E4115" s="12" t="s">
        <v>5332</v>
      </c>
      <c r="F4115" s="12" t="s">
        <v>5328</v>
      </c>
      <c r="G4115" s="12" t="s">
        <v>12497</v>
      </c>
      <c r="H4115" s="12">
        <v>222437</v>
      </c>
    </row>
    <row r="4116" spans="1:8">
      <c r="A4116" s="12" t="s">
        <v>12496</v>
      </c>
      <c r="B4116" s="13">
        <v>100</v>
      </c>
      <c r="C4116" s="16" t="s">
        <v>5331</v>
      </c>
      <c r="D4116" s="12">
        <v>685</v>
      </c>
      <c r="E4116" s="12" t="s">
        <v>5332</v>
      </c>
      <c r="F4116" s="12" t="s">
        <v>5328</v>
      </c>
      <c r="G4116" s="12" t="s">
        <v>12498</v>
      </c>
      <c r="H4116" s="12">
        <v>146785</v>
      </c>
    </row>
    <row r="4117" spans="1:8">
      <c r="A4117" s="12" t="s">
        <v>12499</v>
      </c>
      <c r="B4117" s="13">
        <v>0</v>
      </c>
      <c r="C4117" s="16" t="s">
        <v>5331</v>
      </c>
      <c r="D4117" s="12">
        <v>915</v>
      </c>
      <c r="E4117" s="12" t="s">
        <v>5332</v>
      </c>
      <c r="F4117" s="12" t="s">
        <v>5328</v>
      </c>
      <c r="G4117" s="12" t="s">
        <v>12500</v>
      </c>
      <c r="H4117" s="12">
        <v>222541</v>
      </c>
    </row>
    <row r="4118" spans="1:8">
      <c r="A4118" s="12" t="s">
        <v>12501</v>
      </c>
      <c r="B4118" s="13"/>
      <c r="C4118" s="16"/>
      <c r="D4118" s="12"/>
      <c r="E4118" s="12"/>
      <c r="F4118" s="12"/>
      <c r="G4118" s="12"/>
      <c r="H4118" s="12"/>
    </row>
    <row r="4119" spans="1:8">
      <c r="A4119" s="12" t="s">
        <v>12499</v>
      </c>
      <c r="B4119" s="13">
        <v>100</v>
      </c>
      <c r="C4119" s="16" t="s">
        <v>5331</v>
      </c>
      <c r="D4119" s="12">
        <v>915</v>
      </c>
      <c r="E4119" s="12" t="s">
        <v>5332</v>
      </c>
      <c r="F4119" s="12" t="s">
        <v>5328</v>
      </c>
      <c r="G4119" s="12" t="s">
        <v>12502</v>
      </c>
      <c r="H4119" s="12">
        <v>148746</v>
      </c>
    </row>
    <row r="4120" spans="1:8">
      <c r="A4120" s="12" t="s">
        <v>12503</v>
      </c>
      <c r="B4120" s="13">
        <v>0</v>
      </c>
      <c r="C4120" s="16" t="s">
        <v>5331</v>
      </c>
      <c r="D4120" s="12">
        <v>750</v>
      </c>
      <c r="E4120" s="12" t="s">
        <v>5332</v>
      </c>
      <c r="F4120" s="12" t="s">
        <v>5328</v>
      </c>
      <c r="G4120" s="12" t="s">
        <v>12504</v>
      </c>
      <c r="H4120" s="12">
        <v>222640</v>
      </c>
    </row>
    <row r="4121" spans="1:8">
      <c r="A4121" s="12" t="s">
        <v>12503</v>
      </c>
      <c r="B4121" s="13">
        <v>200</v>
      </c>
      <c r="C4121" s="16" t="s">
        <v>5331</v>
      </c>
      <c r="D4121" s="12">
        <v>750</v>
      </c>
      <c r="E4121" s="12" t="s">
        <v>5332</v>
      </c>
      <c r="F4121" s="12" t="s">
        <v>5328</v>
      </c>
      <c r="G4121" s="12" t="s">
        <v>12505</v>
      </c>
      <c r="H4121" s="12">
        <v>148747</v>
      </c>
    </row>
    <row r="4122" spans="1:8">
      <c r="A4122" s="12" t="s">
        <v>12506</v>
      </c>
      <c r="B4122" s="13">
        <v>0</v>
      </c>
      <c r="C4122" s="16" t="s">
        <v>5331</v>
      </c>
      <c r="D4122" s="12">
        <v>950</v>
      </c>
      <c r="E4122" s="12" t="s">
        <v>5332</v>
      </c>
      <c r="F4122" s="12" t="s">
        <v>5328</v>
      </c>
      <c r="G4122" s="12" t="s">
        <v>12507</v>
      </c>
      <c r="H4122" s="12">
        <v>222542</v>
      </c>
    </row>
    <row r="4123" spans="1:8">
      <c r="A4123" s="12" t="s">
        <v>12508</v>
      </c>
      <c r="B4123" s="13"/>
      <c r="C4123" s="16"/>
      <c r="D4123" s="12"/>
      <c r="E4123" s="12"/>
      <c r="F4123" s="12"/>
      <c r="G4123" s="12"/>
      <c r="H4123" s="12"/>
    </row>
    <row r="4124" spans="1:8">
      <c r="A4124" s="12" t="s">
        <v>12506</v>
      </c>
      <c r="B4124" s="13">
        <v>200</v>
      </c>
      <c r="C4124" s="16" t="s">
        <v>5331</v>
      </c>
      <c r="D4124" s="12">
        <v>950</v>
      </c>
      <c r="E4124" s="12" t="s">
        <v>5332</v>
      </c>
      <c r="F4124" s="12" t="s">
        <v>5328</v>
      </c>
      <c r="G4124" s="12" t="s">
        <v>12509</v>
      </c>
      <c r="H4124" s="12">
        <v>148748</v>
      </c>
    </row>
    <row r="4125" spans="1:8">
      <c r="A4125" s="12" t="s">
        <v>12510</v>
      </c>
      <c r="B4125" s="14">
        <v>1150</v>
      </c>
      <c r="C4125" s="16" t="s">
        <v>5331</v>
      </c>
      <c r="D4125" s="12">
        <v>2650</v>
      </c>
      <c r="E4125" s="12" t="s">
        <v>5332</v>
      </c>
      <c r="F4125" s="12" t="s">
        <v>5328</v>
      </c>
      <c r="G4125" s="12" t="s">
        <v>12511</v>
      </c>
      <c r="H4125" s="12">
        <v>152991</v>
      </c>
    </row>
    <row r="4126" spans="1:8">
      <c r="A4126" s="12" t="s">
        <v>12512</v>
      </c>
      <c r="B4126" s="13">
        <v>106.31</v>
      </c>
      <c r="C4126" s="16" t="s">
        <v>5331</v>
      </c>
      <c r="D4126" s="12">
        <v>645</v>
      </c>
      <c r="E4126" s="12" t="s">
        <v>5332</v>
      </c>
      <c r="F4126" s="12" t="s">
        <v>5328</v>
      </c>
      <c r="G4126" s="12" t="s">
        <v>12513</v>
      </c>
      <c r="H4126" s="12">
        <v>222441</v>
      </c>
    </row>
    <row r="4127" spans="1:8">
      <c r="A4127" s="12" t="s">
        <v>12514</v>
      </c>
      <c r="B4127" s="13"/>
      <c r="C4127" s="16"/>
      <c r="D4127" s="12"/>
      <c r="E4127" s="12"/>
      <c r="F4127" s="12"/>
      <c r="G4127" s="12"/>
      <c r="H4127" s="12"/>
    </row>
    <row r="4128" spans="1:8">
      <c r="A4128" s="12" t="s">
        <v>12512</v>
      </c>
      <c r="B4128" s="13">
        <v>100</v>
      </c>
      <c r="C4128" s="16" t="s">
        <v>5331</v>
      </c>
      <c r="D4128" s="12">
        <v>645</v>
      </c>
      <c r="E4128" s="12" t="s">
        <v>5332</v>
      </c>
      <c r="F4128" s="12" t="s">
        <v>5328</v>
      </c>
      <c r="G4128" s="12" t="s">
        <v>12515</v>
      </c>
      <c r="H4128" s="12">
        <v>153989</v>
      </c>
    </row>
    <row r="4129" spans="1:8">
      <c r="A4129" s="12" t="s">
        <v>12516</v>
      </c>
      <c r="B4129" s="13">
        <v>0</v>
      </c>
      <c r="C4129" s="16" t="s">
        <v>5331</v>
      </c>
      <c r="D4129" s="12">
        <v>615</v>
      </c>
      <c r="E4129" s="12" t="s">
        <v>5332</v>
      </c>
      <c r="F4129" s="12" t="s">
        <v>5328</v>
      </c>
      <c r="G4129" s="12" t="s">
        <v>12517</v>
      </c>
      <c r="H4129" s="12">
        <v>222442</v>
      </c>
    </row>
    <row r="4130" spans="1:8">
      <c r="A4130" s="12" t="s">
        <v>12516</v>
      </c>
      <c r="B4130" s="13">
        <v>200</v>
      </c>
      <c r="C4130" s="16" t="s">
        <v>5331</v>
      </c>
      <c r="D4130" s="12">
        <v>615</v>
      </c>
      <c r="E4130" s="12" t="s">
        <v>5332</v>
      </c>
      <c r="F4130" s="12" t="s">
        <v>5328</v>
      </c>
      <c r="G4130" s="12" t="s">
        <v>12518</v>
      </c>
      <c r="H4130" s="12">
        <v>153991</v>
      </c>
    </row>
    <row r="4131" spans="1:8">
      <c r="A4131" s="12" t="s">
        <v>12519</v>
      </c>
      <c r="B4131" s="13">
        <v>0</v>
      </c>
      <c r="C4131" s="16" t="s">
        <v>5331</v>
      </c>
      <c r="D4131" s="12">
        <v>950</v>
      </c>
      <c r="E4131" s="12" t="s">
        <v>5332</v>
      </c>
      <c r="F4131" s="12" t="s">
        <v>5328</v>
      </c>
      <c r="G4131" s="12" t="s">
        <v>12520</v>
      </c>
      <c r="H4131" s="12">
        <v>222543</v>
      </c>
    </row>
    <row r="4132" spans="1:8">
      <c r="A4132" s="12" t="s">
        <v>12521</v>
      </c>
      <c r="B4132" s="13"/>
      <c r="C4132" s="16"/>
      <c r="D4132" s="12"/>
      <c r="E4132" s="12"/>
      <c r="F4132" s="12"/>
      <c r="G4132" s="12"/>
      <c r="H4132" s="12"/>
    </row>
    <row r="4133" spans="1:8">
      <c r="A4133" s="12" t="s">
        <v>12519</v>
      </c>
      <c r="B4133" s="13">
        <v>100</v>
      </c>
      <c r="C4133" s="16" t="s">
        <v>5331</v>
      </c>
      <c r="D4133" s="12">
        <v>950</v>
      </c>
      <c r="E4133" s="12" t="s">
        <v>5332</v>
      </c>
      <c r="F4133" s="12" t="s">
        <v>5328</v>
      </c>
      <c r="G4133" s="12" t="s">
        <v>12522</v>
      </c>
      <c r="H4133" s="12">
        <v>148749</v>
      </c>
    </row>
    <row r="4134" spans="1:8">
      <c r="A4134" s="12" t="s">
        <v>12523</v>
      </c>
      <c r="B4134" s="13">
        <v>212.61</v>
      </c>
      <c r="C4134" s="16" t="s">
        <v>5331</v>
      </c>
      <c r="D4134" s="12">
        <v>865</v>
      </c>
      <c r="E4134" s="12" t="s">
        <v>5332</v>
      </c>
      <c r="F4134" s="12" t="s">
        <v>5328</v>
      </c>
      <c r="G4134" s="12" t="s">
        <v>12524</v>
      </c>
      <c r="H4134" s="12">
        <v>222443</v>
      </c>
    </row>
    <row r="4135" spans="1:8">
      <c r="A4135" s="12" t="s">
        <v>12525</v>
      </c>
      <c r="B4135" s="13"/>
      <c r="C4135" s="16"/>
      <c r="D4135" s="12"/>
      <c r="E4135" s="12"/>
      <c r="F4135" s="12"/>
      <c r="G4135" s="12"/>
      <c r="H4135" s="12"/>
    </row>
    <row r="4136" spans="1:8">
      <c r="A4136" s="12" t="s">
        <v>12523</v>
      </c>
      <c r="B4136" s="13">
        <v>200</v>
      </c>
      <c r="C4136" s="16" t="s">
        <v>5331</v>
      </c>
      <c r="D4136" s="12">
        <v>865</v>
      </c>
      <c r="E4136" s="12" t="s">
        <v>5332</v>
      </c>
      <c r="F4136" s="12" t="s">
        <v>5328</v>
      </c>
      <c r="G4136" s="12" t="s">
        <v>12526</v>
      </c>
      <c r="H4136" s="12">
        <v>153992</v>
      </c>
    </row>
    <row r="4137" spans="1:8">
      <c r="A4137" s="12" t="s">
        <v>12527</v>
      </c>
      <c r="B4137" s="13">
        <v>0</v>
      </c>
      <c r="C4137" s="16" t="s">
        <v>5331</v>
      </c>
      <c r="D4137" s="12">
        <v>685</v>
      </c>
      <c r="E4137" s="12" t="s">
        <v>5332</v>
      </c>
      <c r="F4137" s="12" t="s">
        <v>5328</v>
      </c>
      <c r="G4137" s="12" t="s">
        <v>12528</v>
      </c>
      <c r="H4137" s="12">
        <v>222444</v>
      </c>
    </row>
    <row r="4138" spans="1:8">
      <c r="A4138" s="12" t="s">
        <v>12527</v>
      </c>
      <c r="B4138" s="13">
        <v>200</v>
      </c>
      <c r="C4138" s="16" t="s">
        <v>5331</v>
      </c>
      <c r="D4138" s="12">
        <v>685</v>
      </c>
      <c r="E4138" s="12" t="s">
        <v>5332</v>
      </c>
      <c r="F4138" s="12" t="s">
        <v>5328</v>
      </c>
      <c r="G4138" s="12" t="s">
        <v>12529</v>
      </c>
      <c r="H4138" s="12">
        <v>153993</v>
      </c>
    </row>
    <row r="4139" spans="1:8">
      <c r="A4139" s="12" t="s">
        <v>12530</v>
      </c>
      <c r="B4139" s="13">
        <v>0</v>
      </c>
      <c r="C4139" s="16" t="s">
        <v>5331</v>
      </c>
      <c r="D4139" s="12">
        <v>810</v>
      </c>
      <c r="E4139" s="12" t="s">
        <v>5332</v>
      </c>
      <c r="F4139" s="12" t="s">
        <v>5328</v>
      </c>
      <c r="G4139" s="12" t="s">
        <v>12531</v>
      </c>
      <c r="H4139" s="12">
        <v>222523</v>
      </c>
    </row>
    <row r="4140" spans="1:8">
      <c r="A4140" s="12" t="s">
        <v>12532</v>
      </c>
      <c r="B4140" s="13"/>
      <c r="C4140" s="16"/>
      <c r="D4140" s="12"/>
      <c r="E4140" s="12"/>
      <c r="F4140" s="12"/>
      <c r="G4140" s="12"/>
      <c r="H4140" s="12"/>
    </row>
    <row r="4141" spans="1:8">
      <c r="A4141" s="12" t="s">
        <v>12530</v>
      </c>
      <c r="B4141" s="13">
        <v>100</v>
      </c>
      <c r="C4141" s="16" t="s">
        <v>5331</v>
      </c>
      <c r="D4141" s="12">
        <v>810</v>
      </c>
      <c r="E4141" s="12" t="s">
        <v>5332</v>
      </c>
      <c r="F4141" s="12" t="s">
        <v>5328</v>
      </c>
      <c r="G4141" s="12" t="s">
        <v>12533</v>
      </c>
      <c r="H4141" s="12">
        <v>153994</v>
      </c>
    </row>
    <row r="4142" spans="1:8">
      <c r="A4142" s="12" t="s">
        <v>12534</v>
      </c>
      <c r="B4142" s="13">
        <v>0</v>
      </c>
      <c r="C4142" s="16" t="s">
        <v>5331</v>
      </c>
      <c r="D4142" s="12">
        <v>850</v>
      </c>
      <c r="E4142" s="12" t="s">
        <v>5332</v>
      </c>
      <c r="F4142" s="12" t="s">
        <v>5328</v>
      </c>
      <c r="G4142" s="12" t="s">
        <v>12535</v>
      </c>
      <c r="H4142" s="12">
        <v>222515</v>
      </c>
    </row>
    <row r="4143" spans="1:8">
      <c r="A4143" s="12" t="s">
        <v>12536</v>
      </c>
      <c r="B4143" s="13"/>
      <c r="C4143" s="16"/>
      <c r="D4143" s="12"/>
      <c r="E4143" s="12"/>
      <c r="F4143" s="12"/>
      <c r="G4143" s="12"/>
      <c r="H4143" s="12"/>
    </row>
    <row r="4144" spans="1:8">
      <c r="A4144" s="12" t="s">
        <v>12534</v>
      </c>
      <c r="B4144" s="13">
        <v>100</v>
      </c>
      <c r="C4144" s="16" t="s">
        <v>5331</v>
      </c>
      <c r="D4144" s="12">
        <v>850</v>
      </c>
      <c r="E4144" s="12" t="s">
        <v>5332</v>
      </c>
      <c r="F4144" s="12" t="s">
        <v>5328</v>
      </c>
      <c r="G4144" s="12" t="s">
        <v>12537</v>
      </c>
      <c r="H4144" s="12">
        <v>148651</v>
      </c>
    </row>
    <row r="4145" spans="1:8">
      <c r="A4145" s="12" t="s">
        <v>12538</v>
      </c>
      <c r="B4145" s="13">
        <v>427.88</v>
      </c>
      <c r="C4145" s="16" t="s">
        <v>5331</v>
      </c>
      <c r="D4145" s="12">
        <v>715</v>
      </c>
      <c r="E4145" s="12" t="s">
        <v>5332</v>
      </c>
      <c r="F4145" s="12" t="s">
        <v>5328</v>
      </c>
      <c r="G4145" s="12" t="s">
        <v>12539</v>
      </c>
      <c r="H4145" s="12">
        <v>191105</v>
      </c>
    </row>
    <row r="4146" spans="1:8">
      <c r="A4146" s="12" t="s">
        <v>12540</v>
      </c>
      <c r="B4146" s="13">
        <v>200</v>
      </c>
      <c r="C4146" s="16" t="s">
        <v>5331</v>
      </c>
      <c r="D4146" s="12">
        <v>645.75</v>
      </c>
      <c r="E4146" s="12" t="s">
        <v>5332</v>
      </c>
      <c r="F4146" s="12" t="s">
        <v>5328</v>
      </c>
      <c r="G4146" s="12" t="s">
        <v>12541</v>
      </c>
      <c r="H4146" s="12">
        <v>222516</v>
      </c>
    </row>
    <row r="4147" spans="1:8">
      <c r="A4147" s="12" t="s">
        <v>12540</v>
      </c>
      <c r="B4147" s="13">
        <v>200</v>
      </c>
      <c r="C4147" s="16" t="s">
        <v>5331</v>
      </c>
      <c r="D4147" s="12">
        <v>615</v>
      </c>
      <c r="E4147" s="12" t="s">
        <v>5332</v>
      </c>
      <c r="F4147" s="12" t="s">
        <v>5328</v>
      </c>
      <c r="G4147" s="12" t="s">
        <v>12542</v>
      </c>
      <c r="H4147" s="12">
        <v>148753</v>
      </c>
    </row>
    <row r="4148" spans="1:8">
      <c r="A4148" s="12" t="s">
        <v>12543</v>
      </c>
      <c r="B4148" s="13">
        <v>100</v>
      </c>
      <c r="C4148" s="16" t="s">
        <v>5331</v>
      </c>
      <c r="D4148" s="12">
        <v>815</v>
      </c>
      <c r="E4148" s="12" t="s">
        <v>5332</v>
      </c>
      <c r="F4148" s="12" t="s">
        <v>5328</v>
      </c>
      <c r="G4148" s="12" t="s">
        <v>12544</v>
      </c>
      <c r="H4148" s="12">
        <v>222517</v>
      </c>
    </row>
    <row r="4149" spans="1:8">
      <c r="A4149" s="12" t="s">
        <v>12543</v>
      </c>
      <c r="B4149" s="13">
        <v>100</v>
      </c>
      <c r="C4149" s="16" t="s">
        <v>5331</v>
      </c>
      <c r="D4149" s="12">
        <v>815</v>
      </c>
      <c r="E4149" s="12" t="s">
        <v>5332</v>
      </c>
      <c r="F4149" s="12" t="s">
        <v>5328</v>
      </c>
      <c r="G4149" s="12" t="s">
        <v>12545</v>
      </c>
      <c r="H4149" s="12">
        <v>148754</v>
      </c>
    </row>
    <row r="4150" spans="1:8">
      <c r="A4150" s="12" t="s">
        <v>12546</v>
      </c>
      <c r="B4150" s="13">
        <v>100</v>
      </c>
      <c r="C4150" s="16" t="s">
        <v>5331</v>
      </c>
      <c r="D4150" s="12">
        <v>960.75</v>
      </c>
      <c r="E4150" s="12" t="s">
        <v>5332</v>
      </c>
      <c r="F4150" s="12" t="s">
        <v>5328</v>
      </c>
      <c r="G4150" s="12" t="s">
        <v>12547</v>
      </c>
      <c r="H4150" s="12">
        <v>222518</v>
      </c>
    </row>
    <row r="4151" spans="1:8">
      <c r="A4151" s="12" t="s">
        <v>12546</v>
      </c>
      <c r="B4151" s="13">
        <v>100</v>
      </c>
      <c r="C4151" s="16" t="s">
        <v>5331</v>
      </c>
      <c r="D4151" s="12">
        <v>915</v>
      </c>
      <c r="E4151" s="12" t="s">
        <v>5332</v>
      </c>
      <c r="F4151" s="12" t="s">
        <v>5328</v>
      </c>
      <c r="G4151" s="12" t="s">
        <v>12548</v>
      </c>
      <c r="H4151" s="12">
        <v>148843</v>
      </c>
    </row>
    <row r="4152" spans="1:8">
      <c r="A4152" s="12" t="s">
        <v>12549</v>
      </c>
      <c r="B4152" s="13">
        <v>100</v>
      </c>
      <c r="C4152" s="16" t="s">
        <v>5331</v>
      </c>
      <c r="D4152" s="12">
        <v>720</v>
      </c>
      <c r="E4152" s="12" t="s">
        <v>5332</v>
      </c>
      <c r="F4152" s="12" t="s">
        <v>5328</v>
      </c>
      <c r="G4152" s="12" t="s">
        <v>12550</v>
      </c>
      <c r="H4152" s="12">
        <v>222519</v>
      </c>
    </row>
    <row r="4153" spans="1:8">
      <c r="A4153" s="12" t="s">
        <v>12549</v>
      </c>
      <c r="B4153" s="13">
        <v>100</v>
      </c>
      <c r="C4153" s="16" t="s">
        <v>5331</v>
      </c>
      <c r="D4153" s="12">
        <v>720</v>
      </c>
      <c r="E4153" s="12" t="s">
        <v>5332</v>
      </c>
      <c r="F4153" s="12" t="s">
        <v>5328</v>
      </c>
      <c r="G4153" s="12" t="s">
        <v>12551</v>
      </c>
      <c r="H4153" s="12">
        <v>148755</v>
      </c>
    </row>
    <row r="4154" spans="1:8">
      <c r="A4154" s="12" t="s">
        <v>12552</v>
      </c>
      <c r="B4154" s="13">
        <v>100</v>
      </c>
      <c r="C4154" s="16" t="s">
        <v>5331</v>
      </c>
      <c r="D4154" s="12">
        <v>720</v>
      </c>
      <c r="E4154" s="12" t="s">
        <v>5332</v>
      </c>
      <c r="F4154" s="12" t="s">
        <v>5328</v>
      </c>
      <c r="G4154" s="12" t="s">
        <v>12553</v>
      </c>
      <c r="H4154" s="12">
        <v>222409</v>
      </c>
    </row>
    <row r="4155" spans="1:8">
      <c r="A4155" s="12" t="s">
        <v>12552</v>
      </c>
      <c r="B4155" s="13">
        <v>100</v>
      </c>
      <c r="C4155" s="16" t="s">
        <v>5331</v>
      </c>
      <c r="D4155" s="12">
        <v>720</v>
      </c>
      <c r="E4155" s="12" t="s">
        <v>5332</v>
      </c>
      <c r="F4155" s="12" t="s">
        <v>5328</v>
      </c>
      <c r="G4155" s="12" t="s">
        <v>12554</v>
      </c>
      <c r="H4155" s="12">
        <v>148655</v>
      </c>
    </row>
    <row r="4156" spans="1:8">
      <c r="A4156" s="12" t="s">
        <v>12555</v>
      </c>
      <c r="B4156" s="13">
        <v>0</v>
      </c>
      <c r="C4156" s="16" t="s">
        <v>5331</v>
      </c>
      <c r="D4156" s="12">
        <v>615</v>
      </c>
      <c r="E4156" s="12" t="s">
        <v>5332</v>
      </c>
      <c r="F4156" s="12" t="s">
        <v>5328</v>
      </c>
      <c r="G4156" s="12" t="s">
        <v>12556</v>
      </c>
      <c r="H4156" s="12">
        <v>222417</v>
      </c>
    </row>
    <row r="4157" spans="1:8">
      <c r="A4157" s="12" t="s">
        <v>12555</v>
      </c>
      <c r="B4157" s="13">
        <v>100</v>
      </c>
      <c r="C4157" s="16" t="s">
        <v>5331</v>
      </c>
      <c r="D4157" s="12">
        <v>615</v>
      </c>
      <c r="E4157" s="12" t="s">
        <v>5332</v>
      </c>
      <c r="F4157" s="12" t="s">
        <v>5328</v>
      </c>
      <c r="G4157" s="12" t="s">
        <v>12557</v>
      </c>
      <c r="H4157" s="12">
        <v>153988</v>
      </c>
    </row>
    <row r="4158" spans="1:8">
      <c r="A4158" s="12" t="s">
        <v>12558</v>
      </c>
      <c r="B4158" s="13">
        <v>0</v>
      </c>
      <c r="C4158" s="16" t="s">
        <v>5331</v>
      </c>
      <c r="D4158" s="12">
        <v>815</v>
      </c>
      <c r="E4158" s="12" t="s">
        <v>5332</v>
      </c>
      <c r="F4158" s="12" t="s">
        <v>5328</v>
      </c>
      <c r="G4158" s="12" t="s">
        <v>12559</v>
      </c>
      <c r="H4158" s="12">
        <v>222616</v>
      </c>
    </row>
    <row r="4159" spans="1:8">
      <c r="A4159" s="12" t="s">
        <v>12558</v>
      </c>
      <c r="B4159" s="13">
        <v>100</v>
      </c>
      <c r="C4159" s="16" t="s">
        <v>5331</v>
      </c>
      <c r="D4159" s="12">
        <v>815</v>
      </c>
      <c r="E4159" s="12" t="s">
        <v>5332</v>
      </c>
      <c r="F4159" s="12" t="s">
        <v>5328</v>
      </c>
      <c r="G4159" s="12" t="s">
        <v>12560</v>
      </c>
      <c r="H4159" s="12">
        <v>153990</v>
      </c>
    </row>
    <row r="4160" spans="1:8">
      <c r="A4160" s="12" t="s">
        <v>12561</v>
      </c>
      <c r="B4160" s="13">
        <v>100</v>
      </c>
      <c r="C4160" s="16" t="s">
        <v>5331</v>
      </c>
      <c r="D4160" s="12">
        <v>850</v>
      </c>
      <c r="E4160" s="12" t="s">
        <v>5332</v>
      </c>
      <c r="F4160" s="12" t="s">
        <v>5328</v>
      </c>
      <c r="G4160" s="12" t="s">
        <v>12562</v>
      </c>
      <c r="H4160" s="12">
        <v>148644</v>
      </c>
    </row>
    <row r="4161" spans="1:8">
      <c r="A4161" s="12" t="s">
        <v>12563</v>
      </c>
      <c r="B4161" s="13">
        <v>0</v>
      </c>
      <c r="C4161" s="16" t="s">
        <v>5331</v>
      </c>
      <c r="D4161" s="12">
        <v>975</v>
      </c>
      <c r="E4161" s="12" t="s">
        <v>5332</v>
      </c>
      <c r="F4161" s="12" t="s">
        <v>5328</v>
      </c>
      <c r="G4161" s="12" t="s">
        <v>12564</v>
      </c>
      <c r="H4161" s="12">
        <v>222408</v>
      </c>
    </row>
    <row r="4162" spans="1:8">
      <c r="A4162" s="12" t="s">
        <v>12565</v>
      </c>
      <c r="B4162" s="13"/>
      <c r="C4162" s="16"/>
      <c r="D4162" s="12"/>
      <c r="E4162" s="12"/>
      <c r="F4162" s="12"/>
      <c r="G4162" s="12"/>
      <c r="H4162" s="12"/>
    </row>
    <row r="4163" spans="1:8">
      <c r="A4163" s="12" t="s">
        <v>12563</v>
      </c>
      <c r="B4163" s="13">
        <v>200</v>
      </c>
      <c r="C4163" s="16" t="s">
        <v>5331</v>
      </c>
      <c r="D4163" s="12">
        <v>975</v>
      </c>
      <c r="E4163" s="12" t="s">
        <v>5332</v>
      </c>
      <c r="F4163" s="12" t="s">
        <v>5328</v>
      </c>
      <c r="G4163" s="12" t="s">
        <v>12566</v>
      </c>
      <c r="H4163" s="12">
        <v>148645</v>
      </c>
    </row>
    <row r="4164" spans="1:8">
      <c r="A4164" s="12" t="s">
        <v>12567</v>
      </c>
      <c r="B4164" s="13">
        <v>0</v>
      </c>
      <c r="C4164" s="16" t="s">
        <v>5331</v>
      </c>
      <c r="D4164" s="12">
        <v>850</v>
      </c>
      <c r="E4164" s="12" t="s">
        <v>5332</v>
      </c>
      <c r="F4164" s="12" t="s">
        <v>5328</v>
      </c>
      <c r="G4164" s="12" t="s">
        <v>12568</v>
      </c>
      <c r="H4164" s="12">
        <v>222513</v>
      </c>
    </row>
    <row r="4165" spans="1:8">
      <c r="A4165" s="12" t="s">
        <v>12567</v>
      </c>
      <c r="B4165" s="13">
        <v>100</v>
      </c>
      <c r="C4165" s="16" t="s">
        <v>5331</v>
      </c>
      <c r="D4165" s="12">
        <v>850</v>
      </c>
      <c r="E4165" s="12" t="s">
        <v>5332</v>
      </c>
      <c r="F4165" s="12" t="s">
        <v>5328</v>
      </c>
      <c r="G4165" s="12" t="s">
        <v>12569</v>
      </c>
      <c r="H4165" s="12">
        <v>148646</v>
      </c>
    </row>
    <row r="4166" spans="1:8">
      <c r="A4166" s="12" t="s">
        <v>12570</v>
      </c>
      <c r="B4166" s="13">
        <v>0</v>
      </c>
      <c r="C4166" s="16" t="s">
        <v>5331</v>
      </c>
      <c r="D4166" s="12">
        <v>850</v>
      </c>
      <c r="E4166" s="12" t="s">
        <v>5332</v>
      </c>
      <c r="F4166" s="12" t="s">
        <v>5328</v>
      </c>
      <c r="G4166" s="12" t="s">
        <v>12571</v>
      </c>
      <c r="H4166" s="12">
        <v>222514</v>
      </c>
    </row>
    <row r="4167" spans="1:8">
      <c r="A4167" s="12" t="s">
        <v>12570</v>
      </c>
      <c r="B4167" s="13">
        <v>100</v>
      </c>
      <c r="C4167" s="16" t="s">
        <v>5331</v>
      </c>
      <c r="D4167" s="12">
        <v>850</v>
      </c>
      <c r="E4167" s="12" t="s">
        <v>5332</v>
      </c>
      <c r="F4167" s="12" t="s">
        <v>5328</v>
      </c>
      <c r="G4167" s="12" t="s">
        <v>12572</v>
      </c>
      <c r="H4167" s="12">
        <v>148647</v>
      </c>
    </row>
    <row r="4168" spans="1:8">
      <c r="A4168" s="12" t="s">
        <v>12573</v>
      </c>
      <c r="B4168" s="13">
        <v>0</v>
      </c>
      <c r="C4168" s="16" t="s">
        <v>5331</v>
      </c>
      <c r="D4168" s="12">
        <v>2500</v>
      </c>
      <c r="E4168" s="12" t="s">
        <v>5332</v>
      </c>
      <c r="F4168" s="12" t="s">
        <v>5328</v>
      </c>
      <c r="G4168" s="12" t="s">
        <v>12574</v>
      </c>
      <c r="H4168" s="12">
        <v>222623</v>
      </c>
    </row>
    <row r="4169" spans="1:8">
      <c r="A4169" s="12" t="s">
        <v>12575</v>
      </c>
      <c r="B4169" s="13"/>
      <c r="C4169" s="16"/>
      <c r="D4169" s="12"/>
      <c r="E4169" s="12"/>
      <c r="F4169" s="12"/>
      <c r="G4169" s="12"/>
      <c r="H4169" s="12"/>
    </row>
    <row r="4170" spans="1:8">
      <c r="A4170" s="12" t="s">
        <v>12576</v>
      </c>
      <c r="B4170" s="13">
        <v>0</v>
      </c>
      <c r="C4170" s="16" t="s">
        <v>5331</v>
      </c>
      <c r="D4170" s="12">
        <v>2500</v>
      </c>
      <c r="E4170" s="12" t="s">
        <v>5332</v>
      </c>
      <c r="F4170" s="12" t="s">
        <v>5328</v>
      </c>
      <c r="G4170" s="12" t="s">
        <v>12577</v>
      </c>
      <c r="H4170" s="12">
        <v>164326</v>
      </c>
    </row>
    <row r="4171" spans="1:8">
      <c r="A4171" s="12" t="s">
        <v>12578</v>
      </c>
      <c r="B4171" s="13">
        <v>0</v>
      </c>
      <c r="C4171" s="16" t="s">
        <v>5331</v>
      </c>
      <c r="D4171" s="12">
        <v>895</v>
      </c>
      <c r="E4171" s="12" t="s">
        <v>5332</v>
      </c>
      <c r="F4171" s="12" t="s">
        <v>5328</v>
      </c>
      <c r="G4171" s="12" t="s">
        <v>12579</v>
      </c>
      <c r="H4171" s="12">
        <v>235892</v>
      </c>
    </row>
    <row r="4172" spans="1:8">
      <c r="A4172" s="12" t="s">
        <v>12580</v>
      </c>
      <c r="B4172" s="13">
        <v>0</v>
      </c>
      <c r="C4172" s="16" t="s">
        <v>5331</v>
      </c>
      <c r="D4172" s="12">
        <v>345</v>
      </c>
      <c r="E4172" s="12" t="s">
        <v>5332</v>
      </c>
      <c r="F4172" s="12" t="s">
        <v>5328</v>
      </c>
      <c r="G4172" s="12" t="s">
        <v>12581</v>
      </c>
      <c r="H4172" s="12">
        <v>153995</v>
      </c>
    </row>
    <row r="4173" spans="1:8">
      <c r="A4173" s="12" t="s">
        <v>12582</v>
      </c>
      <c r="B4173" s="13"/>
      <c r="C4173" s="16"/>
      <c r="D4173" s="12"/>
      <c r="E4173" s="12"/>
      <c r="F4173" s="12"/>
      <c r="G4173" s="12"/>
      <c r="H4173" s="12"/>
    </row>
    <row r="4174" spans="1:8">
      <c r="A4174" s="12" t="s">
        <v>12583</v>
      </c>
      <c r="B4174" s="13"/>
      <c r="C4174" s="16"/>
      <c r="D4174" s="12"/>
      <c r="E4174" s="12"/>
      <c r="F4174" s="12"/>
      <c r="G4174" s="12"/>
      <c r="H4174" s="12"/>
    </row>
    <row r="4175" spans="1:8">
      <c r="A4175" s="12" t="s">
        <v>12584</v>
      </c>
      <c r="B4175" s="13">
        <v>0</v>
      </c>
      <c r="C4175" s="16" t="s">
        <v>5331</v>
      </c>
      <c r="D4175" s="12">
        <v>345</v>
      </c>
      <c r="E4175" s="12" t="s">
        <v>5332</v>
      </c>
      <c r="F4175" s="12" t="s">
        <v>5328</v>
      </c>
      <c r="G4175" s="12" t="s">
        <v>12585</v>
      </c>
      <c r="H4175" s="12">
        <v>222617</v>
      </c>
    </row>
    <row r="4176" spans="1:8">
      <c r="A4176" s="12" t="s">
        <v>12586</v>
      </c>
      <c r="B4176" s="13"/>
      <c r="C4176" s="16"/>
      <c r="D4176" s="12"/>
      <c r="E4176" s="12"/>
      <c r="F4176" s="12"/>
      <c r="G4176" s="12"/>
      <c r="H4176" s="12"/>
    </row>
    <row r="4177" spans="1:8">
      <c r="A4177" s="12" t="s">
        <v>12584</v>
      </c>
      <c r="B4177" s="13">
        <v>100</v>
      </c>
      <c r="C4177" s="16" t="s">
        <v>5331</v>
      </c>
      <c r="D4177" s="12">
        <v>345</v>
      </c>
      <c r="E4177" s="12" t="s">
        <v>5332</v>
      </c>
      <c r="F4177" s="12" t="s">
        <v>5328</v>
      </c>
      <c r="G4177" s="12" t="s">
        <v>12587</v>
      </c>
      <c r="H4177" s="12">
        <v>154084</v>
      </c>
    </row>
    <row r="4178" spans="1:8">
      <c r="A4178" s="12" t="s">
        <v>12588</v>
      </c>
      <c r="B4178" s="13">
        <v>0</v>
      </c>
      <c r="C4178" s="16" t="s">
        <v>5331</v>
      </c>
      <c r="D4178" s="12">
        <v>475</v>
      </c>
      <c r="E4178" s="12" t="s">
        <v>5332</v>
      </c>
      <c r="F4178" s="12" t="s">
        <v>5328</v>
      </c>
      <c r="G4178" s="12" t="s">
        <v>12589</v>
      </c>
      <c r="H4178" s="12">
        <v>222418</v>
      </c>
    </row>
    <row r="4179" spans="1:8">
      <c r="A4179" s="12" t="s">
        <v>12590</v>
      </c>
      <c r="B4179" s="13"/>
      <c r="C4179" s="16"/>
      <c r="D4179" s="12"/>
      <c r="E4179" s="12"/>
      <c r="F4179" s="12"/>
      <c r="G4179" s="12"/>
      <c r="H4179" s="12"/>
    </row>
    <row r="4180" spans="1:8">
      <c r="A4180" s="12" t="s">
        <v>12588</v>
      </c>
      <c r="B4180" s="13">
        <v>200</v>
      </c>
      <c r="C4180" s="16" t="s">
        <v>5331</v>
      </c>
      <c r="D4180" s="12">
        <v>475</v>
      </c>
      <c r="E4180" s="12" t="s">
        <v>5332</v>
      </c>
      <c r="F4180" s="12" t="s">
        <v>5328</v>
      </c>
      <c r="G4180" s="12" t="s">
        <v>12591</v>
      </c>
      <c r="H4180" s="12">
        <v>154085</v>
      </c>
    </row>
    <row r="4181" spans="1:8">
      <c r="A4181" s="12" t="s">
        <v>12592</v>
      </c>
      <c r="B4181" s="13">
        <v>0</v>
      </c>
      <c r="C4181" s="16" t="s">
        <v>5331</v>
      </c>
      <c r="D4181" s="12">
        <v>345</v>
      </c>
      <c r="E4181" s="12" t="s">
        <v>5332</v>
      </c>
      <c r="F4181" s="12" t="s">
        <v>5328</v>
      </c>
      <c r="G4181" s="12" t="s">
        <v>12593</v>
      </c>
      <c r="H4181" s="12">
        <v>222419</v>
      </c>
    </row>
    <row r="4182" spans="1:8">
      <c r="A4182" s="12" t="s">
        <v>12594</v>
      </c>
      <c r="B4182" s="13"/>
      <c r="C4182" s="16"/>
      <c r="D4182" s="12"/>
      <c r="E4182" s="12"/>
      <c r="F4182" s="12"/>
      <c r="G4182" s="12"/>
      <c r="H4182" s="12"/>
    </row>
    <row r="4183" spans="1:8">
      <c r="A4183" s="12" t="s">
        <v>12595</v>
      </c>
      <c r="B4183" s="13"/>
      <c r="C4183" s="16"/>
      <c r="D4183" s="12"/>
      <c r="E4183" s="12"/>
      <c r="F4183" s="12"/>
      <c r="G4183" s="12"/>
      <c r="H4183" s="12"/>
    </row>
    <row r="4184" spans="1:8">
      <c r="A4184" s="12" t="s">
        <v>12592</v>
      </c>
      <c r="B4184" s="13">
        <v>100</v>
      </c>
      <c r="C4184" s="16" t="s">
        <v>5331</v>
      </c>
      <c r="D4184" s="12">
        <v>345</v>
      </c>
      <c r="E4184" s="12" t="s">
        <v>5332</v>
      </c>
      <c r="F4184" s="12" t="s">
        <v>5328</v>
      </c>
      <c r="G4184" s="12" t="s">
        <v>12596</v>
      </c>
      <c r="H4184" s="12">
        <v>153996</v>
      </c>
    </row>
    <row r="4185" spans="1:8">
      <c r="A4185" s="12" t="s">
        <v>12597</v>
      </c>
      <c r="B4185" s="13">
        <v>0</v>
      </c>
      <c r="C4185" s="16" t="s">
        <v>5331</v>
      </c>
      <c r="D4185" s="12">
        <v>915</v>
      </c>
      <c r="E4185" s="12" t="s">
        <v>5332</v>
      </c>
      <c r="F4185" s="12" t="s">
        <v>5328</v>
      </c>
      <c r="G4185" s="12" t="s">
        <v>12598</v>
      </c>
      <c r="H4185" s="12">
        <v>222522</v>
      </c>
    </row>
    <row r="4186" spans="1:8">
      <c r="A4186" s="12" t="s">
        <v>12597</v>
      </c>
      <c r="B4186" s="13">
        <v>0</v>
      </c>
      <c r="C4186" s="16" t="s">
        <v>5331</v>
      </c>
      <c r="D4186" s="12">
        <v>915</v>
      </c>
      <c r="E4186" s="12" t="s">
        <v>5332</v>
      </c>
      <c r="F4186" s="12" t="s">
        <v>5328</v>
      </c>
      <c r="G4186" s="12" t="s">
        <v>12599</v>
      </c>
      <c r="H4186" s="12">
        <v>153997</v>
      </c>
    </row>
    <row r="4187" spans="1:8">
      <c r="A4187" s="12" t="s">
        <v>12600</v>
      </c>
      <c r="B4187" s="13">
        <v>0</v>
      </c>
      <c r="C4187" s="16" t="s">
        <v>5331</v>
      </c>
      <c r="D4187" s="12">
        <v>865</v>
      </c>
      <c r="E4187" s="12" t="s">
        <v>5332</v>
      </c>
      <c r="F4187" s="12" t="s">
        <v>5328</v>
      </c>
      <c r="G4187" s="12" t="s">
        <v>12601</v>
      </c>
      <c r="H4187" s="12">
        <v>222524</v>
      </c>
    </row>
    <row r="4188" spans="1:8">
      <c r="A4188" s="12" t="s">
        <v>12600</v>
      </c>
      <c r="B4188" s="13">
        <v>200</v>
      </c>
      <c r="C4188" s="16" t="s">
        <v>5331</v>
      </c>
      <c r="D4188" s="12">
        <v>865</v>
      </c>
      <c r="E4188" s="12" t="s">
        <v>5332</v>
      </c>
      <c r="F4188" s="12" t="s">
        <v>5328</v>
      </c>
      <c r="G4188" s="12" t="s">
        <v>12602</v>
      </c>
      <c r="H4188" s="12">
        <v>153998</v>
      </c>
    </row>
    <row r="4189" spans="1:8">
      <c r="A4189" s="12" t="s">
        <v>12603</v>
      </c>
      <c r="B4189" s="13">
        <v>0</v>
      </c>
      <c r="C4189" s="16" t="s">
        <v>5331</v>
      </c>
      <c r="D4189" s="12">
        <v>865</v>
      </c>
      <c r="E4189" s="12" t="s">
        <v>5332</v>
      </c>
      <c r="F4189" s="12" t="s">
        <v>5328</v>
      </c>
      <c r="G4189" s="12" t="s">
        <v>12604</v>
      </c>
      <c r="H4189" s="12">
        <v>222421</v>
      </c>
    </row>
    <row r="4190" spans="1:8">
      <c r="A4190" s="12" t="s">
        <v>12605</v>
      </c>
      <c r="B4190" s="13"/>
      <c r="C4190" s="16"/>
      <c r="D4190" s="12"/>
      <c r="E4190" s="12"/>
      <c r="F4190" s="12"/>
      <c r="G4190" s="12"/>
      <c r="H4190" s="12"/>
    </row>
    <row r="4191" spans="1:8">
      <c r="A4191" s="12" t="s">
        <v>12606</v>
      </c>
      <c r="B4191" s="13">
        <v>200</v>
      </c>
      <c r="C4191" s="16" t="s">
        <v>5331</v>
      </c>
      <c r="D4191" s="12">
        <v>865</v>
      </c>
      <c r="E4191" s="12" t="s">
        <v>5332</v>
      </c>
      <c r="F4191" s="12" t="s">
        <v>5328</v>
      </c>
      <c r="G4191" s="12" t="s">
        <v>12607</v>
      </c>
      <c r="H4191" s="12">
        <v>164026</v>
      </c>
    </row>
    <row r="4192" spans="1:8">
      <c r="A4192" s="12" t="s">
        <v>12608</v>
      </c>
      <c r="B4192" s="13">
        <v>0</v>
      </c>
      <c r="C4192" s="16" t="s">
        <v>5331</v>
      </c>
      <c r="D4192" s="12">
        <v>865</v>
      </c>
      <c r="E4192" s="12" t="s">
        <v>5332</v>
      </c>
      <c r="F4192" s="12" t="s">
        <v>5328</v>
      </c>
      <c r="G4192" s="12" t="s">
        <v>12609</v>
      </c>
      <c r="H4192" s="12">
        <v>222528</v>
      </c>
    </row>
    <row r="4193" spans="1:8">
      <c r="A4193" s="12" t="s">
        <v>12610</v>
      </c>
      <c r="B4193" s="13"/>
      <c r="C4193" s="16"/>
      <c r="D4193" s="12"/>
      <c r="E4193" s="12"/>
      <c r="F4193" s="12"/>
      <c r="G4193" s="12"/>
      <c r="H4193" s="12"/>
    </row>
    <row r="4194" spans="1:8">
      <c r="A4194" s="12" t="s">
        <v>12611</v>
      </c>
      <c r="B4194" s="13">
        <v>200</v>
      </c>
      <c r="C4194" s="16" t="s">
        <v>5331</v>
      </c>
      <c r="D4194" s="12">
        <v>865</v>
      </c>
      <c r="E4194" s="12" t="s">
        <v>5332</v>
      </c>
      <c r="F4194" s="12" t="s">
        <v>5328</v>
      </c>
      <c r="G4194" s="12" t="s">
        <v>12612</v>
      </c>
      <c r="H4194" s="12">
        <v>164126</v>
      </c>
    </row>
    <row r="4195" spans="1:8">
      <c r="A4195" s="12" t="s">
        <v>12613</v>
      </c>
      <c r="B4195" s="13">
        <v>0</v>
      </c>
      <c r="C4195" s="16" t="s">
        <v>5331</v>
      </c>
      <c r="D4195" s="12">
        <v>810</v>
      </c>
      <c r="E4195" s="12" t="s">
        <v>5332</v>
      </c>
      <c r="F4195" s="12" t="s">
        <v>5328</v>
      </c>
      <c r="G4195" s="12" t="s">
        <v>12614</v>
      </c>
      <c r="H4195" s="12">
        <v>222422</v>
      </c>
    </row>
    <row r="4196" spans="1:8">
      <c r="A4196" s="12" t="s">
        <v>12615</v>
      </c>
      <c r="B4196" s="13"/>
      <c r="C4196" s="16"/>
      <c r="D4196" s="12"/>
      <c r="E4196" s="12"/>
      <c r="F4196" s="12"/>
      <c r="G4196" s="12"/>
      <c r="H4196" s="12"/>
    </row>
    <row r="4197" spans="1:8">
      <c r="A4197" s="12" t="s">
        <v>12616</v>
      </c>
      <c r="B4197" s="13">
        <v>100</v>
      </c>
      <c r="C4197" s="16" t="s">
        <v>5331</v>
      </c>
      <c r="D4197" s="12">
        <v>810</v>
      </c>
      <c r="E4197" s="12" t="s">
        <v>5332</v>
      </c>
      <c r="F4197" s="12" t="s">
        <v>5328</v>
      </c>
      <c r="G4197" s="12" t="s">
        <v>12617</v>
      </c>
      <c r="H4197" s="12">
        <v>164127</v>
      </c>
    </row>
    <row r="4198" spans="1:8">
      <c r="A4198" s="12" t="s">
        <v>12618</v>
      </c>
      <c r="B4198" s="13">
        <v>0</v>
      </c>
      <c r="C4198" s="16" t="s">
        <v>5331</v>
      </c>
      <c r="D4198" s="12">
        <v>960</v>
      </c>
      <c r="E4198" s="12" t="s">
        <v>5332</v>
      </c>
      <c r="F4198" s="12" t="s">
        <v>5328</v>
      </c>
      <c r="G4198" s="12" t="s">
        <v>12619</v>
      </c>
      <c r="H4198" s="12">
        <v>222423</v>
      </c>
    </row>
    <row r="4199" spans="1:8">
      <c r="A4199" s="12" t="s">
        <v>12620</v>
      </c>
      <c r="B4199" s="13">
        <v>100</v>
      </c>
      <c r="C4199" s="16" t="s">
        <v>5331</v>
      </c>
      <c r="D4199" s="12">
        <v>960</v>
      </c>
      <c r="E4199" s="12" t="s">
        <v>5332</v>
      </c>
      <c r="F4199" s="12" t="s">
        <v>5328</v>
      </c>
      <c r="G4199" s="12" t="s">
        <v>12621</v>
      </c>
      <c r="H4199" s="12">
        <v>164128</v>
      </c>
    </row>
    <row r="4200" spans="1:8">
      <c r="A4200" s="12" t="s">
        <v>12622</v>
      </c>
      <c r="B4200" s="13">
        <v>0</v>
      </c>
      <c r="C4200" s="16" t="s">
        <v>5331</v>
      </c>
      <c r="D4200" s="12">
        <v>325</v>
      </c>
      <c r="E4200" s="12" t="s">
        <v>5332</v>
      </c>
      <c r="F4200" s="12" t="s">
        <v>5328</v>
      </c>
      <c r="G4200" s="12" t="s">
        <v>12623</v>
      </c>
      <c r="H4200" s="12">
        <v>222621</v>
      </c>
    </row>
    <row r="4201" spans="1:8">
      <c r="A4201" s="12" t="s">
        <v>12624</v>
      </c>
      <c r="B4201" s="13"/>
      <c r="C4201" s="16"/>
      <c r="D4201" s="12"/>
      <c r="E4201" s="12"/>
      <c r="F4201" s="12"/>
      <c r="G4201" s="12"/>
      <c r="H4201" s="12"/>
    </row>
    <row r="4202" spans="1:8">
      <c r="A4202" s="12" t="s">
        <v>12622</v>
      </c>
      <c r="B4202" s="13">
        <v>100</v>
      </c>
      <c r="C4202" s="16" t="s">
        <v>5331</v>
      </c>
      <c r="D4202" s="12">
        <v>325</v>
      </c>
      <c r="E4202" s="12" t="s">
        <v>5332</v>
      </c>
      <c r="F4202" s="12" t="s">
        <v>5328</v>
      </c>
      <c r="G4202" s="12" t="s">
        <v>12625</v>
      </c>
      <c r="H4202" s="12">
        <v>160020</v>
      </c>
    </row>
    <row r="4203" spans="1:8">
      <c r="A4203" s="12" t="s">
        <v>12626</v>
      </c>
      <c r="B4203" s="13">
        <v>0</v>
      </c>
      <c r="C4203" s="16" t="s">
        <v>5331</v>
      </c>
      <c r="D4203" s="12">
        <v>300</v>
      </c>
      <c r="E4203" s="12" t="s">
        <v>5332</v>
      </c>
      <c r="F4203" s="12" t="s">
        <v>5328</v>
      </c>
      <c r="G4203" s="12" t="s">
        <v>12627</v>
      </c>
      <c r="H4203" s="12">
        <v>222622</v>
      </c>
    </row>
    <row r="4204" spans="1:8">
      <c r="A4204" s="12" t="s">
        <v>12628</v>
      </c>
      <c r="B4204" s="13"/>
      <c r="C4204" s="16"/>
      <c r="D4204" s="12"/>
      <c r="E4204" s="12"/>
      <c r="F4204" s="12"/>
      <c r="G4204" s="12"/>
      <c r="H4204" s="12"/>
    </row>
    <row r="4205" spans="1:8">
      <c r="A4205" s="12" t="s">
        <v>12629</v>
      </c>
      <c r="B4205" s="13">
        <v>100</v>
      </c>
      <c r="C4205" s="16" t="s">
        <v>5331</v>
      </c>
      <c r="D4205" s="12">
        <v>300</v>
      </c>
      <c r="E4205" s="12" t="s">
        <v>5332</v>
      </c>
      <c r="F4205" s="12" t="s">
        <v>5328</v>
      </c>
      <c r="G4205" s="12" t="s">
        <v>12630</v>
      </c>
      <c r="H4205" s="12">
        <v>164226</v>
      </c>
    </row>
    <row r="4206" spans="1:8">
      <c r="A4206" s="12" t="s">
        <v>12631</v>
      </c>
      <c r="B4206" s="13">
        <v>200</v>
      </c>
      <c r="C4206" s="16" t="s">
        <v>5331</v>
      </c>
      <c r="D4206" s="12">
        <v>615</v>
      </c>
      <c r="E4206" s="12" t="s">
        <v>5332</v>
      </c>
      <c r="F4206" s="12" t="s">
        <v>5328</v>
      </c>
      <c r="G4206" s="12" t="s">
        <v>12632</v>
      </c>
      <c r="H4206" s="12">
        <v>167713</v>
      </c>
    </row>
    <row r="4207" spans="1:8">
      <c r="A4207" s="12" t="s">
        <v>12633</v>
      </c>
      <c r="B4207" s="13">
        <v>212.61</v>
      </c>
      <c r="C4207" s="16" t="s">
        <v>5331</v>
      </c>
      <c r="D4207" s="12">
        <v>615</v>
      </c>
      <c r="E4207" s="12" t="s">
        <v>5332</v>
      </c>
      <c r="F4207" s="12" t="s">
        <v>5328</v>
      </c>
      <c r="G4207" s="12" t="s">
        <v>12634</v>
      </c>
      <c r="H4207" s="12">
        <v>167714</v>
      </c>
    </row>
    <row r="4208" spans="1:8">
      <c r="A4208" s="12" t="s">
        <v>12635</v>
      </c>
      <c r="B4208" s="13">
        <v>0</v>
      </c>
      <c r="C4208" s="16" t="s">
        <v>5331</v>
      </c>
      <c r="D4208" s="12">
        <v>615</v>
      </c>
      <c r="E4208" s="12" t="s">
        <v>5332</v>
      </c>
      <c r="F4208" s="12" t="s">
        <v>5328</v>
      </c>
      <c r="G4208" s="12" t="s">
        <v>12636</v>
      </c>
      <c r="H4208" s="12">
        <v>167813</v>
      </c>
    </row>
    <row r="4209" spans="1:8">
      <c r="A4209" s="12" t="s">
        <v>12637</v>
      </c>
      <c r="B4209" s="14">
        <v>2078.25</v>
      </c>
      <c r="C4209" s="16" t="s">
        <v>10879</v>
      </c>
      <c r="D4209" s="12">
        <v>6000</v>
      </c>
      <c r="E4209" s="12" t="s">
        <v>5332</v>
      </c>
      <c r="F4209" s="12" t="s">
        <v>5328</v>
      </c>
      <c r="G4209" s="12" t="s">
        <v>12638</v>
      </c>
      <c r="H4209" s="12">
        <v>192892</v>
      </c>
    </row>
    <row r="4210" spans="1:8">
      <c r="A4210" s="12" t="s">
        <v>12639</v>
      </c>
      <c r="B4210" s="14"/>
      <c r="C4210" s="16"/>
      <c r="D4210" s="12"/>
      <c r="E4210" s="12"/>
      <c r="F4210" s="12"/>
      <c r="G4210" s="12"/>
      <c r="H4210" s="12"/>
    </row>
    <row r="4211" spans="1:8">
      <c r="A4211" s="12" t="s">
        <v>12640</v>
      </c>
      <c r="B4211" s="14">
        <v>2078.25</v>
      </c>
      <c r="C4211" s="16" t="s">
        <v>10879</v>
      </c>
      <c r="D4211" s="12">
        <v>6000</v>
      </c>
      <c r="E4211" s="12" t="s">
        <v>5332</v>
      </c>
      <c r="F4211" s="12" t="s">
        <v>5328</v>
      </c>
      <c r="G4211" s="12" t="s">
        <v>12641</v>
      </c>
      <c r="H4211" s="12">
        <v>192903</v>
      </c>
    </row>
    <row r="4212" spans="1:8">
      <c r="A4212" s="12" t="s">
        <v>12642</v>
      </c>
      <c r="B4212" s="13">
        <v>439.55</v>
      </c>
      <c r="C4212" s="16" t="s">
        <v>10879</v>
      </c>
      <c r="D4212" s="12">
        <v>5000</v>
      </c>
      <c r="E4212" s="12" t="s">
        <v>5332</v>
      </c>
      <c r="F4212" s="12" t="s">
        <v>5328</v>
      </c>
      <c r="G4212" s="12" t="s">
        <v>12643</v>
      </c>
      <c r="H4212" s="12">
        <v>192893</v>
      </c>
    </row>
    <row r="4213" spans="1:8">
      <c r="A4213" s="12" t="s">
        <v>12644</v>
      </c>
      <c r="B4213" s="13">
        <v>59.91</v>
      </c>
      <c r="C4213" s="16" t="s">
        <v>10879</v>
      </c>
      <c r="D4213" s="12">
        <v>5000</v>
      </c>
      <c r="E4213" s="12" t="s">
        <v>5332</v>
      </c>
      <c r="F4213" s="12" t="s">
        <v>5328</v>
      </c>
      <c r="G4213" s="12" t="s">
        <v>12645</v>
      </c>
      <c r="H4213" s="12">
        <v>192894</v>
      </c>
    </row>
    <row r="4214" spans="1:8">
      <c r="A4214" s="12" t="s">
        <v>12646</v>
      </c>
      <c r="B4214" s="13"/>
      <c r="C4214" s="16"/>
      <c r="D4214" s="12"/>
      <c r="E4214" s="12"/>
      <c r="F4214" s="12"/>
      <c r="G4214" s="12"/>
      <c r="H4214" s="12"/>
    </row>
    <row r="4215" spans="1:8">
      <c r="A4215" s="12" t="s">
        <v>12647</v>
      </c>
      <c r="B4215" s="13">
        <v>442.55</v>
      </c>
      <c r="C4215" s="16" t="s">
        <v>10879</v>
      </c>
      <c r="D4215" s="12">
        <v>5000</v>
      </c>
      <c r="E4215" s="12" t="s">
        <v>5332</v>
      </c>
      <c r="F4215" s="12" t="s">
        <v>5328</v>
      </c>
      <c r="G4215" s="12" t="s">
        <v>12648</v>
      </c>
      <c r="H4215" s="12">
        <v>192895</v>
      </c>
    </row>
    <row r="4216" spans="1:8">
      <c r="A4216" s="12" t="s">
        <v>12649</v>
      </c>
      <c r="B4216" s="13">
        <v>442.55</v>
      </c>
      <c r="C4216" s="16" t="s">
        <v>10879</v>
      </c>
      <c r="D4216" s="12">
        <v>5000</v>
      </c>
      <c r="E4216" s="12" t="s">
        <v>5332</v>
      </c>
      <c r="F4216" s="12" t="s">
        <v>5328</v>
      </c>
      <c r="G4216" s="12" t="s">
        <v>12650</v>
      </c>
      <c r="H4216" s="12">
        <v>192896</v>
      </c>
    </row>
    <row r="4217" spans="1:8">
      <c r="A4217" s="12" t="s">
        <v>12651</v>
      </c>
      <c r="B4217" s="13">
        <v>705.58</v>
      </c>
      <c r="C4217" s="16" t="s">
        <v>5331</v>
      </c>
      <c r="D4217" s="12">
        <v>980</v>
      </c>
      <c r="E4217" s="12" t="s">
        <v>5332</v>
      </c>
      <c r="F4217" s="12" t="s">
        <v>5328</v>
      </c>
      <c r="G4217" s="12" t="s">
        <v>12652</v>
      </c>
      <c r="H4217" s="12">
        <v>192897</v>
      </c>
    </row>
    <row r="4218" spans="1:8">
      <c r="A4218" s="12" t="s">
        <v>12653</v>
      </c>
      <c r="B4218" s="13">
        <v>617.57000000000005</v>
      </c>
      <c r="C4218" s="16" t="s">
        <v>5331</v>
      </c>
      <c r="D4218" s="12">
        <v>7761.6</v>
      </c>
      <c r="E4218" s="12" t="s">
        <v>5332</v>
      </c>
      <c r="F4218" s="12" t="s">
        <v>5328</v>
      </c>
      <c r="G4218" s="12" t="s">
        <v>12654</v>
      </c>
      <c r="H4218" s="12">
        <v>191371</v>
      </c>
    </row>
    <row r="4219" spans="1:8">
      <c r="A4219" s="12" t="s">
        <v>12655</v>
      </c>
      <c r="B4219" s="13"/>
      <c r="C4219" s="16"/>
      <c r="D4219" s="12"/>
      <c r="E4219" s="12"/>
      <c r="F4219" s="12"/>
      <c r="G4219" s="12"/>
      <c r="H4219" s="12"/>
    </row>
    <row r="4220" spans="1:8">
      <c r="A4220" s="12" t="s">
        <v>12656</v>
      </c>
      <c r="B4220" s="14">
        <v>2538</v>
      </c>
      <c r="C4220" s="16" t="s">
        <v>5331</v>
      </c>
      <c r="D4220" s="12">
        <v>7761.6</v>
      </c>
      <c r="E4220" s="12" t="s">
        <v>5332</v>
      </c>
      <c r="F4220" s="12" t="s">
        <v>5328</v>
      </c>
      <c r="G4220" s="12" t="s">
        <v>12657</v>
      </c>
      <c r="H4220" s="12">
        <v>191372</v>
      </c>
    </row>
    <row r="4221" spans="1:8">
      <c r="A4221" s="12" t="s">
        <v>12658</v>
      </c>
      <c r="B4221" s="13">
        <v>11.95</v>
      </c>
      <c r="C4221" s="16" t="s">
        <v>5331</v>
      </c>
      <c r="D4221" s="12">
        <v>70.12</v>
      </c>
      <c r="E4221" s="12" t="s">
        <v>5332</v>
      </c>
      <c r="F4221" s="12" t="s">
        <v>5328</v>
      </c>
      <c r="G4221" s="12" t="s">
        <v>12659</v>
      </c>
      <c r="H4221" s="12">
        <v>191496</v>
      </c>
    </row>
    <row r="4222" spans="1:8">
      <c r="A4222" s="12" t="s">
        <v>12660</v>
      </c>
      <c r="B4222" s="13">
        <v>142.15</v>
      </c>
      <c r="C4222" s="16" t="s">
        <v>5331</v>
      </c>
      <c r="D4222" s="12">
        <v>357</v>
      </c>
      <c r="E4222" s="12" t="s">
        <v>5332</v>
      </c>
      <c r="F4222" s="12" t="s">
        <v>5328</v>
      </c>
      <c r="G4222" s="12" t="s">
        <v>12661</v>
      </c>
      <c r="H4222" s="12">
        <v>191373</v>
      </c>
    </row>
    <row r="4223" spans="1:8">
      <c r="A4223" s="12" t="s">
        <v>12662</v>
      </c>
      <c r="B4223" s="13">
        <v>0</v>
      </c>
      <c r="C4223" s="16" t="s">
        <v>5331</v>
      </c>
      <c r="D4223" s="12">
        <v>665.7</v>
      </c>
      <c r="E4223" s="12" t="s">
        <v>5332</v>
      </c>
      <c r="F4223" s="12" t="s">
        <v>5328</v>
      </c>
      <c r="G4223" s="12" t="s">
        <v>12663</v>
      </c>
      <c r="H4223" s="12">
        <v>192898</v>
      </c>
    </row>
    <row r="4224" spans="1:8">
      <c r="A4224" s="12" t="s">
        <v>12664</v>
      </c>
      <c r="B4224" s="13"/>
      <c r="C4224" s="16"/>
      <c r="D4224" s="12"/>
      <c r="E4224" s="12"/>
      <c r="F4224" s="12"/>
      <c r="G4224" s="12"/>
      <c r="H4224" s="12"/>
    </row>
    <row r="4225" spans="1:8">
      <c r="A4225" s="12" t="s">
        <v>12665</v>
      </c>
      <c r="B4225" s="13">
        <v>0</v>
      </c>
      <c r="C4225" s="16" t="s">
        <v>5331</v>
      </c>
      <c r="D4225" s="12">
        <v>665.66</v>
      </c>
      <c r="E4225" s="12" t="s">
        <v>5332</v>
      </c>
      <c r="F4225" s="12" t="s">
        <v>5328</v>
      </c>
      <c r="G4225" s="12" t="s">
        <v>12666</v>
      </c>
      <c r="H4225" s="12">
        <v>192899</v>
      </c>
    </row>
    <row r="4226" spans="1:8">
      <c r="A4226" s="12" t="s">
        <v>12667</v>
      </c>
      <c r="B4226" s="13"/>
      <c r="C4226" s="16"/>
      <c r="D4226" s="12"/>
      <c r="E4226" s="12"/>
      <c r="F4226" s="12"/>
      <c r="G4226" s="12"/>
      <c r="H4226" s="12"/>
    </row>
    <row r="4227" spans="1:8">
      <c r="A4227" s="12" t="s">
        <v>12668</v>
      </c>
      <c r="B4227" s="13">
        <v>0</v>
      </c>
      <c r="C4227" s="16" t="s">
        <v>5331</v>
      </c>
      <c r="D4227" s="12">
        <v>667.75</v>
      </c>
      <c r="E4227" s="12" t="s">
        <v>5332</v>
      </c>
      <c r="F4227" s="12" t="s">
        <v>5328</v>
      </c>
      <c r="G4227" s="12" t="s">
        <v>12669</v>
      </c>
      <c r="H4227" s="12">
        <v>192900</v>
      </c>
    </row>
    <row r="4228" spans="1:8">
      <c r="A4228" s="12" t="s">
        <v>12670</v>
      </c>
      <c r="B4228" s="13"/>
      <c r="C4228" s="16"/>
      <c r="D4228" s="12"/>
      <c r="E4228" s="12"/>
      <c r="F4228" s="12"/>
      <c r="G4228" s="12"/>
      <c r="H4228" s="12"/>
    </row>
    <row r="4229" spans="1:8">
      <c r="A4229" s="12" t="s">
        <v>12671</v>
      </c>
      <c r="B4229" s="13">
        <v>64.75</v>
      </c>
      <c r="C4229" s="16" t="s">
        <v>5331</v>
      </c>
      <c r="D4229" s="12">
        <v>718</v>
      </c>
      <c r="E4229" s="12" t="s">
        <v>5332</v>
      </c>
      <c r="F4229" s="12" t="s">
        <v>5328</v>
      </c>
      <c r="G4229" s="12" t="s">
        <v>12672</v>
      </c>
      <c r="H4229" s="12">
        <v>192901</v>
      </c>
    </row>
    <row r="4230" spans="1:8">
      <c r="A4230" s="12" t="s">
        <v>12673</v>
      </c>
      <c r="B4230" s="13">
        <v>0</v>
      </c>
      <c r="C4230" s="16" t="s">
        <v>5331</v>
      </c>
      <c r="D4230" s="12">
        <v>2237.83</v>
      </c>
      <c r="E4230" s="12" t="s">
        <v>5332</v>
      </c>
      <c r="F4230" s="12" t="s">
        <v>5328</v>
      </c>
      <c r="G4230" s="12" t="s">
        <v>12674</v>
      </c>
      <c r="H4230" s="12">
        <v>192902</v>
      </c>
    </row>
    <row r="4231" spans="1:8">
      <c r="A4231" s="12" t="s">
        <v>12675</v>
      </c>
      <c r="B4231" s="13"/>
      <c r="C4231" s="16"/>
      <c r="D4231" s="12"/>
      <c r="E4231" s="12"/>
      <c r="F4231" s="12"/>
      <c r="G4231" s="12"/>
      <c r="H4231" s="12"/>
    </row>
    <row r="4232" spans="1:8">
      <c r="A4232" s="12" t="s">
        <v>12676</v>
      </c>
      <c r="B4232" s="13">
        <v>531.51</v>
      </c>
      <c r="C4232" s="16" t="s">
        <v>5331</v>
      </c>
      <c r="D4232" s="12">
        <v>2750</v>
      </c>
      <c r="E4232" s="12" t="s">
        <v>5332</v>
      </c>
      <c r="F4232" s="12" t="s">
        <v>5328</v>
      </c>
      <c r="G4232" s="12" t="s">
        <v>12677</v>
      </c>
      <c r="H4232" s="12">
        <v>198768</v>
      </c>
    </row>
    <row r="4233" spans="1:8">
      <c r="A4233" s="12" t="s">
        <v>12678</v>
      </c>
      <c r="B4233" s="13">
        <v>78.2</v>
      </c>
      <c r="C4233" s="16" t="s">
        <v>5331</v>
      </c>
      <c r="D4233" s="12">
        <v>978</v>
      </c>
      <c r="E4233" s="12" t="s">
        <v>5332</v>
      </c>
      <c r="F4233" s="12" t="s">
        <v>5328</v>
      </c>
      <c r="G4233" s="12" t="s">
        <v>12679</v>
      </c>
      <c r="H4233" s="12">
        <v>266929</v>
      </c>
    </row>
    <row r="4234" spans="1:8">
      <c r="A4234" s="12" t="s">
        <v>12680</v>
      </c>
      <c r="B4234" s="13">
        <v>75.510000000000005</v>
      </c>
      <c r="C4234" s="16" t="s">
        <v>5331</v>
      </c>
      <c r="D4234" s="12">
        <v>978</v>
      </c>
      <c r="E4234" s="12" t="s">
        <v>5332</v>
      </c>
      <c r="F4234" s="12" t="s">
        <v>5328</v>
      </c>
      <c r="G4234" s="12" t="s">
        <v>12681</v>
      </c>
      <c r="H4234" s="12">
        <v>267029</v>
      </c>
    </row>
    <row r="4235" spans="1:8">
      <c r="A4235" s="12" t="s">
        <v>11478</v>
      </c>
      <c r="B4235" s="13">
        <v>38.57</v>
      </c>
      <c r="C4235" s="16" t="s">
        <v>5331</v>
      </c>
      <c r="D4235" s="12">
        <v>545</v>
      </c>
      <c r="E4235" s="12" t="s">
        <v>5332</v>
      </c>
      <c r="F4235" s="12" t="s">
        <v>5328</v>
      </c>
      <c r="G4235" s="12" t="s">
        <v>12682</v>
      </c>
      <c r="H4235" s="12">
        <v>227310</v>
      </c>
    </row>
    <row r="4236" spans="1:8">
      <c r="A4236" s="12" t="s">
        <v>11392</v>
      </c>
      <c r="B4236" s="13">
        <v>0</v>
      </c>
      <c r="C4236" s="16" t="s">
        <v>5331</v>
      </c>
      <c r="D4236" s="12">
        <v>520</v>
      </c>
      <c r="E4236" s="12" t="s">
        <v>5332</v>
      </c>
      <c r="F4236" s="12" t="s">
        <v>5328</v>
      </c>
      <c r="G4236" s="12" t="s">
        <v>12683</v>
      </c>
      <c r="H4236" s="12">
        <v>230804</v>
      </c>
    </row>
    <row r="4237" spans="1:8">
      <c r="A4237" s="12" t="s">
        <v>12684</v>
      </c>
      <c r="B4237" s="13">
        <v>27.31</v>
      </c>
      <c r="C4237" s="16" t="s">
        <v>5331</v>
      </c>
      <c r="D4237" s="12">
        <v>895</v>
      </c>
      <c r="E4237" s="12" t="s">
        <v>5332</v>
      </c>
      <c r="F4237" s="12" t="s">
        <v>5328</v>
      </c>
      <c r="G4237" s="12" t="s">
        <v>12685</v>
      </c>
      <c r="H4237" s="12">
        <v>235792</v>
      </c>
    </row>
    <row r="4238" spans="1:8">
      <c r="A4238" s="12" t="s">
        <v>11470</v>
      </c>
      <c r="B4238" s="13">
        <v>38.78</v>
      </c>
      <c r="C4238" s="16" t="s">
        <v>5331</v>
      </c>
      <c r="D4238" s="12">
        <v>895</v>
      </c>
      <c r="E4238" s="12" t="s">
        <v>5332</v>
      </c>
      <c r="F4238" s="12" t="s">
        <v>5328</v>
      </c>
      <c r="G4238" s="12" t="s">
        <v>12686</v>
      </c>
      <c r="H4238" s="12">
        <v>235692</v>
      </c>
    </row>
    <row r="4239" spans="1:8">
      <c r="A4239" s="12" t="s">
        <v>11458</v>
      </c>
      <c r="B4239" s="13">
        <v>172.37</v>
      </c>
      <c r="C4239" s="16" t="s">
        <v>5331</v>
      </c>
      <c r="D4239" s="12">
        <v>520</v>
      </c>
      <c r="E4239" s="12" t="s">
        <v>5332</v>
      </c>
      <c r="F4239" s="12" t="s">
        <v>5328</v>
      </c>
      <c r="G4239" s="12" t="s">
        <v>12687</v>
      </c>
      <c r="H4239" s="12">
        <v>227311</v>
      </c>
    </row>
    <row r="4240" spans="1:8">
      <c r="A4240" s="12" t="s">
        <v>11466</v>
      </c>
      <c r="B4240" s="13">
        <v>326.33</v>
      </c>
      <c r="C4240" s="16" t="s">
        <v>5331</v>
      </c>
      <c r="D4240" s="12">
        <v>499</v>
      </c>
      <c r="E4240" s="12" t="s">
        <v>5332</v>
      </c>
      <c r="F4240" s="12" t="s">
        <v>5328</v>
      </c>
      <c r="G4240" s="12" t="s">
        <v>12688</v>
      </c>
      <c r="H4240" s="12">
        <v>230904</v>
      </c>
    </row>
    <row r="4241" spans="1:8">
      <c r="A4241" s="12" t="s">
        <v>11482</v>
      </c>
      <c r="B4241" s="13">
        <v>77.430000000000007</v>
      </c>
      <c r="C4241" s="16" t="s">
        <v>5331</v>
      </c>
      <c r="D4241" s="12">
        <v>467.25</v>
      </c>
      <c r="E4241" s="12" t="s">
        <v>5332</v>
      </c>
      <c r="F4241" s="12" t="s">
        <v>5328</v>
      </c>
      <c r="G4241" s="12" t="s">
        <v>12689</v>
      </c>
      <c r="H4241" s="12">
        <v>230905</v>
      </c>
    </row>
    <row r="4242" spans="1:8">
      <c r="A4242" s="12" t="s">
        <v>12690</v>
      </c>
      <c r="B4242" s="13">
        <v>0</v>
      </c>
      <c r="C4242" s="16" t="s">
        <v>5331</v>
      </c>
      <c r="D4242" s="12">
        <v>507.15</v>
      </c>
      <c r="E4242" s="12" t="s">
        <v>5332</v>
      </c>
      <c r="F4242" s="12" t="s">
        <v>5328</v>
      </c>
      <c r="G4242" s="12" t="s">
        <v>12691</v>
      </c>
      <c r="H4242" s="12">
        <v>230906</v>
      </c>
    </row>
    <row r="4243" spans="1:8">
      <c r="A4243" s="12" t="s">
        <v>12692</v>
      </c>
      <c r="B4243" s="13">
        <v>40.32</v>
      </c>
      <c r="C4243" s="16" t="s">
        <v>5331</v>
      </c>
      <c r="D4243" s="12">
        <v>467.25</v>
      </c>
      <c r="E4243" s="12" t="s">
        <v>5332</v>
      </c>
      <c r="F4243" s="12" t="s">
        <v>5328</v>
      </c>
      <c r="G4243" s="12" t="s">
        <v>12693</v>
      </c>
      <c r="H4243" s="12">
        <v>230805</v>
      </c>
    </row>
    <row r="4244" spans="1:8">
      <c r="A4244" s="12" t="s">
        <v>12694</v>
      </c>
      <c r="B4244" s="13">
        <v>0</v>
      </c>
      <c r="C4244" s="16" t="s">
        <v>5331</v>
      </c>
      <c r="D4244" s="12">
        <v>462</v>
      </c>
      <c r="E4244" s="12" t="s">
        <v>5332</v>
      </c>
      <c r="F4244" s="12" t="s">
        <v>5328</v>
      </c>
      <c r="G4244" s="12" t="s">
        <v>12695</v>
      </c>
      <c r="H4244" s="12">
        <v>230806</v>
      </c>
    </row>
    <row r="4245" spans="1:8">
      <c r="A4245" s="12" t="s">
        <v>11474</v>
      </c>
      <c r="B4245" s="13">
        <v>106</v>
      </c>
      <c r="C4245" s="16" t="s">
        <v>5331</v>
      </c>
      <c r="D4245" s="12">
        <v>499</v>
      </c>
      <c r="E4245" s="12" t="s">
        <v>5332</v>
      </c>
      <c r="F4245" s="12" t="s">
        <v>5328</v>
      </c>
      <c r="G4245" s="12" t="s">
        <v>12696</v>
      </c>
      <c r="H4245" s="12">
        <v>231004</v>
      </c>
    </row>
    <row r="4246" spans="1:8">
      <c r="A4246" s="12" t="s">
        <v>11518</v>
      </c>
      <c r="B4246" s="13">
        <v>111.54</v>
      </c>
      <c r="C4246" s="16" t="s">
        <v>5331</v>
      </c>
      <c r="D4246" s="12">
        <v>507.15</v>
      </c>
      <c r="E4246" s="12" t="s">
        <v>5332</v>
      </c>
      <c r="F4246" s="12" t="s">
        <v>5328</v>
      </c>
      <c r="G4246" s="12" t="s">
        <v>12697</v>
      </c>
      <c r="H4246" s="12">
        <v>231005</v>
      </c>
    </row>
    <row r="4247" spans="1:8">
      <c r="A4247" s="12" t="s">
        <v>12698</v>
      </c>
      <c r="B4247" s="13">
        <v>17.59</v>
      </c>
      <c r="C4247" s="16" t="s">
        <v>5331</v>
      </c>
      <c r="D4247" s="12">
        <v>431</v>
      </c>
      <c r="E4247" s="12" t="s">
        <v>5332</v>
      </c>
      <c r="F4247" s="12" t="s">
        <v>5328</v>
      </c>
      <c r="G4247" s="12" t="s">
        <v>12699</v>
      </c>
      <c r="H4247" s="12">
        <v>231006</v>
      </c>
    </row>
    <row r="4248" spans="1:8">
      <c r="A4248" s="12" t="s">
        <v>12700</v>
      </c>
      <c r="B4248" s="13">
        <v>132.9</v>
      </c>
      <c r="C4248" s="16" t="s">
        <v>5331</v>
      </c>
      <c r="D4248" s="12">
        <v>412</v>
      </c>
      <c r="E4248" s="12" t="s">
        <v>5332</v>
      </c>
      <c r="F4248" s="12" t="s">
        <v>5328</v>
      </c>
      <c r="G4248" s="12" t="s">
        <v>12701</v>
      </c>
      <c r="H4248" s="12">
        <v>230907</v>
      </c>
    </row>
    <row r="4249" spans="1:8">
      <c r="A4249" s="12" t="s">
        <v>12702</v>
      </c>
      <c r="B4249" s="13">
        <v>6.31</v>
      </c>
      <c r="C4249" s="16" t="s">
        <v>5331</v>
      </c>
      <c r="D4249" s="12">
        <v>467.25</v>
      </c>
      <c r="E4249" s="12" t="s">
        <v>5332</v>
      </c>
      <c r="F4249" s="12" t="s">
        <v>5328</v>
      </c>
      <c r="G4249" s="12" t="s">
        <v>12703</v>
      </c>
      <c r="H4249" s="12">
        <v>230807</v>
      </c>
    </row>
    <row r="4250" spans="1:8">
      <c r="A4250" s="12" t="s">
        <v>12704</v>
      </c>
      <c r="B4250" s="13">
        <v>68.89</v>
      </c>
      <c r="C4250" s="16" t="s">
        <v>5331</v>
      </c>
      <c r="D4250" s="12">
        <v>467.25</v>
      </c>
      <c r="E4250" s="12" t="s">
        <v>5332</v>
      </c>
      <c r="F4250" s="12" t="s">
        <v>5328</v>
      </c>
      <c r="G4250" s="12" t="s">
        <v>12705</v>
      </c>
      <c r="H4250" s="12">
        <v>230908</v>
      </c>
    </row>
    <row r="4251" spans="1:8">
      <c r="A4251" s="12" t="s">
        <v>12706</v>
      </c>
      <c r="B4251" s="13">
        <v>28.28</v>
      </c>
      <c r="C4251" s="16" t="s">
        <v>5331</v>
      </c>
      <c r="D4251" s="12">
        <v>394</v>
      </c>
      <c r="E4251" s="12" t="s">
        <v>5332</v>
      </c>
      <c r="F4251" s="12" t="s">
        <v>5328</v>
      </c>
      <c r="G4251" s="12" t="s">
        <v>12707</v>
      </c>
      <c r="H4251" s="12">
        <v>230808</v>
      </c>
    </row>
    <row r="4252" spans="1:8">
      <c r="A4252" s="12" t="s">
        <v>12708</v>
      </c>
      <c r="B4252" s="13">
        <v>67.16</v>
      </c>
      <c r="C4252" s="16" t="s">
        <v>5331</v>
      </c>
      <c r="D4252" s="12">
        <v>467.25</v>
      </c>
      <c r="E4252" s="12" t="s">
        <v>5332</v>
      </c>
      <c r="F4252" s="12" t="s">
        <v>5328</v>
      </c>
      <c r="G4252" s="12" t="s">
        <v>12709</v>
      </c>
      <c r="H4252" s="12">
        <v>230809</v>
      </c>
    </row>
    <row r="4253" spans="1:8">
      <c r="A4253" s="12" t="s">
        <v>12710</v>
      </c>
      <c r="B4253" s="13">
        <v>26.86</v>
      </c>
      <c r="C4253" s="16" t="s">
        <v>5331</v>
      </c>
      <c r="D4253" s="12">
        <v>431</v>
      </c>
      <c r="E4253" s="12" t="s">
        <v>5332</v>
      </c>
      <c r="F4253" s="12" t="s">
        <v>5328</v>
      </c>
      <c r="G4253" s="12" t="s">
        <v>12711</v>
      </c>
      <c r="H4253" s="12">
        <v>231007</v>
      </c>
    </row>
    <row r="4254" spans="1:8">
      <c r="A4254" s="12" t="s">
        <v>12712</v>
      </c>
      <c r="B4254" s="13">
        <v>0</v>
      </c>
      <c r="C4254" s="16" t="s">
        <v>5331</v>
      </c>
      <c r="D4254" s="12">
        <v>491</v>
      </c>
      <c r="E4254" s="12" t="s">
        <v>5332</v>
      </c>
      <c r="F4254" s="12" t="s">
        <v>5328</v>
      </c>
      <c r="G4254" s="12" t="s">
        <v>12713</v>
      </c>
      <c r="H4254" s="12">
        <v>234260</v>
      </c>
    </row>
    <row r="4255" spans="1:8">
      <c r="A4255" s="12" t="s">
        <v>12714</v>
      </c>
      <c r="B4255" s="13">
        <v>0</v>
      </c>
      <c r="C4255" s="16" t="s">
        <v>5331</v>
      </c>
      <c r="D4255" s="12">
        <v>467.25</v>
      </c>
      <c r="E4255" s="12" t="s">
        <v>5332</v>
      </c>
      <c r="F4255" s="12" t="s">
        <v>5328</v>
      </c>
      <c r="G4255" s="12" t="s">
        <v>12715</v>
      </c>
      <c r="H4255" s="12">
        <v>235279</v>
      </c>
    </row>
    <row r="4256" spans="1:8">
      <c r="A4256" s="12" t="s">
        <v>12716</v>
      </c>
      <c r="B4256" s="13">
        <v>0</v>
      </c>
      <c r="C4256" s="16" t="s">
        <v>5331</v>
      </c>
      <c r="D4256" s="12">
        <v>467.25</v>
      </c>
      <c r="E4256" s="12" t="s">
        <v>5332</v>
      </c>
      <c r="F4256" s="12" t="s">
        <v>5328</v>
      </c>
      <c r="G4256" s="12" t="s">
        <v>12717</v>
      </c>
      <c r="H4256" s="12">
        <v>235379</v>
      </c>
    </row>
    <row r="4257" spans="1:8">
      <c r="A4257" s="12" t="s">
        <v>12718</v>
      </c>
      <c r="B4257" s="13"/>
      <c r="C4257" s="16"/>
      <c r="D4257" s="12"/>
      <c r="E4257" s="12"/>
      <c r="F4257" s="12"/>
      <c r="G4257" s="12"/>
      <c r="H4257" s="12"/>
    </row>
    <row r="4258" spans="1:8">
      <c r="A4258" s="12" t="s">
        <v>11442</v>
      </c>
      <c r="B4258" s="13">
        <v>20.440000000000001</v>
      </c>
      <c r="C4258" s="16" t="s">
        <v>5331</v>
      </c>
      <c r="D4258" s="12">
        <v>895</v>
      </c>
      <c r="E4258" s="12" t="s">
        <v>5332</v>
      </c>
      <c r="F4258" s="12" t="s">
        <v>5328</v>
      </c>
      <c r="G4258" s="12" t="s">
        <v>12719</v>
      </c>
      <c r="H4258" s="12">
        <v>235381</v>
      </c>
    </row>
    <row r="4259" spans="1:8">
      <c r="A4259" s="12" t="s">
        <v>11486</v>
      </c>
      <c r="B4259" s="13">
        <v>0</v>
      </c>
      <c r="C4259" s="16" t="s">
        <v>5331</v>
      </c>
      <c r="D4259" s="12">
        <v>895</v>
      </c>
      <c r="E4259" s="12" t="s">
        <v>5332</v>
      </c>
      <c r="F4259" s="12" t="s">
        <v>5328</v>
      </c>
      <c r="G4259" s="12" t="s">
        <v>12720</v>
      </c>
      <c r="H4259" s="12">
        <v>235579</v>
      </c>
    </row>
    <row r="4260" spans="1:8">
      <c r="A4260" s="12" t="s">
        <v>12721</v>
      </c>
      <c r="B4260" s="13">
        <v>0</v>
      </c>
      <c r="C4260" s="16" t="s">
        <v>5331</v>
      </c>
      <c r="D4260" s="12">
        <v>895</v>
      </c>
      <c r="E4260" s="12" t="s">
        <v>5332</v>
      </c>
      <c r="F4260" s="12" t="s">
        <v>5328</v>
      </c>
      <c r="G4260" s="12" t="s">
        <v>12722</v>
      </c>
      <c r="H4260" s="12">
        <v>235382</v>
      </c>
    </row>
    <row r="4261" spans="1:8">
      <c r="A4261" s="12" t="s">
        <v>11450</v>
      </c>
      <c r="B4261" s="13">
        <v>141.26</v>
      </c>
      <c r="C4261" s="16" t="s">
        <v>5331</v>
      </c>
      <c r="D4261" s="12">
        <v>895</v>
      </c>
      <c r="E4261" s="12" t="s">
        <v>5332</v>
      </c>
      <c r="F4261" s="12" t="s">
        <v>5328</v>
      </c>
      <c r="G4261" s="12" t="s">
        <v>12723</v>
      </c>
      <c r="H4261" s="12">
        <v>235479</v>
      </c>
    </row>
    <row r="4262" spans="1:8">
      <c r="A4262" s="12" t="s">
        <v>11454</v>
      </c>
      <c r="B4262" s="13">
        <v>48.51</v>
      </c>
      <c r="C4262" s="16" t="s">
        <v>5331</v>
      </c>
      <c r="D4262" s="12">
        <v>895</v>
      </c>
      <c r="E4262" s="12" t="s">
        <v>5332</v>
      </c>
      <c r="F4262" s="12" t="s">
        <v>5328</v>
      </c>
      <c r="G4262" s="12" t="s">
        <v>12724</v>
      </c>
      <c r="H4262" s="12">
        <v>235383</v>
      </c>
    </row>
    <row r="4263" spans="1:8">
      <c r="A4263" s="12" t="s">
        <v>12725</v>
      </c>
      <c r="B4263" s="13">
        <v>0</v>
      </c>
      <c r="C4263" s="16" t="s">
        <v>5331</v>
      </c>
      <c r="D4263" s="12">
        <v>895</v>
      </c>
      <c r="E4263" s="12" t="s">
        <v>5332</v>
      </c>
      <c r="F4263" s="12" t="s">
        <v>5328</v>
      </c>
      <c r="G4263" s="12" t="s">
        <v>12726</v>
      </c>
      <c r="H4263" s="12">
        <v>235481</v>
      </c>
    </row>
    <row r="4264" spans="1:8">
      <c r="A4264" s="12" t="s">
        <v>12727</v>
      </c>
      <c r="B4264" s="13"/>
      <c r="C4264" s="16"/>
      <c r="D4264" s="12"/>
      <c r="E4264" s="12"/>
      <c r="F4264" s="12"/>
      <c r="G4264" s="12"/>
      <c r="H4264" s="12"/>
    </row>
    <row r="4265" spans="1:8">
      <c r="A4265" s="12" t="s">
        <v>12728</v>
      </c>
      <c r="B4265" s="13">
        <v>0</v>
      </c>
      <c r="C4265" s="16" t="s">
        <v>5331</v>
      </c>
      <c r="D4265" s="12">
        <v>895</v>
      </c>
      <c r="E4265" s="12" t="s">
        <v>5332</v>
      </c>
      <c r="F4265" s="12" t="s">
        <v>5328</v>
      </c>
      <c r="G4265" s="12" t="s">
        <v>12729</v>
      </c>
      <c r="H4265" s="12">
        <v>235482</v>
      </c>
    </row>
    <row r="4266" spans="1:8">
      <c r="A4266" s="12" t="s">
        <v>11462</v>
      </c>
      <c r="B4266" s="13">
        <v>81.3</v>
      </c>
      <c r="C4266" s="16" t="s">
        <v>5331</v>
      </c>
      <c r="D4266" s="12">
        <v>895</v>
      </c>
      <c r="E4266" s="12" t="s">
        <v>5332</v>
      </c>
      <c r="F4266" s="12" t="s">
        <v>5328</v>
      </c>
      <c r="G4266" s="12" t="s">
        <v>12730</v>
      </c>
      <c r="H4266" s="12">
        <v>235483</v>
      </c>
    </row>
    <row r="4267" spans="1:8">
      <c r="A4267" s="12" t="s">
        <v>10717</v>
      </c>
      <c r="B4267" s="13">
        <v>0</v>
      </c>
      <c r="C4267" s="16" t="s">
        <v>5331</v>
      </c>
      <c r="D4267" s="12">
        <v>895</v>
      </c>
      <c r="E4267" s="12" t="s">
        <v>5332</v>
      </c>
      <c r="F4267" s="12" t="s">
        <v>5328</v>
      </c>
      <c r="G4267" s="12" t="s">
        <v>12731</v>
      </c>
      <c r="H4267" s="12">
        <v>235480</v>
      </c>
    </row>
    <row r="4268" spans="1:8">
      <c r="A4268" s="12" t="s">
        <v>12732</v>
      </c>
      <c r="B4268" s="13">
        <v>0</v>
      </c>
      <c r="C4268" s="16" t="s">
        <v>5331</v>
      </c>
      <c r="D4268" s="12">
        <v>895</v>
      </c>
      <c r="E4268" s="12" t="s">
        <v>5332</v>
      </c>
      <c r="F4268" s="12" t="s">
        <v>5328</v>
      </c>
      <c r="G4268" s="12" t="s">
        <v>12733</v>
      </c>
      <c r="H4268" s="12">
        <v>235380</v>
      </c>
    </row>
    <row r="4269" spans="1:8">
      <c r="A4269" s="12" t="s">
        <v>12734</v>
      </c>
      <c r="B4269" s="13">
        <v>0</v>
      </c>
      <c r="C4269" s="16" t="s">
        <v>5331</v>
      </c>
      <c r="D4269" s="12">
        <v>2500</v>
      </c>
      <c r="E4269" s="12" t="s">
        <v>5332</v>
      </c>
      <c r="F4269" s="12" t="s">
        <v>5328</v>
      </c>
      <c r="G4269" s="12" t="s">
        <v>12735</v>
      </c>
      <c r="H4269" s="12">
        <v>235893</v>
      </c>
    </row>
    <row r="4270" spans="1:8">
      <c r="A4270" s="12" t="s">
        <v>12736</v>
      </c>
      <c r="B4270" s="13">
        <v>0</v>
      </c>
      <c r="C4270" s="16" t="s">
        <v>5331</v>
      </c>
      <c r="D4270" s="12">
        <v>2500</v>
      </c>
      <c r="E4270" s="12" t="s">
        <v>5332</v>
      </c>
      <c r="F4270" s="12" t="s">
        <v>5328</v>
      </c>
      <c r="G4270" s="12" t="s">
        <v>12737</v>
      </c>
      <c r="H4270" s="12">
        <v>235693</v>
      </c>
    </row>
    <row r="4271" spans="1:8">
      <c r="A4271" s="12" t="s">
        <v>12738</v>
      </c>
      <c r="B4271" s="13">
        <v>134.9</v>
      </c>
      <c r="C4271" s="16" t="s">
        <v>5331</v>
      </c>
      <c r="D4271" s="12">
        <v>995</v>
      </c>
      <c r="E4271" s="12" t="s">
        <v>5332</v>
      </c>
      <c r="F4271" s="12" t="s">
        <v>5328</v>
      </c>
      <c r="G4271" s="12" t="s">
        <v>12739</v>
      </c>
      <c r="H4271" s="12">
        <v>260595</v>
      </c>
    </row>
    <row r="4272" spans="1:8">
      <c r="A4272" s="12" t="s">
        <v>12740</v>
      </c>
      <c r="B4272" s="13">
        <v>196.17</v>
      </c>
      <c r="C4272" s="16" t="s">
        <v>5331</v>
      </c>
      <c r="D4272" s="12">
        <v>595</v>
      </c>
      <c r="E4272" s="12" t="s">
        <v>5332</v>
      </c>
      <c r="F4272" s="12" t="s">
        <v>5328</v>
      </c>
      <c r="G4272" s="12" t="s">
        <v>12741</v>
      </c>
      <c r="H4272" s="12">
        <v>260589</v>
      </c>
    </row>
    <row r="4273" spans="1:8">
      <c r="A4273" s="12" t="s">
        <v>12742</v>
      </c>
      <c r="B4273" s="13">
        <v>77.510000000000005</v>
      </c>
      <c r="C4273" s="16" t="s">
        <v>5331</v>
      </c>
      <c r="D4273" s="12">
        <v>478</v>
      </c>
      <c r="E4273" s="12" t="s">
        <v>5332</v>
      </c>
      <c r="F4273" s="12" t="s">
        <v>5328</v>
      </c>
      <c r="G4273" s="12" t="s">
        <v>12743</v>
      </c>
      <c r="H4273" s="12">
        <v>260586</v>
      </c>
    </row>
    <row r="4274" spans="1:8">
      <c r="A4274" s="12" t="s">
        <v>12744</v>
      </c>
      <c r="B4274" s="13">
        <v>72.14</v>
      </c>
      <c r="C4274" s="16" t="s">
        <v>5331</v>
      </c>
      <c r="D4274" s="12">
        <v>478</v>
      </c>
      <c r="E4274" s="12" t="s">
        <v>5332</v>
      </c>
      <c r="F4274" s="12" t="s">
        <v>5328</v>
      </c>
      <c r="G4274" s="12" t="s">
        <v>12745</v>
      </c>
      <c r="H4274" s="12">
        <v>260686</v>
      </c>
    </row>
    <row r="4275" spans="1:8">
      <c r="A4275" s="12" t="s">
        <v>12746</v>
      </c>
      <c r="B4275" s="13">
        <v>183.14</v>
      </c>
      <c r="C4275" s="16" t="s">
        <v>5331</v>
      </c>
      <c r="D4275" s="12">
        <v>478</v>
      </c>
      <c r="E4275" s="12" t="s">
        <v>5332</v>
      </c>
      <c r="F4275" s="12" t="s">
        <v>5328</v>
      </c>
      <c r="G4275" s="12" t="s">
        <v>12747</v>
      </c>
      <c r="H4275" s="12">
        <v>260687</v>
      </c>
    </row>
    <row r="4276" spans="1:8">
      <c r="A4276" s="12" t="s">
        <v>12748</v>
      </c>
      <c r="B4276" s="13">
        <v>78.14</v>
      </c>
      <c r="C4276" s="16" t="s">
        <v>5331</v>
      </c>
      <c r="D4276" s="12">
        <v>449</v>
      </c>
      <c r="E4276" s="12" t="s">
        <v>5332</v>
      </c>
      <c r="F4276" s="12" t="s">
        <v>5328</v>
      </c>
      <c r="G4276" s="12" t="s">
        <v>12749</v>
      </c>
      <c r="H4276" s="12">
        <v>260688</v>
      </c>
    </row>
    <row r="4277" spans="1:8">
      <c r="A4277" s="12" t="s">
        <v>12750</v>
      </c>
      <c r="B4277" s="13">
        <v>42.03</v>
      </c>
      <c r="C4277" s="16" t="s">
        <v>5331</v>
      </c>
      <c r="D4277" s="12">
        <v>440</v>
      </c>
      <c r="E4277" s="12" t="s">
        <v>5332</v>
      </c>
      <c r="F4277" s="12" t="s">
        <v>5328</v>
      </c>
      <c r="G4277" s="12" t="s">
        <v>12751</v>
      </c>
      <c r="H4277" s="12">
        <v>260587</v>
      </c>
    </row>
    <row r="4278" spans="1:8">
      <c r="A4278" s="12" t="s">
        <v>12752</v>
      </c>
      <c r="B4278" s="13">
        <v>41.96</v>
      </c>
      <c r="C4278" s="16" t="s">
        <v>5331</v>
      </c>
      <c r="D4278" s="12">
        <v>440</v>
      </c>
      <c r="E4278" s="12" t="s">
        <v>5332</v>
      </c>
      <c r="F4278" s="12" t="s">
        <v>5328</v>
      </c>
      <c r="G4278" s="12" t="s">
        <v>12753</v>
      </c>
      <c r="H4278" s="12">
        <v>260689</v>
      </c>
    </row>
    <row r="4279" spans="1:8">
      <c r="A4279" s="12" t="s">
        <v>12754</v>
      </c>
      <c r="B4279" s="13">
        <v>118.41</v>
      </c>
      <c r="C4279" s="16" t="s">
        <v>5331</v>
      </c>
      <c r="D4279" s="12">
        <v>495</v>
      </c>
      <c r="E4279" s="12" t="s">
        <v>5332</v>
      </c>
      <c r="F4279" s="12" t="s">
        <v>5328</v>
      </c>
      <c r="G4279" s="12" t="s">
        <v>12755</v>
      </c>
      <c r="H4279" s="12">
        <v>260690</v>
      </c>
    </row>
    <row r="4280" spans="1:8">
      <c r="A4280" s="12" t="s">
        <v>12756</v>
      </c>
      <c r="B4280" s="13">
        <v>111.55</v>
      </c>
      <c r="C4280" s="16" t="s">
        <v>5331</v>
      </c>
      <c r="D4280" s="12">
        <v>468</v>
      </c>
      <c r="E4280" s="12" t="s">
        <v>5332</v>
      </c>
      <c r="F4280" s="12" t="s">
        <v>5328</v>
      </c>
      <c r="G4280" s="12" t="s">
        <v>12757</v>
      </c>
      <c r="H4280" s="12">
        <v>260691</v>
      </c>
    </row>
    <row r="4281" spans="1:8">
      <c r="A4281" s="12" t="s">
        <v>12758</v>
      </c>
      <c r="B4281" s="13">
        <v>67.739999999999995</v>
      </c>
      <c r="C4281" s="16" t="s">
        <v>5331</v>
      </c>
      <c r="D4281" s="12">
        <v>440</v>
      </c>
      <c r="E4281" s="12" t="s">
        <v>5332</v>
      </c>
      <c r="F4281" s="12" t="s">
        <v>5328</v>
      </c>
      <c r="G4281" s="12" t="s">
        <v>12759</v>
      </c>
      <c r="H4281" s="12">
        <v>260588</v>
      </c>
    </row>
    <row r="4282" spans="1:8">
      <c r="A4282" s="12" t="s">
        <v>12760</v>
      </c>
      <c r="B4282" s="13">
        <v>17.78</v>
      </c>
      <c r="C4282" s="16" t="s">
        <v>5331</v>
      </c>
      <c r="D4282" s="12">
        <v>451</v>
      </c>
      <c r="E4282" s="12" t="s">
        <v>5332</v>
      </c>
      <c r="F4282" s="12" t="s">
        <v>5328</v>
      </c>
      <c r="G4282" s="12" t="s">
        <v>12761</v>
      </c>
      <c r="H4282" s="12">
        <v>260590</v>
      </c>
    </row>
    <row r="4283" spans="1:8">
      <c r="A4283" s="12" t="s">
        <v>12762</v>
      </c>
      <c r="B4283" s="13">
        <v>148.87</v>
      </c>
      <c r="C4283" s="16" t="s">
        <v>5331</v>
      </c>
      <c r="D4283" s="12">
        <v>462</v>
      </c>
      <c r="E4283" s="12" t="s">
        <v>5332</v>
      </c>
      <c r="F4283" s="12" t="s">
        <v>5328</v>
      </c>
      <c r="G4283" s="12" t="s">
        <v>12763</v>
      </c>
      <c r="H4283" s="12">
        <v>260591</v>
      </c>
    </row>
    <row r="4284" spans="1:8">
      <c r="A4284" s="12" t="s">
        <v>12764</v>
      </c>
      <c r="B4284" s="13">
        <v>115.16</v>
      </c>
      <c r="C4284" s="16" t="s">
        <v>5331</v>
      </c>
      <c r="D4284" s="12">
        <v>431</v>
      </c>
      <c r="E4284" s="12" t="s">
        <v>5332</v>
      </c>
      <c r="F4284" s="12" t="s">
        <v>5328</v>
      </c>
      <c r="G4284" s="12" t="s">
        <v>12765</v>
      </c>
      <c r="H4284" s="12">
        <v>260592</v>
      </c>
    </row>
    <row r="4285" spans="1:8">
      <c r="A4285" s="12" t="s">
        <v>12766</v>
      </c>
      <c r="B4285" s="13">
        <v>111.76</v>
      </c>
      <c r="C4285" s="16" t="s">
        <v>5331</v>
      </c>
      <c r="D4285" s="12">
        <v>431</v>
      </c>
      <c r="E4285" s="12" t="s">
        <v>5332</v>
      </c>
      <c r="F4285" s="12" t="s">
        <v>5328</v>
      </c>
      <c r="G4285" s="12" t="s">
        <v>12767</v>
      </c>
      <c r="H4285" s="12">
        <v>260593</v>
      </c>
    </row>
    <row r="4286" spans="1:8">
      <c r="A4286" s="12" t="s">
        <v>12768</v>
      </c>
      <c r="B4286" s="13">
        <v>23.07</v>
      </c>
      <c r="C4286" s="16" t="s">
        <v>5331</v>
      </c>
      <c r="D4286" s="12">
        <v>499</v>
      </c>
      <c r="E4286" s="12" t="s">
        <v>5332</v>
      </c>
      <c r="F4286" s="12" t="s">
        <v>5328</v>
      </c>
      <c r="G4286" s="12" t="s">
        <v>12769</v>
      </c>
      <c r="H4286" s="12">
        <v>260594</v>
      </c>
    </row>
    <row r="4287" spans="1:8">
      <c r="A4287" s="12" t="s">
        <v>12770</v>
      </c>
      <c r="B4287" s="13">
        <v>13.3</v>
      </c>
      <c r="C4287" s="16" t="s">
        <v>5331</v>
      </c>
      <c r="D4287" s="12">
        <v>5800</v>
      </c>
      <c r="E4287" s="12" t="s">
        <v>5332</v>
      </c>
      <c r="F4287" s="12" t="s">
        <v>5328</v>
      </c>
      <c r="G4287" s="12" t="s">
        <v>12771</v>
      </c>
      <c r="H4287" s="12">
        <v>259102</v>
      </c>
    </row>
    <row r="4288" spans="1:8">
      <c r="A4288" s="12" t="s">
        <v>12772</v>
      </c>
      <c r="B4288" s="13">
        <v>0</v>
      </c>
      <c r="C4288" s="16"/>
      <c r="D4288" s="12">
        <v>2664.45</v>
      </c>
      <c r="E4288" s="12" t="s">
        <v>5332</v>
      </c>
      <c r="F4288" s="12" t="s">
        <v>5328</v>
      </c>
      <c r="G4288" s="12" t="s">
        <v>12773</v>
      </c>
      <c r="H4288" s="12">
        <v>259851</v>
      </c>
    </row>
    <row r="4289" spans="1:8">
      <c r="A4289" s="12" t="s">
        <v>12774</v>
      </c>
      <c r="B4289" s="14">
        <v>1369.13</v>
      </c>
      <c r="C4289" s="16" t="s">
        <v>5331</v>
      </c>
      <c r="D4289" s="12">
        <v>5500</v>
      </c>
      <c r="E4289" s="12" t="s">
        <v>5332</v>
      </c>
      <c r="F4289" s="12" t="s">
        <v>5328</v>
      </c>
      <c r="G4289" s="12" t="s">
        <v>12775</v>
      </c>
      <c r="H4289" s="12">
        <v>260596</v>
      </c>
    </row>
    <row r="4290" spans="1:8">
      <c r="A4290" s="12" t="s">
        <v>12776</v>
      </c>
      <c r="B4290" s="14">
        <v>1369.13</v>
      </c>
      <c r="C4290" s="16" t="s">
        <v>5331</v>
      </c>
      <c r="D4290" s="12">
        <v>5500</v>
      </c>
      <c r="E4290" s="12" t="s">
        <v>5332</v>
      </c>
      <c r="F4290" s="12" t="s">
        <v>5328</v>
      </c>
      <c r="G4290" s="12" t="s">
        <v>12777</v>
      </c>
      <c r="H4290" s="12">
        <v>260597</v>
      </c>
    </row>
    <row r="4291" spans="1:8">
      <c r="A4291" s="12" t="s">
        <v>12778</v>
      </c>
      <c r="B4291" s="13">
        <v>0.25</v>
      </c>
      <c r="C4291" s="16" t="s">
        <v>5331</v>
      </c>
      <c r="D4291" s="12">
        <v>450</v>
      </c>
      <c r="E4291" s="12" t="s">
        <v>5332</v>
      </c>
      <c r="F4291" s="12" t="s">
        <v>5328</v>
      </c>
      <c r="G4291" s="12" t="s">
        <v>12779</v>
      </c>
      <c r="H4291" s="12">
        <v>260599</v>
      </c>
    </row>
    <row r="4292" spans="1:8">
      <c r="A4292" s="12" t="s">
        <v>12780</v>
      </c>
      <c r="B4292" s="13">
        <v>42.72</v>
      </c>
      <c r="C4292" s="16" t="s">
        <v>5331</v>
      </c>
      <c r="D4292" s="12">
        <v>478</v>
      </c>
      <c r="E4292" s="12" t="s">
        <v>5332</v>
      </c>
      <c r="F4292" s="12" t="s">
        <v>5328</v>
      </c>
      <c r="G4292" s="12" t="s">
        <v>12781</v>
      </c>
      <c r="H4292" s="12">
        <v>260598</v>
      </c>
    </row>
    <row r="4293" spans="1:8">
      <c r="A4293" s="12" t="s">
        <v>12782</v>
      </c>
      <c r="B4293" s="13">
        <v>42.52</v>
      </c>
      <c r="C4293" s="16" t="s">
        <v>5331</v>
      </c>
      <c r="D4293" s="12">
        <v>478</v>
      </c>
      <c r="E4293" s="12" t="s">
        <v>5332</v>
      </c>
      <c r="F4293" s="12" t="s">
        <v>5328</v>
      </c>
      <c r="G4293" s="12" t="s">
        <v>12783</v>
      </c>
      <c r="H4293" s="12">
        <v>260600</v>
      </c>
    </row>
    <row r="4294" spans="1:8">
      <c r="A4294" s="12" t="s">
        <v>12784</v>
      </c>
      <c r="B4294" s="13">
        <v>38.119999999999997</v>
      </c>
      <c r="C4294" s="16" t="s">
        <v>5331</v>
      </c>
      <c r="D4294" s="12">
        <v>495</v>
      </c>
      <c r="E4294" s="12" t="s">
        <v>5332</v>
      </c>
      <c r="F4294" s="12" t="s">
        <v>5328</v>
      </c>
      <c r="G4294" s="12" t="s">
        <v>12785</v>
      </c>
      <c r="H4294" s="12">
        <v>260692</v>
      </c>
    </row>
    <row r="4295" spans="1:8">
      <c r="A4295" s="12" t="s">
        <v>12786</v>
      </c>
      <c r="B4295" s="13">
        <v>59.66</v>
      </c>
      <c r="C4295" s="16" t="s">
        <v>5331</v>
      </c>
      <c r="D4295" s="12">
        <v>478</v>
      </c>
      <c r="E4295" s="12" t="s">
        <v>5332</v>
      </c>
      <c r="F4295" s="12" t="s">
        <v>5328</v>
      </c>
      <c r="G4295" s="12" t="s">
        <v>12787</v>
      </c>
      <c r="H4295" s="12">
        <v>260693</v>
      </c>
    </row>
    <row r="4296" spans="1:8">
      <c r="A4296" s="12" t="s">
        <v>12788</v>
      </c>
      <c r="B4296" s="13">
        <v>1</v>
      </c>
      <c r="C4296" s="16" t="s">
        <v>5331</v>
      </c>
      <c r="D4296" s="12">
        <v>340</v>
      </c>
      <c r="E4296" s="12" t="s">
        <v>5332</v>
      </c>
      <c r="F4296" s="12" t="s">
        <v>5328</v>
      </c>
      <c r="G4296" s="12" t="s">
        <v>12789</v>
      </c>
      <c r="H4296" s="12">
        <v>260694</v>
      </c>
    </row>
    <row r="4297" spans="1:8">
      <c r="A4297" s="12" t="s">
        <v>12790</v>
      </c>
      <c r="B4297" s="13">
        <v>46.09</v>
      </c>
      <c r="C4297" s="16" t="s">
        <v>5331</v>
      </c>
      <c r="D4297" s="12">
        <v>475</v>
      </c>
      <c r="E4297" s="12" t="s">
        <v>5332</v>
      </c>
      <c r="F4297" s="12" t="s">
        <v>5328</v>
      </c>
      <c r="G4297" s="12" t="s">
        <v>12791</v>
      </c>
      <c r="H4297" s="12">
        <v>260601</v>
      </c>
    </row>
    <row r="4298" spans="1:8">
      <c r="A4298" s="12" t="s">
        <v>12792</v>
      </c>
      <c r="B4298" s="13">
        <v>561.76</v>
      </c>
      <c r="C4298" s="16" t="s">
        <v>5331</v>
      </c>
      <c r="D4298" s="12">
        <v>431</v>
      </c>
      <c r="E4298" s="12" t="s">
        <v>5332</v>
      </c>
      <c r="F4298" s="12" t="s">
        <v>5328</v>
      </c>
      <c r="G4298" s="12" t="s">
        <v>12793</v>
      </c>
      <c r="H4298" s="12">
        <v>260602</v>
      </c>
    </row>
    <row r="4299" spans="1:8">
      <c r="A4299" s="12" t="s">
        <v>12794</v>
      </c>
      <c r="B4299" s="13">
        <v>354.58</v>
      </c>
      <c r="C4299" s="16" t="s">
        <v>5331</v>
      </c>
      <c r="D4299" s="12">
        <v>462</v>
      </c>
      <c r="E4299" s="12" t="s">
        <v>5332</v>
      </c>
      <c r="F4299" s="12" t="s">
        <v>5328</v>
      </c>
      <c r="G4299" s="12" t="s">
        <v>12795</v>
      </c>
      <c r="H4299" s="12">
        <v>260603</v>
      </c>
    </row>
    <row r="4300" spans="1:8">
      <c r="A4300" s="12" t="s">
        <v>12796</v>
      </c>
      <c r="B4300" s="13">
        <v>170.87</v>
      </c>
      <c r="C4300" s="16" t="s">
        <v>5331</v>
      </c>
      <c r="D4300" s="12">
        <v>529</v>
      </c>
      <c r="E4300" s="12" t="s">
        <v>5332</v>
      </c>
      <c r="F4300" s="12" t="s">
        <v>5328</v>
      </c>
      <c r="G4300" s="12" t="s">
        <v>12797</v>
      </c>
      <c r="H4300" s="12">
        <v>260604</v>
      </c>
    </row>
    <row r="4301" spans="1:8">
      <c r="A4301" s="12" t="s">
        <v>12798</v>
      </c>
      <c r="B4301" s="13">
        <v>116.9</v>
      </c>
      <c r="C4301" s="16" t="s">
        <v>5331</v>
      </c>
      <c r="D4301" s="12">
        <v>522</v>
      </c>
      <c r="E4301" s="12" t="s">
        <v>5332</v>
      </c>
      <c r="F4301" s="12" t="s">
        <v>5328</v>
      </c>
      <c r="G4301" s="12" t="s">
        <v>12799</v>
      </c>
      <c r="H4301" s="12">
        <v>260605</v>
      </c>
    </row>
    <row r="4302" spans="1:8">
      <c r="A4302" s="12" t="s">
        <v>12800</v>
      </c>
      <c r="B4302" s="13">
        <v>63.8</v>
      </c>
      <c r="C4302" s="16" t="s">
        <v>5331</v>
      </c>
      <c r="D4302" s="12">
        <v>314</v>
      </c>
      <c r="E4302" s="12" t="s">
        <v>5332</v>
      </c>
      <c r="F4302" s="12" t="s">
        <v>5328</v>
      </c>
      <c r="G4302" s="12" t="s">
        <v>12801</v>
      </c>
      <c r="H4302" s="12">
        <v>260695</v>
      </c>
    </row>
    <row r="4303" spans="1:8">
      <c r="A4303" s="12" t="s">
        <v>12802</v>
      </c>
      <c r="B4303" s="13">
        <v>19.149999999999999</v>
      </c>
      <c r="C4303" s="16" t="s">
        <v>5331</v>
      </c>
      <c r="D4303" s="12">
        <v>394</v>
      </c>
      <c r="E4303" s="12" t="s">
        <v>5332</v>
      </c>
      <c r="F4303" s="12" t="s">
        <v>5328</v>
      </c>
      <c r="G4303" s="12" t="s">
        <v>12803</v>
      </c>
      <c r="H4303" s="12">
        <v>260696</v>
      </c>
    </row>
    <row r="4304" spans="1:8">
      <c r="A4304" s="12" t="s">
        <v>12804</v>
      </c>
      <c r="B4304" s="13">
        <v>1.49</v>
      </c>
      <c r="C4304" s="16" t="s">
        <v>5331</v>
      </c>
      <c r="D4304" s="12">
        <v>394</v>
      </c>
      <c r="E4304" s="12" t="s">
        <v>5332</v>
      </c>
      <c r="F4304" s="12" t="s">
        <v>5328</v>
      </c>
      <c r="G4304" s="12" t="s">
        <v>12805</v>
      </c>
      <c r="H4304" s="12">
        <v>260606</v>
      </c>
    </row>
    <row r="4305" spans="1:8">
      <c r="A4305" s="12" t="s">
        <v>12806</v>
      </c>
      <c r="B4305" s="13">
        <v>23</v>
      </c>
      <c r="C4305" s="16" t="s">
        <v>5331</v>
      </c>
      <c r="D4305" s="12">
        <v>520</v>
      </c>
      <c r="E4305" s="12" t="s">
        <v>5332</v>
      </c>
      <c r="F4305" s="12" t="s">
        <v>5328</v>
      </c>
      <c r="G4305" s="12" t="s">
        <v>12807</v>
      </c>
      <c r="H4305" s="12">
        <v>260697</v>
      </c>
    </row>
    <row r="4306" spans="1:8">
      <c r="A4306" s="12" t="s">
        <v>12808</v>
      </c>
      <c r="B4306" s="13">
        <v>0</v>
      </c>
      <c r="C4306" s="16" t="s">
        <v>5331</v>
      </c>
      <c r="D4306" s="12">
        <v>3200</v>
      </c>
      <c r="E4306" s="12" t="s">
        <v>5332</v>
      </c>
      <c r="F4306" s="12" t="s">
        <v>5328</v>
      </c>
      <c r="G4306" s="12" t="s">
        <v>12809</v>
      </c>
      <c r="H4306" s="12">
        <v>271169</v>
      </c>
    </row>
    <row r="4307" spans="1:8">
      <c r="A4307" s="12" t="s">
        <v>12810</v>
      </c>
      <c r="B4307" s="13">
        <v>0</v>
      </c>
      <c r="C4307" s="16" t="s">
        <v>5331</v>
      </c>
      <c r="D4307" s="12">
        <v>600</v>
      </c>
      <c r="E4307" s="12" t="s">
        <v>5332</v>
      </c>
      <c r="F4307" s="12" t="s">
        <v>5328</v>
      </c>
      <c r="G4307" s="12" t="s">
        <v>12811</v>
      </c>
      <c r="H4307" s="12">
        <v>284839</v>
      </c>
    </row>
    <row r="4308" spans="1:8">
      <c r="A4308" s="12" t="s">
        <v>12812</v>
      </c>
      <c r="B4308" s="13">
        <v>0</v>
      </c>
      <c r="C4308" s="16" t="s">
        <v>5331</v>
      </c>
      <c r="D4308" s="12">
        <v>600</v>
      </c>
      <c r="E4308" s="12" t="s">
        <v>5332</v>
      </c>
      <c r="F4308" s="12" t="s">
        <v>5328</v>
      </c>
      <c r="G4308" s="12" t="s">
        <v>12813</v>
      </c>
      <c r="H4308" s="12">
        <v>284840</v>
      </c>
    </row>
    <row r="4309" spans="1:8">
      <c r="A4309" s="12" t="s">
        <v>12814</v>
      </c>
      <c r="B4309" s="13">
        <v>0</v>
      </c>
      <c r="C4309" s="16" t="s">
        <v>5331</v>
      </c>
      <c r="D4309" s="12">
        <v>600</v>
      </c>
      <c r="E4309" s="12" t="s">
        <v>5332</v>
      </c>
      <c r="F4309" s="12" t="s">
        <v>5328</v>
      </c>
      <c r="G4309" s="12" t="s">
        <v>12815</v>
      </c>
      <c r="H4309" s="12">
        <v>284841</v>
      </c>
    </row>
    <row r="4310" spans="1:8">
      <c r="A4310" s="12" t="s">
        <v>12816</v>
      </c>
      <c r="B4310" s="13">
        <v>0</v>
      </c>
      <c r="C4310" s="16" t="s">
        <v>5331</v>
      </c>
      <c r="D4310" s="12">
        <v>600</v>
      </c>
      <c r="E4310" s="12" t="s">
        <v>5332</v>
      </c>
      <c r="F4310" s="12" t="s">
        <v>5328</v>
      </c>
      <c r="G4310" s="12" t="s">
        <v>12817</v>
      </c>
      <c r="H4310" s="12">
        <v>284740</v>
      </c>
    </row>
    <row r="4311" spans="1:8">
      <c r="A4311" s="12" t="s">
        <v>12818</v>
      </c>
      <c r="B4311" s="13">
        <v>0</v>
      </c>
      <c r="C4311" s="16" t="s">
        <v>5331</v>
      </c>
      <c r="D4311" s="12">
        <v>600</v>
      </c>
      <c r="E4311" s="12" t="s">
        <v>5332</v>
      </c>
      <c r="F4311" s="12" t="s">
        <v>5328</v>
      </c>
      <c r="G4311" s="12" t="s">
        <v>12819</v>
      </c>
      <c r="H4311" s="12">
        <v>284741</v>
      </c>
    </row>
    <row r="4312" spans="1:8">
      <c r="A4312" s="12" t="s">
        <v>12820</v>
      </c>
      <c r="B4312" s="13">
        <v>0</v>
      </c>
      <c r="C4312" s="16" t="s">
        <v>5331</v>
      </c>
      <c r="D4312" s="12">
        <v>600</v>
      </c>
      <c r="E4312" s="12" t="s">
        <v>5332</v>
      </c>
      <c r="F4312" s="12" t="s">
        <v>5328</v>
      </c>
      <c r="G4312" s="12" t="s">
        <v>12821</v>
      </c>
      <c r="H4312" s="12">
        <v>284842</v>
      </c>
    </row>
    <row r="4313" spans="1:8">
      <c r="A4313" s="12" t="s">
        <v>12822</v>
      </c>
      <c r="B4313" s="13">
        <v>0</v>
      </c>
      <c r="C4313" s="16" t="s">
        <v>5331</v>
      </c>
      <c r="D4313" s="12">
        <v>600</v>
      </c>
      <c r="E4313" s="12" t="s">
        <v>5332</v>
      </c>
      <c r="F4313" s="12" t="s">
        <v>5328</v>
      </c>
      <c r="G4313" s="12" t="s">
        <v>12823</v>
      </c>
      <c r="H4313" s="12">
        <v>284843</v>
      </c>
    </row>
    <row r="4314" spans="1:8">
      <c r="A4314" s="12" t="s">
        <v>12824</v>
      </c>
      <c r="B4314" s="13">
        <v>0</v>
      </c>
      <c r="C4314" s="16" t="s">
        <v>5331</v>
      </c>
      <c r="D4314" s="12">
        <v>600</v>
      </c>
      <c r="E4314" s="12" t="s">
        <v>5332</v>
      </c>
      <c r="F4314" s="12" t="s">
        <v>5328</v>
      </c>
      <c r="G4314" s="12" t="s">
        <v>12825</v>
      </c>
      <c r="H4314" s="12">
        <v>284939</v>
      </c>
    </row>
    <row r="4315" spans="1:8">
      <c r="A4315" s="12" t="s">
        <v>12826</v>
      </c>
      <c r="B4315" s="13">
        <v>0</v>
      </c>
      <c r="C4315" s="16" t="s">
        <v>5331</v>
      </c>
      <c r="D4315" s="12">
        <v>600</v>
      </c>
      <c r="E4315" s="12" t="s">
        <v>5332</v>
      </c>
      <c r="F4315" s="12" t="s">
        <v>5328</v>
      </c>
      <c r="G4315" s="12" t="s">
        <v>12827</v>
      </c>
      <c r="H4315" s="12">
        <v>284744</v>
      </c>
    </row>
    <row r="4316" spans="1:8">
      <c r="A4316" s="12" t="s">
        <v>12828</v>
      </c>
      <c r="B4316" s="13">
        <v>0</v>
      </c>
      <c r="C4316" s="16" t="s">
        <v>5331</v>
      </c>
      <c r="D4316" s="12">
        <v>600</v>
      </c>
      <c r="E4316" s="12" t="s">
        <v>5332</v>
      </c>
      <c r="F4316" s="12" t="s">
        <v>5328</v>
      </c>
      <c r="G4316" s="12" t="s">
        <v>12829</v>
      </c>
      <c r="H4316" s="12">
        <v>284743</v>
      </c>
    </row>
    <row r="4317" spans="1:8">
      <c r="A4317" s="12" t="s">
        <v>12830</v>
      </c>
      <c r="B4317" s="13">
        <v>0</v>
      </c>
      <c r="C4317" s="16" t="s">
        <v>5331</v>
      </c>
      <c r="D4317" s="12">
        <v>600</v>
      </c>
      <c r="E4317" s="12" t="s">
        <v>5332</v>
      </c>
      <c r="F4317" s="12" t="s">
        <v>5328</v>
      </c>
      <c r="G4317" s="12" t="s">
        <v>12831</v>
      </c>
      <c r="H4317" s="12">
        <v>284746</v>
      </c>
    </row>
    <row r="4318" spans="1:8">
      <c r="A4318" s="12" t="s">
        <v>12832</v>
      </c>
      <c r="B4318" s="13">
        <v>0</v>
      </c>
      <c r="C4318" s="16" t="s">
        <v>5331</v>
      </c>
      <c r="D4318" s="12">
        <v>600</v>
      </c>
      <c r="E4318" s="12" t="s">
        <v>5332</v>
      </c>
      <c r="F4318" s="12" t="s">
        <v>5328</v>
      </c>
      <c r="G4318" s="12" t="s">
        <v>12833</v>
      </c>
      <c r="H4318" s="12">
        <v>284844</v>
      </c>
    </row>
    <row r="4319" spans="1:8">
      <c r="A4319" s="12" t="s">
        <v>12834</v>
      </c>
      <c r="B4319" s="13">
        <v>0</v>
      </c>
      <c r="C4319" s="16" t="s">
        <v>5331</v>
      </c>
      <c r="D4319" s="12">
        <v>600</v>
      </c>
      <c r="E4319" s="12" t="s">
        <v>5332</v>
      </c>
      <c r="F4319" s="12" t="s">
        <v>5328</v>
      </c>
      <c r="G4319" s="12" t="s">
        <v>12835</v>
      </c>
      <c r="H4319" s="12">
        <v>284940</v>
      </c>
    </row>
    <row r="4320" spans="1:8">
      <c r="A4320" s="12" t="s">
        <v>12836</v>
      </c>
      <c r="B4320" s="13">
        <v>0</v>
      </c>
      <c r="C4320" s="16" t="s">
        <v>5331</v>
      </c>
      <c r="D4320" s="12">
        <v>600</v>
      </c>
      <c r="E4320" s="12" t="s">
        <v>5332</v>
      </c>
      <c r="F4320" s="12" t="s">
        <v>5328</v>
      </c>
      <c r="G4320" s="12" t="s">
        <v>12837</v>
      </c>
      <c r="H4320" s="12">
        <v>284941</v>
      </c>
    </row>
    <row r="4321" spans="1:8">
      <c r="A4321" s="12" t="s">
        <v>12838</v>
      </c>
      <c r="B4321" s="13">
        <v>0</v>
      </c>
      <c r="C4321" s="16" t="s">
        <v>5331</v>
      </c>
      <c r="D4321" s="12">
        <v>600</v>
      </c>
      <c r="E4321" s="12" t="s">
        <v>5332</v>
      </c>
      <c r="F4321" s="12" t="s">
        <v>5328</v>
      </c>
      <c r="G4321" s="12" t="s">
        <v>12839</v>
      </c>
      <c r="H4321" s="12">
        <v>284742</v>
      </c>
    </row>
    <row r="4322" spans="1:8">
      <c r="A4322" s="12" t="s">
        <v>12840</v>
      </c>
      <c r="B4322" s="13">
        <v>0</v>
      </c>
      <c r="C4322" s="16" t="s">
        <v>5331</v>
      </c>
      <c r="D4322" s="12">
        <v>600</v>
      </c>
      <c r="E4322" s="12" t="s">
        <v>5332</v>
      </c>
      <c r="F4322" s="12" t="s">
        <v>5328</v>
      </c>
      <c r="G4322" s="12" t="s">
        <v>12841</v>
      </c>
      <c r="H4322" s="12">
        <v>284745</v>
      </c>
    </row>
    <row r="4323" spans="1:8">
      <c r="A4323" s="12" t="s">
        <v>12842</v>
      </c>
      <c r="B4323" s="13">
        <v>0</v>
      </c>
      <c r="C4323" s="16" t="s">
        <v>5331</v>
      </c>
      <c r="D4323" s="12">
        <v>600</v>
      </c>
      <c r="E4323" s="12" t="s">
        <v>5332</v>
      </c>
      <c r="F4323" s="12" t="s">
        <v>5328</v>
      </c>
      <c r="G4323" s="12" t="s">
        <v>12843</v>
      </c>
      <c r="H4323" s="12">
        <v>284747</v>
      </c>
    </row>
    <row r="4324" spans="1:8">
      <c r="A4324" s="12" t="s">
        <v>12844</v>
      </c>
      <c r="B4324" s="13">
        <v>0</v>
      </c>
      <c r="C4324" s="16" t="s">
        <v>5331</v>
      </c>
      <c r="D4324" s="12">
        <v>600</v>
      </c>
      <c r="E4324" s="12" t="s">
        <v>5332</v>
      </c>
      <c r="F4324" s="12" t="s">
        <v>5328</v>
      </c>
      <c r="G4324" s="12" t="s">
        <v>12845</v>
      </c>
      <c r="H4324" s="12">
        <v>284748</v>
      </c>
    </row>
    <row r="4325" spans="1:8">
      <c r="A4325" s="12" t="s">
        <v>12846</v>
      </c>
      <c r="B4325" s="13">
        <v>0</v>
      </c>
      <c r="C4325" s="16" t="s">
        <v>5331</v>
      </c>
      <c r="D4325" s="12">
        <v>600</v>
      </c>
      <c r="E4325" s="12" t="s">
        <v>5332</v>
      </c>
      <c r="F4325" s="12" t="s">
        <v>5328</v>
      </c>
      <c r="G4325" s="12" t="s">
        <v>12847</v>
      </c>
      <c r="H4325" s="12">
        <v>284739</v>
      </c>
    </row>
    <row r="4326" spans="1:8">
      <c r="A4326" s="12" t="s">
        <v>12848</v>
      </c>
      <c r="B4326" s="13">
        <v>0</v>
      </c>
      <c r="C4326" s="16" t="s">
        <v>5331</v>
      </c>
      <c r="D4326" s="12">
        <v>600</v>
      </c>
      <c r="E4326" s="12" t="s">
        <v>5332</v>
      </c>
      <c r="F4326" s="12" t="s">
        <v>5328</v>
      </c>
      <c r="G4326" s="12" t="s">
        <v>12849</v>
      </c>
      <c r="H4326" s="12">
        <v>284749</v>
      </c>
    </row>
    <row r="4327" spans="1:8">
      <c r="A4327" s="12" t="s">
        <v>12850</v>
      </c>
      <c r="B4327" s="13">
        <v>0</v>
      </c>
      <c r="C4327" s="16" t="s">
        <v>5331</v>
      </c>
      <c r="D4327" s="12">
        <v>600</v>
      </c>
      <c r="E4327" s="12" t="s">
        <v>5332</v>
      </c>
      <c r="F4327" s="12" t="s">
        <v>5328</v>
      </c>
      <c r="G4327" s="12" t="s">
        <v>12851</v>
      </c>
      <c r="H4327" s="12">
        <v>284845</v>
      </c>
    </row>
    <row r="4328" spans="1:8">
      <c r="A4328" s="12" t="s">
        <v>12852</v>
      </c>
      <c r="B4328" s="13">
        <v>0</v>
      </c>
      <c r="C4328" s="16"/>
      <c r="D4328" s="12">
        <v>2219</v>
      </c>
      <c r="E4328" s="12" t="s">
        <v>5332</v>
      </c>
      <c r="F4328" s="12" t="s">
        <v>5328</v>
      </c>
      <c r="G4328" s="12" t="s">
        <v>12853</v>
      </c>
      <c r="H4328" s="12">
        <v>281114</v>
      </c>
    </row>
    <row r="4329" spans="1:8">
      <c r="A4329" s="12" t="s">
        <v>12854</v>
      </c>
      <c r="B4329" s="13">
        <v>0</v>
      </c>
      <c r="C4329" s="16" t="s">
        <v>5331</v>
      </c>
      <c r="D4329" s="12">
        <v>950</v>
      </c>
      <c r="E4329" s="12" t="s">
        <v>5332</v>
      </c>
      <c r="F4329" s="12" t="s">
        <v>5328</v>
      </c>
      <c r="G4329" s="12" t="s">
        <v>12855</v>
      </c>
      <c r="H4329" s="12">
        <v>286300</v>
      </c>
    </row>
    <row r="4330" spans="1:8">
      <c r="A4330" s="12" t="s">
        <v>12856</v>
      </c>
      <c r="B4330" s="13">
        <v>0</v>
      </c>
      <c r="C4330" s="16" t="s">
        <v>5331</v>
      </c>
      <c r="D4330" s="12">
        <v>1044</v>
      </c>
      <c r="E4330" s="12" t="s">
        <v>5332</v>
      </c>
      <c r="F4330" s="12" t="s">
        <v>5328</v>
      </c>
      <c r="G4330" s="12" t="s">
        <v>12857</v>
      </c>
      <c r="H4330" s="12">
        <v>286301</v>
      </c>
    </row>
    <row r="4331" spans="1:8">
      <c r="A4331" s="12" t="s">
        <v>12858</v>
      </c>
      <c r="B4331" s="13">
        <v>0</v>
      </c>
      <c r="C4331" s="16" t="s">
        <v>5331</v>
      </c>
      <c r="D4331" s="12">
        <v>788</v>
      </c>
      <c r="E4331" s="12" t="s">
        <v>5332</v>
      </c>
      <c r="F4331" s="12" t="s">
        <v>5328</v>
      </c>
      <c r="G4331" s="12" t="s">
        <v>12859</v>
      </c>
      <c r="H4331" s="12">
        <v>286401</v>
      </c>
    </row>
    <row r="4332" spans="1:8">
      <c r="A4332" s="12" t="s">
        <v>12860</v>
      </c>
      <c r="B4332" s="13">
        <v>0</v>
      </c>
      <c r="C4332" s="16" t="s">
        <v>5331</v>
      </c>
      <c r="D4332" s="12">
        <v>1087.2</v>
      </c>
      <c r="E4332" s="12" t="s">
        <v>5332</v>
      </c>
      <c r="F4332" s="12" t="s">
        <v>5328</v>
      </c>
      <c r="G4332" s="12" t="s">
        <v>12861</v>
      </c>
      <c r="H4332" s="12">
        <v>286500</v>
      </c>
    </row>
    <row r="4333" spans="1:8">
      <c r="A4333" s="12" t="s">
        <v>12862</v>
      </c>
      <c r="B4333" s="13"/>
      <c r="C4333" s="16"/>
      <c r="D4333" s="12"/>
      <c r="E4333" s="12"/>
      <c r="F4333" s="12"/>
      <c r="G4333" s="12"/>
      <c r="H4333" s="12"/>
    </row>
    <row r="4334" spans="1:8">
      <c r="A4334" s="12" t="s">
        <v>12863</v>
      </c>
      <c r="B4334" s="13">
        <v>0</v>
      </c>
      <c r="C4334" s="16" t="s">
        <v>5331</v>
      </c>
      <c r="D4334" s="12">
        <v>1257.5999999999999</v>
      </c>
      <c r="E4334" s="12" t="s">
        <v>5332</v>
      </c>
      <c r="F4334" s="12" t="s">
        <v>5328</v>
      </c>
      <c r="G4334" s="12" t="s">
        <v>12864</v>
      </c>
      <c r="H4334" s="12">
        <v>286304</v>
      </c>
    </row>
    <row r="4335" spans="1:8">
      <c r="A4335" s="12" t="s">
        <v>12865</v>
      </c>
      <c r="B4335" s="13"/>
      <c r="C4335" s="16"/>
      <c r="D4335" s="12"/>
      <c r="E4335" s="12"/>
      <c r="F4335" s="12"/>
      <c r="G4335" s="12"/>
      <c r="H4335" s="12"/>
    </row>
    <row r="4336" spans="1:8">
      <c r="A4336" s="12" t="s">
        <v>12866</v>
      </c>
      <c r="B4336" s="13">
        <v>0</v>
      </c>
      <c r="C4336" s="16" t="s">
        <v>5331</v>
      </c>
      <c r="D4336" s="12">
        <v>1257.5999999999999</v>
      </c>
      <c r="E4336" s="12" t="s">
        <v>5332</v>
      </c>
      <c r="F4336" s="12" t="s">
        <v>5328</v>
      </c>
      <c r="G4336" s="12" t="s">
        <v>12867</v>
      </c>
      <c r="H4336" s="12">
        <v>286402</v>
      </c>
    </row>
    <row r="4337" spans="1:8">
      <c r="A4337" s="12" t="s">
        <v>12868</v>
      </c>
      <c r="B4337" s="13"/>
      <c r="C4337" s="16"/>
      <c r="D4337" s="12"/>
      <c r="E4337" s="12"/>
      <c r="F4337" s="12"/>
      <c r="G4337" s="12"/>
      <c r="H4337" s="12"/>
    </row>
    <row r="4338" spans="1:8">
      <c r="A4338" s="12" t="s">
        <v>12869</v>
      </c>
      <c r="B4338" s="13">
        <v>0</v>
      </c>
      <c r="C4338" s="16" t="s">
        <v>5331</v>
      </c>
      <c r="D4338" s="12">
        <v>928.8</v>
      </c>
      <c r="E4338" s="12" t="s">
        <v>5332</v>
      </c>
      <c r="F4338" s="12" t="s">
        <v>5328</v>
      </c>
      <c r="G4338" s="12" t="s">
        <v>12870</v>
      </c>
      <c r="H4338" s="12">
        <v>286501</v>
      </c>
    </row>
    <row r="4339" spans="1:8">
      <c r="A4339" s="12" t="s">
        <v>12871</v>
      </c>
      <c r="B4339" s="13"/>
      <c r="C4339" s="16"/>
      <c r="D4339" s="12"/>
      <c r="E4339" s="12"/>
      <c r="F4339" s="12"/>
      <c r="G4339" s="12"/>
      <c r="H4339" s="12"/>
    </row>
    <row r="4340" spans="1:8">
      <c r="A4340" s="12" t="s">
        <v>12872</v>
      </c>
      <c r="B4340" s="13">
        <v>0</v>
      </c>
      <c r="C4340" s="16" t="s">
        <v>5331</v>
      </c>
      <c r="D4340" s="12">
        <v>1048.8</v>
      </c>
      <c r="E4340" s="12" t="s">
        <v>5332</v>
      </c>
      <c r="F4340" s="12" t="s">
        <v>5328</v>
      </c>
      <c r="G4340" s="12" t="s">
        <v>12873</v>
      </c>
      <c r="H4340" s="12">
        <v>286503</v>
      </c>
    </row>
    <row r="4341" spans="1:8">
      <c r="A4341" s="12" t="s">
        <v>12874</v>
      </c>
      <c r="B4341" s="13"/>
      <c r="C4341" s="16"/>
      <c r="D4341" s="12"/>
      <c r="E4341" s="12"/>
      <c r="F4341" s="12"/>
      <c r="G4341" s="12"/>
      <c r="H4341" s="12"/>
    </row>
    <row r="4342" spans="1:8">
      <c r="A4342" s="12" t="s">
        <v>12875</v>
      </c>
      <c r="B4342" s="13">
        <v>0</v>
      </c>
      <c r="C4342" s="16" t="s">
        <v>5331</v>
      </c>
      <c r="D4342" s="12">
        <v>957.6</v>
      </c>
      <c r="E4342" s="12" t="s">
        <v>5332</v>
      </c>
      <c r="F4342" s="12" t="s">
        <v>5328</v>
      </c>
      <c r="G4342" s="12" t="s">
        <v>12876</v>
      </c>
      <c r="H4342" s="12">
        <v>286502</v>
      </c>
    </row>
    <row r="4343" spans="1:8">
      <c r="A4343" s="12" t="s">
        <v>12877</v>
      </c>
      <c r="B4343" s="13"/>
      <c r="C4343" s="16"/>
      <c r="D4343" s="12"/>
      <c r="E4343" s="12"/>
      <c r="F4343" s="12"/>
      <c r="G4343" s="12"/>
      <c r="H4343" s="12"/>
    </row>
    <row r="4344" spans="1:8">
      <c r="A4344" s="12" t="s">
        <v>12878</v>
      </c>
      <c r="B4344" s="13">
        <v>0</v>
      </c>
      <c r="C4344" s="16" t="s">
        <v>5331</v>
      </c>
      <c r="D4344" s="12">
        <v>1166.4000000000001</v>
      </c>
      <c r="E4344" s="12" t="s">
        <v>5332</v>
      </c>
      <c r="F4344" s="12" t="s">
        <v>5328</v>
      </c>
      <c r="G4344" s="12" t="s">
        <v>12879</v>
      </c>
      <c r="H4344" s="12">
        <v>286504</v>
      </c>
    </row>
    <row r="4345" spans="1:8">
      <c r="A4345" s="12" t="s">
        <v>12880</v>
      </c>
      <c r="B4345" s="13"/>
      <c r="C4345" s="16"/>
      <c r="D4345" s="12"/>
      <c r="E4345" s="12"/>
      <c r="F4345" s="12"/>
      <c r="G4345" s="12"/>
      <c r="H4345" s="12"/>
    </row>
    <row r="4346" spans="1:8">
      <c r="A4346" s="12" t="s">
        <v>12881</v>
      </c>
      <c r="B4346" s="13">
        <v>0</v>
      </c>
      <c r="C4346" s="16" t="s">
        <v>5331</v>
      </c>
      <c r="D4346" s="12">
        <v>1212</v>
      </c>
      <c r="E4346" s="12" t="s">
        <v>5332</v>
      </c>
      <c r="F4346" s="12" t="s">
        <v>5328</v>
      </c>
      <c r="G4346" s="12" t="s">
        <v>12882</v>
      </c>
      <c r="H4346" s="12">
        <v>286302</v>
      </c>
    </row>
    <row r="4347" spans="1:8">
      <c r="A4347" s="12" t="s">
        <v>12883</v>
      </c>
      <c r="B4347" s="13"/>
      <c r="C4347" s="16"/>
      <c r="D4347" s="12"/>
      <c r="E4347" s="12"/>
      <c r="F4347" s="12"/>
      <c r="G4347" s="12"/>
      <c r="H4347" s="12"/>
    </row>
    <row r="4348" spans="1:8">
      <c r="A4348" s="12" t="s">
        <v>12884</v>
      </c>
      <c r="B4348" s="13">
        <v>0</v>
      </c>
      <c r="C4348" s="16" t="s">
        <v>5331</v>
      </c>
      <c r="D4348" s="12">
        <v>993.6</v>
      </c>
      <c r="E4348" s="12" t="s">
        <v>5332</v>
      </c>
      <c r="F4348" s="12" t="s">
        <v>5328</v>
      </c>
      <c r="G4348" s="12" t="s">
        <v>12885</v>
      </c>
      <c r="H4348" s="12">
        <v>286400</v>
      </c>
    </row>
    <row r="4349" spans="1:8">
      <c r="A4349" s="12" t="s">
        <v>12886</v>
      </c>
      <c r="B4349" s="13"/>
      <c r="C4349" s="16"/>
      <c r="D4349" s="12"/>
      <c r="E4349" s="12"/>
      <c r="F4349" s="12"/>
      <c r="G4349" s="12"/>
      <c r="H4349" s="12"/>
    </row>
    <row r="4350" spans="1:8">
      <c r="A4350" s="12" t="s">
        <v>12887</v>
      </c>
      <c r="B4350" s="13">
        <v>0</v>
      </c>
      <c r="C4350" s="16" t="s">
        <v>5331</v>
      </c>
      <c r="D4350" s="12">
        <v>1257.5999999999999</v>
      </c>
      <c r="E4350" s="12" t="s">
        <v>5332</v>
      </c>
      <c r="F4350" s="12" t="s">
        <v>5328</v>
      </c>
      <c r="G4350" s="12" t="s">
        <v>12888</v>
      </c>
      <c r="H4350" s="12">
        <v>286303</v>
      </c>
    </row>
    <row r="4351" spans="1:8">
      <c r="A4351" s="12" t="s">
        <v>12889</v>
      </c>
      <c r="B4351" s="13"/>
      <c r="C4351" s="16"/>
      <c r="D4351" s="12"/>
      <c r="E4351" s="12"/>
      <c r="F4351" s="12"/>
      <c r="G4351" s="12"/>
      <c r="H4351" s="12"/>
    </row>
    <row r="4352" spans="1:8">
      <c r="A4352" s="12" t="s">
        <v>12890</v>
      </c>
      <c r="B4352" s="13">
        <v>0</v>
      </c>
      <c r="C4352" s="16"/>
      <c r="D4352" s="12">
        <v>17025.12</v>
      </c>
      <c r="E4352" s="12" t="s">
        <v>5332</v>
      </c>
      <c r="F4352" s="12" t="s">
        <v>5328</v>
      </c>
      <c r="G4352" s="12" t="s">
        <v>12891</v>
      </c>
      <c r="H4352" s="12">
        <v>286703</v>
      </c>
    </row>
    <row r="4353" spans="1:8">
      <c r="A4353" s="12" t="s">
        <v>12892</v>
      </c>
      <c r="B4353" s="13">
        <v>0</v>
      </c>
      <c r="C4353" s="16"/>
      <c r="D4353" s="12">
        <v>-1</v>
      </c>
      <c r="E4353" s="12" t="s">
        <v>5332</v>
      </c>
      <c r="F4353" s="12" t="s">
        <v>5328</v>
      </c>
      <c r="G4353" s="12" t="s">
        <v>12893</v>
      </c>
      <c r="H4353" s="12">
        <v>190939</v>
      </c>
    </row>
    <row r="4354" spans="1:8">
      <c r="A4354" s="12" t="s">
        <v>12894</v>
      </c>
      <c r="B4354" s="13">
        <v>0</v>
      </c>
      <c r="C4354" s="16" t="s">
        <v>5331</v>
      </c>
      <c r="D4354" s="12">
        <v>348</v>
      </c>
      <c r="E4354" s="12" t="s">
        <v>5332</v>
      </c>
      <c r="F4354" s="12" t="s">
        <v>5328</v>
      </c>
      <c r="G4354" s="12" t="s">
        <v>12895</v>
      </c>
      <c r="H4354" s="12">
        <v>229420</v>
      </c>
    </row>
    <row r="4355" spans="1:8">
      <c r="A4355" s="12" t="s">
        <v>12896</v>
      </c>
      <c r="B4355" s="13">
        <v>0</v>
      </c>
      <c r="C4355" s="16" t="s">
        <v>5331</v>
      </c>
      <c r="D4355" s="12">
        <v>348</v>
      </c>
      <c r="E4355" s="12" t="s">
        <v>5332</v>
      </c>
      <c r="F4355" s="12" t="s">
        <v>5328</v>
      </c>
      <c r="G4355" s="12" t="s">
        <v>12897</v>
      </c>
      <c r="H4355" s="12">
        <v>229421</v>
      </c>
    </row>
    <row r="4356" spans="1:8">
      <c r="A4356" s="12" t="s">
        <v>12898</v>
      </c>
      <c r="B4356" s="13">
        <v>0</v>
      </c>
      <c r="C4356" s="16" t="s">
        <v>5331</v>
      </c>
      <c r="D4356" s="12">
        <v>348</v>
      </c>
      <c r="E4356" s="12" t="s">
        <v>5332</v>
      </c>
      <c r="F4356" s="12" t="s">
        <v>5328</v>
      </c>
      <c r="G4356" s="12" t="s">
        <v>12899</v>
      </c>
      <c r="H4356" s="12">
        <v>229422</v>
      </c>
    </row>
    <row r="4357" spans="1:8">
      <c r="A4357" s="12" t="s">
        <v>12900</v>
      </c>
      <c r="B4357" s="13">
        <v>0</v>
      </c>
      <c r="C4357" s="16" t="s">
        <v>5331</v>
      </c>
      <c r="D4357" s="12">
        <v>348</v>
      </c>
      <c r="E4357" s="12" t="s">
        <v>5332</v>
      </c>
      <c r="F4357" s="12" t="s">
        <v>5328</v>
      </c>
      <c r="G4357" s="12" t="s">
        <v>12901</v>
      </c>
      <c r="H4357" s="12">
        <v>229423</v>
      </c>
    </row>
    <row r="4358" spans="1:8">
      <c r="A4358" s="12" t="s">
        <v>12902</v>
      </c>
      <c r="B4358" s="13">
        <v>0</v>
      </c>
      <c r="C4358" s="16" t="s">
        <v>5331</v>
      </c>
      <c r="D4358" s="12">
        <v>348</v>
      </c>
      <c r="E4358" s="12" t="s">
        <v>5332</v>
      </c>
      <c r="F4358" s="12" t="s">
        <v>5328</v>
      </c>
      <c r="G4358" s="12" t="s">
        <v>12903</v>
      </c>
      <c r="H4358" s="12">
        <v>229424</v>
      </c>
    </row>
    <row r="4359" spans="1:8">
      <c r="A4359" s="12" t="s">
        <v>12904</v>
      </c>
      <c r="B4359" s="13">
        <v>0</v>
      </c>
      <c r="C4359" s="16" t="s">
        <v>5331</v>
      </c>
      <c r="D4359" s="12">
        <v>348</v>
      </c>
      <c r="E4359" s="12" t="s">
        <v>5332</v>
      </c>
      <c r="F4359" s="12" t="s">
        <v>5328</v>
      </c>
      <c r="G4359" s="12" t="s">
        <v>12905</v>
      </c>
      <c r="H4359" s="12">
        <v>229425</v>
      </c>
    </row>
    <row r="4360" spans="1:8">
      <c r="A4360" s="12" t="s">
        <v>12906</v>
      </c>
      <c r="B4360" s="13">
        <v>0</v>
      </c>
      <c r="C4360" s="16" t="s">
        <v>5331</v>
      </c>
      <c r="D4360" s="12">
        <v>348</v>
      </c>
      <c r="E4360" s="12" t="s">
        <v>5332</v>
      </c>
      <c r="F4360" s="12" t="s">
        <v>5328</v>
      </c>
      <c r="G4360" s="12" t="s">
        <v>12907</v>
      </c>
      <c r="H4360" s="12">
        <v>229426</v>
      </c>
    </row>
    <row r="4361" spans="1:8">
      <c r="A4361" s="12" t="s">
        <v>12908</v>
      </c>
      <c r="B4361" s="13">
        <v>0</v>
      </c>
      <c r="C4361" s="16" t="s">
        <v>5331</v>
      </c>
      <c r="D4361" s="12">
        <v>348</v>
      </c>
      <c r="E4361" s="12" t="s">
        <v>5332</v>
      </c>
      <c r="F4361" s="12" t="s">
        <v>5328</v>
      </c>
      <c r="G4361" s="12" t="s">
        <v>12909</v>
      </c>
      <c r="H4361" s="12">
        <v>229427</v>
      </c>
    </row>
    <row r="4362" spans="1:8">
      <c r="A4362" s="12" t="s">
        <v>12910</v>
      </c>
      <c r="B4362" s="13">
        <v>0</v>
      </c>
      <c r="C4362" s="16" t="s">
        <v>5331</v>
      </c>
      <c r="D4362" s="12">
        <v>348</v>
      </c>
      <c r="E4362" s="12" t="s">
        <v>5332</v>
      </c>
      <c r="F4362" s="12" t="s">
        <v>5328</v>
      </c>
      <c r="G4362" s="12" t="s">
        <v>12911</v>
      </c>
      <c r="H4362" s="12">
        <v>229428</v>
      </c>
    </row>
    <row r="4363" spans="1:8">
      <c r="A4363" s="12" t="s">
        <v>12912</v>
      </c>
      <c r="B4363" s="13">
        <v>0</v>
      </c>
      <c r="C4363" s="16" t="s">
        <v>5331</v>
      </c>
      <c r="D4363" s="12">
        <v>348</v>
      </c>
      <c r="E4363" s="12" t="s">
        <v>5332</v>
      </c>
      <c r="F4363" s="12" t="s">
        <v>5328</v>
      </c>
      <c r="G4363" s="12" t="s">
        <v>12913</v>
      </c>
      <c r="H4363" s="12">
        <v>229429</v>
      </c>
    </row>
    <row r="4364" spans="1:8">
      <c r="A4364" s="12" t="s">
        <v>12914</v>
      </c>
      <c r="B4364" s="13">
        <v>0</v>
      </c>
      <c r="C4364" s="16" t="s">
        <v>5331</v>
      </c>
      <c r="D4364" s="12">
        <v>348</v>
      </c>
      <c r="E4364" s="12" t="s">
        <v>5332</v>
      </c>
      <c r="F4364" s="12" t="s">
        <v>5328</v>
      </c>
      <c r="G4364" s="12" t="s">
        <v>12915</v>
      </c>
      <c r="H4364" s="12">
        <v>229430</v>
      </c>
    </row>
    <row r="4365" spans="1:8">
      <c r="A4365" s="12" t="s">
        <v>12916</v>
      </c>
      <c r="B4365" s="13">
        <v>0</v>
      </c>
      <c r="C4365" s="16" t="s">
        <v>5331</v>
      </c>
      <c r="D4365" s="12">
        <v>348</v>
      </c>
      <c r="E4365" s="12" t="s">
        <v>5332</v>
      </c>
      <c r="F4365" s="12" t="s">
        <v>5328</v>
      </c>
      <c r="G4365" s="12" t="s">
        <v>12917</v>
      </c>
      <c r="H4365" s="12">
        <v>229431</v>
      </c>
    </row>
    <row r="4366" spans="1:8">
      <c r="A4366" s="12" t="s">
        <v>12918</v>
      </c>
      <c r="B4366" s="13">
        <v>0</v>
      </c>
      <c r="C4366" s="16" t="s">
        <v>5331</v>
      </c>
      <c r="D4366" s="12">
        <v>348</v>
      </c>
      <c r="E4366" s="12" t="s">
        <v>5332</v>
      </c>
      <c r="F4366" s="12" t="s">
        <v>5328</v>
      </c>
      <c r="G4366" s="12" t="s">
        <v>12919</v>
      </c>
      <c r="H4366" s="12">
        <v>229432</v>
      </c>
    </row>
    <row r="4367" spans="1:8">
      <c r="A4367" s="12" t="s">
        <v>12920</v>
      </c>
      <c r="B4367" s="13">
        <v>0</v>
      </c>
      <c r="C4367" s="16" t="s">
        <v>5331</v>
      </c>
      <c r="D4367" s="12">
        <v>0</v>
      </c>
      <c r="E4367" s="12" t="s">
        <v>5332</v>
      </c>
      <c r="F4367" s="12" t="s">
        <v>5328</v>
      </c>
      <c r="G4367" s="12" t="s">
        <v>12921</v>
      </c>
      <c r="H4367" s="12">
        <v>93764</v>
      </c>
    </row>
    <row r="4368" spans="1:8">
      <c r="A4368" s="12" t="s">
        <v>12922</v>
      </c>
      <c r="B4368" s="13">
        <v>0</v>
      </c>
      <c r="C4368" s="16" t="s">
        <v>5331</v>
      </c>
      <c r="D4368" s="12">
        <v>550</v>
      </c>
      <c r="E4368" s="12" t="s">
        <v>5332</v>
      </c>
      <c r="F4368" s="12" t="s">
        <v>5328</v>
      </c>
      <c r="G4368" s="12" t="s">
        <v>12923</v>
      </c>
      <c r="H4368" s="12">
        <v>93765</v>
      </c>
    </row>
    <row r="4369" spans="1:8">
      <c r="A4369" s="12"/>
      <c r="B4369" s="13">
        <v>0</v>
      </c>
      <c r="C4369" s="16"/>
      <c r="D4369" s="12">
        <v>-25</v>
      </c>
      <c r="E4369" s="12" t="s">
        <v>5332</v>
      </c>
      <c r="F4369" s="12" t="s">
        <v>5328</v>
      </c>
      <c r="G4369" s="12" t="s">
        <v>12924</v>
      </c>
      <c r="H4369" s="12">
        <v>60791</v>
      </c>
    </row>
    <row r="4370" spans="1:8">
      <c r="A4370" s="12" t="s">
        <v>12925</v>
      </c>
      <c r="B4370" s="13">
        <v>0</v>
      </c>
      <c r="C4370" s="16" t="s">
        <v>5331</v>
      </c>
      <c r="D4370" s="12">
        <v>1870</v>
      </c>
      <c r="E4370" s="12" t="s">
        <v>5332</v>
      </c>
      <c r="F4370" s="12" t="s">
        <v>5328</v>
      </c>
      <c r="G4370" s="12" t="s">
        <v>12926</v>
      </c>
      <c r="H4370" s="12">
        <v>273464</v>
      </c>
    </row>
    <row r="4371" spans="1:8">
      <c r="A4371" s="12" t="s">
        <v>12927</v>
      </c>
      <c r="B4371" s="13">
        <v>0</v>
      </c>
      <c r="C4371" s="16" t="s">
        <v>5331</v>
      </c>
      <c r="D4371" s="12">
        <v>2431</v>
      </c>
      <c r="E4371" s="12" t="s">
        <v>5332</v>
      </c>
      <c r="F4371" s="12" t="s">
        <v>5328</v>
      </c>
      <c r="G4371" s="12" t="s">
        <v>12928</v>
      </c>
      <c r="H4371" s="12">
        <v>273465</v>
      </c>
    </row>
    <row r="4372" spans="1:8">
      <c r="A4372" s="12" t="s">
        <v>12929</v>
      </c>
      <c r="B4372" s="13">
        <v>0</v>
      </c>
      <c r="C4372" s="16" t="s">
        <v>5331</v>
      </c>
      <c r="D4372" s="12">
        <v>2805</v>
      </c>
      <c r="E4372" s="12" t="s">
        <v>5332</v>
      </c>
      <c r="F4372" s="12" t="s">
        <v>5328</v>
      </c>
      <c r="G4372" s="12" t="s">
        <v>12930</v>
      </c>
      <c r="H4372" s="12">
        <v>273466</v>
      </c>
    </row>
    <row r="4373" spans="1:8">
      <c r="A4373" s="12" t="s">
        <v>12931</v>
      </c>
      <c r="B4373" s="13">
        <v>0</v>
      </c>
      <c r="C4373" s="16" t="s">
        <v>5331</v>
      </c>
      <c r="D4373" s="12">
        <v>3366</v>
      </c>
      <c r="E4373" s="12" t="s">
        <v>5332</v>
      </c>
      <c r="F4373" s="12" t="s">
        <v>5328</v>
      </c>
      <c r="G4373" s="12" t="s">
        <v>12932</v>
      </c>
      <c r="H4373" s="12">
        <v>273467</v>
      </c>
    </row>
    <row r="4374" spans="1:8">
      <c r="A4374" s="12" t="s">
        <v>12933</v>
      </c>
      <c r="B4374" s="13">
        <v>0</v>
      </c>
      <c r="C4374" s="16" t="s">
        <v>5331</v>
      </c>
      <c r="D4374" s="12">
        <v>2431</v>
      </c>
      <c r="E4374" s="12" t="s">
        <v>5332</v>
      </c>
      <c r="F4374" s="12" t="s">
        <v>5328</v>
      </c>
      <c r="G4374" s="12" t="s">
        <v>12934</v>
      </c>
      <c r="H4374" s="12">
        <v>273468</v>
      </c>
    </row>
    <row r="4375" spans="1:8">
      <c r="A4375" s="12" t="s">
        <v>12935</v>
      </c>
      <c r="B4375" s="13">
        <v>0</v>
      </c>
      <c r="C4375" s="16" t="s">
        <v>5331</v>
      </c>
      <c r="D4375" s="12">
        <v>2805</v>
      </c>
      <c r="E4375" s="12" t="s">
        <v>5332</v>
      </c>
      <c r="F4375" s="12" t="s">
        <v>5328</v>
      </c>
      <c r="G4375" s="12" t="s">
        <v>12936</v>
      </c>
      <c r="H4375" s="12">
        <v>273469</v>
      </c>
    </row>
    <row r="4376" spans="1:8">
      <c r="A4376" s="12" t="s">
        <v>12937</v>
      </c>
      <c r="B4376" s="13">
        <v>0</v>
      </c>
      <c r="C4376" s="16" t="s">
        <v>5331</v>
      </c>
      <c r="D4376" s="12">
        <v>2356</v>
      </c>
      <c r="E4376" s="12" t="s">
        <v>5332</v>
      </c>
      <c r="F4376" s="12" t="s">
        <v>5328</v>
      </c>
      <c r="G4376" s="12" t="s">
        <v>12938</v>
      </c>
      <c r="H4376" s="12">
        <v>273470</v>
      </c>
    </row>
    <row r="4377" spans="1:8">
      <c r="A4377" s="12" t="s">
        <v>12939</v>
      </c>
      <c r="B4377" s="13">
        <v>0</v>
      </c>
      <c r="C4377" s="16" t="s">
        <v>5331</v>
      </c>
      <c r="D4377" s="12">
        <v>2500</v>
      </c>
      <c r="E4377" s="12" t="s">
        <v>5332</v>
      </c>
      <c r="F4377" s="12" t="s">
        <v>5328</v>
      </c>
      <c r="G4377" s="12" t="s">
        <v>12940</v>
      </c>
      <c r="H4377" s="12">
        <v>273471</v>
      </c>
    </row>
    <row r="4378" spans="1:8">
      <c r="A4378" s="12" t="s">
        <v>12941</v>
      </c>
      <c r="B4378" s="13">
        <v>0</v>
      </c>
      <c r="C4378" s="16" t="s">
        <v>5331</v>
      </c>
      <c r="D4378" s="12">
        <v>3250</v>
      </c>
      <c r="E4378" s="12" t="s">
        <v>5332</v>
      </c>
      <c r="F4378" s="12" t="s">
        <v>5328</v>
      </c>
      <c r="G4378" s="12" t="s">
        <v>12942</v>
      </c>
      <c r="H4378" s="12">
        <v>273472</v>
      </c>
    </row>
    <row r="4379" spans="1:8">
      <c r="A4379" s="12" t="s">
        <v>12943</v>
      </c>
      <c r="B4379" s="13">
        <v>0</v>
      </c>
      <c r="C4379" s="16" t="s">
        <v>5331</v>
      </c>
      <c r="D4379" s="12">
        <v>3750</v>
      </c>
      <c r="E4379" s="12" t="s">
        <v>5332</v>
      </c>
      <c r="F4379" s="12" t="s">
        <v>5328</v>
      </c>
      <c r="G4379" s="12" t="s">
        <v>12944</v>
      </c>
      <c r="H4379" s="12">
        <v>273473</v>
      </c>
    </row>
    <row r="4380" spans="1:8">
      <c r="A4380" s="12" t="s">
        <v>12945</v>
      </c>
      <c r="B4380" s="13">
        <v>0</v>
      </c>
      <c r="C4380" s="16" t="s">
        <v>5331</v>
      </c>
      <c r="D4380" s="12">
        <v>4500</v>
      </c>
      <c r="E4380" s="12" t="s">
        <v>5332</v>
      </c>
      <c r="F4380" s="12" t="s">
        <v>5328</v>
      </c>
      <c r="G4380" s="12" t="s">
        <v>12946</v>
      </c>
      <c r="H4380" s="12">
        <v>273474</v>
      </c>
    </row>
    <row r="4381" spans="1:8">
      <c r="A4381" s="12" t="s">
        <v>12947</v>
      </c>
      <c r="B4381" s="13">
        <v>0</v>
      </c>
      <c r="C4381" s="16" t="s">
        <v>5331</v>
      </c>
      <c r="D4381" s="12">
        <v>3250</v>
      </c>
      <c r="E4381" s="12" t="s">
        <v>5332</v>
      </c>
      <c r="F4381" s="12" t="s">
        <v>5328</v>
      </c>
      <c r="G4381" s="12" t="s">
        <v>12948</v>
      </c>
      <c r="H4381" s="12">
        <v>273475</v>
      </c>
    </row>
    <row r="4382" spans="1:8">
      <c r="A4382" s="12" t="s">
        <v>12949</v>
      </c>
      <c r="B4382" s="13">
        <v>0</v>
      </c>
      <c r="C4382" s="16" t="s">
        <v>5331</v>
      </c>
      <c r="D4382" s="12">
        <v>3750</v>
      </c>
      <c r="E4382" s="12" t="s">
        <v>5332</v>
      </c>
      <c r="F4382" s="12" t="s">
        <v>5328</v>
      </c>
      <c r="G4382" s="12" t="s">
        <v>12950</v>
      </c>
      <c r="H4382" s="12">
        <v>273476</v>
      </c>
    </row>
    <row r="4383" spans="1:8">
      <c r="A4383" s="12" t="s">
        <v>12951</v>
      </c>
      <c r="B4383" s="13">
        <v>0</v>
      </c>
      <c r="C4383" s="16" t="s">
        <v>5331</v>
      </c>
      <c r="D4383" s="12">
        <v>3150</v>
      </c>
      <c r="E4383" s="12" t="s">
        <v>5332</v>
      </c>
      <c r="F4383" s="12" t="s">
        <v>5328</v>
      </c>
      <c r="G4383" s="12" t="s">
        <v>12952</v>
      </c>
      <c r="H4383" s="12">
        <v>273477</v>
      </c>
    </row>
    <row r="4384" spans="1:8">
      <c r="A4384" s="12"/>
      <c r="B4384" s="13">
        <v>0</v>
      </c>
      <c r="C4384" s="16"/>
      <c r="D4384" s="12">
        <v>0</v>
      </c>
      <c r="E4384" s="12" t="s">
        <v>5332</v>
      </c>
      <c r="F4384" s="12" t="s">
        <v>5328</v>
      </c>
      <c r="G4384" s="12" t="s">
        <v>12953</v>
      </c>
      <c r="H4384" s="12">
        <v>276177</v>
      </c>
    </row>
    <row r="4385" spans="1:8">
      <c r="A4385" s="12"/>
      <c r="B4385" s="13">
        <v>0</v>
      </c>
      <c r="C4385" s="16"/>
      <c r="D4385" s="12">
        <v>0</v>
      </c>
      <c r="E4385" s="12" t="s">
        <v>5332</v>
      </c>
      <c r="F4385" s="12" t="s">
        <v>5328</v>
      </c>
      <c r="G4385" s="12" t="s">
        <v>12954</v>
      </c>
      <c r="H4385" s="12">
        <v>276178</v>
      </c>
    </row>
    <row r="4386" spans="1:8">
      <c r="A4386" s="12" t="s">
        <v>12955</v>
      </c>
      <c r="B4386" s="13">
        <v>0</v>
      </c>
      <c r="C4386" s="16"/>
      <c r="D4386" s="12">
        <v>-1</v>
      </c>
      <c r="E4386" s="12" t="s">
        <v>5332</v>
      </c>
      <c r="F4386" s="12" t="s">
        <v>5328</v>
      </c>
      <c r="G4386" s="12" t="s">
        <v>12955</v>
      </c>
      <c r="H4386" s="12">
        <v>111593</v>
      </c>
    </row>
    <row r="4387" spans="1:8">
      <c r="A4387" s="12" t="s">
        <v>12955</v>
      </c>
      <c r="B4387" s="13">
        <v>0</v>
      </c>
      <c r="C4387" s="16"/>
      <c r="D4387" s="12">
        <v>-1</v>
      </c>
      <c r="E4387" s="12" t="s">
        <v>5332</v>
      </c>
      <c r="F4387" s="12" t="s">
        <v>5328</v>
      </c>
      <c r="G4387" s="12" t="s">
        <v>12956</v>
      </c>
      <c r="H4387" s="12">
        <v>30422</v>
      </c>
    </row>
    <row r="4388" spans="1:8">
      <c r="A4388" s="12" t="s">
        <v>12957</v>
      </c>
      <c r="B4388" s="13">
        <v>0</v>
      </c>
      <c r="C4388" s="16"/>
      <c r="D4388" s="12">
        <v>3000</v>
      </c>
      <c r="E4388" s="12" t="s">
        <v>5332</v>
      </c>
      <c r="F4388" s="12" t="s">
        <v>5328</v>
      </c>
      <c r="G4388" s="12" t="s">
        <v>12958</v>
      </c>
      <c r="H4388" s="12">
        <v>30548</v>
      </c>
    </row>
    <row r="4389" spans="1:8">
      <c r="A4389" s="12"/>
      <c r="B4389" s="13">
        <v>0</v>
      </c>
      <c r="C4389" s="16" t="s">
        <v>10206</v>
      </c>
      <c r="D4389" s="12">
        <v>350</v>
      </c>
      <c r="E4389" s="12" t="s">
        <v>5332</v>
      </c>
      <c r="F4389" s="12" t="s">
        <v>5328</v>
      </c>
      <c r="G4389" s="12" t="s">
        <v>12959</v>
      </c>
      <c r="H4389" s="12">
        <v>30254</v>
      </c>
    </row>
    <row r="4390" spans="1:8">
      <c r="A4390" s="12" t="s">
        <v>12959</v>
      </c>
      <c r="B4390" s="13">
        <v>0</v>
      </c>
      <c r="C4390" s="16" t="s">
        <v>10206</v>
      </c>
      <c r="D4390" s="12">
        <v>400</v>
      </c>
      <c r="E4390" s="12" t="s">
        <v>5332</v>
      </c>
      <c r="F4390" s="12" t="s">
        <v>5328</v>
      </c>
      <c r="G4390" s="12" t="s">
        <v>12960</v>
      </c>
      <c r="H4390" s="12">
        <v>53323</v>
      </c>
    </row>
    <row r="4391" spans="1:8">
      <c r="A4391" s="12" t="s">
        <v>12961</v>
      </c>
      <c r="B4391" s="13">
        <v>0</v>
      </c>
      <c r="C4391" s="16" t="s">
        <v>5331</v>
      </c>
      <c r="D4391" s="12">
        <v>700</v>
      </c>
      <c r="E4391" s="12" t="s">
        <v>5332</v>
      </c>
      <c r="F4391" s="12" t="s">
        <v>5328</v>
      </c>
      <c r="G4391" s="12" t="s">
        <v>12961</v>
      </c>
      <c r="H4391" s="12">
        <v>20181</v>
      </c>
    </row>
    <row r="4392" spans="1:8">
      <c r="A4392" s="12" t="s">
        <v>12962</v>
      </c>
      <c r="B4392" s="14">
        <v>5223</v>
      </c>
      <c r="C4392" s="16" t="s">
        <v>5331</v>
      </c>
      <c r="D4392" s="12">
        <v>20067</v>
      </c>
      <c r="E4392" s="12" t="s">
        <v>5332</v>
      </c>
      <c r="F4392" s="12" t="s">
        <v>5328</v>
      </c>
      <c r="G4392" s="12" t="s">
        <v>12963</v>
      </c>
      <c r="H4392" s="12">
        <v>183812</v>
      </c>
    </row>
    <row r="4393" spans="1:8">
      <c r="A4393" s="12" t="s">
        <v>12962</v>
      </c>
      <c r="B4393" s="13">
        <v>0</v>
      </c>
      <c r="C4393" s="16" t="s">
        <v>5331</v>
      </c>
      <c r="D4393" s="12">
        <v>19483</v>
      </c>
      <c r="E4393" s="12" t="s">
        <v>5332</v>
      </c>
      <c r="F4393" s="12" t="s">
        <v>5328</v>
      </c>
      <c r="G4393" s="12" t="s">
        <v>12964</v>
      </c>
      <c r="H4393" s="12">
        <v>167297</v>
      </c>
    </row>
    <row r="4394" spans="1:8">
      <c r="A4394" s="12" t="s">
        <v>12965</v>
      </c>
      <c r="B4394" s="13">
        <v>954</v>
      </c>
      <c r="C4394" s="16" t="s">
        <v>5331</v>
      </c>
      <c r="D4394" s="12">
        <v>5967</v>
      </c>
      <c r="E4394" s="12" t="s">
        <v>5332</v>
      </c>
      <c r="F4394" s="12" t="s">
        <v>5328</v>
      </c>
      <c r="G4394" s="12" t="s">
        <v>12966</v>
      </c>
      <c r="H4394" s="12">
        <v>183813</v>
      </c>
    </row>
    <row r="4395" spans="1:8">
      <c r="A4395" s="12" t="s">
        <v>12965</v>
      </c>
      <c r="B4395" s="13">
        <v>0</v>
      </c>
      <c r="C4395" s="16" t="s">
        <v>5331</v>
      </c>
      <c r="D4395" s="12">
        <v>3114</v>
      </c>
      <c r="E4395" s="12" t="s">
        <v>5332</v>
      </c>
      <c r="F4395" s="12" t="s">
        <v>5328</v>
      </c>
      <c r="G4395" s="12" t="s">
        <v>12967</v>
      </c>
      <c r="H4395" s="12">
        <v>167298</v>
      </c>
    </row>
    <row r="4396" spans="1:8">
      <c r="A4396" s="12" t="s">
        <v>12968</v>
      </c>
      <c r="B4396" s="14">
        <v>7484.71</v>
      </c>
      <c r="C4396" s="16" t="s">
        <v>5331</v>
      </c>
      <c r="D4396" s="12">
        <v>45858</v>
      </c>
      <c r="E4396" s="12" t="s">
        <v>5332</v>
      </c>
      <c r="F4396" s="12" t="s">
        <v>5328</v>
      </c>
      <c r="G4396" s="12" t="s">
        <v>12969</v>
      </c>
      <c r="H4396" s="12">
        <v>183814</v>
      </c>
    </row>
    <row r="4397" spans="1:8">
      <c r="A4397" s="12" t="s">
        <v>12968</v>
      </c>
      <c r="B4397" s="13">
        <v>0</v>
      </c>
      <c r="C4397" s="16" t="s">
        <v>5331</v>
      </c>
      <c r="D4397" s="12">
        <v>44522</v>
      </c>
      <c r="E4397" s="12" t="s">
        <v>5332</v>
      </c>
      <c r="F4397" s="12" t="s">
        <v>5328</v>
      </c>
      <c r="G4397" s="12" t="s">
        <v>12970</v>
      </c>
      <c r="H4397" s="12">
        <v>167299</v>
      </c>
    </row>
    <row r="4398" spans="1:8">
      <c r="A4398" s="12" t="s">
        <v>12971</v>
      </c>
      <c r="B4398" s="14">
        <v>14851.64</v>
      </c>
      <c r="C4398" s="16" t="s">
        <v>5331</v>
      </c>
      <c r="D4398" s="12">
        <v>55187</v>
      </c>
      <c r="E4398" s="12" t="s">
        <v>5332</v>
      </c>
      <c r="F4398" s="12" t="s">
        <v>5328</v>
      </c>
      <c r="G4398" s="12" t="s">
        <v>12972</v>
      </c>
      <c r="H4398" s="12">
        <v>183815</v>
      </c>
    </row>
    <row r="4399" spans="1:8">
      <c r="A4399" s="12" t="s">
        <v>12971</v>
      </c>
      <c r="B4399" s="13">
        <v>0</v>
      </c>
      <c r="C4399" s="16" t="s">
        <v>5331</v>
      </c>
      <c r="D4399" s="12">
        <v>53580</v>
      </c>
      <c r="E4399" s="12" t="s">
        <v>5332</v>
      </c>
      <c r="F4399" s="12" t="s">
        <v>5328</v>
      </c>
      <c r="G4399" s="12" t="s">
        <v>12973</v>
      </c>
      <c r="H4399" s="12">
        <v>167300</v>
      </c>
    </row>
    <row r="4400" spans="1:8">
      <c r="A4400" s="12" t="s">
        <v>12974</v>
      </c>
      <c r="B4400" s="14">
        <v>4043</v>
      </c>
      <c r="C4400" s="16" t="s">
        <v>5331</v>
      </c>
      <c r="D4400" s="12">
        <v>15052</v>
      </c>
      <c r="E4400" s="12" t="s">
        <v>5332</v>
      </c>
      <c r="F4400" s="12" t="s">
        <v>5328</v>
      </c>
      <c r="G4400" s="12" t="s">
        <v>12975</v>
      </c>
      <c r="H4400" s="12">
        <v>183816</v>
      </c>
    </row>
    <row r="4401" spans="1:8">
      <c r="A4401" s="12" t="s">
        <v>12974</v>
      </c>
      <c r="B4401" s="13">
        <v>0</v>
      </c>
      <c r="C4401" s="16" t="s">
        <v>5331</v>
      </c>
      <c r="D4401" s="12">
        <v>11250</v>
      </c>
      <c r="E4401" s="12" t="s">
        <v>5332</v>
      </c>
      <c r="F4401" s="12" t="s">
        <v>5328</v>
      </c>
      <c r="G4401" s="12" t="s">
        <v>12976</v>
      </c>
      <c r="H4401" s="12">
        <v>167301</v>
      </c>
    </row>
    <row r="4402" spans="1:8">
      <c r="A4402" s="12" t="s">
        <v>12977</v>
      </c>
      <c r="B4402" s="14">
        <v>7929.11</v>
      </c>
      <c r="C4402" s="16" t="s">
        <v>5331</v>
      </c>
      <c r="D4402" s="12">
        <v>28169</v>
      </c>
      <c r="E4402" s="12" t="s">
        <v>5332</v>
      </c>
      <c r="F4402" s="12" t="s">
        <v>5328</v>
      </c>
      <c r="G4402" s="12" t="s">
        <v>12978</v>
      </c>
      <c r="H4402" s="12">
        <v>183817</v>
      </c>
    </row>
    <row r="4403" spans="1:8">
      <c r="A4403" s="12" t="s">
        <v>12977</v>
      </c>
      <c r="B4403" s="13">
        <v>0</v>
      </c>
      <c r="C4403" s="16" t="s">
        <v>5331</v>
      </c>
      <c r="D4403" s="12">
        <v>27349</v>
      </c>
      <c r="E4403" s="12" t="s">
        <v>5332</v>
      </c>
      <c r="F4403" s="12" t="s">
        <v>5328</v>
      </c>
      <c r="G4403" s="12" t="s">
        <v>12979</v>
      </c>
      <c r="H4403" s="12">
        <v>167302</v>
      </c>
    </row>
    <row r="4404" spans="1:8">
      <c r="A4404" s="12" t="s">
        <v>12980</v>
      </c>
      <c r="B4404" s="13">
        <v>0</v>
      </c>
      <c r="C4404" s="16" t="s">
        <v>5331</v>
      </c>
      <c r="D4404" s="12">
        <v>50686</v>
      </c>
      <c r="E4404" s="12" t="s">
        <v>5332</v>
      </c>
      <c r="F4404" s="12" t="s">
        <v>5328</v>
      </c>
      <c r="G4404" s="12" t="s">
        <v>12981</v>
      </c>
      <c r="H4404" s="12">
        <v>183818</v>
      </c>
    </row>
    <row r="4405" spans="1:8">
      <c r="A4405" s="12" t="s">
        <v>12980</v>
      </c>
      <c r="B4405" s="13">
        <v>0</v>
      </c>
      <c r="C4405" s="16" t="s">
        <v>5331</v>
      </c>
      <c r="D4405" s="12">
        <v>49210</v>
      </c>
      <c r="E4405" s="12" t="s">
        <v>5332</v>
      </c>
      <c r="F4405" s="12" t="s">
        <v>5328</v>
      </c>
      <c r="G4405" s="12" t="s">
        <v>12982</v>
      </c>
      <c r="H4405" s="12">
        <v>167303</v>
      </c>
    </row>
    <row r="4406" spans="1:8">
      <c r="A4406" s="12" t="s">
        <v>12983</v>
      </c>
      <c r="B4406" s="14">
        <v>2413.4499999999998</v>
      </c>
      <c r="C4406" s="16" t="s">
        <v>5331</v>
      </c>
      <c r="D4406" s="12">
        <v>43924</v>
      </c>
      <c r="E4406" s="12" t="s">
        <v>5332</v>
      </c>
      <c r="F4406" s="12" t="s">
        <v>5328</v>
      </c>
      <c r="G4406" s="12" t="s">
        <v>12984</v>
      </c>
      <c r="H4406" s="12">
        <v>183819</v>
      </c>
    </row>
    <row r="4407" spans="1:8">
      <c r="A4407" s="12" t="s">
        <v>12983</v>
      </c>
      <c r="B4407" s="13">
        <v>0</v>
      </c>
      <c r="C4407" s="16" t="s">
        <v>5331</v>
      </c>
      <c r="D4407" s="12">
        <v>49210</v>
      </c>
      <c r="E4407" s="12" t="s">
        <v>5332</v>
      </c>
      <c r="F4407" s="12" t="s">
        <v>5328</v>
      </c>
      <c r="G4407" s="12" t="s">
        <v>12985</v>
      </c>
      <c r="H4407" s="12">
        <v>167304</v>
      </c>
    </row>
    <row r="4408" spans="1:8">
      <c r="A4408" s="12" t="s">
        <v>12986</v>
      </c>
      <c r="B4408" s="13">
        <v>0</v>
      </c>
      <c r="C4408" s="16" t="s">
        <v>5331</v>
      </c>
      <c r="D4408" s="12">
        <v>101374</v>
      </c>
      <c r="E4408" s="12" t="s">
        <v>5332</v>
      </c>
      <c r="F4408" s="12" t="s">
        <v>5328</v>
      </c>
      <c r="G4408" s="12" t="s">
        <v>12987</v>
      </c>
      <c r="H4408" s="12">
        <v>183820</v>
      </c>
    </row>
    <row r="4409" spans="1:8">
      <c r="A4409" s="12" t="s">
        <v>12986</v>
      </c>
      <c r="B4409" s="13">
        <v>0</v>
      </c>
      <c r="C4409" s="16" t="s">
        <v>5331</v>
      </c>
      <c r="D4409" s="12">
        <v>98421</v>
      </c>
      <c r="E4409" s="12" t="s">
        <v>5332</v>
      </c>
      <c r="F4409" s="12" t="s">
        <v>5328</v>
      </c>
      <c r="G4409" s="12" t="s">
        <v>12988</v>
      </c>
      <c r="H4409" s="12">
        <v>167305</v>
      </c>
    </row>
    <row r="4410" spans="1:8">
      <c r="A4410" s="12" t="s">
        <v>12989</v>
      </c>
      <c r="B4410" s="14">
        <v>2118.8200000000002</v>
      </c>
      <c r="C4410" s="16" t="s">
        <v>5331</v>
      </c>
      <c r="D4410" s="12">
        <v>17601</v>
      </c>
      <c r="E4410" s="12" t="s">
        <v>5332</v>
      </c>
      <c r="F4410" s="12" t="s">
        <v>5328</v>
      </c>
      <c r="G4410" s="12" t="s">
        <v>12990</v>
      </c>
      <c r="H4410" s="12">
        <v>183821</v>
      </c>
    </row>
    <row r="4411" spans="1:8">
      <c r="A4411" s="12" t="s">
        <v>12989</v>
      </c>
      <c r="B4411" s="13">
        <v>0</v>
      </c>
      <c r="C4411" s="16" t="s">
        <v>5331</v>
      </c>
      <c r="D4411" s="12">
        <v>28720</v>
      </c>
      <c r="E4411" s="12" t="s">
        <v>5332</v>
      </c>
      <c r="F4411" s="12" t="s">
        <v>5328</v>
      </c>
      <c r="G4411" s="12" t="s">
        <v>12991</v>
      </c>
      <c r="H4411" s="12">
        <v>167306</v>
      </c>
    </row>
    <row r="4412" spans="1:8">
      <c r="A4412" s="12" t="s">
        <v>12992</v>
      </c>
      <c r="B4412" s="14">
        <v>15034.04</v>
      </c>
      <c r="C4412" s="16" t="s">
        <v>5331</v>
      </c>
      <c r="D4412" s="12">
        <v>77434</v>
      </c>
      <c r="E4412" s="12" t="s">
        <v>5332</v>
      </c>
      <c r="F4412" s="12" t="s">
        <v>5328</v>
      </c>
      <c r="G4412" s="12" t="s">
        <v>12993</v>
      </c>
      <c r="H4412" s="12">
        <v>183822</v>
      </c>
    </row>
    <row r="4413" spans="1:8">
      <c r="A4413" s="12" t="s">
        <v>12992</v>
      </c>
      <c r="B4413" s="13">
        <v>0</v>
      </c>
      <c r="C4413" s="16" t="s">
        <v>5331</v>
      </c>
      <c r="D4413" s="12">
        <v>75179</v>
      </c>
      <c r="E4413" s="12" t="s">
        <v>5332</v>
      </c>
      <c r="F4413" s="12" t="s">
        <v>5328</v>
      </c>
      <c r="G4413" s="12" t="s">
        <v>12994</v>
      </c>
      <c r="H4413" s="12">
        <v>167307</v>
      </c>
    </row>
    <row r="4414" spans="1:8">
      <c r="A4414" s="12" t="s">
        <v>12995</v>
      </c>
      <c r="B4414" s="14">
        <v>16121.35</v>
      </c>
      <c r="C4414" s="16" t="s">
        <v>5331</v>
      </c>
      <c r="D4414" s="12">
        <v>83062</v>
      </c>
      <c r="E4414" s="12" t="s">
        <v>5332</v>
      </c>
      <c r="F4414" s="12" t="s">
        <v>5328</v>
      </c>
      <c r="G4414" s="12" t="s">
        <v>12996</v>
      </c>
      <c r="H4414" s="12">
        <v>183823</v>
      </c>
    </row>
    <row r="4415" spans="1:8">
      <c r="A4415" s="12" t="s">
        <v>12995</v>
      </c>
      <c r="B4415" s="13">
        <v>0</v>
      </c>
      <c r="C4415" s="16" t="s">
        <v>5331</v>
      </c>
      <c r="D4415" s="12">
        <v>80643</v>
      </c>
      <c r="E4415" s="12" t="s">
        <v>5332</v>
      </c>
      <c r="F4415" s="12" t="s">
        <v>5328</v>
      </c>
      <c r="G4415" s="12" t="s">
        <v>12997</v>
      </c>
      <c r="H4415" s="12">
        <v>167308</v>
      </c>
    </row>
    <row r="4416" spans="1:8">
      <c r="A4416" s="12" t="s">
        <v>12998</v>
      </c>
      <c r="B4416" s="14">
        <v>2727.58</v>
      </c>
      <c r="C4416" s="16" t="s">
        <v>5331</v>
      </c>
      <c r="D4416" s="12">
        <v>54919</v>
      </c>
      <c r="E4416" s="12" t="s">
        <v>5332</v>
      </c>
      <c r="F4416" s="12" t="s">
        <v>5328</v>
      </c>
      <c r="G4416" s="12" t="s">
        <v>12999</v>
      </c>
      <c r="H4416" s="12">
        <v>183824</v>
      </c>
    </row>
    <row r="4417" spans="1:8">
      <c r="A4417" s="12" t="s">
        <v>12998</v>
      </c>
      <c r="B4417" s="13">
        <v>0</v>
      </c>
      <c r="C4417" s="16" t="s">
        <v>5331</v>
      </c>
      <c r="D4417" s="12">
        <v>53319</v>
      </c>
      <c r="E4417" s="12" t="s">
        <v>5332</v>
      </c>
      <c r="F4417" s="12" t="s">
        <v>5328</v>
      </c>
      <c r="G4417" s="12" t="s">
        <v>13000</v>
      </c>
      <c r="H4417" s="12">
        <v>167309</v>
      </c>
    </row>
    <row r="4418" spans="1:8">
      <c r="A4418" s="12" t="s">
        <v>13001</v>
      </c>
      <c r="B4418" s="14">
        <v>22638.080000000002</v>
      </c>
      <c r="C4418" s="16" t="s">
        <v>5331</v>
      </c>
      <c r="D4418" s="12">
        <v>119671</v>
      </c>
      <c r="E4418" s="12" t="s">
        <v>5332</v>
      </c>
      <c r="F4418" s="12" t="s">
        <v>5328</v>
      </c>
      <c r="G4418" s="12" t="s">
        <v>13002</v>
      </c>
      <c r="H4418" s="12">
        <v>183825</v>
      </c>
    </row>
    <row r="4419" spans="1:8">
      <c r="A4419" s="12" t="s">
        <v>13001</v>
      </c>
      <c r="B4419" s="13">
        <v>0</v>
      </c>
      <c r="C4419" s="16" t="s">
        <v>5331</v>
      </c>
      <c r="D4419" s="12">
        <v>116185</v>
      </c>
      <c r="E4419" s="12" t="s">
        <v>5332</v>
      </c>
      <c r="F4419" s="12" t="s">
        <v>5328</v>
      </c>
      <c r="G4419" s="12" t="s">
        <v>13003</v>
      </c>
      <c r="H4419" s="12">
        <v>167310</v>
      </c>
    </row>
    <row r="4420" spans="1:8">
      <c r="A4420" s="12" t="s">
        <v>13004</v>
      </c>
      <c r="B4420" s="13">
        <v>0</v>
      </c>
      <c r="C4420" s="16" t="s">
        <v>5331</v>
      </c>
      <c r="D4420" s="12">
        <v>194296</v>
      </c>
      <c r="E4420" s="12" t="s">
        <v>5332</v>
      </c>
      <c r="F4420" s="12" t="s">
        <v>5328</v>
      </c>
      <c r="G4420" s="12" t="s">
        <v>13005</v>
      </c>
      <c r="H4420" s="12">
        <v>183826</v>
      </c>
    </row>
    <row r="4421" spans="1:8">
      <c r="A4421" s="12" t="s">
        <v>13004</v>
      </c>
      <c r="B4421" s="13">
        <v>0</v>
      </c>
      <c r="C4421" s="16" t="s">
        <v>5331</v>
      </c>
      <c r="D4421" s="12">
        <v>188637</v>
      </c>
      <c r="E4421" s="12" t="s">
        <v>5332</v>
      </c>
      <c r="F4421" s="12" t="s">
        <v>5328</v>
      </c>
      <c r="G4421" s="12" t="s">
        <v>13006</v>
      </c>
      <c r="H4421" s="12">
        <v>167311</v>
      </c>
    </row>
    <row r="4422" spans="1:8">
      <c r="A4422" s="12" t="s">
        <v>13007</v>
      </c>
      <c r="B4422" s="14">
        <v>9595.36</v>
      </c>
      <c r="C4422" s="16" t="s">
        <v>5331</v>
      </c>
      <c r="D4422" s="12">
        <v>44736</v>
      </c>
      <c r="E4422" s="12" t="s">
        <v>5332</v>
      </c>
      <c r="F4422" s="12" t="s">
        <v>5328</v>
      </c>
      <c r="G4422" s="12" t="s">
        <v>13008</v>
      </c>
      <c r="H4422" s="12">
        <v>183827</v>
      </c>
    </row>
    <row r="4423" spans="1:8">
      <c r="A4423" s="12" t="s">
        <v>13007</v>
      </c>
      <c r="B4423" s="13">
        <v>0</v>
      </c>
      <c r="C4423" s="16" t="s">
        <v>5331</v>
      </c>
      <c r="D4423" s="12">
        <v>53319</v>
      </c>
      <c r="E4423" s="12" t="s">
        <v>5332</v>
      </c>
      <c r="F4423" s="12" t="s">
        <v>5328</v>
      </c>
      <c r="G4423" s="12" t="s">
        <v>13009</v>
      </c>
      <c r="H4423" s="12">
        <v>167312</v>
      </c>
    </row>
    <row r="4424" spans="1:8">
      <c r="A4424" s="12" t="s">
        <v>13010</v>
      </c>
      <c r="B4424" s="13">
        <v>396.27</v>
      </c>
      <c r="C4424" s="16" t="s">
        <v>5331</v>
      </c>
      <c r="D4424" s="12">
        <v>50310</v>
      </c>
      <c r="E4424" s="12" t="s">
        <v>5332</v>
      </c>
      <c r="F4424" s="12" t="s">
        <v>5328</v>
      </c>
      <c r="G4424" s="12" t="s">
        <v>13011</v>
      </c>
      <c r="H4424" s="12">
        <v>183828</v>
      </c>
    </row>
    <row r="4425" spans="1:8">
      <c r="A4425" s="12" t="s">
        <v>13010</v>
      </c>
      <c r="B4425" s="13">
        <v>0</v>
      </c>
      <c r="C4425" s="16" t="s">
        <v>5331</v>
      </c>
      <c r="D4425" s="12">
        <v>48845</v>
      </c>
      <c r="E4425" s="12" t="s">
        <v>5332</v>
      </c>
      <c r="F4425" s="12" t="s">
        <v>5328</v>
      </c>
      <c r="G4425" s="12" t="s">
        <v>13012</v>
      </c>
      <c r="H4425" s="12">
        <v>167313</v>
      </c>
    </row>
    <row r="4426" spans="1:8">
      <c r="A4426" s="12" t="s">
        <v>13013</v>
      </c>
      <c r="B4426" s="13">
        <v>396.27</v>
      </c>
      <c r="C4426" s="16" t="s">
        <v>5331</v>
      </c>
      <c r="D4426" s="12">
        <v>24316</v>
      </c>
      <c r="E4426" s="12" t="s">
        <v>5332</v>
      </c>
      <c r="F4426" s="12" t="s">
        <v>5328</v>
      </c>
      <c r="G4426" s="12" t="s">
        <v>13014</v>
      </c>
      <c r="H4426" s="12">
        <v>183829</v>
      </c>
    </row>
    <row r="4427" spans="1:8">
      <c r="A4427" s="12" t="s">
        <v>13013</v>
      </c>
      <c r="B4427" s="13">
        <v>0</v>
      </c>
      <c r="C4427" s="16" t="s">
        <v>5331</v>
      </c>
      <c r="D4427" s="12">
        <v>23608</v>
      </c>
      <c r="E4427" s="12" t="s">
        <v>5332</v>
      </c>
      <c r="F4427" s="12" t="s">
        <v>5328</v>
      </c>
      <c r="G4427" s="12" t="s">
        <v>13015</v>
      </c>
      <c r="H4427" s="12">
        <v>167314</v>
      </c>
    </row>
    <row r="4428" spans="1:8">
      <c r="A4428" s="12" t="s">
        <v>13016</v>
      </c>
      <c r="B4428" s="14">
        <v>2487.29</v>
      </c>
      <c r="C4428" s="16" t="s">
        <v>5331</v>
      </c>
      <c r="D4428" s="12">
        <v>40840</v>
      </c>
      <c r="E4428" s="12" t="s">
        <v>5332</v>
      </c>
      <c r="F4428" s="12" t="s">
        <v>5328</v>
      </c>
      <c r="G4428" s="12" t="s">
        <v>13017</v>
      </c>
      <c r="H4428" s="12">
        <v>183830</v>
      </c>
    </row>
    <row r="4429" spans="1:8">
      <c r="A4429" s="12" t="s">
        <v>13016</v>
      </c>
      <c r="B4429" s="13">
        <v>0</v>
      </c>
      <c r="C4429" s="16" t="s">
        <v>5331</v>
      </c>
      <c r="D4429" s="12">
        <v>39650</v>
      </c>
      <c r="E4429" s="12" t="s">
        <v>5332</v>
      </c>
      <c r="F4429" s="12" t="s">
        <v>5328</v>
      </c>
      <c r="G4429" s="12" t="s">
        <v>13018</v>
      </c>
      <c r="H4429" s="12">
        <v>167198</v>
      </c>
    </row>
    <row r="4430" spans="1:8">
      <c r="A4430" s="12" t="s">
        <v>13019</v>
      </c>
      <c r="B4430" s="13">
        <v>0</v>
      </c>
      <c r="C4430" s="16" t="s">
        <v>5331</v>
      </c>
      <c r="D4430" s="12">
        <v>28169</v>
      </c>
      <c r="E4430" s="12" t="s">
        <v>5332</v>
      </c>
      <c r="F4430" s="12" t="s">
        <v>5328</v>
      </c>
      <c r="G4430" s="12" t="s">
        <v>13020</v>
      </c>
      <c r="H4430" s="12">
        <v>183831</v>
      </c>
    </row>
    <row r="4431" spans="1:8">
      <c r="A4431" s="12" t="s">
        <v>13019</v>
      </c>
      <c r="B4431" s="13">
        <v>0</v>
      </c>
      <c r="C4431" s="16" t="s">
        <v>5331</v>
      </c>
      <c r="D4431" s="12">
        <v>27349</v>
      </c>
      <c r="E4431" s="12" t="s">
        <v>5332</v>
      </c>
      <c r="F4431" s="12" t="s">
        <v>5328</v>
      </c>
      <c r="G4431" s="12" t="s">
        <v>13021</v>
      </c>
      <c r="H4431" s="12">
        <v>167199</v>
      </c>
    </row>
    <row r="4432" spans="1:8">
      <c r="A4432" s="12" t="s">
        <v>13022</v>
      </c>
      <c r="B4432" s="13">
        <v>0</v>
      </c>
      <c r="C4432" s="16" t="s">
        <v>5331</v>
      </c>
      <c r="D4432" s="12">
        <v>54919</v>
      </c>
      <c r="E4432" s="12" t="s">
        <v>5332</v>
      </c>
      <c r="F4432" s="12" t="s">
        <v>5328</v>
      </c>
      <c r="G4432" s="12" t="s">
        <v>13023</v>
      </c>
      <c r="H4432" s="12">
        <v>183832</v>
      </c>
    </row>
    <row r="4433" spans="1:8">
      <c r="A4433" s="12" t="s">
        <v>13022</v>
      </c>
      <c r="B4433" s="13">
        <v>0</v>
      </c>
      <c r="C4433" s="16" t="s">
        <v>5331</v>
      </c>
      <c r="D4433" s="12">
        <v>53319</v>
      </c>
      <c r="E4433" s="12" t="s">
        <v>5332</v>
      </c>
      <c r="F4433" s="12" t="s">
        <v>5328</v>
      </c>
      <c r="G4433" s="12" t="s">
        <v>13024</v>
      </c>
      <c r="H4433" s="12">
        <v>167200</v>
      </c>
    </row>
    <row r="4434" spans="1:8">
      <c r="A4434" s="12" t="s">
        <v>13025</v>
      </c>
      <c r="B4434" s="13">
        <v>0</v>
      </c>
      <c r="C4434" s="16" t="s">
        <v>5331</v>
      </c>
      <c r="D4434" s="12">
        <v>49290</v>
      </c>
      <c r="E4434" s="12" t="s">
        <v>5332</v>
      </c>
      <c r="F4434" s="12" t="s">
        <v>5328</v>
      </c>
      <c r="G4434" s="12" t="s">
        <v>13026</v>
      </c>
      <c r="H4434" s="12">
        <v>183833</v>
      </c>
    </row>
    <row r="4435" spans="1:8">
      <c r="A4435" s="12" t="s">
        <v>13025</v>
      </c>
      <c r="B4435" s="13">
        <v>0</v>
      </c>
      <c r="C4435" s="16" t="s">
        <v>5331</v>
      </c>
      <c r="D4435" s="12">
        <v>47854</v>
      </c>
      <c r="E4435" s="12" t="s">
        <v>5332</v>
      </c>
      <c r="F4435" s="12" t="s">
        <v>5328</v>
      </c>
      <c r="G4435" s="12" t="s">
        <v>13027</v>
      </c>
      <c r="H4435" s="12">
        <v>167201</v>
      </c>
    </row>
    <row r="4436" spans="1:8">
      <c r="A4436" s="12" t="s">
        <v>13028</v>
      </c>
      <c r="B4436" s="13">
        <v>0</v>
      </c>
      <c r="C4436" s="16" t="s">
        <v>5331</v>
      </c>
      <c r="D4436" s="12">
        <v>59716</v>
      </c>
      <c r="E4436" s="12" t="s">
        <v>5332</v>
      </c>
      <c r="F4436" s="12" t="s">
        <v>5328</v>
      </c>
      <c r="G4436" s="12" t="s">
        <v>13029</v>
      </c>
      <c r="H4436" s="12">
        <v>183834</v>
      </c>
    </row>
    <row r="4437" spans="1:8">
      <c r="A4437" s="12" t="s">
        <v>13028</v>
      </c>
      <c r="B4437" s="13">
        <v>0</v>
      </c>
      <c r="C4437" s="16" t="s">
        <v>5331</v>
      </c>
      <c r="D4437" s="12">
        <v>57977</v>
      </c>
      <c r="E4437" s="12" t="s">
        <v>5332</v>
      </c>
      <c r="F4437" s="12" t="s">
        <v>5328</v>
      </c>
      <c r="G4437" s="12" t="s">
        <v>13030</v>
      </c>
      <c r="H4437" s="12">
        <v>167202</v>
      </c>
    </row>
    <row r="4438" spans="1:8">
      <c r="A4438" s="12" t="s">
        <v>13031</v>
      </c>
      <c r="B4438" s="14">
        <v>3700.99</v>
      </c>
      <c r="C4438" s="16" t="s">
        <v>5331</v>
      </c>
      <c r="D4438" s="12">
        <v>35830</v>
      </c>
      <c r="E4438" s="12" t="s">
        <v>5332</v>
      </c>
      <c r="F4438" s="12" t="s">
        <v>5328</v>
      </c>
      <c r="G4438" s="12" t="s">
        <v>13032</v>
      </c>
      <c r="H4438" s="12">
        <v>183835</v>
      </c>
    </row>
    <row r="4439" spans="1:8">
      <c r="A4439" s="12" t="s">
        <v>13031</v>
      </c>
      <c r="B4439" s="13">
        <v>0</v>
      </c>
      <c r="C4439" s="16" t="s">
        <v>5331</v>
      </c>
      <c r="D4439" s="12">
        <v>34786</v>
      </c>
      <c r="E4439" s="12" t="s">
        <v>5332</v>
      </c>
      <c r="F4439" s="12" t="s">
        <v>5328</v>
      </c>
      <c r="G4439" s="12" t="s">
        <v>13033</v>
      </c>
      <c r="H4439" s="12">
        <v>167203</v>
      </c>
    </row>
    <row r="4440" spans="1:8">
      <c r="A4440" s="12" t="s">
        <v>13034</v>
      </c>
      <c r="B4440" s="14">
        <v>7732.83</v>
      </c>
      <c r="C4440" s="16" t="s">
        <v>5331</v>
      </c>
      <c r="D4440" s="12">
        <v>47773</v>
      </c>
      <c r="E4440" s="12" t="s">
        <v>5332</v>
      </c>
      <c r="F4440" s="12" t="s">
        <v>5328</v>
      </c>
      <c r="G4440" s="12" t="s">
        <v>13035</v>
      </c>
      <c r="H4440" s="12">
        <v>183836</v>
      </c>
    </row>
    <row r="4441" spans="1:8">
      <c r="A4441" s="12" t="s">
        <v>13034</v>
      </c>
      <c r="B4441" s="13">
        <v>0</v>
      </c>
      <c r="C4441" s="16" t="s">
        <v>5331</v>
      </c>
      <c r="D4441" s="12">
        <v>46382</v>
      </c>
      <c r="E4441" s="12" t="s">
        <v>5332</v>
      </c>
      <c r="F4441" s="12" t="s">
        <v>5328</v>
      </c>
      <c r="G4441" s="12" t="s">
        <v>13036</v>
      </c>
      <c r="H4441" s="12">
        <v>167204</v>
      </c>
    </row>
    <row r="4442" spans="1:8">
      <c r="A4442" s="12" t="s">
        <v>13037</v>
      </c>
      <c r="B4442" s="14">
        <v>8467.7900000000009</v>
      </c>
      <c r="C4442" s="16" t="s">
        <v>5331</v>
      </c>
      <c r="D4442" s="12">
        <v>57328</v>
      </c>
      <c r="E4442" s="12" t="s">
        <v>5332</v>
      </c>
      <c r="F4442" s="12" t="s">
        <v>5328</v>
      </c>
      <c r="G4442" s="12" t="s">
        <v>13038</v>
      </c>
      <c r="H4442" s="12">
        <v>183837</v>
      </c>
    </row>
    <row r="4443" spans="1:8">
      <c r="A4443" s="12" t="s">
        <v>13037</v>
      </c>
      <c r="B4443" s="13">
        <v>0</v>
      </c>
      <c r="C4443" s="16" t="s">
        <v>5331</v>
      </c>
      <c r="D4443" s="12">
        <v>55658</v>
      </c>
      <c r="E4443" s="12" t="s">
        <v>5332</v>
      </c>
      <c r="F4443" s="12" t="s">
        <v>5328</v>
      </c>
      <c r="G4443" s="12" t="s">
        <v>13039</v>
      </c>
      <c r="H4443" s="12">
        <v>167205</v>
      </c>
    </row>
    <row r="4444" spans="1:8">
      <c r="A4444" s="12" t="s">
        <v>13040</v>
      </c>
      <c r="B4444" s="13">
        <v>0</v>
      </c>
      <c r="C4444" s="16" t="s">
        <v>5331</v>
      </c>
      <c r="D4444" s="12">
        <v>23887</v>
      </c>
      <c r="E4444" s="12" t="s">
        <v>5332</v>
      </c>
      <c r="F4444" s="12" t="s">
        <v>5328</v>
      </c>
      <c r="G4444" s="12" t="s">
        <v>13041</v>
      </c>
      <c r="H4444" s="12">
        <v>183838</v>
      </c>
    </row>
    <row r="4445" spans="1:8">
      <c r="A4445" s="12" t="s">
        <v>13040</v>
      </c>
      <c r="B4445" s="13">
        <v>0</v>
      </c>
      <c r="C4445" s="16" t="s">
        <v>5331</v>
      </c>
      <c r="D4445" s="12">
        <v>23191</v>
      </c>
      <c r="E4445" s="12" t="s">
        <v>5332</v>
      </c>
      <c r="F4445" s="12" t="s">
        <v>5328</v>
      </c>
      <c r="G4445" s="12" t="s">
        <v>13042</v>
      </c>
      <c r="H4445" s="12">
        <v>167206</v>
      </c>
    </row>
    <row r="4446" spans="1:8">
      <c r="A4446" s="12" t="s">
        <v>13043</v>
      </c>
      <c r="B4446" s="13">
        <v>0</v>
      </c>
      <c r="C4446" s="16" t="s">
        <v>5331</v>
      </c>
      <c r="D4446" s="12">
        <v>47773</v>
      </c>
      <c r="E4446" s="12" t="s">
        <v>5332</v>
      </c>
      <c r="F4446" s="12" t="s">
        <v>5328</v>
      </c>
      <c r="G4446" s="12" t="s">
        <v>13044</v>
      </c>
      <c r="H4446" s="12">
        <v>183839</v>
      </c>
    </row>
    <row r="4447" spans="1:8">
      <c r="A4447" s="12" t="s">
        <v>13043</v>
      </c>
      <c r="B4447" s="13">
        <v>0</v>
      </c>
      <c r="C4447" s="16" t="s">
        <v>5331</v>
      </c>
      <c r="D4447" s="12">
        <v>46382</v>
      </c>
      <c r="E4447" s="12" t="s">
        <v>5332</v>
      </c>
      <c r="F4447" s="12" t="s">
        <v>5328</v>
      </c>
      <c r="G4447" s="12" t="s">
        <v>13045</v>
      </c>
      <c r="H4447" s="12">
        <v>167207</v>
      </c>
    </row>
    <row r="4448" spans="1:8">
      <c r="A4448" s="12"/>
      <c r="B4448" s="13">
        <v>0</v>
      </c>
      <c r="C4448" s="16"/>
      <c r="D4448" s="12">
        <v>-100</v>
      </c>
      <c r="E4448" s="12" t="s">
        <v>5332</v>
      </c>
      <c r="F4448" s="12" t="s">
        <v>5328</v>
      </c>
      <c r="G4448" s="12" t="s">
        <v>13046</v>
      </c>
      <c r="H4448" s="12">
        <v>111594</v>
      </c>
    </row>
    <row r="4449" spans="1:8">
      <c r="A4449" s="12"/>
      <c r="B4449" s="13">
        <v>0</v>
      </c>
      <c r="C4449" s="16"/>
      <c r="D4449" s="12">
        <v>-100</v>
      </c>
      <c r="E4449" s="12" t="s">
        <v>5332</v>
      </c>
      <c r="F4449" s="12" t="s">
        <v>5328</v>
      </c>
      <c r="G4449" s="12" t="s">
        <v>13047</v>
      </c>
      <c r="H4449" s="12">
        <v>62693</v>
      </c>
    </row>
    <row r="4450" spans="1:8">
      <c r="A4450" s="12"/>
      <c r="B4450" s="13">
        <v>0</v>
      </c>
      <c r="C4450" s="16"/>
      <c r="D4450" s="12">
        <v>0</v>
      </c>
      <c r="E4450" s="12" t="s">
        <v>5332</v>
      </c>
      <c r="F4450" s="12" t="s">
        <v>5328</v>
      </c>
      <c r="G4450" s="12" t="s">
        <v>13048</v>
      </c>
      <c r="H4450" s="12">
        <v>111595</v>
      </c>
    </row>
    <row r="4451" spans="1:8">
      <c r="A4451" s="12"/>
      <c r="B4451" s="13">
        <v>0</v>
      </c>
      <c r="C4451" s="16"/>
      <c r="D4451" s="12">
        <v>10</v>
      </c>
      <c r="E4451" s="12" t="s">
        <v>5332</v>
      </c>
      <c r="F4451" s="12" t="s">
        <v>5328</v>
      </c>
      <c r="G4451" s="12" t="s">
        <v>13049</v>
      </c>
      <c r="H4451" s="12">
        <v>118719</v>
      </c>
    </row>
    <row r="4452" spans="1:8">
      <c r="A4452" s="12"/>
      <c r="B4452" s="13">
        <v>0</v>
      </c>
      <c r="C4452" s="16"/>
      <c r="D4452" s="12">
        <v>-10</v>
      </c>
      <c r="E4452" s="12" t="s">
        <v>5332</v>
      </c>
      <c r="F4452" s="12" t="s">
        <v>5328</v>
      </c>
      <c r="G4452" s="12" t="s">
        <v>13050</v>
      </c>
      <c r="H4452" s="12">
        <v>62670</v>
      </c>
    </row>
    <row r="4453" spans="1:8">
      <c r="A4453" s="12"/>
      <c r="B4453" s="13">
        <v>0</v>
      </c>
      <c r="C4453" s="16"/>
      <c r="D4453" s="12">
        <v>-10</v>
      </c>
      <c r="E4453" s="12" t="s">
        <v>5332</v>
      </c>
      <c r="F4453" s="12" t="s">
        <v>5328</v>
      </c>
      <c r="G4453" s="12" t="s">
        <v>13051</v>
      </c>
      <c r="H4453" s="12">
        <v>111597</v>
      </c>
    </row>
    <row r="4454" spans="1:8">
      <c r="A4454" s="12"/>
      <c r="B4454" s="13">
        <v>0</v>
      </c>
      <c r="C4454" s="16"/>
      <c r="D4454" s="12">
        <v>-5</v>
      </c>
      <c r="E4454" s="12" t="s">
        <v>5332</v>
      </c>
      <c r="F4454" s="12" t="s">
        <v>5328</v>
      </c>
      <c r="G4454" s="12" t="s">
        <v>13052</v>
      </c>
      <c r="H4454" s="12">
        <v>111598</v>
      </c>
    </row>
    <row r="4455" spans="1:8">
      <c r="A4455" s="12"/>
      <c r="B4455" s="13">
        <v>0</v>
      </c>
      <c r="C4455" s="16"/>
      <c r="D4455" s="12">
        <v>-5</v>
      </c>
      <c r="E4455" s="12" t="s">
        <v>5332</v>
      </c>
      <c r="F4455" s="12" t="s">
        <v>5328</v>
      </c>
      <c r="G4455" s="12" t="s">
        <v>13053</v>
      </c>
      <c r="H4455" s="12">
        <v>62671</v>
      </c>
    </row>
    <row r="4456" spans="1:8">
      <c r="A4456" s="12"/>
      <c r="B4456" s="13">
        <v>0</v>
      </c>
      <c r="C4456" s="16"/>
      <c r="D4456" s="12">
        <v>0</v>
      </c>
      <c r="E4456" s="12" t="s">
        <v>5332</v>
      </c>
      <c r="F4456" s="12" t="s">
        <v>5328</v>
      </c>
      <c r="G4456" s="12" t="s">
        <v>13054</v>
      </c>
      <c r="H4456" s="12">
        <v>60784</v>
      </c>
    </row>
    <row r="4457" spans="1:8">
      <c r="A4457" s="12" t="s">
        <v>13055</v>
      </c>
      <c r="B4457" s="13">
        <v>309.32</v>
      </c>
      <c r="C4457" s="16" t="s">
        <v>5331</v>
      </c>
      <c r="D4457" s="12">
        <v>1098</v>
      </c>
      <c r="E4457" s="12" t="s">
        <v>5332</v>
      </c>
      <c r="F4457" s="12" t="s">
        <v>5328</v>
      </c>
      <c r="G4457" s="12" t="s">
        <v>13056</v>
      </c>
      <c r="H4457" s="12">
        <v>183536</v>
      </c>
    </row>
    <row r="4458" spans="1:8">
      <c r="A4458" s="12" t="s">
        <v>13055</v>
      </c>
      <c r="B4458" s="13">
        <v>0</v>
      </c>
      <c r="C4458" s="16" t="s">
        <v>5331</v>
      </c>
      <c r="D4458" s="12">
        <v>1046</v>
      </c>
      <c r="E4458" s="12" t="s">
        <v>5332</v>
      </c>
      <c r="F4458" s="12" t="s">
        <v>5328</v>
      </c>
      <c r="G4458" s="12" t="s">
        <v>13057</v>
      </c>
      <c r="H4458" s="12">
        <v>165956</v>
      </c>
    </row>
    <row r="4459" spans="1:8">
      <c r="A4459" s="12" t="s">
        <v>13058</v>
      </c>
      <c r="B4459" s="14">
        <v>5552.21</v>
      </c>
      <c r="C4459" s="16" t="s">
        <v>5331</v>
      </c>
      <c r="D4459" s="12">
        <v>18986</v>
      </c>
      <c r="E4459" s="12" t="s">
        <v>5332</v>
      </c>
      <c r="F4459" s="12" t="s">
        <v>5328</v>
      </c>
      <c r="G4459" s="12" t="s">
        <v>13059</v>
      </c>
      <c r="H4459" s="12">
        <v>183537</v>
      </c>
    </row>
    <row r="4460" spans="1:8">
      <c r="A4460" s="12" t="s">
        <v>13058</v>
      </c>
      <c r="B4460" s="13">
        <v>0</v>
      </c>
      <c r="C4460" s="16" t="s">
        <v>5331</v>
      </c>
      <c r="D4460" s="12">
        <v>18082</v>
      </c>
      <c r="E4460" s="12" t="s">
        <v>5332</v>
      </c>
      <c r="F4460" s="12" t="s">
        <v>5328</v>
      </c>
      <c r="G4460" s="12" t="s">
        <v>13060</v>
      </c>
      <c r="H4460" s="12">
        <v>165957</v>
      </c>
    </row>
    <row r="4461" spans="1:8">
      <c r="A4461" s="12" t="s">
        <v>13061</v>
      </c>
      <c r="B4461" s="13">
        <v>954</v>
      </c>
      <c r="C4461" s="16" t="s">
        <v>5331</v>
      </c>
      <c r="D4461" s="12">
        <v>4494</v>
      </c>
      <c r="E4461" s="12" t="s">
        <v>5332</v>
      </c>
      <c r="F4461" s="12" t="s">
        <v>5328</v>
      </c>
      <c r="G4461" s="12" t="s">
        <v>13062</v>
      </c>
      <c r="H4461" s="12">
        <v>183538</v>
      </c>
    </row>
    <row r="4462" spans="1:8">
      <c r="A4462" s="12" t="s">
        <v>13061</v>
      </c>
      <c r="B4462" s="13">
        <v>0</v>
      </c>
      <c r="C4462" s="16" t="s">
        <v>5331</v>
      </c>
      <c r="D4462" s="12">
        <v>4155</v>
      </c>
      <c r="E4462" s="12" t="s">
        <v>5332</v>
      </c>
      <c r="F4462" s="12" t="s">
        <v>5328</v>
      </c>
      <c r="G4462" s="12" t="s">
        <v>13063</v>
      </c>
      <c r="H4462" s="12">
        <v>165958</v>
      </c>
    </row>
    <row r="4463" spans="1:8">
      <c r="A4463" s="12" t="s">
        <v>13064</v>
      </c>
      <c r="B4463" s="14">
        <v>3800</v>
      </c>
      <c r="C4463" s="16" t="s">
        <v>5331</v>
      </c>
      <c r="D4463" s="12">
        <v>13563</v>
      </c>
      <c r="E4463" s="12" t="s">
        <v>5332</v>
      </c>
      <c r="F4463" s="12" t="s">
        <v>5328</v>
      </c>
      <c r="G4463" s="12" t="s">
        <v>13065</v>
      </c>
      <c r="H4463" s="12">
        <v>183539</v>
      </c>
    </row>
    <row r="4464" spans="1:8">
      <c r="A4464" s="12" t="s">
        <v>13064</v>
      </c>
      <c r="B4464" s="13">
        <v>0</v>
      </c>
      <c r="C4464" s="16" t="s">
        <v>5331</v>
      </c>
      <c r="D4464" s="12">
        <v>12917</v>
      </c>
      <c r="E4464" s="12" t="s">
        <v>5332</v>
      </c>
      <c r="F4464" s="12" t="s">
        <v>5328</v>
      </c>
      <c r="G4464" s="12" t="s">
        <v>13066</v>
      </c>
      <c r="H4464" s="12">
        <v>165913</v>
      </c>
    </row>
    <row r="4465" spans="1:8">
      <c r="A4465" s="12" t="s">
        <v>13067</v>
      </c>
      <c r="B4465" s="13">
        <v>954</v>
      </c>
      <c r="C4465" s="16" t="s">
        <v>5331</v>
      </c>
      <c r="D4465" s="12">
        <v>4494</v>
      </c>
      <c r="E4465" s="12" t="s">
        <v>5332</v>
      </c>
      <c r="F4465" s="12" t="s">
        <v>5328</v>
      </c>
      <c r="G4465" s="12" t="s">
        <v>13068</v>
      </c>
      <c r="H4465" s="12">
        <v>183540</v>
      </c>
    </row>
    <row r="4466" spans="1:8">
      <c r="A4466" s="12" t="s">
        <v>13067</v>
      </c>
      <c r="B4466" s="13">
        <v>0</v>
      </c>
      <c r="C4466" s="16" t="s">
        <v>5331</v>
      </c>
      <c r="D4466" s="12">
        <v>4155</v>
      </c>
      <c r="E4466" s="12" t="s">
        <v>5332</v>
      </c>
      <c r="F4466" s="12" t="s">
        <v>5328</v>
      </c>
      <c r="G4466" s="12" t="s">
        <v>13069</v>
      </c>
      <c r="H4466" s="12">
        <v>165914</v>
      </c>
    </row>
    <row r="4467" spans="1:8">
      <c r="A4467" s="12" t="s">
        <v>13070</v>
      </c>
      <c r="B4467" s="13">
        <v>20</v>
      </c>
      <c r="C4467" s="16" t="s">
        <v>5331</v>
      </c>
      <c r="D4467" s="12">
        <v>347</v>
      </c>
      <c r="E4467" s="12" t="s">
        <v>5332</v>
      </c>
      <c r="F4467" s="12" t="s">
        <v>5328</v>
      </c>
      <c r="G4467" s="12" t="s">
        <v>13071</v>
      </c>
      <c r="H4467" s="12">
        <v>183541</v>
      </c>
    </row>
    <row r="4468" spans="1:8">
      <c r="A4468" s="12" t="s">
        <v>13070</v>
      </c>
      <c r="B4468" s="13">
        <v>0</v>
      </c>
      <c r="C4468" s="16" t="s">
        <v>5331</v>
      </c>
      <c r="D4468" s="12">
        <v>321</v>
      </c>
      <c r="E4468" s="12" t="s">
        <v>5332</v>
      </c>
      <c r="F4468" s="12" t="s">
        <v>5328</v>
      </c>
      <c r="G4468" s="12" t="s">
        <v>13072</v>
      </c>
      <c r="H4468" s="12">
        <v>165959</v>
      </c>
    </row>
    <row r="4469" spans="1:8">
      <c r="A4469" s="12" t="s">
        <v>13073</v>
      </c>
      <c r="B4469" s="13">
        <v>340.54</v>
      </c>
      <c r="C4469" s="16" t="s">
        <v>5331</v>
      </c>
      <c r="D4469" s="12">
        <v>2399</v>
      </c>
      <c r="E4469" s="12" t="s">
        <v>5332</v>
      </c>
      <c r="F4469" s="12" t="s">
        <v>5328</v>
      </c>
      <c r="G4469" s="12" t="s">
        <v>13074</v>
      </c>
      <c r="H4469" s="12">
        <v>183542</v>
      </c>
    </row>
    <row r="4470" spans="1:8">
      <c r="A4470" s="12" t="s">
        <v>13073</v>
      </c>
      <c r="B4470" s="13">
        <v>0</v>
      </c>
      <c r="C4470" s="16" t="s">
        <v>5331</v>
      </c>
      <c r="D4470" s="12">
        <v>2218</v>
      </c>
      <c r="E4470" s="12" t="s">
        <v>5332</v>
      </c>
      <c r="F4470" s="12" t="s">
        <v>5328</v>
      </c>
      <c r="G4470" s="12" t="s">
        <v>13075</v>
      </c>
      <c r="H4470" s="12">
        <v>165960</v>
      </c>
    </row>
    <row r="4471" spans="1:8">
      <c r="A4471" s="12" t="s">
        <v>13076</v>
      </c>
      <c r="B4471" s="14">
        <v>3346.78</v>
      </c>
      <c r="C4471" s="16" t="s">
        <v>5331</v>
      </c>
      <c r="D4471" s="12">
        <v>10352</v>
      </c>
      <c r="E4471" s="12" t="s">
        <v>5332</v>
      </c>
      <c r="F4471" s="12" t="s">
        <v>5328</v>
      </c>
      <c r="G4471" s="12" t="s">
        <v>13077</v>
      </c>
      <c r="H4471" s="12">
        <v>183543</v>
      </c>
    </row>
    <row r="4472" spans="1:8">
      <c r="A4472" s="12" t="s">
        <v>13076</v>
      </c>
      <c r="B4472" s="13">
        <v>0</v>
      </c>
      <c r="C4472" s="16" t="s">
        <v>5331</v>
      </c>
      <c r="D4472" s="12">
        <v>9859</v>
      </c>
      <c r="E4472" s="12" t="s">
        <v>5332</v>
      </c>
      <c r="F4472" s="12" t="s">
        <v>5328</v>
      </c>
      <c r="G4472" s="12" t="s">
        <v>13078</v>
      </c>
      <c r="H4472" s="12">
        <v>165961</v>
      </c>
    </row>
    <row r="4473" spans="1:8">
      <c r="A4473" s="12" t="s">
        <v>13079</v>
      </c>
      <c r="B4473" s="13">
        <v>697.93</v>
      </c>
      <c r="C4473" s="16" t="s">
        <v>5331</v>
      </c>
      <c r="D4473" s="12">
        <v>2453</v>
      </c>
      <c r="E4473" s="12" t="s">
        <v>5332</v>
      </c>
      <c r="F4473" s="12" t="s">
        <v>5328</v>
      </c>
      <c r="G4473" s="12" t="s">
        <v>13080</v>
      </c>
      <c r="H4473" s="12">
        <v>183544</v>
      </c>
    </row>
    <row r="4474" spans="1:8">
      <c r="A4474" s="12" t="s">
        <v>13079</v>
      </c>
      <c r="B4474" s="13">
        <v>0</v>
      </c>
      <c r="C4474" s="16" t="s">
        <v>5331</v>
      </c>
      <c r="D4474" s="12">
        <v>2336</v>
      </c>
      <c r="E4474" s="12" t="s">
        <v>5332</v>
      </c>
      <c r="F4474" s="12" t="s">
        <v>5328</v>
      </c>
      <c r="G4474" s="12" t="s">
        <v>13081</v>
      </c>
      <c r="H4474" s="12">
        <v>165915</v>
      </c>
    </row>
    <row r="4475" spans="1:8">
      <c r="A4475" s="12" t="s">
        <v>13082</v>
      </c>
      <c r="B4475" s="13">
        <v>0</v>
      </c>
      <c r="C4475" s="16" t="s">
        <v>5331</v>
      </c>
      <c r="D4475" s="12">
        <v>9592</v>
      </c>
      <c r="E4475" s="12" t="s">
        <v>5332</v>
      </c>
      <c r="F4475" s="12" t="s">
        <v>5328</v>
      </c>
      <c r="G4475" s="12" t="s">
        <v>13083</v>
      </c>
      <c r="H4475" s="12">
        <v>183545</v>
      </c>
    </row>
    <row r="4476" spans="1:8">
      <c r="A4476" s="12" t="s">
        <v>13082</v>
      </c>
      <c r="B4476" s="13">
        <v>0</v>
      </c>
      <c r="C4476" s="16" t="s">
        <v>5331</v>
      </c>
      <c r="D4476" s="12">
        <v>9135</v>
      </c>
      <c r="E4476" s="12" t="s">
        <v>5332</v>
      </c>
      <c r="F4476" s="12" t="s">
        <v>5328</v>
      </c>
      <c r="G4476" s="12" t="s">
        <v>13084</v>
      </c>
      <c r="H4476" s="12">
        <v>165916</v>
      </c>
    </row>
    <row r="4477" spans="1:8">
      <c r="A4477" s="12" t="s">
        <v>13085</v>
      </c>
      <c r="B4477" s="13">
        <v>249.75</v>
      </c>
      <c r="C4477" s="16" t="s">
        <v>5331</v>
      </c>
      <c r="D4477" s="12">
        <v>992</v>
      </c>
      <c r="E4477" s="12" t="s">
        <v>5332</v>
      </c>
      <c r="F4477" s="12" t="s">
        <v>5328</v>
      </c>
      <c r="G4477" s="12" t="s">
        <v>13086</v>
      </c>
      <c r="H4477" s="12">
        <v>183546</v>
      </c>
    </row>
    <row r="4478" spans="1:8">
      <c r="A4478" s="12" t="s">
        <v>13085</v>
      </c>
      <c r="B4478" s="13">
        <v>0</v>
      </c>
      <c r="C4478" s="16" t="s">
        <v>5331</v>
      </c>
      <c r="D4478" s="12">
        <v>945</v>
      </c>
      <c r="E4478" s="12" t="s">
        <v>5332</v>
      </c>
      <c r="F4478" s="12" t="s">
        <v>5328</v>
      </c>
      <c r="G4478" s="12" t="s">
        <v>13087</v>
      </c>
      <c r="H4478" s="12">
        <v>165962</v>
      </c>
    </row>
    <row r="4479" spans="1:8">
      <c r="A4479" s="12" t="s">
        <v>13088</v>
      </c>
      <c r="B4479" s="14">
        <v>1833.73</v>
      </c>
      <c r="C4479" s="16" t="s">
        <v>5331</v>
      </c>
      <c r="D4479" s="12">
        <v>5052</v>
      </c>
      <c r="E4479" s="12" t="s">
        <v>5332</v>
      </c>
      <c r="F4479" s="12" t="s">
        <v>5328</v>
      </c>
      <c r="G4479" s="12" t="s">
        <v>13089</v>
      </c>
      <c r="H4479" s="12">
        <v>183547</v>
      </c>
    </row>
    <row r="4480" spans="1:8">
      <c r="A4480" s="12" t="s">
        <v>13090</v>
      </c>
      <c r="B4480" s="13">
        <v>0</v>
      </c>
      <c r="C4480" s="16" t="s">
        <v>5331</v>
      </c>
      <c r="D4480" s="12">
        <v>4811</v>
      </c>
      <c r="E4480" s="12" t="s">
        <v>5332</v>
      </c>
      <c r="F4480" s="12" t="s">
        <v>5328</v>
      </c>
      <c r="G4480" s="12" t="s">
        <v>13091</v>
      </c>
      <c r="H4480" s="12">
        <v>165963</v>
      </c>
    </row>
    <row r="4481" spans="1:8">
      <c r="A4481" s="12" t="s">
        <v>13092</v>
      </c>
      <c r="B4481" s="13">
        <v>112.15</v>
      </c>
      <c r="C4481" s="16" t="s">
        <v>5331</v>
      </c>
      <c r="D4481" s="12">
        <v>309</v>
      </c>
      <c r="E4481" s="12" t="s">
        <v>5332</v>
      </c>
      <c r="F4481" s="12" t="s">
        <v>5328</v>
      </c>
      <c r="G4481" s="12" t="s">
        <v>13093</v>
      </c>
      <c r="H4481" s="12">
        <v>183548</v>
      </c>
    </row>
    <row r="4482" spans="1:8">
      <c r="A4482" s="12" t="s">
        <v>13092</v>
      </c>
      <c r="B4482" s="13">
        <v>0</v>
      </c>
      <c r="C4482" s="16" t="s">
        <v>5331</v>
      </c>
      <c r="D4482" s="12">
        <v>294</v>
      </c>
      <c r="E4482" s="12" t="s">
        <v>5332</v>
      </c>
      <c r="F4482" s="12" t="s">
        <v>5328</v>
      </c>
      <c r="G4482" s="12" t="s">
        <v>13094</v>
      </c>
      <c r="H4482" s="12">
        <v>165964</v>
      </c>
    </row>
    <row r="4483" spans="1:8">
      <c r="A4483" s="12" t="s">
        <v>13095</v>
      </c>
      <c r="B4483" s="13">
        <v>72.56</v>
      </c>
      <c r="C4483" s="16" t="s">
        <v>5331</v>
      </c>
      <c r="D4483" s="12">
        <v>306</v>
      </c>
      <c r="E4483" s="12" t="s">
        <v>5332</v>
      </c>
      <c r="F4483" s="12" t="s">
        <v>5328</v>
      </c>
      <c r="G4483" s="12" t="s">
        <v>13096</v>
      </c>
      <c r="H4483" s="12">
        <v>183549</v>
      </c>
    </row>
    <row r="4484" spans="1:8">
      <c r="A4484" s="12" t="s">
        <v>13095</v>
      </c>
      <c r="B4484" s="13">
        <v>0</v>
      </c>
      <c r="C4484" s="16" t="s">
        <v>5331</v>
      </c>
      <c r="D4484" s="12">
        <v>291</v>
      </c>
      <c r="E4484" s="12" t="s">
        <v>5332</v>
      </c>
      <c r="F4484" s="12" t="s">
        <v>5328</v>
      </c>
      <c r="G4484" s="12" t="s">
        <v>13097</v>
      </c>
      <c r="H4484" s="12">
        <v>165917</v>
      </c>
    </row>
    <row r="4485" spans="1:8">
      <c r="A4485" s="12" t="s">
        <v>13098</v>
      </c>
      <c r="B4485" s="13">
        <v>99.13</v>
      </c>
      <c r="C4485" s="16" t="s">
        <v>5331</v>
      </c>
      <c r="D4485" s="12">
        <v>310</v>
      </c>
      <c r="E4485" s="12" t="s">
        <v>5332</v>
      </c>
      <c r="F4485" s="12" t="s">
        <v>5328</v>
      </c>
      <c r="G4485" s="12" t="s">
        <v>13099</v>
      </c>
      <c r="H4485" s="12">
        <v>183550</v>
      </c>
    </row>
    <row r="4486" spans="1:8">
      <c r="A4486" s="12" t="s">
        <v>13100</v>
      </c>
      <c r="B4486" s="13">
        <v>0</v>
      </c>
      <c r="C4486" s="16" t="s">
        <v>5331</v>
      </c>
      <c r="D4486" s="12">
        <v>295</v>
      </c>
      <c r="E4486" s="12" t="s">
        <v>5332</v>
      </c>
      <c r="F4486" s="12" t="s">
        <v>5328</v>
      </c>
      <c r="G4486" s="12" t="s">
        <v>13101</v>
      </c>
      <c r="H4486" s="12">
        <v>165965</v>
      </c>
    </row>
    <row r="4487" spans="1:8">
      <c r="A4487" s="12" t="s">
        <v>13102</v>
      </c>
      <c r="B4487" s="13">
        <v>83.98</v>
      </c>
      <c r="C4487" s="16" t="s">
        <v>5331</v>
      </c>
      <c r="D4487" s="12">
        <v>292</v>
      </c>
      <c r="E4487" s="12" t="s">
        <v>5332</v>
      </c>
      <c r="F4487" s="12" t="s">
        <v>5328</v>
      </c>
      <c r="G4487" s="12" t="s">
        <v>13103</v>
      </c>
      <c r="H4487" s="12">
        <v>183551</v>
      </c>
    </row>
    <row r="4488" spans="1:8">
      <c r="A4488" s="12" t="s">
        <v>13104</v>
      </c>
      <c r="B4488" s="13">
        <v>0</v>
      </c>
      <c r="C4488" s="16" t="s">
        <v>5331</v>
      </c>
      <c r="D4488" s="12">
        <v>278</v>
      </c>
      <c r="E4488" s="12" t="s">
        <v>5332</v>
      </c>
      <c r="F4488" s="12" t="s">
        <v>5328</v>
      </c>
      <c r="G4488" s="12" t="s">
        <v>13105</v>
      </c>
      <c r="H4488" s="12">
        <v>165966</v>
      </c>
    </row>
    <row r="4489" spans="1:8">
      <c r="A4489" s="12" t="s">
        <v>13106</v>
      </c>
      <c r="B4489" s="13">
        <v>116.94</v>
      </c>
      <c r="C4489" s="16" t="s">
        <v>5331</v>
      </c>
      <c r="D4489" s="12">
        <v>303</v>
      </c>
      <c r="E4489" s="12" t="s">
        <v>5332</v>
      </c>
      <c r="F4489" s="12" t="s">
        <v>5328</v>
      </c>
      <c r="G4489" s="12" t="s">
        <v>13107</v>
      </c>
      <c r="H4489" s="12">
        <v>183552</v>
      </c>
    </row>
    <row r="4490" spans="1:8">
      <c r="A4490" s="12" t="s">
        <v>13106</v>
      </c>
      <c r="B4490" s="13">
        <v>0</v>
      </c>
      <c r="C4490" s="16" t="s">
        <v>5331</v>
      </c>
      <c r="D4490" s="12">
        <v>289</v>
      </c>
      <c r="E4490" s="12" t="s">
        <v>5332</v>
      </c>
      <c r="F4490" s="12" t="s">
        <v>5328</v>
      </c>
      <c r="G4490" s="12" t="s">
        <v>13108</v>
      </c>
      <c r="H4490" s="12">
        <v>165918</v>
      </c>
    </row>
    <row r="4491" spans="1:8">
      <c r="A4491" s="12" t="s">
        <v>13109</v>
      </c>
      <c r="B4491" s="13">
        <v>92.65</v>
      </c>
      <c r="C4491" s="16" t="s">
        <v>5331</v>
      </c>
      <c r="D4491" s="12">
        <v>329</v>
      </c>
      <c r="E4491" s="12" t="s">
        <v>5332</v>
      </c>
      <c r="F4491" s="12" t="s">
        <v>5328</v>
      </c>
      <c r="G4491" s="12" t="s">
        <v>13110</v>
      </c>
      <c r="H4491" s="12">
        <v>183553</v>
      </c>
    </row>
    <row r="4492" spans="1:8">
      <c r="A4492" s="12" t="s">
        <v>13109</v>
      </c>
      <c r="B4492" s="13">
        <v>0</v>
      </c>
      <c r="C4492" s="16" t="s">
        <v>5331</v>
      </c>
      <c r="D4492" s="12">
        <v>313</v>
      </c>
      <c r="E4492" s="12" t="s">
        <v>5332</v>
      </c>
      <c r="F4492" s="12" t="s">
        <v>5328</v>
      </c>
      <c r="G4492" s="12" t="s">
        <v>13111</v>
      </c>
      <c r="H4492" s="12">
        <v>165967</v>
      </c>
    </row>
    <row r="4493" spans="1:8">
      <c r="A4493" s="12" t="s">
        <v>13112</v>
      </c>
      <c r="B4493" s="13">
        <v>62.99</v>
      </c>
      <c r="C4493" s="16" t="s">
        <v>5331</v>
      </c>
      <c r="D4493" s="12">
        <v>277</v>
      </c>
      <c r="E4493" s="12" t="s">
        <v>5332</v>
      </c>
      <c r="F4493" s="12" t="s">
        <v>5328</v>
      </c>
      <c r="G4493" s="12" t="s">
        <v>13113</v>
      </c>
      <c r="H4493" s="12">
        <v>183554</v>
      </c>
    </row>
    <row r="4494" spans="1:8">
      <c r="A4494" s="12" t="s">
        <v>13114</v>
      </c>
      <c r="B4494" s="13">
        <v>0</v>
      </c>
      <c r="C4494" s="16" t="s">
        <v>5331</v>
      </c>
      <c r="D4494" s="12">
        <v>264</v>
      </c>
      <c r="E4494" s="12" t="s">
        <v>5332</v>
      </c>
      <c r="F4494" s="12" t="s">
        <v>5328</v>
      </c>
      <c r="G4494" s="12" t="s">
        <v>13115</v>
      </c>
      <c r="H4494" s="12">
        <v>165968</v>
      </c>
    </row>
    <row r="4495" spans="1:8">
      <c r="A4495" s="12" t="s">
        <v>13116</v>
      </c>
      <c r="B4495" s="13">
        <v>105.25</v>
      </c>
      <c r="C4495" s="16" t="s">
        <v>5331</v>
      </c>
      <c r="D4495" s="12">
        <v>365</v>
      </c>
      <c r="E4495" s="12" t="s">
        <v>5332</v>
      </c>
      <c r="F4495" s="12" t="s">
        <v>5328</v>
      </c>
      <c r="G4495" s="12" t="s">
        <v>13117</v>
      </c>
      <c r="H4495" s="12">
        <v>183555</v>
      </c>
    </row>
    <row r="4496" spans="1:8">
      <c r="A4496" s="12" t="s">
        <v>13116</v>
      </c>
      <c r="B4496" s="13">
        <v>0</v>
      </c>
      <c r="C4496" s="16" t="s">
        <v>5331</v>
      </c>
      <c r="D4496" s="12">
        <v>348</v>
      </c>
      <c r="E4496" s="12" t="s">
        <v>5332</v>
      </c>
      <c r="F4496" s="12" t="s">
        <v>5328</v>
      </c>
      <c r="G4496" s="12" t="s">
        <v>13118</v>
      </c>
      <c r="H4496" s="12">
        <v>165969</v>
      </c>
    </row>
    <row r="4497" spans="1:8">
      <c r="A4497" s="12" t="s">
        <v>13119</v>
      </c>
      <c r="B4497" s="13">
        <v>167.5</v>
      </c>
      <c r="C4497" s="16" t="s">
        <v>5331</v>
      </c>
      <c r="D4497" s="12">
        <v>685</v>
      </c>
      <c r="E4497" s="12" t="s">
        <v>5332</v>
      </c>
      <c r="F4497" s="12" t="s">
        <v>5328</v>
      </c>
      <c r="G4497" s="12" t="s">
        <v>13120</v>
      </c>
      <c r="H4497" s="12">
        <v>183556</v>
      </c>
    </row>
    <row r="4498" spans="1:8">
      <c r="A4498" s="12" t="s">
        <v>13121</v>
      </c>
      <c r="B4498" s="13">
        <v>0</v>
      </c>
      <c r="C4498" s="16" t="s">
        <v>5331</v>
      </c>
      <c r="D4498" s="12">
        <v>652</v>
      </c>
      <c r="E4498" s="12" t="s">
        <v>5332</v>
      </c>
      <c r="F4498" s="12" t="s">
        <v>5328</v>
      </c>
      <c r="G4498" s="12" t="s">
        <v>13122</v>
      </c>
      <c r="H4498" s="12">
        <v>165970</v>
      </c>
    </row>
    <row r="4499" spans="1:8">
      <c r="A4499" s="12" t="s">
        <v>13123</v>
      </c>
      <c r="B4499" s="13">
        <v>297.02999999999997</v>
      </c>
      <c r="C4499" s="16" t="s">
        <v>5331</v>
      </c>
      <c r="D4499" s="12">
        <v>760</v>
      </c>
      <c r="E4499" s="12" t="s">
        <v>5332</v>
      </c>
      <c r="F4499" s="12" t="s">
        <v>5328</v>
      </c>
      <c r="G4499" s="12" t="s">
        <v>13124</v>
      </c>
      <c r="H4499" s="12">
        <v>202510</v>
      </c>
    </row>
    <row r="4500" spans="1:8">
      <c r="A4500" s="12" t="s">
        <v>13123</v>
      </c>
      <c r="B4500" s="13">
        <v>210.22</v>
      </c>
      <c r="C4500" s="16" t="s">
        <v>5331</v>
      </c>
      <c r="D4500" s="12">
        <v>724</v>
      </c>
      <c r="E4500" s="12" t="s">
        <v>5332</v>
      </c>
      <c r="F4500" s="12" t="s">
        <v>5328</v>
      </c>
      <c r="G4500" s="12" t="s">
        <v>13125</v>
      </c>
      <c r="H4500" s="12">
        <v>166169</v>
      </c>
    </row>
    <row r="4501" spans="1:8">
      <c r="A4501" s="12" t="s">
        <v>13126</v>
      </c>
      <c r="B4501" s="13">
        <v>79.25</v>
      </c>
      <c r="C4501" s="16" t="s">
        <v>5331</v>
      </c>
      <c r="D4501" s="12">
        <v>429</v>
      </c>
      <c r="E4501" s="12" t="s">
        <v>5332</v>
      </c>
      <c r="F4501" s="12" t="s">
        <v>5328</v>
      </c>
      <c r="G4501" s="12" t="s">
        <v>13127</v>
      </c>
      <c r="H4501" s="12">
        <v>183557</v>
      </c>
    </row>
    <row r="4502" spans="1:8">
      <c r="A4502" s="12" t="s">
        <v>13128</v>
      </c>
      <c r="B4502" s="13">
        <v>0</v>
      </c>
      <c r="C4502" s="16" t="s">
        <v>5331</v>
      </c>
      <c r="D4502" s="12">
        <v>409</v>
      </c>
      <c r="E4502" s="12" t="s">
        <v>5332</v>
      </c>
      <c r="F4502" s="12" t="s">
        <v>5328</v>
      </c>
      <c r="G4502" s="12" t="s">
        <v>13129</v>
      </c>
      <c r="H4502" s="12">
        <v>165971</v>
      </c>
    </row>
    <row r="4503" spans="1:8">
      <c r="A4503" s="12" t="s">
        <v>13130</v>
      </c>
      <c r="B4503" s="13">
        <v>202.78</v>
      </c>
      <c r="C4503" s="16" t="s">
        <v>5331</v>
      </c>
      <c r="D4503" s="12">
        <v>566</v>
      </c>
      <c r="E4503" s="12" t="s">
        <v>5332</v>
      </c>
      <c r="F4503" s="12" t="s">
        <v>5328</v>
      </c>
      <c r="G4503" s="12" t="s">
        <v>13131</v>
      </c>
      <c r="H4503" s="12">
        <v>183558</v>
      </c>
    </row>
    <row r="4504" spans="1:8">
      <c r="A4504" s="12" t="s">
        <v>13130</v>
      </c>
      <c r="B4504" s="13">
        <v>0</v>
      </c>
      <c r="C4504" s="16" t="s">
        <v>5331</v>
      </c>
      <c r="D4504" s="12">
        <v>539</v>
      </c>
      <c r="E4504" s="12" t="s">
        <v>5332</v>
      </c>
      <c r="F4504" s="12" t="s">
        <v>5328</v>
      </c>
      <c r="G4504" s="12" t="s">
        <v>13132</v>
      </c>
      <c r="H4504" s="12">
        <v>165972</v>
      </c>
    </row>
    <row r="4505" spans="1:8">
      <c r="A4505" s="12" t="s">
        <v>13133</v>
      </c>
      <c r="B4505" s="13">
        <v>96.54</v>
      </c>
      <c r="C4505" s="16" t="s">
        <v>5331</v>
      </c>
      <c r="D4505" s="12">
        <v>306</v>
      </c>
      <c r="E4505" s="12" t="s">
        <v>5332</v>
      </c>
      <c r="F4505" s="12" t="s">
        <v>5328</v>
      </c>
      <c r="G4505" s="12" t="s">
        <v>13134</v>
      </c>
      <c r="H4505" s="12">
        <v>183559</v>
      </c>
    </row>
    <row r="4506" spans="1:8">
      <c r="A4506" s="12" t="s">
        <v>13135</v>
      </c>
      <c r="B4506" s="13">
        <v>0</v>
      </c>
      <c r="C4506" s="16" t="s">
        <v>5331</v>
      </c>
      <c r="D4506" s="12">
        <v>291</v>
      </c>
      <c r="E4506" s="12" t="s">
        <v>5332</v>
      </c>
      <c r="F4506" s="12" t="s">
        <v>5328</v>
      </c>
      <c r="G4506" s="12" t="s">
        <v>13136</v>
      </c>
      <c r="H4506" s="12">
        <v>165919</v>
      </c>
    </row>
    <row r="4507" spans="1:8">
      <c r="A4507" s="12" t="s">
        <v>13137</v>
      </c>
      <c r="B4507" s="13">
        <v>298.75</v>
      </c>
      <c r="C4507" s="16" t="s">
        <v>5331</v>
      </c>
      <c r="D4507" s="12">
        <v>1044</v>
      </c>
      <c r="E4507" s="12" t="s">
        <v>5332</v>
      </c>
      <c r="F4507" s="12" t="s">
        <v>5328</v>
      </c>
      <c r="G4507" s="12" t="s">
        <v>13138</v>
      </c>
      <c r="H4507" s="12">
        <v>183560</v>
      </c>
    </row>
    <row r="4508" spans="1:8">
      <c r="A4508" s="12" t="s">
        <v>13137</v>
      </c>
      <c r="B4508" s="13">
        <v>0</v>
      </c>
      <c r="C4508" s="16" t="s">
        <v>5331</v>
      </c>
      <c r="D4508" s="12">
        <v>994</v>
      </c>
      <c r="E4508" s="12" t="s">
        <v>5332</v>
      </c>
      <c r="F4508" s="12" t="s">
        <v>5328</v>
      </c>
      <c r="G4508" s="12" t="s">
        <v>13139</v>
      </c>
      <c r="H4508" s="12">
        <v>165973</v>
      </c>
    </row>
    <row r="4509" spans="1:8">
      <c r="A4509" s="12" t="s">
        <v>13140</v>
      </c>
      <c r="B4509" s="13">
        <v>30.5</v>
      </c>
      <c r="C4509" s="16" t="s">
        <v>5331</v>
      </c>
      <c r="D4509" s="12">
        <v>271</v>
      </c>
      <c r="E4509" s="12" t="s">
        <v>5332</v>
      </c>
      <c r="F4509" s="12" t="s">
        <v>5328</v>
      </c>
      <c r="G4509" s="12" t="s">
        <v>13141</v>
      </c>
      <c r="H4509" s="12">
        <v>183561</v>
      </c>
    </row>
    <row r="4510" spans="1:8">
      <c r="A4510" s="12" t="s">
        <v>13142</v>
      </c>
      <c r="B4510" s="13">
        <v>0</v>
      </c>
      <c r="C4510" s="16" t="s">
        <v>5331</v>
      </c>
      <c r="D4510" s="12">
        <v>258</v>
      </c>
      <c r="E4510" s="12" t="s">
        <v>5332</v>
      </c>
      <c r="F4510" s="12" t="s">
        <v>5328</v>
      </c>
      <c r="G4510" s="12" t="s">
        <v>13143</v>
      </c>
      <c r="H4510" s="12">
        <v>165974</v>
      </c>
    </row>
    <row r="4511" spans="1:8">
      <c r="A4511" s="12" t="s">
        <v>13144</v>
      </c>
      <c r="B4511" s="14">
        <v>1308.3499999999999</v>
      </c>
      <c r="C4511" s="16" t="s">
        <v>5331</v>
      </c>
      <c r="D4511" s="12">
        <v>3049</v>
      </c>
      <c r="E4511" s="12" t="s">
        <v>5332</v>
      </c>
      <c r="F4511" s="12" t="s">
        <v>5328</v>
      </c>
      <c r="G4511" s="12" t="s">
        <v>13145</v>
      </c>
      <c r="H4511" s="12">
        <v>183562</v>
      </c>
    </row>
    <row r="4512" spans="1:8">
      <c r="A4512" s="12" t="s">
        <v>13144</v>
      </c>
      <c r="B4512" s="13">
        <v>0</v>
      </c>
      <c r="C4512" s="16" t="s">
        <v>5331</v>
      </c>
      <c r="D4512" s="12">
        <v>2904</v>
      </c>
      <c r="E4512" s="12" t="s">
        <v>5332</v>
      </c>
      <c r="F4512" s="12" t="s">
        <v>5328</v>
      </c>
      <c r="G4512" s="12" t="s">
        <v>13146</v>
      </c>
      <c r="H4512" s="12">
        <v>165975</v>
      </c>
    </row>
    <row r="4513" spans="1:8">
      <c r="A4513" s="12" t="s">
        <v>13147</v>
      </c>
      <c r="B4513" s="13">
        <v>206.49</v>
      </c>
      <c r="C4513" s="16" t="s">
        <v>5331</v>
      </c>
      <c r="D4513" s="12">
        <v>588</v>
      </c>
      <c r="E4513" s="12" t="s">
        <v>5332</v>
      </c>
      <c r="F4513" s="12" t="s">
        <v>5328</v>
      </c>
      <c r="G4513" s="12" t="s">
        <v>13148</v>
      </c>
      <c r="H4513" s="12">
        <v>183563</v>
      </c>
    </row>
    <row r="4514" spans="1:8">
      <c r="A4514" s="12" t="s">
        <v>13147</v>
      </c>
      <c r="B4514" s="13">
        <v>0</v>
      </c>
      <c r="C4514" s="16" t="s">
        <v>5331</v>
      </c>
      <c r="D4514" s="12">
        <v>560</v>
      </c>
      <c r="E4514" s="12" t="s">
        <v>5332</v>
      </c>
      <c r="F4514" s="12" t="s">
        <v>5328</v>
      </c>
      <c r="G4514" s="12" t="s">
        <v>13149</v>
      </c>
      <c r="H4514" s="12">
        <v>165976</v>
      </c>
    </row>
    <row r="4515" spans="1:8">
      <c r="A4515" s="12" t="s">
        <v>13150</v>
      </c>
      <c r="B4515" s="13">
        <v>155.75</v>
      </c>
      <c r="C4515" s="16" t="s">
        <v>5331</v>
      </c>
      <c r="D4515" s="12">
        <v>604</v>
      </c>
      <c r="E4515" s="12" t="s">
        <v>5332</v>
      </c>
      <c r="F4515" s="12" t="s">
        <v>5328</v>
      </c>
      <c r="G4515" s="12" t="s">
        <v>13151</v>
      </c>
      <c r="H4515" s="12">
        <v>183564</v>
      </c>
    </row>
    <row r="4516" spans="1:8">
      <c r="A4516" s="12" t="s">
        <v>13150</v>
      </c>
      <c r="B4516" s="13">
        <v>0</v>
      </c>
      <c r="C4516" s="16" t="s">
        <v>5331</v>
      </c>
      <c r="D4516" s="12">
        <v>558</v>
      </c>
      <c r="E4516" s="12" t="s">
        <v>5332</v>
      </c>
      <c r="F4516" s="12" t="s">
        <v>5328</v>
      </c>
      <c r="G4516" s="12" t="s">
        <v>13152</v>
      </c>
      <c r="H4516" s="12">
        <v>165920</v>
      </c>
    </row>
    <row r="4517" spans="1:8">
      <c r="A4517" s="12" t="s">
        <v>13153</v>
      </c>
      <c r="B4517" s="13">
        <v>91.5</v>
      </c>
      <c r="C4517" s="16" t="s">
        <v>5331</v>
      </c>
      <c r="D4517" s="12">
        <v>380</v>
      </c>
      <c r="E4517" s="12" t="s">
        <v>5332</v>
      </c>
      <c r="F4517" s="12" t="s">
        <v>5328</v>
      </c>
      <c r="G4517" s="12" t="s">
        <v>13154</v>
      </c>
      <c r="H4517" s="12">
        <v>183565</v>
      </c>
    </row>
    <row r="4518" spans="1:8">
      <c r="A4518" s="12" t="s">
        <v>13155</v>
      </c>
      <c r="B4518" s="13">
        <v>0</v>
      </c>
      <c r="C4518" s="16" t="s">
        <v>5331</v>
      </c>
      <c r="D4518" s="12">
        <v>362</v>
      </c>
      <c r="E4518" s="12" t="s">
        <v>5332</v>
      </c>
      <c r="F4518" s="12" t="s">
        <v>5328</v>
      </c>
      <c r="G4518" s="12" t="s">
        <v>13156</v>
      </c>
      <c r="H4518" s="12">
        <v>165977</v>
      </c>
    </row>
    <row r="4519" spans="1:8">
      <c r="A4519" s="12" t="s">
        <v>13157</v>
      </c>
      <c r="B4519" s="13">
        <v>11.4</v>
      </c>
      <c r="C4519" s="16" t="s">
        <v>5331</v>
      </c>
      <c r="D4519" s="12">
        <v>146</v>
      </c>
      <c r="E4519" s="12" t="s">
        <v>5332</v>
      </c>
      <c r="F4519" s="12" t="s">
        <v>5328</v>
      </c>
      <c r="G4519" s="12" t="s">
        <v>13158</v>
      </c>
      <c r="H4519" s="12">
        <v>202511</v>
      </c>
    </row>
    <row r="4520" spans="1:8">
      <c r="A4520" s="12" t="s">
        <v>13159</v>
      </c>
      <c r="B4520" s="13">
        <v>10.76</v>
      </c>
      <c r="C4520" s="16" t="s">
        <v>5331</v>
      </c>
      <c r="D4520" s="12">
        <v>139</v>
      </c>
      <c r="E4520" s="12" t="s">
        <v>5332</v>
      </c>
      <c r="F4520" s="12" t="s">
        <v>5328</v>
      </c>
      <c r="G4520" s="12" t="s">
        <v>13160</v>
      </c>
      <c r="H4520" s="12">
        <v>166179</v>
      </c>
    </row>
    <row r="4521" spans="1:8">
      <c r="A4521" s="12" t="s">
        <v>13161</v>
      </c>
      <c r="B4521" s="13">
        <v>25.75</v>
      </c>
      <c r="C4521" s="16" t="s">
        <v>5331</v>
      </c>
      <c r="D4521" s="12">
        <v>204</v>
      </c>
      <c r="E4521" s="12" t="s">
        <v>5332</v>
      </c>
      <c r="F4521" s="12" t="s">
        <v>5328</v>
      </c>
      <c r="G4521" s="12" t="s">
        <v>13162</v>
      </c>
      <c r="H4521" s="12">
        <v>183566</v>
      </c>
    </row>
    <row r="4522" spans="1:8">
      <c r="A4522" s="12" t="s">
        <v>13161</v>
      </c>
      <c r="B4522" s="13">
        <v>0</v>
      </c>
      <c r="C4522" s="16" t="s">
        <v>5331</v>
      </c>
      <c r="D4522" s="12">
        <v>194</v>
      </c>
      <c r="E4522" s="12" t="s">
        <v>5332</v>
      </c>
      <c r="F4522" s="12" t="s">
        <v>5328</v>
      </c>
      <c r="G4522" s="12" t="s">
        <v>13163</v>
      </c>
      <c r="H4522" s="12">
        <v>165921</v>
      </c>
    </row>
    <row r="4523" spans="1:8">
      <c r="A4523" s="12" t="s">
        <v>13164</v>
      </c>
      <c r="B4523" s="13">
        <v>247.69</v>
      </c>
      <c r="C4523" s="16" t="s">
        <v>5331</v>
      </c>
      <c r="D4523" s="12">
        <v>728</v>
      </c>
      <c r="E4523" s="12" t="s">
        <v>5332</v>
      </c>
      <c r="F4523" s="12" t="s">
        <v>5328</v>
      </c>
      <c r="G4523" s="12" t="s">
        <v>13165</v>
      </c>
      <c r="H4523" s="12">
        <v>183567</v>
      </c>
    </row>
    <row r="4524" spans="1:8">
      <c r="A4524" s="12" t="s">
        <v>13166</v>
      </c>
      <c r="B4524" s="13">
        <v>0</v>
      </c>
      <c r="C4524" s="16" t="s">
        <v>5331</v>
      </c>
      <c r="D4524" s="12">
        <v>693</v>
      </c>
      <c r="E4524" s="12" t="s">
        <v>5332</v>
      </c>
      <c r="F4524" s="12" t="s">
        <v>5328</v>
      </c>
      <c r="G4524" s="12" t="s">
        <v>13167</v>
      </c>
      <c r="H4524" s="12">
        <v>165978</v>
      </c>
    </row>
    <row r="4525" spans="1:8">
      <c r="A4525" s="12" t="s">
        <v>13168</v>
      </c>
      <c r="B4525" s="13">
        <v>0</v>
      </c>
      <c r="C4525" s="16" t="s">
        <v>5331</v>
      </c>
      <c r="D4525" s="12">
        <v>439</v>
      </c>
      <c r="E4525" s="12" t="s">
        <v>5332</v>
      </c>
      <c r="F4525" s="12" t="s">
        <v>5328</v>
      </c>
      <c r="G4525" s="12" t="s">
        <v>13169</v>
      </c>
      <c r="H4525" s="12">
        <v>183568</v>
      </c>
    </row>
    <row r="4526" spans="1:8">
      <c r="A4526" s="12" t="s">
        <v>13168</v>
      </c>
      <c r="B4526" s="13">
        <v>0</v>
      </c>
      <c r="C4526" s="16" t="s">
        <v>5331</v>
      </c>
      <c r="D4526" s="12">
        <v>418</v>
      </c>
      <c r="E4526" s="12" t="s">
        <v>5332</v>
      </c>
      <c r="F4526" s="12" t="s">
        <v>5328</v>
      </c>
      <c r="G4526" s="12" t="s">
        <v>13170</v>
      </c>
      <c r="H4526" s="12">
        <v>165979</v>
      </c>
    </row>
    <row r="4527" spans="1:8">
      <c r="A4527" s="12" t="s">
        <v>13171</v>
      </c>
      <c r="B4527" s="14">
        <v>7336.02</v>
      </c>
      <c r="C4527" s="16" t="s">
        <v>5331</v>
      </c>
      <c r="D4527" s="12">
        <v>41515</v>
      </c>
      <c r="E4527" s="12" t="s">
        <v>5332</v>
      </c>
      <c r="F4527" s="12" t="s">
        <v>5328</v>
      </c>
      <c r="G4527" s="12" t="s">
        <v>13172</v>
      </c>
      <c r="H4527" s="12">
        <v>183569</v>
      </c>
    </row>
    <row r="4528" spans="1:8">
      <c r="A4528" s="12" t="s">
        <v>13171</v>
      </c>
      <c r="B4528" s="13">
        <v>0</v>
      </c>
      <c r="C4528" s="16" t="s">
        <v>5331</v>
      </c>
      <c r="D4528" s="12">
        <v>39538</v>
      </c>
      <c r="E4528" s="12" t="s">
        <v>5332</v>
      </c>
      <c r="F4528" s="12" t="s">
        <v>5328</v>
      </c>
      <c r="G4528" s="12" t="s">
        <v>13173</v>
      </c>
      <c r="H4528" s="12">
        <v>165980</v>
      </c>
    </row>
    <row r="4529" spans="1:8">
      <c r="A4529" s="12" t="s">
        <v>13174</v>
      </c>
      <c r="B4529" s="13">
        <v>15.94</v>
      </c>
      <c r="C4529" s="16" t="s">
        <v>5331</v>
      </c>
      <c r="D4529" s="12">
        <v>164</v>
      </c>
      <c r="E4529" s="12" t="s">
        <v>5332</v>
      </c>
      <c r="F4529" s="12" t="s">
        <v>5328</v>
      </c>
      <c r="G4529" s="12" t="s">
        <v>13175</v>
      </c>
      <c r="H4529" s="12">
        <v>183570</v>
      </c>
    </row>
    <row r="4530" spans="1:8">
      <c r="A4530" s="12" t="s">
        <v>13174</v>
      </c>
      <c r="B4530" s="13">
        <v>0</v>
      </c>
      <c r="C4530" s="16" t="s">
        <v>5331</v>
      </c>
      <c r="D4530" s="12">
        <v>156</v>
      </c>
      <c r="E4530" s="12" t="s">
        <v>5332</v>
      </c>
      <c r="F4530" s="12" t="s">
        <v>5328</v>
      </c>
      <c r="G4530" s="12" t="s">
        <v>13176</v>
      </c>
      <c r="H4530" s="12">
        <v>165981</v>
      </c>
    </row>
    <row r="4531" spans="1:8">
      <c r="A4531" s="12" t="s">
        <v>13177</v>
      </c>
      <c r="B4531" s="13">
        <v>31.15</v>
      </c>
      <c r="C4531" s="16" t="s">
        <v>5331</v>
      </c>
      <c r="D4531" s="12">
        <v>183</v>
      </c>
      <c r="E4531" s="12" t="s">
        <v>5332</v>
      </c>
      <c r="F4531" s="12" t="s">
        <v>5328</v>
      </c>
      <c r="G4531" s="12" t="s">
        <v>13178</v>
      </c>
      <c r="H4531" s="12">
        <v>183571</v>
      </c>
    </row>
    <row r="4532" spans="1:8">
      <c r="A4532" s="12" t="s">
        <v>13177</v>
      </c>
      <c r="B4532" s="13">
        <v>0</v>
      </c>
      <c r="C4532" s="16" t="s">
        <v>5331</v>
      </c>
      <c r="D4532" s="12">
        <v>174</v>
      </c>
      <c r="E4532" s="12" t="s">
        <v>5332</v>
      </c>
      <c r="F4532" s="12" t="s">
        <v>5328</v>
      </c>
      <c r="G4532" s="12" t="s">
        <v>13179</v>
      </c>
      <c r="H4532" s="12">
        <v>165982</v>
      </c>
    </row>
    <row r="4533" spans="1:8">
      <c r="A4533" s="12" t="s">
        <v>13180</v>
      </c>
      <c r="B4533" s="13">
        <v>32.020000000000003</v>
      </c>
      <c r="C4533" s="16" t="s">
        <v>5331</v>
      </c>
      <c r="D4533" s="12">
        <v>215</v>
      </c>
      <c r="E4533" s="12" t="s">
        <v>5332</v>
      </c>
      <c r="F4533" s="12" t="s">
        <v>5328</v>
      </c>
      <c r="G4533" s="12" t="s">
        <v>13181</v>
      </c>
      <c r="H4533" s="12">
        <v>183572</v>
      </c>
    </row>
    <row r="4534" spans="1:8">
      <c r="A4534" s="12" t="s">
        <v>13182</v>
      </c>
      <c r="B4534" s="13">
        <v>0</v>
      </c>
      <c r="C4534" s="16" t="s">
        <v>5331</v>
      </c>
      <c r="D4534" s="12">
        <v>205</v>
      </c>
      <c r="E4534" s="12" t="s">
        <v>5332</v>
      </c>
      <c r="F4534" s="12" t="s">
        <v>5328</v>
      </c>
      <c r="G4534" s="12" t="s">
        <v>13183</v>
      </c>
      <c r="H4534" s="12">
        <v>166124</v>
      </c>
    </row>
    <row r="4535" spans="1:8">
      <c r="A4535" s="12" t="s">
        <v>13184</v>
      </c>
      <c r="B4535" s="13">
        <v>105</v>
      </c>
      <c r="C4535" s="16" t="s">
        <v>5331</v>
      </c>
      <c r="D4535" s="12">
        <v>403</v>
      </c>
      <c r="E4535" s="12" t="s">
        <v>5332</v>
      </c>
      <c r="F4535" s="12" t="s">
        <v>5328</v>
      </c>
      <c r="G4535" s="12" t="s">
        <v>13185</v>
      </c>
      <c r="H4535" s="12">
        <v>202512</v>
      </c>
    </row>
    <row r="4536" spans="1:8">
      <c r="A4536" s="12" t="s">
        <v>13184</v>
      </c>
      <c r="B4536" s="13">
        <v>105</v>
      </c>
      <c r="C4536" s="16" t="s">
        <v>5331</v>
      </c>
      <c r="D4536" s="12">
        <v>403</v>
      </c>
      <c r="E4536" s="12" t="s">
        <v>5332</v>
      </c>
      <c r="F4536" s="12" t="s">
        <v>5328</v>
      </c>
      <c r="G4536" s="12" t="s">
        <v>13186</v>
      </c>
      <c r="H4536" s="12">
        <v>166184</v>
      </c>
    </row>
    <row r="4537" spans="1:8">
      <c r="A4537" s="12" t="s">
        <v>13187</v>
      </c>
      <c r="B4537" s="13">
        <v>162.66</v>
      </c>
      <c r="C4537" s="16" t="s">
        <v>5331</v>
      </c>
      <c r="D4537" s="12">
        <v>456</v>
      </c>
      <c r="E4537" s="12" t="s">
        <v>5332</v>
      </c>
      <c r="F4537" s="12" t="s">
        <v>5328</v>
      </c>
      <c r="G4537" s="12" t="s">
        <v>13188</v>
      </c>
      <c r="H4537" s="12">
        <v>183573</v>
      </c>
    </row>
    <row r="4538" spans="1:8">
      <c r="A4538" s="12" t="s">
        <v>13187</v>
      </c>
      <c r="B4538" s="13">
        <v>0</v>
      </c>
      <c r="C4538" s="16" t="s">
        <v>5331</v>
      </c>
      <c r="D4538" s="12">
        <v>434</v>
      </c>
      <c r="E4538" s="12" t="s">
        <v>5332</v>
      </c>
      <c r="F4538" s="12" t="s">
        <v>5328</v>
      </c>
      <c r="G4538" s="12" t="s">
        <v>13189</v>
      </c>
      <c r="H4538" s="12">
        <v>165922</v>
      </c>
    </row>
    <row r="4539" spans="1:8">
      <c r="A4539" s="12" t="s">
        <v>13190</v>
      </c>
      <c r="B4539" s="14">
        <v>1168.27</v>
      </c>
      <c r="C4539" s="16" t="s">
        <v>5331</v>
      </c>
      <c r="D4539" s="12">
        <v>3697</v>
      </c>
      <c r="E4539" s="12" t="s">
        <v>5332</v>
      </c>
      <c r="F4539" s="12" t="s">
        <v>5328</v>
      </c>
      <c r="G4539" s="12" t="s">
        <v>13191</v>
      </c>
      <c r="H4539" s="12">
        <v>183574</v>
      </c>
    </row>
    <row r="4540" spans="1:8">
      <c r="A4540" s="12" t="s">
        <v>13190</v>
      </c>
      <c r="B4540" s="13">
        <v>0</v>
      </c>
      <c r="C4540" s="16" t="s">
        <v>5331</v>
      </c>
      <c r="D4540" s="12">
        <v>3521</v>
      </c>
      <c r="E4540" s="12" t="s">
        <v>5332</v>
      </c>
      <c r="F4540" s="12" t="s">
        <v>5328</v>
      </c>
      <c r="G4540" s="12" t="s">
        <v>13192</v>
      </c>
      <c r="H4540" s="12">
        <v>165983</v>
      </c>
    </row>
    <row r="4541" spans="1:8">
      <c r="A4541" s="12" t="s">
        <v>13193</v>
      </c>
      <c r="B4541" s="13">
        <v>0</v>
      </c>
      <c r="C4541" s="16" t="s">
        <v>5331</v>
      </c>
      <c r="D4541" s="12">
        <v>114</v>
      </c>
      <c r="E4541" s="12" t="s">
        <v>5332</v>
      </c>
      <c r="F4541" s="12" t="s">
        <v>5328</v>
      </c>
      <c r="G4541" s="12" t="s">
        <v>13194</v>
      </c>
      <c r="H4541" s="12">
        <v>183575</v>
      </c>
    </row>
    <row r="4542" spans="1:8">
      <c r="A4542" s="12" t="s">
        <v>13193</v>
      </c>
      <c r="B4542" s="13">
        <v>0</v>
      </c>
      <c r="C4542" s="16" t="s">
        <v>5331</v>
      </c>
      <c r="D4542" s="12">
        <v>109</v>
      </c>
      <c r="E4542" s="12" t="s">
        <v>5332</v>
      </c>
      <c r="F4542" s="12" t="s">
        <v>5328</v>
      </c>
      <c r="G4542" s="12" t="s">
        <v>13195</v>
      </c>
      <c r="H4542" s="12">
        <v>165984</v>
      </c>
    </row>
    <row r="4543" spans="1:8">
      <c r="A4543" s="12" t="s">
        <v>13196</v>
      </c>
      <c r="B4543" s="13">
        <v>0</v>
      </c>
      <c r="C4543" s="16" t="s">
        <v>5331</v>
      </c>
      <c r="D4543" s="12">
        <v>118</v>
      </c>
      <c r="E4543" s="12" t="s">
        <v>5332</v>
      </c>
      <c r="F4543" s="12" t="s">
        <v>5328</v>
      </c>
      <c r="G4543" s="12" t="s">
        <v>13197</v>
      </c>
      <c r="H4543" s="12">
        <v>183576</v>
      </c>
    </row>
    <row r="4544" spans="1:8">
      <c r="A4544" s="12" t="s">
        <v>13196</v>
      </c>
      <c r="B4544" s="13">
        <v>0</v>
      </c>
      <c r="C4544" s="16" t="s">
        <v>5331</v>
      </c>
      <c r="D4544" s="12">
        <v>112</v>
      </c>
      <c r="E4544" s="12" t="s">
        <v>5332</v>
      </c>
      <c r="F4544" s="12" t="s">
        <v>5328</v>
      </c>
      <c r="G4544" s="12" t="s">
        <v>13198</v>
      </c>
      <c r="H4544" s="12">
        <v>165985</v>
      </c>
    </row>
    <row r="4545" spans="1:8">
      <c r="A4545" s="12" t="s">
        <v>13199</v>
      </c>
      <c r="B4545" s="13">
        <v>0</v>
      </c>
      <c r="C4545" s="16" t="s">
        <v>5331</v>
      </c>
      <c r="D4545" s="12">
        <v>120</v>
      </c>
      <c r="E4545" s="12" t="s">
        <v>5332</v>
      </c>
      <c r="F4545" s="12" t="s">
        <v>5328</v>
      </c>
      <c r="G4545" s="12" t="s">
        <v>13200</v>
      </c>
      <c r="H4545" s="12">
        <v>183577</v>
      </c>
    </row>
    <row r="4546" spans="1:8">
      <c r="A4546" s="12" t="s">
        <v>13199</v>
      </c>
      <c r="B4546" s="13">
        <v>0</v>
      </c>
      <c r="C4546" s="16" t="s">
        <v>5331</v>
      </c>
      <c r="D4546" s="12">
        <v>114</v>
      </c>
      <c r="E4546" s="12" t="s">
        <v>5332</v>
      </c>
      <c r="F4546" s="12" t="s">
        <v>5328</v>
      </c>
      <c r="G4546" s="12" t="s">
        <v>13201</v>
      </c>
      <c r="H4546" s="12">
        <v>165986</v>
      </c>
    </row>
    <row r="4547" spans="1:8">
      <c r="A4547" s="12" t="s">
        <v>13202</v>
      </c>
      <c r="B4547" s="13">
        <v>0</v>
      </c>
      <c r="C4547" s="16" t="s">
        <v>5331</v>
      </c>
      <c r="D4547" s="12">
        <v>122</v>
      </c>
      <c r="E4547" s="12" t="s">
        <v>5332</v>
      </c>
      <c r="F4547" s="12" t="s">
        <v>5328</v>
      </c>
      <c r="G4547" s="12" t="s">
        <v>13203</v>
      </c>
      <c r="H4547" s="12">
        <v>183578</v>
      </c>
    </row>
    <row r="4548" spans="1:8">
      <c r="A4548" s="12" t="s">
        <v>13202</v>
      </c>
      <c r="B4548" s="13">
        <v>0</v>
      </c>
      <c r="C4548" s="16" t="s">
        <v>5331</v>
      </c>
      <c r="D4548" s="12">
        <v>116</v>
      </c>
      <c r="E4548" s="12" t="s">
        <v>5332</v>
      </c>
      <c r="F4548" s="12" t="s">
        <v>5328</v>
      </c>
      <c r="G4548" s="12" t="s">
        <v>13204</v>
      </c>
      <c r="H4548" s="12">
        <v>165987</v>
      </c>
    </row>
    <row r="4549" spans="1:8">
      <c r="A4549" s="12" t="s">
        <v>13205</v>
      </c>
      <c r="B4549" s="13">
        <v>0</v>
      </c>
      <c r="C4549" s="16" t="s">
        <v>5331</v>
      </c>
      <c r="D4549" s="12">
        <v>124</v>
      </c>
      <c r="E4549" s="12" t="s">
        <v>5332</v>
      </c>
      <c r="F4549" s="12" t="s">
        <v>5328</v>
      </c>
      <c r="G4549" s="12" t="s">
        <v>13206</v>
      </c>
      <c r="H4549" s="12">
        <v>183579</v>
      </c>
    </row>
    <row r="4550" spans="1:8">
      <c r="A4550" s="12" t="s">
        <v>13205</v>
      </c>
      <c r="B4550" s="13">
        <v>0</v>
      </c>
      <c r="C4550" s="16" t="s">
        <v>5331</v>
      </c>
      <c r="D4550" s="12">
        <v>118</v>
      </c>
      <c r="E4550" s="12" t="s">
        <v>5332</v>
      </c>
      <c r="F4550" s="12" t="s">
        <v>5328</v>
      </c>
      <c r="G4550" s="12" t="s">
        <v>13207</v>
      </c>
      <c r="H4550" s="12">
        <v>165988</v>
      </c>
    </row>
    <row r="4551" spans="1:8">
      <c r="A4551" s="12" t="s">
        <v>13208</v>
      </c>
      <c r="B4551" s="13">
        <v>0</v>
      </c>
      <c r="C4551" s="16" t="s">
        <v>5331</v>
      </c>
      <c r="D4551" s="12">
        <v>127</v>
      </c>
      <c r="E4551" s="12" t="s">
        <v>5332</v>
      </c>
      <c r="F4551" s="12" t="s">
        <v>5328</v>
      </c>
      <c r="G4551" s="12" t="s">
        <v>13209</v>
      </c>
      <c r="H4551" s="12">
        <v>183580</v>
      </c>
    </row>
    <row r="4552" spans="1:8">
      <c r="A4552" s="12" t="s">
        <v>13208</v>
      </c>
      <c r="B4552" s="13">
        <v>0</v>
      </c>
      <c r="C4552" s="16" t="s">
        <v>5331</v>
      </c>
      <c r="D4552" s="12">
        <v>121</v>
      </c>
      <c r="E4552" s="12" t="s">
        <v>5332</v>
      </c>
      <c r="F4552" s="12" t="s">
        <v>5328</v>
      </c>
      <c r="G4552" s="12" t="s">
        <v>13210</v>
      </c>
      <c r="H4552" s="12">
        <v>165989</v>
      </c>
    </row>
    <row r="4553" spans="1:8">
      <c r="A4553" s="12" t="s">
        <v>13211</v>
      </c>
      <c r="B4553" s="13">
        <v>0</v>
      </c>
      <c r="C4553" s="16" t="s">
        <v>5331</v>
      </c>
      <c r="D4553" s="12">
        <v>130</v>
      </c>
      <c r="E4553" s="12" t="s">
        <v>5332</v>
      </c>
      <c r="F4553" s="12" t="s">
        <v>5328</v>
      </c>
      <c r="G4553" s="12" t="s">
        <v>13212</v>
      </c>
      <c r="H4553" s="12">
        <v>183581</v>
      </c>
    </row>
    <row r="4554" spans="1:8">
      <c r="A4554" s="12" t="s">
        <v>13211</v>
      </c>
      <c r="B4554" s="13">
        <v>0</v>
      </c>
      <c r="C4554" s="16" t="s">
        <v>5331</v>
      </c>
      <c r="D4554" s="12">
        <v>124</v>
      </c>
      <c r="E4554" s="12" t="s">
        <v>5332</v>
      </c>
      <c r="F4554" s="12" t="s">
        <v>5328</v>
      </c>
      <c r="G4554" s="12" t="s">
        <v>13213</v>
      </c>
      <c r="H4554" s="12">
        <v>165990</v>
      </c>
    </row>
    <row r="4555" spans="1:8">
      <c r="A4555" s="12" t="s">
        <v>13214</v>
      </c>
      <c r="B4555" s="13">
        <v>152.4</v>
      </c>
      <c r="C4555" s="16" t="s">
        <v>5331</v>
      </c>
      <c r="D4555" s="12">
        <v>521</v>
      </c>
      <c r="E4555" s="12" t="s">
        <v>5332</v>
      </c>
      <c r="F4555" s="12" t="s">
        <v>5328</v>
      </c>
      <c r="G4555" s="12" t="s">
        <v>13215</v>
      </c>
      <c r="H4555" s="12">
        <v>183582</v>
      </c>
    </row>
    <row r="4556" spans="1:8">
      <c r="A4556" s="12" t="s">
        <v>13214</v>
      </c>
      <c r="B4556" s="13">
        <v>0</v>
      </c>
      <c r="C4556" s="16" t="s">
        <v>5331</v>
      </c>
      <c r="D4556" s="12">
        <v>496</v>
      </c>
      <c r="E4556" s="12" t="s">
        <v>5332</v>
      </c>
      <c r="F4556" s="12" t="s">
        <v>5328</v>
      </c>
      <c r="G4556" s="12" t="s">
        <v>13216</v>
      </c>
      <c r="H4556" s="12">
        <v>165991</v>
      </c>
    </row>
    <row r="4557" spans="1:8">
      <c r="A4557" s="12" t="s">
        <v>13217</v>
      </c>
      <c r="B4557" s="13">
        <v>116.81</v>
      </c>
      <c r="C4557" s="16" t="s">
        <v>5331</v>
      </c>
      <c r="D4557" s="12">
        <v>277</v>
      </c>
      <c r="E4557" s="12" t="s">
        <v>5332</v>
      </c>
      <c r="F4557" s="12" t="s">
        <v>5328</v>
      </c>
      <c r="G4557" s="12" t="s">
        <v>13218</v>
      </c>
      <c r="H4557" s="12">
        <v>183583</v>
      </c>
    </row>
    <row r="4558" spans="1:8">
      <c r="A4558" s="12" t="s">
        <v>13217</v>
      </c>
      <c r="B4558" s="13">
        <v>0</v>
      </c>
      <c r="C4558" s="16" t="s">
        <v>5331</v>
      </c>
      <c r="D4558" s="12">
        <v>277</v>
      </c>
      <c r="E4558" s="12" t="s">
        <v>5332</v>
      </c>
      <c r="F4558" s="12" t="s">
        <v>5328</v>
      </c>
      <c r="G4558" s="12" t="s">
        <v>13219</v>
      </c>
      <c r="H4558" s="12">
        <v>165992</v>
      </c>
    </row>
    <row r="4559" spans="1:8">
      <c r="A4559" s="12" t="s">
        <v>13220</v>
      </c>
      <c r="B4559" s="13">
        <v>50.41</v>
      </c>
      <c r="C4559" s="16" t="s">
        <v>5331</v>
      </c>
      <c r="D4559" s="12">
        <v>287</v>
      </c>
      <c r="E4559" s="12" t="s">
        <v>5332</v>
      </c>
      <c r="F4559" s="12" t="s">
        <v>5328</v>
      </c>
      <c r="G4559" s="12" t="s">
        <v>13221</v>
      </c>
      <c r="H4559" s="12">
        <v>183584</v>
      </c>
    </row>
    <row r="4560" spans="1:8">
      <c r="A4560" s="12" t="s">
        <v>13220</v>
      </c>
      <c r="B4560" s="13">
        <v>0</v>
      </c>
      <c r="C4560" s="16" t="s">
        <v>5331</v>
      </c>
      <c r="D4560" s="12">
        <v>273</v>
      </c>
      <c r="E4560" s="12" t="s">
        <v>5332</v>
      </c>
      <c r="F4560" s="12" t="s">
        <v>5328</v>
      </c>
      <c r="G4560" s="12" t="s">
        <v>13222</v>
      </c>
      <c r="H4560" s="12">
        <v>165923</v>
      </c>
    </row>
    <row r="4561" spans="1:8">
      <c r="A4561" s="12" t="s">
        <v>13223</v>
      </c>
      <c r="B4561" s="13">
        <v>15.18</v>
      </c>
      <c r="C4561" s="16" t="s">
        <v>5331</v>
      </c>
      <c r="D4561" s="12">
        <v>160</v>
      </c>
      <c r="E4561" s="12" t="s">
        <v>5332</v>
      </c>
      <c r="F4561" s="12" t="s">
        <v>5328</v>
      </c>
      <c r="G4561" s="12" t="s">
        <v>13224</v>
      </c>
      <c r="H4561" s="12">
        <v>183585</v>
      </c>
    </row>
    <row r="4562" spans="1:8">
      <c r="A4562" s="12" t="s">
        <v>13223</v>
      </c>
      <c r="B4562" s="13">
        <v>0</v>
      </c>
      <c r="C4562" s="16" t="s">
        <v>5331</v>
      </c>
      <c r="D4562" s="12">
        <v>152</v>
      </c>
      <c r="E4562" s="12" t="s">
        <v>5332</v>
      </c>
      <c r="F4562" s="12" t="s">
        <v>5328</v>
      </c>
      <c r="G4562" s="12" t="s">
        <v>13225</v>
      </c>
      <c r="H4562" s="12">
        <v>165993</v>
      </c>
    </row>
    <row r="4563" spans="1:8">
      <c r="A4563" s="12" t="s">
        <v>13226</v>
      </c>
      <c r="B4563" s="13">
        <v>22.07</v>
      </c>
      <c r="C4563" s="16" t="s">
        <v>5331</v>
      </c>
      <c r="D4563" s="12">
        <v>159</v>
      </c>
      <c r="E4563" s="12" t="s">
        <v>5332</v>
      </c>
      <c r="F4563" s="12" t="s">
        <v>5328</v>
      </c>
      <c r="G4563" s="12" t="s">
        <v>13227</v>
      </c>
      <c r="H4563" s="12">
        <v>183586</v>
      </c>
    </row>
    <row r="4564" spans="1:8">
      <c r="A4564" s="12" t="s">
        <v>13226</v>
      </c>
      <c r="B4564" s="13">
        <v>0</v>
      </c>
      <c r="C4564" s="16" t="s">
        <v>5331</v>
      </c>
      <c r="D4564" s="12">
        <v>151</v>
      </c>
      <c r="E4564" s="12" t="s">
        <v>5332</v>
      </c>
      <c r="F4564" s="12" t="s">
        <v>5328</v>
      </c>
      <c r="G4564" s="12" t="s">
        <v>13228</v>
      </c>
      <c r="H4564" s="12">
        <v>165994</v>
      </c>
    </row>
    <row r="4565" spans="1:8">
      <c r="A4565" s="12" t="s">
        <v>13229</v>
      </c>
      <c r="B4565" s="13">
        <v>18.5</v>
      </c>
      <c r="C4565" s="16" t="s">
        <v>5331</v>
      </c>
      <c r="D4565" s="12">
        <v>154</v>
      </c>
      <c r="E4565" s="12" t="s">
        <v>5332</v>
      </c>
      <c r="F4565" s="12" t="s">
        <v>5328</v>
      </c>
      <c r="G4565" s="12" t="s">
        <v>13230</v>
      </c>
      <c r="H4565" s="12">
        <v>183587</v>
      </c>
    </row>
    <row r="4566" spans="1:8">
      <c r="A4566" s="12" t="s">
        <v>13229</v>
      </c>
      <c r="B4566" s="13">
        <v>0</v>
      </c>
      <c r="C4566" s="16" t="s">
        <v>5331</v>
      </c>
      <c r="D4566" s="12">
        <v>147</v>
      </c>
      <c r="E4566" s="12" t="s">
        <v>5332</v>
      </c>
      <c r="F4566" s="12" t="s">
        <v>5328</v>
      </c>
      <c r="G4566" s="12" t="s">
        <v>13231</v>
      </c>
      <c r="H4566" s="12">
        <v>165995</v>
      </c>
    </row>
    <row r="4567" spans="1:8">
      <c r="A4567" s="12" t="s">
        <v>13232</v>
      </c>
      <c r="B4567" s="13">
        <v>70.95</v>
      </c>
      <c r="C4567" s="16" t="s">
        <v>5331</v>
      </c>
      <c r="D4567" s="12">
        <v>314</v>
      </c>
      <c r="E4567" s="12" t="s">
        <v>5332</v>
      </c>
      <c r="F4567" s="12" t="s">
        <v>5328</v>
      </c>
      <c r="G4567" s="12" t="s">
        <v>13233</v>
      </c>
      <c r="H4567" s="12">
        <v>183588</v>
      </c>
    </row>
    <row r="4568" spans="1:8">
      <c r="A4568" s="12" t="s">
        <v>13232</v>
      </c>
      <c r="B4568" s="13">
        <v>0</v>
      </c>
      <c r="C4568" s="16" t="s">
        <v>5331</v>
      </c>
      <c r="D4568" s="12">
        <v>299</v>
      </c>
      <c r="E4568" s="12" t="s">
        <v>5332</v>
      </c>
      <c r="F4568" s="12" t="s">
        <v>5328</v>
      </c>
      <c r="G4568" s="12" t="s">
        <v>13234</v>
      </c>
      <c r="H4568" s="12">
        <v>165996</v>
      </c>
    </row>
    <row r="4569" spans="1:8">
      <c r="A4569" s="12" t="s">
        <v>13235</v>
      </c>
      <c r="B4569" s="13">
        <v>67.510000000000005</v>
      </c>
      <c r="C4569" s="16" t="s">
        <v>5331</v>
      </c>
      <c r="D4569" s="12">
        <v>291</v>
      </c>
      <c r="E4569" s="12" t="s">
        <v>5332</v>
      </c>
      <c r="F4569" s="12" t="s">
        <v>5328</v>
      </c>
      <c r="G4569" s="12" t="s">
        <v>13236</v>
      </c>
      <c r="H4569" s="12">
        <v>183589</v>
      </c>
    </row>
    <row r="4570" spans="1:8">
      <c r="A4570" s="12" t="s">
        <v>13235</v>
      </c>
      <c r="B4570" s="13">
        <v>0</v>
      </c>
      <c r="C4570" s="16" t="s">
        <v>5331</v>
      </c>
      <c r="D4570" s="12">
        <v>277</v>
      </c>
      <c r="E4570" s="12" t="s">
        <v>5332</v>
      </c>
      <c r="F4570" s="12" t="s">
        <v>5328</v>
      </c>
      <c r="G4570" s="12" t="s">
        <v>13237</v>
      </c>
      <c r="H4570" s="12">
        <v>165997</v>
      </c>
    </row>
    <row r="4571" spans="1:8">
      <c r="A4571" s="12" t="s">
        <v>13238</v>
      </c>
      <c r="B4571" s="13">
        <v>2.5299999999999998</v>
      </c>
      <c r="C4571" s="16" t="s">
        <v>5331</v>
      </c>
      <c r="D4571" s="12">
        <v>59</v>
      </c>
      <c r="E4571" s="12" t="s">
        <v>5332</v>
      </c>
      <c r="F4571" s="12" t="s">
        <v>5328</v>
      </c>
      <c r="G4571" s="12" t="s">
        <v>13239</v>
      </c>
      <c r="H4571" s="12">
        <v>183590</v>
      </c>
    </row>
    <row r="4572" spans="1:8">
      <c r="A4572" s="12" t="s">
        <v>13238</v>
      </c>
      <c r="B4572" s="13">
        <v>0</v>
      </c>
      <c r="C4572" s="16" t="s">
        <v>5331</v>
      </c>
      <c r="D4572" s="12">
        <v>56</v>
      </c>
      <c r="E4572" s="12" t="s">
        <v>5332</v>
      </c>
      <c r="F4572" s="12" t="s">
        <v>5328</v>
      </c>
      <c r="G4572" s="12" t="s">
        <v>13240</v>
      </c>
      <c r="H4572" s="12">
        <v>165998</v>
      </c>
    </row>
    <row r="4573" spans="1:8">
      <c r="A4573" s="12" t="s">
        <v>13241</v>
      </c>
      <c r="B4573" s="13">
        <v>135</v>
      </c>
      <c r="C4573" s="16" t="s">
        <v>5331</v>
      </c>
      <c r="D4573" s="12">
        <v>469</v>
      </c>
      <c r="E4573" s="12" t="s">
        <v>5332</v>
      </c>
      <c r="F4573" s="12" t="s">
        <v>5328</v>
      </c>
      <c r="G4573" s="12" t="s">
        <v>13242</v>
      </c>
      <c r="H4573" s="12">
        <v>183591</v>
      </c>
    </row>
    <row r="4574" spans="1:8">
      <c r="A4574" s="12" t="s">
        <v>13241</v>
      </c>
      <c r="B4574" s="13">
        <v>0</v>
      </c>
      <c r="C4574" s="16" t="s">
        <v>5331</v>
      </c>
      <c r="D4574" s="12">
        <v>447</v>
      </c>
      <c r="E4574" s="12" t="s">
        <v>5332</v>
      </c>
      <c r="F4574" s="12" t="s">
        <v>5328</v>
      </c>
      <c r="G4574" s="12" t="s">
        <v>13243</v>
      </c>
      <c r="H4574" s="12">
        <v>165999</v>
      </c>
    </row>
    <row r="4575" spans="1:8">
      <c r="A4575" s="12" t="s">
        <v>13244</v>
      </c>
      <c r="B4575" s="13">
        <v>108.43</v>
      </c>
      <c r="C4575" s="16" t="s">
        <v>5331</v>
      </c>
      <c r="D4575" s="12">
        <v>428</v>
      </c>
      <c r="E4575" s="12" t="s">
        <v>5332</v>
      </c>
      <c r="F4575" s="12" t="s">
        <v>5328</v>
      </c>
      <c r="G4575" s="12" t="s">
        <v>13245</v>
      </c>
      <c r="H4575" s="12">
        <v>183592</v>
      </c>
    </row>
    <row r="4576" spans="1:8">
      <c r="A4576" s="12" t="s">
        <v>13244</v>
      </c>
      <c r="B4576" s="13">
        <v>0</v>
      </c>
      <c r="C4576" s="16" t="s">
        <v>5331</v>
      </c>
      <c r="D4576" s="12">
        <v>408</v>
      </c>
      <c r="E4576" s="12" t="s">
        <v>5332</v>
      </c>
      <c r="F4576" s="12" t="s">
        <v>5328</v>
      </c>
      <c r="G4576" s="12" t="s">
        <v>13246</v>
      </c>
      <c r="H4576" s="12">
        <v>166000</v>
      </c>
    </row>
    <row r="4577" spans="1:8">
      <c r="A4577" s="12" t="s">
        <v>13247</v>
      </c>
      <c r="B4577" s="13">
        <v>108.43</v>
      </c>
      <c r="C4577" s="16" t="s">
        <v>5331</v>
      </c>
      <c r="D4577" s="12">
        <v>433</v>
      </c>
      <c r="E4577" s="12" t="s">
        <v>5332</v>
      </c>
      <c r="F4577" s="12" t="s">
        <v>5328</v>
      </c>
      <c r="G4577" s="12" t="s">
        <v>13248</v>
      </c>
      <c r="H4577" s="12">
        <v>183593</v>
      </c>
    </row>
    <row r="4578" spans="1:8">
      <c r="A4578" s="12" t="s">
        <v>13247</v>
      </c>
      <c r="B4578" s="13">
        <v>0</v>
      </c>
      <c r="C4578" s="16" t="s">
        <v>5331</v>
      </c>
      <c r="D4578" s="12">
        <v>412</v>
      </c>
      <c r="E4578" s="12" t="s">
        <v>5332</v>
      </c>
      <c r="F4578" s="12" t="s">
        <v>5328</v>
      </c>
      <c r="G4578" s="12" t="s">
        <v>13249</v>
      </c>
      <c r="H4578" s="12">
        <v>166001</v>
      </c>
    </row>
    <row r="4579" spans="1:8">
      <c r="A4579" s="12" t="s">
        <v>13250</v>
      </c>
      <c r="B4579" s="13">
        <v>0</v>
      </c>
      <c r="C4579" s="16" t="s">
        <v>5331</v>
      </c>
      <c r="D4579" s="12">
        <v>230</v>
      </c>
      <c r="E4579" s="12" t="s">
        <v>5332</v>
      </c>
      <c r="F4579" s="12" t="s">
        <v>5328</v>
      </c>
      <c r="G4579" s="12" t="s">
        <v>13251</v>
      </c>
      <c r="H4579" s="12">
        <v>183594</v>
      </c>
    </row>
    <row r="4580" spans="1:8">
      <c r="A4580" s="12" t="s">
        <v>13250</v>
      </c>
      <c r="B4580" s="13">
        <v>0</v>
      </c>
      <c r="C4580" s="16" t="s">
        <v>5331</v>
      </c>
      <c r="D4580" s="12">
        <v>219</v>
      </c>
      <c r="E4580" s="12" t="s">
        <v>5332</v>
      </c>
      <c r="F4580" s="12" t="s">
        <v>5328</v>
      </c>
      <c r="G4580" s="12" t="s">
        <v>13252</v>
      </c>
      <c r="H4580" s="12">
        <v>166002</v>
      </c>
    </row>
    <row r="4581" spans="1:8">
      <c r="A4581" s="12" t="s">
        <v>13253</v>
      </c>
      <c r="B4581" s="13">
        <v>6.47</v>
      </c>
      <c r="C4581" s="16" t="s">
        <v>5331</v>
      </c>
      <c r="D4581" s="12">
        <v>166</v>
      </c>
      <c r="E4581" s="12" t="s">
        <v>5332</v>
      </c>
      <c r="F4581" s="12" t="s">
        <v>5328</v>
      </c>
      <c r="G4581" s="12" t="s">
        <v>13254</v>
      </c>
      <c r="H4581" s="12">
        <v>183595</v>
      </c>
    </row>
    <row r="4582" spans="1:8">
      <c r="A4582" s="12" t="s">
        <v>13253</v>
      </c>
      <c r="B4582" s="13">
        <v>0</v>
      </c>
      <c r="C4582" s="16" t="s">
        <v>5331</v>
      </c>
      <c r="D4582" s="12">
        <v>158</v>
      </c>
      <c r="E4582" s="12" t="s">
        <v>5332</v>
      </c>
      <c r="F4582" s="12" t="s">
        <v>5328</v>
      </c>
      <c r="G4582" s="12" t="s">
        <v>13255</v>
      </c>
      <c r="H4582" s="12">
        <v>166003</v>
      </c>
    </row>
    <row r="4583" spans="1:8">
      <c r="A4583" s="12" t="s">
        <v>13256</v>
      </c>
      <c r="B4583" s="13">
        <v>24.89</v>
      </c>
      <c r="C4583" s="16" t="s">
        <v>5331</v>
      </c>
      <c r="D4583" s="12">
        <v>201</v>
      </c>
      <c r="E4583" s="12" t="s">
        <v>5332</v>
      </c>
      <c r="F4583" s="12" t="s">
        <v>5328</v>
      </c>
      <c r="G4583" s="12" t="s">
        <v>13257</v>
      </c>
      <c r="H4583" s="12">
        <v>183596</v>
      </c>
    </row>
    <row r="4584" spans="1:8">
      <c r="A4584" s="12" t="s">
        <v>13256</v>
      </c>
      <c r="B4584" s="13">
        <v>0</v>
      </c>
      <c r="C4584" s="16" t="s">
        <v>5331</v>
      </c>
      <c r="D4584" s="12">
        <v>191</v>
      </c>
      <c r="E4584" s="12" t="s">
        <v>5332</v>
      </c>
      <c r="F4584" s="12" t="s">
        <v>5328</v>
      </c>
      <c r="G4584" s="12" t="s">
        <v>13258</v>
      </c>
      <c r="H4584" s="12">
        <v>165924</v>
      </c>
    </row>
    <row r="4585" spans="1:8">
      <c r="A4585" s="12" t="s">
        <v>13259</v>
      </c>
      <c r="B4585" s="13">
        <v>430.11</v>
      </c>
      <c r="C4585" s="16" t="s">
        <v>5331</v>
      </c>
      <c r="D4585" s="12">
        <v>1086</v>
      </c>
      <c r="E4585" s="12" t="s">
        <v>5332</v>
      </c>
      <c r="F4585" s="12" t="s">
        <v>5328</v>
      </c>
      <c r="G4585" s="12" t="s">
        <v>13260</v>
      </c>
      <c r="H4585" s="12">
        <v>183597</v>
      </c>
    </row>
    <row r="4586" spans="1:8">
      <c r="A4586" s="12" t="s">
        <v>13259</v>
      </c>
      <c r="B4586" s="13">
        <v>0</v>
      </c>
      <c r="C4586" s="16" t="s">
        <v>5331</v>
      </c>
      <c r="D4586" s="12">
        <v>1034</v>
      </c>
      <c r="E4586" s="12" t="s">
        <v>5332</v>
      </c>
      <c r="F4586" s="12" t="s">
        <v>5328</v>
      </c>
      <c r="G4586" s="12" t="s">
        <v>13261</v>
      </c>
      <c r="H4586" s="12">
        <v>166004</v>
      </c>
    </row>
    <row r="4587" spans="1:8">
      <c r="A4587" s="12" t="s">
        <v>13262</v>
      </c>
      <c r="B4587" s="13">
        <v>351.92</v>
      </c>
      <c r="C4587" s="16" t="s">
        <v>5331</v>
      </c>
      <c r="D4587" s="12">
        <v>1210</v>
      </c>
      <c r="E4587" s="12" t="s">
        <v>5332</v>
      </c>
      <c r="F4587" s="12" t="s">
        <v>5328</v>
      </c>
      <c r="G4587" s="12" t="s">
        <v>13263</v>
      </c>
      <c r="H4587" s="12">
        <v>183598</v>
      </c>
    </row>
    <row r="4588" spans="1:8">
      <c r="A4588" s="12" t="s">
        <v>13262</v>
      </c>
      <c r="B4588" s="13">
        <v>0</v>
      </c>
      <c r="C4588" s="16" t="s">
        <v>5331</v>
      </c>
      <c r="D4588" s="12">
        <v>1152</v>
      </c>
      <c r="E4588" s="12" t="s">
        <v>5332</v>
      </c>
      <c r="F4588" s="12" t="s">
        <v>5328</v>
      </c>
      <c r="G4588" s="12" t="s">
        <v>13264</v>
      </c>
      <c r="H4588" s="12">
        <v>166005</v>
      </c>
    </row>
    <row r="4589" spans="1:8">
      <c r="A4589" s="12" t="s">
        <v>13265</v>
      </c>
      <c r="B4589" s="13">
        <v>522.59</v>
      </c>
      <c r="C4589" s="16" t="s">
        <v>5331</v>
      </c>
      <c r="D4589" s="12">
        <v>2101</v>
      </c>
      <c r="E4589" s="12" t="s">
        <v>5332</v>
      </c>
      <c r="F4589" s="12" t="s">
        <v>5328</v>
      </c>
      <c r="G4589" s="12" t="s">
        <v>13266</v>
      </c>
      <c r="H4589" s="12">
        <v>183599</v>
      </c>
    </row>
    <row r="4590" spans="1:8">
      <c r="A4590" s="12" t="s">
        <v>13265</v>
      </c>
      <c r="B4590" s="13">
        <v>0</v>
      </c>
      <c r="C4590" s="16" t="s">
        <v>5331</v>
      </c>
      <c r="D4590" s="12">
        <v>2001</v>
      </c>
      <c r="E4590" s="12" t="s">
        <v>5332</v>
      </c>
      <c r="F4590" s="12" t="s">
        <v>5328</v>
      </c>
      <c r="G4590" s="12" t="s">
        <v>13267</v>
      </c>
      <c r="H4590" s="12">
        <v>166006</v>
      </c>
    </row>
    <row r="4591" spans="1:8">
      <c r="A4591" s="12" t="s">
        <v>13268</v>
      </c>
      <c r="B4591" s="13">
        <v>0</v>
      </c>
      <c r="C4591" s="16" t="s">
        <v>5331</v>
      </c>
      <c r="D4591" s="12">
        <v>554</v>
      </c>
      <c r="E4591" s="12" t="s">
        <v>5332</v>
      </c>
      <c r="F4591" s="12" t="s">
        <v>5328</v>
      </c>
      <c r="G4591" s="12" t="s">
        <v>13269</v>
      </c>
      <c r="H4591" s="12">
        <v>183600</v>
      </c>
    </row>
    <row r="4592" spans="1:8">
      <c r="A4592" s="12" t="s">
        <v>13268</v>
      </c>
      <c r="B4592" s="13">
        <v>0</v>
      </c>
      <c r="C4592" s="16" t="s">
        <v>5331</v>
      </c>
      <c r="D4592" s="12">
        <v>528</v>
      </c>
      <c r="E4592" s="12" t="s">
        <v>5332</v>
      </c>
      <c r="F4592" s="12" t="s">
        <v>5328</v>
      </c>
      <c r="G4592" s="12" t="s">
        <v>13270</v>
      </c>
      <c r="H4592" s="12">
        <v>165925</v>
      </c>
    </row>
    <row r="4593" spans="1:8">
      <c r="A4593" s="12" t="s">
        <v>13271</v>
      </c>
      <c r="B4593" s="13">
        <v>74.88</v>
      </c>
      <c r="C4593" s="16" t="s">
        <v>5331</v>
      </c>
      <c r="D4593" s="12">
        <v>359</v>
      </c>
      <c r="E4593" s="12" t="s">
        <v>5332</v>
      </c>
      <c r="F4593" s="12" t="s">
        <v>5328</v>
      </c>
      <c r="G4593" s="12" t="s">
        <v>13272</v>
      </c>
      <c r="H4593" s="12">
        <v>183601</v>
      </c>
    </row>
    <row r="4594" spans="1:8">
      <c r="A4594" s="12" t="s">
        <v>13271</v>
      </c>
      <c r="B4594" s="13">
        <v>0</v>
      </c>
      <c r="C4594" s="16" t="s">
        <v>5331</v>
      </c>
      <c r="D4594" s="12">
        <v>342</v>
      </c>
      <c r="E4594" s="12" t="s">
        <v>5332</v>
      </c>
      <c r="F4594" s="12" t="s">
        <v>5328</v>
      </c>
      <c r="G4594" s="12" t="s">
        <v>13273</v>
      </c>
      <c r="H4594" s="12">
        <v>166007</v>
      </c>
    </row>
    <row r="4595" spans="1:8">
      <c r="A4595" s="12" t="s">
        <v>13274</v>
      </c>
      <c r="B4595" s="13">
        <v>0</v>
      </c>
      <c r="C4595" s="16" t="s">
        <v>5331</v>
      </c>
      <c r="D4595" s="12">
        <v>359</v>
      </c>
      <c r="E4595" s="12" t="s">
        <v>5332</v>
      </c>
      <c r="F4595" s="12" t="s">
        <v>5328</v>
      </c>
      <c r="G4595" s="12" t="s">
        <v>13275</v>
      </c>
      <c r="H4595" s="12">
        <v>183602</v>
      </c>
    </row>
    <row r="4596" spans="1:8">
      <c r="A4596" s="12" t="s">
        <v>13274</v>
      </c>
      <c r="B4596" s="13">
        <v>0</v>
      </c>
      <c r="C4596" s="16" t="s">
        <v>5331</v>
      </c>
      <c r="D4596" s="12">
        <v>342</v>
      </c>
      <c r="E4596" s="12" t="s">
        <v>5332</v>
      </c>
      <c r="F4596" s="12" t="s">
        <v>5328</v>
      </c>
      <c r="G4596" s="12" t="s">
        <v>13276</v>
      </c>
      <c r="H4596" s="12">
        <v>166008</v>
      </c>
    </row>
    <row r="4597" spans="1:8">
      <c r="A4597" s="12" t="s">
        <v>13277</v>
      </c>
      <c r="B4597" s="13">
        <v>0</v>
      </c>
      <c r="C4597" s="16" t="s">
        <v>5331</v>
      </c>
      <c r="D4597" s="12">
        <v>369</v>
      </c>
      <c r="E4597" s="12" t="s">
        <v>5332</v>
      </c>
      <c r="F4597" s="12" t="s">
        <v>5328</v>
      </c>
      <c r="G4597" s="12" t="s">
        <v>13278</v>
      </c>
      <c r="H4597" s="12">
        <v>183603</v>
      </c>
    </row>
    <row r="4598" spans="1:8">
      <c r="A4598" s="12" t="s">
        <v>13277</v>
      </c>
      <c r="B4598" s="13">
        <v>0</v>
      </c>
      <c r="C4598" s="16" t="s">
        <v>5331</v>
      </c>
      <c r="D4598" s="12">
        <v>351</v>
      </c>
      <c r="E4598" s="12" t="s">
        <v>5332</v>
      </c>
      <c r="F4598" s="12" t="s">
        <v>5328</v>
      </c>
      <c r="G4598" s="12" t="s">
        <v>13279</v>
      </c>
      <c r="H4598" s="12">
        <v>165926</v>
      </c>
    </row>
    <row r="4599" spans="1:8">
      <c r="A4599" s="12" t="s">
        <v>13280</v>
      </c>
      <c r="B4599" s="13">
        <v>0</v>
      </c>
      <c r="C4599" s="16" t="s">
        <v>5331</v>
      </c>
      <c r="D4599" s="12">
        <v>355</v>
      </c>
      <c r="E4599" s="12" t="s">
        <v>5332</v>
      </c>
      <c r="F4599" s="12" t="s">
        <v>5328</v>
      </c>
      <c r="G4599" s="12" t="s">
        <v>13281</v>
      </c>
      <c r="H4599" s="12">
        <v>183604</v>
      </c>
    </row>
    <row r="4600" spans="1:8">
      <c r="A4600" s="12" t="s">
        <v>13280</v>
      </c>
      <c r="B4600" s="13">
        <v>0</v>
      </c>
      <c r="C4600" s="16" t="s">
        <v>5331</v>
      </c>
      <c r="D4600" s="12">
        <v>338</v>
      </c>
      <c r="E4600" s="12" t="s">
        <v>5332</v>
      </c>
      <c r="F4600" s="12" t="s">
        <v>5328</v>
      </c>
      <c r="G4600" s="12" t="s">
        <v>13282</v>
      </c>
      <c r="H4600" s="12">
        <v>165927</v>
      </c>
    </row>
    <row r="4601" spans="1:8">
      <c r="A4601" s="12" t="s">
        <v>13283</v>
      </c>
      <c r="B4601" s="13">
        <v>0</v>
      </c>
      <c r="C4601" s="16" t="s">
        <v>5331</v>
      </c>
      <c r="D4601" s="12">
        <v>668</v>
      </c>
      <c r="E4601" s="12" t="s">
        <v>5332</v>
      </c>
      <c r="F4601" s="12" t="s">
        <v>5328</v>
      </c>
      <c r="G4601" s="12" t="s">
        <v>13284</v>
      </c>
      <c r="H4601" s="12">
        <v>183605</v>
      </c>
    </row>
    <row r="4602" spans="1:8">
      <c r="A4602" s="12" t="s">
        <v>13283</v>
      </c>
      <c r="B4602" s="13">
        <v>0</v>
      </c>
      <c r="C4602" s="16" t="s">
        <v>5331</v>
      </c>
      <c r="D4602" s="12">
        <v>636</v>
      </c>
      <c r="E4602" s="12" t="s">
        <v>5332</v>
      </c>
      <c r="F4602" s="12" t="s">
        <v>5328</v>
      </c>
      <c r="G4602" s="12" t="s">
        <v>13285</v>
      </c>
      <c r="H4602" s="12">
        <v>166009</v>
      </c>
    </row>
    <row r="4603" spans="1:8">
      <c r="A4603" s="12" t="s">
        <v>13286</v>
      </c>
      <c r="B4603" s="13">
        <v>78.83</v>
      </c>
      <c r="C4603" s="16" t="s">
        <v>5331</v>
      </c>
      <c r="D4603" s="12">
        <v>324</v>
      </c>
      <c r="E4603" s="12" t="s">
        <v>5332</v>
      </c>
      <c r="F4603" s="12" t="s">
        <v>5328</v>
      </c>
      <c r="G4603" s="12" t="s">
        <v>13287</v>
      </c>
      <c r="H4603" s="12">
        <v>183606</v>
      </c>
    </row>
    <row r="4604" spans="1:8">
      <c r="A4604" s="12" t="s">
        <v>13286</v>
      </c>
      <c r="B4604" s="13">
        <v>0</v>
      </c>
      <c r="C4604" s="16" t="s">
        <v>5331</v>
      </c>
      <c r="D4604" s="12">
        <v>309</v>
      </c>
      <c r="E4604" s="12" t="s">
        <v>5332</v>
      </c>
      <c r="F4604" s="12" t="s">
        <v>5328</v>
      </c>
      <c r="G4604" s="12" t="s">
        <v>13288</v>
      </c>
      <c r="H4604" s="12">
        <v>165928</v>
      </c>
    </row>
    <row r="4605" spans="1:8">
      <c r="A4605" s="12" t="s">
        <v>13289</v>
      </c>
      <c r="B4605" s="13">
        <v>136.5</v>
      </c>
      <c r="C4605" s="16" t="s">
        <v>5331</v>
      </c>
      <c r="D4605" s="12">
        <v>582</v>
      </c>
      <c r="E4605" s="12" t="s">
        <v>5332</v>
      </c>
      <c r="F4605" s="12" t="s">
        <v>5328</v>
      </c>
      <c r="G4605" s="12" t="s">
        <v>13290</v>
      </c>
      <c r="H4605" s="12">
        <v>183607</v>
      </c>
    </row>
    <row r="4606" spans="1:8">
      <c r="A4606" s="12" t="s">
        <v>13289</v>
      </c>
      <c r="B4606" s="13">
        <v>0</v>
      </c>
      <c r="C4606" s="16" t="s">
        <v>5331</v>
      </c>
      <c r="D4606" s="12">
        <v>554</v>
      </c>
      <c r="E4606" s="12" t="s">
        <v>5332</v>
      </c>
      <c r="F4606" s="12" t="s">
        <v>5328</v>
      </c>
      <c r="G4606" s="12" t="s">
        <v>13291</v>
      </c>
      <c r="H4606" s="12">
        <v>166010</v>
      </c>
    </row>
    <row r="4607" spans="1:8">
      <c r="A4607" s="12" t="s">
        <v>13292</v>
      </c>
      <c r="B4607" s="13">
        <v>0</v>
      </c>
      <c r="C4607" s="16" t="s">
        <v>5331</v>
      </c>
      <c r="D4607" s="12">
        <v>582</v>
      </c>
      <c r="E4607" s="12" t="s">
        <v>5332</v>
      </c>
      <c r="F4607" s="12" t="s">
        <v>5328</v>
      </c>
      <c r="G4607" s="12" t="s">
        <v>13293</v>
      </c>
      <c r="H4607" s="12">
        <v>183608</v>
      </c>
    </row>
    <row r="4608" spans="1:8">
      <c r="A4608" s="12" t="s">
        <v>13292</v>
      </c>
      <c r="B4608" s="13">
        <v>0</v>
      </c>
      <c r="C4608" s="16" t="s">
        <v>5331</v>
      </c>
      <c r="D4608" s="12">
        <v>554</v>
      </c>
      <c r="E4608" s="12" t="s">
        <v>5332</v>
      </c>
      <c r="F4608" s="12" t="s">
        <v>5328</v>
      </c>
      <c r="G4608" s="12" t="s">
        <v>13294</v>
      </c>
      <c r="H4608" s="12">
        <v>165929</v>
      </c>
    </row>
    <row r="4609" spans="1:8">
      <c r="A4609" s="12" t="s">
        <v>13295</v>
      </c>
      <c r="B4609" s="13">
        <v>66.010000000000005</v>
      </c>
      <c r="C4609" s="16" t="s">
        <v>5331</v>
      </c>
      <c r="D4609" s="12">
        <v>287</v>
      </c>
      <c r="E4609" s="12" t="s">
        <v>5332</v>
      </c>
      <c r="F4609" s="12" t="s">
        <v>5328</v>
      </c>
      <c r="G4609" s="12" t="s">
        <v>13296</v>
      </c>
      <c r="H4609" s="12">
        <v>183609</v>
      </c>
    </row>
    <row r="4610" spans="1:8">
      <c r="A4610" s="12" t="s">
        <v>13295</v>
      </c>
      <c r="B4610" s="13">
        <v>0</v>
      </c>
      <c r="C4610" s="16" t="s">
        <v>5331</v>
      </c>
      <c r="D4610" s="12">
        <v>273</v>
      </c>
      <c r="E4610" s="12" t="s">
        <v>5332</v>
      </c>
      <c r="F4610" s="12" t="s">
        <v>5328</v>
      </c>
      <c r="G4610" s="12" t="s">
        <v>13297</v>
      </c>
      <c r="H4610" s="12">
        <v>166011</v>
      </c>
    </row>
    <row r="4611" spans="1:8">
      <c r="A4611" s="12" t="s">
        <v>13298</v>
      </c>
      <c r="B4611" s="13">
        <v>119.38</v>
      </c>
      <c r="C4611" s="16" t="s">
        <v>5331</v>
      </c>
      <c r="D4611" s="12">
        <v>390</v>
      </c>
      <c r="E4611" s="12" t="s">
        <v>5332</v>
      </c>
      <c r="F4611" s="12" t="s">
        <v>5328</v>
      </c>
      <c r="G4611" s="12" t="s">
        <v>13299</v>
      </c>
      <c r="H4611" s="12">
        <v>183610</v>
      </c>
    </row>
    <row r="4612" spans="1:8">
      <c r="A4612" s="12" t="s">
        <v>13298</v>
      </c>
      <c r="B4612" s="13">
        <v>0</v>
      </c>
      <c r="C4612" s="16" t="s">
        <v>5331</v>
      </c>
      <c r="D4612" s="12">
        <v>371</v>
      </c>
      <c r="E4612" s="12" t="s">
        <v>5332</v>
      </c>
      <c r="F4612" s="12" t="s">
        <v>5328</v>
      </c>
      <c r="G4612" s="12" t="s">
        <v>13300</v>
      </c>
      <c r="H4612" s="12">
        <v>166012</v>
      </c>
    </row>
    <row r="4613" spans="1:8">
      <c r="A4613" s="12" t="s">
        <v>13301</v>
      </c>
      <c r="B4613" s="13">
        <v>0</v>
      </c>
      <c r="C4613" s="16" t="s">
        <v>5331</v>
      </c>
      <c r="D4613" s="12">
        <v>322</v>
      </c>
      <c r="E4613" s="12" t="s">
        <v>5332</v>
      </c>
      <c r="F4613" s="12" t="s">
        <v>5328</v>
      </c>
      <c r="G4613" s="12" t="s">
        <v>13302</v>
      </c>
      <c r="H4613" s="12">
        <v>183611</v>
      </c>
    </row>
    <row r="4614" spans="1:8">
      <c r="A4614" s="12" t="s">
        <v>13301</v>
      </c>
      <c r="B4614" s="13">
        <v>0</v>
      </c>
      <c r="C4614" s="16" t="s">
        <v>5331</v>
      </c>
      <c r="D4614" s="12">
        <v>307</v>
      </c>
      <c r="E4614" s="12" t="s">
        <v>5332</v>
      </c>
      <c r="F4614" s="12" t="s">
        <v>5328</v>
      </c>
      <c r="G4614" s="12" t="s">
        <v>13303</v>
      </c>
      <c r="H4614" s="12">
        <v>166013</v>
      </c>
    </row>
    <row r="4615" spans="1:8">
      <c r="A4615" s="12" t="s">
        <v>13304</v>
      </c>
      <c r="B4615" s="13">
        <v>0</v>
      </c>
      <c r="C4615" s="16" t="s">
        <v>5331</v>
      </c>
      <c r="D4615" s="12">
        <v>302</v>
      </c>
      <c r="E4615" s="12" t="s">
        <v>5332</v>
      </c>
      <c r="F4615" s="12" t="s">
        <v>5328</v>
      </c>
      <c r="G4615" s="12" t="s">
        <v>13305</v>
      </c>
      <c r="H4615" s="12">
        <v>183612</v>
      </c>
    </row>
    <row r="4616" spans="1:8">
      <c r="A4616" s="12" t="s">
        <v>13304</v>
      </c>
      <c r="B4616" s="13">
        <v>0</v>
      </c>
      <c r="C4616" s="16" t="s">
        <v>5331</v>
      </c>
      <c r="D4616" s="12">
        <v>288</v>
      </c>
      <c r="E4616" s="12" t="s">
        <v>5332</v>
      </c>
      <c r="F4616" s="12" t="s">
        <v>5328</v>
      </c>
      <c r="G4616" s="12" t="s">
        <v>13306</v>
      </c>
      <c r="H4616" s="12">
        <v>165930</v>
      </c>
    </row>
    <row r="4617" spans="1:8">
      <c r="A4617" s="12" t="s">
        <v>13307</v>
      </c>
      <c r="B4617" s="13">
        <v>124.94</v>
      </c>
      <c r="C4617" s="16" t="s">
        <v>5331</v>
      </c>
      <c r="D4617" s="12">
        <v>378</v>
      </c>
      <c r="E4617" s="12" t="s">
        <v>5332</v>
      </c>
      <c r="F4617" s="12" t="s">
        <v>5328</v>
      </c>
      <c r="G4617" s="12" t="s">
        <v>13308</v>
      </c>
      <c r="H4617" s="12">
        <v>183613</v>
      </c>
    </row>
    <row r="4618" spans="1:8">
      <c r="A4618" s="12" t="s">
        <v>13307</v>
      </c>
      <c r="B4618" s="13">
        <v>0</v>
      </c>
      <c r="C4618" s="16" t="s">
        <v>5331</v>
      </c>
      <c r="D4618" s="12">
        <v>360</v>
      </c>
      <c r="E4618" s="12" t="s">
        <v>5332</v>
      </c>
      <c r="F4618" s="12" t="s">
        <v>5328</v>
      </c>
      <c r="G4618" s="12" t="s">
        <v>13309</v>
      </c>
      <c r="H4618" s="12">
        <v>165931</v>
      </c>
    </row>
    <row r="4619" spans="1:8">
      <c r="A4619" s="12" t="s">
        <v>13310</v>
      </c>
      <c r="B4619" s="13">
        <v>75.06</v>
      </c>
      <c r="C4619" s="16" t="s">
        <v>5331</v>
      </c>
      <c r="D4619" s="12">
        <v>573</v>
      </c>
      <c r="E4619" s="12" t="s">
        <v>5332</v>
      </c>
      <c r="F4619" s="12" t="s">
        <v>5328</v>
      </c>
      <c r="G4619" s="12" t="s">
        <v>13311</v>
      </c>
      <c r="H4619" s="12">
        <v>183614</v>
      </c>
    </row>
    <row r="4620" spans="1:8">
      <c r="A4620" s="12" t="s">
        <v>13310</v>
      </c>
      <c r="B4620" s="13">
        <v>0</v>
      </c>
      <c r="C4620" s="16" t="s">
        <v>5331</v>
      </c>
      <c r="D4620" s="12">
        <v>546</v>
      </c>
      <c r="E4620" s="12" t="s">
        <v>5332</v>
      </c>
      <c r="F4620" s="12" t="s">
        <v>5328</v>
      </c>
      <c r="G4620" s="12" t="s">
        <v>13312</v>
      </c>
      <c r="H4620" s="12">
        <v>166014</v>
      </c>
    </row>
    <row r="4621" spans="1:8">
      <c r="A4621" s="12" t="s">
        <v>13313</v>
      </c>
      <c r="B4621" s="13">
        <v>51.23</v>
      </c>
      <c r="C4621" s="16" t="s">
        <v>5331</v>
      </c>
      <c r="D4621" s="12">
        <v>298</v>
      </c>
      <c r="E4621" s="12" t="s">
        <v>5332</v>
      </c>
      <c r="F4621" s="12" t="s">
        <v>5328</v>
      </c>
      <c r="G4621" s="12" t="s">
        <v>13314</v>
      </c>
      <c r="H4621" s="12">
        <v>183616</v>
      </c>
    </row>
    <row r="4622" spans="1:8">
      <c r="A4622" s="12" t="s">
        <v>13313</v>
      </c>
      <c r="B4622" s="13">
        <v>0</v>
      </c>
      <c r="C4622" s="16" t="s">
        <v>5331</v>
      </c>
      <c r="D4622" s="12">
        <v>284</v>
      </c>
      <c r="E4622" s="12" t="s">
        <v>5332</v>
      </c>
      <c r="F4622" s="12" t="s">
        <v>5328</v>
      </c>
      <c r="G4622" s="12" t="s">
        <v>13315</v>
      </c>
      <c r="H4622" s="12">
        <v>165932</v>
      </c>
    </row>
    <row r="4623" spans="1:8">
      <c r="A4623" s="12" t="s">
        <v>13316</v>
      </c>
      <c r="B4623" s="13">
        <v>42.8</v>
      </c>
      <c r="C4623" s="16" t="s">
        <v>5331</v>
      </c>
      <c r="D4623" s="12">
        <v>286</v>
      </c>
      <c r="E4623" s="12" t="s">
        <v>5332</v>
      </c>
      <c r="F4623" s="12" t="s">
        <v>5328</v>
      </c>
      <c r="G4623" s="12" t="s">
        <v>13317</v>
      </c>
      <c r="H4623" s="12">
        <v>183617</v>
      </c>
    </row>
    <row r="4624" spans="1:8">
      <c r="A4624" s="12" t="s">
        <v>13316</v>
      </c>
      <c r="B4624" s="13">
        <v>0</v>
      </c>
      <c r="C4624" s="16" t="s">
        <v>5331</v>
      </c>
      <c r="D4624" s="12">
        <v>272</v>
      </c>
      <c r="E4624" s="12" t="s">
        <v>5332</v>
      </c>
      <c r="F4624" s="12" t="s">
        <v>5328</v>
      </c>
      <c r="G4624" s="12" t="s">
        <v>13318</v>
      </c>
      <c r="H4624" s="12">
        <v>166016</v>
      </c>
    </row>
    <row r="4625" spans="1:8">
      <c r="A4625" s="12" t="s">
        <v>13319</v>
      </c>
      <c r="B4625" s="13">
        <v>26.26</v>
      </c>
      <c r="C4625" s="16" t="s">
        <v>5331</v>
      </c>
      <c r="D4625" s="12">
        <v>224</v>
      </c>
      <c r="E4625" s="12" t="s">
        <v>5332</v>
      </c>
      <c r="F4625" s="12" t="s">
        <v>5328</v>
      </c>
      <c r="G4625" s="12" t="s">
        <v>13320</v>
      </c>
      <c r="H4625" s="12">
        <v>183618</v>
      </c>
    </row>
    <row r="4626" spans="1:8">
      <c r="A4626" s="12" t="s">
        <v>13321</v>
      </c>
      <c r="B4626" s="13">
        <v>0</v>
      </c>
      <c r="C4626" s="16" t="s">
        <v>5331</v>
      </c>
      <c r="D4626" s="12">
        <v>213</v>
      </c>
      <c r="E4626" s="12" t="s">
        <v>5332</v>
      </c>
      <c r="F4626" s="12" t="s">
        <v>5328</v>
      </c>
      <c r="G4626" s="12" t="s">
        <v>13322</v>
      </c>
      <c r="H4626" s="12">
        <v>166017</v>
      </c>
    </row>
    <row r="4627" spans="1:8">
      <c r="A4627" s="12" t="s">
        <v>13323</v>
      </c>
      <c r="B4627" s="13">
        <v>78.650000000000006</v>
      </c>
      <c r="C4627" s="16" t="s">
        <v>5331</v>
      </c>
      <c r="D4627" s="12">
        <v>369</v>
      </c>
      <c r="E4627" s="12" t="s">
        <v>5332</v>
      </c>
      <c r="F4627" s="12" t="s">
        <v>5328</v>
      </c>
      <c r="G4627" s="12" t="s">
        <v>13324</v>
      </c>
      <c r="H4627" s="12">
        <v>183619</v>
      </c>
    </row>
    <row r="4628" spans="1:8">
      <c r="A4628" s="12" t="s">
        <v>13323</v>
      </c>
      <c r="B4628" s="13">
        <v>0</v>
      </c>
      <c r="C4628" s="16" t="s">
        <v>5331</v>
      </c>
      <c r="D4628" s="12">
        <v>351</v>
      </c>
      <c r="E4628" s="12" t="s">
        <v>5332</v>
      </c>
      <c r="F4628" s="12" t="s">
        <v>5328</v>
      </c>
      <c r="G4628" s="12" t="s">
        <v>13325</v>
      </c>
      <c r="H4628" s="12">
        <v>166018</v>
      </c>
    </row>
    <row r="4629" spans="1:8">
      <c r="A4629" s="12" t="s">
        <v>13326</v>
      </c>
      <c r="B4629" s="13">
        <v>0</v>
      </c>
      <c r="C4629" s="16" t="s">
        <v>5331</v>
      </c>
      <c r="D4629" s="12">
        <v>816</v>
      </c>
      <c r="E4629" s="12" t="s">
        <v>5332</v>
      </c>
      <c r="F4629" s="12" t="s">
        <v>5328</v>
      </c>
      <c r="G4629" s="12" t="s">
        <v>13327</v>
      </c>
      <c r="H4629" s="12">
        <v>183620</v>
      </c>
    </row>
    <row r="4630" spans="1:8">
      <c r="A4630" s="12" t="s">
        <v>13326</v>
      </c>
      <c r="B4630" s="13">
        <v>0</v>
      </c>
      <c r="C4630" s="16" t="s">
        <v>5331</v>
      </c>
      <c r="D4630" s="12">
        <v>777</v>
      </c>
      <c r="E4630" s="12" t="s">
        <v>5332</v>
      </c>
      <c r="F4630" s="12" t="s">
        <v>5328</v>
      </c>
      <c r="G4630" s="12" t="s">
        <v>13328</v>
      </c>
      <c r="H4630" s="12">
        <v>166019</v>
      </c>
    </row>
    <row r="4631" spans="1:8">
      <c r="A4631" s="12" t="s">
        <v>13329</v>
      </c>
      <c r="B4631" s="13">
        <v>0</v>
      </c>
      <c r="C4631" s="16" t="s">
        <v>5331</v>
      </c>
      <c r="D4631" s="12">
        <v>816</v>
      </c>
      <c r="E4631" s="12" t="s">
        <v>5332</v>
      </c>
      <c r="F4631" s="12" t="s">
        <v>5328</v>
      </c>
      <c r="G4631" s="12" t="s">
        <v>13330</v>
      </c>
      <c r="H4631" s="12">
        <v>183621</v>
      </c>
    </row>
    <row r="4632" spans="1:8">
      <c r="A4632" s="12" t="s">
        <v>13329</v>
      </c>
      <c r="B4632" s="13">
        <v>0</v>
      </c>
      <c r="C4632" s="16" t="s">
        <v>5331</v>
      </c>
      <c r="D4632" s="12">
        <v>777</v>
      </c>
      <c r="E4632" s="12" t="s">
        <v>5332</v>
      </c>
      <c r="F4632" s="12" t="s">
        <v>5328</v>
      </c>
      <c r="G4632" s="12" t="s">
        <v>13331</v>
      </c>
      <c r="H4632" s="12">
        <v>166020</v>
      </c>
    </row>
    <row r="4633" spans="1:8">
      <c r="A4633" s="12" t="s">
        <v>13332</v>
      </c>
      <c r="B4633" s="13">
        <v>10.1</v>
      </c>
      <c r="C4633" s="16" t="s">
        <v>5331</v>
      </c>
      <c r="D4633" s="12">
        <v>229</v>
      </c>
      <c r="E4633" s="12" t="s">
        <v>5332</v>
      </c>
      <c r="F4633" s="12" t="s">
        <v>5328</v>
      </c>
      <c r="G4633" s="12" t="s">
        <v>13333</v>
      </c>
      <c r="H4633" s="12">
        <v>183622</v>
      </c>
    </row>
    <row r="4634" spans="1:8">
      <c r="A4634" s="12" t="s">
        <v>13332</v>
      </c>
      <c r="B4634" s="13">
        <v>0</v>
      </c>
      <c r="C4634" s="16" t="s">
        <v>5331</v>
      </c>
      <c r="D4634" s="12">
        <v>218</v>
      </c>
      <c r="E4634" s="12" t="s">
        <v>5332</v>
      </c>
      <c r="F4634" s="12" t="s">
        <v>5328</v>
      </c>
      <c r="G4634" s="12" t="s">
        <v>13334</v>
      </c>
      <c r="H4634" s="12">
        <v>165933</v>
      </c>
    </row>
    <row r="4635" spans="1:8">
      <c r="A4635" s="12" t="s">
        <v>13335</v>
      </c>
      <c r="B4635" s="13">
        <v>0</v>
      </c>
      <c r="C4635" s="16" t="s">
        <v>5331</v>
      </c>
      <c r="D4635" s="12">
        <v>276</v>
      </c>
      <c r="E4635" s="12" t="s">
        <v>5332</v>
      </c>
      <c r="F4635" s="12" t="s">
        <v>5328</v>
      </c>
      <c r="G4635" s="12" t="s">
        <v>13336</v>
      </c>
      <c r="H4635" s="12">
        <v>183623</v>
      </c>
    </row>
    <row r="4636" spans="1:8">
      <c r="A4636" s="12" t="s">
        <v>13335</v>
      </c>
      <c r="B4636" s="13">
        <v>0</v>
      </c>
      <c r="C4636" s="16" t="s">
        <v>5331</v>
      </c>
      <c r="D4636" s="12">
        <v>263</v>
      </c>
      <c r="E4636" s="12" t="s">
        <v>5332</v>
      </c>
      <c r="F4636" s="12" t="s">
        <v>5328</v>
      </c>
      <c r="G4636" s="12" t="s">
        <v>13337</v>
      </c>
      <c r="H4636" s="12">
        <v>165934</v>
      </c>
    </row>
    <row r="4637" spans="1:8">
      <c r="A4637" s="12" t="s">
        <v>13338</v>
      </c>
      <c r="B4637" s="13">
        <v>25.77</v>
      </c>
      <c r="C4637" s="16" t="s">
        <v>5331</v>
      </c>
      <c r="D4637" s="12">
        <v>251</v>
      </c>
      <c r="E4637" s="12" t="s">
        <v>5332</v>
      </c>
      <c r="F4637" s="12" t="s">
        <v>5328</v>
      </c>
      <c r="G4637" s="12" t="s">
        <v>13339</v>
      </c>
      <c r="H4637" s="12">
        <v>183624</v>
      </c>
    </row>
    <row r="4638" spans="1:8">
      <c r="A4638" s="12" t="s">
        <v>13338</v>
      </c>
      <c r="B4638" s="13">
        <v>0</v>
      </c>
      <c r="C4638" s="16" t="s">
        <v>5331</v>
      </c>
      <c r="D4638" s="12">
        <v>239</v>
      </c>
      <c r="E4638" s="12" t="s">
        <v>5332</v>
      </c>
      <c r="F4638" s="12" t="s">
        <v>5328</v>
      </c>
      <c r="G4638" s="12" t="s">
        <v>13340</v>
      </c>
      <c r="H4638" s="12">
        <v>165935</v>
      </c>
    </row>
    <row r="4639" spans="1:8">
      <c r="A4639" s="12" t="s">
        <v>13341</v>
      </c>
      <c r="B4639" s="13">
        <v>174.46</v>
      </c>
      <c r="C4639" s="16" t="s">
        <v>5331</v>
      </c>
      <c r="D4639" s="12">
        <v>699</v>
      </c>
      <c r="E4639" s="12" t="s">
        <v>5332</v>
      </c>
      <c r="F4639" s="12" t="s">
        <v>5328</v>
      </c>
      <c r="G4639" s="12" t="s">
        <v>13342</v>
      </c>
      <c r="H4639" s="12">
        <v>183625</v>
      </c>
    </row>
    <row r="4640" spans="1:8">
      <c r="A4640" s="12" t="s">
        <v>13341</v>
      </c>
      <c r="B4640" s="13">
        <v>0</v>
      </c>
      <c r="C4640" s="16" t="s">
        <v>5331</v>
      </c>
      <c r="D4640" s="12">
        <v>666</v>
      </c>
      <c r="E4640" s="12" t="s">
        <v>5332</v>
      </c>
      <c r="F4640" s="12" t="s">
        <v>5328</v>
      </c>
      <c r="G4640" s="12" t="s">
        <v>13343</v>
      </c>
      <c r="H4640" s="12">
        <v>166021</v>
      </c>
    </row>
    <row r="4641" spans="1:8">
      <c r="A4641" s="12" t="s">
        <v>13344</v>
      </c>
      <c r="B4641" s="13">
        <v>38.33</v>
      </c>
      <c r="C4641" s="16" t="s">
        <v>5331</v>
      </c>
      <c r="D4641" s="12">
        <v>252</v>
      </c>
      <c r="E4641" s="12" t="s">
        <v>5332</v>
      </c>
      <c r="F4641" s="12" t="s">
        <v>5328</v>
      </c>
      <c r="G4641" s="12" t="s">
        <v>13345</v>
      </c>
      <c r="H4641" s="12">
        <v>183626</v>
      </c>
    </row>
    <row r="4642" spans="1:8">
      <c r="A4642" s="12" t="s">
        <v>13344</v>
      </c>
      <c r="B4642" s="13">
        <v>0</v>
      </c>
      <c r="C4642" s="16" t="s">
        <v>5331</v>
      </c>
      <c r="D4642" s="12">
        <v>240</v>
      </c>
      <c r="E4642" s="12" t="s">
        <v>5332</v>
      </c>
      <c r="F4642" s="12" t="s">
        <v>5328</v>
      </c>
      <c r="G4642" s="12" t="s">
        <v>13346</v>
      </c>
      <c r="H4642" s="12">
        <v>166022</v>
      </c>
    </row>
    <row r="4643" spans="1:8">
      <c r="A4643" s="12" t="s">
        <v>13347</v>
      </c>
      <c r="B4643" s="13">
        <v>0</v>
      </c>
      <c r="C4643" s="16" t="s">
        <v>5331</v>
      </c>
      <c r="D4643" s="12">
        <v>1160</v>
      </c>
      <c r="E4643" s="12" t="s">
        <v>5332</v>
      </c>
      <c r="F4643" s="12" t="s">
        <v>5328</v>
      </c>
      <c r="G4643" s="12" t="s">
        <v>13348</v>
      </c>
      <c r="H4643" s="12">
        <v>183627</v>
      </c>
    </row>
    <row r="4644" spans="1:8">
      <c r="A4644" s="12" t="s">
        <v>13347</v>
      </c>
      <c r="B4644" s="13">
        <v>0</v>
      </c>
      <c r="C4644" s="16" t="s">
        <v>5331</v>
      </c>
      <c r="D4644" s="12">
        <v>1105.0999999999999</v>
      </c>
      <c r="E4644" s="12" t="s">
        <v>5332</v>
      </c>
      <c r="F4644" s="12" t="s">
        <v>5328</v>
      </c>
      <c r="G4644" s="12" t="s">
        <v>13349</v>
      </c>
      <c r="H4644" s="12">
        <v>166023</v>
      </c>
    </row>
    <row r="4645" spans="1:8">
      <c r="A4645" s="12" t="s">
        <v>13350</v>
      </c>
      <c r="B4645" s="13">
        <v>58.46</v>
      </c>
      <c r="C4645" s="16" t="s">
        <v>5331</v>
      </c>
      <c r="D4645" s="12">
        <v>665</v>
      </c>
      <c r="E4645" s="12" t="s">
        <v>5332</v>
      </c>
      <c r="F4645" s="12" t="s">
        <v>5328</v>
      </c>
      <c r="G4645" s="12" t="s">
        <v>13351</v>
      </c>
      <c r="H4645" s="12">
        <v>183628</v>
      </c>
    </row>
    <row r="4646" spans="1:8">
      <c r="A4646" s="12" t="s">
        <v>13352</v>
      </c>
      <c r="B4646" s="13">
        <v>561.55999999999995</v>
      </c>
      <c r="C4646" s="16" t="s">
        <v>5331</v>
      </c>
      <c r="D4646" s="12">
        <v>1299</v>
      </c>
      <c r="E4646" s="12" t="s">
        <v>5332</v>
      </c>
      <c r="F4646" s="12" t="s">
        <v>5328</v>
      </c>
      <c r="G4646" s="12" t="s">
        <v>13353</v>
      </c>
      <c r="H4646" s="12">
        <v>183629</v>
      </c>
    </row>
    <row r="4647" spans="1:8">
      <c r="A4647" s="12" t="s">
        <v>13352</v>
      </c>
      <c r="B4647" s="13">
        <v>0</v>
      </c>
      <c r="C4647" s="16" t="s">
        <v>5331</v>
      </c>
      <c r="D4647" s="12">
        <v>1237</v>
      </c>
      <c r="E4647" s="12" t="s">
        <v>5332</v>
      </c>
      <c r="F4647" s="12" t="s">
        <v>5328</v>
      </c>
      <c r="G4647" s="12" t="s">
        <v>13354</v>
      </c>
      <c r="H4647" s="12">
        <v>166024</v>
      </c>
    </row>
    <row r="4648" spans="1:8">
      <c r="A4648" s="12" t="s">
        <v>13355</v>
      </c>
      <c r="B4648" s="13">
        <v>0</v>
      </c>
      <c r="C4648" s="16" t="s">
        <v>5331</v>
      </c>
      <c r="D4648" s="12">
        <v>9328</v>
      </c>
      <c r="E4648" s="12" t="s">
        <v>5332</v>
      </c>
      <c r="F4648" s="12" t="s">
        <v>5328</v>
      </c>
      <c r="G4648" s="12" t="s">
        <v>13356</v>
      </c>
      <c r="H4648" s="12">
        <v>183630</v>
      </c>
    </row>
    <row r="4649" spans="1:8">
      <c r="A4649" s="12" t="s">
        <v>13355</v>
      </c>
      <c r="B4649" s="13">
        <v>0</v>
      </c>
      <c r="C4649" s="16" t="s">
        <v>5331</v>
      </c>
      <c r="D4649" s="12">
        <v>8884</v>
      </c>
      <c r="E4649" s="12" t="s">
        <v>5332</v>
      </c>
      <c r="F4649" s="12" t="s">
        <v>5328</v>
      </c>
      <c r="G4649" s="12" t="s">
        <v>13357</v>
      </c>
      <c r="H4649" s="12">
        <v>166025</v>
      </c>
    </row>
    <row r="4650" spans="1:8">
      <c r="A4650" s="12" t="s">
        <v>13358</v>
      </c>
      <c r="B4650" s="13">
        <v>380.6</v>
      </c>
      <c r="C4650" s="16" t="s">
        <v>5331</v>
      </c>
      <c r="D4650" s="12">
        <v>1066</v>
      </c>
      <c r="E4650" s="12" t="s">
        <v>5332</v>
      </c>
      <c r="F4650" s="12" t="s">
        <v>5328</v>
      </c>
      <c r="G4650" s="12" t="s">
        <v>13359</v>
      </c>
      <c r="H4650" s="12">
        <v>183631</v>
      </c>
    </row>
    <row r="4651" spans="1:8">
      <c r="A4651" s="12" t="s">
        <v>13360</v>
      </c>
      <c r="B4651" s="13">
        <v>0</v>
      </c>
      <c r="C4651" s="16" t="s">
        <v>5331</v>
      </c>
      <c r="D4651" s="12">
        <v>1015</v>
      </c>
      <c r="E4651" s="12" t="s">
        <v>5332</v>
      </c>
      <c r="F4651" s="12" t="s">
        <v>5328</v>
      </c>
      <c r="G4651" s="12" t="s">
        <v>13361</v>
      </c>
      <c r="H4651" s="12">
        <v>166125</v>
      </c>
    </row>
    <row r="4652" spans="1:8">
      <c r="A4652" s="12" t="s">
        <v>13362</v>
      </c>
      <c r="B4652" s="14">
        <v>1101.55</v>
      </c>
      <c r="C4652" s="16" t="s">
        <v>5331</v>
      </c>
      <c r="D4652" s="12">
        <v>15402</v>
      </c>
      <c r="E4652" s="12" t="s">
        <v>5332</v>
      </c>
      <c r="F4652" s="12" t="s">
        <v>5328</v>
      </c>
      <c r="G4652" s="12" t="s">
        <v>13363</v>
      </c>
      <c r="H4652" s="12">
        <v>183632</v>
      </c>
    </row>
    <row r="4653" spans="1:8">
      <c r="A4653" s="12" t="s">
        <v>13362</v>
      </c>
      <c r="B4653" s="13">
        <v>0</v>
      </c>
      <c r="C4653" s="16" t="s">
        <v>5331</v>
      </c>
      <c r="D4653" s="12">
        <v>14241</v>
      </c>
      <c r="E4653" s="12" t="s">
        <v>5332</v>
      </c>
      <c r="F4653" s="12" t="s">
        <v>5328</v>
      </c>
      <c r="G4653" s="12" t="s">
        <v>13364</v>
      </c>
      <c r="H4653" s="12">
        <v>166026</v>
      </c>
    </row>
    <row r="4654" spans="1:8">
      <c r="A4654" s="12" t="s">
        <v>13365</v>
      </c>
      <c r="B4654" s="14">
        <v>1249.82</v>
      </c>
      <c r="C4654" s="16" t="s">
        <v>5331</v>
      </c>
      <c r="D4654" s="12">
        <v>14953</v>
      </c>
      <c r="E4654" s="12" t="s">
        <v>5332</v>
      </c>
      <c r="F4654" s="12" t="s">
        <v>5328</v>
      </c>
      <c r="G4654" s="12" t="s">
        <v>13366</v>
      </c>
      <c r="H4654" s="12">
        <v>183633</v>
      </c>
    </row>
    <row r="4655" spans="1:8">
      <c r="A4655" s="12" t="s">
        <v>13365</v>
      </c>
      <c r="B4655" s="13">
        <v>0</v>
      </c>
      <c r="C4655" s="16" t="s">
        <v>5331</v>
      </c>
      <c r="D4655" s="12">
        <v>14241</v>
      </c>
      <c r="E4655" s="12" t="s">
        <v>5332</v>
      </c>
      <c r="F4655" s="12" t="s">
        <v>5328</v>
      </c>
      <c r="G4655" s="12" t="s">
        <v>13367</v>
      </c>
      <c r="H4655" s="12">
        <v>165937</v>
      </c>
    </row>
    <row r="4656" spans="1:8">
      <c r="A4656" s="12" t="s">
        <v>13368</v>
      </c>
      <c r="B4656" s="13">
        <v>0</v>
      </c>
      <c r="C4656" s="16" t="s">
        <v>5331</v>
      </c>
      <c r="D4656" s="12">
        <v>1427</v>
      </c>
      <c r="E4656" s="12" t="s">
        <v>5332</v>
      </c>
      <c r="F4656" s="12" t="s">
        <v>5328</v>
      </c>
      <c r="G4656" s="12" t="s">
        <v>13369</v>
      </c>
      <c r="H4656" s="12">
        <v>183634</v>
      </c>
    </row>
    <row r="4657" spans="1:8">
      <c r="A4657" s="12" t="s">
        <v>13368</v>
      </c>
      <c r="B4657" s="13">
        <v>0</v>
      </c>
      <c r="C4657" s="16" t="s">
        <v>5331</v>
      </c>
      <c r="D4657" s="12">
        <v>1359</v>
      </c>
      <c r="E4657" s="12" t="s">
        <v>5332</v>
      </c>
      <c r="F4657" s="12" t="s">
        <v>5328</v>
      </c>
      <c r="G4657" s="12" t="s">
        <v>13370</v>
      </c>
      <c r="H4657" s="12">
        <v>166027</v>
      </c>
    </row>
    <row r="4658" spans="1:8">
      <c r="A4658" s="12" t="s">
        <v>13371</v>
      </c>
      <c r="B4658" s="13">
        <v>0</v>
      </c>
      <c r="C4658" s="16" t="s">
        <v>5331</v>
      </c>
      <c r="D4658" s="12">
        <v>816</v>
      </c>
      <c r="E4658" s="12" t="s">
        <v>5332</v>
      </c>
      <c r="F4658" s="12" t="s">
        <v>5328</v>
      </c>
      <c r="G4658" s="12" t="s">
        <v>13372</v>
      </c>
      <c r="H4658" s="12">
        <v>183635</v>
      </c>
    </row>
    <row r="4659" spans="1:8">
      <c r="A4659" s="12" t="s">
        <v>13371</v>
      </c>
      <c r="B4659" s="13">
        <v>0</v>
      </c>
      <c r="C4659" s="16" t="s">
        <v>5331</v>
      </c>
      <c r="D4659" s="12">
        <v>777</v>
      </c>
      <c r="E4659" s="12" t="s">
        <v>5332</v>
      </c>
      <c r="F4659" s="12" t="s">
        <v>5328</v>
      </c>
      <c r="G4659" s="12" t="s">
        <v>13373</v>
      </c>
      <c r="H4659" s="12">
        <v>166028</v>
      </c>
    </row>
    <row r="4660" spans="1:8">
      <c r="A4660" s="12" t="s">
        <v>13374</v>
      </c>
      <c r="B4660" s="13">
        <v>0</v>
      </c>
      <c r="C4660" s="16" t="s">
        <v>5331</v>
      </c>
      <c r="D4660" s="12">
        <v>1366</v>
      </c>
      <c r="E4660" s="12" t="s">
        <v>5332</v>
      </c>
      <c r="F4660" s="12" t="s">
        <v>5328</v>
      </c>
      <c r="G4660" s="12" t="s">
        <v>13375</v>
      </c>
      <c r="H4660" s="12">
        <v>183636</v>
      </c>
    </row>
    <row r="4661" spans="1:8">
      <c r="A4661" s="12" t="s">
        <v>13374</v>
      </c>
      <c r="B4661" s="13">
        <v>0</v>
      </c>
      <c r="C4661" s="16" t="s">
        <v>5331</v>
      </c>
      <c r="D4661" s="12">
        <v>1301</v>
      </c>
      <c r="E4661" s="12" t="s">
        <v>5332</v>
      </c>
      <c r="F4661" s="12" t="s">
        <v>5328</v>
      </c>
      <c r="G4661" s="12" t="s">
        <v>13376</v>
      </c>
      <c r="H4661" s="12">
        <v>166029</v>
      </c>
    </row>
    <row r="4662" spans="1:8">
      <c r="A4662" s="12" t="s">
        <v>13377</v>
      </c>
      <c r="B4662" s="14">
        <v>1944.85</v>
      </c>
      <c r="C4662" s="16" t="s">
        <v>5331</v>
      </c>
      <c r="D4662" s="12">
        <v>5206</v>
      </c>
      <c r="E4662" s="12" t="s">
        <v>5332</v>
      </c>
      <c r="F4662" s="12" t="s">
        <v>5328</v>
      </c>
      <c r="G4662" s="12" t="s">
        <v>13378</v>
      </c>
      <c r="H4662" s="12">
        <v>183637</v>
      </c>
    </row>
    <row r="4663" spans="1:8">
      <c r="A4663" s="12" t="s">
        <v>13377</v>
      </c>
      <c r="B4663" s="13">
        <v>0</v>
      </c>
      <c r="C4663" s="16" t="s">
        <v>5331</v>
      </c>
      <c r="D4663" s="12">
        <v>4958</v>
      </c>
      <c r="E4663" s="12" t="s">
        <v>5332</v>
      </c>
      <c r="F4663" s="12" t="s">
        <v>5328</v>
      </c>
      <c r="G4663" s="12" t="s">
        <v>13379</v>
      </c>
      <c r="H4663" s="12">
        <v>166030</v>
      </c>
    </row>
    <row r="4664" spans="1:8">
      <c r="A4664" s="12" t="s">
        <v>13380</v>
      </c>
      <c r="B4664" s="13">
        <v>66.78</v>
      </c>
      <c r="C4664" s="16" t="s">
        <v>5331</v>
      </c>
      <c r="D4664" s="12">
        <v>310</v>
      </c>
      <c r="E4664" s="12" t="s">
        <v>5332</v>
      </c>
      <c r="F4664" s="12" t="s">
        <v>5328</v>
      </c>
      <c r="G4664" s="12" t="s">
        <v>13381</v>
      </c>
      <c r="H4664" s="12">
        <v>183638</v>
      </c>
    </row>
    <row r="4665" spans="1:8">
      <c r="A4665" s="12" t="s">
        <v>13380</v>
      </c>
      <c r="B4665" s="13">
        <v>0</v>
      </c>
      <c r="C4665" s="16" t="s">
        <v>5331</v>
      </c>
      <c r="D4665" s="12">
        <v>287</v>
      </c>
      <c r="E4665" s="12" t="s">
        <v>5332</v>
      </c>
      <c r="F4665" s="12" t="s">
        <v>5328</v>
      </c>
      <c r="G4665" s="12" t="s">
        <v>13382</v>
      </c>
      <c r="H4665" s="12">
        <v>166031</v>
      </c>
    </row>
    <row r="4666" spans="1:8">
      <c r="A4666" s="12" t="s">
        <v>13383</v>
      </c>
      <c r="B4666" s="13">
        <v>68.41</v>
      </c>
      <c r="C4666" s="16" t="s">
        <v>5331</v>
      </c>
      <c r="D4666" s="12">
        <v>422</v>
      </c>
      <c r="E4666" s="12" t="s">
        <v>5332</v>
      </c>
      <c r="F4666" s="12" t="s">
        <v>5328</v>
      </c>
      <c r="G4666" s="12" t="s">
        <v>13384</v>
      </c>
      <c r="H4666" s="12">
        <v>183639</v>
      </c>
    </row>
    <row r="4667" spans="1:8">
      <c r="A4667" s="12" t="s">
        <v>13383</v>
      </c>
      <c r="B4667" s="13">
        <v>0</v>
      </c>
      <c r="C4667" s="16" t="s">
        <v>5331</v>
      </c>
      <c r="D4667" s="12">
        <v>402</v>
      </c>
      <c r="E4667" s="12" t="s">
        <v>5332</v>
      </c>
      <c r="F4667" s="12" t="s">
        <v>5328</v>
      </c>
      <c r="G4667" s="12" t="s">
        <v>13385</v>
      </c>
      <c r="H4667" s="12">
        <v>166032</v>
      </c>
    </row>
    <row r="4668" spans="1:8">
      <c r="A4668" s="12" t="s">
        <v>13386</v>
      </c>
      <c r="B4668" s="13">
        <v>27.42</v>
      </c>
      <c r="C4668" s="16" t="s">
        <v>5331</v>
      </c>
      <c r="D4668" s="12">
        <v>422</v>
      </c>
      <c r="E4668" s="12" t="s">
        <v>5332</v>
      </c>
      <c r="F4668" s="12" t="s">
        <v>5328</v>
      </c>
      <c r="G4668" s="12" t="s">
        <v>13387</v>
      </c>
      <c r="H4668" s="12">
        <v>183640</v>
      </c>
    </row>
    <row r="4669" spans="1:8">
      <c r="A4669" s="12" t="s">
        <v>13386</v>
      </c>
      <c r="B4669" s="13">
        <v>0</v>
      </c>
      <c r="C4669" s="16" t="s">
        <v>5331</v>
      </c>
      <c r="D4669" s="12">
        <v>402</v>
      </c>
      <c r="E4669" s="12" t="s">
        <v>5332</v>
      </c>
      <c r="F4669" s="12" t="s">
        <v>5328</v>
      </c>
      <c r="G4669" s="12" t="s">
        <v>13388</v>
      </c>
      <c r="H4669" s="12">
        <v>166033</v>
      </c>
    </row>
    <row r="4670" spans="1:8">
      <c r="A4670" s="12" t="s">
        <v>13389</v>
      </c>
      <c r="B4670" s="13">
        <v>26.79</v>
      </c>
      <c r="C4670" s="16" t="s">
        <v>5331</v>
      </c>
      <c r="D4670" s="12">
        <v>422</v>
      </c>
      <c r="E4670" s="12" t="s">
        <v>5332</v>
      </c>
      <c r="F4670" s="12" t="s">
        <v>5328</v>
      </c>
      <c r="G4670" s="12" t="s">
        <v>13390</v>
      </c>
      <c r="H4670" s="12">
        <v>183641</v>
      </c>
    </row>
    <row r="4671" spans="1:8">
      <c r="A4671" s="12" t="s">
        <v>13389</v>
      </c>
      <c r="B4671" s="13">
        <v>0</v>
      </c>
      <c r="C4671" s="16" t="s">
        <v>5331</v>
      </c>
      <c r="D4671" s="12">
        <v>402</v>
      </c>
      <c r="E4671" s="12" t="s">
        <v>5332</v>
      </c>
      <c r="F4671" s="12" t="s">
        <v>5328</v>
      </c>
      <c r="G4671" s="12" t="s">
        <v>13391</v>
      </c>
      <c r="H4671" s="12">
        <v>166034</v>
      </c>
    </row>
    <row r="4672" spans="1:8">
      <c r="A4672" s="12" t="s">
        <v>13392</v>
      </c>
      <c r="B4672" s="13">
        <v>26.79</v>
      </c>
      <c r="C4672" s="16" t="s">
        <v>5331</v>
      </c>
      <c r="D4672" s="12">
        <v>422</v>
      </c>
      <c r="E4672" s="12" t="s">
        <v>5332</v>
      </c>
      <c r="F4672" s="12" t="s">
        <v>5328</v>
      </c>
      <c r="G4672" s="12" t="s">
        <v>13393</v>
      </c>
      <c r="H4672" s="12">
        <v>183642</v>
      </c>
    </row>
    <row r="4673" spans="1:8">
      <c r="A4673" s="12" t="s">
        <v>13392</v>
      </c>
      <c r="B4673" s="13">
        <v>0</v>
      </c>
      <c r="C4673" s="16" t="s">
        <v>5331</v>
      </c>
      <c r="D4673" s="12">
        <v>402</v>
      </c>
      <c r="E4673" s="12" t="s">
        <v>5332</v>
      </c>
      <c r="F4673" s="12" t="s">
        <v>5328</v>
      </c>
      <c r="G4673" s="12" t="s">
        <v>13394</v>
      </c>
      <c r="H4673" s="12">
        <v>166035</v>
      </c>
    </row>
    <row r="4674" spans="1:8">
      <c r="A4674" s="12" t="s">
        <v>13395</v>
      </c>
      <c r="B4674" s="14">
        <v>1611.29</v>
      </c>
      <c r="C4674" s="16" t="s">
        <v>5331</v>
      </c>
      <c r="D4674" s="12">
        <v>3563</v>
      </c>
      <c r="E4674" s="12" t="s">
        <v>5332</v>
      </c>
      <c r="F4674" s="12" t="s">
        <v>5328</v>
      </c>
      <c r="G4674" s="12" t="s">
        <v>13396</v>
      </c>
      <c r="H4674" s="12">
        <v>183643</v>
      </c>
    </row>
    <row r="4675" spans="1:8">
      <c r="A4675" s="12" t="s">
        <v>13395</v>
      </c>
      <c r="B4675" s="13">
        <v>0</v>
      </c>
      <c r="C4675" s="16" t="s">
        <v>5331</v>
      </c>
      <c r="D4675" s="12">
        <v>3393</v>
      </c>
      <c r="E4675" s="12" t="s">
        <v>5332</v>
      </c>
      <c r="F4675" s="12" t="s">
        <v>5328</v>
      </c>
      <c r="G4675" s="12" t="s">
        <v>13397</v>
      </c>
      <c r="H4675" s="12">
        <v>166036</v>
      </c>
    </row>
    <row r="4676" spans="1:8">
      <c r="A4676" s="12" t="s">
        <v>13398</v>
      </c>
      <c r="B4676" s="13">
        <v>863.68</v>
      </c>
      <c r="C4676" s="16" t="s">
        <v>5331</v>
      </c>
      <c r="D4676" s="12">
        <v>2919</v>
      </c>
      <c r="E4676" s="12" t="s">
        <v>5332</v>
      </c>
      <c r="F4676" s="12" t="s">
        <v>5328</v>
      </c>
      <c r="G4676" s="12" t="s">
        <v>13399</v>
      </c>
      <c r="H4676" s="12">
        <v>183644</v>
      </c>
    </row>
    <row r="4677" spans="1:8">
      <c r="A4677" s="12" t="s">
        <v>13398</v>
      </c>
      <c r="B4677" s="13">
        <v>0</v>
      </c>
      <c r="C4677" s="16" t="s">
        <v>5331</v>
      </c>
      <c r="D4677" s="12">
        <v>2780</v>
      </c>
      <c r="E4677" s="12" t="s">
        <v>5332</v>
      </c>
      <c r="F4677" s="12" t="s">
        <v>5328</v>
      </c>
      <c r="G4677" s="12" t="s">
        <v>13400</v>
      </c>
      <c r="H4677" s="12">
        <v>166037</v>
      </c>
    </row>
    <row r="4678" spans="1:8">
      <c r="A4678" s="12" t="s">
        <v>13401</v>
      </c>
      <c r="B4678" s="13">
        <v>929.41</v>
      </c>
      <c r="C4678" s="16" t="s">
        <v>5331</v>
      </c>
      <c r="D4678" s="12">
        <v>2919</v>
      </c>
      <c r="E4678" s="12" t="s">
        <v>5332</v>
      </c>
      <c r="F4678" s="12" t="s">
        <v>5328</v>
      </c>
      <c r="G4678" s="12" t="s">
        <v>13402</v>
      </c>
      <c r="H4678" s="12">
        <v>183645</v>
      </c>
    </row>
    <row r="4679" spans="1:8">
      <c r="A4679" s="12" t="s">
        <v>13401</v>
      </c>
      <c r="B4679" s="13">
        <v>0</v>
      </c>
      <c r="C4679" s="16" t="s">
        <v>5331</v>
      </c>
      <c r="D4679" s="12">
        <v>2780</v>
      </c>
      <c r="E4679" s="12" t="s">
        <v>5332</v>
      </c>
      <c r="F4679" s="12" t="s">
        <v>5328</v>
      </c>
      <c r="G4679" s="12" t="s">
        <v>13403</v>
      </c>
      <c r="H4679" s="12">
        <v>166038</v>
      </c>
    </row>
    <row r="4680" spans="1:8">
      <c r="A4680" s="12" t="s">
        <v>13404</v>
      </c>
      <c r="B4680" s="13">
        <v>484.94</v>
      </c>
      <c r="C4680" s="16" t="s">
        <v>5331</v>
      </c>
      <c r="D4680" s="12">
        <v>1521</v>
      </c>
      <c r="E4680" s="12" t="s">
        <v>5332</v>
      </c>
      <c r="F4680" s="12" t="s">
        <v>5328</v>
      </c>
      <c r="G4680" s="12" t="s">
        <v>13405</v>
      </c>
      <c r="H4680" s="12">
        <v>183646</v>
      </c>
    </row>
    <row r="4681" spans="1:8">
      <c r="A4681" s="12" t="s">
        <v>13404</v>
      </c>
      <c r="B4681" s="13">
        <v>0</v>
      </c>
      <c r="C4681" s="16" t="s">
        <v>5331</v>
      </c>
      <c r="D4681" s="12">
        <v>1449</v>
      </c>
      <c r="E4681" s="12" t="s">
        <v>5332</v>
      </c>
      <c r="F4681" s="12" t="s">
        <v>5328</v>
      </c>
      <c r="G4681" s="12" t="s">
        <v>13406</v>
      </c>
      <c r="H4681" s="12">
        <v>166039</v>
      </c>
    </row>
    <row r="4682" spans="1:8">
      <c r="A4682" s="12" t="s">
        <v>13407</v>
      </c>
      <c r="B4682" s="14">
        <v>2088.0100000000002</v>
      </c>
      <c r="C4682" s="16" t="s">
        <v>5331</v>
      </c>
      <c r="D4682" s="12">
        <v>7142</v>
      </c>
      <c r="E4682" s="12" t="s">
        <v>5332</v>
      </c>
      <c r="F4682" s="12" t="s">
        <v>5328</v>
      </c>
      <c r="G4682" s="12" t="s">
        <v>13408</v>
      </c>
      <c r="H4682" s="12">
        <v>183647</v>
      </c>
    </row>
    <row r="4683" spans="1:8">
      <c r="A4683" s="12" t="s">
        <v>13407</v>
      </c>
      <c r="B4683" s="13">
        <v>0</v>
      </c>
      <c r="C4683" s="16" t="s">
        <v>5331</v>
      </c>
      <c r="D4683" s="12">
        <v>6802</v>
      </c>
      <c r="E4683" s="12" t="s">
        <v>5332</v>
      </c>
      <c r="F4683" s="12" t="s">
        <v>5328</v>
      </c>
      <c r="G4683" s="12" t="s">
        <v>13409</v>
      </c>
      <c r="H4683" s="12">
        <v>165938</v>
      </c>
    </row>
    <row r="4684" spans="1:8">
      <c r="A4684" s="12" t="s">
        <v>13410</v>
      </c>
      <c r="B4684" s="14">
        <v>2281.3000000000002</v>
      </c>
      <c r="C4684" s="16" t="s">
        <v>5331</v>
      </c>
      <c r="D4684" s="12">
        <v>6976</v>
      </c>
      <c r="E4684" s="12" t="s">
        <v>5332</v>
      </c>
      <c r="F4684" s="12" t="s">
        <v>5328</v>
      </c>
      <c r="G4684" s="12" t="s">
        <v>13411</v>
      </c>
      <c r="H4684" s="12">
        <v>183648</v>
      </c>
    </row>
    <row r="4685" spans="1:8">
      <c r="A4685" s="12" t="s">
        <v>13410</v>
      </c>
      <c r="B4685" s="13">
        <v>0</v>
      </c>
      <c r="C4685" s="16" t="s">
        <v>5331</v>
      </c>
      <c r="D4685" s="12">
        <v>6644</v>
      </c>
      <c r="E4685" s="12" t="s">
        <v>5332</v>
      </c>
      <c r="F4685" s="12" t="s">
        <v>5328</v>
      </c>
      <c r="G4685" s="12" t="s">
        <v>13412</v>
      </c>
      <c r="H4685" s="12">
        <v>166040</v>
      </c>
    </row>
    <row r="4686" spans="1:8">
      <c r="A4686" s="12" t="s">
        <v>13413</v>
      </c>
      <c r="B4686" s="14">
        <v>2107.0100000000002</v>
      </c>
      <c r="C4686" s="16" t="s">
        <v>5331</v>
      </c>
      <c r="D4686" s="12">
        <v>6976</v>
      </c>
      <c r="E4686" s="12" t="s">
        <v>5332</v>
      </c>
      <c r="F4686" s="12" t="s">
        <v>5328</v>
      </c>
      <c r="G4686" s="12" t="s">
        <v>13414</v>
      </c>
      <c r="H4686" s="12">
        <v>183649</v>
      </c>
    </row>
    <row r="4687" spans="1:8">
      <c r="A4687" s="12" t="s">
        <v>13413</v>
      </c>
      <c r="B4687" s="13">
        <v>0</v>
      </c>
      <c r="C4687" s="16" t="s">
        <v>5331</v>
      </c>
      <c r="D4687" s="12">
        <v>6644</v>
      </c>
      <c r="E4687" s="12" t="s">
        <v>5332</v>
      </c>
      <c r="F4687" s="12" t="s">
        <v>5328</v>
      </c>
      <c r="G4687" s="12" t="s">
        <v>13415</v>
      </c>
      <c r="H4687" s="12">
        <v>166041</v>
      </c>
    </row>
    <row r="4688" spans="1:8">
      <c r="A4688" s="12" t="s">
        <v>13416</v>
      </c>
      <c r="B4688" s="14">
        <v>11953.46</v>
      </c>
      <c r="C4688" s="16" t="s">
        <v>5331</v>
      </c>
      <c r="D4688" s="12">
        <v>45734</v>
      </c>
      <c r="E4688" s="12" t="s">
        <v>5332</v>
      </c>
      <c r="F4688" s="12" t="s">
        <v>5328</v>
      </c>
      <c r="G4688" s="12" t="s">
        <v>13417</v>
      </c>
      <c r="H4688" s="12">
        <v>183650</v>
      </c>
    </row>
    <row r="4689" spans="1:8">
      <c r="A4689" s="12" t="s">
        <v>13416</v>
      </c>
      <c r="B4689" s="13">
        <v>0</v>
      </c>
      <c r="C4689" s="16" t="s">
        <v>5331</v>
      </c>
      <c r="D4689" s="12">
        <v>43556</v>
      </c>
      <c r="E4689" s="12" t="s">
        <v>5332</v>
      </c>
      <c r="F4689" s="12" t="s">
        <v>5328</v>
      </c>
      <c r="G4689" s="12" t="s">
        <v>13418</v>
      </c>
      <c r="H4689" s="12">
        <v>166042</v>
      </c>
    </row>
    <row r="4690" spans="1:8">
      <c r="A4690" s="12" t="s">
        <v>13419</v>
      </c>
      <c r="B4690" s="14">
        <v>6741.46</v>
      </c>
      <c r="C4690" s="16" t="s">
        <v>5331</v>
      </c>
      <c r="D4690" s="12">
        <v>37065</v>
      </c>
      <c r="E4690" s="12" t="s">
        <v>5332</v>
      </c>
      <c r="F4690" s="12" t="s">
        <v>5328</v>
      </c>
      <c r="G4690" s="12" t="s">
        <v>13420</v>
      </c>
      <c r="H4690" s="12">
        <v>183651</v>
      </c>
    </row>
    <row r="4691" spans="1:8">
      <c r="A4691" s="12" t="s">
        <v>13419</v>
      </c>
      <c r="B4691" s="13">
        <v>0</v>
      </c>
      <c r="C4691" s="16" t="s">
        <v>5331</v>
      </c>
      <c r="D4691" s="12">
        <v>35300</v>
      </c>
      <c r="E4691" s="12" t="s">
        <v>5332</v>
      </c>
      <c r="F4691" s="12" t="s">
        <v>5328</v>
      </c>
      <c r="G4691" s="12" t="s">
        <v>13421</v>
      </c>
      <c r="H4691" s="12">
        <v>165939</v>
      </c>
    </row>
    <row r="4692" spans="1:8">
      <c r="A4692" s="12" t="s">
        <v>13422</v>
      </c>
      <c r="B4692" s="13">
        <v>711.5</v>
      </c>
      <c r="C4692" s="16" t="s">
        <v>5331</v>
      </c>
      <c r="D4692" s="12">
        <v>1530</v>
      </c>
      <c r="E4692" s="12" t="s">
        <v>5332</v>
      </c>
      <c r="F4692" s="12" t="s">
        <v>5328</v>
      </c>
      <c r="G4692" s="12" t="s">
        <v>13423</v>
      </c>
      <c r="H4692" s="12">
        <v>183652</v>
      </c>
    </row>
    <row r="4693" spans="1:8">
      <c r="A4693" s="12" t="s">
        <v>13422</v>
      </c>
      <c r="B4693" s="13">
        <v>0</v>
      </c>
      <c r="C4693" s="16" t="s">
        <v>5331</v>
      </c>
      <c r="D4693" s="12">
        <v>1457</v>
      </c>
      <c r="E4693" s="12" t="s">
        <v>5332</v>
      </c>
      <c r="F4693" s="12" t="s">
        <v>5328</v>
      </c>
      <c r="G4693" s="12" t="s">
        <v>13424</v>
      </c>
      <c r="H4693" s="12">
        <v>166043</v>
      </c>
    </row>
    <row r="4694" spans="1:8">
      <c r="A4694" s="12" t="s">
        <v>13425</v>
      </c>
      <c r="B4694" s="13">
        <v>81.64</v>
      </c>
      <c r="C4694" s="16" t="s">
        <v>5331</v>
      </c>
      <c r="D4694" s="12">
        <v>292</v>
      </c>
      <c r="E4694" s="12" t="s">
        <v>5332</v>
      </c>
      <c r="F4694" s="12" t="s">
        <v>5328</v>
      </c>
      <c r="G4694" s="12" t="s">
        <v>13426</v>
      </c>
      <c r="H4694" s="12">
        <v>183653</v>
      </c>
    </row>
    <row r="4695" spans="1:8">
      <c r="A4695" s="12" t="s">
        <v>13425</v>
      </c>
      <c r="B4695" s="13">
        <v>0</v>
      </c>
      <c r="C4695" s="16" t="s">
        <v>5331</v>
      </c>
      <c r="D4695" s="12">
        <v>278</v>
      </c>
      <c r="E4695" s="12" t="s">
        <v>5332</v>
      </c>
      <c r="F4695" s="12" t="s">
        <v>5328</v>
      </c>
      <c r="G4695" s="12" t="s">
        <v>13427</v>
      </c>
      <c r="H4695" s="12">
        <v>166044</v>
      </c>
    </row>
    <row r="4696" spans="1:8">
      <c r="A4696" s="12" t="s">
        <v>13428</v>
      </c>
      <c r="B4696" s="14">
        <v>19671.490000000002</v>
      </c>
      <c r="C4696" s="16" t="s">
        <v>5331</v>
      </c>
      <c r="D4696" s="12">
        <v>54406</v>
      </c>
      <c r="E4696" s="12" t="s">
        <v>5332</v>
      </c>
      <c r="F4696" s="12" t="s">
        <v>5328</v>
      </c>
      <c r="G4696" s="12" t="s">
        <v>13429</v>
      </c>
      <c r="H4696" s="12">
        <v>183654</v>
      </c>
    </row>
    <row r="4697" spans="1:8">
      <c r="A4697" s="12" t="s">
        <v>13428</v>
      </c>
      <c r="B4697" s="13">
        <v>0</v>
      </c>
      <c r="C4697" s="16" t="s">
        <v>5331</v>
      </c>
      <c r="D4697" s="12">
        <v>51815</v>
      </c>
      <c r="E4697" s="12" t="s">
        <v>5332</v>
      </c>
      <c r="F4697" s="12" t="s">
        <v>5328</v>
      </c>
      <c r="G4697" s="12" t="s">
        <v>13430</v>
      </c>
      <c r="H4697" s="12">
        <v>166045</v>
      </c>
    </row>
    <row r="4698" spans="1:8">
      <c r="A4698" s="12" t="s">
        <v>13431</v>
      </c>
      <c r="B4698" s="14">
        <v>1797.76</v>
      </c>
      <c r="C4698" s="16" t="s">
        <v>5331</v>
      </c>
      <c r="D4698" s="12">
        <v>35095</v>
      </c>
      <c r="E4698" s="12" t="s">
        <v>5332</v>
      </c>
      <c r="F4698" s="12" t="s">
        <v>5328</v>
      </c>
      <c r="G4698" s="12" t="s">
        <v>13432</v>
      </c>
      <c r="H4698" s="12">
        <v>183655</v>
      </c>
    </row>
    <row r="4699" spans="1:8">
      <c r="A4699" s="12" t="s">
        <v>13431</v>
      </c>
      <c r="B4699" s="13">
        <v>0</v>
      </c>
      <c r="C4699" s="16" t="s">
        <v>5331</v>
      </c>
      <c r="D4699" s="12">
        <v>33424</v>
      </c>
      <c r="E4699" s="12" t="s">
        <v>5332</v>
      </c>
      <c r="F4699" s="12" t="s">
        <v>5328</v>
      </c>
      <c r="G4699" s="12" t="s">
        <v>13433</v>
      </c>
      <c r="H4699" s="12">
        <v>166046</v>
      </c>
    </row>
    <row r="4700" spans="1:8">
      <c r="A4700" s="12" t="s">
        <v>13434</v>
      </c>
      <c r="B4700" s="13">
        <v>643.52</v>
      </c>
      <c r="C4700" s="16" t="s">
        <v>5331</v>
      </c>
      <c r="D4700" s="12">
        <v>5830</v>
      </c>
      <c r="E4700" s="12" t="s">
        <v>5332</v>
      </c>
      <c r="F4700" s="12" t="s">
        <v>5328</v>
      </c>
      <c r="G4700" s="12" t="s">
        <v>13435</v>
      </c>
      <c r="H4700" s="12">
        <v>183656</v>
      </c>
    </row>
    <row r="4701" spans="1:8">
      <c r="A4701" s="12" t="s">
        <v>13434</v>
      </c>
      <c r="B4701" s="13">
        <v>0</v>
      </c>
      <c r="C4701" s="16" t="s">
        <v>5331</v>
      </c>
      <c r="D4701" s="12">
        <v>5552</v>
      </c>
      <c r="E4701" s="12" t="s">
        <v>5332</v>
      </c>
      <c r="F4701" s="12" t="s">
        <v>5328</v>
      </c>
      <c r="G4701" s="12" t="s">
        <v>13436</v>
      </c>
      <c r="H4701" s="12">
        <v>165940</v>
      </c>
    </row>
    <row r="4702" spans="1:8">
      <c r="A4702" s="12" t="s">
        <v>13437</v>
      </c>
      <c r="B4702" s="13">
        <v>912.22</v>
      </c>
      <c r="C4702" s="16" t="s">
        <v>5331</v>
      </c>
      <c r="D4702" s="12">
        <v>4286</v>
      </c>
      <c r="E4702" s="12" t="s">
        <v>5332</v>
      </c>
      <c r="F4702" s="12" t="s">
        <v>5328</v>
      </c>
      <c r="G4702" s="12" t="s">
        <v>13438</v>
      </c>
      <c r="H4702" s="12">
        <v>183657</v>
      </c>
    </row>
    <row r="4703" spans="1:8">
      <c r="A4703" s="12" t="s">
        <v>13437</v>
      </c>
      <c r="B4703" s="13">
        <v>0</v>
      </c>
      <c r="C4703" s="16" t="s">
        <v>5331</v>
      </c>
      <c r="D4703" s="12">
        <v>4082</v>
      </c>
      <c r="E4703" s="12" t="s">
        <v>5332</v>
      </c>
      <c r="F4703" s="12" t="s">
        <v>5328</v>
      </c>
      <c r="G4703" s="12" t="s">
        <v>13439</v>
      </c>
      <c r="H4703" s="12">
        <v>166126</v>
      </c>
    </row>
    <row r="4704" spans="1:8">
      <c r="A4704" s="12" t="s">
        <v>13440</v>
      </c>
      <c r="B4704" s="13">
        <v>47.82</v>
      </c>
      <c r="C4704" s="16" t="s">
        <v>5331</v>
      </c>
      <c r="D4704" s="12">
        <v>267</v>
      </c>
      <c r="E4704" s="12" t="s">
        <v>5332</v>
      </c>
      <c r="F4704" s="12" t="s">
        <v>5328</v>
      </c>
      <c r="G4704" s="12" t="s">
        <v>13441</v>
      </c>
      <c r="H4704" s="12">
        <v>183658</v>
      </c>
    </row>
    <row r="4705" spans="1:8">
      <c r="A4705" s="12" t="s">
        <v>13440</v>
      </c>
      <c r="B4705" s="13">
        <v>0</v>
      </c>
      <c r="C4705" s="16" t="s">
        <v>5331</v>
      </c>
      <c r="D4705" s="12">
        <v>254</v>
      </c>
      <c r="E4705" s="12" t="s">
        <v>5332</v>
      </c>
      <c r="F4705" s="12" t="s">
        <v>5328</v>
      </c>
      <c r="G4705" s="12" t="s">
        <v>13442</v>
      </c>
      <c r="H4705" s="12">
        <v>166047</v>
      </c>
    </row>
    <row r="4706" spans="1:8">
      <c r="A4706" s="12" t="s">
        <v>13443</v>
      </c>
      <c r="B4706" s="13">
        <v>44.44</v>
      </c>
      <c r="C4706" s="16" t="s">
        <v>5331</v>
      </c>
      <c r="D4706" s="12">
        <v>315</v>
      </c>
      <c r="E4706" s="12" t="s">
        <v>5332</v>
      </c>
      <c r="F4706" s="12" t="s">
        <v>5328</v>
      </c>
      <c r="G4706" s="12" t="s">
        <v>13444</v>
      </c>
      <c r="H4706" s="12">
        <v>183659</v>
      </c>
    </row>
    <row r="4707" spans="1:8">
      <c r="A4707" s="12" t="s">
        <v>13443</v>
      </c>
      <c r="B4707" s="13">
        <v>0</v>
      </c>
      <c r="C4707" s="16" t="s">
        <v>5331</v>
      </c>
      <c r="D4707" s="12">
        <v>300</v>
      </c>
      <c r="E4707" s="12" t="s">
        <v>5332</v>
      </c>
      <c r="F4707" s="12" t="s">
        <v>5328</v>
      </c>
      <c r="G4707" s="12" t="s">
        <v>13445</v>
      </c>
      <c r="H4707" s="12">
        <v>166048</v>
      </c>
    </row>
    <row r="4708" spans="1:8">
      <c r="A4708" s="12" t="s">
        <v>13446</v>
      </c>
      <c r="B4708" s="13">
        <v>245.4</v>
      </c>
      <c r="C4708" s="16" t="s">
        <v>5331</v>
      </c>
      <c r="D4708" s="12">
        <v>1142</v>
      </c>
      <c r="E4708" s="12" t="s">
        <v>5332</v>
      </c>
      <c r="F4708" s="12" t="s">
        <v>5328</v>
      </c>
      <c r="G4708" s="12" t="s">
        <v>13447</v>
      </c>
      <c r="H4708" s="12">
        <v>183660</v>
      </c>
    </row>
    <row r="4709" spans="1:8">
      <c r="A4709" s="12" t="s">
        <v>13446</v>
      </c>
      <c r="B4709" s="13">
        <v>0</v>
      </c>
      <c r="C4709" s="16" t="s">
        <v>5331</v>
      </c>
      <c r="D4709" s="12">
        <v>1088</v>
      </c>
      <c r="E4709" s="12" t="s">
        <v>5332</v>
      </c>
      <c r="F4709" s="12" t="s">
        <v>5328</v>
      </c>
      <c r="G4709" s="12" t="s">
        <v>13448</v>
      </c>
      <c r="H4709" s="12">
        <v>166049</v>
      </c>
    </row>
    <row r="4710" spans="1:8">
      <c r="A4710" s="12" t="s">
        <v>13449</v>
      </c>
      <c r="B4710" s="13">
        <v>299.58</v>
      </c>
      <c r="C4710" s="16" t="s">
        <v>5331</v>
      </c>
      <c r="D4710" s="12">
        <v>1142</v>
      </c>
      <c r="E4710" s="12" t="s">
        <v>5332</v>
      </c>
      <c r="F4710" s="12" t="s">
        <v>5328</v>
      </c>
      <c r="G4710" s="12" t="s">
        <v>13450</v>
      </c>
      <c r="H4710" s="12">
        <v>183661</v>
      </c>
    </row>
    <row r="4711" spans="1:8">
      <c r="A4711" s="12" t="s">
        <v>13449</v>
      </c>
      <c r="B4711" s="13">
        <v>0</v>
      </c>
      <c r="C4711" s="16" t="s">
        <v>5331</v>
      </c>
      <c r="D4711" s="12">
        <v>1088</v>
      </c>
      <c r="E4711" s="12" t="s">
        <v>5332</v>
      </c>
      <c r="F4711" s="12" t="s">
        <v>5328</v>
      </c>
      <c r="G4711" s="12" t="s">
        <v>13451</v>
      </c>
      <c r="H4711" s="12">
        <v>166050</v>
      </c>
    </row>
    <row r="4712" spans="1:8">
      <c r="A4712" s="12" t="s">
        <v>13452</v>
      </c>
      <c r="B4712" s="13">
        <v>379.6</v>
      </c>
      <c r="C4712" s="16" t="s">
        <v>5331</v>
      </c>
      <c r="D4712" s="12">
        <v>879</v>
      </c>
      <c r="E4712" s="12" t="s">
        <v>5332</v>
      </c>
      <c r="F4712" s="12" t="s">
        <v>5328</v>
      </c>
      <c r="G4712" s="12" t="s">
        <v>13453</v>
      </c>
      <c r="H4712" s="12">
        <v>183662</v>
      </c>
    </row>
    <row r="4713" spans="1:8">
      <c r="A4713" s="12" t="s">
        <v>13452</v>
      </c>
      <c r="B4713" s="13">
        <v>0</v>
      </c>
      <c r="C4713" s="16" t="s">
        <v>5331</v>
      </c>
      <c r="D4713" s="12">
        <v>837</v>
      </c>
      <c r="E4713" s="12" t="s">
        <v>5332</v>
      </c>
      <c r="F4713" s="12" t="s">
        <v>5328</v>
      </c>
      <c r="G4713" s="12" t="s">
        <v>13454</v>
      </c>
      <c r="H4713" s="12">
        <v>165941</v>
      </c>
    </row>
    <row r="4714" spans="1:8">
      <c r="A4714" s="12" t="s">
        <v>13455</v>
      </c>
      <c r="B4714" s="13">
        <v>791.46</v>
      </c>
      <c r="C4714" s="16" t="s">
        <v>5331</v>
      </c>
      <c r="D4714" s="12">
        <v>2961</v>
      </c>
      <c r="E4714" s="12" t="s">
        <v>5332</v>
      </c>
      <c r="F4714" s="12" t="s">
        <v>5328</v>
      </c>
      <c r="G4714" s="12" t="s">
        <v>13456</v>
      </c>
      <c r="H4714" s="12">
        <v>183663</v>
      </c>
    </row>
    <row r="4715" spans="1:8">
      <c r="A4715" s="12" t="s">
        <v>13455</v>
      </c>
      <c r="B4715" s="13">
        <v>0</v>
      </c>
      <c r="C4715" s="16" t="s">
        <v>5331</v>
      </c>
      <c r="D4715" s="12">
        <v>2820</v>
      </c>
      <c r="E4715" s="12" t="s">
        <v>5332</v>
      </c>
      <c r="F4715" s="12" t="s">
        <v>5328</v>
      </c>
      <c r="G4715" s="12" t="s">
        <v>13457</v>
      </c>
      <c r="H4715" s="12">
        <v>165942</v>
      </c>
    </row>
    <row r="4716" spans="1:8">
      <c r="A4716" s="12" t="s">
        <v>13458</v>
      </c>
      <c r="B4716" s="13">
        <v>366.9</v>
      </c>
      <c r="C4716" s="16" t="s">
        <v>5331</v>
      </c>
      <c r="D4716" s="12">
        <v>1693</v>
      </c>
      <c r="E4716" s="12" t="s">
        <v>5332</v>
      </c>
      <c r="F4716" s="12" t="s">
        <v>5328</v>
      </c>
      <c r="G4716" s="12" t="s">
        <v>13459</v>
      </c>
      <c r="H4716" s="12">
        <v>183664</v>
      </c>
    </row>
    <row r="4717" spans="1:8">
      <c r="A4717" s="12" t="s">
        <v>13458</v>
      </c>
      <c r="B4717" s="13">
        <v>0</v>
      </c>
      <c r="C4717" s="16" t="s">
        <v>5331</v>
      </c>
      <c r="D4717" s="12">
        <v>1612</v>
      </c>
      <c r="E4717" s="12" t="s">
        <v>5332</v>
      </c>
      <c r="F4717" s="12" t="s">
        <v>5328</v>
      </c>
      <c r="G4717" s="12" t="s">
        <v>13460</v>
      </c>
      <c r="H4717" s="12">
        <v>166051</v>
      </c>
    </row>
    <row r="4718" spans="1:8">
      <c r="A4718" s="12" t="s">
        <v>13461</v>
      </c>
      <c r="B4718" s="14">
        <v>1146.53</v>
      </c>
      <c r="C4718" s="16" t="s">
        <v>5331</v>
      </c>
      <c r="D4718" s="12">
        <v>3481</v>
      </c>
      <c r="E4718" s="12" t="s">
        <v>5332</v>
      </c>
      <c r="F4718" s="12" t="s">
        <v>5328</v>
      </c>
      <c r="G4718" s="12" t="s">
        <v>13462</v>
      </c>
      <c r="H4718" s="12">
        <v>183665</v>
      </c>
    </row>
    <row r="4719" spans="1:8">
      <c r="A4719" s="12" t="s">
        <v>13461</v>
      </c>
      <c r="B4719" s="13">
        <v>0</v>
      </c>
      <c r="C4719" s="16" t="s">
        <v>5331</v>
      </c>
      <c r="D4719" s="12">
        <v>3315</v>
      </c>
      <c r="E4719" s="12" t="s">
        <v>5332</v>
      </c>
      <c r="F4719" s="12" t="s">
        <v>5328</v>
      </c>
      <c r="G4719" s="12" t="s">
        <v>13463</v>
      </c>
      <c r="H4719" s="12">
        <v>165943</v>
      </c>
    </row>
    <row r="4720" spans="1:8">
      <c r="A4720" s="12" t="s">
        <v>13464</v>
      </c>
      <c r="B4720" s="14">
        <v>1285.6500000000001</v>
      </c>
      <c r="C4720" s="16" t="s">
        <v>5331</v>
      </c>
      <c r="D4720" s="12">
        <v>2896</v>
      </c>
      <c r="E4720" s="12" t="s">
        <v>5332</v>
      </c>
      <c r="F4720" s="12" t="s">
        <v>5328</v>
      </c>
      <c r="G4720" s="12" t="s">
        <v>13465</v>
      </c>
      <c r="H4720" s="12">
        <v>183666</v>
      </c>
    </row>
    <row r="4721" spans="1:8">
      <c r="A4721" s="12" t="s">
        <v>13464</v>
      </c>
      <c r="B4721" s="13">
        <v>0</v>
      </c>
      <c r="C4721" s="16" t="s">
        <v>5331</v>
      </c>
      <c r="D4721" s="12">
        <v>2758</v>
      </c>
      <c r="E4721" s="12" t="s">
        <v>5332</v>
      </c>
      <c r="F4721" s="12" t="s">
        <v>5328</v>
      </c>
      <c r="G4721" s="12" t="s">
        <v>13466</v>
      </c>
      <c r="H4721" s="12">
        <v>165944</v>
      </c>
    </row>
    <row r="4722" spans="1:8">
      <c r="A4722" s="12" t="s">
        <v>13467</v>
      </c>
      <c r="B4722" s="13">
        <v>107.08</v>
      </c>
      <c r="C4722" s="16" t="s">
        <v>5331</v>
      </c>
      <c r="D4722" s="12">
        <v>369</v>
      </c>
      <c r="E4722" s="12" t="s">
        <v>5332</v>
      </c>
      <c r="F4722" s="12" t="s">
        <v>5328</v>
      </c>
      <c r="G4722" s="12" t="s">
        <v>13468</v>
      </c>
      <c r="H4722" s="12">
        <v>183667</v>
      </c>
    </row>
    <row r="4723" spans="1:8">
      <c r="A4723" s="12" t="s">
        <v>13467</v>
      </c>
      <c r="B4723" s="13">
        <v>0</v>
      </c>
      <c r="C4723" s="16" t="s">
        <v>5331</v>
      </c>
      <c r="D4723" s="12">
        <v>351</v>
      </c>
      <c r="E4723" s="12" t="s">
        <v>5332</v>
      </c>
      <c r="F4723" s="12" t="s">
        <v>5328</v>
      </c>
      <c r="G4723" s="12" t="s">
        <v>13469</v>
      </c>
      <c r="H4723" s="12">
        <v>165945</v>
      </c>
    </row>
    <row r="4724" spans="1:8">
      <c r="A4724" s="12" t="s">
        <v>13470</v>
      </c>
      <c r="B4724" s="13">
        <v>112.08</v>
      </c>
      <c r="C4724" s="16" t="s">
        <v>5331</v>
      </c>
      <c r="D4724" s="12">
        <v>353</v>
      </c>
      <c r="E4724" s="12" t="s">
        <v>5332</v>
      </c>
      <c r="F4724" s="12" t="s">
        <v>5328</v>
      </c>
      <c r="G4724" s="12" t="s">
        <v>13471</v>
      </c>
      <c r="H4724" s="12">
        <v>183668</v>
      </c>
    </row>
    <row r="4725" spans="1:8">
      <c r="A4725" s="12" t="s">
        <v>13472</v>
      </c>
      <c r="B4725" s="13">
        <v>0</v>
      </c>
      <c r="C4725" s="16" t="s">
        <v>5331</v>
      </c>
      <c r="D4725" s="12">
        <v>327</v>
      </c>
      <c r="E4725" s="12" t="s">
        <v>5332</v>
      </c>
      <c r="F4725" s="12" t="s">
        <v>5328</v>
      </c>
      <c r="G4725" s="12" t="s">
        <v>13473</v>
      </c>
      <c r="H4725" s="12">
        <v>166052</v>
      </c>
    </row>
    <row r="4726" spans="1:8">
      <c r="A4726" s="12" t="s">
        <v>13474</v>
      </c>
      <c r="B4726" s="14">
        <v>8570.09</v>
      </c>
      <c r="C4726" s="16" t="s">
        <v>5331</v>
      </c>
      <c r="D4726" s="12">
        <v>59786</v>
      </c>
      <c r="E4726" s="12" t="s">
        <v>5332</v>
      </c>
      <c r="F4726" s="12" t="s">
        <v>5328</v>
      </c>
      <c r="G4726" s="12" t="s">
        <v>13475</v>
      </c>
      <c r="H4726" s="12">
        <v>183669</v>
      </c>
    </row>
    <row r="4727" spans="1:8">
      <c r="A4727" s="12" t="s">
        <v>13474</v>
      </c>
      <c r="B4727" s="13">
        <v>0</v>
      </c>
      <c r="C4727" s="16" t="s">
        <v>5331</v>
      </c>
      <c r="D4727" s="12">
        <v>56939</v>
      </c>
      <c r="E4727" s="12" t="s">
        <v>5332</v>
      </c>
      <c r="F4727" s="12" t="s">
        <v>5328</v>
      </c>
      <c r="G4727" s="12" t="s">
        <v>13476</v>
      </c>
      <c r="H4727" s="12">
        <v>166053</v>
      </c>
    </row>
    <row r="4728" spans="1:8">
      <c r="A4728" s="12" t="s">
        <v>13477</v>
      </c>
      <c r="B4728" s="14">
        <v>7155.39</v>
      </c>
      <c r="C4728" s="16" t="s">
        <v>5331</v>
      </c>
      <c r="D4728" s="12">
        <v>29120</v>
      </c>
      <c r="E4728" s="12" t="s">
        <v>5332</v>
      </c>
      <c r="F4728" s="12" t="s">
        <v>5328</v>
      </c>
      <c r="G4728" s="12" t="s">
        <v>13478</v>
      </c>
      <c r="H4728" s="12">
        <v>183670</v>
      </c>
    </row>
    <row r="4729" spans="1:8">
      <c r="A4729" s="12" t="s">
        <v>13477</v>
      </c>
      <c r="B4729" s="13">
        <v>0</v>
      </c>
      <c r="C4729" s="16" t="s">
        <v>5331</v>
      </c>
      <c r="D4729" s="12">
        <v>27733</v>
      </c>
      <c r="E4729" s="12" t="s">
        <v>5332</v>
      </c>
      <c r="F4729" s="12" t="s">
        <v>5328</v>
      </c>
      <c r="G4729" s="12" t="s">
        <v>13479</v>
      </c>
      <c r="H4729" s="12">
        <v>166054</v>
      </c>
    </row>
    <row r="4730" spans="1:8">
      <c r="A4730" s="12" t="s">
        <v>13480</v>
      </c>
      <c r="B4730" s="14">
        <v>1396.65</v>
      </c>
      <c r="C4730" s="16" t="s">
        <v>5331</v>
      </c>
      <c r="D4730" s="12">
        <v>8858</v>
      </c>
      <c r="E4730" s="12" t="s">
        <v>5332</v>
      </c>
      <c r="F4730" s="12" t="s">
        <v>5328</v>
      </c>
      <c r="G4730" s="12" t="s">
        <v>13481</v>
      </c>
      <c r="H4730" s="12">
        <v>183671</v>
      </c>
    </row>
    <row r="4731" spans="1:8">
      <c r="A4731" s="12" t="s">
        <v>13480</v>
      </c>
      <c r="B4731" s="13">
        <v>0</v>
      </c>
      <c r="C4731" s="16" t="s">
        <v>5331</v>
      </c>
      <c r="D4731" s="12">
        <v>8436</v>
      </c>
      <c r="E4731" s="12" t="s">
        <v>5332</v>
      </c>
      <c r="F4731" s="12" t="s">
        <v>5328</v>
      </c>
      <c r="G4731" s="12" t="s">
        <v>13482</v>
      </c>
      <c r="H4731" s="12">
        <v>166055</v>
      </c>
    </row>
    <row r="4732" spans="1:8">
      <c r="A4732" s="12" t="s">
        <v>13483</v>
      </c>
      <c r="B4732" s="14">
        <v>2832.25</v>
      </c>
      <c r="C4732" s="16" t="s">
        <v>5331</v>
      </c>
      <c r="D4732" s="12">
        <v>16615</v>
      </c>
      <c r="E4732" s="12" t="s">
        <v>5332</v>
      </c>
      <c r="F4732" s="12" t="s">
        <v>5328</v>
      </c>
      <c r="G4732" s="12" t="s">
        <v>13484</v>
      </c>
      <c r="H4732" s="12">
        <v>183672</v>
      </c>
    </row>
    <row r="4733" spans="1:8">
      <c r="A4733" s="12" t="s">
        <v>13483</v>
      </c>
      <c r="B4733" s="13">
        <v>0</v>
      </c>
      <c r="C4733" s="16" t="s">
        <v>5331</v>
      </c>
      <c r="D4733" s="12">
        <v>15824</v>
      </c>
      <c r="E4733" s="12" t="s">
        <v>5332</v>
      </c>
      <c r="F4733" s="12" t="s">
        <v>5328</v>
      </c>
      <c r="G4733" s="12" t="s">
        <v>13485</v>
      </c>
      <c r="H4733" s="12">
        <v>165946</v>
      </c>
    </row>
    <row r="4734" spans="1:8">
      <c r="A4734" s="12" t="s">
        <v>13486</v>
      </c>
      <c r="B4734" s="13">
        <v>35.090000000000003</v>
      </c>
      <c r="C4734" s="16" t="s">
        <v>5331</v>
      </c>
      <c r="D4734" s="12">
        <v>254</v>
      </c>
      <c r="E4734" s="12" t="s">
        <v>5332</v>
      </c>
      <c r="F4734" s="12" t="s">
        <v>5328</v>
      </c>
      <c r="G4734" s="12" t="s">
        <v>13487</v>
      </c>
      <c r="H4734" s="12">
        <v>166247</v>
      </c>
    </row>
    <row r="4735" spans="1:8">
      <c r="A4735" s="12" t="s">
        <v>13488</v>
      </c>
      <c r="B4735" s="13">
        <v>24.79</v>
      </c>
      <c r="C4735" s="16" t="s">
        <v>5331</v>
      </c>
      <c r="D4735" s="12">
        <v>258</v>
      </c>
      <c r="E4735" s="12" t="s">
        <v>5332</v>
      </c>
      <c r="F4735" s="12" t="s">
        <v>5328</v>
      </c>
      <c r="G4735" s="12" t="s">
        <v>13489</v>
      </c>
      <c r="H4735" s="12">
        <v>166248</v>
      </c>
    </row>
    <row r="4736" spans="1:8">
      <c r="A4736" s="12" t="s">
        <v>13490</v>
      </c>
      <c r="B4736" s="13">
        <v>42.45</v>
      </c>
      <c r="C4736" s="16" t="s">
        <v>5331</v>
      </c>
      <c r="D4736" s="12">
        <v>266</v>
      </c>
      <c r="E4736" s="12" t="s">
        <v>5332</v>
      </c>
      <c r="F4736" s="12" t="s">
        <v>5328</v>
      </c>
      <c r="G4736" s="12" t="s">
        <v>13491</v>
      </c>
      <c r="H4736" s="12">
        <v>166249</v>
      </c>
    </row>
    <row r="4737" spans="1:8">
      <c r="A4737" s="12" t="s">
        <v>13492</v>
      </c>
      <c r="B4737" s="13">
        <v>19.190000000000001</v>
      </c>
      <c r="C4737" s="16" t="s">
        <v>5331</v>
      </c>
      <c r="D4737" s="12">
        <v>268</v>
      </c>
      <c r="E4737" s="12" t="s">
        <v>5332</v>
      </c>
      <c r="F4737" s="12" t="s">
        <v>5328</v>
      </c>
      <c r="G4737" s="12" t="s">
        <v>13493</v>
      </c>
      <c r="H4737" s="12">
        <v>166250</v>
      </c>
    </row>
    <row r="4738" spans="1:8">
      <c r="A4738" s="12" t="s">
        <v>13494</v>
      </c>
      <c r="B4738" s="13">
        <v>45.13</v>
      </c>
      <c r="C4738" s="16" t="s">
        <v>5331</v>
      </c>
      <c r="D4738" s="12">
        <v>270</v>
      </c>
      <c r="E4738" s="12" t="s">
        <v>5332</v>
      </c>
      <c r="F4738" s="12" t="s">
        <v>5328</v>
      </c>
      <c r="G4738" s="12" t="s">
        <v>13495</v>
      </c>
      <c r="H4738" s="12">
        <v>166251</v>
      </c>
    </row>
    <row r="4739" spans="1:8">
      <c r="A4739" s="12" t="s">
        <v>13496</v>
      </c>
      <c r="B4739" s="13">
        <v>27.47</v>
      </c>
      <c r="C4739" s="16" t="s">
        <v>5331</v>
      </c>
      <c r="D4739" s="12">
        <v>271</v>
      </c>
      <c r="E4739" s="12" t="s">
        <v>5332</v>
      </c>
      <c r="F4739" s="12" t="s">
        <v>5328</v>
      </c>
      <c r="G4739" s="12" t="s">
        <v>13497</v>
      </c>
      <c r="H4739" s="12">
        <v>166252</v>
      </c>
    </row>
    <row r="4740" spans="1:8">
      <c r="A4740" s="12" t="s">
        <v>13498</v>
      </c>
      <c r="B4740" s="13">
        <v>19.93</v>
      </c>
      <c r="C4740" s="16" t="s">
        <v>5331</v>
      </c>
      <c r="D4740" s="12">
        <v>273</v>
      </c>
      <c r="E4740" s="12" t="s">
        <v>5332</v>
      </c>
      <c r="F4740" s="12" t="s">
        <v>5328</v>
      </c>
      <c r="G4740" s="12" t="s">
        <v>13499</v>
      </c>
      <c r="H4740" s="12">
        <v>166253</v>
      </c>
    </row>
    <row r="4741" spans="1:8">
      <c r="A4741" s="12" t="s">
        <v>13500</v>
      </c>
      <c r="B4741" s="14">
        <v>2601.9899999999998</v>
      </c>
      <c r="C4741" s="16" t="s">
        <v>5331</v>
      </c>
      <c r="D4741" s="12">
        <v>5244</v>
      </c>
      <c r="E4741" s="12" t="s">
        <v>5332</v>
      </c>
      <c r="F4741" s="12" t="s">
        <v>5328</v>
      </c>
      <c r="G4741" s="12" t="s">
        <v>13501</v>
      </c>
      <c r="H4741" s="12">
        <v>183673</v>
      </c>
    </row>
    <row r="4742" spans="1:8">
      <c r="A4742" s="12" t="s">
        <v>13500</v>
      </c>
      <c r="B4742" s="13">
        <v>0</v>
      </c>
      <c r="C4742" s="16" t="s">
        <v>5331</v>
      </c>
      <c r="D4742" s="12">
        <v>4994</v>
      </c>
      <c r="E4742" s="12" t="s">
        <v>5332</v>
      </c>
      <c r="F4742" s="12" t="s">
        <v>5328</v>
      </c>
      <c r="G4742" s="12" t="s">
        <v>13502</v>
      </c>
      <c r="H4742" s="12">
        <v>165947</v>
      </c>
    </row>
    <row r="4743" spans="1:8">
      <c r="A4743" s="12" t="s">
        <v>13503</v>
      </c>
      <c r="B4743" s="14">
        <v>2054.14</v>
      </c>
      <c r="C4743" s="16" t="s">
        <v>5331</v>
      </c>
      <c r="D4743" s="12">
        <v>6170</v>
      </c>
      <c r="E4743" s="12" t="s">
        <v>5332</v>
      </c>
      <c r="F4743" s="12" t="s">
        <v>5328</v>
      </c>
      <c r="G4743" s="12" t="s">
        <v>13504</v>
      </c>
      <c r="H4743" s="12">
        <v>183674</v>
      </c>
    </row>
    <row r="4744" spans="1:8">
      <c r="A4744" s="12" t="s">
        <v>13503</v>
      </c>
      <c r="B4744" s="13">
        <v>0</v>
      </c>
      <c r="C4744" s="16" t="s">
        <v>5331</v>
      </c>
      <c r="D4744" s="12">
        <v>5876</v>
      </c>
      <c r="E4744" s="12" t="s">
        <v>5332</v>
      </c>
      <c r="F4744" s="12" t="s">
        <v>5328</v>
      </c>
      <c r="G4744" s="12" t="s">
        <v>13505</v>
      </c>
      <c r="H4744" s="12">
        <v>166056</v>
      </c>
    </row>
    <row r="4745" spans="1:8">
      <c r="A4745" s="12" t="s">
        <v>13506</v>
      </c>
      <c r="B4745" s="13">
        <v>833.45</v>
      </c>
      <c r="C4745" s="16" t="s">
        <v>5331</v>
      </c>
      <c r="D4745" s="12">
        <v>17497</v>
      </c>
      <c r="E4745" s="12" t="s">
        <v>5332</v>
      </c>
      <c r="F4745" s="12" t="s">
        <v>5328</v>
      </c>
      <c r="G4745" s="12" t="s">
        <v>13507</v>
      </c>
      <c r="H4745" s="12">
        <v>183675</v>
      </c>
    </row>
    <row r="4746" spans="1:8">
      <c r="A4746" s="12" t="s">
        <v>13506</v>
      </c>
      <c r="B4746" s="13">
        <v>0</v>
      </c>
      <c r="C4746" s="16" t="s">
        <v>5331</v>
      </c>
      <c r="D4746" s="12">
        <v>16664</v>
      </c>
      <c r="E4746" s="12" t="s">
        <v>5332</v>
      </c>
      <c r="F4746" s="12" t="s">
        <v>5328</v>
      </c>
      <c r="G4746" s="12" t="s">
        <v>13508</v>
      </c>
      <c r="H4746" s="12">
        <v>165948</v>
      </c>
    </row>
    <row r="4747" spans="1:8">
      <c r="A4747" s="12" t="s">
        <v>13509</v>
      </c>
      <c r="B4747" s="13">
        <v>807.67</v>
      </c>
      <c r="C4747" s="16" t="s">
        <v>5331</v>
      </c>
      <c r="D4747" s="12">
        <v>17088</v>
      </c>
      <c r="E4747" s="12" t="s">
        <v>5332</v>
      </c>
      <c r="F4747" s="12" t="s">
        <v>5328</v>
      </c>
      <c r="G4747" s="12" t="s">
        <v>13510</v>
      </c>
      <c r="H4747" s="12">
        <v>183676</v>
      </c>
    </row>
    <row r="4748" spans="1:8">
      <c r="A4748" s="12" t="s">
        <v>13509</v>
      </c>
      <c r="B4748" s="13">
        <v>0</v>
      </c>
      <c r="C4748" s="16" t="s">
        <v>5331</v>
      </c>
      <c r="D4748" s="12">
        <v>16274</v>
      </c>
      <c r="E4748" s="12" t="s">
        <v>5332</v>
      </c>
      <c r="F4748" s="12" t="s">
        <v>5328</v>
      </c>
      <c r="G4748" s="12" t="s">
        <v>13511</v>
      </c>
      <c r="H4748" s="12">
        <v>166057</v>
      </c>
    </row>
    <row r="4749" spans="1:8">
      <c r="A4749" s="12" t="s">
        <v>13512</v>
      </c>
      <c r="B4749" s="14">
        <v>2168.96</v>
      </c>
      <c r="C4749" s="16" t="s">
        <v>5331</v>
      </c>
      <c r="D4749" s="12">
        <v>29077</v>
      </c>
      <c r="E4749" s="12" t="s">
        <v>5332</v>
      </c>
      <c r="F4749" s="12" t="s">
        <v>5328</v>
      </c>
      <c r="G4749" s="12" t="s">
        <v>13513</v>
      </c>
      <c r="H4749" s="12">
        <v>183677</v>
      </c>
    </row>
    <row r="4750" spans="1:8">
      <c r="A4750" s="12" t="s">
        <v>13512</v>
      </c>
      <c r="B4750" s="13">
        <v>0</v>
      </c>
      <c r="C4750" s="16" t="s">
        <v>5331</v>
      </c>
      <c r="D4750" s="12">
        <v>27692</v>
      </c>
      <c r="E4750" s="12" t="s">
        <v>5332</v>
      </c>
      <c r="F4750" s="12" t="s">
        <v>5328</v>
      </c>
      <c r="G4750" s="12" t="s">
        <v>13514</v>
      </c>
      <c r="H4750" s="12">
        <v>165949</v>
      </c>
    </row>
    <row r="4751" spans="1:8">
      <c r="A4751" s="12" t="s">
        <v>13515</v>
      </c>
      <c r="B4751" s="14">
        <v>2675.31</v>
      </c>
      <c r="C4751" s="16" t="s">
        <v>5331</v>
      </c>
      <c r="D4751" s="12">
        <v>29900</v>
      </c>
      <c r="E4751" s="12" t="s">
        <v>5332</v>
      </c>
      <c r="F4751" s="12" t="s">
        <v>5328</v>
      </c>
      <c r="G4751" s="12" t="s">
        <v>13516</v>
      </c>
      <c r="H4751" s="12">
        <v>183678</v>
      </c>
    </row>
    <row r="4752" spans="1:8">
      <c r="A4752" s="12" t="s">
        <v>13515</v>
      </c>
      <c r="B4752" s="13">
        <v>0</v>
      </c>
      <c r="C4752" s="16" t="s">
        <v>5331</v>
      </c>
      <c r="D4752" s="12">
        <v>28476</v>
      </c>
      <c r="E4752" s="12" t="s">
        <v>5332</v>
      </c>
      <c r="F4752" s="12" t="s">
        <v>5328</v>
      </c>
      <c r="G4752" s="12" t="s">
        <v>13517</v>
      </c>
      <c r="H4752" s="12">
        <v>166058</v>
      </c>
    </row>
    <row r="4753" spans="1:8">
      <c r="A4753" s="12" t="s">
        <v>13518</v>
      </c>
      <c r="B4753" s="14">
        <v>2450.62</v>
      </c>
      <c r="C4753" s="16" t="s">
        <v>5331</v>
      </c>
      <c r="D4753" s="12">
        <v>32389</v>
      </c>
      <c r="E4753" s="12" t="s">
        <v>5332</v>
      </c>
      <c r="F4753" s="12" t="s">
        <v>5328</v>
      </c>
      <c r="G4753" s="12" t="s">
        <v>13519</v>
      </c>
      <c r="H4753" s="12">
        <v>183679</v>
      </c>
    </row>
    <row r="4754" spans="1:8">
      <c r="A4754" s="12" t="s">
        <v>13518</v>
      </c>
      <c r="B4754" s="13">
        <v>0</v>
      </c>
      <c r="C4754" s="16" t="s">
        <v>5331</v>
      </c>
      <c r="D4754" s="12">
        <v>30847</v>
      </c>
      <c r="E4754" s="12" t="s">
        <v>5332</v>
      </c>
      <c r="F4754" s="12" t="s">
        <v>5328</v>
      </c>
      <c r="G4754" s="12" t="s">
        <v>13520</v>
      </c>
      <c r="H4754" s="12">
        <v>166059</v>
      </c>
    </row>
    <row r="4755" spans="1:8">
      <c r="A4755" s="12" t="s">
        <v>13521</v>
      </c>
      <c r="B4755" s="14">
        <v>3490.83</v>
      </c>
      <c r="C4755" s="16" t="s">
        <v>5331</v>
      </c>
      <c r="D4755" s="12">
        <v>14617</v>
      </c>
      <c r="E4755" s="12" t="s">
        <v>5332</v>
      </c>
      <c r="F4755" s="12" t="s">
        <v>5328</v>
      </c>
      <c r="G4755" s="12" t="s">
        <v>13522</v>
      </c>
      <c r="H4755" s="12">
        <v>183680</v>
      </c>
    </row>
    <row r="4756" spans="1:8">
      <c r="A4756" s="12" t="s">
        <v>13521</v>
      </c>
      <c r="B4756" s="13">
        <v>0</v>
      </c>
      <c r="C4756" s="16" t="s">
        <v>5331</v>
      </c>
      <c r="D4756" s="12">
        <v>13921</v>
      </c>
      <c r="E4756" s="12" t="s">
        <v>5332</v>
      </c>
      <c r="F4756" s="12" t="s">
        <v>5328</v>
      </c>
      <c r="G4756" s="12" t="s">
        <v>13523</v>
      </c>
      <c r="H4756" s="12">
        <v>166060</v>
      </c>
    </row>
    <row r="4757" spans="1:8">
      <c r="A4757" s="12" t="s">
        <v>13524</v>
      </c>
      <c r="B4757" s="13">
        <v>70.95</v>
      </c>
      <c r="C4757" s="16" t="s">
        <v>5331</v>
      </c>
      <c r="D4757" s="12">
        <v>306</v>
      </c>
      <c r="E4757" s="12" t="s">
        <v>5332</v>
      </c>
      <c r="F4757" s="12" t="s">
        <v>5328</v>
      </c>
      <c r="G4757" s="12" t="s">
        <v>13525</v>
      </c>
      <c r="H4757" s="12">
        <v>183681</v>
      </c>
    </row>
    <row r="4758" spans="1:8">
      <c r="A4758" s="12" t="s">
        <v>13524</v>
      </c>
      <c r="B4758" s="13">
        <v>0</v>
      </c>
      <c r="C4758" s="16" t="s">
        <v>5331</v>
      </c>
      <c r="D4758" s="12">
        <v>291</v>
      </c>
      <c r="E4758" s="12" t="s">
        <v>5332</v>
      </c>
      <c r="F4758" s="12" t="s">
        <v>5328</v>
      </c>
      <c r="G4758" s="12" t="s">
        <v>13526</v>
      </c>
      <c r="H4758" s="12">
        <v>166061</v>
      </c>
    </row>
    <row r="4759" spans="1:8">
      <c r="A4759" s="12" t="s">
        <v>13527</v>
      </c>
      <c r="B4759" s="14">
        <v>4153.97</v>
      </c>
      <c r="C4759" s="16" t="s">
        <v>5331</v>
      </c>
      <c r="D4759" s="12">
        <v>13312</v>
      </c>
      <c r="E4759" s="12" t="s">
        <v>5332</v>
      </c>
      <c r="F4759" s="12" t="s">
        <v>5328</v>
      </c>
      <c r="G4759" s="12" t="s">
        <v>13528</v>
      </c>
      <c r="H4759" s="12">
        <v>183682</v>
      </c>
    </row>
    <row r="4760" spans="1:8">
      <c r="A4760" s="12" t="s">
        <v>13527</v>
      </c>
      <c r="B4760" s="13">
        <v>0</v>
      </c>
      <c r="C4760" s="16" t="s">
        <v>5331</v>
      </c>
      <c r="D4760" s="12">
        <v>12678</v>
      </c>
      <c r="E4760" s="12" t="s">
        <v>5332</v>
      </c>
      <c r="F4760" s="12" t="s">
        <v>5328</v>
      </c>
      <c r="G4760" s="12" t="s">
        <v>13529</v>
      </c>
      <c r="H4760" s="12">
        <v>166062</v>
      </c>
    </row>
    <row r="4761" spans="1:8">
      <c r="A4761" s="12" t="s">
        <v>13530</v>
      </c>
      <c r="B4761" s="13">
        <v>361.84</v>
      </c>
      <c r="C4761" s="16" t="s">
        <v>5331</v>
      </c>
      <c r="D4761" s="12">
        <v>1227</v>
      </c>
      <c r="E4761" s="12" t="s">
        <v>5332</v>
      </c>
      <c r="F4761" s="12" t="s">
        <v>5328</v>
      </c>
      <c r="G4761" s="12" t="s">
        <v>13531</v>
      </c>
      <c r="H4761" s="12">
        <v>183683</v>
      </c>
    </row>
    <row r="4762" spans="1:8">
      <c r="A4762" s="12" t="s">
        <v>13530</v>
      </c>
      <c r="B4762" s="13">
        <v>0</v>
      </c>
      <c r="C4762" s="16" t="s">
        <v>5331</v>
      </c>
      <c r="D4762" s="12">
        <v>1169</v>
      </c>
      <c r="E4762" s="12" t="s">
        <v>5332</v>
      </c>
      <c r="F4762" s="12" t="s">
        <v>5328</v>
      </c>
      <c r="G4762" s="12" t="s">
        <v>13532</v>
      </c>
      <c r="H4762" s="12">
        <v>166063</v>
      </c>
    </row>
    <row r="4763" spans="1:8">
      <c r="A4763" s="12" t="s">
        <v>13533</v>
      </c>
      <c r="B4763" s="13">
        <v>0</v>
      </c>
      <c r="C4763" s="16" t="s">
        <v>5331</v>
      </c>
      <c r="D4763" s="12">
        <v>1119</v>
      </c>
      <c r="E4763" s="12" t="s">
        <v>5332</v>
      </c>
      <c r="F4763" s="12" t="s">
        <v>5328</v>
      </c>
      <c r="G4763" s="12" t="s">
        <v>13534</v>
      </c>
      <c r="H4763" s="12">
        <v>183684</v>
      </c>
    </row>
    <row r="4764" spans="1:8">
      <c r="A4764" s="12" t="s">
        <v>13533</v>
      </c>
      <c r="B4764" s="13">
        <v>0</v>
      </c>
      <c r="C4764" s="16" t="s">
        <v>5331</v>
      </c>
      <c r="D4764" s="12">
        <v>1066</v>
      </c>
      <c r="E4764" s="12" t="s">
        <v>5332</v>
      </c>
      <c r="F4764" s="12" t="s">
        <v>5328</v>
      </c>
      <c r="G4764" s="12" t="s">
        <v>13535</v>
      </c>
      <c r="H4764" s="12">
        <v>166064</v>
      </c>
    </row>
    <row r="4765" spans="1:8">
      <c r="A4765" s="12" t="s">
        <v>13536</v>
      </c>
      <c r="B4765" s="13">
        <v>0</v>
      </c>
      <c r="C4765" s="16" t="s">
        <v>5331</v>
      </c>
      <c r="D4765" s="12">
        <v>1099</v>
      </c>
      <c r="E4765" s="12" t="s">
        <v>5332</v>
      </c>
      <c r="F4765" s="12" t="s">
        <v>5328</v>
      </c>
      <c r="G4765" s="12" t="s">
        <v>13537</v>
      </c>
      <c r="H4765" s="12">
        <v>183685</v>
      </c>
    </row>
    <row r="4766" spans="1:8">
      <c r="A4766" s="12" t="s">
        <v>13536</v>
      </c>
      <c r="B4766" s="13">
        <v>0</v>
      </c>
      <c r="C4766" s="16" t="s">
        <v>5331</v>
      </c>
      <c r="D4766" s="12">
        <v>1047</v>
      </c>
      <c r="E4766" s="12" t="s">
        <v>5332</v>
      </c>
      <c r="F4766" s="12" t="s">
        <v>5328</v>
      </c>
      <c r="G4766" s="12" t="s">
        <v>13538</v>
      </c>
      <c r="H4766" s="12">
        <v>166065</v>
      </c>
    </row>
    <row r="4767" spans="1:8">
      <c r="A4767" s="12" t="s">
        <v>13539</v>
      </c>
      <c r="B4767" s="14">
        <v>1074.32</v>
      </c>
      <c r="C4767" s="16" t="s">
        <v>5331</v>
      </c>
      <c r="D4767" s="12">
        <v>2690</v>
      </c>
      <c r="E4767" s="12" t="s">
        <v>5332</v>
      </c>
      <c r="F4767" s="12" t="s">
        <v>5328</v>
      </c>
      <c r="G4767" s="12" t="s">
        <v>13540</v>
      </c>
      <c r="H4767" s="12">
        <v>183686</v>
      </c>
    </row>
    <row r="4768" spans="1:8">
      <c r="A4768" s="12" t="s">
        <v>13539</v>
      </c>
      <c r="B4768" s="13">
        <v>0</v>
      </c>
      <c r="C4768" s="16" t="s">
        <v>5331</v>
      </c>
      <c r="D4768" s="12">
        <v>2562</v>
      </c>
      <c r="E4768" s="12" t="s">
        <v>5332</v>
      </c>
      <c r="F4768" s="12" t="s">
        <v>5328</v>
      </c>
      <c r="G4768" s="12" t="s">
        <v>13541</v>
      </c>
      <c r="H4768" s="12">
        <v>166066</v>
      </c>
    </row>
    <row r="4769" spans="1:8">
      <c r="A4769" s="12" t="s">
        <v>13542</v>
      </c>
      <c r="B4769" s="14">
        <v>9563.1299999999992</v>
      </c>
      <c r="C4769" s="16" t="s">
        <v>5331</v>
      </c>
      <c r="D4769" s="12">
        <v>26059</v>
      </c>
      <c r="E4769" s="12" t="s">
        <v>5332</v>
      </c>
      <c r="F4769" s="12" t="s">
        <v>5328</v>
      </c>
      <c r="G4769" s="12" t="s">
        <v>13543</v>
      </c>
      <c r="H4769" s="12">
        <v>183687</v>
      </c>
    </row>
    <row r="4770" spans="1:8">
      <c r="A4770" s="12" t="s">
        <v>13542</v>
      </c>
      <c r="B4770" s="13">
        <v>0</v>
      </c>
      <c r="C4770" s="16" t="s">
        <v>5331</v>
      </c>
      <c r="D4770" s="12">
        <v>24818</v>
      </c>
      <c r="E4770" s="12" t="s">
        <v>5332</v>
      </c>
      <c r="F4770" s="12" t="s">
        <v>5328</v>
      </c>
      <c r="G4770" s="12" t="s">
        <v>13544</v>
      </c>
      <c r="H4770" s="12">
        <v>166067</v>
      </c>
    </row>
    <row r="4771" spans="1:8">
      <c r="A4771" s="12" t="s">
        <v>13545</v>
      </c>
      <c r="B4771" s="13">
        <v>0</v>
      </c>
      <c r="C4771" s="16" t="s">
        <v>5331</v>
      </c>
      <c r="D4771" s="12">
        <v>43486</v>
      </c>
      <c r="E4771" s="12" t="s">
        <v>5332</v>
      </c>
      <c r="F4771" s="12" t="s">
        <v>5328</v>
      </c>
      <c r="G4771" s="12" t="s">
        <v>13546</v>
      </c>
      <c r="H4771" s="12">
        <v>183688</v>
      </c>
    </row>
    <row r="4772" spans="1:8">
      <c r="A4772" s="12" t="s">
        <v>13545</v>
      </c>
      <c r="B4772" s="13">
        <v>0</v>
      </c>
      <c r="C4772" s="16" t="s">
        <v>5331</v>
      </c>
      <c r="D4772" s="12">
        <v>41415</v>
      </c>
      <c r="E4772" s="12" t="s">
        <v>5332</v>
      </c>
      <c r="F4772" s="12" t="s">
        <v>5328</v>
      </c>
      <c r="G4772" s="12" t="s">
        <v>13547</v>
      </c>
      <c r="H4772" s="12">
        <v>166068</v>
      </c>
    </row>
    <row r="4773" spans="1:8">
      <c r="A4773" s="12" t="s">
        <v>13548</v>
      </c>
      <c r="B4773" s="13">
        <v>0</v>
      </c>
      <c r="C4773" s="16" t="s">
        <v>5331</v>
      </c>
      <c r="D4773" s="12">
        <v>52334</v>
      </c>
      <c r="E4773" s="12" t="s">
        <v>5332</v>
      </c>
      <c r="F4773" s="12" t="s">
        <v>5328</v>
      </c>
      <c r="G4773" s="12" t="s">
        <v>13549</v>
      </c>
      <c r="H4773" s="12">
        <v>183689</v>
      </c>
    </row>
    <row r="4774" spans="1:8">
      <c r="A4774" s="12" t="s">
        <v>13548</v>
      </c>
      <c r="B4774" s="13">
        <v>0</v>
      </c>
      <c r="C4774" s="16" t="s">
        <v>5331</v>
      </c>
      <c r="D4774" s="12">
        <v>49842</v>
      </c>
      <c r="E4774" s="12" t="s">
        <v>5332</v>
      </c>
      <c r="F4774" s="12" t="s">
        <v>5328</v>
      </c>
      <c r="G4774" s="12" t="s">
        <v>13550</v>
      </c>
      <c r="H4774" s="12">
        <v>166069</v>
      </c>
    </row>
    <row r="4775" spans="1:8">
      <c r="A4775" s="12" t="s">
        <v>13551</v>
      </c>
      <c r="B4775" s="13">
        <v>0</v>
      </c>
      <c r="C4775" s="16" t="s">
        <v>5331</v>
      </c>
      <c r="D4775" s="12">
        <v>44264</v>
      </c>
      <c r="E4775" s="12" t="s">
        <v>5332</v>
      </c>
      <c r="F4775" s="12" t="s">
        <v>5328</v>
      </c>
      <c r="G4775" s="12" t="s">
        <v>13552</v>
      </c>
      <c r="H4775" s="12">
        <v>183690</v>
      </c>
    </row>
    <row r="4776" spans="1:8">
      <c r="A4776" s="12" t="s">
        <v>13551</v>
      </c>
      <c r="B4776" s="13">
        <v>0</v>
      </c>
      <c r="C4776" s="16" t="s">
        <v>5331</v>
      </c>
      <c r="D4776" s="12">
        <v>42156</v>
      </c>
      <c r="E4776" s="12" t="s">
        <v>5332</v>
      </c>
      <c r="F4776" s="12" t="s">
        <v>5328</v>
      </c>
      <c r="G4776" s="12" t="s">
        <v>13553</v>
      </c>
      <c r="H4776" s="12">
        <v>165950</v>
      </c>
    </row>
    <row r="4777" spans="1:8">
      <c r="A4777" s="12" t="s">
        <v>13554</v>
      </c>
      <c r="B4777" s="13">
        <v>0</v>
      </c>
      <c r="C4777" s="16" t="s">
        <v>5331</v>
      </c>
      <c r="D4777" s="12">
        <v>322</v>
      </c>
      <c r="E4777" s="12" t="s">
        <v>5332</v>
      </c>
      <c r="F4777" s="12" t="s">
        <v>5328</v>
      </c>
      <c r="G4777" s="12" t="s">
        <v>13555</v>
      </c>
      <c r="H4777" s="12">
        <v>183691</v>
      </c>
    </row>
    <row r="4778" spans="1:8">
      <c r="A4778" s="12" t="s">
        <v>13554</v>
      </c>
      <c r="B4778" s="13">
        <v>0</v>
      </c>
      <c r="C4778" s="16" t="s">
        <v>5331</v>
      </c>
      <c r="D4778" s="12">
        <v>307</v>
      </c>
      <c r="E4778" s="12" t="s">
        <v>5332</v>
      </c>
      <c r="F4778" s="12" t="s">
        <v>5328</v>
      </c>
      <c r="G4778" s="12" t="s">
        <v>13556</v>
      </c>
      <c r="H4778" s="12">
        <v>166070</v>
      </c>
    </row>
    <row r="4779" spans="1:8">
      <c r="A4779" s="12" t="s">
        <v>13557</v>
      </c>
      <c r="B4779" s="13">
        <v>0</v>
      </c>
      <c r="C4779" s="16" t="s">
        <v>5331</v>
      </c>
      <c r="D4779" s="12">
        <v>324</v>
      </c>
      <c r="E4779" s="12" t="s">
        <v>5332</v>
      </c>
      <c r="F4779" s="12" t="s">
        <v>5328</v>
      </c>
      <c r="G4779" s="12" t="s">
        <v>13558</v>
      </c>
      <c r="H4779" s="12">
        <v>183692</v>
      </c>
    </row>
    <row r="4780" spans="1:8">
      <c r="A4780" s="12" t="s">
        <v>13557</v>
      </c>
      <c r="B4780" s="13">
        <v>0</v>
      </c>
      <c r="C4780" s="16" t="s">
        <v>5331</v>
      </c>
      <c r="D4780" s="12">
        <v>309</v>
      </c>
      <c r="E4780" s="12" t="s">
        <v>5332</v>
      </c>
      <c r="F4780" s="12" t="s">
        <v>5328</v>
      </c>
      <c r="G4780" s="12" t="s">
        <v>13559</v>
      </c>
      <c r="H4780" s="12">
        <v>165951</v>
      </c>
    </row>
    <row r="4781" spans="1:8">
      <c r="A4781" s="12" t="s">
        <v>13560</v>
      </c>
      <c r="B4781" s="13">
        <v>0.83</v>
      </c>
      <c r="C4781" s="16" t="s">
        <v>5331</v>
      </c>
      <c r="D4781" s="12">
        <v>326</v>
      </c>
      <c r="E4781" s="12" t="s">
        <v>5332</v>
      </c>
      <c r="F4781" s="12" t="s">
        <v>5328</v>
      </c>
      <c r="G4781" s="12" t="s">
        <v>13561</v>
      </c>
      <c r="H4781" s="12">
        <v>183693</v>
      </c>
    </row>
    <row r="4782" spans="1:8">
      <c r="A4782" s="12" t="s">
        <v>13560</v>
      </c>
      <c r="B4782" s="13">
        <v>0</v>
      </c>
      <c r="C4782" s="16" t="s">
        <v>5331</v>
      </c>
      <c r="D4782" s="12">
        <v>310</v>
      </c>
      <c r="E4782" s="12" t="s">
        <v>5332</v>
      </c>
      <c r="F4782" s="12" t="s">
        <v>5328</v>
      </c>
      <c r="G4782" s="12" t="s">
        <v>13562</v>
      </c>
      <c r="H4782" s="12">
        <v>166071</v>
      </c>
    </row>
    <row r="4783" spans="1:8">
      <c r="A4783" s="12" t="s">
        <v>13563</v>
      </c>
      <c r="B4783" s="14">
        <v>7908.88</v>
      </c>
      <c r="C4783" s="16" t="s">
        <v>5331</v>
      </c>
      <c r="D4783" s="12">
        <v>16777</v>
      </c>
      <c r="E4783" s="12" t="s">
        <v>5332</v>
      </c>
      <c r="F4783" s="12" t="s">
        <v>5328</v>
      </c>
      <c r="G4783" s="12" t="s">
        <v>13564</v>
      </c>
      <c r="H4783" s="12">
        <v>183694</v>
      </c>
    </row>
    <row r="4784" spans="1:8">
      <c r="A4784" s="12" t="s">
        <v>13563</v>
      </c>
      <c r="B4784" s="13">
        <v>0</v>
      </c>
      <c r="C4784" s="16" t="s">
        <v>5331</v>
      </c>
      <c r="D4784" s="12">
        <v>15978</v>
      </c>
      <c r="E4784" s="12" t="s">
        <v>5332</v>
      </c>
      <c r="F4784" s="12" t="s">
        <v>5328</v>
      </c>
      <c r="G4784" s="12" t="s">
        <v>13565</v>
      </c>
      <c r="H4784" s="12">
        <v>166072</v>
      </c>
    </row>
    <row r="4785" spans="1:8">
      <c r="A4785" s="12" t="s">
        <v>13566</v>
      </c>
      <c r="B4785" s="13">
        <v>0</v>
      </c>
      <c r="C4785" s="16" t="s">
        <v>5331</v>
      </c>
      <c r="D4785" s="12">
        <v>653</v>
      </c>
      <c r="E4785" s="12" t="s">
        <v>5332</v>
      </c>
      <c r="F4785" s="12" t="s">
        <v>5328</v>
      </c>
      <c r="G4785" s="12" t="s">
        <v>13567</v>
      </c>
      <c r="H4785" s="12">
        <v>183695</v>
      </c>
    </row>
    <row r="4786" spans="1:8">
      <c r="A4786" s="12" t="s">
        <v>13566</v>
      </c>
      <c r="B4786" s="13">
        <v>0</v>
      </c>
      <c r="C4786" s="16" t="s">
        <v>5331</v>
      </c>
      <c r="D4786" s="12">
        <v>622</v>
      </c>
      <c r="E4786" s="12" t="s">
        <v>5332</v>
      </c>
      <c r="F4786" s="12" t="s">
        <v>5328</v>
      </c>
      <c r="G4786" s="12" t="s">
        <v>13568</v>
      </c>
      <c r="H4786" s="12">
        <v>165849</v>
      </c>
    </row>
    <row r="4787" spans="1:8">
      <c r="A4787" s="12" t="s">
        <v>13569</v>
      </c>
      <c r="B4787" s="13">
        <v>135.43</v>
      </c>
      <c r="C4787" s="16" t="s">
        <v>5331</v>
      </c>
      <c r="D4787" s="12">
        <v>394</v>
      </c>
      <c r="E4787" s="12" t="s">
        <v>5332</v>
      </c>
      <c r="F4787" s="12" t="s">
        <v>5328</v>
      </c>
      <c r="G4787" s="12" t="s">
        <v>13570</v>
      </c>
      <c r="H4787" s="12">
        <v>183696</v>
      </c>
    </row>
    <row r="4788" spans="1:8">
      <c r="A4788" s="12" t="s">
        <v>13569</v>
      </c>
      <c r="B4788" s="13">
        <v>0</v>
      </c>
      <c r="C4788" s="16" t="s">
        <v>5331</v>
      </c>
      <c r="D4788" s="12">
        <v>375</v>
      </c>
      <c r="E4788" s="12" t="s">
        <v>5332</v>
      </c>
      <c r="F4788" s="12" t="s">
        <v>5328</v>
      </c>
      <c r="G4788" s="12" t="s">
        <v>13571</v>
      </c>
      <c r="H4788" s="12">
        <v>165850</v>
      </c>
    </row>
    <row r="4789" spans="1:8">
      <c r="A4789" s="12" t="s">
        <v>13572</v>
      </c>
      <c r="B4789" s="13">
        <v>137.13999999999999</v>
      </c>
      <c r="C4789" s="16" t="s">
        <v>5331</v>
      </c>
      <c r="D4789" s="12">
        <v>597</v>
      </c>
      <c r="E4789" s="12" t="s">
        <v>5332</v>
      </c>
      <c r="F4789" s="12" t="s">
        <v>5328</v>
      </c>
      <c r="G4789" s="12" t="s">
        <v>13573</v>
      </c>
      <c r="H4789" s="12">
        <v>183697</v>
      </c>
    </row>
    <row r="4790" spans="1:8">
      <c r="A4790" s="12" t="s">
        <v>13572</v>
      </c>
      <c r="B4790" s="13">
        <v>0</v>
      </c>
      <c r="C4790" s="16" t="s">
        <v>5331</v>
      </c>
      <c r="D4790" s="12">
        <v>569</v>
      </c>
      <c r="E4790" s="12" t="s">
        <v>5332</v>
      </c>
      <c r="F4790" s="12" t="s">
        <v>5328</v>
      </c>
      <c r="G4790" s="12" t="s">
        <v>13574</v>
      </c>
      <c r="H4790" s="12">
        <v>165851</v>
      </c>
    </row>
    <row r="4791" spans="1:8">
      <c r="A4791" s="12" t="s">
        <v>13575</v>
      </c>
      <c r="B4791" s="13">
        <v>53.13</v>
      </c>
      <c r="C4791" s="16" t="s">
        <v>5331</v>
      </c>
      <c r="D4791" s="12">
        <v>335</v>
      </c>
      <c r="E4791" s="12" t="s">
        <v>5332</v>
      </c>
      <c r="F4791" s="12" t="s">
        <v>5328</v>
      </c>
      <c r="G4791" s="12" t="s">
        <v>13576</v>
      </c>
      <c r="H4791" s="12">
        <v>183698</v>
      </c>
    </row>
    <row r="4792" spans="1:8">
      <c r="A4792" s="12" t="s">
        <v>13575</v>
      </c>
      <c r="B4792" s="13">
        <v>0</v>
      </c>
      <c r="C4792" s="16" t="s">
        <v>5331</v>
      </c>
      <c r="D4792" s="12">
        <v>319</v>
      </c>
      <c r="E4792" s="12" t="s">
        <v>5332</v>
      </c>
      <c r="F4792" s="12" t="s">
        <v>5328</v>
      </c>
      <c r="G4792" s="12" t="s">
        <v>13577</v>
      </c>
      <c r="H4792" s="12">
        <v>165852</v>
      </c>
    </row>
    <row r="4793" spans="1:8">
      <c r="A4793" s="12" t="s">
        <v>13578</v>
      </c>
      <c r="B4793" s="13">
        <v>72.58</v>
      </c>
      <c r="C4793" s="16" t="s">
        <v>5331</v>
      </c>
      <c r="D4793" s="12">
        <v>336</v>
      </c>
      <c r="E4793" s="12" t="s">
        <v>5332</v>
      </c>
      <c r="F4793" s="12" t="s">
        <v>5328</v>
      </c>
      <c r="G4793" s="12" t="s">
        <v>13579</v>
      </c>
      <c r="H4793" s="12">
        <v>183699</v>
      </c>
    </row>
    <row r="4794" spans="1:8">
      <c r="A4794" s="12" t="s">
        <v>13578</v>
      </c>
      <c r="B4794" s="13">
        <v>0</v>
      </c>
      <c r="C4794" s="16" t="s">
        <v>5331</v>
      </c>
      <c r="D4794" s="12">
        <v>320</v>
      </c>
      <c r="E4794" s="12" t="s">
        <v>5332</v>
      </c>
      <c r="F4794" s="12" t="s">
        <v>5328</v>
      </c>
      <c r="G4794" s="12" t="s">
        <v>13580</v>
      </c>
      <c r="H4794" s="12">
        <v>165853</v>
      </c>
    </row>
    <row r="4795" spans="1:8">
      <c r="A4795" s="12" t="s">
        <v>13581</v>
      </c>
      <c r="B4795" s="13">
        <v>809.02</v>
      </c>
      <c r="C4795" s="16" t="s">
        <v>5331</v>
      </c>
      <c r="D4795" s="12">
        <v>2990</v>
      </c>
      <c r="E4795" s="12" t="s">
        <v>5332</v>
      </c>
      <c r="F4795" s="12" t="s">
        <v>5328</v>
      </c>
      <c r="G4795" s="12" t="s">
        <v>13582</v>
      </c>
      <c r="H4795" s="12">
        <v>183700</v>
      </c>
    </row>
    <row r="4796" spans="1:8">
      <c r="A4796" s="12" t="s">
        <v>13581</v>
      </c>
      <c r="B4796" s="13">
        <v>0</v>
      </c>
      <c r="C4796" s="16" t="s">
        <v>5331</v>
      </c>
      <c r="D4796" s="12">
        <v>2848</v>
      </c>
      <c r="E4796" s="12" t="s">
        <v>5332</v>
      </c>
      <c r="F4796" s="12" t="s">
        <v>5328</v>
      </c>
      <c r="G4796" s="12" t="s">
        <v>13583</v>
      </c>
      <c r="H4796" s="12">
        <v>165854</v>
      </c>
    </row>
    <row r="4797" spans="1:8">
      <c r="A4797" s="12" t="s">
        <v>13584</v>
      </c>
      <c r="B4797" s="14">
        <v>1075.04</v>
      </c>
      <c r="C4797" s="16" t="s">
        <v>5331</v>
      </c>
      <c r="D4797" s="12">
        <v>2199</v>
      </c>
      <c r="E4797" s="12" t="s">
        <v>5332</v>
      </c>
      <c r="F4797" s="12" t="s">
        <v>5328</v>
      </c>
      <c r="G4797" s="12" t="s">
        <v>13585</v>
      </c>
      <c r="H4797" s="12">
        <v>184231</v>
      </c>
    </row>
    <row r="4798" spans="1:8">
      <c r="A4798" s="12" t="s">
        <v>13584</v>
      </c>
      <c r="B4798" s="13">
        <v>0</v>
      </c>
      <c r="C4798" s="16" t="s">
        <v>5331</v>
      </c>
      <c r="D4798" s="12">
        <v>2094</v>
      </c>
      <c r="E4798" s="12" t="s">
        <v>5332</v>
      </c>
      <c r="F4798" s="12" t="s">
        <v>5328</v>
      </c>
      <c r="G4798" s="12" t="s">
        <v>13586</v>
      </c>
      <c r="H4798" s="12">
        <v>165855</v>
      </c>
    </row>
    <row r="4799" spans="1:8">
      <c r="A4799" s="12" t="s">
        <v>13587</v>
      </c>
      <c r="B4799" s="13">
        <v>121.36</v>
      </c>
      <c r="C4799" s="16" t="s">
        <v>5331</v>
      </c>
      <c r="D4799" s="12">
        <v>359</v>
      </c>
      <c r="E4799" s="12" t="s">
        <v>5332</v>
      </c>
      <c r="F4799" s="12" t="s">
        <v>5328</v>
      </c>
      <c r="G4799" s="12" t="s">
        <v>13588</v>
      </c>
      <c r="H4799" s="12">
        <v>183701</v>
      </c>
    </row>
    <row r="4800" spans="1:8">
      <c r="A4800" s="12" t="s">
        <v>13587</v>
      </c>
      <c r="B4800" s="13">
        <v>0</v>
      </c>
      <c r="C4800" s="16" t="s">
        <v>5331</v>
      </c>
      <c r="D4800" s="12">
        <v>342</v>
      </c>
      <c r="E4800" s="12" t="s">
        <v>5332</v>
      </c>
      <c r="F4800" s="12" t="s">
        <v>5328</v>
      </c>
      <c r="G4800" s="12" t="s">
        <v>13589</v>
      </c>
      <c r="H4800" s="12">
        <v>165856</v>
      </c>
    </row>
    <row r="4801" spans="1:8">
      <c r="A4801" s="12" t="s">
        <v>13590</v>
      </c>
      <c r="B4801" s="13">
        <v>14.77</v>
      </c>
      <c r="C4801" s="16" t="s">
        <v>5331</v>
      </c>
      <c r="D4801" s="12">
        <v>330</v>
      </c>
      <c r="E4801" s="12" t="s">
        <v>5332</v>
      </c>
      <c r="F4801" s="12" t="s">
        <v>5328</v>
      </c>
      <c r="G4801" s="12" t="s">
        <v>13591</v>
      </c>
      <c r="H4801" s="12">
        <v>166270</v>
      </c>
    </row>
    <row r="4802" spans="1:8">
      <c r="A4802" s="12" t="s">
        <v>13592</v>
      </c>
      <c r="B4802" s="13">
        <v>0</v>
      </c>
      <c r="C4802" s="16" t="s">
        <v>5331</v>
      </c>
      <c r="D4802" s="12">
        <v>348</v>
      </c>
      <c r="E4802" s="12" t="s">
        <v>5332</v>
      </c>
      <c r="F4802" s="12" t="s">
        <v>5328</v>
      </c>
      <c r="G4802" s="12" t="s">
        <v>13593</v>
      </c>
      <c r="H4802" s="12">
        <v>183702</v>
      </c>
    </row>
    <row r="4803" spans="1:8">
      <c r="A4803" s="12" t="s">
        <v>13592</v>
      </c>
      <c r="B4803" s="13">
        <v>0</v>
      </c>
      <c r="C4803" s="16" t="s">
        <v>5331</v>
      </c>
      <c r="D4803" s="12">
        <v>331</v>
      </c>
      <c r="E4803" s="12" t="s">
        <v>5332</v>
      </c>
      <c r="F4803" s="12" t="s">
        <v>5328</v>
      </c>
      <c r="G4803" s="12" t="s">
        <v>13594</v>
      </c>
      <c r="H4803" s="12">
        <v>165857</v>
      </c>
    </row>
    <row r="4804" spans="1:8">
      <c r="A4804" s="12" t="s">
        <v>13595</v>
      </c>
      <c r="B4804" s="13">
        <v>124.55</v>
      </c>
      <c r="C4804" s="16" t="s">
        <v>5331</v>
      </c>
      <c r="D4804" s="12">
        <v>462</v>
      </c>
      <c r="E4804" s="12" t="s">
        <v>5332</v>
      </c>
      <c r="F4804" s="12" t="s">
        <v>5328</v>
      </c>
      <c r="G4804" s="12" t="s">
        <v>13596</v>
      </c>
      <c r="H4804" s="12">
        <v>183703</v>
      </c>
    </row>
    <row r="4805" spans="1:8">
      <c r="A4805" s="12" t="s">
        <v>13595</v>
      </c>
      <c r="B4805" s="13">
        <v>0</v>
      </c>
      <c r="C4805" s="16" t="s">
        <v>5331</v>
      </c>
      <c r="D4805" s="12">
        <v>440</v>
      </c>
      <c r="E4805" s="12" t="s">
        <v>5332</v>
      </c>
      <c r="F4805" s="12" t="s">
        <v>5328</v>
      </c>
      <c r="G4805" s="12" t="s">
        <v>13597</v>
      </c>
      <c r="H4805" s="12">
        <v>165858</v>
      </c>
    </row>
    <row r="4806" spans="1:8">
      <c r="A4806" s="12" t="s">
        <v>13598</v>
      </c>
      <c r="B4806" s="13">
        <v>27.11</v>
      </c>
      <c r="C4806" s="16" t="s">
        <v>5331</v>
      </c>
      <c r="D4806" s="12">
        <v>352</v>
      </c>
      <c r="E4806" s="12" t="s">
        <v>5332</v>
      </c>
      <c r="F4806" s="12" t="s">
        <v>5328</v>
      </c>
      <c r="G4806" s="12" t="s">
        <v>13599</v>
      </c>
      <c r="H4806" s="12">
        <v>183704</v>
      </c>
    </row>
    <row r="4807" spans="1:8">
      <c r="A4807" s="12" t="s">
        <v>13598</v>
      </c>
      <c r="B4807" s="13">
        <v>0</v>
      </c>
      <c r="C4807" s="16" t="s">
        <v>5331</v>
      </c>
      <c r="D4807" s="12">
        <v>335</v>
      </c>
      <c r="E4807" s="12" t="s">
        <v>5332</v>
      </c>
      <c r="F4807" s="12" t="s">
        <v>5328</v>
      </c>
      <c r="G4807" s="12" t="s">
        <v>13600</v>
      </c>
      <c r="H4807" s="12">
        <v>165859</v>
      </c>
    </row>
    <row r="4808" spans="1:8">
      <c r="A4808" s="12" t="s">
        <v>13601</v>
      </c>
      <c r="B4808" s="13">
        <v>767.73</v>
      </c>
      <c r="C4808" s="16" t="s">
        <v>5331</v>
      </c>
      <c r="D4808" s="12">
        <v>13535</v>
      </c>
      <c r="E4808" s="12" t="s">
        <v>5332</v>
      </c>
      <c r="F4808" s="12" t="s">
        <v>5328</v>
      </c>
      <c r="G4808" s="12" t="s">
        <v>13602</v>
      </c>
      <c r="H4808" s="12">
        <v>183705</v>
      </c>
    </row>
    <row r="4809" spans="1:8">
      <c r="A4809" s="12" t="s">
        <v>13601</v>
      </c>
      <c r="B4809" s="13">
        <v>0</v>
      </c>
      <c r="C4809" s="16" t="s">
        <v>5331</v>
      </c>
      <c r="D4809" s="12">
        <v>12890</v>
      </c>
      <c r="E4809" s="12" t="s">
        <v>5332</v>
      </c>
      <c r="F4809" s="12" t="s">
        <v>5328</v>
      </c>
      <c r="G4809" s="12" t="s">
        <v>13603</v>
      </c>
      <c r="H4809" s="12">
        <v>165860</v>
      </c>
    </row>
    <row r="4810" spans="1:8">
      <c r="A4810" s="12" t="s">
        <v>13604</v>
      </c>
      <c r="B4810" s="13">
        <v>645.04</v>
      </c>
      <c r="C4810" s="16" t="s">
        <v>5331</v>
      </c>
      <c r="D4810" s="12">
        <v>1548</v>
      </c>
      <c r="E4810" s="12" t="s">
        <v>5332</v>
      </c>
      <c r="F4810" s="12" t="s">
        <v>5328</v>
      </c>
      <c r="G4810" s="12" t="s">
        <v>13605</v>
      </c>
      <c r="H4810" s="12">
        <v>183706</v>
      </c>
    </row>
    <row r="4811" spans="1:8">
      <c r="A4811" s="12" t="s">
        <v>13604</v>
      </c>
      <c r="B4811" s="13">
        <v>0</v>
      </c>
      <c r="C4811" s="16" t="s">
        <v>5331</v>
      </c>
      <c r="D4811" s="12">
        <v>1474</v>
      </c>
      <c r="E4811" s="12" t="s">
        <v>5332</v>
      </c>
      <c r="F4811" s="12" t="s">
        <v>5328</v>
      </c>
      <c r="G4811" s="12" t="s">
        <v>13606</v>
      </c>
      <c r="H4811" s="12">
        <v>165861</v>
      </c>
    </row>
    <row r="4812" spans="1:8">
      <c r="A4812" s="12" t="s">
        <v>13607</v>
      </c>
      <c r="B4812" s="13">
        <v>504.59</v>
      </c>
      <c r="C4812" s="16" t="s">
        <v>5331</v>
      </c>
      <c r="D4812" s="12">
        <v>2750</v>
      </c>
      <c r="E4812" s="12" t="s">
        <v>5332</v>
      </c>
      <c r="F4812" s="12" t="s">
        <v>5328</v>
      </c>
      <c r="G4812" s="12" t="s">
        <v>13608</v>
      </c>
      <c r="H4812" s="12">
        <v>166276</v>
      </c>
    </row>
    <row r="4813" spans="1:8">
      <c r="A4813" s="12" t="s">
        <v>13609</v>
      </c>
      <c r="B4813" s="13">
        <v>106.58</v>
      </c>
      <c r="C4813" s="16" t="s">
        <v>5331</v>
      </c>
      <c r="D4813" s="12">
        <v>358</v>
      </c>
      <c r="E4813" s="12" t="s">
        <v>5332</v>
      </c>
      <c r="F4813" s="12" t="s">
        <v>5328</v>
      </c>
      <c r="G4813" s="12" t="s">
        <v>13610</v>
      </c>
      <c r="H4813" s="12">
        <v>183707</v>
      </c>
    </row>
    <row r="4814" spans="1:8">
      <c r="A4814" s="12" t="s">
        <v>13609</v>
      </c>
      <c r="B4814" s="13">
        <v>0</v>
      </c>
      <c r="C4814" s="16" t="s">
        <v>5331</v>
      </c>
      <c r="D4814" s="12">
        <v>341</v>
      </c>
      <c r="E4814" s="12" t="s">
        <v>5332</v>
      </c>
      <c r="F4814" s="12" t="s">
        <v>5328</v>
      </c>
      <c r="G4814" s="12" t="s">
        <v>13611</v>
      </c>
      <c r="H4814" s="12">
        <v>165862</v>
      </c>
    </row>
    <row r="4815" spans="1:8">
      <c r="A4815" s="12" t="s">
        <v>13612</v>
      </c>
      <c r="B4815" s="14">
        <v>2285.85</v>
      </c>
      <c r="C4815" s="16" t="s">
        <v>5331</v>
      </c>
      <c r="D4815" s="12">
        <v>23261</v>
      </c>
      <c r="E4815" s="12" t="s">
        <v>5332</v>
      </c>
      <c r="F4815" s="12" t="s">
        <v>5328</v>
      </c>
      <c r="G4815" s="12" t="s">
        <v>13613</v>
      </c>
      <c r="H4815" s="12">
        <v>183708</v>
      </c>
    </row>
    <row r="4816" spans="1:8">
      <c r="A4816" s="12" t="s">
        <v>13612</v>
      </c>
      <c r="B4816" s="13">
        <v>0</v>
      </c>
      <c r="C4816" s="16" t="s">
        <v>5331</v>
      </c>
      <c r="D4816" s="12">
        <v>22153</v>
      </c>
      <c r="E4816" s="12" t="s">
        <v>5332</v>
      </c>
      <c r="F4816" s="12" t="s">
        <v>5328</v>
      </c>
      <c r="G4816" s="12" t="s">
        <v>13614</v>
      </c>
      <c r="H4816" s="12">
        <v>165863</v>
      </c>
    </row>
    <row r="4817" spans="1:8">
      <c r="A4817" s="12" t="s">
        <v>13615</v>
      </c>
      <c r="B4817" s="14">
        <v>4753.75</v>
      </c>
      <c r="C4817" s="16" t="s">
        <v>5331</v>
      </c>
      <c r="D4817" s="12">
        <v>25162</v>
      </c>
      <c r="E4817" s="12" t="s">
        <v>5332</v>
      </c>
      <c r="F4817" s="12" t="s">
        <v>5328</v>
      </c>
      <c r="G4817" s="12" t="s">
        <v>13616</v>
      </c>
      <c r="H4817" s="12">
        <v>183709</v>
      </c>
    </row>
    <row r="4818" spans="1:8">
      <c r="A4818" s="12" t="s">
        <v>13615</v>
      </c>
      <c r="B4818" s="13">
        <v>0</v>
      </c>
      <c r="C4818" s="16" t="s">
        <v>5331</v>
      </c>
      <c r="D4818" s="12">
        <v>23964</v>
      </c>
      <c r="E4818" s="12" t="s">
        <v>5332</v>
      </c>
      <c r="F4818" s="12" t="s">
        <v>5328</v>
      </c>
      <c r="G4818" s="12" t="s">
        <v>13617</v>
      </c>
      <c r="H4818" s="12">
        <v>165864</v>
      </c>
    </row>
    <row r="4819" spans="1:8">
      <c r="A4819" s="12" t="s">
        <v>13618</v>
      </c>
      <c r="B4819" s="14">
        <v>4924.3999999999996</v>
      </c>
      <c r="C4819" s="16" t="s">
        <v>5331</v>
      </c>
      <c r="D4819" s="12">
        <v>12962</v>
      </c>
      <c r="E4819" s="12" t="s">
        <v>5332</v>
      </c>
      <c r="F4819" s="12" t="s">
        <v>5328</v>
      </c>
      <c r="G4819" s="12" t="s">
        <v>13619</v>
      </c>
      <c r="H4819" s="12">
        <v>183710</v>
      </c>
    </row>
    <row r="4820" spans="1:8">
      <c r="A4820" s="12" t="s">
        <v>13618</v>
      </c>
      <c r="B4820" s="13">
        <v>0</v>
      </c>
      <c r="C4820" s="16" t="s">
        <v>5331</v>
      </c>
      <c r="D4820" s="12">
        <v>12345</v>
      </c>
      <c r="E4820" s="12" t="s">
        <v>5332</v>
      </c>
      <c r="F4820" s="12" t="s">
        <v>5328</v>
      </c>
      <c r="G4820" s="12" t="s">
        <v>13620</v>
      </c>
      <c r="H4820" s="12">
        <v>165865</v>
      </c>
    </row>
    <row r="4821" spans="1:8">
      <c r="A4821" s="12" t="s">
        <v>13621</v>
      </c>
      <c r="B4821" s="14">
        <v>6021.53</v>
      </c>
      <c r="C4821" s="16" t="s">
        <v>5331</v>
      </c>
      <c r="D4821" s="12">
        <v>28160</v>
      </c>
      <c r="E4821" s="12" t="s">
        <v>5332</v>
      </c>
      <c r="F4821" s="12" t="s">
        <v>5328</v>
      </c>
      <c r="G4821" s="12" t="s">
        <v>13622</v>
      </c>
      <c r="H4821" s="12">
        <v>183711</v>
      </c>
    </row>
    <row r="4822" spans="1:8">
      <c r="A4822" s="12" t="s">
        <v>13621</v>
      </c>
      <c r="B4822" s="13">
        <v>0</v>
      </c>
      <c r="C4822" s="16" t="s">
        <v>5331</v>
      </c>
      <c r="D4822" s="12">
        <v>26819</v>
      </c>
      <c r="E4822" s="12" t="s">
        <v>5332</v>
      </c>
      <c r="F4822" s="12" t="s">
        <v>5328</v>
      </c>
      <c r="G4822" s="12" t="s">
        <v>13623</v>
      </c>
      <c r="H4822" s="12">
        <v>165866</v>
      </c>
    </row>
    <row r="4823" spans="1:8">
      <c r="A4823" s="12" t="s">
        <v>13624</v>
      </c>
      <c r="B4823" s="14">
        <v>10607.45</v>
      </c>
      <c r="C4823" s="16" t="s">
        <v>5331</v>
      </c>
      <c r="D4823" s="12">
        <v>39010</v>
      </c>
      <c r="E4823" s="12" t="s">
        <v>5332</v>
      </c>
      <c r="F4823" s="12" t="s">
        <v>5328</v>
      </c>
      <c r="G4823" s="12" t="s">
        <v>13625</v>
      </c>
      <c r="H4823" s="12">
        <v>183712</v>
      </c>
    </row>
    <row r="4824" spans="1:8">
      <c r="A4824" s="12" t="s">
        <v>13624</v>
      </c>
      <c r="B4824" s="13">
        <v>0</v>
      </c>
      <c r="C4824" s="16" t="s">
        <v>5331</v>
      </c>
      <c r="D4824" s="12">
        <v>37152</v>
      </c>
      <c r="E4824" s="12" t="s">
        <v>5332</v>
      </c>
      <c r="F4824" s="12" t="s">
        <v>5328</v>
      </c>
      <c r="G4824" s="12" t="s">
        <v>13626</v>
      </c>
      <c r="H4824" s="12">
        <v>165867</v>
      </c>
    </row>
    <row r="4825" spans="1:8">
      <c r="A4825" s="12" t="s">
        <v>13627</v>
      </c>
      <c r="B4825" s="14">
        <v>9083.02</v>
      </c>
      <c r="C4825" s="16" t="s">
        <v>5331</v>
      </c>
      <c r="D4825" s="12">
        <v>44500</v>
      </c>
      <c r="E4825" s="12" t="s">
        <v>5332</v>
      </c>
      <c r="F4825" s="12" t="s">
        <v>5328</v>
      </c>
      <c r="G4825" s="12" t="s">
        <v>13628</v>
      </c>
      <c r="H4825" s="12">
        <v>183713</v>
      </c>
    </row>
    <row r="4826" spans="1:8">
      <c r="A4826" s="12" t="s">
        <v>13627</v>
      </c>
      <c r="B4826" s="13">
        <v>0</v>
      </c>
      <c r="C4826" s="16" t="s">
        <v>5331</v>
      </c>
      <c r="D4826" s="12">
        <v>42381</v>
      </c>
      <c r="E4826" s="12" t="s">
        <v>5332</v>
      </c>
      <c r="F4826" s="12" t="s">
        <v>5328</v>
      </c>
      <c r="G4826" s="12" t="s">
        <v>13629</v>
      </c>
      <c r="H4826" s="12">
        <v>165868</v>
      </c>
    </row>
    <row r="4827" spans="1:8">
      <c r="A4827" s="12" t="s">
        <v>13630</v>
      </c>
      <c r="B4827" s="14">
        <v>1804.3</v>
      </c>
      <c r="C4827" s="16" t="s">
        <v>5331</v>
      </c>
      <c r="D4827" s="12">
        <v>11646</v>
      </c>
      <c r="E4827" s="12" t="s">
        <v>5332</v>
      </c>
      <c r="F4827" s="12" t="s">
        <v>5328</v>
      </c>
      <c r="G4827" s="12" t="s">
        <v>13631</v>
      </c>
      <c r="H4827" s="12">
        <v>183714</v>
      </c>
    </row>
    <row r="4828" spans="1:8">
      <c r="A4828" s="12" t="s">
        <v>13630</v>
      </c>
      <c r="B4828" s="13">
        <v>0</v>
      </c>
      <c r="C4828" s="16" t="s">
        <v>5331</v>
      </c>
      <c r="D4828" s="12">
        <v>11091</v>
      </c>
      <c r="E4828" s="12" t="s">
        <v>5332</v>
      </c>
      <c r="F4828" s="12" t="s">
        <v>5328</v>
      </c>
      <c r="G4828" s="12" t="s">
        <v>13632</v>
      </c>
      <c r="H4828" s="12">
        <v>165869</v>
      </c>
    </row>
    <row r="4829" spans="1:8">
      <c r="A4829" s="12" t="s">
        <v>13633</v>
      </c>
      <c r="B4829" s="14">
        <v>2879.39</v>
      </c>
      <c r="C4829" s="16" t="s">
        <v>5331</v>
      </c>
      <c r="D4829" s="12">
        <v>11537</v>
      </c>
      <c r="E4829" s="12" t="s">
        <v>5332</v>
      </c>
      <c r="F4829" s="12" t="s">
        <v>5328</v>
      </c>
      <c r="G4829" s="12" t="s">
        <v>13634</v>
      </c>
      <c r="H4829" s="12">
        <v>183715</v>
      </c>
    </row>
    <row r="4830" spans="1:8">
      <c r="A4830" s="12" t="s">
        <v>13633</v>
      </c>
      <c r="B4830" s="13">
        <v>0</v>
      </c>
      <c r="C4830" s="16" t="s">
        <v>5331</v>
      </c>
      <c r="D4830" s="12">
        <v>10988</v>
      </c>
      <c r="E4830" s="12" t="s">
        <v>5332</v>
      </c>
      <c r="F4830" s="12" t="s">
        <v>5328</v>
      </c>
      <c r="G4830" s="12" t="s">
        <v>13635</v>
      </c>
      <c r="H4830" s="12">
        <v>165870</v>
      </c>
    </row>
    <row r="4831" spans="1:8">
      <c r="A4831" s="12" t="s">
        <v>13636</v>
      </c>
      <c r="B4831" s="14">
        <v>2012.56</v>
      </c>
      <c r="C4831" s="16" t="s">
        <v>5331</v>
      </c>
      <c r="D4831" s="12">
        <v>10145</v>
      </c>
      <c r="E4831" s="12" t="s">
        <v>5332</v>
      </c>
      <c r="F4831" s="12" t="s">
        <v>5328</v>
      </c>
      <c r="G4831" s="12" t="s">
        <v>13637</v>
      </c>
      <c r="H4831" s="12">
        <v>183716</v>
      </c>
    </row>
    <row r="4832" spans="1:8">
      <c r="A4832" s="12" t="s">
        <v>13636</v>
      </c>
      <c r="B4832" s="13">
        <v>0</v>
      </c>
      <c r="C4832" s="16" t="s">
        <v>5331</v>
      </c>
      <c r="D4832" s="12">
        <v>9662</v>
      </c>
      <c r="E4832" s="12" t="s">
        <v>5332</v>
      </c>
      <c r="F4832" s="12" t="s">
        <v>5328</v>
      </c>
      <c r="G4832" s="12" t="s">
        <v>13638</v>
      </c>
      <c r="H4832" s="12">
        <v>165871</v>
      </c>
    </row>
    <row r="4833" spans="1:8">
      <c r="A4833" s="12" t="s">
        <v>13639</v>
      </c>
      <c r="B4833" s="13">
        <v>952.06</v>
      </c>
      <c r="C4833" s="16" t="s">
        <v>5331</v>
      </c>
      <c r="D4833" s="12">
        <v>3667</v>
      </c>
      <c r="E4833" s="12" t="s">
        <v>5332</v>
      </c>
      <c r="F4833" s="12" t="s">
        <v>5328</v>
      </c>
      <c r="G4833" s="12" t="s">
        <v>13640</v>
      </c>
      <c r="H4833" s="12">
        <v>183717</v>
      </c>
    </row>
    <row r="4834" spans="1:8">
      <c r="A4834" s="12" t="s">
        <v>13639</v>
      </c>
      <c r="B4834" s="13">
        <v>0</v>
      </c>
      <c r="C4834" s="16" t="s">
        <v>5331</v>
      </c>
      <c r="D4834" s="12">
        <v>3492</v>
      </c>
      <c r="E4834" s="12" t="s">
        <v>5332</v>
      </c>
      <c r="F4834" s="12" t="s">
        <v>5328</v>
      </c>
      <c r="G4834" s="12" t="s">
        <v>13641</v>
      </c>
      <c r="H4834" s="12">
        <v>165872</v>
      </c>
    </row>
    <row r="4835" spans="1:8">
      <c r="A4835" s="12" t="s">
        <v>13642</v>
      </c>
      <c r="B4835" s="13">
        <v>278.64999999999998</v>
      </c>
      <c r="C4835" s="16" t="s">
        <v>5331</v>
      </c>
      <c r="D4835" s="12">
        <v>777</v>
      </c>
      <c r="E4835" s="12" t="s">
        <v>5332</v>
      </c>
      <c r="F4835" s="12" t="s">
        <v>5328</v>
      </c>
      <c r="G4835" s="12" t="s">
        <v>13643</v>
      </c>
      <c r="H4835" s="12">
        <v>183718</v>
      </c>
    </row>
    <row r="4836" spans="1:8">
      <c r="A4836" s="12" t="s">
        <v>13642</v>
      </c>
      <c r="B4836" s="13">
        <v>0</v>
      </c>
      <c r="C4836" s="16" t="s">
        <v>5331</v>
      </c>
      <c r="D4836" s="12">
        <v>740</v>
      </c>
      <c r="E4836" s="12" t="s">
        <v>5332</v>
      </c>
      <c r="F4836" s="12" t="s">
        <v>5328</v>
      </c>
      <c r="G4836" s="12" t="s">
        <v>13644</v>
      </c>
      <c r="H4836" s="12">
        <v>165873</v>
      </c>
    </row>
    <row r="4837" spans="1:8">
      <c r="A4837" s="12" t="s">
        <v>13645</v>
      </c>
      <c r="B4837" s="13">
        <v>29.7</v>
      </c>
      <c r="C4837" s="16" t="s">
        <v>5331</v>
      </c>
      <c r="D4837" s="12">
        <v>380</v>
      </c>
      <c r="E4837" s="12" t="s">
        <v>5332</v>
      </c>
      <c r="F4837" s="12" t="s">
        <v>5328</v>
      </c>
      <c r="G4837" s="12" t="s">
        <v>13646</v>
      </c>
      <c r="H4837" s="12">
        <v>183719</v>
      </c>
    </row>
    <row r="4838" spans="1:8">
      <c r="A4838" s="12" t="s">
        <v>13645</v>
      </c>
      <c r="B4838" s="13">
        <v>0</v>
      </c>
      <c r="C4838" s="16" t="s">
        <v>5331</v>
      </c>
      <c r="D4838" s="12">
        <v>362</v>
      </c>
      <c r="E4838" s="12" t="s">
        <v>5332</v>
      </c>
      <c r="F4838" s="12" t="s">
        <v>5328</v>
      </c>
      <c r="G4838" s="12" t="s">
        <v>13647</v>
      </c>
      <c r="H4838" s="12">
        <v>165874</v>
      </c>
    </row>
    <row r="4839" spans="1:8">
      <c r="A4839" s="12" t="s">
        <v>13648</v>
      </c>
      <c r="B4839" s="13">
        <v>21.81</v>
      </c>
      <c r="C4839" s="16" t="s">
        <v>5331</v>
      </c>
      <c r="D4839" s="12">
        <v>383</v>
      </c>
      <c r="E4839" s="12" t="s">
        <v>5332</v>
      </c>
      <c r="F4839" s="12" t="s">
        <v>5328</v>
      </c>
      <c r="G4839" s="12" t="s">
        <v>13649</v>
      </c>
      <c r="H4839" s="12">
        <v>183720</v>
      </c>
    </row>
    <row r="4840" spans="1:8">
      <c r="A4840" s="12" t="s">
        <v>13648</v>
      </c>
      <c r="B4840" s="13">
        <v>0</v>
      </c>
      <c r="C4840" s="16" t="s">
        <v>5331</v>
      </c>
      <c r="D4840" s="12">
        <v>365</v>
      </c>
      <c r="E4840" s="12" t="s">
        <v>5332</v>
      </c>
      <c r="F4840" s="12" t="s">
        <v>5328</v>
      </c>
      <c r="G4840" s="12" t="s">
        <v>13650</v>
      </c>
      <c r="H4840" s="12">
        <v>165875</v>
      </c>
    </row>
    <row r="4841" spans="1:8">
      <c r="A4841" s="12" t="s">
        <v>13651</v>
      </c>
      <c r="B4841" s="13">
        <v>83.47</v>
      </c>
      <c r="C4841" s="16" t="s">
        <v>5331</v>
      </c>
      <c r="D4841" s="12">
        <v>385</v>
      </c>
      <c r="E4841" s="12" t="s">
        <v>5332</v>
      </c>
      <c r="F4841" s="12" t="s">
        <v>5328</v>
      </c>
      <c r="G4841" s="12" t="s">
        <v>13652</v>
      </c>
      <c r="H4841" s="12">
        <v>183721</v>
      </c>
    </row>
    <row r="4842" spans="1:8">
      <c r="A4842" s="12" t="s">
        <v>13651</v>
      </c>
      <c r="B4842" s="13">
        <v>0</v>
      </c>
      <c r="C4842" s="16" t="s">
        <v>5331</v>
      </c>
      <c r="D4842" s="12">
        <v>367</v>
      </c>
      <c r="E4842" s="12" t="s">
        <v>5332</v>
      </c>
      <c r="F4842" s="12" t="s">
        <v>5328</v>
      </c>
      <c r="G4842" s="12" t="s">
        <v>13653</v>
      </c>
      <c r="H4842" s="12">
        <v>165876</v>
      </c>
    </row>
    <row r="4843" spans="1:8">
      <c r="A4843" s="12" t="s">
        <v>13654</v>
      </c>
      <c r="B4843" s="14">
        <v>6840.6</v>
      </c>
      <c r="C4843" s="16" t="s">
        <v>5331</v>
      </c>
      <c r="D4843" s="12">
        <v>25022</v>
      </c>
      <c r="E4843" s="12" t="s">
        <v>5332</v>
      </c>
      <c r="F4843" s="12" t="s">
        <v>5328</v>
      </c>
      <c r="G4843" s="12" t="s">
        <v>13655</v>
      </c>
      <c r="H4843" s="12">
        <v>183722</v>
      </c>
    </row>
    <row r="4844" spans="1:8">
      <c r="A4844" s="12" t="s">
        <v>13654</v>
      </c>
      <c r="B4844" s="13">
        <v>0</v>
      </c>
      <c r="C4844" s="16" t="s">
        <v>5331</v>
      </c>
      <c r="D4844" s="12">
        <v>23830</v>
      </c>
      <c r="E4844" s="12" t="s">
        <v>5332</v>
      </c>
      <c r="F4844" s="12" t="s">
        <v>5328</v>
      </c>
      <c r="G4844" s="12" t="s">
        <v>13656</v>
      </c>
      <c r="H4844" s="12">
        <v>165877</v>
      </c>
    </row>
    <row r="4845" spans="1:8">
      <c r="A4845" s="12" t="s">
        <v>13657</v>
      </c>
      <c r="B4845" s="13">
        <v>0</v>
      </c>
      <c r="C4845" s="16" t="s">
        <v>5331</v>
      </c>
      <c r="D4845" s="12">
        <v>506</v>
      </c>
      <c r="E4845" s="12" t="s">
        <v>5332</v>
      </c>
      <c r="F4845" s="12" t="s">
        <v>5328</v>
      </c>
      <c r="G4845" s="12" t="s">
        <v>13658</v>
      </c>
      <c r="H4845" s="12">
        <v>183723</v>
      </c>
    </row>
    <row r="4846" spans="1:8">
      <c r="A4846" s="12" t="s">
        <v>13657</v>
      </c>
      <c r="B4846" s="13">
        <v>0</v>
      </c>
      <c r="C4846" s="16" t="s">
        <v>5331</v>
      </c>
      <c r="D4846" s="12">
        <v>482</v>
      </c>
      <c r="E4846" s="12" t="s">
        <v>5332</v>
      </c>
      <c r="F4846" s="12" t="s">
        <v>5328</v>
      </c>
      <c r="G4846" s="12" t="s">
        <v>13659</v>
      </c>
      <c r="H4846" s="12">
        <v>165878</v>
      </c>
    </row>
    <row r="4847" spans="1:8">
      <c r="A4847" s="12" t="s">
        <v>13660</v>
      </c>
      <c r="B4847" s="13">
        <v>0</v>
      </c>
      <c r="C4847" s="16" t="s">
        <v>5331</v>
      </c>
      <c r="D4847" s="12">
        <v>579</v>
      </c>
      <c r="E4847" s="12" t="s">
        <v>5332</v>
      </c>
      <c r="F4847" s="12" t="s">
        <v>5328</v>
      </c>
      <c r="G4847" s="12" t="s">
        <v>13661</v>
      </c>
      <c r="H4847" s="12">
        <v>183724</v>
      </c>
    </row>
    <row r="4848" spans="1:8">
      <c r="A4848" s="12" t="s">
        <v>13660</v>
      </c>
      <c r="B4848" s="13">
        <v>0</v>
      </c>
      <c r="C4848" s="16" t="s">
        <v>5331</v>
      </c>
      <c r="D4848" s="12">
        <v>551</v>
      </c>
      <c r="E4848" s="12" t="s">
        <v>5332</v>
      </c>
      <c r="F4848" s="12" t="s">
        <v>5328</v>
      </c>
      <c r="G4848" s="12" t="s">
        <v>13662</v>
      </c>
      <c r="H4848" s="12">
        <v>165879</v>
      </c>
    </row>
    <row r="4849" spans="1:8">
      <c r="A4849" s="12" t="s">
        <v>13663</v>
      </c>
      <c r="B4849" s="13">
        <v>0</v>
      </c>
      <c r="C4849" s="16" t="s">
        <v>5331</v>
      </c>
      <c r="D4849" s="12">
        <v>393</v>
      </c>
      <c r="E4849" s="12" t="s">
        <v>5332</v>
      </c>
      <c r="F4849" s="12" t="s">
        <v>5328</v>
      </c>
      <c r="G4849" s="12" t="s">
        <v>13664</v>
      </c>
      <c r="H4849" s="12">
        <v>183725</v>
      </c>
    </row>
    <row r="4850" spans="1:8">
      <c r="A4850" s="12" t="s">
        <v>13663</v>
      </c>
      <c r="B4850" s="13">
        <v>0</v>
      </c>
      <c r="C4850" s="16" t="s">
        <v>5331</v>
      </c>
      <c r="D4850" s="12">
        <v>374</v>
      </c>
      <c r="E4850" s="12" t="s">
        <v>5332</v>
      </c>
      <c r="F4850" s="12" t="s">
        <v>5328</v>
      </c>
      <c r="G4850" s="12" t="s">
        <v>13665</v>
      </c>
      <c r="H4850" s="12">
        <v>165880</v>
      </c>
    </row>
    <row r="4851" spans="1:8">
      <c r="A4851" s="12" t="s">
        <v>13666</v>
      </c>
      <c r="B4851" s="13">
        <v>0</v>
      </c>
      <c r="C4851" s="16" t="s">
        <v>5331</v>
      </c>
      <c r="D4851" s="12">
        <v>5102</v>
      </c>
      <c r="E4851" s="12" t="s">
        <v>5332</v>
      </c>
      <c r="F4851" s="12" t="s">
        <v>5328</v>
      </c>
      <c r="G4851" s="12" t="s">
        <v>13667</v>
      </c>
      <c r="H4851" s="12">
        <v>183726</v>
      </c>
    </row>
    <row r="4852" spans="1:8">
      <c r="A4852" s="12" t="s">
        <v>13666</v>
      </c>
      <c r="B4852" s="13">
        <v>0</v>
      </c>
      <c r="C4852" s="16" t="s">
        <v>5331</v>
      </c>
      <c r="D4852" s="12">
        <v>4859</v>
      </c>
      <c r="E4852" s="12" t="s">
        <v>5332</v>
      </c>
      <c r="F4852" s="12" t="s">
        <v>5328</v>
      </c>
      <c r="G4852" s="12" t="s">
        <v>13668</v>
      </c>
      <c r="H4852" s="12">
        <v>165881</v>
      </c>
    </row>
    <row r="4853" spans="1:8">
      <c r="A4853" s="12" t="s">
        <v>13669</v>
      </c>
      <c r="B4853" s="13">
        <v>0</v>
      </c>
      <c r="C4853" s="16" t="s">
        <v>5331</v>
      </c>
      <c r="D4853" s="12">
        <v>396</v>
      </c>
      <c r="E4853" s="12" t="s">
        <v>5332</v>
      </c>
      <c r="F4853" s="12" t="s">
        <v>5328</v>
      </c>
      <c r="G4853" s="12" t="s">
        <v>13670</v>
      </c>
      <c r="H4853" s="12">
        <v>183727</v>
      </c>
    </row>
    <row r="4854" spans="1:8">
      <c r="A4854" s="12" t="s">
        <v>13669</v>
      </c>
      <c r="B4854" s="13">
        <v>0</v>
      </c>
      <c r="C4854" s="16" t="s">
        <v>5331</v>
      </c>
      <c r="D4854" s="12">
        <v>377</v>
      </c>
      <c r="E4854" s="12" t="s">
        <v>5332</v>
      </c>
      <c r="F4854" s="12" t="s">
        <v>5328</v>
      </c>
      <c r="G4854" s="12" t="s">
        <v>13671</v>
      </c>
      <c r="H4854" s="12">
        <v>165882</v>
      </c>
    </row>
    <row r="4855" spans="1:8">
      <c r="A4855" s="12" t="s">
        <v>13672</v>
      </c>
      <c r="B4855" s="13">
        <v>140.38</v>
      </c>
      <c r="C4855" s="16" t="s">
        <v>5331</v>
      </c>
      <c r="D4855" s="12">
        <v>405</v>
      </c>
      <c r="E4855" s="12" t="s">
        <v>5332</v>
      </c>
      <c r="F4855" s="12" t="s">
        <v>5328</v>
      </c>
      <c r="G4855" s="12" t="s">
        <v>13673</v>
      </c>
      <c r="H4855" s="12">
        <v>183728</v>
      </c>
    </row>
    <row r="4856" spans="1:8">
      <c r="A4856" s="12" t="s">
        <v>13672</v>
      </c>
      <c r="B4856" s="13">
        <v>0</v>
      </c>
      <c r="C4856" s="16" t="s">
        <v>5331</v>
      </c>
      <c r="D4856" s="12">
        <v>386</v>
      </c>
      <c r="E4856" s="12" t="s">
        <v>5332</v>
      </c>
      <c r="F4856" s="12" t="s">
        <v>5328</v>
      </c>
      <c r="G4856" s="12" t="s">
        <v>13674</v>
      </c>
      <c r="H4856" s="12">
        <v>165883</v>
      </c>
    </row>
    <row r="4857" spans="1:8">
      <c r="A4857" s="12" t="s">
        <v>13675</v>
      </c>
      <c r="B4857" s="13">
        <v>39.56</v>
      </c>
      <c r="C4857" s="16" t="s">
        <v>5331</v>
      </c>
      <c r="D4857" s="12">
        <v>399</v>
      </c>
      <c r="E4857" s="12" t="s">
        <v>5332</v>
      </c>
      <c r="F4857" s="12" t="s">
        <v>5328</v>
      </c>
      <c r="G4857" s="12" t="s">
        <v>13676</v>
      </c>
      <c r="H4857" s="12">
        <v>183729</v>
      </c>
    </row>
    <row r="4858" spans="1:8">
      <c r="A4858" s="12" t="s">
        <v>13675</v>
      </c>
      <c r="B4858" s="13">
        <v>0</v>
      </c>
      <c r="C4858" s="16" t="s">
        <v>5331</v>
      </c>
      <c r="D4858" s="12">
        <v>380</v>
      </c>
      <c r="E4858" s="12" t="s">
        <v>5332</v>
      </c>
      <c r="F4858" s="12" t="s">
        <v>5328</v>
      </c>
      <c r="G4858" s="12" t="s">
        <v>13677</v>
      </c>
      <c r="H4858" s="12">
        <v>165884</v>
      </c>
    </row>
    <row r="4859" spans="1:8">
      <c r="A4859" s="12" t="s">
        <v>13678</v>
      </c>
      <c r="B4859" s="13">
        <v>0</v>
      </c>
      <c r="C4859" s="16" t="s">
        <v>5331</v>
      </c>
      <c r="D4859" s="12">
        <v>1135</v>
      </c>
      <c r="E4859" s="12" t="s">
        <v>5332</v>
      </c>
      <c r="F4859" s="12" t="s">
        <v>5328</v>
      </c>
      <c r="G4859" s="12" t="s">
        <v>13679</v>
      </c>
      <c r="H4859" s="12">
        <v>183730</v>
      </c>
    </row>
    <row r="4860" spans="1:8">
      <c r="A4860" s="12" t="s">
        <v>13678</v>
      </c>
      <c r="B4860" s="13">
        <v>0</v>
      </c>
      <c r="C4860" s="16" t="s">
        <v>5331</v>
      </c>
      <c r="D4860" s="12">
        <v>1081</v>
      </c>
      <c r="E4860" s="12" t="s">
        <v>5332</v>
      </c>
      <c r="F4860" s="12" t="s">
        <v>5328</v>
      </c>
      <c r="G4860" s="12" t="s">
        <v>13680</v>
      </c>
      <c r="H4860" s="12">
        <v>165885</v>
      </c>
    </row>
    <row r="4861" spans="1:8">
      <c r="A4861" s="12" t="s">
        <v>13681</v>
      </c>
      <c r="B4861" s="13">
        <v>100.73</v>
      </c>
      <c r="C4861" s="16" t="s">
        <v>5331</v>
      </c>
      <c r="D4861" s="12">
        <v>415</v>
      </c>
      <c r="E4861" s="12" t="s">
        <v>5332</v>
      </c>
      <c r="F4861" s="12" t="s">
        <v>5328</v>
      </c>
      <c r="G4861" s="12" t="s">
        <v>13682</v>
      </c>
      <c r="H4861" s="12">
        <v>183731</v>
      </c>
    </row>
    <row r="4862" spans="1:8">
      <c r="A4862" s="12" t="s">
        <v>13681</v>
      </c>
      <c r="B4862" s="13">
        <v>0</v>
      </c>
      <c r="C4862" s="16" t="s">
        <v>5331</v>
      </c>
      <c r="D4862" s="12">
        <v>384</v>
      </c>
      <c r="E4862" s="12" t="s">
        <v>5332</v>
      </c>
      <c r="F4862" s="12" t="s">
        <v>5328</v>
      </c>
      <c r="G4862" s="12" t="s">
        <v>13683</v>
      </c>
      <c r="H4862" s="12">
        <v>165886</v>
      </c>
    </row>
    <row r="4863" spans="1:8">
      <c r="A4863" s="12" t="s">
        <v>13684</v>
      </c>
      <c r="B4863" s="13">
        <v>0</v>
      </c>
      <c r="C4863" s="16" t="s">
        <v>5331</v>
      </c>
      <c r="D4863" s="12">
        <v>784</v>
      </c>
      <c r="E4863" s="12" t="s">
        <v>5332</v>
      </c>
      <c r="F4863" s="12" t="s">
        <v>5328</v>
      </c>
      <c r="G4863" s="12" t="s">
        <v>13685</v>
      </c>
      <c r="H4863" s="12">
        <v>183732</v>
      </c>
    </row>
    <row r="4864" spans="1:8">
      <c r="A4864" s="12" t="s">
        <v>13684</v>
      </c>
      <c r="B4864" s="13">
        <v>0</v>
      </c>
      <c r="C4864" s="16" t="s">
        <v>5331</v>
      </c>
      <c r="D4864" s="12">
        <v>747</v>
      </c>
      <c r="E4864" s="12" t="s">
        <v>5332</v>
      </c>
      <c r="F4864" s="12" t="s">
        <v>5328</v>
      </c>
      <c r="G4864" s="12" t="s">
        <v>13686</v>
      </c>
      <c r="H4864" s="12">
        <v>165887</v>
      </c>
    </row>
    <row r="4865" spans="1:8">
      <c r="A4865" s="12" t="s">
        <v>13687</v>
      </c>
      <c r="B4865" s="13">
        <v>49.76</v>
      </c>
      <c r="C4865" s="16" t="s">
        <v>5331</v>
      </c>
      <c r="D4865" s="12">
        <v>406</v>
      </c>
      <c r="E4865" s="12" t="s">
        <v>5332</v>
      </c>
      <c r="F4865" s="12" t="s">
        <v>5328</v>
      </c>
      <c r="G4865" s="12" t="s">
        <v>13688</v>
      </c>
      <c r="H4865" s="12">
        <v>183733</v>
      </c>
    </row>
    <row r="4866" spans="1:8">
      <c r="A4866" s="12" t="s">
        <v>13687</v>
      </c>
      <c r="B4866" s="13">
        <v>0</v>
      </c>
      <c r="C4866" s="16" t="s">
        <v>5331</v>
      </c>
      <c r="D4866" s="12">
        <v>387</v>
      </c>
      <c r="E4866" s="12" t="s">
        <v>5332</v>
      </c>
      <c r="F4866" s="12" t="s">
        <v>5328</v>
      </c>
      <c r="G4866" s="12" t="s">
        <v>13689</v>
      </c>
      <c r="H4866" s="12">
        <v>165888</v>
      </c>
    </row>
    <row r="4867" spans="1:8">
      <c r="A4867" s="12" t="s">
        <v>13690</v>
      </c>
      <c r="B4867" s="13">
        <v>18.739999999999998</v>
      </c>
      <c r="C4867" s="16" t="s">
        <v>5331</v>
      </c>
      <c r="D4867" s="12">
        <v>408</v>
      </c>
      <c r="E4867" s="12" t="s">
        <v>5332</v>
      </c>
      <c r="F4867" s="12" t="s">
        <v>5328</v>
      </c>
      <c r="G4867" s="12" t="s">
        <v>13691</v>
      </c>
      <c r="H4867" s="12">
        <v>183734</v>
      </c>
    </row>
    <row r="4868" spans="1:8">
      <c r="A4868" s="12" t="s">
        <v>13690</v>
      </c>
      <c r="B4868" s="13">
        <v>0</v>
      </c>
      <c r="C4868" s="16" t="s">
        <v>5331</v>
      </c>
      <c r="D4868" s="12">
        <v>389</v>
      </c>
      <c r="E4868" s="12" t="s">
        <v>5332</v>
      </c>
      <c r="F4868" s="12" t="s">
        <v>5328</v>
      </c>
      <c r="G4868" s="12" t="s">
        <v>13692</v>
      </c>
      <c r="H4868" s="12">
        <v>165889</v>
      </c>
    </row>
    <row r="4869" spans="1:8">
      <c r="A4869" s="12" t="s">
        <v>13693</v>
      </c>
      <c r="B4869" s="13">
        <v>25.61</v>
      </c>
      <c r="C4869" s="16" t="s">
        <v>5331</v>
      </c>
      <c r="D4869" s="12">
        <v>410</v>
      </c>
      <c r="E4869" s="12" t="s">
        <v>5332</v>
      </c>
      <c r="F4869" s="12" t="s">
        <v>5328</v>
      </c>
      <c r="G4869" s="12" t="s">
        <v>13694</v>
      </c>
      <c r="H4869" s="12">
        <v>183735</v>
      </c>
    </row>
    <row r="4870" spans="1:8">
      <c r="A4870" s="12" t="s">
        <v>13693</v>
      </c>
      <c r="B4870" s="13">
        <v>0</v>
      </c>
      <c r="C4870" s="16" t="s">
        <v>5331</v>
      </c>
      <c r="D4870" s="12">
        <v>390</v>
      </c>
      <c r="E4870" s="12" t="s">
        <v>5332</v>
      </c>
      <c r="F4870" s="12" t="s">
        <v>5328</v>
      </c>
      <c r="G4870" s="12" t="s">
        <v>13695</v>
      </c>
      <c r="H4870" s="12">
        <v>165890</v>
      </c>
    </row>
    <row r="4871" spans="1:8">
      <c r="A4871" s="12" t="s">
        <v>13696</v>
      </c>
      <c r="B4871" s="13">
        <v>0</v>
      </c>
      <c r="C4871" s="16" t="s">
        <v>5331</v>
      </c>
      <c r="D4871" s="12">
        <v>412</v>
      </c>
      <c r="E4871" s="12" t="s">
        <v>5332</v>
      </c>
      <c r="F4871" s="12" t="s">
        <v>5328</v>
      </c>
      <c r="G4871" s="12" t="s">
        <v>13697</v>
      </c>
      <c r="H4871" s="12">
        <v>183736</v>
      </c>
    </row>
    <row r="4872" spans="1:8">
      <c r="A4872" s="12" t="s">
        <v>13696</v>
      </c>
      <c r="B4872" s="13">
        <v>0</v>
      </c>
      <c r="C4872" s="16" t="s">
        <v>5331</v>
      </c>
      <c r="D4872" s="12">
        <v>392</v>
      </c>
      <c r="E4872" s="12" t="s">
        <v>5332</v>
      </c>
      <c r="F4872" s="12" t="s">
        <v>5328</v>
      </c>
      <c r="G4872" s="12" t="s">
        <v>13698</v>
      </c>
      <c r="H4872" s="12">
        <v>165891</v>
      </c>
    </row>
    <row r="4873" spans="1:8">
      <c r="A4873" s="12" t="s">
        <v>13699</v>
      </c>
      <c r="B4873" s="13">
        <v>96.53</v>
      </c>
      <c r="C4873" s="16" t="s">
        <v>5331</v>
      </c>
      <c r="D4873" s="12">
        <v>426</v>
      </c>
      <c r="E4873" s="12" t="s">
        <v>5332</v>
      </c>
      <c r="F4873" s="12" t="s">
        <v>5328</v>
      </c>
      <c r="G4873" s="12" t="s">
        <v>13700</v>
      </c>
      <c r="H4873" s="12">
        <v>183737</v>
      </c>
    </row>
    <row r="4874" spans="1:8">
      <c r="A4874" s="12" t="s">
        <v>13699</v>
      </c>
      <c r="B4874" s="13">
        <v>0</v>
      </c>
      <c r="C4874" s="16" t="s">
        <v>5331</v>
      </c>
      <c r="D4874" s="12">
        <v>394</v>
      </c>
      <c r="E4874" s="12" t="s">
        <v>5332</v>
      </c>
      <c r="F4874" s="12" t="s">
        <v>5328</v>
      </c>
      <c r="G4874" s="12" t="s">
        <v>13701</v>
      </c>
      <c r="H4874" s="12">
        <v>165892</v>
      </c>
    </row>
    <row r="4875" spans="1:8">
      <c r="A4875" s="12" t="s">
        <v>13702</v>
      </c>
      <c r="B4875" s="13">
        <v>23.37</v>
      </c>
      <c r="C4875" s="16" t="s">
        <v>5331</v>
      </c>
      <c r="D4875" s="12">
        <v>416</v>
      </c>
      <c r="E4875" s="12" t="s">
        <v>5332</v>
      </c>
      <c r="F4875" s="12" t="s">
        <v>5328</v>
      </c>
      <c r="G4875" s="12" t="s">
        <v>13703</v>
      </c>
      <c r="H4875" s="12">
        <v>183738</v>
      </c>
    </row>
    <row r="4876" spans="1:8">
      <c r="A4876" s="12" t="s">
        <v>13702</v>
      </c>
      <c r="B4876" s="13">
        <v>0</v>
      </c>
      <c r="C4876" s="16" t="s">
        <v>5331</v>
      </c>
      <c r="D4876" s="12">
        <v>396</v>
      </c>
      <c r="E4876" s="12" t="s">
        <v>5332</v>
      </c>
      <c r="F4876" s="12" t="s">
        <v>5328</v>
      </c>
      <c r="G4876" s="12" t="s">
        <v>13704</v>
      </c>
      <c r="H4876" s="12">
        <v>165893</v>
      </c>
    </row>
    <row r="4877" spans="1:8">
      <c r="A4877" s="12" t="s">
        <v>13705</v>
      </c>
      <c r="B4877" s="13">
        <v>0</v>
      </c>
      <c r="C4877" s="16" t="s">
        <v>5331</v>
      </c>
      <c r="D4877" s="12">
        <v>2793</v>
      </c>
      <c r="E4877" s="12" t="s">
        <v>5332</v>
      </c>
      <c r="F4877" s="12" t="s">
        <v>5328</v>
      </c>
      <c r="G4877" s="12" t="s">
        <v>13706</v>
      </c>
      <c r="H4877" s="12">
        <v>183739</v>
      </c>
    </row>
    <row r="4878" spans="1:8">
      <c r="A4878" s="12" t="s">
        <v>13705</v>
      </c>
      <c r="B4878" s="13">
        <v>0</v>
      </c>
      <c r="C4878" s="16" t="s">
        <v>5331</v>
      </c>
      <c r="D4878" s="12">
        <v>2660</v>
      </c>
      <c r="E4878" s="12" t="s">
        <v>5332</v>
      </c>
      <c r="F4878" s="12" t="s">
        <v>5328</v>
      </c>
      <c r="G4878" s="12" t="s">
        <v>13707</v>
      </c>
      <c r="H4878" s="12">
        <v>165894</v>
      </c>
    </row>
    <row r="4879" spans="1:8">
      <c r="A4879" s="12" t="s">
        <v>13708</v>
      </c>
      <c r="B4879" s="13">
        <v>0</v>
      </c>
      <c r="C4879" s="16" t="s">
        <v>5331</v>
      </c>
      <c r="D4879" s="12">
        <v>4111</v>
      </c>
      <c r="E4879" s="12" t="s">
        <v>5332</v>
      </c>
      <c r="F4879" s="12" t="s">
        <v>5328</v>
      </c>
      <c r="G4879" s="12" t="s">
        <v>13709</v>
      </c>
      <c r="H4879" s="12">
        <v>183740</v>
      </c>
    </row>
    <row r="4880" spans="1:8">
      <c r="A4880" s="12" t="s">
        <v>13708</v>
      </c>
      <c r="B4880" s="13">
        <v>0</v>
      </c>
      <c r="C4880" s="16" t="s">
        <v>5331</v>
      </c>
      <c r="D4880" s="12">
        <v>3915</v>
      </c>
      <c r="E4880" s="12" t="s">
        <v>5332</v>
      </c>
      <c r="F4880" s="12" t="s">
        <v>5328</v>
      </c>
      <c r="G4880" s="12" t="s">
        <v>13710</v>
      </c>
      <c r="H4880" s="12">
        <v>165895</v>
      </c>
    </row>
    <row r="4881" spans="1:8">
      <c r="A4881" s="12" t="s">
        <v>13711</v>
      </c>
      <c r="B4881" s="13">
        <v>111.62</v>
      </c>
      <c r="C4881" s="16" t="s">
        <v>5331</v>
      </c>
      <c r="D4881" s="12">
        <v>423</v>
      </c>
      <c r="E4881" s="12" t="s">
        <v>5332</v>
      </c>
      <c r="F4881" s="12" t="s">
        <v>5328</v>
      </c>
      <c r="G4881" s="12" t="s">
        <v>13712</v>
      </c>
      <c r="H4881" s="12">
        <v>183741</v>
      </c>
    </row>
    <row r="4882" spans="1:8">
      <c r="A4882" s="12" t="s">
        <v>13711</v>
      </c>
      <c r="B4882" s="13">
        <v>0</v>
      </c>
      <c r="C4882" s="16" t="s">
        <v>5331</v>
      </c>
      <c r="D4882" s="12">
        <v>403</v>
      </c>
      <c r="E4882" s="12" t="s">
        <v>5332</v>
      </c>
      <c r="F4882" s="12" t="s">
        <v>5328</v>
      </c>
      <c r="G4882" s="12" t="s">
        <v>13713</v>
      </c>
      <c r="H4882" s="12">
        <v>165896</v>
      </c>
    </row>
    <row r="4883" spans="1:8">
      <c r="A4883" s="12" t="s">
        <v>13714</v>
      </c>
      <c r="B4883" s="13">
        <v>954</v>
      </c>
      <c r="C4883" s="16" t="s">
        <v>5331</v>
      </c>
      <c r="D4883" s="12">
        <v>2751</v>
      </c>
      <c r="E4883" s="12" t="s">
        <v>5332</v>
      </c>
      <c r="F4883" s="12" t="s">
        <v>5328</v>
      </c>
      <c r="G4883" s="12" t="s">
        <v>13715</v>
      </c>
      <c r="H4883" s="12">
        <v>183742</v>
      </c>
    </row>
    <row r="4884" spans="1:8">
      <c r="A4884" s="12" t="s">
        <v>13716</v>
      </c>
      <c r="B4884" s="13">
        <v>0</v>
      </c>
      <c r="C4884" s="16" t="s">
        <v>5331</v>
      </c>
      <c r="D4884" s="12">
        <v>2620</v>
      </c>
      <c r="E4884" s="12" t="s">
        <v>5332</v>
      </c>
      <c r="F4884" s="12" t="s">
        <v>5328</v>
      </c>
      <c r="G4884" s="12" t="s">
        <v>13717</v>
      </c>
      <c r="H4884" s="12">
        <v>165897</v>
      </c>
    </row>
    <row r="4885" spans="1:8">
      <c r="A4885" s="12" t="s">
        <v>13718</v>
      </c>
      <c r="B4885" s="13">
        <v>0</v>
      </c>
      <c r="C4885" s="16" t="s">
        <v>5331</v>
      </c>
      <c r="D4885" s="12">
        <v>426</v>
      </c>
      <c r="E4885" s="12" t="s">
        <v>5332</v>
      </c>
      <c r="F4885" s="12" t="s">
        <v>5328</v>
      </c>
      <c r="G4885" s="12" t="s">
        <v>13719</v>
      </c>
      <c r="H4885" s="12">
        <v>183743</v>
      </c>
    </row>
    <row r="4886" spans="1:8">
      <c r="A4886" s="12" t="s">
        <v>13718</v>
      </c>
      <c r="B4886" s="13">
        <v>0</v>
      </c>
      <c r="C4886" s="16" t="s">
        <v>5331</v>
      </c>
      <c r="D4886" s="12">
        <v>406</v>
      </c>
      <c r="E4886" s="12" t="s">
        <v>5332</v>
      </c>
      <c r="F4886" s="12" t="s">
        <v>5328</v>
      </c>
      <c r="G4886" s="12" t="s">
        <v>13720</v>
      </c>
      <c r="H4886" s="12">
        <v>165898</v>
      </c>
    </row>
    <row r="4887" spans="1:8">
      <c r="A4887" s="12" t="s">
        <v>13721</v>
      </c>
      <c r="B4887" s="14">
        <v>8100.31</v>
      </c>
      <c r="C4887" s="16" t="s">
        <v>5331</v>
      </c>
      <c r="D4887" s="12">
        <v>17129</v>
      </c>
      <c r="E4887" s="12" t="s">
        <v>5332</v>
      </c>
      <c r="F4887" s="12" t="s">
        <v>5328</v>
      </c>
      <c r="G4887" s="12" t="s">
        <v>13722</v>
      </c>
      <c r="H4887" s="12">
        <v>183744</v>
      </c>
    </row>
    <row r="4888" spans="1:8">
      <c r="A4888" s="12" t="s">
        <v>13721</v>
      </c>
      <c r="B4888" s="13">
        <v>0</v>
      </c>
      <c r="C4888" s="16" t="s">
        <v>5331</v>
      </c>
      <c r="D4888" s="12">
        <v>16313</v>
      </c>
      <c r="E4888" s="12" t="s">
        <v>5332</v>
      </c>
      <c r="F4888" s="12" t="s">
        <v>5328</v>
      </c>
      <c r="G4888" s="12" t="s">
        <v>13723</v>
      </c>
      <c r="H4888" s="12">
        <v>165899</v>
      </c>
    </row>
    <row r="4889" spans="1:8">
      <c r="A4889" s="12" t="s">
        <v>13724</v>
      </c>
      <c r="B4889" s="13">
        <v>51.83</v>
      </c>
      <c r="C4889" s="16" t="s">
        <v>5331</v>
      </c>
      <c r="D4889" s="12">
        <v>432</v>
      </c>
      <c r="E4889" s="12" t="s">
        <v>5332</v>
      </c>
      <c r="F4889" s="12" t="s">
        <v>5328</v>
      </c>
      <c r="G4889" s="12" t="s">
        <v>13725</v>
      </c>
      <c r="H4889" s="12">
        <v>183746</v>
      </c>
    </row>
    <row r="4890" spans="1:8">
      <c r="A4890" s="12" t="s">
        <v>13724</v>
      </c>
      <c r="B4890" s="13">
        <v>0</v>
      </c>
      <c r="C4890" s="16" t="s">
        <v>5331</v>
      </c>
      <c r="D4890" s="12">
        <v>411</v>
      </c>
      <c r="E4890" s="12" t="s">
        <v>5332</v>
      </c>
      <c r="F4890" s="12" t="s">
        <v>5328</v>
      </c>
      <c r="G4890" s="12" t="s">
        <v>13726</v>
      </c>
      <c r="H4890" s="12">
        <v>165901</v>
      </c>
    </row>
    <row r="4891" spans="1:8">
      <c r="A4891" s="12" t="s">
        <v>13727</v>
      </c>
      <c r="B4891" s="13">
        <v>13.13</v>
      </c>
      <c r="C4891" s="16" t="s">
        <v>5331</v>
      </c>
      <c r="D4891" s="12">
        <v>151</v>
      </c>
      <c r="E4891" s="12" t="s">
        <v>5332</v>
      </c>
      <c r="F4891" s="12" t="s">
        <v>5328</v>
      </c>
      <c r="G4891" s="12" t="s">
        <v>13728</v>
      </c>
      <c r="H4891" s="12">
        <v>183747</v>
      </c>
    </row>
    <row r="4892" spans="1:8">
      <c r="A4892" s="12" t="s">
        <v>13729</v>
      </c>
      <c r="B4892" s="13">
        <v>15.52</v>
      </c>
      <c r="C4892" s="16" t="s">
        <v>5331</v>
      </c>
      <c r="D4892" s="12">
        <v>435</v>
      </c>
      <c r="E4892" s="12" t="s">
        <v>5332</v>
      </c>
      <c r="F4892" s="12" t="s">
        <v>5328</v>
      </c>
      <c r="G4892" s="12" t="s">
        <v>13730</v>
      </c>
      <c r="H4892" s="12">
        <v>202513</v>
      </c>
    </row>
    <row r="4893" spans="1:8">
      <c r="A4893" s="12" t="s">
        <v>13729</v>
      </c>
      <c r="B4893" s="13">
        <v>69.900000000000006</v>
      </c>
      <c r="C4893" s="16" t="s">
        <v>5331</v>
      </c>
      <c r="D4893" s="12">
        <v>414</v>
      </c>
      <c r="E4893" s="12" t="s">
        <v>5332</v>
      </c>
      <c r="F4893" s="12" t="s">
        <v>5328</v>
      </c>
      <c r="G4893" s="12" t="s">
        <v>13731</v>
      </c>
      <c r="H4893" s="12">
        <v>166301</v>
      </c>
    </row>
    <row r="4894" spans="1:8">
      <c r="A4894" s="12" t="s">
        <v>13732</v>
      </c>
      <c r="B4894" s="13">
        <v>0</v>
      </c>
      <c r="C4894" s="16" t="s">
        <v>5331</v>
      </c>
      <c r="D4894" s="12">
        <v>437</v>
      </c>
      <c r="E4894" s="12" t="s">
        <v>5332</v>
      </c>
      <c r="F4894" s="12" t="s">
        <v>5328</v>
      </c>
      <c r="G4894" s="12" t="s">
        <v>13733</v>
      </c>
      <c r="H4894" s="12">
        <v>175958</v>
      </c>
    </row>
    <row r="4895" spans="1:8">
      <c r="A4895" s="12" t="s">
        <v>13734</v>
      </c>
      <c r="B4895" s="13">
        <v>53.62</v>
      </c>
      <c r="C4895" s="16" t="s">
        <v>5331</v>
      </c>
      <c r="D4895" s="12">
        <v>439</v>
      </c>
      <c r="E4895" s="12" t="s">
        <v>5332</v>
      </c>
      <c r="F4895" s="12" t="s">
        <v>5328</v>
      </c>
      <c r="G4895" s="12" t="s">
        <v>13735</v>
      </c>
      <c r="H4895" s="12">
        <v>202514</v>
      </c>
    </row>
    <row r="4896" spans="1:8">
      <c r="A4896" s="12" t="s">
        <v>13734</v>
      </c>
      <c r="B4896" s="13">
        <v>52.3</v>
      </c>
      <c r="C4896" s="16" t="s">
        <v>5331</v>
      </c>
      <c r="D4896" s="12">
        <v>418</v>
      </c>
      <c r="E4896" s="12" t="s">
        <v>5332</v>
      </c>
      <c r="F4896" s="12" t="s">
        <v>5328</v>
      </c>
      <c r="G4896" s="12" t="s">
        <v>13736</v>
      </c>
      <c r="H4896" s="12">
        <v>166302</v>
      </c>
    </row>
    <row r="4897" spans="1:8">
      <c r="A4897" s="12" t="s">
        <v>13737</v>
      </c>
      <c r="B4897" s="13">
        <v>15.74</v>
      </c>
      <c r="C4897" s="16" t="s">
        <v>5331</v>
      </c>
      <c r="D4897" s="12">
        <v>462</v>
      </c>
      <c r="E4897" s="12" t="s">
        <v>5332</v>
      </c>
      <c r="F4897" s="12" t="s">
        <v>5328</v>
      </c>
      <c r="G4897" s="12" t="s">
        <v>13738</v>
      </c>
      <c r="H4897" s="12">
        <v>202515</v>
      </c>
    </row>
    <row r="4898" spans="1:8">
      <c r="A4898" s="12" t="s">
        <v>13737</v>
      </c>
      <c r="B4898" s="13">
        <v>16.329999999999998</v>
      </c>
      <c r="C4898" s="16" t="s">
        <v>5331</v>
      </c>
      <c r="D4898" s="12">
        <v>419</v>
      </c>
      <c r="E4898" s="12" t="s">
        <v>5332</v>
      </c>
      <c r="F4898" s="12" t="s">
        <v>5328</v>
      </c>
      <c r="G4898" s="12" t="s">
        <v>13739</v>
      </c>
      <c r="H4898" s="12">
        <v>166303</v>
      </c>
    </row>
    <row r="4899" spans="1:8">
      <c r="A4899" s="12" t="s">
        <v>13740</v>
      </c>
      <c r="B4899" s="13">
        <v>43.87</v>
      </c>
      <c r="C4899" s="16" t="s">
        <v>5331</v>
      </c>
      <c r="D4899" s="12">
        <v>464</v>
      </c>
      <c r="E4899" s="12" t="s">
        <v>5332</v>
      </c>
      <c r="F4899" s="12" t="s">
        <v>5328</v>
      </c>
      <c r="G4899" s="12" t="s">
        <v>13741</v>
      </c>
      <c r="H4899" s="12">
        <v>202516</v>
      </c>
    </row>
    <row r="4900" spans="1:8">
      <c r="A4900" s="12" t="s">
        <v>13740</v>
      </c>
      <c r="B4900" s="13">
        <v>56.31</v>
      </c>
      <c r="C4900" s="16" t="s">
        <v>5331</v>
      </c>
      <c r="D4900" s="12">
        <v>421</v>
      </c>
      <c r="E4900" s="12" t="s">
        <v>5332</v>
      </c>
      <c r="F4900" s="12" t="s">
        <v>5328</v>
      </c>
      <c r="G4900" s="12" t="s">
        <v>13742</v>
      </c>
      <c r="H4900" s="12">
        <v>166304</v>
      </c>
    </row>
    <row r="4901" spans="1:8">
      <c r="A4901" s="12" t="s">
        <v>13743</v>
      </c>
      <c r="B4901" s="14">
        <v>1966.61</v>
      </c>
      <c r="C4901" s="16" t="s">
        <v>5331</v>
      </c>
      <c r="D4901" s="12">
        <v>6707</v>
      </c>
      <c r="E4901" s="12" t="s">
        <v>5332</v>
      </c>
      <c r="F4901" s="12" t="s">
        <v>5328</v>
      </c>
      <c r="G4901" s="12" t="s">
        <v>13744</v>
      </c>
      <c r="H4901" s="12">
        <v>202517</v>
      </c>
    </row>
    <row r="4902" spans="1:8">
      <c r="A4902" s="12" t="s">
        <v>13743</v>
      </c>
      <c r="B4902" s="14">
        <v>1851.91</v>
      </c>
      <c r="C4902" s="16" t="s">
        <v>5331</v>
      </c>
      <c r="D4902" s="12">
        <v>6388</v>
      </c>
      <c r="E4902" s="12" t="s">
        <v>5332</v>
      </c>
      <c r="F4902" s="12" t="s">
        <v>5328</v>
      </c>
      <c r="G4902" s="12" t="s">
        <v>13745</v>
      </c>
      <c r="H4902" s="12">
        <v>166305</v>
      </c>
    </row>
    <row r="4903" spans="1:8">
      <c r="A4903" s="12" t="s">
        <v>13746</v>
      </c>
      <c r="B4903" s="13">
        <v>60.39</v>
      </c>
      <c r="C4903" s="16" t="s">
        <v>5331</v>
      </c>
      <c r="D4903" s="12">
        <v>445</v>
      </c>
      <c r="E4903" s="12" t="s">
        <v>5332</v>
      </c>
      <c r="F4903" s="12" t="s">
        <v>5328</v>
      </c>
      <c r="G4903" s="12" t="s">
        <v>13747</v>
      </c>
      <c r="H4903" s="12">
        <v>175963</v>
      </c>
    </row>
    <row r="4904" spans="1:8">
      <c r="A4904" s="12" t="s">
        <v>13748</v>
      </c>
      <c r="B4904" s="13">
        <v>0.01</v>
      </c>
      <c r="C4904" s="16" t="s">
        <v>5331</v>
      </c>
      <c r="D4904" s="12">
        <v>469</v>
      </c>
      <c r="E4904" s="12" t="s">
        <v>5332</v>
      </c>
      <c r="F4904" s="12" t="s">
        <v>5328</v>
      </c>
      <c r="G4904" s="12" t="s">
        <v>13749</v>
      </c>
      <c r="H4904" s="12">
        <v>202518</v>
      </c>
    </row>
    <row r="4905" spans="1:8">
      <c r="A4905" s="12" t="s">
        <v>13748</v>
      </c>
      <c r="B4905" s="13">
        <v>0.01</v>
      </c>
      <c r="C4905" s="16" t="s">
        <v>5331</v>
      </c>
      <c r="D4905" s="12">
        <v>426</v>
      </c>
      <c r="E4905" s="12" t="s">
        <v>5332</v>
      </c>
      <c r="F4905" s="12" t="s">
        <v>5328</v>
      </c>
      <c r="G4905" s="12" t="s">
        <v>13750</v>
      </c>
      <c r="H4905" s="12">
        <v>166306</v>
      </c>
    </row>
    <row r="4906" spans="1:8">
      <c r="A4906" s="12" t="s">
        <v>13751</v>
      </c>
      <c r="B4906" s="13">
        <v>0</v>
      </c>
      <c r="C4906" s="16" t="s">
        <v>5331</v>
      </c>
      <c r="D4906" s="12">
        <v>449</v>
      </c>
      <c r="E4906" s="12" t="s">
        <v>5332</v>
      </c>
      <c r="F4906" s="12" t="s">
        <v>5328</v>
      </c>
      <c r="G4906" s="12" t="s">
        <v>13752</v>
      </c>
      <c r="H4906" s="12">
        <v>175965</v>
      </c>
    </row>
    <row r="4907" spans="1:8">
      <c r="A4907" s="12" t="s">
        <v>13753</v>
      </c>
      <c r="B4907" s="13">
        <v>638.6</v>
      </c>
      <c r="C4907" s="16" t="s">
        <v>5331</v>
      </c>
      <c r="D4907" s="12">
        <v>1822</v>
      </c>
      <c r="E4907" s="12" t="s">
        <v>5332</v>
      </c>
      <c r="F4907" s="12" t="s">
        <v>5328</v>
      </c>
      <c r="G4907" s="12" t="s">
        <v>13754</v>
      </c>
      <c r="H4907" s="12">
        <v>202519</v>
      </c>
    </row>
    <row r="4908" spans="1:8">
      <c r="A4908" s="12" t="s">
        <v>13753</v>
      </c>
      <c r="B4908" s="13">
        <v>639.26</v>
      </c>
      <c r="C4908" s="16" t="s">
        <v>5331</v>
      </c>
      <c r="D4908" s="12">
        <v>1735</v>
      </c>
      <c r="E4908" s="12" t="s">
        <v>5332</v>
      </c>
      <c r="F4908" s="12" t="s">
        <v>5328</v>
      </c>
      <c r="G4908" s="12" t="s">
        <v>13755</v>
      </c>
      <c r="H4908" s="12">
        <v>166307</v>
      </c>
    </row>
    <row r="4909" spans="1:8">
      <c r="A4909" s="12" t="s">
        <v>13756</v>
      </c>
      <c r="B4909" s="13">
        <v>0</v>
      </c>
      <c r="C4909" s="16" t="s">
        <v>5331</v>
      </c>
      <c r="D4909" s="12">
        <v>1776</v>
      </c>
      <c r="E4909" s="12" t="s">
        <v>5332</v>
      </c>
      <c r="F4909" s="12" t="s">
        <v>5328</v>
      </c>
      <c r="G4909" s="12" t="s">
        <v>13757</v>
      </c>
      <c r="H4909" s="12">
        <v>175967</v>
      </c>
    </row>
    <row r="4910" spans="1:8">
      <c r="A4910" s="12" t="s">
        <v>13758</v>
      </c>
      <c r="B4910" s="13">
        <v>100.64</v>
      </c>
      <c r="C4910" s="16" t="s">
        <v>5331</v>
      </c>
      <c r="D4910" s="12">
        <v>880</v>
      </c>
      <c r="E4910" s="12" t="s">
        <v>5332</v>
      </c>
      <c r="F4910" s="12" t="s">
        <v>5328</v>
      </c>
      <c r="G4910" s="12" t="s">
        <v>13759</v>
      </c>
      <c r="H4910" s="12">
        <v>202520</v>
      </c>
    </row>
    <row r="4911" spans="1:8">
      <c r="A4911" s="12" t="s">
        <v>13758</v>
      </c>
      <c r="B4911" s="13">
        <v>275.07</v>
      </c>
      <c r="C4911" s="16" t="s">
        <v>5331</v>
      </c>
      <c r="D4911" s="12">
        <v>838</v>
      </c>
      <c r="E4911" s="12" t="s">
        <v>5332</v>
      </c>
      <c r="F4911" s="12" t="s">
        <v>5328</v>
      </c>
      <c r="G4911" s="12" t="s">
        <v>13760</v>
      </c>
      <c r="H4911" s="12">
        <v>166308</v>
      </c>
    </row>
    <row r="4912" spans="1:8">
      <c r="A4912" s="12" t="s">
        <v>13761</v>
      </c>
      <c r="B4912" s="13">
        <v>0</v>
      </c>
      <c r="C4912" s="16" t="s">
        <v>5331</v>
      </c>
      <c r="D4912" s="12">
        <v>459</v>
      </c>
      <c r="E4912" s="12" t="s">
        <v>5332</v>
      </c>
      <c r="F4912" s="12" t="s">
        <v>5328</v>
      </c>
      <c r="G4912" s="12" t="s">
        <v>13762</v>
      </c>
      <c r="H4912" s="12">
        <v>175969</v>
      </c>
    </row>
    <row r="4913" spans="1:8">
      <c r="A4913" s="12" t="s">
        <v>13763</v>
      </c>
      <c r="B4913" s="13">
        <v>494</v>
      </c>
      <c r="C4913" s="16" t="s">
        <v>5331</v>
      </c>
      <c r="D4913" s="12">
        <v>1409</v>
      </c>
      <c r="E4913" s="12" t="s">
        <v>5332</v>
      </c>
      <c r="F4913" s="12" t="s">
        <v>5328</v>
      </c>
      <c r="G4913" s="12" t="s">
        <v>13764</v>
      </c>
      <c r="H4913" s="12">
        <v>202521</v>
      </c>
    </row>
    <row r="4914" spans="1:8">
      <c r="A4914" s="12" t="s">
        <v>13763</v>
      </c>
      <c r="B4914" s="13">
        <v>494.51</v>
      </c>
      <c r="C4914" s="16" t="s">
        <v>5331</v>
      </c>
      <c r="D4914" s="12">
        <v>1342</v>
      </c>
      <c r="E4914" s="12" t="s">
        <v>5332</v>
      </c>
      <c r="F4914" s="12" t="s">
        <v>5328</v>
      </c>
      <c r="G4914" s="12" t="s">
        <v>13765</v>
      </c>
      <c r="H4914" s="12">
        <v>166309</v>
      </c>
    </row>
    <row r="4915" spans="1:8">
      <c r="A4915" s="12" t="s">
        <v>13766</v>
      </c>
      <c r="B4915" s="14">
        <v>6965.8</v>
      </c>
      <c r="C4915" s="16" t="s">
        <v>5331</v>
      </c>
      <c r="D4915" s="12">
        <v>9606</v>
      </c>
      <c r="E4915" s="12" t="s">
        <v>5332</v>
      </c>
      <c r="F4915" s="12" t="s">
        <v>5328</v>
      </c>
      <c r="G4915" s="12" t="s">
        <v>13767</v>
      </c>
      <c r="H4915" s="12">
        <v>202522</v>
      </c>
    </row>
    <row r="4916" spans="1:8">
      <c r="A4916" s="12" t="s">
        <v>13766</v>
      </c>
      <c r="B4916" s="14">
        <v>4929.8999999999996</v>
      </c>
      <c r="C4916" s="16" t="s">
        <v>5331</v>
      </c>
      <c r="D4916" s="12">
        <v>8713</v>
      </c>
      <c r="E4916" s="12" t="s">
        <v>5332</v>
      </c>
      <c r="F4916" s="12" t="s">
        <v>5328</v>
      </c>
      <c r="G4916" s="12" t="s">
        <v>13768</v>
      </c>
      <c r="H4916" s="12">
        <v>166310</v>
      </c>
    </row>
    <row r="4917" spans="1:8">
      <c r="A4917" s="12" t="s">
        <v>13769</v>
      </c>
      <c r="B4917" s="13">
        <v>48.74</v>
      </c>
      <c r="C4917" s="16" t="s">
        <v>5331</v>
      </c>
      <c r="D4917" s="12">
        <v>465</v>
      </c>
      <c r="E4917" s="12" t="s">
        <v>5332</v>
      </c>
      <c r="F4917" s="12" t="s">
        <v>5328</v>
      </c>
      <c r="G4917" s="12" t="s">
        <v>13770</v>
      </c>
      <c r="H4917" s="12">
        <v>202523</v>
      </c>
    </row>
    <row r="4918" spans="1:8">
      <c r="A4918" s="12" t="s">
        <v>13769</v>
      </c>
      <c r="B4918" s="13">
        <v>45.9</v>
      </c>
      <c r="C4918" s="16" t="s">
        <v>5331</v>
      </c>
      <c r="D4918" s="12">
        <v>443</v>
      </c>
      <c r="E4918" s="12" t="s">
        <v>5332</v>
      </c>
      <c r="F4918" s="12" t="s">
        <v>5328</v>
      </c>
      <c r="G4918" s="12" t="s">
        <v>13771</v>
      </c>
      <c r="H4918" s="12">
        <v>166311</v>
      </c>
    </row>
    <row r="4919" spans="1:8">
      <c r="A4919" s="12" t="s">
        <v>13772</v>
      </c>
      <c r="B4919" s="13">
        <v>0</v>
      </c>
      <c r="C4919" s="16" t="s">
        <v>5331</v>
      </c>
      <c r="D4919" s="12">
        <v>467</v>
      </c>
      <c r="E4919" s="12" t="s">
        <v>5332</v>
      </c>
      <c r="F4919" s="12" t="s">
        <v>5328</v>
      </c>
      <c r="G4919" s="12" t="s">
        <v>13773</v>
      </c>
      <c r="H4919" s="12">
        <v>175973</v>
      </c>
    </row>
    <row r="4920" spans="1:8">
      <c r="A4920" s="12" t="s">
        <v>13774</v>
      </c>
      <c r="B4920" s="13">
        <v>0</v>
      </c>
      <c r="C4920" s="16" t="s">
        <v>5331</v>
      </c>
      <c r="D4920" s="12">
        <v>469</v>
      </c>
      <c r="E4920" s="12" t="s">
        <v>5332</v>
      </c>
      <c r="F4920" s="12" t="s">
        <v>5328</v>
      </c>
      <c r="G4920" s="12" t="s">
        <v>13775</v>
      </c>
      <c r="H4920" s="12">
        <v>175974</v>
      </c>
    </row>
    <row r="4921" spans="1:8">
      <c r="A4921" s="12" t="s">
        <v>13776</v>
      </c>
      <c r="B4921" s="13">
        <v>908.37</v>
      </c>
      <c r="C4921" s="16" t="s">
        <v>5331</v>
      </c>
      <c r="D4921" s="12">
        <v>2900</v>
      </c>
      <c r="E4921" s="12" t="s">
        <v>5332</v>
      </c>
      <c r="F4921" s="12" t="s">
        <v>5328</v>
      </c>
      <c r="G4921" s="12" t="s">
        <v>13777</v>
      </c>
      <c r="H4921" s="12">
        <v>202524</v>
      </c>
    </row>
    <row r="4922" spans="1:8">
      <c r="A4922" s="12" t="s">
        <v>13776</v>
      </c>
      <c r="B4922" s="13">
        <v>855.4</v>
      </c>
      <c r="C4922" s="16" t="s">
        <v>5331</v>
      </c>
      <c r="D4922" s="12">
        <v>2630</v>
      </c>
      <c r="E4922" s="12" t="s">
        <v>5332</v>
      </c>
      <c r="F4922" s="12" t="s">
        <v>5328</v>
      </c>
      <c r="G4922" s="12" t="s">
        <v>13778</v>
      </c>
      <c r="H4922" s="12">
        <v>166312</v>
      </c>
    </row>
    <row r="4923" spans="1:8">
      <c r="A4923" s="12" t="s">
        <v>13779</v>
      </c>
      <c r="B4923" s="13">
        <v>42.77</v>
      </c>
      <c r="C4923" s="16" t="s">
        <v>5331</v>
      </c>
      <c r="D4923" s="12">
        <v>473</v>
      </c>
      <c r="E4923" s="12" t="s">
        <v>5332</v>
      </c>
      <c r="F4923" s="12" t="s">
        <v>5328</v>
      </c>
      <c r="G4923" s="12" t="s">
        <v>13780</v>
      </c>
      <c r="H4923" s="12">
        <v>202525</v>
      </c>
    </row>
    <row r="4924" spans="1:8">
      <c r="A4924" s="12" t="s">
        <v>13779</v>
      </c>
      <c r="B4924" s="13">
        <v>37.25</v>
      </c>
      <c r="C4924" s="16" t="s">
        <v>5331</v>
      </c>
      <c r="D4924" s="12">
        <v>450</v>
      </c>
      <c r="E4924" s="12" t="s">
        <v>5332</v>
      </c>
      <c r="F4924" s="12" t="s">
        <v>5328</v>
      </c>
      <c r="G4924" s="12" t="s">
        <v>13781</v>
      </c>
      <c r="H4924" s="12">
        <v>166313</v>
      </c>
    </row>
    <row r="4925" spans="1:8">
      <c r="A4925" s="12" t="s">
        <v>13782</v>
      </c>
      <c r="B4925" s="13">
        <v>0</v>
      </c>
      <c r="C4925" s="16" t="s">
        <v>5331</v>
      </c>
      <c r="D4925" s="12">
        <v>475</v>
      </c>
      <c r="E4925" s="12" t="s">
        <v>5332</v>
      </c>
      <c r="F4925" s="12" t="s">
        <v>5328</v>
      </c>
      <c r="G4925" s="12" t="s">
        <v>13783</v>
      </c>
      <c r="H4925" s="12">
        <v>175977</v>
      </c>
    </row>
    <row r="4926" spans="1:8">
      <c r="A4926" s="12" t="s">
        <v>13784</v>
      </c>
      <c r="B4926" s="13">
        <v>39.270000000000003</v>
      </c>
      <c r="C4926" s="16" t="s">
        <v>5331</v>
      </c>
      <c r="D4926" s="12">
        <v>476</v>
      </c>
      <c r="E4926" s="12" t="s">
        <v>5332</v>
      </c>
      <c r="F4926" s="12" t="s">
        <v>5328</v>
      </c>
      <c r="G4926" s="12" t="s">
        <v>13785</v>
      </c>
      <c r="H4926" s="12">
        <v>175978</v>
      </c>
    </row>
    <row r="4927" spans="1:8">
      <c r="A4927" s="12" t="s">
        <v>13786</v>
      </c>
      <c r="B4927" s="13">
        <v>161.78</v>
      </c>
      <c r="C4927" s="16" t="s">
        <v>5331</v>
      </c>
      <c r="D4927" s="12">
        <v>502</v>
      </c>
      <c r="E4927" s="12" t="s">
        <v>5332</v>
      </c>
      <c r="F4927" s="12" t="s">
        <v>5328</v>
      </c>
      <c r="G4927" s="12" t="s">
        <v>13787</v>
      </c>
      <c r="H4927" s="12">
        <v>202526</v>
      </c>
    </row>
    <row r="4928" spans="1:8">
      <c r="A4928" s="12" t="s">
        <v>13786</v>
      </c>
      <c r="B4928" s="13">
        <v>127.71</v>
      </c>
      <c r="C4928" s="16" t="s">
        <v>5331</v>
      </c>
      <c r="D4928" s="12">
        <v>455</v>
      </c>
      <c r="E4928" s="12" t="s">
        <v>5332</v>
      </c>
      <c r="F4928" s="12" t="s">
        <v>5328</v>
      </c>
      <c r="G4928" s="12" t="s">
        <v>13788</v>
      </c>
      <c r="H4928" s="12">
        <v>166314</v>
      </c>
    </row>
    <row r="4929" spans="1:8">
      <c r="A4929" s="12" t="s">
        <v>13789</v>
      </c>
      <c r="B4929" s="13">
        <v>63.44</v>
      </c>
      <c r="C4929" s="16" t="s">
        <v>5331</v>
      </c>
      <c r="D4929" s="12">
        <v>480</v>
      </c>
      <c r="E4929" s="12" t="s">
        <v>5332</v>
      </c>
      <c r="F4929" s="12" t="s">
        <v>5328</v>
      </c>
      <c r="G4929" s="12" t="s">
        <v>13790</v>
      </c>
      <c r="H4929" s="12">
        <v>202527</v>
      </c>
    </row>
    <row r="4930" spans="1:8">
      <c r="A4930" s="12" t="s">
        <v>13789</v>
      </c>
      <c r="B4930" s="13">
        <v>63.44</v>
      </c>
      <c r="C4930" s="16" t="s">
        <v>5331</v>
      </c>
      <c r="D4930" s="12">
        <v>457</v>
      </c>
      <c r="E4930" s="12" t="s">
        <v>5332</v>
      </c>
      <c r="F4930" s="12" t="s">
        <v>5328</v>
      </c>
      <c r="G4930" s="12" t="s">
        <v>13791</v>
      </c>
      <c r="H4930" s="12">
        <v>166315</v>
      </c>
    </row>
    <row r="4931" spans="1:8">
      <c r="A4931" s="12" t="s">
        <v>13792</v>
      </c>
      <c r="B4931" s="13">
        <v>251.23</v>
      </c>
      <c r="C4931" s="16" t="s">
        <v>5331</v>
      </c>
      <c r="D4931" s="12">
        <v>718</v>
      </c>
      <c r="E4931" s="12" t="s">
        <v>5332</v>
      </c>
      <c r="F4931" s="12" t="s">
        <v>5328</v>
      </c>
      <c r="G4931" s="12" t="s">
        <v>13793</v>
      </c>
      <c r="H4931" s="12">
        <v>202528</v>
      </c>
    </row>
    <row r="4932" spans="1:8">
      <c r="A4932" s="12" t="s">
        <v>13792</v>
      </c>
      <c r="B4932" s="13">
        <v>251.49</v>
      </c>
      <c r="C4932" s="16" t="s">
        <v>5331</v>
      </c>
      <c r="D4932" s="12">
        <v>684</v>
      </c>
      <c r="E4932" s="12" t="s">
        <v>5332</v>
      </c>
      <c r="F4932" s="12" t="s">
        <v>5328</v>
      </c>
      <c r="G4932" s="12" t="s">
        <v>13794</v>
      </c>
      <c r="H4932" s="12">
        <v>166316</v>
      </c>
    </row>
    <row r="4933" spans="1:8">
      <c r="A4933" s="12" t="s">
        <v>13795</v>
      </c>
      <c r="B4933" s="13">
        <v>28.71</v>
      </c>
      <c r="C4933" s="16" t="s">
        <v>5331</v>
      </c>
      <c r="D4933" s="12">
        <v>483</v>
      </c>
      <c r="E4933" s="12" t="s">
        <v>5332</v>
      </c>
      <c r="F4933" s="12" t="s">
        <v>5328</v>
      </c>
      <c r="G4933" s="12" t="s">
        <v>13796</v>
      </c>
      <c r="H4933" s="12">
        <v>202529</v>
      </c>
    </row>
    <row r="4934" spans="1:8">
      <c r="A4934" s="12" t="s">
        <v>13795</v>
      </c>
      <c r="B4934" s="13">
        <v>27.02</v>
      </c>
      <c r="C4934" s="16" t="s">
        <v>5331</v>
      </c>
      <c r="D4934" s="12">
        <v>460</v>
      </c>
      <c r="E4934" s="12" t="s">
        <v>5332</v>
      </c>
      <c r="F4934" s="12" t="s">
        <v>5328</v>
      </c>
      <c r="G4934" s="12" t="s">
        <v>13797</v>
      </c>
      <c r="H4934" s="12">
        <v>166317</v>
      </c>
    </row>
    <row r="4935" spans="1:8">
      <c r="A4935" s="12" t="s">
        <v>13798</v>
      </c>
      <c r="B4935" s="14">
        <v>1951.71</v>
      </c>
      <c r="C4935" s="16" t="s">
        <v>5331</v>
      </c>
      <c r="D4935" s="12">
        <v>6652</v>
      </c>
      <c r="E4935" s="12" t="s">
        <v>5332</v>
      </c>
      <c r="F4935" s="12" t="s">
        <v>5328</v>
      </c>
      <c r="G4935" s="12" t="s">
        <v>13799</v>
      </c>
      <c r="H4935" s="12">
        <v>175983</v>
      </c>
    </row>
    <row r="4936" spans="1:8">
      <c r="A4936" s="12" t="s">
        <v>13800</v>
      </c>
      <c r="B4936" s="13">
        <v>0</v>
      </c>
      <c r="C4936" s="16" t="s">
        <v>5331</v>
      </c>
      <c r="D4936" s="12">
        <v>1917</v>
      </c>
      <c r="E4936" s="12" t="s">
        <v>5332</v>
      </c>
      <c r="F4936" s="12" t="s">
        <v>5328</v>
      </c>
      <c r="G4936" s="12" t="s">
        <v>13801</v>
      </c>
      <c r="H4936" s="12">
        <v>175984</v>
      </c>
    </row>
    <row r="4937" spans="1:8">
      <c r="A4937" s="12" t="s">
        <v>13802</v>
      </c>
      <c r="B4937" s="14">
        <v>1258.3</v>
      </c>
      <c r="C4937" s="16" t="s">
        <v>5331</v>
      </c>
      <c r="D4937" s="12">
        <v>2683</v>
      </c>
      <c r="E4937" s="12" t="s">
        <v>5332</v>
      </c>
      <c r="F4937" s="12" t="s">
        <v>5328</v>
      </c>
      <c r="G4937" s="12" t="s">
        <v>13803</v>
      </c>
      <c r="H4937" s="12">
        <v>202530</v>
      </c>
    </row>
    <row r="4938" spans="1:8">
      <c r="A4938" s="12" t="s">
        <v>13802</v>
      </c>
      <c r="B4938" s="13">
        <v>916.94</v>
      </c>
      <c r="C4938" s="16" t="s">
        <v>5331</v>
      </c>
      <c r="D4938" s="12">
        <v>2433</v>
      </c>
      <c r="E4938" s="12" t="s">
        <v>5332</v>
      </c>
      <c r="F4938" s="12" t="s">
        <v>5328</v>
      </c>
      <c r="G4938" s="12" t="s">
        <v>13804</v>
      </c>
      <c r="H4938" s="12">
        <v>166318</v>
      </c>
    </row>
    <row r="4939" spans="1:8">
      <c r="A4939" s="12" t="s">
        <v>13805</v>
      </c>
      <c r="B4939" s="14">
        <v>1669.02</v>
      </c>
      <c r="C4939" s="16" t="s">
        <v>5331</v>
      </c>
      <c r="D4939" s="12">
        <v>3445</v>
      </c>
      <c r="E4939" s="12" t="s">
        <v>5332</v>
      </c>
      <c r="F4939" s="12" t="s">
        <v>5328</v>
      </c>
      <c r="G4939" s="12" t="s">
        <v>13806</v>
      </c>
      <c r="H4939" s="12">
        <v>202531</v>
      </c>
    </row>
    <row r="4940" spans="1:8">
      <c r="A4940" s="12" t="s">
        <v>13805</v>
      </c>
      <c r="B4940" s="14">
        <v>1069.0999999999999</v>
      </c>
      <c r="C4940" s="16" t="s">
        <v>5331</v>
      </c>
      <c r="D4940" s="12">
        <v>3281</v>
      </c>
      <c r="E4940" s="12" t="s">
        <v>5332</v>
      </c>
      <c r="F4940" s="12" t="s">
        <v>5328</v>
      </c>
      <c r="G4940" s="12" t="s">
        <v>13807</v>
      </c>
      <c r="H4940" s="12">
        <v>166319</v>
      </c>
    </row>
    <row r="4941" spans="1:8">
      <c r="A4941" s="12" t="s">
        <v>13808</v>
      </c>
      <c r="B4941" s="14">
        <v>5438.48</v>
      </c>
      <c r="C4941" s="16" t="s">
        <v>5331</v>
      </c>
      <c r="D4941" s="12">
        <v>12859</v>
      </c>
      <c r="E4941" s="12" t="s">
        <v>5332</v>
      </c>
      <c r="F4941" s="12" t="s">
        <v>5328</v>
      </c>
      <c r="G4941" s="12" t="s">
        <v>13809</v>
      </c>
      <c r="H4941" s="12">
        <v>202532</v>
      </c>
    </row>
    <row r="4942" spans="1:8">
      <c r="A4942" s="12" t="s">
        <v>13808</v>
      </c>
      <c r="B4942" s="14">
        <v>3848.97</v>
      </c>
      <c r="C4942" s="16" t="s">
        <v>5331</v>
      </c>
      <c r="D4942" s="12">
        <v>12247</v>
      </c>
      <c r="E4942" s="12" t="s">
        <v>5332</v>
      </c>
      <c r="F4942" s="12" t="s">
        <v>5328</v>
      </c>
      <c r="G4942" s="12" t="s">
        <v>13810</v>
      </c>
      <c r="H4942" s="12">
        <v>166320</v>
      </c>
    </row>
    <row r="4943" spans="1:8">
      <c r="A4943" s="12" t="s">
        <v>13811</v>
      </c>
      <c r="B4943" s="13">
        <v>373.55</v>
      </c>
      <c r="C4943" s="16" t="s">
        <v>5331</v>
      </c>
      <c r="D4943" s="12">
        <v>1179</v>
      </c>
      <c r="E4943" s="12" t="s">
        <v>5332</v>
      </c>
      <c r="F4943" s="12" t="s">
        <v>5328</v>
      </c>
      <c r="G4943" s="12" t="s">
        <v>13812</v>
      </c>
      <c r="H4943" s="12">
        <v>202533</v>
      </c>
    </row>
    <row r="4944" spans="1:8">
      <c r="A4944" s="12" t="s">
        <v>13811</v>
      </c>
      <c r="B4944" s="13">
        <v>373.94</v>
      </c>
      <c r="C4944" s="16" t="s">
        <v>5331</v>
      </c>
      <c r="D4944" s="12">
        <v>1123</v>
      </c>
      <c r="E4944" s="12" t="s">
        <v>5332</v>
      </c>
      <c r="F4944" s="12" t="s">
        <v>5328</v>
      </c>
      <c r="G4944" s="12" t="s">
        <v>13813</v>
      </c>
      <c r="H4944" s="12">
        <v>166321</v>
      </c>
    </row>
    <row r="4945" spans="1:8">
      <c r="A4945" s="12" t="s">
        <v>13814</v>
      </c>
      <c r="B4945" s="13">
        <v>31.74</v>
      </c>
      <c r="C4945" s="16" t="s">
        <v>5331</v>
      </c>
      <c r="D4945" s="12">
        <v>522</v>
      </c>
      <c r="E4945" s="12" t="s">
        <v>5332</v>
      </c>
      <c r="F4945" s="12" t="s">
        <v>5328</v>
      </c>
      <c r="G4945" s="12" t="s">
        <v>13815</v>
      </c>
      <c r="H4945" s="12">
        <v>202534</v>
      </c>
    </row>
    <row r="4946" spans="1:8">
      <c r="A4946" s="12" t="s">
        <v>13814</v>
      </c>
      <c r="B4946" s="13">
        <v>29.88</v>
      </c>
      <c r="C4946" s="16" t="s">
        <v>5331</v>
      </c>
      <c r="D4946" s="12">
        <v>473</v>
      </c>
      <c r="E4946" s="12" t="s">
        <v>5332</v>
      </c>
      <c r="F4946" s="12" t="s">
        <v>5328</v>
      </c>
      <c r="G4946" s="12" t="s">
        <v>13816</v>
      </c>
      <c r="H4946" s="12">
        <v>166322</v>
      </c>
    </row>
    <row r="4947" spans="1:8">
      <c r="A4947" s="12" t="s">
        <v>13817</v>
      </c>
      <c r="B4947" s="14">
        <v>2198.8000000000002</v>
      </c>
      <c r="C4947" s="16" t="s">
        <v>5331</v>
      </c>
      <c r="D4947" s="12">
        <v>5452</v>
      </c>
      <c r="E4947" s="12" t="s">
        <v>5332</v>
      </c>
      <c r="F4947" s="12" t="s">
        <v>5328</v>
      </c>
      <c r="G4947" s="12" t="s">
        <v>13818</v>
      </c>
      <c r="H4947" s="12">
        <v>175990</v>
      </c>
    </row>
    <row r="4948" spans="1:8">
      <c r="A4948" s="12" t="s">
        <v>13819</v>
      </c>
      <c r="B4948" s="13">
        <v>133.77000000000001</v>
      </c>
      <c r="C4948" s="16" t="s">
        <v>5331</v>
      </c>
      <c r="D4948" s="12">
        <v>980</v>
      </c>
      <c r="E4948" s="12" t="s">
        <v>5332</v>
      </c>
      <c r="F4948" s="12" t="s">
        <v>5328</v>
      </c>
      <c r="G4948" s="12" t="s">
        <v>13820</v>
      </c>
      <c r="H4948" s="12">
        <v>202535</v>
      </c>
    </row>
    <row r="4949" spans="1:8">
      <c r="A4949" s="12" t="s">
        <v>13819</v>
      </c>
      <c r="B4949" s="13">
        <v>306.18</v>
      </c>
      <c r="C4949" s="16" t="s">
        <v>5331</v>
      </c>
      <c r="D4949" s="12">
        <v>933</v>
      </c>
      <c r="E4949" s="12" t="s">
        <v>5332</v>
      </c>
      <c r="F4949" s="12" t="s">
        <v>5328</v>
      </c>
      <c r="G4949" s="12" t="s">
        <v>13821</v>
      </c>
      <c r="H4949" s="12">
        <v>166323</v>
      </c>
    </row>
    <row r="4950" spans="1:8">
      <c r="A4950" s="12" t="s">
        <v>13822</v>
      </c>
      <c r="B4950" s="13">
        <v>988.35</v>
      </c>
      <c r="C4950" s="16" t="s">
        <v>5331</v>
      </c>
      <c r="D4950" s="12">
        <v>3278</v>
      </c>
      <c r="E4950" s="12" t="s">
        <v>5332</v>
      </c>
      <c r="F4950" s="12" t="s">
        <v>5328</v>
      </c>
      <c r="G4950" s="12" t="s">
        <v>13823</v>
      </c>
      <c r="H4950" s="12">
        <v>202536</v>
      </c>
    </row>
    <row r="4951" spans="1:8">
      <c r="A4951" s="12" t="s">
        <v>13822</v>
      </c>
      <c r="B4951" s="13">
        <v>969.08</v>
      </c>
      <c r="C4951" s="16" t="s">
        <v>5331</v>
      </c>
      <c r="D4951" s="12">
        <v>2973</v>
      </c>
      <c r="E4951" s="12" t="s">
        <v>5332</v>
      </c>
      <c r="F4951" s="12" t="s">
        <v>5328</v>
      </c>
      <c r="G4951" s="12" t="s">
        <v>13824</v>
      </c>
      <c r="H4951" s="12">
        <v>166324</v>
      </c>
    </row>
    <row r="4952" spans="1:8">
      <c r="A4952" s="12" t="s">
        <v>13825</v>
      </c>
      <c r="B4952" s="13">
        <v>279.16000000000003</v>
      </c>
      <c r="C4952" s="16" t="s">
        <v>5331</v>
      </c>
      <c r="D4952" s="12">
        <v>718</v>
      </c>
      <c r="E4952" s="12" t="s">
        <v>5332</v>
      </c>
      <c r="F4952" s="12" t="s">
        <v>5328</v>
      </c>
      <c r="G4952" s="12" t="s">
        <v>13826</v>
      </c>
      <c r="H4952" s="12">
        <v>202537</v>
      </c>
    </row>
    <row r="4953" spans="1:8">
      <c r="A4953" s="12" t="s">
        <v>13825</v>
      </c>
      <c r="B4953" s="13">
        <v>289.17</v>
      </c>
      <c r="C4953" s="16" t="s">
        <v>5331</v>
      </c>
      <c r="D4953" s="12">
        <v>684</v>
      </c>
      <c r="E4953" s="12" t="s">
        <v>5332</v>
      </c>
      <c r="F4953" s="12" t="s">
        <v>5328</v>
      </c>
      <c r="G4953" s="12" t="s">
        <v>13827</v>
      </c>
      <c r="H4953" s="12">
        <v>166325</v>
      </c>
    </row>
    <row r="4954" spans="1:8">
      <c r="A4954" s="12" t="s">
        <v>13828</v>
      </c>
      <c r="B4954" s="13">
        <v>733.49</v>
      </c>
      <c r="C4954" s="16" t="s">
        <v>5331</v>
      </c>
      <c r="D4954" s="12">
        <v>1313</v>
      </c>
      <c r="E4954" s="12" t="s">
        <v>5332</v>
      </c>
      <c r="F4954" s="12" t="s">
        <v>5328</v>
      </c>
      <c r="G4954" s="12" t="s">
        <v>13829</v>
      </c>
      <c r="H4954" s="12">
        <v>202538</v>
      </c>
    </row>
    <row r="4955" spans="1:8">
      <c r="A4955" s="12" t="s">
        <v>13828</v>
      </c>
      <c r="B4955" s="13">
        <v>690.72</v>
      </c>
      <c r="C4955" s="16" t="s">
        <v>5331</v>
      </c>
      <c r="D4955" s="12">
        <v>1250</v>
      </c>
      <c r="E4955" s="12" t="s">
        <v>5332</v>
      </c>
      <c r="F4955" s="12" t="s">
        <v>5328</v>
      </c>
      <c r="G4955" s="12" t="s">
        <v>13830</v>
      </c>
      <c r="H4955" s="12">
        <v>166326</v>
      </c>
    </row>
    <row r="4956" spans="1:8">
      <c r="A4956" s="12" t="s">
        <v>13831</v>
      </c>
      <c r="B4956" s="13">
        <v>6.12</v>
      </c>
      <c r="C4956" s="16" t="s">
        <v>5331</v>
      </c>
      <c r="D4956" s="12">
        <v>532</v>
      </c>
      <c r="E4956" s="12" t="s">
        <v>5332</v>
      </c>
      <c r="F4956" s="12" t="s">
        <v>5328</v>
      </c>
      <c r="G4956" s="12" t="s">
        <v>13832</v>
      </c>
      <c r="H4956" s="12">
        <v>202539</v>
      </c>
    </row>
    <row r="4957" spans="1:8">
      <c r="A4957" s="12" t="s">
        <v>13831</v>
      </c>
      <c r="B4957" s="13">
        <v>16.809999999999999</v>
      </c>
      <c r="C4957" s="16" t="s">
        <v>5331</v>
      </c>
      <c r="D4957" s="12">
        <v>483</v>
      </c>
      <c r="E4957" s="12" t="s">
        <v>5332</v>
      </c>
      <c r="F4957" s="12" t="s">
        <v>5328</v>
      </c>
      <c r="G4957" s="12" t="s">
        <v>13833</v>
      </c>
      <c r="H4957" s="12">
        <v>166327</v>
      </c>
    </row>
    <row r="4958" spans="1:8">
      <c r="A4958" s="12" t="s">
        <v>13834</v>
      </c>
      <c r="B4958" s="13">
        <v>182.35</v>
      </c>
      <c r="C4958" s="16" t="s">
        <v>5331</v>
      </c>
      <c r="D4958" s="12">
        <v>1588</v>
      </c>
      <c r="E4958" s="12" t="s">
        <v>5332</v>
      </c>
      <c r="F4958" s="12" t="s">
        <v>5328</v>
      </c>
      <c r="G4958" s="12" t="s">
        <v>13835</v>
      </c>
      <c r="H4958" s="12">
        <v>202540</v>
      </c>
    </row>
    <row r="4959" spans="1:8">
      <c r="A4959" s="12" t="s">
        <v>13834</v>
      </c>
      <c r="B4959" s="13">
        <v>488.44</v>
      </c>
      <c r="C4959" s="16" t="s">
        <v>5331</v>
      </c>
      <c r="D4959" s="12">
        <v>1512</v>
      </c>
      <c r="E4959" s="12" t="s">
        <v>5332</v>
      </c>
      <c r="F4959" s="12" t="s">
        <v>5328</v>
      </c>
      <c r="G4959" s="12" t="s">
        <v>13836</v>
      </c>
      <c r="H4959" s="12">
        <v>166328</v>
      </c>
    </row>
    <row r="4960" spans="1:8">
      <c r="A4960" s="12" t="s">
        <v>13837</v>
      </c>
      <c r="B4960" s="13">
        <v>58.23</v>
      </c>
      <c r="C4960" s="16" t="s">
        <v>5331</v>
      </c>
      <c r="D4960" s="12">
        <v>510</v>
      </c>
      <c r="E4960" s="12" t="s">
        <v>5332</v>
      </c>
      <c r="F4960" s="12" t="s">
        <v>5328</v>
      </c>
      <c r="G4960" s="12" t="s">
        <v>13838</v>
      </c>
      <c r="H4960" s="12">
        <v>202541</v>
      </c>
    </row>
    <row r="4961" spans="1:8">
      <c r="A4961" s="12" t="s">
        <v>13837</v>
      </c>
      <c r="B4961" s="13">
        <v>56.43</v>
      </c>
      <c r="C4961" s="16" t="s">
        <v>5331</v>
      </c>
      <c r="D4961" s="12">
        <v>486</v>
      </c>
      <c r="E4961" s="12" t="s">
        <v>5332</v>
      </c>
      <c r="F4961" s="12" t="s">
        <v>5328</v>
      </c>
      <c r="G4961" s="12" t="s">
        <v>13839</v>
      </c>
      <c r="H4961" s="12">
        <v>166329</v>
      </c>
    </row>
    <row r="4962" spans="1:8">
      <c r="A4962" s="12" t="s">
        <v>13840</v>
      </c>
      <c r="B4962" s="14">
        <v>1282.02</v>
      </c>
      <c r="C4962" s="16" t="s">
        <v>5331</v>
      </c>
      <c r="D4962" s="12">
        <v>4081</v>
      </c>
      <c r="E4962" s="12" t="s">
        <v>5332</v>
      </c>
      <c r="F4962" s="12" t="s">
        <v>5328</v>
      </c>
      <c r="G4962" s="12" t="s">
        <v>13841</v>
      </c>
      <c r="H4962" s="12">
        <v>202542</v>
      </c>
    </row>
    <row r="4963" spans="1:8">
      <c r="A4963" s="12" t="s">
        <v>13840</v>
      </c>
      <c r="B4963" s="14">
        <v>1207.24</v>
      </c>
      <c r="C4963" s="16" t="s">
        <v>5331</v>
      </c>
      <c r="D4963" s="12">
        <v>3702</v>
      </c>
      <c r="E4963" s="12" t="s">
        <v>5332</v>
      </c>
      <c r="F4963" s="12" t="s">
        <v>5328</v>
      </c>
      <c r="G4963" s="12" t="s">
        <v>13842</v>
      </c>
      <c r="H4963" s="12">
        <v>166330</v>
      </c>
    </row>
    <row r="4964" spans="1:8">
      <c r="A4964" s="12" t="s">
        <v>13843</v>
      </c>
      <c r="B4964" s="13">
        <v>8.67</v>
      </c>
      <c r="C4964" s="16" t="s">
        <v>5331</v>
      </c>
      <c r="D4964" s="12">
        <v>24.48</v>
      </c>
      <c r="E4964" s="12" t="s">
        <v>5332</v>
      </c>
      <c r="F4964" s="12" t="s">
        <v>5328</v>
      </c>
      <c r="G4964" s="12" t="s">
        <v>13844</v>
      </c>
      <c r="H4964" s="12">
        <v>175999</v>
      </c>
    </row>
    <row r="4965" spans="1:8">
      <c r="A4965" s="12" t="s">
        <v>13845</v>
      </c>
      <c r="B4965" s="13">
        <v>74.41</v>
      </c>
      <c r="C4965" s="16" t="s">
        <v>5331</v>
      </c>
      <c r="D4965" s="12">
        <v>516</v>
      </c>
      <c r="E4965" s="12" t="s">
        <v>5332</v>
      </c>
      <c r="F4965" s="12" t="s">
        <v>5328</v>
      </c>
      <c r="G4965" s="12" t="s">
        <v>13846</v>
      </c>
      <c r="H4965" s="12">
        <v>202543</v>
      </c>
    </row>
    <row r="4966" spans="1:8">
      <c r="A4966" s="12" t="s">
        <v>13845</v>
      </c>
      <c r="B4966" s="13">
        <v>70.08</v>
      </c>
      <c r="C4966" s="16" t="s">
        <v>5331</v>
      </c>
      <c r="D4966" s="12">
        <v>491</v>
      </c>
      <c r="E4966" s="12" t="s">
        <v>5332</v>
      </c>
      <c r="F4966" s="12" t="s">
        <v>5328</v>
      </c>
      <c r="G4966" s="12" t="s">
        <v>13847</v>
      </c>
      <c r="H4966" s="12">
        <v>166331</v>
      </c>
    </row>
    <row r="4967" spans="1:8">
      <c r="A4967" s="12" t="s">
        <v>13848</v>
      </c>
      <c r="B4967" s="13">
        <v>9.6</v>
      </c>
      <c r="C4967" s="16" t="s">
        <v>5331</v>
      </c>
      <c r="D4967" s="12">
        <v>543</v>
      </c>
      <c r="E4967" s="12" t="s">
        <v>5332</v>
      </c>
      <c r="F4967" s="12" t="s">
        <v>5328</v>
      </c>
      <c r="G4967" s="12" t="s">
        <v>13849</v>
      </c>
      <c r="H4967" s="12">
        <v>202544</v>
      </c>
    </row>
    <row r="4968" spans="1:8">
      <c r="A4968" s="12" t="s">
        <v>13848</v>
      </c>
      <c r="B4968" s="13">
        <v>18.97</v>
      </c>
      <c r="C4968" s="16" t="s">
        <v>5331</v>
      </c>
      <c r="D4968" s="12">
        <v>492</v>
      </c>
      <c r="E4968" s="12" t="s">
        <v>5332</v>
      </c>
      <c r="F4968" s="12" t="s">
        <v>5328</v>
      </c>
      <c r="G4968" s="12" t="s">
        <v>13850</v>
      </c>
      <c r="H4968" s="12">
        <v>166332</v>
      </c>
    </row>
    <row r="4969" spans="1:8">
      <c r="A4969" s="12" t="s">
        <v>13851</v>
      </c>
      <c r="B4969" s="13">
        <v>106.31</v>
      </c>
      <c r="C4969" s="16" t="s">
        <v>5331</v>
      </c>
      <c r="D4969" s="12">
        <v>519</v>
      </c>
      <c r="E4969" s="12" t="s">
        <v>5332</v>
      </c>
      <c r="F4969" s="12" t="s">
        <v>5328</v>
      </c>
      <c r="G4969" s="12" t="s">
        <v>13852</v>
      </c>
      <c r="H4969" s="12">
        <v>202545</v>
      </c>
    </row>
    <row r="4970" spans="1:8">
      <c r="A4970" s="12" t="s">
        <v>13851</v>
      </c>
      <c r="B4970" s="13">
        <v>100.1</v>
      </c>
      <c r="C4970" s="16" t="s">
        <v>5331</v>
      </c>
      <c r="D4970" s="12">
        <v>494</v>
      </c>
      <c r="E4970" s="12" t="s">
        <v>5332</v>
      </c>
      <c r="F4970" s="12" t="s">
        <v>5328</v>
      </c>
      <c r="G4970" s="12" t="s">
        <v>13853</v>
      </c>
      <c r="H4970" s="12">
        <v>166333</v>
      </c>
    </row>
    <row r="4971" spans="1:8">
      <c r="A4971" s="12" t="s">
        <v>13854</v>
      </c>
      <c r="B4971" s="13">
        <v>0</v>
      </c>
      <c r="C4971" s="16" t="s">
        <v>5331</v>
      </c>
      <c r="D4971" s="12">
        <v>878</v>
      </c>
      <c r="E4971" s="12" t="s">
        <v>5332</v>
      </c>
      <c r="F4971" s="12" t="s">
        <v>5328</v>
      </c>
      <c r="G4971" s="12" t="s">
        <v>13855</v>
      </c>
      <c r="H4971" s="12">
        <v>202546</v>
      </c>
    </row>
    <row r="4972" spans="1:8">
      <c r="A4972" s="12" t="s">
        <v>13854</v>
      </c>
      <c r="B4972" s="13">
        <v>266.70999999999998</v>
      </c>
      <c r="C4972" s="16" t="s">
        <v>5331</v>
      </c>
      <c r="D4972" s="12">
        <v>836</v>
      </c>
      <c r="E4972" s="12" t="s">
        <v>5332</v>
      </c>
      <c r="F4972" s="12" t="s">
        <v>5328</v>
      </c>
      <c r="G4972" s="12" t="s">
        <v>13856</v>
      </c>
      <c r="H4972" s="12">
        <v>166334</v>
      </c>
    </row>
    <row r="4973" spans="1:8">
      <c r="A4973" s="12" t="s">
        <v>13857</v>
      </c>
      <c r="B4973" s="13">
        <v>33.47</v>
      </c>
      <c r="C4973" s="16" t="s">
        <v>5331</v>
      </c>
      <c r="D4973" s="12">
        <v>522</v>
      </c>
      <c r="E4973" s="12" t="s">
        <v>5332</v>
      </c>
      <c r="F4973" s="12" t="s">
        <v>5328</v>
      </c>
      <c r="G4973" s="12" t="s">
        <v>13858</v>
      </c>
      <c r="H4973" s="12">
        <v>202547</v>
      </c>
    </row>
    <row r="4974" spans="1:8">
      <c r="A4974" s="12" t="s">
        <v>13857</v>
      </c>
      <c r="B4974" s="13">
        <v>47.15</v>
      </c>
      <c r="C4974" s="16" t="s">
        <v>5331</v>
      </c>
      <c r="D4974" s="12">
        <v>497</v>
      </c>
      <c r="E4974" s="12" t="s">
        <v>5332</v>
      </c>
      <c r="F4974" s="12" t="s">
        <v>5328</v>
      </c>
      <c r="G4974" s="12" t="s">
        <v>13859</v>
      </c>
      <c r="H4974" s="12">
        <v>166335</v>
      </c>
    </row>
    <row r="4975" spans="1:8">
      <c r="A4975" s="12" t="s">
        <v>13860</v>
      </c>
      <c r="B4975" s="13">
        <v>32.15</v>
      </c>
      <c r="C4975" s="16" t="s">
        <v>5331</v>
      </c>
      <c r="D4975" s="12">
        <v>525</v>
      </c>
      <c r="E4975" s="12" t="s">
        <v>5332</v>
      </c>
      <c r="F4975" s="12" t="s">
        <v>5328</v>
      </c>
      <c r="G4975" s="12" t="s">
        <v>13861</v>
      </c>
      <c r="H4975" s="12">
        <v>202548</v>
      </c>
    </row>
    <row r="4976" spans="1:8">
      <c r="A4976" s="12" t="s">
        <v>13860</v>
      </c>
      <c r="B4976" s="13">
        <v>18.34</v>
      </c>
      <c r="C4976" s="16" t="s">
        <v>5331</v>
      </c>
      <c r="D4976" s="12">
        <v>500</v>
      </c>
      <c r="E4976" s="12" t="s">
        <v>5332</v>
      </c>
      <c r="F4976" s="12" t="s">
        <v>5328</v>
      </c>
      <c r="G4976" s="12" t="s">
        <v>13862</v>
      </c>
      <c r="H4976" s="12">
        <v>166336</v>
      </c>
    </row>
    <row r="4977" spans="1:8">
      <c r="A4977" s="12" t="s">
        <v>13863</v>
      </c>
      <c r="B4977" s="13">
        <v>148.77000000000001</v>
      </c>
      <c r="C4977" s="16" t="s">
        <v>5331</v>
      </c>
      <c r="D4977" s="12">
        <v>553</v>
      </c>
      <c r="E4977" s="12" t="s">
        <v>5332</v>
      </c>
      <c r="F4977" s="12" t="s">
        <v>5328</v>
      </c>
      <c r="G4977" s="12" t="s">
        <v>13864</v>
      </c>
      <c r="H4977" s="12">
        <v>202549</v>
      </c>
    </row>
    <row r="4978" spans="1:8">
      <c r="A4978" s="12" t="s">
        <v>13863</v>
      </c>
      <c r="B4978" s="13">
        <v>120.12</v>
      </c>
      <c r="C4978" s="16" t="s">
        <v>5331</v>
      </c>
      <c r="D4978" s="12">
        <v>502</v>
      </c>
      <c r="E4978" s="12" t="s">
        <v>5332</v>
      </c>
      <c r="F4978" s="12" t="s">
        <v>5328</v>
      </c>
      <c r="G4978" s="12" t="s">
        <v>13865</v>
      </c>
      <c r="H4978" s="12">
        <v>166337</v>
      </c>
    </row>
    <row r="4979" spans="1:8">
      <c r="A4979" s="12" t="s">
        <v>13866</v>
      </c>
      <c r="B4979" s="13">
        <v>12.18</v>
      </c>
      <c r="C4979" s="16" t="s">
        <v>5331</v>
      </c>
      <c r="D4979" s="12">
        <v>554</v>
      </c>
      <c r="E4979" s="12" t="s">
        <v>5332</v>
      </c>
      <c r="F4979" s="12" t="s">
        <v>5328</v>
      </c>
      <c r="G4979" s="12" t="s">
        <v>13867</v>
      </c>
      <c r="H4979" s="12">
        <v>202550</v>
      </c>
    </row>
    <row r="4980" spans="1:8">
      <c r="A4980" s="12" t="s">
        <v>13866</v>
      </c>
      <c r="B4980" s="13">
        <v>10.38</v>
      </c>
      <c r="C4980" s="16" t="s">
        <v>5331</v>
      </c>
      <c r="D4980" s="12">
        <v>503</v>
      </c>
      <c r="E4980" s="12" t="s">
        <v>5332</v>
      </c>
      <c r="F4980" s="12" t="s">
        <v>5328</v>
      </c>
      <c r="G4980" s="12" t="s">
        <v>13868</v>
      </c>
      <c r="H4980" s="12">
        <v>166338</v>
      </c>
    </row>
    <row r="4981" spans="1:8">
      <c r="A4981" s="12" t="s">
        <v>13869</v>
      </c>
      <c r="B4981" s="13">
        <v>721.75</v>
      </c>
      <c r="C4981" s="16" t="s">
        <v>5331</v>
      </c>
      <c r="D4981" s="12">
        <v>1735</v>
      </c>
      <c r="E4981" s="12" t="s">
        <v>5332</v>
      </c>
      <c r="F4981" s="12" t="s">
        <v>5328</v>
      </c>
      <c r="G4981" s="12" t="s">
        <v>13870</v>
      </c>
      <c r="H4981" s="12">
        <v>202551</v>
      </c>
    </row>
    <row r="4982" spans="1:8">
      <c r="A4982" s="12" t="s">
        <v>13869</v>
      </c>
      <c r="B4982" s="13">
        <v>508.48</v>
      </c>
      <c r="C4982" s="16" t="s">
        <v>5331</v>
      </c>
      <c r="D4982" s="12">
        <v>1573</v>
      </c>
      <c r="E4982" s="12" t="s">
        <v>5332</v>
      </c>
      <c r="F4982" s="12" t="s">
        <v>5328</v>
      </c>
      <c r="G4982" s="12" t="s">
        <v>13871</v>
      </c>
      <c r="H4982" s="12">
        <v>166339</v>
      </c>
    </row>
    <row r="4983" spans="1:8">
      <c r="A4983" s="12" t="s">
        <v>13872</v>
      </c>
      <c r="B4983" s="13">
        <v>11.45</v>
      </c>
      <c r="C4983" s="16" t="s">
        <v>5331</v>
      </c>
      <c r="D4983" s="12">
        <v>559</v>
      </c>
      <c r="E4983" s="12" t="s">
        <v>5332</v>
      </c>
      <c r="F4983" s="12" t="s">
        <v>5328</v>
      </c>
      <c r="G4983" s="12" t="s">
        <v>13873</v>
      </c>
      <c r="H4983" s="12">
        <v>202552</v>
      </c>
    </row>
    <row r="4984" spans="1:8">
      <c r="A4984" s="12" t="s">
        <v>13872</v>
      </c>
      <c r="B4984" s="13">
        <v>9.8699999999999992</v>
      </c>
      <c r="C4984" s="16" t="s">
        <v>5331</v>
      </c>
      <c r="D4984" s="12">
        <v>507</v>
      </c>
      <c r="E4984" s="12" t="s">
        <v>5332</v>
      </c>
      <c r="F4984" s="12" t="s">
        <v>5328</v>
      </c>
      <c r="G4984" s="12" t="s">
        <v>13874</v>
      </c>
      <c r="H4984" s="12">
        <v>166340</v>
      </c>
    </row>
    <row r="4985" spans="1:8">
      <c r="A4985" s="12" t="s">
        <v>13875</v>
      </c>
      <c r="B4985" s="13">
        <v>14.2</v>
      </c>
      <c r="C4985" s="16" t="s">
        <v>5331</v>
      </c>
      <c r="D4985" s="12">
        <v>533</v>
      </c>
      <c r="E4985" s="12" t="s">
        <v>5332</v>
      </c>
      <c r="F4985" s="12" t="s">
        <v>5328</v>
      </c>
      <c r="G4985" s="12" t="s">
        <v>13876</v>
      </c>
      <c r="H4985" s="12">
        <v>202553</v>
      </c>
    </row>
    <row r="4986" spans="1:8">
      <c r="A4986" s="12" t="s">
        <v>13875</v>
      </c>
      <c r="B4986" s="13">
        <v>16.16</v>
      </c>
      <c r="C4986" s="16" t="s">
        <v>5331</v>
      </c>
      <c r="D4986" s="12">
        <v>508</v>
      </c>
      <c r="E4986" s="12" t="s">
        <v>5332</v>
      </c>
      <c r="F4986" s="12" t="s">
        <v>5328</v>
      </c>
      <c r="G4986" s="12" t="s">
        <v>13877</v>
      </c>
      <c r="H4986" s="12">
        <v>166341</v>
      </c>
    </row>
    <row r="4987" spans="1:8">
      <c r="A4987" s="12" t="s">
        <v>13878</v>
      </c>
      <c r="B4987" s="13">
        <v>14.2</v>
      </c>
      <c r="C4987" s="16" t="s">
        <v>5331</v>
      </c>
      <c r="D4987" s="12">
        <v>536</v>
      </c>
      <c r="E4987" s="12" t="s">
        <v>5332</v>
      </c>
      <c r="F4987" s="12" t="s">
        <v>5328</v>
      </c>
      <c r="G4987" s="12" t="s">
        <v>13879</v>
      </c>
      <c r="H4987" s="12">
        <v>202554</v>
      </c>
    </row>
    <row r="4988" spans="1:8">
      <c r="A4988" s="12" t="s">
        <v>13878</v>
      </c>
      <c r="B4988" s="13">
        <v>14</v>
      </c>
      <c r="C4988" s="16" t="s">
        <v>5331</v>
      </c>
      <c r="D4988" s="12">
        <v>510</v>
      </c>
      <c r="E4988" s="12" t="s">
        <v>5332</v>
      </c>
      <c r="F4988" s="12" t="s">
        <v>5328</v>
      </c>
      <c r="G4988" s="12" t="s">
        <v>13880</v>
      </c>
      <c r="H4988" s="12">
        <v>166342</v>
      </c>
    </row>
    <row r="4989" spans="1:8">
      <c r="A4989" s="12" t="s">
        <v>13881</v>
      </c>
      <c r="B4989" s="13">
        <v>0</v>
      </c>
      <c r="C4989" s="16" t="s">
        <v>5331</v>
      </c>
      <c r="D4989" s="12">
        <v>538</v>
      </c>
      <c r="E4989" s="12" t="s">
        <v>5332</v>
      </c>
      <c r="F4989" s="12" t="s">
        <v>5328</v>
      </c>
      <c r="G4989" s="12" t="s">
        <v>13882</v>
      </c>
      <c r="H4989" s="12">
        <v>176012</v>
      </c>
    </row>
    <row r="4990" spans="1:8">
      <c r="A4990" s="12" t="s">
        <v>13883</v>
      </c>
      <c r="B4990" s="13">
        <v>7.43</v>
      </c>
      <c r="C4990" s="16" t="s">
        <v>5331</v>
      </c>
      <c r="D4990" s="12">
        <v>20.97</v>
      </c>
      <c r="E4990" s="12" t="s">
        <v>5332</v>
      </c>
      <c r="F4990" s="12" t="s">
        <v>5328</v>
      </c>
      <c r="G4990" s="12" t="s">
        <v>13884</v>
      </c>
      <c r="H4990" s="12">
        <v>176013</v>
      </c>
    </row>
    <row r="4991" spans="1:8">
      <c r="A4991" s="12" t="s">
        <v>13885</v>
      </c>
      <c r="B4991" s="13">
        <v>693.69</v>
      </c>
      <c r="C4991" s="16" t="s">
        <v>5331</v>
      </c>
      <c r="D4991" s="12">
        <v>2027</v>
      </c>
      <c r="E4991" s="12" t="s">
        <v>5332</v>
      </c>
      <c r="F4991" s="12" t="s">
        <v>5328</v>
      </c>
      <c r="G4991" s="12" t="s">
        <v>13886</v>
      </c>
      <c r="H4991" s="12">
        <v>202555</v>
      </c>
    </row>
    <row r="4992" spans="1:8">
      <c r="A4992" s="12" t="s">
        <v>13885</v>
      </c>
      <c r="B4992" s="13">
        <v>547.94000000000005</v>
      </c>
      <c r="C4992" s="16" t="s">
        <v>5331</v>
      </c>
      <c r="D4992" s="12">
        <v>1930</v>
      </c>
      <c r="E4992" s="12" t="s">
        <v>5332</v>
      </c>
      <c r="F4992" s="12" t="s">
        <v>5328</v>
      </c>
      <c r="G4992" s="12" t="s">
        <v>13887</v>
      </c>
      <c r="H4992" s="12">
        <v>166343</v>
      </c>
    </row>
    <row r="4993" spans="1:8">
      <c r="A4993" s="12" t="s">
        <v>13888</v>
      </c>
      <c r="B4993" s="13">
        <v>0</v>
      </c>
      <c r="C4993" s="16" t="s">
        <v>5331</v>
      </c>
      <c r="D4993" s="12">
        <v>1847</v>
      </c>
      <c r="E4993" s="12" t="s">
        <v>5332</v>
      </c>
      <c r="F4993" s="12" t="s">
        <v>5328</v>
      </c>
      <c r="G4993" s="12" t="s">
        <v>13889</v>
      </c>
      <c r="H4993" s="12">
        <v>176014</v>
      </c>
    </row>
    <row r="4994" spans="1:8">
      <c r="A4994" s="12" t="s">
        <v>13890</v>
      </c>
      <c r="B4994" s="14">
        <v>1966.61</v>
      </c>
      <c r="C4994" s="16" t="s">
        <v>5331</v>
      </c>
      <c r="D4994" s="12">
        <v>6082</v>
      </c>
      <c r="E4994" s="12" t="s">
        <v>5332</v>
      </c>
      <c r="F4994" s="12" t="s">
        <v>5328</v>
      </c>
      <c r="G4994" s="12" t="s">
        <v>13891</v>
      </c>
      <c r="H4994" s="12">
        <v>202556</v>
      </c>
    </row>
    <row r="4995" spans="1:8">
      <c r="A4995" s="12" t="s">
        <v>13890</v>
      </c>
      <c r="B4995" s="14">
        <v>1851.91</v>
      </c>
      <c r="C4995" s="16" t="s">
        <v>5331</v>
      </c>
      <c r="D4995" s="12">
        <v>5516</v>
      </c>
      <c r="E4995" s="12" t="s">
        <v>5332</v>
      </c>
      <c r="F4995" s="12" t="s">
        <v>5328</v>
      </c>
      <c r="G4995" s="12" t="s">
        <v>13892</v>
      </c>
      <c r="H4995" s="12">
        <v>166344</v>
      </c>
    </row>
    <row r="4996" spans="1:8">
      <c r="A4996" s="12" t="s">
        <v>13893</v>
      </c>
      <c r="B4996" s="14">
        <v>8077.98</v>
      </c>
      <c r="C4996" s="16" t="s">
        <v>5331</v>
      </c>
      <c r="D4996" s="12">
        <v>15347</v>
      </c>
      <c r="E4996" s="12" t="s">
        <v>5332</v>
      </c>
      <c r="F4996" s="12" t="s">
        <v>5328</v>
      </c>
      <c r="G4996" s="12" t="s">
        <v>13894</v>
      </c>
      <c r="H4996" s="12">
        <v>202557</v>
      </c>
    </row>
    <row r="4997" spans="1:8">
      <c r="A4997" s="12" t="s">
        <v>13893</v>
      </c>
      <c r="B4997" s="14">
        <v>7606.84</v>
      </c>
      <c r="C4997" s="16" t="s">
        <v>5331</v>
      </c>
      <c r="D4997" s="12">
        <v>13920</v>
      </c>
      <c r="E4997" s="12" t="s">
        <v>5332</v>
      </c>
      <c r="F4997" s="12" t="s">
        <v>5328</v>
      </c>
      <c r="G4997" s="12" t="s">
        <v>13895</v>
      </c>
      <c r="H4997" s="12">
        <v>166345</v>
      </c>
    </row>
    <row r="4998" spans="1:8">
      <c r="A4998" s="12" t="s">
        <v>13896</v>
      </c>
      <c r="B4998" s="14">
        <v>8664.7900000000009</v>
      </c>
      <c r="C4998" s="16" t="s">
        <v>5331</v>
      </c>
      <c r="D4998" s="12">
        <v>27787</v>
      </c>
      <c r="E4998" s="12" t="s">
        <v>5332</v>
      </c>
      <c r="F4998" s="12" t="s">
        <v>5328</v>
      </c>
      <c r="G4998" s="12" t="s">
        <v>13897</v>
      </c>
      <c r="H4998" s="12">
        <v>202558</v>
      </c>
    </row>
    <row r="4999" spans="1:8">
      <c r="A4999" s="12" t="s">
        <v>13896</v>
      </c>
      <c r="B4999" s="14">
        <v>6132.32</v>
      </c>
      <c r="C4999" s="16" t="s">
        <v>5331</v>
      </c>
      <c r="D4999" s="12">
        <v>26464</v>
      </c>
      <c r="E4999" s="12" t="s">
        <v>5332</v>
      </c>
      <c r="F4999" s="12" t="s">
        <v>5328</v>
      </c>
      <c r="G4999" s="12" t="s">
        <v>13898</v>
      </c>
      <c r="H4999" s="12">
        <v>166346</v>
      </c>
    </row>
    <row r="5000" spans="1:8">
      <c r="A5000" s="12" t="s">
        <v>13899</v>
      </c>
      <c r="B5000" s="13">
        <v>875</v>
      </c>
      <c r="C5000" s="16" t="s">
        <v>5331</v>
      </c>
      <c r="D5000" s="12">
        <v>3398</v>
      </c>
      <c r="E5000" s="12" t="s">
        <v>5332</v>
      </c>
      <c r="F5000" s="12" t="s">
        <v>5328</v>
      </c>
      <c r="G5000" s="12" t="s">
        <v>13900</v>
      </c>
      <c r="H5000" s="12">
        <v>202559</v>
      </c>
    </row>
    <row r="5001" spans="1:8">
      <c r="A5001" s="12" t="s">
        <v>13899</v>
      </c>
      <c r="B5001" s="13">
        <v>875</v>
      </c>
      <c r="C5001" s="16" t="s">
        <v>5331</v>
      </c>
      <c r="D5001" s="12">
        <v>3082</v>
      </c>
      <c r="E5001" s="12" t="s">
        <v>5332</v>
      </c>
      <c r="F5001" s="12" t="s">
        <v>5328</v>
      </c>
      <c r="G5001" s="12" t="s">
        <v>13901</v>
      </c>
      <c r="H5001" s="12">
        <v>166347</v>
      </c>
    </row>
    <row r="5002" spans="1:8">
      <c r="A5002" s="12" t="s">
        <v>13902</v>
      </c>
      <c r="B5002" s="13">
        <v>235.03</v>
      </c>
      <c r="C5002" s="16" t="s">
        <v>5331</v>
      </c>
      <c r="D5002" s="12">
        <v>1104</v>
      </c>
      <c r="E5002" s="12" t="s">
        <v>5332</v>
      </c>
      <c r="F5002" s="12" t="s">
        <v>5328</v>
      </c>
      <c r="G5002" s="12" t="s">
        <v>13903</v>
      </c>
      <c r="H5002" s="12">
        <v>202560</v>
      </c>
    </row>
    <row r="5003" spans="1:8">
      <c r="A5003" s="12" t="s">
        <v>13904</v>
      </c>
      <c r="B5003" s="13">
        <v>292.32</v>
      </c>
      <c r="C5003" s="16" t="s">
        <v>5331</v>
      </c>
      <c r="D5003" s="12">
        <v>1001</v>
      </c>
      <c r="E5003" s="12" t="s">
        <v>5332</v>
      </c>
      <c r="F5003" s="12" t="s">
        <v>5328</v>
      </c>
      <c r="G5003" s="12" t="s">
        <v>13905</v>
      </c>
      <c r="H5003" s="12">
        <v>166131</v>
      </c>
    </row>
    <row r="5004" spans="1:8">
      <c r="A5004" s="12" t="s">
        <v>13906</v>
      </c>
      <c r="B5004" s="13">
        <v>17.170000000000002</v>
      </c>
      <c r="C5004" s="16" t="s">
        <v>5331</v>
      </c>
      <c r="D5004" s="12">
        <v>553</v>
      </c>
      <c r="E5004" s="12" t="s">
        <v>5332</v>
      </c>
      <c r="F5004" s="12" t="s">
        <v>5328</v>
      </c>
      <c r="G5004" s="12" t="s">
        <v>13907</v>
      </c>
      <c r="H5004" s="12">
        <v>202561</v>
      </c>
    </row>
    <row r="5005" spans="1:8">
      <c r="A5005" s="12" t="s">
        <v>13906</v>
      </c>
      <c r="B5005" s="13">
        <v>16.16</v>
      </c>
      <c r="C5005" s="16" t="s">
        <v>5331</v>
      </c>
      <c r="D5005" s="12">
        <v>527</v>
      </c>
      <c r="E5005" s="12" t="s">
        <v>5332</v>
      </c>
      <c r="F5005" s="12" t="s">
        <v>5328</v>
      </c>
      <c r="G5005" s="12" t="s">
        <v>13908</v>
      </c>
      <c r="H5005" s="12">
        <v>166348</v>
      </c>
    </row>
    <row r="5006" spans="1:8">
      <c r="A5006" s="12" t="s">
        <v>13909</v>
      </c>
      <c r="B5006" s="13">
        <v>20.190000000000001</v>
      </c>
      <c r="C5006" s="16" t="s">
        <v>5331</v>
      </c>
      <c r="D5006" s="12">
        <v>554</v>
      </c>
      <c r="E5006" s="12" t="s">
        <v>5332</v>
      </c>
      <c r="F5006" s="12" t="s">
        <v>5328</v>
      </c>
      <c r="G5006" s="12" t="s">
        <v>13910</v>
      </c>
      <c r="H5006" s="12">
        <v>202562</v>
      </c>
    </row>
    <row r="5007" spans="1:8">
      <c r="A5007" s="12" t="s">
        <v>13909</v>
      </c>
      <c r="B5007" s="13">
        <v>19</v>
      </c>
      <c r="C5007" s="16" t="s">
        <v>5331</v>
      </c>
      <c r="D5007" s="12">
        <v>528</v>
      </c>
      <c r="E5007" s="12" t="s">
        <v>5332</v>
      </c>
      <c r="F5007" s="12" t="s">
        <v>5328</v>
      </c>
      <c r="G5007" s="12" t="s">
        <v>13911</v>
      </c>
      <c r="H5007" s="12">
        <v>166349</v>
      </c>
    </row>
    <row r="5008" spans="1:8">
      <c r="A5008" s="12" t="s">
        <v>13912</v>
      </c>
      <c r="B5008" s="13">
        <v>38.81</v>
      </c>
      <c r="C5008" s="16" t="s">
        <v>5331</v>
      </c>
      <c r="D5008" s="12">
        <v>557</v>
      </c>
      <c r="E5008" s="12" t="s">
        <v>5332</v>
      </c>
      <c r="F5008" s="12" t="s">
        <v>5328</v>
      </c>
      <c r="G5008" s="12" t="s">
        <v>13913</v>
      </c>
      <c r="H5008" s="12">
        <v>202563</v>
      </c>
    </row>
    <row r="5009" spans="1:8">
      <c r="A5009" s="12" t="s">
        <v>13912</v>
      </c>
      <c r="B5009" s="13">
        <v>16.329999999999998</v>
      </c>
      <c r="C5009" s="16" t="s">
        <v>5331</v>
      </c>
      <c r="D5009" s="12">
        <v>530</v>
      </c>
      <c r="E5009" s="12" t="s">
        <v>5332</v>
      </c>
      <c r="F5009" s="12" t="s">
        <v>5328</v>
      </c>
      <c r="G5009" s="12" t="s">
        <v>13914</v>
      </c>
      <c r="H5009" s="12">
        <v>166350</v>
      </c>
    </row>
    <row r="5010" spans="1:8">
      <c r="A5010" s="12" t="s">
        <v>13915</v>
      </c>
      <c r="B5010" s="13">
        <v>23.73</v>
      </c>
      <c r="C5010" s="16" t="s">
        <v>5331</v>
      </c>
      <c r="D5010" s="12">
        <v>89</v>
      </c>
      <c r="E5010" s="12" t="s">
        <v>5332</v>
      </c>
      <c r="F5010" s="12" t="s">
        <v>5328</v>
      </c>
      <c r="G5010" s="12" t="s">
        <v>13916</v>
      </c>
      <c r="H5010" s="12">
        <v>202564</v>
      </c>
    </row>
    <row r="5011" spans="1:8">
      <c r="A5011" s="12" t="s">
        <v>13915</v>
      </c>
      <c r="B5011" s="13">
        <v>14.52</v>
      </c>
      <c r="C5011" s="16" t="s">
        <v>5331</v>
      </c>
      <c r="D5011" s="12">
        <v>81</v>
      </c>
      <c r="E5011" s="12" t="s">
        <v>5332</v>
      </c>
      <c r="F5011" s="12" t="s">
        <v>5328</v>
      </c>
      <c r="G5011" s="12" t="s">
        <v>13917</v>
      </c>
      <c r="H5011" s="12">
        <v>166351</v>
      </c>
    </row>
    <row r="5012" spans="1:8">
      <c r="A5012" s="12" t="s">
        <v>13918</v>
      </c>
      <c r="B5012" s="13">
        <v>23.73</v>
      </c>
      <c r="C5012" s="16" t="s">
        <v>5331</v>
      </c>
      <c r="D5012" s="12">
        <v>90</v>
      </c>
      <c r="E5012" s="12" t="s">
        <v>5332</v>
      </c>
      <c r="F5012" s="12" t="s">
        <v>5328</v>
      </c>
      <c r="G5012" s="12" t="s">
        <v>13919</v>
      </c>
      <c r="H5012" s="12">
        <v>202565</v>
      </c>
    </row>
    <row r="5013" spans="1:8">
      <c r="A5013" s="12" t="s">
        <v>13918</v>
      </c>
      <c r="B5013" s="13">
        <v>14.6</v>
      </c>
      <c r="C5013" s="16" t="s">
        <v>5331</v>
      </c>
      <c r="D5013" s="12">
        <v>82</v>
      </c>
      <c r="E5013" s="12" t="s">
        <v>5332</v>
      </c>
      <c r="F5013" s="12" t="s">
        <v>5328</v>
      </c>
      <c r="G5013" s="12" t="s">
        <v>13920</v>
      </c>
      <c r="H5013" s="12">
        <v>166352</v>
      </c>
    </row>
    <row r="5014" spans="1:8">
      <c r="A5014" s="12" t="s">
        <v>13921</v>
      </c>
      <c r="B5014" s="13">
        <v>66.599999999999994</v>
      </c>
      <c r="C5014" s="16" t="s">
        <v>5331</v>
      </c>
      <c r="D5014" s="12">
        <v>280</v>
      </c>
      <c r="E5014" s="12" t="s">
        <v>5332</v>
      </c>
      <c r="F5014" s="12" t="s">
        <v>5328</v>
      </c>
      <c r="G5014" s="12" t="s">
        <v>13922</v>
      </c>
      <c r="H5014" s="12">
        <v>176024</v>
      </c>
    </row>
    <row r="5015" spans="1:8">
      <c r="A5015" s="12" t="s">
        <v>13923</v>
      </c>
      <c r="B5015" s="13">
        <v>83.94</v>
      </c>
      <c r="C5015" s="16" t="s">
        <v>5331</v>
      </c>
      <c r="D5015" s="12">
        <v>328</v>
      </c>
      <c r="E5015" s="12" t="s">
        <v>5332</v>
      </c>
      <c r="F5015" s="12" t="s">
        <v>5328</v>
      </c>
      <c r="G5015" s="12" t="s">
        <v>13924</v>
      </c>
      <c r="H5015" s="12">
        <v>176025</v>
      </c>
    </row>
    <row r="5016" spans="1:8">
      <c r="A5016" s="12" t="s">
        <v>13925</v>
      </c>
      <c r="B5016" s="14">
        <v>1366.09</v>
      </c>
      <c r="C5016" s="16" t="s">
        <v>5331</v>
      </c>
      <c r="D5016" s="12">
        <v>4164</v>
      </c>
      <c r="E5016" s="12" t="s">
        <v>5332</v>
      </c>
      <c r="F5016" s="12" t="s">
        <v>5328</v>
      </c>
      <c r="G5016" s="12" t="s">
        <v>13926</v>
      </c>
      <c r="H5016" s="12">
        <v>202566</v>
      </c>
    </row>
    <row r="5017" spans="1:8">
      <c r="A5017" s="12" t="s">
        <v>13925</v>
      </c>
      <c r="B5017" s="14">
        <v>1231.74</v>
      </c>
      <c r="C5017" s="16" t="s">
        <v>5331</v>
      </c>
      <c r="D5017" s="12">
        <v>3777</v>
      </c>
      <c r="E5017" s="12" t="s">
        <v>5332</v>
      </c>
      <c r="F5017" s="12" t="s">
        <v>5328</v>
      </c>
      <c r="G5017" s="12" t="s">
        <v>13927</v>
      </c>
      <c r="H5017" s="12">
        <v>166353</v>
      </c>
    </row>
    <row r="5018" spans="1:8">
      <c r="A5018" s="12" t="s">
        <v>13928</v>
      </c>
      <c r="B5018" s="14">
        <v>1339.24</v>
      </c>
      <c r="C5018" s="16" t="s">
        <v>5331</v>
      </c>
      <c r="D5018" s="12">
        <v>4055</v>
      </c>
      <c r="E5018" s="12" t="s">
        <v>5332</v>
      </c>
      <c r="F5018" s="12" t="s">
        <v>5328</v>
      </c>
      <c r="G5018" s="12" t="s">
        <v>13929</v>
      </c>
      <c r="H5018" s="12">
        <v>202567</v>
      </c>
    </row>
    <row r="5019" spans="1:8">
      <c r="A5019" s="12" t="s">
        <v>13928</v>
      </c>
      <c r="B5019" s="14">
        <v>1261.1300000000001</v>
      </c>
      <c r="C5019" s="16" t="s">
        <v>5331</v>
      </c>
      <c r="D5019" s="12">
        <v>3862</v>
      </c>
      <c r="E5019" s="12" t="s">
        <v>5332</v>
      </c>
      <c r="F5019" s="12" t="s">
        <v>5328</v>
      </c>
      <c r="G5019" s="12" t="s">
        <v>13930</v>
      </c>
      <c r="H5019" s="12">
        <v>166354</v>
      </c>
    </row>
    <row r="5020" spans="1:8">
      <c r="A5020" s="12" t="s">
        <v>13931</v>
      </c>
      <c r="B5020" s="13">
        <v>193.05</v>
      </c>
      <c r="C5020" s="16" t="s">
        <v>5331</v>
      </c>
      <c r="D5020" s="12">
        <v>608</v>
      </c>
      <c r="E5020" s="12" t="s">
        <v>5332</v>
      </c>
      <c r="F5020" s="12" t="s">
        <v>5328</v>
      </c>
      <c r="G5020" s="12" t="s">
        <v>13932</v>
      </c>
      <c r="H5020" s="12">
        <v>202568</v>
      </c>
    </row>
    <row r="5021" spans="1:8">
      <c r="A5021" s="12" t="s">
        <v>13931</v>
      </c>
      <c r="B5021" s="13">
        <v>187.19</v>
      </c>
      <c r="C5021" s="16" t="s">
        <v>5331</v>
      </c>
      <c r="D5021" s="12">
        <v>579</v>
      </c>
      <c r="E5021" s="12" t="s">
        <v>5332</v>
      </c>
      <c r="F5021" s="12" t="s">
        <v>5328</v>
      </c>
      <c r="G5021" s="12" t="s">
        <v>13933</v>
      </c>
      <c r="H5021" s="12">
        <v>166355</v>
      </c>
    </row>
    <row r="5022" spans="1:8">
      <c r="A5022" s="12" t="s">
        <v>13934</v>
      </c>
      <c r="B5022" s="13">
        <v>0</v>
      </c>
      <c r="C5022" s="16" t="s">
        <v>5331</v>
      </c>
      <c r="D5022" s="12">
        <v>573</v>
      </c>
      <c r="E5022" s="12" t="s">
        <v>5332</v>
      </c>
      <c r="F5022" s="12" t="s">
        <v>5328</v>
      </c>
      <c r="G5022" s="12" t="s">
        <v>13935</v>
      </c>
      <c r="H5022" s="12">
        <v>176028</v>
      </c>
    </row>
    <row r="5023" spans="1:8">
      <c r="A5023" s="12" t="s">
        <v>13936</v>
      </c>
      <c r="B5023" s="14">
        <v>1936.77</v>
      </c>
      <c r="C5023" s="16" t="s">
        <v>5331</v>
      </c>
      <c r="D5023" s="12">
        <v>5383</v>
      </c>
      <c r="E5023" s="12" t="s">
        <v>5332</v>
      </c>
      <c r="F5023" s="12" t="s">
        <v>5328</v>
      </c>
      <c r="G5023" s="12" t="s">
        <v>13937</v>
      </c>
      <c r="H5023" s="12">
        <v>202569</v>
      </c>
    </row>
    <row r="5024" spans="1:8">
      <c r="A5024" s="12" t="s">
        <v>13936</v>
      </c>
      <c r="B5024" s="14">
        <v>2881.19</v>
      </c>
      <c r="C5024" s="16" t="s">
        <v>5331</v>
      </c>
      <c r="D5024" s="12">
        <v>5127</v>
      </c>
      <c r="E5024" s="12" t="s">
        <v>5332</v>
      </c>
      <c r="F5024" s="12" t="s">
        <v>5328</v>
      </c>
      <c r="G5024" s="12" t="s">
        <v>13938</v>
      </c>
      <c r="H5024" s="12">
        <v>166356</v>
      </c>
    </row>
    <row r="5025" spans="1:8">
      <c r="A5025" s="12" t="s">
        <v>13939</v>
      </c>
      <c r="B5025" s="14">
        <v>3844.66</v>
      </c>
      <c r="C5025" s="16" t="s">
        <v>5331</v>
      </c>
      <c r="D5025" s="12">
        <v>11734</v>
      </c>
      <c r="E5025" s="12" t="s">
        <v>5332</v>
      </c>
      <c r="F5025" s="12" t="s">
        <v>5328</v>
      </c>
      <c r="G5025" s="12" t="s">
        <v>13940</v>
      </c>
      <c r="H5025" s="12">
        <v>202570</v>
      </c>
    </row>
    <row r="5026" spans="1:8">
      <c r="A5026" s="12" t="s">
        <v>13939</v>
      </c>
      <c r="B5026" s="14">
        <v>5029.88</v>
      </c>
      <c r="C5026" s="16" t="s">
        <v>5331</v>
      </c>
      <c r="D5026" s="12">
        <v>10643</v>
      </c>
      <c r="E5026" s="12" t="s">
        <v>5332</v>
      </c>
      <c r="F5026" s="12" t="s">
        <v>5328</v>
      </c>
      <c r="G5026" s="12" t="s">
        <v>13941</v>
      </c>
      <c r="H5026" s="12">
        <v>166357</v>
      </c>
    </row>
    <row r="5027" spans="1:8">
      <c r="A5027" s="12" t="s">
        <v>13942</v>
      </c>
      <c r="B5027" s="14">
        <v>3176.34</v>
      </c>
      <c r="C5027" s="16" t="s">
        <v>5331</v>
      </c>
      <c r="D5027" s="12">
        <v>8883</v>
      </c>
      <c r="E5027" s="12" t="s">
        <v>5332</v>
      </c>
      <c r="F5027" s="12" t="s">
        <v>5328</v>
      </c>
      <c r="G5027" s="12" t="s">
        <v>13943</v>
      </c>
      <c r="H5027" s="12">
        <v>176029</v>
      </c>
    </row>
    <row r="5028" spans="1:8">
      <c r="A5028" s="12" t="s">
        <v>13944</v>
      </c>
      <c r="B5028" s="14">
        <v>2483.5500000000002</v>
      </c>
      <c r="C5028" s="16" t="s">
        <v>5331</v>
      </c>
      <c r="D5028" s="12">
        <v>8048</v>
      </c>
      <c r="E5028" s="12" t="s">
        <v>5332</v>
      </c>
      <c r="F5028" s="12" t="s">
        <v>5328</v>
      </c>
      <c r="G5028" s="12" t="s">
        <v>13945</v>
      </c>
      <c r="H5028" s="12">
        <v>202571</v>
      </c>
    </row>
    <row r="5029" spans="1:8">
      <c r="A5029" s="12" t="s">
        <v>13944</v>
      </c>
      <c r="B5029" s="14">
        <v>3585.18</v>
      </c>
      <c r="C5029" s="16" t="s">
        <v>5331</v>
      </c>
      <c r="D5029" s="12">
        <v>7665</v>
      </c>
      <c r="E5029" s="12" t="s">
        <v>5332</v>
      </c>
      <c r="F5029" s="12" t="s">
        <v>5328</v>
      </c>
      <c r="G5029" s="12" t="s">
        <v>13946</v>
      </c>
      <c r="H5029" s="12">
        <v>166358</v>
      </c>
    </row>
    <row r="5030" spans="1:8">
      <c r="A5030" s="12" t="s">
        <v>13947</v>
      </c>
      <c r="B5030" s="14">
        <v>1206.04</v>
      </c>
      <c r="C5030" s="16" t="s">
        <v>5331</v>
      </c>
      <c r="D5030" s="12">
        <v>3725</v>
      </c>
      <c r="E5030" s="12" t="s">
        <v>5332</v>
      </c>
      <c r="F5030" s="12" t="s">
        <v>5328</v>
      </c>
      <c r="G5030" s="12" t="s">
        <v>13948</v>
      </c>
      <c r="H5030" s="12">
        <v>202572</v>
      </c>
    </row>
    <row r="5031" spans="1:8">
      <c r="A5031" s="12" t="s">
        <v>13947</v>
      </c>
      <c r="B5031" s="14">
        <v>2290.77</v>
      </c>
      <c r="C5031" s="16" t="s">
        <v>5331</v>
      </c>
      <c r="D5031" s="12">
        <v>3548</v>
      </c>
      <c r="E5031" s="12" t="s">
        <v>5332</v>
      </c>
      <c r="F5031" s="12" t="s">
        <v>5328</v>
      </c>
      <c r="G5031" s="12" t="s">
        <v>13949</v>
      </c>
      <c r="H5031" s="12">
        <v>166359</v>
      </c>
    </row>
    <row r="5032" spans="1:8">
      <c r="A5032" s="12" t="s">
        <v>13950</v>
      </c>
      <c r="B5032" s="13">
        <v>14.2</v>
      </c>
      <c r="C5032" s="16" t="s">
        <v>5331</v>
      </c>
      <c r="D5032" s="12">
        <v>584</v>
      </c>
      <c r="E5032" s="12" t="s">
        <v>5332</v>
      </c>
      <c r="F5032" s="12" t="s">
        <v>5328</v>
      </c>
      <c r="G5032" s="12" t="s">
        <v>13951</v>
      </c>
      <c r="H5032" s="12">
        <v>202573</v>
      </c>
    </row>
    <row r="5033" spans="1:8">
      <c r="A5033" s="12" t="s">
        <v>13950</v>
      </c>
      <c r="B5033" s="13">
        <v>10.43</v>
      </c>
      <c r="C5033" s="16" t="s">
        <v>5331</v>
      </c>
      <c r="D5033" s="12">
        <v>556</v>
      </c>
      <c r="E5033" s="12" t="s">
        <v>5332</v>
      </c>
      <c r="F5033" s="12" t="s">
        <v>5328</v>
      </c>
      <c r="G5033" s="12" t="s">
        <v>13952</v>
      </c>
      <c r="H5033" s="12">
        <v>166360</v>
      </c>
    </row>
    <row r="5034" spans="1:8">
      <c r="A5034" s="12" t="s">
        <v>13953</v>
      </c>
      <c r="B5034" s="13">
        <v>13.36</v>
      </c>
      <c r="C5034" s="16" t="s">
        <v>5331</v>
      </c>
      <c r="D5034" s="12">
        <v>585</v>
      </c>
      <c r="E5034" s="12" t="s">
        <v>5332</v>
      </c>
      <c r="F5034" s="12" t="s">
        <v>5328</v>
      </c>
      <c r="G5034" s="12" t="s">
        <v>13954</v>
      </c>
      <c r="H5034" s="12">
        <v>202574</v>
      </c>
    </row>
    <row r="5035" spans="1:8">
      <c r="A5035" s="12" t="s">
        <v>13953</v>
      </c>
      <c r="B5035" s="13">
        <v>10.43</v>
      </c>
      <c r="C5035" s="16" t="s">
        <v>5331</v>
      </c>
      <c r="D5035" s="12">
        <v>557</v>
      </c>
      <c r="E5035" s="12" t="s">
        <v>5332</v>
      </c>
      <c r="F5035" s="12" t="s">
        <v>5328</v>
      </c>
      <c r="G5035" s="12" t="s">
        <v>13955</v>
      </c>
      <c r="H5035" s="12">
        <v>166361</v>
      </c>
    </row>
    <row r="5036" spans="1:8">
      <c r="A5036" s="12" t="s">
        <v>13956</v>
      </c>
      <c r="B5036" s="13">
        <v>84.68</v>
      </c>
      <c r="C5036" s="16" t="s">
        <v>5331</v>
      </c>
      <c r="D5036" s="12">
        <v>587</v>
      </c>
      <c r="E5036" s="12" t="s">
        <v>5332</v>
      </c>
      <c r="F5036" s="12" t="s">
        <v>5328</v>
      </c>
      <c r="G5036" s="12" t="s">
        <v>13957</v>
      </c>
      <c r="H5036" s="12">
        <v>202575</v>
      </c>
    </row>
    <row r="5037" spans="1:8">
      <c r="A5037" s="12" t="s">
        <v>13956</v>
      </c>
      <c r="B5037" s="13">
        <v>129.06</v>
      </c>
      <c r="C5037" s="16" t="s">
        <v>5331</v>
      </c>
      <c r="D5037" s="12">
        <v>559</v>
      </c>
      <c r="E5037" s="12" t="s">
        <v>5332</v>
      </c>
      <c r="F5037" s="12" t="s">
        <v>5328</v>
      </c>
      <c r="G5037" s="12" t="s">
        <v>13958</v>
      </c>
      <c r="H5037" s="12">
        <v>166362</v>
      </c>
    </row>
    <row r="5038" spans="1:8">
      <c r="A5038" s="12" t="s">
        <v>13959</v>
      </c>
      <c r="B5038" s="13">
        <v>0</v>
      </c>
      <c r="C5038" s="16" t="s">
        <v>5331</v>
      </c>
      <c r="D5038" s="12">
        <v>589</v>
      </c>
      <c r="E5038" s="12" t="s">
        <v>5332</v>
      </c>
      <c r="F5038" s="12" t="s">
        <v>5328</v>
      </c>
      <c r="G5038" s="12" t="s">
        <v>13960</v>
      </c>
      <c r="H5038" s="12">
        <v>176033</v>
      </c>
    </row>
    <row r="5039" spans="1:8">
      <c r="A5039" s="12" t="s">
        <v>13961</v>
      </c>
      <c r="B5039" s="13">
        <v>0</v>
      </c>
      <c r="C5039" s="16" t="s">
        <v>5331</v>
      </c>
      <c r="D5039" s="12">
        <v>2275</v>
      </c>
      <c r="E5039" s="12" t="s">
        <v>5332</v>
      </c>
      <c r="F5039" s="12" t="s">
        <v>5328</v>
      </c>
      <c r="G5039" s="12" t="s">
        <v>13962</v>
      </c>
      <c r="H5039" s="12">
        <v>176034</v>
      </c>
    </row>
    <row r="5040" spans="1:8">
      <c r="A5040" s="12" t="s">
        <v>13963</v>
      </c>
      <c r="B5040" s="13">
        <v>0</v>
      </c>
      <c r="C5040" s="16" t="s">
        <v>5331</v>
      </c>
      <c r="D5040" s="12">
        <v>2275</v>
      </c>
      <c r="E5040" s="12" t="s">
        <v>5332</v>
      </c>
      <c r="F5040" s="12" t="s">
        <v>5328</v>
      </c>
      <c r="G5040" s="12" t="s">
        <v>13964</v>
      </c>
      <c r="H5040" s="12">
        <v>176035</v>
      </c>
    </row>
    <row r="5041" spans="1:8">
      <c r="A5041" s="12" t="s">
        <v>13965</v>
      </c>
      <c r="B5041" s="13">
        <v>0</v>
      </c>
      <c r="C5041" s="16" t="s">
        <v>5331</v>
      </c>
      <c r="D5041" s="12">
        <v>2275</v>
      </c>
      <c r="E5041" s="12" t="s">
        <v>5332</v>
      </c>
      <c r="F5041" s="12" t="s">
        <v>5328</v>
      </c>
      <c r="G5041" s="12" t="s">
        <v>13966</v>
      </c>
      <c r="H5041" s="12">
        <v>176036</v>
      </c>
    </row>
    <row r="5042" spans="1:8">
      <c r="A5042" s="12" t="s">
        <v>13967</v>
      </c>
      <c r="B5042" s="13">
        <v>176.28</v>
      </c>
      <c r="C5042" s="16" t="s">
        <v>5331</v>
      </c>
      <c r="D5042" s="12">
        <v>978</v>
      </c>
      <c r="E5042" s="12" t="s">
        <v>5332</v>
      </c>
      <c r="F5042" s="12" t="s">
        <v>5328</v>
      </c>
      <c r="G5042" s="12" t="s">
        <v>13968</v>
      </c>
      <c r="H5042" s="12">
        <v>202576</v>
      </c>
    </row>
    <row r="5043" spans="1:8">
      <c r="A5043" s="12" t="s">
        <v>13967</v>
      </c>
      <c r="B5043" s="13">
        <v>284.44</v>
      </c>
      <c r="C5043" s="16" t="s">
        <v>5331</v>
      </c>
      <c r="D5043" s="12">
        <v>931</v>
      </c>
      <c r="E5043" s="12" t="s">
        <v>5332</v>
      </c>
      <c r="F5043" s="12" t="s">
        <v>5328</v>
      </c>
      <c r="G5043" s="12" t="s">
        <v>13969</v>
      </c>
      <c r="H5043" s="12">
        <v>166363</v>
      </c>
    </row>
    <row r="5044" spans="1:8">
      <c r="A5044" s="12" t="s">
        <v>13970</v>
      </c>
      <c r="B5044" s="14">
        <v>3151</v>
      </c>
      <c r="C5044" s="16" t="s">
        <v>5331</v>
      </c>
      <c r="D5044" s="12">
        <v>3630</v>
      </c>
      <c r="E5044" s="12" t="s">
        <v>5332</v>
      </c>
      <c r="F5044" s="12" t="s">
        <v>5328</v>
      </c>
      <c r="G5044" s="12" t="s">
        <v>13971</v>
      </c>
      <c r="H5044" s="12">
        <v>202577</v>
      </c>
    </row>
    <row r="5045" spans="1:8">
      <c r="A5045" s="12" t="s">
        <v>13970</v>
      </c>
      <c r="B5045" s="14">
        <v>3154.25</v>
      </c>
      <c r="C5045" s="16" t="s">
        <v>5331</v>
      </c>
      <c r="D5045" s="12">
        <v>3292</v>
      </c>
      <c r="E5045" s="12" t="s">
        <v>5332</v>
      </c>
      <c r="F5045" s="12" t="s">
        <v>5328</v>
      </c>
      <c r="G5045" s="12" t="s">
        <v>13972</v>
      </c>
      <c r="H5045" s="12">
        <v>166364</v>
      </c>
    </row>
    <row r="5046" spans="1:8">
      <c r="A5046" s="12" t="s">
        <v>13973</v>
      </c>
      <c r="B5046" s="13">
        <v>722</v>
      </c>
      <c r="C5046" s="16" t="s">
        <v>5331</v>
      </c>
      <c r="D5046" s="12">
        <v>1683</v>
      </c>
      <c r="E5046" s="12" t="s">
        <v>5332</v>
      </c>
      <c r="F5046" s="12" t="s">
        <v>5328</v>
      </c>
      <c r="G5046" s="12" t="s">
        <v>13974</v>
      </c>
      <c r="H5046" s="12">
        <v>202578</v>
      </c>
    </row>
    <row r="5047" spans="1:8">
      <c r="A5047" s="12" t="s">
        <v>13973</v>
      </c>
      <c r="B5047" s="13">
        <v>541.55999999999995</v>
      </c>
      <c r="C5047" s="16" t="s">
        <v>5331</v>
      </c>
      <c r="D5047" s="12">
        <v>1527</v>
      </c>
      <c r="E5047" s="12" t="s">
        <v>5332</v>
      </c>
      <c r="F5047" s="12" t="s">
        <v>5328</v>
      </c>
      <c r="G5047" s="12" t="s">
        <v>13975</v>
      </c>
      <c r="H5047" s="12">
        <v>166365</v>
      </c>
    </row>
    <row r="5048" spans="1:8">
      <c r="A5048" s="12" t="s">
        <v>13976</v>
      </c>
      <c r="B5048" s="13">
        <v>923.25</v>
      </c>
      <c r="C5048" s="16" t="s">
        <v>5331</v>
      </c>
      <c r="D5048" s="12">
        <v>3222</v>
      </c>
      <c r="E5048" s="12" t="s">
        <v>5332</v>
      </c>
      <c r="F5048" s="12" t="s">
        <v>5328</v>
      </c>
      <c r="G5048" s="12" t="s">
        <v>13977</v>
      </c>
      <c r="H5048" s="12">
        <v>202579</v>
      </c>
    </row>
    <row r="5049" spans="1:8">
      <c r="A5049" s="12" t="s">
        <v>13976</v>
      </c>
      <c r="B5049" s="13">
        <v>951.61</v>
      </c>
      <c r="C5049" s="16" t="s">
        <v>5331</v>
      </c>
      <c r="D5049" s="12">
        <v>2923</v>
      </c>
      <c r="E5049" s="12" t="s">
        <v>5332</v>
      </c>
      <c r="F5049" s="12" t="s">
        <v>5328</v>
      </c>
      <c r="G5049" s="12" t="s">
        <v>13978</v>
      </c>
      <c r="H5049" s="12">
        <v>166366</v>
      </c>
    </row>
    <row r="5050" spans="1:8">
      <c r="A5050" s="12" t="s">
        <v>13979</v>
      </c>
      <c r="B5050" s="13">
        <v>22.42</v>
      </c>
      <c r="C5050" s="16" t="s">
        <v>5331</v>
      </c>
      <c r="D5050" s="12">
        <v>634</v>
      </c>
      <c r="E5050" s="12" t="s">
        <v>5332</v>
      </c>
      <c r="F5050" s="12" t="s">
        <v>5328</v>
      </c>
      <c r="G5050" s="12" t="s">
        <v>13980</v>
      </c>
      <c r="H5050" s="12">
        <v>202580</v>
      </c>
    </row>
    <row r="5051" spans="1:8">
      <c r="A5051" s="12" t="s">
        <v>13979</v>
      </c>
      <c r="B5051" s="13">
        <v>17.670000000000002</v>
      </c>
      <c r="C5051" s="16" t="s">
        <v>5331</v>
      </c>
      <c r="D5051" s="12">
        <v>575</v>
      </c>
      <c r="E5051" s="12" t="s">
        <v>5332</v>
      </c>
      <c r="F5051" s="12" t="s">
        <v>5328</v>
      </c>
      <c r="G5051" s="12" t="s">
        <v>13981</v>
      </c>
      <c r="H5051" s="12">
        <v>166367</v>
      </c>
    </row>
    <row r="5052" spans="1:8">
      <c r="A5052" s="12" t="s">
        <v>13982</v>
      </c>
      <c r="B5052" s="13">
        <v>22.29</v>
      </c>
      <c r="C5052" s="16" t="s">
        <v>5331</v>
      </c>
      <c r="D5052" s="12">
        <v>635</v>
      </c>
      <c r="E5052" s="12" t="s">
        <v>5332</v>
      </c>
      <c r="F5052" s="12" t="s">
        <v>5328</v>
      </c>
      <c r="G5052" s="12" t="s">
        <v>13983</v>
      </c>
      <c r="H5052" s="12">
        <v>202581</v>
      </c>
    </row>
    <row r="5053" spans="1:8">
      <c r="A5053" s="12" t="s">
        <v>13982</v>
      </c>
      <c r="B5053" s="13">
        <v>17.05</v>
      </c>
      <c r="C5053" s="16" t="s">
        <v>5331</v>
      </c>
      <c r="D5053" s="12">
        <v>576</v>
      </c>
      <c r="E5053" s="12" t="s">
        <v>5332</v>
      </c>
      <c r="F5053" s="12" t="s">
        <v>5328</v>
      </c>
      <c r="G5053" s="12" t="s">
        <v>13984</v>
      </c>
      <c r="H5053" s="12">
        <v>166368</v>
      </c>
    </row>
    <row r="5054" spans="1:8">
      <c r="A5054" s="12" t="s">
        <v>13985</v>
      </c>
      <c r="B5054" s="13">
        <v>152.15</v>
      </c>
      <c r="C5054" s="16" t="s">
        <v>5331</v>
      </c>
      <c r="D5054" s="12">
        <v>637</v>
      </c>
      <c r="E5054" s="12" t="s">
        <v>5332</v>
      </c>
      <c r="F5054" s="12" t="s">
        <v>5328</v>
      </c>
      <c r="G5054" s="12" t="s">
        <v>13986</v>
      </c>
      <c r="H5054" s="12">
        <v>202582</v>
      </c>
    </row>
    <row r="5055" spans="1:8">
      <c r="A5055" s="12" t="s">
        <v>13985</v>
      </c>
      <c r="B5055" s="13">
        <v>100.28</v>
      </c>
      <c r="C5055" s="16" t="s">
        <v>5331</v>
      </c>
      <c r="D5055" s="12">
        <v>578</v>
      </c>
      <c r="E5055" s="12" t="s">
        <v>5332</v>
      </c>
      <c r="F5055" s="12" t="s">
        <v>5328</v>
      </c>
      <c r="G5055" s="12" t="s">
        <v>13987</v>
      </c>
      <c r="H5055" s="12">
        <v>166369</v>
      </c>
    </row>
    <row r="5056" spans="1:8">
      <c r="A5056" s="12" t="s">
        <v>13988</v>
      </c>
      <c r="B5056" s="13">
        <v>22.18</v>
      </c>
      <c r="C5056" s="16" t="s">
        <v>5331</v>
      </c>
      <c r="D5056" s="12">
        <v>639</v>
      </c>
      <c r="E5056" s="12" t="s">
        <v>5332</v>
      </c>
      <c r="F5056" s="12" t="s">
        <v>5328</v>
      </c>
      <c r="G5056" s="12" t="s">
        <v>13989</v>
      </c>
      <c r="H5056" s="12">
        <v>202583</v>
      </c>
    </row>
    <row r="5057" spans="1:8">
      <c r="A5057" s="12" t="s">
        <v>13988</v>
      </c>
      <c r="B5057" s="13">
        <v>17.32</v>
      </c>
      <c r="C5057" s="16" t="s">
        <v>5331</v>
      </c>
      <c r="D5057" s="12">
        <v>580</v>
      </c>
      <c r="E5057" s="12" t="s">
        <v>5332</v>
      </c>
      <c r="F5057" s="12" t="s">
        <v>5328</v>
      </c>
      <c r="G5057" s="12" t="s">
        <v>13990</v>
      </c>
      <c r="H5057" s="12">
        <v>166370</v>
      </c>
    </row>
    <row r="5058" spans="1:8">
      <c r="A5058" s="12" t="s">
        <v>13991</v>
      </c>
      <c r="B5058" s="14">
        <v>4075</v>
      </c>
      <c r="C5058" s="16" t="s">
        <v>5331</v>
      </c>
      <c r="D5058" s="12">
        <v>11514</v>
      </c>
      <c r="E5058" s="12" t="s">
        <v>5332</v>
      </c>
      <c r="F5058" s="12" t="s">
        <v>5328</v>
      </c>
      <c r="G5058" s="12" t="s">
        <v>13992</v>
      </c>
      <c r="H5058" s="12">
        <v>202584</v>
      </c>
    </row>
    <row r="5059" spans="1:8">
      <c r="A5059" s="12" t="s">
        <v>13991</v>
      </c>
      <c r="B5059" s="14">
        <v>4079.21</v>
      </c>
      <c r="C5059" s="16" t="s">
        <v>5331</v>
      </c>
      <c r="D5059" s="12">
        <v>10966</v>
      </c>
      <c r="E5059" s="12" t="s">
        <v>5332</v>
      </c>
      <c r="F5059" s="12" t="s">
        <v>5328</v>
      </c>
      <c r="G5059" s="12" t="s">
        <v>13993</v>
      </c>
      <c r="H5059" s="12">
        <v>166371</v>
      </c>
    </row>
    <row r="5060" spans="1:8">
      <c r="A5060" s="12" t="s">
        <v>13994</v>
      </c>
      <c r="B5060" s="13">
        <v>568.70000000000005</v>
      </c>
      <c r="C5060" s="16" t="s">
        <v>5331</v>
      </c>
      <c r="D5060" s="12">
        <v>1452</v>
      </c>
      <c r="E5060" s="12" t="s">
        <v>5332</v>
      </c>
      <c r="F5060" s="12" t="s">
        <v>5328</v>
      </c>
      <c r="G5060" s="12" t="s">
        <v>13995</v>
      </c>
      <c r="H5060" s="12">
        <v>202585</v>
      </c>
    </row>
    <row r="5061" spans="1:8">
      <c r="A5061" s="12" t="s">
        <v>13994</v>
      </c>
      <c r="B5061" s="13">
        <v>505.97</v>
      </c>
      <c r="C5061" s="16" t="s">
        <v>5331</v>
      </c>
      <c r="D5061" s="12">
        <v>1317</v>
      </c>
      <c r="E5061" s="12" t="s">
        <v>5332</v>
      </c>
      <c r="F5061" s="12" t="s">
        <v>5328</v>
      </c>
      <c r="G5061" s="12" t="s">
        <v>13996</v>
      </c>
      <c r="H5061" s="12">
        <v>166372</v>
      </c>
    </row>
    <row r="5062" spans="1:8">
      <c r="A5062" s="12" t="s">
        <v>13997</v>
      </c>
      <c r="B5062" s="13">
        <v>9.2799999999999994</v>
      </c>
      <c r="C5062" s="16" t="s">
        <v>5331</v>
      </c>
      <c r="D5062" s="12">
        <v>23</v>
      </c>
      <c r="E5062" s="12" t="s">
        <v>5332</v>
      </c>
      <c r="F5062" s="12" t="s">
        <v>5328</v>
      </c>
      <c r="G5062" s="12" t="s">
        <v>13998</v>
      </c>
      <c r="H5062" s="12">
        <v>202586</v>
      </c>
    </row>
    <row r="5063" spans="1:8">
      <c r="A5063" s="12" t="s">
        <v>13997</v>
      </c>
      <c r="B5063" s="13">
        <v>9.2899999999999991</v>
      </c>
      <c r="C5063" s="16" t="s">
        <v>5331</v>
      </c>
      <c r="D5063" s="12">
        <v>586</v>
      </c>
      <c r="E5063" s="12" t="s">
        <v>5332</v>
      </c>
      <c r="F5063" s="12" t="s">
        <v>5328</v>
      </c>
      <c r="G5063" s="12" t="s">
        <v>13999</v>
      </c>
      <c r="H5063" s="12">
        <v>166373</v>
      </c>
    </row>
    <row r="5064" spans="1:8">
      <c r="A5064" s="12" t="s">
        <v>14000</v>
      </c>
      <c r="B5064" s="13">
        <v>0</v>
      </c>
      <c r="C5064" s="16" t="s">
        <v>5331</v>
      </c>
      <c r="D5064" s="12">
        <v>617</v>
      </c>
      <c r="E5064" s="12" t="s">
        <v>5332</v>
      </c>
      <c r="F5064" s="12" t="s">
        <v>5328</v>
      </c>
      <c r="G5064" s="12" t="s">
        <v>14001</v>
      </c>
      <c r="H5064" s="12">
        <v>202587</v>
      </c>
    </row>
    <row r="5065" spans="1:8">
      <c r="A5065" s="12" t="s">
        <v>14000</v>
      </c>
      <c r="B5065" s="13">
        <v>0.01</v>
      </c>
      <c r="C5065" s="16" t="s">
        <v>5331</v>
      </c>
      <c r="D5065" s="12">
        <v>588</v>
      </c>
      <c r="E5065" s="12" t="s">
        <v>5332</v>
      </c>
      <c r="F5065" s="12" t="s">
        <v>5328</v>
      </c>
      <c r="G5065" s="12" t="s">
        <v>14002</v>
      </c>
      <c r="H5065" s="12">
        <v>166374</v>
      </c>
    </row>
    <row r="5066" spans="1:8">
      <c r="A5066" s="12" t="s">
        <v>14003</v>
      </c>
      <c r="B5066" s="13">
        <v>173.49</v>
      </c>
      <c r="C5066" s="16" t="s">
        <v>5331</v>
      </c>
      <c r="D5066" s="12">
        <v>651</v>
      </c>
      <c r="E5066" s="12" t="s">
        <v>5332</v>
      </c>
      <c r="F5066" s="12" t="s">
        <v>5328</v>
      </c>
      <c r="G5066" s="12" t="s">
        <v>14004</v>
      </c>
      <c r="H5066" s="12">
        <v>202588</v>
      </c>
    </row>
    <row r="5067" spans="1:8">
      <c r="A5067" s="12" t="s">
        <v>14003</v>
      </c>
      <c r="B5067" s="13">
        <v>126.4</v>
      </c>
      <c r="C5067" s="16" t="s">
        <v>5331</v>
      </c>
      <c r="D5067" s="12">
        <v>590</v>
      </c>
      <c r="E5067" s="12" t="s">
        <v>5332</v>
      </c>
      <c r="F5067" s="12" t="s">
        <v>5328</v>
      </c>
      <c r="G5067" s="12" t="s">
        <v>14005</v>
      </c>
      <c r="H5067" s="12">
        <v>166375</v>
      </c>
    </row>
    <row r="5068" spans="1:8">
      <c r="A5068" s="12" t="s">
        <v>14006</v>
      </c>
      <c r="B5068" s="13">
        <v>29.02</v>
      </c>
      <c r="C5068" s="16" t="s">
        <v>5331</v>
      </c>
      <c r="D5068" s="12">
        <v>623</v>
      </c>
      <c r="E5068" s="12" t="s">
        <v>5332</v>
      </c>
      <c r="F5068" s="12" t="s">
        <v>5328</v>
      </c>
      <c r="G5068" s="12" t="s">
        <v>14007</v>
      </c>
      <c r="H5068" s="12">
        <v>176050</v>
      </c>
    </row>
    <row r="5069" spans="1:8">
      <c r="A5069" s="12" t="s">
        <v>14008</v>
      </c>
      <c r="B5069" s="13">
        <v>2.66</v>
      </c>
      <c r="C5069" s="16" t="s">
        <v>5331</v>
      </c>
      <c r="D5069" s="12">
        <v>625</v>
      </c>
      <c r="E5069" s="12" t="s">
        <v>5332</v>
      </c>
      <c r="F5069" s="12" t="s">
        <v>5328</v>
      </c>
      <c r="G5069" s="12" t="s">
        <v>14009</v>
      </c>
      <c r="H5069" s="12">
        <v>202589</v>
      </c>
    </row>
    <row r="5070" spans="1:8">
      <c r="A5070" s="12" t="s">
        <v>14008</v>
      </c>
      <c r="B5070" s="13">
        <v>23.11</v>
      </c>
      <c r="C5070" s="16" t="s">
        <v>5331</v>
      </c>
      <c r="D5070" s="12">
        <v>595</v>
      </c>
      <c r="E5070" s="12" t="s">
        <v>5332</v>
      </c>
      <c r="F5070" s="12" t="s">
        <v>5328</v>
      </c>
      <c r="G5070" s="12" t="s">
        <v>14010</v>
      </c>
      <c r="H5070" s="12">
        <v>166376</v>
      </c>
    </row>
    <row r="5071" spans="1:8">
      <c r="A5071" s="12" t="s">
        <v>14011</v>
      </c>
      <c r="B5071" s="13">
        <v>6.11</v>
      </c>
      <c r="C5071" s="16" t="s">
        <v>5331</v>
      </c>
      <c r="D5071" s="12">
        <v>626</v>
      </c>
      <c r="E5071" s="12" t="s">
        <v>5332</v>
      </c>
      <c r="F5071" s="12" t="s">
        <v>5328</v>
      </c>
      <c r="G5071" s="12" t="s">
        <v>14012</v>
      </c>
      <c r="H5071" s="12">
        <v>202590</v>
      </c>
    </row>
    <row r="5072" spans="1:8">
      <c r="A5072" s="12" t="s">
        <v>14011</v>
      </c>
      <c r="B5072" s="13">
        <v>20.02</v>
      </c>
      <c r="C5072" s="16" t="s">
        <v>5331</v>
      </c>
      <c r="D5072" s="12">
        <v>596</v>
      </c>
      <c r="E5072" s="12" t="s">
        <v>5332</v>
      </c>
      <c r="F5072" s="12" t="s">
        <v>5328</v>
      </c>
      <c r="G5072" s="12" t="s">
        <v>14013</v>
      </c>
      <c r="H5072" s="12">
        <v>166377</v>
      </c>
    </row>
    <row r="5073" spans="1:8">
      <c r="A5073" s="12" t="s">
        <v>14014</v>
      </c>
      <c r="B5073" s="13">
        <v>0</v>
      </c>
      <c r="C5073" s="16" t="s">
        <v>5331</v>
      </c>
      <c r="D5073" s="12">
        <v>1894</v>
      </c>
      <c r="E5073" s="12" t="s">
        <v>5332</v>
      </c>
      <c r="F5073" s="12" t="s">
        <v>5328</v>
      </c>
      <c r="G5073" s="12" t="s">
        <v>14015</v>
      </c>
      <c r="H5073" s="12">
        <v>176053</v>
      </c>
    </row>
    <row r="5074" spans="1:8">
      <c r="A5074" s="12" t="s">
        <v>14016</v>
      </c>
      <c r="B5074" s="13">
        <v>0</v>
      </c>
      <c r="C5074" s="16" t="s">
        <v>5331</v>
      </c>
      <c r="D5074" s="12">
        <v>1805</v>
      </c>
      <c r="E5074" s="12" t="s">
        <v>5332</v>
      </c>
      <c r="F5074" s="12" t="s">
        <v>5328</v>
      </c>
      <c r="G5074" s="12" t="s">
        <v>14017</v>
      </c>
      <c r="H5074" s="12">
        <v>176054</v>
      </c>
    </row>
    <row r="5075" spans="1:8">
      <c r="A5075" s="12" t="s">
        <v>14018</v>
      </c>
      <c r="B5075" s="13">
        <v>0</v>
      </c>
      <c r="C5075" s="16" t="s">
        <v>5331</v>
      </c>
      <c r="D5075" s="12">
        <v>2386</v>
      </c>
      <c r="E5075" s="12" t="s">
        <v>5332</v>
      </c>
      <c r="F5075" s="12" t="s">
        <v>5328</v>
      </c>
      <c r="G5075" s="12" t="s">
        <v>14019</v>
      </c>
      <c r="H5075" s="12">
        <v>202591</v>
      </c>
    </row>
    <row r="5076" spans="1:8">
      <c r="A5076" s="12" t="s">
        <v>14018</v>
      </c>
      <c r="B5076" s="13">
        <v>737.9</v>
      </c>
      <c r="C5076" s="16" t="s">
        <v>5331</v>
      </c>
      <c r="D5076" s="12">
        <v>2272</v>
      </c>
      <c r="E5076" s="12" t="s">
        <v>5332</v>
      </c>
      <c r="F5076" s="12" t="s">
        <v>5328</v>
      </c>
      <c r="G5076" s="12" t="s">
        <v>14020</v>
      </c>
      <c r="H5076" s="12">
        <v>166378</v>
      </c>
    </row>
    <row r="5077" spans="1:8">
      <c r="A5077" s="12" t="s">
        <v>14021</v>
      </c>
      <c r="B5077" s="13">
        <v>35.119999999999997</v>
      </c>
      <c r="C5077" s="16" t="s">
        <v>5331</v>
      </c>
      <c r="D5077" s="12">
        <v>634</v>
      </c>
      <c r="E5077" s="12" t="s">
        <v>5332</v>
      </c>
      <c r="F5077" s="12" t="s">
        <v>5328</v>
      </c>
      <c r="G5077" s="12" t="s">
        <v>14022</v>
      </c>
      <c r="H5077" s="12">
        <v>202592</v>
      </c>
    </row>
    <row r="5078" spans="1:8">
      <c r="A5078" s="12" t="s">
        <v>14021</v>
      </c>
      <c r="B5078" s="13">
        <v>25.74</v>
      </c>
      <c r="C5078" s="16" t="s">
        <v>5331</v>
      </c>
      <c r="D5078" s="12">
        <v>604</v>
      </c>
      <c r="E5078" s="12" t="s">
        <v>5332</v>
      </c>
      <c r="F5078" s="12" t="s">
        <v>5328</v>
      </c>
      <c r="G5078" s="12" t="s">
        <v>14023</v>
      </c>
      <c r="H5078" s="12">
        <v>166379</v>
      </c>
    </row>
    <row r="5079" spans="1:8">
      <c r="A5079" s="12" t="s">
        <v>14024</v>
      </c>
      <c r="B5079" s="13">
        <v>30.4</v>
      </c>
      <c r="C5079" s="16" t="s">
        <v>5331</v>
      </c>
      <c r="D5079" s="12">
        <v>222</v>
      </c>
      <c r="E5079" s="12" t="s">
        <v>5332</v>
      </c>
      <c r="F5079" s="12" t="s">
        <v>5328</v>
      </c>
      <c r="G5079" s="12" t="s">
        <v>14025</v>
      </c>
      <c r="H5079" s="12">
        <v>183748</v>
      </c>
    </row>
    <row r="5080" spans="1:8">
      <c r="A5080" s="12" t="s">
        <v>14026</v>
      </c>
      <c r="B5080" s="13">
        <v>32.31</v>
      </c>
      <c r="C5080" s="16" t="s">
        <v>5331</v>
      </c>
      <c r="D5080" s="12">
        <v>213</v>
      </c>
      <c r="E5080" s="12" t="s">
        <v>5332</v>
      </c>
      <c r="F5080" s="12" t="s">
        <v>5328</v>
      </c>
      <c r="G5080" s="12" t="s">
        <v>14027</v>
      </c>
      <c r="H5080" s="12">
        <v>183749</v>
      </c>
    </row>
    <row r="5081" spans="1:8">
      <c r="A5081" s="12" t="s">
        <v>14028</v>
      </c>
      <c r="B5081" s="13">
        <v>40.130000000000003</v>
      </c>
      <c r="C5081" s="16" t="s">
        <v>5331</v>
      </c>
      <c r="D5081" s="12">
        <v>153</v>
      </c>
      <c r="E5081" s="12" t="s">
        <v>5332</v>
      </c>
      <c r="F5081" s="12" t="s">
        <v>5328</v>
      </c>
      <c r="G5081" s="12" t="s">
        <v>14029</v>
      </c>
      <c r="H5081" s="12">
        <v>202593</v>
      </c>
    </row>
    <row r="5082" spans="1:8">
      <c r="A5082" s="12" t="s">
        <v>14028</v>
      </c>
      <c r="B5082" s="13">
        <v>30.17</v>
      </c>
      <c r="C5082" s="16" t="s">
        <v>5331</v>
      </c>
      <c r="D5082" s="12">
        <v>139</v>
      </c>
      <c r="E5082" s="12" t="s">
        <v>5332</v>
      </c>
      <c r="F5082" s="12" t="s">
        <v>5328</v>
      </c>
      <c r="G5082" s="12" t="s">
        <v>14030</v>
      </c>
      <c r="H5082" s="12">
        <v>166380</v>
      </c>
    </row>
    <row r="5083" spans="1:8">
      <c r="A5083" s="12" t="s">
        <v>14031</v>
      </c>
      <c r="B5083" s="13">
        <v>167.19</v>
      </c>
      <c r="C5083" s="16" t="s">
        <v>5331</v>
      </c>
      <c r="D5083" s="12">
        <v>642</v>
      </c>
      <c r="E5083" s="12" t="s">
        <v>5332</v>
      </c>
      <c r="F5083" s="12" t="s">
        <v>5328</v>
      </c>
      <c r="G5083" s="12" t="s">
        <v>14032</v>
      </c>
      <c r="H5083" s="12">
        <v>202594</v>
      </c>
    </row>
    <row r="5084" spans="1:8">
      <c r="A5084" s="12" t="s">
        <v>14031</v>
      </c>
      <c r="B5084" s="13">
        <v>118.97</v>
      </c>
      <c r="C5084" s="16" t="s">
        <v>5331</v>
      </c>
      <c r="D5084" s="12">
        <v>611</v>
      </c>
      <c r="E5084" s="12" t="s">
        <v>5332</v>
      </c>
      <c r="F5084" s="12" t="s">
        <v>5328</v>
      </c>
      <c r="G5084" s="12" t="s">
        <v>14033</v>
      </c>
      <c r="H5084" s="12">
        <v>166381</v>
      </c>
    </row>
    <row r="5085" spans="1:8">
      <c r="A5085" s="12" t="s">
        <v>14034</v>
      </c>
      <c r="B5085" s="14">
        <v>2322.92</v>
      </c>
      <c r="C5085" s="16" t="s">
        <v>5331</v>
      </c>
      <c r="D5085" s="12">
        <v>5833</v>
      </c>
      <c r="E5085" s="12" t="s">
        <v>5332</v>
      </c>
      <c r="F5085" s="12" t="s">
        <v>5328</v>
      </c>
      <c r="G5085" s="12" t="s">
        <v>14035</v>
      </c>
      <c r="H5085" s="12">
        <v>202595</v>
      </c>
    </row>
    <row r="5086" spans="1:8">
      <c r="A5086" s="12" t="s">
        <v>14034</v>
      </c>
      <c r="B5086" s="14">
        <v>2252.33</v>
      </c>
      <c r="C5086" s="16" t="s">
        <v>5331</v>
      </c>
      <c r="D5086" s="12">
        <v>5555</v>
      </c>
      <c r="E5086" s="12" t="s">
        <v>5332</v>
      </c>
      <c r="F5086" s="12" t="s">
        <v>5328</v>
      </c>
      <c r="G5086" s="12" t="s">
        <v>14036</v>
      </c>
      <c r="H5086" s="12">
        <v>166382</v>
      </c>
    </row>
    <row r="5087" spans="1:8">
      <c r="A5087" s="12" t="s">
        <v>14037</v>
      </c>
      <c r="B5087" s="14">
        <v>1356.27</v>
      </c>
      <c r="C5087" s="16" t="s">
        <v>5331</v>
      </c>
      <c r="D5087" s="12">
        <v>4254</v>
      </c>
      <c r="E5087" s="12" t="s">
        <v>5332</v>
      </c>
      <c r="F5087" s="12" t="s">
        <v>5328</v>
      </c>
      <c r="G5087" s="12" t="s">
        <v>14038</v>
      </c>
      <c r="H5087" s="12">
        <v>202596</v>
      </c>
    </row>
    <row r="5088" spans="1:8">
      <c r="A5088" s="12" t="s">
        <v>14037</v>
      </c>
      <c r="B5088" s="14">
        <v>1938.75</v>
      </c>
      <c r="C5088" s="16" t="s">
        <v>5331</v>
      </c>
      <c r="D5088" s="12">
        <v>3858</v>
      </c>
      <c r="E5088" s="12" t="s">
        <v>5332</v>
      </c>
      <c r="F5088" s="12" t="s">
        <v>5328</v>
      </c>
      <c r="G5088" s="12" t="s">
        <v>14039</v>
      </c>
      <c r="H5088" s="12">
        <v>166134</v>
      </c>
    </row>
    <row r="5089" spans="1:8">
      <c r="A5089" s="12" t="s">
        <v>14040</v>
      </c>
      <c r="B5089" s="14">
        <v>1012.01</v>
      </c>
      <c r="C5089" s="16" t="s">
        <v>5331</v>
      </c>
      <c r="D5089" s="12">
        <v>1849</v>
      </c>
      <c r="E5089" s="12" t="s">
        <v>5332</v>
      </c>
      <c r="F5089" s="12" t="s">
        <v>5328</v>
      </c>
      <c r="G5089" s="12" t="s">
        <v>14041</v>
      </c>
      <c r="H5089" s="12">
        <v>176062</v>
      </c>
    </row>
    <row r="5090" spans="1:8">
      <c r="A5090" s="12" t="s">
        <v>14042</v>
      </c>
      <c r="B5090" s="13">
        <v>174.36</v>
      </c>
      <c r="C5090" s="16" t="s">
        <v>5331</v>
      </c>
      <c r="D5090" s="12">
        <v>1721</v>
      </c>
      <c r="E5090" s="12" t="s">
        <v>5332</v>
      </c>
      <c r="F5090" s="12" t="s">
        <v>5328</v>
      </c>
      <c r="G5090" s="12" t="s">
        <v>14043</v>
      </c>
      <c r="H5090" s="12">
        <v>202597</v>
      </c>
    </row>
    <row r="5091" spans="1:8">
      <c r="A5091" s="12" t="s">
        <v>14042</v>
      </c>
      <c r="B5091" s="13">
        <v>530.13</v>
      </c>
      <c r="C5091" s="16" t="s">
        <v>5331</v>
      </c>
      <c r="D5091" s="12">
        <v>1639</v>
      </c>
      <c r="E5091" s="12" t="s">
        <v>5332</v>
      </c>
      <c r="F5091" s="12" t="s">
        <v>5328</v>
      </c>
      <c r="G5091" s="12" t="s">
        <v>14044</v>
      </c>
      <c r="H5091" s="12">
        <v>166383</v>
      </c>
    </row>
    <row r="5092" spans="1:8">
      <c r="A5092" s="12" t="s">
        <v>14045</v>
      </c>
      <c r="B5092" s="13">
        <v>12.85</v>
      </c>
      <c r="C5092" s="16" t="s">
        <v>5331</v>
      </c>
      <c r="D5092" s="12">
        <v>71</v>
      </c>
      <c r="E5092" s="12" t="s">
        <v>5332</v>
      </c>
      <c r="F5092" s="12" t="s">
        <v>5328</v>
      </c>
      <c r="G5092" s="12" t="s">
        <v>14046</v>
      </c>
      <c r="H5092" s="12">
        <v>202598</v>
      </c>
    </row>
    <row r="5093" spans="1:8">
      <c r="A5093" s="12" t="s">
        <v>14045</v>
      </c>
      <c r="B5093" s="13">
        <v>10.06</v>
      </c>
      <c r="C5093" s="16" t="s">
        <v>5331</v>
      </c>
      <c r="D5093" s="12">
        <v>65</v>
      </c>
      <c r="E5093" s="12" t="s">
        <v>5332</v>
      </c>
      <c r="F5093" s="12" t="s">
        <v>5328</v>
      </c>
      <c r="G5093" s="12" t="s">
        <v>14047</v>
      </c>
      <c r="H5093" s="12">
        <v>166384</v>
      </c>
    </row>
    <row r="5094" spans="1:8">
      <c r="A5094" s="12" t="s">
        <v>14048</v>
      </c>
      <c r="B5094" s="13">
        <v>12.85</v>
      </c>
      <c r="C5094" s="16" t="s">
        <v>5331</v>
      </c>
      <c r="D5094" s="12">
        <v>69</v>
      </c>
      <c r="E5094" s="12" t="s">
        <v>5332</v>
      </c>
      <c r="F5094" s="12" t="s">
        <v>5328</v>
      </c>
      <c r="G5094" s="12" t="s">
        <v>14049</v>
      </c>
      <c r="H5094" s="12">
        <v>202599</v>
      </c>
    </row>
    <row r="5095" spans="1:8">
      <c r="A5095" s="12" t="s">
        <v>14048</v>
      </c>
      <c r="B5095" s="13">
        <v>10.35</v>
      </c>
      <c r="C5095" s="16" t="s">
        <v>5331</v>
      </c>
      <c r="D5095" s="12">
        <v>63</v>
      </c>
      <c r="E5095" s="12" t="s">
        <v>5332</v>
      </c>
      <c r="F5095" s="12" t="s">
        <v>5328</v>
      </c>
      <c r="G5095" s="12" t="s">
        <v>14050</v>
      </c>
      <c r="H5095" s="12">
        <v>166385</v>
      </c>
    </row>
    <row r="5096" spans="1:8">
      <c r="A5096" s="12" t="s">
        <v>14051</v>
      </c>
      <c r="B5096" s="13">
        <v>115.63</v>
      </c>
      <c r="C5096" s="16" t="s">
        <v>5331</v>
      </c>
      <c r="D5096" s="12">
        <v>656</v>
      </c>
      <c r="E5096" s="12" t="s">
        <v>5332</v>
      </c>
      <c r="F5096" s="12" t="s">
        <v>5328</v>
      </c>
      <c r="G5096" s="12" t="s">
        <v>14052</v>
      </c>
      <c r="H5096" s="12">
        <v>202600</v>
      </c>
    </row>
    <row r="5097" spans="1:8">
      <c r="A5097" s="12" t="s">
        <v>14051</v>
      </c>
      <c r="B5097" s="13">
        <v>227.98</v>
      </c>
      <c r="C5097" s="16" t="s">
        <v>5331</v>
      </c>
      <c r="D5097" s="12">
        <v>625</v>
      </c>
      <c r="E5097" s="12" t="s">
        <v>5332</v>
      </c>
      <c r="F5097" s="12" t="s">
        <v>5328</v>
      </c>
      <c r="G5097" s="12" t="s">
        <v>14053</v>
      </c>
      <c r="H5097" s="12">
        <v>166135</v>
      </c>
    </row>
    <row r="5098" spans="1:8">
      <c r="A5098" s="12" t="s">
        <v>14054</v>
      </c>
      <c r="B5098" s="13">
        <v>23.78</v>
      </c>
      <c r="C5098" s="16" t="s">
        <v>5331</v>
      </c>
      <c r="D5098" s="12">
        <v>658</v>
      </c>
      <c r="E5098" s="12" t="s">
        <v>5332</v>
      </c>
      <c r="F5098" s="12" t="s">
        <v>5328</v>
      </c>
      <c r="G5098" s="12" t="s">
        <v>14055</v>
      </c>
      <c r="H5098" s="12">
        <v>202601</v>
      </c>
    </row>
    <row r="5099" spans="1:8">
      <c r="A5099" s="12" t="s">
        <v>14054</v>
      </c>
      <c r="B5099" s="13">
        <v>15</v>
      </c>
      <c r="C5099" s="16" t="s">
        <v>5331</v>
      </c>
      <c r="D5099" s="12">
        <v>627</v>
      </c>
      <c r="E5099" s="12" t="s">
        <v>5332</v>
      </c>
      <c r="F5099" s="12" t="s">
        <v>5328</v>
      </c>
      <c r="G5099" s="12" t="s">
        <v>14056</v>
      </c>
      <c r="H5099" s="12">
        <v>166386</v>
      </c>
    </row>
    <row r="5100" spans="1:8">
      <c r="A5100" s="12" t="s">
        <v>14057</v>
      </c>
      <c r="B5100" s="13">
        <v>61.17</v>
      </c>
      <c r="C5100" s="16" t="s">
        <v>5331</v>
      </c>
      <c r="D5100" s="12">
        <v>290</v>
      </c>
      <c r="E5100" s="12" t="s">
        <v>5332</v>
      </c>
      <c r="F5100" s="12" t="s">
        <v>5328</v>
      </c>
      <c r="G5100" s="12" t="s">
        <v>14058</v>
      </c>
      <c r="H5100" s="12">
        <v>202602</v>
      </c>
    </row>
    <row r="5101" spans="1:8">
      <c r="A5101" s="12" t="s">
        <v>14057</v>
      </c>
      <c r="B5101" s="13">
        <v>28.82</v>
      </c>
      <c r="C5101" s="16" t="s">
        <v>5331</v>
      </c>
      <c r="D5101" s="12">
        <v>276</v>
      </c>
      <c r="E5101" s="12" t="s">
        <v>5332</v>
      </c>
      <c r="F5101" s="12" t="s">
        <v>5328</v>
      </c>
      <c r="G5101" s="12" t="s">
        <v>14059</v>
      </c>
      <c r="H5101" s="12">
        <v>166387</v>
      </c>
    </row>
    <row r="5102" spans="1:8">
      <c r="A5102" s="12" t="s">
        <v>14060</v>
      </c>
      <c r="B5102" s="14">
        <v>1733.31</v>
      </c>
      <c r="C5102" s="16" t="s">
        <v>5331</v>
      </c>
      <c r="D5102" s="12">
        <v>3734</v>
      </c>
      <c r="E5102" s="12" t="s">
        <v>5332</v>
      </c>
      <c r="F5102" s="12" t="s">
        <v>5328</v>
      </c>
      <c r="G5102" s="12" t="s">
        <v>14061</v>
      </c>
      <c r="H5102" s="12">
        <v>202603</v>
      </c>
    </row>
    <row r="5103" spans="1:8">
      <c r="A5103" s="12" t="s">
        <v>14060</v>
      </c>
      <c r="B5103" s="14">
        <v>1103.83</v>
      </c>
      <c r="C5103" s="16" t="s">
        <v>5331</v>
      </c>
      <c r="D5103" s="12">
        <v>3387</v>
      </c>
      <c r="E5103" s="12" t="s">
        <v>5332</v>
      </c>
      <c r="F5103" s="12" t="s">
        <v>5328</v>
      </c>
      <c r="G5103" s="12" t="s">
        <v>14062</v>
      </c>
      <c r="H5103" s="12">
        <v>166388</v>
      </c>
    </row>
    <row r="5104" spans="1:8">
      <c r="A5104" s="12" t="s">
        <v>14063</v>
      </c>
      <c r="B5104" s="14">
        <v>1842.36</v>
      </c>
      <c r="C5104" s="16" t="s">
        <v>5331</v>
      </c>
      <c r="D5104" s="12">
        <v>4287</v>
      </c>
      <c r="E5104" s="12" t="s">
        <v>5332</v>
      </c>
      <c r="F5104" s="12" t="s">
        <v>5328</v>
      </c>
      <c r="G5104" s="12" t="s">
        <v>14064</v>
      </c>
      <c r="H5104" s="12">
        <v>183750</v>
      </c>
    </row>
    <row r="5105" spans="1:8">
      <c r="A5105" s="12" t="s">
        <v>14063</v>
      </c>
      <c r="B5105" s="13">
        <v>0</v>
      </c>
      <c r="C5105" s="16" t="s">
        <v>5331</v>
      </c>
      <c r="D5105" s="12">
        <v>4083</v>
      </c>
      <c r="E5105" s="12" t="s">
        <v>5332</v>
      </c>
      <c r="F5105" s="12" t="s">
        <v>5328</v>
      </c>
      <c r="G5105" s="12" t="s">
        <v>14065</v>
      </c>
      <c r="H5105" s="12">
        <v>166128</v>
      </c>
    </row>
    <row r="5106" spans="1:8">
      <c r="A5106" s="12" t="s">
        <v>14066</v>
      </c>
      <c r="B5106" s="13">
        <v>58.48</v>
      </c>
      <c r="C5106" s="16" t="s">
        <v>5331</v>
      </c>
      <c r="D5106" s="12">
        <v>668</v>
      </c>
      <c r="E5106" s="12" t="s">
        <v>5332</v>
      </c>
      <c r="F5106" s="12" t="s">
        <v>5328</v>
      </c>
      <c r="G5106" s="12" t="s">
        <v>14067</v>
      </c>
      <c r="H5106" s="12">
        <v>202604</v>
      </c>
    </row>
    <row r="5107" spans="1:8">
      <c r="A5107" s="12" t="s">
        <v>14066</v>
      </c>
      <c r="B5107" s="13">
        <v>58.54</v>
      </c>
      <c r="C5107" s="16" t="s">
        <v>5331</v>
      </c>
      <c r="D5107" s="12">
        <v>636</v>
      </c>
      <c r="E5107" s="12" t="s">
        <v>5332</v>
      </c>
      <c r="F5107" s="12" t="s">
        <v>5328</v>
      </c>
      <c r="G5107" s="12" t="s">
        <v>14068</v>
      </c>
      <c r="H5107" s="12">
        <v>166390</v>
      </c>
    </row>
    <row r="5108" spans="1:8">
      <c r="A5108" s="12" t="s">
        <v>14069</v>
      </c>
      <c r="B5108" s="14">
        <v>1835</v>
      </c>
      <c r="C5108" s="16" t="s">
        <v>5331</v>
      </c>
      <c r="D5108" s="12">
        <v>3718</v>
      </c>
      <c r="E5108" s="12" t="s">
        <v>5332</v>
      </c>
      <c r="F5108" s="12" t="s">
        <v>5328</v>
      </c>
      <c r="G5108" s="12" t="s">
        <v>14070</v>
      </c>
      <c r="H5108" s="12">
        <v>202605</v>
      </c>
    </row>
    <row r="5109" spans="1:8">
      <c r="A5109" s="12" t="s">
        <v>14069</v>
      </c>
      <c r="B5109" s="14">
        <v>1836.9</v>
      </c>
      <c r="C5109" s="16" t="s">
        <v>5331</v>
      </c>
      <c r="D5109" s="12">
        <v>3372</v>
      </c>
      <c r="E5109" s="12" t="s">
        <v>5332</v>
      </c>
      <c r="F5109" s="12" t="s">
        <v>5328</v>
      </c>
      <c r="G5109" s="12" t="s">
        <v>14071</v>
      </c>
      <c r="H5109" s="12">
        <v>166391</v>
      </c>
    </row>
    <row r="5110" spans="1:8">
      <c r="A5110" s="12" t="s">
        <v>14072</v>
      </c>
      <c r="B5110" s="13">
        <v>4.24</v>
      </c>
      <c r="C5110" s="16" t="s">
        <v>5331</v>
      </c>
      <c r="D5110" s="12">
        <v>672</v>
      </c>
      <c r="E5110" s="12" t="s">
        <v>5332</v>
      </c>
      <c r="F5110" s="12" t="s">
        <v>5328</v>
      </c>
      <c r="G5110" s="12" t="s">
        <v>14073</v>
      </c>
      <c r="H5110" s="12">
        <v>202606</v>
      </c>
    </row>
    <row r="5111" spans="1:8">
      <c r="A5111" s="12" t="s">
        <v>14072</v>
      </c>
      <c r="B5111" s="13">
        <v>4</v>
      </c>
      <c r="C5111" s="16" t="s">
        <v>5331</v>
      </c>
      <c r="D5111" s="12">
        <v>640</v>
      </c>
      <c r="E5111" s="12" t="s">
        <v>5332</v>
      </c>
      <c r="F5111" s="12" t="s">
        <v>5328</v>
      </c>
      <c r="G5111" s="12" t="s">
        <v>14074</v>
      </c>
      <c r="H5111" s="12">
        <v>166392</v>
      </c>
    </row>
    <row r="5112" spans="1:8">
      <c r="A5112" s="12" t="s">
        <v>14075</v>
      </c>
      <c r="B5112" s="13">
        <v>52.04</v>
      </c>
      <c r="C5112" s="16" t="s">
        <v>5331</v>
      </c>
      <c r="D5112" s="12">
        <v>673</v>
      </c>
      <c r="E5112" s="12" t="s">
        <v>5332</v>
      </c>
      <c r="F5112" s="12" t="s">
        <v>5328</v>
      </c>
      <c r="G5112" s="12" t="s">
        <v>14076</v>
      </c>
      <c r="H5112" s="12">
        <v>202607</v>
      </c>
    </row>
    <row r="5113" spans="1:8">
      <c r="A5113" s="12" t="s">
        <v>14075</v>
      </c>
      <c r="B5113" s="13">
        <v>17.45</v>
      </c>
      <c r="C5113" s="16" t="s">
        <v>5331</v>
      </c>
      <c r="D5113" s="12">
        <v>641</v>
      </c>
      <c r="E5113" s="12" t="s">
        <v>5332</v>
      </c>
      <c r="F5113" s="12" t="s">
        <v>5328</v>
      </c>
      <c r="G5113" s="12" t="s">
        <v>14077</v>
      </c>
      <c r="H5113" s="12">
        <v>166393</v>
      </c>
    </row>
    <row r="5114" spans="1:8">
      <c r="A5114" s="12" t="s">
        <v>14078</v>
      </c>
      <c r="B5114" s="13">
        <v>124.91</v>
      </c>
      <c r="C5114" s="16" t="s">
        <v>5331</v>
      </c>
      <c r="D5114" s="12">
        <v>675</v>
      </c>
      <c r="E5114" s="12" t="s">
        <v>5332</v>
      </c>
      <c r="F5114" s="12" t="s">
        <v>5328</v>
      </c>
      <c r="G5114" s="12" t="s">
        <v>14079</v>
      </c>
      <c r="H5114" s="12">
        <v>202608</v>
      </c>
    </row>
    <row r="5115" spans="1:8">
      <c r="A5115" s="12" t="s">
        <v>14078</v>
      </c>
      <c r="B5115" s="13">
        <v>117.62</v>
      </c>
      <c r="C5115" s="16" t="s">
        <v>5331</v>
      </c>
      <c r="D5115" s="12">
        <v>643</v>
      </c>
      <c r="E5115" s="12" t="s">
        <v>5332</v>
      </c>
      <c r="F5115" s="12" t="s">
        <v>5328</v>
      </c>
      <c r="G5115" s="12" t="s">
        <v>14080</v>
      </c>
      <c r="H5115" s="12">
        <v>166394</v>
      </c>
    </row>
    <row r="5116" spans="1:8">
      <c r="A5116" s="12" t="s">
        <v>14081</v>
      </c>
      <c r="B5116" s="13">
        <v>12.29</v>
      </c>
      <c r="C5116" s="16" t="s">
        <v>5331</v>
      </c>
      <c r="D5116" s="12">
        <v>677</v>
      </c>
      <c r="E5116" s="12" t="s">
        <v>5332</v>
      </c>
      <c r="F5116" s="12" t="s">
        <v>5328</v>
      </c>
      <c r="G5116" s="12" t="s">
        <v>14082</v>
      </c>
      <c r="H5116" s="12">
        <v>202609</v>
      </c>
    </row>
    <row r="5117" spans="1:8">
      <c r="A5117" s="12" t="s">
        <v>14081</v>
      </c>
      <c r="B5117" s="13">
        <v>11.18</v>
      </c>
      <c r="C5117" s="16" t="s">
        <v>5331</v>
      </c>
      <c r="D5117" s="12">
        <v>645</v>
      </c>
      <c r="E5117" s="12" t="s">
        <v>5332</v>
      </c>
      <c r="F5117" s="12" t="s">
        <v>5328</v>
      </c>
      <c r="G5117" s="12" t="s">
        <v>14083</v>
      </c>
      <c r="H5117" s="12">
        <v>166395</v>
      </c>
    </row>
    <row r="5118" spans="1:8">
      <c r="A5118" s="12" t="s">
        <v>14084</v>
      </c>
      <c r="B5118" s="13">
        <v>20.239999999999998</v>
      </c>
      <c r="C5118" s="16" t="s">
        <v>5331</v>
      </c>
      <c r="D5118" s="12">
        <v>148</v>
      </c>
      <c r="E5118" s="12" t="s">
        <v>5332</v>
      </c>
      <c r="F5118" s="12" t="s">
        <v>5328</v>
      </c>
      <c r="G5118" s="12" t="s">
        <v>14085</v>
      </c>
      <c r="H5118" s="12">
        <v>202610</v>
      </c>
    </row>
    <row r="5119" spans="1:8">
      <c r="A5119" s="12" t="s">
        <v>14084</v>
      </c>
      <c r="B5119" s="13">
        <v>28.83</v>
      </c>
      <c r="C5119" s="16" t="s">
        <v>5331</v>
      </c>
      <c r="D5119" s="12">
        <v>134</v>
      </c>
      <c r="E5119" s="12" t="s">
        <v>5332</v>
      </c>
      <c r="F5119" s="12" t="s">
        <v>5328</v>
      </c>
      <c r="G5119" s="12" t="s">
        <v>14086</v>
      </c>
      <c r="H5119" s="12">
        <v>166396</v>
      </c>
    </row>
    <row r="5120" spans="1:8">
      <c r="A5120" s="12" t="s">
        <v>14087</v>
      </c>
      <c r="B5120" s="13">
        <v>16.13</v>
      </c>
      <c r="C5120" s="16" t="s">
        <v>5331</v>
      </c>
      <c r="D5120" s="12">
        <v>498</v>
      </c>
      <c r="E5120" s="12" t="s">
        <v>5332</v>
      </c>
      <c r="F5120" s="12" t="s">
        <v>5328</v>
      </c>
      <c r="G5120" s="12" t="s">
        <v>14088</v>
      </c>
      <c r="H5120" s="12">
        <v>202611</v>
      </c>
    </row>
    <row r="5121" spans="1:8">
      <c r="A5121" s="12" t="s">
        <v>14087</v>
      </c>
      <c r="B5121" s="13">
        <v>140.13</v>
      </c>
      <c r="C5121" s="16" t="s">
        <v>5331</v>
      </c>
      <c r="D5121" s="12">
        <v>451</v>
      </c>
      <c r="E5121" s="12" t="s">
        <v>5332</v>
      </c>
      <c r="F5121" s="12" t="s">
        <v>5328</v>
      </c>
      <c r="G5121" s="12" t="s">
        <v>14089</v>
      </c>
      <c r="H5121" s="12">
        <v>166397</v>
      </c>
    </row>
    <row r="5122" spans="1:8">
      <c r="A5122" s="12" t="s">
        <v>14090</v>
      </c>
      <c r="B5122" s="13">
        <v>802.18</v>
      </c>
      <c r="C5122" s="16" t="s">
        <v>5331</v>
      </c>
      <c r="D5122" s="12">
        <v>1714</v>
      </c>
      <c r="E5122" s="12" t="s">
        <v>5332</v>
      </c>
      <c r="F5122" s="12" t="s">
        <v>5328</v>
      </c>
      <c r="G5122" s="12" t="s">
        <v>14091</v>
      </c>
      <c r="H5122" s="12">
        <v>202612</v>
      </c>
    </row>
    <row r="5123" spans="1:8">
      <c r="A5123" s="12" t="s">
        <v>14090</v>
      </c>
      <c r="B5123" s="13">
        <v>462.81</v>
      </c>
      <c r="C5123" s="16" t="s">
        <v>5331</v>
      </c>
      <c r="D5123" s="12">
        <v>1632</v>
      </c>
      <c r="E5123" s="12" t="s">
        <v>5332</v>
      </c>
      <c r="F5123" s="12" t="s">
        <v>5328</v>
      </c>
      <c r="G5123" s="12" t="s">
        <v>14092</v>
      </c>
      <c r="H5123" s="12">
        <v>166398</v>
      </c>
    </row>
    <row r="5124" spans="1:8">
      <c r="A5124" s="12" t="s">
        <v>14093</v>
      </c>
      <c r="B5124" s="13">
        <v>14.14</v>
      </c>
      <c r="C5124" s="16" t="s">
        <v>5331</v>
      </c>
      <c r="D5124" s="12">
        <v>686</v>
      </c>
      <c r="E5124" s="12" t="s">
        <v>5332</v>
      </c>
      <c r="F5124" s="12" t="s">
        <v>5328</v>
      </c>
      <c r="G5124" s="12" t="s">
        <v>14094</v>
      </c>
      <c r="H5124" s="12">
        <v>176080</v>
      </c>
    </row>
    <row r="5125" spans="1:8">
      <c r="A5125" s="12" t="s">
        <v>14095</v>
      </c>
      <c r="B5125" s="13">
        <v>8.68</v>
      </c>
      <c r="C5125" s="16" t="s">
        <v>5331</v>
      </c>
      <c r="D5125" s="12">
        <v>688</v>
      </c>
      <c r="E5125" s="12" t="s">
        <v>5332</v>
      </c>
      <c r="F5125" s="12" t="s">
        <v>5328</v>
      </c>
      <c r="G5125" s="12" t="s">
        <v>14096</v>
      </c>
      <c r="H5125" s="12">
        <v>176081</v>
      </c>
    </row>
    <row r="5126" spans="1:8">
      <c r="A5126" s="12" t="s">
        <v>14097</v>
      </c>
      <c r="B5126" s="13">
        <v>4.68</v>
      </c>
      <c r="C5126" s="16" t="s">
        <v>5331</v>
      </c>
      <c r="D5126" s="12">
        <v>41</v>
      </c>
      <c r="E5126" s="12" t="s">
        <v>5332</v>
      </c>
      <c r="F5126" s="12" t="s">
        <v>5328</v>
      </c>
      <c r="G5126" s="12" t="s">
        <v>14098</v>
      </c>
      <c r="H5126" s="12">
        <v>202613</v>
      </c>
    </row>
    <row r="5127" spans="1:8">
      <c r="A5127" s="12" t="s">
        <v>14097</v>
      </c>
      <c r="B5127" s="13">
        <v>2.37</v>
      </c>
      <c r="C5127" s="16" t="s">
        <v>5331</v>
      </c>
      <c r="D5127" s="12">
        <v>37</v>
      </c>
      <c r="E5127" s="12" t="s">
        <v>5332</v>
      </c>
      <c r="F5127" s="12" t="s">
        <v>5328</v>
      </c>
      <c r="G5127" s="12" t="s">
        <v>14099</v>
      </c>
      <c r="H5127" s="12">
        <v>166399</v>
      </c>
    </row>
    <row r="5128" spans="1:8">
      <c r="A5128" s="12" t="s">
        <v>14100</v>
      </c>
      <c r="B5128" s="13">
        <v>386.75</v>
      </c>
      <c r="C5128" s="16" t="s">
        <v>5331</v>
      </c>
      <c r="D5128" s="12">
        <v>2460</v>
      </c>
      <c r="E5128" s="12" t="s">
        <v>5332</v>
      </c>
      <c r="F5128" s="12" t="s">
        <v>5328</v>
      </c>
      <c r="G5128" s="12" t="s">
        <v>14101</v>
      </c>
      <c r="H5128" s="12">
        <v>202614</v>
      </c>
    </row>
    <row r="5129" spans="1:8">
      <c r="A5129" s="12" t="s">
        <v>14100</v>
      </c>
      <c r="B5129" s="13">
        <v>392.99</v>
      </c>
      <c r="C5129" s="16" t="s">
        <v>5331</v>
      </c>
      <c r="D5129" s="12">
        <v>2231</v>
      </c>
      <c r="E5129" s="12" t="s">
        <v>5332</v>
      </c>
      <c r="F5129" s="12" t="s">
        <v>5328</v>
      </c>
      <c r="G5129" s="12" t="s">
        <v>14102</v>
      </c>
      <c r="H5129" s="12">
        <v>166400</v>
      </c>
    </row>
    <row r="5130" spans="1:8">
      <c r="A5130" s="12" t="s">
        <v>14103</v>
      </c>
      <c r="B5130" s="13">
        <v>196</v>
      </c>
      <c r="C5130" s="16" t="s">
        <v>5331</v>
      </c>
      <c r="D5130" s="12">
        <v>697</v>
      </c>
      <c r="E5130" s="12" t="s">
        <v>5332</v>
      </c>
      <c r="F5130" s="12" t="s">
        <v>5328</v>
      </c>
      <c r="G5130" s="12" t="s">
        <v>14104</v>
      </c>
      <c r="H5130" s="12">
        <v>166401</v>
      </c>
    </row>
    <row r="5131" spans="1:8">
      <c r="A5131" s="12" t="s">
        <v>14105</v>
      </c>
      <c r="B5131" s="13">
        <v>0</v>
      </c>
      <c r="C5131" s="16" t="s">
        <v>5331</v>
      </c>
      <c r="D5131" s="12">
        <v>701</v>
      </c>
      <c r="E5131" s="12" t="s">
        <v>5332</v>
      </c>
      <c r="F5131" s="12" t="s">
        <v>5328</v>
      </c>
      <c r="G5131" s="12" t="s">
        <v>14106</v>
      </c>
      <c r="H5131" s="12">
        <v>176086</v>
      </c>
    </row>
    <row r="5132" spans="1:8">
      <c r="A5132" s="12" t="s">
        <v>14107</v>
      </c>
      <c r="B5132" s="13">
        <v>0</v>
      </c>
      <c r="C5132" s="16" t="s">
        <v>5331</v>
      </c>
      <c r="D5132" s="12">
        <v>1789</v>
      </c>
      <c r="E5132" s="12" t="s">
        <v>5332</v>
      </c>
      <c r="F5132" s="12" t="s">
        <v>5328</v>
      </c>
      <c r="G5132" s="12" t="s">
        <v>14108</v>
      </c>
      <c r="H5132" s="12">
        <v>176087</v>
      </c>
    </row>
    <row r="5133" spans="1:8">
      <c r="A5133" s="12" t="s">
        <v>14109</v>
      </c>
      <c r="B5133" s="13">
        <v>0.16</v>
      </c>
      <c r="C5133" s="16" t="s">
        <v>5331</v>
      </c>
      <c r="D5133" s="12">
        <v>743</v>
      </c>
      <c r="E5133" s="12" t="s">
        <v>5332</v>
      </c>
      <c r="F5133" s="12" t="s">
        <v>5328</v>
      </c>
      <c r="G5133" s="12" t="s">
        <v>14110</v>
      </c>
      <c r="H5133" s="12">
        <v>176088</v>
      </c>
    </row>
    <row r="5134" spans="1:8">
      <c r="A5134" s="12" t="s">
        <v>14111</v>
      </c>
      <c r="B5134" s="13">
        <v>0</v>
      </c>
      <c r="C5134" s="16" t="s">
        <v>5331</v>
      </c>
      <c r="D5134" s="12">
        <v>672</v>
      </c>
      <c r="E5134" s="12" t="s">
        <v>5332</v>
      </c>
      <c r="F5134" s="12" t="s">
        <v>5328</v>
      </c>
      <c r="G5134" s="12" t="s">
        <v>14112</v>
      </c>
      <c r="H5134" s="12">
        <v>202615</v>
      </c>
    </row>
    <row r="5135" spans="1:8">
      <c r="A5135" s="12" t="s">
        <v>14111</v>
      </c>
      <c r="B5135" s="13">
        <v>0</v>
      </c>
      <c r="C5135" s="16" t="s">
        <v>5331</v>
      </c>
      <c r="D5135" s="12">
        <v>640</v>
      </c>
      <c r="E5135" s="12" t="s">
        <v>5332</v>
      </c>
      <c r="F5135" s="12" t="s">
        <v>5328</v>
      </c>
      <c r="G5135" s="12" t="s">
        <v>14113</v>
      </c>
      <c r="H5135" s="12">
        <v>167615</v>
      </c>
    </row>
    <row r="5136" spans="1:8">
      <c r="A5136" s="12" t="s">
        <v>14114</v>
      </c>
      <c r="B5136" s="13">
        <v>2.68</v>
      </c>
      <c r="C5136" s="16" t="s">
        <v>5331</v>
      </c>
      <c r="D5136" s="12">
        <v>60</v>
      </c>
      <c r="E5136" s="12" t="s">
        <v>5332</v>
      </c>
      <c r="F5136" s="12" t="s">
        <v>5328</v>
      </c>
      <c r="G5136" s="12" t="s">
        <v>14115</v>
      </c>
      <c r="H5136" s="12">
        <v>202616</v>
      </c>
    </row>
    <row r="5137" spans="1:8">
      <c r="A5137" s="12" t="s">
        <v>14114</v>
      </c>
      <c r="B5137" s="13">
        <v>0.01</v>
      </c>
      <c r="C5137" s="16" t="s">
        <v>5331</v>
      </c>
      <c r="D5137" s="12">
        <v>57</v>
      </c>
      <c r="E5137" s="12" t="s">
        <v>5332</v>
      </c>
      <c r="F5137" s="12" t="s">
        <v>5328</v>
      </c>
      <c r="G5137" s="12" t="s">
        <v>14116</v>
      </c>
      <c r="H5137" s="12">
        <v>166402</v>
      </c>
    </row>
    <row r="5138" spans="1:8">
      <c r="A5138" s="12" t="s">
        <v>14117</v>
      </c>
      <c r="B5138" s="13">
        <v>90.09</v>
      </c>
      <c r="C5138" s="16" t="s">
        <v>5331</v>
      </c>
      <c r="D5138" s="12">
        <v>296</v>
      </c>
      <c r="E5138" s="12" t="s">
        <v>5332</v>
      </c>
      <c r="F5138" s="12" t="s">
        <v>5328</v>
      </c>
      <c r="G5138" s="12" t="s">
        <v>14118</v>
      </c>
      <c r="H5138" s="12">
        <v>202617</v>
      </c>
    </row>
    <row r="5139" spans="1:8">
      <c r="A5139" s="12" t="s">
        <v>14117</v>
      </c>
      <c r="B5139" s="13">
        <v>84.83</v>
      </c>
      <c r="C5139" s="16" t="s">
        <v>5331</v>
      </c>
      <c r="D5139" s="12">
        <v>282</v>
      </c>
      <c r="E5139" s="12" t="s">
        <v>5332</v>
      </c>
      <c r="F5139" s="12" t="s">
        <v>5328</v>
      </c>
      <c r="G5139" s="12" t="s">
        <v>14119</v>
      </c>
      <c r="H5139" s="12">
        <v>166403</v>
      </c>
    </row>
    <row r="5140" spans="1:8">
      <c r="A5140" s="12" t="s">
        <v>14120</v>
      </c>
      <c r="B5140" s="13">
        <v>323.73</v>
      </c>
      <c r="C5140" s="16" t="s">
        <v>5331</v>
      </c>
      <c r="D5140" s="12">
        <v>953</v>
      </c>
      <c r="E5140" s="12" t="s">
        <v>5332</v>
      </c>
      <c r="F5140" s="12" t="s">
        <v>5328</v>
      </c>
      <c r="G5140" s="12" t="s">
        <v>14121</v>
      </c>
      <c r="H5140" s="12">
        <v>202618</v>
      </c>
    </row>
    <row r="5141" spans="1:8">
      <c r="A5141" s="12" t="s">
        <v>14120</v>
      </c>
      <c r="B5141" s="13">
        <v>290.02</v>
      </c>
      <c r="C5141" s="16" t="s">
        <v>5331</v>
      </c>
      <c r="D5141" s="12">
        <v>908</v>
      </c>
      <c r="E5141" s="12" t="s">
        <v>5332</v>
      </c>
      <c r="F5141" s="12" t="s">
        <v>5328</v>
      </c>
      <c r="G5141" s="12" t="s">
        <v>14122</v>
      </c>
      <c r="H5141" s="12">
        <v>167616</v>
      </c>
    </row>
    <row r="5142" spans="1:8">
      <c r="A5142" s="12" t="s">
        <v>14123</v>
      </c>
      <c r="B5142" s="13">
        <v>109.76</v>
      </c>
      <c r="C5142" s="16" t="s">
        <v>5331</v>
      </c>
      <c r="D5142" s="12">
        <v>1164</v>
      </c>
      <c r="E5142" s="12" t="s">
        <v>5332</v>
      </c>
      <c r="F5142" s="12" t="s">
        <v>5328</v>
      </c>
      <c r="G5142" s="12" t="s">
        <v>14124</v>
      </c>
      <c r="H5142" s="12">
        <v>183752</v>
      </c>
    </row>
    <row r="5143" spans="1:8">
      <c r="A5143" s="12" t="s">
        <v>14125</v>
      </c>
      <c r="B5143" s="13">
        <v>0</v>
      </c>
      <c r="C5143" s="16" t="s">
        <v>5331</v>
      </c>
      <c r="D5143" s="12">
        <v>2756</v>
      </c>
      <c r="E5143" s="12" t="s">
        <v>5332</v>
      </c>
      <c r="F5143" s="12" t="s">
        <v>5328</v>
      </c>
      <c r="G5143" s="12" t="s">
        <v>14126</v>
      </c>
      <c r="H5143" s="12">
        <v>167077</v>
      </c>
    </row>
    <row r="5144" spans="1:8">
      <c r="A5144" s="12" t="s">
        <v>14127</v>
      </c>
      <c r="B5144" s="13">
        <v>9.64</v>
      </c>
      <c r="C5144" s="16" t="s">
        <v>5331</v>
      </c>
      <c r="D5144" s="12">
        <v>140</v>
      </c>
      <c r="E5144" s="12" t="s">
        <v>5332</v>
      </c>
      <c r="F5144" s="12" t="s">
        <v>5328</v>
      </c>
      <c r="G5144" s="12" t="s">
        <v>14128</v>
      </c>
      <c r="H5144" s="12">
        <v>202619</v>
      </c>
    </row>
    <row r="5145" spans="1:8">
      <c r="A5145" s="12" t="s">
        <v>14127</v>
      </c>
      <c r="B5145" s="13">
        <v>0</v>
      </c>
      <c r="C5145" s="16" t="s">
        <v>5331</v>
      </c>
      <c r="D5145" s="12">
        <v>133</v>
      </c>
      <c r="E5145" s="12" t="s">
        <v>5332</v>
      </c>
      <c r="F5145" s="12" t="s">
        <v>5328</v>
      </c>
      <c r="G5145" s="12" t="s">
        <v>14129</v>
      </c>
      <c r="H5145" s="12">
        <v>166405</v>
      </c>
    </row>
    <row r="5146" spans="1:8">
      <c r="A5146" s="12" t="s">
        <v>14130</v>
      </c>
      <c r="B5146" s="13">
        <v>16.079999999999998</v>
      </c>
      <c r="C5146" s="16" t="s">
        <v>5331</v>
      </c>
      <c r="D5146" s="12">
        <v>146</v>
      </c>
      <c r="E5146" s="12" t="s">
        <v>5332</v>
      </c>
      <c r="F5146" s="12" t="s">
        <v>5328</v>
      </c>
      <c r="G5146" s="12" t="s">
        <v>14131</v>
      </c>
      <c r="H5146" s="12">
        <v>183753</v>
      </c>
    </row>
    <row r="5147" spans="1:8">
      <c r="A5147" s="12" t="s">
        <v>14132</v>
      </c>
      <c r="B5147" s="13">
        <v>14.49</v>
      </c>
      <c r="C5147" s="16" t="s">
        <v>5331</v>
      </c>
      <c r="D5147" s="12">
        <v>164</v>
      </c>
      <c r="E5147" s="12" t="s">
        <v>5332</v>
      </c>
      <c r="F5147" s="12" t="s">
        <v>5328</v>
      </c>
      <c r="G5147" s="12" t="s">
        <v>14133</v>
      </c>
      <c r="H5147" s="12">
        <v>202620</v>
      </c>
    </row>
    <row r="5148" spans="1:8">
      <c r="A5148" s="12" t="s">
        <v>14132</v>
      </c>
      <c r="B5148" s="13">
        <v>15.33</v>
      </c>
      <c r="C5148" s="16" t="s">
        <v>5331</v>
      </c>
      <c r="D5148" s="12">
        <v>156</v>
      </c>
      <c r="E5148" s="12" t="s">
        <v>5332</v>
      </c>
      <c r="F5148" s="12" t="s">
        <v>5328</v>
      </c>
      <c r="G5148" s="12" t="s">
        <v>14134</v>
      </c>
      <c r="H5148" s="12">
        <v>166407</v>
      </c>
    </row>
    <row r="5149" spans="1:8">
      <c r="A5149" s="12" t="s">
        <v>14135</v>
      </c>
      <c r="B5149" s="13">
        <v>14.79</v>
      </c>
      <c r="C5149" s="16" t="s">
        <v>5331</v>
      </c>
      <c r="D5149" s="12">
        <v>145</v>
      </c>
      <c r="E5149" s="12" t="s">
        <v>5332</v>
      </c>
      <c r="F5149" s="12" t="s">
        <v>5328</v>
      </c>
      <c r="G5149" s="12" t="s">
        <v>14136</v>
      </c>
      <c r="H5149" s="12">
        <v>183754</v>
      </c>
    </row>
    <row r="5150" spans="1:8">
      <c r="A5150" s="12" t="s">
        <v>14137</v>
      </c>
      <c r="B5150" s="13">
        <v>15.28</v>
      </c>
      <c r="C5150" s="16" t="s">
        <v>5331</v>
      </c>
      <c r="D5150" s="12">
        <v>160</v>
      </c>
      <c r="E5150" s="12" t="s">
        <v>5332</v>
      </c>
      <c r="F5150" s="12" t="s">
        <v>5328</v>
      </c>
      <c r="G5150" s="12" t="s">
        <v>14138</v>
      </c>
      <c r="H5150" s="12">
        <v>202621</v>
      </c>
    </row>
    <row r="5151" spans="1:8">
      <c r="A5151" s="12" t="s">
        <v>14137</v>
      </c>
      <c r="B5151" s="13">
        <v>0</v>
      </c>
      <c r="C5151" s="16" t="s">
        <v>5331</v>
      </c>
      <c r="D5151" s="12">
        <v>152</v>
      </c>
      <c r="E5151" s="12" t="s">
        <v>5332</v>
      </c>
      <c r="F5151" s="12" t="s">
        <v>5328</v>
      </c>
      <c r="G5151" s="12" t="s">
        <v>14139</v>
      </c>
      <c r="H5151" s="12">
        <v>166408</v>
      </c>
    </row>
    <row r="5152" spans="1:8">
      <c r="A5152" s="12" t="s">
        <v>14140</v>
      </c>
      <c r="B5152" s="13">
        <v>85.04</v>
      </c>
      <c r="C5152" s="16" t="s">
        <v>5331</v>
      </c>
      <c r="D5152" s="12">
        <v>156</v>
      </c>
      <c r="E5152" s="12" t="s">
        <v>5332</v>
      </c>
      <c r="F5152" s="12" t="s">
        <v>5328</v>
      </c>
      <c r="G5152" s="12" t="s">
        <v>14141</v>
      </c>
      <c r="H5152" s="12">
        <v>202622</v>
      </c>
    </row>
    <row r="5153" spans="1:8">
      <c r="A5153" s="12" t="s">
        <v>14140</v>
      </c>
      <c r="B5153" s="13">
        <v>80.08</v>
      </c>
      <c r="C5153" s="16" t="s">
        <v>5331</v>
      </c>
      <c r="D5153" s="12">
        <v>149</v>
      </c>
      <c r="E5153" s="12" t="s">
        <v>5332</v>
      </c>
      <c r="F5153" s="12" t="s">
        <v>5328</v>
      </c>
      <c r="G5153" s="12" t="s">
        <v>14142</v>
      </c>
      <c r="H5153" s="12">
        <v>166409</v>
      </c>
    </row>
    <row r="5154" spans="1:8">
      <c r="A5154" s="12" t="s">
        <v>14143</v>
      </c>
      <c r="B5154" s="13">
        <v>17.149999999999999</v>
      </c>
      <c r="C5154" s="16" t="s">
        <v>5331</v>
      </c>
      <c r="D5154" s="12">
        <v>1195</v>
      </c>
      <c r="E5154" s="12" t="s">
        <v>5332</v>
      </c>
      <c r="F5154" s="12" t="s">
        <v>5328</v>
      </c>
      <c r="G5154" s="12" t="s">
        <v>14144</v>
      </c>
      <c r="H5154" s="12">
        <v>183759</v>
      </c>
    </row>
    <row r="5155" spans="1:8">
      <c r="A5155" s="12" t="s">
        <v>14145</v>
      </c>
      <c r="B5155" s="13">
        <v>141.72999999999999</v>
      </c>
      <c r="C5155" s="16" t="s">
        <v>5331</v>
      </c>
      <c r="D5155" s="12">
        <v>1122</v>
      </c>
      <c r="E5155" s="12" t="s">
        <v>5332</v>
      </c>
      <c r="F5155" s="12" t="s">
        <v>5328</v>
      </c>
      <c r="G5155" s="12" t="s">
        <v>14146</v>
      </c>
      <c r="H5155" s="12">
        <v>176106</v>
      </c>
    </row>
    <row r="5156" spans="1:8">
      <c r="A5156" s="12" t="s">
        <v>14147</v>
      </c>
      <c r="B5156" s="13">
        <v>128.74</v>
      </c>
      <c r="C5156" s="16" t="s">
        <v>5331</v>
      </c>
      <c r="D5156" s="12">
        <v>1076</v>
      </c>
      <c r="E5156" s="12" t="s">
        <v>5332</v>
      </c>
      <c r="F5156" s="12" t="s">
        <v>5328</v>
      </c>
      <c r="G5156" s="12" t="s">
        <v>14148</v>
      </c>
      <c r="H5156" s="12">
        <v>176107</v>
      </c>
    </row>
    <row r="5157" spans="1:8">
      <c r="A5157" s="12" t="s">
        <v>14149</v>
      </c>
      <c r="B5157" s="13">
        <v>98.68</v>
      </c>
      <c r="C5157" s="16" t="s">
        <v>5331</v>
      </c>
      <c r="D5157" s="12">
        <v>537</v>
      </c>
      <c r="E5157" s="12" t="s">
        <v>5332</v>
      </c>
      <c r="F5157" s="12" t="s">
        <v>5328</v>
      </c>
      <c r="G5157" s="12" t="s">
        <v>14150</v>
      </c>
      <c r="H5157" s="12">
        <v>202623</v>
      </c>
    </row>
    <row r="5158" spans="1:8">
      <c r="A5158" s="12" t="s">
        <v>14149</v>
      </c>
      <c r="B5158" s="13">
        <v>276.8</v>
      </c>
      <c r="C5158" s="16" t="s">
        <v>5331</v>
      </c>
      <c r="D5158" s="12">
        <v>511</v>
      </c>
      <c r="E5158" s="12" t="s">
        <v>5332</v>
      </c>
      <c r="F5158" s="12" t="s">
        <v>5328</v>
      </c>
      <c r="G5158" s="12" t="s">
        <v>14151</v>
      </c>
      <c r="H5158" s="12">
        <v>166411</v>
      </c>
    </row>
    <row r="5159" spans="1:8">
      <c r="A5159" s="12" t="s">
        <v>14152</v>
      </c>
      <c r="B5159" s="13">
        <v>98.68</v>
      </c>
      <c r="C5159" s="16" t="s">
        <v>5331</v>
      </c>
      <c r="D5159" s="12">
        <v>533</v>
      </c>
      <c r="E5159" s="12" t="s">
        <v>5332</v>
      </c>
      <c r="F5159" s="12" t="s">
        <v>5328</v>
      </c>
      <c r="G5159" s="12" t="s">
        <v>14153</v>
      </c>
      <c r="H5159" s="12">
        <v>176109</v>
      </c>
    </row>
    <row r="5160" spans="1:8">
      <c r="A5160" s="12" t="s">
        <v>14154</v>
      </c>
      <c r="B5160" s="13">
        <v>55.94</v>
      </c>
      <c r="C5160" s="16" t="s">
        <v>5331</v>
      </c>
      <c r="D5160" s="12">
        <v>662</v>
      </c>
      <c r="E5160" s="12" t="s">
        <v>5332</v>
      </c>
      <c r="F5160" s="12" t="s">
        <v>5328</v>
      </c>
      <c r="G5160" s="12" t="s">
        <v>14155</v>
      </c>
      <c r="H5160" s="12">
        <v>202624</v>
      </c>
    </row>
    <row r="5161" spans="1:8">
      <c r="A5161" s="12" t="s">
        <v>14154</v>
      </c>
      <c r="B5161" s="13">
        <v>78.36</v>
      </c>
      <c r="C5161" s="16" t="s">
        <v>5331</v>
      </c>
      <c r="D5161" s="12">
        <v>630</v>
      </c>
      <c r="E5161" s="12" t="s">
        <v>5332</v>
      </c>
      <c r="F5161" s="12" t="s">
        <v>5328</v>
      </c>
      <c r="G5161" s="12" t="s">
        <v>14156</v>
      </c>
      <c r="H5161" s="12">
        <v>166132</v>
      </c>
    </row>
    <row r="5162" spans="1:8">
      <c r="A5162" s="12" t="s">
        <v>14157</v>
      </c>
      <c r="B5162" s="13">
        <v>117.14</v>
      </c>
      <c r="C5162" s="16" t="s">
        <v>5331</v>
      </c>
      <c r="D5162" s="12">
        <v>1792</v>
      </c>
      <c r="E5162" s="12" t="s">
        <v>5332</v>
      </c>
      <c r="F5162" s="12" t="s">
        <v>5328</v>
      </c>
      <c r="G5162" s="12" t="s">
        <v>14158</v>
      </c>
      <c r="H5162" s="12">
        <v>202625</v>
      </c>
    </row>
    <row r="5163" spans="1:8">
      <c r="A5163" s="12" t="s">
        <v>14157</v>
      </c>
      <c r="B5163" s="13">
        <v>0</v>
      </c>
      <c r="C5163" s="16" t="s">
        <v>5331</v>
      </c>
      <c r="D5163" s="12">
        <v>1707</v>
      </c>
      <c r="E5163" s="12" t="s">
        <v>5332</v>
      </c>
      <c r="F5163" s="12" t="s">
        <v>5328</v>
      </c>
      <c r="G5163" s="12" t="s">
        <v>14159</v>
      </c>
      <c r="H5163" s="12">
        <v>166133</v>
      </c>
    </row>
    <row r="5164" spans="1:8">
      <c r="A5164" s="12" t="s">
        <v>14160</v>
      </c>
      <c r="B5164" s="13">
        <v>33.42</v>
      </c>
      <c r="C5164" s="16" t="s">
        <v>5331</v>
      </c>
      <c r="D5164" s="12">
        <v>109</v>
      </c>
      <c r="E5164" s="12" t="s">
        <v>5332</v>
      </c>
      <c r="F5164" s="12" t="s">
        <v>5328</v>
      </c>
      <c r="G5164" s="12" t="s">
        <v>14161</v>
      </c>
      <c r="H5164" s="12">
        <v>176112</v>
      </c>
    </row>
    <row r="5165" spans="1:8">
      <c r="A5165" s="12" t="s">
        <v>14162</v>
      </c>
      <c r="B5165" s="13">
        <v>36.03</v>
      </c>
      <c r="C5165" s="16" t="s">
        <v>5331</v>
      </c>
      <c r="D5165" s="12">
        <v>122</v>
      </c>
      <c r="E5165" s="12" t="s">
        <v>5332</v>
      </c>
      <c r="F5165" s="12" t="s">
        <v>5328</v>
      </c>
      <c r="G5165" s="12" t="s">
        <v>14163</v>
      </c>
      <c r="H5165" s="12">
        <v>202626</v>
      </c>
    </row>
    <row r="5166" spans="1:8">
      <c r="A5166" s="12" t="s">
        <v>14162</v>
      </c>
      <c r="B5166" s="13">
        <v>37.06</v>
      </c>
      <c r="C5166" s="16" t="s">
        <v>5331</v>
      </c>
      <c r="D5166" s="12">
        <v>116</v>
      </c>
      <c r="E5166" s="12" t="s">
        <v>5332</v>
      </c>
      <c r="F5166" s="12" t="s">
        <v>5328</v>
      </c>
      <c r="G5166" s="12" t="s">
        <v>14164</v>
      </c>
      <c r="H5166" s="12">
        <v>166412</v>
      </c>
    </row>
    <row r="5167" spans="1:8">
      <c r="A5167" s="12" t="s">
        <v>14165</v>
      </c>
      <c r="B5167" s="13">
        <v>0</v>
      </c>
      <c r="C5167" s="16" t="s">
        <v>5331</v>
      </c>
      <c r="D5167" s="12">
        <v>1220</v>
      </c>
      <c r="E5167" s="12" t="s">
        <v>5332</v>
      </c>
      <c r="F5167" s="12" t="s">
        <v>5328</v>
      </c>
      <c r="G5167" s="12" t="s">
        <v>14166</v>
      </c>
      <c r="H5167" s="12">
        <v>183761</v>
      </c>
    </row>
    <row r="5168" spans="1:8">
      <c r="A5168" s="12" t="s">
        <v>14167</v>
      </c>
      <c r="B5168" s="13">
        <v>27.25</v>
      </c>
      <c r="C5168" s="16" t="s">
        <v>5331</v>
      </c>
      <c r="D5168" s="12">
        <v>59</v>
      </c>
      <c r="E5168" s="12" t="s">
        <v>5332</v>
      </c>
      <c r="F5168" s="12" t="s">
        <v>5328</v>
      </c>
      <c r="G5168" s="12" t="s">
        <v>14168</v>
      </c>
      <c r="H5168" s="12">
        <v>183762</v>
      </c>
    </row>
    <row r="5169" spans="1:8">
      <c r="A5169" s="12" t="s">
        <v>14169</v>
      </c>
      <c r="B5169" s="13">
        <v>16.079999999999998</v>
      </c>
      <c r="C5169" s="16" t="s">
        <v>5331</v>
      </c>
      <c r="D5169" s="12">
        <v>55</v>
      </c>
      <c r="E5169" s="12" t="s">
        <v>5332</v>
      </c>
      <c r="F5169" s="12" t="s">
        <v>5328</v>
      </c>
      <c r="G5169" s="12" t="s">
        <v>14170</v>
      </c>
      <c r="H5169" s="12">
        <v>183763</v>
      </c>
    </row>
    <row r="5170" spans="1:8">
      <c r="A5170" s="12" t="s">
        <v>14171</v>
      </c>
      <c r="B5170" s="13">
        <v>0</v>
      </c>
      <c r="C5170" s="16" t="s">
        <v>5331</v>
      </c>
      <c r="D5170" s="12">
        <v>71</v>
      </c>
      <c r="E5170" s="12" t="s">
        <v>5332</v>
      </c>
      <c r="F5170" s="12" t="s">
        <v>5328</v>
      </c>
      <c r="G5170" s="12" t="s">
        <v>14172</v>
      </c>
      <c r="H5170" s="12">
        <v>183764</v>
      </c>
    </row>
    <row r="5171" spans="1:8">
      <c r="A5171" s="12" t="s">
        <v>14173</v>
      </c>
      <c r="B5171" s="13">
        <v>0</v>
      </c>
      <c r="C5171" s="16" t="s">
        <v>5331</v>
      </c>
      <c r="D5171" s="12">
        <v>72</v>
      </c>
      <c r="E5171" s="12" t="s">
        <v>5332</v>
      </c>
      <c r="F5171" s="12" t="s">
        <v>5328</v>
      </c>
      <c r="G5171" s="12" t="s">
        <v>14174</v>
      </c>
      <c r="H5171" s="12">
        <v>183765</v>
      </c>
    </row>
    <row r="5172" spans="1:8">
      <c r="A5172" s="12" t="s">
        <v>14175</v>
      </c>
      <c r="B5172" s="14">
        <v>1385.14</v>
      </c>
      <c r="C5172" s="16" t="s">
        <v>5331</v>
      </c>
      <c r="D5172" s="12">
        <v>4295</v>
      </c>
      <c r="E5172" s="12" t="s">
        <v>5332</v>
      </c>
      <c r="F5172" s="12" t="s">
        <v>5328</v>
      </c>
      <c r="G5172" s="12" t="s">
        <v>14176</v>
      </c>
      <c r="H5172" s="12">
        <v>184232</v>
      </c>
    </row>
    <row r="5173" spans="1:8">
      <c r="A5173" s="12" t="s">
        <v>14175</v>
      </c>
      <c r="B5173" s="13">
        <v>0</v>
      </c>
      <c r="C5173" s="16" t="s">
        <v>5331</v>
      </c>
      <c r="D5173" s="12">
        <v>4090</v>
      </c>
      <c r="E5173" s="12" t="s">
        <v>5332</v>
      </c>
      <c r="F5173" s="12" t="s">
        <v>5328</v>
      </c>
      <c r="G5173" s="12" t="s">
        <v>14177</v>
      </c>
      <c r="H5173" s="12">
        <v>166086</v>
      </c>
    </row>
    <row r="5174" spans="1:8">
      <c r="A5174" s="12" t="s">
        <v>14178</v>
      </c>
      <c r="B5174" s="13">
        <v>15.07</v>
      </c>
      <c r="C5174" s="16" t="s">
        <v>5331</v>
      </c>
      <c r="D5174" s="12">
        <v>62</v>
      </c>
      <c r="E5174" s="12" t="s">
        <v>5332</v>
      </c>
      <c r="F5174" s="12" t="s">
        <v>5328</v>
      </c>
      <c r="G5174" s="12" t="s">
        <v>14179</v>
      </c>
      <c r="H5174" s="12">
        <v>183766</v>
      </c>
    </row>
    <row r="5175" spans="1:8">
      <c r="A5175" s="12" t="s">
        <v>14180</v>
      </c>
      <c r="B5175" s="13">
        <v>0</v>
      </c>
      <c r="C5175" s="16" t="s">
        <v>5331</v>
      </c>
      <c r="D5175" s="12">
        <v>53</v>
      </c>
      <c r="E5175" s="12" t="s">
        <v>5332</v>
      </c>
      <c r="F5175" s="12" t="s">
        <v>5328</v>
      </c>
      <c r="G5175" s="12" t="s">
        <v>14181</v>
      </c>
      <c r="H5175" s="12">
        <v>183767</v>
      </c>
    </row>
    <row r="5176" spans="1:8">
      <c r="A5176" s="12" t="s">
        <v>14182</v>
      </c>
      <c r="B5176" s="13">
        <v>0</v>
      </c>
      <c r="C5176" s="16" t="s">
        <v>5331</v>
      </c>
      <c r="D5176" s="12">
        <v>53</v>
      </c>
      <c r="E5176" s="12" t="s">
        <v>5332</v>
      </c>
      <c r="F5176" s="12" t="s">
        <v>5328</v>
      </c>
      <c r="G5176" s="12" t="s">
        <v>14183</v>
      </c>
      <c r="H5176" s="12">
        <v>183768</v>
      </c>
    </row>
    <row r="5177" spans="1:8">
      <c r="A5177" s="12" t="s">
        <v>14184</v>
      </c>
      <c r="B5177" s="13">
        <v>0</v>
      </c>
      <c r="C5177" s="16" t="s">
        <v>5331</v>
      </c>
      <c r="D5177" s="12">
        <v>53</v>
      </c>
      <c r="E5177" s="12" t="s">
        <v>5332</v>
      </c>
      <c r="F5177" s="12" t="s">
        <v>5328</v>
      </c>
      <c r="G5177" s="12" t="s">
        <v>14185</v>
      </c>
      <c r="H5177" s="12">
        <v>183769</v>
      </c>
    </row>
    <row r="5178" spans="1:8">
      <c r="A5178" s="12" t="s">
        <v>14186</v>
      </c>
      <c r="B5178" s="13">
        <v>0</v>
      </c>
      <c r="C5178" s="16" t="s">
        <v>5331</v>
      </c>
      <c r="D5178" s="12">
        <v>53</v>
      </c>
      <c r="E5178" s="12" t="s">
        <v>5332</v>
      </c>
      <c r="F5178" s="12" t="s">
        <v>5328</v>
      </c>
      <c r="G5178" s="12" t="s">
        <v>14187</v>
      </c>
      <c r="H5178" s="12">
        <v>183770</v>
      </c>
    </row>
    <row r="5179" spans="1:8">
      <c r="A5179" s="12" t="s">
        <v>14188</v>
      </c>
      <c r="B5179" s="13">
        <v>0</v>
      </c>
      <c r="C5179" s="16" t="s">
        <v>5331</v>
      </c>
      <c r="D5179" s="12">
        <v>53</v>
      </c>
      <c r="E5179" s="12" t="s">
        <v>5332</v>
      </c>
      <c r="F5179" s="12" t="s">
        <v>5328</v>
      </c>
      <c r="G5179" s="12" t="s">
        <v>14189</v>
      </c>
      <c r="H5179" s="12">
        <v>183771</v>
      </c>
    </row>
    <row r="5180" spans="1:8">
      <c r="A5180" s="12" t="s">
        <v>14190</v>
      </c>
      <c r="B5180" s="13">
        <v>0</v>
      </c>
      <c r="C5180" s="16" t="s">
        <v>5331</v>
      </c>
      <c r="D5180" s="12">
        <v>53</v>
      </c>
      <c r="E5180" s="12" t="s">
        <v>5332</v>
      </c>
      <c r="F5180" s="12" t="s">
        <v>5328</v>
      </c>
      <c r="G5180" s="12" t="s">
        <v>14191</v>
      </c>
      <c r="H5180" s="12">
        <v>183772</v>
      </c>
    </row>
    <row r="5181" spans="1:8">
      <c r="A5181" s="12" t="s">
        <v>14192</v>
      </c>
      <c r="B5181" s="13">
        <v>0</v>
      </c>
      <c r="C5181" s="16" t="s">
        <v>5331</v>
      </c>
      <c r="D5181" s="12">
        <v>53</v>
      </c>
      <c r="E5181" s="12" t="s">
        <v>5332</v>
      </c>
      <c r="F5181" s="12" t="s">
        <v>5328</v>
      </c>
      <c r="G5181" s="12" t="s">
        <v>14193</v>
      </c>
      <c r="H5181" s="12">
        <v>183773</v>
      </c>
    </row>
    <row r="5182" spans="1:8">
      <c r="A5182" s="12" t="s">
        <v>14194</v>
      </c>
      <c r="B5182" s="13">
        <v>0</v>
      </c>
      <c r="C5182" s="16" t="s">
        <v>5331</v>
      </c>
      <c r="D5182" s="12">
        <v>53</v>
      </c>
      <c r="E5182" s="12" t="s">
        <v>5332</v>
      </c>
      <c r="F5182" s="12" t="s">
        <v>5328</v>
      </c>
      <c r="G5182" s="12" t="s">
        <v>14195</v>
      </c>
      <c r="H5182" s="12">
        <v>183774</v>
      </c>
    </row>
    <row r="5183" spans="1:8">
      <c r="A5183" s="12" t="s">
        <v>14196</v>
      </c>
      <c r="B5183" s="13">
        <v>0</v>
      </c>
      <c r="C5183" s="16" t="s">
        <v>5331</v>
      </c>
      <c r="D5183" s="12">
        <v>53</v>
      </c>
      <c r="E5183" s="12" t="s">
        <v>5332</v>
      </c>
      <c r="F5183" s="12" t="s">
        <v>5328</v>
      </c>
      <c r="G5183" s="12" t="s">
        <v>14197</v>
      </c>
      <c r="H5183" s="12">
        <v>183775</v>
      </c>
    </row>
    <row r="5184" spans="1:8">
      <c r="A5184" s="12" t="s">
        <v>14198</v>
      </c>
      <c r="B5184" s="13">
        <v>0</v>
      </c>
      <c r="C5184" s="16" t="s">
        <v>5331</v>
      </c>
      <c r="D5184" s="12">
        <v>53</v>
      </c>
      <c r="E5184" s="12" t="s">
        <v>5332</v>
      </c>
      <c r="F5184" s="12" t="s">
        <v>5328</v>
      </c>
      <c r="G5184" s="12" t="s">
        <v>14199</v>
      </c>
      <c r="H5184" s="12">
        <v>183776</v>
      </c>
    </row>
    <row r="5185" spans="1:8">
      <c r="A5185" s="12" t="s">
        <v>14198</v>
      </c>
      <c r="B5185" s="13">
        <v>0</v>
      </c>
      <c r="C5185" s="16" t="s">
        <v>5331</v>
      </c>
      <c r="D5185" s="12">
        <v>50</v>
      </c>
      <c r="E5185" s="12" t="s">
        <v>5332</v>
      </c>
      <c r="F5185" s="12" t="s">
        <v>5328</v>
      </c>
      <c r="G5185" s="12" t="s">
        <v>14200</v>
      </c>
      <c r="H5185" s="12">
        <v>166097</v>
      </c>
    </row>
    <row r="5186" spans="1:8">
      <c r="A5186" s="12" t="s">
        <v>14201</v>
      </c>
      <c r="B5186" s="13">
        <v>0</v>
      </c>
      <c r="C5186" s="16" t="s">
        <v>5331</v>
      </c>
      <c r="D5186" s="12">
        <v>53</v>
      </c>
      <c r="E5186" s="12" t="s">
        <v>5332</v>
      </c>
      <c r="F5186" s="12" t="s">
        <v>5328</v>
      </c>
      <c r="G5186" s="12" t="s">
        <v>14202</v>
      </c>
      <c r="H5186" s="12">
        <v>183777</v>
      </c>
    </row>
    <row r="5187" spans="1:8">
      <c r="A5187" s="12" t="s">
        <v>14201</v>
      </c>
      <c r="B5187" s="13">
        <v>0</v>
      </c>
      <c r="C5187" s="16" t="s">
        <v>5331</v>
      </c>
      <c r="D5187" s="12">
        <v>50</v>
      </c>
      <c r="E5187" s="12" t="s">
        <v>5332</v>
      </c>
      <c r="F5187" s="12" t="s">
        <v>5328</v>
      </c>
      <c r="G5187" s="12" t="s">
        <v>14203</v>
      </c>
      <c r="H5187" s="12">
        <v>166098</v>
      </c>
    </row>
    <row r="5188" spans="1:8">
      <c r="A5188" s="12" t="s">
        <v>14204</v>
      </c>
      <c r="B5188" s="13">
        <v>0</v>
      </c>
      <c r="C5188" s="16" t="s">
        <v>5331</v>
      </c>
      <c r="D5188" s="12">
        <v>53</v>
      </c>
      <c r="E5188" s="12" t="s">
        <v>5332</v>
      </c>
      <c r="F5188" s="12" t="s">
        <v>5328</v>
      </c>
      <c r="G5188" s="12" t="s">
        <v>14205</v>
      </c>
      <c r="H5188" s="12">
        <v>183778</v>
      </c>
    </row>
    <row r="5189" spans="1:8">
      <c r="A5189" s="12" t="s">
        <v>14206</v>
      </c>
      <c r="B5189" s="13">
        <v>0</v>
      </c>
      <c r="C5189" s="16" t="s">
        <v>5331</v>
      </c>
      <c r="D5189" s="12">
        <v>53</v>
      </c>
      <c r="E5189" s="12" t="s">
        <v>5332</v>
      </c>
      <c r="F5189" s="12" t="s">
        <v>5328</v>
      </c>
      <c r="G5189" s="12" t="s">
        <v>14207</v>
      </c>
      <c r="H5189" s="12">
        <v>183779</v>
      </c>
    </row>
    <row r="5190" spans="1:8">
      <c r="A5190" s="12" t="s">
        <v>14208</v>
      </c>
      <c r="B5190" s="13">
        <v>0</v>
      </c>
      <c r="C5190" s="16" t="s">
        <v>5331</v>
      </c>
      <c r="D5190" s="12">
        <v>53</v>
      </c>
      <c r="E5190" s="12" t="s">
        <v>5332</v>
      </c>
      <c r="F5190" s="12" t="s">
        <v>5328</v>
      </c>
      <c r="G5190" s="12" t="s">
        <v>14209</v>
      </c>
      <c r="H5190" s="12">
        <v>183780</v>
      </c>
    </row>
    <row r="5191" spans="1:8">
      <c r="A5191" s="12" t="s">
        <v>14210</v>
      </c>
      <c r="B5191" s="13">
        <v>13.5</v>
      </c>
      <c r="C5191" s="16" t="s">
        <v>5331</v>
      </c>
      <c r="D5191" s="12">
        <v>53</v>
      </c>
      <c r="E5191" s="12" t="s">
        <v>5332</v>
      </c>
      <c r="F5191" s="12" t="s">
        <v>5328</v>
      </c>
      <c r="G5191" s="12" t="s">
        <v>14211</v>
      </c>
      <c r="H5191" s="12">
        <v>183781</v>
      </c>
    </row>
    <row r="5192" spans="1:8">
      <c r="A5192" s="12" t="s">
        <v>14210</v>
      </c>
      <c r="B5192" s="13">
        <v>0</v>
      </c>
      <c r="C5192" s="16" t="s">
        <v>5331</v>
      </c>
      <c r="D5192" s="12">
        <v>50</v>
      </c>
      <c r="E5192" s="12" t="s">
        <v>5332</v>
      </c>
      <c r="F5192" s="12" t="s">
        <v>5328</v>
      </c>
      <c r="G5192" s="12" t="s">
        <v>14212</v>
      </c>
      <c r="H5192" s="12">
        <v>166102</v>
      </c>
    </row>
    <row r="5193" spans="1:8">
      <c r="A5193" s="12" t="s">
        <v>14213</v>
      </c>
      <c r="B5193" s="13">
        <v>11.9</v>
      </c>
      <c r="C5193" s="16" t="s">
        <v>5331</v>
      </c>
      <c r="D5193" s="12">
        <v>53</v>
      </c>
      <c r="E5193" s="12" t="s">
        <v>5332</v>
      </c>
      <c r="F5193" s="12" t="s">
        <v>5328</v>
      </c>
      <c r="G5193" s="12" t="s">
        <v>14214</v>
      </c>
      <c r="H5193" s="12">
        <v>183782</v>
      </c>
    </row>
    <row r="5194" spans="1:8">
      <c r="A5194" s="12" t="s">
        <v>14213</v>
      </c>
      <c r="B5194" s="13">
        <v>0</v>
      </c>
      <c r="C5194" s="16" t="s">
        <v>5331</v>
      </c>
      <c r="D5194" s="12">
        <v>50</v>
      </c>
      <c r="E5194" s="12" t="s">
        <v>5332</v>
      </c>
      <c r="F5194" s="12" t="s">
        <v>5328</v>
      </c>
      <c r="G5194" s="12" t="s">
        <v>14215</v>
      </c>
      <c r="H5194" s="12">
        <v>166103</v>
      </c>
    </row>
    <row r="5195" spans="1:8">
      <c r="A5195" s="12" t="s">
        <v>14216</v>
      </c>
      <c r="B5195" s="13">
        <v>5.6</v>
      </c>
      <c r="C5195" s="16" t="s">
        <v>5331</v>
      </c>
      <c r="D5195" s="12">
        <v>53</v>
      </c>
      <c r="E5195" s="12" t="s">
        <v>5332</v>
      </c>
      <c r="F5195" s="12" t="s">
        <v>5328</v>
      </c>
      <c r="G5195" s="12" t="s">
        <v>14217</v>
      </c>
      <c r="H5195" s="12">
        <v>183783</v>
      </c>
    </row>
    <row r="5196" spans="1:8">
      <c r="A5196" s="12" t="s">
        <v>14216</v>
      </c>
      <c r="B5196" s="13">
        <v>0</v>
      </c>
      <c r="C5196" s="16" t="s">
        <v>5331</v>
      </c>
      <c r="D5196" s="12">
        <v>50</v>
      </c>
      <c r="E5196" s="12" t="s">
        <v>5332</v>
      </c>
      <c r="F5196" s="12" t="s">
        <v>5328</v>
      </c>
      <c r="G5196" s="12" t="s">
        <v>14218</v>
      </c>
      <c r="H5196" s="12">
        <v>166104</v>
      </c>
    </row>
    <row r="5197" spans="1:8">
      <c r="A5197" s="12" t="s">
        <v>14219</v>
      </c>
      <c r="B5197" s="13">
        <v>18.78</v>
      </c>
      <c r="C5197" s="16" t="s">
        <v>5331</v>
      </c>
      <c r="D5197" s="12">
        <v>53</v>
      </c>
      <c r="E5197" s="12" t="s">
        <v>5332</v>
      </c>
      <c r="F5197" s="12" t="s">
        <v>5328</v>
      </c>
      <c r="G5197" s="12" t="s">
        <v>14220</v>
      </c>
      <c r="H5197" s="12">
        <v>183784</v>
      </c>
    </row>
    <row r="5198" spans="1:8">
      <c r="A5198" s="12" t="s">
        <v>14219</v>
      </c>
      <c r="B5198" s="13">
        <v>0</v>
      </c>
      <c r="C5198" s="16" t="s">
        <v>5331</v>
      </c>
      <c r="D5198" s="12">
        <v>50</v>
      </c>
      <c r="E5198" s="12" t="s">
        <v>5332</v>
      </c>
      <c r="F5198" s="12" t="s">
        <v>5328</v>
      </c>
      <c r="G5198" s="12" t="s">
        <v>14221</v>
      </c>
      <c r="H5198" s="12">
        <v>166105</v>
      </c>
    </row>
    <row r="5199" spans="1:8">
      <c r="A5199" s="12" t="s">
        <v>14222</v>
      </c>
      <c r="B5199" s="13">
        <v>0</v>
      </c>
      <c r="C5199" s="16" t="s">
        <v>5331</v>
      </c>
      <c r="D5199" s="12">
        <v>133</v>
      </c>
      <c r="E5199" s="12" t="s">
        <v>5332</v>
      </c>
      <c r="F5199" s="12" t="s">
        <v>5328</v>
      </c>
      <c r="G5199" s="12" t="s">
        <v>14223</v>
      </c>
      <c r="H5199" s="12">
        <v>183785</v>
      </c>
    </row>
    <row r="5200" spans="1:8">
      <c r="A5200" s="12" t="s">
        <v>14224</v>
      </c>
      <c r="B5200" s="13">
        <v>21.53</v>
      </c>
      <c r="C5200" s="16" t="s">
        <v>5331</v>
      </c>
      <c r="D5200" s="12">
        <v>107</v>
      </c>
      <c r="E5200" s="12" t="s">
        <v>5332</v>
      </c>
      <c r="F5200" s="12" t="s">
        <v>5328</v>
      </c>
      <c r="G5200" s="12" t="s">
        <v>14225</v>
      </c>
      <c r="H5200" s="12">
        <v>176141</v>
      </c>
    </row>
    <row r="5201" spans="1:8">
      <c r="A5201" s="12" t="s">
        <v>14226</v>
      </c>
      <c r="B5201" s="13">
        <v>0</v>
      </c>
      <c r="C5201" s="16" t="s">
        <v>5331</v>
      </c>
      <c r="D5201" s="12">
        <v>110</v>
      </c>
      <c r="E5201" s="12" t="s">
        <v>5332</v>
      </c>
      <c r="F5201" s="12" t="s">
        <v>5328</v>
      </c>
      <c r="G5201" s="12" t="s">
        <v>14227</v>
      </c>
      <c r="H5201" s="12">
        <v>176146</v>
      </c>
    </row>
    <row r="5202" spans="1:8">
      <c r="A5202" s="12" t="s">
        <v>14228</v>
      </c>
      <c r="B5202" s="14">
        <v>1710</v>
      </c>
      <c r="C5202" s="16" t="s">
        <v>5331</v>
      </c>
      <c r="D5202" s="12">
        <v>4515</v>
      </c>
      <c r="E5202" s="12" t="s">
        <v>5332</v>
      </c>
      <c r="F5202" s="12" t="s">
        <v>5328</v>
      </c>
      <c r="G5202" s="12" t="s">
        <v>14229</v>
      </c>
      <c r="H5202" s="12">
        <v>183787</v>
      </c>
    </row>
    <row r="5203" spans="1:8">
      <c r="A5203" s="12" t="s">
        <v>14228</v>
      </c>
      <c r="B5203" s="13">
        <v>0</v>
      </c>
      <c r="C5203" s="16" t="s">
        <v>5331</v>
      </c>
      <c r="D5203" s="12">
        <v>4300</v>
      </c>
      <c r="E5203" s="12" t="s">
        <v>5332</v>
      </c>
      <c r="F5203" s="12" t="s">
        <v>5328</v>
      </c>
      <c r="G5203" s="12" t="s">
        <v>14230</v>
      </c>
      <c r="H5203" s="12">
        <v>165907</v>
      </c>
    </row>
    <row r="5204" spans="1:8">
      <c r="A5204" s="12" t="s">
        <v>14231</v>
      </c>
      <c r="B5204" s="13">
        <v>505</v>
      </c>
      <c r="C5204" s="16" t="s">
        <v>5331</v>
      </c>
      <c r="D5204" s="12">
        <v>1515</v>
      </c>
      <c r="E5204" s="12" t="s">
        <v>5332</v>
      </c>
      <c r="F5204" s="12" t="s">
        <v>5328</v>
      </c>
      <c r="G5204" s="12" t="s">
        <v>14232</v>
      </c>
      <c r="H5204" s="12">
        <v>183788</v>
      </c>
    </row>
    <row r="5205" spans="1:8">
      <c r="A5205" s="12" t="s">
        <v>14233</v>
      </c>
      <c r="B5205" s="13">
        <v>528.17999999999995</v>
      </c>
      <c r="C5205" s="16" t="s">
        <v>5331</v>
      </c>
      <c r="D5205" s="12">
        <v>2132</v>
      </c>
      <c r="E5205" s="12" t="s">
        <v>5332</v>
      </c>
      <c r="F5205" s="12" t="s">
        <v>5328</v>
      </c>
      <c r="G5205" s="12" t="s">
        <v>14234</v>
      </c>
      <c r="H5205" s="12">
        <v>183789</v>
      </c>
    </row>
    <row r="5206" spans="1:8">
      <c r="A5206" s="12" t="s">
        <v>14235</v>
      </c>
      <c r="B5206" s="13">
        <v>257.41000000000003</v>
      </c>
      <c r="C5206" s="16" t="s">
        <v>5331</v>
      </c>
      <c r="D5206" s="12">
        <v>776</v>
      </c>
      <c r="E5206" s="12" t="s">
        <v>5332</v>
      </c>
      <c r="F5206" s="12" t="s">
        <v>5328</v>
      </c>
      <c r="G5206" s="12" t="s">
        <v>14236</v>
      </c>
      <c r="H5206" s="12">
        <v>183790</v>
      </c>
    </row>
    <row r="5207" spans="1:8">
      <c r="A5207" s="12" t="s">
        <v>14237</v>
      </c>
      <c r="B5207" s="13">
        <v>589.03</v>
      </c>
      <c r="C5207" s="16" t="s">
        <v>5331</v>
      </c>
      <c r="D5207" s="12">
        <v>2314</v>
      </c>
      <c r="E5207" s="12" t="s">
        <v>5332</v>
      </c>
      <c r="F5207" s="12" t="s">
        <v>5328</v>
      </c>
      <c r="G5207" s="12" t="s">
        <v>14238</v>
      </c>
      <c r="H5207" s="12">
        <v>183791</v>
      </c>
    </row>
    <row r="5208" spans="1:8">
      <c r="A5208" s="12" t="s">
        <v>14239</v>
      </c>
      <c r="B5208" s="13">
        <v>14.18</v>
      </c>
      <c r="C5208" s="16" t="s">
        <v>5331</v>
      </c>
      <c r="D5208" s="12">
        <v>96</v>
      </c>
      <c r="E5208" s="12" t="s">
        <v>5332</v>
      </c>
      <c r="F5208" s="12" t="s">
        <v>5328</v>
      </c>
      <c r="G5208" s="12" t="s">
        <v>14240</v>
      </c>
      <c r="H5208" s="12">
        <v>183792</v>
      </c>
    </row>
    <row r="5209" spans="1:8">
      <c r="A5209" s="12" t="s">
        <v>14241</v>
      </c>
      <c r="B5209" s="13">
        <v>56.66</v>
      </c>
      <c r="C5209" s="16" t="s">
        <v>5331</v>
      </c>
      <c r="D5209" s="12">
        <v>210</v>
      </c>
      <c r="E5209" s="12" t="s">
        <v>5332</v>
      </c>
      <c r="F5209" s="12" t="s">
        <v>5328</v>
      </c>
      <c r="G5209" s="12" t="s">
        <v>14242</v>
      </c>
      <c r="H5209" s="12">
        <v>183793</v>
      </c>
    </row>
    <row r="5210" spans="1:8">
      <c r="A5210" s="12" t="s">
        <v>14243</v>
      </c>
      <c r="B5210" s="14">
        <v>1031.3699999999999</v>
      </c>
      <c r="C5210" s="16" t="s">
        <v>5331</v>
      </c>
      <c r="D5210" s="12">
        <v>3700</v>
      </c>
      <c r="E5210" s="12" t="s">
        <v>5332</v>
      </c>
      <c r="F5210" s="12" t="s">
        <v>5328</v>
      </c>
      <c r="G5210" s="12" t="s">
        <v>14244</v>
      </c>
      <c r="H5210" s="12">
        <v>184233</v>
      </c>
    </row>
    <row r="5211" spans="1:8">
      <c r="A5211" s="12" t="s">
        <v>14245</v>
      </c>
      <c r="B5211" s="13">
        <v>111.25</v>
      </c>
      <c r="C5211" s="16" t="s">
        <v>5331</v>
      </c>
      <c r="D5211" s="12">
        <v>378</v>
      </c>
      <c r="E5211" s="12" t="s">
        <v>5332</v>
      </c>
      <c r="F5211" s="12" t="s">
        <v>5328</v>
      </c>
      <c r="G5211" s="12" t="s">
        <v>14246</v>
      </c>
      <c r="H5211" s="12">
        <v>183794</v>
      </c>
    </row>
    <row r="5212" spans="1:8">
      <c r="A5212" s="12" t="s">
        <v>14247</v>
      </c>
      <c r="B5212" s="13">
        <v>638.46</v>
      </c>
      <c r="C5212" s="16" t="s">
        <v>5331</v>
      </c>
      <c r="D5212" s="12">
        <v>1875</v>
      </c>
      <c r="E5212" s="12" t="s">
        <v>5332</v>
      </c>
      <c r="F5212" s="12" t="s">
        <v>5328</v>
      </c>
      <c r="G5212" s="12" t="s">
        <v>14248</v>
      </c>
      <c r="H5212" s="12">
        <v>183795</v>
      </c>
    </row>
    <row r="5213" spans="1:8">
      <c r="A5213" s="12" t="s">
        <v>14249</v>
      </c>
      <c r="B5213" s="13">
        <v>42.04</v>
      </c>
      <c r="C5213" s="16" t="s">
        <v>5331</v>
      </c>
      <c r="D5213" s="12">
        <v>172</v>
      </c>
      <c r="E5213" s="12" t="s">
        <v>5332</v>
      </c>
      <c r="F5213" s="12" t="s">
        <v>5328</v>
      </c>
      <c r="G5213" s="12" t="s">
        <v>14250</v>
      </c>
      <c r="H5213" s="12">
        <v>176154</v>
      </c>
    </row>
    <row r="5214" spans="1:8">
      <c r="A5214" s="12" t="s">
        <v>14251</v>
      </c>
      <c r="B5214" s="13">
        <v>0</v>
      </c>
      <c r="C5214" s="16" t="s">
        <v>5331</v>
      </c>
      <c r="D5214" s="12">
        <v>181</v>
      </c>
      <c r="E5214" s="12" t="s">
        <v>5332</v>
      </c>
      <c r="F5214" s="12" t="s">
        <v>5328</v>
      </c>
      <c r="G5214" s="12" t="s">
        <v>14252</v>
      </c>
      <c r="H5214" s="12">
        <v>183796</v>
      </c>
    </row>
    <row r="5215" spans="1:8">
      <c r="A5215" s="12" t="s">
        <v>14253</v>
      </c>
      <c r="B5215" s="13">
        <v>0</v>
      </c>
      <c r="C5215" s="16" t="s">
        <v>5331</v>
      </c>
      <c r="D5215" s="12">
        <v>130</v>
      </c>
      <c r="E5215" s="12" t="s">
        <v>5332</v>
      </c>
      <c r="F5215" s="12" t="s">
        <v>5328</v>
      </c>
      <c r="G5215" s="12" t="s">
        <v>14254</v>
      </c>
      <c r="H5215" s="12">
        <v>183797</v>
      </c>
    </row>
    <row r="5216" spans="1:8">
      <c r="A5216" s="12" t="s">
        <v>14255</v>
      </c>
      <c r="B5216" s="13">
        <v>0</v>
      </c>
      <c r="C5216" s="16" t="s">
        <v>5331</v>
      </c>
      <c r="D5216" s="12">
        <v>179</v>
      </c>
      <c r="E5216" s="12" t="s">
        <v>5332</v>
      </c>
      <c r="F5216" s="12" t="s">
        <v>5328</v>
      </c>
      <c r="G5216" s="12" t="s">
        <v>14256</v>
      </c>
      <c r="H5216" s="12">
        <v>183798</v>
      </c>
    </row>
    <row r="5217" spans="1:8">
      <c r="A5217" s="12" t="s">
        <v>14257</v>
      </c>
      <c r="B5217" s="13">
        <v>0</v>
      </c>
      <c r="C5217" s="16" t="s">
        <v>5331</v>
      </c>
      <c r="D5217" s="12">
        <v>85</v>
      </c>
      <c r="E5217" s="12" t="s">
        <v>5332</v>
      </c>
      <c r="F5217" s="12" t="s">
        <v>5328</v>
      </c>
      <c r="G5217" s="12" t="s">
        <v>14258</v>
      </c>
      <c r="H5217" s="12">
        <v>183799</v>
      </c>
    </row>
    <row r="5218" spans="1:8">
      <c r="A5218" s="12" t="s">
        <v>14259</v>
      </c>
      <c r="B5218" s="13">
        <v>0</v>
      </c>
      <c r="C5218" s="16" t="s">
        <v>5331</v>
      </c>
      <c r="D5218" s="12">
        <v>138</v>
      </c>
      <c r="E5218" s="12" t="s">
        <v>5332</v>
      </c>
      <c r="F5218" s="12" t="s">
        <v>5328</v>
      </c>
      <c r="G5218" s="12" t="s">
        <v>14260</v>
      </c>
      <c r="H5218" s="12">
        <v>183800</v>
      </c>
    </row>
    <row r="5219" spans="1:8">
      <c r="A5219" s="12" t="s">
        <v>14261</v>
      </c>
      <c r="B5219" s="13">
        <v>0</v>
      </c>
      <c r="C5219" s="16" t="s">
        <v>5331</v>
      </c>
      <c r="D5219" s="12">
        <v>158</v>
      </c>
      <c r="E5219" s="12" t="s">
        <v>5332</v>
      </c>
      <c r="F5219" s="12" t="s">
        <v>5328</v>
      </c>
      <c r="G5219" s="12" t="s">
        <v>14262</v>
      </c>
      <c r="H5219" s="12">
        <v>183801</v>
      </c>
    </row>
    <row r="5220" spans="1:8">
      <c r="A5220" s="12" t="s">
        <v>14263</v>
      </c>
      <c r="B5220" s="13">
        <v>0</v>
      </c>
      <c r="C5220" s="16" t="s">
        <v>5331</v>
      </c>
      <c r="D5220" s="12">
        <v>161</v>
      </c>
      <c r="E5220" s="12" t="s">
        <v>5332</v>
      </c>
      <c r="F5220" s="12" t="s">
        <v>5328</v>
      </c>
      <c r="G5220" s="12" t="s">
        <v>14264</v>
      </c>
      <c r="H5220" s="12">
        <v>176161</v>
      </c>
    </row>
    <row r="5221" spans="1:8">
      <c r="A5221" s="12" t="s">
        <v>14265</v>
      </c>
      <c r="B5221" s="13">
        <v>0</v>
      </c>
      <c r="C5221" s="16" t="s">
        <v>5331</v>
      </c>
      <c r="D5221" s="12">
        <v>86</v>
      </c>
      <c r="E5221" s="12" t="s">
        <v>5332</v>
      </c>
      <c r="F5221" s="12" t="s">
        <v>5328</v>
      </c>
      <c r="G5221" s="12" t="s">
        <v>14266</v>
      </c>
      <c r="H5221" s="12">
        <v>183802</v>
      </c>
    </row>
    <row r="5222" spans="1:8">
      <c r="A5222" s="12" t="s">
        <v>14267</v>
      </c>
      <c r="B5222" s="13">
        <v>0</v>
      </c>
      <c r="C5222" s="16" t="s">
        <v>5331</v>
      </c>
      <c r="D5222" s="12">
        <v>71</v>
      </c>
      <c r="E5222" s="12" t="s">
        <v>5332</v>
      </c>
      <c r="F5222" s="12" t="s">
        <v>5328</v>
      </c>
      <c r="G5222" s="12" t="s">
        <v>14268</v>
      </c>
      <c r="H5222" s="12">
        <v>183803</v>
      </c>
    </row>
    <row r="5223" spans="1:8">
      <c r="A5223" s="12" t="s">
        <v>14269</v>
      </c>
      <c r="B5223" s="13">
        <v>0</v>
      </c>
      <c r="C5223" s="16" t="s">
        <v>5331</v>
      </c>
      <c r="D5223" s="12">
        <v>704</v>
      </c>
      <c r="E5223" s="12" t="s">
        <v>5332</v>
      </c>
      <c r="F5223" s="12" t="s">
        <v>5328</v>
      </c>
      <c r="G5223" s="12" t="s">
        <v>14270</v>
      </c>
      <c r="H5223" s="12">
        <v>183804</v>
      </c>
    </row>
    <row r="5224" spans="1:8">
      <c r="A5224" s="12" t="s">
        <v>14271</v>
      </c>
      <c r="B5224" s="13">
        <v>0</v>
      </c>
      <c r="C5224" s="16" t="s">
        <v>5331</v>
      </c>
      <c r="D5224" s="12">
        <v>53</v>
      </c>
      <c r="E5224" s="12" t="s">
        <v>5332</v>
      </c>
      <c r="F5224" s="12" t="s">
        <v>5328</v>
      </c>
      <c r="G5224" s="12" t="s">
        <v>14272</v>
      </c>
      <c r="H5224" s="12">
        <v>183805</v>
      </c>
    </row>
    <row r="5225" spans="1:8">
      <c r="A5225" s="12" t="s">
        <v>14273</v>
      </c>
      <c r="B5225" s="13">
        <v>153.44</v>
      </c>
      <c r="C5225" s="16" t="s">
        <v>5331</v>
      </c>
      <c r="D5225" s="12">
        <v>501</v>
      </c>
      <c r="E5225" s="12" t="s">
        <v>5332</v>
      </c>
      <c r="F5225" s="12" t="s">
        <v>5328</v>
      </c>
      <c r="G5225" s="12" t="s">
        <v>14274</v>
      </c>
      <c r="H5225" s="12">
        <v>183806</v>
      </c>
    </row>
    <row r="5226" spans="1:8">
      <c r="A5226" s="12" t="s">
        <v>14275</v>
      </c>
      <c r="B5226" s="13">
        <v>157.13</v>
      </c>
      <c r="C5226" s="16" t="s">
        <v>5331</v>
      </c>
      <c r="D5226" s="12">
        <v>511</v>
      </c>
      <c r="E5226" s="12" t="s">
        <v>5332</v>
      </c>
      <c r="F5226" s="12" t="s">
        <v>5328</v>
      </c>
      <c r="G5226" s="12" t="s">
        <v>14276</v>
      </c>
      <c r="H5226" s="12">
        <v>183807</v>
      </c>
    </row>
    <row r="5227" spans="1:8">
      <c r="A5227" s="12" t="s">
        <v>14277</v>
      </c>
      <c r="B5227" s="13">
        <v>0</v>
      </c>
      <c r="C5227" s="16" t="s">
        <v>5331</v>
      </c>
      <c r="D5227" s="12">
        <v>438</v>
      </c>
      <c r="E5227" s="12" t="s">
        <v>5332</v>
      </c>
      <c r="F5227" s="12" t="s">
        <v>5328</v>
      </c>
      <c r="G5227" s="12" t="s">
        <v>14278</v>
      </c>
      <c r="H5227" s="12">
        <v>183808</v>
      </c>
    </row>
    <row r="5228" spans="1:8">
      <c r="A5228" s="12" t="s">
        <v>14279</v>
      </c>
      <c r="B5228" s="13">
        <v>113.2</v>
      </c>
      <c r="C5228" s="16" t="s">
        <v>5331</v>
      </c>
      <c r="D5228" s="12">
        <v>380</v>
      </c>
      <c r="E5228" s="12" t="s">
        <v>5332</v>
      </c>
      <c r="F5228" s="12" t="s">
        <v>5328</v>
      </c>
      <c r="G5228" s="12" t="s">
        <v>14280</v>
      </c>
      <c r="H5228" s="12">
        <v>183809</v>
      </c>
    </row>
    <row r="5229" spans="1:8">
      <c r="A5229" s="12" t="s">
        <v>14281</v>
      </c>
      <c r="B5229" s="13">
        <v>0</v>
      </c>
      <c r="C5229" s="16" t="s">
        <v>5331</v>
      </c>
      <c r="D5229" s="12">
        <v>113</v>
      </c>
      <c r="E5229" s="12" t="s">
        <v>5332</v>
      </c>
      <c r="F5229" s="12" t="s">
        <v>5328</v>
      </c>
      <c r="G5229" s="12" t="s">
        <v>14282</v>
      </c>
      <c r="H5229" s="12">
        <v>183810</v>
      </c>
    </row>
    <row r="5230" spans="1:8">
      <c r="A5230" s="12" t="s">
        <v>14283</v>
      </c>
      <c r="B5230" s="13">
        <v>56.5</v>
      </c>
      <c r="C5230" s="16" t="s">
        <v>5331</v>
      </c>
      <c r="D5230" s="12">
        <v>277</v>
      </c>
      <c r="E5230" s="12" t="s">
        <v>5332</v>
      </c>
      <c r="F5230" s="12" t="s">
        <v>5328</v>
      </c>
      <c r="G5230" s="12" t="s">
        <v>14284</v>
      </c>
      <c r="H5230" s="12">
        <v>183811</v>
      </c>
    </row>
    <row r="5231" spans="1:8">
      <c r="A5231" s="12" t="s">
        <v>14285</v>
      </c>
      <c r="B5231" s="13">
        <v>21.91</v>
      </c>
      <c r="C5231" s="16" t="s">
        <v>5331</v>
      </c>
      <c r="D5231" s="12">
        <v>53</v>
      </c>
      <c r="E5231" s="12" t="s">
        <v>5332</v>
      </c>
      <c r="F5231" s="12" t="s">
        <v>5328</v>
      </c>
      <c r="G5231" s="12" t="s">
        <v>14286</v>
      </c>
      <c r="H5231" s="12">
        <v>176172</v>
      </c>
    </row>
    <row r="5232" spans="1:8">
      <c r="A5232" s="12" t="s">
        <v>14287</v>
      </c>
      <c r="B5232" s="13">
        <v>21.91</v>
      </c>
      <c r="C5232" s="16" t="s">
        <v>5331</v>
      </c>
      <c r="D5232" s="12">
        <v>53</v>
      </c>
      <c r="E5232" s="12" t="s">
        <v>5332</v>
      </c>
      <c r="F5232" s="12" t="s">
        <v>5328</v>
      </c>
      <c r="G5232" s="12" t="s">
        <v>14288</v>
      </c>
      <c r="H5232" s="12">
        <v>176173</v>
      </c>
    </row>
    <row r="5233" spans="1:8">
      <c r="A5233" s="12" t="s">
        <v>14289</v>
      </c>
      <c r="B5233" s="13">
        <v>66.86</v>
      </c>
      <c r="C5233" s="16" t="s">
        <v>5331</v>
      </c>
      <c r="D5233" s="12">
        <v>119</v>
      </c>
      <c r="E5233" s="12" t="s">
        <v>5332</v>
      </c>
      <c r="F5233" s="12" t="s">
        <v>5328</v>
      </c>
      <c r="G5233" s="12" t="s">
        <v>14290</v>
      </c>
      <c r="H5233" s="12">
        <v>237033</v>
      </c>
    </row>
    <row r="5234" spans="1:8">
      <c r="A5234" s="12" t="s">
        <v>14291</v>
      </c>
      <c r="B5234" s="13">
        <v>11.43</v>
      </c>
      <c r="C5234" s="16" t="s">
        <v>5331</v>
      </c>
      <c r="D5234" s="12">
        <v>32</v>
      </c>
      <c r="E5234" s="12" t="s">
        <v>5332</v>
      </c>
      <c r="F5234" s="12" t="s">
        <v>5328</v>
      </c>
      <c r="G5234" s="12" t="s">
        <v>14292</v>
      </c>
      <c r="H5234" s="12">
        <v>214728</v>
      </c>
    </row>
    <row r="5235" spans="1:8">
      <c r="A5235" s="12" t="s">
        <v>14293</v>
      </c>
      <c r="B5235" s="14">
        <v>1082.51</v>
      </c>
      <c r="C5235" s="16" t="s">
        <v>5331</v>
      </c>
      <c r="D5235" s="12">
        <v>3446.61</v>
      </c>
      <c r="E5235" s="12" t="s">
        <v>5332</v>
      </c>
      <c r="F5235" s="12" t="s">
        <v>5328</v>
      </c>
      <c r="G5235" s="12" t="s">
        <v>14294</v>
      </c>
      <c r="H5235" s="12">
        <v>232481</v>
      </c>
    </row>
    <row r="5236" spans="1:8">
      <c r="A5236" s="12" t="s">
        <v>14295</v>
      </c>
      <c r="B5236" s="13">
        <v>0</v>
      </c>
      <c r="C5236" s="16" t="s">
        <v>5331</v>
      </c>
      <c r="D5236" s="12">
        <v>906</v>
      </c>
      <c r="E5236" s="12" t="s">
        <v>5332</v>
      </c>
      <c r="F5236" s="12" t="s">
        <v>5328</v>
      </c>
      <c r="G5236" s="12" t="s">
        <v>14296</v>
      </c>
      <c r="H5236" s="12">
        <v>232480</v>
      </c>
    </row>
    <row r="5237" spans="1:8">
      <c r="A5237" s="12" t="s">
        <v>14297</v>
      </c>
      <c r="B5237" s="13">
        <v>0</v>
      </c>
      <c r="C5237" s="16" t="s">
        <v>5331</v>
      </c>
      <c r="D5237" s="12">
        <v>32.46</v>
      </c>
      <c r="E5237" s="12" t="s">
        <v>5332</v>
      </c>
      <c r="F5237" s="12" t="s">
        <v>5328</v>
      </c>
      <c r="G5237" s="12" t="s">
        <v>14298</v>
      </c>
      <c r="H5237" s="12">
        <v>232482</v>
      </c>
    </row>
    <row r="5238" spans="1:8">
      <c r="A5238" s="12" t="s">
        <v>14299</v>
      </c>
      <c r="B5238" s="13">
        <v>0</v>
      </c>
      <c r="C5238" s="16" t="s">
        <v>5331</v>
      </c>
      <c r="D5238" s="12">
        <v>35.25</v>
      </c>
      <c r="E5238" s="12" t="s">
        <v>5332</v>
      </c>
      <c r="F5238" s="12" t="s">
        <v>5328</v>
      </c>
      <c r="G5238" s="12" t="s">
        <v>14300</v>
      </c>
      <c r="H5238" s="12">
        <v>232580</v>
      </c>
    </row>
    <row r="5239" spans="1:8">
      <c r="A5239" s="12" t="s">
        <v>14301</v>
      </c>
      <c r="B5239" s="13">
        <v>0</v>
      </c>
      <c r="C5239" s="16" t="s">
        <v>5331</v>
      </c>
      <c r="D5239" s="12">
        <v>469.26</v>
      </c>
      <c r="E5239" s="12" t="s">
        <v>5332</v>
      </c>
      <c r="F5239" s="12" t="s">
        <v>5328</v>
      </c>
      <c r="G5239" s="12" t="s">
        <v>14302</v>
      </c>
      <c r="H5239" s="12">
        <v>232581</v>
      </c>
    </row>
    <row r="5240" spans="1:8">
      <c r="A5240" s="12" t="s">
        <v>14303</v>
      </c>
      <c r="B5240" s="13">
        <v>85.8</v>
      </c>
      <c r="C5240" s="16" t="s">
        <v>5331</v>
      </c>
      <c r="D5240" s="12">
        <v>254.25</v>
      </c>
      <c r="E5240" s="12" t="s">
        <v>5332</v>
      </c>
      <c r="F5240" s="12" t="s">
        <v>5328</v>
      </c>
      <c r="G5240" s="12" t="s">
        <v>14304</v>
      </c>
      <c r="H5240" s="12">
        <v>232582</v>
      </c>
    </row>
    <row r="5241" spans="1:8">
      <c r="A5241" s="12" t="s">
        <v>14305</v>
      </c>
      <c r="B5241" s="13">
        <v>27.07</v>
      </c>
      <c r="C5241" s="16" t="s">
        <v>5331</v>
      </c>
      <c r="D5241" s="12">
        <v>613</v>
      </c>
      <c r="E5241" s="12" t="s">
        <v>5332</v>
      </c>
      <c r="F5241" s="12" t="s">
        <v>5328</v>
      </c>
      <c r="G5241" s="12" t="s">
        <v>14306</v>
      </c>
      <c r="H5241" s="12">
        <v>202948</v>
      </c>
    </row>
    <row r="5242" spans="1:8">
      <c r="A5242" s="12" t="s">
        <v>14305</v>
      </c>
      <c r="B5242" s="13">
        <v>27.74</v>
      </c>
      <c r="C5242" s="16" t="s">
        <v>5331</v>
      </c>
      <c r="D5242" s="12">
        <v>567</v>
      </c>
      <c r="E5242" s="12" t="s">
        <v>5332</v>
      </c>
      <c r="F5242" s="12" t="s">
        <v>5328</v>
      </c>
      <c r="G5242" s="12" t="s">
        <v>14307</v>
      </c>
      <c r="H5242" s="12">
        <v>165663</v>
      </c>
    </row>
    <row r="5243" spans="1:8">
      <c r="A5243" s="12" t="s">
        <v>14308</v>
      </c>
      <c r="B5243" s="13">
        <v>25.58</v>
      </c>
      <c r="C5243" s="16" t="s">
        <v>5331</v>
      </c>
      <c r="D5243" s="12">
        <v>468</v>
      </c>
      <c r="E5243" s="12" t="s">
        <v>5332</v>
      </c>
      <c r="F5243" s="12" t="s">
        <v>5328</v>
      </c>
      <c r="G5243" s="12" t="s">
        <v>14309</v>
      </c>
      <c r="H5243" s="12">
        <v>202949</v>
      </c>
    </row>
    <row r="5244" spans="1:8">
      <c r="A5244" s="12" t="s">
        <v>14308</v>
      </c>
      <c r="B5244" s="13">
        <v>17.21</v>
      </c>
      <c r="C5244" s="16" t="s">
        <v>5331</v>
      </c>
      <c r="D5244" s="12">
        <v>433</v>
      </c>
      <c r="E5244" s="12" t="s">
        <v>5332</v>
      </c>
      <c r="F5244" s="12" t="s">
        <v>5328</v>
      </c>
      <c r="G5244" s="12" t="s">
        <v>14310</v>
      </c>
      <c r="H5244" s="12">
        <v>165664</v>
      </c>
    </row>
    <row r="5245" spans="1:8">
      <c r="A5245" s="12" t="s">
        <v>14311</v>
      </c>
      <c r="B5245" s="13">
        <v>5.82</v>
      </c>
      <c r="C5245" s="16" t="s">
        <v>5331</v>
      </c>
      <c r="D5245" s="12">
        <v>331</v>
      </c>
      <c r="E5245" s="12" t="s">
        <v>5332</v>
      </c>
      <c r="F5245" s="12" t="s">
        <v>5328</v>
      </c>
      <c r="G5245" s="12" t="s">
        <v>14312</v>
      </c>
      <c r="H5245" s="12">
        <v>177066</v>
      </c>
    </row>
    <row r="5246" spans="1:8">
      <c r="A5246" s="12" t="s">
        <v>14313</v>
      </c>
      <c r="B5246" s="13">
        <v>5.7</v>
      </c>
      <c r="C5246" s="16" t="s">
        <v>5331</v>
      </c>
      <c r="D5246" s="12">
        <v>386</v>
      </c>
      <c r="E5246" s="12" t="s">
        <v>5332</v>
      </c>
      <c r="F5246" s="12" t="s">
        <v>5328</v>
      </c>
      <c r="G5246" s="12" t="s">
        <v>14314</v>
      </c>
      <c r="H5246" s="12">
        <v>177065</v>
      </c>
    </row>
    <row r="5247" spans="1:8">
      <c r="A5247" s="12" t="s">
        <v>14315</v>
      </c>
      <c r="B5247" s="13">
        <v>94.78</v>
      </c>
      <c r="C5247" s="16" t="s">
        <v>5331</v>
      </c>
      <c r="D5247" s="12">
        <v>595</v>
      </c>
      <c r="E5247" s="12" t="s">
        <v>5332</v>
      </c>
      <c r="F5247" s="12" t="s">
        <v>5328</v>
      </c>
      <c r="G5247" s="12" t="s">
        <v>14316</v>
      </c>
      <c r="H5247" s="12">
        <v>202950</v>
      </c>
    </row>
    <row r="5248" spans="1:8">
      <c r="A5248" s="12" t="s">
        <v>14315</v>
      </c>
      <c r="B5248" s="13">
        <v>90.01</v>
      </c>
      <c r="C5248" s="16" t="s">
        <v>5331</v>
      </c>
      <c r="D5248" s="12">
        <v>550</v>
      </c>
      <c r="E5248" s="12" t="s">
        <v>5332</v>
      </c>
      <c r="F5248" s="12" t="s">
        <v>5328</v>
      </c>
      <c r="G5248" s="12" t="s">
        <v>14317</v>
      </c>
      <c r="H5248" s="12">
        <v>165665</v>
      </c>
    </row>
    <row r="5249" spans="1:8">
      <c r="A5249" s="12" t="s">
        <v>14318</v>
      </c>
      <c r="B5249" s="13">
        <v>199.61</v>
      </c>
      <c r="C5249" s="16" t="s">
        <v>5331</v>
      </c>
      <c r="D5249" s="12">
        <v>524</v>
      </c>
      <c r="E5249" s="12" t="s">
        <v>5332</v>
      </c>
      <c r="F5249" s="12" t="s">
        <v>5328</v>
      </c>
      <c r="G5249" s="12" t="s">
        <v>14319</v>
      </c>
      <c r="H5249" s="12">
        <v>202951</v>
      </c>
    </row>
    <row r="5250" spans="1:8">
      <c r="A5250" s="12" t="s">
        <v>14318</v>
      </c>
      <c r="B5250" s="13">
        <v>0</v>
      </c>
      <c r="C5250" s="16" t="s">
        <v>5331</v>
      </c>
      <c r="D5250" s="12">
        <v>484</v>
      </c>
      <c r="E5250" s="12" t="s">
        <v>5332</v>
      </c>
      <c r="F5250" s="12" t="s">
        <v>5328</v>
      </c>
      <c r="G5250" s="12" t="s">
        <v>14320</v>
      </c>
      <c r="H5250" s="12">
        <v>165666</v>
      </c>
    </row>
    <row r="5251" spans="1:8">
      <c r="A5251" s="12" t="s">
        <v>14321</v>
      </c>
      <c r="B5251" s="13">
        <v>174</v>
      </c>
      <c r="C5251" s="16" t="s">
        <v>5331</v>
      </c>
      <c r="D5251" s="12">
        <v>713</v>
      </c>
      <c r="E5251" s="12" t="s">
        <v>5332</v>
      </c>
      <c r="F5251" s="12" t="s">
        <v>5328</v>
      </c>
      <c r="G5251" s="12" t="s">
        <v>14322</v>
      </c>
      <c r="H5251" s="12">
        <v>202952</v>
      </c>
    </row>
    <row r="5252" spans="1:8">
      <c r="A5252" s="12" t="s">
        <v>14321</v>
      </c>
      <c r="B5252" s="13">
        <v>0</v>
      </c>
      <c r="C5252" s="16" t="s">
        <v>5331</v>
      </c>
      <c r="D5252" s="12">
        <v>659</v>
      </c>
      <c r="E5252" s="12" t="s">
        <v>5332</v>
      </c>
      <c r="F5252" s="12" t="s">
        <v>5328</v>
      </c>
      <c r="G5252" s="12" t="s">
        <v>14323</v>
      </c>
      <c r="H5252" s="12">
        <v>165667</v>
      </c>
    </row>
    <row r="5253" spans="1:8">
      <c r="A5253" s="12" t="s">
        <v>14324</v>
      </c>
      <c r="B5253" s="13">
        <v>0</v>
      </c>
      <c r="C5253" s="16" t="s">
        <v>5331</v>
      </c>
      <c r="D5253" s="12">
        <v>1078</v>
      </c>
      <c r="E5253" s="12" t="s">
        <v>5332</v>
      </c>
      <c r="F5253" s="12" t="s">
        <v>5328</v>
      </c>
      <c r="G5253" s="12" t="s">
        <v>14325</v>
      </c>
      <c r="H5253" s="12">
        <v>202953</v>
      </c>
    </row>
    <row r="5254" spans="1:8">
      <c r="A5254" s="12" t="s">
        <v>14324</v>
      </c>
      <c r="B5254" s="13">
        <v>0</v>
      </c>
      <c r="C5254" s="16" t="s">
        <v>5331</v>
      </c>
      <c r="D5254" s="12">
        <v>997</v>
      </c>
      <c r="E5254" s="12" t="s">
        <v>5332</v>
      </c>
      <c r="F5254" s="12" t="s">
        <v>5328</v>
      </c>
      <c r="G5254" s="12" t="s">
        <v>14326</v>
      </c>
      <c r="H5254" s="12">
        <v>165668</v>
      </c>
    </row>
    <row r="5255" spans="1:8">
      <c r="A5255" s="12" t="s">
        <v>14327</v>
      </c>
      <c r="B5255" s="13">
        <v>313</v>
      </c>
      <c r="C5255" s="16" t="s">
        <v>5331</v>
      </c>
      <c r="D5255" s="12">
        <v>1765</v>
      </c>
      <c r="E5255" s="12" t="s">
        <v>5332</v>
      </c>
      <c r="F5255" s="12" t="s">
        <v>5328</v>
      </c>
      <c r="G5255" s="12" t="s">
        <v>14328</v>
      </c>
      <c r="H5255" s="12">
        <v>188380</v>
      </c>
    </row>
    <row r="5256" spans="1:8">
      <c r="A5256" s="12" t="s">
        <v>14329</v>
      </c>
      <c r="B5256" s="13">
        <v>313</v>
      </c>
      <c r="C5256" s="16" t="s">
        <v>5331</v>
      </c>
      <c r="D5256" s="12">
        <v>1195</v>
      </c>
      <c r="E5256" s="12" t="s">
        <v>5332</v>
      </c>
      <c r="F5256" s="12" t="s">
        <v>5328</v>
      </c>
      <c r="G5256" s="12" t="s">
        <v>14330</v>
      </c>
      <c r="H5256" s="12">
        <v>165751</v>
      </c>
    </row>
    <row r="5257" spans="1:8">
      <c r="A5257" s="12" t="s">
        <v>14331</v>
      </c>
      <c r="B5257" s="13">
        <v>366</v>
      </c>
      <c r="C5257" s="16" t="s">
        <v>5331</v>
      </c>
      <c r="D5257" s="12">
        <v>935</v>
      </c>
      <c r="E5257" s="12" t="s">
        <v>5332</v>
      </c>
      <c r="F5257" s="12" t="s">
        <v>5328</v>
      </c>
      <c r="G5257" s="12" t="s">
        <v>14332</v>
      </c>
      <c r="H5257" s="12">
        <v>184128</v>
      </c>
    </row>
    <row r="5258" spans="1:8">
      <c r="A5258" s="12" t="s">
        <v>14331</v>
      </c>
      <c r="B5258" s="13">
        <v>0</v>
      </c>
      <c r="C5258" s="16" t="s">
        <v>5331</v>
      </c>
      <c r="D5258" s="12">
        <v>660</v>
      </c>
      <c r="E5258" s="12" t="s">
        <v>5332</v>
      </c>
      <c r="F5258" s="12" t="s">
        <v>5328</v>
      </c>
      <c r="G5258" s="12" t="s">
        <v>14333</v>
      </c>
      <c r="H5258" s="12">
        <v>165752</v>
      </c>
    </row>
    <row r="5259" spans="1:8">
      <c r="A5259" s="12" t="s">
        <v>14334</v>
      </c>
      <c r="B5259" s="13">
        <v>167.96</v>
      </c>
      <c r="C5259" s="16" t="s">
        <v>5331</v>
      </c>
      <c r="D5259" s="12">
        <v>488</v>
      </c>
      <c r="E5259" s="12" t="s">
        <v>5332</v>
      </c>
      <c r="F5259" s="12" t="s">
        <v>5328</v>
      </c>
      <c r="G5259" s="12" t="s">
        <v>14335</v>
      </c>
      <c r="H5259" s="12">
        <v>201169</v>
      </c>
    </row>
    <row r="5260" spans="1:8">
      <c r="A5260" s="12" t="s">
        <v>14334</v>
      </c>
      <c r="B5260" s="13">
        <v>0</v>
      </c>
      <c r="C5260" s="16" t="s">
        <v>5331</v>
      </c>
      <c r="D5260" s="12">
        <v>447</v>
      </c>
      <c r="E5260" s="12" t="s">
        <v>5332</v>
      </c>
      <c r="F5260" s="12" t="s">
        <v>5328</v>
      </c>
      <c r="G5260" s="12" t="s">
        <v>14336</v>
      </c>
      <c r="H5260" s="12">
        <v>175737</v>
      </c>
    </row>
    <row r="5261" spans="1:8">
      <c r="A5261" s="12" t="s">
        <v>14337</v>
      </c>
      <c r="B5261" s="13">
        <v>145.63</v>
      </c>
      <c r="C5261" s="16" t="s">
        <v>5331</v>
      </c>
      <c r="D5261" s="12">
        <v>497</v>
      </c>
      <c r="E5261" s="12" t="s">
        <v>5332</v>
      </c>
      <c r="F5261" s="12" t="s">
        <v>5328</v>
      </c>
      <c r="G5261" s="12" t="s">
        <v>14338</v>
      </c>
      <c r="H5261" s="12">
        <v>202498</v>
      </c>
    </row>
    <row r="5262" spans="1:8">
      <c r="A5262" s="12" t="s">
        <v>14337</v>
      </c>
      <c r="B5262" s="13">
        <v>137.15</v>
      </c>
      <c r="C5262" s="16" t="s">
        <v>5331</v>
      </c>
      <c r="D5262" s="12">
        <v>450</v>
      </c>
      <c r="E5262" s="12" t="s">
        <v>5332</v>
      </c>
      <c r="F5262" s="12" t="s">
        <v>5328</v>
      </c>
      <c r="G5262" s="12" t="s">
        <v>14339</v>
      </c>
      <c r="H5262" s="12">
        <v>166141</v>
      </c>
    </row>
    <row r="5263" spans="1:8">
      <c r="A5263" s="12" t="s">
        <v>14340</v>
      </c>
      <c r="B5263" s="13">
        <v>427.76</v>
      </c>
      <c r="C5263" s="16" t="s">
        <v>5331</v>
      </c>
      <c r="D5263" s="12">
        <v>652</v>
      </c>
      <c r="E5263" s="12" t="s">
        <v>5332</v>
      </c>
      <c r="F5263" s="12" t="s">
        <v>5328</v>
      </c>
      <c r="G5263" s="12" t="s">
        <v>14341</v>
      </c>
      <c r="H5263" s="12">
        <v>202499</v>
      </c>
    </row>
    <row r="5264" spans="1:8">
      <c r="A5264" s="12" t="s">
        <v>14340</v>
      </c>
      <c r="B5264" s="13">
        <v>329.34</v>
      </c>
      <c r="C5264" s="16" t="s">
        <v>5331</v>
      </c>
      <c r="D5264" s="12">
        <v>591</v>
      </c>
      <c r="E5264" s="12" t="s">
        <v>5332</v>
      </c>
      <c r="F5264" s="12" t="s">
        <v>5328</v>
      </c>
      <c r="G5264" s="12" t="s">
        <v>14342</v>
      </c>
      <c r="H5264" s="12">
        <v>166142</v>
      </c>
    </row>
    <row r="5265" spans="1:8">
      <c r="A5265" s="12" t="s">
        <v>14343</v>
      </c>
      <c r="B5265" s="13">
        <v>99.37</v>
      </c>
      <c r="C5265" s="16" t="s">
        <v>5331</v>
      </c>
      <c r="D5265" s="12">
        <v>670</v>
      </c>
      <c r="E5265" s="12" t="s">
        <v>5332</v>
      </c>
      <c r="F5265" s="12" t="s">
        <v>5328</v>
      </c>
      <c r="G5265" s="12" t="s">
        <v>14344</v>
      </c>
      <c r="H5265" s="12">
        <v>202500</v>
      </c>
    </row>
    <row r="5266" spans="1:8">
      <c r="A5266" s="12" t="s">
        <v>14343</v>
      </c>
      <c r="B5266" s="13">
        <v>0</v>
      </c>
      <c r="C5266" s="16" t="s">
        <v>5331</v>
      </c>
      <c r="D5266" s="12">
        <v>608</v>
      </c>
      <c r="E5266" s="12" t="s">
        <v>5332</v>
      </c>
      <c r="F5266" s="12" t="s">
        <v>5328</v>
      </c>
      <c r="G5266" s="12" t="s">
        <v>14345</v>
      </c>
      <c r="H5266" s="12">
        <v>166143</v>
      </c>
    </row>
    <row r="5267" spans="1:8">
      <c r="A5267" s="12" t="s">
        <v>14346</v>
      </c>
      <c r="B5267" s="13">
        <v>65.08</v>
      </c>
      <c r="C5267" s="16" t="s">
        <v>5331</v>
      </c>
      <c r="D5267" s="12">
        <v>320</v>
      </c>
      <c r="E5267" s="12" t="s">
        <v>5332</v>
      </c>
      <c r="F5267" s="12" t="s">
        <v>5328</v>
      </c>
      <c r="G5267" s="12" t="s">
        <v>14347</v>
      </c>
      <c r="H5267" s="12">
        <v>202501</v>
      </c>
    </row>
    <row r="5268" spans="1:8">
      <c r="A5268" s="12" t="s">
        <v>14346</v>
      </c>
      <c r="B5268" s="13">
        <v>57.82</v>
      </c>
      <c r="C5268" s="16" t="s">
        <v>5331</v>
      </c>
      <c r="D5268" s="12">
        <v>290</v>
      </c>
      <c r="E5268" s="12" t="s">
        <v>5332</v>
      </c>
      <c r="F5268" s="12" t="s">
        <v>5328</v>
      </c>
      <c r="G5268" s="12" t="s">
        <v>14348</v>
      </c>
      <c r="H5268" s="12">
        <v>166129</v>
      </c>
    </row>
    <row r="5269" spans="1:8">
      <c r="A5269" s="12" t="s">
        <v>14349</v>
      </c>
      <c r="B5269" s="13">
        <v>46.53</v>
      </c>
      <c r="C5269" s="16" t="s">
        <v>5331</v>
      </c>
      <c r="D5269" s="12">
        <v>268</v>
      </c>
      <c r="E5269" s="12" t="s">
        <v>5332</v>
      </c>
      <c r="F5269" s="12" t="s">
        <v>5328</v>
      </c>
      <c r="G5269" s="12" t="s">
        <v>14350</v>
      </c>
      <c r="H5269" s="12">
        <v>202502</v>
      </c>
    </row>
    <row r="5270" spans="1:8">
      <c r="A5270" s="12" t="s">
        <v>14349</v>
      </c>
      <c r="B5270" s="13">
        <v>44.33</v>
      </c>
      <c r="C5270" s="16" t="s">
        <v>5331</v>
      </c>
      <c r="D5270" s="12">
        <v>243</v>
      </c>
      <c r="E5270" s="12" t="s">
        <v>5332</v>
      </c>
      <c r="F5270" s="12" t="s">
        <v>5328</v>
      </c>
      <c r="G5270" s="12" t="s">
        <v>14351</v>
      </c>
      <c r="H5270" s="12">
        <v>166130</v>
      </c>
    </row>
    <row r="5271" spans="1:8">
      <c r="A5271" s="12" t="s">
        <v>14352</v>
      </c>
      <c r="B5271" s="13">
        <v>341.41</v>
      </c>
      <c r="C5271" s="16" t="s">
        <v>5331</v>
      </c>
      <c r="D5271" s="12">
        <v>685</v>
      </c>
      <c r="E5271" s="12" t="s">
        <v>5332</v>
      </c>
      <c r="F5271" s="12" t="s">
        <v>5328</v>
      </c>
      <c r="G5271" s="12" t="s">
        <v>14353</v>
      </c>
      <c r="H5271" s="12">
        <v>202503</v>
      </c>
    </row>
    <row r="5272" spans="1:8">
      <c r="A5272" s="12" t="s">
        <v>14352</v>
      </c>
      <c r="B5272" s="13">
        <v>295.31</v>
      </c>
      <c r="C5272" s="16" t="s">
        <v>5331</v>
      </c>
      <c r="D5272" s="12">
        <v>621</v>
      </c>
      <c r="E5272" s="12" t="s">
        <v>5332</v>
      </c>
      <c r="F5272" s="12" t="s">
        <v>5328</v>
      </c>
      <c r="G5272" s="12" t="s">
        <v>14354</v>
      </c>
      <c r="H5272" s="12">
        <v>166144</v>
      </c>
    </row>
    <row r="5273" spans="1:8">
      <c r="A5273" s="12" t="s">
        <v>14355</v>
      </c>
      <c r="B5273" s="13">
        <v>116.05</v>
      </c>
      <c r="C5273" s="16" t="s">
        <v>5331</v>
      </c>
      <c r="D5273" s="12">
        <v>704</v>
      </c>
      <c r="E5273" s="12" t="s">
        <v>5332</v>
      </c>
      <c r="F5273" s="12" t="s">
        <v>5328</v>
      </c>
      <c r="G5273" s="12" t="s">
        <v>14356</v>
      </c>
      <c r="H5273" s="12">
        <v>175744</v>
      </c>
    </row>
    <row r="5274" spans="1:8">
      <c r="A5274" s="12" t="s">
        <v>14357</v>
      </c>
      <c r="B5274" s="13">
        <v>79.7</v>
      </c>
      <c r="C5274" s="16" t="s">
        <v>5331</v>
      </c>
      <c r="D5274" s="12">
        <v>433</v>
      </c>
      <c r="E5274" s="12" t="s">
        <v>5332</v>
      </c>
      <c r="F5274" s="12" t="s">
        <v>5328</v>
      </c>
      <c r="G5274" s="12" t="s">
        <v>14358</v>
      </c>
      <c r="H5274" s="12">
        <v>202504</v>
      </c>
    </row>
    <row r="5275" spans="1:8">
      <c r="A5275" s="12" t="s">
        <v>14357</v>
      </c>
      <c r="B5275" s="13">
        <v>75.95</v>
      </c>
      <c r="C5275" s="16" t="s">
        <v>5331</v>
      </c>
      <c r="D5275" s="12">
        <v>392</v>
      </c>
      <c r="E5275" s="12" t="s">
        <v>5332</v>
      </c>
      <c r="F5275" s="12" t="s">
        <v>5328</v>
      </c>
      <c r="G5275" s="12" t="s">
        <v>14359</v>
      </c>
      <c r="H5275" s="12">
        <v>166145</v>
      </c>
    </row>
    <row r="5276" spans="1:8">
      <c r="A5276" s="12" t="s">
        <v>14360</v>
      </c>
      <c r="B5276" s="13">
        <v>66.05</v>
      </c>
      <c r="C5276" s="16" t="s">
        <v>5331</v>
      </c>
      <c r="D5276" s="12">
        <v>312</v>
      </c>
      <c r="E5276" s="12" t="s">
        <v>5332</v>
      </c>
      <c r="F5276" s="12" t="s">
        <v>5328</v>
      </c>
      <c r="G5276" s="12" t="s">
        <v>14361</v>
      </c>
      <c r="H5276" s="12">
        <v>202505</v>
      </c>
    </row>
    <row r="5277" spans="1:8">
      <c r="A5277" s="12" t="s">
        <v>14360</v>
      </c>
      <c r="B5277" s="13">
        <v>60.72</v>
      </c>
      <c r="C5277" s="16" t="s">
        <v>5331</v>
      </c>
      <c r="D5277" s="12">
        <v>283</v>
      </c>
      <c r="E5277" s="12" t="s">
        <v>5332</v>
      </c>
      <c r="F5277" s="12" t="s">
        <v>5328</v>
      </c>
      <c r="G5277" s="12" t="s">
        <v>14362</v>
      </c>
      <c r="H5277" s="12">
        <v>166146</v>
      </c>
    </row>
    <row r="5278" spans="1:8">
      <c r="A5278" s="12" t="s">
        <v>14363</v>
      </c>
      <c r="B5278" s="13">
        <v>62.36</v>
      </c>
      <c r="C5278" s="16" t="s">
        <v>5331</v>
      </c>
      <c r="D5278" s="12">
        <v>326</v>
      </c>
      <c r="E5278" s="12" t="s">
        <v>5332</v>
      </c>
      <c r="F5278" s="12" t="s">
        <v>5328</v>
      </c>
      <c r="G5278" s="12" t="s">
        <v>14364</v>
      </c>
      <c r="H5278" s="12">
        <v>202506</v>
      </c>
    </row>
    <row r="5279" spans="1:8">
      <c r="A5279" s="12" t="s">
        <v>14363</v>
      </c>
      <c r="B5279" s="13">
        <v>55.44</v>
      </c>
      <c r="C5279" s="16" t="s">
        <v>5331</v>
      </c>
      <c r="D5279" s="12">
        <v>295</v>
      </c>
      <c r="E5279" s="12" t="s">
        <v>5332</v>
      </c>
      <c r="F5279" s="12" t="s">
        <v>5328</v>
      </c>
      <c r="G5279" s="12" t="s">
        <v>14365</v>
      </c>
      <c r="H5279" s="12">
        <v>166147</v>
      </c>
    </row>
    <row r="5280" spans="1:8">
      <c r="A5280" s="12" t="s">
        <v>14366</v>
      </c>
      <c r="B5280" s="13">
        <v>56.66</v>
      </c>
      <c r="C5280" s="16" t="s">
        <v>5331</v>
      </c>
      <c r="D5280" s="12">
        <v>345</v>
      </c>
      <c r="E5280" s="12" t="s">
        <v>5332</v>
      </c>
      <c r="F5280" s="12" t="s">
        <v>5328</v>
      </c>
      <c r="G5280" s="12" t="s">
        <v>14367</v>
      </c>
      <c r="H5280" s="12">
        <v>202507</v>
      </c>
    </row>
    <row r="5281" spans="1:8">
      <c r="A5281" s="12" t="s">
        <v>14366</v>
      </c>
      <c r="B5281" s="13">
        <v>49.83</v>
      </c>
      <c r="C5281" s="16" t="s">
        <v>5331</v>
      </c>
      <c r="D5281" s="12">
        <v>313</v>
      </c>
      <c r="E5281" s="12" t="s">
        <v>5332</v>
      </c>
      <c r="F5281" s="12" t="s">
        <v>5328</v>
      </c>
      <c r="G5281" s="12" t="s">
        <v>14368</v>
      </c>
      <c r="H5281" s="12">
        <v>166148</v>
      </c>
    </row>
    <row r="5282" spans="1:8">
      <c r="A5282" s="12" t="s">
        <v>14369</v>
      </c>
      <c r="B5282" s="13">
        <v>204.71</v>
      </c>
      <c r="C5282" s="16" t="s">
        <v>5331</v>
      </c>
      <c r="D5282" s="12">
        <v>890</v>
      </c>
      <c r="E5282" s="12" t="s">
        <v>5332</v>
      </c>
      <c r="F5282" s="12" t="s">
        <v>5328</v>
      </c>
      <c r="G5282" s="12" t="s">
        <v>14370</v>
      </c>
      <c r="H5282" s="12">
        <v>202508</v>
      </c>
    </row>
    <row r="5283" spans="1:8">
      <c r="A5283" s="12" t="s">
        <v>14369</v>
      </c>
      <c r="B5283" s="13">
        <v>227.78</v>
      </c>
      <c r="C5283" s="16" t="s">
        <v>5331</v>
      </c>
      <c r="D5283" s="12">
        <v>808</v>
      </c>
      <c r="E5283" s="12" t="s">
        <v>5332</v>
      </c>
      <c r="F5283" s="12" t="s">
        <v>5328</v>
      </c>
      <c r="G5283" s="12" t="s">
        <v>14371</v>
      </c>
      <c r="H5283" s="12">
        <v>166149</v>
      </c>
    </row>
    <row r="5284" spans="1:8">
      <c r="A5284" s="12" t="s">
        <v>14372</v>
      </c>
      <c r="B5284" s="13">
        <v>6.13</v>
      </c>
      <c r="C5284" s="16" t="s">
        <v>5331</v>
      </c>
      <c r="D5284" s="12">
        <v>38</v>
      </c>
      <c r="E5284" s="12" t="s">
        <v>5332</v>
      </c>
      <c r="F5284" s="12" t="s">
        <v>5328</v>
      </c>
      <c r="G5284" s="12" t="s">
        <v>14373</v>
      </c>
      <c r="H5284" s="12">
        <v>175749</v>
      </c>
    </row>
    <row r="5285" spans="1:8">
      <c r="A5285" s="12" t="s">
        <v>14374</v>
      </c>
      <c r="B5285" s="13">
        <v>67.12</v>
      </c>
      <c r="C5285" s="16" t="s">
        <v>5331</v>
      </c>
      <c r="D5285" s="12">
        <v>181</v>
      </c>
      <c r="E5285" s="12" t="s">
        <v>5332</v>
      </c>
      <c r="F5285" s="12" t="s">
        <v>5328</v>
      </c>
      <c r="G5285" s="12" t="s">
        <v>14375</v>
      </c>
      <c r="H5285" s="12">
        <v>175750</v>
      </c>
    </row>
    <row r="5286" spans="1:8">
      <c r="A5286" s="12" t="s">
        <v>14376</v>
      </c>
      <c r="B5286" s="13">
        <v>0</v>
      </c>
      <c r="C5286" s="16" t="s">
        <v>5331</v>
      </c>
      <c r="D5286" s="12">
        <v>3749</v>
      </c>
      <c r="E5286" s="12" t="s">
        <v>5332</v>
      </c>
      <c r="F5286" s="12" t="s">
        <v>5328</v>
      </c>
      <c r="G5286" s="12" t="s">
        <v>14377</v>
      </c>
      <c r="H5286" s="12">
        <v>167068</v>
      </c>
    </row>
    <row r="5287" spans="1:8">
      <c r="A5287" s="12" t="s">
        <v>14378</v>
      </c>
      <c r="B5287" s="13">
        <v>0</v>
      </c>
      <c r="C5287" s="16" t="s">
        <v>5331</v>
      </c>
      <c r="D5287" s="12">
        <v>5232</v>
      </c>
      <c r="E5287" s="12" t="s">
        <v>5332</v>
      </c>
      <c r="F5287" s="12" t="s">
        <v>5328</v>
      </c>
      <c r="G5287" s="12" t="s">
        <v>14379</v>
      </c>
      <c r="H5287" s="12">
        <v>167069</v>
      </c>
    </row>
    <row r="5288" spans="1:8">
      <c r="A5288" s="12" t="s">
        <v>14380</v>
      </c>
      <c r="B5288" s="13">
        <v>0</v>
      </c>
      <c r="C5288" s="16" t="s">
        <v>5331</v>
      </c>
      <c r="D5288" s="12">
        <v>300</v>
      </c>
      <c r="E5288" s="12" t="s">
        <v>5332</v>
      </c>
      <c r="F5288" s="12" t="s">
        <v>5328</v>
      </c>
      <c r="G5288" s="12" t="s">
        <v>14381</v>
      </c>
      <c r="H5288" s="12">
        <v>167070</v>
      </c>
    </row>
    <row r="5289" spans="1:8">
      <c r="A5289" s="12" t="s">
        <v>14382</v>
      </c>
      <c r="B5289" s="13">
        <v>0</v>
      </c>
      <c r="C5289" s="16" t="s">
        <v>5331</v>
      </c>
      <c r="D5289" s="12">
        <v>5928</v>
      </c>
      <c r="E5289" s="12" t="s">
        <v>5332</v>
      </c>
      <c r="F5289" s="12" t="s">
        <v>5328</v>
      </c>
      <c r="G5289" s="12" t="s">
        <v>14383</v>
      </c>
      <c r="H5289" s="12">
        <v>167071</v>
      </c>
    </row>
    <row r="5290" spans="1:8">
      <c r="A5290" s="12" t="s">
        <v>14384</v>
      </c>
      <c r="B5290" s="13">
        <v>0</v>
      </c>
      <c r="C5290" s="16" t="s">
        <v>5331</v>
      </c>
      <c r="D5290" s="12">
        <v>361</v>
      </c>
      <c r="E5290" s="12" t="s">
        <v>5332</v>
      </c>
      <c r="F5290" s="12" t="s">
        <v>5328</v>
      </c>
      <c r="G5290" s="12" t="s">
        <v>14385</v>
      </c>
      <c r="H5290" s="12">
        <v>168042</v>
      </c>
    </row>
    <row r="5291" spans="1:8">
      <c r="A5291" s="12" t="s">
        <v>14386</v>
      </c>
      <c r="B5291" s="13">
        <v>0</v>
      </c>
      <c r="C5291" s="16" t="s">
        <v>5331</v>
      </c>
      <c r="D5291" s="12">
        <v>1986</v>
      </c>
      <c r="E5291" s="12" t="s">
        <v>5332</v>
      </c>
      <c r="F5291" s="12" t="s">
        <v>5328</v>
      </c>
      <c r="G5291" s="12" t="s">
        <v>14387</v>
      </c>
      <c r="H5291" s="12">
        <v>167072</v>
      </c>
    </row>
    <row r="5292" spans="1:8">
      <c r="A5292" s="12" t="s">
        <v>14388</v>
      </c>
      <c r="B5292" s="13">
        <v>0</v>
      </c>
      <c r="C5292" s="16" t="s">
        <v>5331</v>
      </c>
      <c r="D5292" s="12">
        <v>1961</v>
      </c>
      <c r="E5292" s="12" t="s">
        <v>5332</v>
      </c>
      <c r="F5292" s="12" t="s">
        <v>5328</v>
      </c>
      <c r="G5292" s="12" t="s">
        <v>14389</v>
      </c>
      <c r="H5292" s="12">
        <v>167067</v>
      </c>
    </row>
    <row r="5293" spans="1:8">
      <c r="A5293" s="12" t="s">
        <v>14390</v>
      </c>
      <c r="B5293" s="13">
        <v>4.51</v>
      </c>
      <c r="C5293" s="16" t="s">
        <v>5331</v>
      </c>
      <c r="D5293" s="12">
        <v>3632</v>
      </c>
      <c r="E5293" s="12" t="s">
        <v>5332</v>
      </c>
      <c r="F5293" s="12" t="s">
        <v>5328</v>
      </c>
      <c r="G5293" s="12" t="s">
        <v>14391</v>
      </c>
      <c r="H5293" s="12">
        <v>201857</v>
      </c>
    </row>
    <row r="5294" spans="1:8">
      <c r="A5294" s="12" t="s">
        <v>14390</v>
      </c>
      <c r="B5294" s="13">
        <v>0</v>
      </c>
      <c r="C5294" s="16" t="s">
        <v>5331</v>
      </c>
      <c r="D5294" s="12">
        <v>3294</v>
      </c>
      <c r="E5294" s="12" t="s">
        <v>5332</v>
      </c>
      <c r="F5294" s="12" t="s">
        <v>5328</v>
      </c>
      <c r="G5294" s="12" t="s">
        <v>14392</v>
      </c>
      <c r="H5294" s="12">
        <v>168066</v>
      </c>
    </row>
    <row r="5295" spans="1:8">
      <c r="A5295" s="12" t="s">
        <v>14393</v>
      </c>
      <c r="B5295" s="13">
        <v>0</v>
      </c>
      <c r="C5295" s="16" t="s">
        <v>5331</v>
      </c>
      <c r="D5295" s="12">
        <v>6</v>
      </c>
      <c r="E5295" s="12" t="s">
        <v>5332</v>
      </c>
      <c r="F5295" s="12" t="s">
        <v>5328</v>
      </c>
      <c r="G5295" s="12" t="s">
        <v>14394</v>
      </c>
      <c r="H5295" s="12">
        <v>175752</v>
      </c>
    </row>
    <row r="5296" spans="1:8">
      <c r="A5296" s="12" t="s">
        <v>14395</v>
      </c>
      <c r="B5296" s="13">
        <v>1.03</v>
      </c>
      <c r="C5296" s="16" t="s">
        <v>5331</v>
      </c>
      <c r="D5296" s="12">
        <v>3</v>
      </c>
      <c r="E5296" s="12" t="s">
        <v>5332</v>
      </c>
      <c r="F5296" s="12" t="s">
        <v>5328</v>
      </c>
      <c r="G5296" s="12" t="s">
        <v>14396</v>
      </c>
      <c r="H5296" s="12">
        <v>175753</v>
      </c>
    </row>
    <row r="5297" spans="1:8">
      <c r="A5297" s="12" t="s">
        <v>14397</v>
      </c>
      <c r="B5297" s="13">
        <v>19.45</v>
      </c>
      <c r="C5297" s="16" t="s">
        <v>5331</v>
      </c>
      <c r="D5297" s="12">
        <v>125</v>
      </c>
      <c r="E5297" s="12" t="s">
        <v>5332</v>
      </c>
      <c r="F5297" s="12" t="s">
        <v>5328</v>
      </c>
      <c r="G5297" s="12" t="s">
        <v>14398</v>
      </c>
      <c r="H5297" s="12">
        <v>175754</v>
      </c>
    </row>
    <row r="5298" spans="1:8">
      <c r="A5298" s="12" t="s">
        <v>14399</v>
      </c>
      <c r="B5298" s="13">
        <v>4.08</v>
      </c>
      <c r="C5298" s="16" t="s">
        <v>5331</v>
      </c>
      <c r="D5298" s="12">
        <v>35</v>
      </c>
      <c r="E5298" s="12" t="s">
        <v>5332</v>
      </c>
      <c r="F5298" s="12" t="s">
        <v>5328</v>
      </c>
      <c r="G5298" s="12" t="s">
        <v>14400</v>
      </c>
      <c r="H5298" s="12">
        <v>175755</v>
      </c>
    </row>
    <row r="5299" spans="1:8">
      <c r="A5299" s="12" t="s">
        <v>14401</v>
      </c>
      <c r="B5299" s="13">
        <v>127.27</v>
      </c>
      <c r="C5299" s="16" t="s">
        <v>5331</v>
      </c>
      <c r="D5299" s="12">
        <v>460</v>
      </c>
      <c r="E5299" s="12" t="s">
        <v>5332</v>
      </c>
      <c r="F5299" s="12" t="s">
        <v>5328</v>
      </c>
      <c r="G5299" s="12" t="s">
        <v>14402</v>
      </c>
      <c r="H5299" s="12">
        <v>203130</v>
      </c>
    </row>
    <row r="5300" spans="1:8">
      <c r="A5300" s="12" t="s">
        <v>14401</v>
      </c>
      <c r="B5300" s="13">
        <v>120</v>
      </c>
      <c r="C5300" s="16" t="s">
        <v>5331</v>
      </c>
      <c r="D5300" s="12">
        <v>417</v>
      </c>
      <c r="E5300" s="12" t="s">
        <v>5332</v>
      </c>
      <c r="F5300" s="12" t="s">
        <v>5328</v>
      </c>
      <c r="G5300" s="12" t="s">
        <v>14403</v>
      </c>
      <c r="H5300" s="12">
        <v>184671</v>
      </c>
    </row>
    <row r="5301" spans="1:8">
      <c r="A5301" s="12" t="s">
        <v>14404</v>
      </c>
      <c r="B5301" s="14">
        <v>1441.07</v>
      </c>
      <c r="C5301" s="16" t="s">
        <v>5331</v>
      </c>
      <c r="D5301" s="12">
        <v>3303</v>
      </c>
      <c r="E5301" s="12" t="s">
        <v>5332</v>
      </c>
      <c r="F5301" s="12" t="s">
        <v>5328</v>
      </c>
      <c r="G5301" s="12" t="s">
        <v>14405</v>
      </c>
      <c r="H5301" s="12">
        <v>202509</v>
      </c>
    </row>
    <row r="5302" spans="1:8">
      <c r="A5302" s="12" t="s">
        <v>14406</v>
      </c>
      <c r="B5302" s="14">
        <v>1493.15</v>
      </c>
      <c r="C5302" s="16" t="s">
        <v>5331</v>
      </c>
      <c r="D5302" s="12">
        <v>2996</v>
      </c>
      <c r="E5302" s="12" t="s">
        <v>5332</v>
      </c>
      <c r="F5302" s="12" t="s">
        <v>5328</v>
      </c>
      <c r="G5302" s="12" t="s">
        <v>14407</v>
      </c>
      <c r="H5302" s="12">
        <v>166150</v>
      </c>
    </row>
    <row r="5303" spans="1:8">
      <c r="A5303" s="12" t="s">
        <v>14408</v>
      </c>
      <c r="B5303" s="13">
        <v>0</v>
      </c>
      <c r="C5303" s="16" t="s">
        <v>5331</v>
      </c>
      <c r="D5303" s="12">
        <v>1796</v>
      </c>
      <c r="E5303" s="12" t="s">
        <v>5332</v>
      </c>
      <c r="F5303" s="12" t="s">
        <v>5328</v>
      </c>
      <c r="G5303" s="12" t="s">
        <v>14409</v>
      </c>
      <c r="H5303" s="12">
        <v>166609</v>
      </c>
    </row>
    <row r="5304" spans="1:8">
      <c r="A5304" s="12" t="s">
        <v>14410</v>
      </c>
      <c r="B5304" s="13">
        <v>9.85</v>
      </c>
      <c r="C5304" s="16" t="s">
        <v>5331</v>
      </c>
      <c r="D5304" s="12">
        <v>3904</v>
      </c>
      <c r="E5304" s="12" t="s">
        <v>5332</v>
      </c>
      <c r="F5304" s="12" t="s">
        <v>5328</v>
      </c>
      <c r="G5304" s="12" t="s">
        <v>14411</v>
      </c>
      <c r="H5304" s="12">
        <v>175758</v>
      </c>
    </row>
    <row r="5305" spans="1:8">
      <c r="A5305" s="12" t="s">
        <v>14412</v>
      </c>
      <c r="B5305" s="13">
        <v>0</v>
      </c>
      <c r="C5305" s="16" t="s">
        <v>5331</v>
      </c>
      <c r="D5305" s="12">
        <v>5.51</v>
      </c>
      <c r="E5305" s="12" t="s">
        <v>5332</v>
      </c>
      <c r="F5305" s="12" t="s">
        <v>5328</v>
      </c>
      <c r="G5305" s="12" t="s">
        <v>14413</v>
      </c>
      <c r="H5305" s="12">
        <v>91187</v>
      </c>
    </row>
    <row r="5306" spans="1:8">
      <c r="A5306" s="12" t="s">
        <v>2753</v>
      </c>
      <c r="B5306" s="13">
        <v>0</v>
      </c>
      <c r="C5306" s="16" t="s">
        <v>5331</v>
      </c>
      <c r="D5306" s="12">
        <v>6366</v>
      </c>
      <c r="E5306" s="12" t="s">
        <v>5332</v>
      </c>
      <c r="F5306" s="12" t="s">
        <v>5328</v>
      </c>
      <c r="G5306" s="12" t="s">
        <v>14414</v>
      </c>
      <c r="H5306" s="12">
        <v>182867</v>
      </c>
    </row>
    <row r="5307" spans="1:8">
      <c r="A5307" s="12" t="s">
        <v>2753</v>
      </c>
      <c r="B5307" s="13">
        <v>0</v>
      </c>
      <c r="C5307" s="16" t="s">
        <v>5331</v>
      </c>
      <c r="D5307" s="12">
        <v>6366</v>
      </c>
      <c r="E5307" s="12" t="s">
        <v>5332</v>
      </c>
      <c r="F5307" s="12" t="s">
        <v>5328</v>
      </c>
      <c r="G5307" s="12" t="s">
        <v>14415</v>
      </c>
      <c r="H5307" s="12">
        <v>167284</v>
      </c>
    </row>
    <row r="5308" spans="1:8">
      <c r="A5308" s="12" t="s">
        <v>14416</v>
      </c>
      <c r="B5308" s="13">
        <v>0</v>
      </c>
      <c r="C5308" s="16" t="s">
        <v>5331</v>
      </c>
      <c r="D5308" s="12">
        <v>1545</v>
      </c>
      <c r="E5308" s="12" t="s">
        <v>5332</v>
      </c>
      <c r="F5308" s="12" t="s">
        <v>5328</v>
      </c>
      <c r="G5308" s="12" t="s">
        <v>14417</v>
      </c>
      <c r="H5308" s="12">
        <v>182868</v>
      </c>
    </row>
    <row r="5309" spans="1:8">
      <c r="A5309" s="12" t="s">
        <v>14416</v>
      </c>
      <c r="B5309" s="13">
        <v>0</v>
      </c>
      <c r="C5309" s="16" t="s">
        <v>5331</v>
      </c>
      <c r="D5309" s="12">
        <v>1545</v>
      </c>
      <c r="E5309" s="12" t="s">
        <v>5332</v>
      </c>
      <c r="F5309" s="12" t="s">
        <v>5328</v>
      </c>
      <c r="G5309" s="12" t="s">
        <v>14418</v>
      </c>
      <c r="H5309" s="12">
        <v>167285</v>
      </c>
    </row>
    <row r="5310" spans="1:8">
      <c r="A5310" s="12" t="s">
        <v>14419</v>
      </c>
      <c r="B5310" s="13">
        <v>0</v>
      </c>
      <c r="C5310" s="16" t="s">
        <v>5331</v>
      </c>
      <c r="D5310" s="12">
        <v>4832</v>
      </c>
      <c r="E5310" s="12" t="s">
        <v>5332</v>
      </c>
      <c r="F5310" s="12" t="s">
        <v>5328</v>
      </c>
      <c r="G5310" s="12" t="s">
        <v>14420</v>
      </c>
      <c r="H5310" s="12">
        <v>182869</v>
      </c>
    </row>
    <row r="5311" spans="1:8">
      <c r="A5311" s="12" t="s">
        <v>14421</v>
      </c>
      <c r="B5311" s="13">
        <v>0</v>
      </c>
      <c r="C5311" s="16" t="s">
        <v>5331</v>
      </c>
      <c r="D5311" s="12">
        <v>4832</v>
      </c>
      <c r="E5311" s="12" t="s">
        <v>5332</v>
      </c>
      <c r="F5311" s="12" t="s">
        <v>5328</v>
      </c>
      <c r="G5311" s="12" t="s">
        <v>14422</v>
      </c>
      <c r="H5311" s="12">
        <v>167286</v>
      </c>
    </row>
    <row r="5312" spans="1:8">
      <c r="A5312" s="12" t="s">
        <v>14423</v>
      </c>
      <c r="B5312" s="13">
        <v>0</v>
      </c>
      <c r="C5312" s="16" t="s">
        <v>5331</v>
      </c>
      <c r="D5312" s="12">
        <v>1172</v>
      </c>
      <c r="E5312" s="12" t="s">
        <v>5332</v>
      </c>
      <c r="F5312" s="12" t="s">
        <v>5328</v>
      </c>
      <c r="G5312" s="12" t="s">
        <v>14424</v>
      </c>
      <c r="H5312" s="12">
        <v>182870</v>
      </c>
    </row>
    <row r="5313" spans="1:8">
      <c r="A5313" s="12" t="s">
        <v>14425</v>
      </c>
      <c r="B5313" s="13">
        <v>0</v>
      </c>
      <c r="C5313" s="16" t="s">
        <v>5331</v>
      </c>
      <c r="D5313" s="12">
        <v>1172</v>
      </c>
      <c r="E5313" s="12" t="s">
        <v>5332</v>
      </c>
      <c r="F5313" s="12" t="s">
        <v>5328</v>
      </c>
      <c r="G5313" s="12" t="s">
        <v>14426</v>
      </c>
      <c r="H5313" s="12">
        <v>167287</v>
      </c>
    </row>
    <row r="5314" spans="1:8">
      <c r="A5314" s="12" t="s">
        <v>14427</v>
      </c>
      <c r="B5314" s="13">
        <v>0</v>
      </c>
      <c r="C5314" s="16" t="s">
        <v>5331</v>
      </c>
      <c r="D5314" s="12">
        <v>46543</v>
      </c>
      <c r="E5314" s="12" t="s">
        <v>5332</v>
      </c>
      <c r="F5314" s="12" t="s">
        <v>5328</v>
      </c>
      <c r="G5314" s="12" t="s">
        <v>14428</v>
      </c>
      <c r="H5314" s="12">
        <v>182871</v>
      </c>
    </row>
    <row r="5315" spans="1:8">
      <c r="A5315" s="12" t="s">
        <v>14429</v>
      </c>
      <c r="B5315" s="13">
        <v>0</v>
      </c>
      <c r="C5315" s="16" t="s">
        <v>5331</v>
      </c>
      <c r="D5315" s="12">
        <v>46543</v>
      </c>
      <c r="E5315" s="12" t="s">
        <v>5332</v>
      </c>
      <c r="F5315" s="12" t="s">
        <v>5328</v>
      </c>
      <c r="G5315" s="12" t="s">
        <v>14430</v>
      </c>
      <c r="H5315" s="12">
        <v>167288</v>
      </c>
    </row>
    <row r="5316" spans="1:8">
      <c r="A5316" s="12" t="s">
        <v>14431</v>
      </c>
      <c r="B5316" s="13">
        <v>0</v>
      </c>
      <c r="C5316" s="16" t="s">
        <v>5331</v>
      </c>
      <c r="D5316" s="12">
        <v>82222</v>
      </c>
      <c r="E5316" s="12" t="s">
        <v>5332</v>
      </c>
      <c r="F5316" s="12" t="s">
        <v>5328</v>
      </c>
      <c r="G5316" s="12" t="s">
        <v>14432</v>
      </c>
      <c r="H5316" s="12">
        <v>182872</v>
      </c>
    </row>
    <row r="5317" spans="1:8">
      <c r="A5317" s="12" t="s">
        <v>14433</v>
      </c>
      <c r="B5317" s="13">
        <v>0</v>
      </c>
      <c r="C5317" s="16" t="s">
        <v>5331</v>
      </c>
      <c r="D5317" s="12">
        <v>82222</v>
      </c>
      <c r="E5317" s="12" t="s">
        <v>5332</v>
      </c>
      <c r="F5317" s="12" t="s">
        <v>5328</v>
      </c>
      <c r="G5317" s="12" t="s">
        <v>14434</v>
      </c>
      <c r="H5317" s="12">
        <v>167289</v>
      </c>
    </row>
    <row r="5318" spans="1:8">
      <c r="A5318" s="12" t="s">
        <v>14435</v>
      </c>
      <c r="B5318" s="13">
        <v>0</v>
      </c>
      <c r="C5318" s="16" t="s">
        <v>5331</v>
      </c>
      <c r="D5318" s="12">
        <v>9549</v>
      </c>
      <c r="E5318" s="12" t="s">
        <v>5332</v>
      </c>
      <c r="F5318" s="12" t="s">
        <v>5328</v>
      </c>
      <c r="G5318" s="12" t="s">
        <v>14436</v>
      </c>
      <c r="H5318" s="12">
        <v>182873</v>
      </c>
    </row>
    <row r="5319" spans="1:8">
      <c r="A5319" s="12" t="s">
        <v>14435</v>
      </c>
      <c r="B5319" s="13">
        <v>0</v>
      </c>
      <c r="C5319" s="16" t="s">
        <v>5331</v>
      </c>
      <c r="D5319" s="12">
        <v>9549</v>
      </c>
      <c r="E5319" s="12" t="s">
        <v>5332</v>
      </c>
      <c r="F5319" s="12" t="s">
        <v>5328</v>
      </c>
      <c r="G5319" s="12" t="s">
        <v>14437</v>
      </c>
      <c r="H5319" s="12">
        <v>167290</v>
      </c>
    </row>
    <row r="5320" spans="1:8">
      <c r="A5320" s="12" t="s">
        <v>14438</v>
      </c>
      <c r="B5320" s="13">
        <v>0</v>
      </c>
      <c r="C5320" s="16" t="s">
        <v>5331</v>
      </c>
      <c r="D5320" s="12">
        <v>17187</v>
      </c>
      <c r="E5320" s="12" t="s">
        <v>5332</v>
      </c>
      <c r="F5320" s="12" t="s">
        <v>5328</v>
      </c>
      <c r="G5320" s="12" t="s">
        <v>14439</v>
      </c>
      <c r="H5320" s="12">
        <v>182874</v>
      </c>
    </row>
    <row r="5321" spans="1:8">
      <c r="A5321" s="12" t="s">
        <v>14438</v>
      </c>
      <c r="B5321" s="13">
        <v>0</v>
      </c>
      <c r="C5321" s="16" t="s">
        <v>5331</v>
      </c>
      <c r="D5321" s="12">
        <v>17187</v>
      </c>
      <c r="E5321" s="12" t="s">
        <v>5332</v>
      </c>
      <c r="F5321" s="12" t="s">
        <v>5328</v>
      </c>
      <c r="G5321" s="12" t="s">
        <v>14440</v>
      </c>
      <c r="H5321" s="12">
        <v>167291</v>
      </c>
    </row>
    <row r="5322" spans="1:8">
      <c r="A5322" s="12" t="s">
        <v>14441</v>
      </c>
      <c r="B5322" s="13">
        <v>0</v>
      </c>
      <c r="C5322" s="16" t="s">
        <v>5331</v>
      </c>
      <c r="D5322" s="12">
        <v>2865</v>
      </c>
      <c r="E5322" s="12" t="s">
        <v>5332</v>
      </c>
      <c r="F5322" s="12" t="s">
        <v>5328</v>
      </c>
      <c r="G5322" s="12" t="s">
        <v>14442</v>
      </c>
      <c r="H5322" s="12">
        <v>182875</v>
      </c>
    </row>
    <row r="5323" spans="1:8">
      <c r="A5323" s="12" t="s">
        <v>14441</v>
      </c>
      <c r="B5323" s="13">
        <v>0</v>
      </c>
      <c r="C5323" s="16" t="s">
        <v>5331</v>
      </c>
      <c r="D5323" s="12">
        <v>2865</v>
      </c>
      <c r="E5323" s="12" t="s">
        <v>5332</v>
      </c>
      <c r="F5323" s="12" t="s">
        <v>5328</v>
      </c>
      <c r="G5323" s="12" t="s">
        <v>14443</v>
      </c>
      <c r="H5323" s="12">
        <v>167292</v>
      </c>
    </row>
    <row r="5324" spans="1:8">
      <c r="A5324" s="12" t="s">
        <v>14444</v>
      </c>
      <c r="B5324" s="13">
        <v>0</v>
      </c>
      <c r="C5324" s="16" t="s">
        <v>5331</v>
      </c>
      <c r="D5324" s="12">
        <v>1592</v>
      </c>
      <c r="E5324" s="12" t="s">
        <v>5332</v>
      </c>
      <c r="F5324" s="12" t="s">
        <v>5328</v>
      </c>
      <c r="G5324" s="12" t="s">
        <v>14445</v>
      </c>
      <c r="H5324" s="12">
        <v>182876</v>
      </c>
    </row>
    <row r="5325" spans="1:8">
      <c r="A5325" s="12" t="s">
        <v>14444</v>
      </c>
      <c r="B5325" s="13">
        <v>0</v>
      </c>
      <c r="C5325" s="16" t="s">
        <v>5331</v>
      </c>
      <c r="D5325" s="12">
        <v>1592</v>
      </c>
      <c r="E5325" s="12" t="s">
        <v>5332</v>
      </c>
      <c r="F5325" s="12" t="s">
        <v>5328</v>
      </c>
      <c r="G5325" s="12" t="s">
        <v>14446</v>
      </c>
      <c r="H5325" s="12">
        <v>167293</v>
      </c>
    </row>
    <row r="5326" spans="1:8">
      <c r="A5326" s="12" t="s">
        <v>14447</v>
      </c>
      <c r="B5326" s="13">
        <v>0</v>
      </c>
      <c r="C5326" s="16" t="s">
        <v>5331</v>
      </c>
      <c r="D5326" s="12">
        <v>5729</v>
      </c>
      <c r="E5326" s="12" t="s">
        <v>5332</v>
      </c>
      <c r="F5326" s="12" t="s">
        <v>5328</v>
      </c>
      <c r="G5326" s="12" t="s">
        <v>14448</v>
      </c>
      <c r="H5326" s="12">
        <v>182877</v>
      </c>
    </row>
    <row r="5327" spans="1:8">
      <c r="A5327" s="12" t="s">
        <v>14447</v>
      </c>
      <c r="B5327" s="13">
        <v>0</v>
      </c>
      <c r="C5327" s="16" t="s">
        <v>5331</v>
      </c>
      <c r="D5327" s="12">
        <v>5729</v>
      </c>
      <c r="E5327" s="12" t="s">
        <v>5332</v>
      </c>
      <c r="F5327" s="12" t="s">
        <v>5328</v>
      </c>
      <c r="G5327" s="12" t="s">
        <v>14449</v>
      </c>
      <c r="H5327" s="12">
        <v>167294</v>
      </c>
    </row>
    <row r="5328" spans="1:8">
      <c r="A5328" s="12" t="s">
        <v>14450</v>
      </c>
      <c r="B5328" s="13">
        <v>0</v>
      </c>
      <c r="C5328" s="16" t="s">
        <v>5331</v>
      </c>
      <c r="D5328" s="12">
        <v>955</v>
      </c>
      <c r="E5328" s="12" t="s">
        <v>5332</v>
      </c>
      <c r="F5328" s="12" t="s">
        <v>5328</v>
      </c>
      <c r="G5328" s="12" t="s">
        <v>14451</v>
      </c>
      <c r="H5328" s="12">
        <v>182878</v>
      </c>
    </row>
    <row r="5329" spans="1:8">
      <c r="A5329" s="12" t="s">
        <v>14450</v>
      </c>
      <c r="B5329" s="13">
        <v>0</v>
      </c>
      <c r="C5329" s="16" t="s">
        <v>5331</v>
      </c>
      <c r="D5329" s="12">
        <v>955</v>
      </c>
      <c r="E5329" s="12" t="s">
        <v>5332</v>
      </c>
      <c r="F5329" s="12" t="s">
        <v>5328</v>
      </c>
      <c r="G5329" s="12" t="s">
        <v>14452</v>
      </c>
      <c r="H5329" s="12">
        <v>167295</v>
      </c>
    </row>
    <row r="5330" spans="1:8">
      <c r="A5330" s="12" t="s">
        <v>2284</v>
      </c>
      <c r="B5330" s="13">
        <v>0</v>
      </c>
      <c r="C5330" s="16" t="s">
        <v>5331</v>
      </c>
      <c r="D5330" s="12">
        <v>3974</v>
      </c>
      <c r="E5330" s="12" t="s">
        <v>5332</v>
      </c>
      <c r="F5330" s="12" t="s">
        <v>5328</v>
      </c>
      <c r="G5330" s="12" t="s">
        <v>14453</v>
      </c>
      <c r="H5330" s="12">
        <v>174923</v>
      </c>
    </row>
    <row r="5331" spans="1:8">
      <c r="A5331" s="12" t="s">
        <v>14454</v>
      </c>
      <c r="B5331" s="13">
        <v>0</v>
      </c>
      <c r="C5331" s="16" t="s">
        <v>5331</v>
      </c>
      <c r="D5331" s="12">
        <v>5110</v>
      </c>
      <c r="E5331" s="12" t="s">
        <v>5332</v>
      </c>
      <c r="F5331" s="12" t="s">
        <v>5328</v>
      </c>
      <c r="G5331" s="12" t="s">
        <v>14455</v>
      </c>
      <c r="H5331" s="12">
        <v>225210</v>
      </c>
    </row>
    <row r="5332" spans="1:8">
      <c r="A5332" s="12" t="s">
        <v>14456</v>
      </c>
      <c r="B5332" s="13">
        <v>0</v>
      </c>
      <c r="C5332" s="16" t="s">
        <v>5331</v>
      </c>
      <c r="D5332" s="12">
        <v>4867</v>
      </c>
      <c r="E5332" s="12" t="s">
        <v>5332</v>
      </c>
      <c r="F5332" s="12" t="s">
        <v>5328</v>
      </c>
      <c r="G5332" s="12" t="s">
        <v>14457</v>
      </c>
      <c r="H5332" s="12">
        <v>175759</v>
      </c>
    </row>
    <row r="5333" spans="1:8">
      <c r="A5333" s="12" t="s">
        <v>1591</v>
      </c>
      <c r="B5333" s="14">
        <v>36768.31</v>
      </c>
      <c r="C5333" s="16" t="s">
        <v>5331</v>
      </c>
      <c r="D5333" s="12">
        <v>113460</v>
      </c>
      <c r="E5333" s="12" t="s">
        <v>5332</v>
      </c>
      <c r="F5333" s="12" t="s">
        <v>5328</v>
      </c>
      <c r="G5333" s="12" t="s">
        <v>14458</v>
      </c>
      <c r="H5333" s="12">
        <v>184229</v>
      </c>
    </row>
    <row r="5334" spans="1:8">
      <c r="A5334" s="12" t="s">
        <v>14459</v>
      </c>
      <c r="B5334" s="13">
        <v>0</v>
      </c>
      <c r="C5334" s="16" t="s">
        <v>5331</v>
      </c>
      <c r="D5334" s="12">
        <v>168132</v>
      </c>
      <c r="E5334" s="12" t="s">
        <v>5332</v>
      </c>
      <c r="F5334" s="12" t="s">
        <v>5328</v>
      </c>
      <c r="G5334" s="12" t="s">
        <v>14460</v>
      </c>
      <c r="H5334" s="12">
        <v>196497</v>
      </c>
    </row>
    <row r="5335" spans="1:8">
      <c r="A5335" s="12" t="s">
        <v>14459</v>
      </c>
      <c r="B5335" s="13">
        <v>0</v>
      </c>
      <c r="C5335" s="16" t="s">
        <v>5331</v>
      </c>
      <c r="D5335" s="12">
        <v>202918</v>
      </c>
      <c r="E5335" s="12" t="s">
        <v>5332</v>
      </c>
      <c r="F5335" s="12" t="s">
        <v>5328</v>
      </c>
      <c r="G5335" s="12" t="s">
        <v>14461</v>
      </c>
      <c r="H5335" s="12">
        <v>196498</v>
      </c>
    </row>
    <row r="5336" spans="1:8">
      <c r="A5336" s="12" t="s">
        <v>14459</v>
      </c>
      <c r="B5336" s="13">
        <v>0</v>
      </c>
      <c r="C5336" s="16" t="s">
        <v>5331</v>
      </c>
      <c r="D5336" s="12">
        <v>249300</v>
      </c>
      <c r="E5336" s="12" t="s">
        <v>5332</v>
      </c>
      <c r="F5336" s="12" t="s">
        <v>5328</v>
      </c>
      <c r="G5336" s="12" t="s">
        <v>14462</v>
      </c>
      <c r="H5336" s="12">
        <v>196499</v>
      </c>
    </row>
    <row r="5337" spans="1:8">
      <c r="A5337" s="12" t="s">
        <v>14459</v>
      </c>
      <c r="B5337" s="13">
        <v>0</v>
      </c>
      <c r="C5337" s="16" t="s">
        <v>5331</v>
      </c>
      <c r="D5337" s="12">
        <v>258576</v>
      </c>
      <c r="E5337" s="12" t="s">
        <v>5332</v>
      </c>
      <c r="F5337" s="12" t="s">
        <v>5328</v>
      </c>
      <c r="G5337" s="12" t="s">
        <v>14463</v>
      </c>
      <c r="H5337" s="12">
        <v>196500</v>
      </c>
    </row>
    <row r="5338" spans="1:8">
      <c r="A5338" s="12" t="s">
        <v>14459</v>
      </c>
      <c r="B5338" s="13">
        <v>0</v>
      </c>
      <c r="C5338" s="16" t="s">
        <v>5331</v>
      </c>
      <c r="D5338" s="12">
        <v>304958</v>
      </c>
      <c r="E5338" s="12" t="s">
        <v>5332</v>
      </c>
      <c r="F5338" s="12" t="s">
        <v>5328</v>
      </c>
      <c r="G5338" s="12" t="s">
        <v>14464</v>
      </c>
      <c r="H5338" s="12">
        <v>196501</v>
      </c>
    </row>
    <row r="5339" spans="1:8">
      <c r="A5339" s="12" t="s">
        <v>14459</v>
      </c>
      <c r="B5339" s="13">
        <v>0</v>
      </c>
      <c r="C5339" s="16" t="s">
        <v>5331</v>
      </c>
      <c r="D5339" s="12">
        <v>226109</v>
      </c>
      <c r="E5339" s="12" t="s">
        <v>5332</v>
      </c>
      <c r="F5339" s="12" t="s">
        <v>5328</v>
      </c>
      <c r="G5339" s="12" t="s">
        <v>14465</v>
      </c>
      <c r="H5339" s="12">
        <v>196502</v>
      </c>
    </row>
    <row r="5340" spans="1:8">
      <c r="A5340" s="12" t="s">
        <v>14459</v>
      </c>
      <c r="B5340" s="13">
        <v>0</v>
      </c>
      <c r="C5340" s="16" t="s">
        <v>5331</v>
      </c>
      <c r="D5340" s="12">
        <v>272491</v>
      </c>
      <c r="E5340" s="12" t="s">
        <v>5332</v>
      </c>
      <c r="F5340" s="12" t="s">
        <v>5328</v>
      </c>
      <c r="G5340" s="12" t="s">
        <v>14466</v>
      </c>
      <c r="H5340" s="12">
        <v>196503</v>
      </c>
    </row>
    <row r="5341" spans="1:8">
      <c r="A5341" s="12" t="s">
        <v>14459</v>
      </c>
      <c r="B5341" s="13">
        <v>0</v>
      </c>
      <c r="C5341" s="16" t="s">
        <v>5331</v>
      </c>
      <c r="D5341" s="12">
        <v>281767</v>
      </c>
      <c r="E5341" s="12" t="s">
        <v>5332</v>
      </c>
      <c r="F5341" s="12" t="s">
        <v>5328</v>
      </c>
      <c r="G5341" s="12" t="s">
        <v>14467</v>
      </c>
      <c r="H5341" s="12">
        <v>196504</v>
      </c>
    </row>
    <row r="5342" spans="1:8">
      <c r="A5342" s="12" t="s">
        <v>14459</v>
      </c>
      <c r="B5342" s="13">
        <v>0</v>
      </c>
      <c r="C5342" s="16" t="s">
        <v>5331</v>
      </c>
      <c r="D5342" s="12">
        <v>328149</v>
      </c>
      <c r="E5342" s="12" t="s">
        <v>5332</v>
      </c>
      <c r="F5342" s="12" t="s">
        <v>5328</v>
      </c>
      <c r="G5342" s="12" t="s">
        <v>14468</v>
      </c>
      <c r="H5342" s="12">
        <v>196505</v>
      </c>
    </row>
    <row r="5343" spans="1:8">
      <c r="A5343" s="12" t="s">
        <v>14459</v>
      </c>
      <c r="B5343" s="13">
        <v>0</v>
      </c>
      <c r="C5343" s="16" t="s">
        <v>5331</v>
      </c>
      <c r="D5343" s="12">
        <v>272491</v>
      </c>
      <c r="E5343" s="12" t="s">
        <v>5332</v>
      </c>
      <c r="F5343" s="12" t="s">
        <v>5328</v>
      </c>
      <c r="G5343" s="12" t="s">
        <v>14469</v>
      </c>
      <c r="H5343" s="12">
        <v>196506</v>
      </c>
    </row>
    <row r="5344" spans="1:8">
      <c r="A5344" s="12" t="s">
        <v>14459</v>
      </c>
      <c r="B5344" s="13">
        <v>0</v>
      </c>
      <c r="C5344" s="16" t="s">
        <v>5331</v>
      </c>
      <c r="D5344" s="12">
        <v>318873</v>
      </c>
      <c r="E5344" s="12" t="s">
        <v>5332</v>
      </c>
      <c r="F5344" s="12" t="s">
        <v>5328</v>
      </c>
      <c r="G5344" s="12" t="s">
        <v>14470</v>
      </c>
      <c r="H5344" s="12">
        <v>196507</v>
      </c>
    </row>
    <row r="5345" spans="1:8">
      <c r="A5345" s="12" t="s">
        <v>14459</v>
      </c>
      <c r="B5345" s="13">
        <v>0</v>
      </c>
      <c r="C5345" s="16" t="s">
        <v>5331</v>
      </c>
      <c r="D5345" s="12">
        <v>328149</v>
      </c>
      <c r="E5345" s="12" t="s">
        <v>5332</v>
      </c>
      <c r="F5345" s="12" t="s">
        <v>5328</v>
      </c>
      <c r="G5345" s="12" t="s">
        <v>14471</v>
      </c>
      <c r="H5345" s="12">
        <v>196508</v>
      </c>
    </row>
    <row r="5346" spans="1:8">
      <c r="A5346" s="12" t="s">
        <v>14459</v>
      </c>
      <c r="B5346" s="13">
        <v>0</v>
      </c>
      <c r="C5346" s="16" t="s">
        <v>5331</v>
      </c>
      <c r="D5346" s="12">
        <v>374531</v>
      </c>
      <c r="E5346" s="12" t="s">
        <v>5332</v>
      </c>
      <c r="F5346" s="12" t="s">
        <v>5328</v>
      </c>
      <c r="G5346" s="12" t="s">
        <v>14472</v>
      </c>
      <c r="H5346" s="12">
        <v>196509</v>
      </c>
    </row>
    <row r="5347" spans="1:8">
      <c r="A5347" s="12" t="s">
        <v>14459</v>
      </c>
      <c r="B5347" s="13">
        <v>0</v>
      </c>
      <c r="C5347" s="16" t="s">
        <v>5331</v>
      </c>
      <c r="D5347" s="12">
        <v>249300</v>
      </c>
      <c r="E5347" s="12" t="s">
        <v>5332</v>
      </c>
      <c r="F5347" s="12" t="s">
        <v>5328</v>
      </c>
      <c r="G5347" s="12" t="s">
        <v>14473</v>
      </c>
      <c r="H5347" s="12">
        <v>196510</v>
      </c>
    </row>
    <row r="5348" spans="1:8">
      <c r="A5348" s="12" t="s">
        <v>14459</v>
      </c>
      <c r="B5348" s="13">
        <v>0</v>
      </c>
      <c r="C5348" s="16" t="s">
        <v>5331</v>
      </c>
      <c r="D5348" s="12">
        <v>295682</v>
      </c>
      <c r="E5348" s="12" t="s">
        <v>5332</v>
      </c>
      <c r="F5348" s="12" t="s">
        <v>5328</v>
      </c>
      <c r="G5348" s="12" t="s">
        <v>14474</v>
      </c>
      <c r="H5348" s="12">
        <v>196511</v>
      </c>
    </row>
    <row r="5349" spans="1:8">
      <c r="A5349" s="12" t="s">
        <v>14459</v>
      </c>
      <c r="B5349" s="13">
        <v>0</v>
      </c>
      <c r="C5349" s="16" t="s">
        <v>5331</v>
      </c>
      <c r="D5349" s="12">
        <v>304958</v>
      </c>
      <c r="E5349" s="12" t="s">
        <v>5332</v>
      </c>
      <c r="F5349" s="12" t="s">
        <v>5328</v>
      </c>
      <c r="G5349" s="12" t="s">
        <v>14475</v>
      </c>
      <c r="H5349" s="12">
        <v>196512</v>
      </c>
    </row>
    <row r="5350" spans="1:8">
      <c r="A5350" s="12" t="s">
        <v>14459</v>
      </c>
      <c r="B5350" s="13">
        <v>0</v>
      </c>
      <c r="C5350" s="16" t="s">
        <v>5331</v>
      </c>
      <c r="D5350" s="12">
        <v>351340</v>
      </c>
      <c r="E5350" s="12" t="s">
        <v>5332</v>
      </c>
      <c r="F5350" s="12" t="s">
        <v>5328</v>
      </c>
      <c r="G5350" s="12" t="s">
        <v>14476</v>
      </c>
      <c r="H5350" s="12">
        <v>196513</v>
      </c>
    </row>
    <row r="5351" spans="1:8">
      <c r="A5351" s="12" t="s">
        <v>14459</v>
      </c>
      <c r="B5351" s="13">
        <v>0</v>
      </c>
      <c r="C5351" s="16" t="s">
        <v>5331</v>
      </c>
      <c r="D5351" s="12">
        <v>214514</v>
      </c>
      <c r="E5351" s="12" t="s">
        <v>5332</v>
      </c>
      <c r="F5351" s="12" t="s">
        <v>5328</v>
      </c>
      <c r="G5351" s="12" t="s">
        <v>14477</v>
      </c>
      <c r="H5351" s="12">
        <v>196514</v>
      </c>
    </row>
    <row r="5352" spans="1:8">
      <c r="A5352" s="12" t="s">
        <v>14459</v>
      </c>
      <c r="B5352" s="13">
        <v>0</v>
      </c>
      <c r="C5352" s="16" t="s">
        <v>5331</v>
      </c>
      <c r="D5352" s="12">
        <v>223790</v>
      </c>
      <c r="E5352" s="12" t="s">
        <v>5332</v>
      </c>
      <c r="F5352" s="12" t="s">
        <v>5328</v>
      </c>
      <c r="G5352" s="12" t="s">
        <v>14478</v>
      </c>
      <c r="H5352" s="12">
        <v>196515</v>
      </c>
    </row>
    <row r="5353" spans="1:8">
      <c r="A5353" s="12" t="s">
        <v>14459</v>
      </c>
      <c r="B5353" s="13">
        <v>0</v>
      </c>
      <c r="C5353" s="16" t="s">
        <v>5331</v>
      </c>
      <c r="D5353" s="12">
        <v>270172</v>
      </c>
      <c r="E5353" s="12" t="s">
        <v>5332</v>
      </c>
      <c r="F5353" s="12" t="s">
        <v>5328</v>
      </c>
      <c r="G5353" s="12" t="s">
        <v>14479</v>
      </c>
      <c r="H5353" s="12">
        <v>196516</v>
      </c>
    </row>
    <row r="5354" spans="1:8">
      <c r="A5354" s="12" t="s">
        <v>14459</v>
      </c>
      <c r="B5354" s="13">
        <v>0</v>
      </c>
      <c r="C5354" s="16" t="s">
        <v>5331</v>
      </c>
      <c r="D5354" s="12">
        <v>191323</v>
      </c>
      <c r="E5354" s="12" t="s">
        <v>5332</v>
      </c>
      <c r="F5354" s="12" t="s">
        <v>5328</v>
      </c>
      <c r="G5354" s="12" t="s">
        <v>14480</v>
      </c>
      <c r="H5354" s="12">
        <v>196517</v>
      </c>
    </row>
    <row r="5355" spans="1:8">
      <c r="A5355" s="12" t="s">
        <v>14459</v>
      </c>
      <c r="B5355" s="13">
        <v>0</v>
      </c>
      <c r="C5355" s="16" t="s">
        <v>5331</v>
      </c>
      <c r="D5355" s="12">
        <v>237705</v>
      </c>
      <c r="E5355" s="12" t="s">
        <v>5332</v>
      </c>
      <c r="F5355" s="12" t="s">
        <v>5328</v>
      </c>
      <c r="G5355" s="12" t="s">
        <v>14481</v>
      </c>
      <c r="H5355" s="12">
        <v>196518</v>
      </c>
    </row>
    <row r="5356" spans="1:8">
      <c r="A5356" s="12" t="s">
        <v>14459</v>
      </c>
      <c r="B5356" s="13">
        <v>0</v>
      </c>
      <c r="C5356" s="16" t="s">
        <v>5331</v>
      </c>
      <c r="D5356" s="12">
        <v>246981</v>
      </c>
      <c r="E5356" s="12" t="s">
        <v>5332</v>
      </c>
      <c r="F5356" s="12" t="s">
        <v>5328</v>
      </c>
      <c r="G5356" s="12" t="s">
        <v>14482</v>
      </c>
      <c r="H5356" s="12">
        <v>196519</v>
      </c>
    </row>
    <row r="5357" spans="1:8">
      <c r="A5357" s="12" t="s">
        <v>14459</v>
      </c>
      <c r="B5357" s="13">
        <v>0</v>
      </c>
      <c r="C5357" s="16" t="s">
        <v>5331</v>
      </c>
      <c r="D5357" s="12">
        <v>293363</v>
      </c>
      <c r="E5357" s="12" t="s">
        <v>5332</v>
      </c>
      <c r="F5357" s="12" t="s">
        <v>5328</v>
      </c>
      <c r="G5357" s="12" t="s">
        <v>14483</v>
      </c>
      <c r="H5357" s="12">
        <v>196520</v>
      </c>
    </row>
    <row r="5358" spans="1:8">
      <c r="A5358" s="12" t="s">
        <v>14459</v>
      </c>
      <c r="B5358" s="13">
        <v>0</v>
      </c>
      <c r="C5358" s="16" t="s">
        <v>5331</v>
      </c>
      <c r="D5358" s="12">
        <v>237705</v>
      </c>
      <c r="E5358" s="12" t="s">
        <v>5332</v>
      </c>
      <c r="F5358" s="12" t="s">
        <v>5328</v>
      </c>
      <c r="G5358" s="12" t="s">
        <v>14484</v>
      </c>
      <c r="H5358" s="12">
        <v>196521</v>
      </c>
    </row>
    <row r="5359" spans="1:8">
      <c r="A5359" s="12" t="s">
        <v>14459</v>
      </c>
      <c r="B5359" s="13">
        <v>0</v>
      </c>
      <c r="C5359" s="16" t="s">
        <v>5331</v>
      </c>
      <c r="D5359" s="12">
        <v>284087</v>
      </c>
      <c r="E5359" s="12" t="s">
        <v>5332</v>
      </c>
      <c r="F5359" s="12" t="s">
        <v>5328</v>
      </c>
      <c r="G5359" s="12" t="s">
        <v>14485</v>
      </c>
      <c r="H5359" s="12">
        <v>196522</v>
      </c>
    </row>
    <row r="5360" spans="1:8">
      <c r="A5360" s="12" t="s">
        <v>14459</v>
      </c>
      <c r="B5360" s="13">
        <v>0</v>
      </c>
      <c r="C5360" s="16" t="s">
        <v>5331</v>
      </c>
      <c r="D5360" s="12">
        <v>293363</v>
      </c>
      <c r="E5360" s="12" t="s">
        <v>5332</v>
      </c>
      <c r="F5360" s="12" t="s">
        <v>5328</v>
      </c>
      <c r="G5360" s="12" t="s">
        <v>14486</v>
      </c>
      <c r="H5360" s="12">
        <v>196523</v>
      </c>
    </row>
    <row r="5361" spans="1:8">
      <c r="A5361" s="12" t="s">
        <v>14459</v>
      </c>
      <c r="B5361" s="13">
        <v>0</v>
      </c>
      <c r="C5361" s="16" t="s">
        <v>5331</v>
      </c>
      <c r="D5361" s="12">
        <v>339745</v>
      </c>
      <c r="E5361" s="12" t="s">
        <v>5332</v>
      </c>
      <c r="F5361" s="12" t="s">
        <v>5328</v>
      </c>
      <c r="G5361" s="12" t="s">
        <v>14487</v>
      </c>
      <c r="H5361" s="12">
        <v>196524</v>
      </c>
    </row>
    <row r="5362" spans="1:8">
      <c r="A5362" s="12" t="s">
        <v>14459</v>
      </c>
      <c r="B5362" s="13">
        <v>0</v>
      </c>
      <c r="C5362" s="16" t="s">
        <v>5331</v>
      </c>
      <c r="D5362" s="12">
        <v>214514</v>
      </c>
      <c r="E5362" s="12" t="s">
        <v>5332</v>
      </c>
      <c r="F5362" s="12" t="s">
        <v>5328</v>
      </c>
      <c r="G5362" s="12" t="s">
        <v>14488</v>
      </c>
      <c r="H5362" s="12">
        <v>196525</v>
      </c>
    </row>
    <row r="5363" spans="1:8">
      <c r="A5363" s="12" t="s">
        <v>14459</v>
      </c>
      <c r="B5363" s="13">
        <v>0</v>
      </c>
      <c r="C5363" s="16" t="s">
        <v>5331</v>
      </c>
      <c r="D5363" s="12">
        <v>260896</v>
      </c>
      <c r="E5363" s="12" t="s">
        <v>5332</v>
      </c>
      <c r="F5363" s="12" t="s">
        <v>5328</v>
      </c>
      <c r="G5363" s="12" t="s">
        <v>14489</v>
      </c>
      <c r="H5363" s="12">
        <v>196526</v>
      </c>
    </row>
    <row r="5364" spans="1:8">
      <c r="A5364" s="12" t="s">
        <v>14459</v>
      </c>
      <c r="B5364" s="13">
        <v>0</v>
      </c>
      <c r="C5364" s="16" t="s">
        <v>5331</v>
      </c>
      <c r="D5364" s="12">
        <v>270172</v>
      </c>
      <c r="E5364" s="12" t="s">
        <v>5332</v>
      </c>
      <c r="F5364" s="12" t="s">
        <v>5328</v>
      </c>
      <c r="G5364" s="12" t="s">
        <v>14490</v>
      </c>
      <c r="H5364" s="12">
        <v>196527</v>
      </c>
    </row>
    <row r="5365" spans="1:8">
      <c r="A5365" s="12" t="s">
        <v>14459</v>
      </c>
      <c r="B5365" s="13">
        <v>0</v>
      </c>
      <c r="C5365" s="16" t="s">
        <v>5331</v>
      </c>
      <c r="D5365" s="12">
        <v>316554</v>
      </c>
      <c r="E5365" s="12" t="s">
        <v>5332</v>
      </c>
      <c r="F5365" s="12" t="s">
        <v>5328</v>
      </c>
      <c r="G5365" s="12" t="s">
        <v>14491</v>
      </c>
      <c r="H5365" s="12">
        <v>196528</v>
      </c>
    </row>
    <row r="5366" spans="1:8">
      <c r="A5366" s="12" t="s">
        <v>14459</v>
      </c>
      <c r="B5366" s="13">
        <v>0</v>
      </c>
      <c r="C5366" s="16" t="s">
        <v>5331</v>
      </c>
      <c r="D5366" s="12">
        <v>144941</v>
      </c>
      <c r="E5366" s="12" t="s">
        <v>5332</v>
      </c>
      <c r="F5366" s="12" t="s">
        <v>5328</v>
      </c>
      <c r="G5366" s="12" t="s">
        <v>14492</v>
      </c>
      <c r="H5366" s="12">
        <v>196529</v>
      </c>
    </row>
    <row r="5367" spans="1:8">
      <c r="A5367" s="12" t="s">
        <v>14459</v>
      </c>
      <c r="B5367" s="13">
        <v>0</v>
      </c>
      <c r="C5367" s="16" t="s">
        <v>5331</v>
      </c>
      <c r="D5367" s="12">
        <v>191323</v>
      </c>
      <c r="E5367" s="12" t="s">
        <v>5332</v>
      </c>
      <c r="F5367" s="12" t="s">
        <v>5328</v>
      </c>
      <c r="G5367" s="12" t="s">
        <v>14493</v>
      </c>
      <c r="H5367" s="12">
        <v>196530</v>
      </c>
    </row>
    <row r="5368" spans="1:8">
      <c r="A5368" s="12" t="s">
        <v>14459</v>
      </c>
      <c r="B5368" s="14">
        <v>46832.63</v>
      </c>
      <c r="C5368" s="16" t="s">
        <v>5331</v>
      </c>
      <c r="D5368" s="12">
        <v>200599</v>
      </c>
      <c r="E5368" s="12" t="s">
        <v>5332</v>
      </c>
      <c r="F5368" s="12" t="s">
        <v>5328</v>
      </c>
      <c r="G5368" s="12" t="s">
        <v>14494</v>
      </c>
      <c r="H5368" s="12">
        <v>196531</v>
      </c>
    </row>
    <row r="5369" spans="1:8">
      <c r="A5369" s="12" t="s">
        <v>14459</v>
      </c>
      <c r="B5369" s="13">
        <v>0</v>
      </c>
      <c r="C5369" s="16" t="s">
        <v>5331</v>
      </c>
      <c r="D5369" s="12">
        <v>246981</v>
      </c>
      <c r="E5369" s="12" t="s">
        <v>5332</v>
      </c>
      <c r="F5369" s="12" t="s">
        <v>5328</v>
      </c>
      <c r="G5369" s="12" t="s">
        <v>14495</v>
      </c>
      <c r="H5369" s="12">
        <v>196532</v>
      </c>
    </row>
    <row r="5370" spans="1:8">
      <c r="A5370" s="12" t="s">
        <v>14459</v>
      </c>
      <c r="B5370" s="13">
        <v>0</v>
      </c>
      <c r="C5370" s="16" t="s">
        <v>5331</v>
      </c>
      <c r="D5370" s="12">
        <v>168132</v>
      </c>
      <c r="E5370" s="12" t="s">
        <v>5332</v>
      </c>
      <c r="F5370" s="12" t="s">
        <v>5328</v>
      </c>
      <c r="G5370" s="12" t="s">
        <v>14496</v>
      </c>
      <c r="H5370" s="12">
        <v>196533</v>
      </c>
    </row>
    <row r="5371" spans="1:8">
      <c r="A5371" s="12" t="s">
        <v>14459</v>
      </c>
      <c r="B5371" s="13">
        <v>0</v>
      </c>
      <c r="C5371" s="16" t="s">
        <v>5331</v>
      </c>
      <c r="D5371" s="12">
        <v>214514</v>
      </c>
      <c r="E5371" s="12" t="s">
        <v>5332</v>
      </c>
      <c r="F5371" s="12" t="s">
        <v>5328</v>
      </c>
      <c r="G5371" s="12" t="s">
        <v>14497</v>
      </c>
      <c r="H5371" s="12">
        <v>196534</v>
      </c>
    </row>
    <row r="5372" spans="1:8">
      <c r="A5372" s="12" t="s">
        <v>14459</v>
      </c>
      <c r="B5372" s="14">
        <v>49581.29</v>
      </c>
      <c r="C5372" s="16" t="s">
        <v>5331</v>
      </c>
      <c r="D5372" s="12">
        <v>223790</v>
      </c>
      <c r="E5372" s="12" t="s">
        <v>5332</v>
      </c>
      <c r="F5372" s="12" t="s">
        <v>5328</v>
      </c>
      <c r="G5372" s="12" t="s">
        <v>14498</v>
      </c>
      <c r="H5372" s="12">
        <v>196535</v>
      </c>
    </row>
    <row r="5373" spans="1:8">
      <c r="A5373" s="12" t="s">
        <v>14459</v>
      </c>
      <c r="B5373" s="13">
        <v>0</v>
      </c>
      <c r="C5373" s="16" t="s">
        <v>5331</v>
      </c>
      <c r="D5373" s="12">
        <v>270172</v>
      </c>
      <c r="E5373" s="12" t="s">
        <v>5332</v>
      </c>
      <c r="F5373" s="12" t="s">
        <v>5328</v>
      </c>
      <c r="G5373" s="12" t="s">
        <v>14499</v>
      </c>
      <c r="H5373" s="12">
        <v>196536</v>
      </c>
    </row>
    <row r="5374" spans="1:8">
      <c r="A5374" s="12" t="s">
        <v>14459</v>
      </c>
      <c r="B5374" s="13">
        <v>0</v>
      </c>
      <c r="C5374" s="16" t="s">
        <v>5331</v>
      </c>
      <c r="D5374" s="12">
        <v>214514</v>
      </c>
      <c r="E5374" s="12" t="s">
        <v>5332</v>
      </c>
      <c r="F5374" s="12" t="s">
        <v>5328</v>
      </c>
      <c r="G5374" s="12" t="s">
        <v>14500</v>
      </c>
      <c r="H5374" s="12">
        <v>196537</v>
      </c>
    </row>
    <row r="5375" spans="1:8">
      <c r="A5375" s="12" t="s">
        <v>14459</v>
      </c>
      <c r="B5375" s="13">
        <v>0</v>
      </c>
      <c r="C5375" s="16" t="s">
        <v>5331</v>
      </c>
      <c r="D5375" s="12">
        <v>260896</v>
      </c>
      <c r="E5375" s="12" t="s">
        <v>5332</v>
      </c>
      <c r="F5375" s="12" t="s">
        <v>5328</v>
      </c>
      <c r="G5375" s="12" t="s">
        <v>14501</v>
      </c>
      <c r="H5375" s="12">
        <v>196538</v>
      </c>
    </row>
    <row r="5376" spans="1:8">
      <c r="A5376" s="12" t="s">
        <v>14459</v>
      </c>
      <c r="B5376" s="13">
        <v>0</v>
      </c>
      <c r="C5376" s="16" t="s">
        <v>5331</v>
      </c>
      <c r="D5376" s="12">
        <v>270172</v>
      </c>
      <c r="E5376" s="12" t="s">
        <v>5332</v>
      </c>
      <c r="F5376" s="12" t="s">
        <v>5328</v>
      </c>
      <c r="G5376" s="12" t="s">
        <v>14502</v>
      </c>
      <c r="H5376" s="12">
        <v>196539</v>
      </c>
    </row>
    <row r="5377" spans="1:8">
      <c r="A5377" s="12" t="s">
        <v>14459</v>
      </c>
      <c r="B5377" s="13">
        <v>0</v>
      </c>
      <c r="C5377" s="16" t="s">
        <v>5331</v>
      </c>
      <c r="D5377" s="12">
        <v>316554</v>
      </c>
      <c r="E5377" s="12" t="s">
        <v>5332</v>
      </c>
      <c r="F5377" s="12" t="s">
        <v>5328</v>
      </c>
      <c r="G5377" s="12" t="s">
        <v>14503</v>
      </c>
      <c r="H5377" s="12">
        <v>196540</v>
      </c>
    </row>
    <row r="5378" spans="1:8">
      <c r="A5378" s="12" t="s">
        <v>14459</v>
      </c>
      <c r="B5378" s="13">
        <v>0</v>
      </c>
      <c r="C5378" s="16" t="s">
        <v>5331</v>
      </c>
      <c r="D5378" s="12">
        <v>191323</v>
      </c>
      <c r="E5378" s="12" t="s">
        <v>5332</v>
      </c>
      <c r="F5378" s="12" t="s">
        <v>5328</v>
      </c>
      <c r="G5378" s="12" t="s">
        <v>14504</v>
      </c>
      <c r="H5378" s="12">
        <v>196541</v>
      </c>
    </row>
    <row r="5379" spans="1:8">
      <c r="A5379" s="12" t="s">
        <v>14459</v>
      </c>
      <c r="B5379" s="13">
        <v>0</v>
      </c>
      <c r="C5379" s="16" t="s">
        <v>5331</v>
      </c>
      <c r="D5379" s="12">
        <v>237705</v>
      </c>
      <c r="E5379" s="12" t="s">
        <v>5332</v>
      </c>
      <c r="F5379" s="12" t="s">
        <v>5328</v>
      </c>
      <c r="G5379" s="12" t="s">
        <v>14505</v>
      </c>
      <c r="H5379" s="12">
        <v>196542</v>
      </c>
    </row>
    <row r="5380" spans="1:8">
      <c r="A5380" s="12" t="s">
        <v>14459</v>
      </c>
      <c r="B5380" s="13">
        <v>0</v>
      </c>
      <c r="C5380" s="16" t="s">
        <v>5331</v>
      </c>
      <c r="D5380" s="12">
        <v>246981</v>
      </c>
      <c r="E5380" s="12" t="s">
        <v>5332</v>
      </c>
      <c r="F5380" s="12" t="s">
        <v>5328</v>
      </c>
      <c r="G5380" s="12" t="s">
        <v>14506</v>
      </c>
      <c r="H5380" s="12">
        <v>196543</v>
      </c>
    </row>
    <row r="5381" spans="1:8">
      <c r="A5381" s="12" t="s">
        <v>14459</v>
      </c>
      <c r="B5381" s="13">
        <v>0</v>
      </c>
      <c r="C5381" s="16" t="s">
        <v>5331</v>
      </c>
      <c r="D5381" s="12">
        <v>293363</v>
      </c>
      <c r="E5381" s="12" t="s">
        <v>5332</v>
      </c>
      <c r="F5381" s="12" t="s">
        <v>5328</v>
      </c>
      <c r="G5381" s="12" t="s">
        <v>14507</v>
      </c>
      <c r="H5381" s="12">
        <v>196544</v>
      </c>
    </row>
    <row r="5382" spans="1:8">
      <c r="A5382" s="12" t="s">
        <v>14459</v>
      </c>
      <c r="B5382" s="13">
        <v>0</v>
      </c>
      <c r="C5382" s="16" t="s">
        <v>5331</v>
      </c>
      <c r="D5382" s="12">
        <v>156537</v>
      </c>
      <c r="E5382" s="12" t="s">
        <v>5332</v>
      </c>
      <c r="F5382" s="12" t="s">
        <v>5328</v>
      </c>
      <c r="G5382" s="12" t="s">
        <v>14508</v>
      </c>
      <c r="H5382" s="12">
        <v>196545</v>
      </c>
    </row>
    <row r="5383" spans="1:8">
      <c r="A5383" s="12" t="s">
        <v>14459</v>
      </c>
      <c r="B5383" s="13">
        <v>0</v>
      </c>
      <c r="C5383" s="16" t="s">
        <v>5331</v>
      </c>
      <c r="D5383" s="12">
        <v>165813</v>
      </c>
      <c r="E5383" s="12" t="s">
        <v>5332</v>
      </c>
      <c r="F5383" s="12" t="s">
        <v>5328</v>
      </c>
      <c r="G5383" s="12" t="s">
        <v>14509</v>
      </c>
      <c r="H5383" s="12">
        <v>196546</v>
      </c>
    </row>
    <row r="5384" spans="1:8">
      <c r="A5384" s="12" t="s">
        <v>14459</v>
      </c>
      <c r="B5384" s="13">
        <v>0</v>
      </c>
      <c r="C5384" s="16" t="s">
        <v>5331</v>
      </c>
      <c r="D5384" s="12">
        <v>212195</v>
      </c>
      <c r="E5384" s="12" t="s">
        <v>5332</v>
      </c>
      <c r="F5384" s="12" t="s">
        <v>5328</v>
      </c>
      <c r="G5384" s="12" t="s">
        <v>14510</v>
      </c>
      <c r="H5384" s="12">
        <v>196547</v>
      </c>
    </row>
    <row r="5385" spans="1:8">
      <c r="A5385" s="12" t="s">
        <v>14459</v>
      </c>
      <c r="B5385" s="14">
        <v>38366.120000000003</v>
      </c>
      <c r="C5385" s="16" t="s">
        <v>5331</v>
      </c>
      <c r="D5385" s="12">
        <v>133346</v>
      </c>
      <c r="E5385" s="12" t="s">
        <v>5332</v>
      </c>
      <c r="F5385" s="12" t="s">
        <v>5328</v>
      </c>
      <c r="G5385" s="12" t="s">
        <v>14511</v>
      </c>
      <c r="H5385" s="12">
        <v>196548</v>
      </c>
    </row>
    <row r="5386" spans="1:8">
      <c r="A5386" s="12" t="s">
        <v>14459</v>
      </c>
      <c r="B5386" s="13">
        <v>0</v>
      </c>
      <c r="C5386" s="16" t="s">
        <v>5331</v>
      </c>
      <c r="D5386" s="12">
        <v>179728</v>
      </c>
      <c r="E5386" s="12" t="s">
        <v>5332</v>
      </c>
      <c r="F5386" s="12" t="s">
        <v>5328</v>
      </c>
      <c r="G5386" s="12" t="s">
        <v>14512</v>
      </c>
      <c r="H5386" s="12">
        <v>196549</v>
      </c>
    </row>
    <row r="5387" spans="1:8">
      <c r="A5387" s="12" t="s">
        <v>14459</v>
      </c>
      <c r="B5387" s="13">
        <v>0</v>
      </c>
      <c r="C5387" s="16" t="s">
        <v>5331</v>
      </c>
      <c r="D5387" s="12">
        <v>189004</v>
      </c>
      <c r="E5387" s="12" t="s">
        <v>5332</v>
      </c>
      <c r="F5387" s="12" t="s">
        <v>5328</v>
      </c>
      <c r="G5387" s="12" t="s">
        <v>14513</v>
      </c>
      <c r="H5387" s="12">
        <v>196550</v>
      </c>
    </row>
    <row r="5388" spans="1:8">
      <c r="A5388" s="12" t="s">
        <v>14459</v>
      </c>
      <c r="B5388" s="13">
        <v>0</v>
      </c>
      <c r="C5388" s="16" t="s">
        <v>5331</v>
      </c>
      <c r="D5388" s="12">
        <v>235386</v>
      </c>
      <c r="E5388" s="12" t="s">
        <v>5332</v>
      </c>
      <c r="F5388" s="12" t="s">
        <v>5328</v>
      </c>
      <c r="G5388" s="12" t="s">
        <v>14514</v>
      </c>
      <c r="H5388" s="12">
        <v>196551</v>
      </c>
    </row>
    <row r="5389" spans="1:8">
      <c r="A5389" s="12" t="s">
        <v>14459</v>
      </c>
      <c r="B5389" s="13">
        <v>0</v>
      </c>
      <c r="C5389" s="16" t="s">
        <v>5331</v>
      </c>
      <c r="D5389" s="12">
        <v>179728</v>
      </c>
      <c r="E5389" s="12" t="s">
        <v>5332</v>
      </c>
      <c r="F5389" s="12" t="s">
        <v>5328</v>
      </c>
      <c r="G5389" s="12" t="s">
        <v>14515</v>
      </c>
      <c r="H5389" s="12">
        <v>196552</v>
      </c>
    </row>
    <row r="5390" spans="1:8">
      <c r="A5390" s="12" t="s">
        <v>14459</v>
      </c>
      <c r="B5390" s="13">
        <v>0</v>
      </c>
      <c r="C5390" s="16" t="s">
        <v>5331</v>
      </c>
      <c r="D5390" s="12">
        <v>226110</v>
      </c>
      <c r="E5390" s="12" t="s">
        <v>5332</v>
      </c>
      <c r="F5390" s="12" t="s">
        <v>5328</v>
      </c>
      <c r="G5390" s="12" t="s">
        <v>14516</v>
      </c>
      <c r="H5390" s="12">
        <v>196553</v>
      </c>
    </row>
    <row r="5391" spans="1:8">
      <c r="A5391" s="12" t="s">
        <v>14459</v>
      </c>
      <c r="B5391" s="13">
        <v>0</v>
      </c>
      <c r="C5391" s="16" t="s">
        <v>5331</v>
      </c>
      <c r="D5391" s="12">
        <v>235386</v>
      </c>
      <c r="E5391" s="12" t="s">
        <v>5332</v>
      </c>
      <c r="F5391" s="12" t="s">
        <v>5328</v>
      </c>
      <c r="G5391" s="12" t="s">
        <v>14517</v>
      </c>
      <c r="H5391" s="12">
        <v>196554</v>
      </c>
    </row>
    <row r="5392" spans="1:8">
      <c r="A5392" s="12" t="s">
        <v>14459</v>
      </c>
      <c r="B5392" s="13">
        <v>0</v>
      </c>
      <c r="C5392" s="16" t="s">
        <v>5331</v>
      </c>
      <c r="D5392" s="12">
        <v>281768</v>
      </c>
      <c r="E5392" s="12" t="s">
        <v>5332</v>
      </c>
      <c r="F5392" s="12" t="s">
        <v>5328</v>
      </c>
      <c r="G5392" s="12" t="s">
        <v>14518</v>
      </c>
      <c r="H5392" s="12">
        <v>196555</v>
      </c>
    </row>
    <row r="5393" spans="1:8">
      <c r="A5393" s="12" t="s">
        <v>14459</v>
      </c>
      <c r="B5393" s="13">
        <v>0</v>
      </c>
      <c r="C5393" s="16" t="s">
        <v>5331</v>
      </c>
      <c r="D5393" s="12">
        <v>156537</v>
      </c>
      <c r="E5393" s="12" t="s">
        <v>5332</v>
      </c>
      <c r="F5393" s="12" t="s">
        <v>5328</v>
      </c>
      <c r="G5393" s="12" t="s">
        <v>14519</v>
      </c>
      <c r="H5393" s="12">
        <v>196556</v>
      </c>
    </row>
    <row r="5394" spans="1:8">
      <c r="A5394" s="12" t="s">
        <v>14459</v>
      </c>
      <c r="B5394" s="13">
        <v>0</v>
      </c>
      <c r="C5394" s="16" t="s">
        <v>5331</v>
      </c>
      <c r="D5394" s="12">
        <v>202919</v>
      </c>
      <c r="E5394" s="12" t="s">
        <v>5332</v>
      </c>
      <c r="F5394" s="12" t="s">
        <v>5328</v>
      </c>
      <c r="G5394" s="12" t="s">
        <v>14520</v>
      </c>
      <c r="H5394" s="12">
        <v>196557</v>
      </c>
    </row>
    <row r="5395" spans="1:8">
      <c r="A5395" s="12" t="s">
        <v>14459</v>
      </c>
      <c r="B5395" s="13">
        <v>0</v>
      </c>
      <c r="C5395" s="16" t="s">
        <v>5331</v>
      </c>
      <c r="D5395" s="12">
        <v>212195</v>
      </c>
      <c r="E5395" s="12" t="s">
        <v>5332</v>
      </c>
      <c r="F5395" s="12" t="s">
        <v>5328</v>
      </c>
      <c r="G5395" s="12" t="s">
        <v>14521</v>
      </c>
      <c r="H5395" s="12">
        <v>196558</v>
      </c>
    </row>
    <row r="5396" spans="1:8">
      <c r="A5396" s="12" t="s">
        <v>14459</v>
      </c>
      <c r="B5396" s="13">
        <v>0</v>
      </c>
      <c r="C5396" s="16" t="s">
        <v>5331</v>
      </c>
      <c r="D5396" s="12">
        <v>258577</v>
      </c>
      <c r="E5396" s="12" t="s">
        <v>5332</v>
      </c>
      <c r="F5396" s="12" t="s">
        <v>5328</v>
      </c>
      <c r="G5396" s="12" t="s">
        <v>14522</v>
      </c>
      <c r="H5396" s="12">
        <v>196559</v>
      </c>
    </row>
    <row r="5397" spans="1:8">
      <c r="A5397" s="12" t="s">
        <v>14459</v>
      </c>
      <c r="B5397" s="14">
        <v>36581.81</v>
      </c>
      <c r="C5397" s="16" t="s">
        <v>5331</v>
      </c>
      <c r="D5397" s="12">
        <v>110155</v>
      </c>
      <c r="E5397" s="12" t="s">
        <v>5332</v>
      </c>
      <c r="F5397" s="12" t="s">
        <v>5328</v>
      </c>
      <c r="G5397" s="12" t="s">
        <v>14523</v>
      </c>
      <c r="H5397" s="12">
        <v>196560</v>
      </c>
    </row>
    <row r="5398" spans="1:8">
      <c r="A5398" s="12" t="s">
        <v>1591</v>
      </c>
      <c r="B5398" s="13">
        <v>0</v>
      </c>
      <c r="C5398" s="16" t="s">
        <v>5331</v>
      </c>
      <c r="D5398" s="12">
        <v>110155</v>
      </c>
      <c r="E5398" s="12" t="s">
        <v>5332</v>
      </c>
      <c r="F5398" s="12" t="s">
        <v>5328</v>
      </c>
      <c r="G5398" s="12" t="s">
        <v>14524</v>
      </c>
      <c r="H5398" s="12">
        <v>167188</v>
      </c>
    </row>
    <row r="5399" spans="1:8">
      <c r="A5399" s="12" t="s">
        <v>14525</v>
      </c>
      <c r="B5399" s="14">
        <v>1425</v>
      </c>
      <c r="C5399" s="16" t="s">
        <v>5331</v>
      </c>
      <c r="D5399" s="12">
        <v>4863</v>
      </c>
      <c r="E5399" s="12" t="s">
        <v>5332</v>
      </c>
      <c r="F5399" s="12" t="s">
        <v>5328</v>
      </c>
      <c r="G5399" s="12" t="s">
        <v>14526</v>
      </c>
      <c r="H5399" s="12">
        <v>183528</v>
      </c>
    </row>
    <row r="5400" spans="1:8">
      <c r="A5400" s="12" t="s">
        <v>14525</v>
      </c>
      <c r="B5400" s="13">
        <v>0</v>
      </c>
      <c r="C5400" s="16" t="s">
        <v>5331</v>
      </c>
      <c r="D5400" s="12">
        <v>4863</v>
      </c>
      <c r="E5400" s="12" t="s">
        <v>5332</v>
      </c>
      <c r="F5400" s="12" t="s">
        <v>5328</v>
      </c>
      <c r="G5400" s="12" t="s">
        <v>14527</v>
      </c>
      <c r="H5400" s="12">
        <v>167189</v>
      </c>
    </row>
    <row r="5401" spans="1:8">
      <c r="A5401" s="12" t="s">
        <v>14528</v>
      </c>
      <c r="B5401" s="13">
        <v>0</v>
      </c>
      <c r="C5401" s="16" t="s">
        <v>5331</v>
      </c>
      <c r="D5401" s="12">
        <v>59716</v>
      </c>
      <c r="E5401" s="12" t="s">
        <v>5332</v>
      </c>
      <c r="F5401" s="12" t="s">
        <v>5328</v>
      </c>
      <c r="G5401" s="12" t="s">
        <v>14529</v>
      </c>
      <c r="H5401" s="12">
        <v>183529</v>
      </c>
    </row>
    <row r="5402" spans="1:8">
      <c r="A5402" s="12" t="s">
        <v>14528</v>
      </c>
      <c r="B5402" s="13">
        <v>0</v>
      </c>
      <c r="C5402" s="16" t="s">
        <v>5331</v>
      </c>
      <c r="D5402" s="12">
        <v>57977</v>
      </c>
      <c r="E5402" s="12" t="s">
        <v>5332</v>
      </c>
      <c r="F5402" s="12" t="s">
        <v>5328</v>
      </c>
      <c r="G5402" s="12" t="s">
        <v>14530</v>
      </c>
      <c r="H5402" s="12">
        <v>167190</v>
      </c>
    </row>
    <row r="5403" spans="1:8">
      <c r="A5403" s="12" t="s">
        <v>14531</v>
      </c>
      <c r="B5403" s="14">
        <v>1783.03</v>
      </c>
      <c r="C5403" s="16" t="s">
        <v>5331</v>
      </c>
      <c r="D5403" s="12">
        <v>35830</v>
      </c>
      <c r="E5403" s="12" t="s">
        <v>5332</v>
      </c>
      <c r="F5403" s="12" t="s">
        <v>5328</v>
      </c>
      <c r="G5403" s="12" t="s">
        <v>14532</v>
      </c>
      <c r="H5403" s="12">
        <v>183530</v>
      </c>
    </row>
    <row r="5404" spans="1:8">
      <c r="A5404" s="12" t="s">
        <v>14531</v>
      </c>
      <c r="B5404" s="13">
        <v>0</v>
      </c>
      <c r="C5404" s="16" t="s">
        <v>5331</v>
      </c>
      <c r="D5404" s="12">
        <v>34786</v>
      </c>
      <c r="E5404" s="12" t="s">
        <v>5332</v>
      </c>
      <c r="F5404" s="12" t="s">
        <v>5328</v>
      </c>
      <c r="G5404" s="12" t="s">
        <v>14533</v>
      </c>
      <c r="H5404" s="12">
        <v>167191</v>
      </c>
    </row>
    <row r="5405" spans="1:8">
      <c r="A5405" s="12" t="s">
        <v>14534</v>
      </c>
      <c r="B5405" s="14">
        <v>7656.16</v>
      </c>
      <c r="C5405" s="16" t="s">
        <v>5331</v>
      </c>
      <c r="D5405" s="12">
        <v>47773</v>
      </c>
      <c r="E5405" s="12" t="s">
        <v>5332</v>
      </c>
      <c r="F5405" s="12" t="s">
        <v>5328</v>
      </c>
      <c r="G5405" s="12" t="s">
        <v>14535</v>
      </c>
      <c r="H5405" s="12">
        <v>183531</v>
      </c>
    </row>
    <row r="5406" spans="1:8">
      <c r="A5406" s="12" t="s">
        <v>14534</v>
      </c>
      <c r="B5406" s="13">
        <v>0</v>
      </c>
      <c r="C5406" s="16" t="s">
        <v>5331</v>
      </c>
      <c r="D5406" s="12">
        <v>46382</v>
      </c>
      <c r="E5406" s="12" t="s">
        <v>5332</v>
      </c>
      <c r="F5406" s="12" t="s">
        <v>5328</v>
      </c>
      <c r="G5406" s="12" t="s">
        <v>14536</v>
      </c>
      <c r="H5406" s="12">
        <v>167192</v>
      </c>
    </row>
    <row r="5407" spans="1:8">
      <c r="A5407" s="12" t="s">
        <v>14537</v>
      </c>
      <c r="B5407" s="14">
        <v>8467.7900000000009</v>
      </c>
      <c r="C5407" s="16" t="s">
        <v>5331</v>
      </c>
      <c r="D5407" s="12">
        <v>57328</v>
      </c>
      <c r="E5407" s="12" t="s">
        <v>5332</v>
      </c>
      <c r="F5407" s="12" t="s">
        <v>5328</v>
      </c>
      <c r="G5407" s="12" t="s">
        <v>14538</v>
      </c>
      <c r="H5407" s="12">
        <v>183532</v>
      </c>
    </row>
    <row r="5408" spans="1:8">
      <c r="A5408" s="12" t="s">
        <v>14537</v>
      </c>
      <c r="B5408" s="13">
        <v>0</v>
      </c>
      <c r="C5408" s="16" t="s">
        <v>5331</v>
      </c>
      <c r="D5408" s="12">
        <v>55658</v>
      </c>
      <c r="E5408" s="12" t="s">
        <v>5332</v>
      </c>
      <c r="F5408" s="12" t="s">
        <v>5328</v>
      </c>
      <c r="G5408" s="12" t="s">
        <v>14539</v>
      </c>
      <c r="H5408" s="12">
        <v>167193</v>
      </c>
    </row>
    <row r="5409" spans="1:8">
      <c r="A5409" s="12" t="s">
        <v>14540</v>
      </c>
      <c r="B5409" s="14">
        <v>1648.26</v>
      </c>
      <c r="C5409" s="16" t="s">
        <v>5331</v>
      </c>
      <c r="D5409" s="12">
        <v>23887</v>
      </c>
      <c r="E5409" s="12" t="s">
        <v>5332</v>
      </c>
      <c r="F5409" s="12" t="s">
        <v>5328</v>
      </c>
      <c r="G5409" s="12" t="s">
        <v>14541</v>
      </c>
      <c r="H5409" s="12">
        <v>183533</v>
      </c>
    </row>
    <row r="5410" spans="1:8">
      <c r="A5410" s="12" t="s">
        <v>14540</v>
      </c>
      <c r="B5410" s="13">
        <v>0</v>
      </c>
      <c r="C5410" s="16" t="s">
        <v>5331</v>
      </c>
      <c r="D5410" s="12">
        <v>23191</v>
      </c>
      <c r="E5410" s="12" t="s">
        <v>5332</v>
      </c>
      <c r="F5410" s="12" t="s">
        <v>5328</v>
      </c>
      <c r="G5410" s="12" t="s">
        <v>14542</v>
      </c>
      <c r="H5410" s="12">
        <v>167194</v>
      </c>
    </row>
    <row r="5411" spans="1:8">
      <c r="A5411" s="12" t="s">
        <v>14543</v>
      </c>
      <c r="B5411" s="13">
        <v>0</v>
      </c>
      <c r="C5411" s="16" t="s">
        <v>5331</v>
      </c>
      <c r="D5411" s="12">
        <v>47773</v>
      </c>
      <c r="E5411" s="12" t="s">
        <v>5332</v>
      </c>
      <c r="F5411" s="12" t="s">
        <v>5328</v>
      </c>
      <c r="G5411" s="12" t="s">
        <v>14544</v>
      </c>
      <c r="H5411" s="12">
        <v>183534</v>
      </c>
    </row>
    <row r="5412" spans="1:8">
      <c r="A5412" s="12" t="s">
        <v>14543</v>
      </c>
      <c r="B5412" s="13">
        <v>0</v>
      </c>
      <c r="C5412" s="16" t="s">
        <v>5331</v>
      </c>
      <c r="D5412" s="12">
        <v>46382</v>
      </c>
      <c r="E5412" s="12" t="s">
        <v>5332</v>
      </c>
      <c r="F5412" s="12" t="s">
        <v>5328</v>
      </c>
      <c r="G5412" s="12" t="s">
        <v>14545</v>
      </c>
      <c r="H5412" s="12">
        <v>167195</v>
      </c>
    </row>
    <row r="5413" spans="1:8">
      <c r="A5413" s="12" t="s">
        <v>14546</v>
      </c>
      <c r="B5413" s="13">
        <v>0</v>
      </c>
      <c r="C5413" s="16" t="s">
        <v>5331</v>
      </c>
      <c r="D5413" s="12">
        <v>8144</v>
      </c>
      <c r="E5413" s="12" t="s">
        <v>5332</v>
      </c>
      <c r="F5413" s="12" t="s">
        <v>5328</v>
      </c>
      <c r="G5413" s="12" t="s">
        <v>14547</v>
      </c>
      <c r="H5413" s="12">
        <v>183535</v>
      </c>
    </row>
    <row r="5414" spans="1:8">
      <c r="A5414" s="12" t="s">
        <v>14546</v>
      </c>
      <c r="B5414" s="13">
        <v>0</v>
      </c>
      <c r="C5414" s="16" t="s">
        <v>5331</v>
      </c>
      <c r="D5414" s="12">
        <v>7907</v>
      </c>
      <c r="E5414" s="12" t="s">
        <v>5332</v>
      </c>
      <c r="F5414" s="12" t="s">
        <v>5328</v>
      </c>
      <c r="G5414" s="12" t="s">
        <v>14548</v>
      </c>
      <c r="H5414" s="12">
        <v>167196</v>
      </c>
    </row>
    <row r="5415" spans="1:8">
      <c r="A5415" s="12" t="s">
        <v>14549</v>
      </c>
      <c r="B5415" s="13">
        <v>203.31</v>
      </c>
      <c r="C5415" s="16" t="s">
        <v>5331</v>
      </c>
      <c r="D5415" s="12">
        <v>442</v>
      </c>
      <c r="E5415" s="12" t="s">
        <v>5332</v>
      </c>
      <c r="F5415" s="12" t="s">
        <v>5328</v>
      </c>
      <c r="G5415" s="12" t="s">
        <v>14550</v>
      </c>
      <c r="H5415" s="12">
        <v>190160</v>
      </c>
    </row>
    <row r="5416" spans="1:8">
      <c r="A5416" s="12" t="s">
        <v>14549</v>
      </c>
      <c r="B5416" s="13">
        <v>0</v>
      </c>
      <c r="C5416" s="16" t="s">
        <v>5331</v>
      </c>
      <c r="D5416" s="12">
        <v>409</v>
      </c>
      <c r="E5416" s="12" t="s">
        <v>5332</v>
      </c>
      <c r="F5416" s="12" t="s">
        <v>5328</v>
      </c>
      <c r="G5416" s="12" t="s">
        <v>14551</v>
      </c>
      <c r="H5416" s="12">
        <v>184129</v>
      </c>
    </row>
    <row r="5417" spans="1:8">
      <c r="A5417" s="12" t="s">
        <v>14549</v>
      </c>
      <c r="B5417" s="13">
        <v>0</v>
      </c>
      <c r="C5417" s="16" t="s">
        <v>5331</v>
      </c>
      <c r="D5417" s="12">
        <v>766</v>
      </c>
      <c r="E5417" s="12" t="s">
        <v>5332</v>
      </c>
      <c r="F5417" s="12" t="s">
        <v>5328</v>
      </c>
      <c r="G5417" s="12" t="s">
        <v>14552</v>
      </c>
      <c r="H5417" s="12">
        <v>165753</v>
      </c>
    </row>
    <row r="5418" spans="1:8">
      <c r="A5418" s="12" t="s">
        <v>14553</v>
      </c>
      <c r="B5418" s="13">
        <v>0</v>
      </c>
      <c r="C5418" s="16" t="s">
        <v>5331</v>
      </c>
      <c r="D5418" s="12">
        <v>4598</v>
      </c>
      <c r="E5418" s="12" t="s">
        <v>5332</v>
      </c>
      <c r="F5418" s="12" t="s">
        <v>5328</v>
      </c>
      <c r="G5418" s="12" t="s">
        <v>14554</v>
      </c>
      <c r="H5418" s="12">
        <v>166605</v>
      </c>
    </row>
    <row r="5419" spans="1:8">
      <c r="A5419" s="12" t="s">
        <v>14555</v>
      </c>
      <c r="B5419" s="13">
        <v>0</v>
      </c>
      <c r="C5419" s="16" t="s">
        <v>5331</v>
      </c>
      <c r="D5419" s="12">
        <v>4598</v>
      </c>
      <c r="E5419" s="12" t="s">
        <v>5332</v>
      </c>
      <c r="F5419" s="12" t="s">
        <v>5328</v>
      </c>
      <c r="G5419" s="12" t="s">
        <v>14556</v>
      </c>
      <c r="H5419" s="12">
        <v>166610</v>
      </c>
    </row>
    <row r="5420" spans="1:8">
      <c r="A5420" s="12" t="s">
        <v>14557</v>
      </c>
      <c r="B5420" s="13">
        <v>89.95</v>
      </c>
      <c r="C5420" s="16" t="s">
        <v>5331</v>
      </c>
      <c r="D5420" s="12">
        <v>7659</v>
      </c>
      <c r="E5420" s="12" t="s">
        <v>5332</v>
      </c>
      <c r="F5420" s="12" t="s">
        <v>5328</v>
      </c>
      <c r="G5420" s="12" t="s">
        <v>14558</v>
      </c>
      <c r="H5420" s="12">
        <v>167197</v>
      </c>
    </row>
    <row r="5421" spans="1:8">
      <c r="A5421" s="12" t="s">
        <v>14559</v>
      </c>
      <c r="B5421" s="14">
        <v>1031.3699999999999</v>
      </c>
      <c r="C5421" s="16" t="s">
        <v>5331</v>
      </c>
      <c r="D5421" s="12">
        <v>3488</v>
      </c>
      <c r="E5421" s="12" t="s">
        <v>5332</v>
      </c>
      <c r="F5421" s="12" t="s">
        <v>5328</v>
      </c>
      <c r="G5421" s="12" t="s">
        <v>14560</v>
      </c>
      <c r="H5421" s="12">
        <v>184230</v>
      </c>
    </row>
    <row r="5422" spans="1:8">
      <c r="A5422" s="12" t="s">
        <v>14559</v>
      </c>
      <c r="B5422" s="13">
        <v>0</v>
      </c>
      <c r="C5422" s="16" t="s">
        <v>5331</v>
      </c>
      <c r="D5422" s="12">
        <v>6225</v>
      </c>
      <c r="E5422" s="12" t="s">
        <v>5332</v>
      </c>
      <c r="F5422" s="12" t="s">
        <v>5328</v>
      </c>
      <c r="G5422" s="12" t="s">
        <v>14561</v>
      </c>
      <c r="H5422" s="12">
        <v>165848</v>
      </c>
    </row>
    <row r="5423" spans="1:8">
      <c r="A5423" s="12" t="s">
        <v>14562</v>
      </c>
      <c r="B5423" s="13">
        <v>53.02</v>
      </c>
      <c r="C5423" s="16" t="s">
        <v>5331</v>
      </c>
      <c r="D5423" s="12">
        <v>141</v>
      </c>
      <c r="E5423" s="12" t="s">
        <v>5332</v>
      </c>
      <c r="F5423" s="12" t="s">
        <v>5328</v>
      </c>
      <c r="G5423" s="12" t="s">
        <v>14563</v>
      </c>
      <c r="H5423" s="12">
        <v>81428</v>
      </c>
    </row>
    <row r="5424" spans="1:8">
      <c r="A5424" s="12" t="s">
        <v>14564</v>
      </c>
      <c r="B5424" s="13">
        <v>0.72</v>
      </c>
      <c r="C5424" s="16" t="s">
        <v>5331</v>
      </c>
      <c r="D5424" s="12">
        <v>292.5</v>
      </c>
      <c r="E5424" s="12" t="s">
        <v>5332</v>
      </c>
      <c r="F5424" s="12" t="s">
        <v>5328</v>
      </c>
      <c r="G5424" s="12" t="s">
        <v>14565</v>
      </c>
      <c r="H5424" s="12">
        <v>208043</v>
      </c>
    </row>
    <row r="5425" spans="1:8">
      <c r="A5425" s="12" t="s">
        <v>14566</v>
      </c>
      <c r="B5425" s="13">
        <v>502.67</v>
      </c>
      <c r="C5425" s="16" t="s">
        <v>5331</v>
      </c>
      <c r="D5425" s="12">
        <v>2400</v>
      </c>
      <c r="E5425" s="12" t="s">
        <v>5332</v>
      </c>
      <c r="F5425" s="12" t="s">
        <v>5328</v>
      </c>
      <c r="G5425" s="12" t="s">
        <v>14567</v>
      </c>
      <c r="H5425" s="12">
        <v>81821</v>
      </c>
    </row>
    <row r="5426" spans="1:8">
      <c r="A5426" s="12" t="s">
        <v>14568</v>
      </c>
      <c r="B5426" s="13">
        <v>42.21</v>
      </c>
      <c r="C5426" s="16" t="s">
        <v>5331</v>
      </c>
      <c r="D5426" s="12">
        <v>215</v>
      </c>
      <c r="E5426" s="12" t="s">
        <v>5332</v>
      </c>
      <c r="F5426" s="12" t="s">
        <v>5328</v>
      </c>
      <c r="G5426" s="12" t="s">
        <v>14569</v>
      </c>
      <c r="H5426" s="12">
        <v>211775</v>
      </c>
    </row>
    <row r="5427" spans="1:8">
      <c r="A5427" s="12" t="s">
        <v>14570</v>
      </c>
      <c r="B5427" s="13">
        <v>10.09</v>
      </c>
      <c r="C5427" s="16" t="s">
        <v>5331</v>
      </c>
      <c r="D5427" s="12">
        <v>263</v>
      </c>
      <c r="E5427" s="12" t="s">
        <v>5332</v>
      </c>
      <c r="F5427" s="12" t="s">
        <v>5328</v>
      </c>
      <c r="G5427" s="12" t="s">
        <v>14571</v>
      </c>
      <c r="H5427" s="12">
        <v>189953</v>
      </c>
    </row>
    <row r="5428" spans="1:8">
      <c r="A5428" s="12" t="s">
        <v>14572</v>
      </c>
      <c r="B5428" s="13">
        <v>128.81</v>
      </c>
      <c r="C5428" s="16" t="s">
        <v>5331</v>
      </c>
      <c r="D5428" s="12">
        <v>459.53</v>
      </c>
      <c r="E5428" s="12" t="s">
        <v>5332</v>
      </c>
      <c r="F5428" s="12" t="s">
        <v>5328</v>
      </c>
      <c r="G5428" s="12" t="s">
        <v>14573</v>
      </c>
      <c r="H5428" s="12">
        <v>74949</v>
      </c>
    </row>
    <row r="5429" spans="1:8">
      <c r="A5429" s="12" t="s">
        <v>14574</v>
      </c>
      <c r="B5429" s="13">
        <v>0.72</v>
      </c>
      <c r="C5429" s="16" t="s">
        <v>5331</v>
      </c>
      <c r="D5429" s="12">
        <v>292.5</v>
      </c>
      <c r="E5429" s="12" t="s">
        <v>5332</v>
      </c>
      <c r="F5429" s="12" t="s">
        <v>5328</v>
      </c>
      <c r="G5429" s="12" t="s">
        <v>14575</v>
      </c>
      <c r="H5429" s="12">
        <v>208044</v>
      </c>
    </row>
    <row r="5430" spans="1:8">
      <c r="A5430" s="12" t="s">
        <v>14576</v>
      </c>
      <c r="B5430" s="13">
        <v>0.72</v>
      </c>
      <c r="C5430" s="16" t="s">
        <v>5331</v>
      </c>
      <c r="D5430" s="12">
        <v>292.5</v>
      </c>
      <c r="E5430" s="12" t="s">
        <v>5332</v>
      </c>
      <c r="F5430" s="12" t="s">
        <v>5328</v>
      </c>
      <c r="G5430" s="12" t="s">
        <v>14577</v>
      </c>
      <c r="H5430" s="12">
        <v>217783</v>
      </c>
    </row>
    <row r="5431" spans="1:8">
      <c r="A5431" s="12" t="s">
        <v>14578</v>
      </c>
      <c r="B5431" s="13">
        <v>250</v>
      </c>
      <c r="C5431" s="16" t="s">
        <v>5331</v>
      </c>
      <c r="D5431" s="12">
        <v>415</v>
      </c>
      <c r="E5431" s="12" t="s">
        <v>5332</v>
      </c>
      <c r="F5431" s="12" t="s">
        <v>5328</v>
      </c>
      <c r="G5431" s="12" t="s">
        <v>14579</v>
      </c>
      <c r="H5431" s="12">
        <v>156481</v>
      </c>
    </row>
    <row r="5432" spans="1:8">
      <c r="A5432" s="12" t="s">
        <v>14578</v>
      </c>
      <c r="B5432" s="13">
        <v>0</v>
      </c>
      <c r="C5432" s="16" t="s">
        <v>5331</v>
      </c>
      <c r="D5432" s="12">
        <v>300</v>
      </c>
      <c r="E5432" s="12" t="s">
        <v>5332</v>
      </c>
      <c r="F5432" s="12" t="s">
        <v>5328</v>
      </c>
      <c r="G5432" s="12" t="s">
        <v>14580</v>
      </c>
      <c r="H5432" s="12">
        <v>154674</v>
      </c>
    </row>
    <row r="5433" spans="1:8">
      <c r="A5433" s="12" t="s">
        <v>14581</v>
      </c>
      <c r="B5433" s="13">
        <v>0</v>
      </c>
      <c r="C5433" s="16" t="s">
        <v>5331</v>
      </c>
      <c r="D5433" s="12">
        <v>675</v>
      </c>
      <c r="E5433" s="12" t="s">
        <v>5332</v>
      </c>
      <c r="F5433" s="12" t="s">
        <v>5328</v>
      </c>
      <c r="G5433" s="12" t="s">
        <v>14582</v>
      </c>
      <c r="H5433" s="12">
        <v>269606</v>
      </c>
    </row>
    <row r="5434" spans="1:8">
      <c r="A5434" s="12" t="s">
        <v>14583</v>
      </c>
      <c r="B5434" s="13">
        <v>0.34</v>
      </c>
      <c r="C5434" s="16" t="s">
        <v>5331</v>
      </c>
      <c r="D5434" s="12">
        <v>0.56999999999999995</v>
      </c>
      <c r="E5434" s="12" t="s">
        <v>5332</v>
      </c>
      <c r="F5434" s="12" t="s">
        <v>5328</v>
      </c>
      <c r="G5434" s="12" t="s">
        <v>14584</v>
      </c>
      <c r="H5434" s="12">
        <v>16650</v>
      </c>
    </row>
    <row r="5435" spans="1:8">
      <c r="A5435" s="12" t="s">
        <v>14585</v>
      </c>
      <c r="B5435" s="13">
        <v>0.52</v>
      </c>
      <c r="C5435" s="16" t="s">
        <v>5331</v>
      </c>
      <c r="D5435" s="12">
        <v>1.02</v>
      </c>
      <c r="E5435" s="12" t="s">
        <v>5332</v>
      </c>
      <c r="F5435" s="12" t="s">
        <v>5328</v>
      </c>
      <c r="G5435" s="12" t="s">
        <v>14586</v>
      </c>
      <c r="H5435" s="12">
        <v>36941</v>
      </c>
    </row>
    <row r="5436" spans="1:8">
      <c r="A5436" s="12" t="s">
        <v>14587</v>
      </c>
      <c r="B5436" s="13">
        <v>0.7</v>
      </c>
      <c r="C5436" s="16" t="s">
        <v>5331</v>
      </c>
      <c r="D5436" s="12">
        <v>9.75</v>
      </c>
      <c r="E5436" s="12" t="s">
        <v>5332</v>
      </c>
      <c r="F5436" s="12" t="s">
        <v>5328</v>
      </c>
      <c r="G5436" s="12" t="s">
        <v>14588</v>
      </c>
      <c r="H5436" s="12">
        <v>16320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09185E-35DA-4D12-8870-D66EA1A8B4C8}">
  <sheetPr codeName="Sheet7"/>
  <dimension ref="A1:M260"/>
  <sheetViews>
    <sheetView showGridLines="0" view="pageLayout" zoomScale="93" zoomScaleNormal="66" zoomScalePageLayoutView="93" workbookViewId="0">
      <selection activeCell="I9" sqref="I9"/>
    </sheetView>
  </sheetViews>
  <sheetFormatPr defaultRowHeight="13.8"/>
  <cols>
    <col min="1" max="1" width="10.3984375" customWidth="1"/>
    <col min="2" max="2" width="5.59765625" customWidth="1"/>
    <col min="3" max="3" width="5.296875" customWidth="1"/>
    <col min="4" max="4" width="26.09765625" customWidth="1"/>
    <col min="5" max="5" width="12.69921875" customWidth="1"/>
    <col min="6" max="6" width="5.296875" customWidth="1"/>
    <col min="7" max="7" width="10.69921875" customWidth="1"/>
    <col min="8" max="8" width="11.8984375" customWidth="1"/>
    <col min="9" max="9" width="12.09765625" customWidth="1"/>
  </cols>
  <sheetData>
    <row r="1" spans="1:11" ht="31.2" customHeight="1">
      <c r="B1" s="4"/>
      <c r="C1" s="8"/>
      <c r="D1" s="8"/>
      <c r="E1" s="8"/>
      <c r="F1" s="8"/>
      <c r="G1" s="8"/>
      <c r="H1" s="4"/>
      <c r="I1" s="4"/>
      <c r="J1" s="4"/>
    </row>
    <row r="2" spans="1:11" ht="18" customHeight="1">
      <c r="B2" s="4"/>
      <c r="C2" s="8" t="str">
        <f>'FSE Input Old'!A3</f>
        <v>Brad Ballard</v>
      </c>
      <c r="D2" s="8"/>
      <c r="E2" s="8"/>
      <c r="F2" s="79" t="e">
        <f>"QUOTE#: "&amp;'FSE Input Old'!$D$3&amp;" "&amp;'FSE Input Old'!$B$3</f>
        <v>#REF!</v>
      </c>
      <c r="G2" s="79"/>
      <c r="H2" s="79"/>
      <c r="I2" s="79"/>
      <c r="K2" s="4"/>
    </row>
    <row r="3" spans="1:11" ht="18">
      <c r="A3" s="2"/>
      <c r="B3" s="5"/>
      <c r="C3" s="9" t="e">
        <f>'FSE Input Old'!C3</f>
        <v>#REF!</v>
      </c>
      <c r="D3" s="9"/>
      <c r="E3" s="9"/>
      <c r="F3" s="9"/>
      <c r="G3" s="9"/>
      <c r="H3" s="5"/>
      <c r="I3" s="5"/>
      <c r="J3" s="5"/>
      <c r="K3" s="2"/>
    </row>
    <row r="4" spans="1:11" ht="18" customHeight="1">
      <c r="A4" s="2"/>
      <c r="B4" s="4"/>
      <c r="C4" s="80" t="e">
        <f>'FSE Input Old'!E3</f>
        <v>#REF!</v>
      </c>
      <c r="D4" s="80"/>
      <c r="E4" s="80"/>
      <c r="F4" s="80"/>
      <c r="G4" s="8"/>
      <c r="H4" s="4"/>
      <c r="I4" s="4"/>
      <c r="J4" s="5"/>
      <c r="K4" s="2"/>
    </row>
    <row r="5" spans="1:11" ht="15.6">
      <c r="A5" s="2"/>
      <c r="B5" s="5"/>
      <c r="C5" s="80"/>
      <c r="D5" s="80"/>
      <c r="E5" s="80"/>
      <c r="F5" s="80"/>
      <c r="G5" s="4"/>
      <c r="H5" s="4"/>
      <c r="I5" s="4"/>
      <c r="J5" s="5"/>
      <c r="K5" s="2"/>
    </row>
    <row r="6" spans="1:11" ht="15.6">
      <c r="A6" s="2"/>
      <c r="B6" s="5"/>
      <c r="C6" s="4"/>
      <c r="D6" s="4"/>
      <c r="E6" s="4"/>
      <c r="F6" s="4"/>
      <c r="G6" s="4"/>
      <c r="H6" s="4"/>
      <c r="I6" s="4"/>
      <c r="J6" s="5"/>
      <c r="K6" s="2"/>
    </row>
    <row r="7" spans="1:11" ht="46.8">
      <c r="A7" s="2"/>
      <c r="B7" s="5"/>
      <c r="C7" s="6" t="s">
        <v>65</v>
      </c>
      <c r="D7" s="6" t="s">
        <v>66</v>
      </c>
      <c r="E7" s="7" t="s">
        <v>67</v>
      </c>
      <c r="F7" s="6" t="s">
        <v>68</v>
      </c>
      <c r="G7" s="7" t="s">
        <v>69</v>
      </c>
      <c r="H7" s="7" t="s">
        <v>70</v>
      </c>
      <c r="I7" s="6" t="s">
        <v>71</v>
      </c>
      <c r="J7" s="5"/>
      <c r="K7" s="2"/>
    </row>
    <row r="8" spans="1:11" ht="15.6">
      <c r="A8" s="2"/>
      <c r="B8" s="5"/>
      <c r="C8" s="43" t="str">
        <f>IF(D8="", "", "1")</f>
        <v>1</v>
      </c>
      <c r="D8" s="43" t="str">
        <f>IF('FSE Input Old'!A7&lt;&gt;"", 'FSE Input Old'!A7, IF('FSE Input Old'!E7&lt;&gt;"", 'FSE Input Old'!E7, ""))</f>
        <v>On-Site Support (2 days)</v>
      </c>
      <c r="E8" s="43">
        <f>IF('FSE Input Old'!B7&lt;&gt;"", 'FSE Input Old'!B7, IF('FSE Input Old'!F7&lt;&gt;"", 'FSE Input Old'!F7, ""))</f>
        <v>60020</v>
      </c>
      <c r="F8" s="40">
        <f>IF(ISBLANK('FSE Input Old'!D7),"",'FSE Input Old'!D7)</f>
        <v>1</v>
      </c>
      <c r="G8" s="44">
        <f>IF('FSE Input Old'!C7&lt;&gt;"", 'FSE Input Old'!C7, IF('FSE Input Old'!G7&lt;&gt;"", 'FSE Input Old'!G7, ""))</f>
        <v>7571</v>
      </c>
      <c r="H8" s="45">
        <f>IF(G8="", "",
   IF(ISNUMBER(SEARCH("on-site", D8)), G8,
      IF(ISNUMBER(SEARCH("basic", 'FSE Input Old'!F$3)), G8*0.9,
         IF(ISNUMBER(SEARCH("value", 'FSE Input Old'!F$3)), G8-750, "")
      )
   )
)</f>
        <v>7571</v>
      </c>
      <c r="I8" s="46">
        <f>IF(G8="","",H8*F8)</f>
        <v>7571</v>
      </c>
      <c r="J8" s="5"/>
      <c r="K8" s="2"/>
    </row>
    <row r="9" spans="1:11" ht="31.2">
      <c r="A9" s="2"/>
      <c r="C9" s="43" t="str">
        <f>IF(D9="", "", "2")</f>
        <v>2</v>
      </c>
      <c r="D9" s="43" t="str">
        <f>IF('FSE Input Old'!A8&lt;&gt;"", 'FSE Input Old'!A8, IF('FSE Input Old'!E8&lt;&gt;"", 'FSE Input Old'!E8, ""))</f>
        <v>guava eacyCyte HT Preventative Maintenance</v>
      </c>
      <c r="E9" s="43" t="str">
        <f>IF('FSE Input Old'!B8&lt;&gt;"", 'FSE Input Old'!B8, IF('FSE Input Old'!F8&lt;&gt;"", 'FSE Input Old'!F8, ""))</f>
        <v>PM-EASYCYTE-HT</v>
      </c>
      <c r="F9" s="40">
        <f>IF(ISBLANK('FSE Input Old'!D8),"",'FSE Input Old'!D8)</f>
        <v>1</v>
      </c>
      <c r="G9" s="44">
        <f>IF('FSE Input Old'!C8&lt;&gt;"", 'FSE Input Old'!C8, IF('FSE Input Old'!G8&lt;&gt;"", 'FSE Input Old'!G8, ""))</f>
        <v>4814</v>
      </c>
      <c r="H9" s="45" t="str">
        <f>IF(G9="", "",
   IF(ISNUMBER(SEARCH("on-site", D9)), G9,
      IF(ISNUMBER(SEARCH("basic", 'FSE Input Old'!F$3)), G9*0.9,
         IF(ISNUMBER(SEARCH("value", 'FSE Input Old'!F$3)), G9-750, "")
      )
   )
)</f>
        <v/>
      </c>
      <c r="I9" s="46" t="e">
        <f t="shared" ref="I9:I11" si="0">IF(G9="","",H9*F9)</f>
        <v>#VALUE!</v>
      </c>
      <c r="J9" s="5"/>
      <c r="K9" s="2"/>
    </row>
    <row r="10" spans="1:11" ht="15.6">
      <c r="A10" s="2"/>
      <c r="B10" s="5"/>
      <c r="C10" s="43" t="str">
        <f>IF(D10="", "", "3")</f>
        <v>3</v>
      </c>
      <c r="D10" s="43" t="str">
        <f>IF('FSE Input Old'!A9&lt;&gt;"", 'FSE Input Old'!A9, IF('FSE Input Old'!E9&lt;&gt;"", 'FSE Input Old'!E9, ""))</f>
        <v>Sheath Filter, Rainbow</v>
      </c>
      <c r="E10" s="43" t="str">
        <f>IF('FSE Input Old'!B9&lt;&gt;"", 'FSE Input Old'!B9, IF('FSE Input Old'!F9&lt;&gt;"", 'FSE Input Old'!F9, ""))</f>
        <v>N4-00025</v>
      </c>
      <c r="F10" s="40">
        <f>IF(ISBLANK('FSE Input Old'!D9),"",'FSE Input Old'!D9)</f>
        <v>1</v>
      </c>
      <c r="G10" s="44">
        <f>IF('FSE Input Old'!C9&lt;&gt;"", 'FSE Input Old'!C9, IF('FSE Input Old'!G9&lt;&gt;"", 'FSE Input Old'!G9, ""))</f>
        <v>192.45</v>
      </c>
      <c r="H10" s="45" t="str">
        <f>IF(G10="", "",
   IF(ISNUMBER(SEARCH("on-site", D10)), G10,
      IF(ISNUMBER(SEARCH("basic", 'FSE Input Old'!F$3)), G10*0.9,
         IF(ISNUMBER(SEARCH("value", 'FSE Input Old'!F$3)), G10-750, "")
      )
   )
)</f>
        <v/>
      </c>
      <c r="I10" s="46" t="e">
        <f t="shared" si="0"/>
        <v>#VALUE!</v>
      </c>
      <c r="J10" s="5"/>
      <c r="K10" s="2"/>
    </row>
    <row r="11" spans="1:11" ht="15.6">
      <c r="A11" s="2"/>
      <c r="B11" s="5"/>
      <c r="C11" s="43" t="str">
        <f>IF(D11="", "", "4")</f>
        <v/>
      </c>
      <c r="D11" s="43" t="str">
        <f>IF('FSE Input Old'!A10&lt;&gt;"", 'FSE Input Old'!A10, IF('FSE Input Old'!E10&lt;&gt;"", 'FSE Input Old'!E10, ""))</f>
        <v/>
      </c>
      <c r="E11" s="43" t="str">
        <f>IF('FSE Input Old'!B10&lt;&gt;"", 'FSE Input Old'!B10, IF('FSE Input Old'!F10&lt;&gt;"", 'FSE Input Old'!F10, ""))</f>
        <v/>
      </c>
      <c r="F11" s="40" t="str">
        <f>IF(ISBLANK('FSE Input Old'!D10),"",'FSE Input Old'!D10)</f>
        <v/>
      </c>
      <c r="G11" s="44" t="str">
        <f>IF('FSE Input Old'!C10&lt;&gt;"", 'FSE Input Old'!C10, IF('FSE Input Old'!G10&lt;&gt;"", 'FSE Input Old'!G10, ""))</f>
        <v/>
      </c>
      <c r="H11" s="45" t="str">
        <f>IF(G11="", "",
   IF(ISNUMBER(SEARCH("on-site", D11)), G11,
      IF(ISNUMBER(SEARCH("basic", 'FSE Input Old'!F$3)), G11*0.9,
         IF(ISNUMBER(SEARCH("value", 'FSE Input Old'!F$3)), G11-750, "")
      )
   )
)</f>
        <v/>
      </c>
      <c r="I11" s="46" t="str">
        <f t="shared" si="0"/>
        <v/>
      </c>
      <c r="J11" s="5"/>
      <c r="K11" s="2"/>
    </row>
    <row r="12" spans="1:11" ht="15.6">
      <c r="A12" s="2"/>
      <c r="B12" s="5"/>
      <c r="C12" s="5"/>
      <c r="D12" s="5"/>
      <c r="E12" s="5"/>
      <c r="F12" s="5"/>
      <c r="G12" s="5"/>
      <c r="H12" s="5"/>
      <c r="I12" s="5"/>
      <c r="J12" s="5"/>
      <c r="K12" s="2"/>
    </row>
    <row r="13" spans="1:11" ht="15.6">
      <c r="A13" s="2"/>
      <c r="B13" s="5"/>
      <c r="C13" s="81" t="s">
        <v>72</v>
      </c>
      <c r="D13" s="82"/>
      <c r="E13" s="82"/>
      <c r="F13" s="82"/>
      <c r="G13" s="82"/>
      <c r="H13" s="83"/>
      <c r="I13" s="11"/>
      <c r="J13" s="5"/>
      <c r="K13" s="2"/>
    </row>
    <row r="14" spans="1:11" ht="15.6">
      <c r="A14" s="2"/>
      <c r="B14" s="5"/>
      <c r="C14" s="81" t="s">
        <v>73</v>
      </c>
      <c r="D14" s="82"/>
      <c r="E14" s="82"/>
      <c r="F14" s="82"/>
      <c r="G14" s="82"/>
      <c r="H14" s="83"/>
      <c r="I14" s="10" t="e">
        <f>SUM(I15,I8:I11)</f>
        <v>#VALUE!</v>
      </c>
      <c r="J14" s="5"/>
      <c r="K14" s="2"/>
    </row>
    <row r="15" spans="1:11">
      <c r="J15" s="2"/>
      <c r="K15" s="2"/>
    </row>
    <row r="47" ht="33.6" customHeight="1"/>
    <row r="49" spans="1:13" ht="15.6">
      <c r="G49" s="75" t="e">
        <f>"QUOTE#: "&amp;'FSE Input Old'!$D$3&amp;" "&amp;'FSE Input Old'!$B$3</f>
        <v>#REF!</v>
      </c>
      <c r="H49" s="75"/>
      <c r="I49" s="75"/>
    </row>
    <row r="52" spans="1:13" ht="15.6">
      <c r="J52" s="76"/>
      <c r="K52" s="76"/>
      <c r="L52" s="76"/>
      <c r="M52" s="76"/>
    </row>
    <row r="54" spans="1:13" ht="14.4" customHeight="1">
      <c r="A54" s="3"/>
    </row>
    <row r="101" spans="1:13" ht="15.6">
      <c r="G101" s="75" t="e">
        <f>"QUOTE#: "&amp;'FSE Input Old'!$D$3&amp;" "&amp;'FSE Input Old'!$B$3</f>
        <v>#REF!</v>
      </c>
      <c r="H101" s="75"/>
      <c r="I101" s="75"/>
    </row>
    <row r="105" spans="1:13" ht="15.6">
      <c r="K105" s="4"/>
      <c r="L105" s="4"/>
      <c r="M105" s="4"/>
    </row>
    <row r="106" spans="1:13">
      <c r="A106" s="3"/>
    </row>
    <row r="153" spans="7:13" ht="15.6">
      <c r="G153" s="75" t="e">
        <f>"QUOTE#: "&amp;'FSE Input Old'!$D$3&amp;" "&amp;'FSE Input Old'!$B$3</f>
        <v>#REF!</v>
      </c>
      <c r="H153" s="75"/>
      <c r="I153" s="75"/>
    </row>
    <row r="156" spans="7:13" ht="15.6">
      <c r="J156" s="76"/>
      <c r="K156" s="76"/>
      <c r="L156" s="76"/>
      <c r="M156" s="76"/>
    </row>
    <row r="209" spans="1:11">
      <c r="A209" s="77"/>
      <c r="B209" s="78"/>
      <c r="C209" s="78"/>
      <c r="D209" s="78"/>
      <c r="E209" s="78"/>
      <c r="F209" s="78"/>
      <c r="G209" s="78"/>
      <c r="H209" s="78"/>
      <c r="I209" s="78"/>
      <c r="J209" s="78"/>
      <c r="K209" s="78"/>
    </row>
    <row r="210" spans="1:11">
      <c r="A210" s="78"/>
      <c r="B210" s="78"/>
      <c r="C210" s="78"/>
      <c r="D210" s="78"/>
      <c r="E210" s="78"/>
      <c r="F210" s="78"/>
      <c r="G210" s="78"/>
      <c r="H210" s="78"/>
      <c r="I210" s="78"/>
      <c r="J210" s="78"/>
      <c r="K210" s="78"/>
    </row>
    <row r="211" spans="1:11">
      <c r="A211" s="78"/>
      <c r="B211" s="78"/>
      <c r="C211" s="78"/>
      <c r="D211" s="78"/>
      <c r="E211" s="78"/>
      <c r="F211" s="78"/>
      <c r="G211" s="78"/>
      <c r="H211" s="78"/>
      <c r="I211" s="78"/>
      <c r="J211" s="78"/>
      <c r="K211" s="78"/>
    </row>
    <row r="212" spans="1:11">
      <c r="A212" s="78"/>
      <c r="B212" s="78"/>
      <c r="C212" s="78"/>
      <c r="D212" s="78"/>
      <c r="E212" s="78"/>
      <c r="F212" s="78"/>
      <c r="G212" s="78"/>
      <c r="H212" s="78"/>
      <c r="I212" s="78"/>
      <c r="J212" s="78"/>
      <c r="K212" s="78"/>
    </row>
    <row r="213" spans="1:11">
      <c r="A213" s="78"/>
      <c r="B213" s="78"/>
      <c r="C213" s="78"/>
      <c r="D213" s="78"/>
      <c r="E213" s="78"/>
      <c r="F213" s="78"/>
      <c r="G213" s="78"/>
      <c r="H213" s="78"/>
      <c r="I213" s="78"/>
      <c r="J213" s="78"/>
      <c r="K213" s="78"/>
    </row>
    <row r="214" spans="1:11">
      <c r="A214" s="78"/>
      <c r="B214" s="78"/>
      <c r="C214" s="78"/>
      <c r="D214" s="78"/>
      <c r="E214" s="78"/>
      <c r="F214" s="78"/>
      <c r="G214" s="78"/>
      <c r="H214" s="78"/>
      <c r="I214" s="78"/>
      <c r="J214" s="78"/>
      <c r="K214" s="78"/>
    </row>
    <row r="215" spans="1:11">
      <c r="A215" s="78"/>
      <c r="B215" s="78"/>
      <c r="C215" s="78"/>
      <c r="D215" s="78"/>
      <c r="E215" s="78"/>
      <c r="F215" s="78"/>
      <c r="G215" s="78"/>
      <c r="H215" s="78"/>
      <c r="I215" s="78"/>
      <c r="J215" s="78"/>
      <c r="K215" s="78"/>
    </row>
    <row r="216" spans="1:11">
      <c r="A216" s="78"/>
      <c r="B216" s="78"/>
      <c r="C216" s="78"/>
      <c r="D216" s="78"/>
      <c r="E216" s="78"/>
      <c r="F216" s="78"/>
      <c r="G216" s="78"/>
      <c r="H216" s="78"/>
      <c r="I216" s="78"/>
      <c r="J216" s="78"/>
      <c r="K216" s="78"/>
    </row>
    <row r="217" spans="1:11">
      <c r="A217" s="78"/>
      <c r="B217" s="78"/>
      <c r="C217" s="78"/>
      <c r="D217" s="78"/>
      <c r="E217" s="78"/>
      <c r="F217" s="78"/>
      <c r="G217" s="78"/>
      <c r="H217" s="78"/>
      <c r="I217" s="78"/>
      <c r="J217" s="78"/>
      <c r="K217" s="78"/>
    </row>
    <row r="218" spans="1:11">
      <c r="A218" s="78"/>
      <c r="B218" s="78"/>
      <c r="C218" s="78"/>
      <c r="D218" s="78"/>
      <c r="E218" s="78"/>
      <c r="F218" s="78"/>
      <c r="G218" s="78"/>
      <c r="H218" s="78"/>
      <c r="I218" s="78"/>
      <c r="J218" s="78"/>
      <c r="K218" s="78"/>
    </row>
    <row r="219" spans="1:11">
      <c r="A219" s="78"/>
      <c r="B219" s="78"/>
      <c r="C219" s="78"/>
      <c r="D219" s="78"/>
      <c r="E219" s="78"/>
      <c r="F219" s="78"/>
      <c r="G219" s="78"/>
      <c r="H219" s="78"/>
      <c r="I219" s="78"/>
      <c r="J219" s="78"/>
      <c r="K219" s="78"/>
    </row>
    <row r="220" spans="1:11">
      <c r="A220" s="78"/>
      <c r="B220" s="78"/>
      <c r="C220" s="78"/>
      <c r="D220" s="78"/>
      <c r="E220" s="78"/>
      <c r="F220" s="78"/>
      <c r="G220" s="78"/>
      <c r="H220" s="78"/>
      <c r="I220" s="78"/>
      <c r="J220" s="78"/>
      <c r="K220" s="78"/>
    </row>
    <row r="221" spans="1:11">
      <c r="A221" s="78"/>
      <c r="B221" s="78"/>
      <c r="C221" s="78"/>
      <c r="D221" s="78"/>
      <c r="E221" s="78"/>
      <c r="F221" s="78"/>
      <c r="G221" s="78"/>
      <c r="H221" s="78"/>
      <c r="I221" s="78"/>
      <c r="J221" s="78"/>
      <c r="K221" s="78"/>
    </row>
    <row r="222" spans="1:11">
      <c r="A222" s="78"/>
      <c r="B222" s="78"/>
      <c r="C222" s="78"/>
      <c r="D222" s="78"/>
      <c r="E222" s="78"/>
      <c r="F222" s="78"/>
      <c r="G222" s="78"/>
      <c r="H222" s="78"/>
      <c r="I222" s="78"/>
      <c r="J222" s="78"/>
      <c r="K222" s="78"/>
    </row>
    <row r="223" spans="1:11">
      <c r="A223" s="78"/>
      <c r="B223" s="78"/>
      <c r="C223" s="78"/>
      <c r="D223" s="78"/>
      <c r="E223" s="78"/>
      <c r="F223" s="78"/>
      <c r="G223" s="78"/>
      <c r="H223" s="78"/>
      <c r="I223" s="78"/>
      <c r="J223" s="78"/>
      <c r="K223" s="78"/>
    </row>
    <row r="224" spans="1:11">
      <c r="A224" s="78"/>
      <c r="B224" s="78"/>
      <c r="C224" s="78"/>
      <c r="D224" s="78"/>
      <c r="E224" s="78"/>
      <c r="F224" s="78"/>
      <c r="G224" s="78"/>
      <c r="H224" s="78"/>
      <c r="I224" s="78"/>
      <c r="J224" s="78"/>
      <c r="K224" s="78"/>
    </row>
    <row r="225" spans="1:11">
      <c r="A225" s="78"/>
      <c r="B225" s="78"/>
      <c r="C225" s="78"/>
      <c r="D225" s="78"/>
      <c r="E225" s="78"/>
      <c r="F225" s="78"/>
      <c r="G225" s="78"/>
      <c r="H225" s="78"/>
      <c r="I225" s="78"/>
      <c r="J225" s="78"/>
      <c r="K225" s="78"/>
    </row>
    <row r="226" spans="1:11">
      <c r="A226" s="78"/>
      <c r="B226" s="78"/>
      <c r="C226" s="78"/>
      <c r="D226" s="78"/>
      <c r="E226" s="78"/>
      <c r="F226" s="78"/>
      <c r="G226" s="78"/>
      <c r="H226" s="78"/>
      <c r="I226" s="78"/>
      <c r="J226" s="78"/>
      <c r="K226" s="78"/>
    </row>
    <row r="227" spans="1:11">
      <c r="A227" s="78"/>
      <c r="B227" s="78"/>
      <c r="C227" s="78"/>
      <c r="D227" s="78"/>
      <c r="E227" s="78"/>
      <c r="F227" s="78"/>
      <c r="G227" s="78"/>
      <c r="H227" s="78"/>
      <c r="I227" s="78"/>
      <c r="J227" s="78"/>
      <c r="K227" s="78"/>
    </row>
    <row r="228" spans="1:11">
      <c r="A228" s="78"/>
      <c r="B228" s="78"/>
      <c r="C228" s="78"/>
      <c r="D228" s="78"/>
      <c r="E228" s="78"/>
      <c r="F228" s="78"/>
      <c r="G228" s="78"/>
      <c r="H228" s="78"/>
      <c r="I228" s="78"/>
      <c r="J228" s="78"/>
      <c r="K228" s="78"/>
    </row>
    <row r="229" spans="1:11">
      <c r="A229" s="78"/>
      <c r="B229" s="78"/>
      <c r="C229" s="78"/>
      <c r="D229" s="78"/>
      <c r="E229" s="78"/>
      <c r="F229" s="78"/>
      <c r="G229" s="78"/>
      <c r="H229" s="78"/>
      <c r="I229" s="78"/>
      <c r="J229" s="78"/>
      <c r="K229" s="78"/>
    </row>
    <row r="230" spans="1:11">
      <c r="A230" s="78"/>
      <c r="B230" s="78"/>
      <c r="C230" s="78"/>
      <c r="D230" s="78"/>
      <c r="E230" s="78"/>
      <c r="F230" s="78"/>
      <c r="G230" s="78"/>
      <c r="H230" s="78"/>
      <c r="I230" s="78"/>
      <c r="J230" s="78"/>
      <c r="K230" s="78"/>
    </row>
    <row r="231" spans="1:11">
      <c r="A231" s="78"/>
      <c r="B231" s="78"/>
      <c r="C231" s="78"/>
      <c r="D231" s="78"/>
      <c r="E231" s="78"/>
      <c r="F231" s="78"/>
      <c r="G231" s="78"/>
      <c r="H231" s="78"/>
      <c r="I231" s="78"/>
      <c r="J231" s="78"/>
      <c r="K231" s="78"/>
    </row>
    <row r="232" spans="1:11">
      <c r="A232" s="78"/>
      <c r="B232" s="78"/>
      <c r="C232" s="78"/>
      <c r="D232" s="78"/>
      <c r="E232" s="78"/>
      <c r="F232" s="78"/>
      <c r="G232" s="78"/>
      <c r="H232" s="78"/>
      <c r="I232" s="78"/>
      <c r="J232" s="78"/>
      <c r="K232" s="78"/>
    </row>
    <row r="233" spans="1:11">
      <c r="A233" s="78"/>
      <c r="B233" s="78"/>
      <c r="C233" s="78"/>
      <c r="D233" s="78"/>
      <c r="E233" s="78"/>
      <c r="F233" s="78"/>
      <c r="G233" s="78"/>
      <c r="H233" s="78"/>
      <c r="I233" s="78"/>
      <c r="J233" s="78"/>
      <c r="K233" s="78"/>
    </row>
    <row r="234" spans="1:11">
      <c r="A234" s="78"/>
      <c r="B234" s="78"/>
      <c r="C234" s="78"/>
      <c r="D234" s="78"/>
      <c r="E234" s="78"/>
      <c r="F234" s="78"/>
      <c r="G234" s="78"/>
      <c r="H234" s="78"/>
      <c r="I234" s="78"/>
      <c r="J234" s="78"/>
      <c r="K234" s="78"/>
    </row>
    <row r="235" spans="1:11">
      <c r="A235" s="78"/>
      <c r="B235" s="78"/>
      <c r="C235" s="78"/>
      <c r="D235" s="78"/>
      <c r="E235" s="78"/>
      <c r="F235" s="78"/>
      <c r="G235" s="78"/>
      <c r="H235" s="78"/>
      <c r="I235" s="78"/>
      <c r="J235" s="78"/>
      <c r="K235" s="78"/>
    </row>
    <row r="236" spans="1:11">
      <c r="A236" s="78"/>
      <c r="B236" s="78"/>
      <c r="C236" s="78"/>
      <c r="D236" s="78"/>
      <c r="E236" s="78"/>
      <c r="F236" s="78"/>
      <c r="G236" s="78"/>
      <c r="H236" s="78"/>
      <c r="I236" s="78"/>
      <c r="J236" s="78"/>
      <c r="K236" s="78"/>
    </row>
    <row r="237" spans="1:11">
      <c r="A237" s="78"/>
      <c r="B237" s="78"/>
      <c r="C237" s="78"/>
      <c r="D237" s="78"/>
      <c r="E237" s="78"/>
      <c r="F237" s="78"/>
      <c r="G237" s="78"/>
      <c r="H237" s="78"/>
      <c r="I237" s="78"/>
      <c r="J237" s="78"/>
      <c r="K237" s="78"/>
    </row>
    <row r="238" spans="1:11">
      <c r="A238" s="78"/>
      <c r="B238" s="78"/>
      <c r="C238" s="78"/>
      <c r="D238" s="78"/>
      <c r="E238" s="78"/>
      <c r="F238" s="78"/>
      <c r="G238" s="78"/>
      <c r="H238" s="78"/>
      <c r="I238" s="78"/>
      <c r="J238" s="78"/>
      <c r="K238" s="78"/>
    </row>
    <row r="239" spans="1:11">
      <c r="A239" s="78"/>
      <c r="B239" s="78"/>
      <c r="C239" s="78"/>
      <c r="D239" s="78"/>
      <c r="E239" s="78"/>
      <c r="F239" s="78"/>
      <c r="G239" s="78"/>
      <c r="H239" s="78"/>
      <c r="I239" s="78"/>
      <c r="J239" s="78"/>
      <c r="K239" s="78"/>
    </row>
    <row r="240" spans="1:11">
      <c r="A240" s="78"/>
      <c r="B240" s="78"/>
      <c r="C240" s="78"/>
      <c r="D240" s="78"/>
      <c r="E240" s="78"/>
      <c r="F240" s="78"/>
      <c r="G240" s="78"/>
      <c r="H240" s="78"/>
      <c r="I240" s="78"/>
      <c r="J240" s="78"/>
      <c r="K240" s="78"/>
    </row>
    <row r="241" spans="1:11">
      <c r="A241" s="78"/>
      <c r="B241" s="78"/>
      <c r="C241" s="78"/>
      <c r="D241" s="78"/>
      <c r="E241" s="78"/>
      <c r="F241" s="78"/>
      <c r="G241" s="78"/>
      <c r="H241" s="78"/>
      <c r="I241" s="78"/>
      <c r="J241" s="78"/>
      <c r="K241" s="78"/>
    </row>
    <row r="242" spans="1:11">
      <c r="A242" s="78"/>
      <c r="B242" s="78"/>
      <c r="C242" s="78"/>
      <c r="D242" s="78"/>
      <c r="E242" s="78"/>
      <c r="F242" s="78"/>
      <c r="G242" s="78"/>
      <c r="H242" s="78"/>
      <c r="I242" s="78"/>
      <c r="J242" s="78"/>
      <c r="K242" s="78"/>
    </row>
    <row r="243" spans="1:11">
      <c r="A243" s="78"/>
      <c r="B243" s="78"/>
      <c r="C243" s="78"/>
      <c r="D243" s="78"/>
      <c r="E243" s="78"/>
      <c r="F243" s="78"/>
      <c r="G243" s="78"/>
      <c r="H243" s="78"/>
      <c r="I243" s="78"/>
      <c r="J243" s="78"/>
      <c r="K243" s="78"/>
    </row>
    <row r="244" spans="1:11">
      <c r="A244" s="78"/>
      <c r="B244" s="78"/>
      <c r="C244" s="78"/>
      <c r="D244" s="78"/>
      <c r="E244" s="78"/>
      <c r="F244" s="78"/>
      <c r="G244" s="78"/>
      <c r="H244" s="78"/>
      <c r="I244" s="78"/>
      <c r="J244" s="78"/>
      <c r="K244" s="78"/>
    </row>
    <row r="245" spans="1:11">
      <c r="A245" s="78"/>
      <c r="B245" s="78"/>
      <c r="C245" s="78"/>
      <c r="D245" s="78"/>
      <c r="E245" s="78"/>
      <c r="F245" s="78"/>
      <c r="G245" s="78"/>
      <c r="H245" s="78"/>
      <c r="I245" s="78"/>
      <c r="J245" s="78"/>
      <c r="K245" s="78"/>
    </row>
    <row r="246" spans="1:11">
      <c r="A246" s="78"/>
      <c r="B246" s="78"/>
      <c r="C246" s="78"/>
      <c r="D246" s="78"/>
      <c r="E246" s="78"/>
      <c r="F246" s="78"/>
      <c r="G246" s="78"/>
      <c r="H246" s="78"/>
      <c r="I246" s="78"/>
      <c r="J246" s="78"/>
      <c r="K246" s="78"/>
    </row>
    <row r="247" spans="1:11">
      <c r="A247" s="78"/>
      <c r="B247" s="78"/>
      <c r="C247" s="78"/>
      <c r="D247" s="78"/>
      <c r="E247" s="78"/>
      <c r="F247" s="78"/>
      <c r="G247" s="78"/>
      <c r="H247" s="78"/>
      <c r="I247" s="78"/>
      <c r="J247" s="78"/>
      <c r="K247" s="78"/>
    </row>
    <row r="248" spans="1:11">
      <c r="A248" s="78"/>
      <c r="B248" s="78"/>
      <c r="C248" s="78"/>
      <c r="D248" s="78"/>
      <c r="E248" s="78"/>
      <c r="F248" s="78"/>
      <c r="G248" s="78"/>
      <c r="H248" s="78"/>
      <c r="I248" s="78"/>
      <c r="J248" s="78"/>
      <c r="K248" s="78"/>
    </row>
    <row r="249" spans="1:11">
      <c r="A249" s="78"/>
      <c r="B249" s="78"/>
      <c r="C249" s="78"/>
      <c r="D249" s="78"/>
      <c r="E249" s="78"/>
      <c r="F249" s="78"/>
      <c r="G249" s="78"/>
      <c r="H249" s="78"/>
      <c r="I249" s="78"/>
      <c r="J249" s="78"/>
      <c r="K249" s="78"/>
    </row>
    <row r="250" spans="1:11">
      <c r="A250" s="78"/>
      <c r="B250" s="78"/>
      <c r="C250" s="78"/>
      <c r="D250" s="78"/>
      <c r="E250" s="78"/>
      <c r="F250" s="78"/>
      <c r="G250" s="78"/>
      <c r="H250" s="78"/>
      <c r="I250" s="78"/>
      <c r="J250" s="78"/>
      <c r="K250" s="78"/>
    </row>
    <row r="251" spans="1:11">
      <c r="A251" s="78"/>
      <c r="B251" s="78"/>
      <c r="C251" s="78"/>
      <c r="D251" s="78"/>
      <c r="E251" s="78"/>
      <c r="F251" s="78"/>
      <c r="G251" s="78"/>
      <c r="H251" s="78"/>
      <c r="I251" s="78"/>
      <c r="J251" s="78"/>
      <c r="K251" s="78"/>
    </row>
    <row r="252" spans="1:11">
      <c r="A252" s="78"/>
      <c r="B252" s="78"/>
      <c r="C252" s="78"/>
      <c r="D252" s="78"/>
      <c r="E252" s="78"/>
      <c r="F252" s="78"/>
      <c r="G252" s="78"/>
      <c r="H252" s="78"/>
      <c r="I252" s="78"/>
      <c r="J252" s="78"/>
      <c r="K252" s="78"/>
    </row>
    <row r="253" spans="1:11">
      <c r="A253" s="78"/>
      <c r="B253" s="78"/>
      <c r="C253" s="78"/>
      <c r="D253" s="78"/>
      <c r="E253" s="78"/>
      <c r="F253" s="78"/>
      <c r="G253" s="78"/>
      <c r="H253" s="78"/>
      <c r="I253" s="78"/>
      <c r="J253" s="78"/>
      <c r="K253" s="78"/>
    </row>
    <row r="254" spans="1:11">
      <c r="A254" s="78"/>
      <c r="B254" s="78"/>
      <c r="C254" s="78"/>
      <c r="D254" s="78"/>
      <c r="E254" s="78"/>
      <c r="F254" s="78"/>
      <c r="G254" s="78"/>
      <c r="H254" s="78"/>
      <c r="I254" s="78"/>
      <c r="J254" s="78"/>
      <c r="K254" s="78"/>
    </row>
    <row r="255" spans="1:11">
      <c r="A255" s="78"/>
      <c r="B255" s="78"/>
      <c r="C255" s="78"/>
      <c r="D255" s="78"/>
      <c r="E255" s="78"/>
      <c r="F255" s="78"/>
      <c r="G255" s="78"/>
      <c r="H255" s="78"/>
      <c r="I255" s="78"/>
      <c r="J255" s="78"/>
      <c r="K255" s="78"/>
    </row>
    <row r="256" spans="1:11">
      <c r="A256" s="78"/>
      <c r="B256" s="78"/>
      <c r="C256" s="78"/>
      <c r="D256" s="78"/>
      <c r="E256" s="78"/>
      <c r="F256" s="78"/>
      <c r="G256" s="78"/>
      <c r="H256" s="78"/>
      <c r="I256" s="78"/>
      <c r="J256" s="78"/>
      <c r="K256" s="78"/>
    </row>
    <row r="257" spans="1:11">
      <c r="A257" s="78"/>
      <c r="B257" s="78"/>
      <c r="C257" s="78"/>
      <c r="D257" s="78"/>
      <c r="E257" s="78"/>
      <c r="F257" s="78"/>
      <c r="G257" s="78"/>
      <c r="H257" s="78"/>
      <c r="I257" s="78"/>
      <c r="J257" s="78"/>
      <c r="K257" s="78"/>
    </row>
    <row r="258" spans="1:11">
      <c r="A258" s="78"/>
      <c r="B258" s="78"/>
      <c r="C258" s="78"/>
      <c r="D258" s="78"/>
      <c r="E258" s="78"/>
      <c r="F258" s="78"/>
      <c r="G258" s="78"/>
      <c r="H258" s="78"/>
      <c r="I258" s="78"/>
      <c r="J258" s="78"/>
      <c r="K258" s="78"/>
    </row>
    <row r="259" spans="1:11">
      <c r="A259" s="78"/>
      <c r="B259" s="78"/>
      <c r="C259" s="78"/>
      <c r="D259" s="78"/>
      <c r="E259" s="78"/>
      <c r="F259" s="78"/>
      <c r="G259" s="78"/>
      <c r="H259" s="78"/>
      <c r="I259" s="78"/>
      <c r="J259" s="78"/>
      <c r="K259" s="78"/>
    </row>
    <row r="260" spans="1:11">
      <c r="A260" s="78"/>
      <c r="B260" s="78"/>
      <c r="C260" s="78"/>
      <c r="D260" s="78"/>
      <c r="E260" s="78"/>
      <c r="F260" s="78"/>
      <c r="G260" s="78"/>
      <c r="H260" s="78"/>
      <c r="I260" s="78"/>
      <c r="J260" s="78"/>
      <c r="K260" s="78"/>
    </row>
  </sheetData>
  <mergeCells count="10">
    <mergeCell ref="A209:K260"/>
    <mergeCell ref="C13:H13"/>
    <mergeCell ref="C14:H14"/>
    <mergeCell ref="J52:M52"/>
    <mergeCell ref="F2:I2"/>
    <mergeCell ref="G49:I49"/>
    <mergeCell ref="G153:I153"/>
    <mergeCell ref="G101:I101"/>
    <mergeCell ref="J156:M156"/>
    <mergeCell ref="C4:F5"/>
  </mergeCells>
  <pageMargins left="0.7" right="0.7" top="0.75" bottom="0.75" header="0.3" footer="0.3"/>
  <pageSetup scale="86" fitToWidth="0" fitToHeight="0" orientation="portrait" r:id="rId1"/>
  <headerFooter>
    <oddHeader xml:space="preserve">&amp;L&amp;G&amp;R&amp;D
</oddHeader>
    <oddFooter xml:space="preserve">&amp;L
&amp;CCytek Biosciences Inc. | Offices in Fremont, CA 94538. 47215 Lakeview Blvd 
Phone: (510) 657-0102 | Fax: (510) 657-0151 | www.cytekbio.com | email: technical.support@cytekbio.com </oddFooter>
  </headerFooter>
  <drawing r:id="rId2"/>
  <legacyDrawingHF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3FE6D0-7CEE-4BA9-B07F-89FF2B7336B4}">
  <sheetPr codeName="Sheet8"/>
  <dimension ref="A1:J40"/>
  <sheetViews>
    <sheetView workbookViewId="0">
      <selection activeCell="A7" sqref="A7"/>
    </sheetView>
  </sheetViews>
  <sheetFormatPr defaultColWidth="8.8984375" defaultRowHeight="15.6"/>
  <cols>
    <col min="1" max="1" width="24.69921875" style="4" customWidth="1"/>
    <col min="2" max="2" width="17.69921875" style="4" customWidth="1"/>
    <col min="3" max="3" width="32.296875" style="4" customWidth="1"/>
    <col min="4" max="4" width="22" style="4" customWidth="1"/>
    <col min="5" max="5" width="24.296875" style="4" customWidth="1"/>
    <col min="6" max="6" width="22" style="4" customWidth="1"/>
    <col min="7" max="7" width="15.3984375" style="4" customWidth="1"/>
    <col min="8" max="8" width="15.8984375" style="4" customWidth="1"/>
    <col min="9" max="16384" width="8.8984375" style="4"/>
  </cols>
  <sheetData>
    <row r="1" spans="1:9">
      <c r="A1" s="101" t="s">
        <v>14589</v>
      </c>
      <c r="B1" s="102"/>
      <c r="C1" s="102"/>
      <c r="D1" s="102"/>
      <c r="E1" s="102"/>
      <c r="F1" s="103"/>
    </row>
    <row r="2" spans="1:9" ht="31.2">
      <c r="A2" s="19" t="s">
        <v>37</v>
      </c>
      <c r="B2" s="20" t="s">
        <v>39</v>
      </c>
      <c r="C2" s="21" t="s">
        <v>42</v>
      </c>
      <c r="D2" s="21" t="s">
        <v>14590</v>
      </c>
      <c r="E2" s="20" t="s">
        <v>44</v>
      </c>
      <c r="F2" s="22" t="s">
        <v>45</v>
      </c>
    </row>
    <row r="3" spans="1:9" ht="62.4" customHeight="1">
      <c r="A3" s="23" t="s">
        <v>14591</v>
      </c>
      <c r="B3" s="24" t="s">
        <v>2654</v>
      </c>
      <c r="C3" s="25" t="e">
        <f>VLOOKUP(B3,#REF!,2,FALSE)</f>
        <v>#REF!</v>
      </c>
      <c r="D3" s="25" t="e">
        <f>VLOOKUP(C3,#REF!,2,FALSE)</f>
        <v>#REF!</v>
      </c>
      <c r="E3" s="25" t="e">
        <f>VLOOKUP(B3,#REF!,19,FALSE)</f>
        <v>#REF!</v>
      </c>
      <c r="F3" s="26" t="e">
        <f>VLOOKUP(B3,#REF!,9,FALSE)</f>
        <v>#REF!</v>
      </c>
      <c r="H3" s="27"/>
      <c r="I3" s="27"/>
    </row>
    <row r="4" spans="1:9" ht="16.2" thickBot="1">
      <c r="A4" s="17"/>
      <c r="B4" s="17"/>
      <c r="C4" s="18"/>
      <c r="D4" s="17"/>
      <c r="E4" s="17"/>
    </row>
    <row r="5" spans="1:9">
      <c r="A5" s="104" t="s">
        <v>14592</v>
      </c>
      <c r="B5" s="105"/>
      <c r="C5" s="105"/>
      <c r="D5" s="105"/>
      <c r="E5" s="105"/>
      <c r="F5" s="105"/>
      <c r="G5" s="106"/>
    </row>
    <row r="6" spans="1:9" ht="46.8">
      <c r="A6" s="29" t="s">
        <v>49</v>
      </c>
      <c r="B6" s="30" t="s">
        <v>52</v>
      </c>
      <c r="C6" s="30" t="s">
        <v>53</v>
      </c>
      <c r="D6" s="31" t="s">
        <v>54</v>
      </c>
      <c r="E6" s="30" t="s">
        <v>55</v>
      </c>
      <c r="F6" s="30" t="s">
        <v>56</v>
      </c>
      <c r="G6" s="32" t="s">
        <v>57</v>
      </c>
    </row>
    <row r="7" spans="1:9">
      <c r="A7" s="41" t="s">
        <v>51</v>
      </c>
      <c r="B7" s="33">
        <f>IF(A7="","",VLOOKUP(A7,'Pricing Data'!A$2:H5436,7,FALSE))</f>
        <v>60020</v>
      </c>
      <c r="C7" s="33">
        <f>IF(A7="","",VLOOKUP(A7,'Pricing Data'!A2:H5436,4,FALSE))</f>
        <v>7571</v>
      </c>
      <c r="D7" s="34">
        <v>1</v>
      </c>
      <c r="E7" s="33"/>
      <c r="F7" s="33"/>
      <c r="G7" s="35"/>
    </row>
    <row r="8" spans="1:9" ht="31.2">
      <c r="A8" s="41" t="s">
        <v>10388</v>
      </c>
      <c r="B8" s="33" t="str">
        <f>IF(A8="","",VLOOKUP(A8,'Pricing Data'!A$2:H5437,7,FALSE))</f>
        <v>PM-EASYCYTE-HT</v>
      </c>
      <c r="C8" s="33">
        <f>IF(A8="","",VLOOKUP(A8,'Pricing Data'!A2:H5437,4,FALSE))</f>
        <v>4814</v>
      </c>
      <c r="D8" s="34">
        <v>1</v>
      </c>
      <c r="E8" s="33"/>
      <c r="F8" s="33"/>
      <c r="G8" s="35"/>
    </row>
    <row r="9" spans="1:9">
      <c r="A9" s="41" t="s">
        <v>7294</v>
      </c>
      <c r="B9" s="33" t="str">
        <f>IF(A9="","",VLOOKUP(A9,'Pricing Data'!A$2:H5438,7,FALSE))</f>
        <v>N4-00025</v>
      </c>
      <c r="C9" s="33">
        <f>IF(A9="","",VLOOKUP(A9,'Pricing Data'!A2:H5438,4,FALSE))</f>
        <v>192.45</v>
      </c>
      <c r="D9" s="34">
        <v>1</v>
      </c>
      <c r="E9" s="33"/>
      <c r="F9" s="33"/>
      <c r="G9" s="35"/>
    </row>
    <row r="10" spans="1:9" ht="16.2" thickBot="1">
      <c r="A10" s="42"/>
      <c r="B10" s="36" t="str">
        <f>IF(A10="","",VLOOKUP(A10,'Pricing Data'!A2:H5439,7,FALSE))</f>
        <v/>
      </c>
      <c r="C10" s="33" t="str">
        <f>IF(A10="","",VLOOKUP(A10,'Pricing Data'!A2:H5439,4,FALSE))</f>
        <v/>
      </c>
      <c r="D10" s="37"/>
      <c r="E10" s="36"/>
      <c r="F10" s="36"/>
      <c r="G10" s="38"/>
    </row>
    <row r="11" spans="1:9">
      <c r="D11" s="28"/>
    </row>
    <row r="17" spans="1:10" ht="16.2" thickBot="1"/>
    <row r="18" spans="1:10" ht="47.4" thickBot="1">
      <c r="A18"/>
      <c r="B18" s="19" t="s">
        <v>37</v>
      </c>
      <c r="C18" s="23" t="s">
        <v>14591</v>
      </c>
      <c r="D18" s="17"/>
      <c r="E18" s="104" t="s">
        <v>14592</v>
      </c>
      <c r="F18" s="29" t="s">
        <v>49</v>
      </c>
      <c r="G18" s="41" t="s">
        <v>51</v>
      </c>
      <c r="H18" s="41" t="s">
        <v>10388</v>
      </c>
      <c r="I18" s="41" t="s">
        <v>7294</v>
      </c>
      <c r="J18" s="42"/>
    </row>
    <row r="19" spans="1:10" ht="31.8" thickBot="1">
      <c r="A19"/>
      <c r="B19" s="20" t="s">
        <v>39</v>
      </c>
      <c r="C19" s="24" t="s">
        <v>2654</v>
      </c>
      <c r="D19" s="17"/>
      <c r="E19" s="105"/>
      <c r="F19" s="30" t="s">
        <v>52</v>
      </c>
      <c r="G19" s="33" t="e">
        <f>IF(G18="","",VLOOKUP(G18,'Pricing Data'!$B18:HAB25,7,FALSE))</f>
        <v>#N/A</v>
      </c>
      <c r="H19" s="33" t="e">
        <f>IF(H18="","",VLOOKUP(H18,'Pricing Data'!$B18:HAC25,7,FALSE))</f>
        <v>#N/A</v>
      </c>
      <c r="I19" s="33" t="e">
        <f>IF(I18="","",VLOOKUP(I18,'Pricing Data'!$B18:HAD25,7,FALSE))</f>
        <v>#N/A</v>
      </c>
      <c r="J19" s="36" t="str">
        <f>IF(J18="","",VLOOKUP(J18,'Pricing Data'!B18:HAE25,7,FALSE))</f>
        <v/>
      </c>
    </row>
    <row r="20" spans="1:10" ht="16.2" thickBot="1">
      <c r="A20"/>
      <c r="B20" s="21" t="s">
        <v>42</v>
      </c>
      <c r="C20" s="25" t="e">
        <f>VLOOKUP(C19,#REF!,2,FALSE)</f>
        <v>#REF!</v>
      </c>
      <c r="D20" s="18"/>
      <c r="E20" s="105"/>
      <c r="F20" s="30" t="s">
        <v>53</v>
      </c>
      <c r="G20" s="33" t="e">
        <f>IF(G18="","",VLOOKUP(G18,'Pricing Data'!B18:HAB25,4,FALSE))</f>
        <v>#N/A</v>
      </c>
      <c r="H20" s="33" t="e">
        <f>IF(H18="","",VLOOKUP(H18,'Pricing Data'!B18:HAC25,4,FALSE))</f>
        <v>#N/A</v>
      </c>
      <c r="I20" s="33" t="e">
        <f>IF(I18="","",VLOOKUP(I18,'Pricing Data'!B18:HAD25,4,FALSE))</f>
        <v>#N/A</v>
      </c>
      <c r="J20" s="33" t="str">
        <f>IF(J18="","",VLOOKUP(J18,'Pricing Data'!B18:HAE25,4,FALSE))</f>
        <v/>
      </c>
    </row>
    <row r="21" spans="1:10" ht="31.8" thickBot="1">
      <c r="A21"/>
      <c r="B21" s="21" t="s">
        <v>14590</v>
      </c>
      <c r="C21" s="25" t="e">
        <f>VLOOKUP(C20,#REF!,2,FALSE)</f>
        <v>#REF!</v>
      </c>
      <c r="D21" s="17"/>
      <c r="E21" s="105"/>
      <c r="F21" s="31" t="s">
        <v>54</v>
      </c>
      <c r="G21" s="34">
        <v>1</v>
      </c>
      <c r="H21" s="34">
        <v>1</v>
      </c>
      <c r="I21" s="34">
        <v>1</v>
      </c>
      <c r="J21" s="37"/>
    </row>
    <row r="22" spans="1:10" ht="31.8" thickBot="1">
      <c r="A22"/>
      <c r="B22" s="20" t="s">
        <v>44</v>
      </c>
      <c r="C22" s="25" t="e">
        <f>VLOOKUP(C19,#REF!,19,FALSE)</f>
        <v>#REF!</v>
      </c>
      <c r="D22" s="17"/>
      <c r="E22" s="105"/>
      <c r="F22" s="30" t="s">
        <v>55</v>
      </c>
      <c r="G22" s="33"/>
      <c r="H22" s="33"/>
      <c r="I22" s="33"/>
      <c r="J22" s="36"/>
    </row>
    <row r="23" spans="1:10" ht="31.8" thickBot="1">
      <c r="A23"/>
      <c r="B23" s="22" t="s">
        <v>45</v>
      </c>
      <c r="C23" s="26" t="e">
        <f>VLOOKUP(C19,#REF!,9,FALSE)</f>
        <v>#REF!</v>
      </c>
      <c r="E23" s="105"/>
      <c r="F23" s="30" t="s">
        <v>56</v>
      </c>
      <c r="G23" s="33"/>
      <c r="H23" s="33"/>
      <c r="I23" s="33"/>
      <c r="J23" s="36"/>
    </row>
    <row r="24" spans="1:10" ht="31.8" thickBot="1">
      <c r="E24" s="106"/>
      <c r="F24" s="32" t="s">
        <v>57</v>
      </c>
      <c r="G24" s="35"/>
      <c r="H24" s="35"/>
      <c r="I24" s="35"/>
      <c r="J24" s="38"/>
    </row>
    <row r="32" spans="1:10" ht="18">
      <c r="A32" s="49" t="s">
        <v>46</v>
      </c>
      <c r="B32" s="49"/>
      <c r="C32" s="49"/>
      <c r="D32" s="49"/>
      <c r="E32" s="49"/>
    </row>
    <row r="33" spans="1:5">
      <c r="A33" s="47"/>
      <c r="B33" s="47" t="s">
        <v>14593</v>
      </c>
      <c r="C33" s="47" t="s">
        <v>14594</v>
      </c>
      <c r="D33" s="48" t="s">
        <v>14595</v>
      </c>
      <c r="E33" s="47" t="s">
        <v>14596</v>
      </c>
    </row>
    <row r="34" spans="1:5" ht="31.8" thickBot="1">
      <c r="A34" s="29" t="s">
        <v>49</v>
      </c>
      <c r="B34" s="41" t="s">
        <v>51</v>
      </c>
      <c r="C34" s="41" t="s">
        <v>10388</v>
      </c>
      <c r="D34" s="41" t="s">
        <v>7294</v>
      </c>
      <c r="E34" s="42"/>
    </row>
    <row r="35" spans="1:5" ht="16.2" thickBot="1">
      <c r="A35" s="30" t="s">
        <v>52</v>
      </c>
      <c r="B35" s="33" t="e">
        <f>IF(B34="","",VLOOKUP(B34,'Pricing Data'!$B31:GZX38,7,FALSE))</f>
        <v>#N/A</v>
      </c>
      <c r="C35" s="33" t="e">
        <f>IF(C34="","",VLOOKUP(C34,'Pricing Data'!$B31:GZY38,7,FALSE))</f>
        <v>#N/A</v>
      </c>
      <c r="D35" s="33" t="e">
        <f>IF(D34="","",VLOOKUP(D34,'Pricing Data'!$B31:GZZ38,7,FALSE))</f>
        <v>#N/A</v>
      </c>
      <c r="E35" s="36" t="str">
        <f>IF(E34="","",VLOOKUP(E34,'Pricing Data'!#REF!,7,FALSE))</f>
        <v/>
      </c>
    </row>
    <row r="36" spans="1:5">
      <c r="A36" s="30" t="s">
        <v>53</v>
      </c>
      <c r="B36" s="33" t="e">
        <f>IF(B34="","",VLOOKUP(B34,'Pricing Data'!#REF!,4,FALSE))</f>
        <v>#REF!</v>
      </c>
      <c r="C36" s="33" t="e">
        <f>IF(C34="","",VLOOKUP(C34,'Pricing Data'!#REF!,4,FALSE))</f>
        <v>#REF!</v>
      </c>
      <c r="D36" s="33" t="e">
        <f>IF(D34="","",VLOOKUP(D34,'Pricing Data'!#REF!,4,FALSE))</f>
        <v>#REF!</v>
      </c>
      <c r="E36" s="33" t="str">
        <f>IF(E34="","",VLOOKUP(E34,'Pricing Data'!#REF!,4,FALSE))</f>
        <v/>
      </c>
    </row>
    <row r="37" spans="1:5" ht="16.2" thickBot="1">
      <c r="A37" s="31" t="s">
        <v>54</v>
      </c>
      <c r="B37" s="34">
        <v>1</v>
      </c>
      <c r="C37" s="34">
        <v>1</v>
      </c>
      <c r="D37" s="34">
        <v>1</v>
      </c>
      <c r="E37" s="37"/>
    </row>
    <row r="38" spans="1:5" ht="31.8" thickBot="1">
      <c r="A38" s="30" t="s">
        <v>55</v>
      </c>
      <c r="B38" s="33"/>
      <c r="C38" s="33"/>
      <c r="D38" s="33"/>
      <c r="E38" s="36"/>
    </row>
    <row r="39" spans="1:5" ht="31.8" thickBot="1">
      <c r="A39" s="30" t="s">
        <v>56</v>
      </c>
      <c r="B39" s="33"/>
      <c r="C39" s="33"/>
      <c r="D39" s="33"/>
      <c r="E39" s="36"/>
    </row>
    <row r="40" spans="1:5" ht="31.8" thickBot="1">
      <c r="A40" s="32" t="s">
        <v>57</v>
      </c>
      <c r="B40" s="35"/>
      <c r="C40" s="35"/>
      <c r="D40" s="35"/>
      <c r="E40" s="38"/>
    </row>
  </sheetData>
  <mergeCells count="3">
    <mergeCell ref="A1:F1"/>
    <mergeCell ref="A5:G5"/>
    <mergeCell ref="E18:E24"/>
  </mergeCell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2A03DFC8-C8B3-4FC3-AAEA-6E948F368F18}">
          <x14:formula1>
            <xm:f>#REF!</xm:f>
          </x14:formula1>
          <xm:sqref>B3 C19</xm:sqref>
        </x14:dataValidation>
        <x14:dataValidation type="list" allowBlank="1" showInputMessage="1" showErrorMessage="1" xr:uid="{DD39A7C7-A8FB-4435-915D-A8119E5F6357}">
          <x14:formula1>
            <xm:f>'Pricing Data'!$A$2:$A$5436</xm:f>
          </x14:formula1>
          <xm:sqref>A7:A10 G18:J18 B34:E34</xm:sqref>
        </x14:dataValidation>
      </x14:dataValidation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D498BCE-F369-4B13-82C2-B3E136EE811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Admin</vt:lpstr>
      <vt:lpstr>FSE Input</vt:lpstr>
      <vt:lpstr>Cytek Service Quoting</vt:lpstr>
      <vt:lpstr>Cytek Parts Quoting</vt:lpstr>
      <vt:lpstr>Asset Data</vt:lpstr>
      <vt:lpstr>Pricing Data</vt:lpstr>
      <vt:lpstr>Cytek Service Quoting Old</vt:lpstr>
      <vt:lpstr>FSE Input Old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Brandon Evans</dc:creator>
  <cp:keywords/>
  <dc:description/>
  <cp:lastModifiedBy>Benjamin Evans-Munoz</cp:lastModifiedBy>
  <cp:revision/>
  <dcterms:created xsi:type="dcterms:W3CDTF">2025-07-26T18:40:34Z</dcterms:created>
  <dcterms:modified xsi:type="dcterms:W3CDTF">2026-09-19T19:26:44Z</dcterms:modified>
  <cp:category/>
  <cp:contentStatus/>
</cp:coreProperties>
</file>